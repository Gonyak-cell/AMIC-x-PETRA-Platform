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onedrive-global.kpmg.com/personal/hoh2_kr_kpmg_com/Documents/2024/4. Wolf/산출물/"/>
    </mc:Choice>
  </mc:AlternateContent>
  <xr:revisionPtr revIDLastSave="5" documentId="13_ncr:1_{8E7D4FE0-5582-4909-80F1-D452182799D7}" xr6:coauthVersionLast="47" xr6:coauthVersionMax="47" xr10:uidLastSave="{62F2A8D3-89B3-4D73-91B4-7D343D687476}"/>
  <bookViews>
    <workbookView xWindow="-120" yWindow="-120" windowWidth="27270" windowHeight="18240" tabRatio="999" xr2:uid="{E897CF41-F553-4A33-AEA1-B45F5A4C9043}"/>
  </bookViews>
  <sheets>
    <sheet name="Summary" sheetId="1" r:id="rId1"/>
    <sheet name="Proforma BS" sheetId="2" r:id="rId2"/>
    <sheet name="Proforma CF" sheetId="3" r:id="rId3"/>
    <sheet name="Proforma CE" sheetId="4" r:id="rId4"/>
    <sheet name="Proforma PL" sheetId="5" r:id="rId5"/>
    <sheet name="DCF" sheetId="7" r:id="rId6"/>
    <sheet name="Key Assumption" sheetId="9" r:id="rId7"/>
    <sheet name="Revenue_HW" sheetId="10" r:id="rId8"/>
    <sheet name="COGS_HW" sheetId="11" r:id="rId9"/>
    <sheet name="SG&amp;A_HW" sheetId="12" r:id="rId10"/>
    <sheet name="CAPEX_HW" sheetId="13" r:id="rId11"/>
    <sheet name="NWC_연결" sheetId="14" r:id="rId12"/>
    <sheet name="Projection_유럽" sheetId="15" r:id="rId13"/>
    <sheet name="Projection_미국" sheetId="16" r:id="rId14"/>
    <sheet name="Projection_강소" sheetId="17" r:id="rId15"/>
    <sheet name="Projection_중국" sheetId="18" r:id="rId16"/>
    <sheet name="CAPEX_강소" sheetId="19" r:id="rId17"/>
    <sheet name="기종별마진" sheetId="6" r:id="rId18"/>
    <sheet name="판매수량" sheetId="20" r:id="rId19"/>
  </sheets>
  <definedNames>
    <definedName name="[P]P" hidden="1">{#N/A,#N/A,FALSE,"단축1";#N/A,#N/A,FALSE,"단축2";#N/A,#N/A,FALSE,"단축3";#N/A,#N/A,FALSE,"장축";#N/A,#N/A,FALSE,"4WD"}</definedName>
    <definedName name="_?0_F" hidden="1">#REF!</definedName>
    <definedName name="__?0_F" hidden="1">#REF!</definedName>
    <definedName name="___?0_F" hidden="1">#REF!</definedName>
    <definedName name="______?0_F" hidden="1">#REF!</definedName>
    <definedName name="_______?0_F" hidden="1">#REF!</definedName>
    <definedName name="________?0_F" hidden="1">#REF!</definedName>
    <definedName name="__________" hidden="1">#REF!</definedName>
    <definedName name="_______________________" hidden="1">#REF!</definedName>
    <definedName name="_______________________________________SDW1" hidden="1">#REF!</definedName>
    <definedName name="______________________________________SDW1" hidden="1">#REF!</definedName>
    <definedName name="_______________________________DR1" hidden="1">{#N/A,#N/A,FALSE,"업체선정";#N/A,#N/A,FALSE,"업체선정sheet";#N/A,#N/A,FALSE,"업체실태";#N/A,#N/A,FALSE,"업체실태(1)";#N/A,#N/A,FALSE,"종업원현황(2)";#N/A,#N/A,FALSE,"생산품목(3)";#N/A,#N/A,FALSE,"장비보유현황";#N/A,#N/A,FALSE,"차량및약도";#N/A,#N/A,FALSE,"금형LIST"}</definedName>
    <definedName name="___________________________DR1" hidden="1">{#N/A,#N/A,FALSE,"업체선정";#N/A,#N/A,FALSE,"업체선정sheet";#N/A,#N/A,FALSE,"업체실태";#N/A,#N/A,FALSE,"업체실태(1)";#N/A,#N/A,FALSE,"종업원현황(2)";#N/A,#N/A,FALSE,"생산품목(3)";#N/A,#N/A,FALSE,"장비보유현황";#N/A,#N/A,FALSE,"차량및약도";#N/A,#N/A,FALSE,"금형LIST"}</definedName>
    <definedName name="__________________________SDW1" hidden="1">#REF!</definedName>
    <definedName name="_________________________DR1" hidden="1">{#N/A,#N/A,FALSE,"업체선정";#N/A,#N/A,FALSE,"업체선정sheet";#N/A,#N/A,FALSE,"업체실태";#N/A,#N/A,FALSE,"업체실태(1)";#N/A,#N/A,FALSE,"종업원현황(2)";#N/A,#N/A,FALSE,"생산품목(3)";#N/A,#N/A,FALSE,"장비보유현황";#N/A,#N/A,FALSE,"차량및약도";#N/A,#N/A,FALSE,"금형LIST"}</definedName>
    <definedName name="________________________DR1" hidden="1">{#N/A,#N/A,FALSE,"업체선정";#N/A,#N/A,FALSE,"업체선정sheet";#N/A,#N/A,FALSE,"업체실태";#N/A,#N/A,FALSE,"업체실태(1)";#N/A,#N/A,FALSE,"종업원현황(2)";#N/A,#N/A,FALSE,"생산품목(3)";#N/A,#N/A,FALSE,"장비보유현황";#N/A,#N/A,FALSE,"차량및약도";#N/A,#N/A,FALSE,"금형LIST"}</definedName>
    <definedName name="_______________________DR1" hidden="1">{#N/A,#N/A,FALSE,"업체선정";#N/A,#N/A,FALSE,"업체선정sheet";#N/A,#N/A,FALSE,"업체실태";#N/A,#N/A,FALSE,"업체실태(1)";#N/A,#N/A,FALSE,"종업원현황(2)";#N/A,#N/A,FALSE,"생산품목(3)";#N/A,#N/A,FALSE,"장비보유현황";#N/A,#N/A,FALSE,"차량및약도";#N/A,#N/A,FALSE,"금형LIST"}</definedName>
    <definedName name="_____________________AAA111" hidden="1">{#N/A,#N/A,FALSE,"신규dep";#N/A,#N/A,FALSE,"신규dep-금형상각후";#N/A,#N/A,FALSE,"신규dep-연구비상각후";#N/A,#N/A,FALSE,"신규dep-기계,공구상각후"}</definedName>
    <definedName name="_____________________DR1" hidden="1">{#N/A,#N/A,FALSE,"업체선정";#N/A,#N/A,FALSE,"업체선정sheet";#N/A,#N/A,FALSE,"업체실태";#N/A,#N/A,FALSE,"업체실태(1)";#N/A,#N/A,FALSE,"종업원현황(2)";#N/A,#N/A,FALSE,"생산품목(3)";#N/A,#N/A,FALSE,"장비보유현황";#N/A,#N/A,FALSE,"차량및약도";#N/A,#N/A,FALSE,"금형LIST"}</definedName>
    <definedName name="_____________________EWA1" hidden="1">{#N/A,#N/A,FALSE,"초도품";#N/A,#N/A,FALSE,"초도품 (2)";#N/A,#N/A,FALSE,"초도품 (3)";#N/A,#N/A,FALSE,"초도품 (4)";#N/A,#N/A,FALSE,"초도품 (5)";#N/A,#N/A,FALSE,"초도품 (6)"}</definedName>
    <definedName name="_____________________LPS2" hidden="1">{#N/A,#N/A,FALSE,"단축1";#N/A,#N/A,FALSE,"단축2";#N/A,#N/A,FALSE,"단축3";#N/A,#N/A,FALSE,"장축";#N/A,#N/A,FALSE,"4WD"}</definedName>
    <definedName name="_____________________PB004" hidden="1">{#N/A,#N/A,FALSE,"단축1";#N/A,#N/A,FALSE,"단축2";#N/A,#N/A,FALSE,"단축3";#N/A,#N/A,FALSE,"장축";#N/A,#N/A,FALSE,"4WD"}</definedName>
    <definedName name="_____________________Q1" hidden="1">{#N/A,#N/A,FALSE,"KMC최종회의(7월) 자료"}</definedName>
    <definedName name="_____________________Q2" hidden="1">{#N/A,#N/A,FALSE,"KMC최종회의(7월) 자료"}</definedName>
    <definedName name="_____________________Q3" hidden="1">{#N/A,#N/A,FALSE,"KMC최종회의(7월) 자료"}</definedName>
    <definedName name="_____________________Q5" hidden="1">{#N/A,#N/A,FALSE,"KMC최종회의(7월) 자료"}</definedName>
    <definedName name="_____________________Q7" hidden="1">{#N/A,#N/A,FALSE,"KMC최종회의(7월) 자료"}</definedName>
    <definedName name="_____________________Q8" hidden="1">{#N/A,#N/A,FALSE,"KMC최종회의(7월) 자료"}</definedName>
    <definedName name="_____________________Q9" hidden="1">{#N/A,#N/A,FALSE,"KMC최종회의(7월) 자료"}</definedName>
    <definedName name="_____________________RR2" hidden="1">{#N/A,#N/A,FALSE,"단축1";#N/A,#N/A,FALSE,"단축2";#N/A,#N/A,FALSE,"단축3";#N/A,#N/A,FALSE,"장축";#N/A,#N/A,FALSE,"4WD"}</definedName>
    <definedName name="_____________________S1" hidden="1">{#N/A,#N/A,FALSE,"KMC최종회의(7월) 자료"}</definedName>
    <definedName name="_____________________S2" hidden="1">{#N/A,#N/A,FALSE,"KMC최종회의(7월) 자료"}</definedName>
    <definedName name="_____________________S3" hidden="1">{#N/A,#N/A,FALSE,"KMC최종회의(7월) 자료"}</definedName>
    <definedName name="_____________________S4" hidden="1">{#N/A,#N/A,FALSE,"KMC최종회의(7월) 자료"}</definedName>
    <definedName name="_____________________S5" hidden="1">{#N/A,#N/A,FALSE,"KMC최종회의(7월) 자료"}</definedName>
    <definedName name="_____________________S6" hidden="1">{#N/A,#N/A,FALSE,"KMC최종회의(7월) 자료"}</definedName>
    <definedName name="_____________________S7" hidden="1">{#N/A,#N/A,FALSE,"KMC최종회의(7월) 자료"}</definedName>
    <definedName name="_____________________S8" hidden="1">{#N/A,#N/A,FALSE,"KMC최종회의(7월) 자료"}</definedName>
    <definedName name="_____________________W1" hidden="1">{#N/A,#N/A,FALSE,"KMC최종회의(7월) 자료"}</definedName>
    <definedName name="_____________________W2" hidden="1">{#N/A,#N/A,FALSE,"KMC최종회의(7월) 자료"}</definedName>
    <definedName name="_____________________W3" hidden="1">{#N/A,#N/A,FALSE,"KMC최종회의(7월) 자료"}</definedName>
    <definedName name="_____________________W4" hidden="1">{#N/A,#N/A,FALSE,"KMC최종회의(7월) 자료"}</definedName>
    <definedName name="_____________________W5" hidden="1">{#N/A,#N/A,FALSE,"KMC최종회의(7월) 자료"}</definedName>
    <definedName name="_____________________W6" hidden="1">{#N/A,#N/A,FALSE,"KMC최종회의(7월) 자료"}</definedName>
    <definedName name="_____________________W7" hidden="1">{#N/A,#N/A,FALSE,"KMC최종회의(7월) 자료"}</definedName>
    <definedName name="_____________________W8" hidden="1">{#N/A,#N/A,FALSE,"KMC최종회의(7월) 자료"}</definedName>
    <definedName name="_____________________W9" hidden="1">{#N/A,#N/A,FALSE,"KMC최종회의(7월) 자료"}</definedName>
    <definedName name="_____________________X1" hidden="1">{#N/A,#N/A,FALSE,"KMC최종회의(7월) 자료"}</definedName>
    <definedName name="_____________________X2" hidden="1">{#N/A,#N/A,FALSE,"KMC최종회의(7월) 자료"}</definedName>
    <definedName name="_____________________X3" hidden="1">{#N/A,#N/A,FALSE,"KMC최종회의(7월) 자료"}</definedName>
    <definedName name="_____________________X4" hidden="1">{#N/A,#N/A,FALSE,"KMC최종회의(7월) 자료"}</definedName>
    <definedName name="_____________________X5" hidden="1">{#N/A,#N/A,FALSE,"KMC최종회의(7월) 자료"}</definedName>
    <definedName name="_____________________X6" hidden="1">{#N/A,#N/A,FALSE,"KMC최종회의(7월) 자료"}</definedName>
    <definedName name="_____________________X7" hidden="1">{#N/A,#N/A,FALSE,"KMC최종회의(7월) 자료"}</definedName>
    <definedName name="_____________________X8" hidden="1">{#N/A,#N/A,FALSE,"KMC최종회의(7월) 자료"}</definedName>
    <definedName name="_____________________Z1" hidden="1">{#N/A,#N/A,FALSE,"KMC최종회의(7월) 자료"}</definedName>
    <definedName name="_____________________Z2" hidden="1">{#N/A,#N/A,FALSE,"KMC최종회의(7월) 자료"}</definedName>
    <definedName name="_____________________Z3" hidden="1">{#N/A,#N/A,FALSE,"KMC최종회의(7월) 자료"}</definedName>
    <definedName name="_____________________Z4" hidden="1">{#N/A,#N/A,FALSE,"KMC최종회의(7월) 자료"}</definedName>
    <definedName name="_____________________Z5" hidden="1">{#N/A,#N/A,FALSE,"KMC최종회의(7월) 자료"}</definedName>
    <definedName name="_____________________Z6" hidden="1">{#N/A,#N/A,FALSE,"KMC최종회의(7월) 자료"}</definedName>
    <definedName name="_____________________Z7" hidden="1">{#N/A,#N/A,FALSE,"KMC최종회의(7월) 자료"}</definedName>
    <definedName name="_____________________Z8" hidden="1">{#N/A,#N/A,FALSE,"KMC최종회의(7월) 자료"}</definedName>
    <definedName name="_____________________Z9" hidden="1">{#N/A,#N/A,FALSE,"KMC최종회의(7월) 자료"}</definedName>
    <definedName name="____________________A1" hidden="1">{#N/A,#N/A,FALSE,"KMC최종회의(7월) 자료"}</definedName>
    <definedName name="____________________A2" hidden="1">{#N/A,#N/A,FALSE,"KMC최종회의(7월) 자료"}</definedName>
    <definedName name="____________________A3" hidden="1">{#N/A,#N/A,FALSE,"단축1";#N/A,#N/A,FALSE,"단축2";#N/A,#N/A,FALSE,"단축3";#N/A,#N/A,FALSE,"장축";#N/A,#N/A,FALSE,"4WD"}</definedName>
    <definedName name="____________________A4" hidden="1">{#N/A,#N/A,FALSE,"KMC최종회의(7월) 자료"}</definedName>
    <definedName name="____________________A5" hidden="1">{#N/A,#N/A,FALSE,"KMC최종회의(7월) 자료"}</definedName>
    <definedName name="____________________A6" hidden="1">{#N/A,#N/A,FALSE,"KMC최종회의(7월) 자료"}</definedName>
    <definedName name="____________________A7" hidden="1">{#N/A,#N/A,FALSE,"KMC최종회의(7월) 자료"}</definedName>
    <definedName name="____________________A8" hidden="1">{#N/A,#N/A,FALSE,"KMC최종회의(7월) 자료"}</definedName>
    <definedName name="____________________A9" hidden="1">{#N/A,#N/A,FALSE,"KMC최종회의(7월) 자료"}</definedName>
    <definedName name="____________________AAA111" hidden="1">{#N/A,#N/A,FALSE,"신규dep";#N/A,#N/A,FALSE,"신규dep-금형상각후";#N/A,#N/A,FALSE,"신규dep-연구비상각후";#N/A,#N/A,FALSE,"신규dep-기계,공구상각후"}</definedName>
    <definedName name="____________________DR1" hidden="1">{#N/A,#N/A,FALSE,"업체선정";#N/A,#N/A,FALSE,"업체선정sheet";#N/A,#N/A,FALSE,"업체실태";#N/A,#N/A,FALSE,"업체실태(1)";#N/A,#N/A,FALSE,"종업원현황(2)";#N/A,#N/A,FALSE,"생산품목(3)";#N/A,#N/A,FALSE,"장비보유현황";#N/A,#N/A,FALSE,"차량및약도";#N/A,#N/A,FALSE,"금형LIST"}</definedName>
    <definedName name="____________________E1" hidden="1">{#N/A,#N/A,FALSE,"KMC최종회의(7월) 자료"}</definedName>
    <definedName name="____________________E2" hidden="1">{#N/A,#N/A,FALSE,"KMC최종회의(7월) 자료"}</definedName>
    <definedName name="____________________EWA1" hidden="1">{#N/A,#N/A,FALSE,"초도품";#N/A,#N/A,FALSE,"초도품 (2)";#N/A,#N/A,FALSE,"초도품 (3)";#N/A,#N/A,FALSE,"초도품 (4)";#N/A,#N/A,FALSE,"초도품 (5)";#N/A,#N/A,FALSE,"초도품 (6)"}</definedName>
    <definedName name="____________________LPS2" hidden="1">{#N/A,#N/A,FALSE,"단축1";#N/A,#N/A,FALSE,"단축2";#N/A,#N/A,FALSE,"단축3";#N/A,#N/A,FALSE,"장축";#N/A,#N/A,FALSE,"4WD"}</definedName>
    <definedName name="____________________PB004" hidden="1">{#N/A,#N/A,FALSE,"단축1";#N/A,#N/A,FALSE,"단축2";#N/A,#N/A,FALSE,"단축3";#N/A,#N/A,FALSE,"장축";#N/A,#N/A,FALSE,"4WD"}</definedName>
    <definedName name="____________________RR2" hidden="1">{#N/A,#N/A,FALSE,"단축1";#N/A,#N/A,FALSE,"단축2";#N/A,#N/A,FALSE,"단축3";#N/A,#N/A,FALSE,"장축";#N/A,#N/A,FALSE,"4WD"}</definedName>
    <definedName name="___________________DR1" hidden="1">{#N/A,#N/A,FALSE,"업체선정";#N/A,#N/A,FALSE,"업체선정sheet";#N/A,#N/A,FALSE,"업체실태";#N/A,#N/A,FALSE,"업체실태(1)";#N/A,#N/A,FALSE,"종업원현황(2)";#N/A,#N/A,FALSE,"생산품목(3)";#N/A,#N/A,FALSE,"장비보유현황";#N/A,#N/A,FALSE,"차량및약도";#N/A,#N/A,FALSE,"금형LIST"}</definedName>
    <definedName name="___________________Q1" hidden="1">{#N/A,#N/A,FALSE,"KMC최종회의(7월) 자료"}</definedName>
    <definedName name="___________________Q2" hidden="1">{#N/A,#N/A,FALSE,"KMC최종회의(7월) 자료"}</definedName>
    <definedName name="___________________Q3" hidden="1">{#N/A,#N/A,FALSE,"KMC최종회의(7월) 자료"}</definedName>
    <definedName name="___________________Q5" hidden="1">{#N/A,#N/A,FALSE,"KMC최종회의(7월) 자료"}</definedName>
    <definedName name="___________________Q7" hidden="1">{#N/A,#N/A,FALSE,"KMC최종회의(7월) 자료"}</definedName>
    <definedName name="___________________Q8" hidden="1">{#N/A,#N/A,FALSE,"KMC최종회의(7월) 자료"}</definedName>
    <definedName name="___________________Q9" hidden="1">{#N/A,#N/A,FALSE,"KMC최종회의(7월) 자료"}</definedName>
    <definedName name="___________________S1" hidden="1">{#N/A,#N/A,FALSE,"KMC최종회의(7월) 자료"}</definedName>
    <definedName name="___________________S2" hidden="1">{#N/A,#N/A,FALSE,"KMC최종회의(7월) 자료"}</definedName>
    <definedName name="___________________S3" hidden="1">{#N/A,#N/A,FALSE,"KMC최종회의(7월) 자료"}</definedName>
    <definedName name="___________________S4" hidden="1">{#N/A,#N/A,FALSE,"KMC최종회의(7월) 자료"}</definedName>
    <definedName name="___________________S5" hidden="1">{#N/A,#N/A,FALSE,"KMC최종회의(7월) 자료"}</definedName>
    <definedName name="___________________S6" hidden="1">{#N/A,#N/A,FALSE,"KMC최종회의(7월) 자료"}</definedName>
    <definedName name="___________________S7" hidden="1">{#N/A,#N/A,FALSE,"KMC최종회의(7월) 자료"}</definedName>
    <definedName name="___________________S8" hidden="1">{#N/A,#N/A,FALSE,"KMC최종회의(7월) 자료"}</definedName>
    <definedName name="___________________W1" hidden="1">{#N/A,#N/A,FALSE,"KMC최종회의(7월) 자료"}</definedName>
    <definedName name="___________________W2" hidden="1">{#N/A,#N/A,FALSE,"KMC최종회의(7월) 자료"}</definedName>
    <definedName name="___________________W3" hidden="1">{#N/A,#N/A,FALSE,"KMC최종회의(7월) 자료"}</definedName>
    <definedName name="___________________W4" hidden="1">{#N/A,#N/A,FALSE,"KMC최종회의(7월) 자료"}</definedName>
    <definedName name="___________________W5" hidden="1">{#N/A,#N/A,FALSE,"KMC최종회의(7월) 자료"}</definedName>
    <definedName name="___________________W6" hidden="1">{#N/A,#N/A,FALSE,"KMC최종회의(7월) 자료"}</definedName>
    <definedName name="___________________W7" hidden="1">{#N/A,#N/A,FALSE,"KMC최종회의(7월) 자료"}</definedName>
    <definedName name="___________________W8" hidden="1">{#N/A,#N/A,FALSE,"KMC최종회의(7월) 자료"}</definedName>
    <definedName name="___________________W9" hidden="1">{#N/A,#N/A,FALSE,"KMC최종회의(7월) 자료"}</definedName>
    <definedName name="___________________X1" hidden="1">{#N/A,#N/A,FALSE,"KMC최종회의(7월) 자료"}</definedName>
    <definedName name="___________________X2" hidden="1">{#N/A,#N/A,FALSE,"KMC최종회의(7월) 자료"}</definedName>
    <definedName name="___________________X3" hidden="1">{#N/A,#N/A,FALSE,"KMC최종회의(7월) 자료"}</definedName>
    <definedName name="___________________X4" hidden="1">{#N/A,#N/A,FALSE,"KMC최종회의(7월) 자료"}</definedName>
    <definedName name="___________________X5" hidden="1">{#N/A,#N/A,FALSE,"KMC최종회의(7월) 자료"}</definedName>
    <definedName name="___________________X6" hidden="1">{#N/A,#N/A,FALSE,"KMC최종회의(7월) 자료"}</definedName>
    <definedName name="___________________X7" hidden="1">{#N/A,#N/A,FALSE,"KMC최종회의(7월) 자료"}</definedName>
    <definedName name="___________________X8" hidden="1">{#N/A,#N/A,FALSE,"KMC최종회의(7월) 자료"}</definedName>
    <definedName name="___________________Z1" hidden="1">{#N/A,#N/A,FALSE,"KMC최종회의(7월) 자료"}</definedName>
    <definedName name="___________________Z2" hidden="1">{#N/A,#N/A,FALSE,"KMC최종회의(7월) 자료"}</definedName>
    <definedName name="___________________Z3" hidden="1">{#N/A,#N/A,FALSE,"KMC최종회의(7월) 자료"}</definedName>
    <definedName name="___________________Z4" hidden="1">{#N/A,#N/A,FALSE,"KMC최종회의(7월) 자료"}</definedName>
    <definedName name="___________________Z5" hidden="1">{#N/A,#N/A,FALSE,"KMC최종회의(7월) 자료"}</definedName>
    <definedName name="___________________Z6" hidden="1">{#N/A,#N/A,FALSE,"KMC최종회의(7월) 자료"}</definedName>
    <definedName name="___________________Z7" hidden="1">{#N/A,#N/A,FALSE,"KMC최종회의(7월) 자료"}</definedName>
    <definedName name="___________________Z8" hidden="1">{#N/A,#N/A,FALSE,"KMC최종회의(7월) 자료"}</definedName>
    <definedName name="___________________Z9" hidden="1">{#N/A,#N/A,FALSE,"KMC최종회의(7월) 자료"}</definedName>
    <definedName name="__________________A1" hidden="1">{#N/A,#N/A,FALSE,"KMC최종회의(7월) 자료"}</definedName>
    <definedName name="__________________A2" hidden="1">{#N/A,#N/A,FALSE,"KMC최종회의(7월) 자료"}</definedName>
    <definedName name="__________________A3" hidden="1">{#N/A,#N/A,FALSE,"단축1";#N/A,#N/A,FALSE,"단축2";#N/A,#N/A,FALSE,"단축3";#N/A,#N/A,FALSE,"장축";#N/A,#N/A,FALSE,"4WD"}</definedName>
    <definedName name="__________________A4" hidden="1">{#N/A,#N/A,FALSE,"KMC최종회의(7월) 자료"}</definedName>
    <definedName name="__________________A5" hidden="1">{#N/A,#N/A,FALSE,"KMC최종회의(7월) 자료"}</definedName>
    <definedName name="__________________A6" hidden="1">{#N/A,#N/A,FALSE,"KMC최종회의(7월) 자료"}</definedName>
    <definedName name="__________________A7" hidden="1">{#N/A,#N/A,FALSE,"KMC최종회의(7월) 자료"}</definedName>
    <definedName name="__________________A8" hidden="1">{#N/A,#N/A,FALSE,"KMC최종회의(7월) 자료"}</definedName>
    <definedName name="__________________A9" hidden="1">{#N/A,#N/A,FALSE,"KMC최종회의(7월) 자료"}</definedName>
    <definedName name="__________________DR1" hidden="1">{#N/A,#N/A,FALSE,"업체선정";#N/A,#N/A,FALSE,"업체선정sheet";#N/A,#N/A,FALSE,"업체실태";#N/A,#N/A,FALSE,"업체실태(1)";#N/A,#N/A,FALSE,"종업원현황(2)";#N/A,#N/A,FALSE,"생산품목(3)";#N/A,#N/A,FALSE,"장비보유현황";#N/A,#N/A,FALSE,"차량및약도";#N/A,#N/A,FALSE,"금형LIST"}</definedName>
    <definedName name="__________________E1" hidden="1">{#N/A,#N/A,FALSE,"KMC최종회의(7월) 자료"}</definedName>
    <definedName name="__________________E2" hidden="1">{#N/A,#N/A,FALSE,"KMC최종회의(7월) 자료"}</definedName>
    <definedName name="__________________Q1" hidden="1">{#N/A,#N/A,FALSE,"KMC최종회의(7월) 자료"}</definedName>
    <definedName name="__________________Q2" hidden="1">{#N/A,#N/A,FALSE,"KMC최종회의(7월) 자료"}</definedName>
    <definedName name="__________________Q3" hidden="1">{#N/A,#N/A,FALSE,"KMC최종회의(7월) 자료"}</definedName>
    <definedName name="__________________Q5" hidden="1">{#N/A,#N/A,FALSE,"KMC최종회의(7월) 자료"}</definedName>
    <definedName name="__________________Q7" hidden="1">{#N/A,#N/A,FALSE,"KMC최종회의(7월) 자료"}</definedName>
    <definedName name="__________________Q8" hidden="1">{#N/A,#N/A,FALSE,"KMC최종회의(7월) 자료"}</definedName>
    <definedName name="__________________Q9" hidden="1">{#N/A,#N/A,FALSE,"KMC최종회의(7월) 자료"}</definedName>
    <definedName name="__________________S1" hidden="1">{#N/A,#N/A,FALSE,"KMC최종회의(7월) 자료"}</definedName>
    <definedName name="__________________S2" hidden="1">{#N/A,#N/A,FALSE,"KMC최종회의(7월) 자료"}</definedName>
    <definedName name="__________________S3" hidden="1">{#N/A,#N/A,FALSE,"KMC최종회의(7월) 자료"}</definedName>
    <definedName name="__________________S4" hidden="1">{#N/A,#N/A,FALSE,"KMC최종회의(7월) 자료"}</definedName>
    <definedName name="__________________S5" hidden="1">{#N/A,#N/A,FALSE,"KMC최종회의(7월) 자료"}</definedName>
    <definedName name="__________________S6" hidden="1">{#N/A,#N/A,FALSE,"KMC최종회의(7월) 자료"}</definedName>
    <definedName name="__________________S7" hidden="1">{#N/A,#N/A,FALSE,"KMC최종회의(7월) 자료"}</definedName>
    <definedName name="__________________S8" hidden="1">{#N/A,#N/A,FALSE,"KMC최종회의(7월) 자료"}</definedName>
    <definedName name="__________________W1" hidden="1">{#N/A,#N/A,FALSE,"KMC최종회의(7월) 자료"}</definedName>
    <definedName name="__________________W2" hidden="1">{#N/A,#N/A,FALSE,"KMC최종회의(7월) 자료"}</definedName>
    <definedName name="__________________W3" hidden="1">{#N/A,#N/A,FALSE,"KMC최종회의(7월) 자료"}</definedName>
    <definedName name="__________________W4" hidden="1">{#N/A,#N/A,FALSE,"KMC최종회의(7월) 자료"}</definedName>
    <definedName name="__________________W5" hidden="1">{#N/A,#N/A,FALSE,"KMC최종회의(7월) 자료"}</definedName>
    <definedName name="__________________W6" hidden="1">{#N/A,#N/A,FALSE,"KMC최종회의(7월) 자료"}</definedName>
    <definedName name="__________________W7" hidden="1">{#N/A,#N/A,FALSE,"KMC최종회의(7월) 자료"}</definedName>
    <definedName name="__________________W8" hidden="1">{#N/A,#N/A,FALSE,"KMC최종회의(7월) 자료"}</definedName>
    <definedName name="__________________W9" hidden="1">{#N/A,#N/A,FALSE,"KMC최종회의(7월) 자료"}</definedName>
    <definedName name="__________________X1" hidden="1">{#N/A,#N/A,FALSE,"KMC최종회의(7월) 자료"}</definedName>
    <definedName name="__________________X2" hidden="1">{#N/A,#N/A,FALSE,"KMC최종회의(7월) 자료"}</definedName>
    <definedName name="__________________X3" hidden="1">{#N/A,#N/A,FALSE,"KMC최종회의(7월) 자료"}</definedName>
    <definedName name="__________________X4" hidden="1">{#N/A,#N/A,FALSE,"KMC최종회의(7월) 자료"}</definedName>
    <definedName name="__________________X5" hidden="1">{#N/A,#N/A,FALSE,"KMC최종회의(7월) 자료"}</definedName>
    <definedName name="__________________X6" hidden="1">{#N/A,#N/A,FALSE,"KMC최종회의(7월) 자료"}</definedName>
    <definedName name="__________________X7" hidden="1">{#N/A,#N/A,FALSE,"KMC최종회의(7월) 자료"}</definedName>
    <definedName name="__________________X8" hidden="1">{#N/A,#N/A,FALSE,"KMC최종회의(7월) 자료"}</definedName>
    <definedName name="__________________Z1" hidden="1">{#N/A,#N/A,FALSE,"KMC최종회의(7월) 자료"}</definedName>
    <definedName name="__________________Z2" hidden="1">{#N/A,#N/A,FALSE,"KMC최종회의(7월) 자료"}</definedName>
    <definedName name="__________________Z3" hidden="1">{#N/A,#N/A,FALSE,"KMC최종회의(7월) 자료"}</definedName>
    <definedName name="__________________Z4" hidden="1">{#N/A,#N/A,FALSE,"KMC최종회의(7월) 자료"}</definedName>
    <definedName name="__________________Z5" hidden="1">{#N/A,#N/A,FALSE,"KMC최종회의(7월) 자료"}</definedName>
    <definedName name="__________________Z6" hidden="1">{#N/A,#N/A,FALSE,"KMC최종회의(7월) 자료"}</definedName>
    <definedName name="__________________Z7" hidden="1">{#N/A,#N/A,FALSE,"KMC최종회의(7월) 자료"}</definedName>
    <definedName name="__________________Z8" hidden="1">{#N/A,#N/A,FALSE,"KMC최종회의(7월) 자료"}</definedName>
    <definedName name="__________________Z9" hidden="1">{#N/A,#N/A,FALSE,"KMC최종회의(7월) 자료"}</definedName>
    <definedName name="_________________A3" hidden="1">{#N/A,#N/A,FALSE,"단축1";#N/A,#N/A,FALSE,"단축2";#N/A,#N/A,FALSE,"단축3";#N/A,#N/A,FALSE,"장축";#N/A,#N/A,FALSE,"4WD"}</definedName>
    <definedName name="_________________A5" hidden="1">{#N/A,#N/A,FALSE,"KMC최종회의(7월) 자료"}</definedName>
    <definedName name="_________________A6" hidden="1">{#N/A,#N/A,FALSE,"KMC최종회의(7월) 자료"}</definedName>
    <definedName name="_________________A7" hidden="1">{#N/A,#N/A,FALSE,"KMC최종회의(7월) 자료"}</definedName>
    <definedName name="_________________A8" hidden="1">{#N/A,#N/A,FALSE,"KMC최종회의(7월) 자료"}</definedName>
    <definedName name="_________________A9" hidden="1">{#N/A,#N/A,FALSE,"KMC최종회의(7월) 자료"}</definedName>
    <definedName name="_________________DR1" hidden="1">{#N/A,#N/A,FALSE,"업체선정";#N/A,#N/A,FALSE,"업체선정sheet";#N/A,#N/A,FALSE,"업체실태";#N/A,#N/A,FALSE,"업체실태(1)";#N/A,#N/A,FALSE,"종업원현황(2)";#N/A,#N/A,FALSE,"생산품목(3)";#N/A,#N/A,FALSE,"장비보유현황";#N/A,#N/A,FALSE,"차량및약도";#N/A,#N/A,FALSE,"금형LIST"}</definedName>
    <definedName name="_________________E1" hidden="1">{#N/A,#N/A,FALSE,"KMC최종회의(7월) 자료"}</definedName>
    <definedName name="_________________E2" hidden="1">{#N/A,#N/A,FALSE,"KMC최종회의(7월) 자료"}</definedName>
    <definedName name="_________________Q1" hidden="1">{#N/A,#N/A,FALSE,"KMC최종회의(7월) 자료"}</definedName>
    <definedName name="_________________Q2" hidden="1">{#N/A,#N/A,FALSE,"KMC최종회의(7월) 자료"}</definedName>
    <definedName name="_________________Q3" hidden="1">{#N/A,#N/A,FALSE,"KMC최종회의(7월) 자료"}</definedName>
    <definedName name="_________________Q5" hidden="1">{#N/A,#N/A,FALSE,"KMC최종회의(7월) 자료"}</definedName>
    <definedName name="_________________Q7" hidden="1">{#N/A,#N/A,FALSE,"KMC최종회의(7월) 자료"}</definedName>
    <definedName name="_________________Q8" hidden="1">{#N/A,#N/A,FALSE,"KMC최종회의(7월) 자료"}</definedName>
    <definedName name="_________________Q9" hidden="1">{#N/A,#N/A,FALSE,"KMC최종회의(7월) 자료"}</definedName>
    <definedName name="_________________S1" hidden="1">{#N/A,#N/A,FALSE,"KMC최종회의(7월) 자료"}</definedName>
    <definedName name="_________________S2" hidden="1">{#N/A,#N/A,FALSE,"KMC최종회의(7월) 자료"}</definedName>
    <definedName name="_________________S3" hidden="1">{#N/A,#N/A,FALSE,"KMC최종회의(7월) 자료"}</definedName>
    <definedName name="_________________S4" hidden="1">{#N/A,#N/A,FALSE,"KMC최종회의(7월) 자료"}</definedName>
    <definedName name="_________________S5" hidden="1">{#N/A,#N/A,FALSE,"KMC최종회의(7월) 자료"}</definedName>
    <definedName name="_________________S6" hidden="1">{#N/A,#N/A,FALSE,"KMC최종회의(7월) 자료"}</definedName>
    <definedName name="_________________S7" hidden="1">{#N/A,#N/A,FALSE,"KMC최종회의(7월) 자료"}</definedName>
    <definedName name="_________________S8" hidden="1">{#N/A,#N/A,FALSE,"KMC최종회의(7월) 자료"}</definedName>
    <definedName name="_________________W1" hidden="1">{#N/A,#N/A,FALSE,"KMC최종회의(7월) 자료"}</definedName>
    <definedName name="_________________W2" hidden="1">{#N/A,#N/A,FALSE,"KMC최종회의(7월) 자료"}</definedName>
    <definedName name="_________________W3" hidden="1">{#N/A,#N/A,FALSE,"KMC최종회의(7월) 자료"}</definedName>
    <definedName name="_________________W4" hidden="1">{#N/A,#N/A,FALSE,"KMC최종회의(7월) 자료"}</definedName>
    <definedName name="_________________W5" hidden="1">{#N/A,#N/A,FALSE,"KMC최종회의(7월) 자료"}</definedName>
    <definedName name="_________________W6" hidden="1">{#N/A,#N/A,FALSE,"KMC최종회의(7월) 자료"}</definedName>
    <definedName name="_________________W7" hidden="1">{#N/A,#N/A,FALSE,"KMC최종회의(7월) 자료"}</definedName>
    <definedName name="_________________W8" hidden="1">{#N/A,#N/A,FALSE,"KMC최종회의(7월) 자료"}</definedName>
    <definedName name="_________________W9" hidden="1">{#N/A,#N/A,FALSE,"KMC최종회의(7월) 자료"}</definedName>
    <definedName name="_________________X1" hidden="1">{#N/A,#N/A,FALSE,"KMC최종회의(7월) 자료"}</definedName>
    <definedName name="_________________X2" hidden="1">{#N/A,#N/A,FALSE,"KMC최종회의(7월) 자료"}</definedName>
    <definedName name="_________________X3" hidden="1">{#N/A,#N/A,FALSE,"KMC최종회의(7월) 자료"}</definedName>
    <definedName name="_________________X4" hidden="1">{#N/A,#N/A,FALSE,"KMC최종회의(7월) 자료"}</definedName>
    <definedName name="_________________X5" hidden="1">{#N/A,#N/A,FALSE,"KMC최종회의(7월) 자료"}</definedName>
    <definedName name="_________________X6" hidden="1">{#N/A,#N/A,FALSE,"KMC최종회의(7월) 자료"}</definedName>
    <definedName name="_________________X7" hidden="1">{#N/A,#N/A,FALSE,"KMC최종회의(7월) 자료"}</definedName>
    <definedName name="_________________X8" hidden="1">{#N/A,#N/A,FALSE,"KMC최종회의(7월) 자료"}</definedName>
    <definedName name="_________________Z1" hidden="1">{#N/A,#N/A,FALSE,"KMC최종회의(7월) 자료"}</definedName>
    <definedName name="_________________Z2" hidden="1">{#N/A,#N/A,FALSE,"KMC최종회의(7월) 자료"}</definedName>
    <definedName name="_________________Z3" hidden="1">{#N/A,#N/A,FALSE,"KMC최종회의(7월) 자료"}</definedName>
    <definedName name="_________________Z4" hidden="1">{#N/A,#N/A,FALSE,"KMC최종회의(7월) 자료"}</definedName>
    <definedName name="_________________Z5" hidden="1">{#N/A,#N/A,FALSE,"KMC최종회의(7월) 자료"}</definedName>
    <definedName name="_________________Z6" hidden="1">{#N/A,#N/A,FALSE,"KMC최종회의(7월) 자료"}</definedName>
    <definedName name="_________________Z7" hidden="1">{#N/A,#N/A,FALSE,"KMC최종회의(7월) 자료"}</definedName>
    <definedName name="_________________Z8" hidden="1">{#N/A,#N/A,FALSE,"KMC최종회의(7월) 자료"}</definedName>
    <definedName name="_________________Z9" hidden="1">{#N/A,#N/A,FALSE,"KMC최종회의(7월) 자료"}</definedName>
    <definedName name="________________A1" hidden="1">{#N/A,#N/A,FALSE,"KMC최종회의(7월) 자료"}</definedName>
    <definedName name="________________A2" hidden="1">{#N/A,#N/A,FALSE,"KMC최종회의(7월) 자료"}</definedName>
    <definedName name="________________A3" hidden="1">{#N/A,#N/A,FALSE,"단축1";#N/A,#N/A,FALSE,"단축2";#N/A,#N/A,FALSE,"단축3";#N/A,#N/A,FALSE,"장축";#N/A,#N/A,FALSE,"4WD"}</definedName>
    <definedName name="________________A4" hidden="1">{#N/A,#N/A,FALSE,"KMC최종회의(7월) 자료"}</definedName>
    <definedName name="________________A5" hidden="1">{#N/A,#N/A,FALSE,"KMC최종회의(7월) 자료"}</definedName>
    <definedName name="________________A6" hidden="1">{#N/A,#N/A,FALSE,"KMC최종회의(7월) 자료"}</definedName>
    <definedName name="________________A7" hidden="1">{#N/A,#N/A,FALSE,"KMC최종회의(7월) 자료"}</definedName>
    <definedName name="________________A8" hidden="1">{#N/A,#N/A,FALSE,"KMC최종회의(7월) 자료"}</definedName>
    <definedName name="________________A9" hidden="1">{#N/A,#N/A,FALSE,"KMC최종회의(7월) 자료"}</definedName>
    <definedName name="________________AS6" hidden="1">{#N/A,#N/A,FALSE,"Australien";#N/A,#N/A,FALSE,"Birmingham";#N/A,#N/A,FALSE,"Brasilien";#N/A,#N/A,FALSE,"Prag";#N/A,#N/A,FALSE,"Spanien";#N/A,#N/A,FALSE,"Malaysia ( Com)";#N/A,#N/A,FALSE,"Malaysia (Instr)"}</definedName>
    <definedName name="________________DB777" hidden="1">{#N/A,#N/A,TRUE,"Y생산";#N/A,#N/A,TRUE,"Y판매";#N/A,#N/A,TRUE,"Y총물량";#N/A,#N/A,TRUE,"Y능력";#N/A,#N/A,TRUE,"YKD"}</definedName>
    <definedName name="________________DR1" hidden="1">{#N/A,#N/A,FALSE,"업체선정";#N/A,#N/A,FALSE,"업체선정sheet";#N/A,#N/A,FALSE,"업체실태";#N/A,#N/A,FALSE,"업체실태(1)";#N/A,#N/A,FALSE,"종업원현황(2)";#N/A,#N/A,FALSE,"생산품목(3)";#N/A,#N/A,FALSE,"장비보유현황";#N/A,#N/A,FALSE,"차량및약도";#N/A,#N/A,FALSE,"금형LIST"}</definedName>
    <definedName name="________________E1" hidden="1">{#N/A,#N/A,FALSE,"KMC최종회의(7월) 자료"}</definedName>
    <definedName name="________________E2" hidden="1">{#N/A,#N/A,FALSE,"KMC최종회의(7월) 자료"}</definedName>
    <definedName name="________________EO2" hidden="1">{#N/A,#N/A,FALSE,"신규dep";#N/A,#N/A,FALSE,"신규dep-금형상각후";#N/A,#N/A,FALSE,"신규dep-연구비상각후";#N/A,#N/A,FALSE,"신규dep-기계,공구상각후"}</definedName>
    <definedName name="________________FG1" hidden="1">{#N/A,#N/A,FALSE,"단축1";#N/A,#N/A,FALSE,"단축2";#N/A,#N/A,FALSE,"단축3";#N/A,#N/A,FALSE,"장축";#N/A,#N/A,FALSE,"4WD"}</definedName>
    <definedName name="________________HP02" hidden="1">{#N/A,#N/A,FALSE,"단축1";#N/A,#N/A,FALSE,"단축2";#N/A,#N/A,FALSE,"단축3";#N/A,#N/A,FALSE,"장축";#N/A,#N/A,FALSE,"4WD"}</definedName>
    <definedName name="________________HP2" hidden="1">{#N/A,#N/A,FALSE,"단축1";#N/A,#N/A,FALSE,"단축2";#N/A,#N/A,FALSE,"단축3";#N/A,#N/A,FALSE,"장축";#N/A,#N/A,FALSE,"4WD"}</definedName>
    <definedName name="________________Q1" hidden="1">{#N/A,#N/A,FALSE,"KMC최종회의(7월) 자료"}</definedName>
    <definedName name="________________Q2" hidden="1">{#N/A,#N/A,FALSE,"KMC최종회의(7월) 자료"}</definedName>
    <definedName name="________________Q3" hidden="1">{#N/A,#N/A,FALSE,"KMC최종회의(7월) 자료"}</definedName>
    <definedName name="________________Q5" hidden="1">{#N/A,#N/A,FALSE,"KMC최종회의(7월) 자료"}</definedName>
    <definedName name="________________Q7" hidden="1">{#N/A,#N/A,FALSE,"KMC최종회의(7월) 자료"}</definedName>
    <definedName name="________________Q8" hidden="1">{#N/A,#N/A,FALSE,"KMC최종회의(7월) 자료"}</definedName>
    <definedName name="________________Q9" hidden="1">{#N/A,#N/A,FALSE,"KMC최종회의(7월) 자료"}</definedName>
    <definedName name="________________S1" hidden="1">{#N/A,#N/A,FALSE,"KMC최종회의(7월) 자료"}</definedName>
    <definedName name="________________S2" hidden="1">{#N/A,#N/A,FALSE,"KMC최종회의(7월) 자료"}</definedName>
    <definedName name="________________S3" hidden="1">{#N/A,#N/A,FALSE,"KMC최종회의(7월) 자료"}</definedName>
    <definedName name="________________S4" hidden="1">{#N/A,#N/A,FALSE,"KMC최종회의(7월) 자료"}</definedName>
    <definedName name="________________S5" hidden="1">{#N/A,#N/A,FALSE,"KMC최종회의(7월) 자료"}</definedName>
    <definedName name="________________S6" hidden="1">{#N/A,#N/A,FALSE,"KMC최종회의(7월) 자료"}</definedName>
    <definedName name="________________S7" hidden="1">{#N/A,#N/A,FALSE,"KMC최종회의(7월) 자료"}</definedName>
    <definedName name="________________S8" hidden="1">{#N/A,#N/A,FALSE,"KMC최종회의(7월) 자료"}</definedName>
    <definedName name="________________SDW1" hidden="1">#N/A</definedName>
    <definedName name="________________T2" hidden="1">{#N/A,#N/A,FALSE,"단축1";#N/A,#N/A,FALSE,"단축2";#N/A,#N/A,FALSE,"단축3";#N/A,#N/A,FALSE,"장축";#N/A,#N/A,FALSE,"4WD"}</definedName>
    <definedName name="________________W1" hidden="1">{#N/A,#N/A,FALSE,"KMC최종회의(7월) 자료"}</definedName>
    <definedName name="________________W2" hidden="1">{#N/A,#N/A,FALSE,"KMC최종회의(7월) 자료"}</definedName>
    <definedName name="________________W3" hidden="1">{#N/A,#N/A,FALSE,"KMC최종회의(7월) 자료"}</definedName>
    <definedName name="________________W4" hidden="1">{#N/A,#N/A,FALSE,"KMC최종회의(7월) 자료"}</definedName>
    <definedName name="________________W5" hidden="1">{#N/A,#N/A,FALSE,"KMC최종회의(7월) 자료"}</definedName>
    <definedName name="________________W6" hidden="1">{#N/A,#N/A,FALSE,"KMC최종회의(7월) 자료"}</definedName>
    <definedName name="________________W7" hidden="1">{#N/A,#N/A,FALSE,"KMC최종회의(7월) 자료"}</definedName>
    <definedName name="________________W8" hidden="1">{#N/A,#N/A,FALSE,"KMC최종회의(7월) 자료"}</definedName>
    <definedName name="________________W9" hidden="1">{#N/A,#N/A,FALSE,"KMC최종회의(7월) 자료"}</definedName>
    <definedName name="________________X1" hidden="1">{#N/A,#N/A,FALSE,"KMC최종회의(7월) 자료"}</definedName>
    <definedName name="________________X2" hidden="1">{#N/A,#N/A,FALSE,"KMC최종회의(7월) 자료"}</definedName>
    <definedName name="________________X3" hidden="1">{#N/A,#N/A,FALSE,"KMC최종회의(7월) 자료"}</definedName>
    <definedName name="________________X4" hidden="1">{#N/A,#N/A,FALSE,"KMC최종회의(7월) 자료"}</definedName>
    <definedName name="________________X5" hidden="1">{#N/A,#N/A,FALSE,"KMC최종회의(7월) 자료"}</definedName>
    <definedName name="________________X6" hidden="1">{#N/A,#N/A,FALSE,"KMC최종회의(7월) 자료"}</definedName>
    <definedName name="________________X7" hidden="1">{#N/A,#N/A,FALSE,"KMC최종회의(7월) 자료"}</definedName>
    <definedName name="________________X8" hidden="1">{#N/A,#N/A,FALSE,"KMC최종회의(7월) 자료"}</definedName>
    <definedName name="________________XG2" hidden="1">{#N/A,#N/A,FALSE,"단축1";#N/A,#N/A,FALSE,"단축2";#N/A,#N/A,FALSE,"단축3";#N/A,#N/A,FALSE,"장축";#N/A,#N/A,FALSE,"4WD"}</definedName>
    <definedName name="________________Z1" hidden="1">{#N/A,#N/A,FALSE,"KMC최종회의(7월) 자료"}</definedName>
    <definedName name="________________Z2" hidden="1">{#N/A,#N/A,FALSE,"KMC최종회의(7월) 자료"}</definedName>
    <definedName name="________________Z3" hidden="1">{#N/A,#N/A,FALSE,"KMC최종회의(7월) 자료"}</definedName>
    <definedName name="________________Z4" hidden="1">{#N/A,#N/A,FALSE,"KMC최종회의(7월) 자료"}</definedName>
    <definedName name="________________Z5" hidden="1">{#N/A,#N/A,FALSE,"KMC최종회의(7월) 자료"}</definedName>
    <definedName name="________________Z6" hidden="1">{#N/A,#N/A,FALSE,"KMC최종회의(7월) 자료"}</definedName>
    <definedName name="________________Z7" hidden="1">{#N/A,#N/A,FALSE,"KMC최종회의(7월) 자료"}</definedName>
    <definedName name="________________Z8" hidden="1">{#N/A,#N/A,FALSE,"KMC최종회의(7월) 자료"}</definedName>
    <definedName name="________________Z9" hidden="1">{#N/A,#N/A,FALSE,"KMC최종회의(7월) 자료"}</definedName>
    <definedName name="_______________A1" hidden="1">{#N/A,#N/A,FALSE,"KMC최종회의(7월) 자료"}</definedName>
    <definedName name="_______________A2" hidden="1">{#N/A,#N/A,FALSE,"KMC최종회의(7월) 자료"}</definedName>
    <definedName name="_______________A3" hidden="1">{#N/A,#N/A,FALSE,"단축1";#N/A,#N/A,FALSE,"단축2";#N/A,#N/A,FALSE,"단축3";#N/A,#N/A,FALSE,"장축";#N/A,#N/A,FALSE,"4WD"}</definedName>
    <definedName name="_______________A4" hidden="1">{#N/A,#N/A,FALSE,"KMC최종회의(7월) 자료"}</definedName>
    <definedName name="_______________A5" hidden="1">{#N/A,#N/A,FALSE,"KMC최종회의(7월) 자료"}</definedName>
    <definedName name="_______________A6" hidden="1">{#N/A,#N/A,FALSE,"KMC최종회의(7월) 자료"}</definedName>
    <definedName name="_______________A7" hidden="1">{#N/A,#N/A,FALSE,"KMC최종회의(7월) 자료"}</definedName>
    <definedName name="_______________A8" hidden="1">{#N/A,#N/A,FALSE,"KMC최종회의(7월) 자료"}</definedName>
    <definedName name="_______________A9" hidden="1">{#N/A,#N/A,FALSE,"KMC최종회의(7월) 자료"}</definedName>
    <definedName name="_______________AS6" hidden="1">{#N/A,#N/A,FALSE,"Australien";#N/A,#N/A,FALSE,"Birmingham";#N/A,#N/A,FALSE,"Brasilien";#N/A,#N/A,FALSE,"Prag";#N/A,#N/A,FALSE,"Spanien";#N/A,#N/A,FALSE,"Malaysia ( Com)";#N/A,#N/A,FALSE,"Malaysia (Instr)"}</definedName>
    <definedName name="_______________CL22" hidden="1">{#N/A,#N/A,FALSE,"KMC최종회의(7월) 자료"}</definedName>
    <definedName name="_______________CL222" hidden="1">{#N/A,#N/A,FALSE,"KMC최종회의(7월) 자료"}</definedName>
    <definedName name="_______________CL33" hidden="1">{#N/A,#N/A,FALSE,"KMC최종회의(7월) 자료"}</definedName>
    <definedName name="_______________CVJ1" hidden="1">{#N/A,#N/A,FALSE,"KMC최종회의(7월) 자료"}</definedName>
    <definedName name="_______________DB777" hidden="1">{#N/A,#N/A,TRUE,"Y생산";#N/A,#N/A,TRUE,"Y판매";#N/A,#N/A,TRUE,"Y총물량";#N/A,#N/A,TRUE,"Y능력";#N/A,#N/A,TRUE,"YKD"}</definedName>
    <definedName name="_______________DR1" hidden="1">{#N/A,#N/A,FALSE,"업체선정";#N/A,#N/A,FALSE,"업체선정sheet";#N/A,#N/A,FALSE,"업체실태";#N/A,#N/A,FALSE,"업체실태(1)";#N/A,#N/A,FALSE,"종업원현황(2)";#N/A,#N/A,FALSE,"생산품목(3)";#N/A,#N/A,FALSE,"장비보유현황";#N/A,#N/A,FALSE,"차량및약도";#N/A,#N/A,FALSE,"금형LIST"}</definedName>
    <definedName name="_______________E1" hidden="1">{#N/A,#N/A,FALSE,"KMC최종회의(7월) 자료"}</definedName>
    <definedName name="_______________E2" hidden="1">{#N/A,#N/A,FALSE,"KMC최종회의(7월) 자료"}</definedName>
    <definedName name="_______________EO2" hidden="1">{#N/A,#N/A,FALSE,"신규dep";#N/A,#N/A,FALSE,"신규dep-금형상각후";#N/A,#N/A,FALSE,"신규dep-연구비상각후";#N/A,#N/A,FALSE,"신규dep-기계,공구상각후"}</definedName>
    <definedName name="_______________FG1" hidden="1">{#N/A,#N/A,FALSE,"단축1";#N/A,#N/A,FALSE,"단축2";#N/A,#N/A,FALSE,"단축3";#N/A,#N/A,FALSE,"장축";#N/A,#N/A,FALSE,"4WD"}</definedName>
    <definedName name="_______________HL1" hidden="1">{#N/A,#N/A,FALSE,"단축1";#N/A,#N/A,FALSE,"단축2";#N/A,#N/A,FALSE,"단축3";#N/A,#N/A,FALSE,"장축";#N/A,#N/A,FALSE,"4WD"}</definedName>
    <definedName name="_______________HL2" hidden="1">{#N/A,#N/A,FALSE,"단축1";#N/A,#N/A,FALSE,"단축2";#N/A,#N/A,FALSE,"단축3";#N/A,#N/A,FALSE,"장축";#N/A,#N/A,FALSE,"4WD"}</definedName>
    <definedName name="_______________HL3" hidden="1">{#N/A,#N/A,TRUE,"Y생산";#N/A,#N/A,TRUE,"Y판매";#N/A,#N/A,TRUE,"Y총물량";#N/A,#N/A,TRUE,"Y능력";#N/A,#N/A,TRUE,"YKD"}</definedName>
    <definedName name="_______________HP02" hidden="1">{#N/A,#N/A,FALSE,"단축1";#N/A,#N/A,FALSE,"단축2";#N/A,#N/A,FALSE,"단축3";#N/A,#N/A,FALSE,"장축";#N/A,#N/A,FALSE,"4WD"}</definedName>
    <definedName name="_______________HP2" hidden="1">{#N/A,#N/A,FALSE,"단축1";#N/A,#N/A,FALSE,"단축2";#N/A,#N/A,FALSE,"단축3";#N/A,#N/A,FALSE,"장축";#N/A,#N/A,FALSE,"4WD"}</definedName>
    <definedName name="_______________LH1" hidden="1">{"'7보유'!$A$1:$F$44"}</definedName>
    <definedName name="_______________LH2" hidden="1">{"'7보유'!$A$1:$F$44"}</definedName>
    <definedName name="_______________Q1" hidden="1">{#N/A,#N/A,FALSE,"KMC최종회의(7월) 자료"}</definedName>
    <definedName name="_______________Q2" hidden="1">{#N/A,#N/A,FALSE,"KMC최종회의(7월) 자료"}</definedName>
    <definedName name="_______________Q3" hidden="1">{#N/A,#N/A,FALSE,"KMC최종회의(7월) 자료"}</definedName>
    <definedName name="_______________Q5" hidden="1">{#N/A,#N/A,FALSE,"KMC최종회의(7월) 자료"}</definedName>
    <definedName name="_______________Q543421" hidden="1">{"'7-2지역별'!$A$1:$R$44"}</definedName>
    <definedName name="_______________Q7" hidden="1">{#N/A,#N/A,FALSE,"KMC최종회의(7월) 자료"}</definedName>
    <definedName name="_______________Q75655" hidden="1">{"'7-2지역별'!$A$1:$R$44"}</definedName>
    <definedName name="_______________Q8" hidden="1">{#N/A,#N/A,FALSE,"KMC최종회의(7월) 자료"}</definedName>
    <definedName name="_______________Q9" hidden="1">{#N/A,#N/A,FALSE,"KMC최종회의(7월) 자료"}</definedName>
    <definedName name="_______________S1" hidden="1">{#N/A,#N/A,FALSE,"KMC최종회의(7월) 자료"}</definedName>
    <definedName name="_______________S2" hidden="1">{#N/A,#N/A,FALSE,"KMC최종회의(7월) 자료"}</definedName>
    <definedName name="_______________S3" hidden="1">{#N/A,#N/A,FALSE,"KMC최종회의(7월) 자료"}</definedName>
    <definedName name="_______________S4" hidden="1">{#N/A,#N/A,FALSE,"KMC최종회의(7월) 자료"}</definedName>
    <definedName name="_______________S5" hidden="1">{#N/A,#N/A,FALSE,"KMC최종회의(7월) 자료"}</definedName>
    <definedName name="_______________S6" hidden="1">{#N/A,#N/A,FALSE,"KMC최종회의(7월) 자료"}</definedName>
    <definedName name="_______________S7" hidden="1">{#N/A,#N/A,FALSE,"KMC최종회의(7월) 자료"}</definedName>
    <definedName name="_______________S8" hidden="1">{#N/A,#N/A,FALSE,"KMC최종회의(7월) 자료"}</definedName>
    <definedName name="_______________SD323" hidden="1">{"'7-2지역별'!$A$1:$R$44"}</definedName>
    <definedName name="_______________SDW1" hidden="1">#REF!</definedName>
    <definedName name="_______________SMM1" hidden="1">{"'7보유'!$A$1:$F$44"}</definedName>
    <definedName name="_______________SMM2" hidden="1">{"'7보유'!$A$1:$F$44"}</definedName>
    <definedName name="_______________T2" hidden="1">{#N/A,#N/A,FALSE,"단축1";#N/A,#N/A,FALSE,"단축2";#N/A,#N/A,FALSE,"단축3";#N/A,#N/A,FALSE,"장축";#N/A,#N/A,FALSE,"4WD"}</definedName>
    <definedName name="_______________W1" hidden="1">{#N/A,#N/A,FALSE,"KMC최종회의(7월) 자료"}</definedName>
    <definedName name="_______________W2" hidden="1">{#N/A,#N/A,FALSE,"KMC최종회의(7월) 자료"}</definedName>
    <definedName name="_______________W3" hidden="1">{#N/A,#N/A,FALSE,"KMC최종회의(7월) 자료"}</definedName>
    <definedName name="_______________W4" hidden="1">{#N/A,#N/A,FALSE,"KMC최종회의(7월) 자료"}</definedName>
    <definedName name="_______________W5" hidden="1">{#N/A,#N/A,FALSE,"KMC최종회의(7월) 자료"}</definedName>
    <definedName name="_______________W6" hidden="1">{#N/A,#N/A,FALSE,"KMC최종회의(7월) 자료"}</definedName>
    <definedName name="_______________W7" hidden="1">{#N/A,#N/A,FALSE,"KMC최종회의(7월) 자료"}</definedName>
    <definedName name="_______________W8" hidden="1">{#N/A,#N/A,FALSE,"KMC최종회의(7월) 자료"}</definedName>
    <definedName name="_______________W9" hidden="1">{#N/A,#N/A,FALSE,"KMC최종회의(7월) 자료"}</definedName>
    <definedName name="_______________X1" hidden="1">{#N/A,#N/A,FALSE,"KMC최종회의(7월) 자료"}</definedName>
    <definedName name="_______________X2" hidden="1">{#N/A,#N/A,FALSE,"KMC최종회의(7월) 자료"}</definedName>
    <definedName name="_______________X3" hidden="1">{#N/A,#N/A,FALSE,"KMC최종회의(7월) 자료"}</definedName>
    <definedName name="_______________X4" hidden="1">{#N/A,#N/A,FALSE,"KMC최종회의(7월) 자료"}</definedName>
    <definedName name="_______________X5" hidden="1">{#N/A,#N/A,FALSE,"KMC최종회의(7월) 자료"}</definedName>
    <definedName name="_______________X6" hidden="1">{#N/A,#N/A,FALSE,"KMC최종회의(7월) 자료"}</definedName>
    <definedName name="_______________X7" hidden="1">{#N/A,#N/A,FALSE,"KMC최종회의(7월) 자료"}</definedName>
    <definedName name="_______________X8" hidden="1">{#N/A,#N/A,FALSE,"KMC최종회의(7월) 자료"}</definedName>
    <definedName name="_______________XG2" hidden="1">{#N/A,#N/A,FALSE,"단축1";#N/A,#N/A,FALSE,"단축2";#N/A,#N/A,FALSE,"단축3";#N/A,#N/A,FALSE,"장축";#N/A,#N/A,FALSE,"4WD"}</definedName>
    <definedName name="_______________Z1" hidden="1">{#N/A,#N/A,FALSE,"KMC최종회의(7월) 자료"}</definedName>
    <definedName name="_______________Z2" hidden="1">{#N/A,#N/A,FALSE,"KMC최종회의(7월) 자료"}</definedName>
    <definedName name="_______________Z3" hidden="1">{#N/A,#N/A,FALSE,"KMC최종회의(7월) 자료"}</definedName>
    <definedName name="_______________Z4" hidden="1">{#N/A,#N/A,FALSE,"KMC최종회의(7월) 자료"}</definedName>
    <definedName name="_______________Z5" hidden="1">{#N/A,#N/A,FALSE,"KMC최종회의(7월) 자료"}</definedName>
    <definedName name="_______________Z6" hidden="1">{#N/A,#N/A,FALSE,"KMC최종회의(7월) 자료"}</definedName>
    <definedName name="_______________Z7" hidden="1">{#N/A,#N/A,FALSE,"KMC최종회의(7월) 자료"}</definedName>
    <definedName name="_______________Z8" hidden="1">{#N/A,#N/A,FALSE,"KMC최종회의(7월) 자료"}</definedName>
    <definedName name="_______________Z9" hidden="1">{#N/A,#N/A,FALSE,"KMC최종회의(7월) 자료"}</definedName>
    <definedName name="______________A1" hidden="1">{#N/A,#N/A,FALSE,"KMC최종회의(7월) 자료"}</definedName>
    <definedName name="______________A2" hidden="1">{#N/A,#N/A,FALSE,"KMC최종회의(7월) 자료"}</definedName>
    <definedName name="______________A3" hidden="1">{#N/A,#N/A,FALSE,"KMC최종회의(7월) 자료"}</definedName>
    <definedName name="______________A4" hidden="1">{#N/A,#N/A,FALSE,"KMC최종회의(7월) 자료"}</definedName>
    <definedName name="______________A5" hidden="1">{#N/A,#N/A,FALSE,"KMC최종회의(7월) 자료"}</definedName>
    <definedName name="______________A6" hidden="1">{#N/A,#N/A,FALSE,"KMC최종회의(7월) 자료"}</definedName>
    <definedName name="______________A7" hidden="1">{#N/A,#N/A,FALSE,"KMC최종회의(7월) 자료"}</definedName>
    <definedName name="______________A8" hidden="1">{#N/A,#N/A,FALSE,"KMC최종회의(7월) 자료"}</definedName>
    <definedName name="______________A9" hidden="1">{#N/A,#N/A,FALSE,"KMC최종회의(7월) 자료"}</definedName>
    <definedName name="______________AAA111" hidden="1">{#N/A,#N/A,FALSE,"신규dep";#N/A,#N/A,FALSE,"신규dep-금형상각후";#N/A,#N/A,FALSE,"신규dep-연구비상각후";#N/A,#N/A,FALSE,"신규dep-기계,공구상각후"}</definedName>
    <definedName name="______________DB777" hidden="1">{#N/A,#N/A,TRUE,"Y생산";#N/A,#N/A,TRUE,"Y판매";#N/A,#N/A,TRUE,"Y총물량";#N/A,#N/A,TRUE,"Y능력";#N/A,#N/A,TRUE,"YKD"}</definedName>
    <definedName name="______________DE33" hidden="1">{"'7-2지역별'!$A$1:$R$44"}</definedName>
    <definedName name="______________DR1" hidden="1">{#N/A,#N/A,FALSE,"업체선정";#N/A,#N/A,FALSE,"업체선정sheet";#N/A,#N/A,FALSE,"업체실태";#N/A,#N/A,FALSE,"업체실태(1)";#N/A,#N/A,FALSE,"종업원현황(2)";#N/A,#N/A,FALSE,"생산품목(3)";#N/A,#N/A,FALSE,"장비보유현황";#N/A,#N/A,FALSE,"차량및약도";#N/A,#N/A,FALSE,"금형LIST"}</definedName>
    <definedName name="______________E1" hidden="1">{#N/A,#N/A,FALSE,"KMC최종회의(7월) 자료"}</definedName>
    <definedName name="______________E2" hidden="1">{#N/A,#N/A,FALSE,"KMC최종회의(7월) 자료"}</definedName>
    <definedName name="______________E45" hidden="1">{"'7-2지역별'!$A$1:$R$44"}</definedName>
    <definedName name="______________EO2" hidden="1">{#N/A,#N/A,FALSE,"신규dep";#N/A,#N/A,FALSE,"신규dep-금형상각후";#N/A,#N/A,FALSE,"신규dep-연구비상각후";#N/A,#N/A,FALSE,"신규dep-기계,공구상각후"}</definedName>
    <definedName name="______________EWA1" hidden="1">{#N/A,#N/A,FALSE,"초도품";#N/A,#N/A,FALSE,"초도품 (2)";#N/A,#N/A,FALSE,"초도품 (3)";#N/A,#N/A,FALSE,"초도품 (4)";#N/A,#N/A,FALSE,"초도품 (5)";#N/A,#N/A,FALSE,"초도품 (6)"}</definedName>
    <definedName name="______________FG1" hidden="1">{#N/A,#N/A,FALSE,"단축1";#N/A,#N/A,FALSE,"단축2";#N/A,#N/A,FALSE,"단축3";#N/A,#N/A,FALSE,"장축";#N/A,#N/A,FALSE,"4WD"}</definedName>
    <definedName name="______________h2" hidden="1">{"'7-2지역별'!$A$1:$R$44"}</definedName>
    <definedName name="______________h3" hidden="1">{"'7-2지역별'!$A$1:$R$44"}</definedName>
    <definedName name="______________h4" hidden="1">{"'7-2지역별'!$A$1:$R$44"}</definedName>
    <definedName name="______________h5" hidden="1">{"'7-2지역별'!$A$1:$R$44"}</definedName>
    <definedName name="______________HL1" hidden="1">{#N/A,#N/A,FALSE,"단축1";#N/A,#N/A,FALSE,"단축2";#N/A,#N/A,FALSE,"단축3";#N/A,#N/A,FALSE,"장축";#N/A,#N/A,FALSE,"4WD"}</definedName>
    <definedName name="______________HL2" hidden="1">{#N/A,#N/A,FALSE,"단축1";#N/A,#N/A,FALSE,"단축2";#N/A,#N/A,FALSE,"단축3";#N/A,#N/A,FALSE,"장축";#N/A,#N/A,FALSE,"4WD"}</definedName>
    <definedName name="______________HL3" hidden="1">{#N/A,#N/A,TRUE,"Y생산";#N/A,#N/A,TRUE,"Y판매";#N/A,#N/A,TRUE,"Y총물량";#N/A,#N/A,TRUE,"Y능력";#N/A,#N/A,TRUE,"YKD"}</definedName>
    <definedName name="______________HP02" hidden="1">{#N/A,#N/A,FALSE,"단축1";#N/A,#N/A,FALSE,"단축2";#N/A,#N/A,FALSE,"단축3";#N/A,#N/A,FALSE,"장축";#N/A,#N/A,FALSE,"4WD"}</definedName>
    <definedName name="______________HP2" hidden="1">{#N/A,#N/A,FALSE,"단축1";#N/A,#N/A,FALSE,"단축2";#N/A,#N/A,FALSE,"단축3";#N/A,#N/A,FALSE,"장축";#N/A,#N/A,FALSE,"4WD"}</definedName>
    <definedName name="______________LH1" hidden="1">{"'7보유'!$A$1:$F$44"}</definedName>
    <definedName name="______________LH2" hidden="1">{"'7보유'!$A$1:$F$44"}</definedName>
    <definedName name="______________LPS2" hidden="1">{#N/A,#N/A,FALSE,"단축1";#N/A,#N/A,FALSE,"단축2";#N/A,#N/A,FALSE,"단축3";#N/A,#N/A,FALSE,"장축";#N/A,#N/A,FALSE,"4WD"}</definedName>
    <definedName name="______________PB004" hidden="1">{#N/A,#N/A,FALSE,"단축1";#N/A,#N/A,FALSE,"단축2";#N/A,#N/A,FALSE,"단축3";#N/A,#N/A,FALSE,"장축";#N/A,#N/A,FALSE,"4WD"}</definedName>
    <definedName name="______________Q098" hidden="1">{"'7-2지역별'!$A$1:$R$44"}</definedName>
    <definedName name="______________Q1" hidden="1">{#N/A,#N/A,FALSE,"KMC최종회의(7월) 자료"}</definedName>
    <definedName name="______________Q11" hidden="1">{"'7-2지역별'!$A$1:$R$44"}</definedName>
    <definedName name="______________Q11234" hidden="1">{"'7-2지역별'!$A$1:$R$44"}</definedName>
    <definedName name="______________Q12" hidden="1">{"'7-2지역별'!$A$1:$R$44"}</definedName>
    <definedName name="______________Q123" hidden="1">{"'7-2지역별'!$A$1:$R$44"}</definedName>
    <definedName name="______________Q1232" hidden="1">{"'7-2지역별'!$A$1:$R$44"}</definedName>
    <definedName name="______________Q1233" hidden="1">{"'7-2지역별'!$A$1:$R$44"}</definedName>
    <definedName name="______________Q2" hidden="1">{#N/A,#N/A,FALSE,"KMC최종회의(7월) 자료"}</definedName>
    <definedName name="______________Q2342" hidden="1">{"'7-2지역별'!$A$1:$R$44"}</definedName>
    <definedName name="______________Q3" hidden="1">{#N/A,#N/A,FALSE,"KMC최종회의(7월) 자료"}</definedName>
    <definedName name="______________Q343" hidden="1">{"'7-2지역별'!$A$1:$R$44"}</definedName>
    <definedName name="______________Q345" hidden="1">{"'7-2지역별'!$A$1:$R$44"}</definedName>
    <definedName name="______________Q423" hidden="1">{"'7-2지역별'!$A$1:$R$44"}</definedName>
    <definedName name="______________Q43456" hidden="1">{"'7-2지역별'!$A$1:$R$44"}</definedName>
    <definedName name="______________Q5" hidden="1">{#N/A,#N/A,FALSE,"KMC최종회의(7월) 자료"}</definedName>
    <definedName name="______________Q54" hidden="1">{"'7-2지역별'!$A$1:$R$44"}</definedName>
    <definedName name="______________Q543" hidden="1">{"'7-2지역별'!$A$1:$R$44"}</definedName>
    <definedName name="______________Q5434" hidden="1">{"'7-2지역별'!$A$1:$R$44"}</definedName>
    <definedName name="______________Q543421" hidden="1">{"'7-2지역별'!$A$1:$R$44"}</definedName>
    <definedName name="______________Q5555" hidden="1">{"'7-2지역별'!$A$1:$R$44"}</definedName>
    <definedName name="______________Q5678" hidden="1">{"'7-2지역별'!$A$1:$R$44"}</definedName>
    <definedName name="______________Q65465" hidden="1">{"'7-2지역별'!$A$1:$R$44"}</definedName>
    <definedName name="______________Q6765" hidden="1">{"'7-2지역별'!$A$1:$R$44"}</definedName>
    <definedName name="______________Q7" hidden="1">{#N/A,#N/A,FALSE,"KMC최종회의(7월) 자료"}</definedName>
    <definedName name="______________Q75655" hidden="1">{"'7-2지역별'!$A$1:$R$44"}</definedName>
    <definedName name="______________Q765" hidden="1">{"'7-2지역별'!$A$1:$R$44"}</definedName>
    <definedName name="______________Q7655" hidden="1">{"'7-2지역별'!$A$1:$R$44"}</definedName>
    <definedName name="______________Q7687" hidden="1">{"'7-2지역별'!$A$1:$R$44"}</definedName>
    <definedName name="______________Q8" hidden="1">{#N/A,#N/A,FALSE,"KMC최종회의(7월) 자료"}</definedName>
    <definedName name="______________Q876" hidden="1">{"'7-2지역별'!$A$1:$R$44"}</definedName>
    <definedName name="______________Q9" hidden="1">{#N/A,#N/A,FALSE,"KMC최종회의(7월) 자료"}</definedName>
    <definedName name="______________Q98" hidden="1">{"'7-2지역별'!$A$1:$R$44"}</definedName>
    <definedName name="______________RR2" hidden="1">{#N/A,#N/A,FALSE,"단축1";#N/A,#N/A,FALSE,"단축2";#N/A,#N/A,FALSE,"단축3";#N/A,#N/A,FALSE,"장축";#N/A,#N/A,FALSE,"4WD"}</definedName>
    <definedName name="______________S1" hidden="1">{#N/A,#N/A,FALSE,"KMC최종회의(7월) 자료"}</definedName>
    <definedName name="______________S2" hidden="1">{#N/A,#N/A,FALSE,"KMC최종회의(7월) 자료"}</definedName>
    <definedName name="______________S3" hidden="1">{#N/A,#N/A,FALSE,"KMC최종회의(7월) 자료"}</definedName>
    <definedName name="______________S4" hidden="1">{#N/A,#N/A,FALSE,"KMC최종회의(7월) 자료"}</definedName>
    <definedName name="______________S5" hidden="1">{#N/A,#N/A,FALSE,"KMC최종회의(7월) 자료"}</definedName>
    <definedName name="______________S6" hidden="1">{#N/A,#N/A,FALSE,"KMC최종회의(7월) 자료"}</definedName>
    <definedName name="______________S7" hidden="1">{#N/A,#N/A,FALSE,"KMC최종회의(7월) 자료"}</definedName>
    <definedName name="______________S8" hidden="1">{#N/A,#N/A,FALSE,"KMC최종회의(7월) 자료"}</definedName>
    <definedName name="______________SD323" hidden="1">{"'7-2지역별'!$A$1:$R$44"}</definedName>
    <definedName name="______________SDW1" hidden="1">#REF!</definedName>
    <definedName name="______________SMM1" hidden="1">{"'7보유'!$A$1:$F$44"}</definedName>
    <definedName name="______________SMM2" hidden="1">{"'7보유'!$A$1:$F$44"}</definedName>
    <definedName name="______________SUM1" hidden="1">{#N/A,#N/A,FALSE,"단축1";#N/A,#N/A,FALSE,"단축2";#N/A,#N/A,FALSE,"단축3";#N/A,#N/A,FALSE,"장축";#N/A,#N/A,FALSE,"4WD"}</definedName>
    <definedName name="______________T2" hidden="1">{#N/A,#N/A,FALSE,"단축1";#N/A,#N/A,FALSE,"단축2";#N/A,#N/A,FALSE,"단축3";#N/A,#N/A,FALSE,"장축";#N/A,#N/A,FALSE,"4WD"}</definedName>
    <definedName name="______________T3" hidden="1">{#N/A,#N/A,FALSE,"단축1";#N/A,#N/A,FALSE,"단축2";#N/A,#N/A,FALSE,"단축3";#N/A,#N/A,FALSE,"장축";#N/A,#N/A,FALSE,"4WD"}</definedName>
    <definedName name="______________t45445" hidden="1">{"'7-2지역별'!$A$1:$R$44"}</definedName>
    <definedName name="______________W1" hidden="1">{#N/A,#N/A,FALSE,"KMC최종회의(7월) 자료"}</definedName>
    <definedName name="______________W12324" hidden="1">{"'7-2지역별'!$A$1:$R$44"}</definedName>
    <definedName name="______________W2" hidden="1">{#N/A,#N/A,FALSE,"KMC최종회의(7월) 자료"}</definedName>
    <definedName name="______________W3" hidden="1">{#N/A,#N/A,FALSE,"KMC최종회의(7월) 자료"}</definedName>
    <definedName name="______________W322" hidden="1">{"'7-2지역별'!$A$1:$R$44"}</definedName>
    <definedName name="______________W4" hidden="1">{#N/A,#N/A,FALSE,"KMC최종회의(7월) 자료"}</definedName>
    <definedName name="______________W4454" hidden="1">{"'7-2지역별'!$A$1:$R$44"}</definedName>
    <definedName name="______________W5" hidden="1">{#N/A,#N/A,FALSE,"KMC최종회의(7월) 자료"}</definedName>
    <definedName name="______________W53" hidden="1">{"'7-2지역별'!$A$1:$R$44"}</definedName>
    <definedName name="______________W6" hidden="1">{#N/A,#N/A,FALSE,"KMC최종회의(7월) 자료"}</definedName>
    <definedName name="______________W7" hidden="1">{#N/A,#N/A,FALSE,"KMC최종회의(7월) 자료"}</definedName>
    <definedName name="______________W8" hidden="1">{#N/A,#N/A,FALSE,"KMC최종회의(7월) 자료"}</definedName>
    <definedName name="______________W9" hidden="1">{#N/A,#N/A,FALSE,"KMC최종회의(7월) 자료"}</definedName>
    <definedName name="______________X1" hidden="1">{#N/A,#N/A,FALSE,"KMC최종회의(7월) 자료"}</definedName>
    <definedName name="______________X2" hidden="1">{#N/A,#N/A,FALSE,"KMC최종회의(7월) 자료"}</definedName>
    <definedName name="______________X3" hidden="1">{#N/A,#N/A,FALSE,"KMC최종회의(7월) 자료"}</definedName>
    <definedName name="______________X4" hidden="1">{#N/A,#N/A,FALSE,"KMC최종회의(7월) 자료"}</definedName>
    <definedName name="______________X5" hidden="1">{#N/A,#N/A,FALSE,"KMC최종회의(7월) 자료"}</definedName>
    <definedName name="______________X6" hidden="1">{#N/A,#N/A,FALSE,"KMC최종회의(7월) 자료"}</definedName>
    <definedName name="______________X7" hidden="1">{#N/A,#N/A,FALSE,"KMC최종회의(7월) 자료"}</definedName>
    <definedName name="______________X8" hidden="1">{#N/A,#N/A,FALSE,"KMC최종회의(7월) 자료"}</definedName>
    <definedName name="______________y45546" hidden="1">{"'7-2지역별'!$A$1:$R$44"}</definedName>
    <definedName name="______________Z1" hidden="1">{#N/A,#N/A,FALSE,"KMC최종회의(7월) 자료"}</definedName>
    <definedName name="______________Z2" hidden="1">{#N/A,#N/A,FALSE,"KMC최종회의(7월) 자료"}</definedName>
    <definedName name="______________Z3" hidden="1">{#N/A,#N/A,FALSE,"KMC최종회의(7월) 자료"}</definedName>
    <definedName name="______________Z4" hidden="1">{#N/A,#N/A,FALSE,"KMC최종회의(7월) 자료"}</definedName>
    <definedName name="______________Z5" hidden="1">{#N/A,#N/A,FALSE,"KMC최종회의(7월) 자료"}</definedName>
    <definedName name="______________Z6" hidden="1">{#N/A,#N/A,FALSE,"KMC최종회의(7월) 자료"}</definedName>
    <definedName name="______________Z7" hidden="1">{#N/A,#N/A,FALSE,"KMC최종회의(7월) 자료"}</definedName>
    <definedName name="______________Z8" hidden="1">{#N/A,#N/A,FALSE,"KMC최종회의(7월) 자료"}</definedName>
    <definedName name="______________Z9" hidden="1">{#N/A,#N/A,FALSE,"KMC최종회의(7월) 자료"}</definedName>
    <definedName name="_____________A1" hidden="1">{#N/A,#N/A,FALSE,"KMC최종회의(7월) 자료"}</definedName>
    <definedName name="_____________A2" hidden="1">{#N/A,#N/A,FALSE,"KMC최종회의(7월) 자료"}</definedName>
    <definedName name="_____________A3" hidden="1">{#N/A,#N/A,FALSE,"단축1";#N/A,#N/A,FALSE,"단축2";#N/A,#N/A,FALSE,"단축3";#N/A,#N/A,FALSE,"장축";#N/A,#N/A,FALSE,"4WD"}</definedName>
    <definedName name="_____________A4" hidden="1">{#N/A,#N/A,FALSE,"KMC최종회의(7월) 자료"}</definedName>
    <definedName name="_____________A5" hidden="1">{#N/A,#N/A,FALSE,"KMC최종회의(7월) 자료"}</definedName>
    <definedName name="_____________A6" hidden="1">{#N/A,#N/A,FALSE,"KMC최종회의(7월) 자료"}</definedName>
    <definedName name="_____________A7" hidden="1">{#N/A,#N/A,FALSE,"KMC최종회의(7월) 자료"}</definedName>
    <definedName name="_____________A8" hidden="1">{#N/A,#N/A,FALSE,"KMC최종회의(7월) 자료"}</definedName>
    <definedName name="_____________A9" hidden="1">{#N/A,#N/A,FALSE,"KMC최종회의(7월) 자료"}</definedName>
    <definedName name="_____________AS6" hidden="1">{#N/A,#N/A,FALSE,"Australien";#N/A,#N/A,FALSE,"Birmingham";#N/A,#N/A,FALSE,"Brasilien";#N/A,#N/A,FALSE,"Prag";#N/A,#N/A,FALSE,"Spanien";#N/A,#N/A,FALSE,"Malaysia ( Com)";#N/A,#N/A,FALSE,"Malaysia (Instr)"}</definedName>
    <definedName name="_____________CL22" hidden="1">{#N/A,#N/A,FALSE,"KMC최종회의(7월) 자료"}</definedName>
    <definedName name="_____________CL222" hidden="1">{#N/A,#N/A,FALSE,"KMC최종회의(7월) 자료"}</definedName>
    <definedName name="_____________CL33" hidden="1">{#N/A,#N/A,FALSE,"KMC최종회의(7월) 자료"}</definedName>
    <definedName name="_____________CVJ1" hidden="1">{#N/A,#N/A,FALSE,"KMC최종회의(7월) 자료"}</definedName>
    <definedName name="_____________DB777" hidden="1">{#N/A,#N/A,TRUE,"Y생산";#N/A,#N/A,TRUE,"Y판매";#N/A,#N/A,TRUE,"Y총물량";#N/A,#N/A,TRUE,"Y능력";#N/A,#N/A,TRUE,"YKD"}</definedName>
    <definedName name="_____________DE33" hidden="1">{"'7-2지역별'!$A$1:$R$44"}</definedName>
    <definedName name="_____________DR1" hidden="1">{#N/A,#N/A,FALSE,"업체선정";#N/A,#N/A,FALSE,"업체선정sheet";#N/A,#N/A,FALSE,"업체실태";#N/A,#N/A,FALSE,"업체실태(1)";#N/A,#N/A,FALSE,"종업원현황(2)";#N/A,#N/A,FALSE,"생산품목(3)";#N/A,#N/A,FALSE,"장비보유현황";#N/A,#N/A,FALSE,"차량및약도";#N/A,#N/A,FALSE,"금형LIST"}</definedName>
    <definedName name="_____________E1" hidden="1">{#N/A,#N/A,FALSE,"KMC최종회의(7월) 자료"}</definedName>
    <definedName name="_____________E2" hidden="1">{#N/A,#N/A,FALSE,"KMC최종회의(7월) 자료"}</definedName>
    <definedName name="_____________E45" hidden="1">{"'7-2지역별'!$A$1:$R$44"}</definedName>
    <definedName name="_____________EO2" hidden="1">{#N/A,#N/A,FALSE,"신규dep";#N/A,#N/A,FALSE,"신규dep-금형상각후";#N/A,#N/A,FALSE,"신규dep-연구비상각후";#N/A,#N/A,FALSE,"신규dep-기계,공구상각후"}</definedName>
    <definedName name="_____________FG1" hidden="1">{#N/A,#N/A,FALSE,"단축1";#N/A,#N/A,FALSE,"단축2";#N/A,#N/A,FALSE,"단축3";#N/A,#N/A,FALSE,"장축";#N/A,#N/A,FALSE,"4WD"}</definedName>
    <definedName name="_____________h2" hidden="1">{"'7-2지역별'!$A$1:$R$44"}</definedName>
    <definedName name="_____________h3" hidden="1">{"'7-2지역별'!$A$1:$R$44"}</definedName>
    <definedName name="_____________h4" hidden="1">{"'7-2지역별'!$A$1:$R$44"}</definedName>
    <definedName name="_____________h5" hidden="1">{"'7-2지역별'!$A$1:$R$44"}</definedName>
    <definedName name="_____________HP02" hidden="1">{#N/A,#N/A,FALSE,"단축1";#N/A,#N/A,FALSE,"단축2";#N/A,#N/A,FALSE,"단축3";#N/A,#N/A,FALSE,"장축";#N/A,#N/A,FALSE,"4WD"}</definedName>
    <definedName name="_____________HP2" hidden="1">{#N/A,#N/A,FALSE,"단축1";#N/A,#N/A,FALSE,"단축2";#N/A,#N/A,FALSE,"단축3";#N/A,#N/A,FALSE,"장축";#N/A,#N/A,FALSE,"4WD"}</definedName>
    <definedName name="_____________Key5" hidden="1">#REF!</definedName>
    <definedName name="_____________LH1" hidden="1">{"'7보유'!$A$1:$F$44"}</definedName>
    <definedName name="_____________LH2" hidden="1">{"'7보유'!$A$1:$F$44"}</definedName>
    <definedName name="_____________LPS2" hidden="1">{#N/A,#N/A,FALSE,"단축1";#N/A,#N/A,FALSE,"단축2";#N/A,#N/A,FALSE,"단축3";#N/A,#N/A,FALSE,"장축";#N/A,#N/A,FALSE,"4WD"}</definedName>
    <definedName name="_____________PPP21" hidden="1">{#N/A,#N/A,FALSE,"KMC최종회의(7월) 자료"}</definedName>
    <definedName name="_____________PPP3" hidden="1">{#N/A,#N/A,FALSE,"KMC최종회의(7월) 자료"}</definedName>
    <definedName name="_____________Q098" hidden="1">{"'7-2지역별'!$A$1:$R$44"}</definedName>
    <definedName name="_____________Q1" hidden="1">{#N/A,#N/A,FALSE,"KMC최종회의(7월) 자료"}</definedName>
    <definedName name="_____________Q11" hidden="1">{"'7-2지역별'!$A$1:$R$44"}</definedName>
    <definedName name="_____________Q11234" hidden="1">{"'7-2지역별'!$A$1:$R$44"}</definedName>
    <definedName name="_____________Q12" hidden="1">{"'7-2지역별'!$A$1:$R$44"}</definedName>
    <definedName name="_____________Q123" hidden="1">{"'7-2지역별'!$A$1:$R$44"}</definedName>
    <definedName name="_____________Q1232" hidden="1">{"'7-2지역별'!$A$1:$R$44"}</definedName>
    <definedName name="_____________Q1233" hidden="1">{"'7-2지역별'!$A$1:$R$44"}</definedName>
    <definedName name="_____________Q2" hidden="1">{#N/A,#N/A,FALSE,"KMC최종회의(7월) 자료"}</definedName>
    <definedName name="_____________Q2342" hidden="1">{"'7-2지역별'!$A$1:$R$44"}</definedName>
    <definedName name="_____________Q3" hidden="1">{#N/A,#N/A,FALSE,"KMC최종회의(7월) 자료"}</definedName>
    <definedName name="_____________Q343" hidden="1">{"'7-2지역별'!$A$1:$R$44"}</definedName>
    <definedName name="_____________Q345" hidden="1">{"'7-2지역별'!$A$1:$R$44"}</definedName>
    <definedName name="_____________Q423" hidden="1">{"'7-2지역별'!$A$1:$R$44"}</definedName>
    <definedName name="_____________Q43456" hidden="1">{"'7-2지역별'!$A$1:$R$44"}</definedName>
    <definedName name="_____________Q5" hidden="1">{#N/A,#N/A,FALSE,"KMC최종회의(7월) 자료"}</definedName>
    <definedName name="_____________Q54" hidden="1">{"'7-2지역별'!$A$1:$R$44"}</definedName>
    <definedName name="_____________Q543" hidden="1">{"'7-2지역별'!$A$1:$R$44"}</definedName>
    <definedName name="_____________Q5434" hidden="1">{"'7-2지역별'!$A$1:$R$44"}</definedName>
    <definedName name="_____________Q543421" hidden="1">{"'7-2지역별'!$A$1:$R$44"}</definedName>
    <definedName name="_____________Q5555" hidden="1">{"'7-2지역별'!$A$1:$R$44"}</definedName>
    <definedName name="_____________Q5678" hidden="1">{"'7-2지역별'!$A$1:$R$44"}</definedName>
    <definedName name="_____________Q65465" hidden="1">{"'7-2지역별'!$A$1:$R$44"}</definedName>
    <definedName name="_____________Q6765" hidden="1">{"'7-2지역별'!$A$1:$R$44"}</definedName>
    <definedName name="_____________Q7" hidden="1">{#N/A,#N/A,FALSE,"KMC최종회의(7월) 자료"}</definedName>
    <definedName name="_____________Q75655" hidden="1">{"'7-2지역별'!$A$1:$R$44"}</definedName>
    <definedName name="_____________Q765" hidden="1">{"'7-2지역별'!$A$1:$R$44"}</definedName>
    <definedName name="_____________Q7655" hidden="1">{"'7-2지역별'!$A$1:$R$44"}</definedName>
    <definedName name="_____________Q7687" hidden="1">{"'7-2지역별'!$A$1:$R$44"}</definedName>
    <definedName name="_____________Q8" hidden="1">{#N/A,#N/A,FALSE,"KMC최종회의(7월) 자료"}</definedName>
    <definedName name="_____________Q876" hidden="1">{"'7-2지역별'!$A$1:$R$44"}</definedName>
    <definedName name="_____________Q9" hidden="1">{#N/A,#N/A,FALSE,"KMC최종회의(7월) 자료"}</definedName>
    <definedName name="_____________Q98" hidden="1">{"'7-2지역별'!$A$1:$R$44"}</definedName>
    <definedName name="_____________S1" hidden="1">{#N/A,#N/A,FALSE,"KMC최종회의(7월) 자료"}</definedName>
    <definedName name="_____________S2" hidden="1">{#N/A,#N/A,FALSE,"KMC최종회의(7월) 자료"}</definedName>
    <definedName name="_____________S3" hidden="1">{#N/A,#N/A,FALSE,"KMC최종회의(7월) 자료"}</definedName>
    <definedName name="_____________S4" hidden="1">{#N/A,#N/A,FALSE,"KMC최종회의(7월) 자료"}</definedName>
    <definedName name="_____________S5" hidden="1">{#N/A,#N/A,FALSE,"KMC최종회의(7월) 자료"}</definedName>
    <definedName name="_____________S6" hidden="1">{#N/A,#N/A,FALSE,"KMC최종회의(7월) 자료"}</definedName>
    <definedName name="_____________S7" hidden="1">{#N/A,#N/A,FALSE,"KMC최종회의(7월) 자료"}</definedName>
    <definedName name="_____________S8" hidden="1">{#N/A,#N/A,FALSE,"KMC최종회의(7월) 자료"}</definedName>
    <definedName name="_____________SD323" hidden="1">{"'7-2지역별'!$A$1:$R$44"}</definedName>
    <definedName name="_____________SDW1" hidden="1">#REF!</definedName>
    <definedName name="_____________SMM1" hidden="1">{"'7보유'!$A$1:$F$44"}</definedName>
    <definedName name="_____________SMM2" hidden="1">{"'7보유'!$A$1:$F$44"}</definedName>
    <definedName name="_____________SUM1" hidden="1">{#N/A,#N/A,FALSE,"단축1";#N/A,#N/A,FALSE,"단축2";#N/A,#N/A,FALSE,"단축3";#N/A,#N/A,FALSE,"장축";#N/A,#N/A,FALSE,"4WD"}</definedName>
    <definedName name="_____________T2" hidden="1">{#N/A,#N/A,FALSE,"단축1";#N/A,#N/A,FALSE,"단축2";#N/A,#N/A,FALSE,"단축3";#N/A,#N/A,FALSE,"장축";#N/A,#N/A,FALSE,"4WD"}</definedName>
    <definedName name="_____________T3" hidden="1">{#N/A,#N/A,FALSE,"단축1";#N/A,#N/A,FALSE,"단축2";#N/A,#N/A,FALSE,"단축3";#N/A,#N/A,FALSE,"장축";#N/A,#N/A,FALSE,"4WD"}</definedName>
    <definedName name="_____________t45445" hidden="1">{"'7-2지역별'!$A$1:$R$44"}</definedName>
    <definedName name="_____________W1" hidden="1">{#N/A,#N/A,FALSE,"KMC최종회의(7월) 자료"}</definedName>
    <definedName name="_____________W12324" hidden="1">{"'7-2지역별'!$A$1:$R$44"}</definedName>
    <definedName name="_____________W2" hidden="1">{#N/A,#N/A,FALSE,"KMC최종회의(7월) 자료"}</definedName>
    <definedName name="_____________W3" hidden="1">{#N/A,#N/A,FALSE,"KMC최종회의(7월) 자료"}</definedName>
    <definedName name="_____________W322" hidden="1">{"'7-2지역별'!$A$1:$R$44"}</definedName>
    <definedName name="_____________W4" hidden="1">{#N/A,#N/A,FALSE,"KMC최종회의(7월) 자료"}</definedName>
    <definedName name="_____________W4454" hidden="1">{"'7-2지역별'!$A$1:$R$44"}</definedName>
    <definedName name="_____________W5" hidden="1">{#N/A,#N/A,FALSE,"KMC최종회의(7월) 자료"}</definedName>
    <definedName name="_____________W53" hidden="1">{"'7-2지역별'!$A$1:$R$44"}</definedName>
    <definedName name="_____________W6" hidden="1">{#N/A,#N/A,FALSE,"KMC최종회의(7월) 자료"}</definedName>
    <definedName name="_____________W7" hidden="1">{#N/A,#N/A,FALSE,"KMC최종회의(7월) 자료"}</definedName>
    <definedName name="_____________W8" hidden="1">{#N/A,#N/A,FALSE,"KMC최종회의(7월) 자료"}</definedName>
    <definedName name="_____________W9" hidden="1">{#N/A,#N/A,FALSE,"KMC최종회의(7월) 자료"}</definedName>
    <definedName name="_____________X1" hidden="1">{#N/A,#N/A,FALSE,"KMC최종회의(7월) 자료"}</definedName>
    <definedName name="_____________X2" hidden="1">{#N/A,#N/A,FALSE,"KMC최종회의(7월) 자료"}</definedName>
    <definedName name="_____________X3" hidden="1">{#N/A,#N/A,FALSE,"KMC최종회의(7월) 자료"}</definedName>
    <definedName name="_____________X4" hidden="1">{#N/A,#N/A,FALSE,"KMC최종회의(7월) 자료"}</definedName>
    <definedName name="_____________X5" hidden="1">{#N/A,#N/A,FALSE,"KMC최종회의(7월) 자료"}</definedName>
    <definedName name="_____________X6" hidden="1">{#N/A,#N/A,FALSE,"KMC최종회의(7월) 자료"}</definedName>
    <definedName name="_____________X7" hidden="1">{#N/A,#N/A,FALSE,"KMC최종회의(7월) 자료"}</definedName>
    <definedName name="_____________X8" hidden="1">{#N/A,#N/A,FALSE,"KMC최종회의(7월) 자료"}</definedName>
    <definedName name="_____________XG2" hidden="1">{#N/A,#N/A,FALSE,"단축1";#N/A,#N/A,FALSE,"단축2";#N/A,#N/A,FALSE,"단축3";#N/A,#N/A,FALSE,"장축";#N/A,#N/A,FALSE,"4WD"}</definedName>
    <definedName name="_____________y45546" hidden="1">{"'7-2지역별'!$A$1:$R$44"}</definedName>
    <definedName name="_____________Z1" hidden="1">{#N/A,#N/A,FALSE,"KMC최종회의(7월) 자료"}</definedName>
    <definedName name="_____________Z2" hidden="1">{#N/A,#N/A,FALSE,"KMC최종회의(7월) 자료"}</definedName>
    <definedName name="_____________Z3" hidden="1">{#N/A,#N/A,FALSE,"KMC최종회의(7월) 자료"}</definedName>
    <definedName name="_____________Z4" hidden="1">{#N/A,#N/A,FALSE,"KMC최종회의(7월) 자료"}</definedName>
    <definedName name="_____________Z5" hidden="1">{#N/A,#N/A,FALSE,"KMC최종회의(7월) 자료"}</definedName>
    <definedName name="_____________Z6" hidden="1">{#N/A,#N/A,FALSE,"KMC최종회의(7월) 자료"}</definedName>
    <definedName name="_____________Z7" hidden="1">{#N/A,#N/A,FALSE,"KMC최종회의(7월) 자료"}</definedName>
    <definedName name="_____________Z8" hidden="1">{#N/A,#N/A,FALSE,"KMC최종회의(7월) 자료"}</definedName>
    <definedName name="_____________Z9" hidden="1">{#N/A,#N/A,FALSE,"KMC최종회의(7월) 자료"}</definedName>
    <definedName name="____________A1" hidden="1">{#N/A,#N/A,FALSE,"KMC최종회의(7월) 자료"}</definedName>
    <definedName name="____________A2" hidden="1">{#N/A,#N/A,FALSE,"KMC최종회의(7월) 자료"}</definedName>
    <definedName name="____________A3" hidden="1">{#N/A,#N/A,FALSE,"KMC최종회의(7월) 자료"}</definedName>
    <definedName name="____________A4" hidden="1">{#N/A,#N/A,FALSE,"KMC최종회의(7월) 자료"}</definedName>
    <definedName name="____________A5" hidden="1">{#N/A,#N/A,FALSE,"KMC최종회의(7월) 자료"}</definedName>
    <definedName name="____________A6" hidden="1">{#N/A,#N/A,FALSE,"KMC최종회의(7월) 자료"}</definedName>
    <definedName name="____________A7" hidden="1">{#N/A,#N/A,FALSE,"KMC최종회의(7월) 자료"}</definedName>
    <definedName name="____________A8" hidden="1">{#N/A,#N/A,FALSE,"KMC최종회의(7월) 자료"}</definedName>
    <definedName name="____________A9" hidden="1">{#N/A,#N/A,FALSE,"KMC최종회의(7월) 자료"}</definedName>
    <definedName name="____________AAA111" hidden="1">{#N/A,#N/A,FALSE,"신규dep";#N/A,#N/A,FALSE,"신규dep-금형상각후";#N/A,#N/A,FALSE,"신규dep-연구비상각후";#N/A,#N/A,FALSE,"신규dep-기계,공구상각후"}</definedName>
    <definedName name="____________AS6" hidden="1">{#N/A,#N/A,FALSE,"Australien";#N/A,#N/A,FALSE,"Birmingham";#N/A,#N/A,FALSE,"Brasilien";#N/A,#N/A,FALSE,"Prag";#N/A,#N/A,FALSE,"Spanien";#N/A,#N/A,FALSE,"Malaysia ( Com)";#N/A,#N/A,FALSE,"Malaysia (Instr)"}</definedName>
    <definedName name="____________CL22" hidden="1">{#N/A,#N/A,FALSE,"KMC최종회의(7월) 자료"}</definedName>
    <definedName name="____________CL222" hidden="1">{#N/A,#N/A,FALSE,"KMC최종회의(7월) 자료"}</definedName>
    <definedName name="____________CL33" hidden="1">{#N/A,#N/A,FALSE,"KMC최종회의(7월) 자료"}</definedName>
    <definedName name="____________CVJ1" hidden="1">{#N/A,#N/A,FALSE,"KMC최종회의(7월) 자료"}</definedName>
    <definedName name="____________DB777" hidden="1">{#N/A,#N/A,TRUE,"Y생산";#N/A,#N/A,TRUE,"Y판매";#N/A,#N/A,TRUE,"Y총물량";#N/A,#N/A,TRUE,"Y능력";#N/A,#N/A,TRUE,"YKD"}</definedName>
    <definedName name="____________DE33" hidden="1">{"'7-2지역별'!$A$1:$R$44"}</definedName>
    <definedName name="____________DR1" hidden="1">{#N/A,#N/A,FALSE,"업체선정";#N/A,#N/A,FALSE,"업체선정sheet";#N/A,#N/A,FALSE,"업체실태";#N/A,#N/A,FALSE,"업체실태(1)";#N/A,#N/A,FALSE,"종업원현황(2)";#N/A,#N/A,FALSE,"생산품목(3)";#N/A,#N/A,FALSE,"장비보유현황";#N/A,#N/A,FALSE,"차량및약도";#N/A,#N/A,FALSE,"금형LIST"}</definedName>
    <definedName name="____________E1" hidden="1">{#N/A,#N/A,FALSE,"KMC최종회의(7월) 자료"}</definedName>
    <definedName name="____________E2" hidden="1">{#N/A,#N/A,FALSE,"KMC최종회의(7월) 자료"}</definedName>
    <definedName name="____________E45" hidden="1">{"'7-2지역별'!$A$1:$R$44"}</definedName>
    <definedName name="____________EO2" hidden="1">{#N/A,#N/A,FALSE,"신규dep";#N/A,#N/A,FALSE,"신규dep-금형상각후";#N/A,#N/A,FALSE,"신규dep-연구비상각후";#N/A,#N/A,FALSE,"신규dep-기계,공구상각후"}</definedName>
    <definedName name="____________EWA1" hidden="1">{#N/A,#N/A,FALSE,"초도품";#N/A,#N/A,FALSE,"초도품 (2)";#N/A,#N/A,FALSE,"초도품 (3)";#N/A,#N/A,FALSE,"초도품 (4)";#N/A,#N/A,FALSE,"초도품 (5)";#N/A,#N/A,FALSE,"초도품 (6)"}</definedName>
    <definedName name="____________FG1" hidden="1">{#N/A,#N/A,FALSE,"단축1";#N/A,#N/A,FALSE,"단축2";#N/A,#N/A,FALSE,"단축3";#N/A,#N/A,FALSE,"장축";#N/A,#N/A,FALSE,"4WD"}</definedName>
    <definedName name="____________h2" hidden="1">{"'7-2지역별'!$A$1:$R$44"}</definedName>
    <definedName name="____________h3" hidden="1">{"'7-2지역별'!$A$1:$R$44"}</definedName>
    <definedName name="____________h4" hidden="1">{"'7-2지역별'!$A$1:$R$44"}</definedName>
    <definedName name="____________h5" hidden="1">{"'7-2지역별'!$A$1:$R$44"}</definedName>
    <definedName name="____________HL1" hidden="1">{#N/A,#N/A,FALSE,"단축1";#N/A,#N/A,FALSE,"단축2";#N/A,#N/A,FALSE,"단축3";#N/A,#N/A,FALSE,"장축";#N/A,#N/A,FALSE,"4WD"}</definedName>
    <definedName name="____________HL2" hidden="1">{#N/A,#N/A,FALSE,"단축1";#N/A,#N/A,FALSE,"단축2";#N/A,#N/A,FALSE,"단축3";#N/A,#N/A,FALSE,"장축";#N/A,#N/A,FALSE,"4WD"}</definedName>
    <definedName name="____________HL3" hidden="1">{#N/A,#N/A,TRUE,"Y생산";#N/A,#N/A,TRUE,"Y판매";#N/A,#N/A,TRUE,"Y총물량";#N/A,#N/A,TRUE,"Y능력";#N/A,#N/A,TRUE,"YKD"}</definedName>
    <definedName name="____________HP02" hidden="1">{#N/A,#N/A,FALSE,"단축1";#N/A,#N/A,FALSE,"단축2";#N/A,#N/A,FALSE,"단축3";#N/A,#N/A,FALSE,"장축";#N/A,#N/A,FALSE,"4WD"}</definedName>
    <definedName name="____________HP2" hidden="1">{#N/A,#N/A,FALSE,"단축1";#N/A,#N/A,FALSE,"단축2";#N/A,#N/A,FALSE,"단축3";#N/A,#N/A,FALSE,"장축";#N/A,#N/A,FALSE,"4WD"}</definedName>
    <definedName name="____________LPS2" hidden="1">{#N/A,#N/A,FALSE,"단축1";#N/A,#N/A,FALSE,"단축2";#N/A,#N/A,FALSE,"단축3";#N/A,#N/A,FALSE,"장축";#N/A,#N/A,FALSE,"4WD"}</definedName>
    <definedName name="____________MIP10" hidden="1">{#N/A,#N/A,FALSE,"단축1";#N/A,#N/A,FALSE,"단축2";#N/A,#N/A,FALSE,"단축3";#N/A,#N/A,FALSE,"장축";#N/A,#N/A,FALSE,"4WD"}</definedName>
    <definedName name="____________MIP2" hidden="1">{#N/A,#N/A,FALSE,"단축1";#N/A,#N/A,FALSE,"단축2";#N/A,#N/A,FALSE,"단축3";#N/A,#N/A,FALSE,"장축";#N/A,#N/A,FALSE,"4WD"}</definedName>
    <definedName name="____________PB004" hidden="1">{#N/A,#N/A,FALSE,"단축1";#N/A,#N/A,FALSE,"단축2";#N/A,#N/A,FALSE,"단축3";#N/A,#N/A,FALSE,"장축";#N/A,#N/A,FALSE,"4WD"}</definedName>
    <definedName name="____________PPP21" hidden="1">{#N/A,#N/A,FALSE,"KMC최종회의(7월) 자료"}</definedName>
    <definedName name="____________PPP3" hidden="1">{#N/A,#N/A,FALSE,"KMC최종회의(7월) 자료"}</definedName>
    <definedName name="____________Q098" hidden="1">{"'7-2지역별'!$A$1:$R$44"}</definedName>
    <definedName name="____________Q1" hidden="1">{#N/A,#N/A,FALSE,"KMC최종회의(7월) 자료"}</definedName>
    <definedName name="____________Q11" hidden="1">{"'7-2지역별'!$A$1:$R$44"}</definedName>
    <definedName name="____________Q11234" hidden="1">{"'7-2지역별'!$A$1:$R$44"}</definedName>
    <definedName name="____________Q12" hidden="1">{"'7-2지역별'!$A$1:$R$44"}</definedName>
    <definedName name="____________Q123" hidden="1">{"'7-2지역별'!$A$1:$R$44"}</definedName>
    <definedName name="____________Q1232" hidden="1">{"'7-2지역별'!$A$1:$R$44"}</definedName>
    <definedName name="____________Q1233" hidden="1">{"'7-2지역별'!$A$1:$R$44"}</definedName>
    <definedName name="____________Q2" hidden="1">{#N/A,#N/A,FALSE,"KMC최종회의(7월) 자료"}</definedName>
    <definedName name="____________Q2342" hidden="1">{"'7-2지역별'!$A$1:$R$44"}</definedName>
    <definedName name="____________Q3" hidden="1">{#N/A,#N/A,FALSE,"KMC최종회의(7월) 자료"}</definedName>
    <definedName name="____________Q343" hidden="1">{"'7-2지역별'!$A$1:$R$44"}</definedName>
    <definedName name="____________Q345" hidden="1">{"'7-2지역별'!$A$1:$R$44"}</definedName>
    <definedName name="____________Q423" hidden="1">{"'7-2지역별'!$A$1:$R$44"}</definedName>
    <definedName name="____________Q43456" hidden="1">{"'7-2지역별'!$A$1:$R$44"}</definedName>
    <definedName name="____________Q5" hidden="1">{#N/A,#N/A,FALSE,"KMC최종회의(7월) 자료"}</definedName>
    <definedName name="____________Q54" hidden="1">{"'7-2지역별'!$A$1:$R$44"}</definedName>
    <definedName name="____________Q543" hidden="1">{"'7-2지역별'!$A$1:$R$44"}</definedName>
    <definedName name="____________Q5434" hidden="1">{"'7-2지역별'!$A$1:$R$44"}</definedName>
    <definedName name="____________Q5555" hidden="1">{"'7-2지역별'!$A$1:$R$44"}</definedName>
    <definedName name="____________Q5678" hidden="1">{"'7-2지역별'!$A$1:$R$44"}</definedName>
    <definedName name="____________Q65465" hidden="1">{"'7-2지역별'!$A$1:$R$44"}</definedName>
    <definedName name="____________Q6765" hidden="1">{"'7-2지역별'!$A$1:$R$44"}</definedName>
    <definedName name="____________Q7" hidden="1">{#N/A,#N/A,FALSE,"KMC최종회의(7월) 자료"}</definedName>
    <definedName name="____________Q765" hidden="1">{"'7-2지역별'!$A$1:$R$44"}</definedName>
    <definedName name="____________Q7655" hidden="1">{"'7-2지역별'!$A$1:$R$44"}</definedName>
    <definedName name="____________Q7687" hidden="1">{"'7-2지역별'!$A$1:$R$44"}</definedName>
    <definedName name="____________Q8" hidden="1">{#N/A,#N/A,FALSE,"KMC최종회의(7월) 자료"}</definedName>
    <definedName name="____________Q876" hidden="1">{"'7-2지역별'!$A$1:$R$44"}</definedName>
    <definedName name="____________Q9" hidden="1">{#N/A,#N/A,FALSE,"KMC최종회의(7월) 자료"}</definedName>
    <definedName name="____________Q98" hidden="1">{"'7-2지역별'!$A$1:$R$44"}</definedName>
    <definedName name="____________RR2" hidden="1">{#N/A,#N/A,FALSE,"단축1";#N/A,#N/A,FALSE,"단축2";#N/A,#N/A,FALSE,"단축3";#N/A,#N/A,FALSE,"장축";#N/A,#N/A,FALSE,"4WD"}</definedName>
    <definedName name="____________S1" hidden="1">{#N/A,#N/A,FALSE,"KMC최종회의(7월) 자료"}</definedName>
    <definedName name="____________S2" hidden="1">{#N/A,#N/A,FALSE,"KMC최종회의(7월) 자료"}</definedName>
    <definedName name="____________S3" hidden="1">{#N/A,#N/A,FALSE,"KMC최종회의(7월) 자료"}</definedName>
    <definedName name="____________S4" hidden="1">{#N/A,#N/A,FALSE,"KMC최종회의(7월) 자료"}</definedName>
    <definedName name="____________S5" hidden="1">{#N/A,#N/A,FALSE,"KMC최종회의(7월) 자료"}</definedName>
    <definedName name="____________S6" hidden="1">{#N/A,#N/A,FALSE,"KMC최종회의(7월) 자료"}</definedName>
    <definedName name="____________S7" hidden="1">{#N/A,#N/A,FALSE,"KMC최종회의(7월) 자료"}</definedName>
    <definedName name="____________S8" hidden="1">{#N/A,#N/A,FALSE,"KMC최종회의(7월) 자료"}</definedName>
    <definedName name="____________SDW1" hidden="1">#REF!</definedName>
    <definedName name="____________SUM1" hidden="1">{#N/A,#N/A,FALSE,"단축1";#N/A,#N/A,FALSE,"단축2";#N/A,#N/A,FALSE,"단축3";#N/A,#N/A,FALSE,"장축";#N/A,#N/A,FALSE,"4WD"}</definedName>
    <definedName name="____________T2" hidden="1">{#N/A,#N/A,FALSE,"단축1";#N/A,#N/A,FALSE,"단축2";#N/A,#N/A,FALSE,"단축3";#N/A,#N/A,FALSE,"장축";#N/A,#N/A,FALSE,"4WD"}</definedName>
    <definedName name="____________T3" hidden="1">{#N/A,#N/A,FALSE,"단축1";#N/A,#N/A,FALSE,"단축2";#N/A,#N/A,FALSE,"단축3";#N/A,#N/A,FALSE,"장축";#N/A,#N/A,FALSE,"4WD"}</definedName>
    <definedName name="____________t45445" hidden="1">{"'7-2지역별'!$A$1:$R$44"}</definedName>
    <definedName name="____________T5" hidden="1">{#N/A,#N/A,FALSE,"단축1";#N/A,#N/A,FALSE,"단축2";#N/A,#N/A,FALSE,"단축3";#N/A,#N/A,FALSE,"장축";#N/A,#N/A,FALSE,"4WD"}</definedName>
    <definedName name="____________W1" hidden="1">{#N/A,#N/A,FALSE,"KMC최종회의(7월) 자료"}</definedName>
    <definedName name="____________W12324" hidden="1">{"'7-2지역별'!$A$1:$R$44"}</definedName>
    <definedName name="____________W2" hidden="1">{#N/A,#N/A,FALSE,"KMC최종회의(7월) 자료"}</definedName>
    <definedName name="____________W3" hidden="1">{#N/A,#N/A,FALSE,"KMC최종회의(7월) 자료"}</definedName>
    <definedName name="____________W322" hidden="1">{"'7-2지역별'!$A$1:$R$44"}</definedName>
    <definedName name="____________W4" hidden="1">{#N/A,#N/A,FALSE,"KMC최종회의(7월) 자료"}</definedName>
    <definedName name="____________W4454" hidden="1">{"'7-2지역별'!$A$1:$R$44"}</definedName>
    <definedName name="____________W5" hidden="1">{#N/A,#N/A,FALSE,"KMC최종회의(7월) 자료"}</definedName>
    <definedName name="____________W53" hidden="1">{"'7-2지역별'!$A$1:$R$44"}</definedName>
    <definedName name="____________W6" hidden="1">{#N/A,#N/A,FALSE,"KMC최종회의(7월) 자료"}</definedName>
    <definedName name="____________W7" hidden="1">{#N/A,#N/A,FALSE,"KMC최종회의(7월) 자료"}</definedName>
    <definedName name="____________W8" hidden="1">{#N/A,#N/A,FALSE,"KMC최종회의(7월) 자료"}</definedName>
    <definedName name="____________W9" hidden="1">{#N/A,#N/A,FALSE,"KMC최종회의(7월) 자료"}</definedName>
    <definedName name="____________X1" hidden="1">{#N/A,#N/A,FALSE,"KMC최종회의(7월) 자료"}</definedName>
    <definedName name="____________X2" hidden="1">{#N/A,#N/A,FALSE,"KMC최종회의(7월) 자료"}</definedName>
    <definedName name="____________X3" hidden="1">{#N/A,#N/A,FALSE,"KMC최종회의(7월) 자료"}</definedName>
    <definedName name="____________X4" hidden="1">{#N/A,#N/A,FALSE,"KMC최종회의(7월) 자료"}</definedName>
    <definedName name="____________X5" hidden="1">{#N/A,#N/A,FALSE,"KMC최종회의(7월) 자료"}</definedName>
    <definedName name="____________X6" hidden="1">{#N/A,#N/A,FALSE,"KMC최종회의(7월) 자료"}</definedName>
    <definedName name="____________X7" hidden="1">{#N/A,#N/A,FALSE,"KMC최종회의(7월) 자료"}</definedName>
    <definedName name="____________X8" hidden="1">{#N/A,#N/A,FALSE,"KMC최종회의(7월) 자료"}</definedName>
    <definedName name="____________XG2" hidden="1">{#N/A,#N/A,FALSE,"단축1";#N/A,#N/A,FALSE,"단축2";#N/A,#N/A,FALSE,"단축3";#N/A,#N/A,FALSE,"장축";#N/A,#N/A,FALSE,"4WD"}</definedName>
    <definedName name="____________y45546" hidden="1">{"'7-2지역별'!$A$1:$R$44"}</definedName>
    <definedName name="____________Z1" hidden="1">{#N/A,#N/A,FALSE,"KMC최종회의(7월) 자료"}</definedName>
    <definedName name="____________Z2" hidden="1">{#N/A,#N/A,FALSE,"KMC최종회의(7월) 자료"}</definedName>
    <definedName name="____________Z3" hidden="1">{#N/A,#N/A,FALSE,"KMC최종회의(7월) 자료"}</definedName>
    <definedName name="____________Z4" hidden="1">{#N/A,#N/A,FALSE,"KMC최종회의(7월) 자료"}</definedName>
    <definedName name="____________Z5" hidden="1">{#N/A,#N/A,FALSE,"KMC최종회의(7월) 자료"}</definedName>
    <definedName name="____________Z6" hidden="1">{#N/A,#N/A,FALSE,"KMC최종회의(7월) 자료"}</definedName>
    <definedName name="____________Z7" hidden="1">{#N/A,#N/A,FALSE,"KMC최종회의(7월) 자료"}</definedName>
    <definedName name="____________Z8" hidden="1">{#N/A,#N/A,FALSE,"KMC최종회의(7월) 자료"}</definedName>
    <definedName name="____________Z9" hidden="1">{#N/A,#N/A,FALSE,"KMC최종회의(7월) 자료"}</definedName>
    <definedName name="___________A1" hidden="1">{#N/A,#N/A,FALSE,"KMC최종회의(7월) 자료"}</definedName>
    <definedName name="___________A2" hidden="1">{#N/A,#N/A,FALSE,"KMC최종회의(7월) 자료"}</definedName>
    <definedName name="___________A2040" hidden="1">{#N/A,#N/A,FALSE,"단축1";#N/A,#N/A,FALSE,"단축2";#N/A,#N/A,FALSE,"단축3";#N/A,#N/A,FALSE,"장축";#N/A,#N/A,FALSE,"4WD"}</definedName>
    <definedName name="___________A3" hidden="1">{#N/A,#N/A,FALSE,"KMC최종회의(7월) 자료"}</definedName>
    <definedName name="___________A4" hidden="1">{#N/A,#N/A,FALSE,"KMC최종회의(7월) 자료"}</definedName>
    <definedName name="___________A5" hidden="1">{#N/A,#N/A,FALSE,"KMC최종회의(7월) 자료"}</definedName>
    <definedName name="___________A6" hidden="1">{#N/A,#N/A,FALSE,"KMC최종회의(7월) 자료"}</definedName>
    <definedName name="___________A6666" hidden="1">{#N/A,#N/A,FALSE,"KMC최종회의(7월) 자료"}</definedName>
    <definedName name="___________A7" hidden="1">{#N/A,#N/A,FALSE,"KMC최종회의(7월) 자료"}</definedName>
    <definedName name="___________A8" hidden="1">{#N/A,#N/A,FALSE,"KMC최종회의(7월) 자료"}</definedName>
    <definedName name="___________A9" hidden="1">{#N/A,#N/A,FALSE,"KMC최종회의(7월) 자료"}</definedName>
    <definedName name="___________AAA111" hidden="1">{#N/A,#N/A,FALSE,"신규dep";#N/A,#N/A,FALSE,"신규dep-금형상각후";#N/A,#N/A,FALSE,"신규dep-연구비상각후";#N/A,#N/A,FALSE,"신규dep-기계,공구상각후"}</definedName>
    <definedName name="___________AS6" hidden="1">{#N/A,#N/A,FALSE,"Australien";#N/A,#N/A,FALSE,"Birmingham";#N/A,#N/A,FALSE,"Brasilien";#N/A,#N/A,FALSE,"Prag";#N/A,#N/A,FALSE,"Spanien";#N/A,#N/A,FALSE,"Malaysia ( Com)";#N/A,#N/A,FALSE,"Malaysia (Instr)"}</definedName>
    <definedName name="___________CL22" hidden="1">{#N/A,#N/A,FALSE,"KMC최종회의(7월) 자료"}</definedName>
    <definedName name="___________CL222" hidden="1">{#N/A,#N/A,FALSE,"KMC최종회의(7월) 자료"}</definedName>
    <definedName name="___________CL33" hidden="1">{#N/A,#N/A,FALSE,"KMC최종회의(7월) 자료"}</definedName>
    <definedName name="___________CVJ1" hidden="1">{#N/A,#N/A,FALSE,"KMC최종회의(7월) 자료"}</definedName>
    <definedName name="___________DB777" hidden="1">{#N/A,#N/A,TRUE,"Y생산";#N/A,#N/A,TRUE,"Y판매";#N/A,#N/A,TRUE,"Y총물량";#N/A,#N/A,TRUE,"Y능력";#N/A,#N/A,TRUE,"YKD"}</definedName>
    <definedName name="___________DR1" hidden="1">{#N/A,#N/A,FALSE,"업체선정";#N/A,#N/A,FALSE,"업체선정sheet";#N/A,#N/A,FALSE,"업체실태";#N/A,#N/A,FALSE,"업체실태(1)";#N/A,#N/A,FALSE,"종업원현황(2)";#N/A,#N/A,FALSE,"생산품목(3)";#N/A,#N/A,FALSE,"장비보유현황";#N/A,#N/A,FALSE,"차량및약도";#N/A,#N/A,FALSE,"금형LIST"}</definedName>
    <definedName name="___________E1" hidden="1">{#N/A,#N/A,FALSE,"KMC최종회의(7월) 자료"}</definedName>
    <definedName name="___________E2" hidden="1">{#N/A,#N/A,FALSE,"KMC최종회의(7월) 자료"}</definedName>
    <definedName name="___________EO2" hidden="1">{#N/A,#N/A,FALSE,"신규dep";#N/A,#N/A,FALSE,"신규dep-금형상각후";#N/A,#N/A,FALSE,"신규dep-연구비상각후";#N/A,#N/A,FALSE,"신규dep-기계,공구상각후"}</definedName>
    <definedName name="___________EWA1" hidden="1">{#N/A,#N/A,FALSE,"초도품";#N/A,#N/A,FALSE,"초도품 (2)";#N/A,#N/A,FALSE,"초도품 (3)";#N/A,#N/A,FALSE,"초도품 (4)";#N/A,#N/A,FALSE,"초도품 (5)";#N/A,#N/A,FALSE,"초도품 (6)"}</definedName>
    <definedName name="___________FG1" hidden="1">{#N/A,#N/A,FALSE,"단축1";#N/A,#N/A,FALSE,"단축2";#N/A,#N/A,FALSE,"단축3";#N/A,#N/A,FALSE,"장축";#N/A,#N/A,FALSE,"4WD"}</definedName>
    <definedName name="___________G1" hidden="1">{#N/A,#N/A,FALSE,"단축1";#N/A,#N/A,FALSE,"단축2";#N/A,#N/A,FALSE,"단축3";#N/A,#N/A,FALSE,"장축";#N/A,#N/A,FALSE,"4WD"}</definedName>
    <definedName name="___________HL1" hidden="1">{#N/A,#N/A,FALSE,"단축1";#N/A,#N/A,FALSE,"단축2";#N/A,#N/A,FALSE,"단축3";#N/A,#N/A,FALSE,"장축";#N/A,#N/A,FALSE,"4WD"}</definedName>
    <definedName name="___________HL2" hidden="1">{#N/A,#N/A,FALSE,"단축1";#N/A,#N/A,FALSE,"단축2";#N/A,#N/A,FALSE,"단축3";#N/A,#N/A,FALSE,"장축";#N/A,#N/A,FALSE,"4WD"}</definedName>
    <definedName name="___________HL3" hidden="1">{#N/A,#N/A,TRUE,"Y생산";#N/A,#N/A,TRUE,"Y판매";#N/A,#N/A,TRUE,"Y총물량";#N/A,#N/A,TRUE,"Y능력";#N/A,#N/A,TRUE,"YKD"}</definedName>
    <definedName name="___________HP02" hidden="1">{#N/A,#N/A,FALSE,"단축1";#N/A,#N/A,FALSE,"단축2";#N/A,#N/A,FALSE,"단축3";#N/A,#N/A,FALSE,"장축";#N/A,#N/A,FALSE,"4WD"}</definedName>
    <definedName name="___________HP2" hidden="1">{#N/A,#N/A,FALSE,"단축1";#N/A,#N/A,FALSE,"단축2";#N/A,#N/A,FALSE,"단축3";#N/A,#N/A,FALSE,"장축";#N/A,#N/A,FALSE,"4WD"}</definedName>
    <definedName name="___________LH1" hidden="1">{"'7보유'!$A$1:$F$44"}</definedName>
    <definedName name="___________LH2" hidden="1">{"'7보유'!$A$1:$F$44"}</definedName>
    <definedName name="___________LPS2" hidden="1">{#N/A,#N/A,FALSE,"단축1";#N/A,#N/A,FALSE,"단축2";#N/A,#N/A,FALSE,"단축3";#N/A,#N/A,FALSE,"장축";#N/A,#N/A,FALSE,"4WD"}</definedName>
    <definedName name="___________P21" hidden="1">{#N/A,#N/A,FALSE,"단축1";#N/A,#N/A,FALSE,"단축2";#N/A,#N/A,FALSE,"단축3";#N/A,#N/A,FALSE,"장축";#N/A,#N/A,FALSE,"4WD"}</definedName>
    <definedName name="___________PB004" hidden="1">{#N/A,#N/A,FALSE,"단축1";#N/A,#N/A,FALSE,"단축2";#N/A,#N/A,FALSE,"단축3";#N/A,#N/A,FALSE,"장축";#N/A,#N/A,FALSE,"4WD"}</definedName>
    <definedName name="___________PPP21" hidden="1">{#N/A,#N/A,FALSE,"KMC최종회의(7월) 자료"}</definedName>
    <definedName name="___________PPP3" hidden="1">{#N/A,#N/A,FALSE,"KMC최종회의(7월) 자료"}</definedName>
    <definedName name="___________Q1" hidden="1">{#N/A,#N/A,FALSE,"KMC최종회의(7월) 자료"}</definedName>
    <definedName name="___________Q2" hidden="1">{#N/A,#N/A,FALSE,"KMC최종회의(7월) 자료"}</definedName>
    <definedName name="___________Q3" hidden="1">{#N/A,#N/A,FALSE,"KMC최종회의(7월) 자료"}</definedName>
    <definedName name="___________Q5" hidden="1">{#N/A,#N/A,FALSE,"KMC최종회의(7월) 자료"}</definedName>
    <definedName name="___________Q543421" hidden="1">{"'7-2지역별'!$A$1:$R$44"}</definedName>
    <definedName name="___________Q7" hidden="1">{#N/A,#N/A,FALSE,"KMC최종회의(7월) 자료"}</definedName>
    <definedName name="___________Q75655" hidden="1">{"'7-2지역별'!$A$1:$R$44"}</definedName>
    <definedName name="___________Q8" hidden="1">{#N/A,#N/A,FALSE,"KMC최종회의(7월) 자료"}</definedName>
    <definedName name="___________Q9" hidden="1">{#N/A,#N/A,FALSE,"KMC최종회의(7월) 자료"}</definedName>
    <definedName name="___________RR2" hidden="1">{#N/A,#N/A,FALSE,"단축1";#N/A,#N/A,FALSE,"단축2";#N/A,#N/A,FALSE,"단축3";#N/A,#N/A,FALSE,"장축";#N/A,#N/A,FALSE,"4WD"}</definedName>
    <definedName name="___________S1" hidden="1">{#N/A,#N/A,FALSE,"KMC최종회의(7월) 자료"}</definedName>
    <definedName name="___________S2" hidden="1">{#N/A,#N/A,FALSE,"KMC최종회의(7월) 자료"}</definedName>
    <definedName name="___________S3" hidden="1">{#N/A,#N/A,FALSE,"KMC최종회의(7월) 자료"}</definedName>
    <definedName name="___________S4" hidden="1">{#N/A,#N/A,FALSE,"KMC최종회의(7월) 자료"}</definedName>
    <definedName name="___________S5" hidden="1">{#N/A,#N/A,FALSE,"KMC최종회의(7월) 자료"}</definedName>
    <definedName name="___________S6" hidden="1">{#N/A,#N/A,FALSE,"KMC최종회의(7월) 자료"}</definedName>
    <definedName name="___________S7" hidden="1">{#N/A,#N/A,FALSE,"KMC최종회의(7월) 자료"}</definedName>
    <definedName name="___________S8" hidden="1">{#N/A,#N/A,FALSE,"KMC최종회의(7월) 자료"}</definedName>
    <definedName name="___________SD323" hidden="1">{"'7-2지역별'!$A$1:$R$44"}</definedName>
    <definedName name="___________SDW1" hidden="1">#REF!</definedName>
    <definedName name="___________SMM1" hidden="1">{"'7보유'!$A$1:$F$44"}</definedName>
    <definedName name="___________SMM2" hidden="1">{"'7보유'!$A$1:$F$44"}</definedName>
    <definedName name="___________SUM1" hidden="1">{#N/A,#N/A,FALSE,"단축1";#N/A,#N/A,FALSE,"단축2";#N/A,#N/A,FALSE,"단축3";#N/A,#N/A,FALSE,"장축";#N/A,#N/A,FALSE,"4WD"}</definedName>
    <definedName name="___________T2" hidden="1">{#N/A,#N/A,FALSE,"단축1";#N/A,#N/A,FALSE,"단축2";#N/A,#N/A,FALSE,"단축3";#N/A,#N/A,FALSE,"장축";#N/A,#N/A,FALSE,"4WD"}</definedName>
    <definedName name="___________T3" hidden="1">{#N/A,#N/A,FALSE,"단축1";#N/A,#N/A,FALSE,"단축2";#N/A,#N/A,FALSE,"단축3";#N/A,#N/A,FALSE,"장축";#N/A,#N/A,FALSE,"4WD"}</definedName>
    <definedName name="___________U1" hidden="1">{#N/A,#N/A,FALSE,"단축1";#N/A,#N/A,FALSE,"단축2";#N/A,#N/A,FALSE,"단축3";#N/A,#N/A,FALSE,"장축";#N/A,#N/A,FALSE,"4WD"}</definedName>
    <definedName name="___________W1" hidden="1">{#N/A,#N/A,FALSE,"KMC최종회의(7월) 자료"}</definedName>
    <definedName name="___________W2" hidden="1">{#N/A,#N/A,FALSE,"KMC최종회의(7월) 자료"}</definedName>
    <definedName name="___________W3" hidden="1">{#N/A,#N/A,FALSE,"KMC최종회의(7월) 자료"}</definedName>
    <definedName name="___________W4" hidden="1">{#N/A,#N/A,FALSE,"KMC최종회의(7월) 자료"}</definedName>
    <definedName name="___________W5" hidden="1">{#N/A,#N/A,FALSE,"KMC최종회의(7월) 자료"}</definedName>
    <definedName name="___________W6" hidden="1">{#N/A,#N/A,FALSE,"KMC최종회의(7월) 자료"}</definedName>
    <definedName name="___________W7" hidden="1">{#N/A,#N/A,FALSE,"KMC최종회의(7월) 자료"}</definedName>
    <definedName name="___________W8" hidden="1">{#N/A,#N/A,FALSE,"KMC최종회의(7월) 자료"}</definedName>
    <definedName name="___________W9" hidden="1">{#N/A,#N/A,FALSE,"KMC최종회의(7월) 자료"}</definedName>
    <definedName name="___________X1" hidden="1">{#N/A,#N/A,FALSE,"KMC최종회의(7월) 자료"}</definedName>
    <definedName name="___________X2" hidden="1">{#N/A,#N/A,FALSE,"KMC최종회의(7월) 자료"}</definedName>
    <definedName name="___________X3" hidden="1">{#N/A,#N/A,FALSE,"KMC최종회의(7월) 자료"}</definedName>
    <definedName name="___________X4" hidden="1">{#N/A,#N/A,FALSE,"KMC최종회의(7월) 자료"}</definedName>
    <definedName name="___________X5" hidden="1">{#N/A,#N/A,FALSE,"KMC최종회의(7월) 자료"}</definedName>
    <definedName name="___________X6" hidden="1">{#N/A,#N/A,FALSE,"KMC최종회의(7월) 자료"}</definedName>
    <definedName name="___________X7" hidden="1">{#N/A,#N/A,FALSE,"KMC최종회의(7월) 자료"}</definedName>
    <definedName name="___________X8" hidden="1">{#N/A,#N/A,FALSE,"KMC최종회의(7월) 자료"}</definedName>
    <definedName name="___________XG2" hidden="1">{#N/A,#N/A,FALSE,"단축1";#N/A,#N/A,FALSE,"단축2";#N/A,#N/A,FALSE,"단축3";#N/A,#N/A,FALSE,"장축";#N/A,#N/A,FALSE,"4WD"}</definedName>
    <definedName name="___________Z1" hidden="1">{#N/A,#N/A,FALSE,"KMC최종회의(7월) 자료"}</definedName>
    <definedName name="___________Z2" hidden="1">{#N/A,#N/A,FALSE,"KMC최종회의(7월) 자료"}</definedName>
    <definedName name="___________Z3" hidden="1">{#N/A,#N/A,FALSE,"KMC최종회의(7월) 자료"}</definedName>
    <definedName name="___________Z4" hidden="1">{#N/A,#N/A,FALSE,"KMC최종회의(7월) 자료"}</definedName>
    <definedName name="___________Z5" hidden="1">{#N/A,#N/A,FALSE,"KMC최종회의(7월) 자료"}</definedName>
    <definedName name="___________Z6" hidden="1">{#N/A,#N/A,FALSE,"KMC최종회의(7월) 자료"}</definedName>
    <definedName name="___________Z7" hidden="1">{#N/A,#N/A,FALSE,"KMC최종회의(7월) 자료"}</definedName>
    <definedName name="___________Z8" hidden="1">{#N/A,#N/A,FALSE,"KMC최종회의(7월) 자료"}</definedName>
    <definedName name="___________Z9" hidden="1">{#N/A,#N/A,FALSE,"KMC최종회의(7월) 자료"}</definedName>
    <definedName name="__________A1" hidden="1">{#N/A,#N/A,FALSE,"KMC최종회의(7월) 자료"}</definedName>
    <definedName name="__________A2" hidden="1">{#N/A,#N/A,FALSE,"KMC최종회의(7월) 자료"}</definedName>
    <definedName name="__________A2040" hidden="1">{#N/A,#N/A,FALSE,"단축1";#N/A,#N/A,FALSE,"단축2";#N/A,#N/A,FALSE,"단축3";#N/A,#N/A,FALSE,"장축";#N/A,#N/A,FALSE,"4WD"}</definedName>
    <definedName name="__________A3" hidden="1">{#N/A,#N/A,FALSE,"KMC최종회의(7월) 자료"}</definedName>
    <definedName name="__________A4" hidden="1">{#N/A,#N/A,FALSE,"KMC최종회의(7월) 자료"}</definedName>
    <definedName name="__________A5" hidden="1">{#N/A,#N/A,FALSE,"KMC최종회의(7월) 자료"}</definedName>
    <definedName name="__________A6" hidden="1">{#N/A,#N/A,FALSE,"KMC최종회의(7월) 자료"}</definedName>
    <definedName name="__________A6666" hidden="1">{#N/A,#N/A,FALSE,"KMC최종회의(7월) 자료"}</definedName>
    <definedName name="__________A7" hidden="1">{#N/A,#N/A,FALSE,"KMC최종회의(7월) 자료"}</definedName>
    <definedName name="__________A8" hidden="1">{#N/A,#N/A,FALSE,"KMC최종회의(7월) 자료"}</definedName>
    <definedName name="__________A9" hidden="1">{#N/A,#N/A,FALSE,"KMC최종회의(7월) 자료"}</definedName>
    <definedName name="__________AS6" hidden="1">{#N/A,#N/A,FALSE,"Australien";#N/A,#N/A,FALSE,"Birmingham";#N/A,#N/A,FALSE,"Brasilien";#N/A,#N/A,FALSE,"Prag";#N/A,#N/A,FALSE,"Spanien";#N/A,#N/A,FALSE,"Malaysia ( Com)";#N/A,#N/A,FALSE,"Malaysia (Instr)"}</definedName>
    <definedName name="__________CL22" hidden="1">{#N/A,#N/A,FALSE,"KMC최종회의(7월) 자료"}</definedName>
    <definedName name="__________CL222" hidden="1">{#N/A,#N/A,FALSE,"KMC최종회의(7월) 자료"}</definedName>
    <definedName name="__________CL33" hidden="1">{#N/A,#N/A,FALSE,"KMC최종회의(7월) 자료"}</definedName>
    <definedName name="__________CVJ1" hidden="1">{#N/A,#N/A,FALSE,"KMC최종회의(7월) 자료"}</definedName>
    <definedName name="__________DB777" hidden="1">{#N/A,#N/A,TRUE,"Y생산";#N/A,#N/A,TRUE,"Y판매";#N/A,#N/A,TRUE,"Y총물량";#N/A,#N/A,TRUE,"Y능력";#N/A,#N/A,TRUE,"YKD"}</definedName>
    <definedName name="__________DE33" hidden="1">{"'7-2지역별'!$A$1:$R$44"}</definedName>
    <definedName name="__________DR1" hidden="1">{#N/A,#N/A,FALSE,"업체선정";#N/A,#N/A,FALSE,"업체선정sheet";#N/A,#N/A,FALSE,"업체실태";#N/A,#N/A,FALSE,"업체실태(1)";#N/A,#N/A,FALSE,"종업원현황(2)";#N/A,#N/A,FALSE,"생산품목(3)";#N/A,#N/A,FALSE,"장비보유현황";#N/A,#N/A,FALSE,"차량및약도";#N/A,#N/A,FALSE,"금형LIST"}</definedName>
    <definedName name="__________E1" hidden="1">{#N/A,#N/A,FALSE,"KMC최종회의(7월) 자료"}</definedName>
    <definedName name="__________E2" hidden="1">{#N/A,#N/A,FALSE,"KMC최종회의(7월) 자료"}</definedName>
    <definedName name="__________E45" hidden="1">{"'7-2지역별'!$A$1:$R$44"}</definedName>
    <definedName name="__________EO2" hidden="1">{#N/A,#N/A,FALSE,"신규dep";#N/A,#N/A,FALSE,"신규dep-금형상각후";#N/A,#N/A,FALSE,"신규dep-연구비상각후";#N/A,#N/A,FALSE,"신규dep-기계,공구상각후"}</definedName>
    <definedName name="__________FG1" hidden="1">{#N/A,#N/A,FALSE,"단축1";#N/A,#N/A,FALSE,"단축2";#N/A,#N/A,FALSE,"단축3";#N/A,#N/A,FALSE,"장축";#N/A,#N/A,FALSE,"4WD"}</definedName>
    <definedName name="__________h2" hidden="1">{"'7-2지역별'!$A$1:$R$44"}</definedName>
    <definedName name="__________h3" hidden="1">{"'7-2지역별'!$A$1:$R$44"}</definedName>
    <definedName name="__________h4" hidden="1">{"'7-2지역별'!$A$1:$R$44"}</definedName>
    <definedName name="__________h5" hidden="1">{"'7-2지역별'!$A$1:$R$44"}</definedName>
    <definedName name="__________HL1" hidden="1">{#N/A,#N/A,FALSE,"단축1";#N/A,#N/A,FALSE,"단축2";#N/A,#N/A,FALSE,"단축3";#N/A,#N/A,FALSE,"장축";#N/A,#N/A,FALSE,"4WD"}</definedName>
    <definedName name="__________HL2" hidden="1">{#N/A,#N/A,FALSE,"단축1";#N/A,#N/A,FALSE,"단축2";#N/A,#N/A,FALSE,"단축3";#N/A,#N/A,FALSE,"장축";#N/A,#N/A,FALSE,"4WD"}</definedName>
    <definedName name="__________HL3" hidden="1">{#N/A,#N/A,TRUE,"Y생산";#N/A,#N/A,TRUE,"Y판매";#N/A,#N/A,TRUE,"Y총물량";#N/A,#N/A,TRUE,"Y능력";#N/A,#N/A,TRUE,"YKD"}</definedName>
    <definedName name="__________HP02" hidden="1">{#N/A,#N/A,FALSE,"단축1";#N/A,#N/A,FALSE,"단축2";#N/A,#N/A,FALSE,"단축3";#N/A,#N/A,FALSE,"장축";#N/A,#N/A,FALSE,"4WD"}</definedName>
    <definedName name="__________HP2" hidden="1">{#N/A,#N/A,FALSE,"단축1";#N/A,#N/A,FALSE,"단축2";#N/A,#N/A,FALSE,"단축3";#N/A,#N/A,FALSE,"장축";#N/A,#N/A,FALSE,"4WD"}</definedName>
    <definedName name="__________LPS2" hidden="1">{#N/A,#N/A,FALSE,"단축1";#N/A,#N/A,FALSE,"단축2";#N/A,#N/A,FALSE,"단축3";#N/A,#N/A,FALSE,"장축";#N/A,#N/A,FALSE,"4WD"}</definedName>
    <definedName name="__________MIP10" hidden="1">{#N/A,#N/A,FALSE,"단축1";#N/A,#N/A,FALSE,"단축2";#N/A,#N/A,FALSE,"단축3";#N/A,#N/A,FALSE,"장축";#N/A,#N/A,FALSE,"4WD"}</definedName>
    <definedName name="__________MIP2" hidden="1">{#N/A,#N/A,FALSE,"단축1";#N/A,#N/A,FALSE,"단축2";#N/A,#N/A,FALSE,"단축3";#N/A,#N/A,FALSE,"장축";#N/A,#N/A,FALSE,"4WD"}</definedName>
    <definedName name="__________P21" hidden="1">{#N/A,#N/A,FALSE,"단축1";#N/A,#N/A,FALSE,"단축2";#N/A,#N/A,FALSE,"단축3";#N/A,#N/A,FALSE,"장축";#N/A,#N/A,FALSE,"4WD"}</definedName>
    <definedName name="__________PB004" hidden="1">{#N/A,#N/A,FALSE,"단축1";#N/A,#N/A,FALSE,"단축2";#N/A,#N/A,FALSE,"단축3";#N/A,#N/A,FALSE,"장축";#N/A,#N/A,FALSE,"4WD"}</definedName>
    <definedName name="__________PPP21" hidden="1">{#N/A,#N/A,FALSE,"KMC최종회의(7월) 자료"}</definedName>
    <definedName name="__________PPP3" hidden="1">{#N/A,#N/A,FALSE,"KMC최종회의(7월) 자료"}</definedName>
    <definedName name="__________Q098" hidden="1">{"'7-2지역별'!$A$1:$R$44"}</definedName>
    <definedName name="__________Q1" hidden="1">{#N/A,#N/A,FALSE,"KMC최종회의(7월) 자료"}</definedName>
    <definedName name="__________Q11" hidden="1">{"'7-2지역별'!$A$1:$R$44"}</definedName>
    <definedName name="__________Q11234" hidden="1">{"'7-2지역별'!$A$1:$R$44"}</definedName>
    <definedName name="__________Q12" hidden="1">{"'7-2지역별'!$A$1:$R$44"}</definedName>
    <definedName name="__________Q123" hidden="1">{"'7-2지역별'!$A$1:$R$44"}</definedName>
    <definedName name="__________Q1232" hidden="1">{"'7-2지역별'!$A$1:$R$44"}</definedName>
    <definedName name="__________Q1233" hidden="1">{"'7-2지역별'!$A$1:$R$44"}</definedName>
    <definedName name="__________Q2" hidden="1">{#N/A,#N/A,FALSE,"KMC최종회의(7월) 자료"}</definedName>
    <definedName name="__________Q2342" hidden="1">{"'7-2지역별'!$A$1:$R$44"}</definedName>
    <definedName name="__________Q3" hidden="1">{#N/A,#N/A,FALSE,"KMC최종회의(7월) 자료"}</definedName>
    <definedName name="__________Q343" hidden="1">{"'7-2지역별'!$A$1:$R$44"}</definedName>
    <definedName name="__________Q345" hidden="1">{"'7-2지역별'!$A$1:$R$44"}</definedName>
    <definedName name="__________Q423" hidden="1">{"'7-2지역별'!$A$1:$R$44"}</definedName>
    <definedName name="__________Q43456" hidden="1">{"'7-2지역별'!$A$1:$R$44"}</definedName>
    <definedName name="__________Q5" hidden="1">{#N/A,#N/A,FALSE,"KMC최종회의(7월) 자료"}</definedName>
    <definedName name="__________Q54" hidden="1">{"'7-2지역별'!$A$1:$R$44"}</definedName>
    <definedName name="__________Q543" hidden="1">{"'7-2지역별'!$A$1:$R$44"}</definedName>
    <definedName name="__________Q5434" hidden="1">{"'7-2지역별'!$A$1:$R$44"}</definedName>
    <definedName name="__________Q5555" hidden="1">{"'7-2지역별'!$A$1:$R$44"}</definedName>
    <definedName name="__________Q5678" hidden="1">{"'7-2지역별'!$A$1:$R$44"}</definedName>
    <definedName name="__________Q65465" hidden="1">{"'7-2지역별'!$A$1:$R$44"}</definedName>
    <definedName name="__________Q6765" hidden="1">{"'7-2지역별'!$A$1:$R$44"}</definedName>
    <definedName name="__________Q7" hidden="1">{#N/A,#N/A,FALSE,"KMC최종회의(7월) 자료"}</definedName>
    <definedName name="__________Q765" hidden="1">{"'7-2지역별'!$A$1:$R$44"}</definedName>
    <definedName name="__________Q7655" hidden="1">{"'7-2지역별'!$A$1:$R$44"}</definedName>
    <definedName name="__________Q7687" hidden="1">{"'7-2지역별'!$A$1:$R$44"}</definedName>
    <definedName name="__________Q8" hidden="1">{#N/A,#N/A,FALSE,"KMC최종회의(7월) 자료"}</definedName>
    <definedName name="__________Q876" hidden="1">{"'7-2지역별'!$A$1:$R$44"}</definedName>
    <definedName name="__________Q9" hidden="1">{#N/A,#N/A,FALSE,"KMC최종회의(7월) 자료"}</definedName>
    <definedName name="__________Q98" hidden="1">{"'7-2지역별'!$A$1:$R$44"}</definedName>
    <definedName name="__________S1" hidden="1">{#N/A,#N/A,FALSE,"KMC최종회의(7월) 자료"}</definedName>
    <definedName name="__________S2" hidden="1">{#N/A,#N/A,FALSE,"KMC최종회의(7월) 자료"}</definedName>
    <definedName name="__________S3" hidden="1">{#N/A,#N/A,FALSE,"KMC최종회의(7월) 자료"}</definedName>
    <definedName name="__________S4" hidden="1">{#N/A,#N/A,FALSE,"KMC최종회의(7월) 자료"}</definedName>
    <definedName name="__________S5" hidden="1">{#N/A,#N/A,FALSE,"KMC최종회의(7월) 자료"}</definedName>
    <definedName name="__________S6" hidden="1">{#N/A,#N/A,FALSE,"KMC최종회의(7월) 자료"}</definedName>
    <definedName name="__________S7" hidden="1">{#N/A,#N/A,FALSE,"KMC최종회의(7월) 자료"}</definedName>
    <definedName name="__________S8" hidden="1">{#N/A,#N/A,FALSE,"KMC최종회의(7월) 자료"}</definedName>
    <definedName name="__________SDW1" hidden="1">#REF!</definedName>
    <definedName name="__________SUM1" hidden="1">{#N/A,#N/A,FALSE,"단축1";#N/A,#N/A,FALSE,"단축2";#N/A,#N/A,FALSE,"단축3";#N/A,#N/A,FALSE,"장축";#N/A,#N/A,FALSE,"4WD"}</definedName>
    <definedName name="__________T2" hidden="1">{#N/A,#N/A,FALSE,"단축1";#N/A,#N/A,FALSE,"단축2";#N/A,#N/A,FALSE,"단축3";#N/A,#N/A,FALSE,"장축";#N/A,#N/A,FALSE,"4WD"}</definedName>
    <definedName name="__________T3" hidden="1">{#N/A,#N/A,FALSE,"단축1";#N/A,#N/A,FALSE,"단축2";#N/A,#N/A,FALSE,"단축3";#N/A,#N/A,FALSE,"장축";#N/A,#N/A,FALSE,"4WD"}</definedName>
    <definedName name="__________t45445" hidden="1">{"'7-2지역별'!$A$1:$R$44"}</definedName>
    <definedName name="__________T5" hidden="1">{#N/A,#N/A,FALSE,"단축1";#N/A,#N/A,FALSE,"단축2";#N/A,#N/A,FALSE,"단축3";#N/A,#N/A,FALSE,"장축";#N/A,#N/A,FALSE,"4WD"}</definedName>
    <definedName name="__________U1" hidden="1">{#N/A,#N/A,FALSE,"단축1";#N/A,#N/A,FALSE,"단축2";#N/A,#N/A,FALSE,"단축3";#N/A,#N/A,FALSE,"장축";#N/A,#N/A,FALSE,"4WD"}</definedName>
    <definedName name="__________W1" hidden="1">{#N/A,#N/A,FALSE,"KMC최종회의(7월) 자료"}</definedName>
    <definedName name="__________W12324" hidden="1">{"'7-2지역별'!$A$1:$R$44"}</definedName>
    <definedName name="__________W2" hidden="1">{#N/A,#N/A,FALSE,"KMC최종회의(7월) 자료"}</definedName>
    <definedName name="__________W3" hidden="1">{#N/A,#N/A,FALSE,"KMC최종회의(7월) 자료"}</definedName>
    <definedName name="__________W322" hidden="1">{"'7-2지역별'!$A$1:$R$44"}</definedName>
    <definedName name="__________W4" hidden="1">{#N/A,#N/A,FALSE,"KMC최종회의(7월) 자료"}</definedName>
    <definedName name="__________W4454" hidden="1">{"'7-2지역별'!$A$1:$R$44"}</definedName>
    <definedName name="__________W5" hidden="1">{#N/A,#N/A,FALSE,"KMC최종회의(7월) 자료"}</definedName>
    <definedName name="__________W53" hidden="1">{"'7-2지역별'!$A$1:$R$44"}</definedName>
    <definedName name="__________W6" hidden="1">{#N/A,#N/A,FALSE,"KMC최종회의(7월) 자료"}</definedName>
    <definedName name="__________W7" hidden="1">{#N/A,#N/A,FALSE,"KMC최종회의(7월) 자료"}</definedName>
    <definedName name="__________W8" hidden="1">{#N/A,#N/A,FALSE,"KMC최종회의(7월) 자료"}</definedName>
    <definedName name="__________W9" hidden="1">{#N/A,#N/A,FALSE,"KMC최종회의(7월) 자료"}</definedName>
    <definedName name="__________X1" hidden="1">{#N/A,#N/A,FALSE,"KMC최종회의(7월) 자료"}</definedName>
    <definedName name="__________X2" hidden="1">{#N/A,#N/A,FALSE,"KMC최종회의(7월) 자료"}</definedName>
    <definedName name="__________X3" hidden="1">{#N/A,#N/A,FALSE,"KMC최종회의(7월) 자료"}</definedName>
    <definedName name="__________X4" hidden="1">{#N/A,#N/A,FALSE,"KMC최종회의(7월) 자료"}</definedName>
    <definedName name="__________X5" hidden="1">{#N/A,#N/A,FALSE,"KMC최종회의(7월) 자료"}</definedName>
    <definedName name="__________X6" hidden="1">{#N/A,#N/A,FALSE,"KMC최종회의(7월) 자료"}</definedName>
    <definedName name="__________X7" hidden="1">{#N/A,#N/A,FALSE,"KMC최종회의(7월) 자료"}</definedName>
    <definedName name="__________X8" hidden="1">{#N/A,#N/A,FALSE,"KMC최종회의(7월) 자료"}</definedName>
    <definedName name="__________XG2" hidden="1">{#N/A,#N/A,FALSE,"단축1";#N/A,#N/A,FALSE,"단축2";#N/A,#N/A,FALSE,"단축3";#N/A,#N/A,FALSE,"장축";#N/A,#N/A,FALSE,"4WD"}</definedName>
    <definedName name="__________y45546" hidden="1">{"'7-2지역별'!$A$1:$R$44"}</definedName>
    <definedName name="__________Z1" hidden="1">{#N/A,#N/A,FALSE,"KMC최종회의(7월) 자료"}</definedName>
    <definedName name="__________Z2" hidden="1">{#N/A,#N/A,FALSE,"KMC최종회의(7월) 자료"}</definedName>
    <definedName name="__________Z3" hidden="1">{#N/A,#N/A,FALSE,"KMC최종회의(7월) 자료"}</definedName>
    <definedName name="__________Z4" hidden="1">{#N/A,#N/A,FALSE,"KMC최종회의(7월) 자료"}</definedName>
    <definedName name="__________Z5" hidden="1">{#N/A,#N/A,FALSE,"KMC최종회의(7월) 자료"}</definedName>
    <definedName name="__________Z6" hidden="1">{#N/A,#N/A,FALSE,"KMC최종회의(7월) 자료"}</definedName>
    <definedName name="__________Z7" hidden="1">{#N/A,#N/A,FALSE,"KMC최종회의(7월) 자료"}</definedName>
    <definedName name="__________Z8" hidden="1">{#N/A,#N/A,FALSE,"KMC최종회의(7월) 자료"}</definedName>
    <definedName name="__________Z9" hidden="1">{#N/A,#N/A,FALSE,"KMC최종회의(7월) 자료"}</definedName>
    <definedName name="_________A1" hidden="1">{#N/A,#N/A,FALSE,"KMC최종회의(7월) 자료"}</definedName>
    <definedName name="_________A2" hidden="1">{#N/A,#N/A,FALSE,"KMC최종회의(7월) 자료"}</definedName>
    <definedName name="_________A2040" hidden="1">{#N/A,#N/A,FALSE,"단축1";#N/A,#N/A,FALSE,"단축2";#N/A,#N/A,FALSE,"단축3";#N/A,#N/A,FALSE,"장축";#N/A,#N/A,FALSE,"4WD"}</definedName>
    <definedName name="_________A3" hidden="1">{#N/A,#N/A,FALSE,"KMC최종회의(7월) 자료"}</definedName>
    <definedName name="_________A4" hidden="1">{#N/A,#N/A,FALSE,"KMC최종회의(7월) 자료"}</definedName>
    <definedName name="_________A4444" hidden="1">{#N/A,#N/A,FALSE,"KMC최종회의(7월) 자료"}</definedName>
    <definedName name="_________A5" hidden="1">{#N/A,#N/A,FALSE,"KMC최종회의(7월) 자료"}</definedName>
    <definedName name="_________A6" hidden="1">{#N/A,#N/A,FALSE,"KMC최종회의(7월) 자료"}</definedName>
    <definedName name="_________A6666" hidden="1">{#N/A,#N/A,FALSE,"KMC최종회의(7월) 자료"}</definedName>
    <definedName name="_________A7" hidden="1">{#N/A,#N/A,FALSE,"KMC최종회의(7월) 자료"}</definedName>
    <definedName name="_________A8" hidden="1">{#N/A,#N/A,FALSE,"KMC최종회의(7월) 자료"}</definedName>
    <definedName name="_________A9" hidden="1">{#N/A,#N/A,FALSE,"KMC최종회의(7월) 자료"}</definedName>
    <definedName name="_________AAA1" hidden="1">#REF!</definedName>
    <definedName name="_________AAA10" hidden="1">#REF!</definedName>
    <definedName name="_________AAA11" hidden="1">#REF!</definedName>
    <definedName name="_________AAA12" hidden="1">#REF!</definedName>
    <definedName name="_________AAA13" hidden="1">#REF!</definedName>
    <definedName name="_________AAA14" hidden="1">#REF!</definedName>
    <definedName name="_________AAA15" hidden="1">#REF!</definedName>
    <definedName name="_________AAA16" hidden="1">#REF!</definedName>
    <definedName name="_________AAA17" hidden="1">#REF!</definedName>
    <definedName name="_________AAA18" hidden="1">#REF!</definedName>
    <definedName name="_________AAA19" hidden="1">#REF!</definedName>
    <definedName name="_________AAA2" hidden="1">#REF!</definedName>
    <definedName name="_________AAA20" hidden="1">#REF!</definedName>
    <definedName name="_________AAA21" hidden="1">#REF!</definedName>
    <definedName name="_________AAA22" hidden="1">#REF!</definedName>
    <definedName name="_________AAA23" hidden="1">#REF!</definedName>
    <definedName name="_________AAA24" hidden="1">#REF!</definedName>
    <definedName name="_________AAA3" hidden="1">#REF!</definedName>
    <definedName name="_________AAA4" hidden="1">#REF!</definedName>
    <definedName name="_________AAA5" hidden="1">#REF!</definedName>
    <definedName name="_________AAA6" hidden="1">#REF!</definedName>
    <definedName name="_________AAA7" hidden="1">#REF!</definedName>
    <definedName name="_________AAA8" hidden="1">#REF!</definedName>
    <definedName name="_________AAA9" hidden="1">#REF!</definedName>
    <definedName name="_________AS6" hidden="1">{#N/A,#N/A,FALSE,"Australien";#N/A,#N/A,FALSE,"Birmingham";#N/A,#N/A,FALSE,"Brasilien";#N/A,#N/A,FALSE,"Prag";#N/A,#N/A,FALSE,"Spanien";#N/A,#N/A,FALSE,"Malaysia ( Com)";#N/A,#N/A,FALSE,"Malaysia (Instr)"}</definedName>
    <definedName name="_________CL22" hidden="1">{#N/A,#N/A,FALSE,"KMC최종회의(7월) 자료"}</definedName>
    <definedName name="_________CL222" hidden="1">{#N/A,#N/A,FALSE,"KMC최종회의(7월) 자료"}</definedName>
    <definedName name="_________CL33" hidden="1">{#N/A,#N/A,FALSE,"KMC최종회의(7월) 자료"}</definedName>
    <definedName name="_________CVJ1" hidden="1">{#N/A,#N/A,FALSE,"KMC최종회의(7월) 자료"}</definedName>
    <definedName name="_________DB777" hidden="1">{#N/A,#N/A,TRUE,"Y생산";#N/A,#N/A,TRUE,"Y판매";#N/A,#N/A,TRUE,"Y총물량";#N/A,#N/A,TRUE,"Y능력";#N/A,#N/A,TRUE,"YKD"}</definedName>
    <definedName name="_________DR1" hidden="1">{#N/A,#N/A,FALSE,"업체선정";#N/A,#N/A,FALSE,"업체선정sheet";#N/A,#N/A,FALSE,"업체실태";#N/A,#N/A,FALSE,"업체실태(1)";#N/A,#N/A,FALSE,"종업원현황(2)";#N/A,#N/A,FALSE,"생산품목(3)";#N/A,#N/A,FALSE,"장비보유현황";#N/A,#N/A,FALSE,"차량및약도";#N/A,#N/A,FALSE,"금형LIST"}</definedName>
    <definedName name="_________E1" hidden="1">{#N/A,#N/A,FALSE,"KMC최종회의(7월) 자료"}</definedName>
    <definedName name="_________E2" hidden="1">{#N/A,#N/A,FALSE,"KMC최종회의(7월) 자료"}</definedName>
    <definedName name="_________EO2" hidden="1">{#N/A,#N/A,FALSE,"신규dep";#N/A,#N/A,FALSE,"신규dep-금형상각후";#N/A,#N/A,FALSE,"신규dep-연구비상각후";#N/A,#N/A,FALSE,"신규dep-기계,공구상각후"}</definedName>
    <definedName name="_________EWA1" hidden="1">{#N/A,#N/A,FALSE,"초도품";#N/A,#N/A,FALSE,"초도품 (2)";#N/A,#N/A,FALSE,"초도품 (3)";#N/A,#N/A,FALSE,"초도품 (4)";#N/A,#N/A,FALSE,"초도품 (5)";#N/A,#N/A,FALSE,"초도품 (6)"}</definedName>
    <definedName name="_________FG1" hidden="1">{#N/A,#N/A,FALSE,"단축1";#N/A,#N/A,FALSE,"단축2";#N/A,#N/A,FALSE,"단축3";#N/A,#N/A,FALSE,"장축";#N/A,#N/A,FALSE,"4WD"}</definedName>
    <definedName name="_________G1" hidden="1">{#N/A,#N/A,FALSE,"단축1";#N/A,#N/A,FALSE,"단축2";#N/A,#N/A,FALSE,"단축3";#N/A,#N/A,FALSE,"장축";#N/A,#N/A,FALSE,"4WD"}</definedName>
    <definedName name="_________HL1" hidden="1">{#N/A,#N/A,FALSE,"단축1";#N/A,#N/A,FALSE,"단축2";#N/A,#N/A,FALSE,"단축3";#N/A,#N/A,FALSE,"장축";#N/A,#N/A,FALSE,"4WD"}</definedName>
    <definedName name="_________HL2" hidden="1">{#N/A,#N/A,FALSE,"단축1";#N/A,#N/A,FALSE,"단축2";#N/A,#N/A,FALSE,"단축3";#N/A,#N/A,FALSE,"장축";#N/A,#N/A,FALSE,"4WD"}</definedName>
    <definedName name="_________HL3" hidden="1">{#N/A,#N/A,TRUE,"Y생산";#N/A,#N/A,TRUE,"Y판매";#N/A,#N/A,TRUE,"Y총물량";#N/A,#N/A,TRUE,"Y능력";#N/A,#N/A,TRUE,"YKD"}</definedName>
    <definedName name="_________HP02" hidden="1">{#N/A,#N/A,FALSE,"단축1";#N/A,#N/A,FALSE,"단축2";#N/A,#N/A,FALSE,"단축3";#N/A,#N/A,FALSE,"장축";#N/A,#N/A,FALSE,"4WD"}</definedName>
    <definedName name="_________HP2" hidden="1">{#N/A,#N/A,FALSE,"단축1";#N/A,#N/A,FALSE,"단축2";#N/A,#N/A,FALSE,"단축3";#N/A,#N/A,FALSE,"장축";#N/A,#N/A,FALSE,"4WD"}</definedName>
    <definedName name="_________LH1" hidden="1">{"'7보유'!$A$1:$F$44"}</definedName>
    <definedName name="_________LH2" hidden="1">{"'7보유'!$A$1:$F$44"}</definedName>
    <definedName name="_________LPS2" hidden="1">{#N/A,#N/A,FALSE,"단축1";#N/A,#N/A,FALSE,"단축2";#N/A,#N/A,FALSE,"단축3";#N/A,#N/A,FALSE,"장축";#N/A,#N/A,FALSE,"4WD"}</definedName>
    <definedName name="_________P21" hidden="1">{#N/A,#N/A,FALSE,"단축1";#N/A,#N/A,FALSE,"단축2";#N/A,#N/A,FALSE,"단축3";#N/A,#N/A,FALSE,"장축";#N/A,#N/A,FALSE,"4WD"}</definedName>
    <definedName name="_________PB004" hidden="1">{#N/A,#N/A,FALSE,"단축1";#N/A,#N/A,FALSE,"단축2";#N/A,#N/A,FALSE,"단축3";#N/A,#N/A,FALSE,"장축";#N/A,#N/A,FALSE,"4WD"}</definedName>
    <definedName name="_________PPP21" hidden="1">{#N/A,#N/A,FALSE,"KMC최종회의(7월) 자료"}</definedName>
    <definedName name="_________PPP3" hidden="1">{#N/A,#N/A,FALSE,"KMC최종회의(7월) 자료"}</definedName>
    <definedName name="_________Q1" hidden="1">{#N/A,#N/A,FALSE,"KMC최종회의(7월) 자료"}</definedName>
    <definedName name="_________Q2" hidden="1">{#N/A,#N/A,FALSE,"KMC최종회의(7월) 자료"}</definedName>
    <definedName name="_________Q3" hidden="1">{#N/A,#N/A,FALSE,"KMC최종회의(7월) 자료"}</definedName>
    <definedName name="_________Q5" hidden="1">{#N/A,#N/A,FALSE,"KMC최종회의(7월) 자료"}</definedName>
    <definedName name="_________Q543421" hidden="1">{"'7-2지역별'!$A$1:$R$44"}</definedName>
    <definedName name="_________Q7" hidden="1">{#N/A,#N/A,FALSE,"KMC최종회의(7월) 자료"}</definedName>
    <definedName name="_________Q75655" hidden="1">{"'7-2지역별'!$A$1:$R$44"}</definedName>
    <definedName name="_________Q8" hidden="1">{#N/A,#N/A,FALSE,"KMC최종회의(7월) 자료"}</definedName>
    <definedName name="_________Q9" hidden="1">{#N/A,#N/A,FALSE,"KMC최종회의(7월) 자료"}</definedName>
    <definedName name="_________S1" hidden="1">{#N/A,#N/A,FALSE,"KMC최종회의(7월) 자료"}</definedName>
    <definedName name="_________S2" hidden="1">{#N/A,#N/A,FALSE,"KMC최종회의(7월) 자료"}</definedName>
    <definedName name="_________S3" hidden="1">{#N/A,#N/A,FALSE,"KMC최종회의(7월) 자료"}</definedName>
    <definedName name="_________S4" hidden="1">{#N/A,#N/A,FALSE,"KMC최종회의(7월) 자료"}</definedName>
    <definedName name="_________S5" hidden="1">{#N/A,#N/A,FALSE,"KMC최종회의(7월) 자료"}</definedName>
    <definedName name="_________S6" hidden="1">{#N/A,#N/A,FALSE,"KMC최종회의(7월) 자료"}</definedName>
    <definedName name="_________S7" hidden="1">{#N/A,#N/A,FALSE,"KMC최종회의(7월) 자료"}</definedName>
    <definedName name="_________S8" hidden="1">{#N/A,#N/A,FALSE,"KMC최종회의(7월) 자료"}</definedName>
    <definedName name="_________SD323" hidden="1">{"'7-2지역별'!$A$1:$R$44"}</definedName>
    <definedName name="_________SDW1" hidden="1">#REF!</definedName>
    <definedName name="_________SMM1" hidden="1">{"'7보유'!$A$1:$F$44"}</definedName>
    <definedName name="_________SMM2" hidden="1">{"'7보유'!$A$1:$F$44"}</definedName>
    <definedName name="_________SUM1" hidden="1">{#N/A,#N/A,FALSE,"단축1";#N/A,#N/A,FALSE,"단축2";#N/A,#N/A,FALSE,"단축3";#N/A,#N/A,FALSE,"장축";#N/A,#N/A,FALSE,"4WD"}</definedName>
    <definedName name="_________T2" hidden="1">{#N/A,#N/A,FALSE,"단축1";#N/A,#N/A,FALSE,"단축2";#N/A,#N/A,FALSE,"단축3";#N/A,#N/A,FALSE,"장축";#N/A,#N/A,FALSE,"4WD"}</definedName>
    <definedName name="_________T3" hidden="1">{#N/A,#N/A,FALSE,"단축1";#N/A,#N/A,FALSE,"단축2";#N/A,#N/A,FALSE,"단축3";#N/A,#N/A,FALSE,"장축";#N/A,#N/A,FALSE,"4WD"}</definedName>
    <definedName name="_________U1" hidden="1">{#N/A,#N/A,FALSE,"단축1";#N/A,#N/A,FALSE,"단축2";#N/A,#N/A,FALSE,"단축3";#N/A,#N/A,FALSE,"장축";#N/A,#N/A,FALSE,"4WD"}</definedName>
    <definedName name="_________W1" hidden="1">{#N/A,#N/A,FALSE,"KMC최종회의(7월) 자료"}</definedName>
    <definedName name="_________W2" hidden="1">{#N/A,#N/A,FALSE,"KMC최종회의(7월) 자료"}</definedName>
    <definedName name="_________W3" hidden="1">{#N/A,#N/A,FALSE,"KMC최종회의(7월) 자료"}</definedName>
    <definedName name="_________W4" hidden="1">{#N/A,#N/A,FALSE,"KMC최종회의(7월) 자료"}</definedName>
    <definedName name="_________W5" hidden="1">{#N/A,#N/A,FALSE,"KMC최종회의(7월) 자료"}</definedName>
    <definedName name="_________W6" hidden="1">{#N/A,#N/A,FALSE,"KMC최종회의(7월) 자료"}</definedName>
    <definedName name="_________W7" hidden="1">{#N/A,#N/A,FALSE,"KMC최종회의(7월) 자료"}</definedName>
    <definedName name="_________W8" hidden="1">{#N/A,#N/A,FALSE,"KMC최종회의(7월) 자료"}</definedName>
    <definedName name="_________W9" hidden="1">{#N/A,#N/A,FALSE,"KMC최종회의(7월) 자료"}</definedName>
    <definedName name="_________X1" hidden="1">{#N/A,#N/A,FALSE,"KMC최종회의(7월) 자료"}</definedName>
    <definedName name="_________X2" hidden="1">{#N/A,#N/A,FALSE,"KMC최종회의(7월) 자료"}</definedName>
    <definedName name="_________X3" hidden="1">{#N/A,#N/A,FALSE,"KMC최종회의(7월) 자료"}</definedName>
    <definedName name="_________X4" hidden="1">{#N/A,#N/A,FALSE,"KMC최종회의(7월) 자료"}</definedName>
    <definedName name="_________X5" hidden="1">{#N/A,#N/A,FALSE,"KMC최종회의(7월) 자료"}</definedName>
    <definedName name="_________X6" hidden="1">{#N/A,#N/A,FALSE,"KMC최종회의(7월) 자료"}</definedName>
    <definedName name="_________X7" hidden="1">{#N/A,#N/A,FALSE,"KMC최종회의(7월) 자료"}</definedName>
    <definedName name="_________X8" hidden="1">{#N/A,#N/A,FALSE,"KMC최종회의(7월) 자료"}</definedName>
    <definedName name="_________XG2" hidden="1">{#N/A,#N/A,FALSE,"단축1";#N/A,#N/A,FALSE,"단축2";#N/A,#N/A,FALSE,"단축3";#N/A,#N/A,FALSE,"장축";#N/A,#N/A,FALSE,"4WD"}</definedName>
    <definedName name="_________Z1" hidden="1">{#N/A,#N/A,FALSE,"KMC최종회의(7월) 자료"}</definedName>
    <definedName name="_________Z2" hidden="1">{#N/A,#N/A,FALSE,"KMC최종회의(7월) 자료"}</definedName>
    <definedName name="_________Z3" hidden="1">{#N/A,#N/A,FALSE,"KMC최종회의(7월) 자료"}</definedName>
    <definedName name="_________Z4" hidden="1">{#N/A,#N/A,FALSE,"KMC최종회의(7월) 자료"}</definedName>
    <definedName name="_________Z5" hidden="1">{#N/A,#N/A,FALSE,"KMC최종회의(7월) 자료"}</definedName>
    <definedName name="_________Z6" hidden="1">{#N/A,#N/A,FALSE,"KMC최종회의(7월) 자료"}</definedName>
    <definedName name="_________Z7" hidden="1">{#N/A,#N/A,FALSE,"KMC최종회의(7월) 자료"}</definedName>
    <definedName name="_________Z8" hidden="1">{#N/A,#N/A,FALSE,"KMC최종회의(7월) 자료"}</definedName>
    <definedName name="_________Z9" hidden="1">{#N/A,#N/A,FALSE,"KMC최종회의(7월) 자료"}</definedName>
    <definedName name="_________ZA1" hidden="1">#REF!</definedName>
    <definedName name="_________ZA10" hidden="1">#REF!</definedName>
    <definedName name="_________ZA11" hidden="1">#REF!</definedName>
    <definedName name="_________ZA12" hidden="1">#REF!</definedName>
    <definedName name="_________ZA13" hidden="1">#REF!</definedName>
    <definedName name="_________ZA14" hidden="1">#REF!</definedName>
    <definedName name="_________ZA15" hidden="1">#REF!</definedName>
    <definedName name="_________ZA16" hidden="1">#REF!</definedName>
    <definedName name="_________ZA17" hidden="1">#REF!</definedName>
    <definedName name="_________ZA18" hidden="1">#REF!</definedName>
    <definedName name="_________ZA19" hidden="1">#REF!</definedName>
    <definedName name="_________ZA2" hidden="1">#REF!</definedName>
    <definedName name="_________ZA20" hidden="1">#REF!</definedName>
    <definedName name="_________ZA21" hidden="1">#REF!</definedName>
    <definedName name="_________ZA22" hidden="1">#REF!</definedName>
    <definedName name="_________ZA23" hidden="1">#REF!</definedName>
    <definedName name="_________ZA24" hidden="1">#REF!</definedName>
    <definedName name="_________ZA3" hidden="1">#REF!</definedName>
    <definedName name="_________ZA4" hidden="1">#REF!</definedName>
    <definedName name="_________ZA5" hidden="1">#REF!</definedName>
    <definedName name="_________ZA6" hidden="1">#REF!</definedName>
    <definedName name="_________ZA7" hidden="1">#REF!</definedName>
    <definedName name="_________ZA8" hidden="1">#REF!</definedName>
    <definedName name="_________ZA9" hidden="1">#REF!</definedName>
    <definedName name="________A1" hidden="1">{#N/A,#N/A,FALSE,"KMC최종회의(7월) 자료"}</definedName>
    <definedName name="________A2" hidden="1">{#N/A,#N/A,FALSE,"KMC최종회의(7월) 자료"}</definedName>
    <definedName name="________A3" hidden="1">{#N/A,#N/A,FALSE,"KMC최종회의(7월) 자료"}</definedName>
    <definedName name="________A4" hidden="1">{#N/A,#N/A,FALSE,"KMC최종회의(7월) 자료"}</definedName>
    <definedName name="________A5" hidden="1">{#N/A,#N/A,FALSE,"KMC최종회의(7월) 자료"}</definedName>
    <definedName name="________A5_1" hidden="1">{#N/A,#N/A,FALSE,"KMC최종회의(7월) 자료"}</definedName>
    <definedName name="________A6" hidden="1">{#N/A,#N/A,FALSE,"KMC최종회의(7월) 자료"}</definedName>
    <definedName name="________A6_1" hidden="1">{#N/A,#N/A,FALSE,"KMC최종회의(7월) 자료"}</definedName>
    <definedName name="________A7" hidden="1">{#N/A,#N/A,FALSE,"KMC최종회의(7월) 자료"}</definedName>
    <definedName name="________A7_1" hidden="1">{#N/A,#N/A,FALSE,"KMC최종회의(7월) 자료"}</definedName>
    <definedName name="________A8" hidden="1">{#N/A,#N/A,FALSE,"KMC최종회의(7월) 자료"}</definedName>
    <definedName name="________A8_1" hidden="1">{#N/A,#N/A,FALSE,"KMC최종회의(7월) 자료"}</definedName>
    <definedName name="________A9" hidden="1">{#N/A,#N/A,FALSE,"KMC최종회의(7월) 자료"}</definedName>
    <definedName name="________A9_1" hidden="1">{#N/A,#N/A,FALSE,"KMC최종회의(7월) 자료"}</definedName>
    <definedName name="________AAA1" hidden="1">#REF!</definedName>
    <definedName name="________AAA10" hidden="1">#REF!</definedName>
    <definedName name="________AAA11" hidden="1">#REF!</definedName>
    <definedName name="________AAA111" hidden="1">{#N/A,#N/A,FALSE,"신규dep";#N/A,#N/A,FALSE,"신규dep-금형상각후";#N/A,#N/A,FALSE,"신규dep-연구비상각후";#N/A,#N/A,FALSE,"신규dep-기계,공구상각후"}</definedName>
    <definedName name="________AAA12" hidden="1">#REF!</definedName>
    <definedName name="________AAA13" hidden="1">#REF!</definedName>
    <definedName name="________AAA14" hidden="1">#REF!</definedName>
    <definedName name="________AAA15" hidden="1">#REF!</definedName>
    <definedName name="________AAA16" hidden="1">#REF!</definedName>
    <definedName name="________AAA17" hidden="1">#REF!</definedName>
    <definedName name="________AAA18" hidden="1">#REF!</definedName>
    <definedName name="________AAA19" hidden="1">#REF!</definedName>
    <definedName name="________AAA2" hidden="1">#REF!</definedName>
    <definedName name="________AAA20" hidden="1">#REF!</definedName>
    <definedName name="________AAA21" hidden="1">#REF!</definedName>
    <definedName name="________AAA22" hidden="1">#REF!</definedName>
    <definedName name="________AAA23" hidden="1">#REF!</definedName>
    <definedName name="________AAA24" hidden="1">#REF!</definedName>
    <definedName name="________AAA3" hidden="1">#REF!</definedName>
    <definedName name="________AAA4" hidden="1">#REF!</definedName>
    <definedName name="________AAA5" hidden="1">#REF!</definedName>
    <definedName name="________AAA6" hidden="1">#REF!</definedName>
    <definedName name="________AAA7" hidden="1">#REF!</definedName>
    <definedName name="________AAA8" hidden="1">#REF!</definedName>
    <definedName name="________AAA9" hidden="1">#REF!</definedName>
    <definedName name="________AS6" hidden="1">{#N/A,#N/A,FALSE,"Australien";#N/A,#N/A,FALSE,"Birmingham";#N/A,#N/A,FALSE,"Brasilien";#N/A,#N/A,FALSE,"Prag";#N/A,#N/A,FALSE,"Spanien";#N/A,#N/A,FALSE,"Malaysia ( Com)";#N/A,#N/A,FALSE,"Malaysia (Instr)"}</definedName>
    <definedName name="________CL22" hidden="1">{#N/A,#N/A,FALSE,"KMC최종회의(7월) 자료"}</definedName>
    <definedName name="________CL222" hidden="1">{#N/A,#N/A,FALSE,"KMC최종회의(7월) 자료"}</definedName>
    <definedName name="________CL33" hidden="1">{#N/A,#N/A,FALSE,"KMC최종회의(7월) 자료"}</definedName>
    <definedName name="________CVJ1" hidden="1">{#N/A,#N/A,FALSE,"KMC최종회의(7월) 자료"}</definedName>
    <definedName name="________DB777" hidden="1">{#N/A,#N/A,TRUE,"Y생산";#N/A,#N/A,TRUE,"Y판매";#N/A,#N/A,TRUE,"Y총물량";#N/A,#N/A,TRUE,"Y능력";#N/A,#N/A,TRUE,"YKD"}</definedName>
    <definedName name="________DE33" hidden="1">{"'7-2지역별'!$A$1:$R$44"}</definedName>
    <definedName name="________DR1" hidden="1">{#N/A,#N/A,FALSE,"업체선정";#N/A,#N/A,FALSE,"업체선정sheet";#N/A,#N/A,FALSE,"업체실태";#N/A,#N/A,FALSE,"업체실태(1)";#N/A,#N/A,FALSE,"종업원현황(2)";#N/A,#N/A,FALSE,"생산품목(3)";#N/A,#N/A,FALSE,"장비보유현황";#N/A,#N/A,FALSE,"차량및약도";#N/A,#N/A,FALSE,"금형LIST"}</definedName>
    <definedName name="________E1" hidden="1">{#N/A,#N/A,FALSE,"KMC최종회의(7월) 자료"}</definedName>
    <definedName name="________E1_1" hidden="1">{#N/A,#N/A,FALSE,"KMC최종회의(7월) 자료"}</definedName>
    <definedName name="________E2" hidden="1">{#N/A,#N/A,FALSE,"KMC최종회의(7월) 자료"}</definedName>
    <definedName name="________E2_1" hidden="1">{#N/A,#N/A,FALSE,"KMC최종회의(7월) 자료"}</definedName>
    <definedName name="________E45" hidden="1">{"'7-2지역별'!$A$1:$R$44"}</definedName>
    <definedName name="________EO2" hidden="1">{#N/A,#N/A,FALSE,"신규dep";#N/A,#N/A,FALSE,"신규dep-금형상각후";#N/A,#N/A,FALSE,"신규dep-연구비상각후";#N/A,#N/A,FALSE,"신규dep-기계,공구상각후"}</definedName>
    <definedName name="________EWA1" hidden="1">{#N/A,#N/A,FALSE,"초도품";#N/A,#N/A,FALSE,"초도품 (2)";#N/A,#N/A,FALSE,"초도품 (3)";#N/A,#N/A,FALSE,"초도품 (4)";#N/A,#N/A,FALSE,"초도품 (5)";#N/A,#N/A,FALSE,"초도품 (6)"}</definedName>
    <definedName name="________FG1" hidden="1">{#N/A,#N/A,FALSE,"단축1";#N/A,#N/A,FALSE,"단축2";#N/A,#N/A,FALSE,"단축3";#N/A,#N/A,FALSE,"장축";#N/A,#N/A,FALSE,"4WD"}</definedName>
    <definedName name="________HL1" hidden="1">{#N/A,#N/A,FALSE,"단축1";#N/A,#N/A,FALSE,"단축2";#N/A,#N/A,FALSE,"단축3";#N/A,#N/A,FALSE,"장축";#N/A,#N/A,FALSE,"4WD"}</definedName>
    <definedName name="________HL2" hidden="1">{#N/A,#N/A,FALSE,"단축1";#N/A,#N/A,FALSE,"단축2";#N/A,#N/A,FALSE,"단축3";#N/A,#N/A,FALSE,"장축";#N/A,#N/A,FALSE,"4WD"}</definedName>
    <definedName name="________HL3" hidden="1">{#N/A,#N/A,TRUE,"Y생산";#N/A,#N/A,TRUE,"Y판매";#N/A,#N/A,TRUE,"Y총물량";#N/A,#N/A,TRUE,"Y능력";#N/A,#N/A,TRUE,"YKD"}</definedName>
    <definedName name="________HP02" hidden="1">{#N/A,#N/A,FALSE,"단축1";#N/A,#N/A,FALSE,"단축2";#N/A,#N/A,FALSE,"단축3";#N/A,#N/A,FALSE,"장축";#N/A,#N/A,FALSE,"4WD"}</definedName>
    <definedName name="________HP2" hidden="1">{#N/A,#N/A,FALSE,"단축1";#N/A,#N/A,FALSE,"단축2";#N/A,#N/A,FALSE,"단축3";#N/A,#N/A,FALSE,"장축";#N/A,#N/A,FALSE,"4WD"}</definedName>
    <definedName name="________IO8" hidden="1">{#N/A,#N/A,FALSE,"단축1";#N/A,#N/A,FALSE,"단축2";#N/A,#N/A,FALSE,"단축3";#N/A,#N/A,FALSE,"장축";#N/A,#N/A,FALSE,"4WD"}</definedName>
    <definedName name="________k7" hidden="1">{#N/A,#N/A,FALSE,"단축1";#N/A,#N/A,FALSE,"단축2";#N/A,#N/A,FALSE,"단축3";#N/A,#N/A,FALSE,"장축";#N/A,#N/A,FALSE,"4WD"}</definedName>
    <definedName name="________LH1" hidden="1">{"'7보유'!$A$1:$F$44"}</definedName>
    <definedName name="________LH2" hidden="1">{"'7보유'!$A$1:$F$44"}</definedName>
    <definedName name="________LPS2" hidden="1">{#N/A,#N/A,FALSE,"단축1";#N/A,#N/A,FALSE,"단축2";#N/A,#N/A,FALSE,"단축3";#N/A,#N/A,FALSE,"장축";#N/A,#N/A,FALSE,"4WD"}</definedName>
    <definedName name="________MIP10" hidden="1">{#N/A,#N/A,FALSE,"단축1";#N/A,#N/A,FALSE,"단축2";#N/A,#N/A,FALSE,"단축3";#N/A,#N/A,FALSE,"장축";#N/A,#N/A,FALSE,"4WD"}</definedName>
    <definedName name="________MIP2" hidden="1">{#N/A,#N/A,FALSE,"단축1";#N/A,#N/A,FALSE,"단축2";#N/A,#N/A,FALSE,"단축3";#N/A,#N/A,FALSE,"장축";#N/A,#N/A,FALSE,"4WD"}</definedName>
    <definedName name="________P21" hidden="1">{#N/A,#N/A,FALSE,"단축1";#N/A,#N/A,FALSE,"단축2";#N/A,#N/A,FALSE,"단축3";#N/A,#N/A,FALSE,"장축";#N/A,#N/A,FALSE,"4WD"}</definedName>
    <definedName name="________P3" hidden="1">{#N/A,#N/A,FALSE,"단축1";#N/A,#N/A,FALSE,"단축2";#N/A,#N/A,FALSE,"단축3";#N/A,#N/A,FALSE,"장축";#N/A,#N/A,FALSE,"4WD"}</definedName>
    <definedName name="________PB004" hidden="1">{#N/A,#N/A,FALSE,"단축1";#N/A,#N/A,FALSE,"단축2";#N/A,#N/A,FALSE,"단축3";#N/A,#N/A,FALSE,"장축";#N/A,#N/A,FALSE,"4WD"}</definedName>
    <definedName name="________PPP21" hidden="1">{#N/A,#N/A,FALSE,"KMC최종회의(7월) 자료"}</definedName>
    <definedName name="________PPP3" hidden="1">{#N/A,#N/A,FALSE,"KMC최종회의(7월) 자료"}</definedName>
    <definedName name="________Q098" hidden="1">{"'7-2지역별'!$A$1:$R$44"}</definedName>
    <definedName name="________Q1" hidden="1">{#N/A,#N/A,FALSE,"KMC최종회의(7월) 자료"}</definedName>
    <definedName name="________Q1_1" hidden="1">{#N/A,#N/A,FALSE,"KMC최종회의(7월) 자료"}</definedName>
    <definedName name="________Q11" hidden="1">{"'7-2지역별'!$A$1:$R$44"}</definedName>
    <definedName name="________Q11234" hidden="1">{"'7-2지역별'!$A$1:$R$44"}</definedName>
    <definedName name="________Q12" hidden="1">{"'7-2지역별'!$A$1:$R$44"}</definedName>
    <definedName name="________Q123" hidden="1">{"'7-2지역별'!$A$1:$R$44"}</definedName>
    <definedName name="________Q1232" hidden="1">{"'7-2지역별'!$A$1:$R$44"}</definedName>
    <definedName name="________Q1233" hidden="1">{"'7-2지역별'!$A$1:$R$44"}</definedName>
    <definedName name="________Q2" hidden="1">{#N/A,#N/A,FALSE,"KMC최종회의(7월) 자료"}</definedName>
    <definedName name="________Q2_1" hidden="1">{#N/A,#N/A,FALSE,"KMC최종회의(7월) 자료"}</definedName>
    <definedName name="________Q2342" hidden="1">{"'7-2지역별'!$A$1:$R$44"}</definedName>
    <definedName name="________Q3" hidden="1">{#N/A,#N/A,FALSE,"KMC최종회의(7월) 자료"}</definedName>
    <definedName name="________Q3_1" hidden="1">{#N/A,#N/A,FALSE,"KMC최종회의(7월) 자료"}</definedName>
    <definedName name="________Q343" hidden="1">{"'7-2지역별'!$A$1:$R$44"}</definedName>
    <definedName name="________Q345" hidden="1">{"'7-2지역별'!$A$1:$R$44"}</definedName>
    <definedName name="________Q423" hidden="1">{"'7-2지역별'!$A$1:$R$44"}</definedName>
    <definedName name="________Q43456" hidden="1">{"'7-2지역별'!$A$1:$R$44"}</definedName>
    <definedName name="________Q5" hidden="1">{#N/A,#N/A,FALSE,"KMC최종회의(7월) 자료"}</definedName>
    <definedName name="________Q5_1" hidden="1">{#N/A,#N/A,FALSE,"KMC최종회의(7월) 자료"}</definedName>
    <definedName name="________Q54" hidden="1">{"'7-2지역별'!$A$1:$R$44"}</definedName>
    <definedName name="________Q543" hidden="1">{"'7-2지역별'!$A$1:$R$44"}</definedName>
    <definedName name="________Q5434" hidden="1">{"'7-2지역별'!$A$1:$R$44"}</definedName>
    <definedName name="________Q543421" hidden="1">{"'7-2지역별'!$A$1:$R$44"}</definedName>
    <definedName name="________Q5555" hidden="1">{"'7-2지역별'!$A$1:$R$44"}</definedName>
    <definedName name="________Q5678" hidden="1">{"'7-2지역별'!$A$1:$R$44"}</definedName>
    <definedName name="________Q65465" hidden="1">{"'7-2지역별'!$A$1:$R$44"}</definedName>
    <definedName name="________Q6765" hidden="1">{"'7-2지역별'!$A$1:$R$44"}</definedName>
    <definedName name="________Q7" hidden="1">{#N/A,#N/A,FALSE,"KMC최종회의(7월) 자료"}</definedName>
    <definedName name="________Q7_1" hidden="1">{#N/A,#N/A,FALSE,"KMC최종회의(7월) 자료"}</definedName>
    <definedName name="________Q75655" hidden="1">{"'7-2지역별'!$A$1:$R$44"}</definedName>
    <definedName name="________Q765" hidden="1">{"'7-2지역별'!$A$1:$R$44"}</definedName>
    <definedName name="________Q7655" hidden="1">{"'7-2지역별'!$A$1:$R$44"}</definedName>
    <definedName name="________Q7687" hidden="1">{"'7-2지역별'!$A$1:$R$44"}</definedName>
    <definedName name="________Q8" hidden="1">{#N/A,#N/A,FALSE,"KMC최종회의(7월) 자료"}</definedName>
    <definedName name="________Q8_1" hidden="1">{#N/A,#N/A,FALSE,"KMC최종회의(7월) 자료"}</definedName>
    <definedName name="________Q876" hidden="1">{"'7-2지역별'!$A$1:$R$44"}</definedName>
    <definedName name="________Q9" hidden="1">{#N/A,#N/A,FALSE,"KMC최종회의(7월) 자료"}</definedName>
    <definedName name="________Q9_1" hidden="1">{#N/A,#N/A,FALSE,"KMC최종회의(7월) 자료"}</definedName>
    <definedName name="________Q98" hidden="1">{"'7-2지역별'!$A$1:$R$44"}</definedName>
    <definedName name="________RR2" hidden="1">{#N/A,#N/A,FALSE,"단축1";#N/A,#N/A,FALSE,"단축2";#N/A,#N/A,FALSE,"단축3";#N/A,#N/A,FALSE,"장축";#N/A,#N/A,FALSE,"4WD"}</definedName>
    <definedName name="________S1" hidden="1">{#N/A,#N/A,FALSE,"KMC최종회의(7월) 자료"}</definedName>
    <definedName name="________S2" hidden="1">{#N/A,#N/A,FALSE,"KMC최종회의(7월) 자료"}</definedName>
    <definedName name="________S3" hidden="1">{#N/A,#N/A,FALSE,"KMC최종회의(7월) 자료"}</definedName>
    <definedName name="________S4" hidden="1">{#N/A,#N/A,FALSE,"KMC최종회의(7월) 자료"}</definedName>
    <definedName name="________S4_1" hidden="1">{#N/A,#N/A,FALSE,"KMC최종회의(7월) 자료"}</definedName>
    <definedName name="________S5" hidden="1">{#N/A,#N/A,FALSE,"KMC최종회의(7월) 자료"}</definedName>
    <definedName name="________S5_1" hidden="1">{#N/A,#N/A,FALSE,"KMC최종회의(7월) 자료"}</definedName>
    <definedName name="________S6" hidden="1">{#N/A,#N/A,FALSE,"KMC최종회의(7월) 자료"}</definedName>
    <definedName name="________S6_1" hidden="1">{#N/A,#N/A,FALSE,"KMC최종회의(7월) 자료"}</definedName>
    <definedName name="________S7" hidden="1">{#N/A,#N/A,FALSE,"KMC최종회의(7월) 자료"}</definedName>
    <definedName name="________S7_1" hidden="1">{#N/A,#N/A,FALSE,"KMC최종회의(7월) 자료"}</definedName>
    <definedName name="________S8" hidden="1">{#N/A,#N/A,FALSE,"KMC최종회의(7월) 자료"}</definedName>
    <definedName name="________S8_1" hidden="1">{#N/A,#N/A,FALSE,"KMC최종회의(7월) 자료"}</definedName>
    <definedName name="________SD323" hidden="1">{"'7-2지역별'!$A$1:$R$44"}</definedName>
    <definedName name="________SDW1" hidden="1">#REF!</definedName>
    <definedName name="________SMM1" hidden="1">{"'7보유'!$A$1:$F$44"}</definedName>
    <definedName name="________SMM2" hidden="1">{"'7보유'!$A$1:$F$44"}</definedName>
    <definedName name="________SUM1" hidden="1">{#N/A,#N/A,FALSE,"단축1";#N/A,#N/A,FALSE,"단축2";#N/A,#N/A,FALSE,"단축3";#N/A,#N/A,FALSE,"장축";#N/A,#N/A,FALSE,"4WD"}</definedName>
    <definedName name="________T2" hidden="1">{#N/A,#N/A,FALSE,"단축1";#N/A,#N/A,FALSE,"단축2";#N/A,#N/A,FALSE,"단축3";#N/A,#N/A,FALSE,"장축";#N/A,#N/A,FALSE,"4WD"}</definedName>
    <definedName name="________T3" hidden="1">{#N/A,#N/A,FALSE,"단축1";#N/A,#N/A,FALSE,"단축2";#N/A,#N/A,FALSE,"단축3";#N/A,#N/A,FALSE,"장축";#N/A,#N/A,FALSE,"4WD"}</definedName>
    <definedName name="________t45445" hidden="1">{"'7-2지역별'!$A$1:$R$44"}</definedName>
    <definedName name="________T5" hidden="1">{#N/A,#N/A,FALSE,"단축1";#N/A,#N/A,FALSE,"단축2";#N/A,#N/A,FALSE,"단축3";#N/A,#N/A,FALSE,"장축";#N/A,#N/A,FALSE,"4WD"}</definedName>
    <definedName name="________U1" hidden="1">{#N/A,#N/A,FALSE,"단축1";#N/A,#N/A,FALSE,"단축2";#N/A,#N/A,FALSE,"단축3";#N/A,#N/A,FALSE,"장축";#N/A,#N/A,FALSE,"4WD"}</definedName>
    <definedName name="________W1" hidden="1">{#N/A,#N/A,FALSE,"KMC최종회의(7월) 자료"}</definedName>
    <definedName name="________W1_1" hidden="1">{#N/A,#N/A,FALSE,"KMC최종회의(7월) 자료"}</definedName>
    <definedName name="________W12324" hidden="1">{"'7-2지역별'!$A$1:$R$44"}</definedName>
    <definedName name="________W2" hidden="1">{#N/A,#N/A,FALSE,"KMC최종회의(7월) 자료"}</definedName>
    <definedName name="________W2_1" hidden="1">{#N/A,#N/A,FALSE,"KMC최종회의(7월) 자료"}</definedName>
    <definedName name="________W3" hidden="1">{#N/A,#N/A,FALSE,"KMC최종회의(7월) 자료"}</definedName>
    <definedName name="________W3_1" hidden="1">{#N/A,#N/A,FALSE,"KMC최종회의(7월) 자료"}</definedName>
    <definedName name="________W322" hidden="1">{"'7-2지역별'!$A$1:$R$44"}</definedName>
    <definedName name="________W4" hidden="1">{#N/A,#N/A,FALSE,"KMC최종회의(7월) 자료"}</definedName>
    <definedName name="________W4_1" hidden="1">{#N/A,#N/A,FALSE,"KMC최종회의(7월) 자료"}</definedName>
    <definedName name="________W4454" hidden="1">{"'7-2지역별'!$A$1:$R$44"}</definedName>
    <definedName name="________W5" hidden="1">{#N/A,#N/A,FALSE,"KMC최종회의(7월) 자료"}</definedName>
    <definedName name="________W5_1" hidden="1">{#N/A,#N/A,FALSE,"KMC최종회의(7월) 자료"}</definedName>
    <definedName name="________W53" hidden="1">{"'7-2지역별'!$A$1:$R$44"}</definedName>
    <definedName name="________W6" hidden="1">{#N/A,#N/A,FALSE,"KMC최종회의(7월) 자료"}</definedName>
    <definedName name="________W6_1" hidden="1">{#N/A,#N/A,FALSE,"KMC최종회의(7월) 자료"}</definedName>
    <definedName name="________W7" hidden="1">{#N/A,#N/A,FALSE,"KMC최종회의(7월) 자료"}</definedName>
    <definedName name="________W7_1" hidden="1">{#N/A,#N/A,FALSE,"KMC최종회의(7월) 자료"}</definedName>
    <definedName name="________W8" hidden="1">{#N/A,#N/A,FALSE,"KMC최종회의(7월) 자료"}</definedName>
    <definedName name="________W8_1" hidden="1">{#N/A,#N/A,FALSE,"KMC최종회의(7월) 자료"}</definedName>
    <definedName name="________W9" hidden="1">{#N/A,#N/A,FALSE,"KMC최종회의(7월) 자료"}</definedName>
    <definedName name="________W9_1" hidden="1">{#N/A,#N/A,FALSE,"KMC최종회의(7월) 자료"}</definedName>
    <definedName name="________X1" hidden="1">{#N/A,#N/A,FALSE,"KMC최종회의(7월) 자료"}</definedName>
    <definedName name="________X2" hidden="1">{#N/A,#N/A,FALSE,"KMC최종회의(7월) 자료"}</definedName>
    <definedName name="________X3" hidden="1">{#N/A,#N/A,FALSE,"KMC최종회의(7월) 자료"}</definedName>
    <definedName name="________X3_1" hidden="1">{#N/A,#N/A,FALSE,"KMC최종회의(7월) 자료"}</definedName>
    <definedName name="________X4" hidden="1">{#N/A,#N/A,FALSE,"KMC최종회의(7월) 자료"}</definedName>
    <definedName name="________X4_1" hidden="1">{#N/A,#N/A,FALSE,"KMC최종회의(7월) 자료"}</definedName>
    <definedName name="________X5" hidden="1">{#N/A,#N/A,FALSE,"KMC최종회의(7월) 자료"}</definedName>
    <definedName name="________X5_1" hidden="1">{#N/A,#N/A,FALSE,"KMC최종회의(7월) 자료"}</definedName>
    <definedName name="________X6" hidden="1">{#N/A,#N/A,FALSE,"KMC최종회의(7월) 자료"}</definedName>
    <definedName name="________X6_1" hidden="1">{#N/A,#N/A,FALSE,"KMC최종회의(7월) 자료"}</definedName>
    <definedName name="________X7" hidden="1">{#N/A,#N/A,FALSE,"KMC최종회의(7월) 자료"}</definedName>
    <definedName name="________X7_1" hidden="1">{#N/A,#N/A,FALSE,"KMC최종회의(7월) 자료"}</definedName>
    <definedName name="________X8" hidden="1">{#N/A,#N/A,FALSE,"KMC최종회의(7월) 자료"}</definedName>
    <definedName name="________X8_1" hidden="1">{#N/A,#N/A,FALSE,"KMC최종회의(7월) 자료"}</definedName>
    <definedName name="________XG2" hidden="1">{#N/A,#N/A,FALSE,"단축1";#N/A,#N/A,FALSE,"단축2";#N/A,#N/A,FALSE,"단축3";#N/A,#N/A,FALSE,"장축";#N/A,#N/A,FALSE,"4WD"}</definedName>
    <definedName name="________y45546" hidden="1">{"'7-2지역별'!$A$1:$R$44"}</definedName>
    <definedName name="________Z1" hidden="1">{#N/A,#N/A,FALSE,"KMC최종회의(7월) 자료"}</definedName>
    <definedName name="________Z1_1" hidden="1">{#N/A,#N/A,FALSE,"KMC최종회의(7월) 자료"}</definedName>
    <definedName name="________Z2" hidden="1">{#N/A,#N/A,FALSE,"KMC최종회의(7월) 자료"}</definedName>
    <definedName name="________Z2_1" hidden="1">{#N/A,#N/A,FALSE,"KMC최종회의(7월) 자료"}</definedName>
    <definedName name="________Z3" hidden="1">{#N/A,#N/A,FALSE,"KMC최종회의(7월) 자료"}</definedName>
    <definedName name="________Z3_1" hidden="1">{#N/A,#N/A,FALSE,"KMC최종회의(7월) 자료"}</definedName>
    <definedName name="________Z4" hidden="1">{#N/A,#N/A,FALSE,"KMC최종회의(7월) 자료"}</definedName>
    <definedName name="________Z4_1" hidden="1">{#N/A,#N/A,FALSE,"KMC최종회의(7월) 자료"}</definedName>
    <definedName name="________Z5" hidden="1">{#N/A,#N/A,FALSE,"KMC최종회의(7월) 자료"}</definedName>
    <definedName name="________Z5_1" hidden="1">{#N/A,#N/A,FALSE,"KMC최종회의(7월) 자료"}</definedName>
    <definedName name="________Z6" hidden="1">{#N/A,#N/A,FALSE,"KMC최종회의(7월) 자료"}</definedName>
    <definedName name="________Z6_1" hidden="1">{#N/A,#N/A,FALSE,"KMC최종회의(7월) 자료"}</definedName>
    <definedName name="________Z7" hidden="1">{#N/A,#N/A,FALSE,"KMC최종회의(7월) 자료"}</definedName>
    <definedName name="________Z7_1" hidden="1">{#N/A,#N/A,FALSE,"KMC최종회의(7월) 자료"}</definedName>
    <definedName name="________Z8" hidden="1">{#N/A,#N/A,FALSE,"KMC최종회의(7월) 자료"}</definedName>
    <definedName name="________Z8_1" hidden="1">{#N/A,#N/A,FALSE,"KMC최종회의(7월) 자료"}</definedName>
    <definedName name="________Z9" hidden="1">{#N/A,#N/A,FALSE,"KMC최종회의(7월) 자료"}</definedName>
    <definedName name="________Z9_1" hidden="1">{#N/A,#N/A,FALSE,"KMC최종회의(7월) 자료"}</definedName>
    <definedName name="________ZA1" hidden="1">#REF!</definedName>
    <definedName name="________ZA10" hidden="1">#REF!</definedName>
    <definedName name="________ZA11" hidden="1">#REF!</definedName>
    <definedName name="________ZA12" hidden="1">#REF!</definedName>
    <definedName name="________ZA13" hidden="1">#REF!</definedName>
    <definedName name="________ZA14" hidden="1">#REF!</definedName>
    <definedName name="________ZA15" hidden="1">#REF!</definedName>
    <definedName name="________ZA16" hidden="1">#REF!</definedName>
    <definedName name="________ZA17" hidden="1">#REF!</definedName>
    <definedName name="________ZA18" hidden="1">#REF!</definedName>
    <definedName name="________ZA19" hidden="1">#REF!</definedName>
    <definedName name="________ZA2" hidden="1">#REF!</definedName>
    <definedName name="________ZA20" hidden="1">#REF!</definedName>
    <definedName name="________ZA21" hidden="1">#REF!</definedName>
    <definedName name="________ZA22" hidden="1">#REF!</definedName>
    <definedName name="________ZA23" hidden="1">#REF!</definedName>
    <definedName name="________ZA24" hidden="1">#REF!</definedName>
    <definedName name="________ZA3" hidden="1">#REF!</definedName>
    <definedName name="________ZA4" hidden="1">#REF!</definedName>
    <definedName name="________ZA5" hidden="1">#REF!</definedName>
    <definedName name="________ZA6" hidden="1">#REF!</definedName>
    <definedName name="________ZA7" hidden="1">#REF!</definedName>
    <definedName name="________ZA8" hidden="1">#REF!</definedName>
    <definedName name="________ZA9" hidden="1">#REF!</definedName>
    <definedName name="_______A1" hidden="1">{#N/A,#N/A,FALSE,"KMC최종회의(7월) 자료"}</definedName>
    <definedName name="_______A2" hidden="1">{#N/A,#N/A,FALSE,"KMC최종회의(7월) 자료"}</definedName>
    <definedName name="_______A2040" hidden="1">{#N/A,#N/A,FALSE,"단축1";#N/A,#N/A,FALSE,"단축2";#N/A,#N/A,FALSE,"단축3";#N/A,#N/A,FALSE,"장축";#N/A,#N/A,FALSE,"4WD"}</definedName>
    <definedName name="_______A3" hidden="1">{#N/A,#N/A,FALSE,"KMC최종회의(7월) 자료"}</definedName>
    <definedName name="_______A4" hidden="1">{#N/A,#N/A,FALSE,"KMC최종회의(7월) 자료"}</definedName>
    <definedName name="_______A4_1" hidden="1">{#N/A,#N/A,FALSE,"KMC최종회의(7월) 자료"}</definedName>
    <definedName name="_______A5" hidden="1">{#N/A,#N/A,FALSE,"KMC최종회의(7월) 자료"}</definedName>
    <definedName name="_______A5_1" hidden="1">{#N/A,#N/A,FALSE,"KMC최종회의(7월) 자료"}</definedName>
    <definedName name="_______A6" hidden="1">{#N/A,#N/A,FALSE,"KMC최종회의(7월) 자료"}</definedName>
    <definedName name="_______A6_1" hidden="1">{#N/A,#N/A,FALSE,"KMC최종회의(7월) 자료"}</definedName>
    <definedName name="_______A6666" hidden="1">{#N/A,#N/A,FALSE,"KMC최종회의(7월) 자료"}</definedName>
    <definedName name="_______A7" hidden="1">{#N/A,#N/A,FALSE,"KMC최종회의(7월) 자료"}</definedName>
    <definedName name="_______A7_1" hidden="1">{#N/A,#N/A,FALSE,"KMC최종회의(7월) 자료"}</definedName>
    <definedName name="_______A8" hidden="1">{#N/A,#N/A,FALSE,"KMC최종회의(7월) 자료"}</definedName>
    <definedName name="_______A8_1" hidden="1">{#N/A,#N/A,FALSE,"KMC최종회의(7월) 자료"}</definedName>
    <definedName name="_______A9" hidden="1">{#N/A,#N/A,FALSE,"KMC최종회의(7월) 자료"}</definedName>
    <definedName name="_______A9_1" hidden="1">{#N/A,#N/A,FALSE,"KMC최종회의(7월) 자료"}</definedName>
    <definedName name="_______AAA1" hidden="1">#REF!</definedName>
    <definedName name="_______AAA10" hidden="1">#REF!</definedName>
    <definedName name="_______AAA11" hidden="1">#REF!</definedName>
    <definedName name="_______AAA12" hidden="1">#REF!</definedName>
    <definedName name="_______AAA13" hidden="1">#REF!</definedName>
    <definedName name="_______AAA14" hidden="1">#REF!</definedName>
    <definedName name="_______AAA15" hidden="1">#REF!</definedName>
    <definedName name="_______AAA16" hidden="1">#REF!</definedName>
    <definedName name="_______AAA17" hidden="1">#REF!</definedName>
    <definedName name="_______AAA18" hidden="1">#REF!</definedName>
    <definedName name="_______AAA19" hidden="1">#REF!</definedName>
    <definedName name="_______AAA2" hidden="1">#REF!</definedName>
    <definedName name="_______AAA20" hidden="1">#REF!</definedName>
    <definedName name="_______AAA21" hidden="1">#REF!</definedName>
    <definedName name="_______AAA22" hidden="1">#REF!</definedName>
    <definedName name="_______AAA23" hidden="1">#REF!</definedName>
    <definedName name="_______AAA24" hidden="1">#REF!</definedName>
    <definedName name="_______AAA3" hidden="1">#REF!</definedName>
    <definedName name="_______AAA4" hidden="1">#REF!</definedName>
    <definedName name="_______AAA5" hidden="1">#REF!</definedName>
    <definedName name="_______AAA6" hidden="1">#REF!</definedName>
    <definedName name="_______AAA7" hidden="1">#REF!</definedName>
    <definedName name="_______AAA8" hidden="1">#REF!</definedName>
    <definedName name="_______AAA9" hidden="1">#REF!</definedName>
    <definedName name="_______AS6" hidden="1">{#N/A,#N/A,FALSE,"Australien";#N/A,#N/A,FALSE,"Birmingham";#N/A,#N/A,FALSE,"Brasilien";#N/A,#N/A,FALSE,"Prag";#N/A,#N/A,FALSE,"Spanien";#N/A,#N/A,FALSE,"Malaysia ( Com)";#N/A,#N/A,FALSE,"Malaysia (Instr)"}</definedName>
    <definedName name="_______AS6_1" hidden="1">{#N/A,#N/A,FALSE,"Australien";#N/A,#N/A,FALSE,"Birmingham";#N/A,#N/A,FALSE,"Brasilien";#N/A,#N/A,FALSE,"Prag";#N/A,#N/A,FALSE,"Spanien";#N/A,#N/A,FALSE,"Malaysia ( Com)";#N/A,#N/A,FALSE,"Malaysia (Instr)"}</definedName>
    <definedName name="_______AT1" hidden="1">{#N/A,#N/A,FALSE,"인원";#N/A,#N/A,FALSE,"비용2";#N/A,#N/A,FALSE,"비용1";#N/A,#N/A,FALSE,"비용";#N/A,#N/A,FALSE,"보증2";#N/A,#N/A,FALSE,"보증1";#N/A,#N/A,FALSE,"보증";#N/A,#N/A,FALSE,"손익1";#N/A,#N/A,FALSE,"손익";#N/A,#N/A,FALSE,"부서별매출";#N/A,#N/A,FALSE,"매출"}</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hidden="1">{#N/A,#N/A,FALSE,"인원";#N/A,#N/A,FALSE,"비용2";#N/A,#N/A,FALSE,"비용1";#N/A,#N/A,FALSE,"비용";#N/A,#N/A,FALSE,"보증2";#N/A,#N/A,FALSE,"보증1";#N/A,#N/A,FALSE,"보증";#N/A,#N/A,FALSE,"손익1";#N/A,#N/A,FALSE,"손익";#N/A,#N/A,FALSE,"부서별매출";#N/A,#N/A,FALSE,"매출"}</definedName>
    <definedName name="_______CL22" hidden="1">{#N/A,#N/A,FALSE,"KMC최종회의(7월) 자료"}</definedName>
    <definedName name="_______CL222" hidden="1">{#N/A,#N/A,FALSE,"KMC최종회의(7월) 자료"}</definedName>
    <definedName name="_______CL33" hidden="1">{#N/A,#N/A,FALSE,"KMC최종회의(7월) 자료"}</definedName>
    <definedName name="_______CVJ1" hidden="1">{#N/A,#N/A,FALSE,"KMC최종회의(7월) 자료"}</definedName>
    <definedName name="_______D6" hidden="1">{"'표지'!$B$5"}</definedName>
    <definedName name="_______DB777" hidden="1">{#N/A,#N/A,TRUE,"Y생산";#N/A,#N/A,TRUE,"Y판매";#N/A,#N/A,TRUE,"Y총물량";#N/A,#N/A,TRUE,"Y능력";#N/A,#N/A,TRUE,"YKD"}</definedName>
    <definedName name="_______DE33" hidden="1">{"'7-2지역별'!$A$1:$R$44"}</definedName>
    <definedName name="_______DR1" hidden="1">{#N/A,#N/A,FALSE,"업체선정";#N/A,#N/A,FALSE,"업체선정sheet";#N/A,#N/A,FALSE,"업체실태";#N/A,#N/A,FALSE,"업체실태(1)";#N/A,#N/A,FALSE,"종업원현황(2)";#N/A,#N/A,FALSE,"생산품목(3)";#N/A,#N/A,FALSE,"장비보유현황";#N/A,#N/A,FALSE,"차량및약도";#N/A,#N/A,FALSE,"금형LIST"}</definedName>
    <definedName name="_______E1" hidden="1">{#N/A,#N/A,FALSE,"KMC최종회의(7월) 자료"}</definedName>
    <definedName name="_______E1_1" hidden="1">{#N/A,#N/A,FALSE,"KMC최종회의(7월) 자료"}</definedName>
    <definedName name="_______E2" hidden="1">{#N/A,#N/A,FALSE,"KMC최종회의(7월) 자료"}</definedName>
    <definedName name="_______E2_1" hidden="1">{#N/A,#N/A,FALSE,"KMC최종회의(7월) 자료"}</definedName>
    <definedName name="_______E45" hidden="1">{"'7-2지역별'!$A$1:$R$44"}</definedName>
    <definedName name="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O2" hidden="1">{#N/A,#N/A,FALSE,"신규dep";#N/A,#N/A,FALSE,"신규dep-금형상각후";#N/A,#N/A,FALSE,"신규dep-연구비상각후";#N/A,#N/A,FALSE,"신규dep-기계,공구상각후"}</definedName>
    <definedName name="_______EWA1" hidden="1">{#N/A,#N/A,FALSE,"초도품";#N/A,#N/A,FALSE,"초도품 (2)";#N/A,#N/A,FALSE,"초도품 (3)";#N/A,#N/A,FALSE,"초도품 (4)";#N/A,#N/A,FALSE,"초도품 (5)";#N/A,#N/A,FALSE,"초도품 (6)"}</definedName>
    <definedName name="_______FG1" hidden="1">{#N/A,#N/A,FALSE,"단축1";#N/A,#N/A,FALSE,"단축2";#N/A,#N/A,FALSE,"단축3";#N/A,#N/A,FALSE,"장축";#N/A,#N/A,FALSE,"4WD"}</definedName>
    <definedName name="_______G1" hidden="1">{#N/A,#N/A,FALSE,"단축1";#N/A,#N/A,FALSE,"단축2";#N/A,#N/A,FALSE,"단축3";#N/A,#N/A,FALSE,"장축";#N/A,#N/A,FALSE,"4WD"}</definedName>
    <definedName name="_______h1" hidden="1">{"'표지'!$B$5"}</definedName>
    <definedName name="_______h2" hidden="1">{"'표지'!$B$5"}</definedName>
    <definedName name="_______h3" hidden="1">{"'표지'!$B$5"}</definedName>
    <definedName name="_______h4" hidden="1">{"'표지'!$B$5"}</definedName>
    <definedName name="_______h5" hidden="1">{"'표지'!$B$5"}</definedName>
    <definedName name="_______HL1" hidden="1">{#N/A,#N/A,FALSE,"단축1";#N/A,#N/A,FALSE,"단축2";#N/A,#N/A,FALSE,"단축3";#N/A,#N/A,FALSE,"장축";#N/A,#N/A,FALSE,"4WD"}</definedName>
    <definedName name="_______HL2" hidden="1">{#N/A,#N/A,FALSE,"단축1";#N/A,#N/A,FALSE,"단축2";#N/A,#N/A,FALSE,"단축3";#N/A,#N/A,FALSE,"장축";#N/A,#N/A,FALSE,"4WD"}</definedName>
    <definedName name="_______HL3" hidden="1">{#N/A,#N/A,TRUE,"Y생산";#N/A,#N/A,TRUE,"Y판매";#N/A,#N/A,TRUE,"Y총물량";#N/A,#N/A,TRUE,"Y능력";#N/A,#N/A,TRUE,"YKD"}</definedName>
    <definedName name="_______HP02" hidden="1">{#N/A,#N/A,FALSE,"단축1";#N/A,#N/A,FALSE,"단축2";#N/A,#N/A,FALSE,"단축3";#N/A,#N/A,FALSE,"장축";#N/A,#N/A,FALSE,"4WD"}</definedName>
    <definedName name="_______HP2" hidden="1">{#N/A,#N/A,FALSE,"단축1";#N/A,#N/A,FALSE,"단축2";#N/A,#N/A,FALSE,"단축3";#N/A,#N/A,FALSE,"장축";#N/A,#N/A,FALSE,"4WD"}</definedName>
    <definedName name="_______htt1" hidden="1">{"'표지'!$B$5"}</definedName>
    <definedName name="_______IO8" hidden="1">{#N/A,#N/A,FALSE,"단축1";#N/A,#N/A,FALSE,"단축2";#N/A,#N/A,FALSE,"단축3";#N/A,#N/A,FALSE,"장축";#N/A,#N/A,FALSE,"4WD"}</definedName>
    <definedName name="_______IO8_1" hidden="1">{#N/A,#N/A,FALSE,"단축1";#N/A,#N/A,FALSE,"단축2";#N/A,#N/A,FALSE,"단축3";#N/A,#N/A,FALSE,"장축";#N/A,#N/A,FALSE,"4WD"}</definedName>
    <definedName name="_______k7" hidden="1">{#N/A,#N/A,FALSE,"단축1";#N/A,#N/A,FALSE,"단축2";#N/A,#N/A,FALSE,"단축3";#N/A,#N/A,FALSE,"장축";#N/A,#N/A,FALSE,"4WD"}</definedName>
    <definedName name="_______k8" hidden="1">{#N/A,#N/A,FALSE,"단축1";#N/A,#N/A,FALSE,"단축2";#N/A,#N/A,FALSE,"단축3";#N/A,#N/A,FALSE,"장축";#N/A,#N/A,FALSE,"4WD"}</definedName>
    <definedName name="_______k9" hidden="1">{#N/A,#N/A,FALSE,"단축1";#N/A,#N/A,FALSE,"단축2";#N/A,#N/A,FALSE,"단축3";#N/A,#N/A,FALSE,"장축";#N/A,#N/A,FALSE,"4WD"}</definedName>
    <definedName name="_______LH1" hidden="1">{"'7보유'!$A$1:$F$44"}</definedName>
    <definedName name="_______LH2" hidden="1">{"'7보유'!$A$1:$F$44"}</definedName>
    <definedName name="_______LPS2" hidden="1">{#N/A,#N/A,FALSE,"단축1";#N/A,#N/A,FALSE,"단축2";#N/A,#N/A,FALSE,"단축3";#N/A,#N/A,FALSE,"장축";#N/A,#N/A,FALSE,"4WD"}</definedName>
    <definedName name="_______LPS2_1" hidden="1">{#N/A,#N/A,FALSE,"단축1";#N/A,#N/A,FALSE,"단축2";#N/A,#N/A,FALSE,"단축3";#N/A,#N/A,FALSE,"장축";#N/A,#N/A,FALSE,"4WD"}</definedName>
    <definedName name="_______MIP10" hidden="1">{#N/A,#N/A,FALSE,"단축1";#N/A,#N/A,FALSE,"단축2";#N/A,#N/A,FALSE,"단축3";#N/A,#N/A,FALSE,"장축";#N/A,#N/A,FALSE,"4WD"}</definedName>
    <definedName name="_______MIP2" hidden="1">{#N/A,#N/A,FALSE,"단축1";#N/A,#N/A,FALSE,"단축2";#N/A,#N/A,FALSE,"단축3";#N/A,#N/A,FALSE,"장축";#N/A,#N/A,FALSE,"4WD"}</definedName>
    <definedName name="_______P2" hidden="1">{#N/A,#N/A,FALSE,"단축1";#N/A,#N/A,FALSE,"단축2";#N/A,#N/A,FALSE,"단축3";#N/A,#N/A,FALSE,"장축";#N/A,#N/A,FALSE,"4WD"}</definedName>
    <definedName name="_______P21" hidden="1">{#N/A,#N/A,FALSE,"단축1";#N/A,#N/A,FALSE,"단축2";#N/A,#N/A,FALSE,"단축3";#N/A,#N/A,FALSE,"장축";#N/A,#N/A,FALSE,"4WD"}</definedName>
    <definedName name="_______PB004" hidden="1">{#N/A,#N/A,FALSE,"단축1";#N/A,#N/A,FALSE,"단축2";#N/A,#N/A,FALSE,"단축3";#N/A,#N/A,FALSE,"장축";#N/A,#N/A,FALSE,"4WD"}</definedName>
    <definedName name="_______PPP21" hidden="1">{#N/A,#N/A,FALSE,"KMC최종회의(7월) 자료"}</definedName>
    <definedName name="_______PPP3" hidden="1">{#N/A,#N/A,FALSE,"KMC최종회의(7월) 자료"}</definedName>
    <definedName name="_______Q098" hidden="1">{"'7-2지역별'!$A$1:$R$44"}</definedName>
    <definedName name="_______Q1" hidden="1">{#N/A,#N/A,FALSE,"KMC최종회의(7월) 자료"}</definedName>
    <definedName name="_______Q1_1" hidden="1">{#N/A,#N/A,FALSE,"KMC최종회의(7월) 자료"}</definedName>
    <definedName name="_______Q11" hidden="1">{"'7-2지역별'!$A$1:$R$44"}</definedName>
    <definedName name="_______Q11234" hidden="1">{"'7-2지역별'!$A$1:$R$44"}</definedName>
    <definedName name="_______Q12" hidden="1">{"'7-2지역별'!$A$1:$R$44"}</definedName>
    <definedName name="_______Q123" hidden="1">{"'7-2지역별'!$A$1:$R$44"}</definedName>
    <definedName name="_______Q1232" hidden="1">{"'7-2지역별'!$A$1:$R$44"}</definedName>
    <definedName name="_______Q1233" hidden="1">{"'7-2지역별'!$A$1:$R$44"}</definedName>
    <definedName name="_______Q2" hidden="1">{#N/A,#N/A,FALSE,"KMC최종회의(7월) 자료"}</definedName>
    <definedName name="_______Q2_1" hidden="1">{#N/A,#N/A,FALSE,"KMC최종회의(7월) 자료"}</definedName>
    <definedName name="_______Q2342" hidden="1">{"'7-2지역별'!$A$1:$R$44"}</definedName>
    <definedName name="_______Q3" hidden="1">{#N/A,#N/A,FALSE,"KMC최종회의(7월) 자료"}</definedName>
    <definedName name="_______Q3_1" hidden="1">{#N/A,#N/A,FALSE,"KMC최종회의(7월) 자료"}</definedName>
    <definedName name="_______Q343" hidden="1">{"'7-2지역별'!$A$1:$R$44"}</definedName>
    <definedName name="_______Q345" hidden="1">{"'7-2지역별'!$A$1:$R$44"}</definedName>
    <definedName name="_______Q423" hidden="1">{"'7-2지역별'!$A$1:$R$44"}</definedName>
    <definedName name="_______Q43456" hidden="1">{"'7-2지역별'!$A$1:$R$44"}</definedName>
    <definedName name="_______Q5" hidden="1">{#N/A,#N/A,FALSE,"KMC최종회의(7월) 자료"}</definedName>
    <definedName name="_______Q5_1" hidden="1">{#N/A,#N/A,FALSE,"KMC최종회의(7월) 자료"}</definedName>
    <definedName name="_______Q54" hidden="1">{"'7-2지역별'!$A$1:$R$44"}</definedName>
    <definedName name="_______Q543" hidden="1">{"'7-2지역별'!$A$1:$R$44"}</definedName>
    <definedName name="_______Q5434" hidden="1">{"'7-2지역별'!$A$1:$R$44"}</definedName>
    <definedName name="_______Q543421" hidden="1">{"'7-2지역별'!$A$1:$R$44"}</definedName>
    <definedName name="_______Q5555" hidden="1">{"'7-2지역별'!$A$1:$R$44"}</definedName>
    <definedName name="_______Q5678" hidden="1">{"'7-2지역별'!$A$1:$R$44"}</definedName>
    <definedName name="_______Q65465" hidden="1">{"'7-2지역별'!$A$1:$R$44"}</definedName>
    <definedName name="_______Q6765" hidden="1">{"'7-2지역별'!$A$1:$R$44"}</definedName>
    <definedName name="_______Q7" hidden="1">{#N/A,#N/A,FALSE,"KMC최종회의(7월) 자료"}</definedName>
    <definedName name="_______Q7_1" hidden="1">{#N/A,#N/A,FALSE,"KMC최종회의(7월) 자료"}</definedName>
    <definedName name="_______Q75655" hidden="1">{"'7-2지역별'!$A$1:$R$44"}</definedName>
    <definedName name="_______Q765" hidden="1">{"'7-2지역별'!$A$1:$R$44"}</definedName>
    <definedName name="_______Q7655" hidden="1">{"'7-2지역별'!$A$1:$R$44"}</definedName>
    <definedName name="_______Q7687" hidden="1">{"'7-2지역별'!$A$1:$R$44"}</definedName>
    <definedName name="_______Q8" hidden="1">{#N/A,#N/A,FALSE,"KMC최종회의(7월) 자료"}</definedName>
    <definedName name="_______Q8_1" hidden="1">{#N/A,#N/A,FALSE,"KMC최종회의(7월) 자료"}</definedName>
    <definedName name="_______Q876" hidden="1">{"'7-2지역별'!$A$1:$R$44"}</definedName>
    <definedName name="_______Q9" hidden="1">{#N/A,#N/A,FALSE,"KMC최종회의(7월) 자료"}</definedName>
    <definedName name="_______Q9_1" hidden="1">{#N/A,#N/A,FALSE,"KMC최종회의(7월) 자료"}</definedName>
    <definedName name="_______Q98" hidden="1">{"'7-2지역별'!$A$1:$R$44"}</definedName>
    <definedName name="_______RR2" hidden="1">{#N/A,#N/A,FALSE,"단축1";#N/A,#N/A,FALSE,"단축2";#N/A,#N/A,FALSE,"단축3";#N/A,#N/A,FALSE,"장축";#N/A,#N/A,FALSE,"4WD"}</definedName>
    <definedName name="_______S1" hidden="1">{#N/A,#N/A,FALSE,"KMC최종회의(7월) 자료"}</definedName>
    <definedName name="_______S2" hidden="1">{#N/A,#N/A,FALSE,"KMC최종회의(7월) 자료"}</definedName>
    <definedName name="_______S3" hidden="1">{#N/A,#N/A,FALSE,"KMC최종회의(7월) 자료"}</definedName>
    <definedName name="_______S4" hidden="1">{#N/A,#N/A,FALSE,"KMC최종회의(7월) 자료"}</definedName>
    <definedName name="_______S4_1" hidden="1">{#N/A,#N/A,FALSE,"KMC최종회의(7월) 자료"}</definedName>
    <definedName name="_______S5" hidden="1">{#N/A,#N/A,FALSE,"KMC최종회의(7월) 자료"}</definedName>
    <definedName name="_______S5_1" hidden="1">{#N/A,#N/A,FALSE,"KMC최종회의(7월) 자료"}</definedName>
    <definedName name="_______S6" hidden="1">{#N/A,#N/A,FALSE,"KMC최종회의(7월) 자료"}</definedName>
    <definedName name="_______S6_1" hidden="1">{#N/A,#N/A,FALSE,"KMC최종회의(7월) 자료"}</definedName>
    <definedName name="_______S7" hidden="1">{#N/A,#N/A,FALSE,"KMC최종회의(7월) 자료"}</definedName>
    <definedName name="_______S7_1" hidden="1">{#N/A,#N/A,FALSE,"KMC최종회의(7월) 자료"}</definedName>
    <definedName name="_______S8" hidden="1">{#N/A,#N/A,FALSE,"KMC최종회의(7월) 자료"}</definedName>
    <definedName name="_______S8_1" hidden="1">{#N/A,#N/A,FALSE,"KMC최종회의(7월) 자료"}</definedName>
    <definedName name="_______SD323" hidden="1">{"'7-2지역별'!$A$1:$R$44"}</definedName>
    <definedName name="_______SDW1" hidden="1">#REF!</definedName>
    <definedName name="_______SMM1" hidden="1">{"'7보유'!$A$1:$F$44"}</definedName>
    <definedName name="_______SMM2" hidden="1">{"'7보유'!$A$1:$F$44"}</definedName>
    <definedName name="_______SUM1" hidden="1">{#N/A,#N/A,FALSE,"단축1";#N/A,#N/A,FALSE,"단축2";#N/A,#N/A,FALSE,"단축3";#N/A,#N/A,FALSE,"장축";#N/A,#N/A,FALSE,"4WD"}</definedName>
    <definedName name="_______T2" hidden="1">{#N/A,#N/A,FALSE,"단축1";#N/A,#N/A,FALSE,"단축2";#N/A,#N/A,FALSE,"단축3";#N/A,#N/A,FALSE,"장축";#N/A,#N/A,FALSE,"4WD"}</definedName>
    <definedName name="_______T3" hidden="1">{#N/A,#N/A,FALSE,"단축1";#N/A,#N/A,FALSE,"단축2";#N/A,#N/A,FALSE,"단축3";#N/A,#N/A,FALSE,"장축";#N/A,#N/A,FALSE,"4WD"}</definedName>
    <definedName name="_______t45445" hidden="1">{"'7-2지역별'!$A$1:$R$44"}</definedName>
    <definedName name="_______T5" hidden="1">{#N/A,#N/A,FALSE,"단축1";#N/A,#N/A,FALSE,"단축2";#N/A,#N/A,FALSE,"단축3";#N/A,#N/A,FALSE,"장축";#N/A,#N/A,FALSE,"4WD"}</definedName>
    <definedName name="_______TRT11" hidden="1">{#N/A,#N/A,FALSE,"표지";#N/A,#N/A,FALSE,"전제";#N/A,#N/A,FALSE,"손익-자 (2)";#N/A,#N/A,FALSE,"손익-자";#N/A,#N/A,FALSE,"손익-마 (2)";#N/A,#N/A,FALSE,"손익-마";#N/A,#N/A,FALSE,"총손최종"}</definedName>
    <definedName name="_______U1" hidden="1">{#N/A,#N/A,FALSE,"단축1";#N/A,#N/A,FALSE,"단축2";#N/A,#N/A,FALSE,"단축3";#N/A,#N/A,FALSE,"장축";#N/A,#N/A,FALSE,"4WD"}</definedName>
    <definedName name="_______W1" hidden="1">{#N/A,#N/A,FALSE,"KMC최종회의(7월) 자료"}</definedName>
    <definedName name="_______W1_1" hidden="1">{#N/A,#N/A,FALSE,"KMC최종회의(7월) 자료"}</definedName>
    <definedName name="_______W12324" hidden="1">{"'7-2지역별'!$A$1:$R$44"}</definedName>
    <definedName name="_______W2" hidden="1">{#N/A,#N/A,FALSE,"KMC최종회의(7월) 자료"}</definedName>
    <definedName name="_______W2_1" hidden="1">{#N/A,#N/A,FALSE,"KMC최종회의(7월) 자료"}</definedName>
    <definedName name="_______W3" hidden="1">{#N/A,#N/A,FALSE,"KMC최종회의(7월) 자료"}</definedName>
    <definedName name="_______W3_1" hidden="1">{#N/A,#N/A,FALSE,"KMC최종회의(7월) 자료"}</definedName>
    <definedName name="_______W322" hidden="1">{"'7-2지역별'!$A$1:$R$44"}</definedName>
    <definedName name="_______W4" hidden="1">{#N/A,#N/A,FALSE,"KMC최종회의(7월) 자료"}</definedName>
    <definedName name="_______W4_1" hidden="1">{#N/A,#N/A,FALSE,"KMC최종회의(7월) 자료"}</definedName>
    <definedName name="_______W4454" hidden="1">{"'7-2지역별'!$A$1:$R$44"}</definedName>
    <definedName name="_______W5" hidden="1">{#N/A,#N/A,FALSE,"KMC최종회의(7월) 자료"}</definedName>
    <definedName name="_______W5_1" hidden="1">{#N/A,#N/A,FALSE,"KMC최종회의(7월) 자료"}</definedName>
    <definedName name="_______W53" hidden="1">{"'7-2지역별'!$A$1:$R$44"}</definedName>
    <definedName name="_______W6" hidden="1">{#N/A,#N/A,FALSE,"KMC최종회의(7월) 자료"}</definedName>
    <definedName name="_______W6_1" hidden="1">{#N/A,#N/A,FALSE,"KMC최종회의(7월) 자료"}</definedName>
    <definedName name="_______W7" hidden="1">{#N/A,#N/A,FALSE,"KMC최종회의(7월) 자료"}</definedName>
    <definedName name="_______W7_1" hidden="1">{#N/A,#N/A,FALSE,"KMC최종회의(7월) 자료"}</definedName>
    <definedName name="_______W8" hidden="1">{#N/A,#N/A,FALSE,"KMC최종회의(7월) 자료"}</definedName>
    <definedName name="_______W8_1" hidden="1">{#N/A,#N/A,FALSE,"KMC최종회의(7월) 자료"}</definedName>
    <definedName name="_______W9" hidden="1">{#N/A,#N/A,FALSE,"KMC최종회의(7월) 자료"}</definedName>
    <definedName name="_______W9_1" hidden="1">{#N/A,#N/A,FALSE,"KMC최종회의(7월) 자료"}</definedName>
    <definedName name="_______WRN2" hidden="1">{#N/A,#N/A,FALSE,"단축1";#N/A,#N/A,FALSE,"단축2";#N/A,#N/A,FALSE,"단축3";#N/A,#N/A,FALSE,"장축";#N/A,#N/A,FALSE,"4WD"}</definedName>
    <definedName name="_______X1" hidden="1">{#N/A,#N/A,FALSE,"KMC최종회의(7월) 자료"}</definedName>
    <definedName name="_______X1_1" hidden="1">{#N/A,#N/A,FALSE,"KMC최종회의(7월) 자료"}</definedName>
    <definedName name="_______X2" hidden="1">{#N/A,#N/A,FALSE,"KMC최종회의(7월) 자료"}</definedName>
    <definedName name="_______X2_1" hidden="1">{#N/A,#N/A,FALSE,"KMC최종회의(7월) 자료"}</definedName>
    <definedName name="_______X3" hidden="1">{#N/A,#N/A,FALSE,"KMC최종회의(7월) 자료"}</definedName>
    <definedName name="_______X3_1" hidden="1">{#N/A,#N/A,FALSE,"KMC최종회의(7월) 자료"}</definedName>
    <definedName name="_______X4" hidden="1">{#N/A,#N/A,FALSE,"KMC최종회의(7월) 자료"}</definedName>
    <definedName name="_______X4_1" hidden="1">{#N/A,#N/A,FALSE,"KMC최종회의(7월) 자료"}</definedName>
    <definedName name="_______X5" hidden="1">{#N/A,#N/A,FALSE,"KMC최종회의(7월) 자료"}</definedName>
    <definedName name="_______X5_1" hidden="1">{#N/A,#N/A,FALSE,"KMC최종회의(7월) 자료"}</definedName>
    <definedName name="_______X6" hidden="1">{#N/A,#N/A,FALSE,"KMC최종회의(7월) 자료"}</definedName>
    <definedName name="_______X6_1" hidden="1">{#N/A,#N/A,FALSE,"KMC최종회의(7월) 자료"}</definedName>
    <definedName name="_______X7" hidden="1">{#N/A,#N/A,FALSE,"KMC최종회의(7월) 자료"}</definedName>
    <definedName name="_______X7_1" hidden="1">{#N/A,#N/A,FALSE,"KMC최종회의(7월) 자료"}</definedName>
    <definedName name="_______X8" hidden="1">{#N/A,#N/A,FALSE,"KMC최종회의(7월) 자료"}</definedName>
    <definedName name="_______X8_1" hidden="1">{#N/A,#N/A,FALSE,"KMC최종회의(7월) 자료"}</definedName>
    <definedName name="_______XG2" hidden="1">{#N/A,#N/A,FALSE,"단축1";#N/A,#N/A,FALSE,"단축2";#N/A,#N/A,FALSE,"단축3";#N/A,#N/A,FALSE,"장축";#N/A,#N/A,FALSE,"4WD"}</definedName>
    <definedName name="_______XG2_1" hidden="1">{#N/A,#N/A,FALSE,"단축1";#N/A,#N/A,FALSE,"단축2";#N/A,#N/A,FALSE,"단축3";#N/A,#N/A,FALSE,"장축";#N/A,#N/A,FALSE,"4WD"}</definedName>
    <definedName name="_______y45546" hidden="1">{"'7-2지역별'!$A$1:$R$44"}</definedName>
    <definedName name="_______Z1" hidden="1">{#N/A,#N/A,FALSE,"KMC최종회의(7월) 자료"}</definedName>
    <definedName name="_______Z1_1" hidden="1">{#N/A,#N/A,FALSE,"KMC최종회의(7월) 자료"}</definedName>
    <definedName name="_______Z2" hidden="1">{#N/A,#N/A,FALSE,"KMC최종회의(7월) 자료"}</definedName>
    <definedName name="_______Z2_1" hidden="1">{#N/A,#N/A,FALSE,"KMC최종회의(7월) 자료"}</definedName>
    <definedName name="_______Z3" hidden="1">{#N/A,#N/A,FALSE,"KMC최종회의(7월) 자료"}</definedName>
    <definedName name="_______Z3_1" hidden="1">{#N/A,#N/A,FALSE,"KMC최종회의(7월) 자료"}</definedName>
    <definedName name="_______Z4" hidden="1">{#N/A,#N/A,FALSE,"KMC최종회의(7월) 자료"}</definedName>
    <definedName name="_______Z4_1" hidden="1">{#N/A,#N/A,FALSE,"KMC최종회의(7월) 자료"}</definedName>
    <definedName name="_______Z5" hidden="1">{#N/A,#N/A,FALSE,"KMC최종회의(7월) 자료"}</definedName>
    <definedName name="_______Z5_1" hidden="1">{#N/A,#N/A,FALSE,"KMC최종회의(7월) 자료"}</definedName>
    <definedName name="_______Z6" hidden="1">{#N/A,#N/A,FALSE,"KMC최종회의(7월) 자료"}</definedName>
    <definedName name="_______Z6_1" hidden="1">{#N/A,#N/A,FALSE,"KMC최종회의(7월) 자료"}</definedName>
    <definedName name="_______Z7" hidden="1">{#N/A,#N/A,FALSE,"KMC최종회의(7월) 자료"}</definedName>
    <definedName name="_______Z7_1" hidden="1">{#N/A,#N/A,FALSE,"KMC최종회의(7월) 자료"}</definedName>
    <definedName name="_______Z8" hidden="1">{#N/A,#N/A,FALSE,"KMC최종회의(7월) 자료"}</definedName>
    <definedName name="_______Z8_1" hidden="1">{#N/A,#N/A,FALSE,"KMC최종회의(7월) 자료"}</definedName>
    <definedName name="_______Z9" hidden="1">{#N/A,#N/A,FALSE,"KMC최종회의(7월) 자료"}</definedName>
    <definedName name="_______Z9_1" hidden="1">{#N/A,#N/A,FALSE,"KMC최종회의(7월) 자료"}</definedName>
    <definedName name="_______ZA1" hidden="1">#REF!</definedName>
    <definedName name="_______ZA10" hidden="1">#REF!</definedName>
    <definedName name="_______ZA11" hidden="1">#REF!</definedName>
    <definedName name="_______ZA12" hidden="1">#REF!</definedName>
    <definedName name="_______ZA13" hidden="1">#REF!</definedName>
    <definedName name="_______ZA14" hidden="1">#REF!</definedName>
    <definedName name="_______ZA15" hidden="1">#REF!</definedName>
    <definedName name="_______ZA16" hidden="1">#REF!</definedName>
    <definedName name="_______ZA17" hidden="1">#REF!</definedName>
    <definedName name="_______ZA18" hidden="1">#REF!</definedName>
    <definedName name="_______ZA19" hidden="1">#REF!</definedName>
    <definedName name="_______ZA2" hidden="1">#REF!</definedName>
    <definedName name="_______ZA20" hidden="1">#REF!</definedName>
    <definedName name="_______ZA21" hidden="1">#REF!</definedName>
    <definedName name="_______ZA22" hidden="1">#REF!</definedName>
    <definedName name="_______ZA23" hidden="1">#REF!</definedName>
    <definedName name="_______ZA24" hidden="1">#REF!</definedName>
    <definedName name="_______ZA3" hidden="1">#REF!</definedName>
    <definedName name="_______ZA4" hidden="1">#REF!</definedName>
    <definedName name="_______ZA5" hidden="1">#REF!</definedName>
    <definedName name="_______ZA6" hidden="1">#REF!</definedName>
    <definedName name="_______ZA7" hidden="1">#REF!</definedName>
    <definedName name="_______ZA8" hidden="1">#REF!</definedName>
    <definedName name="_______ZA9" hidden="1">#REF!</definedName>
    <definedName name="______A02" hidden="1">{#N/A,#N/A,FALSE,"단축1";#N/A,#N/A,FALSE,"단축2";#N/A,#N/A,FALSE,"단축3";#N/A,#N/A,FALSE,"장축";#N/A,#N/A,FALSE,"4WD"}</definedName>
    <definedName name="______A0323" hidden="1">{#N/A,#N/A,FALSE,"단축1";#N/A,#N/A,FALSE,"단축2";#N/A,#N/A,FALSE,"단축3";#N/A,#N/A,FALSE,"장축";#N/A,#N/A,FALSE,"4WD"}</definedName>
    <definedName name="______A1" hidden="1">{#N/A,#N/A,FALSE,"KMC최종회의(7월) 자료"}</definedName>
    <definedName name="______A1232" hidden="1">{#N/A,#N/A,FALSE,"단축1";#N/A,#N/A,FALSE,"단축2";#N/A,#N/A,FALSE,"단축3";#N/A,#N/A,FALSE,"장축";#N/A,#N/A,FALSE,"4WD"}</definedName>
    <definedName name="______A1245" hidden="1">{#N/A,#N/A,FALSE,"단축1";#N/A,#N/A,FALSE,"단축2";#N/A,#N/A,FALSE,"단축3";#N/A,#N/A,FALSE,"장축";#N/A,#N/A,FALSE,"4WD"}</definedName>
    <definedName name="______A12458" hidden="1">{#N/A,#N/A,FALSE,"단축1";#N/A,#N/A,FALSE,"단축2";#N/A,#N/A,FALSE,"단축3";#N/A,#N/A,FALSE,"장축";#N/A,#N/A,FALSE,"4WD"}</definedName>
    <definedName name="______A1454" hidden="1">{#N/A,#N/A,FALSE,"단축1";#N/A,#N/A,FALSE,"단축2";#N/A,#N/A,FALSE,"단축3";#N/A,#N/A,FALSE,"장축";#N/A,#N/A,FALSE,"4WD"}</definedName>
    <definedName name="______A2" hidden="1">{#N/A,#N/A,FALSE,"KMC최종회의(7월) 자료"}</definedName>
    <definedName name="______A2040" hidden="1">{#N/A,#N/A,FALSE,"단축1";#N/A,#N/A,FALSE,"단축2";#N/A,#N/A,FALSE,"단축3";#N/A,#N/A,FALSE,"장축";#N/A,#N/A,FALSE,"4WD"}</definedName>
    <definedName name="______A21321" hidden="1">{#N/A,#N/A,FALSE,"단축1";#N/A,#N/A,FALSE,"단축2";#N/A,#N/A,FALSE,"단축3";#N/A,#N/A,FALSE,"장축";#N/A,#N/A,FALSE,"4WD"}</definedName>
    <definedName name="______A3" hidden="1">{#N/A,#N/A,FALSE,"KMC최종회의(7월) 자료"}</definedName>
    <definedName name="______A4" hidden="1">{#N/A,#N/A,FALSE,"KMC최종회의(7월) 자료"}</definedName>
    <definedName name="______A4_1" hidden="1">{#N/A,#N/A,FALSE,"KMC최종회의(7월) 자료"}</definedName>
    <definedName name="______A4444" hidden="1">{#N/A,#N/A,FALSE,"KMC최종회의(7월) 자료"}</definedName>
    <definedName name="______A5" hidden="1">{#N/A,#N/A,FALSE,"KMC최종회의(7월) 자료"}</definedName>
    <definedName name="______A5_1" hidden="1">{#N/A,#N/A,FALSE,"KMC최종회의(7월) 자료"}</definedName>
    <definedName name="______A6" hidden="1">{#N/A,#N/A,FALSE,"KMC최종회의(7월) 자료"}</definedName>
    <definedName name="______A6_1" hidden="1">{#N/A,#N/A,FALSE,"KMC최종회의(7월) 자료"}</definedName>
    <definedName name="______A6666" hidden="1">{#N/A,#N/A,FALSE,"KMC최종회의(7월) 자료"}</definedName>
    <definedName name="______A7" hidden="1">{#N/A,#N/A,FALSE,"KMC최종회의(7월) 자료"}</definedName>
    <definedName name="______A7_1" hidden="1">{#N/A,#N/A,FALSE,"KMC최종회의(7월) 자료"}</definedName>
    <definedName name="______A8" hidden="1">{#N/A,#N/A,FALSE,"KMC최종회의(7월) 자료"}</definedName>
    <definedName name="______A8_1" hidden="1">{#N/A,#N/A,FALSE,"KMC최종회의(7월) 자료"}</definedName>
    <definedName name="______A9" hidden="1">{#N/A,#N/A,FALSE,"KMC최종회의(7월) 자료"}</definedName>
    <definedName name="______A9_1" hidden="1">{#N/A,#N/A,FALSE,"KMC최종회의(7월) 자료"}</definedName>
    <definedName name="______AA4" hidden="1">{#N/A,#N/A,FALSE,"신규dep";#N/A,#N/A,FALSE,"신규dep-금형상각후";#N/A,#N/A,FALSE,"신규dep-연구비상각후";#N/A,#N/A,FALSE,"신규dep-기계,공구상각후"}</definedName>
    <definedName name="______AAA1" hidden="1">#REF!</definedName>
    <definedName name="______AAA10" hidden="1">#REF!</definedName>
    <definedName name="______AAA11" hidden="1">#REF!</definedName>
    <definedName name="______AAA111" hidden="1">{#N/A,#N/A,FALSE,"신규dep";#N/A,#N/A,FALSE,"신규dep-금형상각후";#N/A,#N/A,FALSE,"신규dep-연구비상각후";#N/A,#N/A,FALSE,"신규dep-기계,공구상각후"}</definedName>
    <definedName name="______AAA12" hidden="1">#REF!</definedName>
    <definedName name="______AAA13" hidden="1">#REF!</definedName>
    <definedName name="______AAA14" hidden="1">#REF!</definedName>
    <definedName name="______AAA15" hidden="1">#REF!</definedName>
    <definedName name="______AAA16" hidden="1">#REF!</definedName>
    <definedName name="______AAA17" hidden="1">#REF!</definedName>
    <definedName name="______AAA18" hidden="1">#REF!</definedName>
    <definedName name="______AAA19" hidden="1">#REF!</definedName>
    <definedName name="______AAA2" hidden="1">#REF!</definedName>
    <definedName name="______AAA20" hidden="1">#REF!</definedName>
    <definedName name="______AAA21" hidden="1">#REF!</definedName>
    <definedName name="______AAA22" hidden="1">#REF!</definedName>
    <definedName name="______AAA23" hidden="1">#REF!</definedName>
    <definedName name="______AAA24" hidden="1">#REF!</definedName>
    <definedName name="______AAA3" hidden="1">#REF!</definedName>
    <definedName name="______AAA4" hidden="1">#REF!</definedName>
    <definedName name="______AAA5" hidden="1">#REF!</definedName>
    <definedName name="______AAA6" hidden="1">#REF!</definedName>
    <definedName name="______AAA7" hidden="1">#REF!</definedName>
    <definedName name="______AAA8" hidden="1">#REF!</definedName>
    <definedName name="______AAA9" hidden="1">#REF!</definedName>
    <definedName name="______AS6" hidden="1">{#N/A,#N/A,FALSE,"Australien";#N/A,#N/A,FALSE,"Birmingham";#N/A,#N/A,FALSE,"Brasilien";#N/A,#N/A,FALSE,"Prag";#N/A,#N/A,FALSE,"Spanien";#N/A,#N/A,FALSE,"Malaysia ( Com)";#N/A,#N/A,FALSE,"Malaysia (Instr)"}</definedName>
    <definedName name="______AS6_1" hidden="1">{#N/A,#N/A,FALSE,"Australien";#N/A,#N/A,FALSE,"Birmingham";#N/A,#N/A,FALSE,"Brasilien";#N/A,#N/A,FALSE,"Prag";#N/A,#N/A,FALSE,"Spanien";#N/A,#N/A,FALSE,"Malaysia ( Com)";#N/A,#N/A,FALSE,"Malaysia (Instr)"}</definedName>
    <definedName name="______AT1" hidden="1">{#N/A,#N/A,FALSE,"인원";#N/A,#N/A,FALSE,"비용2";#N/A,#N/A,FALSE,"비용1";#N/A,#N/A,FALSE,"비용";#N/A,#N/A,FALSE,"보증2";#N/A,#N/A,FALSE,"보증1";#N/A,#N/A,FALSE,"보증";#N/A,#N/A,FALSE,"손익1";#N/A,#N/A,FALSE,"손익";#N/A,#N/A,FALSE,"부서별매출";#N/A,#N/A,FALSE,"매출"}</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hidden="1">{#N/A,#N/A,FALSE,"인원";#N/A,#N/A,FALSE,"비용2";#N/A,#N/A,FALSE,"비용1";#N/A,#N/A,FALSE,"비용";#N/A,#N/A,FALSE,"보증2";#N/A,#N/A,FALSE,"보증1";#N/A,#N/A,FALSE,"보증";#N/A,#N/A,FALSE,"손익1";#N/A,#N/A,FALSE,"손익";#N/A,#N/A,FALSE,"부서별매출";#N/A,#N/A,FALSE,"매출"}</definedName>
    <definedName name="______AT4" hidden="1">{#N/A,#N/A,FALSE,"인원";#N/A,#N/A,FALSE,"비용2";#N/A,#N/A,FALSE,"비용1";#N/A,#N/A,FALSE,"비용";#N/A,#N/A,FALSE,"보증2";#N/A,#N/A,FALSE,"보증1";#N/A,#N/A,FALSE,"보증";#N/A,#N/A,FALSE,"손익1";#N/A,#N/A,FALSE,"손익";#N/A,#N/A,FALSE,"부서별매출";#N/A,#N/A,FALSE,"매출"}</definedName>
    <definedName name="______CL22" hidden="1">{#N/A,#N/A,FALSE,"KMC최종회의(7월) 자료"}</definedName>
    <definedName name="______CL222" hidden="1">{#N/A,#N/A,FALSE,"KMC최종회의(7월) 자료"}</definedName>
    <definedName name="______CL33" hidden="1">{#N/A,#N/A,FALSE,"KMC최종회의(7월) 자료"}</definedName>
    <definedName name="______CVJ1" hidden="1">{#N/A,#N/A,FALSE,"KMC최종회의(7월) 자료"}</definedName>
    <definedName name="______d1" hidden="1">{#N/A,#N/A,FALSE,"신규dep";#N/A,#N/A,FALSE,"신규dep-금형상각후";#N/A,#N/A,FALSE,"신규dep-연구비상각후";#N/A,#N/A,FALSE,"신규dep-기계,공구상각후"}</definedName>
    <definedName name="______d2" hidden="1">{#N/A,#N/A,FALSE,"신규dep";#N/A,#N/A,FALSE,"신규dep-금형상각후";#N/A,#N/A,FALSE,"신규dep-연구비상각후";#N/A,#N/A,FALSE,"신규dep-기계,공구상각후"}</definedName>
    <definedName name="______D6" hidden="1">{"'표지'!$B$5"}</definedName>
    <definedName name="______DB777" hidden="1">{#N/A,#N/A,TRUE,"Y생산";#N/A,#N/A,TRUE,"Y판매";#N/A,#N/A,TRUE,"Y총물량";#N/A,#N/A,TRUE,"Y능력";#N/A,#N/A,TRUE,"YKD"}</definedName>
    <definedName name="______DC50" hidden="1">{#N/A,#N/A,FALSE,"단축1";#N/A,#N/A,FALSE,"단축2";#N/A,#N/A,FALSE,"단축3";#N/A,#N/A,FALSE,"장축";#N/A,#N/A,FALSE,"4WD"}</definedName>
    <definedName name="______DE33" hidden="1">{"'7-2지역별'!$A$1:$R$44"}</definedName>
    <definedName name="______DR1" hidden="1">{#N/A,#N/A,FALSE,"업체선정";#N/A,#N/A,FALSE,"업체선정sheet";#N/A,#N/A,FALSE,"업체실태";#N/A,#N/A,FALSE,"업체실태(1)";#N/A,#N/A,FALSE,"종업원현황(2)";#N/A,#N/A,FALSE,"생산품목(3)";#N/A,#N/A,FALSE,"장비보유현황";#N/A,#N/A,FALSE,"차량및약도";#N/A,#N/A,FALSE,"금형LIST"}</definedName>
    <definedName name="______DR7" hidden="1">{#N/A,#N/A,FALSE,"표지";#N/A,#N/A,FALSE,"전제";#N/A,#N/A,FALSE,"손익-자 (2)";#N/A,#N/A,FALSE,"손익-자";#N/A,#N/A,FALSE,"손익-마 (2)";#N/A,#N/A,FALSE,"손익-마";#N/A,#N/A,FALSE,"총손최종"}</definedName>
    <definedName name="______E1" hidden="1">{#N/A,#N/A,FALSE,"KMC최종회의(7월) 자료"}</definedName>
    <definedName name="______E1_1" hidden="1">{#N/A,#N/A,FALSE,"KMC최종회의(7월) 자료"}</definedName>
    <definedName name="______E2" hidden="1">{#N/A,#N/A,FALSE,"KMC최종회의(7월) 자료"}</definedName>
    <definedName name="______E2_1" hidden="1">{#N/A,#N/A,FALSE,"KMC최종회의(7월) 자료"}</definedName>
    <definedName name="______e3" hidden="1">{#N/A,#N/A,FALSE,"단축1";#N/A,#N/A,FALSE,"단축2";#N/A,#N/A,FALSE,"단축3";#N/A,#N/A,FALSE,"장축";#N/A,#N/A,FALSE,"4WD"}</definedName>
    <definedName name="______e4" hidden="1">{#N/A,#N/A,FALSE,"단축1";#N/A,#N/A,FALSE,"단축2";#N/A,#N/A,FALSE,"단축3";#N/A,#N/A,FALSE,"장축";#N/A,#N/A,FALSE,"4WD"}</definedName>
    <definedName name="______E45" hidden="1">{"'7-2지역별'!$A$1:$R$44"}</definedName>
    <definedName name="______e5" hidden="1">{#N/A,#N/A,FALSE,"단축1";#N/A,#N/A,FALSE,"단축2";#N/A,#N/A,FALSE,"단축3";#N/A,#N/A,FALSE,"장축";#N/A,#N/A,FALSE,"4WD"}</definedName>
    <definedName name="______e6" hidden="1">{#N/A,#N/A,FALSE,"단축1";#N/A,#N/A,FALSE,"단축2";#N/A,#N/A,FALSE,"단축3";#N/A,#N/A,FALSE,"장축";#N/A,#N/A,FALSE,"4WD"}</definedName>
    <definedName name="______e7" hidden="1">{#N/A,#N/A,FALSE,"신규dep";#N/A,#N/A,FALSE,"신규dep-금형상각후";#N/A,#N/A,FALSE,"신규dep-연구비상각후";#N/A,#N/A,FALSE,"신규dep-기계,공구상각후"}</definedName>
    <definedName name="______e8" hidden="1">{#N/A,#N/A,FALSE,"신규dep";#N/A,#N/A,FALSE,"신규dep-금형상각후";#N/A,#N/A,FALSE,"신규dep-연구비상각후";#N/A,#N/A,FALSE,"신규dep-기계,공구상각후"}</definedName>
    <definedName name="______e9" hidden="1">{#N/A,#N/A,FALSE,"단축1";#N/A,#N/A,FALSE,"단축2";#N/A,#N/A,FALSE,"단축3";#N/A,#N/A,FALSE,"장축";#N/A,#N/A,FALSE,"4WD"}</definedName>
    <definedName name="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EO2" hidden="1">{#N/A,#N/A,FALSE,"신규dep";#N/A,#N/A,FALSE,"신규dep-금형상각후";#N/A,#N/A,FALSE,"신규dep-연구비상각후";#N/A,#N/A,FALSE,"신규dep-기계,공구상각후"}</definedName>
    <definedName name="______EWA1" hidden="1">{#N/A,#N/A,FALSE,"초도품";#N/A,#N/A,FALSE,"초도품 (2)";#N/A,#N/A,FALSE,"초도품 (3)";#N/A,#N/A,FALSE,"초도품 (4)";#N/A,#N/A,FALSE,"초도품 (5)";#N/A,#N/A,FALSE,"초도품 (6)"}</definedName>
    <definedName name="______FG1" hidden="1">{#N/A,#N/A,FALSE,"단축1";#N/A,#N/A,FALSE,"단축2";#N/A,#N/A,FALSE,"단축3";#N/A,#N/A,FALSE,"장축";#N/A,#N/A,FALSE,"4WD"}</definedName>
    <definedName name="______G1" hidden="1">{#N/A,#N/A,FALSE,"단축1";#N/A,#N/A,FALSE,"단축2";#N/A,#N/A,FALSE,"단축3";#N/A,#N/A,FALSE,"장축";#N/A,#N/A,FALSE,"4WD"}</definedName>
    <definedName name="______h1" hidden="1">{"'표지'!$B$5"}</definedName>
    <definedName name="______h2" hidden="1">{"'표지'!$B$5"}</definedName>
    <definedName name="______h3" hidden="1">{"'표지'!$B$5"}</definedName>
    <definedName name="______h4" hidden="1">{"'표지'!$B$5"}</definedName>
    <definedName name="______h5" hidden="1">{"'표지'!$B$5"}</definedName>
    <definedName name="______HL1" hidden="1">{#N/A,#N/A,FALSE,"단축1";#N/A,#N/A,FALSE,"단축2";#N/A,#N/A,FALSE,"단축3";#N/A,#N/A,FALSE,"장축";#N/A,#N/A,FALSE,"4WD"}</definedName>
    <definedName name="______HL2" hidden="1">{#N/A,#N/A,FALSE,"단축1";#N/A,#N/A,FALSE,"단축2";#N/A,#N/A,FALSE,"단축3";#N/A,#N/A,FALSE,"장축";#N/A,#N/A,FALSE,"4WD"}</definedName>
    <definedName name="______HL3" hidden="1">{#N/A,#N/A,TRUE,"Y생산";#N/A,#N/A,TRUE,"Y판매";#N/A,#N/A,TRUE,"Y총물량";#N/A,#N/A,TRUE,"Y능력";#N/A,#N/A,TRUE,"YKD"}</definedName>
    <definedName name="______HP02" hidden="1">{#N/A,#N/A,FALSE,"단축1";#N/A,#N/A,FALSE,"단축2";#N/A,#N/A,FALSE,"단축3";#N/A,#N/A,FALSE,"장축";#N/A,#N/A,FALSE,"4WD"}</definedName>
    <definedName name="______HP2" hidden="1">{#N/A,#N/A,FALSE,"단축1";#N/A,#N/A,FALSE,"단축2";#N/A,#N/A,FALSE,"단축3";#N/A,#N/A,FALSE,"장축";#N/A,#N/A,FALSE,"4WD"}</definedName>
    <definedName name="______htt1" hidden="1">{"'표지'!$B$5"}</definedName>
    <definedName name="______IO8" hidden="1">{#N/A,#N/A,FALSE,"단축1";#N/A,#N/A,FALSE,"단축2";#N/A,#N/A,FALSE,"단축3";#N/A,#N/A,FALSE,"장축";#N/A,#N/A,FALSE,"4WD"}</definedName>
    <definedName name="______IO8_1" hidden="1">{#N/A,#N/A,FALSE,"단축1";#N/A,#N/A,FALSE,"단축2";#N/A,#N/A,FALSE,"단축3";#N/A,#N/A,FALSE,"장축";#N/A,#N/A,FALSE,"4WD"}</definedName>
    <definedName name="______k1" hidden="1">#REF!</definedName>
    <definedName name="______K7" hidden="1">{#N/A,#N/A,TRUE,"Y생산";#N/A,#N/A,TRUE,"Y판매";#N/A,#N/A,TRUE,"Y총물량";#N/A,#N/A,TRUE,"Y능력";#N/A,#N/A,TRUE,"YKD"}</definedName>
    <definedName name="______k8" hidden="1">{#N/A,#N/A,FALSE,"단축1";#N/A,#N/A,FALSE,"단축2";#N/A,#N/A,FALSE,"단축3";#N/A,#N/A,FALSE,"장축";#N/A,#N/A,FALSE,"4WD"}</definedName>
    <definedName name="______k9" hidden="1">{#N/A,#N/A,FALSE,"단축1";#N/A,#N/A,FALSE,"단축2";#N/A,#N/A,FALSE,"단축3";#N/A,#N/A,FALSE,"장축";#N/A,#N/A,FALSE,"4WD"}</definedName>
    <definedName name="______LH1" hidden="1">{"'7보유'!$A$1:$F$44"}</definedName>
    <definedName name="______LH2" hidden="1">{"'7보유'!$A$1:$F$44"}</definedName>
    <definedName name="______LPS2" hidden="1">{#N/A,#N/A,FALSE,"단축1";#N/A,#N/A,FALSE,"단축2";#N/A,#N/A,FALSE,"단축3";#N/A,#N/A,FALSE,"장축";#N/A,#N/A,FALSE,"4WD"}</definedName>
    <definedName name="______LPS2_1" hidden="1">{#N/A,#N/A,FALSE,"단축1";#N/A,#N/A,FALSE,"단축2";#N/A,#N/A,FALSE,"단축3";#N/A,#N/A,FALSE,"장축";#N/A,#N/A,FALSE,"4WD"}</definedName>
    <definedName name="______M123" hidden="1">{#N/A,#N/A,FALSE,"단축1";#N/A,#N/A,FALSE,"단축2";#N/A,#N/A,FALSE,"단축3";#N/A,#N/A,FALSE,"장축";#N/A,#N/A,FALSE,"4WD"}</definedName>
    <definedName name="______MIP10" hidden="1">{#N/A,#N/A,FALSE,"단축1";#N/A,#N/A,FALSE,"단축2";#N/A,#N/A,FALSE,"단축3";#N/A,#N/A,FALSE,"장축";#N/A,#N/A,FALSE,"4WD"}</definedName>
    <definedName name="______MIP2" hidden="1">{#N/A,#N/A,FALSE,"단축1";#N/A,#N/A,FALSE,"단축2";#N/A,#N/A,FALSE,"단축3";#N/A,#N/A,FALSE,"장축";#N/A,#N/A,FALSE,"4WD"}</definedName>
    <definedName name="______O11" hidden="1">{#N/A,#N/A,FALSE,"단축1";#N/A,#N/A,FALSE,"단축2";#N/A,#N/A,FALSE,"단축3";#N/A,#N/A,FALSE,"장축";#N/A,#N/A,FALSE,"4WD"}</definedName>
    <definedName name="______OPS1" hidden="1">{"Wire Charts",#N/A,TRUE,"Wires"}</definedName>
    <definedName name="______P2" hidden="1">{#N/A,#N/A,FALSE,"단축1";#N/A,#N/A,FALSE,"단축2";#N/A,#N/A,FALSE,"단축3";#N/A,#N/A,FALSE,"장축";#N/A,#N/A,FALSE,"4WD"}</definedName>
    <definedName name="______P21" hidden="1">{#N/A,#N/A,FALSE,"단축1";#N/A,#N/A,FALSE,"단축2";#N/A,#N/A,FALSE,"단축3";#N/A,#N/A,FALSE,"장축";#N/A,#N/A,FALSE,"4WD"}</definedName>
    <definedName name="______P3" hidden="1">{#N/A,#N/A,FALSE,"단축1";#N/A,#N/A,FALSE,"단축2";#N/A,#N/A,FALSE,"단축3";#N/A,#N/A,FALSE,"장축";#N/A,#N/A,FALSE,"4WD"}</definedName>
    <definedName name="______PB004" hidden="1">{#N/A,#N/A,FALSE,"단축1";#N/A,#N/A,FALSE,"단축2";#N/A,#N/A,FALSE,"단축3";#N/A,#N/A,FALSE,"장축";#N/A,#N/A,FALSE,"4WD"}</definedName>
    <definedName name="______PPP21" hidden="1">{#N/A,#N/A,FALSE,"KMC최종회의(7월) 자료"}</definedName>
    <definedName name="______PPP3" hidden="1">{#N/A,#N/A,FALSE,"KMC최종회의(7월) 자료"}</definedName>
    <definedName name="______Q098" hidden="1">{"'7-2지역별'!$A$1:$R$44"}</definedName>
    <definedName name="______Q1" hidden="1">{#N/A,#N/A,FALSE,"KMC최종회의(7월) 자료"}</definedName>
    <definedName name="______Q1_1" hidden="1">{#N/A,#N/A,FALSE,"KMC최종회의(7월) 자료"}</definedName>
    <definedName name="______Q11" hidden="1">{"'7-2지역별'!$A$1:$R$44"}</definedName>
    <definedName name="______Q11234" hidden="1">{"'7-2지역별'!$A$1:$R$44"}</definedName>
    <definedName name="______Q12" hidden="1">{"'7-2지역별'!$A$1:$R$44"}</definedName>
    <definedName name="______Q123" hidden="1">{"'7-2지역별'!$A$1:$R$44"}</definedName>
    <definedName name="______Q1232" hidden="1">{"'7-2지역별'!$A$1:$R$44"}</definedName>
    <definedName name="______Q1233" hidden="1">{"'7-2지역별'!$A$1:$R$44"}</definedName>
    <definedName name="______Q2" hidden="1">{#N/A,#N/A,FALSE,"KMC최종회의(7월) 자료"}</definedName>
    <definedName name="______Q2_1" hidden="1">{#N/A,#N/A,FALSE,"KMC최종회의(7월) 자료"}</definedName>
    <definedName name="______Q2342" hidden="1">{"'7-2지역별'!$A$1:$R$44"}</definedName>
    <definedName name="______Q3" hidden="1">{#N/A,#N/A,FALSE,"KMC최종회의(7월) 자료"}</definedName>
    <definedName name="______Q3_1" hidden="1">{#N/A,#N/A,FALSE,"KMC최종회의(7월) 자료"}</definedName>
    <definedName name="______Q343" hidden="1">{"'7-2지역별'!$A$1:$R$44"}</definedName>
    <definedName name="______Q345" hidden="1">{"'7-2지역별'!$A$1:$R$44"}</definedName>
    <definedName name="______Q423" hidden="1">{"'7-2지역별'!$A$1:$R$44"}</definedName>
    <definedName name="______Q43456" hidden="1">{"'7-2지역별'!$A$1:$R$44"}</definedName>
    <definedName name="______Q5" hidden="1">{#N/A,#N/A,FALSE,"KMC최종회의(7월) 자료"}</definedName>
    <definedName name="______Q5_1" hidden="1">{#N/A,#N/A,FALSE,"KMC최종회의(7월) 자료"}</definedName>
    <definedName name="______Q54" hidden="1">{"'7-2지역별'!$A$1:$R$44"}</definedName>
    <definedName name="______Q543" hidden="1">{"'7-2지역별'!$A$1:$R$44"}</definedName>
    <definedName name="______Q5434" hidden="1">{"'7-2지역별'!$A$1:$R$44"}</definedName>
    <definedName name="______Q543421" hidden="1">{"'7-2지역별'!$A$1:$R$44"}</definedName>
    <definedName name="______Q5555" hidden="1">{"'7-2지역별'!$A$1:$R$44"}</definedName>
    <definedName name="______Q5678" hidden="1">{"'7-2지역별'!$A$1:$R$44"}</definedName>
    <definedName name="______q6" hidden="1">{#N/A,#N/A,FALSE,"신규dep";#N/A,#N/A,FALSE,"신규dep-금형상각후";#N/A,#N/A,FALSE,"신규dep-연구비상각후";#N/A,#N/A,FALSE,"신규dep-기계,공구상각후"}</definedName>
    <definedName name="______Q65465" hidden="1">{"'7-2지역별'!$A$1:$R$44"}</definedName>
    <definedName name="______Q6765" hidden="1">{"'7-2지역별'!$A$1:$R$44"}</definedName>
    <definedName name="______Q7" hidden="1">{#N/A,#N/A,FALSE,"KMC최종회의(7월) 자료"}</definedName>
    <definedName name="______Q7_1" hidden="1">{#N/A,#N/A,FALSE,"KMC최종회의(7월) 자료"}</definedName>
    <definedName name="______Q75655" hidden="1">{"'7-2지역별'!$A$1:$R$44"}</definedName>
    <definedName name="______Q765" hidden="1">{"'7-2지역별'!$A$1:$R$44"}</definedName>
    <definedName name="______Q7655" hidden="1">{"'7-2지역별'!$A$1:$R$44"}</definedName>
    <definedName name="______Q7687" hidden="1">{"'7-2지역별'!$A$1:$R$44"}</definedName>
    <definedName name="______Q8" hidden="1">{#N/A,#N/A,FALSE,"KMC최종회의(7월) 자료"}</definedName>
    <definedName name="______Q8_1" hidden="1">{#N/A,#N/A,FALSE,"KMC최종회의(7월) 자료"}</definedName>
    <definedName name="______Q876" hidden="1">{"'7-2지역별'!$A$1:$R$44"}</definedName>
    <definedName name="______Q9" hidden="1">{#N/A,#N/A,FALSE,"KMC최종회의(7월) 자료"}</definedName>
    <definedName name="______Q9_1" hidden="1">{#N/A,#N/A,FALSE,"KMC최종회의(7월) 자료"}</definedName>
    <definedName name="______Q98" hidden="1">{"'7-2지역별'!$A$1:$R$44"}</definedName>
    <definedName name="______RR2" hidden="1">{#N/A,#N/A,FALSE,"단축1";#N/A,#N/A,FALSE,"단축2";#N/A,#N/A,FALSE,"단축3";#N/A,#N/A,FALSE,"장축";#N/A,#N/A,FALSE,"4WD"}</definedName>
    <definedName name="______S1" hidden="1">{#N/A,#N/A,FALSE,"KMC최종회의(7월) 자료"}</definedName>
    <definedName name="______S1_1" hidden="1">{#N/A,#N/A,FALSE,"KMC최종회의(7월) 자료"}</definedName>
    <definedName name="______S2" hidden="1">{#N/A,#N/A,FALSE,"KMC최종회의(7월) 자료"}</definedName>
    <definedName name="______S2_1" hidden="1">{#N/A,#N/A,FALSE,"KMC최종회의(7월) 자료"}</definedName>
    <definedName name="______S3" hidden="1">{#N/A,#N/A,FALSE,"KMC최종회의(7월) 자료"}</definedName>
    <definedName name="______S3_1" hidden="1">{#N/A,#N/A,FALSE,"KMC최종회의(7월) 자료"}</definedName>
    <definedName name="______S4" hidden="1">{#N/A,#N/A,FALSE,"KMC최종회의(7월) 자료"}</definedName>
    <definedName name="______S4_1" hidden="1">{#N/A,#N/A,FALSE,"KMC최종회의(7월) 자료"}</definedName>
    <definedName name="______S5" hidden="1">{#N/A,#N/A,FALSE,"KMC최종회의(7월) 자료"}</definedName>
    <definedName name="______S5_1" hidden="1">{#N/A,#N/A,FALSE,"KMC최종회의(7월) 자료"}</definedName>
    <definedName name="______S6" hidden="1">{#N/A,#N/A,FALSE,"KMC최종회의(7월) 자료"}</definedName>
    <definedName name="______S6_1" hidden="1">{#N/A,#N/A,FALSE,"KMC최종회의(7월) 자료"}</definedName>
    <definedName name="______S7" hidden="1">{#N/A,#N/A,FALSE,"KMC최종회의(7월) 자료"}</definedName>
    <definedName name="______S7_1" hidden="1">{#N/A,#N/A,FALSE,"KMC최종회의(7월) 자료"}</definedName>
    <definedName name="______S8" hidden="1">{#N/A,#N/A,FALSE,"KMC최종회의(7월) 자료"}</definedName>
    <definedName name="______S8_1" hidden="1">{#N/A,#N/A,FALSE,"KMC최종회의(7월) 자료"}</definedName>
    <definedName name="______SD323" hidden="1">{"'7-2지역별'!$A$1:$R$44"}</definedName>
    <definedName name="______SDW1" hidden="1">#REF!</definedName>
    <definedName name="______SMM1" hidden="1">{"'7보유'!$A$1:$F$44"}</definedName>
    <definedName name="______SMM2" hidden="1">{"'7보유'!$A$1:$F$44"}</definedName>
    <definedName name="______SUM1" hidden="1">{#N/A,#N/A,FALSE,"단축1";#N/A,#N/A,FALSE,"단축2";#N/A,#N/A,FALSE,"단축3";#N/A,#N/A,FALSE,"장축";#N/A,#N/A,FALSE,"4WD"}</definedName>
    <definedName name="______T2" hidden="1">{#N/A,#N/A,FALSE,"단축1";#N/A,#N/A,FALSE,"단축2";#N/A,#N/A,FALSE,"단축3";#N/A,#N/A,FALSE,"장축";#N/A,#N/A,FALSE,"4WD"}</definedName>
    <definedName name="______T3" hidden="1">{#N/A,#N/A,FALSE,"단축1";#N/A,#N/A,FALSE,"단축2";#N/A,#N/A,FALSE,"단축3";#N/A,#N/A,FALSE,"장축";#N/A,#N/A,FALSE,"4WD"}</definedName>
    <definedName name="______t45445" hidden="1">{"'7-2지역별'!$A$1:$R$44"}</definedName>
    <definedName name="______T5" hidden="1">{#N/A,#N/A,FALSE,"단축1";#N/A,#N/A,FALSE,"단축2";#N/A,#N/A,FALSE,"단축3";#N/A,#N/A,FALSE,"장축";#N/A,#N/A,FALSE,"4WD"}</definedName>
    <definedName name="______TRT11" hidden="1">{#N/A,#N/A,FALSE,"표지";#N/A,#N/A,FALSE,"전제";#N/A,#N/A,FALSE,"손익-자 (2)";#N/A,#N/A,FALSE,"손익-자";#N/A,#N/A,FALSE,"손익-마 (2)";#N/A,#N/A,FALSE,"손익-마";#N/A,#N/A,FALSE,"총손최종"}</definedName>
    <definedName name="______U1" hidden="1">{#N/A,#N/A,FALSE,"단축1";#N/A,#N/A,FALSE,"단축2";#N/A,#N/A,FALSE,"단축3";#N/A,#N/A,FALSE,"장축";#N/A,#N/A,FALSE,"4WD"}</definedName>
    <definedName name="______W1" hidden="1">{#N/A,#N/A,FALSE,"KMC최종회의(7월) 자료"}</definedName>
    <definedName name="______W1_1" hidden="1">{#N/A,#N/A,FALSE,"KMC최종회의(7월) 자료"}</definedName>
    <definedName name="______W12324" hidden="1">{"'7-2지역별'!$A$1:$R$44"}</definedName>
    <definedName name="______W2" hidden="1">{#N/A,#N/A,FALSE,"KMC최종회의(7월) 자료"}</definedName>
    <definedName name="______W2_1" hidden="1">{#N/A,#N/A,FALSE,"KMC최종회의(7월) 자료"}</definedName>
    <definedName name="______W3" hidden="1">{#N/A,#N/A,FALSE,"KMC최종회의(7월) 자료"}</definedName>
    <definedName name="______W3_1" hidden="1">{#N/A,#N/A,FALSE,"KMC최종회의(7월) 자료"}</definedName>
    <definedName name="______W322" hidden="1">{"'7-2지역별'!$A$1:$R$44"}</definedName>
    <definedName name="______W4" hidden="1">{#N/A,#N/A,FALSE,"KMC최종회의(7월) 자료"}</definedName>
    <definedName name="______W4_1" hidden="1">{#N/A,#N/A,FALSE,"KMC최종회의(7월) 자료"}</definedName>
    <definedName name="______W4454" hidden="1">{"'7-2지역별'!$A$1:$R$44"}</definedName>
    <definedName name="______W5" hidden="1">{#N/A,#N/A,FALSE,"KMC최종회의(7월) 자료"}</definedName>
    <definedName name="______W5_1" hidden="1">{#N/A,#N/A,FALSE,"KMC최종회의(7월) 자료"}</definedName>
    <definedName name="______W53" hidden="1">{"'7-2지역별'!$A$1:$R$44"}</definedName>
    <definedName name="______W6" hidden="1">{#N/A,#N/A,FALSE,"KMC최종회의(7월) 자료"}</definedName>
    <definedName name="______W6_1" hidden="1">{#N/A,#N/A,FALSE,"KMC최종회의(7월) 자료"}</definedName>
    <definedName name="______W7" hidden="1">{#N/A,#N/A,FALSE,"KMC최종회의(7월) 자료"}</definedName>
    <definedName name="______W7_1" hidden="1">{#N/A,#N/A,FALSE,"KMC최종회의(7월) 자료"}</definedName>
    <definedName name="______W8" hidden="1">{#N/A,#N/A,FALSE,"KMC최종회의(7월) 자료"}</definedName>
    <definedName name="______W8_1" hidden="1">{#N/A,#N/A,FALSE,"KMC최종회의(7월) 자료"}</definedName>
    <definedName name="______W9" hidden="1">{#N/A,#N/A,FALSE,"KMC최종회의(7월) 자료"}</definedName>
    <definedName name="______W9_1" hidden="1">{#N/A,#N/A,FALSE,"KMC최종회의(7월) 자료"}</definedName>
    <definedName name="______WRN2" hidden="1">{#N/A,#N/A,FALSE,"단축1";#N/A,#N/A,FALSE,"단축2";#N/A,#N/A,FALSE,"단축3";#N/A,#N/A,FALSE,"장축";#N/A,#N/A,FALSE,"4WD"}</definedName>
    <definedName name="______X1" hidden="1">{#N/A,#N/A,FALSE,"KMC최종회의(7월) 자료"}</definedName>
    <definedName name="______X1_1" hidden="1">{#N/A,#N/A,FALSE,"KMC최종회의(7월) 자료"}</definedName>
    <definedName name="______X2" hidden="1">{#N/A,#N/A,FALSE,"KMC최종회의(7월) 자료"}</definedName>
    <definedName name="______X2_1" hidden="1">{#N/A,#N/A,FALSE,"KMC최종회의(7월) 자료"}</definedName>
    <definedName name="______X3" hidden="1">{#N/A,#N/A,FALSE,"KMC최종회의(7월) 자료"}</definedName>
    <definedName name="______X3_1" hidden="1">{#N/A,#N/A,FALSE,"KMC최종회의(7월) 자료"}</definedName>
    <definedName name="______X4" hidden="1">{#N/A,#N/A,FALSE,"KMC최종회의(7월) 자료"}</definedName>
    <definedName name="______X4_1" hidden="1">{#N/A,#N/A,FALSE,"KMC최종회의(7월) 자료"}</definedName>
    <definedName name="______X5" hidden="1">{#N/A,#N/A,FALSE,"KMC최종회의(7월) 자료"}</definedName>
    <definedName name="______X5_1" hidden="1">{#N/A,#N/A,FALSE,"KMC최종회의(7월) 자료"}</definedName>
    <definedName name="______X6" hidden="1">{#N/A,#N/A,FALSE,"KMC최종회의(7월) 자료"}</definedName>
    <definedName name="______X6_1" hidden="1">{#N/A,#N/A,FALSE,"KMC최종회의(7월) 자료"}</definedName>
    <definedName name="______X7" hidden="1">{#N/A,#N/A,FALSE,"KMC최종회의(7월) 자료"}</definedName>
    <definedName name="______X7_1" hidden="1">{#N/A,#N/A,FALSE,"KMC최종회의(7월) 자료"}</definedName>
    <definedName name="______X8" hidden="1">{#N/A,#N/A,FALSE,"KMC최종회의(7월) 자료"}</definedName>
    <definedName name="______X8_1" hidden="1">{#N/A,#N/A,FALSE,"KMC최종회의(7월) 자료"}</definedName>
    <definedName name="______XG2" hidden="1">{#N/A,#N/A,FALSE,"단축1";#N/A,#N/A,FALSE,"단축2";#N/A,#N/A,FALSE,"단축3";#N/A,#N/A,FALSE,"장축";#N/A,#N/A,FALSE,"4WD"}</definedName>
    <definedName name="______XG2_1" hidden="1">{#N/A,#N/A,FALSE,"단축1";#N/A,#N/A,FALSE,"단축2";#N/A,#N/A,FALSE,"단축3";#N/A,#N/A,FALSE,"장축";#N/A,#N/A,FALSE,"4WD"}</definedName>
    <definedName name="______y45546" hidden="1">{"'7-2지역별'!$A$1:$R$44"}</definedName>
    <definedName name="______Z1" hidden="1">{#N/A,#N/A,FALSE,"KMC최종회의(7월) 자료"}</definedName>
    <definedName name="______Z1_1" hidden="1">{#N/A,#N/A,FALSE,"KMC최종회의(7월) 자료"}</definedName>
    <definedName name="______z123" hidden="1">{#N/A,#N/A,FALSE,"단축1";#N/A,#N/A,FALSE,"단축2";#N/A,#N/A,FALSE,"단축3";#N/A,#N/A,FALSE,"장축";#N/A,#N/A,FALSE,"4WD"}</definedName>
    <definedName name="______Z2" hidden="1">{#N/A,#N/A,FALSE,"KMC최종회의(7월) 자료"}</definedName>
    <definedName name="______Z2_1" hidden="1">{#N/A,#N/A,FALSE,"KMC최종회의(7월) 자료"}</definedName>
    <definedName name="______Z3" hidden="1">{#N/A,#N/A,FALSE,"KMC최종회의(7월) 자료"}</definedName>
    <definedName name="______Z3_1" hidden="1">{#N/A,#N/A,FALSE,"KMC최종회의(7월) 자료"}</definedName>
    <definedName name="______Z4" hidden="1">{#N/A,#N/A,FALSE,"KMC최종회의(7월) 자료"}</definedName>
    <definedName name="______Z4_1" hidden="1">{#N/A,#N/A,FALSE,"KMC최종회의(7월) 자료"}</definedName>
    <definedName name="______Z5" hidden="1">{#N/A,#N/A,FALSE,"KMC최종회의(7월) 자료"}</definedName>
    <definedName name="______Z5_1" hidden="1">{#N/A,#N/A,FALSE,"KMC최종회의(7월) 자료"}</definedName>
    <definedName name="______Z6" hidden="1">{#N/A,#N/A,FALSE,"KMC최종회의(7월) 자료"}</definedName>
    <definedName name="______Z6_1" hidden="1">{#N/A,#N/A,FALSE,"KMC최종회의(7월) 자료"}</definedName>
    <definedName name="______Z7" hidden="1">{#N/A,#N/A,FALSE,"KMC최종회의(7월) 자료"}</definedName>
    <definedName name="______Z7_1" hidden="1">{#N/A,#N/A,FALSE,"KMC최종회의(7월) 자료"}</definedName>
    <definedName name="______Z8" hidden="1">{#N/A,#N/A,FALSE,"KMC최종회의(7월) 자료"}</definedName>
    <definedName name="______Z8_1" hidden="1">{#N/A,#N/A,FALSE,"KMC최종회의(7월) 자료"}</definedName>
    <definedName name="______Z9" hidden="1">{#N/A,#N/A,FALSE,"KMC최종회의(7월) 자료"}</definedName>
    <definedName name="______Z9_1" hidden="1">{#N/A,#N/A,FALSE,"KMC최종회의(7월) 자료"}</definedName>
    <definedName name="______ZA1" hidden="1">#REF!</definedName>
    <definedName name="______ZA10" hidden="1">#REF!</definedName>
    <definedName name="______ZA11" hidden="1">#REF!</definedName>
    <definedName name="______ZA12" hidden="1">#REF!</definedName>
    <definedName name="______ZA13" hidden="1">#REF!</definedName>
    <definedName name="______ZA14" hidden="1">#REF!</definedName>
    <definedName name="______ZA15" hidden="1">#REF!</definedName>
    <definedName name="______ZA16" hidden="1">#REF!</definedName>
    <definedName name="______ZA17" hidden="1">#REF!</definedName>
    <definedName name="______ZA18" hidden="1">#REF!</definedName>
    <definedName name="______ZA19" hidden="1">#REF!</definedName>
    <definedName name="______ZA2" hidden="1">#REF!</definedName>
    <definedName name="______ZA20" hidden="1">#REF!</definedName>
    <definedName name="______ZA21" hidden="1">#REF!</definedName>
    <definedName name="______ZA22" hidden="1">#REF!</definedName>
    <definedName name="______ZA23" hidden="1">#REF!</definedName>
    <definedName name="______ZA24" hidden="1">#REF!</definedName>
    <definedName name="______ZA3" hidden="1">#REF!</definedName>
    <definedName name="______ZA4" hidden="1">#REF!</definedName>
    <definedName name="______ZA5" hidden="1">#REF!</definedName>
    <definedName name="______ZA6" hidden="1">#REF!</definedName>
    <definedName name="______ZA7" hidden="1">#REF!</definedName>
    <definedName name="______ZA8" hidden="1">#REF!</definedName>
    <definedName name="______ZA9" hidden="1">#REF!</definedName>
    <definedName name="_____A02" hidden="1">{#N/A,#N/A,FALSE,"단축1";#N/A,#N/A,FALSE,"단축2";#N/A,#N/A,FALSE,"단축3";#N/A,#N/A,FALSE,"장축";#N/A,#N/A,FALSE,"4WD"}</definedName>
    <definedName name="_____A0323" hidden="1">{#N/A,#N/A,FALSE,"단축1";#N/A,#N/A,FALSE,"단축2";#N/A,#N/A,FALSE,"단축3";#N/A,#N/A,FALSE,"장축";#N/A,#N/A,FALSE,"4WD"}</definedName>
    <definedName name="_____A1" hidden="1">{#N/A,#N/A,FALSE,"KMC최종회의(7월) 자료"}</definedName>
    <definedName name="_____A1232" hidden="1">{#N/A,#N/A,FALSE,"단축1";#N/A,#N/A,FALSE,"단축2";#N/A,#N/A,FALSE,"단축3";#N/A,#N/A,FALSE,"장축";#N/A,#N/A,FALSE,"4WD"}</definedName>
    <definedName name="_____A1245" hidden="1">{#N/A,#N/A,FALSE,"단축1";#N/A,#N/A,FALSE,"단축2";#N/A,#N/A,FALSE,"단축3";#N/A,#N/A,FALSE,"장축";#N/A,#N/A,FALSE,"4WD"}</definedName>
    <definedName name="_____A12458" hidden="1">{#N/A,#N/A,FALSE,"단축1";#N/A,#N/A,FALSE,"단축2";#N/A,#N/A,FALSE,"단축3";#N/A,#N/A,FALSE,"장축";#N/A,#N/A,FALSE,"4WD"}</definedName>
    <definedName name="_____A1454" hidden="1">{#N/A,#N/A,FALSE,"단축1";#N/A,#N/A,FALSE,"단축2";#N/A,#N/A,FALSE,"단축3";#N/A,#N/A,FALSE,"장축";#N/A,#N/A,FALSE,"4WD"}</definedName>
    <definedName name="_____A2" hidden="1">{#N/A,#N/A,FALSE,"KMC최종회의(7월) 자료"}</definedName>
    <definedName name="_____A2040" hidden="1">{#N/A,#N/A,FALSE,"단축1";#N/A,#N/A,FALSE,"단축2";#N/A,#N/A,FALSE,"단축3";#N/A,#N/A,FALSE,"장축";#N/A,#N/A,FALSE,"4WD"}</definedName>
    <definedName name="_____A21321" hidden="1">{#N/A,#N/A,FALSE,"단축1";#N/A,#N/A,FALSE,"단축2";#N/A,#N/A,FALSE,"단축3";#N/A,#N/A,FALSE,"장축";#N/A,#N/A,FALSE,"4WD"}</definedName>
    <definedName name="_____A3" hidden="1">{#N/A,#N/A,FALSE,"KMC최종회의(7월) 자료"}</definedName>
    <definedName name="_____A3_1" hidden="1">{#N/A,#N/A,FALSE,"단축1";#N/A,#N/A,FALSE,"단축2";#N/A,#N/A,FALSE,"단축3";#N/A,#N/A,FALSE,"장축";#N/A,#N/A,FALSE,"4WD"}</definedName>
    <definedName name="_____A4" hidden="1">{#N/A,#N/A,FALSE,"KMC최종회의(7월) 자료"}</definedName>
    <definedName name="_____A4_1" hidden="1">{#N/A,#N/A,FALSE,"KMC최종회의(7월) 자료"}</definedName>
    <definedName name="_____A4444" hidden="1">{#N/A,#N/A,FALSE,"KMC최종회의(7월) 자료"}</definedName>
    <definedName name="_____A5" hidden="1">{#N/A,#N/A,FALSE,"KMC최종회의(7월) 자료"}</definedName>
    <definedName name="_____A5_1" hidden="1">{#N/A,#N/A,FALSE,"KMC최종회의(7월) 자료"}</definedName>
    <definedName name="_____A6" hidden="1">{#N/A,#N/A,FALSE,"KMC최종회의(7월) 자료"}</definedName>
    <definedName name="_____A6_1" hidden="1">{#N/A,#N/A,FALSE,"KMC최종회의(7월) 자료"}</definedName>
    <definedName name="_____A6666" hidden="1">{#N/A,#N/A,FALSE,"KMC최종회의(7월) 자료"}</definedName>
    <definedName name="_____A7" hidden="1">{#N/A,#N/A,FALSE,"KMC최종회의(7월) 자료"}</definedName>
    <definedName name="_____A7_1" hidden="1">{#N/A,#N/A,FALSE,"KMC최종회의(7월) 자료"}</definedName>
    <definedName name="_____A8" hidden="1">{#N/A,#N/A,FALSE,"KMC최종회의(7월) 자료"}</definedName>
    <definedName name="_____A8_1" hidden="1">{#N/A,#N/A,FALSE,"KMC최종회의(7월) 자료"}</definedName>
    <definedName name="_____A9" hidden="1">{#N/A,#N/A,FALSE,"KMC최종회의(7월) 자료"}</definedName>
    <definedName name="_____A9_1" hidden="1">{#N/A,#N/A,FALSE,"KMC최종회의(7월) 자료"}</definedName>
    <definedName name="_____AA4" hidden="1">{#N/A,#N/A,FALSE,"신규dep";#N/A,#N/A,FALSE,"신규dep-금형상각후";#N/A,#N/A,FALSE,"신규dep-연구비상각후";#N/A,#N/A,FALSE,"신규dep-기계,공구상각후"}</definedName>
    <definedName name="_____AAA1" hidden="1">#REF!</definedName>
    <definedName name="_____AAA10" hidden="1">#REF!</definedName>
    <definedName name="_____AAA11" hidden="1">#REF!</definedName>
    <definedName name="_____AAA111" hidden="1">{#N/A,#N/A,FALSE,"신규dep";#N/A,#N/A,FALSE,"신규dep-금형상각후";#N/A,#N/A,FALSE,"신규dep-연구비상각후";#N/A,#N/A,FALSE,"신규dep-기계,공구상각후"}</definedName>
    <definedName name="_____AAA12" hidden="1">#REF!</definedName>
    <definedName name="_____AAA13" hidden="1">#REF!</definedName>
    <definedName name="_____AAA14" hidden="1">#REF!</definedName>
    <definedName name="_____AAA15" hidden="1">#REF!</definedName>
    <definedName name="_____AAA16" hidden="1">#REF!</definedName>
    <definedName name="_____AAA17" hidden="1">#REF!</definedName>
    <definedName name="_____AAA18" hidden="1">#REF!</definedName>
    <definedName name="_____AAA19" hidden="1">#REF!</definedName>
    <definedName name="_____AAA2" hidden="1">#REF!</definedName>
    <definedName name="_____AAA20" hidden="1">#REF!</definedName>
    <definedName name="_____AAA21" hidden="1">#REF!</definedName>
    <definedName name="_____AAA22" hidden="1">#REF!</definedName>
    <definedName name="_____AAA23" hidden="1">#REF!</definedName>
    <definedName name="_____AAA24" hidden="1">#REF!</definedName>
    <definedName name="_____AAA3" hidden="1">#REF!</definedName>
    <definedName name="_____AAA4" hidden="1">#REF!</definedName>
    <definedName name="_____AAA5" hidden="1">#REF!</definedName>
    <definedName name="_____AAA6" hidden="1">#REF!</definedName>
    <definedName name="_____AAA7" hidden="1">#REF!</definedName>
    <definedName name="_____AAA8" hidden="1">#REF!</definedName>
    <definedName name="_____AAA9" hidden="1">#REF!</definedName>
    <definedName name="_____AS6" hidden="1">{#N/A,#N/A,FALSE,"Australien";#N/A,#N/A,FALSE,"Birmingham";#N/A,#N/A,FALSE,"Brasilien";#N/A,#N/A,FALSE,"Prag";#N/A,#N/A,FALSE,"Spanien";#N/A,#N/A,FALSE,"Malaysia ( Com)";#N/A,#N/A,FALSE,"Malaysia (Instr)"}</definedName>
    <definedName name="_____AS6_1" hidden="1">{#N/A,#N/A,FALSE,"Australien";#N/A,#N/A,FALSE,"Birmingham";#N/A,#N/A,FALSE,"Brasilien";#N/A,#N/A,FALSE,"Prag";#N/A,#N/A,FALSE,"Spanien";#N/A,#N/A,FALSE,"Malaysia ( Com)";#N/A,#N/A,FALSE,"Malaysia (Instr)"}</definedName>
    <definedName name="_____AT1" hidden="1">{#N/A,#N/A,FALSE,"인원";#N/A,#N/A,FALSE,"비용2";#N/A,#N/A,FALSE,"비용1";#N/A,#N/A,FALSE,"비용";#N/A,#N/A,FALSE,"보증2";#N/A,#N/A,FALSE,"보증1";#N/A,#N/A,FALSE,"보증";#N/A,#N/A,FALSE,"손익1";#N/A,#N/A,FALSE,"손익";#N/A,#N/A,FALSE,"부서별매출";#N/A,#N/A,FALSE,"매출"}</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hidden="1">{#N/A,#N/A,FALSE,"인원";#N/A,#N/A,FALSE,"비용2";#N/A,#N/A,FALSE,"비용1";#N/A,#N/A,FALSE,"비용";#N/A,#N/A,FALSE,"보증2";#N/A,#N/A,FALSE,"보증1";#N/A,#N/A,FALSE,"보증";#N/A,#N/A,FALSE,"손익1";#N/A,#N/A,FALSE,"손익";#N/A,#N/A,FALSE,"부서별매출";#N/A,#N/A,FALSE,"매출"}</definedName>
    <definedName name="_____AT4" hidden="1">{#N/A,#N/A,FALSE,"인원";#N/A,#N/A,FALSE,"비용2";#N/A,#N/A,FALSE,"비용1";#N/A,#N/A,FALSE,"비용";#N/A,#N/A,FALSE,"보증2";#N/A,#N/A,FALSE,"보증1";#N/A,#N/A,FALSE,"보증";#N/A,#N/A,FALSE,"손익1";#N/A,#N/A,FALSE,"손익";#N/A,#N/A,FALSE,"부서별매출";#N/A,#N/A,FALSE,"매출"}</definedName>
    <definedName name="_____CL22" hidden="1">{#N/A,#N/A,FALSE,"KMC최종회의(7월) 자료"}</definedName>
    <definedName name="_____CL222" hidden="1">{#N/A,#N/A,FALSE,"KMC최종회의(7월) 자료"}</definedName>
    <definedName name="_____CL33" hidden="1">{#N/A,#N/A,FALSE,"KMC최종회의(7월) 자료"}</definedName>
    <definedName name="_____CVJ1" hidden="1">{#N/A,#N/A,FALSE,"KMC최종회의(7월) 자료"}</definedName>
    <definedName name="_____d1" hidden="1">{#N/A,#N/A,FALSE,"신규dep";#N/A,#N/A,FALSE,"신규dep-금형상각후";#N/A,#N/A,FALSE,"신규dep-연구비상각후";#N/A,#N/A,FALSE,"신규dep-기계,공구상각후"}</definedName>
    <definedName name="_____d2" hidden="1">{#N/A,#N/A,FALSE,"신규dep";#N/A,#N/A,FALSE,"신규dep-금형상각후";#N/A,#N/A,FALSE,"신규dep-연구비상각후";#N/A,#N/A,FALSE,"신규dep-기계,공구상각후"}</definedName>
    <definedName name="_____D6" hidden="1">{"'표지'!$B$5"}</definedName>
    <definedName name="_____DB777" hidden="1">{#N/A,#N/A,TRUE,"Y생산";#N/A,#N/A,TRUE,"Y판매";#N/A,#N/A,TRUE,"Y총물량";#N/A,#N/A,TRUE,"Y능력";#N/A,#N/A,TRUE,"YKD"}</definedName>
    <definedName name="_____DC50" hidden="1">{#N/A,#N/A,FALSE,"단축1";#N/A,#N/A,FALSE,"단축2";#N/A,#N/A,FALSE,"단축3";#N/A,#N/A,FALSE,"장축";#N/A,#N/A,FALSE,"4WD"}</definedName>
    <definedName name="_____DE33" hidden="1">{"'7-2지역별'!$A$1:$R$44"}</definedName>
    <definedName name="_____DR1" hidden="1">{#N/A,#N/A,FALSE,"업체선정";#N/A,#N/A,FALSE,"업체선정sheet";#N/A,#N/A,FALSE,"업체실태";#N/A,#N/A,FALSE,"업체실태(1)";#N/A,#N/A,FALSE,"종업원현황(2)";#N/A,#N/A,FALSE,"생산품목(3)";#N/A,#N/A,FALSE,"장비보유현황";#N/A,#N/A,FALSE,"차량및약도";#N/A,#N/A,FALSE,"금형LIST"}</definedName>
    <definedName name="_____DR7" hidden="1">{#N/A,#N/A,FALSE,"표지";#N/A,#N/A,FALSE,"전제";#N/A,#N/A,FALSE,"손익-자 (2)";#N/A,#N/A,FALSE,"손익-자";#N/A,#N/A,FALSE,"손익-마 (2)";#N/A,#N/A,FALSE,"손익-마";#N/A,#N/A,FALSE,"총손최종"}</definedName>
    <definedName name="_____E1" hidden="1">{#N/A,#N/A,FALSE,"KMC최종회의(7월) 자료"}</definedName>
    <definedName name="_____E1_1" hidden="1">{#N/A,#N/A,FALSE,"KMC최종회의(7월) 자료"}</definedName>
    <definedName name="_____E2" hidden="1">{#N/A,#N/A,FALSE,"KMC최종회의(7월) 자료"}</definedName>
    <definedName name="_____E2_1" hidden="1">{#N/A,#N/A,FALSE,"KMC최종회의(7월) 자료"}</definedName>
    <definedName name="_____e3" hidden="1">{#N/A,#N/A,FALSE,"단축1";#N/A,#N/A,FALSE,"단축2";#N/A,#N/A,FALSE,"단축3";#N/A,#N/A,FALSE,"장축";#N/A,#N/A,FALSE,"4WD"}</definedName>
    <definedName name="_____e4" hidden="1">{#N/A,#N/A,FALSE,"단축1";#N/A,#N/A,FALSE,"단축2";#N/A,#N/A,FALSE,"단축3";#N/A,#N/A,FALSE,"장축";#N/A,#N/A,FALSE,"4WD"}</definedName>
    <definedName name="_____E45" hidden="1">{"'7-2지역별'!$A$1:$R$44"}</definedName>
    <definedName name="_____e5" hidden="1">{#N/A,#N/A,FALSE,"단축1";#N/A,#N/A,FALSE,"단축2";#N/A,#N/A,FALSE,"단축3";#N/A,#N/A,FALSE,"장축";#N/A,#N/A,FALSE,"4WD"}</definedName>
    <definedName name="_____e6" hidden="1">{#N/A,#N/A,FALSE,"단축1";#N/A,#N/A,FALSE,"단축2";#N/A,#N/A,FALSE,"단축3";#N/A,#N/A,FALSE,"장축";#N/A,#N/A,FALSE,"4WD"}</definedName>
    <definedName name="_____e7" hidden="1">{#N/A,#N/A,FALSE,"신규dep";#N/A,#N/A,FALSE,"신규dep-금형상각후";#N/A,#N/A,FALSE,"신규dep-연구비상각후";#N/A,#N/A,FALSE,"신규dep-기계,공구상각후"}</definedName>
    <definedName name="_____e8" hidden="1">{#N/A,#N/A,FALSE,"신규dep";#N/A,#N/A,FALSE,"신규dep-금형상각후";#N/A,#N/A,FALSE,"신규dep-연구비상각후";#N/A,#N/A,FALSE,"신규dep-기계,공구상각후"}</definedName>
    <definedName name="_____e9" hidden="1">{#N/A,#N/A,FALSE,"단축1";#N/A,#N/A,FALSE,"단축2";#N/A,#N/A,FALSE,"단축3";#N/A,#N/A,FALSE,"장축";#N/A,#N/A,FALSE,"4WD"}</definedName>
    <definedName name="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O2" hidden="1">{#N/A,#N/A,FALSE,"신규dep";#N/A,#N/A,FALSE,"신규dep-금형상각후";#N/A,#N/A,FALSE,"신규dep-연구비상각후";#N/A,#N/A,FALSE,"신규dep-기계,공구상각후"}</definedName>
    <definedName name="_____EWA1" hidden="1">{#N/A,#N/A,FALSE,"초도품";#N/A,#N/A,FALSE,"초도품 (2)";#N/A,#N/A,FALSE,"초도품 (3)";#N/A,#N/A,FALSE,"초도품 (4)";#N/A,#N/A,FALSE,"초도품 (5)";#N/A,#N/A,FALSE,"초도품 (6)"}</definedName>
    <definedName name="_____FG1" hidden="1">{#N/A,#N/A,FALSE,"단축1";#N/A,#N/A,FALSE,"단축2";#N/A,#N/A,FALSE,"단축3";#N/A,#N/A,FALSE,"장축";#N/A,#N/A,FALSE,"4WD"}</definedName>
    <definedName name="_____G1" hidden="1">{#N/A,#N/A,FALSE,"단축1";#N/A,#N/A,FALSE,"단축2";#N/A,#N/A,FALSE,"단축3";#N/A,#N/A,FALSE,"장축";#N/A,#N/A,FALSE,"4WD"}</definedName>
    <definedName name="_____h1" hidden="1">{"'표지'!$B$5"}</definedName>
    <definedName name="_____h2" hidden="1">{"'표지'!$B$5"}</definedName>
    <definedName name="_____h3" hidden="1">{"'표지'!$B$5"}</definedName>
    <definedName name="_____h4" hidden="1">{"'표지'!$B$5"}</definedName>
    <definedName name="_____h5" hidden="1">{"'표지'!$B$5"}</definedName>
    <definedName name="_____HL1" hidden="1">{#N/A,#N/A,FALSE,"단축1";#N/A,#N/A,FALSE,"단축2";#N/A,#N/A,FALSE,"단축3";#N/A,#N/A,FALSE,"장축";#N/A,#N/A,FALSE,"4WD"}</definedName>
    <definedName name="_____HL2" hidden="1">{#N/A,#N/A,FALSE,"단축1";#N/A,#N/A,FALSE,"단축2";#N/A,#N/A,FALSE,"단축3";#N/A,#N/A,FALSE,"장축";#N/A,#N/A,FALSE,"4WD"}</definedName>
    <definedName name="_____HL3" hidden="1">{#N/A,#N/A,TRUE,"Y생산";#N/A,#N/A,TRUE,"Y판매";#N/A,#N/A,TRUE,"Y총물량";#N/A,#N/A,TRUE,"Y능력";#N/A,#N/A,TRUE,"YKD"}</definedName>
    <definedName name="_____HP02" hidden="1">{#N/A,#N/A,FALSE,"단축1";#N/A,#N/A,FALSE,"단축2";#N/A,#N/A,FALSE,"단축3";#N/A,#N/A,FALSE,"장축";#N/A,#N/A,FALSE,"4WD"}</definedName>
    <definedName name="_____HP2" hidden="1">{#N/A,#N/A,FALSE,"단축1";#N/A,#N/A,FALSE,"단축2";#N/A,#N/A,FALSE,"단축3";#N/A,#N/A,FALSE,"장축";#N/A,#N/A,FALSE,"4WD"}</definedName>
    <definedName name="_____htt1" hidden="1">{"'표지'!$B$5"}</definedName>
    <definedName name="_____IO8" hidden="1">{#N/A,#N/A,FALSE,"단축1";#N/A,#N/A,FALSE,"단축2";#N/A,#N/A,FALSE,"단축3";#N/A,#N/A,FALSE,"장축";#N/A,#N/A,FALSE,"4WD"}</definedName>
    <definedName name="_____IO8_1" hidden="1">{#N/A,#N/A,FALSE,"단축1";#N/A,#N/A,FALSE,"단축2";#N/A,#N/A,FALSE,"단축3";#N/A,#N/A,FALSE,"장축";#N/A,#N/A,FALSE,"4WD"}</definedName>
    <definedName name="_____k7" hidden="1">{#N/A,#N/A,FALSE,"단축1";#N/A,#N/A,FALSE,"단축2";#N/A,#N/A,FALSE,"단축3";#N/A,#N/A,FALSE,"장축";#N/A,#N/A,FALSE,"4WD"}</definedName>
    <definedName name="_____k8" hidden="1">{#N/A,#N/A,FALSE,"단축1";#N/A,#N/A,FALSE,"단축2";#N/A,#N/A,FALSE,"단축3";#N/A,#N/A,FALSE,"장축";#N/A,#N/A,FALSE,"4WD"}</definedName>
    <definedName name="_____k9" hidden="1">{#N/A,#N/A,FALSE,"단축1";#N/A,#N/A,FALSE,"단축2";#N/A,#N/A,FALSE,"단축3";#N/A,#N/A,FALSE,"장축";#N/A,#N/A,FALSE,"4WD"}</definedName>
    <definedName name="_____LH1" hidden="1">{"'7보유'!$A$1:$F$44"}</definedName>
    <definedName name="_____LH2" hidden="1">{"'7보유'!$A$1:$F$44"}</definedName>
    <definedName name="_____LPS2" hidden="1">{#N/A,#N/A,FALSE,"단축1";#N/A,#N/A,FALSE,"단축2";#N/A,#N/A,FALSE,"단축3";#N/A,#N/A,FALSE,"장축";#N/A,#N/A,FALSE,"4WD"}</definedName>
    <definedName name="_____LPS2_1" hidden="1">{#N/A,#N/A,FALSE,"단축1";#N/A,#N/A,FALSE,"단축2";#N/A,#N/A,FALSE,"단축3";#N/A,#N/A,FALSE,"장축";#N/A,#N/A,FALSE,"4WD"}</definedName>
    <definedName name="_____M123" hidden="1">{#N/A,#N/A,FALSE,"단축1";#N/A,#N/A,FALSE,"단축2";#N/A,#N/A,FALSE,"단축3";#N/A,#N/A,FALSE,"장축";#N/A,#N/A,FALSE,"4WD"}</definedName>
    <definedName name="_____MIP10" hidden="1">{#N/A,#N/A,FALSE,"단축1";#N/A,#N/A,FALSE,"단축2";#N/A,#N/A,FALSE,"단축3";#N/A,#N/A,FALSE,"장축";#N/A,#N/A,FALSE,"4WD"}</definedName>
    <definedName name="_____MIP2" hidden="1">{#N/A,#N/A,FALSE,"단축1";#N/A,#N/A,FALSE,"단축2";#N/A,#N/A,FALSE,"단축3";#N/A,#N/A,FALSE,"장축";#N/A,#N/A,FALSE,"4WD"}</definedName>
    <definedName name="_____nbj75" hidden="1">{#N/A,#N/A,FALSE,"단축1";#N/A,#N/A,FALSE,"단축2";#N/A,#N/A,FALSE,"단축3";#N/A,#N/A,FALSE,"장축";#N/A,#N/A,FALSE,"4WD"}</definedName>
    <definedName name="_____O11" hidden="1">{#N/A,#N/A,FALSE,"단축1";#N/A,#N/A,FALSE,"단축2";#N/A,#N/A,FALSE,"단축3";#N/A,#N/A,FALSE,"장축";#N/A,#N/A,FALSE,"4WD"}</definedName>
    <definedName name="_____OPS1" hidden="1">{"Wire Charts",#N/A,TRUE,"Wires"}</definedName>
    <definedName name="_____P2" hidden="1">{#N/A,#N/A,FALSE,"단축1";#N/A,#N/A,FALSE,"단축2";#N/A,#N/A,FALSE,"단축3";#N/A,#N/A,FALSE,"장축";#N/A,#N/A,FALSE,"4WD"}</definedName>
    <definedName name="_____P21" hidden="1">{#N/A,#N/A,FALSE,"단축1";#N/A,#N/A,FALSE,"단축2";#N/A,#N/A,FALSE,"단축3";#N/A,#N/A,FALSE,"장축";#N/A,#N/A,FALSE,"4WD"}</definedName>
    <definedName name="_____PB004" hidden="1">{#N/A,#N/A,FALSE,"단축1";#N/A,#N/A,FALSE,"단축2";#N/A,#N/A,FALSE,"단축3";#N/A,#N/A,FALSE,"장축";#N/A,#N/A,FALSE,"4WD"}</definedName>
    <definedName name="_____PPP21" hidden="1">{#N/A,#N/A,FALSE,"KMC최종회의(7월) 자료"}</definedName>
    <definedName name="_____PPP3" hidden="1">{#N/A,#N/A,FALSE,"KMC최종회의(7월) 자료"}</definedName>
    <definedName name="_____Q098" hidden="1">{"'7-2지역별'!$A$1:$R$44"}</definedName>
    <definedName name="_____Q1" hidden="1">{#N/A,#N/A,FALSE,"KMC최종회의(7월) 자료"}</definedName>
    <definedName name="_____Q1_1" hidden="1">{#N/A,#N/A,FALSE,"KMC최종회의(7월) 자료"}</definedName>
    <definedName name="_____Q11" hidden="1">{"'7-2지역별'!$A$1:$R$44"}</definedName>
    <definedName name="_____Q11234" hidden="1">{"'7-2지역별'!$A$1:$R$44"}</definedName>
    <definedName name="_____Q12" hidden="1">{"'7-2지역별'!$A$1:$R$44"}</definedName>
    <definedName name="_____Q123" hidden="1">{"'7-2지역별'!$A$1:$R$44"}</definedName>
    <definedName name="_____Q1232" hidden="1">{"'7-2지역별'!$A$1:$R$44"}</definedName>
    <definedName name="_____Q1233" hidden="1">{"'7-2지역별'!$A$1:$R$44"}</definedName>
    <definedName name="_____Q2" hidden="1">{#N/A,#N/A,FALSE,"KMC최종회의(7월) 자료"}</definedName>
    <definedName name="_____Q2_1" hidden="1">{#N/A,#N/A,FALSE,"KMC최종회의(7월) 자료"}</definedName>
    <definedName name="_____Q2342" hidden="1">{"'7-2지역별'!$A$1:$R$44"}</definedName>
    <definedName name="_____Q3" hidden="1">{#N/A,#N/A,FALSE,"KMC최종회의(7월) 자료"}</definedName>
    <definedName name="_____Q3_1" hidden="1">{#N/A,#N/A,FALSE,"KMC최종회의(7월) 자료"}</definedName>
    <definedName name="_____Q343" hidden="1">{"'7-2지역별'!$A$1:$R$44"}</definedName>
    <definedName name="_____Q345" hidden="1">{"'7-2지역별'!$A$1:$R$44"}</definedName>
    <definedName name="_____Q423" hidden="1">{"'7-2지역별'!$A$1:$R$44"}</definedName>
    <definedName name="_____Q43456" hidden="1">{"'7-2지역별'!$A$1:$R$44"}</definedName>
    <definedName name="_____Q5" hidden="1">{#N/A,#N/A,FALSE,"KMC최종회의(7월) 자료"}</definedName>
    <definedName name="_____Q5_1" hidden="1">{#N/A,#N/A,FALSE,"KMC최종회의(7월) 자료"}</definedName>
    <definedName name="_____Q54" hidden="1">{"'7-2지역별'!$A$1:$R$44"}</definedName>
    <definedName name="_____Q543" hidden="1">{"'7-2지역별'!$A$1:$R$44"}</definedName>
    <definedName name="_____Q5434" hidden="1">{"'7-2지역별'!$A$1:$R$44"}</definedName>
    <definedName name="_____Q543421" hidden="1">{"'7-2지역별'!$A$1:$R$44"}</definedName>
    <definedName name="_____Q5555" hidden="1">{"'7-2지역별'!$A$1:$R$44"}</definedName>
    <definedName name="_____Q5678" hidden="1">{"'7-2지역별'!$A$1:$R$44"}</definedName>
    <definedName name="_____q6" hidden="1">{#N/A,#N/A,FALSE,"신규dep";#N/A,#N/A,FALSE,"신규dep-금형상각후";#N/A,#N/A,FALSE,"신규dep-연구비상각후";#N/A,#N/A,FALSE,"신규dep-기계,공구상각후"}</definedName>
    <definedName name="_____Q65465" hidden="1">{"'7-2지역별'!$A$1:$R$44"}</definedName>
    <definedName name="_____Q6765" hidden="1">{"'7-2지역별'!$A$1:$R$44"}</definedName>
    <definedName name="_____Q7" hidden="1">{#N/A,#N/A,FALSE,"KMC최종회의(7월) 자료"}</definedName>
    <definedName name="_____Q7_1" hidden="1">{#N/A,#N/A,FALSE,"KMC최종회의(7월) 자료"}</definedName>
    <definedName name="_____Q75655" hidden="1">{"'7-2지역별'!$A$1:$R$44"}</definedName>
    <definedName name="_____Q765" hidden="1">{"'7-2지역별'!$A$1:$R$44"}</definedName>
    <definedName name="_____Q7655" hidden="1">{"'7-2지역별'!$A$1:$R$44"}</definedName>
    <definedName name="_____Q7687" hidden="1">{"'7-2지역별'!$A$1:$R$44"}</definedName>
    <definedName name="_____Q8" hidden="1">{#N/A,#N/A,FALSE,"KMC최종회의(7월) 자료"}</definedName>
    <definedName name="_____Q8_1" hidden="1">{#N/A,#N/A,FALSE,"KMC최종회의(7월) 자료"}</definedName>
    <definedName name="_____Q876" hidden="1">{"'7-2지역별'!$A$1:$R$44"}</definedName>
    <definedName name="_____Q9" hidden="1">{#N/A,#N/A,FALSE,"KMC최종회의(7월) 자료"}</definedName>
    <definedName name="_____Q9_1" hidden="1">{#N/A,#N/A,FALSE,"KMC최종회의(7월) 자료"}</definedName>
    <definedName name="_____Q98" hidden="1">{"'7-2지역별'!$A$1:$R$44"}</definedName>
    <definedName name="_____RR2" hidden="1">{#N/A,#N/A,FALSE,"단축1";#N/A,#N/A,FALSE,"단축2";#N/A,#N/A,FALSE,"단축3";#N/A,#N/A,FALSE,"장축";#N/A,#N/A,FALSE,"4WD"}</definedName>
    <definedName name="_____S1" hidden="1">{#N/A,#N/A,FALSE,"KMC최종회의(7월) 자료"}</definedName>
    <definedName name="_____S1_1" hidden="1">{#N/A,#N/A,FALSE,"KMC최종회의(7월) 자료"}</definedName>
    <definedName name="_____S2" hidden="1">{#N/A,#N/A,FALSE,"KMC최종회의(7월) 자료"}</definedName>
    <definedName name="_____S2_1" hidden="1">{#N/A,#N/A,FALSE,"KMC최종회의(7월) 자료"}</definedName>
    <definedName name="_____S3" hidden="1">{#N/A,#N/A,FALSE,"KMC최종회의(7월) 자료"}</definedName>
    <definedName name="_____S3_1" hidden="1">{#N/A,#N/A,FALSE,"KMC최종회의(7월) 자료"}</definedName>
    <definedName name="_____S4" hidden="1">{#N/A,#N/A,FALSE,"KMC최종회의(7월) 자료"}</definedName>
    <definedName name="_____S4_1" hidden="1">{#N/A,#N/A,FALSE,"KMC최종회의(7월) 자료"}</definedName>
    <definedName name="_____S5" hidden="1">{#N/A,#N/A,FALSE,"KMC최종회의(7월) 자료"}</definedName>
    <definedName name="_____S5_1" hidden="1">{#N/A,#N/A,FALSE,"KMC최종회의(7월) 자료"}</definedName>
    <definedName name="_____S6" hidden="1">{#N/A,#N/A,FALSE,"KMC최종회의(7월) 자료"}</definedName>
    <definedName name="_____S6_1" hidden="1">{#N/A,#N/A,FALSE,"KMC최종회의(7월) 자료"}</definedName>
    <definedName name="_____S7" hidden="1">{#N/A,#N/A,FALSE,"KMC최종회의(7월) 자료"}</definedName>
    <definedName name="_____S7_1" hidden="1">{#N/A,#N/A,FALSE,"KMC최종회의(7월) 자료"}</definedName>
    <definedName name="_____S8" hidden="1">{#N/A,#N/A,FALSE,"KMC최종회의(7월) 자료"}</definedName>
    <definedName name="_____S8_1" hidden="1">{#N/A,#N/A,FALSE,"KMC최종회의(7월) 자료"}</definedName>
    <definedName name="_____SD323" hidden="1">{"'7-2지역별'!$A$1:$R$44"}</definedName>
    <definedName name="_____SDW1" hidden="1">#REF!</definedName>
    <definedName name="_____SMM1" hidden="1">{"'7보유'!$A$1:$F$44"}</definedName>
    <definedName name="_____SMM2" hidden="1">{"'7보유'!$A$1:$F$44"}</definedName>
    <definedName name="_____SUM1" hidden="1">{#N/A,#N/A,FALSE,"단축1";#N/A,#N/A,FALSE,"단축2";#N/A,#N/A,FALSE,"단축3";#N/A,#N/A,FALSE,"장축";#N/A,#N/A,FALSE,"4WD"}</definedName>
    <definedName name="_____T2" hidden="1">{#N/A,#N/A,FALSE,"단축1";#N/A,#N/A,FALSE,"단축2";#N/A,#N/A,FALSE,"단축3";#N/A,#N/A,FALSE,"장축";#N/A,#N/A,FALSE,"4WD"}</definedName>
    <definedName name="_____T3" hidden="1">{#N/A,#N/A,FALSE,"단축1";#N/A,#N/A,FALSE,"단축2";#N/A,#N/A,FALSE,"단축3";#N/A,#N/A,FALSE,"장축";#N/A,#N/A,FALSE,"4WD"}</definedName>
    <definedName name="_____t45445" hidden="1">{"'7-2지역별'!$A$1:$R$44"}</definedName>
    <definedName name="_____T5" hidden="1">{#N/A,#N/A,FALSE,"단축1";#N/A,#N/A,FALSE,"단축2";#N/A,#N/A,FALSE,"단축3";#N/A,#N/A,FALSE,"장축";#N/A,#N/A,FALSE,"4WD"}</definedName>
    <definedName name="_____TRT11" hidden="1">{#N/A,#N/A,FALSE,"표지";#N/A,#N/A,FALSE,"전제";#N/A,#N/A,FALSE,"손익-자 (2)";#N/A,#N/A,FALSE,"손익-자";#N/A,#N/A,FALSE,"손익-마 (2)";#N/A,#N/A,FALSE,"손익-마";#N/A,#N/A,FALSE,"총손최종"}</definedName>
    <definedName name="_____U1" hidden="1">{#N/A,#N/A,FALSE,"단축1";#N/A,#N/A,FALSE,"단축2";#N/A,#N/A,FALSE,"단축3";#N/A,#N/A,FALSE,"장축";#N/A,#N/A,FALSE,"4WD"}</definedName>
    <definedName name="_____W1" hidden="1">{#N/A,#N/A,FALSE,"KMC최종회의(7월) 자료"}</definedName>
    <definedName name="_____W1_1" hidden="1">{#N/A,#N/A,FALSE,"KMC최종회의(7월) 자료"}</definedName>
    <definedName name="_____W12324" hidden="1">{"'7-2지역별'!$A$1:$R$44"}</definedName>
    <definedName name="_____W2" hidden="1">{#N/A,#N/A,FALSE,"KMC최종회의(7월) 자료"}</definedName>
    <definedName name="_____W2_1" hidden="1">{#N/A,#N/A,FALSE,"KMC최종회의(7월) 자료"}</definedName>
    <definedName name="_____W3" hidden="1">{#N/A,#N/A,FALSE,"KMC최종회의(7월) 자료"}</definedName>
    <definedName name="_____W3_1" hidden="1">{#N/A,#N/A,FALSE,"KMC최종회의(7월) 자료"}</definedName>
    <definedName name="_____W322" hidden="1">{"'7-2지역별'!$A$1:$R$44"}</definedName>
    <definedName name="_____W4" hidden="1">{#N/A,#N/A,FALSE,"KMC최종회의(7월) 자료"}</definedName>
    <definedName name="_____W4_1" hidden="1">{#N/A,#N/A,FALSE,"KMC최종회의(7월) 자료"}</definedName>
    <definedName name="_____W4454" hidden="1">{"'7-2지역별'!$A$1:$R$44"}</definedName>
    <definedName name="_____W5" hidden="1">{#N/A,#N/A,FALSE,"KMC최종회의(7월) 자료"}</definedName>
    <definedName name="_____W5_1" hidden="1">{#N/A,#N/A,FALSE,"KMC최종회의(7월) 자료"}</definedName>
    <definedName name="_____W53" hidden="1">{"'7-2지역별'!$A$1:$R$44"}</definedName>
    <definedName name="_____W6" hidden="1">{#N/A,#N/A,FALSE,"KMC최종회의(7월) 자료"}</definedName>
    <definedName name="_____W6_1" hidden="1">{#N/A,#N/A,FALSE,"KMC최종회의(7월) 자료"}</definedName>
    <definedName name="_____W7" hidden="1">{#N/A,#N/A,FALSE,"KMC최종회의(7월) 자료"}</definedName>
    <definedName name="_____W7_1" hidden="1">{#N/A,#N/A,FALSE,"KMC최종회의(7월) 자료"}</definedName>
    <definedName name="_____W8" hidden="1">{#N/A,#N/A,FALSE,"KMC최종회의(7월) 자료"}</definedName>
    <definedName name="_____W8_1" hidden="1">{#N/A,#N/A,FALSE,"KMC최종회의(7월) 자료"}</definedName>
    <definedName name="_____W9" hidden="1">{#N/A,#N/A,FALSE,"KMC최종회의(7월) 자료"}</definedName>
    <definedName name="_____W9_1" hidden="1">{#N/A,#N/A,FALSE,"KMC최종회의(7월) 자료"}</definedName>
    <definedName name="_____WRN2" hidden="1">{#N/A,#N/A,FALSE,"단축1";#N/A,#N/A,FALSE,"단축2";#N/A,#N/A,FALSE,"단축3";#N/A,#N/A,FALSE,"장축";#N/A,#N/A,FALSE,"4WD"}</definedName>
    <definedName name="_____X1" hidden="1">{#N/A,#N/A,FALSE,"KMC최종회의(7월) 자료"}</definedName>
    <definedName name="_____X1_1" hidden="1">{#N/A,#N/A,FALSE,"KMC최종회의(7월) 자료"}</definedName>
    <definedName name="_____X2" hidden="1">{#N/A,#N/A,FALSE,"KMC최종회의(7월) 자료"}</definedName>
    <definedName name="_____X2_1" hidden="1">{#N/A,#N/A,FALSE,"KMC최종회의(7월) 자료"}</definedName>
    <definedName name="_____X3" hidden="1">{#N/A,#N/A,FALSE,"KMC최종회의(7월) 자료"}</definedName>
    <definedName name="_____X3_1" hidden="1">{#N/A,#N/A,FALSE,"KMC최종회의(7월) 자료"}</definedName>
    <definedName name="_____X4" hidden="1">{#N/A,#N/A,FALSE,"KMC최종회의(7월) 자료"}</definedName>
    <definedName name="_____X4_1" hidden="1">{#N/A,#N/A,FALSE,"KMC최종회의(7월) 자료"}</definedName>
    <definedName name="_____X5" hidden="1">{#N/A,#N/A,FALSE,"KMC최종회의(7월) 자료"}</definedName>
    <definedName name="_____X5_1" hidden="1">{#N/A,#N/A,FALSE,"KMC최종회의(7월) 자료"}</definedName>
    <definedName name="_____X6" hidden="1">{#N/A,#N/A,FALSE,"KMC최종회의(7월) 자료"}</definedName>
    <definedName name="_____X6_1" hidden="1">{#N/A,#N/A,FALSE,"KMC최종회의(7월) 자료"}</definedName>
    <definedName name="_____X7" hidden="1">{#N/A,#N/A,FALSE,"KMC최종회의(7월) 자료"}</definedName>
    <definedName name="_____X7_1" hidden="1">{#N/A,#N/A,FALSE,"KMC최종회의(7월) 자료"}</definedName>
    <definedName name="_____X8" hidden="1">{#N/A,#N/A,FALSE,"KMC최종회의(7월) 자료"}</definedName>
    <definedName name="_____X8_1" hidden="1">{#N/A,#N/A,FALSE,"KMC최종회의(7월) 자료"}</definedName>
    <definedName name="_____XG2" hidden="1">{#N/A,#N/A,FALSE,"단축1";#N/A,#N/A,FALSE,"단축2";#N/A,#N/A,FALSE,"단축3";#N/A,#N/A,FALSE,"장축";#N/A,#N/A,FALSE,"4WD"}</definedName>
    <definedName name="_____XG2_1" hidden="1">{#N/A,#N/A,FALSE,"단축1";#N/A,#N/A,FALSE,"단축2";#N/A,#N/A,FALSE,"단축3";#N/A,#N/A,FALSE,"장축";#N/A,#N/A,FALSE,"4WD"}</definedName>
    <definedName name="_____y45546" hidden="1">{"'7-2지역별'!$A$1:$R$44"}</definedName>
    <definedName name="_____Z1" hidden="1">{#N/A,#N/A,FALSE,"KMC최종회의(7월) 자료"}</definedName>
    <definedName name="_____Z1_1" hidden="1">{#N/A,#N/A,FALSE,"KMC최종회의(7월) 자료"}</definedName>
    <definedName name="_____z123" hidden="1">{#N/A,#N/A,FALSE,"단축1";#N/A,#N/A,FALSE,"단축2";#N/A,#N/A,FALSE,"단축3";#N/A,#N/A,FALSE,"장축";#N/A,#N/A,FALSE,"4WD"}</definedName>
    <definedName name="_____Z2" hidden="1">{#N/A,#N/A,FALSE,"KMC최종회의(7월) 자료"}</definedName>
    <definedName name="_____Z2_1" hidden="1">{#N/A,#N/A,FALSE,"KMC최종회의(7월) 자료"}</definedName>
    <definedName name="_____Z3" hidden="1">{#N/A,#N/A,FALSE,"KMC최종회의(7월) 자료"}</definedName>
    <definedName name="_____Z3_1" hidden="1">{#N/A,#N/A,FALSE,"KMC최종회의(7월) 자료"}</definedName>
    <definedName name="_____Z4" hidden="1">{#N/A,#N/A,FALSE,"KMC최종회의(7월) 자료"}</definedName>
    <definedName name="_____Z4_1" hidden="1">{#N/A,#N/A,FALSE,"KMC최종회의(7월) 자료"}</definedName>
    <definedName name="_____Z5" hidden="1">{#N/A,#N/A,FALSE,"KMC최종회의(7월) 자료"}</definedName>
    <definedName name="_____Z5_1" hidden="1">{#N/A,#N/A,FALSE,"KMC최종회의(7월) 자료"}</definedName>
    <definedName name="_____Z6" hidden="1">{#N/A,#N/A,FALSE,"KMC최종회의(7월) 자료"}</definedName>
    <definedName name="_____Z6_1" hidden="1">{#N/A,#N/A,FALSE,"KMC최종회의(7월) 자료"}</definedName>
    <definedName name="_____Z7" hidden="1">{#N/A,#N/A,FALSE,"KMC최종회의(7월) 자료"}</definedName>
    <definedName name="_____Z7_1" hidden="1">{#N/A,#N/A,FALSE,"KMC최종회의(7월) 자료"}</definedName>
    <definedName name="_____Z8" hidden="1">{#N/A,#N/A,FALSE,"KMC최종회의(7월) 자료"}</definedName>
    <definedName name="_____Z8_1" hidden="1">{#N/A,#N/A,FALSE,"KMC최종회의(7월) 자료"}</definedName>
    <definedName name="_____Z9" hidden="1">{#N/A,#N/A,FALSE,"KMC최종회의(7월) 자료"}</definedName>
    <definedName name="_____Z9_1" hidden="1">{#N/A,#N/A,FALSE,"KMC최종회의(7월) 자료"}</definedName>
    <definedName name="_____ZA1" hidden="1">#REF!</definedName>
    <definedName name="_____ZA10" hidden="1">#REF!</definedName>
    <definedName name="_____ZA11" hidden="1">#REF!</definedName>
    <definedName name="_____ZA12" hidden="1">#REF!</definedName>
    <definedName name="_____ZA13" hidden="1">#REF!</definedName>
    <definedName name="_____ZA14" hidden="1">#REF!</definedName>
    <definedName name="_____ZA15" hidden="1">#REF!</definedName>
    <definedName name="_____ZA16" hidden="1">#REF!</definedName>
    <definedName name="_____ZA17" hidden="1">#REF!</definedName>
    <definedName name="_____ZA18" hidden="1">#REF!</definedName>
    <definedName name="_____ZA19" hidden="1">#REF!</definedName>
    <definedName name="_____ZA2" hidden="1">#REF!</definedName>
    <definedName name="_____ZA20" hidden="1">#REF!</definedName>
    <definedName name="_____ZA21" hidden="1">#REF!</definedName>
    <definedName name="_____ZA22" hidden="1">#REF!</definedName>
    <definedName name="_____ZA23" hidden="1">#REF!</definedName>
    <definedName name="_____ZA24" hidden="1">#REF!</definedName>
    <definedName name="_____ZA3" hidden="1">#REF!</definedName>
    <definedName name="_____ZA4" hidden="1">#REF!</definedName>
    <definedName name="_____ZA5" hidden="1">#REF!</definedName>
    <definedName name="_____ZA6" hidden="1">#REF!</definedName>
    <definedName name="_____ZA7" hidden="1">#REF!</definedName>
    <definedName name="_____ZA8" hidden="1">#REF!</definedName>
    <definedName name="_____ZA9" hidden="1">#REF!</definedName>
    <definedName name="____A02" hidden="1">{#N/A,#N/A,FALSE,"단축1";#N/A,#N/A,FALSE,"단축2";#N/A,#N/A,FALSE,"단축3";#N/A,#N/A,FALSE,"장축";#N/A,#N/A,FALSE,"4WD"}</definedName>
    <definedName name="____A0323" hidden="1">{#N/A,#N/A,FALSE,"단축1";#N/A,#N/A,FALSE,"단축2";#N/A,#N/A,FALSE,"단축3";#N/A,#N/A,FALSE,"장축";#N/A,#N/A,FALSE,"4WD"}</definedName>
    <definedName name="____A1" hidden="1">{#N/A,#N/A,FALSE,"KMC최종회의(7월) 자료"}</definedName>
    <definedName name="____A1_1" hidden="1">{#N/A,#N/A,FALSE,"KMC최종회의(7월) 자료"}</definedName>
    <definedName name="____A1232" hidden="1">{#N/A,#N/A,FALSE,"단축1";#N/A,#N/A,FALSE,"단축2";#N/A,#N/A,FALSE,"단축3";#N/A,#N/A,FALSE,"장축";#N/A,#N/A,FALSE,"4WD"}</definedName>
    <definedName name="____A1245" hidden="1">{#N/A,#N/A,FALSE,"단축1";#N/A,#N/A,FALSE,"단축2";#N/A,#N/A,FALSE,"단축3";#N/A,#N/A,FALSE,"장축";#N/A,#N/A,FALSE,"4WD"}</definedName>
    <definedName name="____A12458" hidden="1">{#N/A,#N/A,FALSE,"단축1";#N/A,#N/A,FALSE,"단축2";#N/A,#N/A,FALSE,"단축3";#N/A,#N/A,FALSE,"장축";#N/A,#N/A,FALSE,"4WD"}</definedName>
    <definedName name="____A1454" hidden="1">{#N/A,#N/A,FALSE,"단축1";#N/A,#N/A,FALSE,"단축2";#N/A,#N/A,FALSE,"단축3";#N/A,#N/A,FALSE,"장축";#N/A,#N/A,FALSE,"4WD"}</definedName>
    <definedName name="____A2" hidden="1">{#N/A,#N/A,FALSE,"KMC최종회의(7월) 자료"}</definedName>
    <definedName name="____A2_1" hidden="1">{#N/A,#N/A,FALSE,"KMC최종회의(7월) 자료"}</definedName>
    <definedName name="____A2040" hidden="1">{#N/A,#N/A,FALSE,"단축1";#N/A,#N/A,FALSE,"단축2";#N/A,#N/A,FALSE,"단축3";#N/A,#N/A,FALSE,"장축";#N/A,#N/A,FALSE,"4WD"}</definedName>
    <definedName name="____A21321" hidden="1">{#N/A,#N/A,FALSE,"단축1";#N/A,#N/A,FALSE,"단축2";#N/A,#N/A,FALSE,"단축3";#N/A,#N/A,FALSE,"장축";#N/A,#N/A,FALSE,"4WD"}</definedName>
    <definedName name="____A3" hidden="1">{#N/A,#N/A,FALSE,"KMC최종회의(7월) 자료"}</definedName>
    <definedName name="____A3_1" hidden="1">{#N/A,#N/A,FALSE,"KMC최종회의(7월) 자료"}</definedName>
    <definedName name="____A4" hidden="1">{#N/A,#N/A,FALSE,"KMC최종회의(7월) 자료"}</definedName>
    <definedName name="____A4_1" hidden="1">{#N/A,#N/A,FALSE,"KMC최종회의(7월) 자료"}</definedName>
    <definedName name="____A4444" hidden="1">{#N/A,#N/A,FALSE,"KMC최종회의(7월) 자료"}</definedName>
    <definedName name="____A5" hidden="1">{#N/A,#N/A,FALSE,"KMC최종회의(7월) 자료"}</definedName>
    <definedName name="____A5_1" hidden="1">{#N/A,#N/A,FALSE,"KMC최종회의(7월) 자료"}</definedName>
    <definedName name="____A6" hidden="1">{#N/A,#N/A,FALSE,"KMC최종회의(7월) 자료"}</definedName>
    <definedName name="____A6_1" hidden="1">{#N/A,#N/A,FALSE,"KMC최종회의(7월) 자료"}</definedName>
    <definedName name="____A6666" hidden="1">{#N/A,#N/A,FALSE,"KMC최종회의(7월) 자료"}</definedName>
    <definedName name="____A7" hidden="1">{#N/A,#N/A,FALSE,"KMC최종회의(7월) 자료"}</definedName>
    <definedName name="____A7_1" hidden="1">{#N/A,#N/A,FALSE,"KMC최종회의(7월) 자료"}</definedName>
    <definedName name="____A8" hidden="1">{#N/A,#N/A,FALSE,"KMC최종회의(7월) 자료"}</definedName>
    <definedName name="____A8_1" hidden="1">{#N/A,#N/A,FALSE,"KMC최종회의(7월) 자료"}</definedName>
    <definedName name="____A9" hidden="1">{#N/A,#N/A,FALSE,"KMC최종회의(7월) 자료"}</definedName>
    <definedName name="____A9_1" hidden="1">{#N/A,#N/A,FALSE,"KMC최종회의(7월) 자료"}</definedName>
    <definedName name="____AA4" hidden="1">{#N/A,#N/A,FALSE,"신규dep";#N/A,#N/A,FALSE,"신규dep-금형상각후";#N/A,#N/A,FALSE,"신규dep-연구비상각후";#N/A,#N/A,FALSE,"신규dep-기계,공구상각후"}</definedName>
    <definedName name="____AAA1" hidden="1">#REF!</definedName>
    <definedName name="____AAA10" hidden="1">#REF!</definedName>
    <definedName name="____AAA11" hidden="1">#REF!</definedName>
    <definedName name="____AAA111" hidden="1">{#N/A,#N/A,FALSE,"신규dep";#N/A,#N/A,FALSE,"신규dep-금형상각후";#N/A,#N/A,FALSE,"신규dep-연구비상각후";#N/A,#N/A,FALSE,"신규dep-기계,공구상각후"}</definedName>
    <definedName name="____AAA12" hidden="1">#REF!</definedName>
    <definedName name="____AAA13" hidden="1">#REF!</definedName>
    <definedName name="____AAA14" hidden="1">#REF!</definedName>
    <definedName name="____AAA15" hidden="1">#REF!</definedName>
    <definedName name="____AAA16" hidden="1">#REF!</definedName>
    <definedName name="____AAA17" hidden="1">#REF!</definedName>
    <definedName name="____AAA18" hidden="1">#REF!</definedName>
    <definedName name="____AAA19" hidden="1">#REF!</definedName>
    <definedName name="____AAA2" hidden="1">#REF!</definedName>
    <definedName name="____AAA20" hidden="1">#REF!</definedName>
    <definedName name="____AAA21" hidden="1">#REF!</definedName>
    <definedName name="____AAA22" hidden="1">#REF!</definedName>
    <definedName name="____AAA23" hidden="1">#REF!</definedName>
    <definedName name="____AAA24" hidden="1">#REF!</definedName>
    <definedName name="____AAA3" hidden="1">#REF!</definedName>
    <definedName name="____AAA4" hidden="1">#REF!</definedName>
    <definedName name="____AAA5" hidden="1">#REF!</definedName>
    <definedName name="____AAA6" hidden="1">#REF!</definedName>
    <definedName name="____AAA7" hidden="1">#REF!</definedName>
    <definedName name="____AAA8" hidden="1">#REF!</definedName>
    <definedName name="____AAA9" hidden="1">#REF!</definedName>
    <definedName name="____AS6" hidden="1">{#N/A,#N/A,FALSE,"Australien";#N/A,#N/A,FALSE,"Birmingham";#N/A,#N/A,FALSE,"Brasilien";#N/A,#N/A,FALSE,"Prag";#N/A,#N/A,FALSE,"Spanien";#N/A,#N/A,FALSE,"Malaysia ( Com)";#N/A,#N/A,FALSE,"Malaysia (Instr)"}</definedName>
    <definedName name="____AS6_1" hidden="1">{#N/A,#N/A,FALSE,"Australien";#N/A,#N/A,FALSE,"Birmingham";#N/A,#N/A,FALSE,"Brasilien";#N/A,#N/A,FALSE,"Prag";#N/A,#N/A,FALSE,"Spanien";#N/A,#N/A,FALSE,"Malaysia ( Com)";#N/A,#N/A,FALSE,"Malaysia (Instr)"}</definedName>
    <definedName name="____AT1" hidden="1">{#N/A,#N/A,FALSE,"인원";#N/A,#N/A,FALSE,"비용2";#N/A,#N/A,FALSE,"비용1";#N/A,#N/A,FALSE,"비용";#N/A,#N/A,FALSE,"보증2";#N/A,#N/A,FALSE,"보증1";#N/A,#N/A,FALSE,"보증";#N/A,#N/A,FALSE,"손익1";#N/A,#N/A,FALSE,"손익";#N/A,#N/A,FALSE,"부서별매출";#N/A,#N/A,FALSE,"매출"}</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hidden="1">{#N/A,#N/A,FALSE,"인원";#N/A,#N/A,FALSE,"비용2";#N/A,#N/A,FALSE,"비용1";#N/A,#N/A,FALSE,"비용";#N/A,#N/A,FALSE,"보증2";#N/A,#N/A,FALSE,"보증1";#N/A,#N/A,FALSE,"보증";#N/A,#N/A,FALSE,"손익1";#N/A,#N/A,FALSE,"손익";#N/A,#N/A,FALSE,"부서별매출";#N/A,#N/A,FALSE,"매출"}</definedName>
    <definedName name="____AT4" hidden="1">{#N/A,#N/A,FALSE,"인원";#N/A,#N/A,FALSE,"비용2";#N/A,#N/A,FALSE,"비용1";#N/A,#N/A,FALSE,"비용";#N/A,#N/A,FALSE,"보증2";#N/A,#N/A,FALSE,"보증1";#N/A,#N/A,FALSE,"보증";#N/A,#N/A,FALSE,"손익1";#N/A,#N/A,FALSE,"손익";#N/A,#N/A,FALSE,"부서별매출";#N/A,#N/A,FALSE,"매출"}</definedName>
    <definedName name="____CL22" hidden="1">{#N/A,#N/A,FALSE,"KMC최종회의(7월) 자료"}</definedName>
    <definedName name="____CL222" hidden="1">{#N/A,#N/A,FALSE,"KMC최종회의(7월) 자료"}</definedName>
    <definedName name="____CL33" hidden="1">{#N/A,#N/A,FALSE,"KMC최종회의(7월) 자료"}</definedName>
    <definedName name="____CVJ1" hidden="1">{#N/A,#N/A,FALSE,"KMC최종회의(7월) 자료"}</definedName>
    <definedName name="____d1" hidden="1">{#N/A,#N/A,FALSE,"신규dep";#N/A,#N/A,FALSE,"신규dep-금형상각후";#N/A,#N/A,FALSE,"신규dep-연구비상각후";#N/A,#N/A,FALSE,"신규dep-기계,공구상각후"}</definedName>
    <definedName name="____d2" hidden="1">{#N/A,#N/A,FALSE,"신규dep";#N/A,#N/A,FALSE,"신규dep-금형상각후";#N/A,#N/A,FALSE,"신규dep-연구비상각후";#N/A,#N/A,FALSE,"신규dep-기계,공구상각후"}</definedName>
    <definedName name="____D6" hidden="1">{"'표지'!$B$5"}</definedName>
    <definedName name="____DB777" hidden="1">{#N/A,#N/A,TRUE,"Y생산";#N/A,#N/A,TRUE,"Y판매";#N/A,#N/A,TRUE,"Y총물량";#N/A,#N/A,TRUE,"Y능력";#N/A,#N/A,TRUE,"YKD"}</definedName>
    <definedName name="____DC50" hidden="1">{#N/A,#N/A,FALSE,"단축1";#N/A,#N/A,FALSE,"단축2";#N/A,#N/A,FALSE,"단축3";#N/A,#N/A,FALSE,"장축";#N/A,#N/A,FALSE,"4WD"}</definedName>
    <definedName name="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DE33" hidden="1">{"'7-2지역별'!$A$1:$R$44"}</definedName>
    <definedName name="____DR1" hidden="1">{#N/A,#N/A,FALSE,"업체선정";#N/A,#N/A,FALSE,"업체선정sheet";#N/A,#N/A,FALSE,"업체실태";#N/A,#N/A,FALSE,"업체실태(1)";#N/A,#N/A,FALSE,"종업원현황(2)";#N/A,#N/A,FALSE,"생산품목(3)";#N/A,#N/A,FALSE,"장비보유현황";#N/A,#N/A,FALSE,"차량및약도";#N/A,#N/A,FALSE,"금형LIST"}</definedName>
    <definedName name="____dr2" hidden="1">{#N/A,#N/A,FALSE,"신규dep";#N/A,#N/A,FALSE,"신규dep-금형상각후";#N/A,#N/A,FALSE,"신규dep-연구비상각후";#N/A,#N/A,FALSE,"신규dep-기계,공구상각후"}</definedName>
    <definedName name="____DR7" hidden="1">{#N/A,#N/A,FALSE,"표지";#N/A,#N/A,FALSE,"전제";#N/A,#N/A,FALSE,"손익-자 (2)";#N/A,#N/A,FALSE,"손익-자";#N/A,#N/A,FALSE,"손익-마 (2)";#N/A,#N/A,FALSE,"손익-마";#N/A,#N/A,FALSE,"총손최종"}</definedName>
    <definedName name="____E1" hidden="1">{#N/A,#N/A,FALSE,"KMC최종회의(7월) 자료"}</definedName>
    <definedName name="____E1_1" hidden="1">{#N/A,#N/A,FALSE,"KMC최종회의(7월) 자료"}</definedName>
    <definedName name="____E2" hidden="1">{#N/A,#N/A,FALSE,"KMC최종회의(7월) 자료"}</definedName>
    <definedName name="____E2_1" hidden="1">{#N/A,#N/A,FALSE,"KMC최종회의(7월) 자료"}</definedName>
    <definedName name="____e3" hidden="1">{#N/A,#N/A,FALSE,"단축1";#N/A,#N/A,FALSE,"단축2";#N/A,#N/A,FALSE,"단축3";#N/A,#N/A,FALSE,"장축";#N/A,#N/A,FALSE,"4WD"}</definedName>
    <definedName name="____e4" hidden="1">{#N/A,#N/A,FALSE,"단축1";#N/A,#N/A,FALSE,"단축2";#N/A,#N/A,FALSE,"단축3";#N/A,#N/A,FALSE,"장축";#N/A,#N/A,FALSE,"4WD"}</definedName>
    <definedName name="____E45" hidden="1">{"'7-2지역별'!$A$1:$R$44"}</definedName>
    <definedName name="____e5" hidden="1">{#N/A,#N/A,FALSE,"단축1";#N/A,#N/A,FALSE,"단축2";#N/A,#N/A,FALSE,"단축3";#N/A,#N/A,FALSE,"장축";#N/A,#N/A,FALSE,"4WD"}</definedName>
    <definedName name="____e6" hidden="1">{#N/A,#N/A,FALSE,"단축1";#N/A,#N/A,FALSE,"단축2";#N/A,#N/A,FALSE,"단축3";#N/A,#N/A,FALSE,"장축";#N/A,#N/A,FALSE,"4WD"}</definedName>
    <definedName name="____e7" hidden="1">{#N/A,#N/A,FALSE,"신규dep";#N/A,#N/A,FALSE,"신규dep-금형상각후";#N/A,#N/A,FALSE,"신규dep-연구비상각후";#N/A,#N/A,FALSE,"신규dep-기계,공구상각후"}</definedName>
    <definedName name="____e8" hidden="1">{#N/A,#N/A,FALSE,"신규dep";#N/A,#N/A,FALSE,"신규dep-금형상각후";#N/A,#N/A,FALSE,"신규dep-연구비상각후";#N/A,#N/A,FALSE,"신규dep-기계,공구상각후"}</definedName>
    <definedName name="____e9" hidden="1">{#N/A,#N/A,FALSE,"단축1";#N/A,#N/A,FALSE,"단축2";#N/A,#N/A,FALSE,"단축3";#N/A,#N/A,FALSE,"장축";#N/A,#N/A,FALSE,"4WD"}</definedName>
    <definedName name="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ng2" hidden="1">{#N/A,#N/A,FALSE,"단축1";#N/A,#N/A,FALSE,"단축2";#N/A,#N/A,FALSE,"단축3";#N/A,#N/A,FALSE,"장축";#N/A,#N/A,FALSE,"4WD"}</definedName>
    <definedName name="____eng2_1" hidden="1">{#N/A,#N/A,FALSE,"단축1";#N/A,#N/A,FALSE,"단축2";#N/A,#N/A,FALSE,"단축3";#N/A,#N/A,FALSE,"장축";#N/A,#N/A,FALSE,"4WD"}</definedName>
    <definedName name="____EO2" hidden="1">{#N/A,#N/A,FALSE,"신규dep";#N/A,#N/A,FALSE,"신규dep-금형상각후";#N/A,#N/A,FALSE,"신규dep-연구비상각후";#N/A,#N/A,FALSE,"신규dep-기계,공구상각후"}</definedName>
    <definedName name="____EWA1" hidden="1">{#N/A,#N/A,FALSE,"초도품";#N/A,#N/A,FALSE,"초도품 (2)";#N/A,#N/A,FALSE,"초도품 (3)";#N/A,#N/A,FALSE,"초도품 (4)";#N/A,#N/A,FALSE,"초도품 (5)";#N/A,#N/A,FALSE,"초도품 (6)"}</definedName>
    <definedName name="____FG1" hidden="1">{#N/A,#N/A,FALSE,"단축1";#N/A,#N/A,FALSE,"단축2";#N/A,#N/A,FALSE,"단축3";#N/A,#N/A,FALSE,"장축";#N/A,#N/A,FALSE,"4WD"}</definedName>
    <definedName name="____frj5" hidden="1">{#N/A,#N/A,FALSE,"단축1";#N/A,#N/A,FALSE,"단축2";#N/A,#N/A,FALSE,"단축3";#N/A,#N/A,FALSE,"장축";#N/A,#N/A,FALSE,"4WD"}</definedName>
    <definedName name="____G1" hidden="1">{#N/A,#N/A,FALSE,"단축1";#N/A,#N/A,FALSE,"단축2";#N/A,#N/A,FALSE,"단축3";#N/A,#N/A,FALSE,"장축";#N/A,#N/A,FALSE,"4WD"}</definedName>
    <definedName name="____h1" hidden="1">{"'표지'!$B$5"}</definedName>
    <definedName name="____H1620" hidden="1">{#N/A,#N/A,FALSE,"단축1";#N/A,#N/A,FALSE,"단축2";#N/A,#N/A,FALSE,"단축3";#N/A,#N/A,FALSE,"장축";#N/A,#N/A,FALSE,"4WD"}</definedName>
    <definedName name="____h2" hidden="1">{"'표지'!$B$5"}</definedName>
    <definedName name="____H20" hidden="1">{#N/A,#N/A,FALSE,"단축1";#N/A,#N/A,FALSE,"단축2";#N/A,#N/A,FALSE,"단축3";#N/A,#N/A,FALSE,"장축";#N/A,#N/A,FALSE,"4WD"}</definedName>
    <definedName name="____h3" hidden="1">{"'표지'!$B$5"}</definedName>
    <definedName name="____h4" hidden="1">{"'표지'!$B$5"}</definedName>
    <definedName name="____h5" hidden="1">{"'표지'!$B$5"}</definedName>
    <definedName name="____HDG12" hidden="1">{#N/A,#N/A,FALSE,"단축1";#N/A,#N/A,FALSE,"단축2";#N/A,#N/A,FALSE,"단축3";#N/A,#N/A,FALSE,"장축";#N/A,#N/A,FALSE,"4WD"}</definedName>
    <definedName name="____HL1" hidden="1">{#N/A,#N/A,FALSE,"단축1";#N/A,#N/A,FALSE,"단축2";#N/A,#N/A,FALSE,"단축3";#N/A,#N/A,FALSE,"장축";#N/A,#N/A,FALSE,"4WD"}</definedName>
    <definedName name="____HL2" hidden="1">{#N/A,#N/A,FALSE,"단축1";#N/A,#N/A,FALSE,"단축2";#N/A,#N/A,FALSE,"단축3";#N/A,#N/A,FALSE,"장축";#N/A,#N/A,FALSE,"4WD"}</definedName>
    <definedName name="____HL3" hidden="1">{#N/A,#N/A,TRUE,"Y생산";#N/A,#N/A,TRUE,"Y판매";#N/A,#N/A,TRUE,"Y총물량";#N/A,#N/A,TRUE,"Y능력";#N/A,#N/A,TRUE,"YKD"}</definedName>
    <definedName name="____HP02" hidden="1">{#N/A,#N/A,FALSE,"단축1";#N/A,#N/A,FALSE,"단축2";#N/A,#N/A,FALSE,"단축3";#N/A,#N/A,FALSE,"장축";#N/A,#N/A,FALSE,"4WD"}</definedName>
    <definedName name="____HP2" hidden="1">{#N/A,#N/A,FALSE,"단축1";#N/A,#N/A,FALSE,"단축2";#N/A,#N/A,FALSE,"단축3";#N/A,#N/A,FALSE,"장축";#N/A,#N/A,FALSE,"4WD"}</definedName>
    <definedName name="____htt1" hidden="1">{"'표지'!$B$5"}</definedName>
    <definedName name="____INT2" hidden="1">{#N/A,#N/A,TRUE,"일정"}</definedName>
    <definedName name="____IO8" hidden="1">{#N/A,#N/A,FALSE,"단축1";#N/A,#N/A,FALSE,"단축2";#N/A,#N/A,FALSE,"단축3";#N/A,#N/A,FALSE,"장축";#N/A,#N/A,FALSE,"4WD"}</definedName>
    <definedName name="____IO8_1" hidden="1">{#N/A,#N/A,FALSE,"단축1";#N/A,#N/A,FALSE,"단축2";#N/A,#N/A,FALSE,"단축3";#N/A,#N/A,FALSE,"장축";#N/A,#N/A,FALSE,"4WD"}</definedName>
    <definedName name="____k1" hidden="1">#REF!</definedName>
    <definedName name="____K115" hidden="1">{#N/A,#N/A,FALSE,"인원";#N/A,#N/A,FALSE,"비용2";#N/A,#N/A,FALSE,"비용1";#N/A,#N/A,FALSE,"비용";#N/A,#N/A,FALSE,"보증2";#N/A,#N/A,FALSE,"보증1";#N/A,#N/A,FALSE,"보증";#N/A,#N/A,FALSE,"손익1";#N/A,#N/A,FALSE,"손익";#N/A,#N/A,FALSE,"부서별매출";#N/A,#N/A,FALSE,"매출"}</definedName>
    <definedName name="____k7" hidden="1">{#N/A,#N/A,FALSE,"단축1";#N/A,#N/A,FALSE,"단축2";#N/A,#N/A,FALSE,"단축3";#N/A,#N/A,FALSE,"장축";#N/A,#N/A,FALSE,"4WD"}</definedName>
    <definedName name="____k8" hidden="1">{#N/A,#N/A,FALSE,"단축1";#N/A,#N/A,FALSE,"단축2";#N/A,#N/A,FALSE,"단축3";#N/A,#N/A,FALSE,"장축";#N/A,#N/A,FALSE,"4WD"}</definedName>
    <definedName name="____k9" hidden="1">{#N/A,#N/A,FALSE,"단축1";#N/A,#N/A,FALSE,"단축2";#N/A,#N/A,FALSE,"단축3";#N/A,#N/A,FALSE,"장축";#N/A,#N/A,FALSE,"4WD"}</definedName>
    <definedName name="____LH1" hidden="1">{"'7보유'!$A$1:$F$44"}</definedName>
    <definedName name="____LH2" hidden="1">{"'7보유'!$A$1:$F$44"}</definedName>
    <definedName name="____LPS2" hidden="1">{#N/A,#N/A,FALSE,"단축1";#N/A,#N/A,FALSE,"단축2";#N/A,#N/A,FALSE,"단축3";#N/A,#N/A,FALSE,"장축";#N/A,#N/A,FALSE,"4WD"}</definedName>
    <definedName name="____LPS2_1" hidden="1">{#N/A,#N/A,FALSE,"단축1";#N/A,#N/A,FALSE,"단축2";#N/A,#N/A,FALSE,"단축3";#N/A,#N/A,FALSE,"장축";#N/A,#N/A,FALSE,"4WD"}</definedName>
    <definedName name="____M123" hidden="1">{#N/A,#N/A,FALSE,"단축1";#N/A,#N/A,FALSE,"단축2";#N/A,#N/A,FALSE,"단축3";#N/A,#N/A,FALSE,"장축";#N/A,#N/A,FALSE,"4WD"}</definedName>
    <definedName name="____MIP10" hidden="1">{#N/A,#N/A,FALSE,"단축1";#N/A,#N/A,FALSE,"단축2";#N/A,#N/A,FALSE,"단축3";#N/A,#N/A,FALSE,"장축";#N/A,#N/A,FALSE,"4WD"}</definedName>
    <definedName name="____MIP2" hidden="1">{#N/A,#N/A,FALSE,"단축1";#N/A,#N/A,FALSE,"단축2";#N/A,#N/A,FALSE,"단축3";#N/A,#N/A,FALSE,"장축";#N/A,#N/A,FALSE,"4WD"}</definedName>
    <definedName name="____NA11" hidden="1">{#N/A,#N/A,FALSE,"단축1";#N/A,#N/A,FALSE,"단축2";#N/A,#N/A,FALSE,"단축3";#N/A,#N/A,FALSE,"장축";#N/A,#N/A,FALSE,"4WD"}</definedName>
    <definedName name="____nbj75" hidden="1">{#N/A,#N/A,FALSE,"단축1";#N/A,#N/A,FALSE,"단축2";#N/A,#N/A,FALSE,"단축3";#N/A,#N/A,FALSE,"장축";#N/A,#N/A,FALSE,"4WD"}</definedName>
    <definedName name="____O11" hidden="1">{#N/A,#N/A,FALSE,"단축1";#N/A,#N/A,FALSE,"단축2";#N/A,#N/A,FALSE,"단축3";#N/A,#N/A,FALSE,"장축";#N/A,#N/A,FALSE,"4WD"}</definedName>
    <definedName name="____OPS1" hidden="1">{"Wire Charts",#N/A,TRUE,"Wires"}</definedName>
    <definedName name="____P2" hidden="1">{#N/A,#N/A,FALSE,"단축1";#N/A,#N/A,FALSE,"단축2";#N/A,#N/A,FALSE,"단축3";#N/A,#N/A,FALSE,"장축";#N/A,#N/A,FALSE,"4WD"}</definedName>
    <definedName name="____P21" hidden="1">{#N/A,#N/A,FALSE,"단축1";#N/A,#N/A,FALSE,"단축2";#N/A,#N/A,FALSE,"단축3";#N/A,#N/A,FALSE,"장축";#N/A,#N/A,FALSE,"4WD"}</definedName>
    <definedName name="____P3" hidden="1">{#N/A,#N/A,FALSE,"단축1";#N/A,#N/A,FALSE,"단축2";#N/A,#N/A,FALSE,"단축3";#N/A,#N/A,FALSE,"장축";#N/A,#N/A,FALSE,"4WD"}</definedName>
    <definedName name="____PB004" hidden="1">{#N/A,#N/A,FALSE,"단축1";#N/A,#N/A,FALSE,"단축2";#N/A,#N/A,FALSE,"단축3";#N/A,#N/A,FALSE,"장축";#N/A,#N/A,FALSE,"4WD"}</definedName>
    <definedName name="____PPP21" hidden="1">{#N/A,#N/A,FALSE,"KMC최종회의(7월) 자료"}</definedName>
    <definedName name="____PPP3" hidden="1">{#N/A,#N/A,FALSE,"KMC최종회의(7월) 자료"}</definedName>
    <definedName name="____PPR2" hidden="1">{#N/A,#N/A,FALSE,"단축1";#N/A,#N/A,FALSE,"단축2";#N/A,#N/A,FALSE,"단축3";#N/A,#N/A,FALSE,"장축";#N/A,#N/A,FALSE,"4WD"}</definedName>
    <definedName name="____Q098" hidden="1">{"'7-2지역별'!$A$1:$R$44"}</definedName>
    <definedName name="____Q1" hidden="1">{#N/A,#N/A,FALSE,"KMC최종회의(7월) 자료"}</definedName>
    <definedName name="____Q1_1" hidden="1">{#N/A,#N/A,FALSE,"KMC최종회의(7월) 자료"}</definedName>
    <definedName name="____Q11" hidden="1">{"'7-2지역별'!$A$1:$R$44"}</definedName>
    <definedName name="____Q11234" hidden="1">{"'7-2지역별'!$A$1:$R$44"}</definedName>
    <definedName name="____Q12" hidden="1">{"'7-2지역별'!$A$1:$R$44"}</definedName>
    <definedName name="____Q123" hidden="1">{"'7-2지역별'!$A$1:$R$44"}</definedName>
    <definedName name="____Q1232" hidden="1">{"'7-2지역별'!$A$1:$R$44"}</definedName>
    <definedName name="____Q1233" hidden="1">{"'7-2지역별'!$A$1:$R$44"}</definedName>
    <definedName name="____Q2" hidden="1">{#N/A,#N/A,FALSE,"KMC최종회의(7월) 자료"}</definedName>
    <definedName name="____Q2_1" hidden="1">{#N/A,#N/A,FALSE,"KMC최종회의(7월) 자료"}</definedName>
    <definedName name="____Q2342" hidden="1">{"'7-2지역별'!$A$1:$R$44"}</definedName>
    <definedName name="____Q3" hidden="1">{#N/A,#N/A,FALSE,"KMC최종회의(7월) 자료"}</definedName>
    <definedName name="____Q3_1" hidden="1">{#N/A,#N/A,FALSE,"KMC최종회의(7월) 자료"}</definedName>
    <definedName name="____Q343" hidden="1">{"'7-2지역별'!$A$1:$R$44"}</definedName>
    <definedName name="____Q345" hidden="1">{"'7-2지역별'!$A$1:$R$44"}</definedName>
    <definedName name="____Q423" hidden="1">{"'7-2지역별'!$A$1:$R$44"}</definedName>
    <definedName name="____Q43456" hidden="1">{"'7-2지역별'!$A$1:$R$44"}</definedName>
    <definedName name="____Q5" hidden="1">{#N/A,#N/A,FALSE,"KMC최종회의(7월) 자료"}</definedName>
    <definedName name="____Q5_1" hidden="1">{#N/A,#N/A,FALSE,"KMC최종회의(7월) 자료"}</definedName>
    <definedName name="____Q54" hidden="1">{"'7-2지역별'!$A$1:$R$44"}</definedName>
    <definedName name="____Q543" hidden="1">{"'7-2지역별'!$A$1:$R$44"}</definedName>
    <definedName name="____Q5434" hidden="1">{"'7-2지역별'!$A$1:$R$44"}</definedName>
    <definedName name="____Q543421" hidden="1">{"'7-2지역별'!$A$1:$R$44"}</definedName>
    <definedName name="____Q5555" hidden="1">{"'7-2지역별'!$A$1:$R$44"}</definedName>
    <definedName name="____Q5678" hidden="1">{"'7-2지역별'!$A$1:$R$44"}</definedName>
    <definedName name="____q6" hidden="1">{#N/A,#N/A,FALSE,"신규dep";#N/A,#N/A,FALSE,"신규dep-금형상각후";#N/A,#N/A,FALSE,"신규dep-연구비상각후";#N/A,#N/A,FALSE,"신규dep-기계,공구상각후"}</definedName>
    <definedName name="____Q65465" hidden="1">{"'7-2지역별'!$A$1:$R$44"}</definedName>
    <definedName name="____Q6765" hidden="1">{"'7-2지역별'!$A$1:$R$44"}</definedName>
    <definedName name="____Q7" hidden="1">{#N/A,#N/A,FALSE,"KMC최종회의(7월) 자료"}</definedName>
    <definedName name="____Q7_1" hidden="1">{#N/A,#N/A,FALSE,"KMC최종회의(7월) 자료"}</definedName>
    <definedName name="____Q75655" hidden="1">{"'7-2지역별'!$A$1:$R$44"}</definedName>
    <definedName name="____Q765" hidden="1">{"'7-2지역별'!$A$1:$R$44"}</definedName>
    <definedName name="____Q7655" hidden="1">{"'7-2지역별'!$A$1:$R$44"}</definedName>
    <definedName name="____Q7687" hidden="1">{"'7-2지역별'!$A$1:$R$44"}</definedName>
    <definedName name="____Q8" hidden="1">{#N/A,#N/A,FALSE,"KMC최종회의(7월) 자료"}</definedName>
    <definedName name="____Q8_1" hidden="1">{#N/A,#N/A,FALSE,"KMC최종회의(7월) 자료"}</definedName>
    <definedName name="____Q876" hidden="1">{"'7-2지역별'!$A$1:$R$44"}</definedName>
    <definedName name="____Q9" hidden="1">{#N/A,#N/A,FALSE,"KMC최종회의(7월) 자료"}</definedName>
    <definedName name="____Q9_1" hidden="1">{#N/A,#N/A,FALSE,"KMC최종회의(7월) 자료"}</definedName>
    <definedName name="____Q98" hidden="1">{"'7-2지역별'!$A$1:$R$44"}</definedName>
    <definedName name="____RR2" hidden="1">{#N/A,#N/A,FALSE,"단축1";#N/A,#N/A,FALSE,"단축2";#N/A,#N/A,FALSE,"단축3";#N/A,#N/A,FALSE,"장축";#N/A,#N/A,FALSE,"4WD"}</definedName>
    <definedName name="____S1" hidden="1">{#N/A,#N/A,FALSE,"KMC최종회의(7월) 자료"}</definedName>
    <definedName name="____S1_1" hidden="1">{#N/A,#N/A,FALSE,"KMC최종회의(7월) 자료"}</definedName>
    <definedName name="____S2" hidden="1">{#N/A,#N/A,FALSE,"KMC최종회의(7월) 자료"}</definedName>
    <definedName name="____S2_1" hidden="1">{#N/A,#N/A,FALSE,"KMC최종회의(7월) 자료"}</definedName>
    <definedName name="____S3" hidden="1">{#N/A,#N/A,FALSE,"KMC최종회의(7월) 자료"}</definedName>
    <definedName name="____S3_1" hidden="1">{#N/A,#N/A,FALSE,"KMC최종회의(7월) 자료"}</definedName>
    <definedName name="____S4" hidden="1">{#N/A,#N/A,FALSE,"KMC최종회의(7월) 자료"}</definedName>
    <definedName name="____S4_1" hidden="1">{#N/A,#N/A,FALSE,"KMC최종회의(7월) 자료"}</definedName>
    <definedName name="____S5" hidden="1">{#N/A,#N/A,FALSE,"KMC최종회의(7월) 자료"}</definedName>
    <definedName name="____S5_1" hidden="1">{#N/A,#N/A,FALSE,"KMC최종회의(7월) 자료"}</definedName>
    <definedName name="____S6" hidden="1">{#N/A,#N/A,FALSE,"KMC최종회의(7월) 자료"}</definedName>
    <definedName name="____S6_1" hidden="1">{#N/A,#N/A,FALSE,"KMC최종회의(7월) 자료"}</definedName>
    <definedName name="____S7" hidden="1">{#N/A,#N/A,FALSE,"KMC최종회의(7월) 자료"}</definedName>
    <definedName name="____S7_1" hidden="1">{#N/A,#N/A,FALSE,"KMC최종회의(7월) 자료"}</definedName>
    <definedName name="____S8" hidden="1">{#N/A,#N/A,FALSE,"KMC최종회의(7월) 자료"}</definedName>
    <definedName name="____S8_1" hidden="1">{#N/A,#N/A,FALSE,"KMC최종회의(7월) 자료"}</definedName>
    <definedName name="____SD323" hidden="1">{"'7-2지역별'!$A$1:$R$44"}</definedName>
    <definedName name="____SDW1" hidden="1">#REF!</definedName>
    <definedName name="____SMM1" hidden="1">{"'7보유'!$A$1:$F$44"}</definedName>
    <definedName name="____SMM2" hidden="1">{"'7보유'!$A$1:$F$44"}</definedName>
    <definedName name="____SR1" hidden="1">{#N/A,#N/A,TRUE,"Y생산";#N/A,#N/A,TRUE,"Y판매";#N/A,#N/A,TRUE,"Y총물량";#N/A,#N/A,TRUE,"Y능력";#N/A,#N/A,TRUE,"YKD"}</definedName>
    <definedName name="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UM1" hidden="1">{#N/A,#N/A,FALSE,"단축1";#N/A,#N/A,FALSE,"단축2";#N/A,#N/A,FALSE,"단축3";#N/A,#N/A,FALSE,"장축";#N/A,#N/A,FALSE,"4WD"}</definedName>
    <definedName name="____SUM1_1" hidden="1">{#N/A,#N/A,FALSE,"단축1";#N/A,#N/A,FALSE,"단축2";#N/A,#N/A,FALSE,"단축3";#N/A,#N/A,FALSE,"장축";#N/A,#N/A,FALSE,"4WD"}</definedName>
    <definedName name="____T2" hidden="1">{#N/A,#N/A,FALSE,"단축1";#N/A,#N/A,FALSE,"단축2";#N/A,#N/A,FALSE,"단축3";#N/A,#N/A,FALSE,"장축";#N/A,#N/A,FALSE,"4WD"}</definedName>
    <definedName name="____T3" hidden="1">{#N/A,#N/A,FALSE,"단축1";#N/A,#N/A,FALSE,"단축2";#N/A,#N/A,FALSE,"단축3";#N/A,#N/A,FALSE,"장축";#N/A,#N/A,FALSE,"4WD"}</definedName>
    <definedName name="____t4" hidden="1">{#N/A,#N/A,FALSE,"단축1";#N/A,#N/A,FALSE,"단축2";#N/A,#N/A,FALSE,"단축3";#N/A,#N/A,FALSE,"장축";#N/A,#N/A,FALSE,"4WD"}</definedName>
    <definedName name="____t45445" hidden="1">{"'7-2지역별'!$A$1:$R$44"}</definedName>
    <definedName name="____T5" hidden="1">{#N/A,#N/A,FALSE,"단축1";#N/A,#N/A,FALSE,"단축2";#N/A,#N/A,FALSE,"단축3";#N/A,#N/A,FALSE,"장축";#N/A,#N/A,FALSE,"4WD"}</definedName>
    <definedName name="____tb2" hidden="1">{#N/A,#N/A,FALSE,"단축1";#N/A,#N/A,FALSE,"단축2";#N/A,#N/A,FALSE,"단축3";#N/A,#N/A,FALSE,"장축";#N/A,#N/A,FALSE,"4WD"}</definedName>
    <definedName name="____TM1" hidden="1">{#N/A,#N/A,FALSE,"단축1";#N/A,#N/A,FALSE,"단축2";#N/A,#N/A,FALSE,"단축3";#N/A,#N/A,FALSE,"장축";#N/A,#N/A,FALSE,"4WD"}</definedName>
    <definedName name="____TM1_1" hidden="1">{#N/A,#N/A,FALSE,"단축1";#N/A,#N/A,FALSE,"단축2";#N/A,#N/A,FALSE,"단축3";#N/A,#N/A,FALSE,"장축";#N/A,#N/A,FALSE,"4WD"}</definedName>
    <definedName name="____TRT11" hidden="1">{#N/A,#N/A,FALSE,"표지";#N/A,#N/A,FALSE,"전제";#N/A,#N/A,FALSE,"손익-자 (2)";#N/A,#N/A,FALSE,"손익-자";#N/A,#N/A,FALSE,"손익-마 (2)";#N/A,#N/A,FALSE,"손익-마";#N/A,#N/A,FALSE,"총손최종"}</definedName>
    <definedName name="____U1" hidden="1">{#N/A,#N/A,FALSE,"단축1";#N/A,#N/A,FALSE,"단축2";#N/A,#N/A,FALSE,"단축3";#N/A,#N/A,FALSE,"장축";#N/A,#N/A,FALSE,"4WD"}</definedName>
    <definedName name="____VQ20" hidden="1">{#N/A,#N/A,FALSE,"FR 계산내역";#N/A,#N/A,FALSE,"RR 계산내역";#N/A,#N/A,FALSE,"기계경비"}</definedName>
    <definedName name="____W1" hidden="1">{#N/A,#N/A,FALSE,"KMC최종회의(7월) 자료"}</definedName>
    <definedName name="____W1_1" hidden="1">{#N/A,#N/A,FALSE,"KMC최종회의(7월) 자료"}</definedName>
    <definedName name="____W12324" hidden="1">{"'7-2지역별'!$A$1:$R$44"}</definedName>
    <definedName name="____W2" hidden="1">{#N/A,#N/A,FALSE,"KMC최종회의(7월) 자료"}</definedName>
    <definedName name="____W2_1" hidden="1">{#N/A,#N/A,FALSE,"KMC최종회의(7월) 자료"}</definedName>
    <definedName name="____W3" hidden="1">{#N/A,#N/A,FALSE,"KMC최종회의(7월) 자료"}</definedName>
    <definedName name="____W3_1" hidden="1">{#N/A,#N/A,FALSE,"KMC최종회의(7월) 자료"}</definedName>
    <definedName name="____W322" hidden="1">{"'7-2지역별'!$A$1:$R$44"}</definedName>
    <definedName name="____W4" hidden="1">{#N/A,#N/A,FALSE,"KMC최종회의(7월) 자료"}</definedName>
    <definedName name="____W4_1" hidden="1">{#N/A,#N/A,FALSE,"KMC최종회의(7월) 자료"}</definedName>
    <definedName name="____W4454" hidden="1">{"'7-2지역별'!$A$1:$R$44"}</definedName>
    <definedName name="____W5" hidden="1">{#N/A,#N/A,FALSE,"KMC최종회의(7월) 자료"}</definedName>
    <definedName name="____W5_1" hidden="1">{#N/A,#N/A,FALSE,"KMC최종회의(7월) 자료"}</definedName>
    <definedName name="____W53" hidden="1">{"'7-2지역별'!$A$1:$R$44"}</definedName>
    <definedName name="____W6" hidden="1">{#N/A,#N/A,FALSE,"KMC최종회의(7월) 자료"}</definedName>
    <definedName name="____W6_1" hidden="1">{#N/A,#N/A,FALSE,"KMC최종회의(7월) 자료"}</definedName>
    <definedName name="____W7" hidden="1">{#N/A,#N/A,FALSE,"KMC최종회의(7월) 자료"}</definedName>
    <definedName name="____W7_1" hidden="1">{#N/A,#N/A,FALSE,"KMC최종회의(7월) 자료"}</definedName>
    <definedName name="____W8" hidden="1">{#N/A,#N/A,FALSE,"KMC최종회의(7월) 자료"}</definedName>
    <definedName name="____W8_1" hidden="1">{#N/A,#N/A,FALSE,"KMC최종회의(7월) 자료"}</definedName>
    <definedName name="____W9" hidden="1">{#N/A,#N/A,FALSE,"KMC최종회의(7월) 자료"}</definedName>
    <definedName name="____W9_1" hidden="1">{#N/A,#N/A,FALSE,"KMC최종회의(7월) 자료"}</definedName>
    <definedName name="____WRN2" hidden="1">{#N/A,#N/A,FALSE,"단축1";#N/A,#N/A,FALSE,"단축2";#N/A,#N/A,FALSE,"단축3";#N/A,#N/A,FALSE,"장축";#N/A,#N/A,FALSE,"4WD"}</definedName>
    <definedName name="____X1" hidden="1">{#N/A,#N/A,FALSE,"KMC최종회의(7월) 자료"}</definedName>
    <definedName name="____X1_1" hidden="1">{#N/A,#N/A,FALSE,"KMC최종회의(7월) 자료"}</definedName>
    <definedName name="____X2" hidden="1">{#N/A,#N/A,FALSE,"KMC최종회의(7월) 자료"}</definedName>
    <definedName name="____X2_1" hidden="1">{#N/A,#N/A,FALSE,"KMC최종회의(7월) 자료"}</definedName>
    <definedName name="____X3" hidden="1">{#N/A,#N/A,FALSE,"KMC최종회의(7월) 자료"}</definedName>
    <definedName name="____X3_1" hidden="1">{#N/A,#N/A,FALSE,"KMC최종회의(7월) 자료"}</definedName>
    <definedName name="____X4" hidden="1">{#N/A,#N/A,FALSE,"KMC최종회의(7월) 자료"}</definedName>
    <definedName name="____X4_1" hidden="1">{#N/A,#N/A,FALSE,"KMC최종회의(7월) 자료"}</definedName>
    <definedName name="____X5" hidden="1">{#N/A,#N/A,FALSE,"KMC최종회의(7월) 자료"}</definedName>
    <definedName name="____X5_1" hidden="1">{#N/A,#N/A,FALSE,"KMC최종회의(7월) 자료"}</definedName>
    <definedName name="____X6" hidden="1">{#N/A,#N/A,FALSE,"KMC최종회의(7월) 자료"}</definedName>
    <definedName name="____X6_1" hidden="1">{#N/A,#N/A,FALSE,"KMC최종회의(7월) 자료"}</definedName>
    <definedName name="____X7" hidden="1">{#N/A,#N/A,FALSE,"KMC최종회의(7월) 자료"}</definedName>
    <definedName name="____X7_1" hidden="1">{#N/A,#N/A,FALSE,"KMC최종회의(7월) 자료"}</definedName>
    <definedName name="____X8" hidden="1">{#N/A,#N/A,FALSE,"KMC최종회의(7월) 자료"}</definedName>
    <definedName name="____X8_1" hidden="1">{#N/A,#N/A,FALSE,"KMC최종회의(7월) 자료"}</definedName>
    <definedName name="____XG2" hidden="1">{#N/A,#N/A,FALSE,"단축1";#N/A,#N/A,FALSE,"단축2";#N/A,#N/A,FALSE,"단축3";#N/A,#N/A,FALSE,"장축";#N/A,#N/A,FALSE,"4WD"}</definedName>
    <definedName name="____XG2_1" hidden="1">{#N/A,#N/A,FALSE,"단축1";#N/A,#N/A,FALSE,"단축2";#N/A,#N/A,FALSE,"단축3";#N/A,#N/A,FALSE,"장축";#N/A,#N/A,FALSE,"4WD"}</definedName>
    <definedName name="____y45546" hidden="1">{"'7-2지역별'!$A$1:$R$44"}</definedName>
    <definedName name="____Z1" hidden="1">{#N/A,#N/A,FALSE,"KMC최종회의(7월) 자료"}</definedName>
    <definedName name="____Z1_1" hidden="1">{#N/A,#N/A,FALSE,"KMC최종회의(7월) 자료"}</definedName>
    <definedName name="____z123" hidden="1">{#N/A,#N/A,FALSE,"단축1";#N/A,#N/A,FALSE,"단축2";#N/A,#N/A,FALSE,"단축3";#N/A,#N/A,FALSE,"장축";#N/A,#N/A,FALSE,"4WD"}</definedName>
    <definedName name="____Z2" hidden="1">{#N/A,#N/A,FALSE,"KMC최종회의(7월) 자료"}</definedName>
    <definedName name="____Z2_1" hidden="1">{#N/A,#N/A,FALSE,"KMC최종회의(7월) 자료"}</definedName>
    <definedName name="____Z3" hidden="1">{#N/A,#N/A,FALSE,"KMC최종회의(7월) 자료"}</definedName>
    <definedName name="____Z3_1" hidden="1">{#N/A,#N/A,FALSE,"KMC최종회의(7월) 자료"}</definedName>
    <definedName name="____Z4" hidden="1">{#N/A,#N/A,FALSE,"KMC최종회의(7월) 자료"}</definedName>
    <definedName name="____Z4_1" hidden="1">{#N/A,#N/A,FALSE,"KMC최종회의(7월) 자료"}</definedName>
    <definedName name="____Z5" hidden="1">{#N/A,#N/A,FALSE,"KMC최종회의(7월) 자료"}</definedName>
    <definedName name="____Z5_1" hidden="1">{#N/A,#N/A,FALSE,"KMC최종회의(7월) 자료"}</definedName>
    <definedName name="____Z6" hidden="1">{#N/A,#N/A,FALSE,"KMC최종회의(7월) 자료"}</definedName>
    <definedName name="____Z6_1" hidden="1">{#N/A,#N/A,FALSE,"KMC최종회의(7월) 자료"}</definedName>
    <definedName name="____Z7" hidden="1">{#N/A,#N/A,FALSE,"KMC최종회의(7월) 자료"}</definedName>
    <definedName name="____Z7_1" hidden="1">{#N/A,#N/A,FALSE,"KMC최종회의(7월) 자료"}</definedName>
    <definedName name="____Z8" hidden="1">{#N/A,#N/A,FALSE,"KMC최종회의(7월) 자료"}</definedName>
    <definedName name="____Z8_1" hidden="1">{#N/A,#N/A,FALSE,"KMC최종회의(7월) 자료"}</definedName>
    <definedName name="____Z9" hidden="1">{#N/A,#N/A,FALSE,"KMC최종회의(7월) 자료"}</definedName>
    <definedName name="____Z9_1" hidden="1">{#N/A,#N/A,FALSE,"KMC최종회의(7월) 자료"}</definedName>
    <definedName name="____ZA1" hidden="1">#REF!</definedName>
    <definedName name="____ZA10" hidden="1">#REF!</definedName>
    <definedName name="____ZA11" hidden="1">#REF!</definedName>
    <definedName name="____ZA12" hidden="1">#REF!</definedName>
    <definedName name="____ZA13" hidden="1">#REF!</definedName>
    <definedName name="____ZA14" hidden="1">#REF!</definedName>
    <definedName name="____ZA15" hidden="1">#REF!</definedName>
    <definedName name="____ZA16" hidden="1">#REF!</definedName>
    <definedName name="____ZA17" hidden="1">#REF!</definedName>
    <definedName name="____ZA18" hidden="1">#REF!</definedName>
    <definedName name="____ZA19" hidden="1">#REF!</definedName>
    <definedName name="____ZA2" hidden="1">#REF!</definedName>
    <definedName name="____ZA20" hidden="1">#REF!</definedName>
    <definedName name="____ZA21" hidden="1">#REF!</definedName>
    <definedName name="____ZA22" hidden="1">#REF!</definedName>
    <definedName name="____ZA23" hidden="1">#REF!</definedName>
    <definedName name="____ZA24" hidden="1">#REF!</definedName>
    <definedName name="____ZA3" hidden="1">#REF!</definedName>
    <definedName name="____ZA4" hidden="1">#REF!</definedName>
    <definedName name="____ZA5" hidden="1">#REF!</definedName>
    <definedName name="____ZA6" hidden="1">#REF!</definedName>
    <definedName name="____ZA7" hidden="1">#REF!</definedName>
    <definedName name="____ZA8" hidden="1">#REF!</definedName>
    <definedName name="____ZA9" hidden="1">#REF!</definedName>
    <definedName name="___A02" hidden="1">{#N/A,#N/A,FALSE,"단축1";#N/A,#N/A,FALSE,"단축2";#N/A,#N/A,FALSE,"단축3";#N/A,#N/A,FALSE,"장축";#N/A,#N/A,FALSE,"4WD"}</definedName>
    <definedName name="___A0323" hidden="1">{#N/A,#N/A,FALSE,"단축1";#N/A,#N/A,FALSE,"단축2";#N/A,#N/A,FALSE,"단축3";#N/A,#N/A,FALSE,"장축";#N/A,#N/A,FALSE,"4WD"}</definedName>
    <definedName name="___A1" hidden="1">{#N/A,#N/A,FALSE,"KMC최종회의(7월) 자료"}</definedName>
    <definedName name="___A1_1" hidden="1">{#N/A,#N/A,FALSE,"KMC최종회의(7월) 자료"}</definedName>
    <definedName name="___A1232" hidden="1">{#N/A,#N/A,FALSE,"단축1";#N/A,#N/A,FALSE,"단축2";#N/A,#N/A,FALSE,"단축3";#N/A,#N/A,FALSE,"장축";#N/A,#N/A,FALSE,"4WD"}</definedName>
    <definedName name="___A1245" hidden="1">{#N/A,#N/A,FALSE,"단축1";#N/A,#N/A,FALSE,"단축2";#N/A,#N/A,FALSE,"단축3";#N/A,#N/A,FALSE,"장축";#N/A,#N/A,FALSE,"4WD"}</definedName>
    <definedName name="___A12458" hidden="1">{#N/A,#N/A,FALSE,"단축1";#N/A,#N/A,FALSE,"단축2";#N/A,#N/A,FALSE,"단축3";#N/A,#N/A,FALSE,"장축";#N/A,#N/A,FALSE,"4WD"}</definedName>
    <definedName name="___A124587" hidden="1">{#N/A,#N/A,FALSE,"단축1";#N/A,#N/A,FALSE,"단축2";#N/A,#N/A,FALSE,"단축3";#N/A,#N/A,FALSE,"장축";#N/A,#N/A,FALSE,"4WD"}</definedName>
    <definedName name="___A1454" hidden="1">{#N/A,#N/A,FALSE,"단축1";#N/A,#N/A,FALSE,"단축2";#N/A,#N/A,FALSE,"단축3";#N/A,#N/A,FALSE,"장축";#N/A,#N/A,FALSE,"4WD"}</definedName>
    <definedName name="___A2" hidden="1">{#N/A,#N/A,FALSE,"KMC최종회의(7월) 자료"}</definedName>
    <definedName name="___A2_1" hidden="1">{#N/A,#N/A,FALSE,"신규dep";#N/A,#N/A,FALSE,"신규dep-금형상각후";#N/A,#N/A,FALSE,"신규dep-연구비상각후";#N/A,#N/A,FALSE,"신규dep-기계,공구상각후"}</definedName>
    <definedName name="___A2040" hidden="1">{#N/A,#N/A,FALSE,"단축1";#N/A,#N/A,FALSE,"단축2";#N/A,#N/A,FALSE,"단축3";#N/A,#N/A,FALSE,"장축";#N/A,#N/A,FALSE,"4WD"}</definedName>
    <definedName name="___A21321" hidden="1">{#N/A,#N/A,FALSE,"단축1";#N/A,#N/A,FALSE,"단축2";#N/A,#N/A,FALSE,"단축3";#N/A,#N/A,FALSE,"장축";#N/A,#N/A,FALSE,"4WD"}</definedName>
    <definedName name="___A3" hidden="1">{#N/A,#N/A,FALSE,"KMC최종회의(7월) 자료"}</definedName>
    <definedName name="___A3_1" hidden="1">{#N/A,#N/A,FALSE,"단축1";#N/A,#N/A,FALSE,"단축2";#N/A,#N/A,FALSE,"단축3";#N/A,#N/A,FALSE,"장축";#N/A,#N/A,FALSE,"4WD"}</definedName>
    <definedName name="___A3_2" hidden="1">{#N/A,#N/A,FALSE,"단축1";#N/A,#N/A,FALSE,"단축2";#N/A,#N/A,FALSE,"단축3";#N/A,#N/A,FALSE,"장축";#N/A,#N/A,FALSE,"4WD"}</definedName>
    <definedName name="___A4" hidden="1">{#N/A,#N/A,FALSE,"KMC최종회의(7월) 자료"}</definedName>
    <definedName name="___A4444" hidden="1">{#N/A,#N/A,FALSE,"KMC최종회의(7월) 자료"}</definedName>
    <definedName name="___A5" hidden="1">{#N/A,#N/A,FALSE,"KMC최종회의(7월) 자료"}</definedName>
    <definedName name="___A6" hidden="1">{#N/A,#N/A,FALSE,"KMC최종회의(7월) 자료"}</definedName>
    <definedName name="___A6666" hidden="1">{#N/A,#N/A,FALSE,"KMC최종회의(7월) 자료"}</definedName>
    <definedName name="___A7" hidden="1">{#N/A,#N/A,FALSE,"KMC최종회의(7월) 자료"}</definedName>
    <definedName name="___A8" hidden="1">{#N/A,#N/A,FALSE,"KMC최종회의(7월) 자료"}</definedName>
    <definedName name="___A9" hidden="1">{#N/A,#N/A,FALSE,"KMC최종회의(7월) 자료"}</definedName>
    <definedName name="___AA4" hidden="1">{#N/A,#N/A,FALSE,"신규dep";#N/A,#N/A,FALSE,"신규dep-금형상각후";#N/A,#N/A,FALSE,"신규dep-연구비상각후";#N/A,#N/A,FALSE,"신규dep-기계,공구상각후"}</definedName>
    <definedName name="___AA4_1" hidden="1">{#N/A,#N/A,FALSE,"신규dep";#N/A,#N/A,FALSE,"신규dep-금형상각후";#N/A,#N/A,FALSE,"신규dep-연구비상각후";#N/A,#N/A,FALSE,"신규dep-기계,공구상각후"}</definedName>
    <definedName name="___AAA1" hidden="1">#REF!</definedName>
    <definedName name="___AAA10" hidden="1">#REF!</definedName>
    <definedName name="___AAA11" hidden="1">#REF!</definedName>
    <definedName name="___AAA111" hidden="1">{#N/A,#N/A,FALSE,"신규dep";#N/A,#N/A,FALSE,"신규dep-금형상각후";#N/A,#N/A,FALSE,"신규dep-연구비상각후";#N/A,#N/A,FALSE,"신규dep-기계,공구상각후"}</definedName>
    <definedName name="___AAA12" hidden="1">#REF!</definedName>
    <definedName name="___AAA13" hidden="1">#REF!</definedName>
    <definedName name="___AAA14" hidden="1">#REF!</definedName>
    <definedName name="___AAA15" hidden="1">#REF!</definedName>
    <definedName name="___AAA16" hidden="1">#REF!</definedName>
    <definedName name="___AAA17" hidden="1">#REF!</definedName>
    <definedName name="___AAA18" hidden="1">#REF!</definedName>
    <definedName name="___AAA19" hidden="1">#REF!</definedName>
    <definedName name="___AAA2" hidden="1">#REF!</definedName>
    <definedName name="___AAA20" hidden="1">#REF!</definedName>
    <definedName name="___AAA21" hidden="1">#REF!</definedName>
    <definedName name="___AAA22" hidden="1">#REF!</definedName>
    <definedName name="___AAA23" hidden="1">#REF!</definedName>
    <definedName name="___AAA24" hidden="1">#REF!</definedName>
    <definedName name="___AAA3" hidden="1">#REF!</definedName>
    <definedName name="___AAA4" hidden="1">#REF!</definedName>
    <definedName name="___AAA5" hidden="1">#REF!</definedName>
    <definedName name="___AAA6" hidden="1">#REF!</definedName>
    <definedName name="___AAA7" hidden="1">#REF!</definedName>
    <definedName name="___AAA8" hidden="1">#REF!</definedName>
    <definedName name="___AAA9" hidden="1">#REF!</definedName>
    <definedName name="___AS6" hidden="1">{#N/A,#N/A,FALSE,"Australien";#N/A,#N/A,FALSE,"Birmingham";#N/A,#N/A,FALSE,"Brasilien";#N/A,#N/A,FALSE,"Prag";#N/A,#N/A,FALSE,"Spanien";#N/A,#N/A,FALSE,"Malaysia ( Com)";#N/A,#N/A,FALSE,"Malaysia (Instr)"}</definedName>
    <definedName name="___AS6_1" hidden="1">{#N/A,#N/A,FALSE,"Australien";#N/A,#N/A,FALSE,"Birmingham";#N/A,#N/A,FALSE,"Brasilien";#N/A,#N/A,FALSE,"Prag";#N/A,#N/A,FALSE,"Spanien";#N/A,#N/A,FALSE,"Malaysia ( Com)";#N/A,#N/A,FALSE,"Malaysia (Instr)"}</definedName>
    <definedName name="___AT1" hidden="1">{#N/A,#N/A,FALSE,"인원";#N/A,#N/A,FALSE,"비용2";#N/A,#N/A,FALSE,"비용1";#N/A,#N/A,FALSE,"비용";#N/A,#N/A,FALSE,"보증2";#N/A,#N/A,FALSE,"보증1";#N/A,#N/A,FALSE,"보증";#N/A,#N/A,FALSE,"손익1";#N/A,#N/A,FALSE,"손익";#N/A,#N/A,FALSE,"부서별매출";#N/A,#N/A,FALSE,"매출"}</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hidden="1">{#N/A,#N/A,FALSE,"인원";#N/A,#N/A,FALSE,"비용2";#N/A,#N/A,FALSE,"비용1";#N/A,#N/A,FALSE,"비용";#N/A,#N/A,FALSE,"보증2";#N/A,#N/A,FALSE,"보증1";#N/A,#N/A,FALSE,"보증";#N/A,#N/A,FALSE,"손익1";#N/A,#N/A,FALSE,"손익";#N/A,#N/A,FALSE,"부서별매출";#N/A,#N/A,FALSE,"매출"}</definedName>
    <definedName name="___AT4" hidden="1">{#N/A,#N/A,FALSE,"인원";#N/A,#N/A,FALSE,"비용2";#N/A,#N/A,FALSE,"비용1";#N/A,#N/A,FALSE,"비용";#N/A,#N/A,FALSE,"보증2";#N/A,#N/A,FALSE,"보증1";#N/A,#N/A,FALSE,"보증";#N/A,#N/A,FALSE,"손익1";#N/A,#N/A,FALSE,"손익";#N/A,#N/A,FALSE,"부서별매출";#N/A,#N/A,FALSE,"매출"}</definedName>
    <definedName name="___CL22" hidden="1">{#N/A,#N/A,FALSE,"KMC최종회의(7월) 자료"}</definedName>
    <definedName name="___CL222" hidden="1">{#N/A,#N/A,FALSE,"KMC최종회의(7월) 자료"}</definedName>
    <definedName name="___CL33" hidden="1">{#N/A,#N/A,FALSE,"KMC최종회의(7월) 자료"}</definedName>
    <definedName name="___CVJ1" hidden="1">{#N/A,#N/A,FALSE,"KMC최종회의(7월) 자료"}</definedName>
    <definedName name="___d1" hidden="1">{#N/A,#N/A,FALSE,"신규dep";#N/A,#N/A,FALSE,"신규dep-금형상각후";#N/A,#N/A,FALSE,"신규dep-연구비상각후";#N/A,#N/A,FALSE,"신규dep-기계,공구상각후"}</definedName>
    <definedName name="___d1_1" hidden="1">{#N/A,#N/A,FALSE,"신규dep";#N/A,#N/A,FALSE,"신규dep-금형상각후";#N/A,#N/A,FALSE,"신규dep-연구비상각후";#N/A,#N/A,FALSE,"신규dep-기계,공구상각후"}</definedName>
    <definedName name="___d2" hidden="1">{#N/A,#N/A,FALSE,"신규dep";#N/A,#N/A,FALSE,"신규dep-금형상각후";#N/A,#N/A,FALSE,"신규dep-연구비상각후";#N/A,#N/A,FALSE,"신규dep-기계,공구상각후"}</definedName>
    <definedName name="___d2_1" hidden="1">{#N/A,#N/A,FALSE,"신규dep";#N/A,#N/A,FALSE,"신규dep-금형상각후";#N/A,#N/A,FALSE,"신규dep-연구비상각후";#N/A,#N/A,FALSE,"신규dep-기계,공구상각후"}</definedName>
    <definedName name="___d3_1" hidden="1">{#N/A,#N/A,FALSE,"신규dep";#N/A,#N/A,FALSE,"신규dep-금형상각후";#N/A,#N/A,FALSE,"신규dep-연구비상각후";#N/A,#N/A,FALSE,"신규dep-기계,공구상각후"}</definedName>
    <definedName name="___D6" hidden="1">{"'표지'!$B$5"}</definedName>
    <definedName name="___DB777" hidden="1">{#N/A,#N/A,TRUE,"Y생산";#N/A,#N/A,TRUE,"Y판매";#N/A,#N/A,TRUE,"Y총물량";#N/A,#N/A,TRUE,"Y능력";#N/A,#N/A,TRUE,"YKD"}</definedName>
    <definedName name="___DC50" hidden="1">{#N/A,#N/A,FALSE,"단축1";#N/A,#N/A,FALSE,"단축2";#N/A,#N/A,FALSE,"단축3";#N/A,#N/A,FALSE,"장축";#N/A,#N/A,FALSE,"4WD"}</definedName>
    <definedName name="___DE33" hidden="1">{"'7-2지역별'!$A$1:$R$44"}</definedName>
    <definedName name="___DR1" hidden="1">{#N/A,#N/A,FALSE,"업체선정";#N/A,#N/A,FALSE,"업체선정sheet";#N/A,#N/A,FALSE,"업체실태";#N/A,#N/A,FALSE,"업체실태(1)";#N/A,#N/A,FALSE,"종업원현황(2)";#N/A,#N/A,FALSE,"생산품목(3)";#N/A,#N/A,FALSE,"장비보유현황";#N/A,#N/A,FALSE,"차량및약도";#N/A,#N/A,FALSE,"금형LIST"}</definedName>
    <definedName name="___dr2" hidden="1">{#N/A,#N/A,FALSE,"신규dep";#N/A,#N/A,FALSE,"신규dep-금형상각후";#N/A,#N/A,FALSE,"신규dep-연구비상각후";#N/A,#N/A,FALSE,"신규dep-기계,공구상각후"}</definedName>
    <definedName name="___DR7" hidden="1">{#N/A,#N/A,FALSE,"표지";#N/A,#N/A,FALSE,"전제";#N/A,#N/A,FALSE,"손익-자 (2)";#N/A,#N/A,FALSE,"손익-자";#N/A,#N/A,FALSE,"손익-마 (2)";#N/A,#N/A,FALSE,"손익-마";#N/A,#N/A,FALSE,"총손최종"}</definedName>
    <definedName name="___E1" hidden="1">{#N/A,#N/A,FALSE,"KMC최종회의(7월) 자료"}</definedName>
    <definedName name="___E1_1" hidden="1">{#N/A,#N/A,FALSE,"KMC최종회의(7월) 자료"}</definedName>
    <definedName name="___E2" hidden="1">{#N/A,#N/A,FALSE,"KMC최종회의(7월) 자료"}</definedName>
    <definedName name="___E2_1" hidden="1">{#N/A,#N/A,FALSE,"KMC최종회의(7월) 자료"}</definedName>
    <definedName name="___e3" hidden="1">{#N/A,#N/A,FALSE,"단축1";#N/A,#N/A,FALSE,"단축2";#N/A,#N/A,FALSE,"단축3";#N/A,#N/A,FALSE,"장축";#N/A,#N/A,FALSE,"4WD"}</definedName>
    <definedName name="___e3_1" hidden="1">{#N/A,#N/A,FALSE,"단축1";#N/A,#N/A,FALSE,"단축2";#N/A,#N/A,FALSE,"단축3";#N/A,#N/A,FALSE,"장축";#N/A,#N/A,FALSE,"4WD"}</definedName>
    <definedName name="___e4" hidden="1">{#N/A,#N/A,FALSE,"단축1";#N/A,#N/A,FALSE,"단축2";#N/A,#N/A,FALSE,"단축3";#N/A,#N/A,FALSE,"장축";#N/A,#N/A,FALSE,"4WD"}</definedName>
    <definedName name="___e4_1" hidden="1">{#N/A,#N/A,FALSE,"단축1";#N/A,#N/A,FALSE,"단축2";#N/A,#N/A,FALSE,"단축3";#N/A,#N/A,FALSE,"장축";#N/A,#N/A,FALSE,"4WD"}</definedName>
    <definedName name="___E45" hidden="1">{"'7-2지역별'!$A$1:$R$44"}</definedName>
    <definedName name="___e5" hidden="1">{#N/A,#N/A,FALSE,"단축1";#N/A,#N/A,FALSE,"단축2";#N/A,#N/A,FALSE,"단축3";#N/A,#N/A,FALSE,"장축";#N/A,#N/A,FALSE,"4WD"}</definedName>
    <definedName name="___e5_1" hidden="1">{#N/A,#N/A,FALSE,"단축1";#N/A,#N/A,FALSE,"단축2";#N/A,#N/A,FALSE,"단축3";#N/A,#N/A,FALSE,"장축";#N/A,#N/A,FALSE,"4WD"}</definedName>
    <definedName name="___e6" hidden="1">{#N/A,#N/A,FALSE,"단축1";#N/A,#N/A,FALSE,"단축2";#N/A,#N/A,FALSE,"단축3";#N/A,#N/A,FALSE,"장축";#N/A,#N/A,FALSE,"4WD"}</definedName>
    <definedName name="___e6_1" hidden="1">{#N/A,#N/A,FALSE,"단축1";#N/A,#N/A,FALSE,"단축2";#N/A,#N/A,FALSE,"단축3";#N/A,#N/A,FALSE,"장축";#N/A,#N/A,FALSE,"4WD"}</definedName>
    <definedName name="___e7" hidden="1">{#N/A,#N/A,FALSE,"신규dep";#N/A,#N/A,FALSE,"신규dep-금형상각후";#N/A,#N/A,FALSE,"신규dep-연구비상각후";#N/A,#N/A,FALSE,"신규dep-기계,공구상각후"}</definedName>
    <definedName name="___e7_1" hidden="1">{#N/A,#N/A,FALSE,"신규dep";#N/A,#N/A,FALSE,"신규dep-금형상각후";#N/A,#N/A,FALSE,"신규dep-연구비상각후";#N/A,#N/A,FALSE,"신규dep-기계,공구상각후"}</definedName>
    <definedName name="___e8" hidden="1">{#N/A,#N/A,FALSE,"신규dep";#N/A,#N/A,FALSE,"신규dep-금형상각후";#N/A,#N/A,FALSE,"신규dep-연구비상각후";#N/A,#N/A,FALSE,"신규dep-기계,공구상각후"}</definedName>
    <definedName name="___e8_1" hidden="1">{#N/A,#N/A,FALSE,"신규dep";#N/A,#N/A,FALSE,"신규dep-금형상각후";#N/A,#N/A,FALSE,"신규dep-연구비상각후";#N/A,#N/A,FALSE,"신규dep-기계,공구상각후"}</definedName>
    <definedName name="___e9" hidden="1">{#N/A,#N/A,FALSE,"단축1";#N/A,#N/A,FALSE,"단축2";#N/A,#N/A,FALSE,"단축3";#N/A,#N/A,FALSE,"장축";#N/A,#N/A,FALSE,"4WD"}</definedName>
    <definedName name="___e9_1" hidden="1">{#N/A,#N/A,FALSE,"단축1";#N/A,#N/A,FALSE,"단축2";#N/A,#N/A,FALSE,"단축3";#N/A,#N/A,FALSE,"장축";#N/A,#N/A,FALSE,"4WD"}</definedName>
    <definedName name="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ng2" hidden="1">{#N/A,#N/A,FALSE,"단축1";#N/A,#N/A,FALSE,"단축2";#N/A,#N/A,FALSE,"단축3";#N/A,#N/A,FALSE,"장축";#N/A,#N/A,FALSE,"4WD"}</definedName>
    <definedName name="___eng2_1" hidden="1">{#N/A,#N/A,FALSE,"단축1";#N/A,#N/A,FALSE,"단축2";#N/A,#N/A,FALSE,"단축3";#N/A,#N/A,FALSE,"장축";#N/A,#N/A,FALSE,"4WD"}</definedName>
    <definedName name="___EO2" hidden="1">{#N/A,#N/A,FALSE,"신규dep";#N/A,#N/A,FALSE,"신규dep-금형상각후";#N/A,#N/A,FALSE,"신규dep-연구비상각후";#N/A,#N/A,FALSE,"신규dep-기계,공구상각후"}</definedName>
    <definedName name="___ER34" hidden="1">{#N/A,#N/A,FALSE,"단축1";#N/A,#N/A,FALSE,"단축2";#N/A,#N/A,FALSE,"단축3";#N/A,#N/A,FALSE,"장축";#N/A,#N/A,FALSE,"4WD"}</definedName>
    <definedName name="___EWA1" hidden="1">{#N/A,#N/A,FALSE,"초도품";#N/A,#N/A,FALSE,"초도품 (2)";#N/A,#N/A,FALSE,"초도품 (3)";#N/A,#N/A,FALSE,"초도품 (4)";#N/A,#N/A,FALSE,"초도품 (5)";#N/A,#N/A,FALSE,"초도품 (6)"}</definedName>
    <definedName name="___FG1" hidden="1">{#N/A,#N/A,FALSE,"단축1";#N/A,#N/A,FALSE,"단축2";#N/A,#N/A,FALSE,"단축3";#N/A,#N/A,FALSE,"장축";#N/A,#N/A,FALSE,"4WD"}</definedName>
    <definedName name="___G1" hidden="1">{#N/A,#N/A,FALSE,"단축1";#N/A,#N/A,FALSE,"단축2";#N/A,#N/A,FALSE,"단축3";#N/A,#N/A,FALSE,"장축";#N/A,#N/A,FALSE,"4WD"}</definedName>
    <definedName name="___h1" hidden="1">{"'표지'!$B$5"}</definedName>
    <definedName name="___H1620" hidden="1">{#N/A,#N/A,FALSE,"단축1";#N/A,#N/A,FALSE,"단축2";#N/A,#N/A,FALSE,"단축3";#N/A,#N/A,FALSE,"장축";#N/A,#N/A,FALSE,"4WD"}</definedName>
    <definedName name="___h2" hidden="1">{"'표지'!$B$5"}</definedName>
    <definedName name="___H20" hidden="1">{#N/A,#N/A,FALSE,"단축1";#N/A,#N/A,FALSE,"단축2";#N/A,#N/A,FALSE,"단축3";#N/A,#N/A,FALSE,"장축";#N/A,#N/A,FALSE,"4WD"}</definedName>
    <definedName name="___h3" hidden="1">{"'표지'!$B$5"}</definedName>
    <definedName name="___h4" hidden="1">{"'표지'!$B$5"}</definedName>
    <definedName name="___h5" hidden="1">{"'표지'!$B$5"}</definedName>
    <definedName name="___HL1" hidden="1">{#N/A,#N/A,FALSE,"단축1";#N/A,#N/A,FALSE,"단축2";#N/A,#N/A,FALSE,"단축3";#N/A,#N/A,FALSE,"장축";#N/A,#N/A,FALSE,"4WD"}</definedName>
    <definedName name="___HL2" hidden="1">{#N/A,#N/A,FALSE,"단축1";#N/A,#N/A,FALSE,"단축2";#N/A,#N/A,FALSE,"단축3";#N/A,#N/A,FALSE,"장축";#N/A,#N/A,FALSE,"4WD"}</definedName>
    <definedName name="___HL3" hidden="1">{#N/A,#N/A,TRUE,"Y생산";#N/A,#N/A,TRUE,"Y판매";#N/A,#N/A,TRUE,"Y총물량";#N/A,#N/A,TRUE,"Y능력";#N/A,#N/A,TRUE,"YKD"}</definedName>
    <definedName name="___HP02" hidden="1">{#N/A,#N/A,FALSE,"단축1";#N/A,#N/A,FALSE,"단축2";#N/A,#N/A,FALSE,"단축3";#N/A,#N/A,FALSE,"장축";#N/A,#N/A,FALSE,"4WD"}</definedName>
    <definedName name="___HP02_1" hidden="1">{#N/A,#N/A,FALSE,"단축1";#N/A,#N/A,FALSE,"단축2";#N/A,#N/A,FALSE,"단축3";#N/A,#N/A,FALSE,"장축";#N/A,#N/A,FALSE,"4WD"}</definedName>
    <definedName name="___HP2" hidden="1">{#N/A,#N/A,FALSE,"단축1";#N/A,#N/A,FALSE,"단축2";#N/A,#N/A,FALSE,"단축3";#N/A,#N/A,FALSE,"장축";#N/A,#N/A,FALSE,"4WD"}</definedName>
    <definedName name="___HP2_1" hidden="1">{#N/A,#N/A,FALSE,"단축1";#N/A,#N/A,FALSE,"단축2";#N/A,#N/A,FALSE,"단축3";#N/A,#N/A,FALSE,"장축";#N/A,#N/A,FALSE,"4WD"}</definedName>
    <definedName name="___htt1" hidden="1">{"'표지'!$B$5"}</definedName>
    <definedName name="___IO8" hidden="1">{#N/A,#N/A,FALSE,"단축1";#N/A,#N/A,FALSE,"단축2";#N/A,#N/A,FALSE,"단축3";#N/A,#N/A,FALSE,"장축";#N/A,#N/A,FALSE,"4WD"}</definedName>
    <definedName name="___IO8_1" hidden="1">{#N/A,#N/A,FALSE,"단축1";#N/A,#N/A,FALSE,"단축2";#N/A,#N/A,FALSE,"단축3";#N/A,#N/A,FALSE,"장축";#N/A,#N/A,FALSE,"4WD"}</definedName>
    <definedName name="___k1" hidden="1">#REF!</definedName>
    <definedName name="___K115" hidden="1">{#N/A,#N/A,FALSE,"인원";#N/A,#N/A,FALSE,"비용2";#N/A,#N/A,FALSE,"비용1";#N/A,#N/A,FALSE,"비용";#N/A,#N/A,FALSE,"보증2";#N/A,#N/A,FALSE,"보증1";#N/A,#N/A,FALSE,"보증";#N/A,#N/A,FALSE,"손익1";#N/A,#N/A,FALSE,"손익";#N/A,#N/A,FALSE,"부서별매출";#N/A,#N/A,FALSE,"매출"}</definedName>
    <definedName name="___K12" hidden="1">{#N/A,#N/A,FALSE,"단축1";#N/A,#N/A,FALSE,"단축2";#N/A,#N/A,FALSE,"단축3";#N/A,#N/A,FALSE,"장축";#N/A,#N/A,FALSE,"4WD"}</definedName>
    <definedName name="___K223" hidden="1">{#N/A,#N/A,FALSE,"단축1";#N/A,#N/A,FALSE,"단축2";#N/A,#N/A,FALSE,"단축3";#N/A,#N/A,FALSE,"장축";#N/A,#N/A,FALSE,"4WD"}</definedName>
    <definedName name="___k7" hidden="1">{#N/A,#N/A,FALSE,"단축1";#N/A,#N/A,FALSE,"단축2";#N/A,#N/A,FALSE,"단축3";#N/A,#N/A,FALSE,"장축";#N/A,#N/A,FALSE,"4WD"}</definedName>
    <definedName name="___k7_1" hidden="1">{#N/A,#N/A,FALSE,"단축1";#N/A,#N/A,FALSE,"단축2";#N/A,#N/A,FALSE,"단축3";#N/A,#N/A,FALSE,"장축";#N/A,#N/A,FALSE,"4WD"}</definedName>
    <definedName name="___k8" hidden="1">{#N/A,#N/A,FALSE,"단축1";#N/A,#N/A,FALSE,"단축2";#N/A,#N/A,FALSE,"단축3";#N/A,#N/A,FALSE,"장축";#N/A,#N/A,FALSE,"4WD"}</definedName>
    <definedName name="___k8_1" hidden="1">{#N/A,#N/A,FALSE,"단축1";#N/A,#N/A,FALSE,"단축2";#N/A,#N/A,FALSE,"단축3";#N/A,#N/A,FALSE,"장축";#N/A,#N/A,FALSE,"4WD"}</definedName>
    <definedName name="___k9" hidden="1">{#N/A,#N/A,FALSE,"단축1";#N/A,#N/A,FALSE,"단축2";#N/A,#N/A,FALSE,"단축3";#N/A,#N/A,FALSE,"장축";#N/A,#N/A,FALSE,"4WD"}</definedName>
    <definedName name="___k9_1" hidden="1">{#N/A,#N/A,FALSE,"단축1";#N/A,#N/A,FALSE,"단축2";#N/A,#N/A,FALSE,"단축3";#N/A,#N/A,FALSE,"장축";#N/A,#N/A,FALSE,"4WD"}</definedName>
    <definedName name="___key2" hidden="1">#REF!</definedName>
    <definedName name="___KI9" hidden="1">{#N/A,#N/A,TRUE,"Y생산";#N/A,#N/A,TRUE,"Y판매";#N/A,#N/A,TRUE,"Y총물량";#N/A,#N/A,TRUE,"Y능력";#N/A,#N/A,TRUE,"YKD"}</definedName>
    <definedName name="___LG2" hidden="1">{#N/A,#N/A,TRUE,"매출진척-1";#N/A,#N/A,TRUE,"매출진척-2";#N/A,#N/A,TRUE,"제품실적";#N/A,#N/A,TRUE,"RAC";#N/A,#N/A,TRUE,"PAC ";#N/A,#N/A,TRUE,"재고현황";#N/A,#N/A,TRUE,"공지사항"}</definedName>
    <definedName name="___LH1" hidden="1">{"'7보유'!$A$1:$F$44"}</definedName>
    <definedName name="___LH2" hidden="1">{"'7보유'!$A$1:$F$44"}</definedName>
    <definedName name="___LPS2" hidden="1">{#N/A,#N/A,FALSE,"단축1";#N/A,#N/A,FALSE,"단축2";#N/A,#N/A,FALSE,"단축3";#N/A,#N/A,FALSE,"장축";#N/A,#N/A,FALSE,"4WD"}</definedName>
    <definedName name="___LPS2_1" hidden="1">{#N/A,#N/A,FALSE,"단축1";#N/A,#N/A,FALSE,"단축2";#N/A,#N/A,FALSE,"단축3";#N/A,#N/A,FALSE,"장축";#N/A,#N/A,FALSE,"4WD"}</definedName>
    <definedName name="___lwr10" hidden="1">{#N/A,#N/A,FALSE,"단축1";#N/A,#N/A,FALSE,"단축2";#N/A,#N/A,FALSE,"단축3";#N/A,#N/A,FALSE,"장축";#N/A,#N/A,FALSE,"4WD"}</definedName>
    <definedName name="___M123" hidden="1">{#N/A,#N/A,FALSE,"단축1";#N/A,#N/A,FALSE,"단축2";#N/A,#N/A,FALSE,"단축3";#N/A,#N/A,FALSE,"장축";#N/A,#N/A,FALSE,"4WD"}</definedName>
    <definedName name="___MH1" hidden="1">{#N/A,#N/A,FALSE,"단축1";#N/A,#N/A,FALSE,"단축2";#N/A,#N/A,FALSE,"단축3";#N/A,#N/A,FALSE,"장축";#N/A,#N/A,FALSE,"4WD"}</definedName>
    <definedName name="___MIP10" hidden="1">{#N/A,#N/A,FALSE,"단축1";#N/A,#N/A,FALSE,"단축2";#N/A,#N/A,FALSE,"단축3";#N/A,#N/A,FALSE,"장축";#N/A,#N/A,FALSE,"4WD"}</definedName>
    <definedName name="___MIP2" hidden="1">{#N/A,#N/A,FALSE,"단축1";#N/A,#N/A,FALSE,"단축2";#N/A,#N/A,FALSE,"단축3";#N/A,#N/A,FALSE,"장축";#N/A,#N/A,FALSE,"4WD"}</definedName>
    <definedName name="___NA11" hidden="1">{#N/A,#N/A,FALSE,"단축1";#N/A,#N/A,FALSE,"단축2";#N/A,#N/A,FALSE,"단축3";#N/A,#N/A,FALSE,"장축";#N/A,#N/A,FALSE,"4WD"}</definedName>
    <definedName name="___nbj75" hidden="1">{#N/A,#N/A,FALSE,"단축1";#N/A,#N/A,FALSE,"단축2";#N/A,#N/A,FALSE,"단축3";#N/A,#N/A,FALSE,"장축";#N/A,#N/A,FALSE,"4WD"}</definedName>
    <definedName name="___NI23" hidden="1">{#N/A,#N/A,FALSE,"단축1";#N/A,#N/A,FALSE,"단축2";#N/A,#N/A,FALSE,"단축3";#N/A,#N/A,FALSE,"장축";#N/A,#N/A,FALSE,"4WD"}</definedName>
    <definedName name="___NO1" hidden="1">{#N/A,#N/A,FALSE,"단축1";#N/A,#N/A,FALSE,"단축2";#N/A,#N/A,FALSE,"단축3";#N/A,#N/A,FALSE,"장축";#N/A,#N/A,FALSE,"4WD"}</definedName>
    <definedName name="___NO11" hidden="1">{#N/A,#N/A,FALSE,"단축1";#N/A,#N/A,FALSE,"단축2";#N/A,#N/A,FALSE,"단축3";#N/A,#N/A,FALSE,"장축";#N/A,#N/A,FALSE,"4WD"}</definedName>
    <definedName name="___NO222" hidden="1">{#N/A,#N/A,FALSE,"단축1";#N/A,#N/A,FALSE,"단축2";#N/A,#N/A,FALSE,"단축3";#N/A,#N/A,FALSE,"장축";#N/A,#N/A,FALSE,"4WD"}</definedName>
    <definedName name="___NO22222" hidden="1">{#N/A,#N/A,FALSE,"단축1";#N/A,#N/A,FALSE,"단축2";#N/A,#N/A,FALSE,"단축3";#N/A,#N/A,FALSE,"장축";#N/A,#N/A,FALSE,"4WD"}</definedName>
    <definedName name="___NO23" hidden="1">{#N/A,#N/A,FALSE,"단축1";#N/A,#N/A,FALSE,"단축2";#N/A,#N/A,FALSE,"단축3";#N/A,#N/A,FALSE,"장축";#N/A,#N/A,FALSE,"4WD"}</definedName>
    <definedName name="___NO33333" hidden="1">{#N/A,#N/A,FALSE,"단축1";#N/A,#N/A,FALSE,"단축2";#N/A,#N/A,FALSE,"단축3";#N/A,#N/A,FALSE,"장축";#N/A,#N/A,FALSE,"4WD"}</definedName>
    <definedName name="___O11" hidden="1">{#N/A,#N/A,FALSE,"단축1";#N/A,#N/A,FALSE,"단축2";#N/A,#N/A,FALSE,"단축3";#N/A,#N/A,FALSE,"장축";#N/A,#N/A,FALSE,"4WD"}</definedName>
    <definedName name="___OPS1" hidden="1">{"Wire Charts",#N/A,TRUE,"Wires"}</definedName>
    <definedName name="___P09" hidden="1">{#N/A,#N/A,FALSE,"단축1";#N/A,#N/A,FALSE,"단축2";#N/A,#N/A,FALSE,"단축3";#N/A,#N/A,FALSE,"장축";#N/A,#N/A,FALSE,"4WD"}</definedName>
    <definedName name="___P2" hidden="1">{#N/A,#N/A,FALSE,"단축1";#N/A,#N/A,FALSE,"단축2";#N/A,#N/A,FALSE,"단축3";#N/A,#N/A,FALSE,"장축";#N/A,#N/A,FALSE,"4WD"}</definedName>
    <definedName name="___P2_1" hidden="1">{#N/A,#N/A,FALSE,"단축1";#N/A,#N/A,FALSE,"단축2";#N/A,#N/A,FALSE,"단축3";#N/A,#N/A,FALSE,"장축";#N/A,#N/A,FALSE,"4WD"}</definedName>
    <definedName name="___P21" hidden="1">{#N/A,#N/A,FALSE,"단축1";#N/A,#N/A,FALSE,"단축2";#N/A,#N/A,FALSE,"단축3";#N/A,#N/A,FALSE,"장축";#N/A,#N/A,FALSE,"4WD"}</definedName>
    <definedName name="___P3" hidden="1">{#N/A,#N/A,FALSE,"단축1";#N/A,#N/A,FALSE,"단축2";#N/A,#N/A,FALSE,"단축3";#N/A,#N/A,FALSE,"장축";#N/A,#N/A,FALSE,"4WD"}</definedName>
    <definedName name="___PB004" hidden="1">{#N/A,#N/A,FALSE,"단축1";#N/A,#N/A,FALSE,"단축2";#N/A,#N/A,FALSE,"단축3";#N/A,#N/A,FALSE,"장축";#N/A,#N/A,FALSE,"4WD"}</definedName>
    <definedName name="___PPP21" hidden="1">{#N/A,#N/A,FALSE,"KMC최종회의(7월) 자료"}</definedName>
    <definedName name="___PPP3" hidden="1">{#N/A,#N/A,FALSE,"KMC최종회의(7월) 자료"}</definedName>
    <definedName name="___PPR2" hidden="1">{#N/A,#N/A,FALSE,"단축1";#N/A,#N/A,FALSE,"단축2";#N/A,#N/A,FALSE,"단축3";#N/A,#N/A,FALSE,"장축";#N/A,#N/A,FALSE,"4WD"}</definedName>
    <definedName name="___Q098" hidden="1">{"'7-2지역별'!$A$1:$R$44"}</definedName>
    <definedName name="___Q1" hidden="1">{#N/A,#N/A,FALSE,"KMC최종회의(7월) 자료"}</definedName>
    <definedName name="___Q1_1" hidden="1">{#N/A,#N/A,FALSE,"KMC최종회의(7월) 자료"}</definedName>
    <definedName name="___Q11" hidden="1">{"'7-2지역별'!$A$1:$R$44"}</definedName>
    <definedName name="___Q11234" hidden="1">{"'7-2지역별'!$A$1:$R$44"}</definedName>
    <definedName name="___Q12" hidden="1">{"'7-2지역별'!$A$1:$R$44"}</definedName>
    <definedName name="___Q123" hidden="1">{"'7-2지역별'!$A$1:$R$44"}</definedName>
    <definedName name="___Q1232" hidden="1">{"'7-2지역별'!$A$1:$R$44"}</definedName>
    <definedName name="___Q1233" hidden="1">{"'7-2지역별'!$A$1:$R$44"}</definedName>
    <definedName name="___Q2" hidden="1">{#N/A,#N/A,FALSE,"KMC최종회의(7월) 자료"}</definedName>
    <definedName name="___Q2_1" hidden="1">{#N/A,#N/A,FALSE,"KMC최종회의(7월) 자료"}</definedName>
    <definedName name="___Q2342" hidden="1">{"'7-2지역별'!$A$1:$R$44"}</definedName>
    <definedName name="___Q3" hidden="1">{#N/A,#N/A,FALSE,"KMC최종회의(7월) 자료"}</definedName>
    <definedName name="___Q3_1" hidden="1">{#N/A,#N/A,FALSE,"KMC최종회의(7월) 자료"}</definedName>
    <definedName name="___Q343" hidden="1">{"'7-2지역별'!$A$1:$R$44"}</definedName>
    <definedName name="___Q345" hidden="1">{"'7-2지역별'!$A$1:$R$44"}</definedName>
    <definedName name="___Q423" hidden="1">{"'7-2지역별'!$A$1:$R$44"}</definedName>
    <definedName name="___Q43456" hidden="1">{"'7-2지역별'!$A$1:$R$44"}</definedName>
    <definedName name="___Q5" hidden="1">{#N/A,#N/A,FALSE,"KMC최종회의(7월) 자료"}</definedName>
    <definedName name="___Q5_1" hidden="1">{#N/A,#N/A,FALSE,"KMC최종회의(7월) 자료"}</definedName>
    <definedName name="___Q54" hidden="1">{"'7-2지역별'!$A$1:$R$44"}</definedName>
    <definedName name="___Q543" hidden="1">{"'7-2지역별'!$A$1:$R$44"}</definedName>
    <definedName name="___Q5434" hidden="1">{"'7-2지역별'!$A$1:$R$44"}</definedName>
    <definedName name="___Q543421" hidden="1">{"'7-2지역별'!$A$1:$R$44"}</definedName>
    <definedName name="___Q5555" hidden="1">{"'7-2지역별'!$A$1:$R$44"}</definedName>
    <definedName name="___Q5678" hidden="1">{"'7-2지역별'!$A$1:$R$44"}</definedName>
    <definedName name="___q6" hidden="1">{#N/A,#N/A,FALSE,"신규dep";#N/A,#N/A,FALSE,"신규dep-금형상각후";#N/A,#N/A,FALSE,"신규dep-연구비상각후";#N/A,#N/A,FALSE,"신규dep-기계,공구상각후"}</definedName>
    <definedName name="___q6_1" hidden="1">{#N/A,#N/A,FALSE,"신규dep";#N/A,#N/A,FALSE,"신규dep-금형상각후";#N/A,#N/A,FALSE,"신규dep-연구비상각후";#N/A,#N/A,FALSE,"신규dep-기계,공구상각후"}</definedName>
    <definedName name="___Q65465" hidden="1">{"'7-2지역별'!$A$1:$R$44"}</definedName>
    <definedName name="___Q6765" hidden="1">{"'7-2지역별'!$A$1:$R$44"}</definedName>
    <definedName name="___Q7" hidden="1">{#N/A,#N/A,FALSE,"KMC최종회의(7월) 자료"}</definedName>
    <definedName name="___Q7_1" hidden="1">{#N/A,#N/A,FALSE,"KMC최종회의(7월) 자료"}</definedName>
    <definedName name="___Q75655" hidden="1">{"'7-2지역별'!$A$1:$R$44"}</definedName>
    <definedName name="___Q765" hidden="1">{"'7-2지역별'!$A$1:$R$44"}</definedName>
    <definedName name="___Q7655" hidden="1">{"'7-2지역별'!$A$1:$R$44"}</definedName>
    <definedName name="___Q7687" hidden="1">{"'7-2지역별'!$A$1:$R$44"}</definedName>
    <definedName name="___Q8" hidden="1">{#N/A,#N/A,FALSE,"KMC최종회의(7월) 자료"}</definedName>
    <definedName name="___Q8_1" hidden="1">{#N/A,#N/A,FALSE,"KMC최종회의(7월) 자료"}</definedName>
    <definedName name="___Q876" hidden="1">{"'7-2지역별'!$A$1:$R$44"}</definedName>
    <definedName name="___Q9" hidden="1">{#N/A,#N/A,FALSE,"KMC최종회의(7월) 자료"}</definedName>
    <definedName name="___Q9_1" hidden="1">{#N/A,#N/A,FALSE,"KMC최종회의(7월) 자료"}</definedName>
    <definedName name="___Q98" hidden="1">{"'7-2지역별'!$A$1:$R$44"}</definedName>
    <definedName name="___QQ12" hidden="1">{#N/A,#N/A,FALSE,"단축1";#N/A,#N/A,FALSE,"단축2";#N/A,#N/A,FALSE,"단축3";#N/A,#N/A,FALSE,"장축";#N/A,#N/A,FALSE,"4WD"}</definedName>
    <definedName name="___RR2" hidden="1">{#N/A,#N/A,FALSE,"단축1";#N/A,#N/A,FALSE,"단축2";#N/A,#N/A,FALSE,"단축3";#N/A,#N/A,FALSE,"장축";#N/A,#N/A,FALSE,"4WD"}</definedName>
    <definedName name="___S1" hidden="1">{#N/A,#N/A,FALSE,"KMC최종회의(7월) 자료"}</definedName>
    <definedName name="___S1_1" hidden="1">{#N/A,#N/A,FALSE,"KMC최종회의(7월) 자료"}</definedName>
    <definedName name="___S2" hidden="1">{#N/A,#N/A,FALSE,"KMC최종회의(7월) 자료"}</definedName>
    <definedName name="___S2_1" hidden="1">{#N/A,#N/A,FALSE,"KMC최종회의(7월) 자료"}</definedName>
    <definedName name="___S3" hidden="1">{#N/A,#N/A,FALSE,"KMC최종회의(7월) 자료"}</definedName>
    <definedName name="___S3_1" hidden="1">{#N/A,#N/A,FALSE,"KMC최종회의(7월) 자료"}</definedName>
    <definedName name="___S4" hidden="1">{#N/A,#N/A,FALSE,"KMC최종회의(7월) 자료"}</definedName>
    <definedName name="___S4_1" hidden="1">{#N/A,#N/A,FALSE,"KMC최종회의(7월) 자료"}</definedName>
    <definedName name="___S5" hidden="1">{#N/A,#N/A,FALSE,"KMC최종회의(7월) 자료"}</definedName>
    <definedName name="___S5_1" hidden="1">{#N/A,#N/A,FALSE,"KMC최종회의(7월) 자료"}</definedName>
    <definedName name="___S6" hidden="1">{#N/A,#N/A,FALSE,"KMC최종회의(7월) 자료"}</definedName>
    <definedName name="___S6_1" hidden="1">{#N/A,#N/A,FALSE,"KMC최종회의(7월) 자료"}</definedName>
    <definedName name="___S7" hidden="1">{#N/A,#N/A,FALSE,"KMC최종회의(7월) 자료"}</definedName>
    <definedName name="___S7_1" hidden="1">{#N/A,#N/A,FALSE,"KMC최종회의(7월) 자료"}</definedName>
    <definedName name="___S8" hidden="1">{#N/A,#N/A,FALSE,"KMC최종회의(7월) 자료"}</definedName>
    <definedName name="___S8_1" hidden="1">{#N/A,#N/A,FALSE,"KMC최종회의(7월) 자료"}</definedName>
    <definedName name="___SD323" hidden="1">{"'7-2지역별'!$A$1:$R$44"}</definedName>
    <definedName name="___SDW1" hidden="1">#REF!</definedName>
    <definedName name="___SMM1" hidden="1">{"'7보유'!$A$1:$F$44"}</definedName>
    <definedName name="___SMM2" hidden="1">{"'7보유'!$A$1:$F$44"}</definedName>
    <definedName name="___SR1" hidden="1">{#N/A,#N/A,TRUE,"Y생산";#N/A,#N/A,TRUE,"Y판매";#N/A,#N/A,TRUE,"Y총물량";#N/A,#N/A,TRUE,"Y능력";#N/A,#N/A,TRUE,"YKD"}</definedName>
    <definedName name="___SUM1" hidden="1">{#N/A,#N/A,FALSE,"단축1";#N/A,#N/A,FALSE,"단축2";#N/A,#N/A,FALSE,"단축3";#N/A,#N/A,FALSE,"장축";#N/A,#N/A,FALSE,"4WD"}</definedName>
    <definedName name="___SUM1_1" hidden="1">{#N/A,#N/A,FALSE,"단축1";#N/A,#N/A,FALSE,"단축2";#N/A,#N/A,FALSE,"단축3";#N/A,#N/A,FALSE,"장축";#N/A,#N/A,FALSE,"4WD"}</definedName>
    <definedName name="___T2" hidden="1">{#N/A,#N/A,FALSE,"단축1";#N/A,#N/A,FALSE,"단축2";#N/A,#N/A,FALSE,"단축3";#N/A,#N/A,FALSE,"장축";#N/A,#N/A,FALSE,"4WD"}</definedName>
    <definedName name="___T2_1" hidden="1">{#N/A,#N/A,FALSE,"단축1";#N/A,#N/A,FALSE,"단축2";#N/A,#N/A,FALSE,"단축3";#N/A,#N/A,FALSE,"장축";#N/A,#N/A,FALSE,"4WD"}</definedName>
    <definedName name="___T2_2" hidden="1">{#N/A,#N/A,FALSE,"단축1";#N/A,#N/A,FALSE,"단축2";#N/A,#N/A,FALSE,"단축3";#N/A,#N/A,FALSE,"장축";#N/A,#N/A,FALSE,"4WD"}</definedName>
    <definedName name="___T3" hidden="1">{#N/A,#N/A,FALSE,"단축1";#N/A,#N/A,FALSE,"단축2";#N/A,#N/A,FALSE,"단축3";#N/A,#N/A,FALSE,"장축";#N/A,#N/A,FALSE,"4WD"}</definedName>
    <definedName name="___T3_1" hidden="1">{#N/A,#N/A,FALSE,"단축1";#N/A,#N/A,FALSE,"단축2";#N/A,#N/A,FALSE,"단축3";#N/A,#N/A,FALSE,"장축";#N/A,#N/A,FALSE,"4WD"}</definedName>
    <definedName name="___t4" hidden="1">{#N/A,#N/A,FALSE,"단축1";#N/A,#N/A,FALSE,"단축2";#N/A,#N/A,FALSE,"단축3";#N/A,#N/A,FALSE,"장축";#N/A,#N/A,FALSE,"4WD"}</definedName>
    <definedName name="___t45445" hidden="1">{"'7-2지역별'!$A$1:$R$44"}</definedName>
    <definedName name="___T5" hidden="1">{#N/A,#N/A,FALSE,"단축1";#N/A,#N/A,FALSE,"단축2";#N/A,#N/A,FALSE,"단축3";#N/A,#N/A,FALSE,"장축";#N/A,#N/A,FALSE,"4WD"}</definedName>
    <definedName name="___T5_1" hidden="1">{#N/A,#N/A,FALSE,"단축1";#N/A,#N/A,FALSE,"단축2";#N/A,#N/A,FALSE,"단축3";#N/A,#N/A,FALSE,"장축";#N/A,#N/A,FALSE,"4WD"}</definedName>
    <definedName name="___tb2" hidden="1">{#N/A,#N/A,FALSE,"단축1";#N/A,#N/A,FALSE,"단축2";#N/A,#N/A,FALSE,"단축3";#N/A,#N/A,FALSE,"장축";#N/A,#N/A,FALSE,"4WD"}</definedName>
    <definedName name="___TM1" hidden="1">{#N/A,#N/A,FALSE,"단축1";#N/A,#N/A,FALSE,"단축2";#N/A,#N/A,FALSE,"단축3";#N/A,#N/A,FALSE,"장축";#N/A,#N/A,FALSE,"4WD"}</definedName>
    <definedName name="___TM1_1" hidden="1">{#N/A,#N/A,FALSE,"단축1";#N/A,#N/A,FALSE,"단축2";#N/A,#N/A,FALSE,"단축3";#N/A,#N/A,FALSE,"장축";#N/A,#N/A,FALSE,"4WD"}</definedName>
    <definedName name="___TRT11" hidden="1">{#N/A,#N/A,FALSE,"표지";#N/A,#N/A,FALSE,"전제";#N/A,#N/A,FALSE,"손익-자 (2)";#N/A,#N/A,FALSE,"손익-자";#N/A,#N/A,FALSE,"손익-마 (2)";#N/A,#N/A,FALSE,"손익-마";#N/A,#N/A,FALSE,"총손최종"}</definedName>
    <definedName name="___U1" hidden="1">{#N/A,#N/A,FALSE,"단축1";#N/A,#N/A,FALSE,"단축2";#N/A,#N/A,FALSE,"단축3";#N/A,#N/A,FALSE,"장축";#N/A,#N/A,FALSE,"4WD"}</definedName>
    <definedName name="___W1" hidden="1">{#N/A,#N/A,FALSE,"KMC최종회의(7월) 자료"}</definedName>
    <definedName name="___W1_1" hidden="1">{#N/A,#N/A,FALSE,"KMC최종회의(7월) 자료"}</definedName>
    <definedName name="___W12324" hidden="1">{"'7-2지역별'!$A$1:$R$44"}</definedName>
    <definedName name="___W2" hidden="1">{#N/A,#N/A,FALSE,"KMC최종회의(7월) 자료"}</definedName>
    <definedName name="___W2_1" hidden="1">{#N/A,#N/A,FALSE,"KMC최종회의(7월) 자료"}</definedName>
    <definedName name="___W3" hidden="1">{#N/A,#N/A,FALSE,"KMC최종회의(7월) 자료"}</definedName>
    <definedName name="___W3_1" hidden="1">{#N/A,#N/A,FALSE,"KMC최종회의(7월) 자료"}</definedName>
    <definedName name="___W322" hidden="1">{"'7-2지역별'!$A$1:$R$44"}</definedName>
    <definedName name="___W4" hidden="1">{#N/A,#N/A,FALSE,"KMC최종회의(7월) 자료"}</definedName>
    <definedName name="___W4_1" hidden="1">{#N/A,#N/A,FALSE,"KMC최종회의(7월) 자료"}</definedName>
    <definedName name="___W4454" hidden="1">{"'7-2지역별'!$A$1:$R$44"}</definedName>
    <definedName name="___W5" hidden="1">{#N/A,#N/A,FALSE,"KMC최종회의(7월) 자료"}</definedName>
    <definedName name="___W5_1" hidden="1">{#N/A,#N/A,FALSE,"KMC최종회의(7월) 자료"}</definedName>
    <definedName name="___W53" hidden="1">{"'7-2지역별'!$A$1:$R$44"}</definedName>
    <definedName name="___W6" hidden="1">{#N/A,#N/A,FALSE,"KMC최종회의(7월) 자료"}</definedName>
    <definedName name="___W6_1" hidden="1">{#N/A,#N/A,FALSE,"KMC최종회의(7월) 자료"}</definedName>
    <definedName name="___W7" hidden="1">{#N/A,#N/A,FALSE,"KMC최종회의(7월) 자료"}</definedName>
    <definedName name="___W7_1" hidden="1">{#N/A,#N/A,FALSE,"KMC최종회의(7월) 자료"}</definedName>
    <definedName name="___W8" hidden="1">{#N/A,#N/A,FALSE,"KMC최종회의(7월) 자료"}</definedName>
    <definedName name="___W8_1" hidden="1">{#N/A,#N/A,FALSE,"KMC최종회의(7월) 자료"}</definedName>
    <definedName name="___W9" hidden="1">{#N/A,#N/A,FALSE,"KMC최종회의(7월) 자료"}</definedName>
    <definedName name="___W9_1" hidden="1">{#N/A,#N/A,FALSE,"KMC최종회의(7월) 자료"}</definedName>
    <definedName name="___WRN2" hidden="1">{#N/A,#N/A,FALSE,"단축1";#N/A,#N/A,FALSE,"단축2";#N/A,#N/A,FALSE,"단축3";#N/A,#N/A,FALSE,"장축";#N/A,#N/A,FALSE,"4WD"}</definedName>
    <definedName name="___X1" hidden="1">{#N/A,#N/A,FALSE,"KMC최종회의(7월) 자료"}</definedName>
    <definedName name="___X1_1" hidden="1">{#N/A,#N/A,FALSE,"KMC최종회의(7월) 자료"}</definedName>
    <definedName name="___X2" hidden="1">{#N/A,#N/A,FALSE,"KMC최종회의(7월) 자료"}</definedName>
    <definedName name="___X2_1" hidden="1">{#N/A,#N/A,FALSE,"KMC최종회의(7월) 자료"}</definedName>
    <definedName name="___X3" hidden="1">{#N/A,#N/A,FALSE,"KMC최종회의(7월) 자료"}</definedName>
    <definedName name="___X3_1" hidden="1">{#N/A,#N/A,FALSE,"KMC최종회의(7월) 자료"}</definedName>
    <definedName name="___X4" hidden="1">{#N/A,#N/A,FALSE,"KMC최종회의(7월) 자료"}</definedName>
    <definedName name="___X4_1" hidden="1">{#N/A,#N/A,FALSE,"KMC최종회의(7월) 자료"}</definedName>
    <definedName name="___X5" hidden="1">{#N/A,#N/A,FALSE,"KMC최종회의(7월) 자료"}</definedName>
    <definedName name="___X5_1" hidden="1">{#N/A,#N/A,FALSE,"KMC최종회의(7월) 자료"}</definedName>
    <definedName name="___X6" hidden="1">{#N/A,#N/A,FALSE,"KMC최종회의(7월) 자료"}</definedName>
    <definedName name="___X6_1" hidden="1">{#N/A,#N/A,FALSE,"KMC최종회의(7월) 자료"}</definedName>
    <definedName name="___X7" hidden="1">{#N/A,#N/A,FALSE,"KMC최종회의(7월) 자료"}</definedName>
    <definedName name="___X7_1" hidden="1">{#N/A,#N/A,FALSE,"KMC최종회의(7월) 자료"}</definedName>
    <definedName name="___X8" hidden="1">{#N/A,#N/A,FALSE,"KMC최종회의(7월) 자료"}</definedName>
    <definedName name="___X8_1" hidden="1">{#N/A,#N/A,FALSE,"KMC최종회의(7월) 자료"}</definedName>
    <definedName name="___XG1" hidden="1">{#N/A,#N/A,FALSE,"단축1";#N/A,#N/A,FALSE,"단축2";#N/A,#N/A,FALSE,"단축3";#N/A,#N/A,FALSE,"장축";#N/A,#N/A,FALSE,"4WD"}</definedName>
    <definedName name="___XG2" hidden="1">{#N/A,#N/A,FALSE,"단축1";#N/A,#N/A,FALSE,"단축2";#N/A,#N/A,FALSE,"단축3";#N/A,#N/A,FALSE,"장축";#N/A,#N/A,FALSE,"4WD"}</definedName>
    <definedName name="___XG2_1" hidden="1">{#N/A,#N/A,FALSE,"단축1";#N/A,#N/A,FALSE,"단축2";#N/A,#N/A,FALSE,"단축3";#N/A,#N/A,FALSE,"장축";#N/A,#N/A,FALSE,"4WD"}</definedName>
    <definedName name="___y45546" hidden="1">{"'7-2지역별'!$A$1:$R$44"}</definedName>
    <definedName name="___Z1" hidden="1">{#N/A,#N/A,FALSE,"KMC최종회의(7월) 자료"}</definedName>
    <definedName name="___Z1_1" hidden="1">{#N/A,#N/A,FALSE,"KMC최종회의(7월) 자료"}</definedName>
    <definedName name="___z123" hidden="1">{#N/A,#N/A,FALSE,"단축1";#N/A,#N/A,FALSE,"단축2";#N/A,#N/A,FALSE,"단축3";#N/A,#N/A,FALSE,"장축";#N/A,#N/A,FALSE,"4WD"}</definedName>
    <definedName name="___Z2" hidden="1">{#N/A,#N/A,FALSE,"KMC최종회의(7월) 자료"}</definedName>
    <definedName name="___Z2_1" hidden="1">{#N/A,#N/A,FALSE,"KMC최종회의(7월) 자료"}</definedName>
    <definedName name="___Z3" hidden="1">{#N/A,#N/A,FALSE,"KMC최종회의(7월) 자료"}</definedName>
    <definedName name="___Z3_1" hidden="1">{#N/A,#N/A,FALSE,"KMC최종회의(7월) 자료"}</definedName>
    <definedName name="___Z4" hidden="1">{#N/A,#N/A,FALSE,"KMC최종회의(7월) 자료"}</definedName>
    <definedName name="___Z4_1" hidden="1">{#N/A,#N/A,FALSE,"KMC최종회의(7월) 자료"}</definedName>
    <definedName name="___Z5" hidden="1">{#N/A,#N/A,FALSE,"KMC최종회의(7월) 자료"}</definedName>
    <definedName name="___Z5_1" hidden="1">{#N/A,#N/A,FALSE,"KMC최종회의(7월) 자료"}</definedName>
    <definedName name="___Z6" hidden="1">{#N/A,#N/A,FALSE,"KMC최종회의(7월) 자료"}</definedName>
    <definedName name="___Z6_1" hidden="1">{#N/A,#N/A,FALSE,"KMC최종회의(7월) 자료"}</definedName>
    <definedName name="___Z7" hidden="1">{#N/A,#N/A,FALSE,"KMC최종회의(7월) 자료"}</definedName>
    <definedName name="___Z7_1" hidden="1">{#N/A,#N/A,FALSE,"KMC최종회의(7월) 자료"}</definedName>
    <definedName name="___Z8" hidden="1">{#N/A,#N/A,FALSE,"KMC최종회의(7월) 자료"}</definedName>
    <definedName name="___Z8_1" hidden="1">{#N/A,#N/A,FALSE,"KMC최종회의(7월) 자료"}</definedName>
    <definedName name="___Z9" hidden="1">{#N/A,#N/A,FALSE,"KMC최종회의(7월) 자료"}</definedName>
    <definedName name="___Z9_1" hidden="1">{#N/A,#N/A,FALSE,"KMC최종회의(7월) 자료"}</definedName>
    <definedName name="___ZA1" hidden="1">#REF!</definedName>
    <definedName name="___ZA10" hidden="1">#REF!</definedName>
    <definedName name="___ZA11" hidden="1">#REF!</definedName>
    <definedName name="___ZA12" hidden="1">#REF!</definedName>
    <definedName name="___ZA13" hidden="1">#REF!</definedName>
    <definedName name="___ZA14" hidden="1">#REF!</definedName>
    <definedName name="___ZA15" hidden="1">#REF!</definedName>
    <definedName name="___ZA16" hidden="1">#REF!</definedName>
    <definedName name="___ZA17" hidden="1">#REF!</definedName>
    <definedName name="___ZA18" hidden="1">#REF!</definedName>
    <definedName name="___ZA19" hidden="1">#REF!</definedName>
    <definedName name="___ZA2" hidden="1">#REF!</definedName>
    <definedName name="___ZA20" hidden="1">#REF!</definedName>
    <definedName name="___ZA21" hidden="1">#REF!</definedName>
    <definedName name="___ZA22" hidden="1">#REF!</definedName>
    <definedName name="___ZA23" hidden="1">#REF!</definedName>
    <definedName name="___ZA24" hidden="1">#REF!</definedName>
    <definedName name="___ZA3" hidden="1">#REF!</definedName>
    <definedName name="___ZA4" hidden="1">#REF!</definedName>
    <definedName name="___ZA5" hidden="1">#REF!</definedName>
    <definedName name="___ZA6" hidden="1">#REF!</definedName>
    <definedName name="___ZA7" hidden="1">#REF!</definedName>
    <definedName name="___ZA8" hidden="1">#REF!</definedName>
    <definedName name="___ZA9" hidden="1">#REF!</definedName>
    <definedName name="__100Q9_" hidden="1">{#N/A,#N/A,FALSE,"KMC최종회의(7월) 자료"}</definedName>
    <definedName name="__100W2_" hidden="1">{#N/A,#N/A,FALSE,"KMC최종회의(7월) 자료"}</definedName>
    <definedName name="__100X5_" hidden="1">{#N/A,#N/A,FALSE,"KMC최종회의(7월) 자료"}</definedName>
    <definedName name="__102W3_" hidden="1">{#N/A,#N/A,FALSE,"KMC최종회의(7월) 자료"}</definedName>
    <definedName name="__102X6_" hidden="1">{#N/A,#N/A,FALSE,"KMC최종회의(7월) 자료"}</definedName>
    <definedName name="__104S1_" hidden="1">{#N/A,#N/A,FALSE,"KMC최종회의(7월) 자료"}</definedName>
    <definedName name="__104W4_" hidden="1">{#N/A,#N/A,FALSE,"KMC최종회의(7월) 자료"}</definedName>
    <definedName name="__104X7_" hidden="1">{#N/A,#N/A,FALSE,"KMC최종회의(7월) 자료"}</definedName>
    <definedName name="__106W5_" hidden="1">{#N/A,#N/A,FALSE,"KMC최종회의(7월) 자료"}</definedName>
    <definedName name="__106X8_" hidden="1">{#N/A,#N/A,FALSE,"KMC최종회의(7월) 자료"}</definedName>
    <definedName name="__108S2_" hidden="1">{#N/A,#N/A,FALSE,"KMC최종회의(7월) 자료"}</definedName>
    <definedName name="__108W6_" hidden="1">{#N/A,#N/A,FALSE,"KMC최종회의(7월) 자료"}</definedName>
    <definedName name="__108Z1_" hidden="1">{#N/A,#N/A,FALSE,"KMC최종회의(7월) 자료"}</definedName>
    <definedName name="__10A5_" hidden="1">{#N/A,#N/A,FALSE,"KMC최종회의(7월) 자료"}</definedName>
    <definedName name="__10A8_" hidden="1">{#N/A,#N/A,FALSE,"KMC최종회의(7월) 자료"}</definedName>
    <definedName name="__10CL22_" hidden="1">{#N/A,#N/A,FALSE,"KMC최종회의(7월) 자료"}</definedName>
    <definedName name="__10E1_" hidden="1">{#N/A,#N/A,FALSE,"KMC최종회의(7월) 자료"}</definedName>
    <definedName name="__110W7_" hidden="1">{#N/A,#N/A,FALSE,"KMC최종회의(7월) 자료"}</definedName>
    <definedName name="__110Z2_" hidden="1">{#N/A,#N/A,FALSE,"KMC최종회의(7월) 자료"}</definedName>
    <definedName name="__112S3_" hidden="1">{#N/A,#N/A,FALSE,"KMC최종회의(7월) 자료"}</definedName>
    <definedName name="__112W8_" hidden="1">{#N/A,#N/A,FALSE,"KMC최종회의(7월) 자료"}</definedName>
    <definedName name="__112Z3_" hidden="1">{#N/A,#N/A,FALSE,"KMC최종회의(7월) 자료"}</definedName>
    <definedName name="__114W9_" hidden="1">{#N/A,#N/A,FALSE,"KMC최종회의(7월) 자료"}</definedName>
    <definedName name="__114Z4_" hidden="1">{#N/A,#N/A,FALSE,"KMC최종회의(7월) 자료"}</definedName>
    <definedName name="__116S4_" hidden="1">{#N/A,#N/A,FALSE,"KMC최종회의(7월) 자료"}</definedName>
    <definedName name="__116X1_" hidden="1">{#N/A,#N/A,FALSE,"KMC최종회의(7월) 자료"}</definedName>
    <definedName name="__116Z5_" hidden="1">{#N/A,#N/A,FALSE,"KMC최종회의(7월) 자료"}</definedName>
    <definedName name="__118X2_" hidden="1">{#N/A,#N/A,FALSE,"KMC최종회의(7월) 자료"}</definedName>
    <definedName name="__118Z6_" hidden="1">{#N/A,#N/A,FALSE,"KMC최종회의(7월) 자료"}</definedName>
    <definedName name="__11A9_" hidden="1">{#N/A,#N/A,FALSE,"KMC최종회의(7월) 자료"}</definedName>
    <definedName name="__11CL222_" hidden="1">{#N/A,#N/A,FALSE,"KMC최종회의(7월) 자료"}</definedName>
    <definedName name="__11E2_" hidden="1">{#N/A,#N/A,FALSE,"KMC최종회의(7월) 자료"}</definedName>
    <definedName name="__120S5_" hidden="1">{#N/A,#N/A,FALSE,"KMC최종회의(7월) 자료"}</definedName>
    <definedName name="__120X3_" hidden="1">{#N/A,#N/A,FALSE,"KMC최종회의(7월) 자료"}</definedName>
    <definedName name="__120Z7_" hidden="1">{#N/A,#N/A,FALSE,"KMC최종회의(7월) 자료"}</definedName>
    <definedName name="__122X4_" hidden="1">{#N/A,#N/A,FALSE,"KMC최종회의(7월) 자료"}</definedName>
    <definedName name="__122Z8_" hidden="1">{#N/A,#N/A,FALSE,"KMC최종회의(7월) 자료"}</definedName>
    <definedName name="__123Graph_A" hidden="1">#REF!</definedName>
    <definedName name="__123Graph_AI.V.AREA" hidden="1">#REF!</definedName>
    <definedName name="__123Graph_AINT.CAM" hidden="1">#REF!</definedName>
    <definedName name="__123Graph_Aｽﾄﾛｰｸー出力" hidden="1">#REF!</definedName>
    <definedName name="__123Graph_Aﾀｲﾑｲﾝﾃｸﾞﾗﾙ" hidden="1">#REF!</definedName>
    <definedName name="__123Graph_Aﾊﾞﾙﾌﾞー出力" hidden="1">#REF!</definedName>
    <definedName name="__123Graph_A利益単価" hidden="1">#REF!</definedName>
    <definedName name="__123Graph_A利益面積" hidden="1">#REF!</definedName>
    <definedName name="__123Graph_A排気量ーﾄﾙｸ" hidden="1">#REF!</definedName>
    <definedName name="__123Graph_A排気量ー出力" hidden="1">#REF!</definedName>
    <definedName name="__123Graph_A排気量ー回転数" hidden="1">#REF!</definedName>
    <definedName name="__123Graph_A所要稼働ｸﾞﾗﾌ" hidden="1">#REF!</definedName>
    <definedName name="__123Graph_A出力点回転ーﾄﾙｸ" hidden="1">#REF!</definedName>
    <definedName name="__123Graph_B" hidden="1">#REF!</definedName>
    <definedName name="__123Graph_BEXH.CAM" hidden="1">#REF!</definedName>
    <definedName name="__123Graph_Bｽﾄﾛｰｸー出力" hidden="1">#REF!</definedName>
    <definedName name="__123Graph_Bﾀｲﾑｲﾝﾃｸﾞﾗﾙ" hidden="1">#REF!</definedName>
    <definedName name="__123Graph_Bﾊﾞﾙﾌﾞー出力" hidden="1">#REF!</definedName>
    <definedName name="__123Graph_B利益単価" hidden="1">#REF!</definedName>
    <definedName name="__123Graph_B利益面積" hidden="1">#REF!</definedName>
    <definedName name="__123Graph_B排気量ーﾄﾙｸ" hidden="1">#REF!</definedName>
    <definedName name="__123Graph_B排気量ー出力" hidden="1">#REF!</definedName>
    <definedName name="__123Graph_B所要稼働ｸﾞﾗﾌ" hidden="1">#REF!</definedName>
    <definedName name="__123Graph_B出力点回転ーﾄﾙｸ" hidden="1">#REF!</definedName>
    <definedName name="__123Graph_C" hidden="1">#REF!</definedName>
    <definedName name="__123Graph_C利益単価" hidden="1">#REF!</definedName>
    <definedName name="__123Graph_C利益面積" hidden="1">#REF!</definedName>
    <definedName name="__123Graph_D" hidden="1">#REF!</definedName>
    <definedName name="__123Graph_D利益単価" hidden="1">#REF!</definedName>
    <definedName name="__123Graph_D利益面積" hidden="1">#REF!</definedName>
    <definedName name="__123Graph_E" hidden="1">#REF!</definedName>
    <definedName name="__123Graph_E利益面積" hidden="1">#REF!</definedName>
    <definedName name="__123Graph_LBL_A" hidden="1">#REF!</definedName>
    <definedName name="__123Graph_LBL_B" hidden="1">#REF!</definedName>
    <definedName name="__123Graph_X" hidden="1">#REF!</definedName>
    <definedName name="__123Graph_XEXH.CAM" hidden="1">#REF!</definedName>
    <definedName name="__123Graph_XI.V.AREA" hidden="1">#REF!</definedName>
    <definedName name="__123Graph_XINT.CAM" hidden="1">#REF!</definedName>
    <definedName name="__123Graph_Xｽﾄﾛｰｸー出力" hidden="1">#REF!</definedName>
    <definedName name="__123Graph_Xﾀｲﾑｲﾝﾃｸﾞﾗﾙ" hidden="1">#REF!</definedName>
    <definedName name="__123Graph_Xﾊﾞﾙﾌﾞー出力" hidden="1">#REF!</definedName>
    <definedName name="__123Graph_X排気量ーﾄﾙｸ" hidden="1">#REF!</definedName>
    <definedName name="__123Graph_X排気量ー出力" hidden="1">#REF!</definedName>
    <definedName name="__123Graph_X排気量ー回転数" hidden="1">#REF!</definedName>
    <definedName name="__123Graph_X所要稼働ｸﾞﾗﾌ" hidden="1">#REF!</definedName>
    <definedName name="__123Graph_X出力点回転ーﾄﾙｸ" hidden="1">#REF!</definedName>
    <definedName name="__124S6_" hidden="1">{#N/A,#N/A,FALSE,"KMC최종회의(7월) 자료"}</definedName>
    <definedName name="__124X5_" hidden="1">{#N/A,#N/A,FALSE,"KMC최종회의(7월) 자료"}</definedName>
    <definedName name="__124Z9_" hidden="1">{#N/A,#N/A,FALSE,"KMC최종회의(7월) 자료"}</definedName>
    <definedName name="__126X6_" hidden="1">{#N/A,#N/A,FALSE,"KMC최종회의(7월) 자료"}</definedName>
    <definedName name="__128S7_" hidden="1">{#N/A,#N/A,FALSE,"KMC최종회의(7월) 자료"}</definedName>
    <definedName name="__128X7_" hidden="1">{#N/A,#N/A,FALSE,"KMC최종회의(7월) 자료"}</definedName>
    <definedName name="__12A3_" hidden="1">{#N/A,#N/A,FALSE,"KMC최종회의(7월) 자료"}</definedName>
    <definedName name="__12A6_" hidden="1">{#N/A,#N/A,FALSE,"KMC최종회의(7월) 자료"}</definedName>
    <definedName name="__12AS6_" hidden="1">{#N/A,#N/A,FALSE,"Australien";#N/A,#N/A,FALSE,"Birmingham";#N/A,#N/A,FALSE,"Brasilien";#N/A,#N/A,FALSE,"Prag";#N/A,#N/A,FALSE,"Spanien";#N/A,#N/A,FALSE,"Malaysia ( Com)";#N/A,#N/A,FALSE,"Malaysia (Instr)"}</definedName>
    <definedName name="__12CL33_" hidden="1">{#N/A,#N/A,FALSE,"KMC최종회의(7월) 자료"}</definedName>
    <definedName name="__12Q1_" hidden="1">{#N/A,#N/A,FALSE,"KMC최종회의(7월) 자료"}</definedName>
    <definedName name="__130X8_" hidden="1">{#N/A,#N/A,FALSE,"KMC최종회의(7월) 자료"}</definedName>
    <definedName name="__132S8_" hidden="1">{#N/A,#N/A,FALSE,"KMC최종회의(7월) 자료"}</definedName>
    <definedName name="__132Z1_" hidden="1">{#N/A,#N/A,FALSE,"KMC최종회의(7월) 자료"}</definedName>
    <definedName name="__134Z2_" hidden="1">{#N/A,#N/A,FALSE,"KMC최종회의(7월) 자료"}</definedName>
    <definedName name="__136T2_" hidden="1">{#N/A,#N/A,FALSE,"단축1";#N/A,#N/A,FALSE,"단축2";#N/A,#N/A,FALSE,"단축3";#N/A,#N/A,FALSE,"장축";#N/A,#N/A,FALSE,"4WD"}</definedName>
    <definedName name="__136Z3_" hidden="1">{#N/A,#N/A,FALSE,"KMC최종회의(7월) 자료"}</definedName>
    <definedName name="__138Z4_" hidden="1">{#N/A,#N/A,FALSE,"KMC최종회의(7월) 자료"}</definedName>
    <definedName name="__13A3_" hidden="1">{#N/A,#N/A,FALSE,"KMC최종회의(7월) 자료"}</definedName>
    <definedName name="__13A4" hidden="1">{#N/A,#N/A,FALSE,"KMC최종회의(7월) 자료"}</definedName>
    <definedName name="__13CL22_" hidden="1">{#N/A,#N/A,FALSE,"KMC최종회의(7월) 자료"}</definedName>
    <definedName name="__13E1_" hidden="1">{#N/A,#N/A,FALSE,"KMC최종회의(7월) 자료"}</definedName>
    <definedName name="__13Q2_" hidden="1">{#N/A,#N/A,FALSE,"KMC최종회의(7월) 자료"}</definedName>
    <definedName name="__140T3_" hidden="1">{#N/A,#N/A,FALSE,"단축1";#N/A,#N/A,FALSE,"단축2";#N/A,#N/A,FALSE,"단축3";#N/A,#N/A,FALSE,"장축";#N/A,#N/A,FALSE,"4WD"}</definedName>
    <definedName name="__140Z5_" hidden="1">{#N/A,#N/A,FALSE,"KMC최종회의(7월) 자료"}</definedName>
    <definedName name="__142Z6_" hidden="1">{#N/A,#N/A,FALSE,"KMC최종회의(7월) 자료"}</definedName>
    <definedName name="__144U1_" hidden="1">{#N/A,#N/A,FALSE,"단축1";#N/A,#N/A,FALSE,"단축2";#N/A,#N/A,FALSE,"단축3";#N/A,#N/A,FALSE,"장축";#N/A,#N/A,FALSE,"4WD"}</definedName>
    <definedName name="__144Z7_" hidden="1">{#N/A,#N/A,FALSE,"KMC최종회의(7월) 자료"}</definedName>
    <definedName name="__146Z8_" hidden="1">{#N/A,#N/A,FALSE,"KMC최종회의(7월) 자료"}</definedName>
    <definedName name="__148W1_" hidden="1">{#N/A,#N/A,FALSE,"KMC최종회의(7월) 자료"}</definedName>
    <definedName name="__148Z9_" hidden="1">{#N/A,#N/A,FALSE,"KMC최종회의(7월) 자료"}</definedName>
    <definedName name="__149____S" hidden="1">#REF!</definedName>
    <definedName name="__14A7_" hidden="1">{#N/A,#N/A,FALSE,"KMC최종회의(7월) 자료"}</definedName>
    <definedName name="__14CL222_" hidden="1">{#N/A,#N/A,FALSE,"KMC최종회의(7월) 자료"}</definedName>
    <definedName name="__14E2_" hidden="1">{#N/A,#N/A,FALSE,"KMC최종회의(7월) 자료"}</definedName>
    <definedName name="__14Q3_" hidden="1">{#N/A,#N/A,FALSE,"KMC최종회의(7월) 자료"}</definedName>
    <definedName name="__152W2_" hidden="1">{#N/A,#N/A,FALSE,"KMC최종회의(7월) 자료"}</definedName>
    <definedName name="__156W3_" hidden="1">{#N/A,#N/A,FALSE,"KMC최종회의(7월) 자료"}</definedName>
    <definedName name="__15CL33_" hidden="1">{#N/A,#N/A,FALSE,"KMC최종회의(7월) 자료"}</definedName>
    <definedName name="__15Q1_" hidden="1">{#N/A,#N/A,FALSE,"KMC최종회의(7월) 자료"}</definedName>
    <definedName name="__15Q5_" hidden="1">{#N/A,#N/A,FALSE,"KMC최종회의(7월) 자료"}</definedName>
    <definedName name="__160W4_" hidden="1">{#N/A,#N/A,FALSE,"KMC최종회의(7월) 자료"}</definedName>
    <definedName name="__164W5_" hidden="1">{#N/A,#N/A,FALSE,"KMC최종회의(7월) 자료"}</definedName>
    <definedName name="__168W6_" hidden="1">{#N/A,#N/A,FALSE,"KMC최종회의(7월) 자료"}</definedName>
    <definedName name="__16A4_" hidden="1">{#N/A,#N/A,FALSE,"KMC최종회의(7월) 자료"}</definedName>
    <definedName name="__16A8_" hidden="1">{#N/A,#N/A,FALSE,"KMC최종회의(7월) 자료"}</definedName>
    <definedName name="__16DB777_" hidden="1">{#N/A,#N/A,TRUE,"Y생산";#N/A,#N/A,TRUE,"Y판매";#N/A,#N/A,TRUE,"Y총물량";#N/A,#N/A,TRUE,"Y능력";#N/A,#N/A,TRUE,"YKD"}</definedName>
    <definedName name="__16Q2_" hidden="1">{#N/A,#N/A,FALSE,"KMC최종회의(7월) 자료"}</definedName>
    <definedName name="__16Q7_" hidden="1">{#N/A,#N/A,FALSE,"KMC최종회의(7월) 자료"}</definedName>
    <definedName name="__172W7_" hidden="1">{#N/A,#N/A,FALSE,"KMC최종회의(7월) 자료"}</definedName>
    <definedName name="__176W8_" hidden="1">{#N/A,#N/A,FALSE,"KMC최종회의(7월) 자료"}</definedName>
    <definedName name="__17E1_" hidden="1">{#N/A,#N/A,FALSE,"KMC최종회의(7월) 자료"}</definedName>
    <definedName name="__17Q3_" hidden="1">{#N/A,#N/A,FALSE,"KMC최종회의(7월) 자료"}</definedName>
    <definedName name="__17Q8_" hidden="1">{#N/A,#N/A,FALSE,"KMC최종회의(7월) 자료"}</definedName>
    <definedName name="__180W9_" hidden="1">{#N/A,#N/A,FALSE,"KMC최종회의(7월) 자료"}</definedName>
    <definedName name="__184X1_" hidden="1">{#N/A,#N/A,FALSE,"KMC최종회의(7월) 자료"}</definedName>
    <definedName name="__188X2_" hidden="1">{#N/A,#N/A,FALSE,"KMC최종회의(7월) 자료"}</definedName>
    <definedName name="__18A9_" hidden="1">{#N/A,#N/A,FALSE,"KMC최종회의(7월) 자료"}</definedName>
    <definedName name="__18E2_" hidden="1">{#N/A,#N/A,FALSE,"KMC최종회의(7월) 자료"}</definedName>
    <definedName name="__18Q5_" hidden="1">{#N/A,#N/A,FALSE,"KMC최종회의(7월) 자료"}</definedName>
    <definedName name="__18Q9_" hidden="1">{#N/A,#N/A,FALSE,"KMC최종회의(7월) 자료"}</definedName>
    <definedName name="__192X3_" hidden="1">{#N/A,#N/A,FALSE,"KMC최종회의(7월) 자료"}</definedName>
    <definedName name="__196X4_" hidden="1">{#N/A,#N/A,FALSE,"KMC최종회의(7월) 자료"}</definedName>
    <definedName name="__19FG1_" hidden="1">{#N/A,#N/A,FALSE,"단축1";#N/A,#N/A,FALSE,"단축2";#N/A,#N/A,FALSE,"단축3";#N/A,#N/A,FALSE,"장축";#N/A,#N/A,FALSE,"4WD"}</definedName>
    <definedName name="__19Q7_" hidden="1">{#N/A,#N/A,FALSE,"KMC최종회의(7월) 자료"}</definedName>
    <definedName name="__19S1_" hidden="1">{#N/A,#N/A,FALSE,"KMC최종회의(7월) 자료"}</definedName>
    <definedName name="__1A1_" hidden="1">{#N/A,#N/A,FALSE,"KMC최종회의(7월) 자료"}</definedName>
    <definedName name="__1A1__1" hidden="1">{#N/A,#N/A,FALSE,"KMC최종회의(7월) 자료"}</definedName>
    <definedName name="__200X5_" hidden="1">{#N/A,#N/A,FALSE,"KMC최종회의(7월) 자료"}</definedName>
    <definedName name="__204X6_" hidden="1">{#N/A,#N/A,FALSE,"KMC최종회의(7월) 자료"}</definedName>
    <definedName name="__208X7_" hidden="1">{#N/A,#N/A,FALSE,"KMC최종회의(7월) 자료"}</definedName>
    <definedName name="__20A5_" hidden="1">{#N/A,#N/A,FALSE,"KMC최종회의(7월) 자료"}</definedName>
    <definedName name="__20AS6_" hidden="1">{#N/A,#N/A,FALSE,"Australien";#N/A,#N/A,FALSE,"Birmingham";#N/A,#N/A,FALSE,"Brasilien";#N/A,#N/A,FALSE,"Prag";#N/A,#N/A,FALSE,"Spanien";#N/A,#N/A,FALSE,"Malaysia ( Com)";#N/A,#N/A,FALSE,"Malaysia (Instr)"}</definedName>
    <definedName name="__20CL22_" hidden="1">{#N/A,#N/A,FALSE,"KMC최종회의(7월) 자료"}</definedName>
    <definedName name="__20P21_" hidden="1">{#N/A,#N/A,FALSE,"단축1";#N/A,#N/A,FALSE,"단축2";#N/A,#N/A,FALSE,"단축3";#N/A,#N/A,FALSE,"장축";#N/A,#N/A,FALSE,"4WD"}</definedName>
    <definedName name="__20Q8_" hidden="1">{#N/A,#N/A,FALSE,"KMC최종회의(7월) 자료"}</definedName>
    <definedName name="__20S2_" hidden="1">{#N/A,#N/A,FALSE,"KMC최종회의(7월) 자료"}</definedName>
    <definedName name="__21___0_S" hidden="1">#REF!</definedName>
    <definedName name="__212X8_" hidden="1">{#N/A,#N/A,FALSE,"KMC최종회의(7월) 자료"}</definedName>
    <definedName name="__216Z1_" hidden="1">{#N/A,#N/A,FALSE,"KMC최종회의(7월) 자료"}</definedName>
    <definedName name="__21Q1_" hidden="1">{#N/A,#N/A,FALSE,"KMC최종회의(7월) 자료"}</definedName>
    <definedName name="__21Q9_" hidden="1">{#N/A,#N/A,FALSE,"KMC최종회의(7월) 자료"}</definedName>
    <definedName name="__21S3_" hidden="1">{#N/A,#N/A,FALSE,"KMC최종회의(7월) 자료"}</definedName>
    <definedName name="__220Z2_" hidden="1">{#N/A,#N/A,FALSE,"KMC최종회의(7월) 자료"}</definedName>
    <definedName name="__224Z3_" hidden="1">{#N/A,#N/A,FALSE,"KMC최종회의(7월) 자료"}</definedName>
    <definedName name="__228Z4_" hidden="1">{#N/A,#N/A,FALSE,"KMC최종회의(7월) 자료"}</definedName>
    <definedName name="__22CL22_" hidden="1">{#N/A,#N/A,FALSE,"KMC최종회의(7월) 자료"}</definedName>
    <definedName name="__22CL222_" hidden="1">{#N/A,#N/A,FALSE,"KMC최종회의(7월) 자료"}</definedName>
    <definedName name="__22Q2_" hidden="1">{#N/A,#N/A,FALSE,"KMC최종회의(7월) 자료"}</definedName>
    <definedName name="__22S1_" hidden="1">{#N/A,#N/A,FALSE,"KMC최종회의(7월) 자료"}</definedName>
    <definedName name="__22S4_" hidden="1">{#N/A,#N/A,FALSE,"KMC최종회의(7월) 자료"}</definedName>
    <definedName name="__23" hidden="1">#REF!</definedName>
    <definedName name="__232Z5_" hidden="1">{#N/A,#N/A,FALSE,"KMC최종회의(7월) 자료"}</definedName>
    <definedName name="__236Z6_" hidden="1">{#N/A,#N/A,FALSE,"KMC최종회의(7월) 자료"}</definedName>
    <definedName name="__23A1_" hidden="1">{#N/A,#N/A,FALSE,"KMC최종회의(7월) 자료"}</definedName>
    <definedName name="__23Q3_" hidden="1">{#N/A,#N/A,FALSE,"KMC최종회의(7월) 자료"}</definedName>
    <definedName name="__23S2_" hidden="1">{#N/A,#N/A,FALSE,"KMC최종회의(7월) 자료"}</definedName>
    <definedName name="__23S5_" hidden="1">{#N/A,#N/A,FALSE,"KMC최종회의(7월) 자료"}</definedName>
    <definedName name="__240Z7_" hidden="1">{#N/A,#N/A,FALSE,"KMC최종회의(7월) 자료"}</definedName>
    <definedName name="__244Z8_" hidden="1">{#N/A,#N/A,FALSE,"KMC최종회의(7월) 자료"}</definedName>
    <definedName name="__248Z9_" hidden="1">{#N/A,#N/A,FALSE,"KMC최종회의(7월) 자료"}</definedName>
    <definedName name="__24A6_" hidden="1">{#N/A,#N/A,FALSE,"KMC최종회의(7월) 자료"}</definedName>
    <definedName name="__24CL222_" hidden="1">{#N/A,#N/A,FALSE,"KMC최종회의(7월) 자료"}</definedName>
    <definedName name="__24CL33_" hidden="1">{#N/A,#N/A,FALSE,"KMC최종회의(7월) 자료"}</definedName>
    <definedName name="__24Q5_" hidden="1">{#N/A,#N/A,FALSE,"KMC최종회의(7월) 자료"}</definedName>
    <definedName name="__24S3_" hidden="1">{#N/A,#N/A,FALSE,"KMC최종회의(7월) 자료"}</definedName>
    <definedName name="__24S6_" hidden="1">{#N/A,#N/A,FALSE,"KMC최종회의(7월) 자료"}</definedName>
    <definedName name="__25A2_" hidden="1">{#N/A,#N/A,FALSE,"KMC최종회의(7월) 자료"}</definedName>
    <definedName name="__25Q7_" hidden="1">{#N/A,#N/A,FALSE,"KMC최종회의(7월) 자료"}</definedName>
    <definedName name="__25S4_" hidden="1">{#N/A,#N/A,FALSE,"KMC최종회의(7월) 자료"}</definedName>
    <definedName name="__25S7_" hidden="1">{#N/A,#N/A,FALSE,"KMC최종회의(7월) 자료"}</definedName>
    <definedName name="__26CL33_" hidden="1">{#N/A,#N/A,FALSE,"KMC최종회의(7월) 자료"}</definedName>
    <definedName name="__26Q8_" hidden="1">{#N/A,#N/A,FALSE,"KMC최종회의(7월) 자료"}</definedName>
    <definedName name="__26S5_" hidden="1">{#N/A,#N/A,FALSE,"KMC최종회의(7월) 자료"}</definedName>
    <definedName name="__26S8_" hidden="1">{#N/A,#N/A,FALSE,"KMC최종회의(7월) 자료"}</definedName>
    <definedName name="__27A3_" hidden="1">{#N/A,#N/A,FALSE,"KMC최종회의(7월) 자료"}</definedName>
    <definedName name="__27Q9_" hidden="1">{#N/A,#N/A,FALSE,"KMC최종회의(7월) 자료"}</definedName>
    <definedName name="__27S6_" hidden="1">{#N/A,#N/A,FALSE,"KMC최종회의(7월) 자료"}</definedName>
    <definedName name="__27W1_" hidden="1">{#N/A,#N/A,FALSE,"KMC최종회의(7월) 자료"}</definedName>
    <definedName name="__28A7_" hidden="1">{#N/A,#N/A,FALSE,"KMC최종회의(7월) 자료"}</definedName>
    <definedName name="__28DB777_" hidden="1">{#N/A,#N/A,TRUE,"Y생산";#N/A,#N/A,TRUE,"Y판매";#N/A,#N/A,TRUE,"Y총물량";#N/A,#N/A,TRUE,"Y능력";#N/A,#N/A,TRUE,"YKD"}</definedName>
    <definedName name="__28S1_" hidden="1">{#N/A,#N/A,FALSE,"KMC최종회의(7월) 자료"}</definedName>
    <definedName name="__28S7_" hidden="1">{#N/A,#N/A,FALSE,"KMC최종회의(7월) 자료"}</definedName>
    <definedName name="__28W2_" hidden="1">{#N/A,#N/A,FALSE,"KMC최종회의(7월) 자료"}</definedName>
    <definedName name="__29A4_" hidden="1">{#N/A,#N/A,FALSE,"KMC최종회의(7월) 자료"}</definedName>
    <definedName name="__29S2_" hidden="1">{#N/A,#N/A,FALSE,"KMC최종회의(7월) 자료"}</definedName>
    <definedName name="__29S8_" hidden="1">{#N/A,#N/A,FALSE,"KMC최종회의(7월) 자료"}</definedName>
    <definedName name="__29W3_" hidden="1">{#N/A,#N/A,FALSE,"KMC최종회의(7월) 자료"}</definedName>
    <definedName name="__2A1_" hidden="1">{#N/A,#N/A,FALSE,"KMC최종회의(7월) 자료"}</definedName>
    <definedName name="__2A2_" hidden="1">{#N/A,#N/A,FALSE,"KMC최종회의(7월) 자료"}</definedName>
    <definedName name="__2A2__1" hidden="1">{#N/A,#N/A,FALSE,"KMC최종회의(7월) 자료"}</definedName>
    <definedName name="__2P_P" hidden="1">{#N/A,#N/A,FALSE,"단축1";#N/A,#N/A,FALSE,"단축2";#N/A,#N/A,FALSE,"단축3";#N/A,#N/A,FALSE,"장축";#N/A,#N/A,FALSE,"4WD"}</definedName>
    <definedName name="__30E1_" hidden="1">{#N/A,#N/A,FALSE,"KMC최종회의(7월) 자료"}</definedName>
    <definedName name="__30S3_" hidden="1">{#N/A,#N/A,FALSE,"KMC최종회의(7월) 자료"}</definedName>
    <definedName name="__30W1_" hidden="1">{#N/A,#N/A,FALSE,"KMC최종회의(7월) 자료"}</definedName>
    <definedName name="__30W4_" hidden="1">{#N/A,#N/A,FALSE,"KMC최종회의(7월) 자료"}</definedName>
    <definedName name="__315X5_" hidden="1">{#N/A,#N/A,FALSE,"KMC최종회의(7월) 자료"}</definedName>
    <definedName name="__315X5__1" hidden="1">{#N/A,#N/A,FALSE,"KMC최종회의(7월) 자료"}</definedName>
    <definedName name="__31A5_" hidden="1">{#N/A,#N/A,FALSE,"KMC최종회의(7월) 자료"}</definedName>
    <definedName name="__31S4_" hidden="1">{#N/A,#N/A,FALSE,"KMC최종회의(7월) 자료"}</definedName>
    <definedName name="__31W2_" hidden="1">{#N/A,#N/A,FALSE,"KMC최종회의(7월) 자료"}</definedName>
    <definedName name="__31W5_" hidden="1">{#N/A,#N/A,FALSE,"KMC최종회의(7월) 자료"}</definedName>
    <definedName name="__32A8_" hidden="1">{#N/A,#N/A,FALSE,"KMC최종회의(7월) 자료"}</definedName>
    <definedName name="__32E2_" hidden="1">{#N/A,#N/A,FALSE,"KMC최종회의(7월) 자료"}</definedName>
    <definedName name="__32S5_" hidden="1">{#N/A,#N/A,FALSE,"KMC최종회의(7월) 자료"}</definedName>
    <definedName name="__32W3_" hidden="1">{#N/A,#N/A,FALSE,"KMC최종회의(7월) 자료"}</definedName>
    <definedName name="__32W6_" hidden="1">{#N/A,#N/A,FALSE,"KMC최종회의(7월) 자료"}</definedName>
    <definedName name="__33A6_" hidden="1">{#N/A,#N/A,FALSE,"KMC최종회의(7월) 자료"}</definedName>
    <definedName name="__33S6_" hidden="1">{#N/A,#N/A,FALSE,"KMC최종회의(7월) 자료"}</definedName>
    <definedName name="__33W4_" hidden="1">{#N/A,#N/A,FALSE,"KMC최종회의(7월) 자료"}</definedName>
    <definedName name="__33W7_" hidden="1">{#N/A,#N/A,FALSE,"KMC최종회의(7월) 자료"}</definedName>
    <definedName name="__34FG1_" hidden="1">{#N/A,#N/A,FALSE,"단축1";#N/A,#N/A,FALSE,"단축2";#N/A,#N/A,FALSE,"단축3";#N/A,#N/A,FALSE,"장축";#N/A,#N/A,FALSE,"4WD"}</definedName>
    <definedName name="__34S7_" hidden="1">{#N/A,#N/A,FALSE,"KMC최종회의(7월) 자료"}</definedName>
    <definedName name="__34W5_" hidden="1">{#N/A,#N/A,FALSE,"KMC최종회의(7월) 자료"}</definedName>
    <definedName name="__34W8_" hidden="1">{#N/A,#N/A,FALSE,"KMC최종회의(7월) 자료"}</definedName>
    <definedName name="__35A7_" hidden="1">{#N/A,#N/A,FALSE,"KMC최종회의(7월) 자료"}</definedName>
    <definedName name="__35S8_" hidden="1">{#N/A,#N/A,FALSE,"KMC최종회의(7월) 자료"}</definedName>
    <definedName name="__35W6_" hidden="1">{#N/A,#N/A,FALSE,"KMC최종회의(7월) 자료"}</definedName>
    <definedName name="__35W9_" hidden="1">{#N/A,#N/A,FALSE,"KMC최종회의(7월) 자료"}</definedName>
    <definedName name="__36A9_" hidden="1">{#N/A,#N/A,FALSE,"KMC최종회의(7월) 자료"}</definedName>
    <definedName name="__36P21_" hidden="1">{#N/A,#N/A,FALSE,"단축1";#N/A,#N/A,FALSE,"단축2";#N/A,#N/A,FALSE,"단축3";#N/A,#N/A,FALSE,"장축";#N/A,#N/A,FALSE,"4WD"}</definedName>
    <definedName name="__36T2_" hidden="1">{#N/A,#N/A,FALSE,"단축1";#N/A,#N/A,FALSE,"단축2";#N/A,#N/A,FALSE,"단축3";#N/A,#N/A,FALSE,"장축";#N/A,#N/A,FALSE,"4WD"}</definedName>
    <definedName name="__36W7_" hidden="1">{#N/A,#N/A,FALSE,"KMC최종회의(7월) 자료"}</definedName>
    <definedName name="__36X1_" hidden="1">{#N/A,#N/A,FALSE,"KMC최종회의(7월) 자료"}</definedName>
    <definedName name="__37A8_" hidden="1">{#N/A,#N/A,FALSE,"KMC최종회의(7월) 자료"}</definedName>
    <definedName name="__37T3_" hidden="1">{#N/A,#N/A,FALSE,"단축1";#N/A,#N/A,FALSE,"단축2";#N/A,#N/A,FALSE,"단축3";#N/A,#N/A,FALSE,"장축";#N/A,#N/A,FALSE,"4WD"}</definedName>
    <definedName name="__37W8_" hidden="1">{#N/A,#N/A,FALSE,"KMC최종회의(7월) 자료"}</definedName>
    <definedName name="__37X2_" hidden="1">{#N/A,#N/A,FALSE,"KMC최종회의(7월) 자료"}</definedName>
    <definedName name="__38Q1_" hidden="1">{#N/A,#N/A,FALSE,"KMC최종회의(7월) 자료"}</definedName>
    <definedName name="__38U1_" hidden="1">{#N/A,#N/A,FALSE,"단축1";#N/A,#N/A,FALSE,"단축2";#N/A,#N/A,FALSE,"단축3";#N/A,#N/A,FALSE,"장축";#N/A,#N/A,FALSE,"4WD"}</definedName>
    <definedName name="__38W9_" hidden="1">{#N/A,#N/A,FALSE,"KMC최종회의(7월) 자료"}</definedName>
    <definedName name="__38X3_" hidden="1">{#N/A,#N/A,FALSE,"KMC최종회의(7월) 자료"}</definedName>
    <definedName name="__39A9_" hidden="1">{#N/A,#N/A,FALSE,"KMC최종회의(7월) 자료"}</definedName>
    <definedName name="__39W1_" hidden="1">{#N/A,#N/A,FALSE,"KMC최종회의(7월) 자료"}</definedName>
    <definedName name="__39X1_" hidden="1">{#N/A,#N/A,FALSE,"KMC최종회의(7월) 자료"}</definedName>
    <definedName name="__39X4_" hidden="1">{#N/A,#N/A,FALSE,"KMC최종회의(7월) 자료"}</definedName>
    <definedName name="__3A2040_" hidden="1">{#N/A,#N/A,FALSE,"단축1";#N/A,#N/A,FALSE,"단축2";#N/A,#N/A,FALSE,"단축3";#N/A,#N/A,FALSE,"장축";#N/A,#N/A,FALSE,"4WD"}</definedName>
    <definedName name="__3A3_" hidden="1">{#N/A,#N/A,FALSE,"KMC최종회의(7월) 자료"}</definedName>
    <definedName name="__3A3__1" hidden="1">{#N/A,#N/A,FALSE,"KMC최종회의(7월) 자료"}</definedName>
    <definedName name="__40AS6_" hidden="1">{#N/A,#N/A,FALSE,"Australien";#N/A,#N/A,FALSE,"Birmingham";#N/A,#N/A,FALSE,"Brasilien";#N/A,#N/A,FALSE,"Prag";#N/A,#N/A,FALSE,"Spanien";#N/A,#N/A,FALSE,"Malaysia ( Com)";#N/A,#N/A,FALSE,"Malaysia (Instr)"}</definedName>
    <definedName name="__40Q2_" hidden="1">{#N/A,#N/A,FALSE,"KMC최종회의(7월) 자료"}</definedName>
    <definedName name="__40W2_" hidden="1">{#N/A,#N/A,FALSE,"KMC최종회의(7월) 자료"}</definedName>
    <definedName name="__40X2_" hidden="1">{#N/A,#N/A,FALSE,"KMC최종회의(7월) 자료"}</definedName>
    <definedName name="__40X5_" hidden="1">{#N/A,#N/A,FALSE,"KMC최종회의(7월) 자료"}</definedName>
    <definedName name="__41AS6_" hidden="1">{#N/A,#N/A,FALSE,"Australien";#N/A,#N/A,FALSE,"Birmingham";#N/A,#N/A,FALSE,"Brasilien";#N/A,#N/A,FALSE,"Prag";#N/A,#N/A,FALSE,"Spanien";#N/A,#N/A,FALSE,"Malaysia ( Com)";#N/A,#N/A,FALSE,"Malaysia (Instr)"}</definedName>
    <definedName name="__41W3_" hidden="1">{#N/A,#N/A,FALSE,"KMC최종회의(7월) 자료"}</definedName>
    <definedName name="__41X3_" hidden="1">{#N/A,#N/A,FALSE,"KMC최종회의(7월) 자료"}</definedName>
    <definedName name="__41X6_" hidden="1">{#N/A,#N/A,FALSE,"KMC최종회의(7월) 자료"}</definedName>
    <definedName name="__42Q3_" hidden="1">{#N/A,#N/A,FALSE,"KMC최종회의(7월) 자료"}</definedName>
    <definedName name="__42W4_" hidden="1">{#N/A,#N/A,FALSE,"KMC최종회의(7월) 자료"}</definedName>
    <definedName name="__42X4_" hidden="1">{#N/A,#N/A,FALSE,"KMC최종회의(7월) 자료"}</definedName>
    <definedName name="__42X7_" hidden="1">{#N/A,#N/A,FALSE,"KMC최종회의(7월) 자료"}</definedName>
    <definedName name="__43CL22_" hidden="1">{#N/A,#N/A,FALSE,"KMC최종회의(7월) 자료"}</definedName>
    <definedName name="__43W5_" hidden="1">{#N/A,#N/A,FALSE,"KMC최종회의(7월) 자료"}</definedName>
    <definedName name="__43X5_" hidden="1">{#N/A,#N/A,FALSE,"KMC최종회의(7월) 자료"}</definedName>
    <definedName name="__43X8_" hidden="1">{#N/A,#N/A,FALSE,"KMC최종회의(7월) 자료"}</definedName>
    <definedName name="__44CL22_" hidden="1">{#N/A,#N/A,FALSE,"KMC최종회의(7월) 자료"}</definedName>
    <definedName name="__44Q5_" hidden="1">{#N/A,#N/A,FALSE,"KMC최종회의(7월) 자료"}</definedName>
    <definedName name="__44W6_" hidden="1">{#N/A,#N/A,FALSE,"KMC최종회의(7월) 자료"}</definedName>
    <definedName name="__44X6_" hidden="1">{#N/A,#N/A,FALSE,"KMC최종회의(7월) 자료"}</definedName>
    <definedName name="__44Z1_" hidden="1">{#N/A,#N/A,FALSE,"KMC최종회의(7월) 자료"}</definedName>
    <definedName name="__45CL222_" hidden="1">{#N/A,#N/A,FALSE,"KMC최종회의(7월) 자료"}</definedName>
    <definedName name="__45W7_" hidden="1">{#N/A,#N/A,FALSE,"KMC최종회의(7월) 자료"}</definedName>
    <definedName name="__45X7_" hidden="1">{#N/A,#N/A,FALSE,"KMC최종회의(7월) 자료"}</definedName>
    <definedName name="__45Z2_" hidden="1">{#N/A,#N/A,FALSE,"KMC최종회의(7월) 자료"}</definedName>
    <definedName name="__46Q7_" hidden="1">{#N/A,#N/A,FALSE,"KMC최종회의(7월) 자료"}</definedName>
    <definedName name="__46W8_" hidden="1">{#N/A,#N/A,FALSE,"KMC최종회의(7월) 자료"}</definedName>
    <definedName name="__46X8_" hidden="1">{#N/A,#N/A,FALSE,"KMC최종회의(7월) 자료"}</definedName>
    <definedName name="__46Z3_" hidden="1">{#N/A,#N/A,FALSE,"KMC최종회의(7월) 자료"}</definedName>
    <definedName name="__47CL33_" hidden="1">{#N/A,#N/A,FALSE,"KMC최종회의(7월) 자료"}</definedName>
    <definedName name="__47Q2_" hidden="1">{#N/A,#N/A,FALSE,"KMC최종회의(7월) 자료"}</definedName>
    <definedName name="__47W9_" hidden="1">{#N/A,#N/A,FALSE,"KMC최종회의(7월) 자료"}</definedName>
    <definedName name="__47Z1_" hidden="1">{#N/A,#N/A,FALSE,"KMC최종회의(7월) 자료"}</definedName>
    <definedName name="__47Z4_" hidden="1">{#N/A,#N/A,FALSE,"KMC최종회의(7월) 자료"}</definedName>
    <definedName name="__48CL222_" hidden="1">{#N/A,#N/A,FALSE,"KMC최종회의(7월) 자료"}</definedName>
    <definedName name="__48Q8_" hidden="1">{#N/A,#N/A,FALSE,"KMC최종회의(7월) 자료"}</definedName>
    <definedName name="__48X1_" hidden="1">{#N/A,#N/A,FALSE,"KMC최종회의(7월) 자료"}</definedName>
    <definedName name="__48Z2_" hidden="1">{#N/A,#N/A,FALSE,"KMC최종회의(7월) 자료"}</definedName>
    <definedName name="__48Z5_" hidden="1">{#N/A,#N/A,FALSE,"KMC최종회의(7월) 자료"}</definedName>
    <definedName name="__49X2_" hidden="1">{#N/A,#N/A,FALSE,"KMC최종회의(7월) 자료"}</definedName>
    <definedName name="__49Z3_" hidden="1">{#N/A,#N/A,FALSE,"KMC최종회의(7월) 자료"}</definedName>
    <definedName name="__49Z6_" hidden="1">{#N/A,#N/A,FALSE,"KMC최종회의(7월) 자료"}</definedName>
    <definedName name="__4A1_" hidden="1">{#N/A,#N/A,FALSE,"KMC최종회의(7월) 자료"}</definedName>
    <definedName name="__4A2_" hidden="1">{#N/A,#N/A,FALSE,"KMC최종회의(7월) 자료"}</definedName>
    <definedName name="__4A3_" hidden="1">{#N/A,#N/A,FALSE,"KMC최종회의(7월) 자료"}</definedName>
    <definedName name="__4A4_" hidden="1">{#N/A,#N/A,FALSE,"KMC최종회의(7월) 자료"}</definedName>
    <definedName name="__50DB777_" hidden="1">{#N/A,#N/A,TRUE,"Y생산";#N/A,#N/A,TRUE,"Y판매";#N/A,#N/A,TRUE,"Y총물량";#N/A,#N/A,TRUE,"Y능력";#N/A,#N/A,TRUE,"YKD"}</definedName>
    <definedName name="__50Q9_" hidden="1">{#N/A,#N/A,FALSE,"KMC최종회의(7월) 자료"}</definedName>
    <definedName name="__50X3_" hidden="1">{#N/A,#N/A,FALSE,"KMC최종회의(7월) 자료"}</definedName>
    <definedName name="__50Z4_" hidden="1">{#N/A,#N/A,FALSE,"KMC최종회의(7월) 자료"}</definedName>
    <definedName name="__50Z7_" hidden="1">{#N/A,#N/A,FALSE,"KMC최종회의(7월) 자료"}</definedName>
    <definedName name="__51X4_" hidden="1">{#N/A,#N/A,FALSE,"KMC최종회의(7월) 자료"}</definedName>
    <definedName name="__51Z5_" hidden="1">{#N/A,#N/A,FALSE,"KMC최종회의(7월) 자료"}</definedName>
    <definedName name="__51Z8_" hidden="1">{#N/A,#N/A,FALSE,"KMC최종회의(7월) 자료"}</definedName>
    <definedName name="__52CL33_" hidden="1">{#N/A,#N/A,FALSE,"KMC최종회의(7월) 자료"}</definedName>
    <definedName name="__52E1_" hidden="1">{#N/A,#N/A,FALSE,"KMC최종회의(7월) 자료"}</definedName>
    <definedName name="__52S1_" hidden="1">{#N/A,#N/A,FALSE,"KMC최종회의(7월) 자료"}</definedName>
    <definedName name="__52X5_" hidden="1">{#N/A,#N/A,FALSE,"KMC최종회의(7월) 자료"}</definedName>
    <definedName name="__52Z6_" hidden="1">{#N/A,#N/A,FALSE,"KMC최종회의(7월) 자료"}</definedName>
    <definedName name="__52Z9_" hidden="1">{#N/A,#N/A,FALSE,"KMC최종회의(7월) 자료"}</definedName>
    <definedName name="__53X6_" hidden="1">{#N/A,#N/A,FALSE,"KMC최종회의(7월) 자료"}</definedName>
    <definedName name="__53Z7_" hidden="1">{#N/A,#N/A,FALSE,"KMC최종회의(7월) 자료"}</definedName>
    <definedName name="__54E2_" hidden="1">{#N/A,#N/A,FALSE,"KMC최종회의(7월) 자료"}</definedName>
    <definedName name="__54S2_" hidden="1">{#N/A,#N/A,FALSE,"KMC최종회의(7월) 자료"}</definedName>
    <definedName name="__54X7_" hidden="1">{#N/A,#N/A,FALSE,"KMC최종회의(7월) 자료"}</definedName>
    <definedName name="__54Z8_" hidden="1">{#N/A,#N/A,FALSE,"KMC최종회의(7월) 자료"}</definedName>
    <definedName name="__55X8_" hidden="1">{#N/A,#N/A,FALSE,"KMC최종회의(7월) 자료"}</definedName>
    <definedName name="__55Z9_" hidden="1">{#N/A,#N/A,FALSE,"KMC최종회의(7월) 자료"}</definedName>
    <definedName name="__56DB777_" hidden="1">{#N/A,#N/A,TRUE,"Y생산";#N/A,#N/A,TRUE,"Y판매";#N/A,#N/A,TRUE,"Y총물량";#N/A,#N/A,TRUE,"Y능력";#N/A,#N/A,TRUE,"YKD"}</definedName>
    <definedName name="__56FG1_" hidden="1">{#N/A,#N/A,FALSE,"단축1";#N/A,#N/A,FALSE,"단축2";#N/A,#N/A,FALSE,"단축3";#N/A,#N/A,FALSE,"장축";#N/A,#N/A,FALSE,"4WD"}</definedName>
    <definedName name="__56S3_" hidden="1">{#N/A,#N/A,FALSE,"KMC최종회의(7월) 자료"}</definedName>
    <definedName name="__56Z1_" hidden="1">{#N/A,#N/A,FALSE,"KMC최종회의(7월) 자료"}</definedName>
    <definedName name="__57Z2_" hidden="1">{#N/A,#N/A,FALSE,"KMC최종회의(7월) 자료"}</definedName>
    <definedName name="__58P21_" hidden="1">{#N/A,#N/A,FALSE,"단축1";#N/A,#N/A,FALSE,"단축2";#N/A,#N/A,FALSE,"단축3";#N/A,#N/A,FALSE,"장축";#N/A,#N/A,FALSE,"4WD"}</definedName>
    <definedName name="__58S4_" hidden="1">{#N/A,#N/A,FALSE,"KMC최종회의(7월) 자료"}</definedName>
    <definedName name="__58Z3_" hidden="1">{#N/A,#N/A,FALSE,"KMC최종회의(7월) 자료"}</definedName>
    <definedName name="__59Z4_" hidden="1">{#N/A,#N/A,FALSE,"KMC최종회의(7월) 자료"}</definedName>
    <definedName name="__5A4_" hidden="1">{#N/A,#N/A,FALSE,"KMC최종회의(7월) 자료"}</definedName>
    <definedName name="__5A5_" hidden="1">{#N/A,#N/A,FALSE,"KMC최종회의(7월) 자료"}</definedName>
    <definedName name="__60E1_" hidden="1">{#N/A,#N/A,FALSE,"KMC최종회의(7월) 자료"}</definedName>
    <definedName name="__60Q1_" hidden="1">{#N/A,#N/A,FALSE,"KMC최종회의(7월) 자료"}</definedName>
    <definedName name="__60S5_" hidden="1">{#N/A,#N/A,FALSE,"KMC최종회의(7월) 자료"}</definedName>
    <definedName name="__60Z5_" hidden="1">{#N/A,#N/A,FALSE,"KMC최종회의(7월) 자료"}</definedName>
    <definedName name="__61Z6_" hidden="1">{#N/A,#N/A,FALSE,"KMC최종회의(7월) 자료"}</definedName>
    <definedName name="__62Q2_" hidden="1">{#N/A,#N/A,FALSE,"KMC최종회의(7월) 자료"}</definedName>
    <definedName name="__62S6_" hidden="1">{#N/A,#N/A,FALSE,"KMC최종회의(7월) 자료"}</definedName>
    <definedName name="__62Z7_" hidden="1">{#N/A,#N/A,FALSE,"KMC최종회의(7월) 자료"}</definedName>
    <definedName name="__63Z8_" hidden="1">{#N/A,#N/A,FALSE,"KMC최종회의(7월) 자료"}</definedName>
    <definedName name="__64E2_" hidden="1">{#N/A,#N/A,FALSE,"KMC최종회의(7월) 자료"}</definedName>
    <definedName name="__64S7_" hidden="1">{#N/A,#N/A,FALSE,"KMC최종회의(7월) 자료"}</definedName>
    <definedName name="__64Z9_" hidden="1">{#N/A,#N/A,FALSE,"KMC최종회의(7월) 자료"}</definedName>
    <definedName name="__65____S" hidden="1">#REF!</definedName>
    <definedName name="__66____S" hidden="1">#REF!</definedName>
    <definedName name="__66__0_S" hidden="1">#REF!</definedName>
    <definedName name="__66Q3_" hidden="1">{#N/A,#N/A,FALSE,"KMC최종회의(7월) 자료"}</definedName>
    <definedName name="__66S8_" hidden="1">{#N/A,#N/A,FALSE,"KMC최종회의(7월) 자료"}</definedName>
    <definedName name="__67A3_" hidden="1">{#N/A,#N/A,FALSE,"단축1";#N/A,#N/A,FALSE,"단축2";#N/A,#N/A,FALSE,"단축3";#N/A,#N/A,FALSE,"장축";#N/A,#N/A,FALSE,"4WD"}</definedName>
    <definedName name="__68FG1_" hidden="1">{#N/A,#N/A,FALSE,"단축1";#N/A,#N/A,FALSE,"단축2";#N/A,#N/A,FALSE,"단축3";#N/A,#N/A,FALSE,"장축";#N/A,#N/A,FALSE,"4WD"}</definedName>
    <definedName name="__68Q5_" hidden="1">{#N/A,#N/A,FALSE,"KMC최종회의(7월) 자료"}</definedName>
    <definedName name="__68S8_" hidden="1">{#N/A,#N/A,FALSE,"KMC최종회의(7월) 자료"}</definedName>
    <definedName name="__68T2_" hidden="1">{#N/A,#N/A,FALSE,"단축1";#N/A,#N/A,FALSE,"단축2";#N/A,#N/A,FALSE,"단축3";#N/A,#N/A,FALSE,"장축";#N/A,#N/A,FALSE,"4WD"}</definedName>
    <definedName name="__6A3_" hidden="1">{#N/A,#N/A,FALSE,"KMC최종회의(7월) 자료"}</definedName>
    <definedName name="__6A5_" hidden="1">{#N/A,#N/A,FALSE,"KMC최종회의(7월) 자료"}</definedName>
    <definedName name="__6A6_" hidden="1">{#N/A,#N/A,FALSE,"KMC최종회의(7월) 자료"}</definedName>
    <definedName name="__70Q7_" hidden="1">{#N/A,#N/A,FALSE,"KMC최종회의(7월) 자료"}</definedName>
    <definedName name="__70T3_" hidden="1">{#N/A,#N/A,FALSE,"단축1";#N/A,#N/A,FALSE,"단축2";#N/A,#N/A,FALSE,"단축3";#N/A,#N/A,FALSE,"장축";#N/A,#N/A,FALSE,"4WD"}</definedName>
    <definedName name="__72P21_" hidden="1">{#N/A,#N/A,FALSE,"단축1";#N/A,#N/A,FALSE,"단축2";#N/A,#N/A,FALSE,"단축3";#N/A,#N/A,FALSE,"장축";#N/A,#N/A,FALSE,"4WD"}</definedName>
    <definedName name="__72Q8_" hidden="1">{#N/A,#N/A,FALSE,"KMC최종회의(7월) 자료"}</definedName>
    <definedName name="__72U1_" hidden="1">{#N/A,#N/A,FALSE,"단축1";#N/A,#N/A,FALSE,"단축2";#N/A,#N/A,FALSE,"단축3";#N/A,#N/A,FALSE,"장축";#N/A,#N/A,FALSE,"4WD"}</definedName>
    <definedName name="__73AT1_" hidden="1">{#N/A,#N/A,FALSE,"인원";#N/A,#N/A,FALSE,"비용2";#N/A,#N/A,FALSE,"비용1";#N/A,#N/A,FALSE,"비용";#N/A,#N/A,FALSE,"보증2";#N/A,#N/A,FALSE,"보증1";#N/A,#N/A,FALSE,"보증";#N/A,#N/A,FALSE,"손익1";#N/A,#N/A,FALSE,"손익";#N/A,#N/A,FALSE,"부서별매출";#N/A,#N/A,FALSE,"매출"}</definedName>
    <definedName name="__74Q9_" hidden="1">{#N/A,#N/A,FALSE,"KMC최종회의(7월) 자료"}</definedName>
    <definedName name="__74W1_" hidden="1">{#N/A,#N/A,FALSE,"KMC최종회의(7월) 자료"}</definedName>
    <definedName name="__76Q1_" hidden="1">{#N/A,#N/A,FALSE,"KMC최종회의(7월) 자료"}</definedName>
    <definedName name="__76S1_" hidden="1">{#N/A,#N/A,FALSE,"KMC최종회의(7월) 자료"}</definedName>
    <definedName name="__76W2_" hidden="1">{#N/A,#N/A,FALSE,"KMC최종회의(7월) 자료"}</definedName>
    <definedName name="__78S2_" hidden="1">{#N/A,#N/A,FALSE,"KMC최종회의(7월) 자료"}</definedName>
    <definedName name="__78W3_" hidden="1">{#N/A,#N/A,FALSE,"KMC최종회의(7월) 자료"}</definedName>
    <definedName name="__7A6_" hidden="1">{#N/A,#N/A,FALSE,"KMC최종회의(7월) 자료"}</definedName>
    <definedName name="__7A7_" hidden="1">{#N/A,#N/A,FALSE,"KMC최종회의(7월) 자료"}</definedName>
    <definedName name="__80Q2_" hidden="1">{#N/A,#N/A,FALSE,"KMC최종회의(7월) 자료"}</definedName>
    <definedName name="__80S3_" hidden="1">{#N/A,#N/A,FALSE,"KMC최종회의(7월) 자료"}</definedName>
    <definedName name="__80W4_" hidden="1">{#N/A,#N/A,FALSE,"KMC최종회의(7월) 자료"}</definedName>
    <definedName name="__82S4_" hidden="1">{#N/A,#N/A,FALSE,"KMC최종회의(7월) 자료"}</definedName>
    <definedName name="__82W5_" hidden="1">{#N/A,#N/A,FALSE,"KMC최종회의(7월) 자료"}</definedName>
    <definedName name="__84Q3_" hidden="1">{#N/A,#N/A,FALSE,"KMC최종회의(7월) 자료"}</definedName>
    <definedName name="__84S5_" hidden="1">{#N/A,#N/A,FALSE,"KMC최종회의(7월) 자료"}</definedName>
    <definedName name="__84W6_" hidden="1">{#N/A,#N/A,FALSE,"KMC최종회의(7월) 자료"}</definedName>
    <definedName name="__86S6_" hidden="1">{#N/A,#N/A,FALSE,"KMC최종회의(7월) 자료"}</definedName>
    <definedName name="__86W7_" hidden="1">{#N/A,#N/A,FALSE,"KMC최종회의(7월) 자료"}</definedName>
    <definedName name="__88Q5_" hidden="1">{#N/A,#N/A,FALSE,"KMC최종회의(7월) 자료"}</definedName>
    <definedName name="__88S7_" hidden="1">{#N/A,#N/A,FALSE,"KMC최종회의(7월) 자료"}</definedName>
    <definedName name="__88W8_" hidden="1">{#N/A,#N/A,FALSE,"KMC최종회의(7월) 자료"}</definedName>
    <definedName name="__8A2_" hidden="1">{#N/A,#N/A,FALSE,"KMC최종회의(7월) 자료"}</definedName>
    <definedName name="__8A4_" hidden="1">{#N/A,#N/A,FALSE,"KMC최종회의(7월) 자료"}</definedName>
    <definedName name="__8A6666_" hidden="1">{#N/A,#N/A,FALSE,"KMC최종회의(7월) 자료"}</definedName>
    <definedName name="__8A8_" hidden="1">{#N/A,#N/A,FALSE,"KMC최종회의(7월) 자료"}</definedName>
    <definedName name="__90S8_" hidden="1">{#N/A,#N/A,FALSE,"KMC최종회의(7월) 자료"}</definedName>
    <definedName name="__90W9_" hidden="1">{#N/A,#N/A,FALSE,"KMC최종회의(7월) 자료"}</definedName>
    <definedName name="__92Q7_" hidden="1">{#N/A,#N/A,FALSE,"KMC최종회의(7월) 자료"}</definedName>
    <definedName name="__92T2_" hidden="1">{#N/A,#N/A,FALSE,"단축1";#N/A,#N/A,FALSE,"단축2";#N/A,#N/A,FALSE,"단축3";#N/A,#N/A,FALSE,"장축";#N/A,#N/A,FALSE,"4WD"}</definedName>
    <definedName name="__92X1_" hidden="1">{#N/A,#N/A,FALSE,"KMC최종회의(7월) 자료"}</definedName>
    <definedName name="__94T3_" hidden="1">{#N/A,#N/A,FALSE,"단축1";#N/A,#N/A,FALSE,"단축2";#N/A,#N/A,FALSE,"단축3";#N/A,#N/A,FALSE,"장축";#N/A,#N/A,FALSE,"4WD"}</definedName>
    <definedName name="__94X2_" hidden="1">{#N/A,#N/A,FALSE,"KMC최종회의(7월) 자료"}</definedName>
    <definedName name="__96Q8_" hidden="1">{#N/A,#N/A,FALSE,"KMC최종회의(7월) 자료"}</definedName>
    <definedName name="__96U1_" hidden="1">{#N/A,#N/A,FALSE,"단축1";#N/A,#N/A,FALSE,"단축2";#N/A,#N/A,FALSE,"단축3";#N/A,#N/A,FALSE,"장축";#N/A,#N/A,FALSE,"4WD"}</definedName>
    <definedName name="__96X3_" hidden="1">{#N/A,#N/A,FALSE,"KMC최종회의(7월) 자료"}</definedName>
    <definedName name="__98W1_" hidden="1">{#N/A,#N/A,FALSE,"KMC최종회의(7월) 자료"}</definedName>
    <definedName name="__98X4_" hidden="1">{#N/A,#N/A,FALSE,"KMC최종회의(7월) 자료"}</definedName>
    <definedName name="__9A7_" hidden="1">{#N/A,#N/A,FALSE,"KMC최종회의(7월) 자료"}</definedName>
    <definedName name="__9A9_" hidden="1">{#N/A,#N/A,FALSE,"KMC최종회의(7월) 자료"}</definedName>
    <definedName name="__A02" hidden="1">{#N/A,#N/A,FALSE,"단축1";#N/A,#N/A,FALSE,"단축2";#N/A,#N/A,FALSE,"단축3";#N/A,#N/A,FALSE,"장축";#N/A,#N/A,FALSE,"4WD"}</definedName>
    <definedName name="__A02_1" hidden="1">{#N/A,#N/A,FALSE,"단축1";#N/A,#N/A,FALSE,"단축2";#N/A,#N/A,FALSE,"단축3";#N/A,#N/A,FALSE,"장축";#N/A,#N/A,FALSE,"4WD"}</definedName>
    <definedName name="__A0323" hidden="1">{#N/A,#N/A,FALSE,"단축1";#N/A,#N/A,FALSE,"단축2";#N/A,#N/A,FALSE,"단축3";#N/A,#N/A,FALSE,"장축";#N/A,#N/A,FALSE,"4WD"}</definedName>
    <definedName name="__A0323_1" hidden="1">{#N/A,#N/A,FALSE,"단축1";#N/A,#N/A,FALSE,"단축2";#N/A,#N/A,FALSE,"단축3";#N/A,#N/A,FALSE,"장축";#N/A,#N/A,FALSE,"4WD"}</definedName>
    <definedName name="__A1" hidden="1">{#N/A,#N/A,FALSE,"KMC최종회의(7월) 자료"}</definedName>
    <definedName name="__A1232" hidden="1">{#N/A,#N/A,FALSE,"단축1";#N/A,#N/A,FALSE,"단축2";#N/A,#N/A,FALSE,"단축3";#N/A,#N/A,FALSE,"장축";#N/A,#N/A,FALSE,"4WD"}</definedName>
    <definedName name="__A1232_1" hidden="1">{#N/A,#N/A,FALSE,"단축1";#N/A,#N/A,FALSE,"단축2";#N/A,#N/A,FALSE,"단축3";#N/A,#N/A,FALSE,"장축";#N/A,#N/A,FALSE,"4WD"}</definedName>
    <definedName name="__A1245" hidden="1">{#N/A,#N/A,FALSE,"단축1";#N/A,#N/A,FALSE,"단축2";#N/A,#N/A,FALSE,"단축3";#N/A,#N/A,FALSE,"장축";#N/A,#N/A,FALSE,"4WD"}</definedName>
    <definedName name="__A1245_1" hidden="1">{#N/A,#N/A,FALSE,"단축1";#N/A,#N/A,FALSE,"단축2";#N/A,#N/A,FALSE,"단축3";#N/A,#N/A,FALSE,"장축";#N/A,#N/A,FALSE,"4WD"}</definedName>
    <definedName name="__A12458" hidden="1">{#N/A,#N/A,FALSE,"단축1";#N/A,#N/A,FALSE,"단축2";#N/A,#N/A,FALSE,"단축3";#N/A,#N/A,FALSE,"장축";#N/A,#N/A,FALSE,"4WD"}</definedName>
    <definedName name="__A12458_1" hidden="1">{#N/A,#N/A,FALSE,"단축1";#N/A,#N/A,FALSE,"단축2";#N/A,#N/A,FALSE,"단축3";#N/A,#N/A,FALSE,"장축";#N/A,#N/A,FALSE,"4WD"}</definedName>
    <definedName name="__A124587" hidden="1">{#N/A,#N/A,FALSE,"단축1";#N/A,#N/A,FALSE,"단축2";#N/A,#N/A,FALSE,"단축3";#N/A,#N/A,FALSE,"장축";#N/A,#N/A,FALSE,"4WD"}</definedName>
    <definedName name="__A1454" hidden="1">{#N/A,#N/A,FALSE,"단축1";#N/A,#N/A,FALSE,"단축2";#N/A,#N/A,FALSE,"단축3";#N/A,#N/A,FALSE,"장축";#N/A,#N/A,FALSE,"4WD"}</definedName>
    <definedName name="__A1454_1" hidden="1">{#N/A,#N/A,FALSE,"단축1";#N/A,#N/A,FALSE,"단축2";#N/A,#N/A,FALSE,"단축3";#N/A,#N/A,FALSE,"장축";#N/A,#N/A,FALSE,"4WD"}</definedName>
    <definedName name="__A2" hidden="1">{#N/A,#N/A,FALSE,"KMC최종회의(7월) 자료"}</definedName>
    <definedName name="__A2_1" hidden="1">{#N/A,#N/A,FALSE,"KMC최종회의(7월) 자료"}</definedName>
    <definedName name="__A2040" hidden="1">{#N/A,#N/A,FALSE,"단축1";#N/A,#N/A,FALSE,"단축2";#N/A,#N/A,FALSE,"단축3";#N/A,#N/A,FALSE,"장축";#N/A,#N/A,FALSE,"4WD"}</definedName>
    <definedName name="__A21321" hidden="1">{#N/A,#N/A,FALSE,"단축1";#N/A,#N/A,FALSE,"단축2";#N/A,#N/A,FALSE,"단축3";#N/A,#N/A,FALSE,"장축";#N/A,#N/A,FALSE,"4WD"}</definedName>
    <definedName name="__A21321_1" hidden="1">{#N/A,#N/A,FALSE,"단축1";#N/A,#N/A,FALSE,"단축2";#N/A,#N/A,FALSE,"단축3";#N/A,#N/A,FALSE,"장축";#N/A,#N/A,FALSE,"4WD"}</definedName>
    <definedName name="__A3" hidden="1">{#N/A,#N/A,FALSE,"KMC최종회의(7월) 자료"}</definedName>
    <definedName name="__A4" hidden="1">{#N/A,#N/A,FALSE,"KMC최종회의(7월) 자료"}</definedName>
    <definedName name="__A4_1" hidden="1">{#N/A,#N/A,FALSE,"KMC최종회의(7월) 자료"}</definedName>
    <definedName name="__A41" hidden="1">{#N/A,#N/A,FALSE,"단축1";#N/A,#N/A,FALSE,"단축2";#N/A,#N/A,FALSE,"단축3";#N/A,#N/A,FALSE,"장축";#N/A,#N/A,FALSE,"4WD"}</definedName>
    <definedName name="__A4444" hidden="1">{#N/A,#N/A,FALSE,"KMC최종회의(7월) 자료"}</definedName>
    <definedName name="__A4444_1" hidden="1">{#N/A,#N/A,FALSE,"KMC최종회의(7월) 자료"}</definedName>
    <definedName name="__A5" hidden="1">{#N/A,#N/A,FALSE,"KMC최종회의(7월) 자료"}</definedName>
    <definedName name="__A5_1" hidden="1">{#N/A,#N/A,FALSE,"KMC최종회의(7월) 자료"}</definedName>
    <definedName name="__A6" hidden="1">{#N/A,#N/A,FALSE,"KMC최종회의(7월) 자료"}</definedName>
    <definedName name="__A6_1" hidden="1">{#N/A,#N/A,FALSE,"KMC최종회의(7월) 자료"}</definedName>
    <definedName name="__A6666" hidden="1">{#N/A,#N/A,FALSE,"KMC최종회의(7월) 자료"}</definedName>
    <definedName name="__A6666_1" hidden="1">{#N/A,#N/A,FALSE,"KMC최종회의(7월) 자료"}</definedName>
    <definedName name="__A7" hidden="1">{#N/A,#N/A,FALSE,"KMC최종회의(7월) 자료"}</definedName>
    <definedName name="__A7_1" hidden="1">{#N/A,#N/A,FALSE,"KMC최종회의(7월) 자료"}</definedName>
    <definedName name="__A8" hidden="1">{#N/A,#N/A,FALSE,"KMC최종회의(7월) 자료"}</definedName>
    <definedName name="__A9" hidden="1">{#N/A,#N/A,FALSE,"KMC최종회의(7월) 자료"}</definedName>
    <definedName name="__A9_1" hidden="1">{#N/A,#N/A,FALSE,"KMC최종회의(7월) 자료"}</definedName>
    <definedName name="__AA4" hidden="1">{#N/A,#N/A,FALSE,"신규dep";#N/A,#N/A,FALSE,"신규dep-금형상각후";#N/A,#N/A,FALSE,"신규dep-연구비상각후";#N/A,#N/A,FALSE,"신규dep-기계,공구상각후"}</definedName>
    <definedName name="__AA4_1" hidden="1">{#N/A,#N/A,FALSE,"신규dep";#N/A,#N/A,FALSE,"신규dep-금형상각후";#N/A,#N/A,FALSE,"신규dep-연구비상각후";#N/A,#N/A,FALSE,"신규dep-기계,공구상각후"}</definedName>
    <definedName name="__AAA1" hidden="1">#REF!</definedName>
    <definedName name="__AAA10" hidden="1">#REF!</definedName>
    <definedName name="__AAA11" hidden="1">#REF!</definedName>
    <definedName name="__AAA111" hidden="1">{#N/A,#N/A,FALSE,"단축1";#N/A,#N/A,FALSE,"단축2";#N/A,#N/A,FALSE,"단축3";#N/A,#N/A,FALSE,"장축";#N/A,#N/A,FALSE,"4WD"}</definedName>
    <definedName name="__AAA12" hidden="1">#REF!</definedName>
    <definedName name="__AAA13" hidden="1">#REF!</definedName>
    <definedName name="__AAA14" hidden="1">#REF!</definedName>
    <definedName name="__AAA15" hidden="1">#REF!</definedName>
    <definedName name="__AAA16" hidden="1">#REF!</definedName>
    <definedName name="__AAA17" hidden="1">#REF!</definedName>
    <definedName name="__AAA18" hidden="1">#REF!</definedName>
    <definedName name="__AAA19" hidden="1">#REF!</definedName>
    <definedName name="__AAA2" hidden="1">#REF!</definedName>
    <definedName name="__AAA20" hidden="1">#REF!</definedName>
    <definedName name="__AAA21" hidden="1">#REF!</definedName>
    <definedName name="__AAA22" hidden="1">#REF!</definedName>
    <definedName name="__AAA23" hidden="1">#REF!</definedName>
    <definedName name="__AAA24" hidden="1">#REF!</definedName>
    <definedName name="__AAA3" hidden="1">#REF!</definedName>
    <definedName name="__AAA4" hidden="1">#REF!</definedName>
    <definedName name="__AAA5" hidden="1">#REF!</definedName>
    <definedName name="__AAA6" hidden="1">#REF!</definedName>
    <definedName name="__AAA7" hidden="1">#REF!</definedName>
    <definedName name="__AAA8" hidden="1">#REF!</definedName>
    <definedName name="__AAA9" hidden="1">#REF!</definedName>
    <definedName name="__AS6" hidden="1">{#N/A,#N/A,FALSE,"Australien";#N/A,#N/A,FALSE,"Birmingham";#N/A,#N/A,FALSE,"Brasilien";#N/A,#N/A,FALSE,"Prag";#N/A,#N/A,FALSE,"Spanien";#N/A,#N/A,FALSE,"Malaysia ( Com)";#N/A,#N/A,FALSE,"Malaysia (Instr)"}</definedName>
    <definedName name="__AS6_1" hidden="1">{#N/A,#N/A,FALSE,"Australien";#N/A,#N/A,FALSE,"Birmingham";#N/A,#N/A,FALSE,"Brasilien";#N/A,#N/A,FALSE,"Prag";#N/A,#N/A,FALSE,"Spanien";#N/A,#N/A,FALSE,"Malaysia ( Com)";#N/A,#N/A,FALSE,"Malaysia (Instr)"}</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AT4" hidden="1">{#N/A,#N/A,FALSE,"인원";#N/A,#N/A,FALSE,"비용2";#N/A,#N/A,FALSE,"비용1";#N/A,#N/A,FALSE,"비용";#N/A,#N/A,FALSE,"보증2";#N/A,#N/A,FALSE,"보증1";#N/A,#N/A,FALSE,"보증";#N/A,#N/A,FALSE,"손익1";#N/A,#N/A,FALSE,"손익";#N/A,#N/A,FALSE,"부서별매출";#N/A,#N/A,FALSE,"매출"}</definedName>
    <definedName name="__au11" hidden="1">{#N/A,#N/A,FALSE,"단축1";#N/A,#N/A,FALSE,"단축2";#N/A,#N/A,FALSE,"단축3";#N/A,#N/A,FALSE,"장축";#N/A,#N/A,FALSE,"4WD"}</definedName>
    <definedName name="__bk2" hidden="1">{#N/A,#N/A,FALSE,"단축1";#N/A,#N/A,FALSE,"단축2";#N/A,#N/A,FALSE,"단축3";#N/A,#N/A,FALSE,"장축";#N/A,#N/A,FALSE,"4WD"}</definedName>
    <definedName name="__BLK2" hidden="1">{#N/A,#N/A,FALSE,"단축1";#N/A,#N/A,FALSE,"단축2";#N/A,#N/A,FALSE,"단축3";#N/A,#N/A,FALSE,"장축";#N/A,#N/A,FALSE,"4WD"}</definedName>
    <definedName name="__CC014" hidden="1">{#N/A,#N/A,FALSE,"96 3월물량표";#N/A,#N/A,FALSE,"96 4월물량표";#N/A,#N/A,FALSE,"96 5월물량표"}</definedName>
    <definedName name="__CL22" hidden="1">{#N/A,#N/A,FALSE,"KMC최종회의(7월) 자료"}</definedName>
    <definedName name="__CL22_1" hidden="1">{#N/A,#N/A,FALSE,"KMC최종회의(7월) 자료"}</definedName>
    <definedName name="__CL222" hidden="1">{#N/A,#N/A,FALSE,"KMC최종회의(7월) 자료"}</definedName>
    <definedName name="__CL222_1" hidden="1">{#N/A,#N/A,FALSE,"KMC최종회의(7월) 자료"}</definedName>
    <definedName name="__CL33" hidden="1">{#N/A,#N/A,FALSE,"KMC최종회의(7월) 자료"}</definedName>
    <definedName name="__CL33_1" hidden="1">{#N/A,#N/A,FALSE,"KMC최종회의(7월) 자료"}</definedName>
    <definedName name="__CVJ1" hidden="1">{#N/A,#N/A,FALSE,"KMC최종회의(7월) 자료"}</definedName>
    <definedName name="__CVJ1_1" hidden="1">{#N/A,#N/A,FALSE,"KMC최종회의(7월) 자료"}</definedName>
    <definedName name="__d1" hidden="1">{#N/A,#N/A,FALSE,"신규dep";#N/A,#N/A,FALSE,"신규dep-금형상각후";#N/A,#N/A,FALSE,"신규dep-연구비상각후";#N/A,#N/A,FALSE,"신규dep-기계,공구상각후"}</definedName>
    <definedName name="__d1_1" hidden="1">{#N/A,#N/A,FALSE,"신규dep";#N/A,#N/A,FALSE,"신규dep-금형상각후";#N/A,#N/A,FALSE,"신규dep-연구비상각후";#N/A,#N/A,FALSE,"신규dep-기계,공구상각후"}</definedName>
    <definedName name="__d2" hidden="1">{#N/A,#N/A,FALSE,"신규dep";#N/A,#N/A,FALSE,"신규dep-금형상각후";#N/A,#N/A,FALSE,"신규dep-연구비상각후";#N/A,#N/A,FALSE,"신규dep-기계,공구상각후"}</definedName>
    <definedName name="__d2_1" hidden="1">{#N/A,#N/A,FALSE,"신규dep";#N/A,#N/A,FALSE,"신규dep-금형상각후";#N/A,#N/A,FALSE,"신규dep-연구비상각후";#N/A,#N/A,FALSE,"신규dep-기계,공구상각후"}</definedName>
    <definedName name="__d3_1" hidden="1">{#N/A,#N/A,FALSE,"신규dep";#N/A,#N/A,FALSE,"신규dep-금형상각후";#N/A,#N/A,FALSE,"신규dep-연구비상각후";#N/A,#N/A,FALSE,"신규dep-기계,공구상각후"}</definedName>
    <definedName name="__D6" hidden="1">{"'표지'!$B$5"}</definedName>
    <definedName name="__DA1" hidden="1">{#N/A,#N/A,FALSE,"단축1";#N/A,#N/A,FALSE,"단축2";#N/A,#N/A,FALSE,"단축3";#N/A,#N/A,FALSE,"장축";#N/A,#N/A,FALSE,"4WD"}</definedName>
    <definedName name="__DA2" hidden="1">{#N/A,#N/A,FALSE,"단축1";#N/A,#N/A,FALSE,"단축2";#N/A,#N/A,FALSE,"단축3";#N/A,#N/A,FALSE,"장축";#N/A,#N/A,FALSE,"4WD"}</definedName>
    <definedName name="__DA3" hidden="1">{#N/A,#N/A,FALSE,"단축1";#N/A,#N/A,FALSE,"단축2";#N/A,#N/A,FALSE,"단축3";#N/A,#N/A,FALSE,"장축";#N/A,#N/A,FALSE,"4WD"}</definedName>
    <definedName name="__DA4" hidden="1">{#N/A,#N/A,FALSE,"단축1";#N/A,#N/A,FALSE,"단축2";#N/A,#N/A,FALSE,"단축3";#N/A,#N/A,FALSE,"장축";#N/A,#N/A,FALSE,"4WD"}</definedName>
    <definedName name="__DB777" hidden="1">{#N/A,#N/A,TRUE,"Y생산";#N/A,#N/A,TRUE,"Y판매";#N/A,#N/A,TRUE,"Y총물량";#N/A,#N/A,TRUE,"Y능력";#N/A,#N/A,TRUE,"YKD"}</definedName>
    <definedName name="__DB777_1" hidden="1">{#N/A,#N/A,TRUE,"Y생산";#N/A,#N/A,TRUE,"Y판매";#N/A,#N/A,TRUE,"Y총물량";#N/A,#N/A,TRUE,"Y능력";#N/A,#N/A,TRUE,"YKD"}</definedName>
    <definedName name="__DB777_2" hidden="1">{#N/A,#N/A,TRUE,"Y생산";#N/A,#N/A,TRUE,"Y판매";#N/A,#N/A,TRUE,"Y총물량";#N/A,#N/A,TRUE,"Y능력";#N/A,#N/A,TRUE,"YKD"}</definedName>
    <definedName name="__DC50" hidden="1">{#N/A,#N/A,FALSE,"단축1";#N/A,#N/A,FALSE,"단축2";#N/A,#N/A,FALSE,"단축3";#N/A,#N/A,FALSE,"장축";#N/A,#N/A,FALSE,"4WD"}</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E33" hidden="1">{"'7-2지역별'!$A$1:$R$44"}</definedName>
    <definedName name="__DR1" hidden="1">{#N/A,#N/A,FALSE,"업체선정";#N/A,#N/A,FALSE,"업체선정sheet";#N/A,#N/A,FALSE,"업체실태";#N/A,#N/A,FALSE,"업체실태(1)";#N/A,#N/A,FALSE,"종업원현황(2)";#N/A,#N/A,FALSE,"생산품목(3)";#N/A,#N/A,FALSE,"장비보유현황";#N/A,#N/A,FALSE,"차량및약도";#N/A,#N/A,FALSE,"금형LIST"}</definedName>
    <definedName name="__dr2" hidden="1">{#N/A,#N/A,FALSE,"신규dep";#N/A,#N/A,FALSE,"신규dep-금형상각후";#N/A,#N/A,FALSE,"신규dep-연구비상각후";#N/A,#N/A,FALSE,"신규dep-기계,공구상각후"}</definedName>
    <definedName name="__DR7" hidden="1">{#N/A,#N/A,FALSE,"표지";#N/A,#N/A,FALSE,"전제";#N/A,#N/A,FALSE,"손익-자 (2)";#N/A,#N/A,FALSE,"손익-자";#N/A,#N/A,FALSE,"손익-마 (2)";#N/A,#N/A,FALSE,"손익-마";#N/A,#N/A,FALSE,"총손최종"}</definedName>
    <definedName name="__E1" hidden="1">{#N/A,#N/A,FALSE,"KMC최종회의(7월) 자료"}</definedName>
    <definedName name="__E1_1" hidden="1">{#N/A,#N/A,FALSE,"KMC최종회의(7월) 자료"}</definedName>
    <definedName name="__E2" hidden="1">{#N/A,#N/A,FALSE,"KMC최종회의(7월) 자료"}</definedName>
    <definedName name="__E2_1" hidden="1">{#N/A,#N/A,FALSE,"KMC최종회의(7월) 자료"}</definedName>
    <definedName name="__e3" hidden="1">{#N/A,#N/A,FALSE,"단축1";#N/A,#N/A,FALSE,"단축2";#N/A,#N/A,FALSE,"단축3";#N/A,#N/A,FALSE,"장축";#N/A,#N/A,FALSE,"4WD"}</definedName>
    <definedName name="__e3_1" hidden="1">{#N/A,#N/A,FALSE,"단축1";#N/A,#N/A,FALSE,"단축2";#N/A,#N/A,FALSE,"단축3";#N/A,#N/A,FALSE,"장축";#N/A,#N/A,FALSE,"4WD"}</definedName>
    <definedName name="__e4" hidden="1">{#N/A,#N/A,FALSE,"단축1";#N/A,#N/A,FALSE,"단축2";#N/A,#N/A,FALSE,"단축3";#N/A,#N/A,FALSE,"장축";#N/A,#N/A,FALSE,"4WD"}</definedName>
    <definedName name="__e4_1" hidden="1">{#N/A,#N/A,FALSE,"단축1";#N/A,#N/A,FALSE,"단축2";#N/A,#N/A,FALSE,"단축3";#N/A,#N/A,FALSE,"장축";#N/A,#N/A,FALSE,"4WD"}</definedName>
    <definedName name="__E45" hidden="1">{"'7-2지역별'!$A$1:$R$44"}</definedName>
    <definedName name="__e5" hidden="1">{#N/A,#N/A,FALSE,"단축1";#N/A,#N/A,FALSE,"단축2";#N/A,#N/A,FALSE,"단축3";#N/A,#N/A,FALSE,"장축";#N/A,#N/A,FALSE,"4WD"}</definedName>
    <definedName name="__e5_1" hidden="1">{#N/A,#N/A,FALSE,"단축1";#N/A,#N/A,FALSE,"단축2";#N/A,#N/A,FALSE,"단축3";#N/A,#N/A,FALSE,"장축";#N/A,#N/A,FALSE,"4WD"}</definedName>
    <definedName name="__e6" hidden="1">{#N/A,#N/A,FALSE,"단축1";#N/A,#N/A,FALSE,"단축2";#N/A,#N/A,FALSE,"단축3";#N/A,#N/A,FALSE,"장축";#N/A,#N/A,FALSE,"4WD"}</definedName>
    <definedName name="__e6_1"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7_1"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8_1" hidden="1">{#N/A,#N/A,FALSE,"신규dep";#N/A,#N/A,FALSE,"신규dep-금형상각후";#N/A,#N/A,FALSE,"신규dep-연구비상각후";#N/A,#N/A,FALSE,"신규dep-기계,공구상각후"}</definedName>
    <definedName name="__e9" hidden="1">{#N/A,#N/A,FALSE,"단축1";#N/A,#N/A,FALSE,"단축2";#N/A,#N/A,FALSE,"단축3";#N/A,#N/A,FALSE,"장축";#N/A,#N/A,FALSE,"4WD"}</definedName>
    <definedName name="__e9_1" hidden="1">{#N/A,#N/A,FALSE,"단축1";#N/A,#N/A,FALSE,"단축2";#N/A,#N/A,FALSE,"단축3";#N/A,#N/A,FALSE,"장축";#N/A,#N/A,FALSE,"4WD"}</definedName>
    <definedName name="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ng1" hidden="1">{#N/A,#N/A,FALSE,"단축1";#N/A,#N/A,FALSE,"단축2";#N/A,#N/A,FALSE,"단축3";#N/A,#N/A,FALSE,"장축";#N/A,#N/A,FALSE,"4WD"}</definedName>
    <definedName name="__eng2" hidden="1">{#N/A,#N/A,FALSE,"단축1";#N/A,#N/A,FALSE,"단축2";#N/A,#N/A,FALSE,"단축3";#N/A,#N/A,FALSE,"장축";#N/A,#N/A,FALSE,"4WD"}</definedName>
    <definedName name="__eng2_1" hidden="1">{#N/A,#N/A,FALSE,"단축1";#N/A,#N/A,FALSE,"단축2";#N/A,#N/A,FALSE,"단축3";#N/A,#N/A,FALSE,"장축";#N/A,#N/A,FALSE,"4WD"}</definedName>
    <definedName name="__EO2" hidden="1">{#N/A,#N/A,FALSE,"신규dep";#N/A,#N/A,FALSE,"신규dep-금형상각후";#N/A,#N/A,FALSE,"신규dep-연구비상각후";#N/A,#N/A,FALSE,"신규dep-기계,공구상각후"}</definedName>
    <definedName name="__EO2_1" hidden="1">{#N/A,#N/A,FALSE,"신규dep";#N/A,#N/A,FALSE,"신규dep-금형상각후";#N/A,#N/A,FALSE,"신규dep-연구비상각후";#N/A,#N/A,FALSE,"신규dep-기계,공구상각후"}</definedName>
    <definedName name="__EO2_2" hidden="1">{#N/A,#N/A,FALSE,"신규dep";#N/A,#N/A,FALSE,"신규dep-금형상각후";#N/A,#N/A,FALSE,"신규dep-연구비상각후";#N/A,#N/A,FALSE,"신규dep-기계,공구상각후"}</definedName>
    <definedName name="__ER34" hidden="1">{#N/A,#N/A,FALSE,"단축1";#N/A,#N/A,FALSE,"단축2";#N/A,#N/A,FALSE,"단축3";#N/A,#N/A,FALSE,"장축";#N/A,#N/A,FALSE,"4WD"}</definedName>
    <definedName name="__EWA1" hidden="1">{#N/A,#N/A,FALSE,"초도품";#N/A,#N/A,FALSE,"초도품 (2)";#N/A,#N/A,FALSE,"초도품 (3)";#N/A,#N/A,FALSE,"초도품 (4)";#N/A,#N/A,FALSE,"초도품 (5)";#N/A,#N/A,FALSE,"초도품 (6)"}</definedName>
    <definedName name="__FA2" hidden="1">{#N/A,#N/A,FALSE,"단축1";#N/A,#N/A,FALSE,"단축2";#N/A,#N/A,FALSE,"단축3";#N/A,#N/A,FALSE,"장축";#N/A,#N/A,FALSE,"4WD"}</definedName>
    <definedName name="__FG1" hidden="1">{#N/A,#N/A,FALSE,"단축1";#N/A,#N/A,FALSE,"단축2";#N/A,#N/A,FALSE,"단축3";#N/A,#N/A,FALSE,"장축";#N/A,#N/A,FALSE,"4WD"}</definedName>
    <definedName name="__frj5" hidden="1">{#N/A,#N/A,FALSE,"단축1";#N/A,#N/A,FALSE,"단축2";#N/A,#N/A,FALSE,"단축3";#N/A,#N/A,FALSE,"장축";#N/A,#N/A,FALSE,"4WD"}</definedName>
    <definedName name="__h1" hidden="1">{"'표지'!$B$5"}</definedName>
    <definedName name="__H1620" hidden="1">{#N/A,#N/A,FALSE,"단축1";#N/A,#N/A,FALSE,"단축2";#N/A,#N/A,FALSE,"단축3";#N/A,#N/A,FALSE,"장축";#N/A,#N/A,FALSE,"4WD"}</definedName>
    <definedName name="__h2" hidden="1">{"'표지'!$B$5"}</definedName>
    <definedName name="__H20" hidden="1">{#N/A,#N/A,FALSE,"단축1";#N/A,#N/A,FALSE,"단축2";#N/A,#N/A,FALSE,"단축3";#N/A,#N/A,FALSE,"장축";#N/A,#N/A,FALSE,"4WD"}</definedName>
    <definedName name="__h3" hidden="1">{"'표지'!$B$5"}</definedName>
    <definedName name="__h4" hidden="1">{"'표지'!$B$5"}</definedName>
    <definedName name="__h5" hidden="1">{"'표지'!$B$5"}</definedName>
    <definedName name="__HDG12" hidden="1">{#N/A,#N/A,FALSE,"단축1";#N/A,#N/A,FALSE,"단축2";#N/A,#N/A,FALSE,"단축3";#N/A,#N/A,FALSE,"장축";#N/A,#N/A,FALSE,"4WD"}</definedName>
    <definedName name="__HL1" hidden="1">{#N/A,#N/A,FALSE,"단축1";#N/A,#N/A,FALSE,"단축2";#N/A,#N/A,FALSE,"단축3";#N/A,#N/A,FALSE,"장축";#N/A,#N/A,FALSE,"4WD"}</definedName>
    <definedName name="__HL2" hidden="1">{#N/A,#N/A,FALSE,"단축1";#N/A,#N/A,FALSE,"단축2";#N/A,#N/A,FALSE,"단축3";#N/A,#N/A,FALSE,"장축";#N/A,#N/A,FALSE,"4WD"}</definedName>
    <definedName name="__HL3" hidden="1">{#N/A,#N/A,TRUE,"Y생산";#N/A,#N/A,TRUE,"Y판매";#N/A,#N/A,TRUE,"Y총물량";#N/A,#N/A,TRUE,"Y능력";#N/A,#N/A,TRUE,"YKD"}</definedName>
    <definedName name="__HP02" hidden="1">{#N/A,#N/A,FALSE,"단축1";#N/A,#N/A,FALSE,"단축2";#N/A,#N/A,FALSE,"단축3";#N/A,#N/A,FALSE,"장축";#N/A,#N/A,FALSE,"4WD"}</definedName>
    <definedName name="__HP02_1" hidden="1">{#N/A,#N/A,FALSE,"단축1";#N/A,#N/A,FALSE,"단축2";#N/A,#N/A,FALSE,"단축3";#N/A,#N/A,FALSE,"장축";#N/A,#N/A,FALSE,"4WD"}</definedName>
    <definedName name="__HP02_2" hidden="1">{#N/A,#N/A,FALSE,"단축1";#N/A,#N/A,FALSE,"단축2";#N/A,#N/A,FALSE,"단축3";#N/A,#N/A,FALSE,"장축";#N/A,#N/A,FALSE,"4WD"}</definedName>
    <definedName name="__HP2" hidden="1">{#N/A,#N/A,FALSE,"단축1";#N/A,#N/A,FALSE,"단축2";#N/A,#N/A,FALSE,"단축3";#N/A,#N/A,FALSE,"장축";#N/A,#N/A,FALSE,"4WD"}</definedName>
    <definedName name="__HP2_1" hidden="1">{#N/A,#N/A,FALSE,"단축1";#N/A,#N/A,FALSE,"단축2";#N/A,#N/A,FALSE,"단축3";#N/A,#N/A,FALSE,"장축";#N/A,#N/A,FALSE,"4WD"}</definedName>
    <definedName name="__HP2_2" hidden="1">{#N/A,#N/A,FALSE,"단축1";#N/A,#N/A,FALSE,"단축2";#N/A,#N/A,FALSE,"단축3";#N/A,#N/A,FALSE,"장축";#N/A,#N/A,FALSE,"4WD"}</definedName>
    <definedName name="__htt1" hidden="1">{"'표지'!$B$5"}</definedName>
    <definedName name="__INT2" hidden="1">{#N/A,#N/A,TRUE,"일정"}</definedName>
    <definedName name="__IntlFixup" hidden="1">TRUE</definedName>
    <definedName name="__IO8" hidden="1">{#N/A,#N/A,FALSE,"단축1";#N/A,#N/A,FALSE,"단축2";#N/A,#N/A,FALSE,"단축3";#N/A,#N/A,FALSE,"장축";#N/A,#N/A,FALSE,"4WD"}</definedName>
    <definedName name="__IO8_1" hidden="1">{#N/A,#N/A,FALSE,"단축1";#N/A,#N/A,FALSE,"단축2";#N/A,#N/A,FALSE,"단축3";#N/A,#N/A,FALSE,"장축";#N/A,#N/A,FALSE,"4WD"}</definedName>
    <definedName name="__k1" hidden="1">#REF!</definedName>
    <definedName name="__K115" hidden="1">{#N/A,#N/A,FALSE,"인원";#N/A,#N/A,FALSE,"비용2";#N/A,#N/A,FALSE,"비용1";#N/A,#N/A,FALSE,"비용";#N/A,#N/A,FALSE,"보증2";#N/A,#N/A,FALSE,"보증1";#N/A,#N/A,FALSE,"보증";#N/A,#N/A,FALSE,"손익1";#N/A,#N/A,FALSE,"손익";#N/A,#N/A,FALSE,"부서별매출";#N/A,#N/A,FALSE,"매출"}</definedName>
    <definedName name="__K12" hidden="1">{#N/A,#N/A,FALSE,"단축1";#N/A,#N/A,FALSE,"단축2";#N/A,#N/A,FALSE,"단축3";#N/A,#N/A,FALSE,"장축";#N/A,#N/A,FALSE,"4WD"}</definedName>
    <definedName name="__K223" hidden="1">{#N/A,#N/A,FALSE,"단축1";#N/A,#N/A,FALSE,"단축2";#N/A,#N/A,FALSE,"단축3";#N/A,#N/A,FALSE,"장축";#N/A,#N/A,FALSE,"4WD"}</definedName>
    <definedName name="__k7" hidden="1">{#N/A,#N/A,FALSE,"단축1";#N/A,#N/A,FALSE,"단축2";#N/A,#N/A,FALSE,"단축3";#N/A,#N/A,FALSE,"장축";#N/A,#N/A,FALSE,"4WD"}</definedName>
    <definedName name="__k7_1" hidden="1">{#N/A,#N/A,FALSE,"단축1";#N/A,#N/A,FALSE,"단축2";#N/A,#N/A,FALSE,"단축3";#N/A,#N/A,FALSE,"장축";#N/A,#N/A,FALSE,"4WD"}</definedName>
    <definedName name="__k8" hidden="1">{#N/A,#N/A,FALSE,"단축1";#N/A,#N/A,FALSE,"단축2";#N/A,#N/A,FALSE,"단축3";#N/A,#N/A,FALSE,"장축";#N/A,#N/A,FALSE,"4WD"}</definedName>
    <definedName name="__k8_1" hidden="1">{#N/A,#N/A,FALSE,"단축1";#N/A,#N/A,FALSE,"단축2";#N/A,#N/A,FALSE,"단축3";#N/A,#N/A,FALSE,"장축";#N/A,#N/A,FALSE,"4WD"}</definedName>
    <definedName name="__k9" hidden="1">{#N/A,#N/A,FALSE,"단축1";#N/A,#N/A,FALSE,"단축2";#N/A,#N/A,FALSE,"단축3";#N/A,#N/A,FALSE,"장축";#N/A,#N/A,FALSE,"4WD"}</definedName>
    <definedName name="__k9_1" hidden="1">{#N/A,#N/A,FALSE,"단축1";#N/A,#N/A,FALSE,"단축2";#N/A,#N/A,FALSE,"단축3";#N/A,#N/A,FALSE,"장축";#N/A,#N/A,FALSE,"4WD"}</definedName>
    <definedName name="__key2" hidden="1">#REF!</definedName>
    <definedName name="__KI9" hidden="1">{#N/A,#N/A,TRUE,"Y생산";#N/A,#N/A,TRUE,"Y판매";#N/A,#N/A,TRUE,"Y총물량";#N/A,#N/A,TRUE,"Y능력";#N/A,#N/A,TRUE,"YKD"}</definedName>
    <definedName name="__kkk1" hidden="1">{#N/A,#N/A,FALSE,"단축1";#N/A,#N/A,FALSE,"단축2";#N/A,#N/A,FALSE,"단축3";#N/A,#N/A,FALSE,"장축";#N/A,#N/A,FALSE,"4WD"}</definedName>
    <definedName name="__LG2" hidden="1">{#N/A,#N/A,TRUE,"매출진척-1";#N/A,#N/A,TRUE,"매출진척-2";#N/A,#N/A,TRUE,"제품실적";#N/A,#N/A,TRUE,"RAC";#N/A,#N/A,TRUE,"PAC ";#N/A,#N/A,TRUE,"재고현황";#N/A,#N/A,TRUE,"공지사항"}</definedName>
    <definedName name="__LH1" hidden="1">{"'7보유'!$A$1:$F$44"}</definedName>
    <definedName name="__LH2" hidden="1">{"'7보유'!$A$1:$F$44"}</definedName>
    <definedName name="__LPS2" hidden="1">{#N/A,#N/A,FALSE,"단축1";#N/A,#N/A,FALSE,"단축2";#N/A,#N/A,FALSE,"단축3";#N/A,#N/A,FALSE,"장축";#N/A,#N/A,FALSE,"4WD"}</definedName>
    <definedName name="__LPS2_1" hidden="1">{#N/A,#N/A,FALSE,"단축1";#N/A,#N/A,FALSE,"단축2";#N/A,#N/A,FALSE,"단축3";#N/A,#N/A,FALSE,"장축";#N/A,#N/A,FALSE,"4WD"}</definedName>
    <definedName name="__lwr10" hidden="1">{#N/A,#N/A,FALSE,"단축1";#N/A,#N/A,FALSE,"단축2";#N/A,#N/A,FALSE,"단축3";#N/A,#N/A,FALSE,"장축";#N/A,#N/A,FALSE,"4WD"}</definedName>
    <definedName name="__M123" hidden="1">{#N/A,#N/A,FALSE,"단축1";#N/A,#N/A,FALSE,"단축2";#N/A,#N/A,FALSE,"단축3";#N/A,#N/A,FALSE,"장축";#N/A,#N/A,FALSE,"4WD"}</definedName>
    <definedName name="__M123_1" hidden="1">{#N/A,#N/A,FALSE,"단축1";#N/A,#N/A,FALSE,"단축2";#N/A,#N/A,FALSE,"단축3";#N/A,#N/A,FALSE,"장축";#N/A,#N/A,FALSE,"4WD"}</definedName>
    <definedName name="__MH1" hidden="1">{#N/A,#N/A,FALSE,"단축1";#N/A,#N/A,FALSE,"단축2";#N/A,#N/A,FALSE,"단축3";#N/A,#N/A,FALSE,"장축";#N/A,#N/A,FALSE,"4WD"}</definedName>
    <definedName name="__MIP10" hidden="1">{#N/A,#N/A,FALSE,"단축1";#N/A,#N/A,FALSE,"단축2";#N/A,#N/A,FALSE,"단축3";#N/A,#N/A,FALSE,"장축";#N/A,#N/A,FALSE,"4WD"}</definedName>
    <definedName name="__MIP2" hidden="1">{#N/A,#N/A,FALSE,"단축1";#N/A,#N/A,FALSE,"단축2";#N/A,#N/A,FALSE,"단축3";#N/A,#N/A,FALSE,"장축";#N/A,#N/A,FALSE,"4WD"}</definedName>
    <definedName name="__NA11" hidden="1">{#N/A,#N/A,FALSE,"단축1";#N/A,#N/A,FALSE,"단축2";#N/A,#N/A,FALSE,"단축3";#N/A,#N/A,FALSE,"장축";#N/A,#N/A,FALSE,"4WD"}</definedName>
    <definedName name="__nbj75" hidden="1">{#N/A,#N/A,FALSE,"단축1";#N/A,#N/A,FALSE,"단축2";#N/A,#N/A,FALSE,"단축3";#N/A,#N/A,FALSE,"장축";#N/A,#N/A,FALSE,"4WD"}</definedName>
    <definedName name="__NI23" hidden="1">{#N/A,#N/A,FALSE,"단축1";#N/A,#N/A,FALSE,"단축2";#N/A,#N/A,FALSE,"단축3";#N/A,#N/A,FALSE,"장축";#N/A,#N/A,FALSE,"4WD"}</definedName>
    <definedName name="__NO11" hidden="1">{#N/A,#N/A,FALSE,"단축1";#N/A,#N/A,FALSE,"단축2";#N/A,#N/A,FALSE,"단축3";#N/A,#N/A,FALSE,"장축";#N/A,#N/A,FALSE,"4WD"}</definedName>
    <definedName name="__NO222" hidden="1">{#N/A,#N/A,FALSE,"단축1";#N/A,#N/A,FALSE,"단축2";#N/A,#N/A,FALSE,"단축3";#N/A,#N/A,FALSE,"장축";#N/A,#N/A,FALSE,"4WD"}</definedName>
    <definedName name="__NO22222" hidden="1">{#N/A,#N/A,FALSE,"단축1";#N/A,#N/A,FALSE,"단축2";#N/A,#N/A,FALSE,"단축3";#N/A,#N/A,FALSE,"장축";#N/A,#N/A,FALSE,"4WD"}</definedName>
    <definedName name="__NO23" hidden="1">{#N/A,#N/A,FALSE,"단축1";#N/A,#N/A,FALSE,"단축2";#N/A,#N/A,FALSE,"단축3";#N/A,#N/A,FALSE,"장축";#N/A,#N/A,FALSE,"4WD"}</definedName>
    <definedName name="__NO33333" hidden="1">{#N/A,#N/A,FALSE,"단축1";#N/A,#N/A,FALSE,"단축2";#N/A,#N/A,FALSE,"단축3";#N/A,#N/A,FALSE,"장축";#N/A,#N/A,FALSE,"4WD"}</definedName>
    <definedName name="__O11" hidden="1">{#N/A,#N/A,FALSE,"단축1";#N/A,#N/A,FALSE,"단축2";#N/A,#N/A,FALSE,"단축3";#N/A,#N/A,FALSE,"장축";#N/A,#N/A,FALSE,"4WD"}</definedName>
    <definedName name="__OPS1" hidden="1">{"Wire Charts",#N/A,TRUE,"Wires"}</definedName>
    <definedName name="__P09" hidden="1">{#N/A,#N/A,FALSE,"단축1";#N/A,#N/A,FALSE,"단축2";#N/A,#N/A,FALSE,"단축3";#N/A,#N/A,FALSE,"장축";#N/A,#N/A,FALSE,"4WD"}</definedName>
    <definedName name="__P2" hidden="1">{#N/A,#N/A,FALSE,"단축1";#N/A,#N/A,FALSE,"단축2";#N/A,#N/A,FALSE,"단축3";#N/A,#N/A,FALSE,"장축";#N/A,#N/A,FALSE,"4WD"}</definedName>
    <definedName name="__P21" hidden="1">{#N/A,#N/A,FALSE,"단축1";#N/A,#N/A,FALSE,"단축2";#N/A,#N/A,FALSE,"단축3";#N/A,#N/A,FALSE,"장축";#N/A,#N/A,FALSE,"4WD"}</definedName>
    <definedName name="__P3" hidden="1">{#N/A,#N/A,FALSE,"단축1";#N/A,#N/A,FALSE,"단축2";#N/A,#N/A,FALSE,"단축3";#N/A,#N/A,FALSE,"장축";#N/A,#N/A,FALSE,"4WD"}</definedName>
    <definedName name="__P3_1" hidden="1">{#N/A,#N/A,FALSE,"단축1";#N/A,#N/A,FALSE,"단축2";#N/A,#N/A,FALSE,"단축3";#N/A,#N/A,FALSE,"장축";#N/A,#N/A,FALSE,"4WD"}</definedName>
    <definedName name="__PB004" hidden="1">{#N/A,#N/A,FALSE,"단축1";#N/A,#N/A,FALSE,"단축2";#N/A,#N/A,FALSE,"단축3";#N/A,#N/A,FALSE,"장축";#N/A,#N/A,FALSE,"4WD"}</definedName>
    <definedName name="__PPP21" hidden="1">{#N/A,#N/A,FALSE,"KMC최종회의(7월) 자료"}</definedName>
    <definedName name="__PPP3" hidden="1">{#N/A,#N/A,FALSE,"KMC최종회의(7월) 자료"}</definedName>
    <definedName name="__PPR2" hidden="1">{#N/A,#N/A,FALSE,"단축1";#N/A,#N/A,FALSE,"단축2";#N/A,#N/A,FALSE,"단축3";#N/A,#N/A,FALSE,"장축";#N/A,#N/A,FALSE,"4WD"}</definedName>
    <definedName name="__Q098" hidden="1">{"'7-2지역별'!$A$1:$R$44"}</definedName>
    <definedName name="__Q1" hidden="1">{#N/A,#N/A,FALSE,"KMC최종회의(7월) 자료"}</definedName>
    <definedName name="__Q1_1" hidden="1">{#N/A,#N/A,FALSE,"KMC최종회의(7월) 자료"}</definedName>
    <definedName name="__Q11" hidden="1">{"'7-2지역별'!$A$1:$R$44"}</definedName>
    <definedName name="__Q11234" hidden="1">{"'7-2지역별'!$A$1:$R$44"}</definedName>
    <definedName name="__Q12" hidden="1">{"'7-2지역별'!$A$1:$R$44"}</definedName>
    <definedName name="__Q123" hidden="1">{"'7-2지역별'!$A$1:$R$44"}</definedName>
    <definedName name="__Q1232" hidden="1">{"'7-2지역별'!$A$1:$R$44"}</definedName>
    <definedName name="__Q1233" hidden="1">{"'7-2지역별'!$A$1:$R$44"}</definedName>
    <definedName name="__Q2" hidden="1">{#N/A,#N/A,FALSE,"KMC최종회의(7월) 자료"}</definedName>
    <definedName name="__Q2_1" hidden="1">{#N/A,#N/A,FALSE,"KMC최종회의(7월) 자료"}</definedName>
    <definedName name="__Q2342" hidden="1">{"'7-2지역별'!$A$1:$R$44"}</definedName>
    <definedName name="__Q3" hidden="1">{#N/A,#N/A,FALSE,"KMC최종회의(7월) 자료"}</definedName>
    <definedName name="__Q3_1" hidden="1">{#N/A,#N/A,FALSE,"KMC최종회의(7월) 자료"}</definedName>
    <definedName name="__Q343" hidden="1">{"'7-2지역별'!$A$1:$R$44"}</definedName>
    <definedName name="__Q345" hidden="1">{"'7-2지역별'!$A$1:$R$44"}</definedName>
    <definedName name="__Q423" hidden="1">{"'7-2지역별'!$A$1:$R$44"}</definedName>
    <definedName name="__Q43456" hidden="1">{"'7-2지역별'!$A$1:$R$44"}</definedName>
    <definedName name="__Q5" hidden="1">{#N/A,#N/A,FALSE,"KMC최종회의(7월) 자료"}</definedName>
    <definedName name="__Q5_1" hidden="1">{#N/A,#N/A,FALSE,"KMC최종회의(7월) 자료"}</definedName>
    <definedName name="__Q54" hidden="1">{"'7-2지역별'!$A$1:$R$44"}</definedName>
    <definedName name="__Q543" hidden="1">{"'7-2지역별'!$A$1:$R$44"}</definedName>
    <definedName name="__Q5434" hidden="1">{"'7-2지역별'!$A$1:$R$44"}</definedName>
    <definedName name="__Q543421" hidden="1">{"'7-2지역별'!$A$1:$R$44"}</definedName>
    <definedName name="__Q5555" hidden="1">{"'7-2지역별'!$A$1:$R$44"}</definedName>
    <definedName name="__Q5678" hidden="1">{"'7-2지역별'!$A$1:$R$44"}</definedName>
    <definedName name="__q6" hidden="1">{#N/A,#N/A,FALSE,"신규dep";#N/A,#N/A,FALSE,"신규dep-금형상각후";#N/A,#N/A,FALSE,"신규dep-연구비상각후";#N/A,#N/A,FALSE,"신규dep-기계,공구상각후"}</definedName>
    <definedName name="__q6_1" hidden="1">{#N/A,#N/A,FALSE,"신규dep";#N/A,#N/A,FALSE,"신규dep-금형상각후";#N/A,#N/A,FALSE,"신규dep-연구비상각후";#N/A,#N/A,FALSE,"신규dep-기계,공구상각후"}</definedName>
    <definedName name="__Q65465" hidden="1">{"'7-2지역별'!$A$1:$R$44"}</definedName>
    <definedName name="__Q6765" hidden="1">{"'7-2지역별'!$A$1:$R$44"}</definedName>
    <definedName name="__Q7" hidden="1">{#N/A,#N/A,FALSE,"KMC최종회의(7월) 자료"}</definedName>
    <definedName name="__Q7_1" hidden="1">{#N/A,#N/A,FALSE,"KMC최종회의(7월) 자료"}</definedName>
    <definedName name="__Q75655" hidden="1">{"'7-2지역별'!$A$1:$R$44"}</definedName>
    <definedName name="__Q765" hidden="1">{"'7-2지역별'!$A$1:$R$44"}</definedName>
    <definedName name="__Q7655" hidden="1">{"'7-2지역별'!$A$1:$R$44"}</definedName>
    <definedName name="__Q7687" hidden="1">{"'7-2지역별'!$A$1:$R$44"}</definedName>
    <definedName name="__Q8" hidden="1">{#N/A,#N/A,FALSE,"KMC최종회의(7월) 자료"}</definedName>
    <definedName name="__Q8_1" hidden="1">{#N/A,#N/A,FALSE,"KMC최종회의(7월) 자료"}</definedName>
    <definedName name="__Q876" hidden="1">{"'7-2지역별'!$A$1:$R$44"}</definedName>
    <definedName name="__Q9" hidden="1">{#N/A,#N/A,FALSE,"KMC최종회의(7월) 자료"}</definedName>
    <definedName name="__Q9_1" hidden="1">{#N/A,#N/A,FALSE,"KMC최종회의(7월) 자료"}</definedName>
    <definedName name="__Q98" hidden="1">{"'7-2지역별'!$A$1:$R$44"}</definedName>
    <definedName name="__QQ12" hidden="1">{#N/A,#N/A,FALSE,"단축1";#N/A,#N/A,FALSE,"단축2";#N/A,#N/A,FALSE,"단축3";#N/A,#N/A,FALSE,"장축";#N/A,#N/A,FALSE,"4WD"}</definedName>
    <definedName name="__RR2" hidden="1">{#N/A,#N/A,FALSE,"단축1";#N/A,#N/A,FALSE,"단축2";#N/A,#N/A,FALSE,"단축3";#N/A,#N/A,FALSE,"장축";#N/A,#N/A,FALSE,"4WD"}</definedName>
    <definedName name="__S1" hidden="1">{#N/A,#N/A,FALSE,"KMC최종회의(7월) 자료"}</definedName>
    <definedName name="__S1_1" hidden="1">{#N/A,#N/A,FALSE,"KMC최종회의(7월) 자료"}</definedName>
    <definedName name="__S2" hidden="1">{#N/A,#N/A,FALSE,"KMC최종회의(7월) 자료"}</definedName>
    <definedName name="__S2_1" hidden="1">{#N/A,#N/A,FALSE,"KMC최종회의(7월) 자료"}</definedName>
    <definedName name="__S3" hidden="1">{#N/A,#N/A,FALSE,"KMC최종회의(7월) 자료"}</definedName>
    <definedName name="__S3_1" hidden="1">{#N/A,#N/A,FALSE,"KMC최종회의(7월) 자료"}</definedName>
    <definedName name="__S4" hidden="1">{#N/A,#N/A,FALSE,"KMC최종회의(7월) 자료"}</definedName>
    <definedName name="__S4_1" hidden="1">{#N/A,#N/A,FALSE,"KMC최종회의(7월) 자료"}</definedName>
    <definedName name="__S5" hidden="1">{#N/A,#N/A,FALSE,"KMC최종회의(7월) 자료"}</definedName>
    <definedName name="__S5_1" hidden="1">{#N/A,#N/A,FALSE,"KMC최종회의(7월) 자료"}</definedName>
    <definedName name="__S6" hidden="1">{#N/A,#N/A,FALSE,"KMC최종회의(7월) 자료"}</definedName>
    <definedName name="__S6_1" hidden="1">{#N/A,#N/A,FALSE,"KMC최종회의(7월) 자료"}</definedName>
    <definedName name="__S7" hidden="1">{#N/A,#N/A,FALSE,"KMC최종회의(7월) 자료"}</definedName>
    <definedName name="__S7_1" hidden="1">{#N/A,#N/A,FALSE,"KMC최종회의(7월) 자료"}</definedName>
    <definedName name="__S8" hidden="1">{#N/A,#N/A,FALSE,"KMC최종회의(7월) 자료"}</definedName>
    <definedName name="__S8_1" hidden="1">{#N/A,#N/A,FALSE,"KMC최종회의(7월) 자료"}</definedName>
    <definedName name="__SD323" hidden="1">{"'7-2지역별'!$A$1:$R$44"}</definedName>
    <definedName name="__SDW1" hidden="1">#REF!</definedName>
    <definedName name="__SMM1" hidden="1">{"'7보유'!$A$1:$F$44"}</definedName>
    <definedName name="__SMM2" hidden="1">{"'7보유'!$A$1:$F$44"}</definedName>
    <definedName name="__SR1" hidden="1">{#N/A,#N/A,TRUE,"Y생산";#N/A,#N/A,TRUE,"Y판매";#N/A,#N/A,TRUE,"Y총물량";#N/A,#N/A,TRUE,"Y능력";#N/A,#N/A,TRUE,"YKD"}</definedName>
    <definedName name="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UM1" hidden="1">{#N/A,#N/A,FALSE,"단축1";#N/A,#N/A,FALSE,"단축2";#N/A,#N/A,FALSE,"단축3";#N/A,#N/A,FALSE,"장축";#N/A,#N/A,FALSE,"4WD"}</definedName>
    <definedName name="__SUM1_1" hidden="1">{#N/A,#N/A,FALSE,"단축1";#N/A,#N/A,FALSE,"단축2";#N/A,#N/A,FALSE,"단축3";#N/A,#N/A,FALSE,"장축";#N/A,#N/A,FALSE,"4WD"}</definedName>
    <definedName name="__T2" hidden="1">{#N/A,#N/A,FALSE,"단축1";#N/A,#N/A,FALSE,"단축2";#N/A,#N/A,FALSE,"단축3";#N/A,#N/A,FALSE,"장축";#N/A,#N/A,FALSE,"4WD"}</definedName>
    <definedName name="__T2_1" hidden="1">{#N/A,#N/A,FALSE,"단축1";#N/A,#N/A,FALSE,"단축2";#N/A,#N/A,FALSE,"단축3";#N/A,#N/A,FALSE,"장축";#N/A,#N/A,FALSE,"4WD"}</definedName>
    <definedName name="__T2_2" hidden="1">{#N/A,#N/A,FALSE,"단축1";#N/A,#N/A,FALSE,"단축2";#N/A,#N/A,FALSE,"단축3";#N/A,#N/A,FALSE,"장축";#N/A,#N/A,FALSE,"4WD"}</definedName>
    <definedName name="__T3" hidden="1">{#N/A,#N/A,FALSE,"단축1";#N/A,#N/A,FALSE,"단축2";#N/A,#N/A,FALSE,"단축3";#N/A,#N/A,FALSE,"장축";#N/A,#N/A,FALSE,"4WD"}</definedName>
    <definedName name="__T3_1" hidden="1">{#N/A,#N/A,FALSE,"단축1";#N/A,#N/A,FALSE,"단축2";#N/A,#N/A,FALSE,"단축3";#N/A,#N/A,FALSE,"장축";#N/A,#N/A,FALSE,"4WD"}</definedName>
    <definedName name="__t4" hidden="1">{#N/A,#N/A,FALSE,"단축1";#N/A,#N/A,FALSE,"단축2";#N/A,#N/A,FALSE,"단축3";#N/A,#N/A,FALSE,"장축";#N/A,#N/A,FALSE,"4WD"}</definedName>
    <definedName name="__t45445" hidden="1">{"'7-2지역별'!$A$1:$R$44"}</definedName>
    <definedName name="__T5" hidden="1">{#N/A,#N/A,FALSE,"단축1";#N/A,#N/A,FALSE,"단축2";#N/A,#N/A,FALSE,"단축3";#N/A,#N/A,FALSE,"장축";#N/A,#N/A,FALSE,"4WD"}</definedName>
    <definedName name="__T5_1" hidden="1">{#N/A,#N/A,FALSE,"단축1";#N/A,#N/A,FALSE,"단축2";#N/A,#N/A,FALSE,"단축3";#N/A,#N/A,FALSE,"장축";#N/A,#N/A,FALSE,"4WD"}</definedName>
    <definedName name="__tb2" hidden="1">{#N/A,#N/A,FALSE,"단축1";#N/A,#N/A,FALSE,"단축2";#N/A,#N/A,FALSE,"단축3";#N/A,#N/A,FALSE,"장축";#N/A,#N/A,FALSE,"4WD"}</definedName>
    <definedName name="__TM1" hidden="1">{#N/A,#N/A,FALSE,"단축1";#N/A,#N/A,FALSE,"단축2";#N/A,#N/A,FALSE,"단축3";#N/A,#N/A,FALSE,"장축";#N/A,#N/A,FALSE,"4WD"}</definedName>
    <definedName name="__TM1_1" hidden="1">{#N/A,#N/A,FALSE,"단축1";#N/A,#N/A,FALSE,"단축2";#N/A,#N/A,FALSE,"단축3";#N/A,#N/A,FALSE,"장축";#N/A,#N/A,FALSE,"4WD"}</definedName>
    <definedName name="__TRT11" hidden="1">{#N/A,#N/A,FALSE,"표지";#N/A,#N/A,FALSE,"전제";#N/A,#N/A,FALSE,"손익-자 (2)";#N/A,#N/A,FALSE,"손익-자";#N/A,#N/A,FALSE,"손익-마 (2)";#N/A,#N/A,FALSE,"손익-마";#N/A,#N/A,FALSE,"총손최종"}</definedName>
    <definedName name="__U1" hidden="1">{#N/A,#N/A,FALSE,"단축1";#N/A,#N/A,FALSE,"단축2";#N/A,#N/A,FALSE,"단축3";#N/A,#N/A,FALSE,"장축";#N/A,#N/A,FALSE,"4WD"}</definedName>
    <definedName name="__VQ20" hidden="1">{#N/A,#N/A,FALSE,"FR 계산내역";#N/A,#N/A,FALSE,"RR 계산내역";#N/A,#N/A,FALSE,"기계경비"}</definedName>
    <definedName name="__W1" hidden="1">{#N/A,#N/A,FALSE,"KMC최종회의(7월) 자료"}</definedName>
    <definedName name="__W1_1" hidden="1">{#N/A,#N/A,FALSE,"KMC최종회의(7월) 자료"}</definedName>
    <definedName name="__W12324" hidden="1">{"'7-2지역별'!$A$1:$R$44"}</definedName>
    <definedName name="__W2" hidden="1">{#N/A,#N/A,FALSE,"KMC최종회의(7월) 자료"}</definedName>
    <definedName name="__W2_1" hidden="1">{#N/A,#N/A,FALSE,"KMC최종회의(7월) 자료"}</definedName>
    <definedName name="__W3" hidden="1">{#N/A,#N/A,FALSE,"KMC최종회의(7월) 자료"}</definedName>
    <definedName name="__W3_1" hidden="1">{#N/A,#N/A,FALSE,"KMC최종회의(7월) 자료"}</definedName>
    <definedName name="__W322" hidden="1">{"'7-2지역별'!$A$1:$R$44"}</definedName>
    <definedName name="__W4" hidden="1">{#N/A,#N/A,FALSE,"KMC최종회의(7월) 자료"}</definedName>
    <definedName name="__W4_1" hidden="1">{#N/A,#N/A,FALSE,"KMC최종회의(7월) 자료"}</definedName>
    <definedName name="__W4454" hidden="1">{"'7-2지역별'!$A$1:$R$44"}</definedName>
    <definedName name="__W5" hidden="1">{#N/A,#N/A,FALSE,"KMC최종회의(7월) 자료"}</definedName>
    <definedName name="__W5_1" hidden="1">{#N/A,#N/A,FALSE,"KMC최종회의(7월) 자료"}</definedName>
    <definedName name="__W53" hidden="1">{"'7-2지역별'!$A$1:$R$44"}</definedName>
    <definedName name="__W6" hidden="1">{#N/A,#N/A,FALSE,"KMC최종회의(7월) 자료"}</definedName>
    <definedName name="__W6_1" hidden="1">{#N/A,#N/A,FALSE,"KMC최종회의(7월) 자료"}</definedName>
    <definedName name="__W7" hidden="1">{#N/A,#N/A,FALSE,"KMC최종회의(7월) 자료"}</definedName>
    <definedName name="__W7_1" hidden="1">{#N/A,#N/A,FALSE,"KMC최종회의(7월) 자료"}</definedName>
    <definedName name="__W8" hidden="1">{#N/A,#N/A,FALSE,"KMC최종회의(7월) 자료"}</definedName>
    <definedName name="__W8_1" hidden="1">{#N/A,#N/A,FALSE,"KMC최종회의(7월) 자료"}</definedName>
    <definedName name="__W9" hidden="1">{#N/A,#N/A,FALSE,"KMC최종회의(7월) 자료"}</definedName>
    <definedName name="__W9_1" hidden="1">{#N/A,#N/A,FALSE,"KMC최종회의(7월) 자료"}</definedName>
    <definedName name="__WO1" hidden="1">{#N/A,#N/A,FALSE,"단축1";#N/A,#N/A,FALSE,"단축2";#N/A,#N/A,FALSE,"단축3";#N/A,#N/A,FALSE,"장축";#N/A,#N/A,FALSE,"4WD"}</definedName>
    <definedName name="__WRN2" hidden="1">{#N/A,#N/A,FALSE,"단축1";#N/A,#N/A,FALSE,"단축2";#N/A,#N/A,FALSE,"단축3";#N/A,#N/A,FALSE,"장축";#N/A,#N/A,FALSE,"4WD"}</definedName>
    <definedName name="__X1" hidden="1">{#N/A,#N/A,FALSE,"KMC최종회의(7월) 자료"}</definedName>
    <definedName name="__X1_1" hidden="1">{#N/A,#N/A,FALSE,"KMC최종회의(7월) 자료"}</definedName>
    <definedName name="__X2" hidden="1">{#N/A,#N/A,FALSE,"KMC최종회의(7월) 자료"}</definedName>
    <definedName name="__X2_1" hidden="1">{#N/A,#N/A,FALSE,"KMC최종회의(7월) 자료"}</definedName>
    <definedName name="__X3" hidden="1">{#N/A,#N/A,FALSE,"KMC최종회의(7월) 자료"}</definedName>
    <definedName name="__X3_1" hidden="1">{#N/A,#N/A,FALSE,"KMC최종회의(7월) 자료"}</definedName>
    <definedName name="__X4" hidden="1">{#N/A,#N/A,FALSE,"KMC최종회의(7월) 자료"}</definedName>
    <definedName name="__X4_1" hidden="1">{#N/A,#N/A,FALSE,"KMC최종회의(7월) 자료"}</definedName>
    <definedName name="__X5" hidden="1">{#N/A,#N/A,FALSE,"KMC최종회의(7월) 자료"}</definedName>
    <definedName name="__X5_1" hidden="1">{#N/A,#N/A,FALSE,"KMC최종회의(7월) 자료"}</definedName>
    <definedName name="__X6" hidden="1">{#N/A,#N/A,FALSE,"KMC최종회의(7월) 자료"}</definedName>
    <definedName name="__X6_1" hidden="1">{#N/A,#N/A,FALSE,"KMC최종회의(7월) 자료"}</definedName>
    <definedName name="__X7" hidden="1">{#N/A,#N/A,FALSE,"KMC최종회의(7월) 자료"}</definedName>
    <definedName name="__X7_1" hidden="1">{#N/A,#N/A,FALSE,"KMC최종회의(7월) 자료"}</definedName>
    <definedName name="__X8" hidden="1">{#N/A,#N/A,FALSE,"KMC최종회의(7월) 자료"}</definedName>
    <definedName name="__X8_1" hidden="1">{#N/A,#N/A,FALSE,"KMC최종회의(7월) 자료"}</definedName>
    <definedName name="__xg1" hidden="1">{#N/A,#N/A,FALSE,"96자동차사 계획";#N/A,#N/A,FALSE,"96자동차사 계획"}</definedName>
    <definedName name="__XG2" hidden="1">{#N/A,#N/A,FALSE,"단축1";#N/A,#N/A,FALSE,"단축2";#N/A,#N/A,FALSE,"단축3";#N/A,#N/A,FALSE,"장축";#N/A,#N/A,FALSE,"4WD"}</definedName>
    <definedName name="__XG2_1" hidden="1">{#N/A,#N/A,FALSE,"단축1";#N/A,#N/A,FALSE,"단축2";#N/A,#N/A,FALSE,"단축3";#N/A,#N/A,FALSE,"장축";#N/A,#N/A,FALSE,"4WD"}</definedName>
    <definedName name="__xlfn.IFERROR" hidden="1">#NAME?</definedName>
    <definedName name="__XX31" hidden="1">{#N/A,#N/A,FALSE,"KMC최종회의(7월) 자료"}</definedName>
    <definedName name="__y45546" hidden="1">{"'7-2지역별'!$A$1:$R$44"}</definedName>
    <definedName name="__Z1" hidden="1">{#N/A,#N/A,FALSE,"KMC최종회의(7월) 자료"}</definedName>
    <definedName name="__Z1_1" hidden="1">{#N/A,#N/A,FALSE,"KMC최종회의(7월) 자료"}</definedName>
    <definedName name="__z123" hidden="1">{#N/A,#N/A,FALSE,"단축1";#N/A,#N/A,FALSE,"단축2";#N/A,#N/A,FALSE,"단축3";#N/A,#N/A,FALSE,"장축";#N/A,#N/A,FALSE,"4WD"}</definedName>
    <definedName name="__z123_1" hidden="1">{#N/A,#N/A,FALSE,"단축1";#N/A,#N/A,FALSE,"단축2";#N/A,#N/A,FALSE,"단축3";#N/A,#N/A,FALSE,"장축";#N/A,#N/A,FALSE,"4WD"}</definedName>
    <definedName name="__Z2" hidden="1">{#N/A,#N/A,FALSE,"KMC최종회의(7월) 자료"}</definedName>
    <definedName name="__Z2_1" hidden="1">{#N/A,#N/A,FALSE,"KMC최종회의(7월) 자료"}</definedName>
    <definedName name="__Z3" hidden="1">{#N/A,#N/A,FALSE,"KMC최종회의(7월) 자료"}</definedName>
    <definedName name="__Z3_1" hidden="1">{#N/A,#N/A,FALSE,"KMC최종회의(7월) 자료"}</definedName>
    <definedName name="__Z4" hidden="1">{#N/A,#N/A,FALSE,"KMC최종회의(7월) 자료"}</definedName>
    <definedName name="__Z4_1" hidden="1">{#N/A,#N/A,FALSE,"KMC최종회의(7월) 자료"}</definedName>
    <definedName name="__Z5" hidden="1">{#N/A,#N/A,FALSE,"KMC최종회의(7월) 자료"}</definedName>
    <definedName name="__Z5_1" hidden="1">{#N/A,#N/A,FALSE,"KMC최종회의(7월) 자료"}</definedName>
    <definedName name="__Z6" hidden="1">{#N/A,#N/A,FALSE,"KMC최종회의(7월) 자료"}</definedName>
    <definedName name="__Z6_1" hidden="1">{#N/A,#N/A,FALSE,"KMC최종회의(7월) 자료"}</definedName>
    <definedName name="__Z7" hidden="1">{#N/A,#N/A,FALSE,"KMC최종회의(7월) 자료"}</definedName>
    <definedName name="__Z7_1" hidden="1">{#N/A,#N/A,FALSE,"KMC최종회의(7월) 자료"}</definedName>
    <definedName name="__Z8" hidden="1">{#N/A,#N/A,FALSE,"KMC최종회의(7월) 자료"}</definedName>
    <definedName name="__Z8_1" hidden="1">{#N/A,#N/A,FALSE,"KMC최종회의(7월) 자료"}</definedName>
    <definedName name="__Z9" hidden="1">{#N/A,#N/A,FALSE,"KMC최종회의(7월) 자료"}</definedName>
    <definedName name="__Z9_1" hidden="1">{#N/A,#N/A,FALSE,"KMC최종회의(7월) 자료"}</definedName>
    <definedName name="__ZA1" hidden="1">#REF!</definedName>
    <definedName name="__ZA10" hidden="1">#REF!</definedName>
    <definedName name="__ZA11" hidden="1">#REF!</definedName>
    <definedName name="__ZA12" hidden="1">#REF!</definedName>
    <definedName name="__ZA13" hidden="1">#REF!</definedName>
    <definedName name="__ZA14" hidden="1">#REF!</definedName>
    <definedName name="__ZA15" hidden="1">#REF!</definedName>
    <definedName name="__ZA16" hidden="1">#REF!</definedName>
    <definedName name="__ZA17" hidden="1">#REF!</definedName>
    <definedName name="__ZA18" hidden="1">#REF!</definedName>
    <definedName name="__ZA19" hidden="1">#REF!</definedName>
    <definedName name="__ZA2" hidden="1">#REF!</definedName>
    <definedName name="__ZA20" hidden="1">#REF!</definedName>
    <definedName name="__ZA21" hidden="1">#REF!</definedName>
    <definedName name="__ZA22" hidden="1">#REF!</definedName>
    <definedName name="__ZA23" hidden="1">#REF!</definedName>
    <definedName name="__ZA24" hidden="1">#REF!</definedName>
    <definedName name="__ZA3" hidden="1">#REF!</definedName>
    <definedName name="__ZA4" hidden="1">#REF!</definedName>
    <definedName name="__ZA5" hidden="1">#REF!</definedName>
    <definedName name="__ZA6" hidden="1">#REF!</definedName>
    <definedName name="__ZA7" hidden="1">#REF!</definedName>
    <definedName name="__ZA8" hidden="1">#REF!</definedName>
    <definedName name="__ZA9" hidden="1">#REF!</definedName>
    <definedName name="_1_____________________________________________________________________0_S" hidden="1">#REF!</definedName>
    <definedName name="_1____________0_S" hidden="1">#REF!</definedName>
    <definedName name="_1__123Graph_ACHART_2" hidden="1">#REF!</definedName>
    <definedName name="_1_____S" hidden="1">#REF!</definedName>
    <definedName name="_1___0_S" hidden="1">#REF!</definedName>
    <definedName name="_1_5_0__123Grap" hidden="1">#REF!</definedName>
    <definedName name="_1____S" hidden="1">#REF!</definedName>
    <definedName name="_10________________________________________________0_S" hidden="1">#REF!</definedName>
    <definedName name="_10__123Graph_AC04C_FF_T" hidden="1">#REF!</definedName>
    <definedName name="_10__123Graph_ACHART_3" hidden="1">#REF!</definedName>
    <definedName name="_10__123Graph_BCHART_3" hidden="1">#REF!</definedName>
    <definedName name="_10__123Graph_CCHART_3" hidden="1">#REF!</definedName>
    <definedName name="_10___0_S" hidden="1">#REF!</definedName>
    <definedName name="_10____S" hidden="1">#REF!</definedName>
    <definedName name="_10__0_S" hidden="1">#REF!</definedName>
    <definedName name="_100__123Graph_XC04C_FR_L2" hidden="1">#REF!</definedName>
    <definedName name="_1002x1_" hidden="1">{#N/A,#N/A,FALSE,"단축1";#N/A,#N/A,FALSE,"단축2";#N/A,#N/A,FALSE,"단축3";#N/A,#N/A,FALSE,"장축";#N/A,#N/A,FALSE,"4WD"}</definedName>
    <definedName name="_1002X5_" hidden="1">{#N/A,#N/A,FALSE,"KMC최종회의(7월) 자료"}</definedName>
    <definedName name="_1003IO8_" hidden="1">{#N/A,#N/A,FALSE,"단축1";#N/A,#N/A,FALSE,"단축2";#N/A,#N/A,FALSE,"단축3";#N/A,#N/A,FALSE,"장축";#N/A,#N/A,FALSE,"4WD"}</definedName>
    <definedName name="_1003S1_" hidden="1">{#N/A,#N/A,FALSE,"KMC최종회의(7월) 자료"}</definedName>
    <definedName name="_1007x2_" hidden="1">{#N/A,#N/A,FALSE,"단축1";#N/A,#N/A,FALSE,"단축2";#N/A,#N/A,FALSE,"단축3";#N/A,#N/A,FALSE,"장축";#N/A,#N/A,FALSE,"4WD"}</definedName>
    <definedName name="_1008k7_" hidden="1">{#N/A,#N/A,FALSE,"단축1";#N/A,#N/A,FALSE,"단축2";#N/A,#N/A,FALSE,"단축3";#N/A,#N/A,FALSE,"장축";#N/A,#N/A,FALSE,"4WD"}</definedName>
    <definedName name="_1008S2_" hidden="1">{#N/A,#N/A,FALSE,"KMC최종회의(7월) 자료"}</definedName>
    <definedName name="_100A2040_" hidden="1">{#N/A,#N/A,FALSE,"단축1";#N/A,#N/A,FALSE,"단축2";#N/A,#N/A,FALSE,"단축3";#N/A,#N/A,FALSE,"장축";#N/A,#N/A,FALSE,"4WD"}</definedName>
    <definedName name="_100A9_" hidden="1">{#N/A,#N/A,FALSE,"KMC최종회의(7월) 자료"}</definedName>
    <definedName name="_100CL33_" hidden="1">{#N/A,#N/A,FALSE,"KMC최종회의(7월) 자료"}</definedName>
    <definedName name="_100E1_" hidden="1">{#N/A,#N/A,FALSE,"KMC최종회의(7월) 자료"}</definedName>
    <definedName name="_100e9_" hidden="1">{#N/A,#N/A,FALSE,"단축1";#N/A,#N/A,FALSE,"단축2";#N/A,#N/A,FALSE,"단축3";#N/A,#N/A,FALSE,"장축";#N/A,#N/A,FALSE,"4WD"}</definedName>
    <definedName name="_100e9__1" hidden="1">{#N/A,#N/A,FALSE,"단축1";#N/A,#N/A,FALSE,"단축2";#N/A,#N/A,FALSE,"단축3";#N/A,#N/A,FALSE,"장축";#N/A,#N/A,FALSE,"4WD"}</definedName>
    <definedName name="_100FG1_" hidden="1">{#N/A,#N/A,FALSE,"단축1";#N/A,#N/A,FALSE,"단축2";#N/A,#N/A,FALSE,"단축3";#N/A,#N/A,FALSE,"장축";#N/A,#N/A,FALSE,"4WD"}</definedName>
    <definedName name="_100h4_" hidden="1">{"'표지'!$B$5"}</definedName>
    <definedName name="_100HL3_" hidden="1">{#N/A,#N/A,TRUE,"Y생산";#N/A,#N/A,TRUE,"Y판매";#N/A,#N/A,TRUE,"Y총물량";#N/A,#N/A,TRUE,"Y능력";#N/A,#N/A,TRUE,"YKD"}</definedName>
    <definedName name="_100k7_" hidden="1">{#N/A,#N/A,FALSE,"단축1";#N/A,#N/A,FALSE,"단축2";#N/A,#N/A,FALSE,"단축3";#N/A,#N/A,FALSE,"장축";#N/A,#N/A,FALSE,"4WD"}</definedName>
    <definedName name="_100k9_" hidden="1">{#N/A,#N/A,FALSE,"단축1";#N/A,#N/A,FALSE,"단축2";#N/A,#N/A,FALSE,"단축3";#N/A,#N/A,FALSE,"장축";#N/A,#N/A,FALSE,"4WD"}</definedName>
    <definedName name="_100Q2_" hidden="1">{#N/A,#N/A,FALSE,"KMC최종회의(7월) 자료"}</definedName>
    <definedName name="_100Q5_" hidden="1">{#N/A,#N/A,FALSE,"KMC최종회의(7월) 자료"}</definedName>
    <definedName name="_100Q8_" hidden="1">{#N/A,#N/A,FALSE,"KMC최종회의(7월) 자료"}</definedName>
    <definedName name="_100Q9_" hidden="1">{#N/A,#N/A,FALSE,"KMC최종회의(7월) 자료"}</definedName>
    <definedName name="_100S2_" hidden="1">{#N/A,#N/A,FALSE,"KMC최종회의(7월) 자료"}</definedName>
    <definedName name="_100S7_" hidden="1">{#N/A,#N/A,FALSE,"KMC최종회의(7월) 자료"}</definedName>
    <definedName name="_100S8_" hidden="1">{#N/A,#N/A,FALSE,"KMC최종회의(7월) 자료"}</definedName>
    <definedName name="_100W2_" hidden="1">{#N/A,#N/A,FALSE,"KMC최종회의(7월) 자료"}</definedName>
    <definedName name="_100w4_" hidden="1">{#N/A,#N/A,FALSE,"단축1";#N/A,#N/A,FALSE,"단축2";#N/A,#N/A,FALSE,"단축3";#N/A,#N/A,FALSE,"장축";#N/A,#N/A,FALSE,"4WD"}</definedName>
    <definedName name="_100W5_" hidden="1">{#N/A,#N/A,FALSE,"KMC최종회의(7월) 자료"}</definedName>
    <definedName name="_100W9_" hidden="1">{#N/A,#N/A,FALSE,"KMC최종회의(7월) 자료"}</definedName>
    <definedName name="_100X1_" hidden="1">{#N/A,#N/A,FALSE,"KMC최종회의(7월) 자료"}</definedName>
    <definedName name="_100X4_" hidden="1">{#N/A,#N/A,FALSE,"KMC최종회의(7월) 자료"}</definedName>
    <definedName name="_100X5_" hidden="1">{#N/A,#N/A,FALSE,"KMC최종회의(7월) 자료"}</definedName>
    <definedName name="_100X6_" hidden="1">{#N/A,#N/A,FALSE,"KMC최종회의(7월) 자료"}</definedName>
    <definedName name="_100X7_" hidden="1">{#N/A,#N/A,FALSE,"KMC최종회의(7월) 자료"}</definedName>
    <definedName name="_100X8_" hidden="1">{#N/A,#N/A,FALSE,"KMC최종회의(7월) 자료"}</definedName>
    <definedName name="_100Z1_" hidden="1">{#N/A,#N/A,FALSE,"KMC최종회의(7월) 자료"}</definedName>
    <definedName name="_100Z2_" hidden="1">{#N/A,#N/A,FALSE,"KMC최종회의(7월) 자료"}</definedName>
    <definedName name="_100Z4_" hidden="1">{#N/A,#N/A,FALSE,"KMC최종회의(7월) 자료"}</definedName>
    <definedName name="_100Z6_" hidden="1">{#N/A,#N/A,FALSE,"KMC최종회의(7월) 자료"}</definedName>
    <definedName name="_100Z7_" hidden="1">{#N/A,#N/A,FALSE,"KMC최종회의(7월) 자료"}</definedName>
    <definedName name="_1012z1_" hidden="1">{#N/A,#N/A,FALSE,"단축1";#N/A,#N/A,FALSE,"단축2";#N/A,#N/A,FALSE,"단축3";#N/A,#N/A,FALSE,"장축";#N/A,#N/A,FALSE,"4WD"}</definedName>
    <definedName name="_1013k8_" hidden="1">{#N/A,#N/A,FALSE,"단축1";#N/A,#N/A,FALSE,"단축2";#N/A,#N/A,FALSE,"단축3";#N/A,#N/A,FALSE,"장축";#N/A,#N/A,FALSE,"4WD"}</definedName>
    <definedName name="_1013S3_" hidden="1">{#N/A,#N/A,FALSE,"KMC최종회의(7월) 자료"}</definedName>
    <definedName name="_1017z2_" hidden="1">{#N/A,#N/A,FALSE,"단축1";#N/A,#N/A,FALSE,"단축2";#N/A,#N/A,FALSE,"단축3";#N/A,#N/A,FALSE,"장축";#N/A,#N/A,FALSE,"4WD"}</definedName>
    <definedName name="_1018k9_" hidden="1">{#N/A,#N/A,FALSE,"단축1";#N/A,#N/A,FALSE,"단축2";#N/A,#N/A,FALSE,"단축3";#N/A,#N/A,FALSE,"장축";#N/A,#N/A,FALSE,"4WD"}</definedName>
    <definedName name="_1018S4_" hidden="1">{#N/A,#N/A,FALSE,"KMC최종회의(7월) 자료"}</definedName>
    <definedName name="_1018X6_" hidden="1">{#N/A,#N/A,FALSE,"KMC최종회의(7월) 자료"}</definedName>
    <definedName name="_101A9_" hidden="1">{#N/A,#N/A,FALSE,"KMC최종회의(7월) 자료"}</definedName>
    <definedName name="_101A9__1" hidden="1">{#N/A,#N/A,FALSE,"KMC최종회의(7월) 자료"}</definedName>
    <definedName name="_101DB777_" hidden="1">{#N/A,#N/A,TRUE,"Y생산";#N/A,#N/A,TRUE,"Y판매";#N/A,#N/A,TRUE,"Y총물량";#N/A,#N/A,TRUE,"Y능력";#N/A,#N/A,TRUE,"YKD"}</definedName>
    <definedName name="_101E2_" hidden="1">{#N/A,#N/A,FALSE,"KMC최종회의(7월) 자료"}</definedName>
    <definedName name="_101FG1_" hidden="1">{#N/A,#N/A,FALSE,"단축1";#N/A,#N/A,FALSE,"단축2";#N/A,#N/A,FALSE,"단축3";#N/A,#N/A,FALSE,"장축";#N/A,#N/A,FALSE,"4WD"}</definedName>
    <definedName name="_101HP02_" hidden="1">{#N/A,#N/A,FALSE,"단축1";#N/A,#N/A,FALSE,"단축2";#N/A,#N/A,FALSE,"단축3";#N/A,#N/A,FALSE,"장축";#N/A,#N/A,FALSE,"4WD"}</definedName>
    <definedName name="_101k8_" hidden="1">{#N/A,#N/A,FALSE,"단축1";#N/A,#N/A,FALSE,"단축2";#N/A,#N/A,FALSE,"단축3";#N/A,#N/A,FALSE,"장축";#N/A,#N/A,FALSE,"4WD"}</definedName>
    <definedName name="_101P2_" hidden="1">{#N/A,#N/A,FALSE,"단축1";#N/A,#N/A,FALSE,"단축2";#N/A,#N/A,FALSE,"단축3";#N/A,#N/A,FALSE,"장축";#N/A,#N/A,FALSE,"4WD"}</definedName>
    <definedName name="_101Q2_" hidden="1">{#N/A,#N/A,FALSE,"KMC최종회의(7월) 자료"}</definedName>
    <definedName name="_101q6_" hidden="1">{#N/A,#N/A,FALSE,"신규dep";#N/A,#N/A,FALSE,"신규dep-금형상각후";#N/A,#N/A,FALSE,"신규dep-연구비상각후";#N/A,#N/A,FALSE,"신규dep-기계,공구상각후"}</definedName>
    <definedName name="_101S1_" hidden="1">{#N/A,#N/A,FALSE,"KMC최종회의(7월) 자료"}</definedName>
    <definedName name="_101S3_" hidden="1">{#N/A,#N/A,FALSE,"KMC최종회의(7월) 자료"}</definedName>
    <definedName name="_101S5_" hidden="1">{#N/A,#N/A,FALSE,"KMC최종회의(7월) 자료"}</definedName>
    <definedName name="_101S6_" hidden="1">{#N/A,#N/A,FALSE,"KMC최종회의(7월) 자료"}</definedName>
    <definedName name="_101S8_" hidden="1">{#N/A,#N/A,FALSE,"KMC최종회의(7월) 자료"}</definedName>
    <definedName name="_101T2_" hidden="1">{#N/A,#N/A,FALSE,"단축1";#N/A,#N/A,FALSE,"단축2";#N/A,#N/A,FALSE,"단축3";#N/A,#N/A,FALSE,"장축";#N/A,#N/A,FALSE,"4WD"}</definedName>
    <definedName name="_101T5_" hidden="1">{#N/A,#N/A,FALSE,"단축1";#N/A,#N/A,FALSE,"단축2";#N/A,#N/A,FALSE,"단축3";#N/A,#N/A,FALSE,"장축";#N/A,#N/A,FALSE,"4WD"}</definedName>
    <definedName name="_101T5__1" hidden="1">{#N/A,#N/A,FALSE,"단축1";#N/A,#N/A,FALSE,"단축2";#N/A,#N/A,FALSE,"단축3";#N/A,#N/A,FALSE,"장축";#N/A,#N/A,FALSE,"4WD"}</definedName>
    <definedName name="_101w1_" hidden="1">{#N/A,#N/A,FALSE,"신규dep";#N/A,#N/A,FALSE,"신규dep-금형상각후";#N/A,#N/A,FALSE,"신규dep-연구비상각후";#N/A,#N/A,FALSE,"신규dep-기계,공구상각후"}</definedName>
    <definedName name="_101W4_" hidden="1">{#N/A,#N/A,FALSE,"KMC최종회의(7월) 자료"}</definedName>
    <definedName name="_101w5_" hidden="1">{#N/A,#N/A,FALSE,"신규dep";#N/A,#N/A,FALSE,"신규dep-금형상각후";#N/A,#N/A,FALSE,"신규dep-연구비상각후";#N/A,#N/A,FALSE,"신규dep-기계,공구상각후"}</definedName>
    <definedName name="_101w5__1" hidden="1">{#N/A,#N/A,FALSE,"신규dep";#N/A,#N/A,FALSE,"신규dep-금형상각후";#N/A,#N/A,FALSE,"신규dep-연구비상각후";#N/A,#N/A,FALSE,"신규dep-기계,공구상각후"}</definedName>
    <definedName name="_101W7_" hidden="1">{#N/A,#N/A,FALSE,"KMC최종회의(7월) 자료"}</definedName>
    <definedName name="_101X7_" hidden="1">{#N/A,#N/A,FALSE,"KMC최종회의(7월) 자료"}</definedName>
    <definedName name="_101Z4_" hidden="1">{#N/A,#N/A,FALSE,"KMC최종회의(7월) 자료"}</definedName>
    <definedName name="_101Z5_" hidden="1">{#N/A,#N/A,FALSE,"KMC최종회의(7월) 자료"}</definedName>
    <definedName name="_101Z5__1" hidden="1">{#N/A,#N/A,FALSE,"KMC최종회의(7월) 자료"}</definedName>
    <definedName name="_101Z6_" hidden="1">{#N/A,#N/A,FALSE,"KMC최종회의(7월) 자료"}</definedName>
    <definedName name="_101Z7_" hidden="1">{#N/A,#N/A,FALSE,"KMC최종회의(7월) 자료"}</definedName>
    <definedName name="_1023P2_" hidden="1">{#N/A,#N/A,FALSE,"단축1";#N/A,#N/A,FALSE,"단축2";#N/A,#N/A,FALSE,"단축3";#N/A,#N/A,FALSE,"장축";#N/A,#N/A,FALSE,"4WD"}</definedName>
    <definedName name="_1023S5_" hidden="1">{#N/A,#N/A,FALSE,"KMC최종회의(7월) 자료"}</definedName>
    <definedName name="_1028S6_" hidden="1">{#N/A,#N/A,FALSE,"KMC최종회의(7월) 자료"}</definedName>
    <definedName name="_102A21321_" hidden="1">{#N/A,#N/A,FALSE,"단축1";#N/A,#N/A,FALSE,"단축2";#N/A,#N/A,FALSE,"단축3";#N/A,#N/A,FALSE,"장축";#N/A,#N/A,FALSE,"4WD"}</definedName>
    <definedName name="_102A7_" hidden="1">{#N/A,#N/A,FALSE,"KMC최종회의(7월) 자료"}</definedName>
    <definedName name="_102A7__1" hidden="1">{#N/A,#N/A,FALSE,"KMC최종회의(7월) 자료"}</definedName>
    <definedName name="_102A8_" hidden="1">{#N/A,#N/A,FALSE,"KMC최종회의(7월) 자료"}</definedName>
    <definedName name="_102d3_" hidden="1">{#N/A,#N/A,FALSE,"신규dep";#N/A,#N/A,FALSE,"신규dep-금형상각후";#N/A,#N/A,FALSE,"신규dep-연구비상각후";#N/A,#N/A,FALSE,"신규dep-기계,공구상각후"}</definedName>
    <definedName name="_102d3__1" hidden="1">{#N/A,#N/A,FALSE,"신규dep";#N/A,#N/A,FALSE,"신규dep-금형상각후";#N/A,#N/A,FALSE,"신규dep-연구비상각후";#N/A,#N/A,FALSE,"신규dep-기계,공구상각후"}</definedName>
    <definedName name="_102E1_" hidden="1">{#N/A,#N/A,FALSE,"KMC최종회의(7월) 자료"}</definedName>
    <definedName name="_102F3_" hidden="1">{#N/A,#N/A,FALSE,"개발계획표지";#N/A,#N/A,FALSE,"목차";#N/A,#N/A,FALSE,"개요"}</definedName>
    <definedName name="_102h5_" hidden="1">{"'표지'!$B$5"}</definedName>
    <definedName name="_102HP2_" hidden="1">{#N/A,#N/A,FALSE,"단축1";#N/A,#N/A,FALSE,"단축2";#N/A,#N/A,FALSE,"단축3";#N/A,#N/A,FALSE,"장축";#N/A,#N/A,FALSE,"4WD"}</definedName>
    <definedName name="_102k8_" hidden="1">{#N/A,#N/A,FALSE,"단축1";#N/A,#N/A,FALSE,"단축2";#N/A,#N/A,FALSE,"단축3";#N/A,#N/A,FALSE,"장축";#N/A,#N/A,FALSE,"4WD"}</definedName>
    <definedName name="_102k8__1" hidden="1">{#N/A,#N/A,FALSE,"단축1";#N/A,#N/A,FALSE,"단축2";#N/A,#N/A,FALSE,"단축3";#N/A,#N/A,FALSE,"장축";#N/A,#N/A,FALSE,"4WD"}</definedName>
    <definedName name="_102k9_" hidden="1">{#N/A,#N/A,FALSE,"단축1";#N/A,#N/A,FALSE,"단축2";#N/A,#N/A,FALSE,"단축3";#N/A,#N/A,FALSE,"장축";#N/A,#N/A,FALSE,"4WD"}</definedName>
    <definedName name="_102O11_" hidden="1">{#N/A,#N/A,FALSE,"단축1";#N/A,#N/A,FALSE,"단축2";#N/A,#N/A,FALSE,"단축3";#N/A,#N/A,FALSE,"장축";#N/A,#N/A,FALSE,"4WD"}</definedName>
    <definedName name="_102P21_" hidden="1">{#N/A,#N/A,FALSE,"단축1";#N/A,#N/A,FALSE,"단축2";#N/A,#N/A,FALSE,"단축3";#N/A,#N/A,FALSE,"장축";#N/A,#N/A,FALSE,"4WD"}</definedName>
    <definedName name="_102Q7_" hidden="1">{#N/A,#N/A,FALSE,"KMC최종회의(7월) 자료"}</definedName>
    <definedName name="_102Q8_" hidden="1">{#N/A,#N/A,FALSE,"KMC최종회의(7월) 자료"}</definedName>
    <definedName name="_102S1_" hidden="1">{#N/A,#N/A,FALSE,"KMC최종회의(7월) 자료"}</definedName>
    <definedName name="_102S2_" hidden="1">{#N/A,#N/A,FALSE,"KMC최종회의(7월) 자료"}</definedName>
    <definedName name="_102S6_" hidden="1">{#N/A,#N/A,FALSE,"KMC최종회의(7월) 자료"}</definedName>
    <definedName name="_102T2_" hidden="1">{#N/A,#N/A,FALSE,"단축1";#N/A,#N/A,FALSE,"단축2";#N/A,#N/A,FALSE,"단축3";#N/A,#N/A,FALSE,"장축";#N/A,#N/A,FALSE,"4WD"}</definedName>
    <definedName name="_102W3_" hidden="1">{#N/A,#N/A,FALSE,"KMC최종회의(7월) 자료"}</definedName>
    <definedName name="_102W4_" hidden="1">{#N/A,#N/A,FALSE,"KMC최종회의(7월) 자료"}</definedName>
    <definedName name="_102W4__1" hidden="1">{#N/A,#N/A,FALSE,"KMC최종회의(7월) 자료"}</definedName>
    <definedName name="_102w5_" hidden="1">{#N/A,#N/A,FALSE,"신규dep";#N/A,#N/A,FALSE,"신규dep-금형상각후";#N/A,#N/A,FALSE,"신규dep-연구비상각후";#N/A,#N/A,FALSE,"신규dep-기계,공구상각후"}</definedName>
    <definedName name="_102W6_" hidden="1">{#N/A,#N/A,FALSE,"KMC최종회의(7월) 자료"}</definedName>
    <definedName name="_102W6__1" hidden="1">{#N/A,#N/A,FALSE,"KMC최종회의(7월) 자료"}</definedName>
    <definedName name="_102W8_" hidden="1">{#N/A,#N/A,FALSE,"KMC최종회의(7월) 자료"}</definedName>
    <definedName name="_102X1_" hidden="1">{#N/A,#N/A,FALSE,"KMC최종회의(7월) 자료"}</definedName>
    <definedName name="_102X2_" hidden="1">{#N/A,#N/A,FALSE,"KMC최종회의(7월) 자료"}</definedName>
    <definedName name="_102X5_" hidden="1">{#N/A,#N/A,FALSE,"KMC최종회의(7월) 자료"}</definedName>
    <definedName name="_102X6_" hidden="1">{#N/A,#N/A,FALSE,"KMC최종회의(7월) 자료"}</definedName>
    <definedName name="_102X7_" hidden="1">{#N/A,#N/A,FALSE,"KMC최종회의(7월) 자료"}</definedName>
    <definedName name="_102X8_" hidden="1">{#N/A,#N/A,FALSE,"KMC최종회의(7월) 자료"}</definedName>
    <definedName name="_102Z2_" hidden="1">{#N/A,#N/A,FALSE,"KMC최종회의(7월) 자료"}</definedName>
    <definedName name="_102Z3_" hidden="1">{#N/A,#N/A,FALSE,"KMC최종회의(7월) 자료"}</definedName>
    <definedName name="_102Z5_" hidden="1">{#N/A,#N/A,FALSE,"KMC최종회의(7월) 자료"}</definedName>
    <definedName name="_102Z7_" hidden="1">{#N/A,#N/A,FALSE,"KMC최종회의(7월) 자료"}</definedName>
    <definedName name="_102Z8_" hidden="1">{#N/A,#N/A,FALSE,"KMC최종회의(7월) 자료"}</definedName>
    <definedName name="_103__123Graph_XC04C_FR_T1" hidden="1">#REF!</definedName>
    <definedName name="_1033Q1_" hidden="1">{#N/A,#N/A,FALSE,"KMC최종회의(7월) 자료"}</definedName>
    <definedName name="_1033S7_" hidden="1">{#N/A,#N/A,FALSE,"KMC최종회의(7월) 자료"}</definedName>
    <definedName name="_1033z4_" hidden="1">{#N/A,#N/A,FALSE,"단축1";#N/A,#N/A,FALSE,"단축2";#N/A,#N/A,FALSE,"단축3";#N/A,#N/A,FALSE,"장축";#N/A,#N/A,FALSE,"4WD"}</definedName>
    <definedName name="_1034X7_" hidden="1">{#N/A,#N/A,FALSE,"KMC최종회의(7월) 자료"}</definedName>
    <definedName name="_1036Q2_" hidden="1">{#N/A,#N/A,FALSE,"KMC최종회의(7월) 자료"}</definedName>
    <definedName name="_1038S8_" hidden="1">{#N/A,#N/A,FALSE,"KMC최종회의(7월) 자료"}</definedName>
    <definedName name="_103CL22_" hidden="1">{#N/A,#N/A,FALSE,"KMC최종회의(7월) 자료"}</definedName>
    <definedName name="_103E1_" hidden="1">{#N/A,#N/A,FALSE,"KMC최종회의(7월) 자료"}</definedName>
    <definedName name="_103e4_" hidden="1">{#N/A,#N/A,FALSE,"단축1";#N/A,#N/A,FALSE,"단축2";#N/A,#N/A,FALSE,"단축3";#N/A,#N/A,FALSE,"장축";#N/A,#N/A,FALSE,"4WD"}</definedName>
    <definedName name="_103e5_" hidden="1">{#N/A,#N/A,FALSE,"단축1";#N/A,#N/A,FALSE,"단축2";#N/A,#N/A,FALSE,"단축3";#N/A,#N/A,FALSE,"장축";#N/A,#N/A,FALSE,"4WD"}</definedName>
    <definedName name="_103F4_" hidden="1">{#N/A,#N/A,FALSE,"개발계획표지";#N/A,#N/A,FALSE,"목차";#N/A,#N/A,FALSE,"개요"}</definedName>
    <definedName name="_103H1620_" hidden="1">{#N/A,#N/A,FALSE,"단축1";#N/A,#N/A,FALSE,"단축2";#N/A,#N/A,FALSE,"단축3";#N/A,#N/A,FALSE,"장축";#N/A,#N/A,FALSE,"4WD"}</definedName>
    <definedName name="_103k1_" hidden="1">#REF!</definedName>
    <definedName name="_103Q3_" hidden="1">{#N/A,#N/A,FALSE,"KMC최종회의(7월) 자료"}</definedName>
    <definedName name="_103Q8_" hidden="1">{#N/A,#N/A,FALSE,"KMC최종회의(7월) 자료"}</definedName>
    <definedName name="_103s1_" hidden="1">{#N/A,#N/A,FALSE,"신규dep";#N/A,#N/A,FALSE,"신규dep-금형상각후";#N/A,#N/A,FALSE,"신규dep-연구비상각후";#N/A,#N/A,FALSE,"신규dep-기계,공구상각후"}</definedName>
    <definedName name="_103S3_" hidden="1">{#N/A,#N/A,FALSE,"KMC최종회의(7월) 자료"}</definedName>
    <definedName name="_103S8_" hidden="1">{#N/A,#N/A,FALSE,"KMC최종회의(7월) 자료"}</definedName>
    <definedName name="_103T2_" hidden="1">{#N/A,#N/A,FALSE,"단축1";#N/A,#N/A,FALSE,"단축2";#N/A,#N/A,FALSE,"단축3";#N/A,#N/A,FALSE,"장축";#N/A,#N/A,FALSE,"4WD"}</definedName>
    <definedName name="_103T3_" hidden="1">{#N/A,#N/A,FALSE,"단축1";#N/A,#N/A,FALSE,"단축2";#N/A,#N/A,FALSE,"단축3";#N/A,#N/A,FALSE,"장축";#N/A,#N/A,FALSE,"4WD"}</definedName>
    <definedName name="_103w1_" hidden="1">{#N/A,#N/A,FALSE,"신규dep";#N/A,#N/A,FALSE,"신규dep-금형상각후";#N/A,#N/A,FALSE,"신규dep-연구비상각후";#N/A,#N/A,FALSE,"신규dep-기계,공구상각후"}</definedName>
    <definedName name="_103w1__1" hidden="1">{#N/A,#N/A,FALSE,"신규dep";#N/A,#N/A,FALSE,"신규dep-금형상각후";#N/A,#N/A,FALSE,"신규dep-연구비상각후";#N/A,#N/A,FALSE,"신규dep-기계,공구상각후"}</definedName>
    <definedName name="_103W2_" hidden="1">{#N/A,#N/A,FALSE,"품의서";#N/A,#N/A,FALSE,"전제";#N/A,#N/A,FALSE,"총손";#N/A,#N/A,FALSE,"손익"}</definedName>
    <definedName name="_103W5_" hidden="1">{#N/A,#N/A,FALSE,"KMC최종회의(7월) 자료"}</definedName>
    <definedName name="_103W7_" hidden="1">{#N/A,#N/A,FALSE,"KMC최종회의(7월) 자료"}</definedName>
    <definedName name="_103W7__1" hidden="1">{#N/A,#N/A,FALSE,"KMC최종회의(7월) 자료"}</definedName>
    <definedName name="_103W8_" hidden="1">{#N/A,#N/A,FALSE,"KMC최종회의(7월) 자료"}</definedName>
    <definedName name="_103X8_" hidden="1">{#N/A,#N/A,FALSE,"KMC최종회의(7월) 자료"}</definedName>
    <definedName name="_103Z5_" hidden="1">{#N/A,#N/A,FALSE,"KMC최종회의(7월) 자료"}</definedName>
    <definedName name="_103Z6_" hidden="1">{#N/A,#N/A,FALSE,"KMC최종회의(7월) 자료"}</definedName>
    <definedName name="_103Z6__1" hidden="1">{#N/A,#N/A,FALSE,"KMC최종회의(7월) 자료"}</definedName>
    <definedName name="_103Z7_" hidden="1">{#N/A,#N/A,FALSE,"KMC최종회의(7월) 자료"}</definedName>
    <definedName name="_103Z8_" hidden="1">{#N/A,#N/A,FALSE,"KMC최종회의(7월) 자료"}</definedName>
    <definedName name="_104__123Graph_XC04C_FR_T1" hidden="1">#REF!</definedName>
    <definedName name="_104____S" hidden="1">#REF!</definedName>
    <definedName name="_1043T2_" hidden="1">{#N/A,#N/A,FALSE,"단축1";#N/A,#N/A,FALSE,"단축2";#N/A,#N/A,FALSE,"단축3";#N/A,#N/A,FALSE,"장축";#N/A,#N/A,FALSE,"4WD"}</definedName>
    <definedName name="_1044____S" hidden="1">#REF!</definedName>
    <definedName name="_1047Q3_" hidden="1">{#N/A,#N/A,FALSE,"KMC최종회의(7월) 자료"}</definedName>
    <definedName name="_1048T3_" hidden="1">{#N/A,#N/A,FALSE,"단축1";#N/A,#N/A,FALSE,"단축2";#N/A,#N/A,FALSE,"단축3";#N/A,#N/A,FALSE,"장축";#N/A,#N/A,FALSE,"4WD"}</definedName>
    <definedName name="_104A3_" hidden="1">{#N/A,#N/A,FALSE,"KMC최종회의(7월) 자료"}</definedName>
    <definedName name="_104A4_" hidden="1">{#N/A,#N/A,FALSE,"KMC최종회의(7월) 자료"}</definedName>
    <definedName name="_104k7_" hidden="1">{#N/A,#N/A,FALSE,"단축1";#N/A,#N/A,FALSE,"단축2";#N/A,#N/A,FALSE,"단축3";#N/A,#N/A,FALSE,"장축";#N/A,#N/A,FALSE,"4WD"}</definedName>
    <definedName name="_104Q1_" hidden="1">{#N/A,#N/A,FALSE,"KMC최종회의(7월) 자료"}</definedName>
    <definedName name="_104Q9_" hidden="1">{#N/A,#N/A,FALSE,"KMC최종회의(7월) 자료"}</definedName>
    <definedName name="_104S1_" hidden="1">{#N/A,#N/A,FALSE,"KMC최종회의(7월) 자료"}</definedName>
    <definedName name="_104S4_" hidden="1">{#N/A,#N/A,FALSE,"KMC최종회의(7월) 자료"}</definedName>
    <definedName name="_104S6_" hidden="1">{#N/A,#N/A,FALSE,"KMC최종회의(7월) 자료"}</definedName>
    <definedName name="_104S8_" hidden="1">{#N/A,#N/A,FALSE,"KMC최종회의(7월) 자료"}</definedName>
    <definedName name="_104W4_" hidden="1">{#N/A,#N/A,FALSE,"KMC최종회의(7월) 자료"}</definedName>
    <definedName name="_104W6_" hidden="1">{#N/A,#N/A,FALSE,"KMC최종회의(7월) 자료"}</definedName>
    <definedName name="_104W8_" hidden="1">{#N/A,#N/A,FALSE,"KMC최종회의(7월) 자료"}</definedName>
    <definedName name="_104W8__1" hidden="1">{#N/A,#N/A,FALSE,"KMC최종회의(7월) 자료"}</definedName>
    <definedName name="_104X2_" hidden="1">{#N/A,#N/A,FALSE,"KMC최종회의(7월) 자료"}</definedName>
    <definedName name="_104X3_" hidden="1">{#N/A,#N/A,FALSE,"KMC최종회의(7월) 자료"}</definedName>
    <definedName name="_104X6_" hidden="1">{#N/A,#N/A,FALSE,"KMC최종회의(7월) 자료"}</definedName>
    <definedName name="_104X7_" hidden="1">{#N/A,#N/A,FALSE,"KMC최종회의(7월) 자료"}</definedName>
    <definedName name="_104X8_" hidden="1">{#N/A,#N/A,FALSE,"KMC최종회의(7월) 자료"}</definedName>
    <definedName name="_104Z1_" hidden="1">{#N/A,#N/A,FALSE,"KMC최종회의(7월) 자료"}</definedName>
    <definedName name="_104Z3_" hidden="1">{#N/A,#N/A,FALSE,"KMC최종회의(7월) 자료"}</definedName>
    <definedName name="_104Z4_" hidden="1">{#N/A,#N/A,FALSE,"KMC최종회의(7월) 자료"}</definedName>
    <definedName name="_104Z6_" hidden="1">{#N/A,#N/A,FALSE,"KMC최종회의(7월) 자료"}</definedName>
    <definedName name="_104Z8_" hidden="1">{#N/A,#N/A,FALSE,"KMC최종회의(7월) 자료"}</definedName>
    <definedName name="_104Z9_" hidden="1">{#N/A,#N/A,FALSE,"KMC최종회의(7월) 자료"}</definedName>
    <definedName name="_105____S" hidden="1">#REF!</definedName>
    <definedName name="_1050Q5_" hidden="1">{#N/A,#N/A,FALSE,"KMC최종회의(7월) 자료"}</definedName>
    <definedName name="_1050X8_" hidden="1">{#N/A,#N/A,FALSE,"KMC최종회의(7월) 자료"}</definedName>
    <definedName name="_1053Q7_" hidden="1">{#N/A,#N/A,FALSE,"KMC최종회의(7월) 자료"}</definedName>
    <definedName name="_1056Q8_" hidden="1">{#N/A,#N/A,FALSE,"KMC최종회의(7월) 자료"}</definedName>
    <definedName name="_1059Q9_" hidden="1">{#N/A,#N/A,FALSE,"KMC최종회의(7월) 자료"}</definedName>
    <definedName name="_105A4444_" hidden="1">{#N/A,#N/A,FALSE,"KMC최종회의(7월) 자료"}</definedName>
    <definedName name="_105A9_" hidden="1">{#N/A,#N/A,FALSE,"KMC최종회의(7월) 자료"}</definedName>
    <definedName name="_105CL33_" hidden="1">{#N/A,#N/A,FALSE,"KMC최종회의(7월) 자료"}</definedName>
    <definedName name="_105DB777_" hidden="1">{#N/A,#N/A,TRUE,"Y생산";#N/A,#N/A,TRUE,"Y판매";#N/A,#N/A,TRUE,"Y총물량";#N/A,#N/A,TRUE,"Y능력";#N/A,#N/A,TRUE,"YKD"}</definedName>
    <definedName name="_105EO2_" hidden="1">{#N/A,#N/A,FALSE,"신규dep";#N/A,#N/A,FALSE,"신규dep-금형상각후";#N/A,#N/A,FALSE,"신규dep-연구비상각후";#N/A,#N/A,FALSE,"신규dep-기계,공구상각후"}</definedName>
    <definedName name="_105H20_" hidden="1">{#N/A,#N/A,FALSE,"단축1";#N/A,#N/A,FALSE,"단축2";#N/A,#N/A,FALSE,"단축3";#N/A,#N/A,FALSE,"장축";#N/A,#N/A,FALSE,"4WD"}</definedName>
    <definedName name="_105HP02_" hidden="1">{#N/A,#N/A,FALSE,"단축1";#N/A,#N/A,FALSE,"단축2";#N/A,#N/A,FALSE,"단축3";#N/A,#N/A,FALSE,"장축";#N/A,#N/A,FALSE,"4WD"}</definedName>
    <definedName name="_105HP02__1" hidden="1">{#N/A,#N/A,FALSE,"단축1";#N/A,#N/A,FALSE,"단축2";#N/A,#N/A,FALSE,"단축3";#N/A,#N/A,FALSE,"장축";#N/A,#N/A,FALSE,"4WD"}</definedName>
    <definedName name="_105k8_" hidden="1">{#N/A,#N/A,FALSE,"단축1";#N/A,#N/A,FALSE,"단축2";#N/A,#N/A,FALSE,"단축3";#N/A,#N/A,FALSE,"장축";#N/A,#N/A,FALSE,"4WD"}</definedName>
    <definedName name="_105k9_" hidden="1">{#N/A,#N/A,FALSE,"단축1";#N/A,#N/A,FALSE,"단축2";#N/A,#N/A,FALSE,"단축3";#N/A,#N/A,FALSE,"장축";#N/A,#N/A,FALSE,"4WD"}</definedName>
    <definedName name="_105P09_" hidden="1">{#N/A,#N/A,FALSE,"단축1";#N/A,#N/A,FALSE,"단축2";#N/A,#N/A,FALSE,"단축3";#N/A,#N/A,FALSE,"장축";#N/A,#N/A,FALSE,"4WD"}</definedName>
    <definedName name="_105Q3_" hidden="1">{#N/A,#N/A,FALSE,"KMC최종회의(7월) 자료"}</definedName>
    <definedName name="_105Q5_" hidden="1">{#N/A,#N/A,FALSE,"KMC최종회의(7월) 자료"}</definedName>
    <definedName name="_105Q7_" hidden="1">{#N/A,#N/A,FALSE,"KMC최종회의(7월) 자료"}</definedName>
    <definedName name="_105Q9_" hidden="1">{#N/A,#N/A,FALSE,"KMC최종회의(7월) 자료"}</definedName>
    <definedName name="_105S1_" hidden="1">{#N/A,#N/A,FALSE,"KMC최종회의(7월) 자료"}</definedName>
    <definedName name="_105S3_" hidden="1">{#N/A,#N/A,FALSE,"KMC최종회의(7월) 자료"}</definedName>
    <definedName name="_105S5_" hidden="1">{#N/A,#N/A,FALSE,"KMC최종회의(7월) 자료"}</definedName>
    <definedName name="_105S7_" hidden="1">{#N/A,#N/A,FALSE,"KMC최종회의(7월) 자료"}</definedName>
    <definedName name="_105t4_" hidden="1">{#N/A,#N/A,FALSE,"단축1";#N/A,#N/A,FALSE,"단축2";#N/A,#N/A,FALSE,"단축3";#N/A,#N/A,FALSE,"장축";#N/A,#N/A,FALSE,"4WD"}</definedName>
    <definedName name="_105W2_" hidden="1">{#N/A,#N/A,FALSE,"품의서";#N/A,#N/A,FALSE,"전제";#N/A,#N/A,FALSE,"총손";#N/A,#N/A,FALSE,"손익"}</definedName>
    <definedName name="_105W2__1" hidden="1">{#N/A,#N/A,FALSE,"품의서";#N/A,#N/A,FALSE,"전제";#N/A,#N/A,FALSE,"총손";#N/A,#N/A,FALSE,"손익"}</definedName>
    <definedName name="_105w4_" hidden="1">{#N/A,#N/A,FALSE,"단축1";#N/A,#N/A,FALSE,"단축2";#N/A,#N/A,FALSE,"단축3";#N/A,#N/A,FALSE,"장축";#N/A,#N/A,FALSE,"4WD"}</definedName>
    <definedName name="_105W5_" hidden="1">{#N/A,#N/A,FALSE,"KMC최종회의(7월) 자료"}</definedName>
    <definedName name="_105W5__1" hidden="1">{#N/A,#N/A,FALSE,"KMC최종회의(7월) 자료"}</definedName>
    <definedName name="_105W6_" hidden="1">{#N/A,#N/A,FALSE,"KMC최종회의(7월) 자료"}</definedName>
    <definedName name="_105W9_" hidden="1">{#N/A,#N/A,FALSE,"KMC최종회의(7월) 자료"}</definedName>
    <definedName name="_105W9__1" hidden="1">{#N/A,#N/A,FALSE,"KMC최종회의(7월) 자료"}</definedName>
    <definedName name="_105X2_" hidden="1">{#N/A,#N/A,FALSE,"KMC최종회의(7월) 자료"}</definedName>
    <definedName name="_105Z1_" hidden="1">{#N/A,#N/A,FALSE,"KMC최종회의(7월) 자료"}</definedName>
    <definedName name="_105Z6_" hidden="1">{#N/A,#N/A,FALSE,"KMC최종회의(7월) 자료"}</definedName>
    <definedName name="_105Z7_" hidden="1">{#N/A,#N/A,FALSE,"KMC최종회의(7월) 자료"}</definedName>
    <definedName name="_105Z7__1" hidden="1">{#N/A,#N/A,FALSE,"KMC최종회의(7월) 자료"}</definedName>
    <definedName name="_105Z8_" hidden="1">{#N/A,#N/A,FALSE,"KMC최종회의(7월) 자료"}</definedName>
    <definedName name="_105Z9_" hidden="1">{#N/A,#N/A,FALSE,"KMC최종회의(7월) 자료"}</definedName>
    <definedName name="_106__0_S" hidden="1">#REF!</definedName>
    <definedName name="_1061U1_" hidden="1">{#N/A,#N/A,FALSE,"단축1";#N/A,#N/A,FALSE,"단축2";#N/A,#N/A,FALSE,"단축3";#N/A,#N/A,FALSE,"장축";#N/A,#N/A,FALSE,"4WD"}</definedName>
    <definedName name="_1062S1_" hidden="1">{#N/A,#N/A,FALSE,"KMC최종회의(7월) 자료"}</definedName>
    <definedName name="_1065S2_" hidden="1">{#N/A,#N/A,FALSE,"KMC최종회의(7월) 자료"}</definedName>
    <definedName name="_1066Z1_" hidden="1">{#N/A,#N/A,FALSE,"KMC최종회의(7월) 자료"}</definedName>
    <definedName name="_1068S3_" hidden="1">{#N/A,#N/A,FALSE,"KMC최종회의(7월) 자료"}</definedName>
    <definedName name="_106CL222_" hidden="1">{#N/A,#N/A,FALSE,"KMC최종회의(7월) 자료"}</definedName>
    <definedName name="_106DB777_" hidden="1">{#N/A,#N/A,TRUE,"Y생산";#N/A,#N/A,TRUE,"Y판매";#N/A,#N/A,TRUE,"Y총물량";#N/A,#N/A,TRUE,"Y능력";#N/A,#N/A,TRUE,"YKD"}</definedName>
    <definedName name="_106FG1_" hidden="1">{#N/A,#N/A,FALSE,"단축1";#N/A,#N/A,FALSE,"단축2";#N/A,#N/A,FALSE,"단축3";#N/A,#N/A,FALSE,"장축";#N/A,#N/A,FALSE,"4WD"}</definedName>
    <definedName name="_106k9_" hidden="1">{#N/A,#N/A,FALSE,"단축1";#N/A,#N/A,FALSE,"단축2";#N/A,#N/A,FALSE,"단축3";#N/A,#N/A,FALSE,"장축";#N/A,#N/A,FALSE,"4WD"}</definedName>
    <definedName name="_106P2_" hidden="1">{#N/A,#N/A,FALSE,"단축1";#N/A,#N/A,FALSE,"단축2";#N/A,#N/A,FALSE,"단축3";#N/A,#N/A,FALSE,"장축";#N/A,#N/A,FALSE,"4WD"}</definedName>
    <definedName name="_106Q123_" hidden="1">{"'7-2지역별'!$A$1:$R$44"}</definedName>
    <definedName name="_106Q2_" hidden="1">{#N/A,#N/A,FALSE,"KMC최종회의(7월) 자료"}</definedName>
    <definedName name="_106Q5_" hidden="1">{#N/A,#N/A,FALSE,"KMC최종회의(7월) 자료"}</definedName>
    <definedName name="_106s2_" hidden="1">{#N/A,#N/A,FALSE,"신규dep";#N/A,#N/A,FALSE,"신규dep-금형상각후";#N/A,#N/A,FALSE,"신규dep-연구비상각후";#N/A,#N/A,FALSE,"신규dep-기계,공구상각후"}</definedName>
    <definedName name="_106S6_" hidden="1">{#N/A,#N/A,FALSE,"KMC최종회의(7월) 자료"}</definedName>
    <definedName name="_106W1_" hidden="1">{#N/A,#N/A,FALSE,"KMC최종회의(7월) 자료"}</definedName>
    <definedName name="_106W5_" hidden="1">{#N/A,#N/A,FALSE,"KMC최종회의(7월) 자료"}</definedName>
    <definedName name="_106W6_" hidden="1">{#N/A,#N/A,FALSE,"KMC최종회의(7월) 자료"}</definedName>
    <definedName name="_106X3_" hidden="1">{#N/A,#N/A,FALSE,"KMC최종회의(7월) 자료"}</definedName>
    <definedName name="_106X4_" hidden="1">{#N/A,#N/A,FALSE,"KMC최종회의(7월) 자료"}</definedName>
    <definedName name="_106X7_" hidden="1">{#N/A,#N/A,FALSE,"KMC최종회의(7월) 자료"}</definedName>
    <definedName name="_106X8_" hidden="1">{#N/A,#N/A,FALSE,"KMC최종회의(7월) 자료"}</definedName>
    <definedName name="_106Z1_" hidden="1">{#N/A,#N/A,FALSE,"KMC최종회의(7월) 자료"}</definedName>
    <definedName name="_106z123_" hidden="1">{#N/A,#N/A,FALSE,"단축1";#N/A,#N/A,FALSE,"단축2";#N/A,#N/A,FALSE,"단축3";#N/A,#N/A,FALSE,"장축";#N/A,#N/A,FALSE,"4WD"}</definedName>
    <definedName name="_106Z2_" hidden="1">{#N/A,#N/A,FALSE,"KMC최종회의(7월) 자료"}</definedName>
    <definedName name="_106Z4_" hidden="1">{#N/A,#N/A,FALSE,"KMC최종회의(7월) 자료"}</definedName>
    <definedName name="_106Z5_" hidden="1">{#N/A,#N/A,FALSE,"KMC최종회의(7월) 자료"}</definedName>
    <definedName name="_106Z7_" hidden="1">{#N/A,#N/A,FALSE,"KMC최종회의(7월) 자료"}</definedName>
    <definedName name="_106Z9_" hidden="1">{#N/A,#N/A,FALSE,"KMC최종회의(7월) 자료"}</definedName>
    <definedName name="_107__123Graph_XC04C_FR_T2" hidden="1">#REF!</definedName>
    <definedName name="_1071S4_" hidden="1">{#N/A,#N/A,FALSE,"KMC최종회의(7월) 자료"}</definedName>
    <definedName name="_1074S5_" hidden="1">{#N/A,#N/A,FALSE,"KMC최종회의(7월) 자료"}</definedName>
    <definedName name="_1074W1_" hidden="1">{#N/A,#N/A,FALSE,"KMC최종회의(7월) 자료"}</definedName>
    <definedName name="_1077S6_" hidden="1">{#N/A,#N/A,FALSE,"KMC최종회의(7월) 자료"}</definedName>
    <definedName name="_1079W2_" hidden="1">{#N/A,#N/A,FALSE,"KMC최종회의(7월) 자료"}</definedName>
    <definedName name="_107E1_" hidden="1">{#N/A,#N/A,FALSE,"KMC최종회의(7월) 자료"}</definedName>
    <definedName name="_107E2_" hidden="1">{#N/A,#N/A,FALSE,"KMC최종회의(7월) 자료"}</definedName>
    <definedName name="_107FG1_" hidden="1">{#N/A,#N/A,FALSE,"단축1";#N/A,#N/A,FALSE,"단축2";#N/A,#N/A,FALSE,"단축3";#N/A,#N/A,FALSE,"장축";#N/A,#N/A,FALSE,"4WD"}</definedName>
    <definedName name="_107HP02_" hidden="1">{#N/A,#N/A,FALSE,"단축1";#N/A,#N/A,FALSE,"단축2";#N/A,#N/A,FALSE,"단축3";#N/A,#N/A,FALSE,"장축";#N/A,#N/A,FALSE,"4WD"}</definedName>
    <definedName name="_107O11_" hidden="1">{#N/A,#N/A,FALSE,"단축1";#N/A,#N/A,FALSE,"단축2";#N/A,#N/A,FALSE,"단축3";#N/A,#N/A,FALSE,"장축";#N/A,#N/A,FALSE,"4WD"}</definedName>
    <definedName name="_107S2_" hidden="1">{#N/A,#N/A,FALSE,"KMC최종회의(7월) 자료"}</definedName>
    <definedName name="_107S3_" hidden="1">{#N/A,#N/A,FALSE,"KMC최종회의(7월) 자료"}</definedName>
    <definedName name="_107S5_" hidden="1">{#N/A,#N/A,FALSE,"KMC최종회의(7월) 자료"}</definedName>
    <definedName name="_107S7_" hidden="1">{#N/A,#N/A,FALSE,"KMC최종회의(7월) 자료"}</definedName>
    <definedName name="_107T5_" hidden="1">{#N/A,#N/A,FALSE,"단축1";#N/A,#N/A,FALSE,"단축2";#N/A,#N/A,FALSE,"단축3";#N/A,#N/A,FALSE,"장축";#N/A,#N/A,FALSE,"4WD"}</definedName>
    <definedName name="_107W1_" hidden="1">{#N/A,#N/A,FALSE,"KMC최종회의(7월) 자료"}</definedName>
    <definedName name="_107w3_" hidden="1">{#N/A,#N/A,FALSE,"신규dep";#N/A,#N/A,FALSE,"신규dep-금형상각후";#N/A,#N/A,FALSE,"신규dep-연구비상각후";#N/A,#N/A,FALSE,"신규dep-기계,공구상각후"}</definedName>
    <definedName name="_107w3__1" hidden="1">{#N/A,#N/A,FALSE,"신규dep";#N/A,#N/A,FALSE,"신규dep-금형상각후";#N/A,#N/A,FALSE,"신규dep-연구비상각후";#N/A,#N/A,FALSE,"신규dep-기계,공구상각후"}</definedName>
    <definedName name="_107w5_" hidden="1">{#N/A,#N/A,FALSE,"신규dep";#N/A,#N/A,FALSE,"신규dep-금형상각후";#N/A,#N/A,FALSE,"신규dep-연구비상각후";#N/A,#N/A,FALSE,"신규dep-기계,공구상각후"}</definedName>
    <definedName name="_107W7_" hidden="1">{#N/A,#N/A,FALSE,"KMC최종회의(7월) 자료"}</definedName>
    <definedName name="_107x1_" hidden="1">{#N/A,#N/A,FALSE,"단축1";#N/A,#N/A,FALSE,"단축2";#N/A,#N/A,FALSE,"단축3";#N/A,#N/A,FALSE,"장축";#N/A,#N/A,FALSE,"4WD"}</definedName>
    <definedName name="_107x1__1" hidden="1">{#N/A,#N/A,FALSE,"단축1";#N/A,#N/A,FALSE,"단축2";#N/A,#N/A,FALSE,"단축3";#N/A,#N/A,FALSE,"장축";#N/A,#N/A,FALSE,"4WD"}</definedName>
    <definedName name="_107Z2_" hidden="1">{#N/A,#N/A,FALSE,"KMC최종회의(7월) 자료"}</definedName>
    <definedName name="_107Z7_" hidden="1">{#N/A,#N/A,FALSE,"KMC최종회의(7월) 자료"}</definedName>
    <definedName name="_107Z8_" hidden="1">{#N/A,#N/A,FALSE,"KMC최종회의(7월) 자료"}</definedName>
    <definedName name="_107Z8__1" hidden="1">{#N/A,#N/A,FALSE,"KMC최종회의(7월) 자료"}</definedName>
    <definedName name="_107Z9_" hidden="1">{#N/A,#N/A,FALSE,"KMC최종회의(7월) 자료"}</definedName>
    <definedName name="_108__123Graph_XC04C_FR_T2" hidden="1">#REF!</definedName>
    <definedName name="_108__123Graph_XVALVE_BORE" hidden="1">#REF!</definedName>
    <definedName name="_108____S" hidden="1">#REF!</definedName>
    <definedName name="_1080S7_" hidden="1">{#N/A,#N/A,FALSE,"KMC최종회의(7월) 자료"}</definedName>
    <definedName name="_1082Z2_" hidden="1">{#N/A,#N/A,FALSE,"KMC최종회의(7월) 자료"}</definedName>
    <definedName name="_1083S8_" hidden="1">{#N/A,#N/A,FALSE,"KMC최종회의(7월) 자료"}</definedName>
    <definedName name="_1084A3_" hidden="1">{#N/A,#N/A,FALSE,"단축1";#N/A,#N/A,FALSE,"단축2";#N/A,#N/A,FALSE,"단축3";#N/A,#N/A,FALSE,"장축";#N/A,#N/A,FALSE,"4WD"}</definedName>
    <definedName name="_1084A3__1" hidden="1">{#N/A,#N/A,FALSE,"단축1";#N/A,#N/A,FALSE,"단축2";#N/A,#N/A,FALSE,"단축3";#N/A,#N/A,FALSE,"장축";#N/A,#N/A,FALSE,"4WD"}</definedName>
    <definedName name="_1084W3_" hidden="1">{#N/A,#N/A,FALSE,"KMC최종회의(7월) 자료"}</definedName>
    <definedName name="_1089T2_" hidden="1">{#N/A,#N/A,FALSE,"단축1";#N/A,#N/A,FALSE,"단축2";#N/A,#N/A,FALSE,"단축3";#N/A,#N/A,FALSE,"장축";#N/A,#N/A,FALSE,"4WD"}</definedName>
    <definedName name="_1089W4_" hidden="1">{#N/A,#N/A,FALSE,"KMC최종회의(7월) 자료"}</definedName>
    <definedName name="_108A3_" hidden="1">{#N/A,#N/A,FALSE,"단축1";#N/A,#N/A,FALSE,"단축2";#N/A,#N/A,FALSE,"단축3";#N/A,#N/A,FALSE,"장축";#N/A,#N/A,FALSE,"4WD"}</definedName>
    <definedName name="_108A4_" hidden="1">{#N/A,#N/A,FALSE,"KMC최종회의(7월) 자료"}</definedName>
    <definedName name="_108A5_" hidden="1">{#N/A,#N/A,FALSE,"KMC최종회의(7월) 자료"}</definedName>
    <definedName name="_108A8_" hidden="1">{#N/A,#N/A,FALSE,"KMC최종회의(7월) 자료"}</definedName>
    <definedName name="_108A8__1" hidden="1">{#N/A,#N/A,FALSE,"KMC최종회의(7월) 자료"}</definedName>
    <definedName name="_108A9_" hidden="1">{#N/A,#N/A,FALSE,"KMC최종회의(7월) 자료"}</definedName>
    <definedName name="_108CL22_" hidden="1">{#N/A,#N/A,FALSE,"KMC최종회의(7월) 자료"}</definedName>
    <definedName name="_108E1_" hidden="1">{#N/A,#N/A,FALSE,"KMC최종회의(7월) 자료"}</definedName>
    <definedName name="_108E1__1" hidden="1">{#N/A,#N/A,FALSE,"KMC최종회의(7월) 자료"}</definedName>
    <definedName name="_108E2_" hidden="1">{#N/A,#N/A,FALSE,"KMC최종회의(7월) 자료"}</definedName>
    <definedName name="_108e6_" hidden="1">{#N/A,#N/A,FALSE,"단축1";#N/A,#N/A,FALSE,"단축2";#N/A,#N/A,FALSE,"단축3";#N/A,#N/A,FALSE,"장축";#N/A,#N/A,FALSE,"4WD"}</definedName>
    <definedName name="_108HP2_" hidden="1">{#N/A,#N/A,FALSE,"단축1";#N/A,#N/A,FALSE,"단축2";#N/A,#N/A,FALSE,"단축3";#N/A,#N/A,FALSE,"장축";#N/A,#N/A,FALSE,"4WD"}</definedName>
    <definedName name="_108P2_" hidden="1">{#N/A,#N/A,FALSE,"단축1";#N/A,#N/A,FALSE,"단축2";#N/A,#N/A,FALSE,"단축3";#N/A,#N/A,FALSE,"장축";#N/A,#N/A,FALSE,"4WD"}</definedName>
    <definedName name="_108Q3_" hidden="1">{#N/A,#N/A,FALSE,"KMC최종회의(7월) 자료"}</definedName>
    <definedName name="_108Q9_" hidden="1">{#N/A,#N/A,FALSE,"KMC최종회의(7월) 자료"}</definedName>
    <definedName name="_108S2_" hidden="1">{#N/A,#N/A,FALSE,"KMC최종회의(7월) 자료"}</definedName>
    <definedName name="_108S4_" hidden="1">{#N/A,#N/A,FALSE,"KMC최종회의(7월) 자료"}</definedName>
    <definedName name="_108S8_" hidden="1">{#N/A,#N/A,FALSE,"KMC최종회의(7월) 자료"}</definedName>
    <definedName name="_108W1_" hidden="1">{#N/A,#N/A,FALSE,"KMC최종회의(7월) 자료"}</definedName>
    <definedName name="_108W2_" hidden="1">{#N/A,#N/A,FALSE,"KMC최종회의(7월) 자료"}</definedName>
    <definedName name="_108W6_" hidden="1">{#N/A,#N/A,FALSE,"KMC최종회의(7월) 자료"}</definedName>
    <definedName name="_108W6__1" hidden="1">{#N/A,#N/A,FALSE,"KMC최종회의(7월) 자료"}</definedName>
    <definedName name="_108W7_" hidden="1">{#N/A,#N/A,FALSE,"KMC최종회의(7월) 자료"}</definedName>
    <definedName name="_108X1_" hidden="1">{#N/A,#N/A,FALSE,"KMC최종회의(7월) 자료"}</definedName>
    <definedName name="_108X3_" hidden="1">{#N/A,#N/A,FALSE,"KMC최종회의(7월) 자료"}</definedName>
    <definedName name="_108X4_" hidden="1">{#N/A,#N/A,FALSE,"KMC최종회의(7월) 자료"}</definedName>
    <definedName name="_108X5_" hidden="1">{#N/A,#N/A,FALSE,"KMC최종회의(7월) 자료"}</definedName>
    <definedName name="_108X8_" hidden="1">{#N/A,#N/A,FALSE,"KMC최종회의(7월) 자료"}</definedName>
    <definedName name="_108Z1_" hidden="1">{#N/A,#N/A,FALSE,"KMC최종회의(7월) 자료"}</definedName>
    <definedName name="_108Z2_" hidden="1">{#N/A,#N/A,FALSE,"KMC최종회의(7월) 자료"}</definedName>
    <definedName name="_108Z3_" hidden="1">{#N/A,#N/A,FALSE,"KMC최종회의(7월) 자료"}</definedName>
    <definedName name="_108Z5_" hidden="1">{#N/A,#N/A,FALSE,"KMC최종회의(7월) 자료"}</definedName>
    <definedName name="_108Z6_" hidden="1">{#N/A,#N/A,FALSE,"KMC최종회의(7월) 자료"}</definedName>
    <definedName name="_108Z8_" hidden="1">{#N/A,#N/A,FALSE,"KMC최종회의(7월) 자료"}</definedName>
    <definedName name="_109__123Graph_XVALVE_BORE" hidden="1">#REF!</definedName>
    <definedName name="_109__0_S" hidden="1">#REF!</definedName>
    <definedName name="_1094T3_" hidden="1">{#N/A,#N/A,FALSE,"단축1";#N/A,#N/A,FALSE,"단축2";#N/A,#N/A,FALSE,"단축3";#N/A,#N/A,FALSE,"장축";#N/A,#N/A,FALSE,"4WD"}</definedName>
    <definedName name="_1094W5_" hidden="1">{#N/A,#N/A,FALSE,"KMC최종회의(7월) 자료"}</definedName>
    <definedName name="_1098Z3_" hidden="1">{#N/A,#N/A,FALSE,"KMC최종회의(7월) 자료"}</definedName>
    <definedName name="_1099T5_" hidden="1">{#N/A,#N/A,FALSE,"단축1";#N/A,#N/A,FALSE,"단축2";#N/A,#N/A,FALSE,"단축3";#N/A,#N/A,FALSE,"장축";#N/A,#N/A,FALSE,"4WD"}</definedName>
    <definedName name="_1099W6_" hidden="1">{#N/A,#N/A,FALSE,"KMC최종회의(7월) 자료"}</definedName>
    <definedName name="_109CL222_" hidden="1">{#N/A,#N/A,FALSE,"KMC최종회의(7월) 자료"}</definedName>
    <definedName name="_109CL33_" hidden="1">{#N/A,#N/A,FALSE,"KMC최종회의(7월) 자료"}</definedName>
    <definedName name="_109E1_" hidden="1">{#N/A,#N/A,FALSE,"KMC최종회의(7월) 자료"}</definedName>
    <definedName name="_109H1620_" hidden="1">{#N/A,#N/A,FALSE,"단축1";#N/A,#N/A,FALSE,"단축2";#N/A,#N/A,FALSE,"단축3";#N/A,#N/A,FALSE,"장축";#N/A,#N/A,FALSE,"4WD"}</definedName>
    <definedName name="_109HP2_" hidden="1">{#N/A,#N/A,FALSE,"단축1";#N/A,#N/A,FALSE,"단축2";#N/A,#N/A,FALSE,"단축3";#N/A,#N/A,FALSE,"장축";#N/A,#N/A,FALSE,"4WD"}</definedName>
    <definedName name="_109P2_" hidden="1">{#N/A,#N/A,FALSE,"단축1";#N/A,#N/A,FALSE,"단축2";#N/A,#N/A,FALSE,"단축3";#N/A,#N/A,FALSE,"장축";#N/A,#N/A,FALSE,"4WD"}</definedName>
    <definedName name="_109Q3_" hidden="1">{#N/A,#N/A,FALSE,"KMC최종회의(7월) 자료"}</definedName>
    <definedName name="_109Q7_" hidden="1">{#N/A,#N/A,FALSE,"KMC최종회의(7월) 자료"}</definedName>
    <definedName name="_109s3_" hidden="1">{#N/A,#N/A,FALSE,"단축1";#N/A,#N/A,FALSE,"단축2";#N/A,#N/A,FALSE,"단축3";#N/A,#N/A,FALSE,"장축";#N/A,#N/A,FALSE,"4WD"}</definedName>
    <definedName name="_109S5_" hidden="1">{#N/A,#N/A,FALSE,"KMC최종회의(7월) 자료"}</definedName>
    <definedName name="_109S8_" hidden="1">{#N/A,#N/A,FALSE,"KMC최종회의(7월) 자료"}</definedName>
    <definedName name="_109T2_" hidden="1">{#N/A,#N/A,FALSE,"단축1";#N/A,#N/A,FALSE,"단축2";#N/A,#N/A,FALSE,"단축3";#N/A,#N/A,FALSE,"장축";#N/A,#N/A,FALSE,"4WD"}</definedName>
    <definedName name="_109w4_" hidden="1">{#N/A,#N/A,FALSE,"단축1";#N/A,#N/A,FALSE,"단축2";#N/A,#N/A,FALSE,"단축3";#N/A,#N/A,FALSE,"장축";#N/A,#N/A,FALSE,"4WD"}</definedName>
    <definedName name="_109w4__1" hidden="1">{#N/A,#N/A,FALSE,"단축1";#N/A,#N/A,FALSE,"단축2";#N/A,#N/A,FALSE,"단축3";#N/A,#N/A,FALSE,"장축";#N/A,#N/A,FALSE,"4WD"}</definedName>
    <definedName name="_109W7_" hidden="1">{#N/A,#N/A,FALSE,"KMC최종회의(7월) 자료"}</definedName>
    <definedName name="_109W8_" hidden="1">{#N/A,#N/A,FALSE,"KMC최종회의(7월) 자료"}</definedName>
    <definedName name="_109x2_" hidden="1">{#N/A,#N/A,FALSE,"단축1";#N/A,#N/A,FALSE,"단축2";#N/A,#N/A,FALSE,"단축3";#N/A,#N/A,FALSE,"장축";#N/A,#N/A,FALSE,"4WD"}</definedName>
    <definedName name="_109x2__1" hidden="1">{#N/A,#N/A,FALSE,"단축1";#N/A,#N/A,FALSE,"단축2";#N/A,#N/A,FALSE,"단축3";#N/A,#N/A,FALSE,"장축";#N/A,#N/A,FALSE,"4WD"}</definedName>
    <definedName name="_109z1_" hidden="1">{#N/A,#N/A,FALSE,"단축1";#N/A,#N/A,FALSE,"단축2";#N/A,#N/A,FALSE,"단축3";#N/A,#N/A,FALSE,"장축";#N/A,#N/A,FALSE,"4WD"}</definedName>
    <definedName name="_109Z3_" hidden="1">{#N/A,#N/A,FALSE,"KMC최종회의(7월) 자료"}</definedName>
    <definedName name="_109Z8_" hidden="1">{#N/A,#N/A,FALSE,"KMC최종회의(7월) 자료"}</definedName>
    <definedName name="_109Z9_" hidden="1">{#N/A,#N/A,FALSE,"KMC최종회의(7월) 자료"}</definedName>
    <definedName name="_109Z9__1" hidden="1">{#N/A,#N/A,FALSE,"KMC최종회의(7월) 자료"}</definedName>
    <definedName name="_10A0323_" hidden="1">{#N/A,#N/A,FALSE,"단축1";#N/A,#N/A,FALSE,"단축2";#N/A,#N/A,FALSE,"단축3";#N/A,#N/A,FALSE,"장축";#N/A,#N/A,FALSE,"4WD"}</definedName>
    <definedName name="_10A12458_" hidden="1">{#N/A,#N/A,FALSE,"단축1";#N/A,#N/A,FALSE,"단축2";#N/A,#N/A,FALSE,"단축3";#N/A,#N/A,FALSE,"장축";#N/A,#N/A,FALSE,"4WD"}</definedName>
    <definedName name="_10A2_" hidden="1">{#N/A,#N/A,FALSE,"KMC최종회의(7월) 자료"}</definedName>
    <definedName name="_10A21321_" hidden="1">{#N/A,#N/A,FALSE,"단축1";#N/A,#N/A,FALSE,"단축2";#N/A,#N/A,FALSE,"단축3";#N/A,#N/A,FALSE,"장축";#N/A,#N/A,FALSE,"4WD"}</definedName>
    <definedName name="_10A3_" hidden="1">{#N/A,#N/A,FALSE,"단축1";#N/A,#N/A,FALSE,"단축2";#N/A,#N/A,FALSE,"단축3";#N/A,#N/A,FALSE,"장축";#N/A,#N/A,FALSE,"4WD"}</definedName>
    <definedName name="_10A4_" hidden="1">{#N/A,#N/A,FALSE,"KMC최종회의(7월) 자료"}</definedName>
    <definedName name="_10A5_" hidden="1">{#N/A,#N/A,FALSE,"KMC최종회의(7월) 자료"}</definedName>
    <definedName name="_10A6_" hidden="1">{#N/A,#N/A,FALSE,"KMC최종회의(7월) 자료"}</definedName>
    <definedName name="_10A7_" hidden="1">{#N/A,#N/A,FALSE,"KMC최종회의(7월) 자료"}</definedName>
    <definedName name="_10A8_" hidden="1">{#N/A,#N/A,FALSE,"KMC최종회의(7월) 자료"}</definedName>
    <definedName name="_10A9_" hidden="1">{#N/A,#N/A,FALSE,"KMC최종회의(7월) 자료"}</definedName>
    <definedName name="_10A9__1" hidden="1">{#N/A,#N/A,FALSE,"KMC최종회의(7월) 자료"}</definedName>
    <definedName name="_10AA4_" hidden="1">{#N/A,#N/A,FALSE,"신규dep";#N/A,#N/A,FALSE,"신규dep-금형상각후";#N/A,#N/A,FALSE,"신규dep-연구비상각후";#N/A,#N/A,FALSE,"신규dep-기계,공구상각후"}</definedName>
    <definedName name="_10AS6_" hidden="1">{#N/A,#N/A,FALSE,"Australien";#N/A,#N/A,FALSE,"Birmingham";#N/A,#N/A,FALSE,"Brasilien";#N/A,#N/A,FALSE,"Prag";#N/A,#N/A,FALSE,"Spanien";#N/A,#N/A,FALSE,"Malaysia ( Com)";#N/A,#N/A,FALSE,"Malaysia (Instr)"}</definedName>
    <definedName name="_1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CL22_" hidden="1">{#N/A,#N/A,FALSE,"KMC최종회의(7월) 자료"}</definedName>
    <definedName name="_10CL222_" hidden="1">{#N/A,#N/A,FALSE,"KMC최종회의(7월) 자료"}</definedName>
    <definedName name="_10DB777_" hidden="1">{#N/A,#N/A,TRUE,"Y생산";#N/A,#N/A,TRUE,"Y판매";#N/A,#N/A,TRUE,"Y총물량";#N/A,#N/A,TRUE,"Y능력";#N/A,#N/A,TRUE,"YKD"}</definedName>
    <definedName name="_10E1_" hidden="1">{#N/A,#N/A,FALSE,"KMC최종회의(7월) 자료"}</definedName>
    <definedName name="_10E1__1" hidden="1">{#N/A,#N/A,FALSE,"KMC최종회의(7월) 자료"}</definedName>
    <definedName name="_10E2_" hidden="1">{#N/A,#N/A,FALSE,"KMC최종회의(7월) 자료"}</definedName>
    <definedName name="_10E2__1" hidden="1">{#N/A,#N/A,FALSE,"KMC최종회의(7월) 자료"}</definedName>
    <definedName name="_10EO2_" hidden="1">{#N/A,#N/A,FALSE,"신규dep";#N/A,#N/A,FALSE,"신규dep-금형상각후";#N/A,#N/A,FALSE,"신규dep-연구비상각후";#N/A,#N/A,FALSE,"신규dep-기계,공구상각후"}</definedName>
    <definedName name="_10h1_" hidden="1">{"'표지'!$B$5"}</definedName>
    <definedName name="_10H1620_" hidden="1">{#N/A,#N/A,FALSE,"단축1";#N/A,#N/A,FALSE,"단축2";#N/A,#N/A,FALSE,"단축3";#N/A,#N/A,FALSE,"장축";#N/A,#N/A,FALSE,"4WD"}</definedName>
    <definedName name="_10HP2_" hidden="1">{#N/A,#N/A,FALSE,"단축1";#N/A,#N/A,FALSE,"단축2";#N/A,#N/A,FALSE,"단축3";#N/A,#N/A,FALSE,"장축";#N/A,#N/A,FALSE,"4WD"}</definedName>
    <definedName name="_10k7_" hidden="1">{#N/A,#N/A,FALSE,"단축1";#N/A,#N/A,FALSE,"단축2";#N/A,#N/A,FALSE,"단축3";#N/A,#N/A,FALSE,"장축";#N/A,#N/A,FALSE,"4WD"}</definedName>
    <definedName name="_10k9_" hidden="1">{#N/A,#N/A,FALSE,"단축1";#N/A,#N/A,FALSE,"단축2";#N/A,#N/A,FALSE,"단축3";#N/A,#N/A,FALSE,"장축";#N/A,#N/A,FALSE,"4WD"}</definedName>
    <definedName name="_10Q7_" hidden="1">{#N/A,#N/A,FALSE,"KMC최종회의(7월) 자료"}</definedName>
    <definedName name="_10S4_" hidden="1">{#N/A,#N/A,FALSE,"KMC최종회의(7월) 자료"}</definedName>
    <definedName name="_11__123Graph_AC04C_ALL_L1" hidden="1">#REF!</definedName>
    <definedName name="_11__123Graph_AC04C_FR_L1" hidden="1">#REF!</definedName>
    <definedName name="_11__123Graph_CCHART_3" hidden="1">#REF!</definedName>
    <definedName name="_11___0_S" hidden="1">#REF!</definedName>
    <definedName name="_11____S" hidden="1">#REF!</definedName>
    <definedName name="_11__0_S" hidden="1">#REF!</definedName>
    <definedName name="_110__0_S" hidden="1">#REF!</definedName>
    <definedName name="_1104W7_" hidden="1">{#N/A,#N/A,FALSE,"KMC최종회의(7월) 자료"}</definedName>
    <definedName name="_1107W1_" hidden="1">{#N/A,#N/A,FALSE,"KMC최종회의(7월) 자료"}</definedName>
    <definedName name="_1109W8_" hidden="1">{#N/A,#N/A,FALSE,"KMC최종회의(7월) 자료"}</definedName>
    <definedName name="_110A5_" hidden="1">{#N/A,#N/A,FALSE,"KMC최종회의(7월) 자료"}</definedName>
    <definedName name="_110CL33_" hidden="1">{#N/A,#N/A,FALSE,"KMC최종회의(7월) 자료"}</definedName>
    <definedName name="_110E1_" hidden="1">{#N/A,#N/A,FALSE,"KMC최종회의(7월) 자료"}</definedName>
    <definedName name="_110e5_" hidden="1">{#N/A,#N/A,FALSE,"단축1";#N/A,#N/A,FALSE,"단축2";#N/A,#N/A,FALSE,"단축3";#N/A,#N/A,FALSE,"장축";#N/A,#N/A,FALSE,"4WD"}</definedName>
    <definedName name="_110H20_" hidden="1">{#N/A,#N/A,FALSE,"단축1";#N/A,#N/A,FALSE,"단축2";#N/A,#N/A,FALSE,"단축3";#N/A,#N/A,FALSE,"장축";#N/A,#N/A,FALSE,"4WD"}</definedName>
    <definedName name="_110HP2_" hidden="1">{#N/A,#N/A,FALSE,"단축1";#N/A,#N/A,FALSE,"단축2";#N/A,#N/A,FALSE,"단축3";#N/A,#N/A,FALSE,"장축";#N/A,#N/A,FALSE,"4WD"}</definedName>
    <definedName name="_110HP2__1" hidden="1">{#N/A,#N/A,FALSE,"단축1";#N/A,#N/A,FALSE,"단축2";#N/A,#N/A,FALSE,"단축3";#N/A,#N/A,FALSE,"장축";#N/A,#N/A,FALSE,"4WD"}</definedName>
    <definedName name="_110k9_" hidden="1">{#N/A,#N/A,FALSE,"단축1";#N/A,#N/A,FALSE,"단축2";#N/A,#N/A,FALSE,"단축3";#N/A,#N/A,FALSE,"장축";#N/A,#N/A,FALSE,"4WD"}</definedName>
    <definedName name="_110k9__1" hidden="1">{#N/A,#N/A,FALSE,"단축1";#N/A,#N/A,FALSE,"단축2";#N/A,#N/A,FALSE,"단축3";#N/A,#N/A,FALSE,"장축";#N/A,#N/A,FALSE,"4WD"}</definedName>
    <definedName name="_110P3_" hidden="1">{#N/A,#N/A,FALSE,"단축1";#N/A,#N/A,FALSE,"단축2";#N/A,#N/A,FALSE,"단축3";#N/A,#N/A,FALSE,"장축";#N/A,#N/A,FALSE,"4WD"}</definedName>
    <definedName name="_110q1_" hidden="1">{#N/A,#N/A,FALSE,"단축1";#N/A,#N/A,FALSE,"단축2";#N/A,#N/A,FALSE,"단축3";#N/A,#N/A,FALSE,"장축";#N/A,#N/A,FALSE,"4WD"}</definedName>
    <definedName name="_110Q5_" hidden="1">{#N/A,#N/A,FALSE,"KMC최종회의(7월) 자료"}</definedName>
    <definedName name="_110Q8_" hidden="1">{#N/A,#N/A,FALSE,"KMC최종회의(7월) 자료"}</definedName>
    <definedName name="_110S1_" hidden="1">{#N/A,#N/A,FALSE,"KMC최종회의(7월) 자료"}</definedName>
    <definedName name="_110S3_" hidden="1">{#N/A,#N/A,FALSE,"KMC최종회의(7월) 자료"}</definedName>
    <definedName name="_110S4_" hidden="1">{#N/A,#N/A,FALSE,"KMC최종회의(7월) 자료"}</definedName>
    <definedName name="_110S6_" hidden="1">{#N/A,#N/A,FALSE,"KMC최종회의(7월) 자료"}</definedName>
    <definedName name="_110S8_" hidden="1">{#N/A,#N/A,FALSE,"KMC최종회의(7월) 자료"}</definedName>
    <definedName name="_110T2_" hidden="1">{#N/A,#N/A,FALSE,"단축1";#N/A,#N/A,FALSE,"단축2";#N/A,#N/A,FALSE,"단축3";#N/A,#N/A,FALSE,"장축";#N/A,#N/A,FALSE,"4WD"}</definedName>
    <definedName name="_110T3_" hidden="1">{#N/A,#N/A,FALSE,"단축1";#N/A,#N/A,FALSE,"단축2";#N/A,#N/A,FALSE,"단축3";#N/A,#N/A,FALSE,"장축";#N/A,#N/A,FALSE,"4WD"}</definedName>
    <definedName name="_110W1_" hidden="1">{#N/A,#N/A,FALSE,"KMC최종회의(7월) 자료"}</definedName>
    <definedName name="_110W2_" hidden="1">{#N/A,#N/A,FALSE,"KMC최종회의(7월) 자료"}</definedName>
    <definedName name="_110W3_" hidden="1">{#N/A,#N/A,FALSE,"KMC최종회의(7월) 자료"}</definedName>
    <definedName name="_110W7_" hidden="1">{#N/A,#N/A,FALSE,"KMC최종회의(7월) 자료"}</definedName>
    <definedName name="_110X3_" hidden="1">{#N/A,#N/A,FALSE,"KMC최종회의(7월) 자료"}</definedName>
    <definedName name="_110X3__1" hidden="1">{#N/A,#N/A,FALSE,"KMC최종회의(7월) 자료"}</definedName>
    <definedName name="_110X5_" hidden="1">{#N/A,#N/A,FALSE,"KMC최종회의(7월) 자료"}</definedName>
    <definedName name="_110X6_" hidden="1">{#N/A,#N/A,FALSE,"KMC최종회의(7월) 자료"}</definedName>
    <definedName name="_110Z1_" hidden="1">{#N/A,#N/A,FALSE,"KMC최종회의(7월) 자료"}</definedName>
    <definedName name="_110Z2_" hidden="1">{#N/A,#N/A,FALSE,"KMC최종회의(7월) 자료"}</definedName>
    <definedName name="_110Z3_" hidden="1">{#N/A,#N/A,FALSE,"KMC최종회의(7월) 자료"}</definedName>
    <definedName name="_110z4_" hidden="1">{#N/A,#N/A,FALSE,"단축1";#N/A,#N/A,FALSE,"단축2";#N/A,#N/A,FALSE,"단축3";#N/A,#N/A,FALSE,"장축";#N/A,#N/A,FALSE,"4WD"}</definedName>
    <definedName name="_110Z6_" hidden="1">{#N/A,#N/A,FALSE,"KMC최종회의(7월) 자료"}</definedName>
    <definedName name="_110Z7_" hidden="1">{#N/A,#N/A,FALSE,"KMC최종회의(7월) 자료"}</definedName>
    <definedName name="_110Z9_" hidden="1">{#N/A,#N/A,FALSE,"KMC최종회의(7월) 자료"}</definedName>
    <definedName name="_111____S" hidden="1">#REF!</definedName>
    <definedName name="_111__0_S" hidden="1">#REF!</definedName>
    <definedName name="_1110W2_" hidden="1">{#N/A,#N/A,FALSE,"KMC최종회의(7월) 자료"}</definedName>
    <definedName name="_1113W3_" hidden="1">{#N/A,#N/A,FALSE,"KMC최종회의(7월) 자료"}</definedName>
    <definedName name="_1114W9_" hidden="1">{#N/A,#N/A,FALSE,"KMC최종회의(7월) 자료"}</definedName>
    <definedName name="_1114Z4_" hidden="1">{#N/A,#N/A,FALSE,"KMC최종회의(7월) 자료"}</definedName>
    <definedName name="_1116W4_" hidden="1">{#N/A,#N/A,FALSE,"KMC최종회의(7월) 자료"}</definedName>
    <definedName name="_1119A4444_" hidden="1">{#N/A,#N/A,FALSE,"KMC최종회의(7월) 자료"}</definedName>
    <definedName name="_1119A4444__1" hidden="1">{#N/A,#N/A,FALSE,"KMC최종회의(7월) 자료"}</definedName>
    <definedName name="_1119W5_" hidden="1">{#N/A,#N/A,FALSE,"KMC최종회의(7월) 자료"}</definedName>
    <definedName name="_1119X1_" hidden="1">{#N/A,#N/A,FALSE,"KMC최종회의(7월) 자료"}</definedName>
    <definedName name="_111A1_" hidden="1">{#N/A,#N/A,FALSE,"단축1";#N/A,#N/A,FALSE,"단축2";#N/A,#N/A,FALSE,"단축3";#N/A,#N/A,FALSE,"장축";#N/A,#N/A,FALSE,"4WD"}</definedName>
    <definedName name="_111E2_" hidden="1">{#N/A,#N/A,FALSE,"KMC최종회의(7월) 자료"}</definedName>
    <definedName name="_111FG1_" hidden="1">{#N/A,#N/A,FALSE,"단축1";#N/A,#N/A,FALSE,"단축2";#N/A,#N/A,FALSE,"단축3";#N/A,#N/A,FALSE,"장축";#N/A,#N/A,FALSE,"4WD"}</definedName>
    <definedName name="_111HL1_" hidden="1">{#N/A,#N/A,FALSE,"단축1";#N/A,#N/A,FALSE,"단축2";#N/A,#N/A,FALSE,"단축3";#N/A,#N/A,FALSE,"장축";#N/A,#N/A,FALSE,"4WD"}</definedName>
    <definedName name="_111K1_" hidden="1">{#N/A,#N/A,FALSE,"인원";#N/A,#N/A,FALSE,"비용2";#N/A,#N/A,FALSE,"비용1";#N/A,#N/A,FALSE,"비용";#N/A,#N/A,FALSE,"보증2";#N/A,#N/A,FALSE,"보증1";#N/A,#N/A,FALSE,"보증";#N/A,#N/A,FALSE,"손익1";#N/A,#N/A,FALSE,"손익";#N/A,#N/A,FALSE,"부서별매출";#N/A,#N/A,FALSE,"매출"}</definedName>
    <definedName name="_111P21_" hidden="1">{#N/A,#N/A,FALSE,"단축1";#N/A,#N/A,FALSE,"단축2";#N/A,#N/A,FALSE,"단축3";#N/A,#N/A,FALSE,"장축";#N/A,#N/A,FALSE,"4WD"}</definedName>
    <definedName name="_111Q5_" hidden="1">{#N/A,#N/A,FALSE,"KMC최종회의(7월) 자료"}</definedName>
    <definedName name="_111Q8_" hidden="1">{#N/A,#N/A,FALSE,"KMC최종회의(7월) 자료"}</definedName>
    <definedName name="_111S3_" hidden="1">{#N/A,#N/A,FALSE,"KMC최종회의(7월) 자료"}</definedName>
    <definedName name="_111S5_" hidden="1">{#N/A,#N/A,FALSE,"KMC최종회의(7월) 자료"}</definedName>
    <definedName name="_111S7_" hidden="1">{#N/A,#N/A,FALSE,"KMC최종회의(7월) 자료"}</definedName>
    <definedName name="_111T3_" hidden="1">{#N/A,#N/A,FALSE,"단축1";#N/A,#N/A,FALSE,"단축2";#N/A,#N/A,FALSE,"단축3";#N/A,#N/A,FALSE,"장축";#N/A,#N/A,FALSE,"4WD"}</definedName>
    <definedName name="_111T5_" hidden="1">{#N/A,#N/A,FALSE,"단축1";#N/A,#N/A,FALSE,"단축2";#N/A,#N/A,FALSE,"단축3";#N/A,#N/A,FALSE,"장축";#N/A,#N/A,FALSE,"4WD"}</definedName>
    <definedName name="_111W1_" hidden="1">{#N/A,#N/A,FALSE,"KMC최종회의(7월) 자료"}</definedName>
    <definedName name="_111w5_" hidden="1">{#N/A,#N/A,FALSE,"신규dep";#N/A,#N/A,FALSE,"신규dep-금형상각후";#N/A,#N/A,FALSE,"신규dep-연구비상각후";#N/A,#N/A,FALSE,"신규dep-기계,공구상각후"}</definedName>
    <definedName name="_111w5__1" hidden="1">{#N/A,#N/A,FALSE,"신규dep";#N/A,#N/A,FALSE,"신규dep-금형상각후";#N/A,#N/A,FALSE,"신규dep-연구비상각후";#N/A,#N/A,FALSE,"신규dep-기계,공구상각후"}</definedName>
    <definedName name="_111W7_" hidden="1">{#N/A,#N/A,FALSE,"KMC최종회의(7월) 자료"}</definedName>
    <definedName name="_111W7__1" hidden="1">{#N/A,#N/A,FALSE,"KMC최종회의(7월) 자료"}</definedName>
    <definedName name="_111W9_" hidden="1">{#N/A,#N/A,FALSE,"KMC최종회의(7월) 자료"}</definedName>
    <definedName name="_111X2_" hidden="1">{#N/A,#N/A,FALSE,"KMC최종회의(7월) 자료"}</definedName>
    <definedName name="_111X3_" hidden="1">{#N/A,#N/A,FALSE,"KMC최종회의(7월) 자료"}</definedName>
    <definedName name="_111X4_" hidden="1">{#N/A,#N/A,FALSE,"KMC최종회의(7월) 자료"}</definedName>
    <definedName name="_111X4__1" hidden="1">{#N/A,#N/A,FALSE,"KMC최종회의(7월) 자료"}</definedName>
    <definedName name="_111z123_" hidden="1">{#N/A,#N/A,FALSE,"단축1";#N/A,#N/A,FALSE,"단축2";#N/A,#N/A,FALSE,"단축3";#N/A,#N/A,FALSE,"장축";#N/A,#N/A,FALSE,"4WD"}</definedName>
    <definedName name="_111Z4_" hidden="1">{#N/A,#N/A,FALSE,"KMC최종회의(7월) 자료"}</definedName>
    <definedName name="_111Z9_" hidden="1">{#N/A,#N/A,FALSE,"KMC최종회의(7월) 자료"}</definedName>
    <definedName name="_112____S" hidden="1">#REF!</definedName>
    <definedName name="_112__0_S" hidden="1">#REF!</definedName>
    <definedName name="_1122W6_" hidden="1">{#N/A,#N/A,FALSE,"KMC최종회의(7월) 자료"}</definedName>
    <definedName name="_1124X2_" hidden="1">{#N/A,#N/A,FALSE,"KMC최종회의(7월) 자료"}</definedName>
    <definedName name="_1125W7_" hidden="1">{#N/A,#N/A,FALSE,"KMC최종회의(7월) 자료"}</definedName>
    <definedName name="_1128W8_" hidden="1">{#N/A,#N/A,FALSE,"KMC최종회의(7월) 자료"}</definedName>
    <definedName name="_1129X3_" hidden="1">{#N/A,#N/A,FALSE,"KMC최종회의(7월) 자료"}</definedName>
    <definedName name="_112A3_" hidden="1">{#N/A,#N/A,FALSE,"단축1";#N/A,#N/A,FALSE,"단축2";#N/A,#N/A,FALSE,"단축3";#N/A,#N/A,FALSE,"장축";#N/A,#N/A,FALSE,"4WD"}</definedName>
    <definedName name="_112A5_" hidden="1">{#N/A,#N/A,FALSE,"KMC최종회의(7월) 자료"}</definedName>
    <definedName name="_112DB777_" hidden="1">{#N/A,#N/A,TRUE,"Y생산";#N/A,#N/A,TRUE,"Y판매";#N/A,#N/A,TRUE,"Y총물량";#N/A,#N/A,TRUE,"Y능력";#N/A,#N/A,TRUE,"YKD"}</definedName>
    <definedName name="_112E1_" hidden="1">{#N/A,#N/A,FALSE,"KMC최종회의(7월) 자료"}</definedName>
    <definedName name="_112E2_" hidden="1">{#N/A,#N/A,FALSE,"KMC최종회의(7월) 자료"}</definedName>
    <definedName name="_112HL2_" hidden="1">{#N/A,#N/A,FALSE,"단축1";#N/A,#N/A,FALSE,"단축2";#N/A,#N/A,FALSE,"단축3";#N/A,#N/A,FALSE,"장축";#N/A,#N/A,FALSE,"4WD"}</definedName>
    <definedName name="_112K7_" hidden="1">{#N/A,#N/A,TRUE,"Y생산";#N/A,#N/A,TRUE,"Y판매";#N/A,#N/A,TRUE,"Y총물량";#N/A,#N/A,TRUE,"Y능력";#N/A,#N/A,TRUE,"YKD"}</definedName>
    <definedName name="_112O11_" hidden="1">{#N/A,#N/A,FALSE,"단축1";#N/A,#N/A,FALSE,"단축2";#N/A,#N/A,FALSE,"단축3";#N/A,#N/A,FALSE,"장축";#N/A,#N/A,FALSE,"4WD"}</definedName>
    <definedName name="_112Q1_" hidden="1">{#N/A,#N/A,FALSE,"KMC최종회의(7월) 자료"}</definedName>
    <definedName name="_112Q7_" hidden="1">{#N/A,#N/A,FALSE,"KMC최종회의(7월) 자료"}</definedName>
    <definedName name="_112Q9_" hidden="1">{#N/A,#N/A,FALSE,"KMC최종회의(7월) 자료"}</definedName>
    <definedName name="_112S3_" hidden="1">{#N/A,#N/A,FALSE,"KMC최종회의(7월) 자료"}</definedName>
    <definedName name="_112s4_" hidden="1">{#N/A,#N/A,FALSE,"단축1";#N/A,#N/A,FALSE,"단축2";#N/A,#N/A,FALSE,"단축3";#N/A,#N/A,FALSE,"장축";#N/A,#N/A,FALSE,"4WD"}</definedName>
    <definedName name="_112S8_" hidden="1">{#N/A,#N/A,FALSE,"KMC최종회의(7월) 자료"}</definedName>
    <definedName name="_112T2_" hidden="1">{#N/A,#N/A,FALSE,"단축1";#N/A,#N/A,FALSE,"단축2";#N/A,#N/A,FALSE,"단축3";#N/A,#N/A,FALSE,"장축";#N/A,#N/A,FALSE,"4WD"}</definedName>
    <definedName name="_112U1_" hidden="1">{#N/A,#N/A,FALSE,"단축1";#N/A,#N/A,FALSE,"단축2";#N/A,#N/A,FALSE,"단축3";#N/A,#N/A,FALSE,"장축";#N/A,#N/A,FALSE,"4WD"}</definedName>
    <definedName name="_112W2_" hidden="1">{#N/A,#N/A,FALSE,"KMC최종회의(7월) 자료"}</definedName>
    <definedName name="_112W4_" hidden="1">{#N/A,#N/A,FALSE,"KMC최종회의(7월) 자료"}</definedName>
    <definedName name="_112W8_" hidden="1">{#N/A,#N/A,FALSE,"KMC최종회의(7월) 자료"}</definedName>
    <definedName name="_112X5_" hidden="1">{#N/A,#N/A,FALSE,"KMC최종회의(7월) 자료"}</definedName>
    <definedName name="_112X5__1" hidden="1">{#N/A,#N/A,FALSE,"KMC최종회의(7월) 자료"}</definedName>
    <definedName name="_112X6_" hidden="1">{#N/A,#N/A,FALSE,"KMC최종회의(7월) 자료"}</definedName>
    <definedName name="_112X7_" hidden="1">{#N/A,#N/A,FALSE,"KMC최종회의(7월) 자료"}</definedName>
    <definedName name="_112Z2_" hidden="1">{#N/A,#N/A,FALSE,"KMC최종회의(7월) 자료"}</definedName>
    <definedName name="_112Z3_" hidden="1">{#N/A,#N/A,FALSE,"KMC최종회의(7월) 자료"}</definedName>
    <definedName name="_112Z4_" hidden="1">{#N/A,#N/A,FALSE,"KMC최종회의(7월) 자료"}</definedName>
    <definedName name="_112Z5_" hidden="1">{#N/A,#N/A,FALSE,"KMC최종회의(7월) 자료"}</definedName>
    <definedName name="_112Z7_" hidden="1">{#N/A,#N/A,FALSE,"KMC최종회의(7월) 자료"}</definedName>
    <definedName name="_112Z8_" hidden="1">{#N/A,#N/A,FALSE,"KMC최종회의(7월) 자료"}</definedName>
    <definedName name="_113____S" hidden="1">#REF!</definedName>
    <definedName name="_113__0_S" hidden="1">#REF!</definedName>
    <definedName name="_1130Z5_" hidden="1">{#N/A,#N/A,FALSE,"KMC최종회의(7월) 자료"}</definedName>
    <definedName name="_1131W9_" hidden="1">{#N/A,#N/A,FALSE,"KMC최종회의(7월) 자료"}</definedName>
    <definedName name="_1134X4_" hidden="1">{#N/A,#N/A,FALSE,"KMC최종회의(7월) 자료"}</definedName>
    <definedName name="_1135X1_" hidden="1">{#N/A,#N/A,FALSE,"KMC최종회의(7월) 자료"}</definedName>
    <definedName name="_1139X2_" hidden="1">{#N/A,#N/A,FALSE,"KMC최종회의(7월) 자료"}</definedName>
    <definedName name="_1139X5_" hidden="1">{#N/A,#N/A,FALSE,"KMC최종회의(7월) 자료"}</definedName>
    <definedName name="_113E2_" hidden="1">{#N/A,#N/A,FALSE,"KMC최종회의(7월) 자료"}</definedName>
    <definedName name="_113e7_" hidden="1">{#N/A,#N/A,FALSE,"신규dep";#N/A,#N/A,FALSE,"신규dep-금형상각후";#N/A,#N/A,FALSE,"신규dep-연구비상각후";#N/A,#N/A,FALSE,"신규dep-기계,공구상각후"}</definedName>
    <definedName name="_113HL3_" hidden="1">{#N/A,#N/A,TRUE,"Y생산";#N/A,#N/A,TRUE,"Y판매";#N/A,#N/A,TRUE,"Y총물량";#N/A,#N/A,TRUE,"Y능력";#N/A,#N/A,TRUE,"YKD"}</definedName>
    <definedName name="_113K115_" hidden="1">{#N/A,#N/A,FALSE,"인원";#N/A,#N/A,FALSE,"비용2";#N/A,#N/A,FALSE,"비용1";#N/A,#N/A,FALSE,"비용";#N/A,#N/A,FALSE,"보증2";#N/A,#N/A,FALSE,"보증1";#N/A,#N/A,FALSE,"보증";#N/A,#N/A,FALSE,"손익1";#N/A,#N/A,FALSE,"손익";#N/A,#N/A,FALSE,"부서별매출";#N/A,#N/A,FALSE,"매출"}</definedName>
    <definedName name="_113P21_" hidden="1">{#N/A,#N/A,FALSE,"단축1";#N/A,#N/A,FALSE,"단축2";#N/A,#N/A,FALSE,"단축3";#N/A,#N/A,FALSE,"장축";#N/A,#N/A,FALSE,"4WD"}</definedName>
    <definedName name="_113Q5_" hidden="1">{#N/A,#N/A,FALSE,"KMC최종회의(7월) 자료"}</definedName>
    <definedName name="_113Q9_" hidden="1">{#N/A,#N/A,FALSE,"KMC최종회의(7월) 자료"}</definedName>
    <definedName name="_113S7_" hidden="1">{#N/A,#N/A,FALSE,"KMC최종회의(7월) 자료"}</definedName>
    <definedName name="_113T2_" hidden="1">{#N/A,#N/A,FALSE,"단축1";#N/A,#N/A,FALSE,"단축2";#N/A,#N/A,FALSE,"단축3";#N/A,#N/A,FALSE,"장축";#N/A,#N/A,FALSE,"4WD"}</definedName>
    <definedName name="_113W1_" hidden="1">{#N/A,#N/A,FALSE,"KMC최종회의(7월) 자료"}</definedName>
    <definedName name="_113W2_" hidden="1">{#N/A,#N/A,FALSE,"KMC최종회의(7월) 자료"}</definedName>
    <definedName name="_113W3_" hidden="1">{#N/A,#N/A,FALSE,"KMC최종회의(7월) 자료"}</definedName>
    <definedName name="_113W6_" hidden="1">{#N/A,#N/A,FALSE,"KMC최종회의(7월) 자료"}</definedName>
    <definedName name="_113X1_" hidden="1">{#N/A,#N/A,FALSE,"KMC최종회의(7월) 자료"}</definedName>
    <definedName name="_113x1__1" hidden="1">{#N/A,#N/A,FALSE,"단축1";#N/A,#N/A,FALSE,"단축2";#N/A,#N/A,FALSE,"단축3";#N/A,#N/A,FALSE,"장축";#N/A,#N/A,FALSE,"4WD"}</definedName>
    <definedName name="_113X4_" hidden="1">{#N/A,#N/A,FALSE,"KMC최종회의(7월) 자료"}</definedName>
    <definedName name="_113X6_" hidden="1">{#N/A,#N/A,FALSE,"KMC최종회의(7월) 자료"}</definedName>
    <definedName name="_113X6__1" hidden="1">{#N/A,#N/A,FALSE,"KMC최종회의(7월) 자료"}</definedName>
    <definedName name="_113z2_" hidden="1">{#N/A,#N/A,FALSE,"단축1";#N/A,#N/A,FALSE,"단축2";#N/A,#N/A,FALSE,"단축3";#N/A,#N/A,FALSE,"장축";#N/A,#N/A,FALSE,"4WD"}</definedName>
    <definedName name="_113Z5_" hidden="1">{#N/A,#N/A,FALSE,"KMC최종회의(7월) 자료"}</definedName>
    <definedName name="_114__0_S" hidden="1">#REF!</definedName>
    <definedName name="_1142X3_" hidden="1">{#N/A,#N/A,FALSE,"KMC최종회의(7월) 자료"}</definedName>
    <definedName name="_1144X6_" hidden="1">{#N/A,#N/A,FALSE,"KMC최종회의(7월) 자료"}</definedName>
    <definedName name="_1145X4_" hidden="1">{#N/A,#N/A,FALSE,"KMC최종회의(7월) 자료"}</definedName>
    <definedName name="_1146Z6_" hidden="1">{#N/A,#N/A,FALSE,"KMC최종회의(7월) 자료"}</definedName>
    <definedName name="_1148X5_" hidden="1">{#N/A,#N/A,FALSE,"KMC최종회의(7월) 자료"}</definedName>
    <definedName name="_1149X7_" hidden="1">{#N/A,#N/A,FALSE,"KMC최종회의(7월) 자료"}</definedName>
    <definedName name="_114A02_" hidden="1">{#N/A,#N/A,FALSE,"단축1";#N/A,#N/A,FALSE,"단축2";#N/A,#N/A,FALSE,"단축3";#N/A,#N/A,FALSE,"장축";#N/A,#N/A,FALSE,"4WD"}</definedName>
    <definedName name="_114A9_" hidden="1">{#N/A,#N/A,FALSE,"KMC최종회의(7월) 자료"}</definedName>
    <definedName name="_114A9__1" hidden="1">{#N/A,#N/A,FALSE,"KMC최종회의(7월) 자료"}</definedName>
    <definedName name="_114CL22_" hidden="1">{#N/A,#N/A,FALSE,"KMC최종회의(7월) 자료"}</definedName>
    <definedName name="_114dr2_" hidden="1">{#N/A,#N/A,FALSE,"신규dep";#N/A,#N/A,FALSE,"신규dep-금형상각후";#N/A,#N/A,FALSE,"신규dep-연구비상각후";#N/A,#N/A,FALSE,"신규dep-기계,공구상각후"}</definedName>
    <definedName name="_114E2_" hidden="1">{#N/A,#N/A,FALSE,"KMC최종회의(7월) 자료"}</definedName>
    <definedName name="_114FG1_" hidden="1">{#N/A,#N/A,FALSE,"단축1";#N/A,#N/A,FALSE,"단축2";#N/A,#N/A,FALSE,"단축3";#N/A,#N/A,FALSE,"장축";#N/A,#N/A,FALSE,"4WD"}</definedName>
    <definedName name="_114HP02_" hidden="1">{#N/A,#N/A,FALSE,"단축1";#N/A,#N/A,FALSE,"단축2";#N/A,#N/A,FALSE,"단축3";#N/A,#N/A,FALSE,"장축";#N/A,#N/A,FALSE,"4WD"}</definedName>
    <definedName name="_114Q1_" hidden="1">{#N/A,#N/A,FALSE,"KMC최종회의(7월) 자료"}</definedName>
    <definedName name="_114Q1232_" hidden="1">{"'7-2지역별'!$A$1:$R$44"}</definedName>
    <definedName name="_114Q2_" hidden="1">{#N/A,#N/A,FALSE,"KMC최종회의(7월) 자료"}</definedName>
    <definedName name="_114q3_" hidden="1">{#N/A,#N/A,FALSE,"단축1";#N/A,#N/A,FALSE,"단축2";#N/A,#N/A,FALSE,"단축3";#N/A,#N/A,FALSE,"장축";#N/A,#N/A,FALSE,"4WD"}</definedName>
    <definedName name="_114Q7_" hidden="1">{#N/A,#N/A,FALSE,"KMC최종회의(7월) 자료"}</definedName>
    <definedName name="_114S1_" hidden="1">{#N/A,#N/A,FALSE,"KMC최종회의(7월) 자료"}</definedName>
    <definedName name="_114S4_" hidden="1">{#N/A,#N/A,FALSE,"KMC최종회의(7월) 자료"}</definedName>
    <definedName name="_114S6_" hidden="1">{#N/A,#N/A,FALSE,"KMC최종회의(7월) 자료"}</definedName>
    <definedName name="_114T3_" hidden="1">{#N/A,#N/A,FALSE,"단축1";#N/A,#N/A,FALSE,"단축2";#N/A,#N/A,FALSE,"단축3";#N/A,#N/A,FALSE,"장축";#N/A,#N/A,FALSE,"4WD"}</definedName>
    <definedName name="_114W2_" hidden="1">{#N/A,#N/A,FALSE,"KMC최종회의(7월) 자료"}</definedName>
    <definedName name="_114W5_" hidden="1">{#N/A,#N/A,FALSE,"KMC최종회의(7월) 자료"}</definedName>
    <definedName name="_114W8_" hidden="1">{#N/A,#N/A,FALSE,"KMC최종회의(7월) 자료"}</definedName>
    <definedName name="_114W8__1" hidden="1">{#N/A,#N/A,FALSE,"KMC최종회의(7월) 자료"}</definedName>
    <definedName name="_114W9_" hidden="1">{#N/A,#N/A,FALSE,"KMC최종회의(7월) 자료"}</definedName>
    <definedName name="_114X3_" hidden="1">{#N/A,#N/A,FALSE,"KMC최종회의(7월) 자료"}</definedName>
    <definedName name="_114X5_" hidden="1">{#N/A,#N/A,FALSE,"KMC최종회의(7월) 자료"}</definedName>
    <definedName name="_114X7_" hidden="1">{#N/A,#N/A,FALSE,"KMC최종회의(7월) 자료"}</definedName>
    <definedName name="_114X7__1" hidden="1">{#N/A,#N/A,FALSE,"KMC최종회의(7월) 자료"}</definedName>
    <definedName name="_114X8_" hidden="1">{#N/A,#N/A,FALSE,"KMC최종회의(7월) 자료"}</definedName>
    <definedName name="_114Z3_" hidden="1">{#N/A,#N/A,FALSE,"KMC최종회의(7월) 자료"}</definedName>
    <definedName name="_114Z4_" hidden="1">{#N/A,#N/A,FALSE,"KMC최종회의(7월) 자료"}</definedName>
    <definedName name="_114Z5_" hidden="1">{#N/A,#N/A,FALSE,"KMC최종회의(7월) 자료"}</definedName>
    <definedName name="_114Z6_" hidden="1">{#N/A,#N/A,FALSE,"KMC최종회의(7월) 자료"}</definedName>
    <definedName name="_114Z8_" hidden="1">{#N/A,#N/A,FALSE,"KMC최종회의(7월) 자료"}</definedName>
    <definedName name="_114Z9_" hidden="1">{#N/A,#N/A,FALSE,"KMC최종회의(7월) 자료"}</definedName>
    <definedName name="_115____S" hidden="1">#REF!</definedName>
    <definedName name="_1151X6_" hidden="1">{#N/A,#N/A,FALSE,"KMC최종회의(7월) 자료"}</definedName>
    <definedName name="_1154X7_" hidden="1">{#N/A,#N/A,FALSE,"KMC최종회의(7월) 자료"}</definedName>
    <definedName name="_1154X8_" hidden="1">{#N/A,#N/A,FALSE,"KMC최종회의(7월) 자료"}</definedName>
    <definedName name="_1157X8_" hidden="1">{#N/A,#N/A,FALSE,"KMC최종회의(7월) 자료"}</definedName>
    <definedName name="_1159Z1_" hidden="1">{#N/A,#N/A,FALSE,"KMC최종회의(7월) 자료"}</definedName>
    <definedName name="_115A6_" hidden="1">{#N/A,#N/A,FALSE,"KMC최종회의(7월) 자료"}</definedName>
    <definedName name="_115CL22_" hidden="1">{#N/A,#N/A,FALSE,"KMC최종회의(7월) 자료"}</definedName>
    <definedName name="_115DR7_" hidden="1">{#N/A,#N/A,FALSE,"표지";#N/A,#N/A,FALSE,"전제";#N/A,#N/A,FALSE,"손익-자 (2)";#N/A,#N/A,FALSE,"손익-자";#N/A,#N/A,FALSE,"손익-마 (2)";#N/A,#N/A,FALSE,"손익-마";#N/A,#N/A,FALSE,"총손최종"}</definedName>
    <definedName name="_115E2_" hidden="1">{#N/A,#N/A,FALSE,"KMC최종회의(7월) 자료"}</definedName>
    <definedName name="_115E2__1" hidden="1">{#N/A,#N/A,FALSE,"KMC최종회의(7월) 자료"}</definedName>
    <definedName name="_115FG1_" hidden="1">{#N/A,#N/A,FALSE,"단축1";#N/A,#N/A,FALSE,"단축2";#N/A,#N/A,FALSE,"단축3";#N/A,#N/A,FALSE,"장축";#N/A,#N/A,FALSE,"4WD"}</definedName>
    <definedName name="_115HP2_" hidden="1">{#N/A,#N/A,FALSE,"단축1";#N/A,#N/A,FALSE,"단축2";#N/A,#N/A,FALSE,"단축3";#N/A,#N/A,FALSE,"장축";#N/A,#N/A,FALSE,"4WD"}</definedName>
    <definedName name="_115k7_" hidden="1">{#N/A,#N/A,FALSE,"단축1";#N/A,#N/A,FALSE,"단축2";#N/A,#N/A,FALSE,"단축3";#N/A,#N/A,FALSE,"장축";#N/A,#N/A,FALSE,"4WD"}</definedName>
    <definedName name="_115k7__1" hidden="1">{#N/A,#N/A,FALSE,"단축1";#N/A,#N/A,FALSE,"단축2";#N/A,#N/A,FALSE,"단축3";#N/A,#N/A,FALSE,"장축";#N/A,#N/A,FALSE,"4WD"}</definedName>
    <definedName name="_115M123_" hidden="1">{#N/A,#N/A,FALSE,"단축1";#N/A,#N/A,FALSE,"단축2";#N/A,#N/A,FALSE,"단축3";#N/A,#N/A,FALSE,"장축";#N/A,#N/A,FALSE,"4WD"}</definedName>
    <definedName name="_115P21_" hidden="1">{#N/A,#N/A,FALSE,"단축1";#N/A,#N/A,FALSE,"단축2";#N/A,#N/A,FALSE,"단축3";#N/A,#N/A,FALSE,"장축";#N/A,#N/A,FALSE,"4WD"}</definedName>
    <definedName name="_115Q2_" hidden="1">{#N/A,#N/A,FALSE,"KMC최종회의(7월) 자료"}</definedName>
    <definedName name="_115Q7_" hidden="1">{#N/A,#N/A,FALSE,"KMC최종회의(7월) 자료"}</definedName>
    <definedName name="_115Q9_" hidden="1">{#N/A,#N/A,FALSE,"KMC최종회의(7월) 자료"}</definedName>
    <definedName name="_115S1_" hidden="1">{#N/A,#N/A,FALSE,"KMC최종회의(7월) 자료"}</definedName>
    <definedName name="_115S2_" hidden="1">{#N/A,#N/A,FALSE,"KMC최종회의(7월) 자료"}</definedName>
    <definedName name="_115S4_" hidden="1">{#N/A,#N/A,FALSE,"KMC최종회의(7월) 자료"}</definedName>
    <definedName name="_115s5_" hidden="1">{#N/A,#N/A,FALSE,"신규dep";#N/A,#N/A,FALSE,"신규dep-금형상각후";#N/A,#N/A,FALSE,"신규dep-연구비상각후";#N/A,#N/A,FALSE,"신규dep-기계,공구상각후"}</definedName>
    <definedName name="_115T5_" hidden="1">{#N/A,#N/A,FALSE,"단축1";#N/A,#N/A,FALSE,"단축2";#N/A,#N/A,FALSE,"단축3";#N/A,#N/A,FALSE,"장축";#N/A,#N/A,FALSE,"4WD"}</definedName>
    <definedName name="_115W3_" hidden="1">{#N/A,#N/A,FALSE,"KMC최종회의(7월) 자료"}</definedName>
    <definedName name="_115W7_" hidden="1">{#N/A,#N/A,FALSE,"KMC최종회의(7월) 자료"}</definedName>
    <definedName name="_115W9_" hidden="1">{#N/A,#N/A,FALSE,"KMC최종회의(7월) 자료"}</definedName>
    <definedName name="_115X2_" hidden="1">{#N/A,#N/A,FALSE,"KMC최종회의(7월) 자료"}</definedName>
    <definedName name="_115x2__1" hidden="1">{#N/A,#N/A,FALSE,"단축1";#N/A,#N/A,FALSE,"단축2";#N/A,#N/A,FALSE,"단축3";#N/A,#N/A,FALSE,"장축";#N/A,#N/A,FALSE,"4WD"}</definedName>
    <definedName name="_115X5_" hidden="1">{#N/A,#N/A,FALSE,"KMC최종회의(7월) 자료"}</definedName>
    <definedName name="_115X8_" hidden="1">{#N/A,#N/A,FALSE,"KMC최종회의(7월) 자료"}</definedName>
    <definedName name="_115X8__1" hidden="1">{#N/A,#N/A,FALSE,"KMC최종회의(7월) 자료"}</definedName>
    <definedName name="_115z4_" hidden="1">{#N/A,#N/A,FALSE,"단축1";#N/A,#N/A,FALSE,"단축2";#N/A,#N/A,FALSE,"단축3";#N/A,#N/A,FALSE,"장축";#N/A,#N/A,FALSE,"4WD"}</definedName>
    <definedName name="_115Z6_" hidden="1">{#N/A,#N/A,FALSE,"KMC최종회의(7월) 자료"}</definedName>
    <definedName name="_116__0_S" hidden="1">#REF!</definedName>
    <definedName name="_1160Z1_" hidden="1">{#N/A,#N/A,FALSE,"KMC최종회의(7월) 자료"}</definedName>
    <definedName name="_1162Z7_" hidden="1">{#N/A,#N/A,FALSE,"KMC최종회의(7월) 자료"}</definedName>
    <definedName name="_1163Z2_" hidden="1">{#N/A,#N/A,FALSE,"KMC최종회의(7월) 자료"}</definedName>
    <definedName name="_1164Z2_" hidden="1">{#N/A,#N/A,FALSE,"KMC최종회의(7월) 자료"}</definedName>
    <definedName name="_1166Z3_" hidden="1">{#N/A,#N/A,FALSE,"KMC최종회의(7월) 자료"}</definedName>
    <definedName name="_1169Z3_" hidden="1">{#N/A,#N/A,FALSE,"KMC최종회의(7월) 자료"}</definedName>
    <definedName name="_1169Z4_" hidden="1">{#N/A,#N/A,FALSE,"KMC최종회의(7월) 자료"}</definedName>
    <definedName name="_116A0323_" hidden="1">{#N/A,#N/A,FALSE,"단축1";#N/A,#N/A,FALSE,"단축2";#N/A,#N/A,FALSE,"단축3";#N/A,#N/A,FALSE,"장축";#N/A,#N/A,FALSE,"4WD"}</definedName>
    <definedName name="_116A6_" hidden="1">{#N/A,#N/A,FALSE,"KMC최종회의(7월) 자료"}</definedName>
    <definedName name="_116Q1_" hidden="1">{#N/A,#N/A,FALSE,"KMC최종회의(7월) 자료"}</definedName>
    <definedName name="_116Q3_" hidden="1">{#N/A,#N/A,FALSE,"KMC최종회의(7월) 자료"}</definedName>
    <definedName name="_116S4_" hidden="1">{#N/A,#N/A,FALSE,"KMC최종회의(7월) 자료"}</definedName>
    <definedName name="_116S8_" hidden="1">{#N/A,#N/A,FALSE,"KMC최종회의(7월) 자료"}</definedName>
    <definedName name="_116U1_" hidden="1">{#N/A,#N/A,FALSE,"단축1";#N/A,#N/A,FALSE,"단축2";#N/A,#N/A,FALSE,"단축3";#N/A,#N/A,FALSE,"장축";#N/A,#N/A,FALSE,"4WD"}</definedName>
    <definedName name="_116W1_" hidden="1">{#N/A,#N/A,FALSE,"KMC최종회의(7월) 자료"}</definedName>
    <definedName name="_116W3_" hidden="1">{#N/A,#N/A,FALSE,"KMC최종회의(7월) 자료"}</definedName>
    <definedName name="_116W4_" hidden="1">{#N/A,#N/A,FALSE,"KMC최종회의(7월) 자료"}</definedName>
    <definedName name="_116W6_" hidden="1">{#N/A,#N/A,FALSE,"KMC최종회의(7월) 자료"}</definedName>
    <definedName name="_116W9_" hidden="1">{#N/A,#N/A,FALSE,"KMC최종회의(7월) 자료"}</definedName>
    <definedName name="_116X1_" hidden="1">{#N/A,#N/A,FALSE,"KMC최종회의(7월) 자료"}</definedName>
    <definedName name="_116X8_" hidden="1">{#N/A,#N/A,FALSE,"KMC최종회의(7월) 자료"}</definedName>
    <definedName name="_116Z1_" hidden="1">{#N/A,#N/A,FALSE,"KMC최종회의(7월) 자료"}</definedName>
    <definedName name="_116Z4_" hidden="1">{#N/A,#N/A,FALSE,"KMC최종회의(7월) 자료"}</definedName>
    <definedName name="_116Z5_" hidden="1">{#N/A,#N/A,FALSE,"KMC최종회의(7월) 자료"}</definedName>
    <definedName name="_116Z6_" hidden="1">{#N/A,#N/A,FALSE,"KMC최종회의(7월) 자료"}</definedName>
    <definedName name="_116Z7_" hidden="1">{#N/A,#N/A,FALSE,"KMC최종회의(7월) 자료"}</definedName>
    <definedName name="_116Z9_" hidden="1">{#N/A,#N/A,FALSE,"KMC최종회의(7월) 자료"}</definedName>
    <definedName name="_117__0_S" hidden="1">#REF!</definedName>
    <definedName name="_1172Z5_" hidden="1">{#N/A,#N/A,FALSE,"KMC최종회의(7월) 자료"}</definedName>
    <definedName name="_1174Z4_" hidden="1">{#N/A,#N/A,FALSE,"KMC최종회의(7월) 자료"}</definedName>
    <definedName name="_1175Z6_" hidden="1">{#N/A,#N/A,FALSE,"KMC최종회의(7월) 자료"}</definedName>
    <definedName name="_1178Z7_" hidden="1">{#N/A,#N/A,FALSE,"KMC최종회의(7월) 자료"}</definedName>
    <definedName name="_1178Z8_" hidden="1">{#N/A,#N/A,FALSE,"KMC최종회의(7월) 자료"}</definedName>
    <definedName name="_1179Z5_" hidden="1">{#N/A,#N/A,FALSE,"KMC최종회의(7월) 자료"}</definedName>
    <definedName name="_117A6_" hidden="1">{#N/A,#N/A,FALSE,"KMC최종회의(7월) 자료"}</definedName>
    <definedName name="_117AS6_" hidden="1">{#N/A,#N/A,FALSE,"Australien";#N/A,#N/A,FALSE,"Birmingham";#N/A,#N/A,FALSE,"Brasilien";#N/A,#N/A,FALSE,"Prag";#N/A,#N/A,FALSE,"Spanien";#N/A,#N/A,FALSE,"Malaysia ( Com)";#N/A,#N/A,FALSE,"Malaysia (Instr)"}</definedName>
    <definedName name="_117CL222_" hidden="1">{#N/A,#N/A,FALSE,"KMC최종회의(7월) 자료"}</definedName>
    <definedName name="_117e1_" hidden="1">{#N/A,#N/A,FALSE,"단축1";#N/A,#N/A,FALSE,"단축2";#N/A,#N/A,FALSE,"단축3";#N/A,#N/A,FALSE,"장축";#N/A,#N/A,FALSE,"4WD"}</definedName>
    <definedName name="_117e1__1" hidden="1">{#N/A,#N/A,FALSE,"단축1";#N/A,#N/A,FALSE,"단축2";#N/A,#N/A,FALSE,"단축3";#N/A,#N/A,FALSE,"장축";#N/A,#N/A,FALSE,"4WD"}</definedName>
    <definedName name="_117e6_" hidden="1">{#N/A,#N/A,FALSE,"단축1";#N/A,#N/A,FALSE,"단축2";#N/A,#N/A,FALSE,"단축3";#N/A,#N/A,FALSE,"장축";#N/A,#N/A,FALSE,"4WD"}</definedName>
    <definedName name="_117k7_" hidden="1">{#N/A,#N/A,FALSE,"단축1";#N/A,#N/A,FALSE,"단축2";#N/A,#N/A,FALSE,"단축3";#N/A,#N/A,FALSE,"장축";#N/A,#N/A,FALSE,"4WD"}</definedName>
    <definedName name="_117P2_" hidden="1">{#N/A,#N/A,FALSE,"단축1";#N/A,#N/A,FALSE,"단축2";#N/A,#N/A,FALSE,"단축3";#N/A,#N/A,FALSE,"장축";#N/A,#N/A,FALSE,"4WD"}</definedName>
    <definedName name="_117Q5_" hidden="1">{#N/A,#N/A,FALSE,"KMC최종회의(7월) 자료"}</definedName>
    <definedName name="_117Q7_" hidden="1">{#N/A,#N/A,FALSE,"KMC최종회의(7월) 자료"}</definedName>
    <definedName name="_117Q8_" hidden="1">{#N/A,#N/A,FALSE,"KMC최종회의(7월) 자료"}</definedName>
    <definedName name="_117S2_" hidden="1">{#N/A,#N/A,FALSE,"KMC최종회의(7월) 자료"}</definedName>
    <definedName name="_117S7_" hidden="1">{#N/A,#N/A,FALSE,"KMC최종회의(7월) 자료"}</definedName>
    <definedName name="_117T3_" hidden="1">{#N/A,#N/A,FALSE,"단축1";#N/A,#N/A,FALSE,"단축2";#N/A,#N/A,FALSE,"단축3";#N/A,#N/A,FALSE,"장축";#N/A,#N/A,FALSE,"4WD"}</definedName>
    <definedName name="_117W2_" hidden="1">{#N/A,#N/A,FALSE,"KMC최종회의(7월) 자료"}</definedName>
    <definedName name="_117W3_" hidden="1">{#N/A,#N/A,FALSE,"KMC최종회의(7월) 자료"}</definedName>
    <definedName name="_117W5_" hidden="1">{#N/A,#N/A,FALSE,"KMC최종회의(7월) 자료"}</definedName>
    <definedName name="_117W8_" hidden="1">{#N/A,#N/A,FALSE,"KMC최종회의(7월) 자료"}</definedName>
    <definedName name="_117W9_" hidden="1">{#N/A,#N/A,FALSE,"KMC최종회의(7월) 자료"}</definedName>
    <definedName name="_117W9__1" hidden="1">{#N/A,#N/A,FALSE,"KMC최종회의(7월) 자료"}</definedName>
    <definedName name="_117X3_" hidden="1">{#N/A,#N/A,FALSE,"KMC최종회의(7월) 자료"}</definedName>
    <definedName name="_117X4_" hidden="1">{#N/A,#N/A,FALSE,"KMC최종회의(7월) 자료"}</definedName>
    <definedName name="_117X6_" hidden="1">{#N/A,#N/A,FALSE,"KMC최종회의(7월) 자료"}</definedName>
    <definedName name="_117z1_" hidden="1">{#N/A,#N/A,FALSE,"단축1";#N/A,#N/A,FALSE,"단축2";#N/A,#N/A,FALSE,"단축3";#N/A,#N/A,FALSE,"장축";#N/A,#N/A,FALSE,"4WD"}</definedName>
    <definedName name="_117z1__1" hidden="1">{#N/A,#N/A,FALSE,"단축1";#N/A,#N/A,FALSE,"단축2";#N/A,#N/A,FALSE,"단축3";#N/A,#N/A,FALSE,"장축";#N/A,#N/A,FALSE,"4WD"}</definedName>
    <definedName name="_117Z7_" hidden="1">{#N/A,#N/A,FALSE,"KMC최종회의(7월) 자료"}</definedName>
    <definedName name="_1181Z8_" hidden="1">{#N/A,#N/A,FALSE,"KMC최종회의(7월) 자료"}</definedName>
    <definedName name="_1184Z6_" hidden="1">{#N/A,#N/A,FALSE,"KMC최종회의(7월) 자료"}</definedName>
    <definedName name="_1184Z9_" hidden="1">{#N/A,#N/A,FALSE,"KMC최종회의(7월) 자료"}</definedName>
    <definedName name="_1189Z7_" hidden="1">{#N/A,#N/A,FALSE,"KMC최종회의(7월) 자료"}</definedName>
    <definedName name="_118e8_" hidden="1">{#N/A,#N/A,FALSE,"신규dep";#N/A,#N/A,FALSE,"신규dep-금형상각후";#N/A,#N/A,FALSE,"신규dep-연구비상각후";#N/A,#N/A,FALSE,"신규dep-기계,공구상각후"}</definedName>
    <definedName name="_118EO2_" hidden="1">{#N/A,#N/A,FALSE,"신규dep";#N/A,#N/A,FALSE,"신규dep-금형상각후";#N/A,#N/A,FALSE,"신규dep-연구비상각후";#N/A,#N/A,FALSE,"신규dep-기계,공구상각후"}</definedName>
    <definedName name="_118FG1_" hidden="1">{#N/A,#N/A,FALSE,"단축1";#N/A,#N/A,FALSE,"단축2";#N/A,#N/A,FALSE,"단축3";#N/A,#N/A,FALSE,"장축";#N/A,#N/A,FALSE,"4WD"}</definedName>
    <definedName name="_118k8_" hidden="1">{#N/A,#N/A,FALSE,"단축1";#N/A,#N/A,FALSE,"단축2";#N/A,#N/A,FALSE,"단축3";#N/A,#N/A,FALSE,"장축";#N/A,#N/A,FALSE,"4WD"}</definedName>
    <definedName name="_118P2_" hidden="1">{#N/A,#N/A,FALSE,"단축1";#N/A,#N/A,FALSE,"단축2";#N/A,#N/A,FALSE,"단축3";#N/A,#N/A,FALSE,"장축";#N/A,#N/A,FALSE,"4WD"}</definedName>
    <definedName name="_118P2__1" hidden="1">{#N/A,#N/A,FALSE,"단축1";#N/A,#N/A,FALSE,"단축2";#N/A,#N/A,FALSE,"단축3";#N/A,#N/A,FALSE,"장축";#N/A,#N/A,FALSE,"4WD"}</definedName>
    <definedName name="_118Q1_" hidden="1">{#N/A,#N/A,FALSE,"KMC최종회의(7월) 자료"}</definedName>
    <definedName name="_118Q2_" hidden="1">{#N/A,#N/A,FALSE,"KMC최종회의(7월) 자료"}</definedName>
    <definedName name="_118Q5_" hidden="1">{#N/A,#N/A,FALSE,"KMC최종회의(7월) 자료"}</definedName>
    <definedName name="_118Q7_" hidden="1">{#N/A,#N/A,FALSE,"KMC최종회의(7월) 자료"}</definedName>
    <definedName name="_118S5_" hidden="1">{#N/A,#N/A,FALSE,"KMC최종회의(7월) 자료"}</definedName>
    <definedName name="_118s6_" hidden="1">{#N/A,#N/A,FALSE,"신규dep";#N/A,#N/A,FALSE,"신규dep-금형상각후";#N/A,#N/A,FALSE,"신규dep-연구비상각후";#N/A,#N/A,FALSE,"신규dep-기계,공구상각후"}</definedName>
    <definedName name="_118T2_" hidden="1">{#N/A,#N/A,FALSE,"단축1";#N/A,#N/A,FALSE,"단축2";#N/A,#N/A,FALSE,"단축3";#N/A,#N/A,FALSE,"장축";#N/A,#N/A,FALSE,"4WD"}</definedName>
    <definedName name="_118W3_" hidden="1">{#N/A,#N/A,FALSE,"KMC최종회의(7월) 자료"}</definedName>
    <definedName name="_118W6_" hidden="1">{#N/A,#N/A,FALSE,"KMC최종회의(7월) 자료"}</definedName>
    <definedName name="_118W7_" hidden="1">{#N/A,#N/A,FALSE,"KMC최종회의(7월) 자료"}</definedName>
    <definedName name="_118X1_" hidden="1">{#N/A,#N/A,FALSE,"KMC최종회의(7월) 자료"}</definedName>
    <definedName name="_118X2_" hidden="1">{#N/A,#N/A,FALSE,"KMC최종회의(7월) 자료"}</definedName>
    <definedName name="_118Z1_" hidden="1">{#N/A,#N/A,FALSE,"KMC최종회의(7월) 자료"}</definedName>
    <definedName name="_118Z2_" hidden="1">{#N/A,#N/A,FALSE,"KMC최종회의(7월) 자료"}</definedName>
    <definedName name="_118Z5_" hidden="1">{#N/A,#N/A,FALSE,"KMC최종회의(7월) 자료"}</definedName>
    <definedName name="_118Z6_" hidden="1">{#N/A,#N/A,FALSE,"KMC최종회의(7월) 자료"}</definedName>
    <definedName name="_118Z7_" hidden="1">{#N/A,#N/A,FALSE,"KMC최종회의(7월) 자료"}</definedName>
    <definedName name="_118Z8_" hidden="1">{#N/A,#N/A,FALSE,"KMC최종회의(7월) 자료"}</definedName>
    <definedName name="_1191____S" hidden="1">#REF!</definedName>
    <definedName name="_1194Z8_" hidden="1">{#N/A,#N/A,FALSE,"KMC최종회의(7월) 자료"}</definedName>
    <definedName name="_1194Z9_" hidden="1">{#N/A,#N/A,FALSE,"KMC최종회의(7월) 자료"}</definedName>
    <definedName name="_1199Z9_" hidden="1">{#N/A,#N/A,FALSE,"KMC최종회의(7월) 자료"}</definedName>
    <definedName name="_119A1_" hidden="1">{#N/A,#N/A,FALSE,"KMC최종회의(7월) 자료"}</definedName>
    <definedName name="_119A3_" hidden="1">{#N/A,#N/A,FALSE,"단축1";#N/A,#N/A,FALSE,"단축2";#N/A,#N/A,FALSE,"단축3";#N/A,#N/A,FALSE,"장축";#N/A,#N/A,FALSE,"4WD"}</definedName>
    <definedName name="_119CL22_" hidden="1">{#N/A,#N/A,FALSE,"KMC최종회의(7월) 자료"}</definedName>
    <definedName name="_119CL222_" hidden="1">{#N/A,#N/A,FALSE,"KMC최종회의(7월) 자료"}</definedName>
    <definedName name="_119E1_" hidden="1">{#N/A,#N/A,FALSE,"KMC최종회의(7월) 자료"}</definedName>
    <definedName name="_119k9_" hidden="1">{#N/A,#N/A,FALSE,"단축1";#N/A,#N/A,FALSE,"단축2";#N/A,#N/A,FALSE,"단축3";#N/A,#N/A,FALSE,"장축";#N/A,#N/A,FALSE,"4WD"}</definedName>
    <definedName name="_119P2_" hidden="1">{#N/A,#N/A,FALSE,"단축1";#N/A,#N/A,FALSE,"단축2";#N/A,#N/A,FALSE,"단축3";#N/A,#N/A,FALSE,"장축";#N/A,#N/A,FALSE,"4WD"}</definedName>
    <definedName name="_119q6_" hidden="1">{#N/A,#N/A,FALSE,"신규dep";#N/A,#N/A,FALSE,"신규dep-금형상각후";#N/A,#N/A,FALSE,"신규dep-연구비상각후";#N/A,#N/A,FALSE,"신규dep-기계,공구상각후"}</definedName>
    <definedName name="_119Q8_" hidden="1">{#N/A,#N/A,FALSE,"KMC최종회의(7월) 자료"}</definedName>
    <definedName name="_119S3_" hidden="1">{#N/A,#N/A,FALSE,"KMC최종회의(7월) 자료"}</definedName>
    <definedName name="_119S5_" hidden="1">{#N/A,#N/A,FALSE,"KMC최종회의(7월) 자료"}</definedName>
    <definedName name="_119W1_" hidden="1">{#N/A,#N/A,FALSE,"KMC최종회의(7월) 자료"}</definedName>
    <definedName name="_119W4_" hidden="1">{#N/A,#N/A,FALSE,"KMC최종회의(7월) 자료"}</definedName>
    <definedName name="_119W5_" hidden="1">{#N/A,#N/A,FALSE,"KMC최종회의(7월) 자료"}</definedName>
    <definedName name="_119W7_" hidden="1">{#N/A,#N/A,FALSE,"KMC최종회의(7월) 자료"}</definedName>
    <definedName name="_119W9_" hidden="1">{#N/A,#N/A,FALSE,"KMC최종회의(7월) 자료"}</definedName>
    <definedName name="_119X4_" hidden="1">{#N/A,#N/A,FALSE,"KMC최종회의(7월) 자료"}</definedName>
    <definedName name="_119X7_" hidden="1">{#N/A,#N/A,FALSE,"KMC최종회의(7월) 자료"}</definedName>
    <definedName name="_119z2_" hidden="1">{#N/A,#N/A,FALSE,"단축1";#N/A,#N/A,FALSE,"단축2";#N/A,#N/A,FALSE,"단축3";#N/A,#N/A,FALSE,"장축";#N/A,#N/A,FALSE,"4WD"}</definedName>
    <definedName name="_119z2__1" hidden="1">{#N/A,#N/A,FALSE,"단축1";#N/A,#N/A,FALSE,"단축2";#N/A,#N/A,FALSE,"단축3";#N/A,#N/A,FALSE,"장축";#N/A,#N/A,FALSE,"4WD"}</definedName>
    <definedName name="_119Z8_" hidden="1">{#N/A,#N/A,FALSE,"KMC최종회의(7월) 자료"}</definedName>
    <definedName name="_11A1_" hidden="1">{#N/A,#N/A,FALSE,"KMC최종회의(7월) 자료"}</definedName>
    <definedName name="_11A1232_" hidden="1">{#N/A,#N/A,FALSE,"단축1";#N/A,#N/A,FALSE,"단축2";#N/A,#N/A,FALSE,"단축3";#N/A,#N/A,FALSE,"장축";#N/A,#N/A,FALSE,"4WD"}</definedName>
    <definedName name="_11A1454_" hidden="1">{#N/A,#N/A,FALSE,"단축1";#N/A,#N/A,FALSE,"단축2";#N/A,#N/A,FALSE,"단축3";#N/A,#N/A,FALSE,"장축";#N/A,#N/A,FALSE,"4WD"}</definedName>
    <definedName name="_11A3_" hidden="1">{#N/A,#N/A,FALSE,"단축1";#N/A,#N/A,FALSE,"단축2";#N/A,#N/A,FALSE,"단축3";#N/A,#N/A,FALSE,"장축";#N/A,#N/A,FALSE,"4WD"}</definedName>
    <definedName name="_11A4_" hidden="1">{#N/A,#N/A,FALSE,"KMC최종회의(7월) 자료"}</definedName>
    <definedName name="_11A6_" hidden="1">{#N/A,#N/A,FALSE,"KMC최종회의(7월) 자료"}</definedName>
    <definedName name="_11A7_" hidden="1">{#N/A,#N/A,FALSE,"KMC최종회의(7월) 자료"}</definedName>
    <definedName name="_11A8_" hidden="1">{#N/A,#N/A,FALSE,"KMC최종회의(7월) 자료"}</definedName>
    <definedName name="_11A9_" hidden="1">{#N/A,#N/A,FALSE,"KMC최종회의(7월) 자료"}</definedName>
    <definedName name="_11AS6_" hidden="1">{#N/A,#N/A,FALSE,"Australien";#N/A,#N/A,FALSE,"Birmingham";#N/A,#N/A,FALSE,"Brasilien";#N/A,#N/A,FALSE,"Prag";#N/A,#N/A,FALSE,"Spanien";#N/A,#N/A,FALSE,"Malaysia ( Com)";#N/A,#N/A,FALSE,"Malaysia (Instr)"}</definedName>
    <definedName name="_11AT1_" hidden="1">{#N/A,#N/A,FALSE,"인원";#N/A,#N/A,FALSE,"비용2";#N/A,#N/A,FALSE,"비용1";#N/A,#N/A,FALSE,"비용";#N/A,#N/A,FALSE,"보증2";#N/A,#N/A,FALSE,"보증1";#N/A,#N/A,FALSE,"보증";#N/A,#N/A,FALSE,"손익1";#N/A,#N/A,FALSE,"손익";#N/A,#N/A,FALSE,"부서별매출";#N/A,#N/A,FALSE,"매출"}</definedName>
    <definedName name="_11AT3_" hidden="1">{#N/A,#N/A,FALSE,"인원";#N/A,#N/A,FALSE,"비용2";#N/A,#N/A,FALSE,"비용1";#N/A,#N/A,FALSE,"비용";#N/A,#N/A,FALSE,"보증2";#N/A,#N/A,FALSE,"보증1";#N/A,#N/A,FALSE,"보증";#N/A,#N/A,FALSE,"손익1";#N/A,#N/A,FALSE,"손익";#N/A,#N/A,FALSE,"부서별매출";#N/A,#N/A,FALSE,"매출"}</definedName>
    <definedName name="_11CL22_" hidden="1">{#N/A,#N/A,FALSE,"KMC최종회의(7월) 자료"}</definedName>
    <definedName name="_11CL22__1" hidden="1">{#N/A,#N/A,FALSE,"KMC최종회의(7월) 자료"}</definedName>
    <definedName name="_11CL222_" hidden="1">{#N/A,#N/A,FALSE,"KMC최종회의(7월) 자료"}</definedName>
    <definedName name="_11CL33_" hidden="1">{#N/A,#N/A,FALSE,"KMC최종회의(7월) 자료"}</definedName>
    <definedName name="_11DB777_" hidden="1">{#N/A,#N/A,TRUE,"Y생산";#N/A,#N/A,TRUE,"Y판매";#N/A,#N/A,TRUE,"Y총물량";#N/A,#N/A,TRUE,"Y능력";#N/A,#N/A,TRUE,"YKD"}</definedName>
    <definedName name="_11E1_" hidden="1">{#N/A,#N/A,FALSE,"KMC최종회의(7월) 자료"}</definedName>
    <definedName name="_11E2_" hidden="1">{#N/A,#N/A,FALSE,"KMC최종회의(7월) 자료"}</definedName>
    <definedName name="_11E2__1" hidden="1">{#N/A,#N/A,FALSE,"KMC최종회의(7월) 자료"}</definedName>
    <definedName name="_11EO2_" hidden="1">{#N/A,#N/A,FALSE,"신규dep";#N/A,#N/A,FALSE,"신규dep-금형상각후";#N/A,#N/A,FALSE,"신규dep-연구비상각후";#N/A,#N/A,FALSE,"신규dep-기계,공구상각후"}</definedName>
    <definedName name="_11h1_" hidden="1">{"'표지'!$B$5"}</definedName>
    <definedName name="_11H20_" hidden="1">{#N/A,#N/A,FALSE,"단축1";#N/A,#N/A,FALSE,"단축2";#N/A,#N/A,FALSE,"단축3";#N/A,#N/A,FALSE,"장축";#N/A,#N/A,FALSE,"4WD"}</definedName>
    <definedName name="_11HL2_" hidden="1">{#N/A,#N/A,FALSE,"단축1";#N/A,#N/A,FALSE,"단축2";#N/A,#N/A,FALSE,"단축3";#N/A,#N/A,FALSE,"장축";#N/A,#N/A,FALSE,"4WD"}</definedName>
    <definedName name="_11K12_" hidden="1">{#N/A,#N/A,FALSE,"단축1";#N/A,#N/A,FALSE,"단축2";#N/A,#N/A,FALSE,"단축3";#N/A,#N/A,FALSE,"장축";#N/A,#N/A,FALSE,"4WD"}</definedName>
    <definedName name="_11k8_" hidden="1">{#N/A,#N/A,FALSE,"단축1";#N/A,#N/A,FALSE,"단축2";#N/A,#N/A,FALSE,"단축3";#N/A,#N/A,FALSE,"장축";#N/A,#N/A,FALSE,"4WD"}</definedName>
    <definedName name="_11P2_" hidden="1">{#N/A,#N/A,FALSE,"단축1";#N/A,#N/A,FALSE,"단축2";#N/A,#N/A,FALSE,"단축3";#N/A,#N/A,FALSE,"장축";#N/A,#N/A,FALSE,"4WD"}</definedName>
    <definedName name="_11Q1_" hidden="1">{#N/A,#N/A,FALSE,"KMC최종회의(7월) 자료"}</definedName>
    <definedName name="_11Q1__1" hidden="1">{#N/A,#N/A,FALSE,"KMC최종회의(7월) 자료"}</definedName>
    <definedName name="_11S5_" hidden="1">{#N/A,#N/A,FALSE,"KMC최종회의(7월) 자료"}</definedName>
    <definedName name="_12__123Graph_AC04C_ALL_L1" hidden="1">#REF!</definedName>
    <definedName name="_12__123Graph_AC04C_FR_L2" hidden="1">#REF!</definedName>
    <definedName name="_12___0_S" hidden="1">#REF!</definedName>
    <definedName name="_12_7_0__123Graph_LB" hidden="1">#REF!</definedName>
    <definedName name="_12__0_S" hidden="1">#REF!</definedName>
    <definedName name="_1202__0_S" hidden="1">#REF!</definedName>
    <definedName name="_120A7_" hidden="1">{#N/A,#N/A,FALSE,"KMC최종회의(7월) 자료"}</definedName>
    <definedName name="_120AS6_" hidden="1">{#N/A,#N/A,FALSE,"Australien";#N/A,#N/A,FALSE,"Birmingham";#N/A,#N/A,FALSE,"Brasilien";#N/A,#N/A,FALSE,"Prag";#N/A,#N/A,FALSE,"Spanien";#N/A,#N/A,FALSE,"Malaysia ( Com)";#N/A,#N/A,FALSE,"Malaysia (Instr)"}</definedName>
    <definedName name="_120CL222_" hidden="1">{#N/A,#N/A,FALSE,"KMC최종회의(7월) 자료"}</definedName>
    <definedName name="_120CL33_" hidden="1">{#N/A,#N/A,FALSE,"KMC최종회의(7월) 자료"}</definedName>
    <definedName name="_120E1_" hidden="1">{#N/A,#N/A,FALSE,"KMC최종회의(7월) 자료"}</definedName>
    <definedName name="_120E1__1" hidden="1">{#N/A,#N/A,FALSE,"KMC최종회의(7월) 자료"}</definedName>
    <definedName name="_120HP02_" hidden="1">{#N/A,#N/A,FALSE,"단축1";#N/A,#N/A,FALSE,"단축2";#N/A,#N/A,FALSE,"단축3";#N/A,#N/A,FALSE,"장축";#N/A,#N/A,FALSE,"4WD"}</definedName>
    <definedName name="_120k8_" hidden="1">{#N/A,#N/A,FALSE,"단축1";#N/A,#N/A,FALSE,"단축2";#N/A,#N/A,FALSE,"단축3";#N/A,#N/A,FALSE,"장축";#N/A,#N/A,FALSE,"4WD"}</definedName>
    <definedName name="_120k8__1" hidden="1">{#N/A,#N/A,FALSE,"단축1";#N/A,#N/A,FALSE,"단축2";#N/A,#N/A,FALSE,"단축3";#N/A,#N/A,FALSE,"장축";#N/A,#N/A,FALSE,"4WD"}</definedName>
    <definedName name="_120P2_" hidden="1">{#N/A,#N/A,FALSE,"단축1";#N/A,#N/A,FALSE,"단축2";#N/A,#N/A,FALSE,"단축3";#N/A,#N/A,FALSE,"장축";#N/A,#N/A,FALSE,"4WD"}</definedName>
    <definedName name="_120P21_" hidden="1">{#N/A,#N/A,FALSE,"단축1";#N/A,#N/A,FALSE,"단축2";#N/A,#N/A,FALSE,"단축3";#N/A,#N/A,FALSE,"장축";#N/A,#N/A,FALSE,"4WD"}</definedName>
    <definedName name="_120Q8_" hidden="1">{#N/A,#N/A,FALSE,"KMC최종회의(7월) 자료"}</definedName>
    <definedName name="_120Q9_" hidden="1">{#N/A,#N/A,FALSE,"KMC최종회의(7월) 자료"}</definedName>
    <definedName name="_120S2_" hidden="1">{#N/A,#N/A,FALSE,"KMC최종회의(7월) 자료"}</definedName>
    <definedName name="_120S3_" hidden="1">{#N/A,#N/A,FALSE,"KMC최종회의(7월) 자료"}</definedName>
    <definedName name="_120S4_" hidden="1">{#N/A,#N/A,FALSE,"KMC최종회의(7월) 자료"}</definedName>
    <definedName name="_120S5_" hidden="1">{#N/A,#N/A,FALSE,"KMC최종회의(7월) 자료"}</definedName>
    <definedName name="_120S8_" hidden="1">{#N/A,#N/A,FALSE,"KMC최종회의(7월) 자료"}</definedName>
    <definedName name="_120T3_" hidden="1">{#N/A,#N/A,FALSE,"단축1";#N/A,#N/A,FALSE,"단축2";#N/A,#N/A,FALSE,"단축3";#N/A,#N/A,FALSE,"장축";#N/A,#N/A,FALSE,"4WD"}</definedName>
    <definedName name="_120t4_" hidden="1">{#N/A,#N/A,FALSE,"단축1";#N/A,#N/A,FALSE,"단축2";#N/A,#N/A,FALSE,"단축3";#N/A,#N/A,FALSE,"장축";#N/A,#N/A,FALSE,"4WD"}</definedName>
    <definedName name="_120W2_" hidden="1">{#N/A,#N/A,FALSE,"KMC최종회의(7월) 자료"}</definedName>
    <definedName name="_120W4_" hidden="1">{#N/A,#N/A,FALSE,"KMC최종회의(7월) 자료"}</definedName>
    <definedName name="_120W5_" hidden="1">{#N/A,#N/A,FALSE,"KMC최종회의(7월) 자료"}</definedName>
    <definedName name="_120W8_" hidden="1">{#N/A,#N/A,FALSE,"KMC최종회의(7월) 자료"}</definedName>
    <definedName name="_120X1_" hidden="1">{#N/A,#N/A,FALSE,"KMC최종회의(7월) 자료"}</definedName>
    <definedName name="_120X1__1" hidden="1">{#N/A,#N/A,FALSE,"KMC최종회의(7월) 자료"}</definedName>
    <definedName name="_120X3_" hidden="1">{#N/A,#N/A,FALSE,"KMC최종회의(7월) 자료"}</definedName>
    <definedName name="_120X5_" hidden="1">{#N/A,#N/A,FALSE,"KMC최종회의(7월) 자료"}</definedName>
    <definedName name="_120X7_" hidden="1">{#N/A,#N/A,FALSE,"KMC최종회의(7월) 자료"}</definedName>
    <definedName name="_120Z2_" hidden="1">{#N/A,#N/A,FALSE,"KMC최종회의(7월) 자료"}</definedName>
    <definedName name="_120Z3_" hidden="1">{#N/A,#N/A,FALSE,"KMC최종회의(7월) 자료"}</definedName>
    <definedName name="_120Z3__1" hidden="1">{#N/A,#N/A,FALSE,"KMC최종회의(7월) 자료"}</definedName>
    <definedName name="_120Z5_" hidden="1">{#N/A,#N/A,FALSE,"KMC최종회의(7월) 자료"}</definedName>
    <definedName name="_120Z6_" hidden="1">{#N/A,#N/A,FALSE,"KMC최종회의(7월) 자료"}</definedName>
    <definedName name="_120Z7_" hidden="1">{#N/A,#N/A,FALSE,"KMC최종회의(7월) 자료"}</definedName>
    <definedName name="_120Z8_" hidden="1">{#N/A,#N/A,FALSE,"KMC최종회의(7월) 자료"}</definedName>
    <definedName name="_120Z9_" hidden="1">{#N/A,#N/A,FALSE,"KMC최종회의(7월) 자료"}</definedName>
    <definedName name="_121__0_S" hidden="1">#REF!</definedName>
    <definedName name="_1219AS6_" hidden="1">{#N/A,#N/A,FALSE,"Australien";#N/A,#N/A,FALSE,"Birmingham";#N/A,#N/A,FALSE,"Brasilien";#N/A,#N/A,FALSE,"Prag";#N/A,#N/A,FALSE,"Spanien";#N/A,#N/A,FALSE,"Malaysia ( Com)";#N/A,#N/A,FALSE,"Malaysia (Instr)"}</definedName>
    <definedName name="_1219AS6__1" hidden="1">{#N/A,#N/A,FALSE,"Australien";#N/A,#N/A,FALSE,"Birmingham";#N/A,#N/A,FALSE,"Brasilien";#N/A,#N/A,FALSE,"Prag";#N/A,#N/A,FALSE,"Spanien";#N/A,#N/A,FALSE,"Malaysia ( Com)";#N/A,#N/A,FALSE,"Malaysia (Instr)"}</definedName>
    <definedName name="_121AA4_" hidden="1">{#N/A,#N/A,FALSE,"신규dep";#N/A,#N/A,FALSE,"신규dep-금형상각후";#N/A,#N/A,FALSE,"신규dep-연구비상각후";#N/A,#N/A,FALSE,"신규dep-기계,공구상각후"}</definedName>
    <definedName name="_121CL33_" hidden="1">{#N/A,#N/A,FALSE,"KMC최종회의(7월) 자료"}</definedName>
    <definedName name="_121Q2_" hidden="1">{#N/A,#N/A,FALSE,"KMC최종회의(7월) 자료"}</definedName>
    <definedName name="_121Q7_" hidden="1">{#N/A,#N/A,FALSE,"KMC최종회의(7월) 자료"}</definedName>
    <definedName name="_121Q8_" hidden="1">{#N/A,#N/A,FALSE,"KMC최종회의(7월) 자료"}</definedName>
    <definedName name="_121S1_" hidden="1">{#N/A,#N/A,FALSE,"KMC최종회의(7월) 자료"}</definedName>
    <definedName name="_121S4_" hidden="1">{#N/A,#N/A,FALSE,"KMC최종회의(7월) 자료"}</definedName>
    <definedName name="_121s7_" hidden="1">{#N/A,#N/A,FALSE,"신규dep";#N/A,#N/A,FALSE,"신규dep-금형상각후";#N/A,#N/A,FALSE,"신규dep-연구비상각후";#N/A,#N/A,FALSE,"신규dep-기계,공구상각후"}</definedName>
    <definedName name="_121W6_" hidden="1">{#N/A,#N/A,FALSE,"KMC최종회의(7월) 자료"}</definedName>
    <definedName name="_121W9_" hidden="1">{#N/A,#N/A,FALSE,"KMC최종회의(7월) 자료"}</definedName>
    <definedName name="_121X1_" hidden="1">{#N/A,#N/A,FALSE,"KMC최종회의(7월) 자료"}</definedName>
    <definedName name="_121X2_" hidden="1">{#N/A,#N/A,FALSE,"KMC최종회의(7월) 자료"}</definedName>
    <definedName name="_121X5_" hidden="1">{#N/A,#N/A,FALSE,"KMC최종회의(7월) 자료"}</definedName>
    <definedName name="_121X8_" hidden="1">{#N/A,#N/A,FALSE,"KMC최종회의(7월) 자료"}</definedName>
    <definedName name="_121z4_" hidden="1">{#N/A,#N/A,FALSE,"단축1";#N/A,#N/A,FALSE,"단축2";#N/A,#N/A,FALSE,"단축3";#N/A,#N/A,FALSE,"장축";#N/A,#N/A,FALSE,"4WD"}</definedName>
    <definedName name="_121z4__1" hidden="1">{#N/A,#N/A,FALSE,"단축1";#N/A,#N/A,FALSE,"단축2";#N/A,#N/A,FALSE,"단축3";#N/A,#N/A,FALSE,"장축";#N/A,#N/A,FALSE,"4WD"}</definedName>
    <definedName name="_121Z9_" hidden="1">{#N/A,#N/A,FALSE,"KMC최종회의(7월) 자료"}</definedName>
    <definedName name="_1225__0_S" hidden="1">#REF!</definedName>
    <definedName name="_1226__0_S" hidden="1">#REF!</definedName>
    <definedName name="_122A3_" hidden="1">{#N/A,#N/A,FALSE,"단축1";#N/A,#N/A,FALSE,"단축2";#N/A,#N/A,FALSE,"단축3";#N/A,#N/A,FALSE,"장축";#N/A,#N/A,FALSE,"4WD"}</definedName>
    <definedName name="_122HP2_" hidden="1">{#N/A,#N/A,FALSE,"단축1";#N/A,#N/A,FALSE,"단축2";#N/A,#N/A,FALSE,"단축3";#N/A,#N/A,FALSE,"장축";#N/A,#N/A,FALSE,"4WD"}</definedName>
    <definedName name="_122Q1_" hidden="1">{#N/A,#N/A,FALSE,"KMC최종회의(7월) 자료"}</definedName>
    <definedName name="_122Q1233_" hidden="1">{"'7-2지역별'!$A$1:$R$44"}</definedName>
    <definedName name="_122q6_" hidden="1">{#N/A,#N/A,FALSE,"신규dep";#N/A,#N/A,FALSE,"신규dep-금형상각후";#N/A,#N/A,FALSE,"신규dep-연구비상각후";#N/A,#N/A,FALSE,"신규dep-기계,공구상각후"}</definedName>
    <definedName name="_122S1_" hidden="1">{#N/A,#N/A,FALSE,"KMC최종회의(7월) 자료"}</definedName>
    <definedName name="_122S2_" hidden="1">{#N/A,#N/A,FALSE,"KMC최종회의(7월) 자료"}</definedName>
    <definedName name="_122S6_" hidden="1">{#N/A,#N/A,FALSE,"KMC최종회의(7월) 자료"}</definedName>
    <definedName name="_122T2_" hidden="1">{#N/A,#N/A,FALSE,"단축1";#N/A,#N/A,FALSE,"단축2";#N/A,#N/A,FALSE,"단축3";#N/A,#N/A,FALSE,"장축";#N/A,#N/A,FALSE,"4WD"}</definedName>
    <definedName name="_122U1_" hidden="1">{#N/A,#N/A,FALSE,"단축1";#N/A,#N/A,FALSE,"단축2";#N/A,#N/A,FALSE,"단축3";#N/A,#N/A,FALSE,"장축";#N/A,#N/A,FALSE,"4WD"}</definedName>
    <definedName name="_122W2_" hidden="1">{#N/A,#N/A,FALSE,"KMC최종회의(7월) 자료"}</definedName>
    <definedName name="_122W5_" hidden="1">{#N/A,#N/A,FALSE,"KMC최종회의(7월) 자료"}</definedName>
    <definedName name="_122W6_" hidden="1">{#N/A,#N/A,FALSE,"KMC최종회의(7월) 자료"}</definedName>
    <definedName name="_122W7_" hidden="1">{#N/A,#N/A,FALSE,"KMC최종회의(7월) 자료"}</definedName>
    <definedName name="_122W9_" hidden="1">{#N/A,#N/A,FALSE,"KMC최종회의(7월) 자료"}</definedName>
    <definedName name="_122X1_" hidden="1">{#N/A,#N/A,FALSE,"KMC최종회의(7월) 자료"}</definedName>
    <definedName name="_122X4_" hidden="1">{#N/A,#N/A,FALSE,"KMC최종회의(7월) 자료"}</definedName>
    <definedName name="_122Z3_" hidden="1">{#N/A,#N/A,FALSE,"KMC최종회의(7월) 자료"}</definedName>
    <definedName name="_122Z4_" hidden="1">{#N/A,#N/A,FALSE,"KMC최종회의(7월) 자료"}</definedName>
    <definedName name="_122z4__1" hidden="1">{#N/A,#N/A,FALSE,"단축1";#N/A,#N/A,FALSE,"단축2";#N/A,#N/A,FALSE,"단축3";#N/A,#N/A,FALSE,"장축";#N/A,#N/A,FALSE,"4WD"}</definedName>
    <definedName name="_122Z7_" hidden="1">{#N/A,#N/A,FALSE,"KMC최종회의(7월) 자료"}</definedName>
    <definedName name="_122Z8_" hidden="1">{#N/A,#N/A,FALSE,"KMC최종회의(7월) 자료"}</definedName>
    <definedName name="_122Z9_" hidden="1">{#N/A,#N/A,FALSE,"KMC최종회의(7월) 자료"}</definedName>
    <definedName name="_123__0_S" hidden="1">#REF!</definedName>
    <definedName name="_123CL33_" hidden="1">{#N/A,#N/A,FALSE,"KMC최종회의(7월) 자료"}</definedName>
    <definedName name="_123E2_" hidden="1">{#N/A,#N/A,FALSE,"KMC최종회의(7월) 자료"}</definedName>
    <definedName name="_123e9_" hidden="1">{#N/A,#N/A,FALSE,"단축1";#N/A,#N/A,FALSE,"단축2";#N/A,#N/A,FALSE,"단축3";#N/A,#N/A,FALSE,"장축";#N/A,#N/A,FALSE,"4WD"}</definedName>
    <definedName name="_123M123_" hidden="1">{#N/A,#N/A,FALSE,"단축1";#N/A,#N/A,FALSE,"단축2";#N/A,#N/A,FALSE,"단축3";#N/A,#N/A,FALSE,"장축";#N/A,#N/A,FALSE,"4WD"}</definedName>
    <definedName name="_123M123__1" hidden="1">{#N/A,#N/A,FALSE,"단축1";#N/A,#N/A,FALSE,"단축2";#N/A,#N/A,FALSE,"단축3";#N/A,#N/A,FALSE,"장축";#N/A,#N/A,FALSE,"4WD"}</definedName>
    <definedName name="_123Q1_" hidden="1">{#N/A,#N/A,FALSE,"KMC최종회의(7월) 자료"}</definedName>
    <definedName name="_123Q2_" hidden="1">{#N/A,#N/A,FALSE,"KMC최종회의(7월) 자료"}</definedName>
    <definedName name="_123Q8_" hidden="1">{#N/A,#N/A,FALSE,"KMC최종회의(7월) 자료"}</definedName>
    <definedName name="_123S3_" hidden="1">{#N/A,#N/A,FALSE,"KMC최종회의(7월) 자료"}</definedName>
    <definedName name="_123S5_" hidden="1">{#N/A,#N/A,FALSE,"KMC최종회의(7월) 자료"}</definedName>
    <definedName name="_123S6_" hidden="1">{#N/A,#N/A,FALSE,"KMC최종회의(7월) 자료"}</definedName>
    <definedName name="_123W5_" hidden="1">{#N/A,#N/A,FALSE,"KMC최종회의(7월) 자료"}</definedName>
    <definedName name="_123W8_" hidden="1">{#N/A,#N/A,FALSE,"KMC최종회의(7월) 자료"}</definedName>
    <definedName name="_123X2_" hidden="1">{#N/A,#N/A,FALSE,"KMC최종회의(7월) 자료"}</definedName>
    <definedName name="_123X2__1" hidden="1">{#N/A,#N/A,FALSE,"KMC최종회의(7월) 자료"}</definedName>
    <definedName name="_123X6_" hidden="1">{#N/A,#N/A,FALSE,"KMC최종회의(7월) 자료"}</definedName>
    <definedName name="_123X8_" hidden="1">{#N/A,#N/A,FALSE,"KMC최종회의(7월) 자료"}</definedName>
    <definedName name="_123Z1_" hidden="1">{#N/A,#N/A,FALSE,"KMC최종회의(7월) 자료"}</definedName>
    <definedName name="_123Z5_" hidden="1">{#N/A,#N/A,FALSE,"KMC최종회의(7월) 자료"}</definedName>
    <definedName name="_123Z5__1" hidden="1">{#N/A,#N/A,FALSE,"KMC최종회의(7월) 자료"}</definedName>
    <definedName name="_124A8_" hidden="1">{#N/A,#N/A,FALSE,"KMC최종회의(7월) 자료"}</definedName>
    <definedName name="_124e7_" hidden="1">{#N/A,#N/A,FALSE,"신규dep";#N/A,#N/A,FALSE,"신규dep-금형상각후";#N/A,#N/A,FALSE,"신규dep-연구비상각후";#N/A,#N/A,FALSE,"신규dep-기계,공구상각후"}</definedName>
    <definedName name="_124Q2_" hidden="1">{#N/A,#N/A,FALSE,"KMC최종회의(7월) 자료"}</definedName>
    <definedName name="_124S2_" hidden="1">{#N/A,#N/A,FALSE,"KMC최종회의(7월) 자료"}</definedName>
    <definedName name="_124S4_" hidden="1">{#N/A,#N/A,FALSE,"KMC최종회의(7월) 자료"}</definedName>
    <definedName name="_124S6_" hidden="1">{#N/A,#N/A,FALSE,"KMC최종회의(7월) 자료"}</definedName>
    <definedName name="_124s8_" hidden="1">{#N/A,#N/A,FALSE,"신규dep";#N/A,#N/A,FALSE,"신규dep-금형상각후";#N/A,#N/A,FALSE,"신규dep-연구비상각후";#N/A,#N/A,FALSE,"신규dep-기계,공구상각후"}</definedName>
    <definedName name="_124T3_" hidden="1">{#N/A,#N/A,FALSE,"단축1";#N/A,#N/A,FALSE,"단축2";#N/A,#N/A,FALSE,"단축3";#N/A,#N/A,FALSE,"장축";#N/A,#N/A,FALSE,"4WD"}</definedName>
    <definedName name="_124T5_" hidden="1">{#N/A,#N/A,FALSE,"단축1";#N/A,#N/A,FALSE,"단축2";#N/A,#N/A,FALSE,"단축3";#N/A,#N/A,FALSE,"장축";#N/A,#N/A,FALSE,"4WD"}</definedName>
    <definedName name="_124W3_" hidden="1">{#N/A,#N/A,FALSE,"KMC최종회의(7월) 자료"}</definedName>
    <definedName name="_124W5_" hidden="1">{#N/A,#N/A,FALSE,"KMC최종회의(7월) 자료"}</definedName>
    <definedName name="_124W9_" hidden="1">{#N/A,#N/A,FALSE,"KMC최종회의(7월) 자료"}</definedName>
    <definedName name="_124X1_" hidden="1">{#N/A,#N/A,FALSE,"KMC최종회의(7월) 자료"}</definedName>
    <definedName name="_124X2_" hidden="1">{#N/A,#N/A,FALSE,"KMC최종회의(7월) 자료"}</definedName>
    <definedName name="_124X3_" hidden="1">{#N/A,#N/A,FALSE,"KMC최종회의(7월) 자료"}</definedName>
    <definedName name="_124X5_" hidden="1">{#N/A,#N/A,FALSE,"KMC최종회의(7월) 자료"}</definedName>
    <definedName name="_124Z4_" hidden="1">{#N/A,#N/A,FALSE,"KMC최종회의(7월) 자료"}</definedName>
    <definedName name="_124Z5_" hidden="1">{#N/A,#N/A,FALSE,"KMC최종회의(7월) 자료"}</definedName>
    <definedName name="_124Z6_" hidden="1">{#N/A,#N/A,FALSE,"KMC최종회의(7월) 자료"}</definedName>
    <definedName name="_124Z6__1" hidden="1">{#N/A,#N/A,FALSE,"KMC최종회의(7월) 자료"}</definedName>
    <definedName name="_124Z8_" hidden="1">{#N/A,#N/A,FALSE,"KMC최종회의(7월) 자료"}</definedName>
    <definedName name="_124Z9_" hidden="1">{#N/A,#N/A,FALSE,"KMC최종회의(7월) 자료"}</definedName>
    <definedName name="_125____S" hidden="1">#REF!</definedName>
    <definedName name="_125A1_" hidden="1">{#N/A,#N/A,FALSE,"KMC최종회의(7월) 자료"}</definedName>
    <definedName name="_125A1232_" hidden="1">{#N/A,#N/A,FALSE,"단축1";#N/A,#N/A,FALSE,"단축2";#N/A,#N/A,FALSE,"단축3";#N/A,#N/A,FALSE,"장축";#N/A,#N/A,FALSE,"4WD"}</definedName>
    <definedName name="_125A2040_" hidden="1">{#N/A,#N/A,FALSE,"단축1";#N/A,#N/A,FALSE,"단축2";#N/A,#N/A,FALSE,"단축3";#N/A,#N/A,FALSE,"장축";#N/A,#N/A,FALSE,"4WD"}</definedName>
    <definedName name="_125A8_" hidden="1">{#N/A,#N/A,FALSE,"KMC최종회의(7월) 자료"}</definedName>
    <definedName name="_125k9_" hidden="1">{#N/A,#N/A,FALSE,"단축1";#N/A,#N/A,FALSE,"단축2";#N/A,#N/A,FALSE,"단축3";#N/A,#N/A,FALSE,"장축";#N/A,#N/A,FALSE,"4WD"}</definedName>
    <definedName name="_125k9__1" hidden="1">{#N/A,#N/A,FALSE,"단축1";#N/A,#N/A,FALSE,"단축2";#N/A,#N/A,FALSE,"단축3";#N/A,#N/A,FALSE,"장축";#N/A,#N/A,FALSE,"4WD"}</definedName>
    <definedName name="_125P2_" hidden="1">{#N/A,#N/A,FALSE,"단축1";#N/A,#N/A,FALSE,"단축2";#N/A,#N/A,FALSE,"단축3";#N/A,#N/A,FALSE,"장축";#N/A,#N/A,FALSE,"4WD"}</definedName>
    <definedName name="_125Q1_" hidden="1">{#N/A,#N/A,FALSE,"KMC최종회의(7월) 자료"}</definedName>
    <definedName name="_125Q3_" hidden="1">{#N/A,#N/A,FALSE,"KMC최종회의(7월) 자료"}</definedName>
    <definedName name="_125Q9_" hidden="1">{#N/A,#N/A,FALSE,"KMC최종회의(7월) 자료"}</definedName>
    <definedName name="_125S4_" hidden="1">{#N/A,#N/A,FALSE,"KMC최종회의(7월) 자료"}</definedName>
    <definedName name="_125S5_" hidden="1">{#N/A,#N/A,FALSE,"KMC최종회의(7월) 자료"}</definedName>
    <definedName name="_125S6_" hidden="1">{#N/A,#N/A,FALSE,"KMC최종회의(7월) 자료"}</definedName>
    <definedName name="_125T2_" hidden="1">{#N/A,#N/A,FALSE,"단축1";#N/A,#N/A,FALSE,"단축2";#N/A,#N/A,FALSE,"단축3";#N/A,#N/A,FALSE,"장축";#N/A,#N/A,FALSE,"4WD"}</definedName>
    <definedName name="_125W1_" hidden="1">{#N/A,#N/A,FALSE,"KMC최종회의(7월) 자료"}</definedName>
    <definedName name="_125W3_" hidden="1">{#N/A,#N/A,FALSE,"KMC최종회의(7월) 자료"}</definedName>
    <definedName name="_125W6_" hidden="1">{#N/A,#N/A,FALSE,"KMC최종회의(7월) 자료"}</definedName>
    <definedName name="_125W7_" hidden="1">{#N/A,#N/A,FALSE,"KMC최종회의(7월) 자료"}</definedName>
    <definedName name="_125X1_" hidden="1">{#N/A,#N/A,FALSE,"KMC최종회의(7월) 자료"}</definedName>
    <definedName name="_125X3_" hidden="1">{#N/A,#N/A,FALSE,"KMC최종회의(7월) 자료"}</definedName>
    <definedName name="_125X4_" hidden="1">{#N/A,#N/A,FALSE,"KMC최종회의(7월) 자료"}</definedName>
    <definedName name="_125X7_" hidden="1">{#N/A,#N/A,FALSE,"KMC최종회의(7월) 자료"}</definedName>
    <definedName name="_125Z2_" hidden="1">{#N/A,#N/A,FALSE,"KMC최종회의(7월) 자료"}</definedName>
    <definedName name="_125Z7_" hidden="1">{#N/A,#N/A,FALSE,"KMC최종회의(7월) 자료"}</definedName>
    <definedName name="_125Z7__1" hidden="1">{#N/A,#N/A,FALSE,"KMC최종회의(7월) 자료"}</definedName>
    <definedName name="_126____S" hidden="1">#REF!</definedName>
    <definedName name="_126__0_S" hidden="1">#REF!</definedName>
    <definedName name="_126A7_" hidden="1">{#N/A,#N/A,FALSE,"KMC최종회의(7월) 자료"}</definedName>
    <definedName name="_126E1_" hidden="1">{#N/A,#N/A,FALSE,"KMC최종회의(7월) 자료"}</definedName>
    <definedName name="_126E2_" hidden="1">{#N/A,#N/A,FALSE,"KMC최종회의(7월) 자료"}</definedName>
    <definedName name="_126E2__1" hidden="1">{#N/A,#N/A,FALSE,"KMC최종회의(7월) 자료"}</definedName>
    <definedName name="_126FG1_" hidden="1">{#N/A,#N/A,FALSE,"단축1";#N/A,#N/A,FALSE,"단축2";#N/A,#N/A,FALSE,"단축3";#N/A,#N/A,FALSE,"장축";#N/A,#N/A,FALSE,"4WD"}</definedName>
    <definedName name="_126Q1_" hidden="1">{#N/A,#N/A,FALSE,"KMC최종회의(7월) 자료"}</definedName>
    <definedName name="_126Q3_" hidden="1">{#N/A,#N/A,FALSE,"KMC최종회의(7월) 자료"}</definedName>
    <definedName name="_126Q5_" hidden="1">{#N/A,#N/A,FALSE,"KMC최종회의(7월) 자료"}</definedName>
    <definedName name="_126q7_" hidden="1">{#N/A,#N/A,FALSE,"신규dep";#N/A,#N/A,FALSE,"신규dep-금형상각후";#N/A,#N/A,FALSE,"신규dep-연구비상각후";#N/A,#N/A,FALSE,"신규dep-기계,공구상각후"}</definedName>
    <definedName name="_126Q9_" hidden="1">{#N/A,#N/A,FALSE,"KMC최종회의(7월) 자료"}</definedName>
    <definedName name="_126S3_" hidden="1">{#N/A,#N/A,FALSE,"KMC최종회의(7월) 자료"}</definedName>
    <definedName name="_126S6_" hidden="1">{#N/A,#N/A,FALSE,"KMC최종회의(7월) 자료"}</definedName>
    <definedName name="_126S7_" hidden="1">{#N/A,#N/A,FALSE,"KMC최종회의(7월) 자료"}</definedName>
    <definedName name="_126T2_" hidden="1">{#N/A,#N/A,FALSE,"단축1";#N/A,#N/A,FALSE,"단축2";#N/A,#N/A,FALSE,"단축3";#N/A,#N/A,FALSE,"장축";#N/A,#N/A,FALSE,"4WD"}</definedName>
    <definedName name="_126T2__1" hidden="1">{#N/A,#N/A,FALSE,"단축1";#N/A,#N/A,FALSE,"단축2";#N/A,#N/A,FALSE,"단축3";#N/A,#N/A,FALSE,"장축";#N/A,#N/A,FALSE,"4WD"}</definedName>
    <definedName name="_126U1_" hidden="1">{#N/A,#N/A,FALSE,"단축1";#N/A,#N/A,FALSE,"단축2";#N/A,#N/A,FALSE,"단축3";#N/A,#N/A,FALSE,"장축";#N/A,#N/A,FALSE,"4WD"}</definedName>
    <definedName name="_126W1_" hidden="1">{#N/A,#N/A,FALSE,"KMC최종회의(7월) 자료"}</definedName>
    <definedName name="_126W6_" hidden="1">{#N/A,#N/A,FALSE,"KMC최종회의(7월) 자료"}</definedName>
    <definedName name="_126X2_" hidden="1">{#N/A,#N/A,FALSE,"KMC최종회의(7월) 자료"}</definedName>
    <definedName name="_126X3_" hidden="1">{#N/A,#N/A,FALSE,"KMC최종회의(7월) 자료"}</definedName>
    <definedName name="_126X3__1" hidden="1">{#N/A,#N/A,FALSE,"KMC최종회의(7월) 자료"}</definedName>
    <definedName name="_126X5_" hidden="1">{#N/A,#N/A,FALSE,"KMC최종회의(7월) 자료"}</definedName>
    <definedName name="_126X6_" hidden="1">{#N/A,#N/A,FALSE,"KMC최종회의(7월) 자료"}</definedName>
    <definedName name="_126X7_" hidden="1">{#N/A,#N/A,FALSE,"KMC최종회의(7월) 자료"}</definedName>
    <definedName name="_126Z1_" hidden="1">{#N/A,#N/A,FALSE,"KMC최종회의(7월) 자료"}</definedName>
    <definedName name="_126Z5_" hidden="1">{#N/A,#N/A,FALSE,"KMC최종회의(7월) 자료"}</definedName>
    <definedName name="_126Z6_" hidden="1">{#N/A,#N/A,FALSE,"KMC최종회의(7월) 자료"}</definedName>
    <definedName name="_126Z8_" hidden="1">{#N/A,#N/A,FALSE,"KMC최종회의(7월) 자료"}</definedName>
    <definedName name="_126Z8__1" hidden="1">{#N/A,#N/A,FALSE,"KMC최종회의(7월) 자료"}</definedName>
    <definedName name="_126Z9_" hidden="1">{#N/A,#N/A,FALSE,"KMC최종회의(7월) 자료"}</definedName>
    <definedName name="_127____S" hidden="1">#REF!</definedName>
    <definedName name="_127__0_S" hidden="1">#REF!</definedName>
    <definedName name="_127A1245_" hidden="1">{#N/A,#N/A,FALSE,"단축1";#N/A,#N/A,FALSE,"단축2";#N/A,#N/A,FALSE,"단축3";#N/A,#N/A,FALSE,"장축";#N/A,#N/A,FALSE,"4WD"}</definedName>
    <definedName name="_127E2_" hidden="1">{#N/A,#N/A,FALSE,"KMC최종회의(7월) 자료"}</definedName>
    <definedName name="_127Q7_" hidden="1">{#N/A,#N/A,FALSE,"KMC최종회의(7월) 자료"}</definedName>
    <definedName name="_127S1_" hidden="1">{#N/A,#N/A,FALSE,"KMC최종회의(7월) 자료"}</definedName>
    <definedName name="_127S7_" hidden="1">{#N/A,#N/A,FALSE,"KMC최종회의(7월) 자료"}</definedName>
    <definedName name="_127T2_" hidden="1">{#N/A,#N/A,FALSE,"단축1";#N/A,#N/A,FALSE,"단축2";#N/A,#N/A,FALSE,"단축3";#N/A,#N/A,FALSE,"장축";#N/A,#N/A,FALSE,"4WD"}</definedName>
    <definedName name="_127T3_" hidden="1">{#N/A,#N/A,FALSE,"단축1";#N/A,#N/A,FALSE,"단축2";#N/A,#N/A,FALSE,"단축3";#N/A,#N/A,FALSE,"장축";#N/A,#N/A,FALSE,"4WD"}</definedName>
    <definedName name="_127W1_" hidden="1">{#N/A,#N/A,FALSE,"KMC최종회의(7월) 자료"}</definedName>
    <definedName name="_127X3_" hidden="1">{#N/A,#N/A,FALSE,"KMC최종회의(7월) 자료"}</definedName>
    <definedName name="_127X4_" hidden="1">{#N/A,#N/A,FALSE,"KMC최종회의(7월) 자료"}</definedName>
    <definedName name="_127X6_" hidden="1">{#N/A,#N/A,FALSE,"KMC최종회의(7월) 자료"}</definedName>
    <definedName name="_127X8_" hidden="1">{#N/A,#N/A,FALSE,"KMC최종회의(7월) 자료"}</definedName>
    <definedName name="_127Z3_" hidden="1">{#N/A,#N/A,FALSE,"KMC최종회의(7월) 자료"}</definedName>
    <definedName name="_127Z9_" hidden="1">{#N/A,#N/A,FALSE,"KMC최종회의(7월) 자료"}</definedName>
    <definedName name="_127Z9__1" hidden="1">{#N/A,#N/A,FALSE,"KMC최종회의(7월) 자료"}</definedName>
    <definedName name="_128__0_S" hidden="1">#REF!</definedName>
    <definedName name="_1289CL22_" hidden="1">{#N/A,#N/A,FALSE,"KMC최종회의(7월) 자료"}</definedName>
    <definedName name="_1289CL22__1" hidden="1">{#N/A,#N/A,FALSE,"KMC최종회의(7월) 자료"}</definedName>
    <definedName name="_128A9_" hidden="1">{#N/A,#N/A,FALSE,"KMC최종회의(7월) 자료"}</definedName>
    <definedName name="_128AT1_" hidden="1">{#N/A,#N/A,FALSE,"인원";#N/A,#N/A,FALSE,"비용2";#N/A,#N/A,FALSE,"비용1";#N/A,#N/A,FALSE,"비용";#N/A,#N/A,FALSE,"보증2";#N/A,#N/A,FALSE,"보증1";#N/A,#N/A,FALSE,"보증";#N/A,#N/A,FALSE,"손익1";#N/A,#N/A,FALSE,"손익";#N/A,#N/A,FALSE,"부서별매출";#N/A,#N/A,FALSE,"매출"}</definedName>
    <definedName name="_128DB777_" hidden="1">{#N/A,#N/A,TRUE,"Y생산";#N/A,#N/A,TRUE,"Y판매";#N/A,#N/A,TRUE,"Y총물량";#N/A,#N/A,TRUE,"Y능력";#N/A,#N/A,TRUE,"YKD"}</definedName>
    <definedName name="_128E1_" hidden="1">{#N/A,#N/A,FALSE,"KMC최종회의(7월) 자료"}</definedName>
    <definedName name="_128P_P" hidden="1">{#N/A,#N/A,FALSE,"단축1";#N/A,#N/A,FALSE,"단축2";#N/A,#N/A,FALSE,"단축3";#N/A,#N/A,FALSE,"장축";#N/A,#N/A,FALSE,"4WD"}</definedName>
    <definedName name="_128Q8_" hidden="1">{#N/A,#N/A,FALSE,"KMC최종회의(7월) 자료"}</definedName>
    <definedName name="_128S1_" hidden="1">{#N/A,#N/A,FALSE,"KMC최종회의(7월) 자료"}</definedName>
    <definedName name="_128S7_" hidden="1">{#N/A,#N/A,FALSE,"KMC최종회의(7월) 자료"}</definedName>
    <definedName name="_128S8_" hidden="1">{#N/A,#N/A,FALSE,"KMC최종회의(7월) 자료"}</definedName>
    <definedName name="_128T2_" hidden="1">{#N/A,#N/A,FALSE,"단축1";#N/A,#N/A,FALSE,"단축2";#N/A,#N/A,FALSE,"단축3";#N/A,#N/A,FALSE,"장축";#N/A,#N/A,FALSE,"4WD"}</definedName>
    <definedName name="_128T3_" hidden="1">{#N/A,#N/A,FALSE,"단축1";#N/A,#N/A,FALSE,"단축2";#N/A,#N/A,FALSE,"단축3";#N/A,#N/A,FALSE,"장축";#N/A,#N/A,FALSE,"4WD"}</definedName>
    <definedName name="_128W2_" hidden="1">{#N/A,#N/A,FALSE,"KMC최종회의(7월) 자료"}</definedName>
    <definedName name="_128W4_" hidden="1">{#N/A,#N/A,FALSE,"KMC최종회의(7월) 자료"}</definedName>
    <definedName name="_128W6_" hidden="1">{#N/A,#N/A,FALSE,"KMC최종회의(7월) 자료"}</definedName>
    <definedName name="_128W7_" hidden="1">{#N/A,#N/A,FALSE,"KMC최종회의(7월) 자료"}</definedName>
    <definedName name="_128W8_" hidden="1">{#N/A,#N/A,FALSE,"KMC최종회의(7월) 자료"}</definedName>
    <definedName name="_128X3_" hidden="1">{#N/A,#N/A,FALSE,"KMC최종회의(7월) 자료"}</definedName>
    <definedName name="_128X4_" hidden="1">{#N/A,#N/A,FALSE,"KMC최종회의(7월) 자료"}</definedName>
    <definedName name="_128X7_" hidden="1">{#N/A,#N/A,FALSE,"KMC최종회의(7월) 자료"}</definedName>
    <definedName name="_128Z6_" hidden="1">{#N/A,#N/A,FALSE,"KMC최종회의(7월) 자료"}</definedName>
    <definedName name="_128Z7_" hidden="1">{#N/A,#N/A,FALSE,"KMC최종회의(7월) 자료"}</definedName>
    <definedName name="_129__0_S" hidden="1">#REF!</definedName>
    <definedName name="_129A12458_" hidden="1">{#N/A,#N/A,FALSE,"단축1";#N/A,#N/A,FALSE,"단축2";#N/A,#N/A,FALSE,"단축3";#N/A,#N/A,FALSE,"장축";#N/A,#N/A,FALSE,"4WD"}</definedName>
    <definedName name="_129d1_" hidden="1">{#N/A,#N/A,FALSE,"신규dep";#N/A,#N/A,FALSE,"신규dep-금형상각후";#N/A,#N/A,FALSE,"신규dep-연구비상각후";#N/A,#N/A,FALSE,"신규dep-기계,공구상각후"}</definedName>
    <definedName name="_129K7_" hidden="1">{#N/A,#N/A,TRUE,"Y생산";#N/A,#N/A,TRUE,"Y판매";#N/A,#N/A,TRUE,"Y총물량";#N/A,#N/A,TRUE,"Y능력";#N/A,#N/A,TRUE,"YKD"}</definedName>
    <definedName name="_129Q2_" hidden="1">{#N/A,#N/A,FALSE,"KMC최종회의(7월) 자료"}</definedName>
    <definedName name="_129Q3_" hidden="1">{#N/A,#N/A,FALSE,"KMC최종회의(7월) 자료"}</definedName>
    <definedName name="_129Q9_" hidden="1">{#N/A,#N/A,FALSE,"KMC최종회의(7월) 자료"}</definedName>
    <definedName name="_129S1_" hidden="1">{#N/A,#N/A,FALSE,"KMC최종회의(7월) 자료"}</definedName>
    <definedName name="_129S2_" hidden="1">{#N/A,#N/A,FALSE,"KMC최종회의(7월) 자료"}</definedName>
    <definedName name="_129S4_" hidden="1">{#N/A,#N/A,FALSE,"KMC최종회의(7월) 자료"}</definedName>
    <definedName name="_129S8_" hidden="1">{#N/A,#N/A,FALSE,"KMC최종회의(7월) 자료"}</definedName>
    <definedName name="_129t4_" hidden="1">{#N/A,#N/A,FALSE,"단축1";#N/A,#N/A,FALSE,"단축2";#N/A,#N/A,FALSE,"단축3";#N/A,#N/A,FALSE,"장축";#N/A,#N/A,FALSE,"4WD"}</definedName>
    <definedName name="_129T5_" hidden="1">{#N/A,#N/A,FALSE,"단축1";#N/A,#N/A,FALSE,"단축2";#N/A,#N/A,FALSE,"단축3";#N/A,#N/A,FALSE,"장축";#N/A,#N/A,FALSE,"4WD"}</definedName>
    <definedName name="_129W1_" hidden="1">{#N/A,#N/A,FALSE,"KMC최종회의(7월) 자료"}</definedName>
    <definedName name="_129W2_" hidden="1">{#N/A,#N/A,FALSE,"KMC최종회의(7월) 자료"}</definedName>
    <definedName name="_129W7_" hidden="1">{#N/A,#N/A,FALSE,"KMC최종회의(7월) 자료"}</definedName>
    <definedName name="_129X4_" hidden="1">{#N/A,#N/A,FALSE,"KMC최종회의(7월) 자료"}</definedName>
    <definedName name="_129X4__1" hidden="1">{#N/A,#N/A,FALSE,"KMC최종회의(7월) 자료"}</definedName>
    <definedName name="_129X5_" hidden="1">{#N/A,#N/A,FALSE,"KMC최종회의(7월) 자료"}</definedName>
    <definedName name="_129X8_" hidden="1">{#N/A,#N/A,FALSE,"KMC최종회의(7월) 자료"}</definedName>
    <definedName name="_129Z1_" hidden="1">{#N/A,#N/A,FALSE,"KMC최종회의(7월) 자료"}</definedName>
    <definedName name="_129Z2_" hidden="1">{#N/A,#N/A,FALSE,"KMC최종회의(7월) 자료"}</definedName>
    <definedName name="_129Z4_" hidden="1">{#N/A,#N/A,FALSE,"KMC최종회의(7월) 자료"}</definedName>
    <definedName name="_12A02_" hidden="1">{#N/A,#N/A,FALSE,"단축1";#N/A,#N/A,FALSE,"단축2";#N/A,#N/A,FALSE,"단축3";#N/A,#N/A,FALSE,"장축";#N/A,#N/A,FALSE,"4WD"}</definedName>
    <definedName name="_12A1_" hidden="1">{#N/A,#N/A,FALSE,"KMC최종회의(7월) 자료"}</definedName>
    <definedName name="_12A1245_" hidden="1">{#N/A,#N/A,FALSE,"단축1";#N/A,#N/A,FALSE,"단축2";#N/A,#N/A,FALSE,"단축3";#N/A,#N/A,FALSE,"장축";#N/A,#N/A,FALSE,"4WD"}</definedName>
    <definedName name="_12A1454_" hidden="1">{#N/A,#N/A,FALSE,"단축1";#N/A,#N/A,FALSE,"단축2";#N/A,#N/A,FALSE,"단축3";#N/A,#N/A,FALSE,"장축";#N/A,#N/A,FALSE,"4WD"}</definedName>
    <definedName name="_12A2_" hidden="1">{#N/A,#N/A,FALSE,"KMC최종회의(7월) 자료"}</definedName>
    <definedName name="_12A21321_" hidden="1">{#N/A,#N/A,FALSE,"단축1";#N/A,#N/A,FALSE,"단축2";#N/A,#N/A,FALSE,"단축3";#N/A,#N/A,FALSE,"장축";#N/A,#N/A,FALSE,"4WD"}</definedName>
    <definedName name="_12A3_" hidden="1">{#N/A,#N/A,FALSE,"KMC최종회의(7월) 자료"}</definedName>
    <definedName name="_12A3__1" hidden="1">{#N/A,#N/A,FALSE,"단축1";#N/A,#N/A,FALSE,"단축2";#N/A,#N/A,FALSE,"단축3";#N/A,#N/A,FALSE,"장축";#N/A,#N/A,FALSE,"4WD"}</definedName>
    <definedName name="_12A4_" hidden="1">{#N/A,#N/A,FALSE,"KMC최종회의(7월) 자료"}</definedName>
    <definedName name="_12A5_" hidden="1">{#N/A,#N/A,FALSE,"KMC최종회의(7월) 자료"}</definedName>
    <definedName name="_12A6_" hidden="1">{#N/A,#N/A,FALSE,"KMC최종회의(7월) 자료"}</definedName>
    <definedName name="_12A6666_" hidden="1">{#N/A,#N/A,FALSE,"KMC최종회의(7월) 자료"}</definedName>
    <definedName name="_12A7_" hidden="1">{#N/A,#N/A,FALSE,"KMC최종회의(7월) 자료"}</definedName>
    <definedName name="_12A8_" hidden="1">{#N/A,#N/A,FALSE,"KMC최종회의(7월) 자료"}</definedName>
    <definedName name="_12A9_" hidden="1">{#N/A,#N/A,FALSE,"KMC최종회의(7월) 자료"}</definedName>
    <definedName name="_12AS6_" hidden="1">{#N/A,#N/A,FALSE,"Australien";#N/A,#N/A,FALSE,"Birmingham";#N/A,#N/A,FALSE,"Brasilien";#N/A,#N/A,FALSE,"Prag";#N/A,#N/A,FALSE,"Spanien";#N/A,#N/A,FALSE,"Malaysia ( Com)";#N/A,#N/A,FALSE,"Malaysia (Instr)"}</definedName>
    <definedName name="_12CL22_" hidden="1">{#N/A,#N/A,FALSE,"KMC최종회의(7월) 자료"}</definedName>
    <definedName name="_12CL222_" hidden="1">{#N/A,#N/A,FALSE,"KMC최종회의(7월) 자료"}</definedName>
    <definedName name="_12CL222__1" hidden="1">{#N/A,#N/A,FALSE,"KMC최종회의(7월) 자료"}</definedName>
    <definedName name="_12CL33_" hidden="1">{#N/A,#N/A,FALSE,"KMC최종회의(7월) 자료"}</definedName>
    <definedName name="_12E1_" hidden="1">{#N/A,#N/A,FALSE,"KMC최종회의(7월) 자료"}</definedName>
    <definedName name="_12E2_" hidden="1">{#N/A,#N/A,FALSE,"KMC최종회의(7월) 자료"}</definedName>
    <definedName name="_12EO2_" hidden="1">{#N/A,#N/A,FALSE,"신규dep";#N/A,#N/A,FALSE,"신규dep-금형상각후";#N/A,#N/A,FALSE,"신규dep-연구비상각후";#N/A,#N/A,FALSE,"신규dep-기계,공구상각후"}</definedName>
    <definedName name="_12FG1_" hidden="1">{#N/A,#N/A,FALSE,"단축1";#N/A,#N/A,FALSE,"단축2";#N/A,#N/A,FALSE,"단축3";#N/A,#N/A,FALSE,"장축";#N/A,#N/A,FALSE,"4WD"}</definedName>
    <definedName name="_12h2_" hidden="1">{"'표지'!$B$5"}</definedName>
    <definedName name="_12HP02_" hidden="1">{#N/A,#N/A,FALSE,"단축1";#N/A,#N/A,FALSE,"단축2";#N/A,#N/A,FALSE,"단축3";#N/A,#N/A,FALSE,"장축";#N/A,#N/A,FALSE,"4WD"}</definedName>
    <definedName name="_12K223_" hidden="1">{#N/A,#N/A,FALSE,"단축1";#N/A,#N/A,FALSE,"단축2";#N/A,#N/A,FALSE,"단축3";#N/A,#N/A,FALSE,"장축";#N/A,#N/A,FALSE,"4WD"}</definedName>
    <definedName name="_12k9_" hidden="1">{#N/A,#N/A,FALSE,"단축1";#N/A,#N/A,FALSE,"단축2";#N/A,#N/A,FALSE,"단축3";#N/A,#N/A,FALSE,"장축";#N/A,#N/A,FALSE,"4WD"}</definedName>
    <definedName name="_12Q1_" hidden="1">{#N/A,#N/A,FALSE,"KMC최종회의(7월) 자료"}</definedName>
    <definedName name="_12Q1__1" hidden="1">{#N/A,#N/A,FALSE,"KMC최종회의(7월) 자료"}</definedName>
    <definedName name="_12Q2_" hidden="1">{#N/A,#N/A,FALSE,"KMC최종회의(7월) 자료"}</definedName>
    <definedName name="_12Q2__1" hidden="1">{#N/A,#N/A,FALSE,"KMC최종회의(7월) 자료"}</definedName>
    <definedName name="_12Q8_" hidden="1">{#N/A,#N/A,FALSE,"KMC최종회의(7월) 자료"}</definedName>
    <definedName name="_12S6_" hidden="1">{#N/A,#N/A,FALSE,"KMC최종회의(7월) 자료"}</definedName>
    <definedName name="_12T2_" hidden="1">{#N/A,#N/A,FALSE,"단축1";#N/A,#N/A,FALSE,"단축2";#N/A,#N/A,FALSE,"단축3";#N/A,#N/A,FALSE,"장축";#N/A,#N/A,FALSE,"4WD"}</definedName>
    <definedName name="_12T5_" hidden="1">{#N/A,#N/A,FALSE,"단축1";#N/A,#N/A,FALSE,"단축2";#N/A,#N/A,FALSE,"단축3";#N/A,#N/A,FALSE,"장축";#N/A,#N/A,FALSE,"4WD"}</definedName>
    <definedName name="_13__123Graph_AC04C_FR_T1" hidden="1">#REF!</definedName>
    <definedName name="_13__123Graph_BCHART_3" hidden="1">#REF!</definedName>
    <definedName name="_13__123Graph_CCHART_3" hidden="1">#REF!</definedName>
    <definedName name="_13____S" hidden="1">#REF!</definedName>
    <definedName name="_130A21_" hidden="1">{#N/A,#N/A,FALSE,"단축1";#N/A,#N/A,FALSE,"단축2";#N/A,#N/A,FALSE,"단축3";#N/A,#N/A,FALSE,"장축";#N/A,#N/A,FALSE,"4WD"}</definedName>
    <definedName name="_130A9_" hidden="1">{#N/A,#N/A,FALSE,"KMC최종회의(7월) 자료"}</definedName>
    <definedName name="_130dr2_" hidden="1">{#N/A,#N/A,FALSE,"신규dep";#N/A,#N/A,FALSE,"신규dep-금형상각후";#N/A,#N/A,FALSE,"신규dep-연구비상각후";#N/A,#N/A,FALSE,"신규dep-기계,공구상각후"}</definedName>
    <definedName name="_130H1620_" hidden="1">{#N/A,#N/A,FALSE,"단축1";#N/A,#N/A,FALSE,"단축2";#N/A,#N/A,FALSE,"단축3";#N/A,#N/A,FALSE,"장축";#N/A,#N/A,FALSE,"4WD"}</definedName>
    <definedName name="_130HL1_" hidden="1">{#N/A,#N/A,FALSE,"단축1";#N/A,#N/A,FALSE,"단축2";#N/A,#N/A,FALSE,"단축3";#N/A,#N/A,FALSE,"장축";#N/A,#N/A,FALSE,"4WD"}</definedName>
    <definedName name="_130k7_" hidden="1">{#N/A,#N/A,FALSE,"단축1";#N/A,#N/A,FALSE,"단축2";#N/A,#N/A,FALSE,"단축3";#N/A,#N/A,FALSE,"장축";#N/A,#N/A,FALSE,"4WD"}</definedName>
    <definedName name="_130P2_" hidden="1">{#N/A,#N/A,FALSE,"단축1";#N/A,#N/A,FALSE,"단축2";#N/A,#N/A,FALSE,"단축3";#N/A,#N/A,FALSE,"장축";#N/A,#N/A,FALSE,"4WD"}</definedName>
    <definedName name="_130P2__1" hidden="1">{#N/A,#N/A,FALSE,"단축1";#N/A,#N/A,FALSE,"단축2";#N/A,#N/A,FALSE,"단축3";#N/A,#N/A,FALSE,"장축";#N/A,#N/A,FALSE,"4WD"}</definedName>
    <definedName name="_130Q1_" hidden="1">{#N/A,#N/A,FALSE,"KMC최종회의(7월) 자료"}</definedName>
    <definedName name="_130Q1__1" hidden="1">{#N/A,#N/A,FALSE,"KMC최종회의(7월) 자료"}</definedName>
    <definedName name="_130Q2_" hidden="1">{#N/A,#N/A,FALSE,"KMC최종회의(7월) 자료"}</definedName>
    <definedName name="_130Q2342_" hidden="1">{"'7-2지역별'!$A$1:$R$44"}</definedName>
    <definedName name="_130q9_" hidden="1">{#N/A,#N/A,FALSE,"신규dep";#N/A,#N/A,FALSE,"신규dep-금형상각후";#N/A,#N/A,FALSE,"신규dep-연구비상각후";#N/A,#N/A,FALSE,"신규dep-기계,공구상각후"}</definedName>
    <definedName name="_130S1_" hidden="1">{#N/A,#N/A,FALSE,"KMC최종회의(7월) 자료"}</definedName>
    <definedName name="_130S5_" hidden="1">{#N/A,#N/A,FALSE,"KMC최종회의(7월) 자료"}</definedName>
    <definedName name="_130S6_" hidden="1">{#N/A,#N/A,FALSE,"KMC최종회의(7월) 자료"}</definedName>
    <definedName name="_130S8_" hidden="1">{#N/A,#N/A,FALSE,"KMC최종회의(7월) 자료"}</definedName>
    <definedName name="_130T3_" hidden="1">{#N/A,#N/A,FALSE,"단축1";#N/A,#N/A,FALSE,"단축2";#N/A,#N/A,FALSE,"단축3";#N/A,#N/A,FALSE,"장축";#N/A,#N/A,FALSE,"4WD"}</definedName>
    <definedName name="_130W2_" hidden="1">{#N/A,#N/A,FALSE,"KMC최종회의(7월) 자료"}</definedName>
    <definedName name="_130X4_" hidden="1">{#N/A,#N/A,FALSE,"KMC최종회의(7월) 자료"}</definedName>
    <definedName name="_130X5_" hidden="1">{#N/A,#N/A,FALSE,"KMC최종회의(7월) 자료"}</definedName>
    <definedName name="_130X6_" hidden="1">{#N/A,#N/A,FALSE,"KMC최종회의(7월) 자료"}</definedName>
    <definedName name="_130X8_" hidden="1">{#N/A,#N/A,FALSE,"KMC최종회의(7월) 자료"}</definedName>
    <definedName name="_130Z1_" hidden="1">{#N/A,#N/A,FALSE,"KMC최종회의(7월) 자료"}</definedName>
    <definedName name="_130Z7_" hidden="1">{#N/A,#N/A,FALSE,"KMC최종회의(7월) 자료"}</definedName>
    <definedName name="_130Z8_" hidden="1">{#N/A,#N/A,FALSE,"KMC최종회의(7월) 자료"}</definedName>
    <definedName name="_131A1454_" hidden="1">{#N/A,#N/A,FALSE,"단축1";#N/A,#N/A,FALSE,"단축2";#N/A,#N/A,FALSE,"단축3";#N/A,#N/A,FALSE,"장축";#N/A,#N/A,FALSE,"4WD"}</definedName>
    <definedName name="_13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31E2_" hidden="1">{#N/A,#N/A,FALSE,"KMC최종회의(7월) 자료"}</definedName>
    <definedName name="_131e8_" hidden="1">{#N/A,#N/A,FALSE,"신규dep";#N/A,#N/A,FALSE,"신규dep-금형상각후";#N/A,#N/A,FALSE,"신규dep-연구비상각후";#N/A,#N/A,FALSE,"신규dep-기계,공구상각후"}</definedName>
    <definedName name="_131H20_" hidden="1">{#N/A,#N/A,FALSE,"단축1";#N/A,#N/A,FALSE,"단축2";#N/A,#N/A,FALSE,"단축3";#N/A,#N/A,FALSE,"장축";#N/A,#N/A,FALSE,"4WD"}</definedName>
    <definedName name="_131IO8_" hidden="1">{#N/A,#N/A,FALSE,"단축1";#N/A,#N/A,FALSE,"단축2";#N/A,#N/A,FALSE,"단축3";#N/A,#N/A,FALSE,"장축";#N/A,#N/A,FALSE,"4WD"}</definedName>
    <definedName name="_131Q5_" hidden="1">{#N/A,#N/A,FALSE,"KMC최종회의(7월) 자료"}</definedName>
    <definedName name="_131S1_" hidden="1">{#N/A,#N/A,FALSE,"KMC최종회의(7월) 자료"}</definedName>
    <definedName name="_131S3_" hidden="1">{#N/A,#N/A,FALSE,"KMC최종회의(7월) 자료"}</definedName>
    <definedName name="_131S8_" hidden="1">{#N/A,#N/A,FALSE,"KMC최종회의(7월) 자료"}</definedName>
    <definedName name="_131T5_" hidden="1">{#N/A,#N/A,FALSE,"단축1";#N/A,#N/A,FALSE,"단축2";#N/A,#N/A,FALSE,"단축3";#N/A,#N/A,FALSE,"장축";#N/A,#N/A,FALSE,"4WD"}</definedName>
    <definedName name="_131W3_" hidden="1">{#N/A,#N/A,FALSE,"KMC최종회의(7월) 자료"}</definedName>
    <definedName name="_131W5_" hidden="1">{#N/A,#N/A,FALSE,"KMC최종회의(7월) 자료"}</definedName>
    <definedName name="_131W8_" hidden="1">{#N/A,#N/A,FALSE,"KMC최종회의(7월) 자료"}</definedName>
    <definedName name="_131W9_" hidden="1">{#N/A,#N/A,FALSE,"KMC최종회의(7월) 자료"}</definedName>
    <definedName name="_131X6_" hidden="1">{#N/A,#N/A,FALSE,"KMC최종회의(7월) 자료"}</definedName>
    <definedName name="_131X7_" hidden="1">{#N/A,#N/A,FALSE,"KMC최종회의(7월) 자료"}</definedName>
    <definedName name="_131Z2_" hidden="1">{#N/A,#N/A,FALSE,"KMC최종회의(7월) 자료"}</definedName>
    <definedName name="_131Z5_" hidden="1">{#N/A,#N/A,FALSE,"KMC최종회의(7월) 자료"}</definedName>
    <definedName name="_1322CL222_" hidden="1">{#N/A,#N/A,FALSE,"KMC최종회의(7월) 자료"}</definedName>
    <definedName name="_1322CL222__1" hidden="1">{#N/A,#N/A,FALSE,"KMC최종회의(7월) 자료"}</definedName>
    <definedName name="_132A02_" hidden="1">{#N/A,#N/A,FALSE,"단축1";#N/A,#N/A,FALSE,"단축2";#N/A,#N/A,FALSE,"단축3";#N/A,#N/A,FALSE,"장축";#N/A,#N/A,FALSE,"4WD"}</definedName>
    <definedName name="_132A2_" hidden="1">{#N/A,#N/A,FALSE,"KMC최종회의(7월) 자료"}</definedName>
    <definedName name="_132AS6_" hidden="1">{#N/A,#N/A,FALSE,"Australien";#N/A,#N/A,FALSE,"Birmingham";#N/A,#N/A,FALSE,"Brasilien";#N/A,#N/A,FALSE,"Prag";#N/A,#N/A,FALSE,"Spanien";#N/A,#N/A,FALSE,"Malaysia ( Com)";#N/A,#N/A,FALSE,"Malaysia (Instr)"}</definedName>
    <definedName name="_132DR7_" hidden="1">{#N/A,#N/A,FALSE,"표지";#N/A,#N/A,FALSE,"전제";#N/A,#N/A,FALSE,"손익-자 (2)";#N/A,#N/A,FALSE,"손익-자";#N/A,#N/A,FALSE,"손익-마 (2)";#N/A,#N/A,FALSE,"손익-마";#N/A,#N/A,FALSE,"총손최종"}</definedName>
    <definedName name="_132e2_" hidden="1">{#N/A,#N/A,FALSE,"단축1";#N/A,#N/A,FALSE,"단축2";#N/A,#N/A,FALSE,"단축3";#N/A,#N/A,FALSE,"장축";#N/A,#N/A,FALSE,"4WD"}</definedName>
    <definedName name="_132e2__1" hidden="1">{#N/A,#N/A,FALSE,"단축1";#N/A,#N/A,FALSE,"단축2";#N/A,#N/A,FALSE,"단축3";#N/A,#N/A,FALSE,"장축";#N/A,#N/A,FALSE,"4WD"}</definedName>
    <definedName name="_132k1_" hidden="1">#REF!</definedName>
    <definedName name="_132k8_" hidden="1">{#N/A,#N/A,FALSE,"단축1";#N/A,#N/A,FALSE,"단축2";#N/A,#N/A,FALSE,"단축3";#N/A,#N/A,FALSE,"장축";#N/A,#N/A,FALSE,"4WD"}</definedName>
    <definedName name="_132Q2_" hidden="1">{#N/A,#N/A,FALSE,"KMC최종회의(7월) 자료"}</definedName>
    <definedName name="_132S2_" hidden="1">{#N/A,#N/A,FALSE,"KMC최종회의(7월) 자료"}</definedName>
    <definedName name="_132S4_" hidden="1">{#N/A,#N/A,FALSE,"KMC최종회의(7월) 자료"}</definedName>
    <definedName name="_132S5_" hidden="1">{#N/A,#N/A,FALSE,"KMC최종회의(7월) 자료"}</definedName>
    <definedName name="_132S8_" hidden="1">{#N/A,#N/A,FALSE,"KMC최종회의(7월) 자료"}</definedName>
    <definedName name="_132T2_" hidden="1">{#N/A,#N/A,FALSE,"단축1";#N/A,#N/A,FALSE,"단축2";#N/A,#N/A,FALSE,"단축3";#N/A,#N/A,FALSE,"장축";#N/A,#N/A,FALSE,"4WD"}</definedName>
    <definedName name="_132W3_" hidden="1">{#N/A,#N/A,FALSE,"KMC최종회의(7월) 자료"}</definedName>
    <definedName name="_132W4_" hidden="1">{#N/A,#N/A,FALSE,"KMC최종회의(7월) 자료"}</definedName>
    <definedName name="_132W5_" hidden="1">{#N/A,#N/A,FALSE,"KMC최종회의(7월) 자료"}</definedName>
    <definedName name="_132W7_" hidden="1">{#N/A,#N/A,FALSE,"KMC최종회의(7월) 자료"}</definedName>
    <definedName name="_132W8_" hidden="1">{#N/A,#N/A,FALSE,"KMC최종회의(7월) 자료"}</definedName>
    <definedName name="_132X4_" hidden="1">{#N/A,#N/A,FALSE,"KMC최종회의(7월) 자료"}</definedName>
    <definedName name="_132X5_" hidden="1">{#N/A,#N/A,FALSE,"KMC최종회의(7월) 자료"}</definedName>
    <definedName name="_132X5__1" hidden="1">{#N/A,#N/A,FALSE,"KMC최종회의(7월) 자료"}</definedName>
    <definedName name="_132X8_" hidden="1">{#N/A,#N/A,FALSE,"KMC최종회의(7월) 자료"}</definedName>
    <definedName name="_132Z1_" hidden="1">{#N/A,#N/A,FALSE,"KMC최종회의(7월) 자료"}</definedName>
    <definedName name="_132Z3_" hidden="1">{#N/A,#N/A,FALSE,"KMC최종회의(7월) 자료"}</definedName>
    <definedName name="_132Z8_" hidden="1">{#N/A,#N/A,FALSE,"KMC최종회의(7월) 자료"}</definedName>
    <definedName name="_132Z9_" hidden="1">{#N/A,#N/A,FALSE,"KMC최종회의(7월) 자료"}</definedName>
    <definedName name="_133____S" hidden="1">#REF!</definedName>
    <definedName name="_133A0323_" hidden="1">{#N/A,#N/A,FALSE,"단축1";#N/A,#N/A,FALSE,"단축2";#N/A,#N/A,FALSE,"단축3";#N/A,#N/A,FALSE,"장축";#N/A,#N/A,FALSE,"4WD"}</definedName>
    <definedName name="_133FG1_" hidden="1">{#N/A,#N/A,FALSE,"단축1";#N/A,#N/A,FALSE,"단축2";#N/A,#N/A,FALSE,"단축3";#N/A,#N/A,FALSE,"장축";#N/A,#N/A,FALSE,"4WD"}</definedName>
    <definedName name="_133S1_" hidden="1">{#N/A,#N/A,FALSE,"KMC최종회의(7월) 자료"}</definedName>
    <definedName name="_133S2_" hidden="1">{#N/A,#N/A,FALSE,"KMC최종회의(7월) 자료"}</definedName>
    <definedName name="_133S3_" hidden="1">{#N/A,#N/A,FALSE,"KMC최종회의(7월) 자료"}</definedName>
    <definedName name="_133S4_" hidden="1">{#N/A,#N/A,FALSE,"KMC최종회의(7월) 자료"}</definedName>
    <definedName name="_133T5_" hidden="1">{#N/A,#N/A,FALSE,"단축1";#N/A,#N/A,FALSE,"단축2";#N/A,#N/A,FALSE,"단축3";#N/A,#N/A,FALSE,"장축";#N/A,#N/A,FALSE,"4WD"}</definedName>
    <definedName name="_133W3_" hidden="1">{#N/A,#N/A,FALSE,"KMC최종회의(7월) 자료"}</definedName>
    <definedName name="_133W5_" hidden="1">{#N/A,#N/A,FALSE,"KMC최종회의(7월) 자료"}</definedName>
    <definedName name="_133X6_" hidden="1">{#N/A,#N/A,FALSE,"KMC최종회의(7월) 자료"}</definedName>
    <definedName name="_133X7_" hidden="1">{#N/A,#N/A,FALSE,"KMC최종회의(7월) 자료"}</definedName>
    <definedName name="_133Z1_" hidden="1">{#N/A,#N/A,FALSE,"KMC최종회의(7월) 자료"}</definedName>
    <definedName name="_133Z3_" hidden="1">{#N/A,#N/A,FALSE,"KMC최종회의(7월) 자료"}</definedName>
    <definedName name="_133Z4_" hidden="1">{#N/A,#N/A,FALSE,"KMC최종회의(7월) 자료"}</definedName>
    <definedName name="_133Z6_" hidden="1">{#N/A,#N/A,FALSE,"KMC최종회의(7월) 자료"}</definedName>
    <definedName name="_134__0_S" hidden="1">#REF!</definedName>
    <definedName name="_134A2_" hidden="1">{#N/A,#N/A,FALSE,"KMC최종회의(7월) 자료"}</definedName>
    <definedName name="_134A3_" hidden="1">{#N/A,#N/A,FALSE,"KMC최종회의(7월) 자료"}</definedName>
    <definedName name="_134AT3_" hidden="1">{#N/A,#N/A,FALSE,"인원";#N/A,#N/A,FALSE,"비용2";#N/A,#N/A,FALSE,"비용1";#N/A,#N/A,FALSE,"비용";#N/A,#N/A,FALSE,"보증2";#N/A,#N/A,FALSE,"보증1";#N/A,#N/A,FALSE,"보증";#N/A,#N/A,FALSE,"손익1";#N/A,#N/A,FALSE,"손익";#N/A,#N/A,FALSE,"부서별매출";#N/A,#N/A,FALSE,"매출"}</definedName>
    <definedName name="_134d2_" hidden="1">{#N/A,#N/A,FALSE,"신규dep";#N/A,#N/A,FALSE,"신규dep-금형상각후";#N/A,#N/A,FALSE,"신규dep-연구비상각후";#N/A,#N/A,FALSE,"신규dep-기계,공구상각후"}</definedName>
    <definedName name="_134HL2_" hidden="1">{#N/A,#N/A,FALSE,"단축1";#N/A,#N/A,FALSE,"단축2";#N/A,#N/A,FALSE,"단축3";#N/A,#N/A,FALSE,"장축";#N/A,#N/A,FALSE,"4WD"}</definedName>
    <definedName name="_134k8_" hidden="1">{#N/A,#N/A,FALSE,"단축1";#N/A,#N/A,FALSE,"단축2";#N/A,#N/A,FALSE,"단축3";#N/A,#N/A,FALSE,"장축";#N/A,#N/A,FALSE,"4WD"}</definedName>
    <definedName name="_134k9_" hidden="1">{#N/A,#N/A,FALSE,"단축1";#N/A,#N/A,FALSE,"단축2";#N/A,#N/A,FALSE,"단축3";#N/A,#N/A,FALSE,"장축";#N/A,#N/A,FALSE,"4WD"}</definedName>
    <definedName name="_134Q5_" hidden="1">{#N/A,#N/A,FALSE,"KMC최종회의(7월) 자료"}</definedName>
    <definedName name="_134s1_" hidden="1">{#N/A,#N/A,FALSE,"신규dep";#N/A,#N/A,FALSE,"신규dep-금형상각후";#N/A,#N/A,FALSE,"신규dep-연구비상각후";#N/A,#N/A,FALSE,"신규dep-기계,공구상각후"}</definedName>
    <definedName name="_134S4_" hidden="1">{#N/A,#N/A,FALSE,"KMC최종회의(7월) 자료"}</definedName>
    <definedName name="_134T3_" hidden="1">{#N/A,#N/A,FALSE,"단축1";#N/A,#N/A,FALSE,"단축2";#N/A,#N/A,FALSE,"단축3";#N/A,#N/A,FALSE,"장축";#N/A,#N/A,FALSE,"4WD"}</definedName>
    <definedName name="_134T3__1" hidden="1">{#N/A,#N/A,FALSE,"단축1";#N/A,#N/A,FALSE,"단축2";#N/A,#N/A,FALSE,"단축3";#N/A,#N/A,FALSE,"장축";#N/A,#N/A,FALSE,"4WD"}</definedName>
    <definedName name="_134W1_" hidden="1">{#N/A,#N/A,FALSE,"KMC최종회의(7월) 자료"}</definedName>
    <definedName name="_134W4_" hidden="1">{#N/A,#N/A,FALSE,"KMC최종회의(7월) 자료"}</definedName>
    <definedName name="_134W6_" hidden="1">{#N/A,#N/A,FALSE,"KMC최종회의(7월) 자료"}</definedName>
    <definedName name="_134W9_" hidden="1">{#N/A,#N/A,FALSE,"KMC최종회의(7월) 자료"}</definedName>
    <definedName name="_134X1_" hidden="1">{#N/A,#N/A,FALSE,"KMC최종회의(7월) 자료"}</definedName>
    <definedName name="_134X6_" hidden="1">{#N/A,#N/A,FALSE,"KMC최종회의(7월) 자료"}</definedName>
    <definedName name="_134Z2_" hidden="1">{#N/A,#N/A,FALSE,"KMC최종회의(7월) 자료"}</definedName>
    <definedName name="_134Z5_" hidden="1">{#N/A,#N/A,FALSE,"KMC최종회의(7월) 자료"}</definedName>
    <definedName name="_134Z9_" hidden="1">{#N/A,#N/A,FALSE,"KMC최종회의(7월) 자료"}</definedName>
    <definedName name="_135____S" hidden="1">#REF!</definedName>
    <definedName name="_135__0_S" hidden="1">#N/A</definedName>
    <definedName name="_1355CL33_" hidden="1">{#N/A,#N/A,FALSE,"KMC최종회의(7월) 자료"}</definedName>
    <definedName name="_1355CL33__1" hidden="1">{#N/A,#N/A,FALSE,"KMC최종회의(7월) 자료"}</definedName>
    <definedName name="_135A23_" hidden="1">{#N/A,#N/A,FALSE,"단축1";#N/A,#N/A,FALSE,"단축2";#N/A,#N/A,FALSE,"단축3";#N/A,#N/A,FALSE,"장축";#N/A,#N/A,FALSE,"4WD"}</definedName>
    <definedName name="_135A8_" hidden="1">{#N/A,#N/A,FALSE,"KMC최종회의(7월) 자료"}</definedName>
    <definedName name="_135AS6_" hidden="1">{#N/A,#N/A,FALSE,"Australien";#N/A,#N/A,FALSE,"Birmingham";#N/A,#N/A,FALSE,"Brasilien";#N/A,#N/A,FALSE,"Prag";#N/A,#N/A,FALSE,"Spanien";#N/A,#N/A,FALSE,"Malaysia ( Com)";#N/A,#N/A,FALSE,"Malaysia (Instr)"}</definedName>
    <definedName name="_135k1_" hidden="1">{#N/A,#N/A,FALSE,"단축1";#N/A,#N/A,FALSE,"단축2";#N/A,#N/A,FALSE,"단축3";#N/A,#N/A,FALSE,"장축";#N/A,#N/A,FALSE,"4WD"}</definedName>
    <definedName name="_135M123_" hidden="1">{#N/A,#N/A,FALSE,"단축1";#N/A,#N/A,FALSE,"단축2";#N/A,#N/A,FALSE,"단축3";#N/A,#N/A,FALSE,"장축";#N/A,#N/A,FALSE,"4WD"}</definedName>
    <definedName name="_135M123__1" hidden="1">{#N/A,#N/A,FALSE,"단축1";#N/A,#N/A,FALSE,"단축2";#N/A,#N/A,FALSE,"단축3";#N/A,#N/A,FALSE,"장축";#N/A,#N/A,FALSE,"4WD"}</definedName>
    <definedName name="_135q1_" hidden="1">{#N/A,#N/A,FALSE,"단축1";#N/A,#N/A,FALSE,"단축2";#N/A,#N/A,FALSE,"단축3";#N/A,#N/A,FALSE,"장축";#N/A,#N/A,FALSE,"4WD"}</definedName>
    <definedName name="_135q1__1" hidden="1">{#N/A,#N/A,FALSE,"단축1";#N/A,#N/A,FALSE,"단축2";#N/A,#N/A,FALSE,"단축3";#N/A,#N/A,FALSE,"장축";#N/A,#N/A,FALSE,"4WD"}</definedName>
    <definedName name="_135Q3_" hidden="1">{#N/A,#N/A,FALSE,"KMC최종회의(7월) 자료"}</definedName>
    <definedName name="_135S2_" hidden="1">{#N/A,#N/A,FALSE,"KMC최종회의(7월) 자료"}</definedName>
    <definedName name="_135S5_" hidden="1">{#N/A,#N/A,FALSE,"KMC최종회의(7월) 자료"}</definedName>
    <definedName name="_135S6_" hidden="1">{#N/A,#N/A,FALSE,"KMC최종회의(7월) 자료"}</definedName>
    <definedName name="_135S7_" hidden="1">{#N/A,#N/A,FALSE,"KMC최종회의(7월) 자료"}</definedName>
    <definedName name="_135T3_" hidden="1">{#N/A,#N/A,FALSE,"단축1";#N/A,#N/A,FALSE,"단축2";#N/A,#N/A,FALSE,"단축3";#N/A,#N/A,FALSE,"장축";#N/A,#N/A,FALSE,"4WD"}</definedName>
    <definedName name="_135W1_" hidden="1">{#N/A,#N/A,FALSE,"KMC최종회의(7월) 자료"}</definedName>
    <definedName name="_135W4_" hidden="1">{#N/A,#N/A,FALSE,"KMC최종회의(7월) 자료"}</definedName>
    <definedName name="_135W7_" hidden="1">{#N/A,#N/A,FALSE,"KMC최종회의(7월) 자료"}</definedName>
    <definedName name="_135W9_" hidden="1">{#N/A,#N/A,FALSE,"KMC최종회의(7월) 자료"}</definedName>
    <definedName name="_135X6_" hidden="1">{#N/A,#N/A,FALSE,"KMC최종회의(7월) 자료"}</definedName>
    <definedName name="_135X6__1" hidden="1">{#N/A,#N/A,FALSE,"KMC최종회의(7월) 자료"}</definedName>
    <definedName name="_135X8_" hidden="1">{#N/A,#N/A,FALSE,"KMC최종회의(7월) 자료"}</definedName>
    <definedName name="_135Z2_" hidden="1">{#N/A,#N/A,FALSE,"KMC최종회의(7월) 자료"}</definedName>
    <definedName name="_135Z3_" hidden="1">{#N/A,#N/A,FALSE,"KMC최종회의(7월) 자료"}</definedName>
    <definedName name="_135Z4_" hidden="1">{#N/A,#N/A,FALSE,"KMC최종회의(7월) 자료"}</definedName>
    <definedName name="_135Z6_" hidden="1">{#N/A,#N/A,FALSE,"KMC최종회의(7월) 자료"}</definedName>
    <definedName name="_135Z7_" hidden="1">{#N/A,#N/A,FALSE,"KMC최종회의(7월) 자료"}</definedName>
    <definedName name="_136__0_S" hidden="1">#REF!</definedName>
    <definedName name="_136A21321_" hidden="1">{#N/A,#N/A,FALSE,"단축1";#N/A,#N/A,FALSE,"단축2";#N/A,#N/A,FALSE,"단축3";#N/A,#N/A,FALSE,"장축";#N/A,#N/A,FALSE,"4WD"}</definedName>
    <definedName name="_136AS6_" hidden="1">{#N/A,#N/A,FALSE,"Australien";#N/A,#N/A,FALSE,"Birmingham";#N/A,#N/A,FALSE,"Brasilien";#N/A,#N/A,FALSE,"Prag";#N/A,#N/A,FALSE,"Spanien";#N/A,#N/A,FALSE,"Malaysia ( Com)";#N/A,#N/A,FALSE,"Malaysia (Instr)"}</definedName>
    <definedName name="_136CL22_" hidden="1">{#N/A,#N/A,FALSE,"KMC최종회의(7월) 자료"}</definedName>
    <definedName name="_136k7_" hidden="1">{#N/A,#N/A,FALSE,"단축1";#N/A,#N/A,FALSE,"단축2";#N/A,#N/A,FALSE,"단축3";#N/A,#N/A,FALSE,"장축";#N/A,#N/A,FALSE,"4WD"}</definedName>
    <definedName name="_136Q1_" hidden="1">{#N/A,#N/A,FALSE,"KMC최종회의(7월) 자료"}</definedName>
    <definedName name="_136Q3_" hidden="1">{#N/A,#N/A,FALSE,"KMC최종회의(7월) 자료"}</definedName>
    <definedName name="_136Q7_" hidden="1">{#N/A,#N/A,FALSE,"KMC최종회의(7월) 자료"}</definedName>
    <definedName name="_136T2_" hidden="1">{#N/A,#N/A,FALSE,"단축1";#N/A,#N/A,FALSE,"단축2";#N/A,#N/A,FALSE,"단축3";#N/A,#N/A,FALSE,"장축";#N/A,#N/A,FALSE,"4WD"}</definedName>
    <definedName name="_136w1_" hidden="1">{#N/A,#N/A,FALSE,"신규dep";#N/A,#N/A,FALSE,"신규dep-금형상각후";#N/A,#N/A,FALSE,"신규dep-연구비상각후";#N/A,#N/A,FALSE,"신규dep-기계,공구상각후"}</definedName>
    <definedName name="_136W4_" hidden="1">{#N/A,#N/A,FALSE,"KMC최종회의(7월) 자료"}</definedName>
    <definedName name="_136W6_" hidden="1">{#N/A,#N/A,FALSE,"KMC최종회의(7월) 자료"}</definedName>
    <definedName name="_136W8_" hidden="1">{#N/A,#N/A,FALSE,"KMC최종회의(7월) 자료"}</definedName>
    <definedName name="_136X5_" hidden="1">{#N/A,#N/A,FALSE,"KMC최종회의(7월) 자료"}</definedName>
    <definedName name="_136X7_" hidden="1">{#N/A,#N/A,FALSE,"KMC최종회의(7월) 자료"}</definedName>
    <definedName name="_136Z3_" hidden="1">{#N/A,#N/A,FALSE,"KMC최종회의(7월) 자료"}</definedName>
    <definedName name="_136Z4_" hidden="1">{#N/A,#N/A,FALSE,"KMC최종회의(7월) 자료"}</definedName>
    <definedName name="_136Z7_" hidden="1">{#N/A,#N/A,FALSE,"KMC최종회의(7월) 자료"}</definedName>
    <definedName name="_136Z9_" hidden="1">{#N/A,#N/A,FALSE,"KMC최종회의(7월) 자료"}</definedName>
    <definedName name="_137DB777_" hidden="1">{#N/A,#N/A,TRUE,"Y생산";#N/A,#N/A,TRUE,"Y판매";#N/A,#N/A,TRUE,"Y총물량";#N/A,#N/A,TRUE,"Y능력";#N/A,#N/A,TRUE,"YKD"}</definedName>
    <definedName name="_137k1_" hidden="1">#REF!</definedName>
    <definedName name="_137k8_" hidden="1">{#N/A,#N/A,FALSE,"단축1";#N/A,#N/A,FALSE,"단축2";#N/A,#N/A,FALSE,"단축3";#N/A,#N/A,FALSE,"장축";#N/A,#N/A,FALSE,"4WD"}</definedName>
    <definedName name="_137Q2_" hidden="1">{#N/A,#N/A,FALSE,"KMC최종회의(7월) 자료"}</definedName>
    <definedName name="_137Q2__1" hidden="1">{#N/A,#N/A,FALSE,"KMC최종회의(7월) 자료"}</definedName>
    <definedName name="_137S3_" hidden="1">{#N/A,#N/A,FALSE,"KMC최종회의(7월) 자료"}</definedName>
    <definedName name="_137S6_" hidden="1">{#N/A,#N/A,FALSE,"KMC최종회의(7월) 자료"}</definedName>
    <definedName name="_137W1_" hidden="1">{#N/A,#N/A,FALSE,"KMC최종회의(7월) 자료"}</definedName>
    <definedName name="_137W2_" hidden="1">{#N/A,#N/A,FALSE,"KMC최종회의(7월) 자료"}</definedName>
    <definedName name="_137W5_" hidden="1">{#N/A,#N/A,FALSE,"KMC최종회의(7월) 자료"}</definedName>
    <definedName name="_137W7_" hidden="1">{#N/A,#N/A,FALSE,"KMC최종회의(7월) 자료"}</definedName>
    <definedName name="_137W9_" hidden="1">{#N/A,#N/A,FALSE,"KMC최종회의(7월) 자료"}</definedName>
    <definedName name="_137X1_" hidden="1">{#N/A,#N/A,FALSE,"KMC최종회의(7월) 자료"}</definedName>
    <definedName name="_137X2_" hidden="1">{#N/A,#N/A,FALSE,"KMC최종회의(7월) 자료"}</definedName>
    <definedName name="_137Z1_" hidden="1">{#N/A,#N/A,FALSE,"KMC최종회의(7월) 자료"}</definedName>
    <definedName name="_137Z5_" hidden="1">{#N/A,#N/A,FALSE,"KMC최종회의(7월) 자료"}</definedName>
    <definedName name="_137Z8_" hidden="1">{#N/A,#N/A,FALSE,"KMC최종회의(7월) 자료"}</definedName>
    <definedName name="_138____S" hidden="1">#REF!</definedName>
    <definedName name="_138A4444_" hidden="1">{#N/A,#N/A,FALSE,"KMC최종회의(7월) 자료"}</definedName>
    <definedName name="_138e9_" hidden="1">{#N/A,#N/A,FALSE,"단축1";#N/A,#N/A,FALSE,"단축2";#N/A,#N/A,FALSE,"단축3";#N/A,#N/A,FALSE,"장축";#N/A,#N/A,FALSE,"4WD"}</definedName>
    <definedName name="_138HL3_" hidden="1">{#N/A,#N/A,TRUE,"Y생산";#N/A,#N/A,TRUE,"Y판매";#N/A,#N/A,TRUE,"Y총물량";#N/A,#N/A,TRUE,"Y능력";#N/A,#N/A,TRUE,"YKD"}</definedName>
    <definedName name="_138k8_" hidden="1">{#N/A,#N/A,FALSE,"단축1";#N/A,#N/A,FALSE,"단축2";#N/A,#N/A,FALSE,"단축3";#N/A,#N/A,FALSE,"장축";#N/A,#N/A,FALSE,"4WD"}</definedName>
    <definedName name="_138k9_" hidden="1">{#N/A,#N/A,FALSE,"단축1";#N/A,#N/A,FALSE,"단축2";#N/A,#N/A,FALSE,"단축3";#N/A,#N/A,FALSE,"장축";#N/A,#N/A,FALSE,"4WD"}</definedName>
    <definedName name="_138P21_" hidden="1">{#N/A,#N/A,FALSE,"단축1";#N/A,#N/A,FALSE,"단축2";#N/A,#N/A,FALSE,"단축3";#N/A,#N/A,FALSE,"장축";#N/A,#N/A,FALSE,"4WD"}</definedName>
    <definedName name="_138P3_" hidden="1">{#N/A,#N/A,FALSE,"단축1";#N/A,#N/A,FALSE,"단축2";#N/A,#N/A,FALSE,"단축3";#N/A,#N/A,FALSE,"장축";#N/A,#N/A,FALSE,"4WD"}</definedName>
    <definedName name="_138Q3_" hidden="1">{#N/A,#N/A,FALSE,"KMC최종회의(7월) 자료"}</definedName>
    <definedName name="_138Q343_" hidden="1">{"'7-2지역별'!$A$1:$R$44"}</definedName>
    <definedName name="_138s2_" hidden="1">{#N/A,#N/A,FALSE,"신규dep";#N/A,#N/A,FALSE,"신규dep-금형상각후";#N/A,#N/A,FALSE,"신규dep-연구비상각후";#N/A,#N/A,FALSE,"신규dep-기계,공구상각후"}</definedName>
    <definedName name="_138S5_" hidden="1">{#N/A,#N/A,FALSE,"KMC최종회의(7월) 자료"}</definedName>
    <definedName name="_138S7_" hidden="1">{#N/A,#N/A,FALSE,"KMC최종회의(7월) 자료"}</definedName>
    <definedName name="_138W2_" hidden="1">{#N/A,#N/A,FALSE,"KMC최종회의(7월) 자료"}</definedName>
    <definedName name="_138W5_" hidden="1">{#N/A,#N/A,FALSE,"KMC최종회의(7월) 자료"}</definedName>
    <definedName name="_138X1_" hidden="1">{#N/A,#N/A,FALSE,"KMC최종회의(7월) 자료"}</definedName>
    <definedName name="_138X7_" hidden="1">{#N/A,#N/A,FALSE,"KMC최종회의(7월) 자료"}</definedName>
    <definedName name="_138X7__1" hidden="1">{#N/A,#N/A,FALSE,"KMC최종회의(7월) 자료"}</definedName>
    <definedName name="_138X8_" hidden="1">{#N/A,#N/A,FALSE,"KMC최종회의(7월) 자료"}</definedName>
    <definedName name="_138Z3_" hidden="1">{#N/A,#N/A,FALSE,"KMC최종회의(7월) 자료"}</definedName>
    <definedName name="_138Z4_" hidden="1">{#N/A,#N/A,FALSE,"KMC최종회의(7월) 자료"}</definedName>
    <definedName name="_138Z5_" hidden="1">{#N/A,#N/A,FALSE,"KMC최종회의(7월) 자료"}</definedName>
    <definedName name="_138Z6_" hidden="1">{#N/A,#N/A,FALSE,"KMC최종회의(7월) 자료"}</definedName>
    <definedName name="_138Z9_" hidden="1">{#N/A,#N/A,FALSE,"KMC최종회의(7월) 자료"}</definedName>
    <definedName name="_139__0_S" hidden="1">#REF!</definedName>
    <definedName name="_139A3_" hidden="1">{#N/A,#N/A,FALSE,"KMC최종회의(7월) 자료"}</definedName>
    <definedName name="_139DC50_" hidden="1">{#N/A,#N/A,FALSE,"단축1";#N/A,#N/A,FALSE,"단축2";#N/A,#N/A,FALSE,"단축3";#N/A,#N/A,FALSE,"장축";#N/A,#N/A,FALSE,"4WD"}</definedName>
    <definedName name="_139k7_" hidden="1">{#N/A,#N/A,FALSE,"단축1";#N/A,#N/A,FALSE,"단축2";#N/A,#N/A,FALSE,"단축3";#N/A,#N/A,FALSE,"장축";#N/A,#N/A,FALSE,"4WD"}</definedName>
    <definedName name="_139k9_" hidden="1">{#N/A,#N/A,FALSE,"단축1";#N/A,#N/A,FALSE,"단축2";#N/A,#N/A,FALSE,"단축3";#N/A,#N/A,FALSE,"장축";#N/A,#N/A,FALSE,"4WD"}</definedName>
    <definedName name="_139O11_" hidden="1">{#N/A,#N/A,FALSE,"단축1";#N/A,#N/A,FALSE,"단축2";#N/A,#N/A,FALSE,"단축3";#N/A,#N/A,FALSE,"장축";#N/A,#N/A,FALSE,"4WD"}</definedName>
    <definedName name="_139Q1_" hidden="1">{#N/A,#N/A,FALSE,"KMC최종회의(7월) 자료"}</definedName>
    <definedName name="_139Q2_" hidden="1">{#N/A,#N/A,FALSE,"KMC최종회의(7월) 자료"}</definedName>
    <definedName name="_139Q7_" hidden="1">{#N/A,#N/A,FALSE,"KMC최종회의(7월) 자료"}</definedName>
    <definedName name="_139S7_" hidden="1">{#N/A,#N/A,FALSE,"KMC최종회의(7월) 자료"}</definedName>
    <definedName name="_139S8_" hidden="1">{#N/A,#N/A,FALSE,"KMC최종회의(7월) 자료"}</definedName>
    <definedName name="_139T2_" hidden="1">{#N/A,#N/A,FALSE,"단축1";#N/A,#N/A,FALSE,"단축2";#N/A,#N/A,FALSE,"단축3";#N/A,#N/A,FALSE,"장축";#N/A,#N/A,FALSE,"4WD"}</definedName>
    <definedName name="_139W2_" hidden="1">{#N/A,#N/A,FALSE,"품의서";#N/A,#N/A,FALSE,"전제";#N/A,#N/A,FALSE,"총손";#N/A,#N/A,FALSE,"손익"}</definedName>
    <definedName name="_139W5_" hidden="1">{#N/A,#N/A,FALSE,"KMC최종회의(7월) 자료"}</definedName>
    <definedName name="_139X2_" hidden="1">{#N/A,#N/A,FALSE,"KMC최종회의(7월) 자료"}</definedName>
    <definedName name="_139X8_" hidden="1">{#N/A,#N/A,FALSE,"KMC최종회의(7월) 자료"}</definedName>
    <definedName name="_139Z2_" hidden="1">{#N/A,#N/A,FALSE,"KMC최종회의(7월) 자료"}</definedName>
    <definedName name="_139Z6_" hidden="1">{#N/A,#N/A,FALSE,"KMC최종회의(7월) 자료"}</definedName>
    <definedName name="_139Z7_" hidden="1">{#N/A,#N/A,FALSE,"KMC최종회의(7월) 자료"}</definedName>
    <definedName name="_139Z9_" hidden="1">{#N/A,#N/A,FALSE,"KMC최종회의(7월) 자료"}</definedName>
    <definedName name="_13A1_" hidden="1">{#N/A,#N/A,FALSE,"KMC최종회의(7월) 자료"}</definedName>
    <definedName name="_13A1232_" hidden="1">{#N/A,#N/A,FALSE,"단축1";#N/A,#N/A,FALSE,"단축2";#N/A,#N/A,FALSE,"단축3";#N/A,#N/A,FALSE,"장축";#N/A,#N/A,FALSE,"4WD"}</definedName>
    <definedName name="_13A1245_" hidden="1">{#N/A,#N/A,FALSE,"단축1";#N/A,#N/A,FALSE,"단축2";#N/A,#N/A,FALSE,"단축3";#N/A,#N/A,FALSE,"장축";#N/A,#N/A,FALSE,"4WD"}</definedName>
    <definedName name="_13A2040_" hidden="1">{#N/A,#N/A,FALSE,"단축1";#N/A,#N/A,FALSE,"단축2";#N/A,#N/A,FALSE,"단축3";#N/A,#N/A,FALSE,"장축";#N/A,#N/A,FALSE,"4WD"}</definedName>
    <definedName name="_13A3_" hidden="1">{#N/A,#N/A,FALSE,"단축1";#N/A,#N/A,FALSE,"단축2";#N/A,#N/A,FALSE,"단축3";#N/A,#N/A,FALSE,"장축";#N/A,#N/A,FALSE,"4WD"}</definedName>
    <definedName name="_13A3__1" hidden="1">{#N/A,#N/A,FALSE,"단축1";#N/A,#N/A,FALSE,"단축2";#N/A,#N/A,FALSE,"단축3";#N/A,#N/A,FALSE,"장축";#N/A,#N/A,FALSE,"4WD"}</definedName>
    <definedName name="_13A4_" hidden="1">{#N/A,#N/A,FALSE,"KMC최종회의(7월) 자료"}</definedName>
    <definedName name="_13A5_" hidden="1">{#N/A,#N/A,FALSE,"KMC최종회의(7월) 자료"}</definedName>
    <definedName name="_13A6_" hidden="1">{#N/A,#N/A,FALSE,"KMC최종회의(7월) 자료"}</definedName>
    <definedName name="_13A7_" hidden="1">{#N/A,#N/A,FALSE,"KMC최종회의(7월) 자료"}</definedName>
    <definedName name="_13A8_" hidden="1">{#N/A,#N/A,FALSE,"KMC최종회의(7월) 자료"}</definedName>
    <definedName name="_13A9_" hidden="1">{#N/A,#N/A,FALSE,"KMC최종회의(7월) 자료"}</definedName>
    <definedName name="_1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3CL22_" hidden="1">{#N/A,#N/A,FALSE,"KMC최종회의(7월) 자료"}</definedName>
    <definedName name="_13CL222_" hidden="1">{#N/A,#N/A,FALSE,"KMC최종회의(7월) 자료"}</definedName>
    <definedName name="_13CL33_" hidden="1">{#N/A,#N/A,FALSE,"KMC최종회의(7월) 자료"}</definedName>
    <definedName name="_13CL33__1" hidden="1">{#N/A,#N/A,FALSE,"KMC최종회의(7월) 자료"}</definedName>
    <definedName name="_13E1_" hidden="1">{#N/A,#N/A,FALSE,"KMC최종회의(7월) 자료"}</definedName>
    <definedName name="_13E2_" hidden="1">{#N/A,#N/A,FALSE,"KMC최종회의(7월) 자료"}</definedName>
    <definedName name="_13FG1_" hidden="1">{#N/A,#N/A,FALSE,"단축1";#N/A,#N/A,FALSE,"단축2";#N/A,#N/A,FALSE,"단축3";#N/A,#N/A,FALSE,"장축";#N/A,#N/A,FALSE,"4WD"}</definedName>
    <definedName name="_13h3_" hidden="1">{"'표지'!$B$5"}</definedName>
    <definedName name="_13HL1_" hidden="1">{#N/A,#N/A,FALSE,"단축1";#N/A,#N/A,FALSE,"단축2";#N/A,#N/A,FALSE,"단축3";#N/A,#N/A,FALSE,"장축";#N/A,#N/A,FALSE,"4WD"}</definedName>
    <definedName name="_13HL3_" hidden="1">{#N/A,#N/A,TRUE,"Y생산";#N/A,#N/A,TRUE,"Y판매";#N/A,#N/A,TRUE,"Y총물량";#N/A,#N/A,TRUE,"Y능력";#N/A,#N/A,TRUE,"YKD"}</definedName>
    <definedName name="_13HP2_" hidden="1">{#N/A,#N/A,FALSE,"단축1";#N/A,#N/A,FALSE,"단축2";#N/A,#N/A,FALSE,"단축3";#N/A,#N/A,FALSE,"장축";#N/A,#N/A,FALSE,"4WD"}</definedName>
    <definedName name="_13P09_" hidden="1">{#N/A,#N/A,FALSE,"단축1";#N/A,#N/A,FALSE,"단축2";#N/A,#N/A,FALSE,"단축3";#N/A,#N/A,FALSE,"장축";#N/A,#N/A,FALSE,"4WD"}</definedName>
    <definedName name="_13P2_" hidden="1">{#N/A,#N/A,FALSE,"단축1";#N/A,#N/A,FALSE,"단축2";#N/A,#N/A,FALSE,"단축3";#N/A,#N/A,FALSE,"장축";#N/A,#N/A,FALSE,"4WD"}</definedName>
    <definedName name="_13Q1_" hidden="1">{#N/A,#N/A,FALSE,"KMC최종회의(7월) 자료"}</definedName>
    <definedName name="_13Q2_" hidden="1">{#N/A,#N/A,FALSE,"KMC최종회의(7월) 자료"}</definedName>
    <definedName name="_13Q2__1" hidden="1">{#N/A,#N/A,FALSE,"KMC최종회의(7월) 자료"}</definedName>
    <definedName name="_13Q3_" hidden="1">{#N/A,#N/A,FALSE,"KMC최종회의(7월) 자료"}</definedName>
    <definedName name="_13Q3__1" hidden="1">{#N/A,#N/A,FALSE,"KMC최종회의(7월) 자료"}</definedName>
    <definedName name="_13S7_" hidden="1">{#N/A,#N/A,FALSE,"KMC최종회의(7월) 자료"}</definedName>
    <definedName name="_13T3_" hidden="1">{#N/A,#N/A,FALSE,"단축1";#N/A,#N/A,FALSE,"단축2";#N/A,#N/A,FALSE,"단축3";#N/A,#N/A,FALSE,"장축";#N/A,#N/A,FALSE,"4WD"}</definedName>
    <definedName name="_14__123Graph_AC04C_FR_T2" hidden="1">#REF!</definedName>
    <definedName name="_14___0_S" hidden="1">#REF!</definedName>
    <definedName name="_140A5_" hidden="1">{#N/A,#N/A,FALSE,"KMC최종회의(7월) 자료"}</definedName>
    <definedName name="_140CL222_" hidden="1">{#N/A,#N/A,FALSE,"KMC최종회의(7월) 자료"}</definedName>
    <definedName name="_140DB777_" hidden="1">{#N/A,#N/A,TRUE,"Y생산";#N/A,#N/A,TRUE,"Y판매";#N/A,#N/A,TRUE,"Y총물량";#N/A,#N/A,TRUE,"Y능력";#N/A,#N/A,TRUE,"YKD"}</definedName>
    <definedName name="_140P2_" hidden="1">{#N/A,#N/A,FALSE,"단축1";#N/A,#N/A,FALSE,"단축2";#N/A,#N/A,FALSE,"단축3";#N/A,#N/A,FALSE,"장축";#N/A,#N/A,FALSE,"4WD"}</definedName>
    <definedName name="_140P21_" hidden="1">{#N/A,#N/A,FALSE,"단축1";#N/A,#N/A,FALSE,"단축2";#N/A,#N/A,FALSE,"단축3";#N/A,#N/A,FALSE,"장축";#N/A,#N/A,FALSE,"4WD"}</definedName>
    <definedName name="_140Q1_" hidden="1">{#N/A,#N/A,FALSE,"KMC최종회의(7월) 자료"}</definedName>
    <definedName name="_140Q2_" hidden="1">{#N/A,#N/A,FALSE,"KMC최종회의(7월) 자료"}</definedName>
    <definedName name="_140q3_" hidden="1">{#N/A,#N/A,FALSE,"단축1";#N/A,#N/A,FALSE,"단축2";#N/A,#N/A,FALSE,"단축3";#N/A,#N/A,FALSE,"장축";#N/A,#N/A,FALSE,"4WD"}</definedName>
    <definedName name="_140q3__1" hidden="1">{#N/A,#N/A,FALSE,"단축1";#N/A,#N/A,FALSE,"단축2";#N/A,#N/A,FALSE,"단축3";#N/A,#N/A,FALSE,"장축";#N/A,#N/A,FALSE,"4WD"}</definedName>
    <definedName name="_140Q5_" hidden="1">{#N/A,#N/A,FALSE,"KMC최종회의(7월) 자료"}</definedName>
    <definedName name="_140S2_" hidden="1">{#N/A,#N/A,FALSE,"KMC최종회의(7월) 자료"}</definedName>
    <definedName name="_140S3_" hidden="1">{#N/A,#N/A,FALSE,"KMC최종회의(7월) 자료"}</definedName>
    <definedName name="_140S7_" hidden="1">{#N/A,#N/A,FALSE,"KMC최종회의(7월) 자료"}</definedName>
    <definedName name="_140S8_" hidden="1">{#N/A,#N/A,FALSE,"KMC최종회의(7월) 자료"}</definedName>
    <definedName name="_140T2_" hidden="1">{#N/A,#N/A,FALSE,"단축1";#N/A,#N/A,FALSE,"단축2";#N/A,#N/A,FALSE,"단축3";#N/A,#N/A,FALSE,"장축";#N/A,#N/A,FALSE,"4WD"}</definedName>
    <definedName name="_140T3_" hidden="1">{#N/A,#N/A,FALSE,"단축1";#N/A,#N/A,FALSE,"단축2";#N/A,#N/A,FALSE,"단축3";#N/A,#N/A,FALSE,"장축";#N/A,#N/A,FALSE,"4WD"}</definedName>
    <definedName name="_140W3_" hidden="1">{#N/A,#N/A,FALSE,"KMC최종회의(7월) 자료"}</definedName>
    <definedName name="_140W6_" hidden="1">{#N/A,#N/A,FALSE,"KMC최종회의(7월) 자료"}</definedName>
    <definedName name="_140W7_" hidden="1">{#N/A,#N/A,FALSE,"KMC최종회의(7월) 자료"}</definedName>
    <definedName name="_140W8_" hidden="1">{#N/A,#N/A,FALSE,"KMC최종회의(7월) 자료"}</definedName>
    <definedName name="_140W9_" hidden="1">{#N/A,#N/A,FALSE,"KMC최종회의(7월) 자료"}</definedName>
    <definedName name="_140X2_" hidden="1">{#N/A,#N/A,FALSE,"KMC최종회의(7월) 자료"}</definedName>
    <definedName name="_140X3_" hidden="1">{#N/A,#N/A,FALSE,"KMC최종회의(7월) 자료"}</definedName>
    <definedName name="_140X6_" hidden="1">{#N/A,#N/A,FALSE,"KMC최종회의(7월) 자료"}</definedName>
    <definedName name="_140Z1_" hidden="1">{#N/A,#N/A,FALSE,"KMC최종회의(7월) 자료"}</definedName>
    <definedName name="_140Z5_" hidden="1">{#N/A,#N/A,FALSE,"KMC최종회의(7월) 자료"}</definedName>
    <definedName name="_140Z8_" hidden="1">{#N/A,#N/A,FALSE,"KMC최종회의(7월) 자료"}</definedName>
    <definedName name="_141Q1_" hidden="1">{#N/A,#N/A,FALSE,"KMC최종회의(7월) 자료"}</definedName>
    <definedName name="_141Q1__1" hidden="1">{#N/A,#N/A,FALSE,"KMC최종회의(7월) 자료"}</definedName>
    <definedName name="_141Q3_" hidden="1">{#N/A,#N/A,FALSE,"KMC최종회의(7월) 자료"}</definedName>
    <definedName name="_141Q8_" hidden="1">{#N/A,#N/A,FALSE,"KMC최종회의(7월) 자료"}</definedName>
    <definedName name="_141S4_" hidden="1">{#N/A,#N/A,FALSE,"KMC최종회의(7월) 자료"}</definedName>
    <definedName name="_141S8_" hidden="1">{#N/A,#N/A,FALSE,"KMC최종회의(7월) 자료"}</definedName>
    <definedName name="_141T2_" hidden="1">{#N/A,#N/A,FALSE,"단축1";#N/A,#N/A,FALSE,"단축2";#N/A,#N/A,FALSE,"단축3";#N/A,#N/A,FALSE,"장축";#N/A,#N/A,FALSE,"4WD"}</definedName>
    <definedName name="_141T3_" hidden="1">{#N/A,#N/A,FALSE,"단축1";#N/A,#N/A,FALSE,"단축2";#N/A,#N/A,FALSE,"단축3";#N/A,#N/A,FALSE,"장축";#N/A,#N/A,FALSE,"4WD"}</definedName>
    <definedName name="_141W2_" hidden="1">{#N/A,#N/A,FALSE,"KMC최종회의(7월) 자료"}</definedName>
    <definedName name="_141W6_" hidden="1">{#N/A,#N/A,FALSE,"KMC최종회의(7월) 자료"}</definedName>
    <definedName name="_141X2_" hidden="1">{#N/A,#N/A,FALSE,"KMC최종회의(7월) 자료"}</definedName>
    <definedName name="_141X4_" hidden="1">{#N/A,#N/A,FALSE,"KMC최종회의(7월) 자료"}</definedName>
    <definedName name="_141X8_" hidden="1">{#N/A,#N/A,FALSE,"KMC최종회의(7월) 자료"}</definedName>
    <definedName name="_141X8__1" hidden="1">{#N/A,#N/A,FALSE,"KMC최종회의(7월) 자료"}</definedName>
    <definedName name="_141Z3_" hidden="1">{#N/A,#N/A,FALSE,"KMC최종회의(7월) 자료"}</definedName>
    <definedName name="_141Z4_" hidden="1">{#N/A,#N/A,FALSE,"KMC최종회의(7월) 자료"}</definedName>
    <definedName name="_141Z6_" hidden="1">{#N/A,#N/A,FALSE,"KMC최종회의(7월) 자료"}</definedName>
    <definedName name="_141Z7_" hidden="1">{#N/A,#N/A,FALSE,"KMC최종회의(7월) 자료"}</definedName>
    <definedName name="_141Z9_" hidden="1">{#N/A,#N/A,FALSE,"KMC최종회의(7월) 자료"}</definedName>
    <definedName name="_142__0_S" hidden="1">#REF!</definedName>
    <definedName name="_142A1232_" hidden="1">{#N/A,#N/A,FALSE,"단축1";#N/A,#N/A,FALSE,"단축2";#N/A,#N/A,FALSE,"단축3";#N/A,#N/A,FALSE,"장축";#N/A,#N/A,FALSE,"4WD"}</definedName>
    <definedName name="_142A4_" hidden="1">{#N/A,#N/A,FALSE,"KMC최종회의(7월) 자료"}</definedName>
    <definedName name="_142A6_" hidden="1">{#N/A,#N/A,FALSE,"KMC최종회의(7월) 자료"}</definedName>
    <definedName name="_142HP02_" hidden="1">{#N/A,#N/A,FALSE,"단축1";#N/A,#N/A,FALSE,"단축2";#N/A,#N/A,FALSE,"단축3";#N/A,#N/A,FALSE,"장축";#N/A,#N/A,FALSE,"4WD"}</definedName>
    <definedName name="_142k8_" hidden="1">{#N/A,#N/A,FALSE,"단축1";#N/A,#N/A,FALSE,"단축2";#N/A,#N/A,FALSE,"단축3";#N/A,#N/A,FALSE,"장축";#N/A,#N/A,FALSE,"4WD"}</definedName>
    <definedName name="_142Q2_" hidden="1">{#N/A,#N/A,FALSE,"KMC최종회의(7월) 자료"}</definedName>
    <definedName name="_142Q5_" hidden="1">{#N/A,#N/A,FALSE,"KMC최종회의(7월) 자료"}</definedName>
    <definedName name="_142Q7_" hidden="1">{#N/A,#N/A,FALSE,"KMC최종회의(7월) 자료"}</definedName>
    <definedName name="_142s3_" hidden="1">{#N/A,#N/A,FALSE,"단축1";#N/A,#N/A,FALSE,"단축2";#N/A,#N/A,FALSE,"단축3";#N/A,#N/A,FALSE,"장축";#N/A,#N/A,FALSE,"4WD"}</definedName>
    <definedName name="_142T5_" hidden="1">{#N/A,#N/A,FALSE,"단축1";#N/A,#N/A,FALSE,"단축2";#N/A,#N/A,FALSE,"단축3";#N/A,#N/A,FALSE,"장축";#N/A,#N/A,FALSE,"4WD"}</definedName>
    <definedName name="_142T5__1" hidden="1">{#N/A,#N/A,FALSE,"단축1";#N/A,#N/A,FALSE,"단축2";#N/A,#N/A,FALSE,"단축3";#N/A,#N/A,FALSE,"장축";#N/A,#N/A,FALSE,"4WD"}</definedName>
    <definedName name="_142V2007_" hidden="1">{#N/A,#N/A,FALSE,"HOT RU TEM";#N/A,#N/A,FALSE,"HOT RU TEM";#N/A,#N/A,FALSE,"HOT RU TEM"}</definedName>
    <definedName name="_142W3_" hidden="1">{#N/A,#N/A,FALSE,"KMC최종회의(7월) 자료"}</definedName>
    <definedName name="_142w4_" hidden="1">{#N/A,#N/A,FALSE,"단축1";#N/A,#N/A,FALSE,"단축2";#N/A,#N/A,FALSE,"단축3";#N/A,#N/A,FALSE,"장축";#N/A,#N/A,FALSE,"4WD"}</definedName>
    <definedName name="_142W6_" hidden="1">{#N/A,#N/A,FALSE,"KMC최종회의(7월) 자료"}</definedName>
    <definedName name="_142X5_" hidden="1">{#N/A,#N/A,FALSE,"KMC최종회의(7월) 자료"}</definedName>
    <definedName name="_142Z1_" hidden="1">{#N/A,#N/A,FALSE,"KMC최종회의(7월) 자료"}</definedName>
    <definedName name="_142Z2_" hidden="1">{#N/A,#N/A,FALSE,"KMC최종회의(7월) 자료"}</definedName>
    <definedName name="_142Z6_" hidden="1">{#N/A,#N/A,FALSE,"KMC최종회의(7월) 자료"}</definedName>
    <definedName name="_143__0_S" hidden="1">#REF!</definedName>
    <definedName name="_143A1245_" hidden="1">{#N/A,#N/A,FALSE,"단축1";#N/A,#N/A,FALSE,"단축2";#N/A,#N/A,FALSE,"단축3";#N/A,#N/A,FALSE,"장축";#N/A,#N/A,FALSE,"4WD"}</definedName>
    <definedName name="_143EO2_" hidden="1">{#N/A,#N/A,FALSE,"신규dep";#N/A,#N/A,FALSE,"신규dep-금형상각후";#N/A,#N/A,FALSE,"신규dep-연구비상각후";#N/A,#N/A,FALSE,"신규dep-기계,공구상각후"}</definedName>
    <definedName name="_143Q2_" hidden="1">{#N/A,#N/A,FALSE,"KMC최종회의(7월) 자료"}</definedName>
    <definedName name="_143Q5_" hidden="1">{#N/A,#N/A,FALSE,"KMC최종회의(7월) 자료"}</definedName>
    <definedName name="_143Q7_" hidden="1">{#N/A,#N/A,FALSE,"KMC최종회의(7월) 자료"}</definedName>
    <definedName name="_143T2_" hidden="1">{#N/A,#N/A,FALSE,"단축1";#N/A,#N/A,FALSE,"단축2";#N/A,#N/A,FALSE,"단축3";#N/A,#N/A,FALSE,"장축";#N/A,#N/A,FALSE,"4WD"}</definedName>
    <definedName name="_143W1_" hidden="1">{#N/A,#N/A,FALSE,"KMC최종회의(7월) 자료"}</definedName>
    <definedName name="_143W3_" hidden="1">{#N/A,#N/A,FALSE,"KMC최종회의(7월) 자료"}</definedName>
    <definedName name="_143W4_" hidden="1">{#N/A,#N/A,FALSE,"KMC최종회의(7월) 자료"}</definedName>
    <definedName name="_143W7_" hidden="1">{#N/A,#N/A,FALSE,"KMC최종회의(7월) 자료"}</definedName>
    <definedName name="_143W9_" hidden="1">{#N/A,#N/A,FALSE,"KMC최종회의(7월) 자료"}</definedName>
    <definedName name="_143X3_" hidden="1">{#N/A,#N/A,FALSE,"KMC최종회의(7월) 자료"}</definedName>
    <definedName name="_143X4_" hidden="1">{#N/A,#N/A,FALSE,"KMC최종회의(7월) 자료"}</definedName>
    <definedName name="_143X6_" hidden="1">{#N/A,#N/A,FALSE,"KMC최종회의(7월) 자료"}</definedName>
    <definedName name="_143Z4_" hidden="1">{#N/A,#N/A,FALSE,"KMC최종회의(7월) 자료"}</definedName>
    <definedName name="_143Z8_" hidden="1">{#N/A,#N/A,FALSE,"KMC최종회의(7월) 자료"}</definedName>
    <definedName name="_144____S" hidden="1">#REF!</definedName>
    <definedName name="_144A12458_" hidden="1">{#N/A,#N/A,FALSE,"단축1";#N/A,#N/A,FALSE,"단축2";#N/A,#N/A,FALSE,"단축3";#N/A,#N/A,FALSE,"장축";#N/A,#N/A,FALSE,"4WD"}</definedName>
    <definedName name="_144A7_" hidden="1">{#N/A,#N/A,FALSE,"KMC최종회의(7월) 자료"}</definedName>
    <definedName name="_144A9_" hidden="1">{#N/A,#N/A,FALSE,"KMC최종회의(7월) 자료"}</definedName>
    <definedName name="_144CL33_" hidden="1">{#N/A,#N/A,FALSE,"KMC최종회의(7월) 자료"}</definedName>
    <definedName name="_144DE33_" hidden="1">{"'7-2지역별'!$A$1:$R$44"}</definedName>
    <definedName name="_144M123_" hidden="1">{#N/A,#N/A,FALSE,"단축1";#N/A,#N/A,FALSE,"단축2";#N/A,#N/A,FALSE,"단축3";#N/A,#N/A,FALSE,"장축";#N/A,#N/A,FALSE,"4WD"}</definedName>
    <definedName name="_144Q1_" hidden="1">{#N/A,#N/A,FALSE,"KMC최종회의(7월) 자료"}</definedName>
    <definedName name="_144Q3_" hidden="1">{#N/A,#N/A,FALSE,"KMC최종회의(7월) 자료"}</definedName>
    <definedName name="_144Q3__1" hidden="1">{#N/A,#N/A,FALSE,"KMC최종회의(7월) 자료"}</definedName>
    <definedName name="_144Q5_" hidden="1">{#N/A,#N/A,FALSE,"KMC최종회의(7월) 자료"}</definedName>
    <definedName name="_144Q8_" hidden="1">{#N/A,#N/A,FALSE,"KMC최종회의(7월) 자료"}</definedName>
    <definedName name="_144S2_" hidden="1">{#N/A,#N/A,FALSE,"KMC최종회의(7월) 자료"}</definedName>
    <definedName name="_144S6_" hidden="1">{#N/A,#N/A,FALSE,"KMC최종회의(7월) 자료"}</definedName>
    <definedName name="_144T2_" hidden="1">{#N/A,#N/A,FALSE,"단축1";#N/A,#N/A,FALSE,"단축2";#N/A,#N/A,FALSE,"단축3";#N/A,#N/A,FALSE,"장축";#N/A,#N/A,FALSE,"4WD"}</definedName>
    <definedName name="_144T3_" hidden="1">{#N/A,#N/A,FALSE,"단축1";#N/A,#N/A,FALSE,"단축2";#N/A,#N/A,FALSE,"단축3";#N/A,#N/A,FALSE,"장축";#N/A,#N/A,FALSE,"4WD"}</definedName>
    <definedName name="_144U1_" hidden="1">{#N/A,#N/A,FALSE,"단축1";#N/A,#N/A,FALSE,"단축2";#N/A,#N/A,FALSE,"단축3";#N/A,#N/A,FALSE,"장축";#N/A,#N/A,FALSE,"4WD"}</definedName>
    <definedName name="_144W2_" hidden="1">{#N/A,#N/A,FALSE,"KMC최종회의(7월) 자료"}</definedName>
    <definedName name="_144W7_" hidden="1">{#N/A,#N/A,FALSE,"KMC최종회의(7월) 자료"}</definedName>
    <definedName name="_144W8_" hidden="1">{#N/A,#N/A,FALSE,"KMC최종회의(7월) 자료"}</definedName>
    <definedName name="_144X1_" hidden="1">{#N/A,#N/A,FALSE,"KMC최종회의(7월) 자료"}</definedName>
    <definedName name="_144X3_" hidden="1">{#N/A,#N/A,FALSE,"KMC최종회의(7월) 자료"}</definedName>
    <definedName name="_144X7_" hidden="1">{#N/A,#N/A,FALSE,"KMC최종회의(7월) 자료"}</definedName>
    <definedName name="_144Z1_" hidden="1">{#N/A,#N/A,FALSE,"KMC최종회의(7월) 자료"}</definedName>
    <definedName name="_144Z1__1" hidden="1">{#N/A,#N/A,FALSE,"KMC최종회의(7월) 자료"}</definedName>
    <definedName name="_144Z3_" hidden="1">{#N/A,#N/A,FALSE,"KMC최종회의(7월) 자료"}</definedName>
    <definedName name="_144Z5_" hidden="1">{#N/A,#N/A,FALSE,"KMC최종회의(7월) 자료"}</definedName>
    <definedName name="_144Z7_" hidden="1">{#N/A,#N/A,FALSE,"KMC최종회의(7월) 자료"}</definedName>
    <definedName name="_145__0_S" hidden="1">#REF!</definedName>
    <definedName name="_145A1454_" hidden="1">{#N/A,#N/A,FALSE,"단축1";#N/A,#N/A,FALSE,"단축2";#N/A,#N/A,FALSE,"단축3";#N/A,#N/A,FALSE,"장축";#N/A,#N/A,FALSE,"4WD"}</definedName>
    <definedName name="_145A41_" hidden="1">{#N/A,#N/A,FALSE,"단축1";#N/A,#N/A,FALSE,"단축2";#N/A,#N/A,FALSE,"단축3";#N/A,#N/A,FALSE,"장축";#N/A,#N/A,FALSE,"4WD"}</definedName>
    <definedName name="_145A4444_" hidden="1">{#N/A,#N/A,FALSE,"KMC최종회의(7월) 자료"}</definedName>
    <definedName name="_145AS6_" hidden="1">{#N/A,#N/A,FALSE,"Australien";#N/A,#N/A,FALSE,"Birmingham";#N/A,#N/A,FALSE,"Brasilien";#N/A,#N/A,FALSE,"Prag";#N/A,#N/A,FALSE,"Spanien";#N/A,#N/A,FALSE,"Malaysia ( Com)";#N/A,#N/A,FALSE,"Malaysia (Instr)"}</definedName>
    <definedName name="_145e1_" hidden="1">{#N/A,#N/A,FALSE,"단축1";#N/A,#N/A,FALSE,"단축2";#N/A,#N/A,FALSE,"단축3";#N/A,#N/A,FALSE,"장축";#N/A,#N/A,FALSE,"4WD"}</definedName>
    <definedName name="_145k9_" hidden="1">{#N/A,#N/A,FALSE,"단축1";#N/A,#N/A,FALSE,"단축2";#N/A,#N/A,FALSE,"단축3";#N/A,#N/A,FALSE,"장축";#N/A,#N/A,FALSE,"4WD"}</definedName>
    <definedName name="_145Q3_" hidden="1">{#N/A,#N/A,FALSE,"KMC최종회의(7월) 자료"}</definedName>
    <definedName name="_145q5_" hidden="1">{#N/A,#N/A,FALSE,"신규dep";#N/A,#N/A,FALSE,"신규dep-금형상각후";#N/A,#N/A,FALSE,"신규dep-연구비상각후";#N/A,#N/A,FALSE,"신규dep-기계,공구상각후"}</definedName>
    <definedName name="_145q5__1" hidden="1">{#N/A,#N/A,FALSE,"신규dep";#N/A,#N/A,FALSE,"신규dep-금형상각후";#N/A,#N/A,FALSE,"신규dep-연구비상각후";#N/A,#N/A,FALSE,"신규dep-기계,공구상각후"}</definedName>
    <definedName name="_145Q7_" hidden="1">{#N/A,#N/A,FALSE,"KMC최종회의(7월) 자료"}</definedName>
    <definedName name="_145Q9_" hidden="1">{#N/A,#N/A,FALSE,"KMC최종회의(7월) 자료"}</definedName>
    <definedName name="_145S4_" hidden="1">{#N/A,#N/A,FALSE,"KMC최종회의(7월) 자료"}</definedName>
    <definedName name="_145S5_" hidden="1">{#N/A,#N/A,FALSE,"KMC최종회의(7월) 자료"}</definedName>
    <definedName name="_145S8_" hidden="1">{#N/A,#N/A,FALSE,"KMC최종회의(7월) 자료"}</definedName>
    <definedName name="_145T2_" hidden="1">{#N/A,#N/A,FALSE,"단축1";#N/A,#N/A,FALSE,"단축2";#N/A,#N/A,FALSE,"단축3";#N/A,#N/A,FALSE,"장축";#N/A,#N/A,FALSE,"4WD"}</definedName>
    <definedName name="_145T5_" hidden="1">{#N/A,#N/A,FALSE,"단축1";#N/A,#N/A,FALSE,"단축2";#N/A,#N/A,FALSE,"단축3";#N/A,#N/A,FALSE,"장축";#N/A,#N/A,FALSE,"4WD"}</definedName>
    <definedName name="_145W3_" hidden="1">{#N/A,#N/A,FALSE,"KMC최종회의(7월) 자료"}</definedName>
    <definedName name="_145w5_" hidden="1">{#N/A,#N/A,FALSE,"신규dep";#N/A,#N/A,FALSE,"신규dep-금형상각후";#N/A,#N/A,FALSE,"신규dep-연구비상각후";#N/A,#N/A,FALSE,"신규dep-기계,공구상각후"}</definedName>
    <definedName name="_145W7_" hidden="1">{#N/A,#N/A,FALSE,"KMC최종회의(7월) 자료"}</definedName>
    <definedName name="_145X8_" hidden="1">{#N/A,#N/A,FALSE,"KMC최종회의(7월) 자료"}</definedName>
    <definedName name="_145Z2_" hidden="1">{#N/A,#N/A,FALSE,"KMC최종회의(7월) 자료"}</definedName>
    <definedName name="_145Z5_" hidden="1">{#N/A,#N/A,FALSE,"KMC최종회의(7월) 자료"}</definedName>
    <definedName name="_145Z9_" hidden="1">{#N/A,#N/A,FALSE,"KMC최종회의(7월) 자료"}</definedName>
    <definedName name="_146____S" hidden="1">#REF!</definedName>
    <definedName name="_146A8_" hidden="1">{#N/A,#N/A,FALSE,"KMC최종회의(7월) 자료"}</definedName>
    <definedName name="_146HP2_" hidden="1">{#N/A,#N/A,FALSE,"단축1";#N/A,#N/A,FALSE,"단축2";#N/A,#N/A,FALSE,"단축3";#N/A,#N/A,FALSE,"장축";#N/A,#N/A,FALSE,"4WD"}</definedName>
    <definedName name="_146k7_" hidden="1">{#N/A,#N/A,FALSE,"단축1";#N/A,#N/A,FALSE,"단축2";#N/A,#N/A,FALSE,"단축3";#N/A,#N/A,FALSE,"장축";#N/A,#N/A,FALSE,"4WD"}</definedName>
    <definedName name="_146k9_" hidden="1">{#N/A,#N/A,FALSE,"단축1";#N/A,#N/A,FALSE,"단축2";#N/A,#N/A,FALSE,"단축3";#N/A,#N/A,FALSE,"장축";#N/A,#N/A,FALSE,"4WD"}</definedName>
    <definedName name="_146Q3_" hidden="1">{#N/A,#N/A,FALSE,"KMC최종회의(7월) 자료"}</definedName>
    <definedName name="_146Q345_" hidden="1">{"'7-2지역별'!$A$1:$R$44"}</definedName>
    <definedName name="_146Q9_" hidden="1">{#N/A,#N/A,FALSE,"KMC최종회의(7월) 자료"}</definedName>
    <definedName name="_146S1_" hidden="1">{#N/A,#N/A,FALSE,"KMC최종회의(7월) 자료"}</definedName>
    <definedName name="_146s4_" hidden="1">{#N/A,#N/A,FALSE,"단축1";#N/A,#N/A,FALSE,"단축2";#N/A,#N/A,FALSE,"단축3";#N/A,#N/A,FALSE,"장축";#N/A,#N/A,FALSE,"4WD"}</definedName>
    <definedName name="_146T3_" hidden="1">{#N/A,#N/A,FALSE,"단축1";#N/A,#N/A,FALSE,"단축2";#N/A,#N/A,FALSE,"단축3";#N/A,#N/A,FALSE,"장축";#N/A,#N/A,FALSE,"4WD"}</definedName>
    <definedName name="_146W4_" hidden="1">{#N/A,#N/A,FALSE,"KMC최종회의(7월) 자료"}</definedName>
    <definedName name="_146W5_" hidden="1">{#N/A,#N/A,FALSE,"KMC최종회의(7월) 자료"}</definedName>
    <definedName name="_146W8_" hidden="1">{#N/A,#N/A,FALSE,"KMC최종회의(7월) 자료"}</definedName>
    <definedName name="_146X1_" hidden="1">{#N/A,#N/A,FALSE,"KMC최종회의(7월) 자료"}</definedName>
    <definedName name="_146X4_" hidden="1">{#N/A,#N/A,FALSE,"KMC최종회의(7월) 자료"}</definedName>
    <definedName name="_146X5_" hidden="1">{#N/A,#N/A,FALSE,"KMC최종회의(7월) 자료"}</definedName>
    <definedName name="_146Z1_" hidden="1">{#N/A,#N/A,FALSE,"KMC최종회의(7월) 자료"}</definedName>
    <definedName name="_146Z4_" hidden="1">{#N/A,#N/A,FALSE,"KMC최종회의(7월) 자료"}</definedName>
    <definedName name="_146Z8_" hidden="1">{#N/A,#N/A,FALSE,"KMC최종회의(7월) 자료"}</definedName>
    <definedName name="_147____S" hidden="1">#REF!</definedName>
    <definedName name="_147__0_S" hidden="1">#REF!</definedName>
    <definedName name="_147e3_" hidden="1">{#N/A,#N/A,FALSE,"단축1";#N/A,#N/A,FALSE,"단축2";#N/A,#N/A,FALSE,"단축3";#N/A,#N/A,FALSE,"장축";#N/A,#N/A,FALSE,"4WD"}</definedName>
    <definedName name="_147e3__1" hidden="1">{#N/A,#N/A,FALSE,"단축1";#N/A,#N/A,FALSE,"단축2";#N/A,#N/A,FALSE,"단축3";#N/A,#N/A,FALSE,"장축";#N/A,#N/A,FALSE,"4WD"}</definedName>
    <definedName name="_147Q1_" hidden="1">{#N/A,#N/A,FALSE,"KMC최종회의(7월) 자료"}</definedName>
    <definedName name="_147Q2_" hidden="1">{#N/A,#N/A,FALSE,"KMC최종회의(7월) 자료"}</definedName>
    <definedName name="_147Q2__1" hidden="1">{#N/A,#N/A,FALSE,"KMC최종회의(7월) 자료"}</definedName>
    <definedName name="_147Q5_" hidden="1">{#N/A,#N/A,FALSE,"KMC최종회의(7월) 자료"}</definedName>
    <definedName name="_147S2_" hidden="1">{#N/A,#N/A,FALSE,"KMC최종회의(7월) 자료"}</definedName>
    <definedName name="_147S3_" hidden="1">{#N/A,#N/A,FALSE,"KMC최종회의(7월) 자료"}</definedName>
    <definedName name="_147T5_" hidden="1">{#N/A,#N/A,FALSE,"단축1";#N/A,#N/A,FALSE,"단축2";#N/A,#N/A,FALSE,"단축3";#N/A,#N/A,FALSE,"장축";#N/A,#N/A,FALSE,"4WD"}</definedName>
    <definedName name="_147W1_" hidden="1">{#N/A,#N/A,FALSE,"KMC최종회의(7월) 자료"}</definedName>
    <definedName name="_147W4_" hidden="1">{#N/A,#N/A,FALSE,"KMC최종회의(7월) 자료"}</definedName>
    <definedName name="_147W5_" hidden="1">{#N/A,#N/A,FALSE,"KMC최종회의(7월) 자료"}</definedName>
    <definedName name="_147W8_" hidden="1">{#N/A,#N/A,FALSE,"KMC최종회의(7월) 자료"}</definedName>
    <definedName name="_147X4_" hidden="1">{#N/A,#N/A,FALSE,"KMC최종회의(7월) 자료"}</definedName>
    <definedName name="_147Z2_" hidden="1">{#N/A,#N/A,FALSE,"KMC최종회의(7월) 자료"}</definedName>
    <definedName name="_147Z2__1" hidden="1">{#N/A,#N/A,FALSE,"KMC최종회의(7월) 자료"}</definedName>
    <definedName name="_147Z6_" hidden="1">{#N/A,#N/A,FALSE,"KMC최종회의(7월) 자료"}</definedName>
    <definedName name="_147Z8_" hidden="1">{#N/A,#N/A,FALSE,"KMC최종회의(7월) 자료"}</definedName>
    <definedName name="_1481EO2_" hidden="1">{#N/A,#N/A,FALSE,"신규dep";#N/A,#N/A,FALSE,"신규dep-금형상각후";#N/A,#N/A,FALSE,"신규dep-연구비상각후";#N/A,#N/A,FALSE,"신규dep-기계,공구상각후"}</definedName>
    <definedName name="_1481EO2__1" hidden="1">{#N/A,#N/A,FALSE,"신규dep";#N/A,#N/A,FALSE,"신규dep-금형상각후";#N/A,#N/A,FALSE,"신규dep-연구비상각후";#N/A,#N/A,FALSE,"신규dep-기계,공구상각후"}</definedName>
    <definedName name="_148A5_" hidden="1">{#N/A,#N/A,FALSE,"KMC최종회의(7월) 자료"}</definedName>
    <definedName name="_148A9_" hidden="1">{#N/A,#N/A,FALSE,"KMC최종회의(7월) 자료"}</definedName>
    <definedName name="_148CL22_" hidden="1">{#N/A,#N/A,FALSE,"KMC최종회의(7월) 자료"}</definedName>
    <definedName name="_148P21_" hidden="1">{#N/A,#N/A,FALSE,"단축1";#N/A,#N/A,FALSE,"단축2";#N/A,#N/A,FALSE,"단축3";#N/A,#N/A,FALSE,"장축";#N/A,#N/A,FALSE,"4WD"}</definedName>
    <definedName name="_148Q5_" hidden="1">{#N/A,#N/A,FALSE,"KMC최종회의(7월) 자료"}</definedName>
    <definedName name="_148S3_" hidden="1">{#N/A,#N/A,FALSE,"KMC최종회의(7월) 자료"}</definedName>
    <definedName name="_148T3_" hidden="1">{#N/A,#N/A,FALSE,"단축1";#N/A,#N/A,FALSE,"단축2";#N/A,#N/A,FALSE,"단축3";#N/A,#N/A,FALSE,"장축";#N/A,#N/A,FALSE,"4WD"}</definedName>
    <definedName name="_148U1_" hidden="1">{#N/A,#N/A,FALSE,"단축1";#N/A,#N/A,FALSE,"단축2";#N/A,#N/A,FALSE,"단축3";#N/A,#N/A,FALSE,"장축";#N/A,#N/A,FALSE,"4WD"}</definedName>
    <definedName name="_148W1_" hidden="1">{#N/A,#N/A,FALSE,"KMC최종회의(7월) 자료"}</definedName>
    <definedName name="_148W6_" hidden="1">{#N/A,#N/A,FALSE,"KMC최종회의(7월) 자료"}</definedName>
    <definedName name="_148W8_" hidden="1">{#N/A,#N/A,FALSE,"KMC최종회의(7월) 자료"}</definedName>
    <definedName name="_148W9_" hidden="1">{#N/A,#N/A,FALSE,"KMC최종회의(7월) 자료"}</definedName>
    <definedName name="_148X2_" hidden="1">{#N/A,#N/A,FALSE,"KMC최종회의(7월) 자료"}</definedName>
    <definedName name="_148X8_" hidden="1">{#N/A,#N/A,FALSE,"KMC최종회의(7월) 자료"}</definedName>
    <definedName name="_148z1_" hidden="1">{#N/A,#N/A,FALSE,"단축1";#N/A,#N/A,FALSE,"단축2";#N/A,#N/A,FALSE,"단축3";#N/A,#N/A,FALSE,"장축";#N/A,#N/A,FALSE,"4WD"}</definedName>
    <definedName name="_148Z3_" hidden="1">{#N/A,#N/A,FALSE,"KMC최종회의(7월) 자료"}</definedName>
    <definedName name="_148Z5_" hidden="1">{#N/A,#N/A,FALSE,"KMC최종회의(7월) 자료"}</definedName>
    <definedName name="_148Z9_" hidden="1">{#N/A,#N/A,FALSE,"KMC최종회의(7월) 자료"}</definedName>
    <definedName name="_149____S" hidden="1">#REF!</definedName>
    <definedName name="_149__0_S" hidden="1">#REF!</definedName>
    <definedName name="_149A2040_" hidden="1">{#N/A,#N/A,FALSE,"단축1";#N/A,#N/A,FALSE,"단축2";#N/A,#N/A,FALSE,"단축3";#N/A,#N/A,FALSE,"장축";#N/A,#N/A,FALSE,"4WD"}</definedName>
    <definedName name="_149A5_" hidden="1">{#N/A,#N/A,FALSE,"KMC최종회의(7월) 자료"}</definedName>
    <definedName name="_149CL222_" hidden="1">{#N/A,#N/A,FALSE,"KMC최종회의(7월) 자료"}</definedName>
    <definedName name="_149FG1_" hidden="1">{#N/A,#N/A,FALSE,"단축1";#N/A,#N/A,FALSE,"단축2";#N/A,#N/A,FALSE,"단축3";#N/A,#N/A,FALSE,"장축";#N/A,#N/A,FALSE,"4WD"}</definedName>
    <definedName name="_149O11_" hidden="1">{#N/A,#N/A,FALSE,"단축1";#N/A,#N/A,FALSE,"단축2";#N/A,#N/A,FALSE,"단축3";#N/A,#N/A,FALSE,"장축";#N/A,#N/A,FALSE,"4WD"}</definedName>
    <definedName name="_149Q7_" hidden="1">{#N/A,#N/A,FALSE,"KMC최종회의(7월) 자료"}</definedName>
    <definedName name="_149Q9_" hidden="1">{#N/A,#N/A,FALSE,"KMC최종회의(7월) 자료"}</definedName>
    <definedName name="_149S4_" hidden="1">{#N/A,#N/A,FALSE,"KMC최종회의(7월) 자료"}</definedName>
    <definedName name="_149S6_" hidden="1">{#N/A,#N/A,FALSE,"KMC최종회의(7월) 자료"}</definedName>
    <definedName name="_149W2_" hidden="1">{#N/A,#N/A,FALSE,"KMC최종회의(7월) 자료"}</definedName>
    <definedName name="_149W4_" hidden="1">{#N/A,#N/A,FALSE,"KMC최종회의(7월) 자료"}</definedName>
    <definedName name="_149W6_" hidden="1">{#N/A,#N/A,FALSE,"KMC최종회의(7월) 자료"}</definedName>
    <definedName name="_149W7_" hidden="1">{#N/A,#N/A,FALSE,"KMC최종회의(7월) 자료"}</definedName>
    <definedName name="_149W9_" hidden="1">{#N/A,#N/A,FALSE,"KMC최종회의(7월) 자료"}</definedName>
    <definedName name="_149X2_" hidden="1">{#N/A,#N/A,FALSE,"KMC최종회의(7월) 자료"}</definedName>
    <definedName name="_149X5_" hidden="1">{#N/A,#N/A,FALSE,"KMC최종회의(7월) 자료"}</definedName>
    <definedName name="_149X6_" hidden="1">{#N/A,#N/A,FALSE,"KMC최종회의(7월) 자료"}</definedName>
    <definedName name="_149Z4_" hidden="1">{#N/A,#N/A,FALSE,"KMC최종회의(7월) 자료"}</definedName>
    <definedName name="_149Z7_" hidden="1">{#N/A,#N/A,FALSE,"KMC최종회의(7월) 자료"}</definedName>
    <definedName name="_14A02_" hidden="1">{#N/A,#N/A,FALSE,"단축1";#N/A,#N/A,FALSE,"단축2";#N/A,#N/A,FALSE,"단축3";#N/A,#N/A,FALSE,"장축";#N/A,#N/A,FALSE,"4WD"}</definedName>
    <definedName name="_14A02__1" hidden="1">{#N/A,#N/A,FALSE,"단축1";#N/A,#N/A,FALSE,"단축2";#N/A,#N/A,FALSE,"단축3";#N/A,#N/A,FALSE,"장축";#N/A,#N/A,FALSE,"4WD"}</definedName>
    <definedName name="_14A0323_" hidden="1">{#N/A,#N/A,FALSE,"단축1";#N/A,#N/A,FALSE,"단축2";#N/A,#N/A,FALSE,"단축3";#N/A,#N/A,FALSE,"장축";#N/A,#N/A,FALSE,"4WD"}</definedName>
    <definedName name="_14A2_" hidden="1">{#N/A,#N/A,FALSE,"KMC최종회의(7월) 자료"}</definedName>
    <definedName name="_14A2040_" hidden="1">{#N/A,#N/A,FALSE,"단축1";#N/A,#N/A,FALSE,"단축2";#N/A,#N/A,FALSE,"단축3";#N/A,#N/A,FALSE,"장축";#N/A,#N/A,FALSE,"4WD"}</definedName>
    <definedName name="_14A3_" hidden="1">{#N/A,#N/A,FALSE,"단축1";#N/A,#N/A,FALSE,"단축2";#N/A,#N/A,FALSE,"단축3";#N/A,#N/A,FALSE,"장축";#N/A,#N/A,FALSE,"4WD"}</definedName>
    <definedName name="_14A4_" hidden="1">{#N/A,#N/A,FALSE,"KMC최종회의(7월) 자료"}</definedName>
    <definedName name="_14A5_" hidden="1">{#N/A,#N/A,FALSE,"KMC최종회의(7월) 자료"}</definedName>
    <definedName name="_14A6_" hidden="1">{#N/A,#N/A,FALSE,"KMC최종회의(7월) 자료"}</definedName>
    <definedName name="_14A6666_" hidden="1">{#N/A,#N/A,FALSE,"KMC최종회의(7월) 자료"}</definedName>
    <definedName name="_14A7_" hidden="1">{#N/A,#N/A,FALSE,"KMC최종회의(7월) 자료"}</definedName>
    <definedName name="_14A8_" hidden="1">{#N/A,#N/A,FALSE,"KMC최종회의(7월) 자료"}</definedName>
    <definedName name="_14A9_" hidden="1">{#N/A,#N/A,FALSE,"KMC최종회의(7월) 자료"}</definedName>
    <definedName name="_14AA4_" hidden="1">{#N/A,#N/A,FALSE,"신규dep";#N/A,#N/A,FALSE,"신규dep-금형상각후";#N/A,#N/A,FALSE,"신규dep-연구비상각후";#N/A,#N/A,FALSE,"신규dep-기계,공구상각후"}</definedName>
    <definedName name="_14AS6_" hidden="1">{#N/A,#N/A,FALSE,"Australien";#N/A,#N/A,FALSE,"Birmingham";#N/A,#N/A,FALSE,"Brasilien";#N/A,#N/A,FALSE,"Prag";#N/A,#N/A,FALSE,"Spanien";#N/A,#N/A,FALSE,"Malaysia ( Com)";#N/A,#N/A,FALSE,"Malaysia (Instr)"}</definedName>
    <definedName name="_14CL222_" hidden="1">{#N/A,#N/A,FALSE,"KMC최종회의(7월) 자료"}</definedName>
    <definedName name="_14CL33_" hidden="1">{#N/A,#N/A,FALSE,"KMC최종회의(7월) 자료"}</definedName>
    <definedName name="_14DB777_" hidden="1">{#N/A,#N/A,TRUE,"Y생산";#N/A,#N/A,TRUE,"Y판매";#N/A,#N/A,TRUE,"Y총물량";#N/A,#N/A,TRUE,"Y능력";#N/A,#N/A,TRUE,"YKD"}</definedName>
    <definedName name="_14E1_" hidden="1">{#N/A,#N/A,FALSE,"KMC최종회의(7월) 자료"}</definedName>
    <definedName name="_14E1__1" hidden="1">{#N/A,#N/A,FALSE,"KMC최종회의(7월) 자료"}</definedName>
    <definedName name="_14E2_" hidden="1">{#N/A,#N/A,FALSE,"KMC최종회의(7월) 자료"}</definedName>
    <definedName name="_14e3_" hidden="1">{#N/A,#N/A,FALSE,"단축1";#N/A,#N/A,FALSE,"단축2";#N/A,#N/A,FALSE,"단축3";#N/A,#N/A,FALSE,"장축";#N/A,#N/A,FALSE,"4WD"}</definedName>
    <definedName name="_14H1620_" hidden="1">{#N/A,#N/A,FALSE,"단축1";#N/A,#N/A,FALSE,"단축2";#N/A,#N/A,FALSE,"단축3";#N/A,#N/A,FALSE,"장축";#N/A,#N/A,FALSE,"4WD"}</definedName>
    <definedName name="_14h4_" hidden="1">{"'표지'!$B$5"}</definedName>
    <definedName name="_14HL2_" hidden="1">{#N/A,#N/A,FALSE,"단축1";#N/A,#N/A,FALSE,"단축2";#N/A,#N/A,FALSE,"단축3";#N/A,#N/A,FALSE,"장축";#N/A,#N/A,FALSE,"4WD"}</definedName>
    <definedName name="_14P2_" hidden="1">#REF!</definedName>
    <definedName name="_14Q1_" hidden="1">{#N/A,#N/A,FALSE,"KMC최종회의(7월) 자료"}</definedName>
    <definedName name="_14Q2_" hidden="1">{#N/A,#N/A,FALSE,"KMC최종회의(7월) 자료"}</definedName>
    <definedName name="_14Q3_" hidden="1">{#N/A,#N/A,FALSE,"KMC최종회의(7월) 자료"}</definedName>
    <definedName name="_14Q3__1" hidden="1">{#N/A,#N/A,FALSE,"KMC최종회의(7월) 자료"}</definedName>
    <definedName name="_14Q5_" hidden="1">{#N/A,#N/A,FALSE,"KMC최종회의(7월) 자료"}</definedName>
    <definedName name="_14Q5__1" hidden="1">{#N/A,#N/A,FALSE,"KMC최종회의(7월) 자료"}</definedName>
    <definedName name="_14Q9_" hidden="1">{#N/A,#N/A,FALSE,"KMC최종회의(7월) 자료"}</definedName>
    <definedName name="_14S8_" hidden="1">{#N/A,#N/A,FALSE,"KMC최종회의(7월) 자료"}</definedName>
    <definedName name="_14T2_" hidden="1">{#N/A,#N/A,FALSE,"단축1";#N/A,#N/A,FALSE,"단축2";#N/A,#N/A,FALSE,"단축3";#N/A,#N/A,FALSE,"장축";#N/A,#N/A,FALSE,"4WD"}</definedName>
    <definedName name="_14T5_" hidden="1">{#N/A,#N/A,FALSE,"단축1";#N/A,#N/A,FALSE,"단축2";#N/A,#N/A,FALSE,"단축3";#N/A,#N/A,FALSE,"장축";#N/A,#N/A,FALSE,"4WD"}</definedName>
    <definedName name="_15__________________________0_S" hidden="1">#REF!</definedName>
    <definedName name="_15_______0_S" hidden="1">#REF!</definedName>
    <definedName name="_15__123Graph_AC04C_ALL_L2" hidden="1">#REF!</definedName>
    <definedName name="_15__123Graph_AVALVE_BORE" hidden="1">#REF!</definedName>
    <definedName name="_15____S" hidden="1">#REF!</definedName>
    <definedName name="_15__0_S" hidden="1">#REF!</definedName>
    <definedName name="_150__0_S" hidden="1">#REF!</definedName>
    <definedName name="_150A21321_" hidden="1">{#N/A,#N/A,FALSE,"단축1";#N/A,#N/A,FALSE,"단축2";#N/A,#N/A,FALSE,"단축3";#N/A,#N/A,FALSE,"장축";#N/A,#N/A,FALSE,"4WD"}</definedName>
    <definedName name="_150CL33_" hidden="1">{#N/A,#N/A,FALSE,"KMC최종회의(7월) 자료"}</definedName>
    <definedName name="_150e2_" hidden="1">{#N/A,#N/A,FALSE,"단축1";#N/A,#N/A,FALSE,"단축2";#N/A,#N/A,FALSE,"단축3";#N/A,#N/A,FALSE,"장축";#N/A,#N/A,FALSE,"4WD"}</definedName>
    <definedName name="_150Q1_" hidden="1">{#N/A,#N/A,FALSE,"KMC최종회의(7월) 자료"}</definedName>
    <definedName name="_150Q2_" hidden="1">{#N/A,#N/A,FALSE,"KMC최종회의(7월) 자료"}</definedName>
    <definedName name="_150q6_" hidden="1">{#N/A,#N/A,FALSE,"신규dep";#N/A,#N/A,FALSE,"신규dep-금형상각후";#N/A,#N/A,FALSE,"신규dep-연구비상각후";#N/A,#N/A,FALSE,"신규dep-기계,공구상각후"}</definedName>
    <definedName name="_150q6__1" hidden="1">{#N/A,#N/A,FALSE,"신규dep";#N/A,#N/A,FALSE,"신규dep-금형상각후";#N/A,#N/A,FALSE,"신규dep-연구비상각후";#N/A,#N/A,FALSE,"신규dep-기계,공구상각후"}</definedName>
    <definedName name="_150Q7_" hidden="1">{#N/A,#N/A,FALSE,"KMC최종회의(7월) 자료"}</definedName>
    <definedName name="_150Q8_" hidden="1">{#N/A,#N/A,FALSE,"KMC최종회의(7월) 자료"}</definedName>
    <definedName name="_150S5_" hidden="1">{#N/A,#N/A,FALSE,"KMC최종회의(7월) 자료"}</definedName>
    <definedName name="_150S7_" hidden="1">{#N/A,#N/A,FALSE,"KMC최종회의(7월) 자료"}</definedName>
    <definedName name="_150U1_" hidden="1">{#N/A,#N/A,FALSE,"단축1";#N/A,#N/A,FALSE,"단축2";#N/A,#N/A,FALSE,"단축3";#N/A,#N/A,FALSE,"장축";#N/A,#N/A,FALSE,"4WD"}</definedName>
    <definedName name="_150W1_" hidden="1">{#N/A,#N/A,FALSE,"KMC최종회의(7월) 자료"}</definedName>
    <definedName name="_150W5_" hidden="1">{#N/A,#N/A,FALSE,"KMC최종회의(7월) 자료"}</definedName>
    <definedName name="_150W8_" hidden="1">{#N/A,#N/A,FALSE,"KMC최종회의(7월) 자료"}</definedName>
    <definedName name="_150W9_" hidden="1">{#N/A,#N/A,FALSE,"KMC최종회의(7월) 자료"}</definedName>
    <definedName name="_150X5_" hidden="1">{#N/A,#N/A,FALSE,"KMC최종회의(7월) 자료"}</definedName>
    <definedName name="_150Z3_" hidden="1">{#N/A,#N/A,FALSE,"KMC최종회의(7월) 자료"}</definedName>
    <definedName name="_150Z3__1" hidden="1">{#N/A,#N/A,FALSE,"KMC최종회의(7월) 자료"}</definedName>
    <definedName name="_150Z5_" hidden="1">{#N/A,#N/A,FALSE,"KMC최종회의(7월) 자료"}</definedName>
    <definedName name="_150Z6_" hidden="1">{#N/A,#N/A,FALSE,"KMC최종회의(7월) 자료"}</definedName>
    <definedName name="_150Z7_" hidden="1">{#N/A,#N/A,FALSE,"KMC최종회의(7월) 자료"}</definedName>
    <definedName name="_150Z9_" hidden="1">{#N/A,#N/A,FALSE,"KMC최종회의(7월) 자료"}</definedName>
    <definedName name="_151__0_S" hidden="1">#REF!</definedName>
    <definedName name="_151A6_" hidden="1">{#N/A,#N/A,FALSE,"KMC최종회의(7월) 자료"}</definedName>
    <definedName name="_151AS6_" hidden="1">{#N/A,#N/A,FALSE,"Australien";#N/A,#N/A,FALSE,"Birmingham";#N/A,#N/A,FALSE,"Brasilien";#N/A,#N/A,FALSE,"Prag";#N/A,#N/A,FALSE,"Spanien";#N/A,#N/A,FALSE,"Malaysia ( Com)";#N/A,#N/A,FALSE,"Malaysia (Instr)"}</definedName>
    <definedName name="_151Q5_" hidden="1">{#N/A,#N/A,FALSE,"KMC최종회의(7월) 자료"}</definedName>
    <definedName name="_151Q5__1" hidden="1">{#N/A,#N/A,FALSE,"KMC최종회의(7월) 자료"}</definedName>
    <definedName name="_151Q7_" hidden="1">{#N/A,#N/A,FALSE,"KMC최종회의(7월) 자료"}</definedName>
    <definedName name="_151Q8_" hidden="1">{#N/A,#N/A,FALSE,"KMC최종회의(7월) 자료"}</definedName>
    <definedName name="_151S1_" hidden="1">{#N/A,#N/A,FALSE,"KMC최종회의(7월) 자료"}</definedName>
    <definedName name="_151S6_" hidden="1">{#N/A,#N/A,FALSE,"KMC최종회의(7월) 자료"}</definedName>
    <definedName name="_151W3_" hidden="1">{#N/A,#N/A,FALSE,"KMC최종회의(7월) 자료"}</definedName>
    <definedName name="_151W5_" hidden="1">{#N/A,#N/A,FALSE,"KMC최종회의(7월) 자료"}</definedName>
    <definedName name="_151W9_" hidden="1">{#N/A,#N/A,FALSE,"KMC최종회의(7월) 자료"}</definedName>
    <definedName name="_151z123_" hidden="1">{#N/A,#N/A,FALSE,"단축1";#N/A,#N/A,FALSE,"단축2";#N/A,#N/A,FALSE,"단축3";#N/A,#N/A,FALSE,"장축";#N/A,#N/A,FALSE,"4WD"}</definedName>
    <definedName name="_151Z4_" hidden="1">{#N/A,#N/A,FALSE,"KMC최종회의(7월) 자료"}</definedName>
    <definedName name="_151Z6_" hidden="1">{#N/A,#N/A,FALSE,"KMC최종회의(7월) 자료"}</definedName>
    <definedName name="_151Z8_" hidden="1">{#N/A,#N/A,FALSE,"KMC최종회의(7월) 자료"}</definedName>
    <definedName name="_152DB777_" hidden="1">{#N/A,#N/A,TRUE,"Y생산";#N/A,#N/A,TRUE,"Y판매";#N/A,#N/A,TRUE,"Y총물량";#N/A,#N/A,TRUE,"Y능력";#N/A,#N/A,TRUE,"YKD"}</definedName>
    <definedName name="_152E45_" hidden="1">{"'7-2지역별'!$A$1:$R$44"}</definedName>
    <definedName name="_152H1620_" hidden="1">{#N/A,#N/A,FALSE,"단축1";#N/A,#N/A,FALSE,"단축2";#N/A,#N/A,FALSE,"단축3";#N/A,#N/A,FALSE,"장축";#N/A,#N/A,FALSE,"4WD"}</definedName>
    <definedName name="_152Q8_" hidden="1">{#N/A,#N/A,FALSE,"KMC최종회의(7월) 자료"}</definedName>
    <definedName name="_152S7_" hidden="1">{#N/A,#N/A,FALSE,"KMC최종회의(7월) 자료"}</definedName>
    <definedName name="_152W1_" hidden="1">{#N/A,#N/A,FALSE,"KMC최종회의(7월) 자료"}</definedName>
    <definedName name="_152W2_" hidden="1">{#N/A,#N/A,FALSE,"KMC최종회의(7월) 자료"}</definedName>
    <definedName name="_152W7_" hidden="1">{#N/A,#N/A,FALSE,"KMC최종회의(7월) 자료"}</definedName>
    <definedName name="_152X1_" hidden="1">{#N/A,#N/A,FALSE,"KMC최종회의(7월) 자료"}</definedName>
    <definedName name="_152X3_" hidden="1">{#N/A,#N/A,FALSE,"KMC최종회의(7월) 자료"}</definedName>
    <definedName name="_152X6_" hidden="1">{#N/A,#N/A,FALSE,"KMC최종회의(7월) 자료"}</definedName>
    <definedName name="_152X7_" hidden="1">{#N/A,#N/A,FALSE,"KMC최종회의(7월) 자료"}</definedName>
    <definedName name="_152Z1_" hidden="1">{#N/A,#N/A,FALSE,"KMC최종회의(7월) 자료"}</definedName>
    <definedName name="_152Z7_" hidden="1">{#N/A,#N/A,FALSE,"KMC최종회의(7월) 자료"}</definedName>
    <definedName name="_153A6_" hidden="1">{#N/A,#N/A,FALSE,"KMC최종회의(7월) 자료"}</definedName>
    <definedName name="_153A6666_" hidden="1">{#N/A,#N/A,FALSE,"KMC최종회의(7월) 자료"}</definedName>
    <definedName name="_153k8_" hidden="1">{#N/A,#N/A,FALSE,"단축1";#N/A,#N/A,FALSE,"단축2";#N/A,#N/A,FALSE,"단축3";#N/A,#N/A,FALSE,"장축";#N/A,#N/A,FALSE,"4WD"}</definedName>
    <definedName name="_153Q3_" hidden="1">{#N/A,#N/A,FALSE,"KMC최종회의(7월) 자료"}</definedName>
    <definedName name="_153Q3__1" hidden="1">{#N/A,#N/A,FALSE,"KMC최종회의(7월) 자료"}</definedName>
    <definedName name="_153Q9_" hidden="1">{#N/A,#N/A,FALSE,"KMC최종회의(7월) 자료"}</definedName>
    <definedName name="_153S7_" hidden="1">{#N/A,#N/A,FALSE,"KMC최종회의(7월) 자료"}</definedName>
    <definedName name="_153S8_" hidden="1">{#N/A,#N/A,FALSE,"KMC최종회의(7월) 자료"}</definedName>
    <definedName name="_153W4_" hidden="1">{#N/A,#N/A,FALSE,"KMC최종회의(7월) 자료"}</definedName>
    <definedName name="_153W5_" hidden="1">{#N/A,#N/A,FALSE,"KMC최종회의(7월) 자료"}</definedName>
    <definedName name="_153X1_" hidden="1">{#N/A,#N/A,FALSE,"KMC최종회의(7월) 자료"}</definedName>
    <definedName name="_153X2_" hidden="1">{#N/A,#N/A,FALSE,"KMC최종회의(7월) 자료"}</definedName>
    <definedName name="_153X6_" hidden="1">{#N/A,#N/A,FALSE,"KMC최종회의(7월) 자료"}</definedName>
    <definedName name="_153Z4_" hidden="1">{#N/A,#N/A,FALSE,"KMC최종회의(7월) 자료"}</definedName>
    <definedName name="_153Z4__1" hidden="1">{#N/A,#N/A,FALSE,"KMC최종회의(7월) 자료"}</definedName>
    <definedName name="_153Z8_" hidden="1">{#N/A,#N/A,FALSE,"KMC최종회의(7월) 자료"}</definedName>
    <definedName name="_153Z9_" hidden="1">{#N/A,#N/A,FALSE,"KMC최종회의(7월) 자료"}</definedName>
    <definedName name="_154H20_" hidden="1">{#N/A,#N/A,FALSE,"단축1";#N/A,#N/A,FALSE,"단축2";#N/A,#N/A,FALSE,"단축3";#N/A,#N/A,FALSE,"장축";#N/A,#N/A,FALSE,"4WD"}</definedName>
    <definedName name="_154P2_" hidden="1">{#N/A,#N/A,FALSE,"단축1";#N/A,#N/A,FALSE,"단축2";#N/A,#N/A,FALSE,"단축3";#N/A,#N/A,FALSE,"장축";#N/A,#N/A,FALSE,"4WD"}</definedName>
    <definedName name="_154Q1_" hidden="1">{#N/A,#N/A,FALSE,"KMC최종회의(7월) 자료"}</definedName>
    <definedName name="_154Q2_" hidden="1">{#N/A,#N/A,FALSE,"KMC최종회의(7월) 자료"}</definedName>
    <definedName name="_154Q423_" hidden="1">{"'7-2지역별'!$A$1:$R$44"}</definedName>
    <definedName name="_154Q8_" hidden="1">{#N/A,#N/A,FALSE,"KMC최종회의(7월) 자료"}</definedName>
    <definedName name="_154Q9_" hidden="1">{#N/A,#N/A,FALSE,"KMC최종회의(7월) 자료"}</definedName>
    <definedName name="_154S1_" hidden="1">{#N/A,#N/A,FALSE,"KMC최종회의(7월) 자료"}</definedName>
    <definedName name="_154S4_" hidden="1">{#N/A,#N/A,FALSE,"KMC최종회의(7월) 자료"}</definedName>
    <definedName name="_154s6_" hidden="1">{#N/A,#N/A,FALSE,"신규dep";#N/A,#N/A,FALSE,"신규dep-금형상각후";#N/A,#N/A,FALSE,"신규dep-연구비상각후";#N/A,#N/A,FALSE,"신규dep-기계,공구상각후"}</definedName>
    <definedName name="_154T2_" hidden="1">{#N/A,#N/A,FALSE,"단축1";#N/A,#N/A,FALSE,"단축2";#N/A,#N/A,FALSE,"단축3";#N/A,#N/A,FALSE,"장축";#N/A,#N/A,FALSE,"4WD"}</definedName>
    <definedName name="_154W2_" hidden="1">{#N/A,#N/A,FALSE,"KMC최종회의(7월) 자료"}</definedName>
    <definedName name="_154W6_" hidden="1">{#N/A,#N/A,FALSE,"KMC최종회의(7월) 자료"}</definedName>
    <definedName name="_154X1_" hidden="1">{#N/A,#N/A,FALSE,"KMC최종회의(7월) 자료"}</definedName>
    <definedName name="_154X3_" hidden="1">{#N/A,#N/A,FALSE,"KMC최종회의(7월) 자료"}</definedName>
    <definedName name="_154z2_" hidden="1">{#N/A,#N/A,FALSE,"단축1";#N/A,#N/A,FALSE,"단축2";#N/A,#N/A,FALSE,"단축3";#N/A,#N/A,FALSE,"장축";#N/A,#N/A,FALSE,"4WD"}</definedName>
    <definedName name="_154Z5_" hidden="1">{#N/A,#N/A,FALSE,"KMC최종회의(7월) 자료"}</definedName>
    <definedName name="_154Z8_" hidden="1">{#N/A,#N/A,FALSE,"KMC최종회의(7월) 자료"}</definedName>
    <definedName name="_154Z9_" hidden="1">{#N/A,#N/A,FALSE,"KMC최종회의(7월) 자료"}</definedName>
    <definedName name="_155A3_" hidden="1">{#N/A,#N/A,FALSE,"단축1";#N/A,#N/A,FALSE,"단축2";#N/A,#N/A,FALSE,"단축3";#N/A,#N/A,FALSE,"장축";#N/A,#N/A,FALSE,"4WD"}</definedName>
    <definedName name="_155DB777_" hidden="1">{#N/A,#N/A,TRUE,"Y생산";#N/A,#N/A,TRUE,"Y판매";#N/A,#N/A,TRUE,"Y총물량";#N/A,#N/A,TRUE,"Y능력";#N/A,#N/A,TRUE,"YKD"}</definedName>
    <definedName name="_155e3_" hidden="1">{#N/A,#N/A,FALSE,"단축1";#N/A,#N/A,FALSE,"단축2";#N/A,#N/A,FALSE,"단축3";#N/A,#N/A,FALSE,"장축";#N/A,#N/A,FALSE,"4WD"}</definedName>
    <definedName name="_155H20_" hidden="1">{#N/A,#N/A,FALSE,"단축1";#N/A,#N/A,FALSE,"단축2";#N/A,#N/A,FALSE,"단축3";#N/A,#N/A,FALSE,"장축";#N/A,#N/A,FALSE,"4WD"}</definedName>
    <definedName name="_155Q1_" hidden="1">{#N/A,#N/A,FALSE,"KMC최종회의(7월) 자료"}</definedName>
    <definedName name="_155q7_" hidden="1">{#N/A,#N/A,FALSE,"신규dep";#N/A,#N/A,FALSE,"신규dep-금형상각후";#N/A,#N/A,FALSE,"신규dep-연구비상각후";#N/A,#N/A,FALSE,"신규dep-기계,공구상각후"}</definedName>
    <definedName name="_155q7__1" hidden="1">{#N/A,#N/A,FALSE,"신규dep";#N/A,#N/A,FALSE,"신규dep-금형상각후";#N/A,#N/A,FALSE,"신규dep-연구비상각후";#N/A,#N/A,FALSE,"신규dep-기계,공구상각후"}</definedName>
    <definedName name="_155Q9_" hidden="1">{#N/A,#N/A,FALSE,"KMC최종회의(7월) 자료"}</definedName>
    <definedName name="_155S1_" hidden="1">{#N/A,#N/A,FALSE,"KMC최종회의(7월) 자료"}</definedName>
    <definedName name="_155S6_" hidden="1">{#N/A,#N/A,FALSE,"KMC최종회의(7월) 자료"}</definedName>
    <definedName name="_155W1_" hidden="1">{#N/A,#N/A,FALSE,"KMC최종회의(7월) 자료"}</definedName>
    <definedName name="_155W2_" hidden="1">{#N/A,#N/A,FALSE,"KMC최종회의(7월) 자료"}</definedName>
    <definedName name="_155W5_" hidden="1">{#N/A,#N/A,FALSE,"KMC최종회의(7월) 자료"}</definedName>
    <definedName name="_155W6_" hidden="1">{#N/A,#N/A,FALSE,"KMC최종회의(7월) 자료"}</definedName>
    <definedName name="_155W8_" hidden="1">{#N/A,#N/A,FALSE,"KMC최종회의(7월) 자료"}</definedName>
    <definedName name="_155X2_" hidden="1">{#N/A,#N/A,FALSE,"KMC최종회의(7월) 자료"}</definedName>
    <definedName name="_155X4_" hidden="1">{#N/A,#N/A,FALSE,"KMC최종회의(7월) 자료"}</definedName>
    <definedName name="_155X7_" hidden="1">{#N/A,#N/A,FALSE,"KMC최종회의(7월) 자료"}</definedName>
    <definedName name="_155X8_" hidden="1">{#N/A,#N/A,FALSE,"KMC최종회의(7월) 자료"}</definedName>
    <definedName name="_156A7_" hidden="1">{#N/A,#N/A,FALSE,"KMC최종회의(7월) 자료"}</definedName>
    <definedName name="_156E1_" hidden="1">{#N/A,#N/A,FALSE,"KMC최종회의(7월) 자료"}</definedName>
    <definedName name="_156EO2_" hidden="1">{#N/A,#N/A,FALSE,"신규dep";#N/A,#N/A,FALSE,"신규dep-금형상각후";#N/A,#N/A,FALSE,"신규dep-연구비상각후";#N/A,#N/A,FALSE,"신규dep-기계,공구상각후"}</definedName>
    <definedName name="_156Q2_" hidden="1">{#N/A,#N/A,FALSE,"KMC최종회의(7월) 자료"}</definedName>
    <definedName name="_156Q3_" hidden="1">{#N/A,#N/A,FALSE,"KMC최종회의(7월) 자료"}</definedName>
    <definedName name="_156Q8_" hidden="1">{#N/A,#N/A,FALSE,"KMC최종회의(7월) 자료"}</definedName>
    <definedName name="_156S1_" hidden="1">{#N/A,#N/A,FALSE,"KMC최종회의(7월) 자료"}</definedName>
    <definedName name="_156S2_" hidden="1">{#N/A,#N/A,FALSE,"KMC최종회의(7월) 자료"}</definedName>
    <definedName name="_156S8_" hidden="1">{#N/A,#N/A,FALSE,"KMC최종회의(7월) 자료"}</definedName>
    <definedName name="_156W2_" hidden="1">{#N/A,#N/A,FALSE,"KMC최종회의(7월) 자료"}</definedName>
    <definedName name="_156W3_" hidden="1">{#N/A,#N/A,FALSE,"KMC최종회의(7월) 자료"}</definedName>
    <definedName name="_156X2_" hidden="1">{#N/A,#N/A,FALSE,"KMC최종회의(7월) 자료"}</definedName>
    <definedName name="_156X4_" hidden="1">{#N/A,#N/A,FALSE,"KMC최종회의(7월) 자료"}</definedName>
    <definedName name="_156X5_" hidden="1">{#N/A,#N/A,FALSE,"KMC최종회의(7월) 자료"}</definedName>
    <definedName name="_156X7_" hidden="1">{#N/A,#N/A,FALSE,"KMC최종회의(7월) 자료"}</definedName>
    <definedName name="_156Z2_" hidden="1">{#N/A,#N/A,FALSE,"KMC최종회의(7월) 자료"}</definedName>
    <definedName name="_156Z5_" hidden="1">{#N/A,#N/A,FALSE,"KMC최종회의(7월) 자료"}</definedName>
    <definedName name="_156Z5__1" hidden="1">{#N/A,#N/A,FALSE,"KMC최종회의(7월) 자료"}</definedName>
    <definedName name="_156Z9_" hidden="1">{#N/A,#N/A,FALSE,"KMC최종회의(7월) 자료"}</definedName>
    <definedName name="_157A7_" hidden="1">{#N/A,#N/A,FALSE,"KMC최종회의(7월) 자료"}</definedName>
    <definedName name="_157Q8_" hidden="1">{#N/A,#N/A,FALSE,"KMC최종회의(7월) 자료"}</definedName>
    <definedName name="_157Q9_" hidden="1">{#N/A,#N/A,FALSE,"KMC최종회의(7월) 자료"}</definedName>
    <definedName name="_157S2_" hidden="1">{#N/A,#N/A,FALSE,"KMC최종회의(7월) 자료"}</definedName>
    <definedName name="_157S8_" hidden="1">{#N/A,#N/A,FALSE,"KMC최종회의(7월) 자료"}</definedName>
    <definedName name="_157W3_" hidden="1">{#N/A,#N/A,FALSE,"KMC최종회의(7월) 자료"}</definedName>
    <definedName name="_157W6_" hidden="1">{#N/A,#N/A,FALSE,"KMC최종회의(7월) 자료"}</definedName>
    <definedName name="_157X2_" hidden="1">{#N/A,#N/A,FALSE,"KMC최종회의(7월) 자료"}</definedName>
    <definedName name="_157X6_" hidden="1">{#N/A,#N/A,FALSE,"KMC최종회의(7월) 자료"}</definedName>
    <definedName name="_157z4_" hidden="1">{#N/A,#N/A,FALSE,"단축1";#N/A,#N/A,FALSE,"단축2";#N/A,#N/A,FALSE,"단축3";#N/A,#N/A,FALSE,"장축";#N/A,#N/A,FALSE,"4WD"}</definedName>
    <definedName name="_157Z6_" hidden="1">{#N/A,#N/A,FALSE,"KMC최종회의(7월) 자료"}</definedName>
    <definedName name="_158____S" hidden="1">#REF!</definedName>
    <definedName name="_158__0_S" hidden="1">#REF!</definedName>
    <definedName name="_158HP02_" hidden="1">{#N/A,#N/A,FALSE,"단축1";#N/A,#N/A,FALSE,"단축2";#N/A,#N/A,FALSE,"단축3";#N/A,#N/A,FALSE,"장축";#N/A,#N/A,FALSE,"4WD"}</definedName>
    <definedName name="_158Q2_" hidden="1">{#N/A,#N/A,FALSE,"KMC최종회의(7월) 자료"}</definedName>
    <definedName name="_158Q7_" hidden="1">{#N/A,#N/A,FALSE,"KMC최종회의(7월) 자료"}</definedName>
    <definedName name="_158Q7__1" hidden="1">{#N/A,#N/A,FALSE,"KMC최종회의(7월) 자료"}</definedName>
    <definedName name="_158Q9_" hidden="1">{#N/A,#N/A,FALSE,"KMC최종회의(7월) 자료"}</definedName>
    <definedName name="_158S2_" hidden="1">{#N/A,#N/A,FALSE,"KMC최종회의(7월) 자료"}</definedName>
    <definedName name="_158s7_" hidden="1">{#N/A,#N/A,FALSE,"신규dep";#N/A,#N/A,FALSE,"신규dep-금형상각후";#N/A,#N/A,FALSE,"신규dep-연구비상각후";#N/A,#N/A,FALSE,"신규dep-기계,공구상각후"}</definedName>
    <definedName name="_158W4_" hidden="1">{#N/A,#N/A,FALSE,"KMC최종회의(7월) 자료"}</definedName>
    <definedName name="_158W7_" hidden="1">{#N/A,#N/A,FALSE,"KMC최종회의(7월) 자료"}</definedName>
    <definedName name="_158W9_" hidden="1">{#N/A,#N/A,FALSE,"KMC최종회의(7월) 자료"}</definedName>
    <definedName name="_158X3_" hidden="1">{#N/A,#N/A,FALSE,"KMC최종회의(7월) 자료"}</definedName>
    <definedName name="_158X5_" hidden="1">{#N/A,#N/A,FALSE,"KMC최종회의(7월) 자료"}</definedName>
    <definedName name="_158X7_" hidden="1">{#N/A,#N/A,FALSE,"KMC최종회의(7월) 자료"}</definedName>
    <definedName name="_158X8_" hidden="1">{#N/A,#N/A,FALSE,"KMC최종회의(7월) 자료"}</definedName>
    <definedName name="_158Z1_" hidden="1">{#N/A,#N/A,FALSE,"KMC최종회의(7월) 자료"}</definedName>
    <definedName name="_159A8_" hidden="1">{#N/A,#N/A,FALSE,"KMC최종회의(7월) 자료"}</definedName>
    <definedName name="_159q1_" hidden="1">{#N/A,#N/A,FALSE,"단축1";#N/A,#N/A,FALSE,"단축2";#N/A,#N/A,FALSE,"단축3";#N/A,#N/A,FALSE,"장축";#N/A,#N/A,FALSE,"4WD"}</definedName>
    <definedName name="_159Q3_" hidden="1">{#N/A,#N/A,FALSE,"KMC최종회의(7월) 자료"}</definedName>
    <definedName name="_159Q5_" hidden="1">{#N/A,#N/A,FALSE,"KMC최종회의(7월) 자료"}</definedName>
    <definedName name="_159Q5__1" hidden="1">{#N/A,#N/A,FALSE,"KMC최종회의(7월) 자료"}</definedName>
    <definedName name="_159S2_" hidden="1">{#N/A,#N/A,FALSE,"KMC최종회의(7월) 자료"}</definedName>
    <definedName name="_159S3_" hidden="1">{#N/A,#N/A,FALSE,"KMC최종회의(7월) 자료"}</definedName>
    <definedName name="_159T2_" hidden="1">{#N/A,#N/A,FALSE,"단축1";#N/A,#N/A,FALSE,"단축2";#N/A,#N/A,FALSE,"단축3";#N/A,#N/A,FALSE,"장축";#N/A,#N/A,FALSE,"4WD"}</definedName>
    <definedName name="_159W5_" hidden="1">{#N/A,#N/A,FALSE,"KMC최종회의(7월) 자료"}</definedName>
    <definedName name="_159W7_" hidden="1">{#N/A,#N/A,FALSE,"KMC최종회의(7월) 자료"}</definedName>
    <definedName name="_159X3_" hidden="1">{#N/A,#N/A,FALSE,"KMC최종회의(7월) 자료"}</definedName>
    <definedName name="_159X8_" hidden="1">{#N/A,#N/A,FALSE,"KMC최종회의(7월) 자료"}</definedName>
    <definedName name="_159Z6_" hidden="1">{#N/A,#N/A,FALSE,"KMC최종회의(7월) 자료"}</definedName>
    <definedName name="_159Z6__1" hidden="1">{#N/A,#N/A,FALSE,"KMC최종회의(7월) 자료"}</definedName>
    <definedName name="_15A1_" hidden="1">{#N/A,#N/A,FALSE,"KMC최종회의(7월) 자료"}</definedName>
    <definedName name="_15A1232_" hidden="1">{#N/A,#N/A,FALSE,"단축1";#N/A,#N/A,FALSE,"단축2";#N/A,#N/A,FALSE,"단축3";#N/A,#N/A,FALSE,"장축";#N/A,#N/A,FALSE,"4WD"}</definedName>
    <definedName name="_15A12458_" hidden="1">{#N/A,#N/A,FALSE,"단축1";#N/A,#N/A,FALSE,"단축2";#N/A,#N/A,FALSE,"단축3";#N/A,#N/A,FALSE,"장축";#N/A,#N/A,FALSE,"4WD"}</definedName>
    <definedName name="_15A3_" hidden="1">{#N/A,#N/A,FALSE,"KMC최종회의(7월) 자료"}</definedName>
    <definedName name="_15A4_" hidden="1">{#N/A,#N/A,FALSE,"KMC최종회의(7월) 자료"}</definedName>
    <definedName name="_15A4__1" hidden="1">{#N/A,#N/A,FALSE,"KMC최종회의(7월) 자료"}</definedName>
    <definedName name="_15A5_" hidden="1">{#N/A,#N/A,FALSE,"KMC최종회의(7월) 자료"}</definedName>
    <definedName name="_15A6_" hidden="1">{#N/A,#N/A,FALSE,"KMC최종회의(7월) 자료"}</definedName>
    <definedName name="_15A7_" hidden="1">{#N/A,#N/A,FALSE,"KMC최종회의(7월) 자료"}</definedName>
    <definedName name="_15A8_" hidden="1">{#N/A,#N/A,FALSE,"KMC최종회의(7월) 자료"}</definedName>
    <definedName name="_15A9_" hidden="1">{#N/A,#N/A,FALSE,"KMC최종회의(7월) 자료"}</definedName>
    <definedName name="_15AT1_" hidden="1">{#N/A,#N/A,FALSE,"인원";#N/A,#N/A,FALSE,"비용2";#N/A,#N/A,FALSE,"비용1";#N/A,#N/A,FALSE,"비용";#N/A,#N/A,FALSE,"보증2";#N/A,#N/A,FALSE,"보증1";#N/A,#N/A,FALSE,"보증";#N/A,#N/A,FALSE,"손익1";#N/A,#N/A,FALSE,"손익";#N/A,#N/A,FALSE,"부서별매출";#N/A,#N/A,FALSE,"매출"}</definedName>
    <definedName name="_15AT3_" hidden="1">{#N/A,#N/A,FALSE,"인원";#N/A,#N/A,FALSE,"비용2";#N/A,#N/A,FALSE,"비용1";#N/A,#N/A,FALSE,"비용";#N/A,#N/A,FALSE,"보증2";#N/A,#N/A,FALSE,"보증1";#N/A,#N/A,FALSE,"보증";#N/A,#N/A,FALSE,"손익1";#N/A,#N/A,FALSE,"손익";#N/A,#N/A,FALSE,"부서별매출";#N/A,#N/A,FALSE,"매출"}</definedName>
    <definedName name="_15CL22_" hidden="1">{#N/A,#N/A,FALSE,"KMC최종회의(7월) 자료"}</definedName>
    <definedName name="_15CL33_" hidden="1">{#N/A,#N/A,FALSE,"KMC최종회의(7월) 자료"}</definedName>
    <definedName name="_15d1_" hidden="1">{#N/A,#N/A,FALSE,"신규dep";#N/A,#N/A,FALSE,"신규dep-금형상각후";#N/A,#N/A,FALSE,"신규dep-연구비상각후";#N/A,#N/A,FALSE,"신규dep-기계,공구상각후"}</definedName>
    <definedName name="_15D6_" hidden="1">{"'표지'!$B$5"}</definedName>
    <definedName name="_15E1_" hidden="1">{#N/A,#N/A,FALSE,"KMC최종회의(7월) 자료"}</definedName>
    <definedName name="_15E2_" hidden="1">{#N/A,#N/A,FALSE,"KMC최종회의(7월) 자료"}</definedName>
    <definedName name="_15E2__1" hidden="1">{#N/A,#N/A,FALSE,"KMC최종회의(7월) 자료"}</definedName>
    <definedName name="_15e4_" hidden="1">{#N/A,#N/A,FALSE,"단축1";#N/A,#N/A,FALSE,"단축2";#N/A,#N/A,FALSE,"단축3";#N/A,#N/A,FALSE,"장축";#N/A,#N/A,FALSE,"4WD"}</definedName>
    <definedName name="_15g5_" hidden="1">{#N/A,#N/A,FALSE,"KMC최종회의(7월) 자료"}</definedName>
    <definedName name="_15h2_" hidden="1">{"'표지'!$B$5"}</definedName>
    <definedName name="_15H20_" hidden="1">{#N/A,#N/A,FALSE,"단축1";#N/A,#N/A,FALSE,"단축2";#N/A,#N/A,FALSE,"단축3";#N/A,#N/A,FALSE,"장축";#N/A,#N/A,FALSE,"4WD"}</definedName>
    <definedName name="_15h5_" hidden="1">{"'표지'!$B$5"}</definedName>
    <definedName name="_15HL3_" hidden="1">{#N/A,#N/A,TRUE,"Y생산";#N/A,#N/A,TRUE,"Y판매";#N/A,#N/A,TRUE,"Y총물량";#N/A,#N/A,TRUE,"Y능력";#N/A,#N/A,TRUE,"YKD"}</definedName>
    <definedName name="_15HP02_" hidden="1">{#N/A,#N/A,FALSE,"단축1";#N/A,#N/A,FALSE,"단축2";#N/A,#N/A,FALSE,"단축3";#N/A,#N/A,FALSE,"장축";#N/A,#N/A,FALSE,"4WD"}</definedName>
    <definedName name="_15P2_" hidden="1">{#N/A,#N/A,FALSE,"단축1";#N/A,#N/A,FALSE,"단축2";#N/A,#N/A,FALSE,"단축3";#N/A,#N/A,FALSE,"장축";#N/A,#N/A,FALSE,"4WD"}</definedName>
    <definedName name="_15Q1_" hidden="1">{#N/A,#N/A,FALSE,"KMC최종회의(7월) 자료"}</definedName>
    <definedName name="_15Q2_" hidden="1">{#N/A,#N/A,FALSE,"KMC최종회의(7월) 자료"}</definedName>
    <definedName name="_15Q3_" hidden="1">{#N/A,#N/A,FALSE,"KMC최종회의(7월) 자료"}</definedName>
    <definedName name="_15Q5_" hidden="1">{#N/A,#N/A,FALSE,"KMC최종회의(7월) 자료"}</definedName>
    <definedName name="_15Q5__1" hidden="1">{#N/A,#N/A,FALSE,"KMC최종회의(7월) 자료"}</definedName>
    <definedName name="_15Q7_" hidden="1">{#N/A,#N/A,FALSE,"KMC최종회의(7월) 자료"}</definedName>
    <definedName name="_15Q7__1" hidden="1">{#N/A,#N/A,FALSE,"KMC최종회의(7월) 자료"}</definedName>
    <definedName name="_15T2_" hidden="1">{#N/A,#N/A,FALSE,"단축1";#N/A,#N/A,FALSE,"단축2";#N/A,#N/A,FALSE,"단축3";#N/A,#N/A,FALSE,"장축";#N/A,#N/A,FALSE,"4WD"}</definedName>
    <definedName name="_15T3_" hidden="1">{#N/A,#N/A,FALSE,"단축1";#N/A,#N/A,FALSE,"단축2";#N/A,#N/A,FALSE,"단축3";#N/A,#N/A,FALSE,"장축";#N/A,#N/A,FALSE,"4WD"}</definedName>
    <definedName name="_15X1_" hidden="1">{#N/A,#N/A,FALSE,"KMC최종회의(7월) 자료"}</definedName>
    <definedName name="_16__123Graph_AC04C_ALL_L2" hidden="1">#REF!</definedName>
    <definedName name="_16__123Graph_LBL_AC04C_FF_L" hidden="1">#REF!</definedName>
    <definedName name="_16___0_S" hidden="1">#REF!</definedName>
    <definedName name="_16_9_0__123Grap" hidden="1">#REF!</definedName>
    <definedName name="_16__0_S" hidden="1">#REF!</definedName>
    <definedName name="_160__0_S" hidden="1">#REF!</definedName>
    <definedName name="_1603IO8_" hidden="1">{#N/A,#N/A,FALSE,"단축1";#N/A,#N/A,FALSE,"단축2";#N/A,#N/A,FALSE,"단축3";#N/A,#N/A,FALSE,"장축";#N/A,#N/A,FALSE,"4WD"}</definedName>
    <definedName name="_1603IO8__1" hidden="1">{#N/A,#N/A,FALSE,"단축1";#N/A,#N/A,FALSE,"단축2";#N/A,#N/A,FALSE,"단축3";#N/A,#N/A,FALSE,"장축";#N/A,#N/A,FALSE,"4WD"}</definedName>
    <definedName name="_160A5_" hidden="1">{#N/A,#N/A,FALSE,"KMC최종회의(7월) 자료"}</definedName>
    <definedName name="_160CL22_" hidden="1">{#N/A,#N/A,FALSE,"KMC최종회의(7월) 자료"}</definedName>
    <definedName name="_160E2_" hidden="1">{#N/A,#N/A,FALSE,"KMC최종회의(7월) 자료"}</definedName>
    <definedName name="_160e4_" hidden="1">{#N/A,#N/A,FALSE,"단축1";#N/A,#N/A,FALSE,"단축2";#N/A,#N/A,FALSE,"단축3";#N/A,#N/A,FALSE,"장축";#N/A,#N/A,FALSE,"4WD"}</definedName>
    <definedName name="_160k9_" hidden="1">{#N/A,#N/A,FALSE,"단축1";#N/A,#N/A,FALSE,"단축2";#N/A,#N/A,FALSE,"단축3";#N/A,#N/A,FALSE,"장축";#N/A,#N/A,FALSE,"4WD"}</definedName>
    <definedName name="_160Q2_" hidden="1">{#N/A,#N/A,FALSE,"KMC최종회의(7월) 자료"}</definedName>
    <definedName name="_160q9_" hidden="1">{#N/A,#N/A,FALSE,"신규dep";#N/A,#N/A,FALSE,"신규dep-금형상각후";#N/A,#N/A,FALSE,"신규dep-연구비상각후";#N/A,#N/A,FALSE,"신규dep-기계,공구상각후"}</definedName>
    <definedName name="_160q9__1" hidden="1">{#N/A,#N/A,FALSE,"신규dep";#N/A,#N/A,FALSE,"신규dep-금형상각후";#N/A,#N/A,FALSE,"신규dep-연구비상각후";#N/A,#N/A,FALSE,"신규dep-기계,공구상각후"}</definedName>
    <definedName name="_160S1_" hidden="1">{#N/A,#N/A,FALSE,"KMC최종회의(7월) 자료"}</definedName>
    <definedName name="_160S3_" hidden="1">{#N/A,#N/A,FALSE,"KMC최종회의(7월) 자료"}</definedName>
    <definedName name="_160S7_" hidden="1">{#N/A,#N/A,FALSE,"KMC최종회의(7월) 자료"}</definedName>
    <definedName name="_160W3_" hidden="1">{#N/A,#N/A,FALSE,"KMC최종회의(7월) 자료"}</definedName>
    <definedName name="_160W4_" hidden="1">{#N/A,#N/A,FALSE,"KMC최종회의(7월) 자료"}</definedName>
    <definedName name="_160W5_" hidden="1">{#N/A,#N/A,FALSE,"KMC최종회의(7월) 자료"}</definedName>
    <definedName name="_160W6_" hidden="1">{#N/A,#N/A,FALSE,"KMC최종회의(7월) 자료"}</definedName>
    <definedName name="_160X3_" hidden="1">{#N/A,#N/A,FALSE,"KMC최종회의(7월) 자료"}</definedName>
    <definedName name="_160X5_" hidden="1">{#N/A,#N/A,FALSE,"KMC최종회의(7월) 자료"}</definedName>
    <definedName name="_160Z1_" hidden="1">{#N/A,#N/A,FALSE,"KMC최종회의(7월) 자료"}</definedName>
    <definedName name="_160Z3_" hidden="1">{#N/A,#N/A,FALSE,"KMC최종회의(7월) 자료"}</definedName>
    <definedName name="_160Z7_" hidden="1">{#N/A,#N/A,FALSE,"KMC최종회의(7월) 자료"}</definedName>
    <definedName name="_161A6_" hidden="1">{#N/A,#N/A,FALSE,"KMC최종회의(7월) 자료"}</definedName>
    <definedName name="_161A8_" hidden="1">{#N/A,#N/A,FALSE,"KMC최종회의(7월) 자료"}</definedName>
    <definedName name="_161AS6_" hidden="1">{#N/A,#N/A,FALSE,"Australien";#N/A,#N/A,FALSE,"Birmingham";#N/A,#N/A,FALSE,"Brasilien";#N/A,#N/A,FALSE,"Prag";#N/A,#N/A,FALSE,"Spanien";#N/A,#N/A,FALSE,"Malaysia ( Com)";#N/A,#N/A,FALSE,"Malaysia (Instr)"}</definedName>
    <definedName name="_161h2_" hidden="1">{"'7-2지역별'!$A$1:$R$44"}</definedName>
    <definedName name="_161HP2_" hidden="1">{#N/A,#N/A,FALSE,"단축1";#N/A,#N/A,FALSE,"단축2";#N/A,#N/A,FALSE,"단축3";#N/A,#N/A,FALSE,"장축";#N/A,#N/A,FALSE,"4WD"}</definedName>
    <definedName name="_161Q3_" hidden="1">{#N/A,#N/A,FALSE,"KMC최종회의(7월) 자료"}</definedName>
    <definedName name="_161S3_" hidden="1">{#N/A,#N/A,FALSE,"KMC최종회의(7월) 자료"}</definedName>
    <definedName name="_161S4_" hidden="1">{#N/A,#N/A,FALSE,"KMC최종회의(7월) 자료"}</definedName>
    <definedName name="_161S5_" hidden="1">{#N/A,#N/A,FALSE,"KMC최종회의(7월) 자료"}</definedName>
    <definedName name="_161W1_" hidden="1">{#N/A,#N/A,FALSE,"KMC최종회의(7월) 자료"}</definedName>
    <definedName name="_161W7_" hidden="1">{#N/A,#N/A,FALSE,"KMC최종회의(7월) 자료"}</definedName>
    <definedName name="_161W8_" hidden="1">{#N/A,#N/A,FALSE,"KMC최종회의(7월) 자료"}</definedName>
    <definedName name="_161X1_" hidden="1">{#N/A,#N/A,FALSE,"KMC최종회의(7월) 자료"}</definedName>
    <definedName name="_161X4_" hidden="1">{#N/A,#N/A,FALSE,"KMC최종회의(7월) 자료"}</definedName>
    <definedName name="_161X6_" hidden="1">{#N/A,#N/A,FALSE,"KMC최종회의(7월) 자료"}</definedName>
    <definedName name="_161Z2_" hidden="1">{#N/A,#N/A,FALSE,"KMC최종회의(7월) 자료"}</definedName>
    <definedName name="_162A6666_" hidden="1">{#N/A,#N/A,FALSE,"KMC최종회의(7월) 자료"}</definedName>
    <definedName name="_162A9_" hidden="1">{#N/A,#N/A,FALSE,"KMC최종회의(7월) 자료"}</definedName>
    <definedName name="_162e4_" hidden="1">{#N/A,#N/A,FALSE,"단축1";#N/A,#N/A,FALSE,"단축2";#N/A,#N/A,FALSE,"단축3";#N/A,#N/A,FALSE,"장축";#N/A,#N/A,FALSE,"4WD"}</definedName>
    <definedName name="_162e4__1" hidden="1">{#N/A,#N/A,FALSE,"단축1";#N/A,#N/A,FALSE,"단축2";#N/A,#N/A,FALSE,"단축3";#N/A,#N/A,FALSE,"장축";#N/A,#N/A,FALSE,"4WD"}</definedName>
    <definedName name="_162h3_" hidden="1">{"'7-2지역별'!$A$1:$R$44"}</definedName>
    <definedName name="_162Q3_" hidden="1">{#N/A,#N/A,FALSE,"KMC최종회의(7월) 자료"}</definedName>
    <definedName name="_162Q43456_" hidden="1">{"'7-2지역별'!$A$1:$R$44"}</definedName>
    <definedName name="_162Q5_" hidden="1">{#N/A,#N/A,FALSE,"KMC최종회의(7월) 자료"}</definedName>
    <definedName name="_162Q9_" hidden="1">{#N/A,#N/A,FALSE,"KMC최종회의(7월) 자료"}</definedName>
    <definedName name="_162S4_" hidden="1">{#N/A,#N/A,FALSE,"KMC최종회의(7월) 자료"}</definedName>
    <definedName name="_162s8_" hidden="1">{#N/A,#N/A,FALSE,"신규dep";#N/A,#N/A,FALSE,"신규dep-금형상각후";#N/A,#N/A,FALSE,"신규dep-연구비상각후";#N/A,#N/A,FALSE,"신규dep-기계,공구상각후"}</definedName>
    <definedName name="_162W1_" hidden="1">{#N/A,#N/A,FALSE,"KMC최종회의(7월) 자료"}</definedName>
    <definedName name="_162W6_" hidden="1">{#N/A,#N/A,FALSE,"KMC최종회의(7월) 자료"}</definedName>
    <definedName name="_162W8_" hidden="1">{#N/A,#N/A,FALSE,"KMC최종회의(7월) 자료"}</definedName>
    <definedName name="_162X4_" hidden="1">{#N/A,#N/A,FALSE,"KMC최종회의(7월) 자료"}</definedName>
    <definedName name="_162Z1_" hidden="1">{#N/A,#N/A,FALSE,"KMC최종회의(7월) 자료"}</definedName>
    <definedName name="_162Z3_" hidden="1">{#N/A,#N/A,FALSE,"KMC최종회의(7월) 자료"}</definedName>
    <definedName name="_162Z7_" hidden="1">{#N/A,#N/A,FALSE,"KMC최종회의(7월) 자료"}</definedName>
    <definedName name="_162Z7__1" hidden="1">{#N/A,#N/A,FALSE,"KMC최종회의(7월) 자료"}</definedName>
    <definedName name="_163A7_" hidden="1">{#N/A,#N/A,FALSE,"KMC최종회의(7월) 자료"}</definedName>
    <definedName name="_163h4_" hidden="1">{"'7-2지역별'!$A$1:$R$44"}</definedName>
    <definedName name="_163Q2_" hidden="1">{#N/A,#N/A,FALSE,"KMC최종회의(7월) 자료"}</definedName>
    <definedName name="_163Q5_" hidden="1">{#N/A,#N/A,FALSE,"KMC최종회의(7월) 자료"}</definedName>
    <definedName name="_163S2_" hidden="1">{#N/A,#N/A,FALSE,"KMC최종회의(7월) 자료"}</definedName>
    <definedName name="_163S5_" hidden="1">{#N/A,#N/A,FALSE,"KMC최종회의(7월) 자료"}</definedName>
    <definedName name="_163W5_" hidden="1">{#N/A,#N/A,FALSE,"KMC최종회의(7월) 자료"}</definedName>
    <definedName name="_163W8_" hidden="1">{#N/A,#N/A,FALSE,"KMC최종회의(7월) 자료"}</definedName>
    <definedName name="_163W9_" hidden="1">{#N/A,#N/A,FALSE,"KMC최종회의(7월) 자료"}</definedName>
    <definedName name="_163X4_" hidden="1">{#N/A,#N/A,FALSE,"KMC최종회의(7월) 자료"}</definedName>
    <definedName name="_163Z4_" hidden="1">{#N/A,#N/A,FALSE,"KMC최종회의(7월) 자료"}</definedName>
    <definedName name="_163Z8_" hidden="1">{#N/A,#N/A,FALSE,"KMC최종회의(7월) 자료"}</definedName>
    <definedName name="_164A8_" hidden="1">{#N/A,#N/A,FALSE,"KMC최종회의(7월) 자료"}</definedName>
    <definedName name="_164EO2_" hidden="1">{#N/A,#N/A,FALSE,"신규dep";#N/A,#N/A,FALSE,"신규dep-금형상각후";#N/A,#N/A,FALSE,"신규dep-연구비상각후";#N/A,#N/A,FALSE,"신규dep-기계,공구상각후"}</definedName>
    <definedName name="_164h5_" hidden="1">{"'7-2지역별'!$A$1:$R$44"}</definedName>
    <definedName name="_164K1_" hidden="1">{#N/A,#N/A,FALSE,"인원";#N/A,#N/A,FALSE,"비용2";#N/A,#N/A,FALSE,"비용1";#N/A,#N/A,FALSE,"비용";#N/A,#N/A,FALSE,"보증2";#N/A,#N/A,FALSE,"보증1";#N/A,#N/A,FALSE,"보증";#N/A,#N/A,FALSE,"손익1";#N/A,#N/A,FALSE,"손익";#N/A,#N/A,FALSE,"부서별매출";#N/A,#N/A,FALSE,"매출"}</definedName>
    <definedName name="_164q3_" hidden="1">{#N/A,#N/A,FALSE,"단축1";#N/A,#N/A,FALSE,"단축2";#N/A,#N/A,FALSE,"단축3";#N/A,#N/A,FALSE,"장축";#N/A,#N/A,FALSE,"4WD"}</definedName>
    <definedName name="_164Q5_" hidden="1">{#N/A,#N/A,FALSE,"KMC최종회의(7월) 자료"}</definedName>
    <definedName name="_164Q9_" hidden="1">{#N/A,#N/A,FALSE,"KMC최종회의(7월) 자료"}</definedName>
    <definedName name="_164S3_" hidden="1">{#N/A,#N/A,FALSE,"KMC최종회의(7월) 자료"}</definedName>
    <definedName name="_164S5_" hidden="1">{#N/A,#N/A,FALSE,"KMC최종회의(7월) 자료"}</definedName>
    <definedName name="_164W5_" hidden="1">{#N/A,#N/A,FALSE,"KMC최종회의(7월) 자료"}</definedName>
    <definedName name="_164W7_" hidden="1">{#N/A,#N/A,FALSE,"KMC최종회의(7월) 자료"}</definedName>
    <definedName name="_164X1_" hidden="1">{#N/A,#N/A,FALSE,"KMC최종회의(7월) 자료"}</definedName>
    <definedName name="_164X2_" hidden="1">{#N/A,#N/A,FALSE,"KMC최종회의(7월) 자료"}</definedName>
    <definedName name="_164X4_" hidden="1">{#N/A,#N/A,FALSE,"KMC최종회의(7월) 자료"}</definedName>
    <definedName name="_164X5_" hidden="1">{#N/A,#N/A,FALSE,"KMC최종회의(7월) 자료"}</definedName>
    <definedName name="_164X6_" hidden="1">{#N/A,#N/A,FALSE,"KMC최종회의(7월) 자료"}</definedName>
    <definedName name="_164X7_" hidden="1">{#N/A,#N/A,FALSE,"KMC최종회의(7월) 자료"}</definedName>
    <definedName name="_164Z3_" hidden="1">{#N/A,#N/A,FALSE,"KMC최종회의(7월) 자료"}</definedName>
    <definedName name="_164Z4_" hidden="1">{#N/A,#N/A,FALSE,"KMC최종회의(7월) 자료"}</definedName>
    <definedName name="_164Z5_" hidden="1">{#N/A,#N/A,FALSE,"KMC최종회의(7월) 자료"}</definedName>
    <definedName name="_165A9_" hidden="1">{#N/A,#N/A,FALSE,"KMC최종회의(7월) 자료"}</definedName>
    <definedName name="_165e5_" hidden="1">{#N/A,#N/A,FALSE,"단축1";#N/A,#N/A,FALSE,"단축2";#N/A,#N/A,FALSE,"단축3";#N/A,#N/A,FALSE,"장축";#N/A,#N/A,FALSE,"4WD"}</definedName>
    <definedName name="_165FG1_" hidden="1">{#N/A,#N/A,FALSE,"단축1";#N/A,#N/A,FALSE,"단축2";#N/A,#N/A,FALSE,"단축3";#N/A,#N/A,FALSE,"장축";#N/A,#N/A,FALSE,"4WD"}</definedName>
    <definedName name="_165Q7_" hidden="1">{#N/A,#N/A,FALSE,"KMC최종회의(7월) 자료"}</definedName>
    <definedName name="_165Q7__1" hidden="1">{#N/A,#N/A,FALSE,"KMC최종회의(7월) 자료"}</definedName>
    <definedName name="_165Q8_" hidden="1">{#N/A,#N/A,FALSE,"KMC최종회의(7월) 자료"}</definedName>
    <definedName name="_165Q8__1" hidden="1">{#N/A,#N/A,FALSE,"KMC최종회의(7월) 자료"}</definedName>
    <definedName name="_165s1_" hidden="1">{#N/A,#N/A,FALSE,"신규dep";#N/A,#N/A,FALSE,"신규dep-금형상각후";#N/A,#N/A,FALSE,"신규dep-연구비상각후";#N/A,#N/A,FALSE,"신규dep-기계,공구상각후"}</definedName>
    <definedName name="_165s1__1" hidden="1">{#N/A,#N/A,FALSE,"신규dep";#N/A,#N/A,FALSE,"신규dep-금형상각후";#N/A,#N/A,FALSE,"신규dep-연구비상각후";#N/A,#N/A,FALSE,"신규dep-기계,공구상각후"}</definedName>
    <definedName name="_165S2_" hidden="1">{#N/A,#N/A,FALSE,"KMC최종회의(7월) 자료"}</definedName>
    <definedName name="_165S6_" hidden="1">{#N/A,#N/A,FALSE,"KMC최종회의(7월) 자료"}</definedName>
    <definedName name="_165S8_" hidden="1">{#N/A,#N/A,FALSE,"KMC최종회의(7월) 자료"}</definedName>
    <definedName name="_165W2_" hidden="1">{#N/A,#N/A,FALSE,"KMC최종회의(7월) 자료"}</definedName>
    <definedName name="_165W4_" hidden="1">{#N/A,#N/A,FALSE,"KMC최종회의(7월) 자료"}</definedName>
    <definedName name="_165W8_" hidden="1">{#N/A,#N/A,FALSE,"KMC최종회의(7월) 자료"}</definedName>
    <definedName name="_165X1_" hidden="1">{#N/A,#N/A,FALSE,"KMC최종회의(7월) 자료"}</definedName>
    <definedName name="_165X2_" hidden="1">{#N/A,#N/A,FALSE,"KMC최종회의(7월) 자료"}</definedName>
    <definedName name="_165X5_" hidden="1">{#N/A,#N/A,FALSE,"KMC최종회의(7월) 자료"}</definedName>
    <definedName name="_165Z2_" hidden="1">{#N/A,#N/A,FALSE,"KMC최종회의(7월) 자료"}</definedName>
    <definedName name="_165Z6_" hidden="1">{#N/A,#N/A,FALSE,"KMC최종회의(7월) 자료"}</definedName>
    <definedName name="_165Z8_" hidden="1">{#N/A,#N/A,FALSE,"KMC최종회의(7월) 자료"}</definedName>
    <definedName name="_165Z8__1" hidden="1">{#N/A,#N/A,FALSE,"KMC최종회의(7월) 자료"}</definedName>
    <definedName name="_166FG1_" hidden="1">{#N/A,#N/A,FALSE,"단축1";#N/A,#N/A,FALSE,"단축2";#N/A,#N/A,FALSE,"단축3";#N/A,#N/A,FALSE,"장축";#N/A,#N/A,FALSE,"4WD"}</definedName>
    <definedName name="_166Q3_" hidden="1">{#N/A,#N/A,FALSE,"KMC최종회의(7월) 자료"}</definedName>
    <definedName name="_166Q5_" hidden="1">{#N/A,#N/A,FALSE,"KMC최종회의(7월) 자료"}</definedName>
    <definedName name="_166Q8_" hidden="1">{#N/A,#N/A,FALSE,"KMC최종회의(7월) 자료"}</definedName>
    <definedName name="_166S1_" hidden="1">{#N/A,#N/A,FALSE,"KMC최종회의(7월) 자료"}</definedName>
    <definedName name="_166S3_" hidden="1">{#N/A,#N/A,FALSE,"KMC최종회의(7월) 자료"}</definedName>
    <definedName name="_166S4_" hidden="1">{#N/A,#N/A,FALSE,"KMC최종회의(7월) 자료"}</definedName>
    <definedName name="_166S6_" hidden="1">{#N/A,#N/A,FALSE,"KMC최종회의(7월) 자료"}</definedName>
    <definedName name="_166T2_" hidden="1">{#N/A,#N/A,FALSE,"단축1";#N/A,#N/A,FALSE,"단축2";#N/A,#N/A,FALSE,"단축3";#N/A,#N/A,FALSE,"장축";#N/A,#N/A,FALSE,"4WD"}</definedName>
    <definedName name="_166W6_" hidden="1">{#N/A,#N/A,FALSE,"KMC최종회의(7월) 자료"}</definedName>
    <definedName name="_166W8_" hidden="1">{#N/A,#N/A,FALSE,"KMC최종회의(7월) 자료"}</definedName>
    <definedName name="_166W9_" hidden="1">{#N/A,#N/A,FALSE,"KMC최종회의(7월) 자료"}</definedName>
    <definedName name="_166X3_" hidden="1">{#N/A,#N/A,FALSE,"KMC최종회의(7월) 자료"}</definedName>
    <definedName name="_166X5_" hidden="1">{#N/A,#N/A,FALSE,"KMC최종회의(7월) 자료"}</definedName>
    <definedName name="_166Z7_" hidden="1">{#N/A,#N/A,FALSE,"KMC최종회의(7월) 자료"}</definedName>
    <definedName name="_166Z9_" hidden="1">{#N/A,#N/A,FALSE,"KMC최종회의(7월) 자료"}</definedName>
    <definedName name="_167____S" hidden="1">#REF!</definedName>
    <definedName name="_167FG1_" hidden="1">{#N/A,#N/A,FALSE,"단축1";#N/A,#N/A,FALSE,"단축2";#N/A,#N/A,FALSE,"단축3";#N/A,#N/A,FALSE,"장축";#N/A,#N/A,FALSE,"4WD"}</definedName>
    <definedName name="_167K115_" hidden="1">{#N/A,#N/A,FALSE,"인원";#N/A,#N/A,FALSE,"비용2";#N/A,#N/A,FALSE,"비용1";#N/A,#N/A,FALSE,"비용";#N/A,#N/A,FALSE,"보증2";#N/A,#N/A,FALSE,"보증1";#N/A,#N/A,FALSE,"보증";#N/A,#N/A,FALSE,"손익1";#N/A,#N/A,FALSE,"손익";#N/A,#N/A,FALSE,"부서별매출";#N/A,#N/A,FALSE,"매출"}</definedName>
    <definedName name="_167O11_" hidden="1">{#N/A,#N/A,FALSE,"단축1";#N/A,#N/A,FALSE,"단축2";#N/A,#N/A,FALSE,"단축3";#N/A,#N/A,FALSE,"장축";#N/A,#N/A,FALSE,"4WD"}</definedName>
    <definedName name="_167Q7_" hidden="1">{#N/A,#N/A,FALSE,"KMC최종회의(7월) 자료"}</definedName>
    <definedName name="_167Q9_" hidden="1">{#N/A,#N/A,FALSE,"KMC최종회의(7월) 자료"}</definedName>
    <definedName name="_167S7_" hidden="1">{#N/A,#N/A,FALSE,"KMC최종회의(7월) 자료"}</definedName>
    <definedName name="_167W9_" hidden="1">{#N/A,#N/A,FALSE,"KMC최종회의(7월) 자료"}</definedName>
    <definedName name="_167X2_" hidden="1">{#N/A,#N/A,FALSE,"KMC최종회의(7월) 자료"}</definedName>
    <definedName name="_167X3_" hidden="1">{#N/A,#N/A,FALSE,"KMC최종회의(7월) 자료"}</definedName>
    <definedName name="_167X4_" hidden="1">{#N/A,#N/A,FALSE,"KMC최종회의(7월) 자료"}</definedName>
    <definedName name="_167X6_" hidden="1">{#N/A,#N/A,FALSE,"KMC최종회의(7월) 자료"}</definedName>
    <definedName name="_167X8_" hidden="1">{#N/A,#N/A,FALSE,"KMC최종회의(7월) 자료"}</definedName>
    <definedName name="_167Z4_" hidden="1">{#N/A,#N/A,FALSE,"KMC최종회의(7월) 자료"}</definedName>
    <definedName name="_167Z8_" hidden="1">{#N/A,#N/A,FALSE,"KMC최종회의(7월) 자료"}</definedName>
    <definedName name="_168__0_S" hidden="1">#REF!</definedName>
    <definedName name="_168H1620_" hidden="1">{#N/A,#N/A,FALSE,"단축1";#N/A,#N/A,FALSE,"단축2";#N/A,#N/A,FALSE,"단축3";#N/A,#N/A,FALSE,"장축";#N/A,#N/A,FALSE,"4WD"}</definedName>
    <definedName name="_168Q3_" hidden="1">{#N/A,#N/A,FALSE,"KMC최종회의(7월) 자료"}</definedName>
    <definedName name="_168Q5_" hidden="1">{#N/A,#N/A,FALSE,"KMC최종회의(7월) 자료"}</definedName>
    <definedName name="_168Q7_" hidden="1">{#N/A,#N/A,FALSE,"KMC최종회의(7월) 자료"}</definedName>
    <definedName name="_168S1_" hidden="1">{#N/A,#N/A,FALSE,"KMC최종회의(7월) 자료"}</definedName>
    <definedName name="_168S6_" hidden="1">{#N/A,#N/A,FALSE,"KMC최종회의(7월) 자료"}</definedName>
    <definedName name="_168S7_" hidden="1">{#N/A,#N/A,FALSE,"KMC최종회의(7월) 자료"}</definedName>
    <definedName name="_168W2_" hidden="1">{#N/A,#N/A,FALSE,"KMC최종회의(7월) 자료"}</definedName>
    <definedName name="_168W6_" hidden="1">{#N/A,#N/A,FALSE,"KMC최종회의(7월) 자료"}</definedName>
    <definedName name="_168W9_" hidden="1">{#N/A,#N/A,FALSE,"KMC최종회의(7월) 자료"}</definedName>
    <definedName name="_168X5_" hidden="1">{#N/A,#N/A,FALSE,"KMC최종회의(7월) 자료"}</definedName>
    <definedName name="_168X6_" hidden="1">{#N/A,#N/A,FALSE,"KMC최종회의(7월) 자료"}</definedName>
    <definedName name="_168X7_" hidden="1">{#N/A,#N/A,FALSE,"KMC최종회의(7월) 자료"}</definedName>
    <definedName name="_168Z1_" hidden="1">{#N/A,#N/A,FALSE,"KMC최종회의(7월) 자료"}</definedName>
    <definedName name="_168Z3_" hidden="1">{#N/A,#N/A,FALSE,"KMC최종회의(7월) 자료"}</definedName>
    <definedName name="_168Z5_" hidden="1">{#N/A,#N/A,FALSE,"KMC최종회의(7월) 자료"}</definedName>
    <definedName name="_168Z9_" hidden="1">{#N/A,#N/A,FALSE,"KMC최종회의(7월) 자료"}</definedName>
    <definedName name="_168Z9__1" hidden="1">{#N/A,#N/A,FALSE,"KMC최종회의(7월) 자료"}</definedName>
    <definedName name="_169____S" hidden="1">#REF!</definedName>
    <definedName name="_169CL22_" hidden="1">{#N/A,#N/A,FALSE,"KMC최종회의(7월) 자료"}</definedName>
    <definedName name="_169CL222_" hidden="1">{#N/A,#N/A,FALSE,"KMC최종회의(7월) 자료"}</definedName>
    <definedName name="_169H20_" hidden="1">{#N/A,#N/A,FALSE,"단축1";#N/A,#N/A,FALSE,"단축2";#N/A,#N/A,FALSE,"단축3";#N/A,#N/A,FALSE,"장축";#N/A,#N/A,FALSE,"4WD"}</definedName>
    <definedName name="_169q5_" hidden="1">{#N/A,#N/A,FALSE,"신규dep";#N/A,#N/A,FALSE,"신규dep-금형상각후";#N/A,#N/A,FALSE,"신규dep-연구비상각후";#N/A,#N/A,FALSE,"신규dep-기계,공구상각후"}</definedName>
    <definedName name="_169S2_" hidden="1">{#N/A,#N/A,FALSE,"KMC최종회의(7월) 자료"}</definedName>
    <definedName name="_169S4_" hidden="1">{#N/A,#N/A,FALSE,"KMC최종회의(7월) 자료"}</definedName>
    <definedName name="_169S8_" hidden="1">{#N/A,#N/A,FALSE,"KMC최종회의(7월) 자료"}</definedName>
    <definedName name="_169W3_" hidden="1">{#N/A,#N/A,FALSE,"KMC최종회의(7월) 자료"}</definedName>
    <definedName name="_169W7_" hidden="1">{#N/A,#N/A,FALSE,"KMC최종회의(7월) 자료"}</definedName>
    <definedName name="_169W9_" hidden="1">{#N/A,#N/A,FALSE,"KMC최종회의(7월) 자료"}</definedName>
    <definedName name="_169X3_" hidden="1">{#N/A,#N/A,FALSE,"KMC최종회의(7월) 자료"}</definedName>
    <definedName name="_169X6_" hidden="1">{#N/A,#N/A,FALSE,"KMC최종회의(7월) 자료"}</definedName>
    <definedName name="_16A1232_" hidden="1">{#N/A,#N/A,FALSE,"단축1";#N/A,#N/A,FALSE,"단축2";#N/A,#N/A,FALSE,"단축3";#N/A,#N/A,FALSE,"장축";#N/A,#N/A,FALSE,"4WD"}</definedName>
    <definedName name="_16A2_" hidden="1">{#N/A,#N/A,FALSE,"KMC최종회의(7월) 자료"}</definedName>
    <definedName name="_16A21321_" hidden="1">{#N/A,#N/A,FALSE,"단축1";#N/A,#N/A,FALSE,"단축2";#N/A,#N/A,FALSE,"단축3";#N/A,#N/A,FALSE,"장축";#N/A,#N/A,FALSE,"4WD"}</definedName>
    <definedName name="_16A3_" hidden="1">{#N/A,#N/A,FALSE,"KMC최종회의(7월) 자료"}</definedName>
    <definedName name="_16A4_" hidden="1">{#N/A,#N/A,FALSE,"KMC최종회의(7월) 자료"}</definedName>
    <definedName name="_16A5_" hidden="1">{#N/A,#N/A,FALSE,"KMC최종회의(7월) 자료"}</definedName>
    <definedName name="_16A6_" hidden="1">{#N/A,#N/A,FALSE,"KMC최종회의(7월) 자료"}</definedName>
    <definedName name="_16A7_" hidden="1">{#N/A,#N/A,FALSE,"KMC최종회의(7월) 자료"}</definedName>
    <definedName name="_16A8_" hidden="1">{#N/A,#N/A,FALSE,"KMC최종회의(7월) 자료"}</definedName>
    <definedName name="_16A9_" hidden="1">{#N/A,#N/A,FALSE,"KMC최종회의(7월) 자료"}</definedName>
    <definedName name="_16AS6_" hidden="1">{#N/A,#N/A,FALSE,"Australien";#N/A,#N/A,FALSE,"Birmingham";#N/A,#N/A,FALSE,"Brasilien";#N/A,#N/A,FALSE,"Prag";#N/A,#N/A,FALSE,"Spanien";#N/A,#N/A,FALSE,"Malaysia ( Com)";#N/A,#N/A,FALSE,"Malaysia (Instr)"}</definedName>
    <definedName name="_1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6CL222_" hidden="1">{#N/A,#N/A,FALSE,"KMC최종회의(7월) 자료"}</definedName>
    <definedName name="_16d2_" hidden="1">{#N/A,#N/A,FALSE,"신규dep";#N/A,#N/A,FALSE,"신규dep-금형상각후";#N/A,#N/A,FALSE,"신규dep-연구비상각후";#N/A,#N/A,FALSE,"신규dep-기계,공구상각후"}</definedName>
    <definedName name="_16DB777_" hidden="1">{#N/A,#N/A,TRUE,"Y생산";#N/A,#N/A,TRUE,"Y판매";#N/A,#N/A,TRUE,"Y총물량";#N/A,#N/A,TRUE,"Y능력";#N/A,#N/A,TRUE,"YKD"}</definedName>
    <definedName name="_16E1_" hidden="1">{#N/A,#N/A,FALSE,"KMC최종회의(7월) 자료"}</definedName>
    <definedName name="_16E2_" hidden="1">{#N/A,#N/A,FALSE,"KMC최종회의(7월) 자료"}</definedName>
    <definedName name="_16e5_" hidden="1">{#N/A,#N/A,FALSE,"단축1";#N/A,#N/A,FALSE,"단축2";#N/A,#N/A,FALSE,"단축3";#N/A,#N/A,FALSE,"장축";#N/A,#N/A,FALSE,"4WD"}</definedName>
    <definedName name="_16HL1_" hidden="1">{#N/A,#N/A,FALSE,"단축1";#N/A,#N/A,FALSE,"단축2";#N/A,#N/A,FALSE,"단축3";#N/A,#N/A,FALSE,"장축";#N/A,#N/A,FALSE,"4WD"}</definedName>
    <definedName name="_16HP02_" hidden="1">{#N/A,#N/A,FALSE,"단축1";#N/A,#N/A,FALSE,"단축2";#N/A,#N/A,FALSE,"단축3";#N/A,#N/A,FALSE,"장축";#N/A,#N/A,FALSE,"4WD"}</definedName>
    <definedName name="_16HP2_" hidden="1">{#N/A,#N/A,FALSE,"단축1";#N/A,#N/A,FALSE,"단축2";#N/A,#N/A,FALSE,"단축3";#N/A,#N/A,FALSE,"장축";#N/A,#N/A,FALSE,"4WD"}</definedName>
    <definedName name="_16M123_" hidden="1">{#N/A,#N/A,FALSE,"단축1";#N/A,#N/A,FALSE,"단축2";#N/A,#N/A,FALSE,"단축3";#N/A,#N/A,FALSE,"장축";#N/A,#N/A,FALSE,"4WD"}</definedName>
    <definedName name="_16Q1_" hidden="1">{#N/A,#N/A,FALSE,"KMC최종회의(7월) 자료"}</definedName>
    <definedName name="_16Q1__1" hidden="1">{#N/A,#N/A,FALSE,"KMC최종회의(7월) 자료"}</definedName>
    <definedName name="_16Q2_" hidden="1">{#N/A,#N/A,FALSE,"KMC최종회의(7월) 자료"}</definedName>
    <definedName name="_16Q3_" hidden="1">{#N/A,#N/A,FALSE,"KMC최종회의(7월) 자료"}</definedName>
    <definedName name="_16Q5_" hidden="1">{#N/A,#N/A,FALSE,"KMC최종회의(7월) 자료"}</definedName>
    <definedName name="_16Q7_" hidden="1">{#N/A,#N/A,FALSE,"KMC최종회의(7월) 자료"}</definedName>
    <definedName name="_16Q7__1" hidden="1">{#N/A,#N/A,FALSE,"KMC최종회의(7월) 자료"}</definedName>
    <definedName name="_16Q8_" hidden="1">{#N/A,#N/A,FALSE,"KMC최종회의(7월) 자료"}</definedName>
    <definedName name="_16Q8__1" hidden="1">{#N/A,#N/A,FALSE,"KMC최종회의(7월) 자료"}</definedName>
    <definedName name="_16S1_" hidden="1">{#N/A,#N/A,FALSE,"KMC최종회의(7월) 자료"}</definedName>
    <definedName name="_16T3_" hidden="1">{#N/A,#N/A,FALSE,"단축1";#N/A,#N/A,FALSE,"단축2";#N/A,#N/A,FALSE,"단축3";#N/A,#N/A,FALSE,"장축";#N/A,#N/A,FALSE,"4WD"}</definedName>
    <definedName name="_16T5_" hidden="1">{#N/A,#N/A,FALSE,"단축1";#N/A,#N/A,FALSE,"단축2";#N/A,#N/A,FALSE,"단축3";#N/A,#N/A,FALSE,"장축";#N/A,#N/A,FALSE,"4WD"}</definedName>
    <definedName name="_16X2_" hidden="1">{#N/A,#N/A,FALSE,"KMC최종회의(7월) 자료"}</definedName>
    <definedName name="_17__123Graph_ACHART_3" hidden="1">#REF!</definedName>
    <definedName name="_17__123Graph_BCHART_3" hidden="1">#REF!</definedName>
    <definedName name="_17__123Graph_LBL_AC04C_FF_T" hidden="1">#REF!</definedName>
    <definedName name="_17__0_S" hidden="1">#REF!</definedName>
    <definedName name="_170__0_S" hidden="1">#REF!</definedName>
    <definedName name="_170CL222_" hidden="1">{#N/A,#N/A,FALSE,"KMC최종회의(7월) 자료"}</definedName>
    <definedName name="_170e6_" hidden="1">{#N/A,#N/A,FALSE,"단축1";#N/A,#N/A,FALSE,"단축2";#N/A,#N/A,FALSE,"단축3";#N/A,#N/A,FALSE,"장축";#N/A,#N/A,FALSE,"4WD"}</definedName>
    <definedName name="_170HL1_" hidden="1">{#N/A,#N/A,FALSE,"단축1";#N/A,#N/A,FALSE,"단축2";#N/A,#N/A,FALSE,"단축3";#N/A,#N/A,FALSE,"장축";#N/A,#N/A,FALSE,"4WD"}</definedName>
    <definedName name="_170Q5_" hidden="1">{#N/A,#N/A,FALSE,"KMC최종회의(7월) 자료"}</definedName>
    <definedName name="_170Q54_" hidden="1">{"'7-2지역별'!$A$1:$R$44"}</definedName>
    <definedName name="_170Q7_" hidden="1">{#N/A,#N/A,FALSE,"KMC최종회의(7월) 자료"}</definedName>
    <definedName name="_170s2_" hidden="1">{#N/A,#N/A,FALSE,"신규dep";#N/A,#N/A,FALSE,"신규dep-금형상각후";#N/A,#N/A,FALSE,"신규dep-연구비상각후";#N/A,#N/A,FALSE,"신규dep-기계,공구상각후"}</definedName>
    <definedName name="_170s2__1" hidden="1">{#N/A,#N/A,FALSE,"신규dep";#N/A,#N/A,FALSE,"신규dep-금형상각후";#N/A,#N/A,FALSE,"신규dep-연구비상각후";#N/A,#N/A,FALSE,"신규dep-기계,공구상각후"}</definedName>
    <definedName name="_170S3_" hidden="1">{#N/A,#N/A,FALSE,"KMC최종회의(7월) 자료"}</definedName>
    <definedName name="_170S8_" hidden="1">{#N/A,#N/A,FALSE,"KMC최종회의(7월) 자료"}</definedName>
    <definedName name="_170T2_" hidden="1">{#N/A,#N/A,FALSE,"단축1";#N/A,#N/A,FALSE,"단축2";#N/A,#N/A,FALSE,"단축3";#N/A,#N/A,FALSE,"장축";#N/A,#N/A,FALSE,"4WD"}</definedName>
    <definedName name="_170T3_" hidden="1">{#N/A,#N/A,FALSE,"단축1";#N/A,#N/A,FALSE,"단축2";#N/A,#N/A,FALSE,"단축3";#N/A,#N/A,FALSE,"장축";#N/A,#N/A,FALSE,"4WD"}</definedName>
    <definedName name="_170W5_" hidden="1">{#N/A,#N/A,FALSE,"KMC최종회의(7월) 자료"}</definedName>
    <definedName name="_170X1_" hidden="1">{#N/A,#N/A,FALSE,"KMC최종회의(7월) 자료"}</definedName>
    <definedName name="_170X4_" hidden="1">{#N/A,#N/A,FALSE,"KMC최종회의(7월) 자료"}</definedName>
    <definedName name="_170X7_" hidden="1">{#N/A,#N/A,FALSE,"KMC최종회의(7월) 자료"}</definedName>
    <definedName name="_170Z1_" hidden="1">{#N/A,#N/A,FALSE,"KMC최종회의(7월) 자료"}</definedName>
    <definedName name="_170Z5_" hidden="1">{#N/A,#N/A,FALSE,"KMC최종회의(7월) 자료"}</definedName>
    <definedName name="_171CL33_" hidden="1">{#N/A,#N/A,FALSE,"KMC최종회의(7월) 자료"}</definedName>
    <definedName name="_171HL2_" hidden="1">{#N/A,#N/A,FALSE,"단축1";#N/A,#N/A,FALSE,"단축2";#N/A,#N/A,FALSE,"단축3";#N/A,#N/A,FALSE,"장축";#N/A,#N/A,FALSE,"4WD"}</definedName>
    <definedName name="_171Q3_" hidden="1">{#N/A,#N/A,FALSE,"KMC최종회의(7월) 자료"}</definedName>
    <definedName name="_171Q8_" hidden="1">{#N/A,#N/A,FALSE,"KMC최종회의(7월) 자료"}</definedName>
    <definedName name="_171Q8__1" hidden="1">{#N/A,#N/A,FALSE,"KMC최종회의(7월) 자료"}</definedName>
    <definedName name="_171S1_" hidden="1">{#N/A,#N/A,FALSE,"KMC최종회의(7월) 자료"}</definedName>
    <definedName name="_171S4_" hidden="1">{#N/A,#N/A,FALSE,"KMC최종회의(7월) 자료"}</definedName>
    <definedName name="_171S5_" hidden="1">{#N/A,#N/A,FALSE,"KMC최종회의(7월) 자료"}</definedName>
    <definedName name="_171T2_" hidden="1">{#N/A,#N/A,FALSE,"단축1";#N/A,#N/A,FALSE,"단축2";#N/A,#N/A,FALSE,"단축3";#N/A,#N/A,FALSE,"장축";#N/A,#N/A,FALSE,"4WD"}</definedName>
    <definedName name="_171X1_" hidden="1">{#N/A,#N/A,FALSE,"KMC최종회의(7월) 자료"}</definedName>
    <definedName name="_171X4_" hidden="1">{#N/A,#N/A,FALSE,"KMC최종회의(7월) 자료"}</definedName>
    <definedName name="_171X7_" hidden="1">{#N/A,#N/A,FALSE,"KMC최종회의(7월) 자료"}</definedName>
    <definedName name="_171X8_" hidden="1">{#N/A,#N/A,FALSE,"KMC최종회의(7월) 자료"}</definedName>
    <definedName name="_171Z2_" hidden="1">{#N/A,#N/A,FALSE,"KMC최종회의(7월) 자료"}</definedName>
    <definedName name="_171Z4_" hidden="1">{#N/A,#N/A,FALSE,"KMC최종회의(7월) 자료"}</definedName>
    <definedName name="_172DB777_" hidden="1">{#N/A,#N/A,TRUE,"Y생산";#N/A,#N/A,TRUE,"Y판매";#N/A,#N/A,TRUE,"Y총물량";#N/A,#N/A,TRUE,"Y능력";#N/A,#N/A,TRUE,"YKD"}</definedName>
    <definedName name="_172E1_" hidden="1">{#N/A,#N/A,FALSE,"KMC최종회의(7월) 자료"}</definedName>
    <definedName name="_172HL3_" hidden="1">{#N/A,#N/A,TRUE,"Y생산";#N/A,#N/A,TRUE,"Y판매";#N/A,#N/A,TRUE,"Y총물량";#N/A,#N/A,TRUE,"Y능력";#N/A,#N/A,TRUE,"YKD"}</definedName>
    <definedName name="_172Q5_" hidden="1">{#N/A,#N/A,FALSE,"KMC최종회의(7월) 자료"}</definedName>
    <definedName name="_172Q9_" hidden="1">{#N/A,#N/A,FALSE,"KMC최종회의(7월) 자료"}</definedName>
    <definedName name="_172Q9__1" hidden="1">{#N/A,#N/A,FALSE,"KMC최종회의(7월) 자료"}</definedName>
    <definedName name="_172S5_" hidden="1">{#N/A,#N/A,FALSE,"KMC최종회의(7월) 자료"}</definedName>
    <definedName name="_172W7_" hidden="1">{#N/A,#N/A,FALSE,"KMC최종회의(7월) 자료"}</definedName>
    <definedName name="_172W8_" hidden="1">{#N/A,#N/A,FALSE,"KMC최종회의(7월) 자료"}</definedName>
    <definedName name="_172X2_" hidden="1">{#N/A,#N/A,FALSE,"KMC최종회의(7월) 자료"}</definedName>
    <definedName name="_172X6_" hidden="1">{#N/A,#N/A,FALSE,"KMC최종회의(7월) 자료"}</definedName>
    <definedName name="_172X7_" hidden="1">{#N/A,#N/A,FALSE,"KMC최종회의(7월) 자료"}</definedName>
    <definedName name="_172X8_" hidden="1">{#N/A,#N/A,FALSE,"KMC최종회의(7월) 자료"}</definedName>
    <definedName name="_172Z1_" hidden="1">{#N/A,#N/A,FALSE,"KMC최종회의(7월) 자료"}</definedName>
    <definedName name="_172Z6_" hidden="1">{#N/A,#N/A,FALSE,"KMC최종회의(7월) 자료"}</definedName>
    <definedName name="_173DB777_" hidden="1">{#N/A,#N/A,TRUE,"Y생산";#N/A,#N/A,TRUE,"Y판매";#N/A,#N/A,TRUE,"Y총물량";#N/A,#N/A,TRUE,"Y능력";#N/A,#N/A,TRUE,"YKD"}</definedName>
    <definedName name="_173HL1_" hidden="1">{#N/A,#N/A,FALSE,"단축1";#N/A,#N/A,FALSE,"단축2";#N/A,#N/A,FALSE,"단축3";#N/A,#N/A,FALSE,"장축";#N/A,#N/A,FALSE,"4WD"}</definedName>
    <definedName name="_173HP02_" hidden="1">{#N/A,#N/A,FALSE,"단축1";#N/A,#N/A,FALSE,"단축2";#N/A,#N/A,FALSE,"단축3";#N/A,#N/A,FALSE,"장축";#N/A,#N/A,FALSE,"4WD"}</definedName>
    <definedName name="_173P2_" hidden="1">{#N/A,#N/A,FALSE,"단축1";#N/A,#N/A,FALSE,"단축2";#N/A,#N/A,FALSE,"단축3";#N/A,#N/A,FALSE,"장축";#N/A,#N/A,FALSE,"4WD"}</definedName>
    <definedName name="_173S6_" hidden="1">{#N/A,#N/A,FALSE,"KMC최종회의(7월) 자료"}</definedName>
    <definedName name="_173T3_" hidden="1">{#N/A,#N/A,FALSE,"단축1";#N/A,#N/A,FALSE,"단축2";#N/A,#N/A,FALSE,"단축3";#N/A,#N/A,FALSE,"장축";#N/A,#N/A,FALSE,"4WD"}</definedName>
    <definedName name="_173W4_" hidden="1">{#N/A,#N/A,FALSE,"KMC최종회의(7월) 자료"}</definedName>
    <definedName name="_173X1_" hidden="1">{#N/A,#N/A,FALSE,"KMC최종회의(7월) 자료"}</definedName>
    <definedName name="_173X5_" hidden="1">{#N/A,#N/A,FALSE,"KMC최종회의(7월) 자료"}</definedName>
    <definedName name="_173X8_" hidden="1">{#N/A,#N/A,FALSE,"KMC최종회의(7월) 자료"}</definedName>
    <definedName name="_173Z2_" hidden="1">{#N/A,#N/A,FALSE,"KMC최종회의(7월) 자료"}</definedName>
    <definedName name="_173Z6_" hidden="1">{#N/A,#N/A,FALSE,"KMC최종회의(7월) 자료"}</definedName>
    <definedName name="_1743Q5_" hidden="1">{#N/A,#N/A,FALSE,"KMC최종회의(7월) 자료"}</definedName>
    <definedName name="_1743Q5__1" hidden="1">{#N/A,#N/A,FALSE,"KMC최종회의(7월) 자료"}</definedName>
    <definedName name="_174DB777_" hidden="1">{#N/A,#N/A,TRUE,"Y생산";#N/A,#N/A,TRUE,"Y판매";#N/A,#N/A,TRUE,"Y총물량";#N/A,#N/A,TRUE,"Y능력";#N/A,#N/A,TRUE,"YKD"}</definedName>
    <definedName name="_174HP2_" hidden="1">{#N/A,#N/A,FALSE,"단축1";#N/A,#N/A,FALSE,"단축2";#N/A,#N/A,FALSE,"단축3";#N/A,#N/A,FALSE,"장축";#N/A,#N/A,FALSE,"4WD"}</definedName>
    <definedName name="_174P2_" hidden="1">{#N/A,#N/A,FALSE,"단축1";#N/A,#N/A,FALSE,"단축2";#N/A,#N/A,FALSE,"단축3";#N/A,#N/A,FALSE,"장축";#N/A,#N/A,FALSE,"4WD"}</definedName>
    <definedName name="_174q6_" hidden="1">{#N/A,#N/A,FALSE,"신규dep";#N/A,#N/A,FALSE,"신규dep-금형상각후";#N/A,#N/A,FALSE,"신규dep-연구비상각후";#N/A,#N/A,FALSE,"신규dep-기계,공구상각후"}</definedName>
    <definedName name="_174Q7_" hidden="1">{#N/A,#N/A,FALSE,"KMC최종회의(7월) 자료"}</definedName>
    <definedName name="_174Q8_" hidden="1">{#N/A,#N/A,FALSE,"KMC최종회의(7월) 자료"}</definedName>
    <definedName name="_174S5_" hidden="1">{#N/A,#N/A,FALSE,"KMC최종회의(7월) 자료"}</definedName>
    <definedName name="_174S7_" hidden="1">{#N/A,#N/A,FALSE,"KMC최종회의(7월) 자료"}</definedName>
    <definedName name="_174T5_" hidden="1">{#N/A,#N/A,FALSE,"단축1";#N/A,#N/A,FALSE,"단축2";#N/A,#N/A,FALSE,"단축3";#N/A,#N/A,FALSE,"장축";#N/A,#N/A,FALSE,"4WD"}</definedName>
    <definedName name="_174W3_" hidden="1">{#N/A,#N/A,FALSE,"KMC최종회의(7월) 자료"}</definedName>
    <definedName name="_174X2_" hidden="1">{#N/A,#N/A,FALSE,"KMC최종회의(7월) 자료"}</definedName>
    <definedName name="_174X3_" hidden="1">{#N/A,#N/A,FALSE,"KMC최종회의(7월) 자료"}</definedName>
    <definedName name="_174X8_" hidden="1">{#N/A,#N/A,FALSE,"KMC최종회의(7월) 자료"}</definedName>
    <definedName name="_174Z3_" hidden="1">{#N/A,#N/A,FALSE,"KMC최종회의(7월) 자료"}</definedName>
    <definedName name="_174Z5_" hidden="1">{#N/A,#N/A,FALSE,"KMC최종회의(7월) 자료"}</definedName>
    <definedName name="_175e7_" hidden="1">{#N/A,#N/A,FALSE,"신규dep";#N/A,#N/A,FALSE,"신규dep-금형상각후";#N/A,#N/A,FALSE,"신규dep-연구비상각후";#N/A,#N/A,FALSE,"신규dep-기계,공구상각후"}</definedName>
    <definedName name="_175Q7_" hidden="1">{#N/A,#N/A,FALSE,"KMC최종회의(7월) 자료"}</definedName>
    <definedName name="_175Q9_" hidden="1">{#N/A,#N/A,FALSE,"KMC최종회의(7월) 자료"}</definedName>
    <definedName name="_175s3_" hidden="1">{#N/A,#N/A,FALSE,"단축1";#N/A,#N/A,FALSE,"단축2";#N/A,#N/A,FALSE,"단축3";#N/A,#N/A,FALSE,"장축";#N/A,#N/A,FALSE,"4WD"}</definedName>
    <definedName name="_175s3__1" hidden="1">{#N/A,#N/A,FALSE,"단축1";#N/A,#N/A,FALSE,"단축2";#N/A,#N/A,FALSE,"단축3";#N/A,#N/A,FALSE,"장축";#N/A,#N/A,FALSE,"4WD"}</definedName>
    <definedName name="_175S4_" hidden="1">{#N/A,#N/A,FALSE,"KMC최종회의(7월) 자료"}</definedName>
    <definedName name="_175S6_" hidden="1">{#N/A,#N/A,FALSE,"KMC최종회의(7월) 자료"}</definedName>
    <definedName name="_175S7_" hidden="1">{#N/A,#N/A,FALSE,"KMC최종회의(7월) 자료"}</definedName>
    <definedName name="_175S8_" hidden="1">{#N/A,#N/A,FALSE,"KMC최종회의(7월) 자료"}</definedName>
    <definedName name="_175T3_" hidden="1">{#N/A,#N/A,FALSE,"단축1";#N/A,#N/A,FALSE,"단축2";#N/A,#N/A,FALSE,"단축3";#N/A,#N/A,FALSE,"장축";#N/A,#N/A,FALSE,"4WD"}</definedName>
    <definedName name="_175U1_" hidden="1">{#N/A,#N/A,FALSE,"단축1";#N/A,#N/A,FALSE,"단축2";#N/A,#N/A,FALSE,"단축3";#N/A,#N/A,FALSE,"장축";#N/A,#N/A,FALSE,"4WD"}</definedName>
    <definedName name="_175W6_" hidden="1">{#N/A,#N/A,FALSE,"KMC최종회의(7월) 자료"}</definedName>
    <definedName name="_175W9_" hidden="1">{#N/A,#N/A,FALSE,"KMC최종회의(7월) 자료"}</definedName>
    <definedName name="_175X2_" hidden="1">{#N/A,#N/A,FALSE,"KMC최종회의(7월) 자료"}</definedName>
    <definedName name="_175X6_" hidden="1">{#N/A,#N/A,FALSE,"KMC최종회의(7월) 자료"}</definedName>
    <definedName name="_175X8_" hidden="1">{#N/A,#N/A,FALSE,"KMC최종회의(7월) 자료"}</definedName>
    <definedName name="_175Z4_" hidden="1">{#N/A,#N/A,FALSE,"KMC최종회의(7월) 자료"}</definedName>
    <definedName name="_176EO2_" hidden="1">{#N/A,#N/A,FALSE,"신규dep";#N/A,#N/A,FALSE,"신규dep-금형상각후";#N/A,#N/A,FALSE,"신규dep-연구비상각후";#N/A,#N/A,FALSE,"신규dep-기계,공구상각후"}</definedName>
    <definedName name="_176S4_" hidden="1">{#N/A,#N/A,FALSE,"KMC최종회의(7월) 자료"}</definedName>
    <definedName name="_176S6_" hidden="1">{#N/A,#N/A,FALSE,"KMC최종회의(7월) 자료"}</definedName>
    <definedName name="_176W8_" hidden="1">{#N/A,#N/A,FALSE,"KMC최종회의(7월) 자료"}</definedName>
    <definedName name="_176X4_" hidden="1">{#N/A,#N/A,FALSE,"KMC최종회의(7월) 자료"}</definedName>
    <definedName name="_176X6_" hidden="1">{#N/A,#N/A,FALSE,"KMC최종회의(7월) 자료"}</definedName>
    <definedName name="_176X7_" hidden="1">{#N/A,#N/A,FALSE,"KMC최종회의(7월) 자료"}</definedName>
    <definedName name="_176Z1_" hidden="1">{#N/A,#N/A,FALSE,"KMC최종회의(7월) 자료"}</definedName>
    <definedName name="_176Z3_" hidden="1">{#N/A,#N/A,FALSE,"KMC최종회의(7월) 자료"}</definedName>
    <definedName name="_176Z5_" hidden="1">{#N/A,#N/A,FALSE,"KMC최종회의(7월) 자료"}</definedName>
    <definedName name="_176Z7_" hidden="1">{#N/A,#N/A,FALSE,"KMC최종회의(7월) 자료"}</definedName>
    <definedName name="_1776Q7_" hidden="1">{#N/A,#N/A,FALSE,"KMC최종회의(7월) 자료"}</definedName>
    <definedName name="_1776Q7__1" hidden="1">{#N/A,#N/A,FALSE,"KMC최종회의(7월) 자료"}</definedName>
    <definedName name="_177AS6_" hidden="1">{#N/A,#N/A,FALSE,"Australien";#N/A,#N/A,FALSE,"Birmingham";#N/A,#N/A,FALSE,"Brasilien";#N/A,#N/A,FALSE,"Prag";#N/A,#N/A,FALSE,"Spanien";#N/A,#N/A,FALSE,"Malaysia ( Com)";#N/A,#N/A,FALSE,"Malaysia (Instr)"}</definedName>
    <definedName name="_177E2_" hidden="1">{#N/A,#N/A,FALSE,"KMC최종회의(7월) 자료"}</definedName>
    <definedName name="_177e5_" hidden="1">{#N/A,#N/A,FALSE,"단축1";#N/A,#N/A,FALSE,"단축2";#N/A,#N/A,FALSE,"단축3";#N/A,#N/A,FALSE,"장축";#N/A,#N/A,FALSE,"4WD"}</definedName>
    <definedName name="_177e5__1" hidden="1">{#N/A,#N/A,FALSE,"단축1";#N/A,#N/A,FALSE,"단축2";#N/A,#N/A,FALSE,"단축3";#N/A,#N/A,FALSE,"장축";#N/A,#N/A,FALSE,"4WD"}</definedName>
    <definedName name="_177Q9_" hidden="1">{#N/A,#N/A,FALSE,"KMC최종회의(7월) 자료"}</definedName>
    <definedName name="_177Q9__1" hidden="1">{#N/A,#N/A,FALSE,"KMC최종회의(7월) 자료"}</definedName>
    <definedName name="_177W1_" hidden="1">{#N/A,#N/A,FALSE,"KMC최종회의(7월) 자료"}</definedName>
    <definedName name="_177W5_" hidden="1">{#N/A,#N/A,FALSE,"KMC최종회의(7월) 자료"}</definedName>
    <definedName name="_177X2_" hidden="1">{#N/A,#N/A,FALSE,"KMC최종회의(7월) 자료"}</definedName>
    <definedName name="_177X7_" hidden="1">{#N/A,#N/A,FALSE,"KMC최종회의(7월) 자료"}</definedName>
    <definedName name="_177Z4_" hidden="1">{#N/A,#N/A,FALSE,"KMC최종회의(7월) 자료"}</definedName>
    <definedName name="_177Z6_" hidden="1">{#N/A,#N/A,FALSE,"KMC최종회의(7월) 자료"}</definedName>
    <definedName name="_178CL33_" hidden="1">{#N/A,#N/A,FALSE,"KMC최종회의(7월) 자료"}</definedName>
    <definedName name="_178dr2_" hidden="1">{#N/A,#N/A,FALSE,"신규dep";#N/A,#N/A,FALSE,"신규dep-금형상각후";#N/A,#N/A,FALSE,"신규dep-연구비상각후";#N/A,#N/A,FALSE,"신규dep-기계,공구상각후"}</definedName>
    <definedName name="_178EO2_" hidden="1">{#N/A,#N/A,FALSE,"신규dep";#N/A,#N/A,FALSE,"신규dep-금형상각후";#N/A,#N/A,FALSE,"신규dep-연구비상각후";#N/A,#N/A,FALSE,"신규dep-기계,공구상각후"}</definedName>
    <definedName name="_178Q543_" hidden="1">{"'7-2지역별'!$A$1:$R$44"}</definedName>
    <definedName name="_178Q7_" hidden="1">{#N/A,#N/A,FALSE,"KMC최종회의(7월) 자료"}</definedName>
    <definedName name="_178Q8_" hidden="1">{#N/A,#N/A,FALSE,"KMC최종회의(7월) 자료"}</definedName>
    <definedName name="_178Q9_" hidden="1">{#N/A,#N/A,FALSE,"KMC최종회의(7월) 자료"}</definedName>
    <definedName name="_178S2_" hidden="1">{#N/A,#N/A,FALSE,"KMC최종회의(7월) 자료"}</definedName>
    <definedName name="_178S7_" hidden="1">{#N/A,#N/A,FALSE,"KMC최종회의(7월) 자료"}</definedName>
    <definedName name="_178w1_" hidden="1">{#N/A,#N/A,FALSE,"신규dep";#N/A,#N/A,FALSE,"신규dep-금형상각후";#N/A,#N/A,FALSE,"신규dep-연구비상각후";#N/A,#N/A,FALSE,"신규dep-기계,공구상각후"}</definedName>
    <definedName name="_178X3_" hidden="1">{#N/A,#N/A,FALSE,"KMC최종회의(7월) 자료"}</definedName>
    <definedName name="_178X5_" hidden="1">{#N/A,#N/A,FALSE,"KMC최종회의(7월) 자료"}</definedName>
    <definedName name="_178Z1_" hidden="1">{#N/A,#N/A,FALSE,"KMC최종회의(7월) 자료"}</definedName>
    <definedName name="_178Z7_" hidden="1">{#N/A,#N/A,FALSE,"KMC최종회의(7월) 자료"}</definedName>
    <definedName name="_179Q5_" hidden="1">{#N/A,#N/A,FALSE,"KMC최종회의(7월) 자료"}</definedName>
    <definedName name="_179q7_" hidden="1">{#N/A,#N/A,FALSE,"신규dep";#N/A,#N/A,FALSE,"신규dep-금형상각후";#N/A,#N/A,FALSE,"신규dep-연구비상각후";#N/A,#N/A,FALSE,"신규dep-기계,공구상각후"}</definedName>
    <definedName name="_179S6_" hidden="1">{#N/A,#N/A,FALSE,"KMC최종회의(7월) 자료"}</definedName>
    <definedName name="_179W2_" hidden="1">{#N/A,#N/A,FALSE,"KMC최종회의(7월) 자료"}</definedName>
    <definedName name="_179X3_" hidden="1">{#N/A,#N/A,FALSE,"KMC최종회의(7월) 자료"}</definedName>
    <definedName name="_179X7_" hidden="1">{#N/A,#N/A,FALSE,"KMC최종회의(7월) 자료"}</definedName>
    <definedName name="_179X8_" hidden="1">{#N/A,#N/A,FALSE,"KMC최종회의(7월) 자료"}</definedName>
    <definedName name="_179Z2_" hidden="1">{#N/A,#N/A,FALSE,"KMC최종회의(7월) 자료"}</definedName>
    <definedName name="_179Z4_" hidden="1">{#N/A,#N/A,FALSE,"KMC최종회의(7월) 자료"}</definedName>
    <definedName name="_179Z8_" hidden="1">{#N/A,#N/A,FALSE,"KMC최종회의(7월) 자료"}</definedName>
    <definedName name="_17A1_" hidden="1">{#N/A,#N/A,FALSE,"KMC최종회의(7월) 자료"}</definedName>
    <definedName name="_17A1245_" hidden="1">{#N/A,#N/A,FALSE,"단축1";#N/A,#N/A,FALSE,"단축2";#N/A,#N/A,FALSE,"단축3";#N/A,#N/A,FALSE,"장축";#N/A,#N/A,FALSE,"4WD"}</definedName>
    <definedName name="_17A1454_" hidden="1">{#N/A,#N/A,FALSE,"단축1";#N/A,#N/A,FALSE,"단축2";#N/A,#N/A,FALSE,"단축3";#N/A,#N/A,FALSE,"장축";#N/A,#N/A,FALSE,"4WD"}</definedName>
    <definedName name="_17A4_" hidden="1">{#N/A,#N/A,FALSE,"KMC최종회의(7월) 자료"}</definedName>
    <definedName name="_17A5_" hidden="1">{#N/A,#N/A,FALSE,"KMC최종회의(7월) 자료"}</definedName>
    <definedName name="_17A5__1" hidden="1">{#N/A,#N/A,FALSE,"KMC최종회의(7월) 자료"}</definedName>
    <definedName name="_17A6_" hidden="1">{#N/A,#N/A,FALSE,"KMC최종회의(7월) 자료"}</definedName>
    <definedName name="_17A7_" hidden="1">{#N/A,#N/A,FALSE,"KMC최종회의(7월) 자료"}</definedName>
    <definedName name="_17A9_" hidden="1">{#N/A,#N/A,FALSE,"KMC최종회의(7월) 자료"}</definedName>
    <definedName name="_17AS6_" hidden="1">{#N/A,#N/A,FALSE,"Australien";#N/A,#N/A,FALSE,"Birmingham";#N/A,#N/A,FALSE,"Brasilien";#N/A,#N/A,FALSE,"Prag";#N/A,#N/A,FALSE,"Spanien";#N/A,#N/A,FALSE,"Malaysia ( Com)";#N/A,#N/A,FALSE,"Malaysia (Instr)"}</definedName>
    <definedName name="_17AT3_" hidden="1">{#N/A,#N/A,FALSE,"인원";#N/A,#N/A,FALSE,"비용2";#N/A,#N/A,FALSE,"비용1";#N/A,#N/A,FALSE,"비용";#N/A,#N/A,FALSE,"보증2";#N/A,#N/A,FALSE,"보증1";#N/A,#N/A,FALSE,"보증";#N/A,#N/A,FALSE,"손익1";#N/A,#N/A,FALSE,"손익";#N/A,#N/A,FALSE,"부서별매출";#N/A,#N/A,FALSE,"매출"}</definedName>
    <definedName name="_17CL22_" hidden="1">{#N/A,#N/A,FALSE,"KMC최종회의(7월) 자료"}</definedName>
    <definedName name="_17CL33_" hidden="1">{#N/A,#N/A,FALSE,"KMC최종회의(7월) 자료"}</definedName>
    <definedName name="_17D6_" hidden="1">{"'표지'!$B$5"}</definedName>
    <definedName name="_17DB777_" hidden="1">{#N/A,#N/A,TRUE,"Y생산";#N/A,#N/A,TRUE,"Y판매";#N/A,#N/A,TRUE,"Y총물량";#N/A,#N/A,TRUE,"Y능력";#N/A,#N/A,TRUE,"YKD"}</definedName>
    <definedName name="_17DC50_" hidden="1">{#N/A,#N/A,FALSE,"단축1";#N/A,#N/A,FALSE,"단축2";#N/A,#N/A,FALSE,"단축3";#N/A,#N/A,FALSE,"장축";#N/A,#N/A,FALSE,"4WD"}</definedName>
    <definedName name="_17E1_" hidden="1">{#N/A,#N/A,FALSE,"KMC최종회의(7월) 자료"}</definedName>
    <definedName name="_17E2_" hidden="1">{#N/A,#N/A,FALSE,"KMC최종회의(7월) 자료"}</definedName>
    <definedName name="_17e6_" hidden="1">{#N/A,#N/A,FALSE,"단축1";#N/A,#N/A,FALSE,"단축2";#N/A,#N/A,FALSE,"단축3";#N/A,#N/A,FALSE,"장축";#N/A,#N/A,FALSE,"4WD"}</definedName>
    <definedName name="_17EO2_" hidden="1">{#N/A,#N/A,FALSE,"신규dep";#N/A,#N/A,FALSE,"신규dep-금형상각후";#N/A,#N/A,FALSE,"신규dep-연구비상각후";#N/A,#N/A,FALSE,"신규dep-기계,공구상각후"}</definedName>
    <definedName name="_17FG1_" hidden="1">{#N/A,#N/A,FALSE,"단축1";#N/A,#N/A,FALSE,"단축2";#N/A,#N/A,FALSE,"단축3";#N/A,#N/A,FALSE,"장축";#N/A,#N/A,FALSE,"4WD"}</definedName>
    <definedName name="_17HL1_" hidden="1">{#N/A,#N/A,FALSE,"단축1";#N/A,#N/A,FALSE,"단축2";#N/A,#N/A,FALSE,"단축3";#N/A,#N/A,FALSE,"장축";#N/A,#N/A,FALSE,"4WD"}</definedName>
    <definedName name="_17HP2_" hidden="1">{#N/A,#N/A,FALSE,"단축1";#N/A,#N/A,FALSE,"단축2";#N/A,#N/A,FALSE,"단축3";#N/A,#N/A,FALSE,"장축";#N/A,#N/A,FALSE,"4WD"}</definedName>
    <definedName name="_17k7_" hidden="1">{#N/A,#N/A,FALSE,"단축1";#N/A,#N/A,FALSE,"단축2";#N/A,#N/A,FALSE,"단축3";#N/A,#N/A,FALSE,"장축";#N/A,#N/A,FALSE,"4WD"}</definedName>
    <definedName name="_17Q1_" hidden="1">{#N/A,#N/A,FALSE,"KMC최종회의(7월) 자료"}</definedName>
    <definedName name="_17Q2_" hidden="1">{#N/A,#N/A,FALSE,"KMC최종회의(7월) 자료"}</definedName>
    <definedName name="_17Q2__1" hidden="1">{#N/A,#N/A,FALSE,"KMC최종회의(7월) 자료"}</definedName>
    <definedName name="_17Q3_" hidden="1">{#N/A,#N/A,FALSE,"KMC최종회의(7월) 자료"}</definedName>
    <definedName name="_17Q5_" hidden="1">{#N/A,#N/A,FALSE,"KMC최종회의(7월) 자료"}</definedName>
    <definedName name="_17Q7_" hidden="1">{#N/A,#N/A,FALSE,"KMC최종회의(7월) 자료"}</definedName>
    <definedName name="_17Q8_" hidden="1">{#N/A,#N/A,FALSE,"KMC최종회의(7월) 자료"}</definedName>
    <definedName name="_17Q8__1" hidden="1">{#N/A,#N/A,FALSE,"KMC최종회의(7월) 자료"}</definedName>
    <definedName name="_17Q9_" hidden="1">{#N/A,#N/A,FALSE,"KMC최종회의(7월) 자료"}</definedName>
    <definedName name="_17Q9__1" hidden="1">{#N/A,#N/A,FALSE,"KMC최종회의(7월) 자료"}</definedName>
    <definedName name="_17T5_" hidden="1">{#N/A,#N/A,FALSE,"단축1";#N/A,#N/A,FALSE,"단축2";#N/A,#N/A,FALSE,"단축3";#N/A,#N/A,FALSE,"장축";#N/A,#N/A,FALSE,"4WD"}</definedName>
    <definedName name="_17X3_" hidden="1">{#N/A,#N/A,FALSE,"KMC최종회의(7월) 자료"}</definedName>
    <definedName name="_18________________________________________________0_S" hidden="1">#REF!</definedName>
    <definedName name="_18__123Graph_ACHART_3" hidden="1">#REF!</definedName>
    <definedName name="_18__123Graph_LBL_AC04C_FR_L1" hidden="1">#REF!</definedName>
    <definedName name="_18_0__123Grap" hidden="1">#N/A</definedName>
    <definedName name="_18____S" hidden="1">#REF!</definedName>
    <definedName name="_18__0_S" hidden="1">#REF!</definedName>
    <definedName name="_1809Q8_" hidden="1">{#N/A,#N/A,FALSE,"KMC최종회의(7월) 자료"}</definedName>
    <definedName name="_1809Q8__1" hidden="1">{#N/A,#N/A,FALSE,"KMC최종회의(7월) 자료"}</definedName>
    <definedName name="_180e8_" hidden="1">{#N/A,#N/A,FALSE,"신규dep";#N/A,#N/A,FALSE,"신규dep-금형상각후";#N/A,#N/A,FALSE,"신규dep-연구비상각후";#N/A,#N/A,FALSE,"신규dep-기계,공구상각후"}</definedName>
    <definedName name="_180HL2_" hidden="1">{#N/A,#N/A,FALSE,"단축1";#N/A,#N/A,FALSE,"단축2";#N/A,#N/A,FALSE,"단축3";#N/A,#N/A,FALSE,"장축";#N/A,#N/A,FALSE,"4WD"}</definedName>
    <definedName name="_180o1_" hidden="1">#REF!</definedName>
    <definedName name="_180Q5_" hidden="1">{#N/A,#N/A,FALSE,"KMC최종회의(7월) 자료"}</definedName>
    <definedName name="_180Q9_" hidden="1">{#N/A,#N/A,FALSE,"KMC최종회의(7월) 자료"}</definedName>
    <definedName name="_180S3_" hidden="1">{#N/A,#N/A,FALSE,"KMC최종회의(7월) 자료"}</definedName>
    <definedName name="_180s4_" hidden="1">{#N/A,#N/A,FALSE,"단축1";#N/A,#N/A,FALSE,"단축2";#N/A,#N/A,FALSE,"단축3";#N/A,#N/A,FALSE,"장축";#N/A,#N/A,FALSE,"4WD"}</definedName>
    <definedName name="_180s4__1" hidden="1">{#N/A,#N/A,FALSE,"단축1";#N/A,#N/A,FALSE,"단축2";#N/A,#N/A,FALSE,"단축3";#N/A,#N/A,FALSE,"장축";#N/A,#N/A,FALSE,"4WD"}</definedName>
    <definedName name="_180S5_" hidden="1">{#N/A,#N/A,FALSE,"KMC최종회의(7월) 자료"}</definedName>
    <definedName name="_180U1_" hidden="1">{#N/A,#N/A,FALSE,"단축1";#N/A,#N/A,FALSE,"단축2";#N/A,#N/A,FALSE,"단축3";#N/A,#N/A,FALSE,"장축";#N/A,#N/A,FALSE,"4WD"}</definedName>
    <definedName name="_180W2_" hidden="1">{#N/A,#N/A,FALSE,"KMC최종회의(7월) 자료"}</definedName>
    <definedName name="_180W4_" hidden="1">{#N/A,#N/A,FALSE,"KMC최종회의(7월) 자료"}</definedName>
    <definedName name="_180W7_" hidden="1">{#N/A,#N/A,FALSE,"KMC최종회의(7월) 자료"}</definedName>
    <definedName name="_180W9_" hidden="1">{#N/A,#N/A,FALSE,"KMC최종회의(7월) 자료"}</definedName>
    <definedName name="_180X3_" hidden="1">{#N/A,#N/A,FALSE,"KMC최종회의(7월) 자료"}</definedName>
    <definedName name="_180X6_" hidden="1">{#N/A,#N/A,FALSE,"KMC최종회의(7월) 자료"}</definedName>
    <definedName name="_180X8_" hidden="1">{#N/A,#N/A,FALSE,"KMC최종회의(7월) 자료"}</definedName>
    <definedName name="_180Z2_" hidden="1">{#N/A,#N/A,FALSE,"KMC최종회의(7월) 자료"}</definedName>
    <definedName name="_180Z5_" hidden="1">{#N/A,#N/A,FALSE,"KMC최종회의(7월) 자료"}</definedName>
    <definedName name="_180Z7_" hidden="1">{#N/A,#N/A,FALSE,"KMC최종회의(7월) 자료"}</definedName>
    <definedName name="_180Z8_" hidden="1">{#N/A,#N/A,FALSE,"KMC최종회의(7월) 자료"}</definedName>
    <definedName name="_180Z9_" hidden="1">{#N/A,#N/A,FALSE,"KMC최종회의(7월) 자료"}</definedName>
    <definedName name="_181DR7_" hidden="1">{#N/A,#N/A,FALSE,"표지";#N/A,#N/A,FALSE,"전제";#N/A,#N/A,FALSE,"손익-자 (2)";#N/A,#N/A,FALSE,"손익-자";#N/A,#N/A,FALSE,"손익-마 (2)";#N/A,#N/A,FALSE,"손익-마";#N/A,#N/A,FALSE,"총손최종"}</definedName>
    <definedName name="_181P21_" hidden="1">{#N/A,#N/A,FALSE,"단축1";#N/A,#N/A,FALSE,"단축2";#N/A,#N/A,FALSE,"단축3";#N/A,#N/A,FALSE,"장축";#N/A,#N/A,FALSE,"4WD"}</definedName>
    <definedName name="_181S7_" hidden="1">{#N/A,#N/A,FALSE,"KMC최종회의(7월) 자료"}</definedName>
    <definedName name="_181S8_" hidden="1">{#N/A,#N/A,FALSE,"KMC최종회의(7월) 자료"}</definedName>
    <definedName name="_181W3_" hidden="1">{#N/A,#N/A,FALSE,"KMC최종회의(7월) 자료"}</definedName>
    <definedName name="_181W6_" hidden="1">{#N/A,#N/A,FALSE,"KMC최종회의(7월) 자료"}</definedName>
    <definedName name="_181X3_" hidden="1">{#N/A,#N/A,FALSE,"KMC최종회의(7월) 자료"}</definedName>
    <definedName name="_181Z1_" hidden="1">{#N/A,#N/A,FALSE,"KMC최종회의(7월) 자료"}</definedName>
    <definedName name="_181Z2_" hidden="1">{#N/A,#N/A,FALSE,"KMC최종회의(7월) 자료"}</definedName>
    <definedName name="_182__0_S" hidden="1">#REF!</definedName>
    <definedName name="_182q1_" hidden="1">{#N/A,#N/A,FALSE,"단축1";#N/A,#N/A,FALSE,"단축2";#N/A,#N/A,FALSE,"단축3";#N/A,#N/A,FALSE,"장축";#N/A,#N/A,FALSE,"4WD"}</definedName>
    <definedName name="_182Q8_" hidden="1">{#N/A,#N/A,FALSE,"KMC최종회의(7월) 자료"}</definedName>
    <definedName name="_182Q9_" hidden="1">{#N/A,#N/A,FALSE,"KMC최종회의(7월) 자료"}</definedName>
    <definedName name="_182S1_" hidden="1">{#N/A,#N/A,FALSE,"KMC최종회의(7월) 자료"}</definedName>
    <definedName name="_182S3_" hidden="1">{#N/A,#N/A,FALSE,"KMC최종회의(7월) 자료"}</definedName>
    <definedName name="_182S4_" hidden="1">{#N/A,#N/A,FALSE,"KMC최종회의(7월) 자료"}</definedName>
    <definedName name="_182S4__1" hidden="1">{#N/A,#N/A,FALSE,"KMC최종회의(7월) 자료"}</definedName>
    <definedName name="_182S8_" hidden="1">{#N/A,#N/A,FALSE,"KMC최종회의(7월) 자료"}</definedName>
    <definedName name="_182W1_" hidden="1">{#N/A,#N/A,FALSE,"KMC최종회의(7월) 자료"}</definedName>
    <definedName name="_182W2_" hidden="1">{#N/A,#N/A,FALSE,"품의서";#N/A,#N/A,FALSE,"전제";#N/A,#N/A,FALSE,"총손";#N/A,#N/A,FALSE,"손익"}</definedName>
    <definedName name="_182W3_" hidden="1">{#N/A,#N/A,FALSE,"KMC최종회의(7월) 자료"}</definedName>
    <definedName name="_182X4_" hidden="1">{#N/A,#N/A,FALSE,"KMC최종회의(7월) 자료"}</definedName>
    <definedName name="_182X7_" hidden="1">{#N/A,#N/A,FALSE,"KMC최종회의(7월) 자료"}</definedName>
    <definedName name="_182X8_" hidden="1">{#N/A,#N/A,FALSE,"KMC최종회의(7월) 자료"}</definedName>
    <definedName name="_182Z3_" hidden="1">{#N/A,#N/A,FALSE,"KMC최종회의(7월) 자료"}</definedName>
    <definedName name="_182Z5_" hidden="1">{#N/A,#N/A,FALSE,"KMC최종회의(7월) 자료"}</definedName>
    <definedName name="_182Z9_" hidden="1">{#N/A,#N/A,FALSE,"KMC최종회의(7월) 자료"}</definedName>
    <definedName name="_183D12_" hidden="1">{#N/A,#N/A,FALSE,"단축1";#N/A,#N/A,FALSE,"단축2";#N/A,#N/A,FALSE,"단축3";#N/A,#N/A,FALSE,"장축";#N/A,#N/A,FALSE,"4WD"}</definedName>
    <definedName name="_183EO2_" hidden="1">{#N/A,#N/A,FALSE,"신규dep";#N/A,#N/A,FALSE,"신규dep-금형상각후";#N/A,#N/A,FALSE,"신규dep-연구비상각후";#N/A,#N/A,FALSE,"신규dep-기계,공구상각후"}</definedName>
    <definedName name="_183FG1_" hidden="1">{#N/A,#N/A,FALSE,"단축1";#N/A,#N/A,FALSE,"단축2";#N/A,#N/A,FALSE,"단축3";#N/A,#N/A,FALSE,"장축";#N/A,#N/A,FALSE,"4WD"}</definedName>
    <definedName name="_183W2_" hidden="1">{#N/A,#N/A,FALSE,"KMC최종회의(7월) 자료"}</definedName>
    <definedName name="_183W4_" hidden="1">{#N/A,#N/A,FALSE,"KMC최종회의(7월) 자료"}</definedName>
    <definedName name="_183X4_" hidden="1">{#N/A,#N/A,FALSE,"KMC최종회의(7월) 자료"}</definedName>
    <definedName name="_183Z2_" hidden="1">{#N/A,#N/A,FALSE,"KMC최종회의(7월) 자료"}</definedName>
    <definedName name="_183Z6_" hidden="1">{#N/A,#N/A,FALSE,"KMC최종회의(7월) 자료"}</definedName>
    <definedName name="_183Z8_" hidden="1">{#N/A,#N/A,FALSE,"KMC최종회의(7월) 자료"}</definedName>
    <definedName name="_1842Q9_" hidden="1">{#N/A,#N/A,FALSE,"KMC최종회의(7월) 자료"}</definedName>
    <definedName name="_1842Q9__1" hidden="1">{#N/A,#N/A,FALSE,"KMC최종회의(7월) 자료"}</definedName>
    <definedName name="_184Q8_" hidden="1">{#N/A,#N/A,FALSE,"KMC최종회의(7월) 자료"}</definedName>
    <definedName name="_184q9_" hidden="1">{#N/A,#N/A,FALSE,"신규dep";#N/A,#N/A,FALSE,"신규dep-금형상각후";#N/A,#N/A,FALSE,"신규dep-연구비상각후";#N/A,#N/A,FALSE,"신규dep-기계,공구상각후"}</definedName>
    <definedName name="_184S7_" hidden="1">{#N/A,#N/A,FALSE,"KMC최종회의(7월) 자료"}</definedName>
    <definedName name="_184W3_" hidden="1">{#N/A,#N/A,FALSE,"KMC최종회의(7월) 자료"}</definedName>
    <definedName name="_184W4_" hidden="1">{#N/A,#N/A,FALSE,"KMC최종회의(7월) 자료"}</definedName>
    <definedName name="_184X1_" hidden="1">{#N/A,#N/A,FALSE,"KMC최종회의(7월) 자료"}</definedName>
    <definedName name="_184X8_" hidden="1">{#N/A,#N/A,FALSE,"KMC최종회의(7월) 자료"}</definedName>
    <definedName name="_184Z1_" hidden="1">{#N/A,#N/A,FALSE,"KMC최종회의(7월) 자료"}</definedName>
    <definedName name="_184Z3_" hidden="1">{#N/A,#N/A,FALSE,"KMC최종회의(7월) 자료"}</definedName>
    <definedName name="_184Z9_" hidden="1">{#N/A,#N/A,FALSE,"KMC최종회의(7월) 자료"}</definedName>
    <definedName name="_185DB777_" hidden="1">{#N/A,#N/A,TRUE,"Y생산";#N/A,#N/A,TRUE,"Y판매";#N/A,#N/A,TRUE,"Y총물량";#N/A,#N/A,TRUE,"Y능력";#N/A,#N/A,TRUE,"YKD"}</definedName>
    <definedName name="_185e9_" hidden="1">{#N/A,#N/A,FALSE,"단축1";#N/A,#N/A,FALSE,"단축2";#N/A,#N/A,FALSE,"단축3";#N/A,#N/A,FALSE,"장축";#N/A,#N/A,FALSE,"4WD"}</definedName>
    <definedName name="_185Q1_" hidden="1">{#N/A,#N/A,FALSE,"KMC최종회의(7월) 자료"}</definedName>
    <definedName name="_185S3_" hidden="1">{#N/A,#N/A,FALSE,"KMC최종회의(7월) 자료"}</definedName>
    <definedName name="_185s5_" hidden="1">{#N/A,#N/A,FALSE,"신규dep";#N/A,#N/A,FALSE,"신규dep-금형상각후";#N/A,#N/A,FALSE,"신규dep-연구비상각후";#N/A,#N/A,FALSE,"신규dep-기계,공구상각후"}</definedName>
    <definedName name="_185s5__1" hidden="1">{#N/A,#N/A,FALSE,"신규dep";#N/A,#N/A,FALSE,"신규dep-금형상각후";#N/A,#N/A,FALSE,"신규dep-연구비상각후";#N/A,#N/A,FALSE,"신규dep-기계,공구상각후"}</definedName>
    <definedName name="_185S6_" hidden="1">{#N/A,#N/A,FALSE,"KMC최종회의(7월) 자료"}</definedName>
    <definedName name="_185T2_" hidden="1">{#N/A,#N/A,FALSE,"단축1";#N/A,#N/A,FALSE,"단축2";#N/A,#N/A,FALSE,"단축3";#N/A,#N/A,FALSE,"장축";#N/A,#N/A,FALSE,"4WD"}</definedName>
    <definedName name="_185W1_" hidden="1">{#N/A,#N/A,FALSE,"KMC최종회의(7월) 자료"}</definedName>
    <definedName name="_185W4_" hidden="1">{#N/A,#N/A,FALSE,"KMC최종회의(7월) 자료"}</definedName>
    <definedName name="_185W5_" hidden="1">{#N/A,#N/A,FALSE,"KMC최종회의(7월) 자료"}</definedName>
    <definedName name="_185W7_" hidden="1">{#N/A,#N/A,FALSE,"KMC최종회의(7월) 자료"}</definedName>
    <definedName name="_185W8_" hidden="1">{#N/A,#N/A,FALSE,"KMC최종회의(7월) 자료"}</definedName>
    <definedName name="_185X4_" hidden="1">{#N/A,#N/A,FALSE,"KMC최종회의(7월) 자료"}</definedName>
    <definedName name="_185Z3_" hidden="1">{#N/A,#N/A,FALSE,"KMC최종회의(7월) 자료"}</definedName>
    <definedName name="_185Z4_" hidden="1">{#N/A,#N/A,FALSE,"KMC최종회의(7월) 자료"}</definedName>
    <definedName name="_185Z6_" hidden="1">{#N/A,#N/A,FALSE,"KMC최종회의(7월) 자료"}</definedName>
    <definedName name="_186CL22_" hidden="1">{#N/A,#N/A,FALSE,"KMC최종회의(7월) 자료"}</definedName>
    <definedName name="_186E1_" hidden="1">{#N/A,#N/A,FALSE,"KMC최종회의(7월) 자료"}</definedName>
    <definedName name="_186FG1_" hidden="1">{#N/A,#N/A,FALSE,"단축1";#N/A,#N/A,FALSE,"단축2";#N/A,#N/A,FALSE,"단축3";#N/A,#N/A,FALSE,"장축";#N/A,#N/A,FALSE,"4WD"}</definedName>
    <definedName name="_186Q5434_" hidden="1">{"'7-2지역별'!$A$1:$R$44"}</definedName>
    <definedName name="_186S1_" hidden="1">{#N/A,#N/A,FALSE,"KMC최종회의(7월) 자료"}</definedName>
    <definedName name="_186S2_" hidden="1">{#N/A,#N/A,FALSE,"KMC최종회의(7월) 자료"}</definedName>
    <definedName name="_186S4_" hidden="1">{#N/A,#N/A,FALSE,"KMC최종회의(7월) 자료"}</definedName>
    <definedName name="_186S8_" hidden="1">{#N/A,#N/A,FALSE,"KMC최종회의(7월) 자료"}</definedName>
    <definedName name="_186W1_" hidden="1">{#N/A,#N/A,FALSE,"KMC최종회의(7월) 자료"}</definedName>
    <definedName name="_186w4_" hidden="1">{#N/A,#N/A,FALSE,"단축1";#N/A,#N/A,FALSE,"단축2";#N/A,#N/A,FALSE,"단축3";#N/A,#N/A,FALSE,"장축";#N/A,#N/A,FALSE,"4WD"}</definedName>
    <definedName name="_186W5_" hidden="1">{#N/A,#N/A,FALSE,"KMC최종회의(7월) 자료"}</definedName>
    <definedName name="_186X5_" hidden="1">{#N/A,#N/A,FALSE,"KMC최종회의(7월) 자료"}</definedName>
    <definedName name="_186Z7_" hidden="1">{#N/A,#N/A,FALSE,"KMC최종회의(7월) 자료"}</definedName>
    <definedName name="_186Z9_" hidden="1">{#N/A,#N/A,FALSE,"KMC최종회의(7월) 자료"}</definedName>
    <definedName name="_187__0_S" hidden="1">#REF!</definedName>
    <definedName name="_1875S1_" hidden="1">{#N/A,#N/A,FALSE,"KMC최종회의(7월) 자료"}</definedName>
    <definedName name="_1875S1__1" hidden="1">{#N/A,#N/A,FALSE,"KMC최종회의(7월) 자료"}</definedName>
    <definedName name="_187DB777_" hidden="1">{#N/A,#N/A,TRUE,"Y생산";#N/A,#N/A,TRUE,"Y판매";#N/A,#N/A,TRUE,"Y총물량";#N/A,#N/A,TRUE,"Y능력";#N/A,#N/A,TRUE,"YKD"}</definedName>
    <definedName name="_187HL3_" hidden="1">{#N/A,#N/A,TRUE,"Y생산";#N/A,#N/A,TRUE,"Y판매";#N/A,#N/A,TRUE,"Y총물량";#N/A,#N/A,TRUE,"Y능력";#N/A,#N/A,TRUE,"YKD"}</definedName>
    <definedName name="_187Q7_" hidden="1">{#N/A,#N/A,FALSE,"KMC최종회의(7월) 자료"}</definedName>
    <definedName name="_187W6_" hidden="1">{#N/A,#N/A,FALSE,"KMC최종회의(7월) 자료"}</definedName>
    <definedName name="_187X5_" hidden="1">{#N/A,#N/A,FALSE,"KMC최종회의(7월) 자료"}</definedName>
    <definedName name="_187Z2_" hidden="1">{#N/A,#N/A,FALSE,"KMC최종회의(7월) 자료"}</definedName>
    <definedName name="_187Z4_" hidden="1">{#N/A,#N/A,FALSE,"KMC최종회의(7월) 자료"}</definedName>
    <definedName name="_188E2_" hidden="1">{#N/A,#N/A,FALSE,"KMC최종회의(7월) 자료"}</definedName>
    <definedName name="_188H1620_" hidden="1">{#N/A,#N/A,FALSE,"단축1";#N/A,#N/A,FALSE,"단축2";#N/A,#N/A,FALSE,"단축3";#N/A,#N/A,FALSE,"장축";#N/A,#N/A,FALSE,"4WD"}</definedName>
    <definedName name="_188Q098_" hidden="1">{"'7-2지역별'!$A$1:$R$44"}</definedName>
    <definedName name="_188T3_" hidden="1">{#N/A,#N/A,FALSE,"단축1";#N/A,#N/A,FALSE,"단축2";#N/A,#N/A,FALSE,"단축3";#N/A,#N/A,FALSE,"장축";#N/A,#N/A,FALSE,"4WD"}</definedName>
    <definedName name="_188W6_" hidden="1">{#N/A,#N/A,FALSE,"KMC최종회의(7월) 자료"}</definedName>
    <definedName name="_188W7_" hidden="1">{#N/A,#N/A,FALSE,"KMC최종회의(7월) 자료"}</definedName>
    <definedName name="_188X2_" hidden="1">{#N/A,#N/A,FALSE,"KMC최종회의(7월) 자료"}</definedName>
    <definedName name="_188Z2_" hidden="1">{#N/A,#N/A,FALSE,"KMC최종회의(7월) 자료"}</definedName>
    <definedName name="_188Z4_" hidden="1">{#N/A,#N/A,FALSE,"KMC최종회의(7월) 자료"}</definedName>
    <definedName name="_188Z5_" hidden="1">{#N/A,#N/A,FALSE,"KMC최종회의(7월) 자료"}</definedName>
    <definedName name="_188Z7_" hidden="1">{#N/A,#N/A,FALSE,"KMC최종회의(7월) 자료"}</definedName>
    <definedName name="_189A1_" hidden="1">{#N/A,#N/A,FALSE,"KMC최종회의(7월) 자료"}</definedName>
    <definedName name="_189AS6_" hidden="1">{#N/A,#N/A,FALSE,"Australien";#N/A,#N/A,FALSE,"Birmingham";#N/A,#N/A,FALSE,"Brasilien";#N/A,#N/A,FALSE,"Prag";#N/A,#N/A,FALSE,"Spanien";#N/A,#N/A,FALSE,"Malaysia ( Com)";#N/A,#N/A,FALSE,"Malaysia (Instr)"}</definedName>
    <definedName name="_189CL222_" hidden="1">{#N/A,#N/A,FALSE,"KMC최종회의(7월) 자료"}</definedName>
    <definedName name="_189FG1_" hidden="1">{#N/A,#N/A,FALSE,"단축1";#N/A,#N/A,FALSE,"단축2";#N/A,#N/A,FALSE,"단축3";#N/A,#N/A,FALSE,"장축";#N/A,#N/A,FALSE,"4WD"}</definedName>
    <definedName name="_189H20_" hidden="1">{#N/A,#N/A,FALSE,"단축1";#N/A,#N/A,FALSE,"단축2";#N/A,#N/A,FALSE,"단축3";#N/A,#N/A,FALSE,"장축";#N/A,#N/A,FALSE,"4WD"}</definedName>
    <definedName name="_189Q2_" hidden="1">{#N/A,#N/A,FALSE,"KMC최종회의(7월) 자료"}</definedName>
    <definedName name="_189q3_" hidden="1">{#N/A,#N/A,FALSE,"단축1";#N/A,#N/A,FALSE,"단축2";#N/A,#N/A,FALSE,"단축3";#N/A,#N/A,FALSE,"장축";#N/A,#N/A,FALSE,"4WD"}</definedName>
    <definedName name="_189Q9_" hidden="1">{#N/A,#N/A,FALSE,"KMC최종회의(7월) 자료"}</definedName>
    <definedName name="_189s1_" hidden="1">{#N/A,#N/A,FALSE,"신규dep";#N/A,#N/A,FALSE,"신규dep-금형상각후";#N/A,#N/A,FALSE,"신규dep-연구비상각후";#N/A,#N/A,FALSE,"신규dep-기계,공구상각후"}</definedName>
    <definedName name="_189S5_" hidden="1">{#N/A,#N/A,FALSE,"KMC최종회의(7월) 자료"}</definedName>
    <definedName name="_189S5__1" hidden="1">{#N/A,#N/A,FALSE,"KMC최종회의(7월) 자료"}</definedName>
    <definedName name="_189S8_" hidden="1">{#N/A,#N/A,FALSE,"KMC최종회의(7월) 자료"}</definedName>
    <definedName name="_189T2_" hidden="1">{#N/A,#N/A,FALSE,"단축1";#N/A,#N/A,FALSE,"단축2";#N/A,#N/A,FALSE,"단축3";#N/A,#N/A,FALSE,"장축";#N/A,#N/A,FALSE,"4WD"}</definedName>
    <definedName name="_189W1_" hidden="1">{#N/A,#N/A,FALSE,"KMC최종회의(7월) 자료"}</definedName>
    <definedName name="_189W2_" hidden="1">{#N/A,#N/A,FALSE,"KMC최종회의(7월) 자료"}</definedName>
    <definedName name="_189W7_" hidden="1">{#N/A,#N/A,FALSE,"KMC최종회의(7월) 자료"}</definedName>
    <definedName name="_189W8_" hidden="1">{#N/A,#N/A,FALSE,"KMC최종회의(7월) 자료"}</definedName>
    <definedName name="_189X5_" hidden="1">{#N/A,#N/A,FALSE,"KMC최종회의(7월) 자료"}</definedName>
    <definedName name="_189X6_" hidden="1">{#N/A,#N/A,FALSE,"KMC최종회의(7월) 자료"}</definedName>
    <definedName name="_189Z5_" hidden="1">{#N/A,#N/A,FALSE,"KMC최종회의(7월) 자료"}</definedName>
    <definedName name="_189Z8_" hidden="1">{#N/A,#N/A,FALSE,"KMC최종회의(7월) 자료"}</definedName>
    <definedName name="_18A1245_" hidden="1">{#N/A,#N/A,FALSE,"단축1";#N/A,#N/A,FALSE,"단축2";#N/A,#N/A,FALSE,"단축3";#N/A,#N/A,FALSE,"장축";#N/A,#N/A,FALSE,"4WD"}</definedName>
    <definedName name="_18A1454_" hidden="1">{#N/A,#N/A,FALSE,"단축1";#N/A,#N/A,FALSE,"단축2";#N/A,#N/A,FALSE,"단축3";#N/A,#N/A,FALSE,"장축";#N/A,#N/A,FALSE,"4WD"}</definedName>
    <definedName name="_18A2_" hidden="1">{#N/A,#N/A,FALSE,"KMC최종회의(7월) 자료"}</definedName>
    <definedName name="_18A2040_" hidden="1">{#N/A,#N/A,FALSE,"단축1";#N/A,#N/A,FALSE,"단축2";#N/A,#N/A,FALSE,"단축3";#N/A,#N/A,FALSE,"장축";#N/A,#N/A,FALSE,"4WD"}</definedName>
    <definedName name="_18A3_" hidden="1">{#N/A,#N/A,FALSE,"단축1";#N/A,#N/A,FALSE,"단축2";#N/A,#N/A,FALSE,"단축3";#N/A,#N/A,FALSE,"장축";#N/A,#N/A,FALSE,"4WD"}</definedName>
    <definedName name="_18A4_" hidden="1">{#N/A,#N/A,FALSE,"KMC최종회의(7월) 자료"}</definedName>
    <definedName name="_18A5_" hidden="1">{#N/A,#N/A,FALSE,"KMC최종회의(7월) 자료"}</definedName>
    <definedName name="_18A5__1" hidden="1">{#N/A,#N/A,FALSE,"KMC최종회의(7월) 자료"}</definedName>
    <definedName name="_18A6_" hidden="1">{#N/A,#N/A,FALSE,"KMC최종회의(7월) 자료"}</definedName>
    <definedName name="_18A6666_" hidden="1">{#N/A,#N/A,FALSE,"KMC최종회의(7월) 자료"}</definedName>
    <definedName name="_18A7_" hidden="1">{#N/A,#N/A,FALSE,"KMC최종회의(7월) 자료"}</definedName>
    <definedName name="_18A8_" hidden="1">{#N/A,#N/A,FALSE,"KMC최종회의(7월) 자료"}</definedName>
    <definedName name="_18A9_" hidden="1">{#N/A,#N/A,FALSE,"KMC최종회의(7월) 자료"}</definedName>
    <definedName name="_18AT1_" hidden="1">{#N/A,#N/A,FALSE,"인원";#N/A,#N/A,FALSE,"비용2";#N/A,#N/A,FALSE,"비용1";#N/A,#N/A,FALSE,"비용";#N/A,#N/A,FALSE,"보증2";#N/A,#N/A,FALSE,"보증1";#N/A,#N/A,FALSE,"보증";#N/A,#N/A,FALSE,"손익1";#N/A,#N/A,FALSE,"손익";#N/A,#N/A,FALSE,"부서별매출";#N/A,#N/A,FALSE,"매출"}</definedName>
    <definedName name="_18AT4_" hidden="1">{#N/A,#N/A,FALSE,"인원";#N/A,#N/A,FALSE,"비용2";#N/A,#N/A,FALSE,"비용1";#N/A,#N/A,FALSE,"비용";#N/A,#N/A,FALSE,"보증2";#N/A,#N/A,FALSE,"보증1";#N/A,#N/A,FALSE,"보증";#N/A,#N/A,FALSE,"손익1";#N/A,#N/A,FALSE,"손익";#N/A,#N/A,FALSE,"부서별매출";#N/A,#N/A,FALSE,"매출"}</definedName>
    <definedName name="_18DB777_" hidden="1">{#N/A,#N/A,TRUE,"Y생산";#N/A,#N/A,TRUE,"Y판매";#N/A,#N/A,TRUE,"Y총물량";#N/A,#N/A,TRUE,"Y능력";#N/A,#N/A,TRUE,"YKD"}</definedName>
    <definedName name="_18E1_" hidden="1">{#N/A,#N/A,FALSE,"KMC최종회의(7월) 자료"}</definedName>
    <definedName name="_18E2_" hidden="1">{#N/A,#N/A,FALSE,"KMC최종회의(7월) 자료"}</definedName>
    <definedName name="_18e7_" hidden="1">{#N/A,#N/A,FALSE,"신규dep";#N/A,#N/A,FALSE,"신규dep-금형상각후";#N/A,#N/A,FALSE,"신규dep-연구비상각후";#N/A,#N/A,FALSE,"신규dep-기계,공구상각후"}</definedName>
    <definedName name="_18h1_" hidden="1">{"'표지'!$B$5"}</definedName>
    <definedName name="_18K1_" hidden="1">{#N/A,#N/A,FALSE,"인원";#N/A,#N/A,FALSE,"비용2";#N/A,#N/A,FALSE,"비용1";#N/A,#N/A,FALSE,"비용";#N/A,#N/A,FALSE,"보증2";#N/A,#N/A,FALSE,"보증1";#N/A,#N/A,FALSE,"보증";#N/A,#N/A,FALSE,"손익1";#N/A,#N/A,FALSE,"손익";#N/A,#N/A,FALSE,"부서별매출";#N/A,#N/A,FALSE,"매출"}</definedName>
    <definedName name="_18k8_" hidden="1">{#N/A,#N/A,FALSE,"단축1";#N/A,#N/A,FALSE,"단축2";#N/A,#N/A,FALSE,"단축3";#N/A,#N/A,FALSE,"장축";#N/A,#N/A,FALSE,"4WD"}</definedName>
    <definedName name="_18P21_" hidden="1">{#N/A,#N/A,FALSE,"단축1";#N/A,#N/A,FALSE,"단축2";#N/A,#N/A,FALSE,"단축3";#N/A,#N/A,FALSE,"장축";#N/A,#N/A,FALSE,"4WD"}</definedName>
    <definedName name="_18Q1_" hidden="1">{#N/A,#N/A,FALSE,"KMC최종회의(7월) 자료"}</definedName>
    <definedName name="_18Q2_" hidden="1">{#N/A,#N/A,FALSE,"KMC최종회의(7월) 자료"}</definedName>
    <definedName name="_18Q3_" hidden="1">{#N/A,#N/A,FALSE,"KMC최종회의(7월) 자료"}</definedName>
    <definedName name="_18Q3__1" hidden="1">{#N/A,#N/A,FALSE,"KMC최종회의(7월) 자료"}</definedName>
    <definedName name="_18Q5_" hidden="1">{#N/A,#N/A,FALSE,"KMC최종회의(7월) 자료"}</definedName>
    <definedName name="_18Q7_" hidden="1">{#N/A,#N/A,FALSE,"KMC최종회의(7월) 자료"}</definedName>
    <definedName name="_18Q8_" hidden="1">{#N/A,#N/A,FALSE,"KMC최종회의(7월) 자료"}</definedName>
    <definedName name="_18Q9_" hidden="1">{#N/A,#N/A,FALSE,"KMC최종회의(7월) 자료"}</definedName>
    <definedName name="_18Q9__1" hidden="1">{#N/A,#N/A,FALSE,"KMC최종회의(7월) 자료"}</definedName>
    <definedName name="_18S1_" hidden="1">{#N/A,#N/A,FALSE,"KMC최종회의(7월) 자료"}</definedName>
    <definedName name="_18S1__1" hidden="1">{#N/A,#N/A,FALSE,"KMC최종회의(7월) 자료"}</definedName>
    <definedName name="_18S2_" hidden="1">{#N/A,#N/A,FALSE,"KMC최종회의(7월) 자료"}</definedName>
    <definedName name="_18X4_" hidden="1">{#N/A,#N/A,FALSE,"KMC최종회의(7월) 자료"}</definedName>
    <definedName name="_19__123Graph_AC04C_ALL_T1" hidden="1">#REF!</definedName>
    <definedName name="_19__123Graph_BCHART_3" hidden="1">#REF!</definedName>
    <definedName name="_19__123Graph_CCHART_3" hidden="1">#REF!</definedName>
    <definedName name="_19__123Graph_LBL_AC04C_FR_L2" hidden="1">#REF!</definedName>
    <definedName name="_19__0_S" hidden="1">#REF!</definedName>
    <definedName name="_1908S2_" hidden="1">{#N/A,#N/A,FALSE,"KMC최종회의(7월) 자료"}</definedName>
    <definedName name="_1908S2__1" hidden="1">{#N/A,#N/A,FALSE,"KMC최종회의(7월) 자료"}</definedName>
    <definedName name="_190G1_" hidden="1">{#N/A,#N/A,FALSE,"단축1";#N/A,#N/A,FALSE,"단축2";#N/A,#N/A,FALSE,"단축3";#N/A,#N/A,FALSE,"장축";#N/A,#N/A,FALSE,"4WD"}</definedName>
    <definedName name="_190Q11_" hidden="1">{"'7-2지역별'!$A$1:$R$44"}</definedName>
    <definedName name="_190Q9_" hidden="1">{#N/A,#N/A,FALSE,"KMC최종회의(7월) 자료"}</definedName>
    <definedName name="_190S2_" hidden="1">{#N/A,#N/A,FALSE,"KMC최종회의(7월) 자료"}</definedName>
    <definedName name="_190S3_" hidden="1">{#N/A,#N/A,FALSE,"KMC최종회의(7월) 자료"}</definedName>
    <definedName name="_190S4_" hidden="1">{#N/A,#N/A,FALSE,"KMC최종회의(7월) 자료"}</definedName>
    <definedName name="_190s6_" hidden="1">{#N/A,#N/A,FALSE,"신규dep";#N/A,#N/A,FALSE,"신규dep-금형상각후";#N/A,#N/A,FALSE,"신규dep-연구비상각후";#N/A,#N/A,FALSE,"신규dep-기계,공구상각후"}</definedName>
    <definedName name="_190s6__1" hidden="1">{#N/A,#N/A,FALSE,"신규dep";#N/A,#N/A,FALSE,"신규dep-금형상각후";#N/A,#N/A,FALSE,"신규dep-연구비상각후";#N/A,#N/A,FALSE,"신규dep-기계,공구상각후"}</definedName>
    <definedName name="_190S7_" hidden="1">{#N/A,#N/A,FALSE,"KMC최종회의(7월) 자료"}</definedName>
    <definedName name="_190W2_" hidden="1">{#N/A,#N/A,FALSE,"KMC최종회의(7월) 자료"}</definedName>
    <definedName name="_190w5_" hidden="1">{#N/A,#N/A,FALSE,"신규dep";#N/A,#N/A,FALSE,"신규dep-금형상각후";#N/A,#N/A,FALSE,"신규dep-연구비상각후";#N/A,#N/A,FALSE,"신규dep-기계,공구상각후"}</definedName>
    <definedName name="_190W7_" hidden="1">{#N/A,#N/A,FALSE,"KMC최종회의(7월) 자료"}</definedName>
    <definedName name="_190W9_" hidden="1">{#N/A,#N/A,FALSE,"KMC최종회의(7월) 자료"}</definedName>
    <definedName name="_190X6_" hidden="1">{#N/A,#N/A,FALSE,"KMC최종회의(7월) 자료"}</definedName>
    <definedName name="_190Z3_" hidden="1">{#N/A,#N/A,FALSE,"KMC최종회의(7월) 자료"}</definedName>
    <definedName name="_190Z5_" hidden="1">{#N/A,#N/A,FALSE,"KMC최종회의(7월) 자료"}</definedName>
    <definedName name="_191____S" hidden="1">#REF!</definedName>
    <definedName name="_191E1_" hidden="1">{#N/A,#N/A,FALSE,"KMC최종회의(7월) 자료"}</definedName>
    <definedName name="_191Q11234_" hidden="1">{"'7-2지역별'!$A$1:$R$44"}</definedName>
    <definedName name="_191S4_" hidden="1">{#N/A,#N/A,FALSE,"KMC최종회의(7월) 자료"}</definedName>
    <definedName name="_191T2_" hidden="1">{#N/A,#N/A,FALSE,"단축1";#N/A,#N/A,FALSE,"단축2";#N/A,#N/A,FALSE,"단축3";#N/A,#N/A,FALSE,"장축";#N/A,#N/A,FALSE,"4WD"}</definedName>
    <definedName name="_191t4_" hidden="1">{#N/A,#N/A,FALSE,"단축1";#N/A,#N/A,FALSE,"단축2";#N/A,#N/A,FALSE,"단축3";#N/A,#N/A,FALSE,"장축";#N/A,#N/A,FALSE,"4WD"}</definedName>
    <definedName name="_191W8_" hidden="1">{#N/A,#N/A,FALSE,"KMC최종회의(7월) 자료"}</definedName>
    <definedName name="_191X6_" hidden="1">{#N/A,#N/A,FALSE,"KMC최종회의(7월) 자료"}</definedName>
    <definedName name="_191Z3_" hidden="1">{#N/A,#N/A,FALSE,"KMC최종회의(7월) 자료"}</definedName>
    <definedName name="_191Z6_" hidden="1">{#N/A,#N/A,FALSE,"KMC최종회의(7월) 자료"}</definedName>
    <definedName name="_191Z8_" hidden="1">{#N/A,#N/A,FALSE,"KMC최종회의(7월) 자료"}</definedName>
    <definedName name="_192CL22_" hidden="1">{#N/A,#N/A,FALSE,"KMC최종회의(7월) 자료"}</definedName>
    <definedName name="_192CL33_" hidden="1">{#N/A,#N/A,FALSE,"KMC최종회의(7월) 자료"}</definedName>
    <definedName name="_192e6_" hidden="1">{#N/A,#N/A,FALSE,"단축1";#N/A,#N/A,FALSE,"단축2";#N/A,#N/A,FALSE,"단축3";#N/A,#N/A,FALSE,"장축";#N/A,#N/A,FALSE,"4WD"}</definedName>
    <definedName name="_192e6__1" hidden="1">{#N/A,#N/A,FALSE,"단축1";#N/A,#N/A,FALSE,"단축2";#N/A,#N/A,FALSE,"단축3";#N/A,#N/A,FALSE,"장축";#N/A,#N/A,FALSE,"4WD"}</definedName>
    <definedName name="_192H1620_" hidden="1">{#N/A,#N/A,FALSE,"단축1";#N/A,#N/A,FALSE,"단축2";#N/A,#N/A,FALSE,"단축3";#N/A,#N/A,FALSE,"장축";#N/A,#N/A,FALSE,"4WD"}</definedName>
    <definedName name="_192Q12_" hidden="1">{"'7-2지역별'!$A$1:$R$44"}</definedName>
    <definedName name="_192Q7_" hidden="1">{#N/A,#N/A,FALSE,"KMC최종회의(7월) 자료"}</definedName>
    <definedName name="_192S2_" hidden="1">{#N/A,#N/A,FALSE,"KMC최종회의(7월) 자료"}</definedName>
    <definedName name="_192S4_" hidden="1">{#N/A,#N/A,FALSE,"KMC최종회의(7월) 자료"}</definedName>
    <definedName name="_192S5_" hidden="1">{#N/A,#N/A,FALSE,"KMC최종회의(7월) 자료"}</definedName>
    <definedName name="_192W3_" hidden="1">{#N/A,#N/A,FALSE,"KMC최종회의(7월) 자료"}</definedName>
    <definedName name="_192W6_" hidden="1">{#N/A,#N/A,FALSE,"KMC최종회의(7월) 자료"}</definedName>
    <definedName name="_192W8_" hidden="1">{#N/A,#N/A,FALSE,"KMC최종회의(7월) 자료"}</definedName>
    <definedName name="_192X3_" hidden="1">{#N/A,#N/A,FALSE,"KMC최종회의(7월) 자료"}</definedName>
    <definedName name="_192X7_" hidden="1">{#N/A,#N/A,FALSE,"KMC최종회의(7월) 자료"}</definedName>
    <definedName name="_192Z3_" hidden="1">{#N/A,#N/A,FALSE,"KMC최종회의(7월) 자료"}</definedName>
    <definedName name="_192Z5_" hidden="1">{#N/A,#N/A,FALSE,"KMC최종회의(7월) 자료"}</definedName>
    <definedName name="_192Z9_" hidden="1">{#N/A,#N/A,FALSE,"KMC최종회의(7월) 자료"}</definedName>
    <definedName name="_193__0_S" hidden="1">#REF!</definedName>
    <definedName name="_193CL222_" hidden="1">{#N/A,#N/A,FALSE,"KMC최종회의(7월) 자료"}</definedName>
    <definedName name="_193Q123_" hidden="1">{"'7-2지역별'!$A$1:$R$44"}</definedName>
    <definedName name="_193W9_" hidden="1">{#N/A,#N/A,FALSE,"KMC최종회의(7월) 자료"}</definedName>
    <definedName name="_193X3_" hidden="1">{#N/A,#N/A,FALSE,"KMC최종회의(7월) 자료"}</definedName>
    <definedName name="_193X6_" hidden="1">{#N/A,#N/A,FALSE,"KMC최종회의(7월) 자료"}</definedName>
    <definedName name="_193Z1_" hidden="1">{#N/A,#N/A,FALSE,"KMC최종회의(7월) 자료"}</definedName>
    <definedName name="_193Z4_" hidden="1">{#N/A,#N/A,FALSE,"KMC최종회의(7월) 자료"}</definedName>
    <definedName name="_193Z6_" hidden="1">{#N/A,#N/A,FALSE,"KMC최종회의(7월) 자료"}</definedName>
    <definedName name="_193Z7_" hidden="1">{#N/A,#N/A,FALSE,"KMC최종회의(7월) 자료"}</definedName>
    <definedName name="_1941S3_" hidden="1">{#N/A,#N/A,FALSE,"KMC최종회의(7월) 자료"}</definedName>
    <definedName name="_1941S3__1" hidden="1">{#N/A,#N/A,FALSE,"KMC최종회의(7월) 자료"}</definedName>
    <definedName name="_194CL33_" hidden="1">{#N/A,#N/A,FALSE,"KMC최종회의(7월) 자료"}</definedName>
    <definedName name="_194E1_" hidden="1">{#N/A,#N/A,FALSE,"KMC최종회의(7월) 자료"}</definedName>
    <definedName name="_194H20_" hidden="1">{#N/A,#N/A,FALSE,"단축1";#N/A,#N/A,FALSE,"단축2";#N/A,#N/A,FALSE,"단축3";#N/A,#N/A,FALSE,"장축";#N/A,#N/A,FALSE,"4WD"}</definedName>
    <definedName name="_194HL1_" hidden="1">{#N/A,#N/A,FALSE,"단축1";#N/A,#N/A,FALSE,"단축2";#N/A,#N/A,FALSE,"단축3";#N/A,#N/A,FALSE,"장축";#N/A,#N/A,FALSE,"4WD"}</definedName>
    <definedName name="_194HP02_" hidden="1">{#N/A,#N/A,FALSE,"단축1";#N/A,#N/A,FALSE,"단축2";#N/A,#N/A,FALSE,"단축3";#N/A,#N/A,FALSE,"장축";#N/A,#N/A,FALSE,"4WD"}</definedName>
    <definedName name="_194Q1232_" hidden="1">{"'7-2지역별'!$A$1:$R$44"}</definedName>
    <definedName name="_194Q5555_" hidden="1">{"'7-2지역별'!$A$1:$R$44"}</definedName>
    <definedName name="_194s2_" hidden="1">{#N/A,#N/A,FALSE,"신규dep";#N/A,#N/A,FALSE,"신규dep-금형상각후";#N/A,#N/A,FALSE,"신규dep-연구비상각후";#N/A,#N/A,FALSE,"신규dep-기계,공구상각후"}</definedName>
    <definedName name="_194S3_" hidden="1">{#N/A,#N/A,FALSE,"KMC최종회의(7월) 자료"}</definedName>
    <definedName name="_194S4_" hidden="1">{#N/A,#N/A,FALSE,"KMC최종회의(7월) 자료"}</definedName>
    <definedName name="_194T5_" hidden="1">{#N/A,#N/A,FALSE,"단축1";#N/A,#N/A,FALSE,"단축2";#N/A,#N/A,FALSE,"단축3";#N/A,#N/A,FALSE,"장축";#N/A,#N/A,FALSE,"4WD"}</definedName>
    <definedName name="_194W9_" hidden="1">{#N/A,#N/A,FALSE,"KMC최종회의(7월) 자료"}</definedName>
    <definedName name="_194X4_" hidden="1">{#N/A,#N/A,FALSE,"KMC최종회의(7월) 자료"}</definedName>
    <definedName name="_194X7_" hidden="1">{#N/A,#N/A,FALSE,"KMC최종회의(7월) 자료"}</definedName>
    <definedName name="_194z1_" hidden="1">{#N/A,#N/A,FALSE,"단축1";#N/A,#N/A,FALSE,"단축2";#N/A,#N/A,FALSE,"단축3";#N/A,#N/A,FALSE,"장축";#N/A,#N/A,FALSE,"4WD"}</definedName>
    <definedName name="_194Z4_" hidden="1">{#N/A,#N/A,FALSE,"KMC최종회의(7월) 자료"}</definedName>
    <definedName name="_194Z7_" hidden="1">{#N/A,#N/A,FALSE,"KMC최종회의(7월) 자료"}</definedName>
    <definedName name="_194Z9_" hidden="1">{#N/A,#N/A,FALSE,"KMC최종회의(7월) 자료"}</definedName>
    <definedName name="_195E2_" hidden="1">{#N/A,#N/A,FALSE,"KMC최종회의(7월) 자료"}</definedName>
    <definedName name="_195EO2_" hidden="1">{#N/A,#N/A,FALSE,"신규dep";#N/A,#N/A,FALSE,"신규dep-금형상각후";#N/A,#N/A,FALSE,"신규dep-연구비상각후";#N/A,#N/A,FALSE,"신규dep-기계,공구상각후"}</definedName>
    <definedName name="_195HL2_" hidden="1">{#N/A,#N/A,FALSE,"단축1";#N/A,#N/A,FALSE,"단축2";#N/A,#N/A,FALSE,"단축3";#N/A,#N/A,FALSE,"장축";#N/A,#N/A,FALSE,"4WD"}</definedName>
    <definedName name="_195Q1233_" hidden="1">{"'7-2지역별'!$A$1:$R$44"}</definedName>
    <definedName name="_195Q8_" hidden="1">{#N/A,#N/A,FALSE,"KMC최종회의(7월) 자료"}</definedName>
    <definedName name="_195S5_" hidden="1">{#N/A,#N/A,FALSE,"KMC최종회의(7월) 자료"}</definedName>
    <definedName name="_195s7_" hidden="1">{#N/A,#N/A,FALSE,"신규dep";#N/A,#N/A,FALSE,"신규dep-금형상각후";#N/A,#N/A,FALSE,"신규dep-연구비상각후";#N/A,#N/A,FALSE,"신규dep-기계,공구상각후"}</definedName>
    <definedName name="_195s7__1" hidden="1">{#N/A,#N/A,FALSE,"신규dep";#N/A,#N/A,FALSE,"신규dep-금형상각후";#N/A,#N/A,FALSE,"신규dep-연구비상각후";#N/A,#N/A,FALSE,"신규dep-기계,공구상각후"}</definedName>
    <definedName name="_195S8_" hidden="1">{#N/A,#N/A,FALSE,"KMC최종회의(7월) 자료"}</definedName>
    <definedName name="_195W1_" hidden="1">{#N/A,#N/A,FALSE,"KMC최종회의(7월) 자료"}</definedName>
    <definedName name="_195W3_" hidden="1">{#N/A,#N/A,FALSE,"KMC최종회의(7월) 자료"}</definedName>
    <definedName name="_195W4_" hidden="1">{#N/A,#N/A,FALSE,"KMC최종회의(7월) 자료"}</definedName>
    <definedName name="_195X1_" hidden="1">{#N/A,#N/A,FALSE,"KMC최종회의(7월) 자료"}</definedName>
    <definedName name="_195X5_" hidden="1">{#N/A,#N/A,FALSE,"KMC최종회의(7월) 자료"}</definedName>
    <definedName name="_195X7_" hidden="1">{#N/A,#N/A,FALSE,"KMC최종회의(7월) 자료"}</definedName>
    <definedName name="_195X8_" hidden="1">{#N/A,#N/A,FALSE,"KMC최종회의(7월) 자료"}</definedName>
    <definedName name="_195Z2_" hidden="1">{#N/A,#N/A,FALSE,"KMC최종회의(7월) 자료"}</definedName>
    <definedName name="_195Z8_" hidden="1">{#N/A,#N/A,FALSE,"KMC최종회의(7월) 자료"}</definedName>
    <definedName name="_196HL3_" hidden="1">{#N/A,#N/A,TRUE,"Y생산";#N/A,#N/A,TRUE,"Y판매";#N/A,#N/A,TRUE,"Y총물량";#N/A,#N/A,TRUE,"Y능력";#N/A,#N/A,TRUE,"YKD"}</definedName>
    <definedName name="_196q5_" hidden="1">{#N/A,#N/A,FALSE,"신규dep";#N/A,#N/A,FALSE,"신규dep-금형상각후";#N/A,#N/A,FALSE,"신규dep-연구비상각후";#N/A,#N/A,FALSE,"신규dep-기계,공구상각후"}</definedName>
    <definedName name="_196S1_" hidden="1">{#N/A,#N/A,FALSE,"KMC최종회의(7월) 자료"}</definedName>
    <definedName name="_196S6_" hidden="1">{#N/A,#N/A,FALSE,"KMC최종회의(7월) 자료"}</definedName>
    <definedName name="_196S6__1" hidden="1">{#N/A,#N/A,FALSE,"KMC최종회의(7월) 자료"}</definedName>
    <definedName name="_196T3_" hidden="1">{#N/A,#N/A,FALSE,"단축1";#N/A,#N/A,FALSE,"단축2";#N/A,#N/A,FALSE,"단축3";#N/A,#N/A,FALSE,"장축";#N/A,#N/A,FALSE,"4WD"}</definedName>
    <definedName name="_196W2_" hidden="1">{#N/A,#N/A,FALSE,"KMC최종회의(7월) 자료"}</definedName>
    <definedName name="_196X1_" hidden="1">{#N/A,#N/A,FALSE,"KMC최종회의(7월) 자료"}</definedName>
    <definedName name="_196X4_" hidden="1">{#N/A,#N/A,FALSE,"KMC최종회의(7월) 자료"}</definedName>
    <definedName name="_196X6_" hidden="1">{#N/A,#N/A,FALSE,"KMC최종회의(7월) 자료"}</definedName>
    <definedName name="_196Z4_" hidden="1">{#N/A,#N/A,FALSE,"KMC최종회의(7월) 자료"}</definedName>
    <definedName name="_196Z5_" hidden="1">{#N/A,#N/A,FALSE,"KMC최종회의(7월) 자료"}</definedName>
    <definedName name="_196Z6_" hidden="1">{#N/A,#N/A,FALSE,"KMC최종회의(7월) 자료"}</definedName>
    <definedName name="_196Z7_" hidden="1">{#N/A,#N/A,FALSE,"KMC최종회의(7월) 자료"}</definedName>
    <definedName name="_197____S" hidden="1">#REF!</definedName>
    <definedName name="_1974S4_" hidden="1">{#N/A,#N/A,FALSE,"KMC최종회의(7월) 자료"}</definedName>
    <definedName name="_1974S4__1" hidden="1">{#N/A,#N/A,FALSE,"KMC최종회의(7월) 자료"}</definedName>
    <definedName name="_197HP02_" hidden="1">{#N/A,#N/A,FALSE,"단축1";#N/A,#N/A,FALSE,"단축2";#N/A,#N/A,FALSE,"단축3";#N/A,#N/A,FALSE,"장축";#N/A,#N/A,FALSE,"4WD"}</definedName>
    <definedName name="_197Q3_" hidden="1">{#N/A,#N/A,FALSE,"KMC최종회의(7월) 자료"}</definedName>
    <definedName name="_197X1_" hidden="1">{#N/A,#N/A,FALSE,"KMC최종회의(7월) 자료"}</definedName>
    <definedName name="_197X2_" hidden="1">{#N/A,#N/A,FALSE,"KMC최종회의(7월) 자료"}</definedName>
    <definedName name="_197X7_" hidden="1">{#N/A,#N/A,FALSE,"KMC최종회의(7월) 자료"}</definedName>
    <definedName name="_197Z3_" hidden="1">{#N/A,#N/A,FALSE,"KMC최종회의(7월) 자료"}</definedName>
    <definedName name="_197Z5_" hidden="1">{#N/A,#N/A,FALSE,"KMC최종회의(7월) 자료"}</definedName>
    <definedName name="_197Z8_" hidden="1">{#N/A,#N/A,FALSE,"KMC최종회의(7월) 자료"}</definedName>
    <definedName name="_197Z9_" hidden="1">{#N/A,#N/A,FALSE,"KMC최종회의(7월) 자료"}</definedName>
    <definedName name="_198__0_S" hidden="1">#REF!</definedName>
    <definedName name="_198HP2_" hidden="1">{#N/A,#N/A,FALSE,"단축1";#N/A,#N/A,FALSE,"단축2";#N/A,#N/A,FALSE,"단축3";#N/A,#N/A,FALSE,"장축";#N/A,#N/A,FALSE,"4WD"}</definedName>
    <definedName name="_198S3_" hidden="1">{#N/A,#N/A,FALSE,"KMC최종회의(7월) 자료"}</definedName>
    <definedName name="_198S4_" hidden="1">{#N/A,#N/A,FALSE,"KMC최종회의(7월) 자료"}</definedName>
    <definedName name="_198S5_" hidden="1">{#N/A,#N/A,FALSE,"KMC최종회의(7월) 자료"}</definedName>
    <definedName name="_198S6_" hidden="1">{#N/A,#N/A,FALSE,"KMC최종회의(7월) 자료"}</definedName>
    <definedName name="_198T2_" hidden="1">{#N/A,#N/A,FALSE,"단축1";#N/A,#N/A,FALSE,"단축2";#N/A,#N/A,FALSE,"단축3";#N/A,#N/A,FALSE,"장축";#N/A,#N/A,FALSE,"4WD"}</definedName>
    <definedName name="_198W5_" hidden="1">{#N/A,#N/A,FALSE,"KMC최종회의(7월) 자료"}</definedName>
    <definedName name="_198W7_" hidden="1">{#N/A,#N/A,FALSE,"KMC최종회의(7월) 자료"}</definedName>
    <definedName name="_198X2_" hidden="1">{#N/A,#N/A,FALSE,"KMC최종회의(7월) 자료"}</definedName>
    <definedName name="_198X8_" hidden="1">{#N/A,#N/A,FALSE,"KMC최종회의(7월) 자료"}</definedName>
    <definedName name="_198Z1_" hidden="1">{#N/A,#N/A,FALSE,"KMC최종회의(7월) 자료"}</definedName>
    <definedName name="_198z123_" hidden="1">{#N/A,#N/A,FALSE,"단축1";#N/A,#N/A,FALSE,"단축2";#N/A,#N/A,FALSE,"단축3";#N/A,#N/A,FALSE,"장축";#N/A,#N/A,FALSE,"4WD"}</definedName>
    <definedName name="_199k1_" hidden="1">#REF!</definedName>
    <definedName name="_199s3_" hidden="1">{#N/A,#N/A,FALSE,"단축1";#N/A,#N/A,FALSE,"단축2";#N/A,#N/A,FALSE,"단축3";#N/A,#N/A,FALSE,"장축";#N/A,#N/A,FALSE,"4WD"}</definedName>
    <definedName name="_199S5_" hidden="1">{#N/A,#N/A,FALSE,"KMC최종회의(7월) 자료"}</definedName>
    <definedName name="_199S6_" hidden="1">{#N/A,#N/A,FALSE,"KMC최종회의(7월) 자료"}</definedName>
    <definedName name="_199X3_" hidden="1">{#N/A,#N/A,FALSE,"KMC최종회의(7월) 자료"}</definedName>
    <definedName name="_199X8_" hidden="1">{#N/A,#N/A,FALSE,"KMC최종회의(7월) 자료"}</definedName>
    <definedName name="_199Z1_" hidden="1">{#N/A,#N/A,FALSE,"KMC최종회의(7월) 자료"}</definedName>
    <definedName name="_199Z4_" hidden="1">{#N/A,#N/A,FALSE,"KMC최종회의(7월) 자료"}</definedName>
    <definedName name="_199Z6_" hidden="1">{#N/A,#N/A,FALSE,"KMC최종회의(7월) 자료"}</definedName>
    <definedName name="_19A02_" hidden="1">{#N/A,#N/A,FALSE,"단축1";#N/A,#N/A,FALSE,"단축2";#N/A,#N/A,FALSE,"단축3";#N/A,#N/A,FALSE,"장축";#N/A,#N/A,FALSE,"4WD"}</definedName>
    <definedName name="_19A1_" hidden="1">{#N/A,#N/A,FALSE,"KMC최종회의(7월) 자료"}</definedName>
    <definedName name="_19A21321_" hidden="1">{#N/A,#N/A,FALSE,"단축1";#N/A,#N/A,FALSE,"단축2";#N/A,#N/A,FALSE,"단축3";#N/A,#N/A,FALSE,"장축";#N/A,#N/A,FALSE,"4WD"}</definedName>
    <definedName name="_19A4_" hidden="1">{#N/A,#N/A,FALSE,"KMC최종회의(7월) 자료"}</definedName>
    <definedName name="_19A5_" hidden="1">{#N/A,#N/A,FALSE,"KMC최종회의(7월) 자료"}</definedName>
    <definedName name="_19A6_" hidden="1">{#N/A,#N/A,FALSE,"KMC최종회의(7월) 자료"}</definedName>
    <definedName name="_19A6__1" hidden="1">{#N/A,#N/A,FALSE,"KMC최종회의(7월) 자료"}</definedName>
    <definedName name="_19A7_" hidden="1">{#N/A,#N/A,FALSE,"KMC최종회의(7월) 자료"}</definedName>
    <definedName name="_19A8_" hidden="1">{#N/A,#N/A,FALSE,"KMC최종회의(7월) 자료"}</definedName>
    <definedName name="_19A9_" hidden="1">{#N/A,#N/A,FALSE,"KMC최종회의(7월) 자료"}</definedName>
    <definedName name="_19AS6_" hidden="1">{#N/A,#N/A,FALSE,"Australien";#N/A,#N/A,FALSE,"Birmingham";#N/A,#N/A,FALSE,"Brasilien";#N/A,#N/A,FALSE,"Prag";#N/A,#N/A,FALSE,"Spanien";#N/A,#N/A,FALSE,"Malaysia ( Com)";#N/A,#N/A,FALSE,"Malaysia (Instr)"}</definedName>
    <definedName name="_19CL22_" hidden="1">{#N/A,#N/A,FALSE,"KMC최종회의(7월) 자료"}</definedName>
    <definedName name="_19CL33_" hidden="1">{#N/A,#N/A,FALSE,"KMC최종회의(7월) 자료"}</definedName>
    <definedName name="_19DB777_" hidden="1">{#N/A,#N/A,TRUE,"Y생산";#N/A,#N/A,TRUE,"Y판매";#N/A,#N/A,TRUE,"Y총물량";#N/A,#N/A,TRUE,"Y능력";#N/A,#N/A,TRUE,"YKD"}</definedName>
    <definedName name="_19E1_" hidden="1">{#N/A,#N/A,FALSE,"KMC최종회의(7월) 자료"}</definedName>
    <definedName name="_19E2_" hidden="1">{#N/A,#N/A,FALSE,"KMC최종회의(7월) 자료"}</definedName>
    <definedName name="_19e8_" hidden="1">{#N/A,#N/A,FALSE,"신규dep";#N/A,#N/A,FALSE,"신규dep-금형상각후";#N/A,#N/A,FALSE,"신규dep-연구비상각후";#N/A,#N/A,FALSE,"신규dep-기계,공구상각후"}</definedName>
    <definedName name="_19FG1_" hidden="1">{#N/A,#N/A,FALSE,"단축1";#N/A,#N/A,FALSE,"단축2";#N/A,#N/A,FALSE,"단축3";#N/A,#N/A,FALSE,"장축";#N/A,#N/A,FALSE,"4WD"}</definedName>
    <definedName name="_19h2_" hidden="1">{"'표지'!$B$5"}</definedName>
    <definedName name="_19HP2_" hidden="1">{#N/A,#N/A,FALSE,"단축1";#N/A,#N/A,FALSE,"단축2";#N/A,#N/A,FALSE,"단축3";#N/A,#N/A,FALSE,"장축";#N/A,#N/A,FALSE,"4WD"}</definedName>
    <definedName name="_19K115_" hidden="1">{#N/A,#N/A,FALSE,"인원";#N/A,#N/A,FALSE,"비용2";#N/A,#N/A,FALSE,"비용1";#N/A,#N/A,FALSE,"비용";#N/A,#N/A,FALSE,"보증2";#N/A,#N/A,FALSE,"보증1";#N/A,#N/A,FALSE,"보증";#N/A,#N/A,FALSE,"손익1";#N/A,#N/A,FALSE,"손익";#N/A,#N/A,FALSE,"부서별매출";#N/A,#N/A,FALSE,"매출"}</definedName>
    <definedName name="_19k9_" hidden="1">{#N/A,#N/A,FALSE,"단축1";#N/A,#N/A,FALSE,"단축2";#N/A,#N/A,FALSE,"단축3";#N/A,#N/A,FALSE,"장축";#N/A,#N/A,FALSE,"4WD"}</definedName>
    <definedName name="_19P21_" hidden="1">{#N/A,#N/A,FALSE,"단축1";#N/A,#N/A,FALSE,"단축2";#N/A,#N/A,FALSE,"단축3";#N/A,#N/A,FALSE,"장축";#N/A,#N/A,FALSE,"4WD"}</definedName>
    <definedName name="_19Q1_" hidden="1">{#N/A,#N/A,FALSE,"KMC최종회의(7월) 자료"}</definedName>
    <definedName name="_19Q2_" hidden="1">{#N/A,#N/A,FALSE,"KMC최종회의(7월) 자료"}</definedName>
    <definedName name="_19Q3_" hidden="1">{#N/A,#N/A,FALSE,"KMC최종회의(7월) 자료"}</definedName>
    <definedName name="_19Q5_" hidden="1">{#N/A,#N/A,FALSE,"KMC최종회의(7월) 자료"}</definedName>
    <definedName name="_19Q5__1" hidden="1">{#N/A,#N/A,FALSE,"KMC최종회의(7월) 자료"}</definedName>
    <definedName name="_19Q7_" hidden="1">{#N/A,#N/A,FALSE,"KMC최종회의(7월) 자료"}</definedName>
    <definedName name="_19Q8_" hidden="1">{#N/A,#N/A,FALSE,"KMC최종회의(7월) 자료"}</definedName>
    <definedName name="_19Q9_" hidden="1">{#N/A,#N/A,FALSE,"KMC최종회의(7월) 자료"}</definedName>
    <definedName name="_19S1_" hidden="1">{#N/A,#N/A,FALSE,"KMC최종회의(7월) 자료"}</definedName>
    <definedName name="_19S1__1" hidden="1">{#N/A,#N/A,FALSE,"KMC최종회의(7월) 자료"}</definedName>
    <definedName name="_19S2_" hidden="1">{#N/A,#N/A,FALSE,"KMC최종회의(7월) 자료"}</definedName>
    <definedName name="_19S2__1" hidden="1">{#N/A,#N/A,FALSE,"KMC최종회의(7월) 자료"}</definedName>
    <definedName name="_19T2_" hidden="1">{#N/A,#N/A,FALSE,"단축1";#N/A,#N/A,FALSE,"단축2";#N/A,#N/A,FALSE,"단축3";#N/A,#N/A,FALSE,"장축";#N/A,#N/A,FALSE,"4WD"}</definedName>
    <definedName name="_19X5_" hidden="1">{#N/A,#N/A,FALSE,"KMC최종회의(7월) 자료"}</definedName>
    <definedName name="_1A02_" hidden="1">{#N/A,#N/A,FALSE,"단축1";#N/A,#N/A,FALSE,"단축2";#N/A,#N/A,FALSE,"단축3";#N/A,#N/A,FALSE,"장축";#N/A,#N/A,FALSE,"4WD"}</definedName>
    <definedName name="_1A1_" hidden="1">{#N/A,#N/A,FALSE,"KMC최종회의(7월) 자료"}</definedName>
    <definedName name="_1A1__1" hidden="1">{#N/A,#N/A,FALSE,"KMC최종회의(7월) 자료"}</definedName>
    <definedName name="_1a2_" hidden="1">{#N/A,#N/A,FALSE,"단축1";#N/A,#N/A,FALSE,"단축2";#N/A,#N/A,FALSE,"단축3";#N/A,#N/A,FALSE,"장축";#N/A,#N/A,FALSE,"4WD"}</definedName>
    <definedName name="_1a3_" hidden="1">#REF!</definedName>
    <definedName name="_1A4_" hidden="1">{#N/A,#N/A,FALSE,"KMC최종회의(7월) 자료"}</definedName>
    <definedName name="_1A5_" hidden="1">{#N/A,#N/A,FALSE,"KMC최종회의(7월) 자료"}</definedName>
    <definedName name="_1AS6_" hidden="1">{#N/A,#N/A,FALSE,"Australien";#N/A,#N/A,FALSE,"Birmingham";#N/A,#N/A,FALSE,"Brasilien";#N/A,#N/A,FALSE,"Prag";#N/A,#N/A,FALSE,"Spanien";#N/A,#N/A,FALSE,"Malaysia ( Com)";#N/A,#N/A,FALSE,"Malaysia (Instr)"}</definedName>
    <definedName name="_1AT1_" hidden="1">{#N/A,#N/A,FALSE,"인원";#N/A,#N/A,FALSE,"비용2";#N/A,#N/A,FALSE,"비용1";#N/A,#N/A,FALSE,"비용";#N/A,#N/A,FALSE,"보증2";#N/A,#N/A,FALSE,"보증1";#N/A,#N/A,FALSE,"보증";#N/A,#N/A,FALSE,"손익1";#N/A,#N/A,FALSE,"손익";#N/A,#N/A,FALSE,"부서별매출";#N/A,#N/A,FALSE,"매출"}</definedName>
    <definedName name="_1DB777_" hidden="1">{#N/A,#N/A,TRUE,"Y생산";#N/A,#N/A,TRUE,"Y판매";#N/A,#N/A,TRUE,"Y총물량";#N/A,#N/A,TRUE,"Y능력";#N/A,#N/A,TRUE,"YKD"}</definedName>
    <definedName name="_1FG1_" hidden="1">{#N/A,#N/A,FALSE,"단축1";#N/A,#N/A,FALSE,"단축2";#N/A,#N/A,FALSE,"단축3";#N/A,#N/A,FALSE,"장축";#N/A,#N/A,FALSE,"4WD"}</definedName>
    <definedName name="_1P_P" hidden="1">{#N/A,#N/A,FALSE,"단축1";#N/A,#N/A,FALSE,"단축2";#N/A,#N/A,FALSE,"단축3";#N/A,#N/A,FALSE,"장축";#N/A,#N/A,FALSE,"4WD"}</definedName>
    <definedName name="_2_____________________________________________________________________0_S" hidden="1">#REF!</definedName>
    <definedName name="_2________________________________________________0_S" hidden="1">#REF!</definedName>
    <definedName name="_2___________0_S" hidden="1">#REF!</definedName>
    <definedName name="_2____0_S" hidden="1">#REF!</definedName>
    <definedName name="_2__123Graph_ABORE_圧縮比" hidden="1">#REF!</definedName>
    <definedName name="_2__123Graph_ACHART_3" hidden="1">#REF!</definedName>
    <definedName name="_2___0_S" hidden="1">#REF!</definedName>
    <definedName name="_2_123Grap" hidden="1">#REF!</definedName>
    <definedName name="_2_7_0__123Grap" hidden="1">#REF!</definedName>
    <definedName name="_2____S" hidden="1">#REF!</definedName>
    <definedName name="_2__0_S" hidden="1">#REF!</definedName>
    <definedName name="_20__123Graph_AC04C_ALL_T1" hidden="1">#REF!</definedName>
    <definedName name="_20__123Graph_BCHART_3" hidden="1">#REF!</definedName>
    <definedName name="_20__123Graph_LBL_AC04C_FR_T1" hidden="1">#REF!</definedName>
    <definedName name="_20_9_0__123Graph_LB" hidden="1">#REF!</definedName>
    <definedName name="_200__0_S" hidden="1">#REF!</definedName>
    <definedName name="_2007S5_" hidden="1">{#N/A,#N/A,FALSE,"KMC최종회의(7월) 자료"}</definedName>
    <definedName name="_2007S5__1" hidden="1">{#N/A,#N/A,FALSE,"KMC최종회의(7월) 자료"}</definedName>
    <definedName name="_200E222_" hidden="1">{#N/A,#N/A,FALSE,"단축1";#N/A,#N/A,FALSE,"단축2";#N/A,#N/A,FALSE,"단축3";#N/A,#N/A,FALSE,"장축";#N/A,#N/A,FALSE,"4WD"}</definedName>
    <definedName name="_200HP02_" hidden="1">{#N/A,#N/A,FALSE,"단축1";#N/A,#N/A,FALSE,"단축2";#N/A,#N/A,FALSE,"단축3";#N/A,#N/A,FALSE,"장축";#N/A,#N/A,FALSE,"4WD"}</definedName>
    <definedName name="_200s8_" hidden="1">{#N/A,#N/A,FALSE,"신규dep";#N/A,#N/A,FALSE,"신규dep-금형상각후";#N/A,#N/A,FALSE,"신규dep-연구비상각후";#N/A,#N/A,FALSE,"신규dep-기계,공구상각후"}</definedName>
    <definedName name="_200s8__1" hidden="1">{#N/A,#N/A,FALSE,"신규dep";#N/A,#N/A,FALSE,"신규dep-금형상각후";#N/A,#N/A,FALSE,"신규dep-연구비상각후";#N/A,#N/A,FALSE,"신규dep-기계,공구상각후"}</definedName>
    <definedName name="_200T2_" hidden="1">{#N/A,#N/A,FALSE,"단축1";#N/A,#N/A,FALSE,"단축2";#N/A,#N/A,FALSE,"단축3";#N/A,#N/A,FALSE,"장축";#N/A,#N/A,FALSE,"4WD"}</definedName>
    <definedName name="_200W2_" hidden="1">{#N/A,#N/A,FALSE,"KMC최종회의(7월) 자료"}</definedName>
    <definedName name="_200W4_" hidden="1">{#N/A,#N/A,FALSE,"KMC최종회의(7월) 자료"}</definedName>
    <definedName name="_200X2_" hidden="1">{#N/A,#N/A,FALSE,"KMC최종회의(7월) 자료"}</definedName>
    <definedName name="_200X3_" hidden="1">{#N/A,#N/A,FALSE,"KMC최종회의(7월) 자료"}</definedName>
    <definedName name="_200X5_" hidden="1">{#N/A,#N/A,FALSE,"KMC최종회의(7월) 자료"}</definedName>
    <definedName name="_200Z2_" hidden="1">{#N/A,#N/A,FALSE,"KMC최종회의(7월) 자료"}</definedName>
    <definedName name="_200Z5_" hidden="1">{#N/A,#N/A,FALSE,"KMC최종회의(7월) 자료"}</definedName>
    <definedName name="_200Z6_" hidden="1">{#N/A,#N/A,FALSE,"KMC최종회의(7월) 자료"}</definedName>
    <definedName name="_200Z7_" hidden="1">{#N/A,#N/A,FALSE,"KMC최종회의(7월) 자료"}</definedName>
    <definedName name="_200Z9_" hidden="1">{#N/A,#N/A,FALSE,"KMC최종회의(7월) 자료"}</definedName>
    <definedName name="_201HP2_" hidden="1">{#N/A,#N/A,FALSE,"단축1";#N/A,#N/A,FALSE,"단축2";#N/A,#N/A,FALSE,"단축3";#N/A,#N/A,FALSE,"장축";#N/A,#N/A,FALSE,"4WD"}</definedName>
    <definedName name="_201Q2342_" hidden="1">{"'7-2지역별'!$A$1:$R$44"}</definedName>
    <definedName name="_201Q5_" hidden="1">{#N/A,#N/A,FALSE,"KMC최종회의(7월) 자료"}</definedName>
    <definedName name="_201S4_" hidden="1">{#N/A,#N/A,FALSE,"KMC최종회의(7월) 자료"}</definedName>
    <definedName name="_201S4__1" hidden="1">{#N/A,#N/A,FALSE,"KMC최종회의(7월) 자료"}</definedName>
    <definedName name="_201U1_" hidden="1">{#N/A,#N/A,FALSE,"단축1";#N/A,#N/A,FALSE,"단축2";#N/A,#N/A,FALSE,"단축3";#N/A,#N/A,FALSE,"장축";#N/A,#N/A,FALSE,"4WD"}</definedName>
    <definedName name="_201W6_" hidden="1">{#N/A,#N/A,FALSE,"KMC최종회의(7월) 자료"}</definedName>
    <definedName name="_201X2_" hidden="1">{#N/A,#N/A,FALSE,"KMC최종회의(7월) 자료"}</definedName>
    <definedName name="_201X4_" hidden="1">{#N/A,#N/A,FALSE,"KMC최종회의(7월) 자료"}</definedName>
    <definedName name="_201X8_" hidden="1">{#N/A,#N/A,FALSE,"KMC최종회의(7월) 자료"}</definedName>
    <definedName name="_201Z2_" hidden="1">{#N/A,#N/A,FALSE,"KMC최종회의(7월) 자료"}</definedName>
    <definedName name="_201Z3_" hidden="1">{#N/A,#N/A,FALSE,"KMC최종회의(7월) 자료"}</definedName>
    <definedName name="_201Z5_" hidden="1">{#N/A,#N/A,FALSE,"KMC최종회의(7월) 자료"}</definedName>
    <definedName name="_202____S" hidden="1">#REF!</definedName>
    <definedName name="_202FG1_" hidden="1">{#N/A,#N/A,FALSE,"단축1";#N/A,#N/A,FALSE,"단축2";#N/A,#N/A,FALSE,"단축3";#N/A,#N/A,FALSE,"장축";#N/A,#N/A,FALSE,"4WD"}</definedName>
    <definedName name="_202Q5678_" hidden="1">{"'7-2지역별'!$A$1:$R$44"}</definedName>
    <definedName name="_202S2_" hidden="1">{#N/A,#N/A,FALSE,"KMC최종회의(7월) 자료"}</definedName>
    <definedName name="_202S5_" hidden="1">{#N/A,#N/A,FALSE,"KMC최종회의(7월) 자료"}</definedName>
    <definedName name="_202S6_" hidden="1">{#N/A,#N/A,FALSE,"KMC최종회의(7월) 자료"}</definedName>
    <definedName name="_202X4_" hidden="1">{#N/A,#N/A,FALSE,"KMC최종회의(7월) 자료"}</definedName>
    <definedName name="_202Z1_" hidden="1">{#N/A,#N/A,FALSE,"KMC최종회의(7월) 자료"}</definedName>
    <definedName name="_202z2_" hidden="1">{#N/A,#N/A,FALSE,"단축1";#N/A,#N/A,FALSE,"단축2";#N/A,#N/A,FALSE,"단축3";#N/A,#N/A,FALSE,"장축";#N/A,#N/A,FALSE,"4WD"}</definedName>
    <definedName name="_202Z4_" hidden="1">{#N/A,#N/A,FALSE,"KMC최종회의(7월) 자료"}</definedName>
    <definedName name="_202Z7_" hidden="1">{#N/A,#N/A,FALSE,"KMC최종회의(7월) 자료"}</definedName>
    <definedName name="_202Z9_" hidden="1">{#N/A,#N/A,FALSE,"KMC최종회의(7월) 자료"}</definedName>
    <definedName name="_203__0_S" hidden="1">#REF!</definedName>
    <definedName name="_203E2_" hidden="1">{#N/A,#N/A,FALSE,"KMC최종회의(7월) 자료"}</definedName>
    <definedName name="_203q6_" hidden="1">{#N/A,#N/A,FALSE,"신규dep";#N/A,#N/A,FALSE,"신규dep-금형상각후";#N/A,#N/A,FALSE,"신규dep-연구비상각후";#N/A,#N/A,FALSE,"신규dep-기계,공구상각후"}</definedName>
    <definedName name="_203Q9_" hidden="1">{#N/A,#N/A,FALSE,"KMC최종회의(7월) 자료"}</definedName>
    <definedName name="_203S2_" hidden="1">{#N/A,#N/A,FALSE,"KMC최종회의(7월) 자료"}</definedName>
    <definedName name="_203S7_" hidden="1">{#N/A,#N/A,FALSE,"KMC최종회의(7월) 자료"}</definedName>
    <definedName name="_203S7__1" hidden="1">{#N/A,#N/A,FALSE,"KMC최종회의(7월) 자료"}</definedName>
    <definedName name="_203W3_" hidden="1">{#N/A,#N/A,FALSE,"KMC최종회의(7월) 자료"}</definedName>
    <definedName name="_203X5_" hidden="1">{#N/A,#N/A,FALSE,"KMC최종회의(7월) 자료"}</definedName>
    <definedName name="_203Z1_" hidden="1">{#N/A,#N/A,FALSE,"KMC최종회의(7월) 자료"}</definedName>
    <definedName name="_203Z5_" hidden="1">{#N/A,#N/A,FALSE,"KMC최종회의(7월) 자료"}</definedName>
    <definedName name="_203Z6_" hidden="1">{#N/A,#N/A,FALSE,"KMC최종회의(7월) 자료"}</definedName>
    <definedName name="_203Z7_" hidden="1">{#N/A,#N/A,FALSE,"KMC최종회의(7월) 자료"}</definedName>
    <definedName name="_204____S" hidden="1">#REF!</definedName>
    <definedName name="_2040S6_" hidden="1">{#N/A,#N/A,FALSE,"KMC최종회의(7월) 자료"}</definedName>
    <definedName name="_2040S6__1" hidden="1">{#N/A,#N/A,FALSE,"KMC최종회의(7월) 자료"}</definedName>
    <definedName name="_204EO2_" hidden="1">{#N/A,#N/A,FALSE,"신규dep";#N/A,#N/A,FALSE,"신규dep-금형상각후";#N/A,#N/A,FALSE,"신규dep-연구비상각후";#N/A,#N/A,FALSE,"신규dep-기계,공구상각후"}</definedName>
    <definedName name="_204Q8_" hidden="1">{#N/A,#N/A,FALSE,"KMC최종회의(7월) 자료"}</definedName>
    <definedName name="_204s4_" hidden="1">{#N/A,#N/A,FALSE,"단축1";#N/A,#N/A,FALSE,"단축2";#N/A,#N/A,FALSE,"단축3";#N/A,#N/A,FALSE,"장축";#N/A,#N/A,FALSE,"4WD"}</definedName>
    <definedName name="_204S7_" hidden="1">{#N/A,#N/A,FALSE,"KMC최종회의(7월) 자료"}</definedName>
    <definedName name="_204W7_" hidden="1">{#N/A,#N/A,FALSE,"KMC최종회의(7월) 자료"}</definedName>
    <definedName name="_204W8_" hidden="1">{#N/A,#N/A,FALSE,"KMC최종회의(7월) 자료"}</definedName>
    <definedName name="_204X5_" hidden="1">{#N/A,#N/A,FALSE,"KMC최종회의(7월) 자료"}</definedName>
    <definedName name="_204X6_" hidden="1">{#N/A,#N/A,FALSE,"KMC최종회의(7월) 자료"}</definedName>
    <definedName name="_204Z3_" hidden="1">{#N/A,#N/A,FALSE,"KMC최종회의(7월) 자료"}</definedName>
    <definedName name="_204Z6_" hidden="1">{#N/A,#N/A,FALSE,"KMC최종회의(7월) 자료"}</definedName>
    <definedName name="_204Z8_" hidden="1">{#N/A,#N/A,FALSE,"KMC최종회의(7월) 자료"}</definedName>
    <definedName name="_205A2_" hidden="1">{#N/A,#N/A,FALSE,"KMC최종회의(7월) 자료"}</definedName>
    <definedName name="_205E1_" hidden="1">{#N/A,#N/A,FALSE,"KMC최종회의(7월) 자료"}</definedName>
    <definedName name="_205E32_" hidden="1">{#N/A,#N/A,FALSE,"단축1";#N/A,#N/A,FALSE,"단축2";#N/A,#N/A,FALSE,"단축3";#N/A,#N/A,FALSE,"장축";#N/A,#N/A,FALSE,"4WD"}</definedName>
    <definedName name="_205HP2_" hidden="1">{#N/A,#N/A,FALSE,"단축1";#N/A,#N/A,FALSE,"단축2";#N/A,#N/A,FALSE,"단축3";#N/A,#N/A,FALSE,"장축";#N/A,#N/A,FALSE,"4WD"}</definedName>
    <definedName name="_205M123_" hidden="1">{#N/A,#N/A,FALSE,"단축1";#N/A,#N/A,FALSE,"단축2";#N/A,#N/A,FALSE,"단축3";#N/A,#N/A,FALSE,"장축";#N/A,#N/A,FALSE,"4WD"}</definedName>
    <definedName name="_205Q1_" hidden="1">{#N/A,#N/A,FALSE,"KMC최종회의(7월) 자료"}</definedName>
    <definedName name="_205Q7_" hidden="1">{#N/A,#N/A,FALSE,"KMC최종회의(7월) 자료"}</definedName>
    <definedName name="_205T2_" hidden="1">{#N/A,#N/A,FALSE,"단축1";#N/A,#N/A,FALSE,"단축2";#N/A,#N/A,FALSE,"단축3";#N/A,#N/A,FALSE,"장축";#N/A,#N/A,FALSE,"4WD"}</definedName>
    <definedName name="_205T2__1" hidden="1">{#N/A,#N/A,FALSE,"단축1";#N/A,#N/A,FALSE,"단축2";#N/A,#N/A,FALSE,"단축3";#N/A,#N/A,FALSE,"장축";#N/A,#N/A,FALSE,"4WD"}</definedName>
    <definedName name="_205T3_" hidden="1">{#N/A,#N/A,FALSE,"단축1";#N/A,#N/A,FALSE,"단축2";#N/A,#N/A,FALSE,"단축3";#N/A,#N/A,FALSE,"장축";#N/A,#N/A,FALSE,"4WD"}</definedName>
    <definedName name="_205W3_" hidden="1">{#N/A,#N/A,FALSE,"KMC최종회의(7월) 자료"}</definedName>
    <definedName name="_205W5_" hidden="1">{#N/A,#N/A,FALSE,"KMC최종회의(7월) 자료"}</definedName>
    <definedName name="_205X3_" hidden="1">{#N/A,#N/A,FALSE,"KMC최종회의(7월) 자료"}</definedName>
    <definedName name="_205X6_" hidden="1">{#N/A,#N/A,FALSE,"KMC최종회의(7월) 자료"}</definedName>
    <definedName name="_205Z1_" hidden="1">{#N/A,#N/A,FALSE,"KMC최종회의(7월) 자료"}</definedName>
    <definedName name="_205Z7_" hidden="1">{#N/A,#N/A,FALSE,"KMC최종회의(7월) 자료"}</definedName>
    <definedName name="_205Z8_" hidden="1">{#N/A,#N/A,FALSE,"KMC최종회의(7월) 자료"}</definedName>
    <definedName name="_206__0_S" hidden="1">#REF!</definedName>
    <definedName name="_2066S7_" hidden="1">{#N/A,#N/A,FALSE,"KMC최종회의(7월) 자료"}</definedName>
    <definedName name="_2066S7__1" hidden="1">{#N/A,#N/A,FALSE,"KMC최종회의(7월) 자료"}</definedName>
    <definedName name="_2067S7_" hidden="1">{#N/A,#N/A,FALSE,"KMC최종회의(7월) 자료"}</definedName>
    <definedName name="_2067S7__1" hidden="1">{#N/A,#N/A,FALSE,"KMC최종회의(7월) 자료"}</definedName>
    <definedName name="_2068S7_" hidden="1">{#N/A,#N/A,FALSE,"KMC최종회의(7월) 자료"}</definedName>
    <definedName name="_2068S7__1" hidden="1">{#N/A,#N/A,FALSE,"KMC최종회의(7월) 자료"}</definedName>
    <definedName name="_206EO2_" hidden="1">{#N/A,#N/A,FALSE,"신규dep";#N/A,#N/A,FALSE,"신규dep-금형상각후";#N/A,#N/A,FALSE,"신규dep-연구비상각후";#N/A,#N/A,FALSE,"신규dep-기계,공구상각후"}</definedName>
    <definedName name="_206G1_" hidden="1">{#N/A,#N/A,FALSE,"단축1";#N/A,#N/A,FALSE,"단축2";#N/A,#N/A,FALSE,"단축3";#N/A,#N/A,FALSE,"장축";#N/A,#N/A,FALSE,"4WD"}</definedName>
    <definedName name="_206S6_" hidden="1">{#N/A,#N/A,FALSE,"KMC최종회의(7월) 자료"}</definedName>
    <definedName name="_206S7_" hidden="1">{#N/A,#N/A,FALSE,"KMC최종회의(7월) 자료"}</definedName>
    <definedName name="_206W1_" hidden="1">{#N/A,#N/A,FALSE,"KMC최종회의(7월) 자료"}</definedName>
    <definedName name="_206X6_" hidden="1">{#N/A,#N/A,FALSE,"KMC최종회의(7월) 자료"}</definedName>
    <definedName name="_206Z2_" hidden="1">{#N/A,#N/A,FALSE,"KMC최종회의(7월) 자료"}</definedName>
    <definedName name="_206z4_" hidden="1">{#N/A,#N/A,FALSE,"단축1";#N/A,#N/A,FALSE,"단축2";#N/A,#N/A,FALSE,"단축3";#N/A,#N/A,FALSE,"장축";#N/A,#N/A,FALSE,"4WD"}</definedName>
    <definedName name="_206Z8_" hidden="1">{#N/A,#N/A,FALSE,"KMC최종회의(7월) 자료"}</definedName>
    <definedName name="_207__0_S" hidden="1">#REF!</definedName>
    <definedName name="_2073S7_" hidden="1">{#N/A,#N/A,FALSE,"KMC최종회의(7월) 자료"}</definedName>
    <definedName name="_2073S7__1" hidden="1">{#N/A,#N/A,FALSE,"KMC최종회의(7월) 자료"}</definedName>
    <definedName name="_2074S8_" hidden="1">{#N/A,#N/A,FALSE,"KMC최종회의(7월) 자료"}</definedName>
    <definedName name="_2074S8__1" hidden="1">{#N/A,#N/A,FALSE,"KMC최종회의(7월) 자료"}</definedName>
    <definedName name="_2076S8_" hidden="1">{#N/A,#N/A,FALSE,"KMC최종회의(7월) 자료"}</definedName>
    <definedName name="_2076S8__1" hidden="1">{#N/A,#N/A,FALSE,"KMC최종회의(7월) 자료"}</definedName>
    <definedName name="_2077S8_" hidden="1">{#N/A,#N/A,FALSE,"KMC최종회의(7월) 자료"}</definedName>
    <definedName name="_2077S8__1" hidden="1">{#N/A,#N/A,FALSE,"KMC최종회의(7월) 자료"}</definedName>
    <definedName name="_2078S8_" hidden="1">{#N/A,#N/A,FALSE,"KMC최종회의(7월) 자료"}</definedName>
    <definedName name="_2078S8__1" hidden="1">{#N/A,#N/A,FALSE,"KMC최종회의(7월) 자료"}</definedName>
    <definedName name="_207e7_" hidden="1">{#N/A,#N/A,FALSE,"신규dep";#N/A,#N/A,FALSE,"신규dep-금형상각후";#N/A,#N/A,FALSE,"신규dep-연구비상각후";#N/A,#N/A,FALSE,"신규dep-기계,공구상각후"}</definedName>
    <definedName name="_207e7__1" hidden="1">{#N/A,#N/A,FALSE,"신규dep";#N/A,#N/A,FALSE,"신규dep-금형상각후";#N/A,#N/A,FALSE,"신규dep-연구비상각후";#N/A,#N/A,FALSE,"신규dep-기계,공구상각후"}</definedName>
    <definedName name="_207Q2_" hidden="1">{#N/A,#N/A,FALSE,"KMC최종회의(7월) 자료"}</definedName>
    <definedName name="_207Q343_" hidden="1">{"'7-2지역별'!$A$1:$R$44"}</definedName>
    <definedName name="_207S5_" hidden="1">{#N/A,#N/A,FALSE,"KMC최종회의(7월) 자료"}</definedName>
    <definedName name="_207S5__1" hidden="1">{#N/A,#N/A,FALSE,"KMC최종회의(7월) 자료"}</definedName>
    <definedName name="_207S8_" hidden="1">{#N/A,#N/A,FALSE,"KMC최종회의(7월) 자료"}</definedName>
    <definedName name="_207W8_" hidden="1">{#N/A,#N/A,FALSE,"KMC최종회의(7월) 자료"}</definedName>
    <definedName name="_207X7_" hidden="1">{#N/A,#N/A,FALSE,"KMC최종회의(7월) 자료"}</definedName>
    <definedName name="_207Z2_" hidden="1">{#N/A,#N/A,FALSE,"KMC최종회의(7월) 자료"}</definedName>
    <definedName name="_207Z4_" hidden="1">{#N/A,#N/A,FALSE,"KMC최종회의(7월) 자료"}</definedName>
    <definedName name="_207Z8_" hidden="1">{#N/A,#N/A,FALSE,"KMC최종회의(7월) 자료"}</definedName>
    <definedName name="_207Z9_" hidden="1">{#N/A,#N/A,FALSE,"KMC최종회의(7월) 자료"}</definedName>
    <definedName name="_2080S8_" hidden="1">{#N/A,#N/A,FALSE,"KMC최종회의(7월) 자료"}</definedName>
    <definedName name="_2080S8__1" hidden="1">{#N/A,#N/A,FALSE,"KMC최종회의(7월) 자료"}</definedName>
    <definedName name="_2082S8_" hidden="1">{#N/A,#N/A,FALSE,"KMC최종회의(7월) 자료"}</definedName>
    <definedName name="_2082S8__1" hidden="1">{#N/A,#N/A,FALSE,"KMC최종회의(7월) 자료"}</definedName>
    <definedName name="_2083S8_" hidden="1">{#N/A,#N/A,FALSE,"KMC최종회의(7월) 자료"}</definedName>
    <definedName name="_2083S8__1" hidden="1">{#N/A,#N/A,FALSE,"KMC최종회의(7월) 자료"}</definedName>
    <definedName name="_2084S8_" hidden="1">{#N/A,#N/A,FALSE,"KMC최종회의(7월) 자료"}</definedName>
    <definedName name="_2084S8__1" hidden="1">{#N/A,#N/A,FALSE,"KMC최종회의(7월) 자료"}</definedName>
    <definedName name="_2086S8_" hidden="1">{#N/A,#N/A,FALSE,"KMC최종회의(7월) 자료"}</definedName>
    <definedName name="_2086S8__1" hidden="1">{#N/A,#N/A,FALSE,"KMC최종회의(7월) 자료"}</definedName>
    <definedName name="_2087S8_" hidden="1">{#N/A,#N/A,FALSE,"KMC최종회의(7월) 자료"}</definedName>
    <definedName name="_2087S8__1" hidden="1">{#N/A,#N/A,FALSE,"KMC최종회의(7월) 자료"}</definedName>
    <definedName name="_2088S8_" hidden="1">{#N/A,#N/A,FALSE,"KMC최종회의(7월) 자료"}</definedName>
    <definedName name="_2088S8__1" hidden="1">{#N/A,#N/A,FALSE,"KMC최종회의(7월) 자료"}</definedName>
    <definedName name="_2089S8_" hidden="1">{#N/A,#N/A,FALSE,"KMC최종회의(7월) 자료"}</definedName>
    <definedName name="_2089S8__1" hidden="1">{#N/A,#N/A,FALSE,"KMC최종회의(7월) 자료"}</definedName>
    <definedName name="_208DB777_" hidden="1">{#N/A,#N/A,TRUE,"Y생산";#N/A,#N/A,TRUE,"Y판매";#N/A,#N/A,TRUE,"Y총물량";#N/A,#N/A,TRUE,"Y능력";#N/A,#N/A,TRUE,"YKD"}</definedName>
    <definedName name="_208E2_" hidden="1">{#N/A,#N/A,FALSE,"KMC최종회의(7월) 자료"}</definedName>
    <definedName name="_208k1_" hidden="1">#REF!</definedName>
    <definedName name="_208P3_" hidden="1">{#N/A,#N/A,FALSE,"단축1";#N/A,#N/A,FALSE,"단축2";#N/A,#N/A,FALSE,"단축3";#N/A,#N/A,FALSE,"장축";#N/A,#N/A,FALSE,"4WD"}</definedName>
    <definedName name="_208Q345_" hidden="1">{"'7-2지역별'!$A$1:$R$44"}</definedName>
    <definedName name="_208S3_" hidden="1">{#N/A,#N/A,FALSE,"KMC최종회의(7월) 자료"}</definedName>
    <definedName name="_208S6_" hidden="1">{#N/A,#N/A,FALSE,"KMC최종회의(7월) 자료"}</definedName>
    <definedName name="_208X7_" hidden="1">{#N/A,#N/A,FALSE,"KMC최종회의(7월) 자료"}</definedName>
    <definedName name="_208Z7_" hidden="1">{#N/A,#N/A,FALSE,"KMC최종회의(7월) 자료"}</definedName>
    <definedName name="_208Z9_" hidden="1">{#N/A,#N/A,FALSE,"KMC최종회의(7월) 자료"}</definedName>
    <definedName name="_2090S8_" hidden="1">{#N/A,#N/A,FALSE,"KMC최종회의(7월) 자료"}</definedName>
    <definedName name="_2090S8__1" hidden="1">{#N/A,#N/A,FALSE,"KMC최종회의(7월) 자료"}</definedName>
    <definedName name="_2091S8_" hidden="1">{#N/A,#N/A,FALSE,"KMC최종회의(7월) 자료"}</definedName>
    <definedName name="_2091S8__1" hidden="1">{#N/A,#N/A,FALSE,"KMC최종회의(7월) 자료"}</definedName>
    <definedName name="_2092S8_" hidden="1">{#N/A,#N/A,FALSE,"KMC최종회의(7월) 자료"}</definedName>
    <definedName name="_2092S8__1" hidden="1">{#N/A,#N/A,FALSE,"KMC최종회의(7월) 자료"}</definedName>
    <definedName name="_2096S8_" hidden="1">{#N/A,#N/A,FALSE,"KMC최종회의(7월) 자료"}</definedName>
    <definedName name="_2096S8__1" hidden="1">{#N/A,#N/A,FALSE,"KMC최종회의(7월) 자료"}</definedName>
    <definedName name="_2097S8_" hidden="1">{#N/A,#N/A,FALSE,"KMC최종회의(7월) 자료"}</definedName>
    <definedName name="_2097S8__1" hidden="1">{#N/A,#N/A,FALSE,"KMC최종회의(7월) 자료"}</definedName>
    <definedName name="_2098S8_" hidden="1">{#N/A,#N/A,FALSE,"KMC최종회의(7월) 자료"}</definedName>
    <definedName name="_2098S8__1" hidden="1">{#N/A,#N/A,FALSE,"KMC최종회의(7월) 자료"}</definedName>
    <definedName name="_2099S8_" hidden="1">{#N/A,#N/A,FALSE,"KMC최종회의(7월) 자료"}</definedName>
    <definedName name="_209FG1_" hidden="1">{#N/A,#N/A,FALSE,"단축1";#N/A,#N/A,FALSE,"단축2";#N/A,#N/A,FALSE,"단축3";#N/A,#N/A,FALSE,"장축";#N/A,#N/A,FALSE,"4WD"}</definedName>
    <definedName name="_209Q423_" hidden="1">{"'7-2지역별'!$A$1:$R$44"}</definedName>
    <definedName name="_209Q8_" hidden="1">{#N/A,#N/A,FALSE,"KMC최종회의(7월) 자료"}</definedName>
    <definedName name="_209s5_" hidden="1">{#N/A,#N/A,FALSE,"신규dep";#N/A,#N/A,FALSE,"신규dep-금형상각후";#N/A,#N/A,FALSE,"신규dep-연구비상각후";#N/A,#N/A,FALSE,"신규dep-기계,공구상각후"}</definedName>
    <definedName name="_209X4_" hidden="1">{#N/A,#N/A,FALSE,"KMC최종회의(7월) 자료"}</definedName>
    <definedName name="_209X8_" hidden="1">{#N/A,#N/A,FALSE,"KMC최종회의(7월) 자료"}</definedName>
    <definedName name="_209Z2_" hidden="1">{#N/A,#N/A,FALSE,"KMC최종회의(7월) 자료"}</definedName>
    <definedName name="_209Z9_" hidden="1">{#N/A,#N/A,FALSE,"KMC최종회의(7월) 자료"}</definedName>
    <definedName name="_20A0323_" hidden="1">{#N/A,#N/A,FALSE,"단축1";#N/A,#N/A,FALSE,"단축2";#N/A,#N/A,FALSE,"단축3";#N/A,#N/A,FALSE,"장축";#N/A,#N/A,FALSE,"4WD"}</definedName>
    <definedName name="_20A1245_" hidden="1">{#N/A,#N/A,FALSE,"단축1";#N/A,#N/A,FALSE,"단축2";#N/A,#N/A,FALSE,"단축3";#N/A,#N/A,FALSE,"장축";#N/A,#N/A,FALSE,"4WD"}</definedName>
    <definedName name="_20A12458_" hidden="1">{#N/A,#N/A,FALSE,"단축1";#N/A,#N/A,FALSE,"단축2";#N/A,#N/A,FALSE,"단축3";#N/A,#N/A,FALSE,"장축";#N/A,#N/A,FALSE,"4WD"}</definedName>
    <definedName name="_20A3_" hidden="1">{#N/A,#N/A,FALSE,"단축1";#N/A,#N/A,FALSE,"단축2";#N/A,#N/A,FALSE,"단축3";#N/A,#N/A,FALSE,"장축";#N/A,#N/A,FALSE,"4WD"}</definedName>
    <definedName name="_20A4_" hidden="1">{#N/A,#N/A,FALSE,"KMC최종회의(7월) 자료"}</definedName>
    <definedName name="_20A5_" hidden="1">{#N/A,#N/A,FALSE,"KMC최종회의(7월) 자료"}</definedName>
    <definedName name="_20A6_" hidden="1">{#N/A,#N/A,FALSE,"KMC최종회의(7월) 자료"}</definedName>
    <definedName name="_20A7_" hidden="1">{#N/A,#N/A,FALSE,"KMC최종회의(7월) 자료"}</definedName>
    <definedName name="_20A8_" hidden="1">{#N/A,#N/A,FALSE,"KMC최종회의(7월) 자료"}</definedName>
    <definedName name="_20A9_" hidden="1">{#N/A,#N/A,FALSE,"KMC최종회의(7월) 자료"}</definedName>
    <definedName name="_20AS6_" hidden="1">{#N/A,#N/A,FALSE,"Australien";#N/A,#N/A,FALSE,"Birmingham";#N/A,#N/A,FALSE,"Brasilien";#N/A,#N/A,FALSE,"Prag";#N/A,#N/A,FALSE,"Spanien";#N/A,#N/A,FALSE,"Malaysia ( Com)";#N/A,#N/A,FALSE,"Malaysia (Instr)"}</definedName>
    <definedName name="_2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0CL22_" hidden="1">{#N/A,#N/A,FALSE,"KMC최종회의(7월) 자료"}</definedName>
    <definedName name="_20D6_" hidden="1">{"'표지'!$B$5"}</definedName>
    <definedName name="_20E1_" hidden="1">{#N/A,#N/A,FALSE,"KMC최종회의(7월) 자료"}</definedName>
    <definedName name="_20E2_" hidden="1">{#N/A,#N/A,FALSE,"KMC최종회의(7월) 자료"}</definedName>
    <definedName name="_20e3_" hidden="1">{#N/A,#N/A,FALSE,"단축1";#N/A,#N/A,FALSE,"단축2";#N/A,#N/A,FALSE,"단축3";#N/A,#N/A,FALSE,"장축";#N/A,#N/A,FALSE,"4WD"}</definedName>
    <definedName name="_20e9_" hidden="1">{#N/A,#N/A,FALSE,"단축1";#N/A,#N/A,FALSE,"단축2";#N/A,#N/A,FALSE,"단축3";#N/A,#N/A,FALSE,"장축";#N/A,#N/A,FALSE,"4WD"}</definedName>
    <definedName name="_20EO2_" hidden="1">{#N/A,#N/A,FALSE,"신규dep";#N/A,#N/A,FALSE,"신규dep-금형상각후";#N/A,#N/A,FALSE,"신규dep-연구비상각후";#N/A,#N/A,FALSE,"신규dep-기계,공구상각후"}</definedName>
    <definedName name="_20FG1_" hidden="1">{#N/A,#N/A,FALSE,"단축1";#N/A,#N/A,FALSE,"단축2";#N/A,#N/A,FALSE,"단축3";#N/A,#N/A,FALSE,"장축";#N/A,#N/A,FALSE,"4WD"}</definedName>
    <definedName name="_20h1_" hidden="1">{"'표지'!$B$5"}</definedName>
    <definedName name="_20h3_" hidden="1">{"'표지'!$B$5"}</definedName>
    <definedName name="_20HL2_" hidden="1">{#N/A,#N/A,FALSE,"단축1";#N/A,#N/A,FALSE,"단축2";#N/A,#N/A,FALSE,"단축3";#N/A,#N/A,FALSE,"장축";#N/A,#N/A,FALSE,"4WD"}</definedName>
    <definedName name="_20M123_" hidden="1">{#N/A,#N/A,FALSE,"단축1";#N/A,#N/A,FALSE,"단축2";#N/A,#N/A,FALSE,"단축3";#N/A,#N/A,FALSE,"장축";#N/A,#N/A,FALSE,"4WD"}</definedName>
    <definedName name="_20P2_" hidden="1">{#N/A,#N/A,FALSE,"단축1";#N/A,#N/A,FALSE,"단축2";#N/A,#N/A,FALSE,"단축3";#N/A,#N/A,FALSE,"장축";#N/A,#N/A,FALSE,"4WD"}</definedName>
    <definedName name="_20P21_" hidden="1">{#N/A,#N/A,FALSE,"단축1";#N/A,#N/A,FALSE,"단축2";#N/A,#N/A,FALSE,"단축3";#N/A,#N/A,FALSE,"장축";#N/A,#N/A,FALSE,"4WD"}</definedName>
    <definedName name="_20Q1_" hidden="1">{#N/A,#N/A,FALSE,"KMC최종회의(7월) 자료"}</definedName>
    <definedName name="_20Q2_" hidden="1">{#N/A,#N/A,FALSE,"KMC최종회의(7월) 자료"}</definedName>
    <definedName name="_20Q3_" hidden="1">{#N/A,#N/A,FALSE,"KMC최종회의(7월) 자료"}</definedName>
    <definedName name="_20Q5_" hidden="1">{#N/A,#N/A,FALSE,"KMC최종회의(7월) 자료"}</definedName>
    <definedName name="_20Q7_" hidden="1">{#N/A,#N/A,FALSE,"KMC최종회의(7월) 자료"}</definedName>
    <definedName name="_20Q7__1" hidden="1">{#N/A,#N/A,FALSE,"KMC최종회의(7월) 자료"}</definedName>
    <definedName name="_20Q8_" hidden="1">{#N/A,#N/A,FALSE,"KMC최종회의(7월) 자료"}</definedName>
    <definedName name="_20Q9_" hidden="1">{#N/A,#N/A,FALSE,"KMC최종회의(7월) 자료"}</definedName>
    <definedName name="_20S1_" hidden="1">{#N/A,#N/A,FALSE,"KMC최종회의(7월) 자료"}</definedName>
    <definedName name="_20S2_" hidden="1">{#N/A,#N/A,FALSE,"KMC최종회의(7월) 자료"}</definedName>
    <definedName name="_20S2__1" hidden="1">{#N/A,#N/A,FALSE,"KMC최종회의(7월) 자료"}</definedName>
    <definedName name="_20S3_" hidden="1">{#N/A,#N/A,FALSE,"KMC최종회의(7월) 자료"}</definedName>
    <definedName name="_20S3__1" hidden="1">{#N/A,#N/A,FALSE,"KMC최종회의(7월) 자료"}</definedName>
    <definedName name="_20T2_" hidden="1">{#N/A,#N/A,FALSE,"단축1";#N/A,#N/A,FALSE,"단축2";#N/A,#N/A,FALSE,"단축3";#N/A,#N/A,FALSE,"장축";#N/A,#N/A,FALSE,"4WD"}</definedName>
    <definedName name="_20X6_" hidden="1">{#N/A,#N/A,FALSE,"KMC최종회의(7월) 자료"}</definedName>
    <definedName name="_21______0_S" hidden="1">#REF!</definedName>
    <definedName name="_21__123Graph_CCHART_3" hidden="1">#REF!</definedName>
    <definedName name="_21__123Graph_LBL_AC04C_FR_T2" hidden="1">#REF!</definedName>
    <definedName name="_21___0_S" hidden="1">#REF!</definedName>
    <definedName name="_21__0_S" hidden="1">#REF!</definedName>
    <definedName name="_210__0_S" hidden="1">#REF!</definedName>
    <definedName name="_2106S8_" hidden="1">{#N/A,#N/A,FALSE,"KMC최종회의(7월) 자료"}</definedName>
    <definedName name="_2106S8__1" hidden="1">{#N/A,#N/A,FALSE,"KMC최종회의(7월) 자료"}</definedName>
    <definedName name="_210E45_" hidden="1">{#N/A,#N/A,FALSE,"단축1";#N/A,#N/A,FALSE,"단축2";#N/A,#N/A,FALSE,"단축3";#N/A,#N/A,FALSE,"장축";#N/A,#N/A,FALSE,"4WD"}</definedName>
    <definedName name="_210FG1_" hidden="1">{#N/A,#N/A,FALSE,"단축1";#N/A,#N/A,FALSE,"단축2";#N/A,#N/A,FALSE,"단축3";#N/A,#N/A,FALSE,"장축";#N/A,#N/A,FALSE,"4WD"}</definedName>
    <definedName name="_210Q43456_" hidden="1">{"'7-2지역별'!$A$1:$R$44"}</definedName>
    <definedName name="_210Q65465_" hidden="1">{"'7-2지역별'!$A$1:$R$44"}</definedName>
    <definedName name="_210q7_" hidden="1">{#N/A,#N/A,FALSE,"신규dep";#N/A,#N/A,FALSE,"신규dep-금형상각후";#N/A,#N/A,FALSE,"신규dep-연구비상각후";#N/A,#N/A,FALSE,"신규dep-기계,공구상각후"}</definedName>
    <definedName name="_210S3_" hidden="1">{#N/A,#N/A,FALSE,"KMC최종회의(7월) 자료"}</definedName>
    <definedName name="_210S5_" hidden="1">{#N/A,#N/A,FALSE,"KMC최종회의(7월) 자료"}</definedName>
    <definedName name="_210S7_" hidden="1">{#N/A,#N/A,FALSE,"KMC최종회의(7월) 자료"}</definedName>
    <definedName name="_210S8_" hidden="1">{#N/A,#N/A,FALSE,"KMC최종회의(7월) 자료"}</definedName>
    <definedName name="_210S8__1" hidden="1">{#N/A,#N/A,FALSE,"KMC최종회의(7월) 자료"}</definedName>
    <definedName name="_210T3_" hidden="1">{#N/A,#N/A,FALSE,"단축1";#N/A,#N/A,FALSE,"단축2";#N/A,#N/A,FALSE,"단축3";#N/A,#N/A,FALSE,"장축";#N/A,#N/A,FALSE,"4WD"}</definedName>
    <definedName name="_210T3__1" hidden="1">{#N/A,#N/A,FALSE,"단축1";#N/A,#N/A,FALSE,"단축2";#N/A,#N/A,FALSE,"단축3";#N/A,#N/A,FALSE,"장축";#N/A,#N/A,FALSE,"4WD"}</definedName>
    <definedName name="_210T5_" hidden="1">{#N/A,#N/A,FALSE,"단축1";#N/A,#N/A,FALSE,"단축2";#N/A,#N/A,FALSE,"단축3";#N/A,#N/A,FALSE,"장축";#N/A,#N/A,FALSE,"4WD"}</definedName>
    <definedName name="_210W4_" hidden="1">{#N/A,#N/A,FALSE,"KMC최종회의(7월) 자료"}</definedName>
    <definedName name="_210W6_" hidden="1">{#N/A,#N/A,FALSE,"KMC최종회의(7월) 자료"}</definedName>
    <definedName name="_210W9_" hidden="1">{#N/A,#N/A,FALSE,"KMC최종회의(7월) 자료"}</definedName>
    <definedName name="_210X4_" hidden="1">{#N/A,#N/A,FALSE,"KMC최종회의(7월) 자료"}</definedName>
    <definedName name="_210X7_" hidden="1">{#N/A,#N/A,FALSE,"KMC최종회의(7월) 자료"}</definedName>
    <definedName name="_210X8_" hidden="1">{#N/A,#N/A,FALSE,"KMC최종회의(7월) 자료"}</definedName>
    <definedName name="_210Z3_" hidden="1">{#N/A,#N/A,FALSE,"KMC최종회의(7월) 자료"}</definedName>
    <definedName name="_210Z5_" hidden="1">{#N/A,#N/A,FALSE,"KMC최종회의(7월) 자료"}</definedName>
    <definedName name="_211E1_" hidden="1">{#N/A,#N/A,FALSE,"KMC최종회의(7월) 자료"}</definedName>
    <definedName name="_211FG1_" hidden="1">{#N/A,#N/A,FALSE,"단축1";#N/A,#N/A,FALSE,"단축2";#N/A,#N/A,FALSE,"단축3";#N/A,#N/A,FALSE,"장축";#N/A,#N/A,FALSE,"4WD"}</definedName>
    <definedName name="_211G1_" hidden="1">{#N/A,#N/A,FALSE,"단축1";#N/A,#N/A,FALSE,"단축2";#N/A,#N/A,FALSE,"단축3";#N/A,#N/A,FALSE,"장축";#N/A,#N/A,FALSE,"4WD"}</definedName>
    <definedName name="_211HL1_" hidden="1">{#N/A,#N/A,FALSE,"단축1";#N/A,#N/A,FALSE,"단축2";#N/A,#N/A,FALSE,"단축3";#N/A,#N/A,FALSE,"장축";#N/A,#N/A,FALSE,"4WD"}</definedName>
    <definedName name="_211Q54_" hidden="1">{"'7-2지역별'!$A$1:$R$44"}</definedName>
    <definedName name="_211S1_" hidden="1">{#N/A,#N/A,FALSE,"KMC최종회의(7월) 자료"}</definedName>
    <definedName name="_211W1_" hidden="1">{#N/A,#N/A,FALSE,"KMC최종회의(7월) 자료"}</definedName>
    <definedName name="_211W2_" hidden="1">{#N/A,#N/A,FALSE,"KMC최종회의(7월) 자료"}</definedName>
    <definedName name="_211Z1_" hidden="1">{#N/A,#N/A,FALSE,"KMC최종회의(7월) 자료"}</definedName>
    <definedName name="_211Z3_" hidden="1">{#N/A,#N/A,FALSE,"KMC최종회의(7월) 자료"}</definedName>
    <definedName name="_212E2_" hidden="1">{#N/A,#N/A,FALSE,"KMC최종회의(7월) 자료"}</definedName>
    <definedName name="_212Q543_" hidden="1">{"'7-2지역별'!$A$1:$R$44"}</definedName>
    <definedName name="_212X8_" hidden="1">{#N/A,#N/A,FALSE,"KMC최종회의(7월) 자료"}</definedName>
    <definedName name="_212Z1_" hidden="1">{#N/A,#N/A,FALSE,"KMC최종회의(7월) 자료"}</definedName>
    <definedName name="_212Z8_" hidden="1">{#N/A,#N/A,FALSE,"KMC최종회의(7월) 자료"}</definedName>
    <definedName name="_2133T2_" hidden="1">{#N/A,#N/A,FALSE,"단축1";#N/A,#N/A,FALSE,"단축2";#N/A,#N/A,FALSE,"단축3";#N/A,#N/A,FALSE,"장축";#N/A,#N/A,FALSE,"4WD"}</definedName>
    <definedName name="_2133T2__1" hidden="1">{#N/A,#N/A,FALSE,"단축1";#N/A,#N/A,FALSE,"단축2";#N/A,#N/A,FALSE,"단축3";#N/A,#N/A,FALSE,"장축";#N/A,#N/A,FALSE,"4WD"}</definedName>
    <definedName name="_213EO2_" hidden="1">{#N/A,#N/A,FALSE,"신규dep";#N/A,#N/A,FALSE,"신규dep-금형상각후";#N/A,#N/A,FALSE,"신규dep-연구비상각후";#N/A,#N/A,FALSE,"신규dep-기계,공구상각후"}</definedName>
    <definedName name="_213k7_" hidden="1">{#N/A,#N/A,FALSE,"단축1";#N/A,#N/A,FALSE,"단축2";#N/A,#N/A,FALSE,"단축3";#N/A,#N/A,FALSE,"장축";#N/A,#N/A,FALSE,"4WD"}</definedName>
    <definedName name="_213Q3_" hidden="1">{#N/A,#N/A,FALSE,"KMC최종회의(7월) 자료"}</definedName>
    <definedName name="_213Q5434_" hidden="1">{"'7-2지역별'!$A$1:$R$44"}</definedName>
    <definedName name="_213Q9_" hidden="1">{#N/A,#N/A,FALSE,"KMC최종회의(7월) 자료"}</definedName>
    <definedName name="_213S6_" hidden="1">{#N/A,#N/A,FALSE,"KMC최종회의(7월) 자료"}</definedName>
    <definedName name="_213S6__1" hidden="1">{#N/A,#N/A,FALSE,"KMC최종회의(7월) 자료"}</definedName>
    <definedName name="_213S7_" hidden="1">{#N/A,#N/A,FALSE,"KMC최종회의(7월) 자료"}</definedName>
    <definedName name="_213X1_" hidden="1">{#N/A,#N/A,FALSE,"KMC최종회의(7월) 자료"}</definedName>
    <definedName name="_213X5_" hidden="1">{#N/A,#N/A,FALSE,"KMC최종회의(7월) 자료"}</definedName>
    <definedName name="_213Z2_" hidden="1">{#N/A,#N/A,FALSE,"KMC최종회의(7월) 자료"}</definedName>
    <definedName name="_213Z3_" hidden="1">{#N/A,#N/A,FALSE,"KMC최종회의(7월) 자료"}</definedName>
    <definedName name="_213Z6_" hidden="1">{#N/A,#N/A,FALSE,"KMC최종회의(7월) 자료"}</definedName>
    <definedName name="_214__0_S" hidden="1">#REF!</definedName>
    <definedName name="_214Q1_" hidden="1">{#N/A,#N/A,FALSE,"KMC최종회의(7월) 자료"}</definedName>
    <definedName name="_214Q5555_" hidden="1">{"'7-2지역별'!$A$1:$R$44"}</definedName>
    <definedName name="_214S4_" hidden="1">{#N/A,#N/A,FALSE,"KMC최종회의(7월) 자료"}</definedName>
    <definedName name="_214s6_" hidden="1">{#N/A,#N/A,FALSE,"신규dep";#N/A,#N/A,FALSE,"신규dep-금형상각후";#N/A,#N/A,FALSE,"신규dep-연구비상각후";#N/A,#N/A,FALSE,"신규dep-기계,공구상각후"}</definedName>
    <definedName name="_214S7_" hidden="1">{#N/A,#N/A,FALSE,"KMC최종회의(7월) 자료"}</definedName>
    <definedName name="_214S8_" hidden="1">{#N/A,#N/A,FALSE,"KMC최종회의(7월) 자료"}</definedName>
    <definedName name="_214T2_" hidden="1">{#N/A,#N/A,FALSE,"단축1";#N/A,#N/A,FALSE,"단축2";#N/A,#N/A,FALSE,"단축3";#N/A,#N/A,FALSE,"장축";#N/A,#N/A,FALSE,"4WD"}</definedName>
    <definedName name="_214Z2_" hidden="1">{#N/A,#N/A,FALSE,"KMC최종회의(7월) 자료"}</definedName>
    <definedName name="_214Z4_" hidden="1">{#N/A,#N/A,FALSE,"KMC최종회의(7월) 자료"}</definedName>
    <definedName name="_215E56_" hidden="1">{#N/A,#N/A,FALSE,"단축1";#N/A,#N/A,FALSE,"단축2";#N/A,#N/A,FALSE,"단축3";#N/A,#N/A,FALSE,"장축";#N/A,#N/A,FALSE,"4WD"}</definedName>
    <definedName name="_215HL1_" hidden="1">{#N/A,#N/A,FALSE,"단축1";#N/A,#N/A,FALSE,"단축2";#N/A,#N/A,FALSE,"단축3";#N/A,#N/A,FALSE,"장축";#N/A,#N/A,FALSE,"4WD"}</definedName>
    <definedName name="_215HL2_" hidden="1">{#N/A,#N/A,FALSE,"단축1";#N/A,#N/A,FALSE,"단축2";#N/A,#N/A,FALSE,"단축3";#N/A,#N/A,FALSE,"장축";#N/A,#N/A,FALSE,"4WD"}</definedName>
    <definedName name="_215Q5_" hidden="1">{#N/A,#N/A,FALSE,"KMC최종회의(7월) 자료"}</definedName>
    <definedName name="_215Q5678_" hidden="1">{"'7-2지역별'!$A$1:$R$44"}</definedName>
    <definedName name="_215T5_" hidden="1">{#N/A,#N/A,FALSE,"단축1";#N/A,#N/A,FALSE,"단축2";#N/A,#N/A,FALSE,"단축3";#N/A,#N/A,FALSE,"장축";#N/A,#N/A,FALSE,"4WD"}</definedName>
    <definedName name="_215T5__1" hidden="1">{#N/A,#N/A,FALSE,"단축1";#N/A,#N/A,FALSE,"단축2";#N/A,#N/A,FALSE,"단축3";#N/A,#N/A,FALSE,"장축";#N/A,#N/A,FALSE,"4WD"}</definedName>
    <definedName name="_215W1_" hidden="1">{#N/A,#N/A,FALSE,"KMC최종회의(7월) 자료"}</definedName>
    <definedName name="_215W2_" hidden="1">{#N/A,#N/A,FALSE,"KMC최종회의(7월) 자료"}</definedName>
    <definedName name="_215W5_" hidden="1">{#N/A,#N/A,FALSE,"KMC최종회의(7월) 자료"}</definedName>
    <definedName name="_215W7_" hidden="1">{#N/A,#N/A,FALSE,"KMC최종회의(7월) 자료"}</definedName>
    <definedName name="_215X5_" hidden="1">{#N/A,#N/A,FALSE,"KMC최종회의(7월) 자료"}</definedName>
    <definedName name="_215Z3_" hidden="1">{#N/A,#N/A,FALSE,"KMC최종회의(7월) 자료"}</definedName>
    <definedName name="_215Z4_" hidden="1">{#N/A,#N/A,FALSE,"KMC최종회의(7월) 자료"}</definedName>
    <definedName name="_2166W1_" hidden="1">{#N/A,#N/A,FALSE,"KMC최종회의(7월) 자료"}</definedName>
    <definedName name="_2166W1__1" hidden="1">{#N/A,#N/A,FALSE,"KMC최종회의(7월) 자료"}</definedName>
    <definedName name="_216P21_" hidden="1">{#N/A,#N/A,FALSE,"단축1";#N/A,#N/A,FALSE,"단축2";#N/A,#N/A,FALSE,"단축3";#N/A,#N/A,FALSE,"장축";#N/A,#N/A,FALSE,"4WD"}</definedName>
    <definedName name="_216Q65465_" hidden="1">{"'7-2지역별'!$A$1:$R$44"}</definedName>
    <definedName name="_216Q9_" hidden="1">{#N/A,#N/A,FALSE,"KMC최종회의(7월) 자료"}</definedName>
    <definedName name="_216S6_" hidden="1">{#N/A,#N/A,FALSE,"KMC최종회의(7월) 자료"}</definedName>
    <definedName name="_216T2_" hidden="1">{#N/A,#N/A,FALSE,"단축1";#N/A,#N/A,FALSE,"단축2";#N/A,#N/A,FALSE,"단축3";#N/A,#N/A,FALSE,"장축";#N/A,#N/A,FALSE,"4WD"}</definedName>
    <definedName name="_216W3_" hidden="1">{#N/A,#N/A,FALSE,"KMC최종회의(7월) 자료"}</definedName>
    <definedName name="_216X1_" hidden="1">{#N/A,#N/A,FALSE,"KMC최종회의(7월) 자료"}</definedName>
    <definedName name="_216X2_" hidden="1">{#N/A,#N/A,FALSE,"KMC최종회의(7월) 자료"}</definedName>
    <definedName name="_216Z1_" hidden="1">{#N/A,#N/A,FALSE,"KMC최종회의(7월) 자료"}</definedName>
    <definedName name="_216Z3_" hidden="1">{#N/A,#N/A,FALSE,"KMC최종회의(7월) 자료"}</definedName>
    <definedName name="_216Z7_" hidden="1">{#N/A,#N/A,FALSE,"KMC최종회의(7월) 자료"}</definedName>
    <definedName name="_216Z9_" hidden="1">{#N/A,#N/A,FALSE,"KMC최종회의(7월) 자료"}</definedName>
    <definedName name="_217__0_S" hidden="1">#REF!</definedName>
    <definedName name="_217HL1_" hidden="1">{#N/A,#N/A,FALSE,"단축1";#N/A,#N/A,FALSE,"단축2";#N/A,#N/A,FALSE,"단축3";#N/A,#N/A,FALSE,"장축";#N/A,#N/A,FALSE,"4WD"}</definedName>
    <definedName name="_217HL2_" hidden="1">{#N/A,#N/A,FALSE,"단축1";#N/A,#N/A,FALSE,"단축2";#N/A,#N/A,FALSE,"단축3";#N/A,#N/A,FALSE,"장축";#N/A,#N/A,FALSE,"4WD"}</definedName>
    <definedName name="_217M123_" hidden="1">{#N/A,#N/A,FALSE,"단축1";#N/A,#N/A,FALSE,"단축2";#N/A,#N/A,FALSE,"단축3";#N/A,#N/A,FALSE,"장축";#N/A,#N/A,FALSE,"4WD"}</definedName>
    <definedName name="_217Q6765_" hidden="1">{"'7-2지역별'!$A$1:$R$44"}</definedName>
    <definedName name="_217Q7_" hidden="1">{#N/A,#N/A,FALSE,"KMC최종회의(7월) 자료"}</definedName>
    <definedName name="_217q9_" hidden="1">{#N/A,#N/A,FALSE,"신규dep";#N/A,#N/A,FALSE,"신규dep-금형상각후";#N/A,#N/A,FALSE,"신규dep-연구비상각후";#N/A,#N/A,FALSE,"신규dep-기계,공구상각후"}</definedName>
    <definedName name="_217S1_" hidden="1">{#N/A,#N/A,FALSE,"KMC최종회의(7월) 자료"}</definedName>
    <definedName name="_217S4_" hidden="1">{#N/A,#N/A,FALSE,"KMC최종회의(7월) 자료"}</definedName>
    <definedName name="_217T2_" hidden="1">{#N/A,#N/A,FALSE,"단축1";#N/A,#N/A,FALSE,"단축2";#N/A,#N/A,FALSE,"단축3";#N/A,#N/A,FALSE,"장축";#N/A,#N/A,FALSE,"4WD"}</definedName>
    <definedName name="_217T2__1" hidden="1">{#N/A,#N/A,FALSE,"단축1";#N/A,#N/A,FALSE,"단축2";#N/A,#N/A,FALSE,"단축3";#N/A,#N/A,FALSE,"장축";#N/A,#N/A,FALSE,"4WD"}</definedName>
    <definedName name="_217W5_" hidden="1">{#N/A,#N/A,FALSE,"KMC최종회의(7월) 자료"}</definedName>
    <definedName name="_217X6_" hidden="1">{#N/A,#N/A,FALSE,"KMC최종회의(7월) 자료"}</definedName>
    <definedName name="_217Z4_" hidden="1">{#N/A,#N/A,FALSE,"KMC최종회의(7월) 자료"}</definedName>
    <definedName name="_218DB777_" hidden="1">{#N/A,#N/A,TRUE,"Y생산";#N/A,#N/A,TRUE,"Y판매";#N/A,#N/A,TRUE,"Y총물량";#N/A,#N/A,TRUE,"Y능력";#N/A,#N/A,TRUE,"YKD"}</definedName>
    <definedName name="_218EO2_" hidden="1">{#N/A,#N/A,FALSE,"신규dep";#N/A,#N/A,FALSE,"신규dep-금형상각후";#N/A,#N/A,FALSE,"신규dep-연구비상각후";#N/A,#N/A,FALSE,"신규dep-기계,공구상각후"}</definedName>
    <definedName name="_218HL2_" hidden="1">{#N/A,#N/A,FALSE,"단축1";#N/A,#N/A,FALSE,"단축2";#N/A,#N/A,FALSE,"단축3";#N/A,#N/A,FALSE,"장축";#N/A,#N/A,FALSE,"4WD"}</definedName>
    <definedName name="_218k8_" hidden="1">{#N/A,#N/A,FALSE,"단축1";#N/A,#N/A,FALSE,"단축2";#N/A,#N/A,FALSE,"단축3";#N/A,#N/A,FALSE,"장축";#N/A,#N/A,FALSE,"4WD"}</definedName>
    <definedName name="_218Q6765_" hidden="1">{"'7-2지역별'!$A$1:$R$44"}</definedName>
    <definedName name="_218Q765_" hidden="1">{"'7-2지역별'!$A$1:$R$44"}</definedName>
    <definedName name="_218T2_" hidden="1">{#N/A,#N/A,FALSE,"단축1";#N/A,#N/A,FALSE,"단축2";#N/A,#N/A,FALSE,"단축3";#N/A,#N/A,FALSE,"장축";#N/A,#N/A,FALSE,"4WD"}</definedName>
    <definedName name="_218Z4_" hidden="1">{#N/A,#N/A,FALSE,"KMC최종회의(7월) 자료"}</definedName>
    <definedName name="_218Z5_" hidden="1">{#N/A,#N/A,FALSE,"KMC최종회의(7월) 자료"}</definedName>
    <definedName name="_2199W2_" hidden="1">{#N/A,#N/A,FALSE,"KMC최종회의(7월) 자료"}</definedName>
    <definedName name="_2199W2__1" hidden="1">{#N/A,#N/A,FALSE,"KMC최종회의(7월) 자료"}</definedName>
    <definedName name="_219HL3_" hidden="1">{#N/A,#N/A,TRUE,"Y생산";#N/A,#N/A,TRUE,"Y판매";#N/A,#N/A,TRUE,"Y총물량";#N/A,#N/A,TRUE,"Y능력";#N/A,#N/A,TRUE,"YKD"}</definedName>
    <definedName name="_219Q2_" hidden="1">{#N/A,#N/A,FALSE,"KMC최종회의(7월) 자료"}</definedName>
    <definedName name="_219Q7655_" hidden="1">{"'7-2지역별'!$A$1:$R$44"}</definedName>
    <definedName name="_219Q8_" hidden="1">{#N/A,#N/A,FALSE,"KMC최종회의(7월) 자료"}</definedName>
    <definedName name="_219S2_" hidden="1">{#N/A,#N/A,FALSE,"KMC최종회의(7월) 자료"}</definedName>
    <definedName name="_219S7_" hidden="1">{#N/A,#N/A,FALSE,"KMC최종회의(7월) 자료"}</definedName>
    <definedName name="_219S7__1" hidden="1">{#N/A,#N/A,FALSE,"KMC최종회의(7월) 자료"}</definedName>
    <definedName name="_219W3_" hidden="1">{#N/A,#N/A,FALSE,"KMC최종회의(7월) 자료"}</definedName>
    <definedName name="_219X3_" hidden="1">{#N/A,#N/A,FALSE,"KMC최종회의(7월) 자료"}</definedName>
    <definedName name="_219Z5_" hidden="1">{#N/A,#N/A,FALSE,"KMC최종회의(7월) 자료"}</definedName>
    <definedName name="_219Z8_" hidden="1">{#N/A,#N/A,FALSE,"KMC최종회의(7월) 자료"}</definedName>
    <definedName name="_21A0323_" hidden="1">{#N/A,#N/A,FALSE,"단축1";#N/A,#N/A,FALSE,"단축2";#N/A,#N/A,FALSE,"단축3";#N/A,#N/A,FALSE,"장축";#N/A,#N/A,FALSE,"4WD"}</definedName>
    <definedName name="_21A0323__1" hidden="1">{#N/A,#N/A,FALSE,"단축1";#N/A,#N/A,FALSE,"단축2";#N/A,#N/A,FALSE,"단축3";#N/A,#N/A,FALSE,"장축";#N/A,#N/A,FALSE,"4WD"}</definedName>
    <definedName name="_21A1_" hidden="1">{#N/A,#N/A,FALSE,"KMC최종회의(7월) 자료"}</definedName>
    <definedName name="_21A12458_" hidden="1">{#N/A,#N/A,FALSE,"단축1";#N/A,#N/A,FALSE,"단축2";#N/A,#N/A,FALSE,"단축3";#N/A,#N/A,FALSE,"장축";#N/A,#N/A,FALSE,"4WD"}</definedName>
    <definedName name="_21A2040_" hidden="1">{#N/A,#N/A,FALSE,"단축1";#N/A,#N/A,FALSE,"단축2";#N/A,#N/A,FALSE,"단축3";#N/A,#N/A,FALSE,"장축";#N/A,#N/A,FALSE,"4WD"}</definedName>
    <definedName name="_21A21321_" hidden="1">{#N/A,#N/A,FALSE,"단축1";#N/A,#N/A,FALSE,"단축2";#N/A,#N/A,FALSE,"단축3";#N/A,#N/A,FALSE,"장축";#N/A,#N/A,FALSE,"4WD"}</definedName>
    <definedName name="_21A3_" hidden="1">{#N/A,#N/A,FALSE,"KMC최종회의(7월) 자료"}</definedName>
    <definedName name="_21A5_" hidden="1">{#N/A,#N/A,FALSE,"KMC최종회의(7월) 자료"}</definedName>
    <definedName name="_21A6_" hidden="1">{#N/A,#N/A,FALSE,"KMC최종회의(7월) 자료"}</definedName>
    <definedName name="_21A6__1" hidden="1">{#N/A,#N/A,FALSE,"KMC최종회의(7월) 자료"}</definedName>
    <definedName name="_21A7_" hidden="1">{#N/A,#N/A,FALSE,"KMC최종회의(7월) 자료"}</definedName>
    <definedName name="_21A7__1" hidden="1">{#N/A,#N/A,FALSE,"KMC최종회의(7월) 자료"}</definedName>
    <definedName name="_21A9_" hidden="1">{#N/A,#N/A,FALSE,"KMC최종회의(7월) 자료"}</definedName>
    <definedName name="_21CL22_" hidden="1">{#N/A,#N/A,FALSE,"KMC최종회의(7월) 자료"}</definedName>
    <definedName name="_21CL222_" hidden="1">{#N/A,#N/A,FALSE,"KMC최종회의(7월) 자료"}</definedName>
    <definedName name="_21DE33_" hidden="1">{"'7-2지역별'!$A$1:$R$44"}</definedName>
    <definedName name="_21E1_" hidden="1">{#N/A,#N/A,FALSE,"KMC최종회의(7월) 자료"}</definedName>
    <definedName name="_21e4_" hidden="1">{#N/A,#N/A,FALSE,"단축1";#N/A,#N/A,FALSE,"단축2";#N/A,#N/A,FALSE,"단축3";#N/A,#N/A,FALSE,"장축";#N/A,#N/A,FALSE,"4WD"}</definedName>
    <definedName name="_21FG1_" hidden="1">{#N/A,#N/A,FALSE,"단축1";#N/A,#N/A,FALSE,"단축2";#N/A,#N/A,FALSE,"단축3";#N/A,#N/A,FALSE,"장축";#N/A,#N/A,FALSE,"4WD"}</definedName>
    <definedName name="_21h2_" hidden="1">{"'표지'!$B$5"}</definedName>
    <definedName name="_21h4_" hidden="1">{"'표지'!$B$5"}</definedName>
    <definedName name="_21HL2_" hidden="1">{#N/A,#N/A,FALSE,"단축1";#N/A,#N/A,FALSE,"단축2";#N/A,#N/A,FALSE,"단축3";#N/A,#N/A,FALSE,"장축";#N/A,#N/A,FALSE,"4WD"}</definedName>
    <definedName name="_21k1_" hidden="1">#REF!</definedName>
    <definedName name="_21O11_" hidden="1">{#N/A,#N/A,FALSE,"단축1";#N/A,#N/A,FALSE,"단축2";#N/A,#N/A,FALSE,"단축3";#N/A,#N/A,FALSE,"장축";#N/A,#N/A,FALSE,"4WD"}</definedName>
    <definedName name="_21Q1_" hidden="1">{#N/A,#N/A,FALSE,"KMC최종회의(7월) 자료"}</definedName>
    <definedName name="_21Q2_" hidden="1">{#N/A,#N/A,FALSE,"KMC최종회의(7월) 자료"}</definedName>
    <definedName name="_21Q3_" hidden="1">{#N/A,#N/A,FALSE,"KMC최종회의(7월) 자료"}</definedName>
    <definedName name="_21Q5_" hidden="1">{#N/A,#N/A,FALSE,"KMC최종회의(7월) 자료"}</definedName>
    <definedName name="_21Q7_" hidden="1">{#N/A,#N/A,FALSE,"KMC최종회의(7월) 자료"}</definedName>
    <definedName name="_21Q8_" hidden="1">{#N/A,#N/A,FALSE,"KMC최종회의(7월) 자료"}</definedName>
    <definedName name="_21Q8__1" hidden="1">{#N/A,#N/A,FALSE,"KMC최종회의(7월) 자료"}</definedName>
    <definedName name="_21Q9_" hidden="1">{#N/A,#N/A,FALSE,"KMC최종회의(7월) 자료"}</definedName>
    <definedName name="_21S1_" hidden="1">{#N/A,#N/A,FALSE,"KMC최종회의(7월) 자료"}</definedName>
    <definedName name="_21S2_" hidden="1">{#N/A,#N/A,FALSE,"KMC최종회의(7월) 자료"}</definedName>
    <definedName name="_21S3_" hidden="1">{#N/A,#N/A,FALSE,"KMC최종회의(7월) 자료"}</definedName>
    <definedName name="_21S3__1" hidden="1">{#N/A,#N/A,FALSE,"KMC최종회의(7월) 자료"}</definedName>
    <definedName name="_21S4_" hidden="1">{#N/A,#N/A,FALSE,"KMC최종회의(7월) 자료"}</definedName>
    <definedName name="_21S4__1" hidden="1">{#N/A,#N/A,FALSE,"KMC최종회의(7월) 자료"}</definedName>
    <definedName name="_21T2_" hidden="1">{#N/A,#N/A,FALSE,"단축1";#N/A,#N/A,FALSE,"단축2";#N/A,#N/A,FALSE,"단축3";#N/A,#N/A,FALSE,"장축";#N/A,#N/A,FALSE,"4WD"}</definedName>
    <definedName name="_21X7_" hidden="1">{#N/A,#N/A,FALSE,"KMC최종회의(7월) 자료"}</definedName>
    <definedName name="_22__123Graph_CCHART_3" hidden="1">#REF!</definedName>
    <definedName name="_22__123Graph_XBORE_圧縮比" hidden="1">#REF!</definedName>
    <definedName name="_22___0_S" hidden="1">#REF!</definedName>
    <definedName name="_22__0_S" hidden="1">#REF!</definedName>
    <definedName name="_220HP02_" hidden="1">{#N/A,#N/A,FALSE,"단축1";#N/A,#N/A,FALSE,"단축2";#N/A,#N/A,FALSE,"단축3";#N/A,#N/A,FALSE,"장축";#N/A,#N/A,FALSE,"4WD"}</definedName>
    <definedName name="_220Q7687_" hidden="1">{"'7-2지역별'!$A$1:$R$44"}</definedName>
    <definedName name="_220S5_" hidden="1">{#N/A,#N/A,FALSE,"KMC최종회의(7월) 자료"}</definedName>
    <definedName name="_220S8_" hidden="1">{#N/A,#N/A,FALSE,"KMC최종회의(7월) 자료"}</definedName>
    <definedName name="_220w1_" hidden="1">{#N/A,#N/A,FALSE,"신규dep";#N/A,#N/A,FALSE,"신규dep-금형상각후";#N/A,#N/A,FALSE,"신규dep-연구비상각후";#N/A,#N/A,FALSE,"신규dep-기계,공구상각후"}</definedName>
    <definedName name="_220w1__1" hidden="1">{#N/A,#N/A,FALSE,"신규dep";#N/A,#N/A,FALSE,"신규dep-금형상각후";#N/A,#N/A,FALSE,"신규dep-연구비상각후";#N/A,#N/A,FALSE,"신규dep-기계,공구상각후"}</definedName>
    <definedName name="_220W2_" hidden="1">{#N/A,#N/A,FALSE,"KMC최종회의(7월) 자료"}</definedName>
    <definedName name="_220W6_" hidden="1">{#N/A,#N/A,FALSE,"KMC최종회의(7월) 자료"}</definedName>
    <definedName name="_220W8_" hidden="1">{#N/A,#N/A,FALSE,"KMC최종회의(7월) 자료"}</definedName>
    <definedName name="_220X6_" hidden="1">{#N/A,#N/A,FALSE,"KMC최종회의(7월) 자료"}</definedName>
    <definedName name="_220Z2_" hidden="1">{#N/A,#N/A,FALSE,"KMC최종회의(7월) 자료"}</definedName>
    <definedName name="_220Z5_" hidden="1">{#N/A,#N/A,FALSE,"KMC최종회의(7월) 자료"}</definedName>
    <definedName name="_221A3_" hidden="1">{#N/A,#N/A,FALSE,"KMC최종회의(7월) 자료"}</definedName>
    <definedName name="_221HP02_" hidden="1">{#N/A,#N/A,FALSE,"단축1";#N/A,#N/A,FALSE,"단축2";#N/A,#N/A,FALSE,"단축3";#N/A,#N/A,FALSE,"장축";#N/A,#N/A,FALSE,"4WD"}</definedName>
    <definedName name="_221HP2_" hidden="1">{#N/A,#N/A,FALSE,"단축1";#N/A,#N/A,FALSE,"단축2";#N/A,#N/A,FALSE,"단축3";#N/A,#N/A,FALSE,"장축";#N/A,#N/A,FALSE,"4WD"}</definedName>
    <definedName name="_221Q876_" hidden="1">{"'7-2지역별'!$A$1:$R$44"}</definedName>
    <definedName name="_221Q9_" hidden="1">{#N/A,#N/A,FALSE,"KMC최종회의(7월) 자료"}</definedName>
    <definedName name="_221S2_" hidden="1">{#N/A,#N/A,FALSE,"KMC최종회의(7월) 자료"}</definedName>
    <definedName name="_221W4_" hidden="1">{#N/A,#N/A,FALSE,"KMC최종회의(7월) 자료"}</definedName>
    <definedName name="_221X7_" hidden="1">{#N/A,#N/A,FALSE,"KMC최종회의(7월) 자료"}</definedName>
    <definedName name="_221Z5_" hidden="1">{#N/A,#N/A,FALSE,"KMC최종회의(7월) 자료"}</definedName>
    <definedName name="_221Z6_" hidden="1">{#N/A,#N/A,FALSE,"KMC최종회의(7월) 자료"}</definedName>
    <definedName name="_222e8_" hidden="1">{#N/A,#N/A,FALSE,"신규dep";#N/A,#N/A,FALSE,"신규dep-금형상각후";#N/A,#N/A,FALSE,"신규dep-연구비상각후";#N/A,#N/A,FALSE,"신규dep-기계,공구상각후"}</definedName>
    <definedName name="_222e8__1" hidden="1">{#N/A,#N/A,FALSE,"신규dep";#N/A,#N/A,FALSE,"신규dep-금형상각후";#N/A,#N/A,FALSE,"신규dep-연구비상각후";#N/A,#N/A,FALSE,"신규dep-기계,공구상각후"}</definedName>
    <definedName name="_222F12_" hidden="1">{#N/A,#N/A,FALSE,"단축1";#N/A,#N/A,FALSE,"단축2";#N/A,#N/A,FALSE,"단축3";#N/A,#N/A,FALSE,"장축";#N/A,#N/A,FALSE,"4WD"}</definedName>
    <definedName name="_222P21_" hidden="1">{#N/A,#N/A,FALSE,"단축1";#N/A,#N/A,FALSE,"단축2";#N/A,#N/A,FALSE,"단축3";#N/A,#N/A,FALSE,"장축";#N/A,#N/A,FALSE,"4WD"}</definedName>
    <definedName name="_222Q98_" hidden="1">{"'7-2지역별'!$A$1:$R$44"}</definedName>
    <definedName name="_222S7_" hidden="1">{#N/A,#N/A,FALSE,"KMC최종회의(7월) 자료"}</definedName>
    <definedName name="_222S8_" hidden="1">{#N/A,#N/A,FALSE,"KMC최종회의(7월) 자료"}</definedName>
    <definedName name="_222T3_" hidden="1">{#N/A,#N/A,FALSE,"단축1";#N/A,#N/A,FALSE,"단축2";#N/A,#N/A,FALSE,"단축3";#N/A,#N/A,FALSE,"장축";#N/A,#N/A,FALSE,"4WD"}</definedName>
    <definedName name="_222W1_" hidden="1">{#N/A,#N/A,FALSE,"KMC최종회의(7월) 자료"}</definedName>
    <definedName name="_222X2_" hidden="1">{#N/A,#N/A,FALSE,"KMC최종회의(7월) 자료"}</definedName>
    <definedName name="_222X4_" hidden="1">{#N/A,#N/A,FALSE,"KMC최종회의(7월) 자료"}</definedName>
    <definedName name="_222Z6_" hidden="1">{#N/A,#N/A,FALSE,"KMC최종회의(7월) 자료"}</definedName>
    <definedName name="_222Z9_" hidden="1">{#N/A,#N/A,FALSE,"KMC최종회의(7월) 자료"}</definedName>
    <definedName name="_2232W3_" hidden="1">{#N/A,#N/A,FALSE,"KMC최종회의(7월) 자료"}</definedName>
    <definedName name="_2232W3__1" hidden="1">{#N/A,#N/A,FALSE,"KMC최종회의(7월) 자료"}</definedName>
    <definedName name="_223HP02_" hidden="1">{#N/A,#N/A,FALSE,"단축1";#N/A,#N/A,FALSE,"단축2";#N/A,#N/A,FALSE,"단축3";#N/A,#N/A,FALSE,"장축";#N/A,#N/A,FALSE,"4WD"}</definedName>
    <definedName name="_223HP2_" hidden="1">{#N/A,#N/A,FALSE,"단축1";#N/A,#N/A,FALSE,"단축2";#N/A,#N/A,FALSE,"단축3";#N/A,#N/A,FALSE,"장축";#N/A,#N/A,FALSE,"4WD"}</definedName>
    <definedName name="_223k9_" hidden="1">{#N/A,#N/A,FALSE,"단축1";#N/A,#N/A,FALSE,"단축2";#N/A,#N/A,FALSE,"단축3";#N/A,#N/A,FALSE,"장축";#N/A,#N/A,FALSE,"4WD"}</definedName>
    <definedName name="_223t45445_" hidden="1">{"'7-2지역별'!$A$1:$R$44"}</definedName>
    <definedName name="_223W4_" hidden="1">{#N/A,#N/A,FALSE,"KMC최종회의(7월) 자료"}</definedName>
    <definedName name="_223Z6_" hidden="1">{#N/A,#N/A,FALSE,"KMC최종회의(7월) 자료"}</definedName>
    <definedName name="_223Z7_" hidden="1">{#N/A,#N/A,FALSE,"KMC최종회의(7월) 자료"}</definedName>
    <definedName name="_224P21_" hidden="1">{#N/A,#N/A,FALSE,"단축1";#N/A,#N/A,FALSE,"단축2";#N/A,#N/A,FALSE,"단축3";#N/A,#N/A,FALSE,"장축";#N/A,#N/A,FALSE,"4WD"}</definedName>
    <definedName name="_224s1_" hidden="1">{#N/A,#N/A,FALSE,"신규dep";#N/A,#N/A,FALSE,"신규dep-금형상각후";#N/A,#N/A,FALSE,"신규dep-연구비상각후";#N/A,#N/A,FALSE,"신규dep-기계,공구상각후"}</definedName>
    <definedName name="_224S5_" hidden="1">{#N/A,#N/A,FALSE,"KMC최종회의(7월) 자료"}</definedName>
    <definedName name="_224S7_" hidden="1">{#N/A,#N/A,FALSE,"KMC최종회의(7월) 자료"}</definedName>
    <definedName name="_224s8_" hidden="1">{#N/A,#N/A,FALSE,"신규dep";#N/A,#N/A,FALSE,"신규dep-금형상각후";#N/A,#N/A,FALSE,"신규dep-연구비상각후";#N/A,#N/A,FALSE,"신규dep-기계,공구상각후"}</definedName>
    <definedName name="_224T2_" hidden="1">{#N/A,#N/A,FALSE,"단축1";#N/A,#N/A,FALSE,"단축2";#N/A,#N/A,FALSE,"단축3";#N/A,#N/A,FALSE,"장축";#N/A,#N/A,FALSE,"4WD"}</definedName>
    <definedName name="_224W1_" hidden="1">{#N/A,#N/A,FALSE,"KMC최종회의(7월) 자료"}</definedName>
    <definedName name="_224W1__1" hidden="1">{#N/A,#N/A,FALSE,"KMC최종회의(7월) 자료"}</definedName>
    <definedName name="_224W12324_" hidden="1">{"'7-2지역별'!$A$1:$R$44"}</definedName>
    <definedName name="_224W6_" hidden="1">{#N/A,#N/A,FALSE,"KMC최종회의(7월) 자료"}</definedName>
    <definedName name="_224Z3_" hidden="1">{#N/A,#N/A,FALSE,"KMC최종회의(7월) 자료"}</definedName>
    <definedName name="_224Z7_" hidden="1">{#N/A,#N/A,FALSE,"KMC최종회의(7월) 자료"}</definedName>
    <definedName name="_225M123_" hidden="1">{#N/A,#N/A,FALSE,"단축1";#N/A,#N/A,FALSE,"단축2";#N/A,#N/A,FALSE,"단축3";#N/A,#N/A,FALSE,"장축";#N/A,#N/A,FALSE,"4WD"}</definedName>
    <definedName name="_225S3_" hidden="1">{#N/A,#N/A,FALSE,"KMC최종회의(7월) 자료"}</definedName>
    <definedName name="_225S8_" hidden="1">{#N/A,#N/A,FALSE,"KMC최종회의(7월) 자료"}</definedName>
    <definedName name="_225S8__1" hidden="1">{#N/A,#N/A,FALSE,"KMC최종회의(7월) 자료"}</definedName>
    <definedName name="_225W2_" hidden="1">{#N/A,#N/A,FALSE,"품의서";#N/A,#N/A,FALSE,"전제";#N/A,#N/A,FALSE,"총손";#N/A,#N/A,FALSE,"손익"}</definedName>
    <definedName name="_225W2__1" hidden="1">{#N/A,#N/A,FALSE,"품의서";#N/A,#N/A,FALSE,"전제";#N/A,#N/A,FALSE,"총손";#N/A,#N/A,FALSE,"손익"}</definedName>
    <definedName name="_225W3_" hidden="1">{#N/A,#N/A,FALSE,"KMC최종회의(7월) 자료"}</definedName>
    <definedName name="_225W322_" hidden="1">{"'7-2지역별'!$A$1:$R$44"}</definedName>
    <definedName name="_225W7_" hidden="1">{#N/A,#N/A,FALSE,"KMC최종회의(7월) 자료"}</definedName>
    <definedName name="_225W9_" hidden="1">{#N/A,#N/A,FALSE,"KMC최종회의(7월) 자료"}</definedName>
    <definedName name="_225X5_" hidden="1">{#N/A,#N/A,FALSE,"KMC최종회의(7월) 자료"}</definedName>
    <definedName name="_225X7_" hidden="1">{#N/A,#N/A,FALSE,"KMC최종회의(7월) 자료"}</definedName>
    <definedName name="_225X8_" hidden="1">{#N/A,#N/A,FALSE,"KMC최종회의(7월) 자료"}</definedName>
    <definedName name="_225Z6_" hidden="1">{#N/A,#N/A,FALSE,"KMC최종회의(7월) 자료"}</definedName>
    <definedName name="_225Z8_" hidden="1">{#N/A,#N/A,FALSE,"KMC최종회의(7월) 자료"}</definedName>
    <definedName name="_2265W4_" hidden="1">{#N/A,#N/A,FALSE,"KMC최종회의(7월) 자료"}</definedName>
    <definedName name="_2265W4__1" hidden="1">{#N/A,#N/A,FALSE,"KMC최종회의(7월) 자료"}</definedName>
    <definedName name="_226Q765_" hidden="1">{"'7-2지역별'!$A$1:$R$44"}</definedName>
    <definedName name="_226S4_" hidden="1">{#N/A,#N/A,FALSE,"KMC최종회의(7월) 자료"}</definedName>
    <definedName name="_226S6_" hidden="1">{#N/A,#N/A,FALSE,"KMC최종회의(7월) 자료"}</definedName>
    <definedName name="_226T3_" hidden="1">{#N/A,#N/A,FALSE,"단축1";#N/A,#N/A,FALSE,"단축2";#N/A,#N/A,FALSE,"단축3";#N/A,#N/A,FALSE,"장축";#N/A,#N/A,FALSE,"4WD"}</definedName>
    <definedName name="_226W2_" hidden="1">{#N/A,#N/A,FALSE,"KMC최종회의(7월) 자료"}</definedName>
    <definedName name="_226W4454_" hidden="1">{"'7-2지역별'!$A$1:$R$44"}</definedName>
    <definedName name="_226W5_" hidden="1">{#N/A,#N/A,FALSE,"KMC최종회의(7월) 자료"}</definedName>
    <definedName name="_226Z7_" hidden="1">{#N/A,#N/A,FALSE,"KMC최종회의(7월) 자료"}</definedName>
    <definedName name="_226Z8_" hidden="1">{#N/A,#N/A,FALSE,"KMC최종회의(7월) 자료"}</definedName>
    <definedName name="_227HP2_" hidden="1">{#N/A,#N/A,FALSE,"단축1";#N/A,#N/A,FALSE,"단축2";#N/A,#N/A,FALSE,"단축3";#N/A,#N/A,FALSE,"장축";#N/A,#N/A,FALSE,"4WD"}</definedName>
    <definedName name="_227Q3_" hidden="1">{#N/A,#N/A,FALSE,"KMC최종회의(7월) 자료"}</definedName>
    <definedName name="_227S3_" hidden="1">{#N/A,#N/A,FALSE,"KMC최종회의(7월) 자료"}</definedName>
    <definedName name="_227T2_" hidden="1">{#N/A,#N/A,FALSE,"단축1";#N/A,#N/A,FALSE,"단축2";#N/A,#N/A,FALSE,"단축3";#N/A,#N/A,FALSE,"장축";#N/A,#N/A,FALSE,"4WD"}</definedName>
    <definedName name="_227W5_" hidden="1">{#N/A,#N/A,FALSE,"KMC최종회의(7월) 자료"}</definedName>
    <definedName name="_227W53_" hidden="1">{"'7-2지역별'!$A$1:$R$44"}</definedName>
    <definedName name="_227Z7_" hidden="1">{#N/A,#N/A,FALSE,"KMC최종회의(7월) 자료"}</definedName>
    <definedName name="_227Z9_" hidden="1">{#N/A,#N/A,FALSE,"KMC최종회의(7월) 자료"}</definedName>
    <definedName name="_228M123_" hidden="1">{#N/A,#N/A,FALSE,"단축1";#N/A,#N/A,FALSE,"단축2";#N/A,#N/A,FALSE,"단축3";#N/A,#N/A,FALSE,"장축";#N/A,#N/A,FALSE,"4WD"}</definedName>
    <definedName name="_228Q1_" hidden="1">{#N/A,#N/A,FALSE,"KMC최종회의(7월) 자료"}</definedName>
    <definedName name="_228S1_" hidden="1">{#N/A,#N/A,FALSE,"KMC최종회의(7월) 자료"}</definedName>
    <definedName name="_228S5_" hidden="1">{#N/A,#N/A,FALSE,"KMC최종회의(7월) 자료"}</definedName>
    <definedName name="_228S8_" hidden="1">{#N/A,#N/A,FALSE,"KMC최종회의(7월) 자료"}</definedName>
    <definedName name="_228U1_" hidden="1">{#N/A,#N/A,FALSE,"단축1";#N/A,#N/A,FALSE,"단축2";#N/A,#N/A,FALSE,"단축3";#N/A,#N/A,FALSE,"장축";#N/A,#N/A,FALSE,"4WD"}</definedName>
    <definedName name="_228X3_" hidden="1">{#N/A,#N/A,FALSE,"KMC최종회의(7월) 자료"}</definedName>
    <definedName name="_228X6_" hidden="1">{#N/A,#N/A,FALSE,"KMC최종회의(7월) 자료"}</definedName>
    <definedName name="_228y45546_" hidden="1">{"'7-2지역별'!$A$1:$R$44"}</definedName>
    <definedName name="_228Z4_" hidden="1">{#N/A,#N/A,FALSE,"KMC최종회의(7월) 자료"}</definedName>
    <definedName name="_228Z9_" hidden="1">{#N/A,#N/A,FALSE,"KMC최종회의(7월) 자료"}</definedName>
    <definedName name="_229____S" hidden="1">#REF!</definedName>
    <definedName name="_229__0_S" hidden="1">#REF!</definedName>
    <definedName name="_2298W5_" hidden="1">{#N/A,#N/A,FALSE,"KMC최종회의(7월) 자료"}</definedName>
    <definedName name="_2298W5__1" hidden="1">{#N/A,#N/A,FALSE,"KMC최종회의(7월) 자료"}</definedName>
    <definedName name="_229HP02_" hidden="1">{#N/A,#N/A,FALSE,"단축1";#N/A,#N/A,FALSE,"단축2";#N/A,#N/A,FALSE,"단축3";#N/A,#N/A,FALSE,"장축";#N/A,#N/A,FALSE,"4WD"}</definedName>
    <definedName name="_229S4_" hidden="1">{#N/A,#N/A,FALSE,"KMC최종회의(7월) 자료"}</definedName>
    <definedName name="_229T2_" hidden="1">{#N/A,#N/A,FALSE,"단축1";#N/A,#N/A,FALSE,"단축2";#N/A,#N/A,FALSE,"단축3";#N/A,#N/A,FALSE,"장축";#N/A,#N/A,FALSE,"4WD"}</definedName>
    <definedName name="_229Z1_" hidden="1">{#N/A,#N/A,FALSE,"KMC최종회의(7월) 자료"}</definedName>
    <definedName name="_229Z7_" hidden="1">{#N/A,#N/A,FALSE,"KMC최종회의(7월) 자료"}</definedName>
    <definedName name="_22A02_" hidden="1">{#N/A,#N/A,FALSE,"단축1";#N/A,#N/A,FALSE,"단축2";#N/A,#N/A,FALSE,"단축3";#N/A,#N/A,FALSE,"장축";#N/A,#N/A,FALSE,"4WD"}</definedName>
    <definedName name="_22A1_" hidden="1">{#N/A,#N/A,FALSE,"KMC최종회의(7월) 자료"}</definedName>
    <definedName name="_22A1232_" hidden="1">{#N/A,#N/A,FALSE,"단축1";#N/A,#N/A,FALSE,"단축2";#N/A,#N/A,FALSE,"단축3";#N/A,#N/A,FALSE,"장축";#N/A,#N/A,FALSE,"4WD"}</definedName>
    <definedName name="_22A1454_" hidden="1">{#N/A,#N/A,FALSE,"단축1";#N/A,#N/A,FALSE,"단축2";#N/A,#N/A,FALSE,"단축3";#N/A,#N/A,FALSE,"장축";#N/A,#N/A,FALSE,"4WD"}</definedName>
    <definedName name="_22A2_" hidden="1">{#N/A,#N/A,FALSE,"KMC최종회의(7월) 자료"}</definedName>
    <definedName name="_22A5_" hidden="1">{#N/A,#N/A,FALSE,"KMC최종회의(7월) 자료"}</definedName>
    <definedName name="_22A6_" hidden="1">{#N/A,#N/A,FALSE,"KMC최종회의(7월) 자료"}</definedName>
    <definedName name="_22A7_" hidden="1">{#N/A,#N/A,FALSE,"KMC최종회의(7월) 자료"}</definedName>
    <definedName name="_22A8_" hidden="1">{#N/A,#N/A,FALSE,"KMC최종회의(7월) 자료"}</definedName>
    <definedName name="_22A9_" hidden="1">{#N/A,#N/A,FALSE,"KMC최종회의(7월) 자료"}</definedName>
    <definedName name="_22AS6_" hidden="1">{#N/A,#N/A,FALSE,"Australien";#N/A,#N/A,FALSE,"Birmingham";#N/A,#N/A,FALSE,"Brasilien";#N/A,#N/A,FALSE,"Prag";#N/A,#N/A,FALSE,"Spanien";#N/A,#N/A,FALSE,"Malaysia ( Com)";#N/A,#N/A,FALSE,"Malaysia (Instr)"}</definedName>
    <definedName name="_22AT1_" hidden="1">{#N/A,#N/A,FALSE,"인원";#N/A,#N/A,FALSE,"비용2";#N/A,#N/A,FALSE,"비용1";#N/A,#N/A,FALSE,"비용";#N/A,#N/A,FALSE,"보증2";#N/A,#N/A,FALSE,"보증1";#N/A,#N/A,FALSE,"보증";#N/A,#N/A,FALSE,"손익1";#N/A,#N/A,FALSE,"손익";#N/A,#N/A,FALSE,"부서별매출";#N/A,#N/A,FALSE,"매출"}</definedName>
    <definedName name="_22AT3_" hidden="1">{#N/A,#N/A,FALSE,"인원";#N/A,#N/A,FALSE,"비용2";#N/A,#N/A,FALSE,"비용1";#N/A,#N/A,FALSE,"비용";#N/A,#N/A,FALSE,"보증2";#N/A,#N/A,FALSE,"보증1";#N/A,#N/A,FALSE,"보증";#N/A,#N/A,FALSE,"손익1";#N/A,#N/A,FALSE,"손익";#N/A,#N/A,FALSE,"부서별매출";#N/A,#N/A,FALSE,"매출"}</definedName>
    <definedName name="_22CL22_" hidden="1">{#N/A,#N/A,FALSE,"KMC최종회의(7월) 자료"}</definedName>
    <definedName name="_22CL222_" hidden="1">{#N/A,#N/A,FALSE,"KMC최종회의(7월) 자료"}</definedName>
    <definedName name="_22CL33_" hidden="1">{#N/A,#N/A,FALSE,"KMC최종회의(7월) 자료"}</definedName>
    <definedName name="_22E1_" hidden="1">{#N/A,#N/A,FALSE,"KMC최종회의(7월) 자료"}</definedName>
    <definedName name="_22E2_" hidden="1">{#N/A,#N/A,FALSE,"KMC최종회의(7월) 자료"}</definedName>
    <definedName name="_22e5_" hidden="1">{#N/A,#N/A,FALSE,"단축1";#N/A,#N/A,FALSE,"단축2";#N/A,#N/A,FALSE,"단축3";#N/A,#N/A,FALSE,"장축";#N/A,#N/A,FALSE,"4WD"}</definedName>
    <definedName name="_22G1_" hidden="1">{#N/A,#N/A,FALSE,"단축1";#N/A,#N/A,FALSE,"단축2";#N/A,#N/A,FALSE,"단축3";#N/A,#N/A,FALSE,"장축";#N/A,#N/A,FALSE,"4WD"}</definedName>
    <definedName name="_22h3_" hidden="1">{"'표지'!$B$5"}</definedName>
    <definedName name="_22h5_" hidden="1">{"'표지'!$B$5"}</definedName>
    <definedName name="_22K7_" hidden="1">{#N/A,#N/A,TRUE,"Y생산";#N/A,#N/A,TRUE,"Y판매";#N/A,#N/A,TRUE,"Y총물량";#N/A,#N/A,TRUE,"Y능력";#N/A,#N/A,TRUE,"YKD"}</definedName>
    <definedName name="_22P21_" hidden="1">{#N/A,#N/A,FALSE,"단축1";#N/A,#N/A,FALSE,"단축2";#N/A,#N/A,FALSE,"단축3";#N/A,#N/A,FALSE,"장축";#N/A,#N/A,FALSE,"4WD"}</definedName>
    <definedName name="_22Q1_" hidden="1">{#N/A,#N/A,FALSE,"KMC최종회의(7월) 자료"}</definedName>
    <definedName name="_22Q2_" hidden="1">{#N/A,#N/A,FALSE,"KMC최종회의(7월) 자료"}</definedName>
    <definedName name="_22Q3_" hidden="1">{#N/A,#N/A,FALSE,"KMC최종회의(7월) 자료"}</definedName>
    <definedName name="_22Q5_" hidden="1">{#N/A,#N/A,FALSE,"KMC최종회의(7월) 자료"}</definedName>
    <definedName name="_22Q7_" hidden="1">{#N/A,#N/A,FALSE,"KMC최종회의(7월) 자료"}</definedName>
    <definedName name="_22Q8_" hidden="1">{#N/A,#N/A,FALSE,"KMC최종회의(7월) 자료"}</definedName>
    <definedName name="_22Q9_" hidden="1">{#N/A,#N/A,FALSE,"KMC최종회의(7월) 자료"}</definedName>
    <definedName name="_22Q9__1" hidden="1">{#N/A,#N/A,FALSE,"KMC최종회의(7월) 자료"}</definedName>
    <definedName name="_22S1_" hidden="1">{#N/A,#N/A,FALSE,"KMC최종회의(7월) 자료"}</definedName>
    <definedName name="_22S2_" hidden="1">{#N/A,#N/A,FALSE,"KMC최종회의(7월) 자료"}</definedName>
    <definedName name="_22S3_" hidden="1">{#N/A,#N/A,FALSE,"KMC최종회의(7월) 자료"}</definedName>
    <definedName name="_22S4_" hidden="1">{#N/A,#N/A,FALSE,"KMC최종회의(7월) 자료"}</definedName>
    <definedName name="_22S4__1" hidden="1">{#N/A,#N/A,FALSE,"KMC최종회의(7월) 자료"}</definedName>
    <definedName name="_22S5_" hidden="1">{#N/A,#N/A,FALSE,"KMC최종회의(7월) 자료"}</definedName>
    <definedName name="_22S5__1" hidden="1">{#N/A,#N/A,FALSE,"KMC최종회의(7월) 자료"}</definedName>
    <definedName name="_22T3_" hidden="1">{#N/A,#N/A,FALSE,"단축1";#N/A,#N/A,FALSE,"단축2";#N/A,#N/A,FALSE,"단축3";#N/A,#N/A,FALSE,"장축";#N/A,#N/A,FALSE,"4WD"}</definedName>
    <definedName name="_22X8_" hidden="1">{#N/A,#N/A,FALSE,"KMC최종회의(7월) 자료"}</definedName>
    <definedName name="_23__123Graph_AC04C_ALL_T2" hidden="1">#REF!</definedName>
    <definedName name="_23__123Graph_XBORE_EXH.VALVE" hidden="1">#REF!</definedName>
    <definedName name="_23__0_S" hidden="1">#REF!</definedName>
    <definedName name="_230DB777_" hidden="1">{#N/A,#N/A,TRUE,"Y생산";#N/A,#N/A,TRUE,"Y판매";#N/A,#N/A,TRUE,"Y총물량";#N/A,#N/A,TRUE,"Y능력";#N/A,#N/A,TRUE,"YKD"}</definedName>
    <definedName name="_230P1_" hidden="1">{#N/A,#N/A,FALSE,"단축1";#N/A,#N/A,FALSE,"단축2";#N/A,#N/A,FALSE,"단축3";#N/A,#N/A,FALSE,"장축";#N/A,#N/A,FALSE,"4WD"}</definedName>
    <definedName name="_230S6_" hidden="1">{#N/A,#N/A,FALSE,"KMC최종회의(7월) 자료"}</definedName>
    <definedName name="_230w3_" hidden="1">{#N/A,#N/A,FALSE,"신규dep";#N/A,#N/A,FALSE,"신규dep-금형상각후";#N/A,#N/A,FALSE,"신규dep-연구비상각후";#N/A,#N/A,FALSE,"신규dep-기계,공구상각후"}</definedName>
    <definedName name="_230w3__1" hidden="1">{#N/A,#N/A,FALSE,"신규dep";#N/A,#N/A,FALSE,"신규dep-금형상각후";#N/A,#N/A,FALSE,"신규dep-연구비상각후";#N/A,#N/A,FALSE,"신규dep-기계,공구상각후"}</definedName>
    <definedName name="_230W4_" hidden="1">{#N/A,#N/A,FALSE,"KMC최종회의(7월) 자료"}</definedName>
    <definedName name="_230W8_" hidden="1">{#N/A,#N/A,FALSE,"KMC최종회의(7월) 자료"}</definedName>
    <definedName name="_230X1_" hidden="1">{#N/A,#N/A,FALSE,"KMC최종회의(7월) 자료"}</definedName>
    <definedName name="_230X8_" hidden="1">{#N/A,#N/A,FALSE,"KMC최종회의(7월) 자료"}</definedName>
    <definedName name="_230Z8_" hidden="1">{#N/A,#N/A,FALSE,"KMC최종회의(7월) 자료"}</definedName>
    <definedName name="_231EO2_" hidden="1">{#N/A,#N/A,FALSE,"신규dep";#N/A,#N/A,FALSE,"신규dep-금형상각후";#N/A,#N/A,FALSE,"신규dep-연구비상각후";#N/A,#N/A,FALSE,"신규dep-기계,공구상각후"}</definedName>
    <definedName name="_231M123_" hidden="1">{#N/A,#N/A,FALSE,"단축1";#N/A,#N/A,FALSE,"단축2";#N/A,#N/A,FALSE,"단축3";#N/A,#N/A,FALSE,"장축";#N/A,#N/A,FALSE,"4WD"}</definedName>
    <definedName name="_231Q2_" hidden="1">{#N/A,#N/A,FALSE,"KMC최종회의(7월) 자료"}</definedName>
    <definedName name="_231s2_" hidden="1">{#N/A,#N/A,FALSE,"신규dep";#N/A,#N/A,FALSE,"신규dep-금형상각후";#N/A,#N/A,FALSE,"신규dep-연구비상각후";#N/A,#N/A,FALSE,"신규dep-기계,공구상각후"}</definedName>
    <definedName name="_231S6_" hidden="1">{#N/A,#N/A,FALSE,"KMC최종회의(7월) 자료"}</definedName>
    <definedName name="_231T2_" hidden="1">{#N/A,#N/A,FALSE,"단축1";#N/A,#N/A,FALSE,"단축2";#N/A,#N/A,FALSE,"단축3";#N/A,#N/A,FALSE,"장축";#N/A,#N/A,FALSE,"4WD"}</definedName>
    <definedName name="_231T2__1" hidden="1">{#N/A,#N/A,FALSE,"단축1";#N/A,#N/A,FALSE,"단축2";#N/A,#N/A,FALSE,"단축3";#N/A,#N/A,FALSE,"장축";#N/A,#N/A,FALSE,"4WD"}</definedName>
    <definedName name="_231T3_" hidden="1">{#N/A,#N/A,FALSE,"단축1";#N/A,#N/A,FALSE,"단축2";#N/A,#N/A,FALSE,"단축3";#N/A,#N/A,FALSE,"장축";#N/A,#N/A,FALSE,"4WD"}</definedName>
    <definedName name="_231W1_" hidden="1">{#N/A,#N/A,FALSE,"KMC최종회의(7월) 자료"}</definedName>
    <definedName name="_231W2_" hidden="1">{#N/A,#N/A,FALSE,"KMC최종회의(7월) 자료"}</definedName>
    <definedName name="_231W2__1" hidden="1">{#N/A,#N/A,FALSE,"KMC최종회의(7월) 자료"}</definedName>
    <definedName name="_231W6_" hidden="1">{#N/A,#N/A,FALSE,"KMC최종회의(7월) 자료"}</definedName>
    <definedName name="_231W7_" hidden="1">{#N/A,#N/A,FALSE,"KMC최종회의(7월) 자료"}</definedName>
    <definedName name="_231X7_" hidden="1">{#N/A,#N/A,FALSE,"KMC최종회의(7월) 자료"}</definedName>
    <definedName name="_231Z8_" hidden="1">{#N/A,#N/A,FALSE,"KMC최종회의(7월) 자료"}</definedName>
    <definedName name="_232__0_S" hidden="1">#REF!</definedName>
    <definedName name="_232S7_" hidden="1">{#N/A,#N/A,FALSE,"KMC최종회의(7월) 자료"}</definedName>
    <definedName name="_232Z5_" hidden="1">{#N/A,#N/A,FALSE,"KMC최종회의(7월) 자료"}</definedName>
    <definedName name="_233__0_S" hidden="1">#REF!</definedName>
    <definedName name="_2331W6_" hidden="1">{#N/A,#N/A,FALSE,"KMC최종회의(7월) 자료"}</definedName>
    <definedName name="_2331W6__1" hidden="1">{#N/A,#N/A,FALSE,"KMC최종회의(7월) 자료"}</definedName>
    <definedName name="_233O11_" hidden="1">{#N/A,#N/A,FALSE,"단축1";#N/A,#N/A,FALSE,"단축2";#N/A,#N/A,FALSE,"단축3";#N/A,#N/A,FALSE,"장축";#N/A,#N/A,FALSE,"4WD"}</definedName>
    <definedName name="_233Q1_" hidden="1">{#N/A,#N/A,FALSE,"KMC최종회의(7월) 자료"}</definedName>
    <definedName name="_233Q5_" hidden="1">{#N/A,#N/A,FALSE,"KMC최종회의(7월) 자료"}</definedName>
    <definedName name="_233S5_" hidden="1">{#N/A,#N/A,FALSE,"KMC최종회의(7월) 자료"}</definedName>
    <definedName name="_233Z2_" hidden="1">{#N/A,#N/A,FALSE,"KMC최종회의(7월) 자료"}</definedName>
    <definedName name="_233Z8_" hidden="1">{#N/A,#N/A,FALSE,"KMC최종회의(7월) 자료"}</definedName>
    <definedName name="_234HP2_" hidden="1">{#N/A,#N/A,FALSE,"단축1";#N/A,#N/A,FALSE,"단축2";#N/A,#N/A,FALSE,"단축3";#N/A,#N/A,FALSE,"장축";#N/A,#N/A,FALSE,"4WD"}</definedName>
    <definedName name="_234Q7655_" hidden="1">{"'7-2지역별'!$A$1:$R$44"}</definedName>
    <definedName name="_234S8_" hidden="1">{#N/A,#N/A,FALSE,"KMC최종회의(7월) 자료"}</definedName>
    <definedName name="_234T3_" hidden="1">{#N/A,#N/A,FALSE,"단축1";#N/A,#N/A,FALSE,"단축2";#N/A,#N/A,FALSE,"단축3";#N/A,#N/A,FALSE,"장축";#N/A,#N/A,FALSE,"4WD"}</definedName>
    <definedName name="_234W1_" hidden="1">{#N/A,#N/A,FALSE,"KMC최종회의(7월) 자료"}</definedName>
    <definedName name="_234W4_" hidden="1">{#N/A,#N/A,FALSE,"KMC최종회의(7월) 자료"}</definedName>
    <definedName name="_234X4_" hidden="1">{#N/A,#N/A,FALSE,"KMC최종회의(7월) 자료"}</definedName>
    <definedName name="_234X8_" hidden="1">{#N/A,#N/A,FALSE,"KMC최종회의(7월) 자료"}</definedName>
    <definedName name="_234Z9_" hidden="1">{#N/A,#N/A,FALSE,"KMC최종회의(7월) 자료"}</definedName>
    <definedName name="_235__0_S" hidden="1">#REF!</definedName>
    <definedName name="_235S4_" hidden="1">{#N/A,#N/A,FALSE,"KMC최종회의(7월) 자료"}</definedName>
    <definedName name="_235T2_" hidden="1">{#N/A,#N/A,FALSE,"단축1";#N/A,#N/A,FALSE,"단축2";#N/A,#N/A,FALSE,"단축3";#N/A,#N/A,FALSE,"장축";#N/A,#N/A,FALSE,"4WD"}</definedName>
    <definedName name="_235U1_" hidden="1">{#N/A,#N/A,FALSE,"단축1";#N/A,#N/A,FALSE,"단축2";#N/A,#N/A,FALSE,"단축3";#N/A,#N/A,FALSE,"장축";#N/A,#N/A,FALSE,"4WD"}</definedName>
    <definedName name="_235W2_" hidden="1">{#N/A,#N/A,FALSE,"KMC최종회의(7월) 자료"}</definedName>
    <definedName name="_235w4_" hidden="1">{#N/A,#N/A,FALSE,"단축1";#N/A,#N/A,FALSE,"단축2";#N/A,#N/A,FALSE,"단축3";#N/A,#N/A,FALSE,"장축";#N/A,#N/A,FALSE,"4WD"}</definedName>
    <definedName name="_235w4__1" hidden="1">{#N/A,#N/A,FALSE,"단축1";#N/A,#N/A,FALSE,"단축2";#N/A,#N/A,FALSE,"단축3";#N/A,#N/A,FALSE,"장축";#N/A,#N/A,FALSE,"4WD"}</definedName>
    <definedName name="_235W5_" hidden="1">{#N/A,#N/A,FALSE,"KMC최종회의(7월) 자료"}</definedName>
    <definedName name="_235W7_" hidden="1">{#N/A,#N/A,FALSE,"KMC최종회의(7월) 자료"}</definedName>
    <definedName name="_235W9_" hidden="1">{#N/A,#N/A,FALSE,"KMC최종회의(7월) 자료"}</definedName>
    <definedName name="_235X2_" hidden="1">{#N/A,#N/A,FALSE,"KMC최종회의(7월) 자료"}</definedName>
    <definedName name="_235Z1_" hidden="1">{#N/A,#N/A,FALSE,"KMC최종회의(7월) 자료"}</definedName>
    <definedName name="_235Z9_" hidden="1">{#N/A,#N/A,FALSE,"KMC최종회의(7월) 자료"}</definedName>
    <definedName name="_236__0_S" hidden="1">#REF!</definedName>
    <definedName name="_2364W7_" hidden="1">{#N/A,#N/A,FALSE,"KMC최종회의(7월) 자료"}</definedName>
    <definedName name="_2364W7__1" hidden="1">{#N/A,#N/A,FALSE,"KMC최종회의(7월) 자료"}</definedName>
    <definedName name="_236k1_" hidden="1">#REF!</definedName>
    <definedName name="_236W1_" hidden="1">{#N/A,#N/A,FALSE,"KMC최종회의(7월) 자료"}</definedName>
    <definedName name="_236W7_" hidden="1">{#N/A,#N/A,FALSE,"KMC최종회의(7월) 자료"}</definedName>
    <definedName name="_236Z6_" hidden="1">{#N/A,#N/A,FALSE,"KMC최종회의(7월) 자료"}</definedName>
    <definedName name="_237A4_" hidden="1">{#N/A,#N/A,FALSE,"KMC최종회의(7월) 자료"}</definedName>
    <definedName name="_237e9_" hidden="1">{#N/A,#N/A,FALSE,"단축1";#N/A,#N/A,FALSE,"단축2";#N/A,#N/A,FALSE,"단축3";#N/A,#N/A,FALSE,"장축";#N/A,#N/A,FALSE,"4WD"}</definedName>
    <definedName name="_237e9__1" hidden="1">{#N/A,#N/A,FALSE,"단축1";#N/A,#N/A,FALSE,"단축2";#N/A,#N/A,FALSE,"단축3";#N/A,#N/A,FALSE,"장축";#N/A,#N/A,FALSE,"4WD"}</definedName>
    <definedName name="_237P2_" hidden="1">{#N/A,#N/A,FALSE,"단축1";#N/A,#N/A,FALSE,"단축2";#N/A,#N/A,FALSE,"단축3";#N/A,#N/A,FALSE,"장축";#N/A,#N/A,FALSE,"4WD"}</definedName>
    <definedName name="_237S6_" hidden="1">{#N/A,#N/A,FALSE,"KMC최종회의(7월) 자료"}</definedName>
    <definedName name="_237T2_" hidden="1">{#N/A,#N/A,FALSE,"단축1";#N/A,#N/A,FALSE,"단축2";#N/A,#N/A,FALSE,"단축3";#N/A,#N/A,FALSE,"장축";#N/A,#N/A,FALSE,"4WD"}</definedName>
    <definedName name="_237W1_" hidden="1">{#N/A,#N/A,FALSE,"KMC최종회의(7월) 자료"}</definedName>
    <definedName name="_237W1__1" hidden="1">{#N/A,#N/A,FALSE,"KMC최종회의(7월) 자료"}</definedName>
    <definedName name="_237Z1_" hidden="1">{#N/A,#N/A,FALSE,"KMC최종회의(7월) 자료"}</definedName>
    <definedName name="_237Z3_" hidden="1">{#N/A,#N/A,FALSE,"KMC최종회의(7월) 자료"}</definedName>
    <definedName name="_237Z9_" hidden="1">{#N/A,#N/A,FALSE,"KMC최종회의(7월) 자료"}</definedName>
    <definedName name="_238P2_" hidden="1">{#N/A,#N/A,FALSE,"단축1";#N/A,#N/A,FALSE,"단축2";#N/A,#N/A,FALSE,"단축3";#N/A,#N/A,FALSE,"장축";#N/A,#N/A,FALSE,"4WD"}</definedName>
    <definedName name="_238Q3_" hidden="1">{#N/A,#N/A,FALSE,"KMC최종회의(7월) 자료"}</definedName>
    <definedName name="_238Q7_" hidden="1">{#N/A,#N/A,FALSE,"KMC최종회의(7월) 자료"}</definedName>
    <definedName name="_238s3_" hidden="1">{#N/A,#N/A,FALSE,"단축1";#N/A,#N/A,FALSE,"단축2";#N/A,#N/A,FALSE,"단축3";#N/A,#N/A,FALSE,"장축";#N/A,#N/A,FALSE,"4WD"}</definedName>
    <definedName name="_238S7_" hidden="1">{#N/A,#N/A,FALSE,"KMC최종회의(7월) 자료"}</definedName>
    <definedName name="_238S8_" hidden="1">{#N/A,#N/A,FALSE,"KMC최종회의(7월) 자료"}</definedName>
    <definedName name="_238T2_" hidden="1">#REF!</definedName>
    <definedName name="_238T3_" hidden="1">{#N/A,#N/A,FALSE,"단축1";#N/A,#N/A,FALSE,"단축2";#N/A,#N/A,FALSE,"단축3";#N/A,#N/A,FALSE,"장축";#N/A,#N/A,FALSE,"4WD"}</definedName>
    <definedName name="_238W3_" hidden="1">{#N/A,#N/A,FALSE,"KMC최종회의(7월) 자료"}</definedName>
    <definedName name="_238W3__1" hidden="1">{#N/A,#N/A,FALSE,"KMC최종회의(7월) 자료"}</definedName>
    <definedName name="_238W5_" hidden="1">{#N/A,#N/A,FALSE,"KMC최종회의(7월) 자료"}</definedName>
    <definedName name="_238W8_" hidden="1">{#N/A,#N/A,FALSE,"KMC최종회의(7월) 자료"}</definedName>
    <definedName name="_2397W8_" hidden="1">{#N/A,#N/A,FALSE,"KMC최종회의(7월) 자료"}</definedName>
    <definedName name="_2397W8__1" hidden="1">{#N/A,#N/A,FALSE,"KMC최종회의(7월) 자료"}</definedName>
    <definedName name="_239FG1_" hidden="1">{#N/A,#N/A,FALSE,"단축1";#N/A,#N/A,FALSE,"단축2";#N/A,#N/A,FALSE,"단축3";#N/A,#N/A,FALSE,"장축";#N/A,#N/A,FALSE,"4WD"}</definedName>
    <definedName name="_239T5_" hidden="1">{#N/A,#N/A,FALSE,"단축1";#N/A,#N/A,FALSE,"단축2";#N/A,#N/A,FALSE,"단축3";#N/A,#N/A,FALSE,"장축";#N/A,#N/A,FALSE,"4WD"}</definedName>
    <definedName name="_239W3_" hidden="1">{#N/A,#N/A,FALSE,"KMC최종회의(7월) 자료"}</definedName>
    <definedName name="_239W8_" hidden="1">{#N/A,#N/A,FALSE,"KMC최종회의(7월) 자료"}</definedName>
    <definedName name="_23A02_" hidden="1">{#N/A,#N/A,FALSE,"단축1";#N/A,#N/A,FALSE,"단축2";#N/A,#N/A,FALSE,"단축3";#N/A,#N/A,FALSE,"장축";#N/A,#N/A,FALSE,"4WD"}</definedName>
    <definedName name="_23A1_" hidden="1">{#N/A,#N/A,FALSE,"KMC최종회의(7월) 자료"}</definedName>
    <definedName name="_23A1245_" hidden="1">{#N/A,#N/A,FALSE,"단축1";#N/A,#N/A,FALSE,"단축2";#N/A,#N/A,FALSE,"단축3";#N/A,#N/A,FALSE,"장축";#N/A,#N/A,FALSE,"4WD"}</definedName>
    <definedName name="_23A2040_" hidden="1">{#N/A,#N/A,FALSE,"단축1";#N/A,#N/A,FALSE,"단축2";#N/A,#N/A,FALSE,"단축3";#N/A,#N/A,FALSE,"장축";#N/A,#N/A,FALSE,"4WD"}</definedName>
    <definedName name="_23A3_" hidden="1">{#N/A,#N/A,FALSE,"KMC최종회의(7월) 자료"}</definedName>
    <definedName name="_23A6_" hidden="1">{#N/A,#N/A,FALSE,"KMC최종회의(7월) 자료"}</definedName>
    <definedName name="_23A8_" hidden="1">{#N/A,#N/A,FALSE,"KMC최종회의(7월) 자료"}</definedName>
    <definedName name="_23A8__1" hidden="1">{#N/A,#N/A,FALSE,"KMC최종회의(7월) 자료"}</definedName>
    <definedName name="_23AA4_" hidden="1">{#N/A,#N/A,FALSE,"신규dep";#N/A,#N/A,FALSE,"신규dep-금형상각후";#N/A,#N/A,FALSE,"신규dep-연구비상각후";#N/A,#N/A,FALSE,"신규dep-기계,공구상각후"}</definedName>
    <definedName name="_23CL22_" hidden="1">{#N/A,#N/A,FALSE,"KMC최종회의(7월) 자료"}</definedName>
    <definedName name="_23CL222_" hidden="1">{#N/A,#N/A,FALSE,"KMC최종회의(7월) 자료"}</definedName>
    <definedName name="_23CL33_" hidden="1">{#N/A,#N/A,FALSE,"KMC최종회의(7월) 자료"}</definedName>
    <definedName name="_23E1_" hidden="1">{#N/A,#N/A,FALSE,"KMC최종회의(7월) 자료"}</definedName>
    <definedName name="_23E2_" hidden="1">{#N/A,#N/A,FALSE,"KMC최종회의(7월) 자료"}</definedName>
    <definedName name="_23e6_" hidden="1">{#N/A,#N/A,FALSE,"단축1";#N/A,#N/A,FALSE,"단축2";#N/A,#N/A,FALSE,"단축3";#N/A,#N/A,FALSE,"장축";#N/A,#N/A,FALSE,"4WD"}</definedName>
    <definedName name="_23h1_" hidden="1">{"'표지'!$B$5"}</definedName>
    <definedName name="_23h4_" hidden="1">{"'표지'!$B$5"}</definedName>
    <definedName name="_23HL1_" hidden="1">{#N/A,#N/A,FALSE,"단축1";#N/A,#N/A,FALSE,"단축2";#N/A,#N/A,FALSE,"단축3";#N/A,#N/A,FALSE,"장축";#N/A,#N/A,FALSE,"4WD"}</definedName>
    <definedName name="_23HP02_" hidden="1">{#N/A,#N/A,FALSE,"단축1";#N/A,#N/A,FALSE,"단축2";#N/A,#N/A,FALSE,"단축3";#N/A,#N/A,FALSE,"장축";#N/A,#N/A,FALSE,"4WD"}</definedName>
    <definedName name="_23K115_" hidden="1">{#N/A,#N/A,FALSE,"인원";#N/A,#N/A,FALSE,"비용2";#N/A,#N/A,FALSE,"비용1";#N/A,#N/A,FALSE,"비용";#N/A,#N/A,FALSE,"보증2";#N/A,#N/A,FALSE,"보증1";#N/A,#N/A,FALSE,"보증";#N/A,#N/A,FALSE,"손익1";#N/A,#N/A,FALSE,"손익";#N/A,#N/A,FALSE,"부서별매출";#N/A,#N/A,FALSE,"매출"}</definedName>
    <definedName name="_23k7_" hidden="1">{#N/A,#N/A,FALSE,"단축1";#N/A,#N/A,FALSE,"단축2";#N/A,#N/A,FALSE,"단축3";#N/A,#N/A,FALSE,"장축";#N/A,#N/A,FALSE,"4WD"}</definedName>
    <definedName name="_23M123_" hidden="1">{#N/A,#N/A,FALSE,"단축1";#N/A,#N/A,FALSE,"단축2";#N/A,#N/A,FALSE,"단축3";#N/A,#N/A,FALSE,"장축";#N/A,#N/A,FALSE,"4WD"}</definedName>
    <definedName name="_23Q1_" hidden="1">{#N/A,#N/A,FALSE,"KMC최종회의(7월) 자료"}</definedName>
    <definedName name="_23Q2_" hidden="1">{#N/A,#N/A,FALSE,"KMC최종회의(7월) 자료"}</definedName>
    <definedName name="_23Q3_" hidden="1">{#N/A,#N/A,FALSE,"KMC최종회의(7월) 자료"}</definedName>
    <definedName name="_23Q5_" hidden="1">{#N/A,#N/A,FALSE,"KMC최종회의(7월) 자료"}</definedName>
    <definedName name="_23Q7_" hidden="1">{#N/A,#N/A,FALSE,"KMC최종회의(7월) 자료"}</definedName>
    <definedName name="_23Q8_" hidden="1">{#N/A,#N/A,FALSE,"KMC최종회의(7월) 자료"}</definedName>
    <definedName name="_23Q9_" hidden="1">{#N/A,#N/A,FALSE,"KMC최종회의(7월) 자료"}</definedName>
    <definedName name="_23S1_" hidden="1">{#N/A,#N/A,FALSE,"KMC최종회의(7월) 자료"}</definedName>
    <definedName name="_23S1__1" hidden="1">{#N/A,#N/A,FALSE,"KMC최종회의(7월) 자료"}</definedName>
    <definedName name="_23S2_" hidden="1">{#N/A,#N/A,FALSE,"KMC최종회의(7월) 자료"}</definedName>
    <definedName name="_23S3_" hidden="1">{#N/A,#N/A,FALSE,"KMC최종회의(7월) 자료"}</definedName>
    <definedName name="_23S4_" hidden="1">{#N/A,#N/A,FALSE,"KMC최종회의(7월) 자료"}</definedName>
    <definedName name="_23S5_" hidden="1">{#N/A,#N/A,FALSE,"KMC최종회의(7월) 자료"}</definedName>
    <definedName name="_23S5__1" hidden="1">{#N/A,#N/A,FALSE,"KMC최종회의(7월) 자료"}</definedName>
    <definedName name="_23S6_" hidden="1">{#N/A,#N/A,FALSE,"KMC최종회의(7월) 자료"}</definedName>
    <definedName name="_23S6__1" hidden="1">{#N/A,#N/A,FALSE,"KMC최종회의(7월) 자료"}</definedName>
    <definedName name="_23t4_" hidden="1">{#N/A,#N/A,FALSE,"단축1";#N/A,#N/A,FALSE,"단축2";#N/A,#N/A,FALSE,"단축3";#N/A,#N/A,FALSE,"장축";#N/A,#N/A,FALSE,"4WD"}</definedName>
    <definedName name="_23T5_" hidden="1">{#N/A,#N/A,FALSE,"단축1";#N/A,#N/A,FALSE,"단축2";#N/A,#N/A,FALSE,"단축3";#N/A,#N/A,FALSE,"장축";#N/A,#N/A,FALSE,"4WD"}</definedName>
    <definedName name="_23Z1_" hidden="1">{#N/A,#N/A,FALSE,"KMC최종회의(7월) 자료"}</definedName>
    <definedName name="_24__123Graph_AC04C_ALL_T2" hidden="1">#REF!</definedName>
    <definedName name="_24__123Graph_XBORE_I.VALVE" hidden="1">#REF!</definedName>
    <definedName name="_24__0_S" hidden="1">#REF!</definedName>
    <definedName name="_240S2_" hidden="1">{#N/A,#N/A,FALSE,"KMC최종회의(7월) 자료"}</definedName>
    <definedName name="_240S8_" hidden="1">{#N/A,#N/A,FALSE,"KMC최종회의(7월) 자료"}</definedName>
    <definedName name="_240W2_" hidden="1">{#N/A,#N/A,FALSE,"KMC최종회의(7월) 자료"}</definedName>
    <definedName name="_240w5_" hidden="1">{#N/A,#N/A,FALSE,"신규dep";#N/A,#N/A,FALSE,"신규dep-금형상각후";#N/A,#N/A,FALSE,"신규dep-연구비상각후";#N/A,#N/A,FALSE,"신규dep-기계,공구상각후"}</definedName>
    <definedName name="_240w5__1" hidden="1">{#N/A,#N/A,FALSE,"신규dep";#N/A,#N/A,FALSE,"신규dep-금형상각후";#N/A,#N/A,FALSE,"신규dep-연구비상각후";#N/A,#N/A,FALSE,"신규dep-기계,공구상각후"}</definedName>
    <definedName name="_240W6_" hidden="1">{#N/A,#N/A,FALSE,"KMC최종회의(7월) 자료"}</definedName>
    <definedName name="_240X1_" hidden="1">{#N/A,#N/A,FALSE,"KMC최종회의(7월) 자료"}</definedName>
    <definedName name="_240X3_" hidden="1">{#N/A,#N/A,FALSE,"KMC최종회의(7월) 자료"}</definedName>
    <definedName name="_240X5_" hidden="1">{#N/A,#N/A,FALSE,"KMC최종회의(7월) 자료"}</definedName>
    <definedName name="_240z123_" hidden="1">{#N/A,#N/A,FALSE,"단축1";#N/A,#N/A,FALSE,"단축2";#N/A,#N/A,FALSE,"단축3";#N/A,#N/A,FALSE,"장축";#N/A,#N/A,FALSE,"4WD"}</definedName>
    <definedName name="_240Z2_" hidden="1">{#N/A,#N/A,FALSE,"KMC최종회의(7월) 자료"}</definedName>
    <definedName name="_240Z7_" hidden="1">{#N/A,#N/A,FALSE,"KMC최종회의(7월) 자료"}</definedName>
    <definedName name="_241__0_S" hidden="1">#REF!</definedName>
    <definedName name="_241k7_" hidden="1">{#N/A,#N/A,FALSE,"단축1";#N/A,#N/A,FALSE,"단축2";#N/A,#N/A,FALSE,"단축3";#N/A,#N/A,FALSE,"장축";#N/A,#N/A,FALSE,"4WD"}</definedName>
    <definedName name="_241Q5_" hidden="1">{#N/A,#N/A,FALSE,"KMC최종회의(7월) 자료"}</definedName>
    <definedName name="_241S7_" hidden="1">{#N/A,#N/A,FALSE,"KMC최종회의(7월) 자료"}</definedName>
    <definedName name="_241W1_" hidden="1">{#N/A,#N/A,FALSE,"KMC최종회의(7월) 자료"}</definedName>
    <definedName name="_241W8_" hidden="1">{#N/A,#N/A,FALSE,"KMC최종회의(7월) 자료"}</definedName>
    <definedName name="_241Z4_" hidden="1">{#N/A,#N/A,FALSE,"KMC최종회의(7월) 자료"}</definedName>
    <definedName name="_242G1_" hidden="1">{#N/A,#N/A,FALSE,"단축1";#N/A,#N/A,FALSE,"단축2";#N/A,#N/A,FALSE,"단축3";#N/A,#N/A,FALSE,"장축";#N/A,#N/A,FALSE,"4WD"}</definedName>
    <definedName name="_242Q2_" hidden="1">{#N/A,#N/A,FALSE,"KMC최종회의(7월) 자료"}</definedName>
    <definedName name="_242Q7687_" hidden="1">{"'7-2지역별'!$A$1:$R$44"}</definedName>
    <definedName name="_242W1_" hidden="1">{#N/A,#N/A,FALSE,"KMC최종회의(7월) 자료"}</definedName>
    <definedName name="_242W6_" hidden="1">{#N/A,#N/A,FALSE,"KMC최종회의(7월) 자료"}</definedName>
    <definedName name="_2430W9_" hidden="1">{#N/A,#N/A,FALSE,"KMC최종회의(7월) 자료"}</definedName>
    <definedName name="_2430W9__1" hidden="1">{#N/A,#N/A,FALSE,"KMC최종회의(7월) 자료"}</definedName>
    <definedName name="_243Q8_" hidden="1">{#N/A,#N/A,FALSE,"KMC최종회의(7월) 자료"}</definedName>
    <definedName name="_243S5_" hidden="1">{#N/A,#N/A,FALSE,"KMC최종회의(7월) 자료"}</definedName>
    <definedName name="_243T2_" hidden="1">{#N/A,#N/A,FALSE,"단축1";#N/A,#N/A,FALSE,"단축2";#N/A,#N/A,FALSE,"단축3";#N/A,#N/A,FALSE,"장축";#N/A,#N/A,FALSE,"4WD"}</definedName>
    <definedName name="_243W2_" hidden="1">{#N/A,#N/A,FALSE,"KMC최종회의(7월) 자료"}</definedName>
    <definedName name="_243W2__1" hidden="1">{#N/A,#N/A,FALSE,"KMC최종회의(7월) 자료"}</definedName>
    <definedName name="_243W4_" hidden="1">{#N/A,#N/A,FALSE,"KMC최종회의(7월) 자료"}</definedName>
    <definedName name="_243W9_" hidden="1">{#N/A,#N/A,FALSE,"KMC최종회의(7월) 자료"}</definedName>
    <definedName name="_243Z3_" hidden="1">{#N/A,#N/A,FALSE,"KMC최종회의(7월) 자료"}</definedName>
    <definedName name="_244Q7_" hidden="1">{#N/A,#N/A,FALSE,"KMC최종회의(7월) 자료"}</definedName>
    <definedName name="_244T2_" hidden="1">#REF!</definedName>
    <definedName name="_244w1_" hidden="1">{#N/A,#N/A,FALSE,"신규dep";#N/A,#N/A,FALSE,"신규dep-금형상각후";#N/A,#N/A,FALSE,"신규dep-연구비상각후";#N/A,#N/A,FALSE,"신규dep-기계,공구상각후"}</definedName>
    <definedName name="_244W2_" hidden="1">{#N/A,#N/A,FALSE,"KMC최종회의(7월) 자료"}</definedName>
    <definedName name="_244Z8_" hidden="1">{#N/A,#N/A,FALSE,"KMC최종회의(7월) 자료"}</definedName>
    <definedName name="_245Q1_" hidden="1">{#N/A,#N/A,FALSE,"KMC최종회의(7월) 자료"}</definedName>
    <definedName name="_245s4_" hidden="1">{#N/A,#N/A,FALSE,"단축1";#N/A,#N/A,FALSE,"단축2";#N/A,#N/A,FALSE,"단축3";#N/A,#N/A,FALSE,"장축";#N/A,#N/A,FALSE,"4WD"}</definedName>
    <definedName name="_245S8_" hidden="1">{#N/A,#N/A,FALSE,"KMC최종회의(7월) 자료"}</definedName>
    <definedName name="_245W3_" hidden="1">{#N/A,#N/A,FALSE,"KMC최종회의(7월) 자료"}</definedName>
    <definedName name="_245W4_" hidden="1">{#N/A,#N/A,FALSE,"KMC최종회의(7월) 자료"}</definedName>
    <definedName name="_245W4__1" hidden="1">{#N/A,#N/A,FALSE,"KMC최종회의(7월) 자료"}</definedName>
    <definedName name="_245W7_" hidden="1">{#N/A,#N/A,FALSE,"KMC최종회의(7월) 자료"}</definedName>
    <definedName name="_245W9_" hidden="1">{#N/A,#N/A,FALSE,"KMC최종회의(7월) 자료"}</definedName>
    <definedName name="_245x1_" hidden="1">{#N/A,#N/A,FALSE,"단축1";#N/A,#N/A,FALSE,"단축2";#N/A,#N/A,FALSE,"단축3";#N/A,#N/A,FALSE,"장축";#N/A,#N/A,FALSE,"4WD"}</definedName>
    <definedName name="_245x1__1" hidden="1">{#N/A,#N/A,FALSE,"단축1";#N/A,#N/A,FALSE,"단축2";#N/A,#N/A,FALSE,"단축3";#N/A,#N/A,FALSE,"장축";#N/A,#N/A,FALSE,"4WD"}</definedName>
    <definedName name="_245X2_" hidden="1">{#N/A,#N/A,FALSE,"KMC최종회의(7월) 자료"}</definedName>
    <definedName name="_245X4_" hidden="1">{#N/A,#N/A,FALSE,"KMC최종회의(7월) 자료"}</definedName>
    <definedName name="_245Z2_" hidden="1">{#N/A,#N/A,FALSE,"KMC최종회의(7월) 자료"}</definedName>
    <definedName name="_245Z3_" hidden="1">{#N/A,#N/A,FALSE,"KMC최종회의(7월) 자료"}</definedName>
    <definedName name="_245Z5_" hidden="1">{#N/A,#N/A,FALSE,"KMC최종회의(7월) 자료"}</definedName>
    <definedName name="_2463X1_" hidden="1">{#N/A,#N/A,FALSE,"KMC최종회의(7월) 자료"}</definedName>
    <definedName name="_2463X1__1" hidden="1">{#N/A,#N/A,FALSE,"KMC최종회의(7월) 자료"}</definedName>
    <definedName name="_246EO2_" hidden="1">{#N/A,#N/A,FALSE,"신규dep";#N/A,#N/A,FALSE,"신규dep-금형상각후";#N/A,#N/A,FALSE,"신규dep-연구비상각후";#N/A,#N/A,FALSE,"신규dep-기계,공구상각후"}</definedName>
    <definedName name="_246k8_" hidden="1">{#N/A,#N/A,FALSE,"단축1";#N/A,#N/A,FALSE,"단축2";#N/A,#N/A,FALSE,"단축3";#N/A,#N/A,FALSE,"장축";#N/A,#N/A,FALSE,"4WD"}</definedName>
    <definedName name="_246Q2_" hidden="1">{#N/A,#N/A,FALSE,"KMC최종회의(7월) 자료"}</definedName>
    <definedName name="_246W3_" hidden="1">{#N/A,#N/A,FALSE,"KMC최종회의(7월) 자료"}</definedName>
    <definedName name="_246W7_" hidden="1">{#N/A,#N/A,FALSE,"KMC최종회의(7월) 자료"}</definedName>
    <definedName name="_246W9_" hidden="1">{#N/A,#N/A,FALSE,"KMC최종회의(7월) 자료"}</definedName>
    <definedName name="_246X6_" hidden="1">{#N/A,#N/A,FALSE,"KMC최종회의(7월) 자료"}</definedName>
    <definedName name="_246Z4_" hidden="1">{#N/A,#N/A,FALSE,"KMC최종회의(7월) 자료"}</definedName>
    <definedName name="_247____S" hidden="1">#REF!</definedName>
    <definedName name="_247EO2_" hidden="1">{#N/A,#N/A,FALSE,"신규dep";#N/A,#N/A,FALSE,"신규dep-금형상각후";#N/A,#N/A,FALSE,"신규dep-연구비상각후";#N/A,#N/A,FALSE,"신규dep-기계,공구상각후"}</definedName>
    <definedName name="_247HP02_" hidden="1">{#N/A,#N/A,FALSE,"단축1";#N/A,#N/A,FALSE,"단축2";#N/A,#N/A,FALSE,"단축3";#N/A,#N/A,FALSE,"장축";#N/A,#N/A,FALSE,"4WD"}</definedName>
    <definedName name="_247HP02__1" hidden="1">{#N/A,#N/A,FALSE,"단축1";#N/A,#N/A,FALSE,"단축2";#N/A,#N/A,FALSE,"단축3";#N/A,#N/A,FALSE,"장축";#N/A,#N/A,FALSE,"4WD"}</definedName>
    <definedName name="_247Q8_" hidden="1">{#N/A,#N/A,FALSE,"KMC최종회의(7월) 자료"}</definedName>
    <definedName name="_247W5_" hidden="1">{#N/A,#N/A,FALSE,"KMC최종회의(7월) 자료"}</definedName>
    <definedName name="_247X1_" hidden="1">{#N/A,#N/A,FALSE,"KMC최종회의(7월) 자료"}</definedName>
    <definedName name="_248DR1_" hidden="1">{#N/A,#N/A,FALSE,"업체선정";#N/A,#N/A,FALSE,"업체선정sheet";#N/A,#N/A,FALSE,"업체실태";#N/A,#N/A,FALSE,"업체실태(1)";#N/A,#N/A,FALSE,"종업원현황(2)";#N/A,#N/A,FALSE,"생산품목(3)";#N/A,#N/A,FALSE,"장비보유현황";#N/A,#N/A,FALSE,"차량및약도";#N/A,#N/A,FALSE,"금형LIST"}</definedName>
    <definedName name="_248HL1_" hidden="1">{#N/A,#N/A,FALSE,"단축1";#N/A,#N/A,FALSE,"단축2";#N/A,#N/A,FALSE,"단축3";#N/A,#N/A,FALSE,"장축";#N/A,#N/A,FALSE,"4WD"}</definedName>
    <definedName name="_248Q9_" hidden="1">{#N/A,#N/A,FALSE,"KMC최종회의(7월) 자료"}</definedName>
    <definedName name="_248T3_" hidden="1">{#N/A,#N/A,FALSE,"단축1";#N/A,#N/A,FALSE,"단축2";#N/A,#N/A,FALSE,"단축3";#N/A,#N/A,FALSE,"장축";#N/A,#N/A,FALSE,"4WD"}</definedName>
    <definedName name="_248W4_" hidden="1">{#N/A,#N/A,FALSE,"KMC최종회의(7월) 자료"}</definedName>
    <definedName name="_248Z9_" hidden="1">{#N/A,#N/A,FALSE,"KMC최종회의(7월) 자료"}</definedName>
    <definedName name="_249____S" hidden="1">#REF!</definedName>
    <definedName name="_2496X2_" hidden="1">{#N/A,#N/A,FALSE,"KMC최종회의(7월) 자료"}</definedName>
    <definedName name="_2496X2__1" hidden="1">{#N/A,#N/A,FALSE,"KMC최종회의(7월) 자료"}</definedName>
    <definedName name="_249AS6_" hidden="1">{#N/A,#N/A,FALSE,"Australien";#N/A,#N/A,FALSE,"Birmingham";#N/A,#N/A,FALSE,"Brasilien";#N/A,#N/A,FALSE,"Prag";#N/A,#N/A,FALSE,"Spanien";#N/A,#N/A,FALSE,"Malaysia ( Com)";#N/A,#N/A,FALSE,"Malaysia (Instr)"}</definedName>
    <definedName name="_249T2_" hidden="1">{#N/A,#N/A,FALSE,"단축1";#N/A,#N/A,FALSE,"단축2";#N/A,#N/A,FALSE,"단축3";#N/A,#N/A,FALSE,"장축";#N/A,#N/A,FALSE,"4WD"}</definedName>
    <definedName name="_249W2_" hidden="1">{#N/A,#N/A,FALSE,"KMC최종회의(7월) 자료"}</definedName>
    <definedName name="_249W3_" hidden="1">{#N/A,#N/A,FALSE,"KMC최종회의(7월) 자료"}</definedName>
    <definedName name="_249W3__1" hidden="1">{#N/A,#N/A,FALSE,"KMC최종회의(7월) 자료"}</definedName>
    <definedName name="_249Z5_" hidden="1">{#N/A,#N/A,FALSE,"KMC최종회의(7월) 자료"}</definedName>
    <definedName name="_249Z6_" hidden="1">{#N/A,#N/A,FALSE,"KMC최종회의(7월) 자료"}</definedName>
    <definedName name="_24A12458_" hidden="1">{#N/A,#N/A,FALSE,"단축1";#N/A,#N/A,FALSE,"단축2";#N/A,#N/A,FALSE,"단축3";#N/A,#N/A,FALSE,"장축";#N/A,#N/A,FALSE,"4WD"}</definedName>
    <definedName name="_24A2_" hidden="1">{#N/A,#N/A,FALSE,"KMC최종회의(7월) 자료"}</definedName>
    <definedName name="_24A21321_" hidden="1">{#N/A,#N/A,FALSE,"단축1";#N/A,#N/A,FALSE,"단축2";#N/A,#N/A,FALSE,"단축3";#N/A,#N/A,FALSE,"장축";#N/A,#N/A,FALSE,"4WD"}</definedName>
    <definedName name="_24A3_" hidden="1">{#N/A,#N/A,FALSE,"단축1";#N/A,#N/A,FALSE,"단축2";#N/A,#N/A,FALSE,"단축3";#N/A,#N/A,FALSE,"장축";#N/A,#N/A,FALSE,"4WD"}</definedName>
    <definedName name="_24A4_" hidden="1">{#N/A,#N/A,FALSE,"KMC최종회의(7월) 자료"}</definedName>
    <definedName name="_24A5_" hidden="1">{#N/A,#N/A,FALSE,"KMC최종회의(7월) 자료"}</definedName>
    <definedName name="_24A6_" hidden="1">{#N/A,#N/A,FALSE,"KMC최종회의(7월) 자료"}</definedName>
    <definedName name="_24A6666_" hidden="1">{#N/A,#N/A,FALSE,"KMC최종회의(7월) 자료"}</definedName>
    <definedName name="_24A7_" hidden="1">{#N/A,#N/A,FALSE,"KMC최종회의(7월) 자료"}</definedName>
    <definedName name="_24A7__1" hidden="1">{#N/A,#N/A,FALSE,"KMC최종회의(7월) 자료"}</definedName>
    <definedName name="_24A8_" hidden="1">{#N/A,#N/A,FALSE,"KMC최종회의(7월) 자료"}</definedName>
    <definedName name="_24A9_" hidden="1">{#N/A,#N/A,FALSE,"KMC최종회의(7월) 자료"}</definedName>
    <definedName name="_24CL22_" hidden="1">{#N/A,#N/A,FALSE,"KMC최종회의(7월) 자료"}</definedName>
    <definedName name="_24CL222_" hidden="1">{#N/A,#N/A,FALSE,"KMC최종회의(7월) 자료"}</definedName>
    <definedName name="_24CL33_" hidden="1">{#N/A,#N/A,FALSE,"KMC최종회의(7월) 자료"}</definedName>
    <definedName name="_24DB777_" hidden="1">{#N/A,#N/A,TRUE,"Y생산";#N/A,#N/A,TRUE,"Y판매";#N/A,#N/A,TRUE,"Y총물량";#N/A,#N/A,TRUE,"Y능력";#N/A,#N/A,TRUE,"YKD"}</definedName>
    <definedName name="_24E1_" hidden="1">{#N/A,#N/A,FALSE,"KMC최종회의(7월) 자료"}</definedName>
    <definedName name="_24E2_" hidden="1">{#N/A,#N/A,FALSE,"KMC최종회의(7월) 자료"}</definedName>
    <definedName name="_24e7_" hidden="1">{#N/A,#N/A,FALSE,"신규dep";#N/A,#N/A,FALSE,"신규dep-금형상각후";#N/A,#N/A,FALSE,"신규dep-연구비상각후";#N/A,#N/A,FALSE,"신규dep-기계,공구상각후"}</definedName>
    <definedName name="_24h5_" hidden="1">{"'표지'!$B$5"}</definedName>
    <definedName name="_24HL3_" hidden="1">{#N/A,#N/A,TRUE,"Y생산";#N/A,#N/A,TRUE,"Y판매";#N/A,#N/A,TRUE,"Y총물량";#N/A,#N/A,TRUE,"Y능력";#N/A,#N/A,TRUE,"YKD"}</definedName>
    <definedName name="_24k1_" hidden="1">#REF!</definedName>
    <definedName name="_24k8_" hidden="1">{#N/A,#N/A,FALSE,"단축1";#N/A,#N/A,FALSE,"단축2";#N/A,#N/A,FALSE,"단축3";#N/A,#N/A,FALSE,"장축";#N/A,#N/A,FALSE,"4WD"}</definedName>
    <definedName name="_24O11_" hidden="1">{#N/A,#N/A,FALSE,"단축1";#N/A,#N/A,FALSE,"단축2";#N/A,#N/A,FALSE,"단축3";#N/A,#N/A,FALSE,"장축";#N/A,#N/A,FALSE,"4WD"}</definedName>
    <definedName name="_24Q1_" hidden="1">{#N/A,#N/A,FALSE,"KMC최종회의(7월) 자료"}</definedName>
    <definedName name="_24Q2_" hidden="1">{#N/A,#N/A,FALSE,"KMC최종회의(7월) 자료"}</definedName>
    <definedName name="_24Q3_" hidden="1">{#N/A,#N/A,FALSE,"KMC최종회의(7월) 자료"}</definedName>
    <definedName name="_24Q5_" hidden="1">{#N/A,#N/A,FALSE,"KMC최종회의(7월) 자료"}</definedName>
    <definedName name="_24Q7_" hidden="1">{#N/A,#N/A,FALSE,"KMC최종회의(7월) 자료"}</definedName>
    <definedName name="_24Q8_" hidden="1">{#N/A,#N/A,FALSE,"KMC최종회의(7월) 자료"}</definedName>
    <definedName name="_24Q9_" hidden="1">{#N/A,#N/A,FALSE,"KMC최종회의(7월) 자료"}</definedName>
    <definedName name="_24S1_" hidden="1">{#N/A,#N/A,FALSE,"KMC최종회의(7월) 자료"}</definedName>
    <definedName name="_24S2_" hidden="1">{#N/A,#N/A,FALSE,"KMC최종회의(7월) 자료"}</definedName>
    <definedName name="_24S2__1" hidden="1">{#N/A,#N/A,FALSE,"KMC최종회의(7월) 자료"}</definedName>
    <definedName name="_24S3_" hidden="1">{#N/A,#N/A,FALSE,"KMC최종회의(7월) 자료"}</definedName>
    <definedName name="_24S4_" hidden="1">{#N/A,#N/A,FALSE,"KMC최종회의(7월) 자료"}</definedName>
    <definedName name="_24S5_" hidden="1">{#N/A,#N/A,FALSE,"KMC최종회의(7월) 자료"}</definedName>
    <definedName name="_24S6_" hidden="1">{#N/A,#N/A,FALSE,"KMC최종회의(7월) 자료"}</definedName>
    <definedName name="_24S6__1" hidden="1">{#N/A,#N/A,FALSE,"KMC최종회의(7월) 자료"}</definedName>
    <definedName name="_24S7_" hidden="1">{#N/A,#N/A,FALSE,"KMC최종회의(7월) 자료"}</definedName>
    <definedName name="_24S7__1" hidden="1">{#N/A,#N/A,FALSE,"KMC최종회의(7월) 자료"}</definedName>
    <definedName name="_24T5_" hidden="1">{#N/A,#N/A,FALSE,"단축1";#N/A,#N/A,FALSE,"단축2";#N/A,#N/A,FALSE,"단축3";#N/A,#N/A,FALSE,"장축";#N/A,#N/A,FALSE,"4WD"}</definedName>
    <definedName name="_24Z2_" hidden="1">{#N/A,#N/A,FALSE,"KMC최종회의(7월) 자료"}</definedName>
    <definedName name="_25__123Graph_CCHART_3" hidden="1">#REF!</definedName>
    <definedName name="_25__123Graph_XC04C_ALL_T1" hidden="1">#REF!</definedName>
    <definedName name="_25____S" hidden="1">#REF!</definedName>
    <definedName name="_250__0_S" hidden="1">#REF!</definedName>
    <definedName name="_250Q876_" hidden="1">{"'7-2지역별'!$A$1:$R$44"}</definedName>
    <definedName name="_250Q9_" hidden="1">{#N/A,#N/A,FALSE,"KMC최종회의(7월) 자료"}</definedName>
    <definedName name="_250W5_" hidden="1">{#N/A,#N/A,FALSE,"KMC최종회의(7월) 자료"}</definedName>
    <definedName name="_250W8_" hidden="1">{#N/A,#N/A,FALSE,"KMC최종회의(7월) 자료"}</definedName>
    <definedName name="_250x2_" hidden="1">{#N/A,#N/A,FALSE,"단축1";#N/A,#N/A,FALSE,"단축2";#N/A,#N/A,FALSE,"단축3";#N/A,#N/A,FALSE,"장축";#N/A,#N/A,FALSE,"4WD"}</definedName>
    <definedName name="_250x2__1" hidden="1">{#N/A,#N/A,FALSE,"단축1";#N/A,#N/A,FALSE,"단축2";#N/A,#N/A,FALSE,"단축3";#N/A,#N/A,FALSE,"장축";#N/A,#N/A,FALSE,"4WD"}</definedName>
    <definedName name="_250X3_" hidden="1">{#N/A,#N/A,FALSE,"KMC최종회의(7월) 자료"}</definedName>
    <definedName name="_250X5_" hidden="1">{#N/A,#N/A,FALSE,"KMC최종회의(7월) 자료"}</definedName>
    <definedName name="_250Z3_" hidden="1">{#N/A,#N/A,FALSE,"KMC최종회의(7월) 자료"}</definedName>
    <definedName name="_250Z4_" hidden="1">{#N/A,#N/A,FALSE,"KMC최종회의(7월) 자료"}</definedName>
    <definedName name="_251HL2_" hidden="1">{#N/A,#N/A,FALSE,"단축1";#N/A,#N/A,FALSE,"단축2";#N/A,#N/A,FALSE,"단축3";#N/A,#N/A,FALSE,"장축";#N/A,#N/A,FALSE,"4WD"}</definedName>
    <definedName name="_251k9_" hidden="1">{#N/A,#N/A,FALSE,"단축1";#N/A,#N/A,FALSE,"단축2";#N/A,#N/A,FALSE,"단축3";#N/A,#N/A,FALSE,"장축";#N/A,#N/A,FALSE,"4WD"}</definedName>
    <definedName name="_251Q3_" hidden="1">{#N/A,#N/A,FALSE,"KMC최종회의(7월) 자료"}</definedName>
    <definedName name="_251S6_" hidden="1">{#N/A,#N/A,FALSE,"KMC최종회의(7월) 자료"}</definedName>
    <definedName name="_251T2_" hidden="1">{#N/A,#N/A,FALSE,"단축1";#N/A,#N/A,FALSE,"단축2";#N/A,#N/A,FALSE,"단축3";#N/A,#N/A,FALSE,"장축";#N/A,#N/A,FALSE,"4WD"}</definedName>
    <definedName name="_251W6_" hidden="1">{#N/A,#N/A,FALSE,"KMC최종회의(7월) 자료"}</definedName>
    <definedName name="_251X1_" hidden="1">{#N/A,#N/A,FALSE,"KMC최종회의(7월) 자료"}</definedName>
    <definedName name="_251X2_" hidden="1">{#N/A,#N/A,FALSE,"KMC최종회의(7월) 자료"}</definedName>
    <definedName name="_2529X3_" hidden="1">{#N/A,#N/A,FALSE,"KMC최종회의(7월) 자료"}</definedName>
    <definedName name="_2529X3__1" hidden="1">{#N/A,#N/A,FALSE,"KMC최종회의(7월) 자료"}</definedName>
    <definedName name="_252A4444_" hidden="1">{#N/A,#N/A,FALSE,"KMC최종회의(7월) 자료"}</definedName>
    <definedName name="_252Q3_" hidden="1">{#N/A,#N/A,FALSE,"KMC최종회의(7월) 자료"}</definedName>
    <definedName name="_252S3_" hidden="1">{#N/A,#N/A,FALSE,"KMC최종회의(7월) 자료"}</definedName>
    <definedName name="_252s5_" hidden="1">{#N/A,#N/A,FALSE,"신규dep";#N/A,#N/A,FALSE,"신규dep-금형상각후";#N/A,#N/A,FALSE,"신규dep-연구비상각후";#N/A,#N/A,FALSE,"신규dep-기계,공구상각후"}</definedName>
    <definedName name="_252T2_" hidden="1">{#N/A,#N/A,FALSE,"단축1";#N/A,#N/A,FALSE,"단축2";#N/A,#N/A,FALSE,"단축3";#N/A,#N/A,FALSE,"장축";#N/A,#N/A,FALSE,"4WD"}</definedName>
    <definedName name="_252W3_" hidden="1">{#N/A,#N/A,FALSE,"KMC최종회의(7월) 자료"}</definedName>
    <definedName name="_252W4_" hidden="1">{#N/A,#N/A,FALSE,"KMC최종회의(7월) 자료"}</definedName>
    <definedName name="_252W5_" hidden="1">{#N/A,#N/A,FALSE,"KMC최종회의(7월) 자료"}</definedName>
    <definedName name="_252W5__1" hidden="1">{#N/A,#N/A,FALSE,"KMC최종회의(7월) 자료"}</definedName>
    <definedName name="_252W6_" hidden="1">{#N/A,#N/A,FALSE,"KMC최종회의(7월) 자료"}</definedName>
    <definedName name="_252X1_" hidden="1">{#N/A,#N/A,FALSE,"KMC최종회의(7월) 자료"}</definedName>
    <definedName name="_252X7_" hidden="1">{#N/A,#N/A,FALSE,"KMC최종회의(7월) 자료"}</definedName>
    <definedName name="_252Z6_" hidden="1">{#N/A,#N/A,FALSE,"KMC최종회의(7월) 자료"}</definedName>
    <definedName name="_253Q5_" hidden="1">{#N/A,#N/A,FALSE,"KMC최종회의(7월) 자료"}</definedName>
    <definedName name="_253S1_" hidden="1">{#N/A,#N/A,FALSE,"KMC최종회의(7월) 자료"}</definedName>
    <definedName name="_253T3_" hidden="1">{#N/A,#N/A,FALSE,"단축1";#N/A,#N/A,FALSE,"단축2";#N/A,#N/A,FALSE,"단축3";#N/A,#N/A,FALSE,"장축";#N/A,#N/A,FALSE,"4WD"}</definedName>
    <definedName name="_253U1_" hidden="1">{#N/A,#N/A,FALSE,"단축1";#N/A,#N/A,FALSE,"단축2";#N/A,#N/A,FALSE,"단축3";#N/A,#N/A,FALSE,"장축";#N/A,#N/A,FALSE,"4WD"}</definedName>
    <definedName name="_253Z7_" hidden="1">{#N/A,#N/A,FALSE,"KMC최종회의(7월) 자료"}</definedName>
    <definedName name="_254HL3_" hidden="1">{#N/A,#N/A,TRUE,"Y생산";#N/A,#N/A,TRUE,"Y판매";#N/A,#N/A,TRUE,"Y총물량";#N/A,#N/A,TRUE,"Y능력";#N/A,#N/A,TRUE,"YKD"}</definedName>
    <definedName name="_254Q7_" hidden="1">{#N/A,#N/A,FALSE,"KMC최종회의(7월) 자료"}</definedName>
    <definedName name="_254w4_" hidden="1">{#N/A,#N/A,FALSE,"단축1";#N/A,#N/A,FALSE,"단축2";#N/A,#N/A,FALSE,"단축3";#N/A,#N/A,FALSE,"장축";#N/A,#N/A,FALSE,"4WD"}</definedName>
    <definedName name="_254W7_" hidden="1">{#N/A,#N/A,FALSE,"KMC최종회의(7월) 자료"}</definedName>
    <definedName name="_254W9_" hidden="1">{#N/A,#N/A,FALSE,"KMC최종회의(7월) 자료"}</definedName>
    <definedName name="_255q3_" hidden="1">{#N/A,#N/A,FALSE,"단축1";#N/A,#N/A,FALSE,"단축2";#N/A,#N/A,FALSE,"단축3";#N/A,#N/A,FALSE,"장축";#N/A,#N/A,FALSE,"4WD"}</definedName>
    <definedName name="_255Q8_" hidden="1">{#N/A,#N/A,FALSE,"KMC최종회의(7월) 자료"}</definedName>
    <definedName name="_255W4_" hidden="1">{#N/A,#N/A,FALSE,"KMC최종회의(7월) 자료"}</definedName>
    <definedName name="_255W4__1" hidden="1">{#N/A,#N/A,FALSE,"KMC최종회의(7월) 자료"}</definedName>
    <definedName name="_255W7_" hidden="1">{#N/A,#N/A,FALSE,"KMC최종회의(7월) 자료"}</definedName>
    <definedName name="_255W9_" hidden="1">{#N/A,#N/A,FALSE,"KMC최종회의(7월) 자료"}</definedName>
    <definedName name="_255X3_" hidden="1">{#N/A,#N/A,FALSE,"KMC최종회의(7월) 자료"}</definedName>
    <definedName name="_255X4_" hidden="1">{#N/A,#N/A,FALSE,"KMC최종회의(7월) 자료"}</definedName>
    <definedName name="_255X6_" hidden="1">{#N/A,#N/A,FALSE,"KMC최종회의(7월) 자료"}</definedName>
    <definedName name="_255z1_" hidden="1">{#N/A,#N/A,FALSE,"단축1";#N/A,#N/A,FALSE,"단축2";#N/A,#N/A,FALSE,"단축3";#N/A,#N/A,FALSE,"장축";#N/A,#N/A,FALSE,"4WD"}</definedName>
    <definedName name="_255z1__1" hidden="1">{#N/A,#N/A,FALSE,"단축1";#N/A,#N/A,FALSE,"단축2";#N/A,#N/A,FALSE,"단축3";#N/A,#N/A,FALSE,"장축";#N/A,#N/A,FALSE,"4WD"}</definedName>
    <definedName name="_255Z4_" hidden="1">{#N/A,#N/A,FALSE,"KMC최종회의(7월) 자료"}</definedName>
    <definedName name="_255Z5_" hidden="1">{#N/A,#N/A,FALSE,"KMC최종회의(7월) 자료"}</definedName>
    <definedName name="_255Z7_" hidden="1">{#N/A,#N/A,FALSE,"KMC최종회의(7월) 자료"}</definedName>
    <definedName name="_2562X4_" hidden="1">{#N/A,#N/A,FALSE,"KMC최종회의(7월) 자료"}</definedName>
    <definedName name="_2562X4__1" hidden="1">{#N/A,#N/A,FALSE,"KMC최종회의(7월) 자료"}</definedName>
    <definedName name="_256HP2_" hidden="1">{#N/A,#N/A,FALSE,"단축1";#N/A,#N/A,FALSE,"단축2";#N/A,#N/A,FALSE,"단축3";#N/A,#N/A,FALSE,"장축";#N/A,#N/A,FALSE,"4WD"}</definedName>
    <definedName name="_256HP2__1" hidden="1">{#N/A,#N/A,FALSE,"단축1";#N/A,#N/A,FALSE,"단축2";#N/A,#N/A,FALSE,"단축3";#N/A,#N/A,FALSE,"장축";#N/A,#N/A,FALSE,"4WD"}</definedName>
    <definedName name="_256O21_" hidden="1">{#N/A,#N/A,FALSE,"단축1";#N/A,#N/A,FALSE,"단축2";#N/A,#N/A,FALSE,"단축3";#N/A,#N/A,FALSE,"장축";#N/A,#N/A,FALSE,"4WD"}</definedName>
    <definedName name="_256Q9_" hidden="1">{#N/A,#N/A,FALSE,"KMC최종회의(7월) 자료"}</definedName>
    <definedName name="_256S2_" hidden="1">{#N/A,#N/A,FALSE,"KMC최종회의(7월) 자료"}</definedName>
    <definedName name="_256W1_" hidden="1">{#N/A,#N/A,FALSE,"KMC최종회의(7월) 자료"}</definedName>
    <definedName name="_256W3_" hidden="1">{#N/A,#N/A,FALSE,"KMC최종회의(7월) 자료"}</definedName>
    <definedName name="_256W8_" hidden="1">{#N/A,#N/A,FALSE,"KMC최종회의(7월) 자료"}</definedName>
    <definedName name="_256X2_" hidden="1">{#N/A,#N/A,FALSE,"KMC최종회의(7월) 자료"}</definedName>
    <definedName name="_257FG1_" hidden="1">{#N/A,#N/A,FALSE,"단축1";#N/A,#N/A,FALSE,"단축2";#N/A,#N/A,FALSE,"단축3";#N/A,#N/A,FALSE,"장축";#N/A,#N/A,FALSE,"4WD"}</definedName>
    <definedName name="_257HP02_" hidden="1">{#N/A,#N/A,FALSE,"단축1";#N/A,#N/A,FALSE,"단축2";#N/A,#N/A,FALSE,"단축3";#N/A,#N/A,FALSE,"장축";#N/A,#N/A,FALSE,"4WD"}</definedName>
    <definedName name="_257S1_" hidden="1">{#N/A,#N/A,FALSE,"KMC최종회의(7월) 자료"}</definedName>
    <definedName name="_257S2_" hidden="1">{#N/A,#N/A,FALSE,"KMC최종회의(7월) 자료"}</definedName>
    <definedName name="_257U1_" hidden="1">{#N/A,#N/A,FALSE,"단축1";#N/A,#N/A,FALSE,"단축2";#N/A,#N/A,FALSE,"단축3";#N/A,#N/A,FALSE,"장축";#N/A,#N/A,FALSE,"4WD"}</definedName>
    <definedName name="_257Z8_" hidden="1">{#N/A,#N/A,FALSE,"KMC최종회의(7월) 자료"}</definedName>
    <definedName name="_258FG1_" hidden="1">{#N/A,#N/A,FALSE,"단축1";#N/A,#N/A,FALSE,"단축2";#N/A,#N/A,FALSE,"단축3";#N/A,#N/A,FALSE,"장축";#N/A,#N/A,FALSE,"4WD"}</definedName>
    <definedName name="_258Q98_" hidden="1">{"'7-2지역별'!$A$1:$R$44"}</definedName>
    <definedName name="_258S2_" hidden="1">{#N/A,#N/A,FALSE,"KMC최종회의(7월) 자료"}</definedName>
    <definedName name="_258T3_" hidden="1">{#N/A,#N/A,FALSE,"단축1";#N/A,#N/A,FALSE,"단축2";#N/A,#N/A,FALSE,"단축3";#N/A,#N/A,FALSE,"장축";#N/A,#N/A,FALSE,"4WD"}</definedName>
    <definedName name="_258W5_" hidden="1">{#N/A,#N/A,FALSE,"KMC최종회의(7월) 자료"}</definedName>
    <definedName name="_258W9_" hidden="1">{#N/A,#N/A,FALSE,"KMC최종회의(7월) 자료"}</definedName>
    <definedName name="_258X1_" hidden="1">{#N/A,#N/A,FALSE,"KMC최종회의(7월) 자료"}</definedName>
    <definedName name="_258X8_" hidden="1">{#N/A,#N/A,FALSE,"KMC최종회의(7월) 자료"}</definedName>
    <definedName name="_258Z8_" hidden="1">{#N/A,#N/A,FALSE,"KMC최종회의(7월) 자료"}</definedName>
    <definedName name="_2595X5_" hidden="1">{#N/A,#N/A,FALSE,"KMC최종회의(7월) 자료"}</definedName>
    <definedName name="_2595X5__1" hidden="1">{#N/A,#N/A,FALSE,"KMC최종회의(7월) 자료"}</definedName>
    <definedName name="_259S3_" hidden="1">{#N/A,#N/A,FALSE,"KMC최종회의(7월) 자료"}</definedName>
    <definedName name="_259s6_" hidden="1">{#N/A,#N/A,FALSE,"신규dep";#N/A,#N/A,FALSE,"신규dep-금형상각후";#N/A,#N/A,FALSE,"신규dep-연구비상각후";#N/A,#N/A,FALSE,"신규dep-기계,공구상각후"}</definedName>
    <definedName name="_259S7_" hidden="1">{#N/A,#N/A,FALSE,"KMC최종회의(7월) 자료"}</definedName>
    <definedName name="_259T3_" hidden="1">{#N/A,#N/A,FALSE,"단축1";#N/A,#N/A,FALSE,"단축2";#N/A,#N/A,FALSE,"단축3";#N/A,#N/A,FALSE,"장축";#N/A,#N/A,FALSE,"4WD"}</definedName>
    <definedName name="_259W1_" hidden="1">{#N/A,#N/A,FALSE,"KMC최종회의(7월) 자료"}</definedName>
    <definedName name="_259w5_" hidden="1">{#N/A,#N/A,FALSE,"신규dep";#N/A,#N/A,FALSE,"신규dep-금형상각후";#N/A,#N/A,FALSE,"신규dep-연구비상각후";#N/A,#N/A,FALSE,"신규dep-기계,공구상각후"}</definedName>
    <definedName name="_259W6_" hidden="1">{#N/A,#N/A,FALSE,"KMC최종회의(7월) 자료"}</definedName>
    <definedName name="_259W6__1" hidden="1">{#N/A,#N/A,FALSE,"KMC최종회의(7월) 자료"}</definedName>
    <definedName name="_259W8_" hidden="1">{#N/A,#N/A,FALSE,"KMC최종회의(7월) 자료"}</definedName>
    <definedName name="_259X2_" hidden="1">{#N/A,#N/A,FALSE,"KMC최종회의(7월) 자료"}</definedName>
    <definedName name="_259X4_" hidden="1">{#N/A,#N/A,FALSE,"KMC최종회의(7월) 자료"}</definedName>
    <definedName name="_25A1_" hidden="1">{#N/A,#N/A,FALSE,"KMC최종회의(7월) 자료"}</definedName>
    <definedName name="_25A12458_" hidden="1">{#N/A,#N/A,FALSE,"단축1";#N/A,#N/A,FALSE,"단축2";#N/A,#N/A,FALSE,"단축3";#N/A,#N/A,FALSE,"장축";#N/A,#N/A,FALSE,"4WD"}</definedName>
    <definedName name="_25A1454_" hidden="1">{#N/A,#N/A,FALSE,"단축1";#N/A,#N/A,FALSE,"단축2";#N/A,#N/A,FALSE,"단축3";#N/A,#N/A,FALSE,"장축";#N/A,#N/A,FALSE,"4WD"}</definedName>
    <definedName name="_25A2_" hidden="1">{#N/A,#N/A,FALSE,"KMC최종회의(7월) 자료"}</definedName>
    <definedName name="_25A3_" hidden="1">{#N/A,#N/A,FALSE,"단축1";#N/A,#N/A,FALSE,"단축2";#N/A,#N/A,FALSE,"단축3";#N/A,#N/A,FALSE,"장축";#N/A,#N/A,FALSE,"4WD"}</definedName>
    <definedName name="_25A4_" hidden="1">{#N/A,#N/A,FALSE,"KMC최종회의(7월) 자료"}</definedName>
    <definedName name="_25A5_" hidden="1">{#N/A,#N/A,FALSE,"KMC최종회의(7월) 자료"}</definedName>
    <definedName name="_25A6_" hidden="1">{#N/A,#N/A,FALSE,"KMC최종회의(7월) 자료"}</definedName>
    <definedName name="_25A7_" hidden="1">{#N/A,#N/A,FALSE,"KMC최종회의(7월) 자료"}</definedName>
    <definedName name="_25A8_" hidden="1">{#N/A,#N/A,FALSE,"KMC최종회의(7월) 자료"}</definedName>
    <definedName name="_25A9_" hidden="1">{#N/A,#N/A,FALSE,"KMC최종회의(7월) 자료"}</definedName>
    <definedName name="_25A9__1" hidden="1">{#N/A,#N/A,FALSE,"KMC최종회의(7월) 자료"}</definedName>
    <definedName name="_2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5CL222_" hidden="1">{#N/A,#N/A,FALSE,"KMC최종회의(7월) 자료"}</definedName>
    <definedName name="_25CL33_" hidden="1">{#N/A,#N/A,FALSE,"KMC최종회의(7월) 자료"}</definedName>
    <definedName name="_25d1_" hidden="1">{#N/A,#N/A,FALSE,"신규dep";#N/A,#N/A,FALSE,"신규dep-금형상각후";#N/A,#N/A,FALSE,"신규dep-연구비상각후";#N/A,#N/A,FALSE,"신규dep-기계,공구상각후"}</definedName>
    <definedName name="_25D6_" hidden="1">{"'표지'!$B$5"}</definedName>
    <definedName name="_25DB777_" hidden="1">{#N/A,#N/A,TRUE,"Y생산";#N/A,#N/A,TRUE,"Y판매";#N/A,#N/A,TRUE,"Y총물량";#N/A,#N/A,TRUE,"Y능력";#N/A,#N/A,TRUE,"YKD"}</definedName>
    <definedName name="_25E1_" hidden="1">{#N/A,#N/A,FALSE,"KMC최종회의(7월) 자료"}</definedName>
    <definedName name="_25E2_" hidden="1">{#N/A,#N/A,FALSE,"KMC최종회의(7월) 자료"}</definedName>
    <definedName name="_25e8_" hidden="1">{#N/A,#N/A,FALSE,"신규dep";#N/A,#N/A,FALSE,"신규dep-금형상각후";#N/A,#N/A,FALSE,"신규dep-연구비상각후";#N/A,#N/A,FALSE,"신규dep-기계,공구상각후"}</definedName>
    <definedName name="_25h3_" hidden="1">{"'표지'!$B$5"}</definedName>
    <definedName name="_25h4_" hidden="1">{"'표지'!$B$5"}</definedName>
    <definedName name="_25HL3_" hidden="1">{#N/A,#N/A,TRUE,"Y생산";#N/A,#N/A,TRUE,"Y판매";#N/A,#N/A,TRUE,"Y총물량";#N/A,#N/A,TRUE,"Y능력";#N/A,#N/A,TRUE,"YKD"}</definedName>
    <definedName name="_25k1_" hidden="1">#REF!</definedName>
    <definedName name="_25k7_" hidden="1">{#N/A,#N/A,FALSE,"단축1";#N/A,#N/A,FALSE,"단축2";#N/A,#N/A,FALSE,"단축3";#N/A,#N/A,FALSE,"장축";#N/A,#N/A,FALSE,"4WD"}</definedName>
    <definedName name="_25k8_" hidden="1">{#N/A,#N/A,FALSE,"단축1";#N/A,#N/A,FALSE,"단축2";#N/A,#N/A,FALSE,"단축3";#N/A,#N/A,FALSE,"장축";#N/A,#N/A,FALSE,"4WD"}</definedName>
    <definedName name="_25k9_" hidden="1">{#N/A,#N/A,FALSE,"단축1";#N/A,#N/A,FALSE,"단축2";#N/A,#N/A,FALSE,"단축3";#N/A,#N/A,FALSE,"장축";#N/A,#N/A,FALSE,"4WD"}</definedName>
    <definedName name="_25Q1_" hidden="1">{#N/A,#N/A,FALSE,"KMC최종회의(7월) 자료"}</definedName>
    <definedName name="_25Q3_" hidden="1">{#N/A,#N/A,FALSE,"KMC최종회의(7월) 자료"}</definedName>
    <definedName name="_25Q5_" hidden="1">{#N/A,#N/A,FALSE,"KMC최종회의(7월) 자료"}</definedName>
    <definedName name="_25Q7_" hidden="1">{#N/A,#N/A,FALSE,"KMC최종회의(7월) 자료"}</definedName>
    <definedName name="_25Q8_" hidden="1">{#N/A,#N/A,FALSE,"KMC최종회의(7월) 자료"}</definedName>
    <definedName name="_25Q9_" hidden="1">{#N/A,#N/A,FALSE,"KMC최종회의(7월) 자료"}</definedName>
    <definedName name="_25S1_" hidden="1">{#N/A,#N/A,FALSE,"KMC최종회의(7월) 자료"}</definedName>
    <definedName name="_25S2_" hidden="1">{#N/A,#N/A,FALSE,"KMC최종회의(7월) 자료"}</definedName>
    <definedName name="_25S3_" hidden="1">{#N/A,#N/A,FALSE,"KMC최종회의(7월) 자료"}</definedName>
    <definedName name="_25S3__1" hidden="1">{#N/A,#N/A,FALSE,"KMC최종회의(7월) 자료"}</definedName>
    <definedName name="_25S4_" hidden="1">{#N/A,#N/A,FALSE,"KMC최종회의(7월) 자료"}</definedName>
    <definedName name="_25S5_" hidden="1">{#N/A,#N/A,FALSE,"KMC최종회의(7월) 자료"}</definedName>
    <definedName name="_25S6_" hidden="1">{#N/A,#N/A,FALSE,"KMC최종회의(7월) 자료"}</definedName>
    <definedName name="_25S7_" hidden="1">{#N/A,#N/A,FALSE,"KMC최종회의(7월) 자료"}</definedName>
    <definedName name="_25S7__1" hidden="1">{#N/A,#N/A,FALSE,"KMC최종회의(7월) 자료"}</definedName>
    <definedName name="_25S8_" hidden="1">{#N/A,#N/A,FALSE,"KMC최종회의(7월) 자료"}</definedName>
    <definedName name="_25S8__1" hidden="1">{#N/A,#N/A,FALSE,"KMC최종회의(7월) 자료"}</definedName>
    <definedName name="_25T3_" hidden="1">{#N/A,#N/A,FALSE,"단축1";#N/A,#N/A,FALSE,"단축2";#N/A,#N/A,FALSE,"단축3";#N/A,#N/A,FALSE,"장축";#N/A,#N/A,FALSE,"4WD"}</definedName>
    <definedName name="_25Z3_" hidden="1">{#N/A,#N/A,FALSE,"KMC최종회의(7월) 자료"}</definedName>
    <definedName name="_26__123Graph_XC04C_ALL_T2" hidden="1">#REF!</definedName>
    <definedName name="_260HP2_" hidden="1">{#N/A,#N/A,FALSE,"단축1";#N/A,#N/A,FALSE,"단축2";#N/A,#N/A,FALSE,"단축3";#N/A,#N/A,FALSE,"장축";#N/A,#N/A,FALSE,"4WD"}</definedName>
    <definedName name="_260Q5_" hidden="1">{#N/A,#N/A,FALSE,"KMC최종회의(7월) 자료"}</definedName>
    <definedName name="_260S4_" hidden="1">{#N/A,#N/A,FALSE,"KMC최종회의(7월) 자료"}</definedName>
    <definedName name="_260W4_" hidden="1">{#N/A,#N/A,FALSE,"KMC최종회의(7월) 자료"}</definedName>
    <definedName name="_260X1_" hidden="1">{#N/A,#N/A,FALSE,"KMC최종회의(7월) 자료"}</definedName>
    <definedName name="_260X5_" hidden="1">{#N/A,#N/A,FALSE,"KMC최종회의(7월) 자료"}</definedName>
    <definedName name="_260X7_" hidden="1">{#N/A,#N/A,FALSE,"KMC최종회의(7월) 자료"}</definedName>
    <definedName name="_260z2_" hidden="1">{#N/A,#N/A,FALSE,"단축1";#N/A,#N/A,FALSE,"단축2";#N/A,#N/A,FALSE,"단축3";#N/A,#N/A,FALSE,"장축";#N/A,#N/A,FALSE,"4WD"}</definedName>
    <definedName name="_260z2__1" hidden="1">{#N/A,#N/A,FALSE,"단축1";#N/A,#N/A,FALSE,"단축2";#N/A,#N/A,FALSE,"단축3";#N/A,#N/A,FALSE,"장축";#N/A,#N/A,FALSE,"4WD"}</definedName>
    <definedName name="_260Z5_" hidden="1">{#N/A,#N/A,FALSE,"KMC최종회의(7월) 자료"}</definedName>
    <definedName name="_260Z6_" hidden="1">{#N/A,#N/A,FALSE,"KMC최종회의(7월) 자료"}</definedName>
    <definedName name="_260Z9_" hidden="1">{#N/A,#N/A,FALSE,"KMC최종회의(7월) 자료"}</definedName>
    <definedName name="_261P2_" hidden="1">{#N/A,#N/A,FALSE,"단축1";#N/A,#N/A,FALSE,"단축2";#N/A,#N/A,FALSE,"단축3";#N/A,#N/A,FALSE,"장축";#N/A,#N/A,FALSE,"4WD"}</definedName>
    <definedName name="_261S3_" hidden="1">{#N/A,#N/A,FALSE,"KMC최종회의(7월) 자료"}</definedName>
    <definedName name="_261S5_" hidden="1">{#N/A,#N/A,FALSE,"KMC최종회의(7월) 자료"}</definedName>
    <definedName name="_261W1_" hidden="1">{#N/A,#N/A,FALSE,"KMC최종회의(7월) 자료"}</definedName>
    <definedName name="_261W5_" hidden="1">{#N/A,#N/A,FALSE,"KMC최종회의(7월) 자료"}</definedName>
    <definedName name="_261W5__1" hidden="1">{#N/A,#N/A,FALSE,"KMC최종회의(7월) 자료"}</definedName>
    <definedName name="_261X3_" hidden="1">{#N/A,#N/A,FALSE,"KMC최종회의(7월) 자료"}</definedName>
    <definedName name="_261Z9_" hidden="1">{#N/A,#N/A,FALSE,"KMC최종회의(7월) 자료"}</definedName>
    <definedName name="_2628X6_" hidden="1">{#N/A,#N/A,FALSE,"KMC최종회의(7월) 자료"}</definedName>
    <definedName name="_2628X6__1" hidden="1">{#N/A,#N/A,FALSE,"KMC최종회의(7월) 자료"}</definedName>
    <definedName name="_262A2_" hidden="1">{#N/A,#N/A,FALSE,"단축1";#N/A,#N/A,FALSE,"단축2";#N/A,#N/A,FALSE,"단축3";#N/A,#N/A,FALSE,"장축";#N/A,#N/A,FALSE,"4WD"}</definedName>
    <definedName name="_262S4_" hidden="1">{#N/A,#N/A,FALSE,"KMC최종회의(7월) 자료"}</definedName>
    <definedName name="_262S6_" hidden="1">{#N/A,#N/A,FALSE,"KMC최종회의(7월) 자료"}</definedName>
    <definedName name="_262X2_" hidden="1">{#N/A,#N/A,FALSE,"KMC최종회의(7월) 자료"}</definedName>
    <definedName name="_263HL1_" hidden="1">{#N/A,#N/A,FALSE,"단축1";#N/A,#N/A,FALSE,"단축2";#N/A,#N/A,FALSE,"단축3";#N/A,#N/A,FALSE,"장축";#N/A,#N/A,FALSE,"4WD"}</definedName>
    <definedName name="_263S7_" hidden="1">{#N/A,#N/A,FALSE,"KMC최종회의(7월) 자료"}</definedName>
    <definedName name="_263W4_" hidden="1">{#N/A,#N/A,FALSE,"KMC최종회의(7월) 자료"}</definedName>
    <definedName name="_263W9_" hidden="1">{#N/A,#N/A,FALSE,"KMC최종회의(7월) 자료"}</definedName>
    <definedName name="_263X5_" hidden="1">{#N/A,#N/A,FALSE,"KMC최종회의(7월) 자료"}</definedName>
    <definedName name="_264A3_" hidden="1">{#N/A,#N/A,FALSE,"단축1";#N/A,#N/A,FALSE,"단축2";#N/A,#N/A,FALSE,"단축3";#N/A,#N/A,FALSE,"장축";#N/A,#N/A,FALSE,"4WD"}</definedName>
    <definedName name="_264S4_" hidden="1">{#N/A,#N/A,FALSE,"KMC최종회의(7월) 자료"}</definedName>
    <definedName name="_264S8_" hidden="1">{#N/A,#N/A,FALSE,"KMC최종회의(7월) 자료"}</definedName>
    <definedName name="_264W6_" hidden="1">{#N/A,#N/A,FALSE,"KMC최종회의(7월) 자료"}</definedName>
    <definedName name="_264X3_" hidden="1">{#N/A,#N/A,FALSE,"KMC최종회의(7월) 자료"}</definedName>
    <definedName name="_264z1_" hidden="1">{#N/A,#N/A,FALSE,"단축1";#N/A,#N/A,FALSE,"단축2";#N/A,#N/A,FALSE,"단축3";#N/A,#N/A,FALSE,"장축";#N/A,#N/A,FALSE,"4WD"}</definedName>
    <definedName name="_265k7_" hidden="1">{#N/A,#N/A,FALSE,"단축1";#N/A,#N/A,FALSE,"단축2";#N/A,#N/A,FALSE,"단축3";#N/A,#N/A,FALSE,"장축";#N/A,#N/A,FALSE,"4WD"}</definedName>
    <definedName name="_265k7__1" hidden="1">{#N/A,#N/A,FALSE,"단축1";#N/A,#N/A,FALSE,"단축2";#N/A,#N/A,FALSE,"단축3";#N/A,#N/A,FALSE,"장축";#N/A,#N/A,FALSE,"4WD"}</definedName>
    <definedName name="_265q6_" hidden="1">{#N/A,#N/A,FALSE,"신규dep";#N/A,#N/A,FALSE,"신규dep-금형상각후";#N/A,#N/A,FALSE,"신규dep-연구비상각후";#N/A,#N/A,FALSE,"신규dep-기계,공구상각후"}</definedName>
    <definedName name="_265S5_" hidden="1">{#N/A,#N/A,FALSE,"KMC최종회의(7월) 자료"}</definedName>
    <definedName name="_265T2_" hidden="1">{#N/A,#N/A,FALSE,"단축1";#N/A,#N/A,FALSE,"단축2";#N/A,#N/A,FALSE,"단축3";#N/A,#N/A,FALSE,"장축";#N/A,#N/A,FALSE,"4WD"}</definedName>
    <definedName name="_265W2_" hidden="1">{#N/A,#N/A,FALSE,"KMC최종회의(7월) 자료"}</definedName>
    <definedName name="_265X2_" hidden="1">{#N/A,#N/A,FALSE,"KMC최종회의(7월) 자료"}</definedName>
    <definedName name="_265X6_" hidden="1">{#N/A,#N/A,FALSE,"KMC최종회의(7월) 자료"}</definedName>
    <definedName name="_265X8_" hidden="1">{#N/A,#N/A,FALSE,"KMC최종회의(7월) 자료"}</definedName>
    <definedName name="_265z4_" hidden="1">{#N/A,#N/A,FALSE,"단축1";#N/A,#N/A,FALSE,"단축2";#N/A,#N/A,FALSE,"단축3";#N/A,#N/A,FALSE,"장축";#N/A,#N/A,FALSE,"4WD"}</definedName>
    <definedName name="_265z4__1" hidden="1">{#N/A,#N/A,FALSE,"단축1";#N/A,#N/A,FALSE,"단축2";#N/A,#N/A,FALSE,"단축3";#N/A,#N/A,FALSE,"장축";#N/A,#N/A,FALSE,"4WD"}</definedName>
    <definedName name="_265Z6_" hidden="1">{#N/A,#N/A,FALSE,"KMC최종회의(7월) 자료"}</definedName>
    <definedName name="_265Z7_" hidden="1">{#N/A,#N/A,FALSE,"KMC최종회의(7월) 자료"}</definedName>
    <definedName name="_2661X7_" hidden="1">{#N/A,#N/A,FALSE,"KMC최종회의(7월) 자료"}</definedName>
    <definedName name="_2661X7__1" hidden="1">{#N/A,#N/A,FALSE,"KMC최종회의(7월) 자료"}</definedName>
    <definedName name="_266HL2_" hidden="1">{#N/A,#N/A,FALSE,"단축1";#N/A,#N/A,FALSE,"단축2";#N/A,#N/A,FALSE,"단축3";#N/A,#N/A,FALSE,"장축";#N/A,#N/A,FALSE,"4WD"}</definedName>
    <definedName name="_266Q5_" hidden="1">{#N/A,#N/A,FALSE,"KMC최종회의(7월) 자료"}</definedName>
    <definedName name="_266S4_" hidden="1">{#N/A,#N/A,FALSE,"KMC최종회의(7월) 자료"}</definedName>
    <definedName name="_266s7_" hidden="1">{#N/A,#N/A,FALSE,"신규dep";#N/A,#N/A,FALSE,"신규dep-금형상각후";#N/A,#N/A,FALSE,"신규dep-연구비상각후";#N/A,#N/A,FALSE,"신규dep-기계,공구상각후"}</definedName>
    <definedName name="_266T3_" hidden="1">{#N/A,#N/A,FALSE,"단축1";#N/A,#N/A,FALSE,"단축2";#N/A,#N/A,FALSE,"단축3";#N/A,#N/A,FALSE,"장축";#N/A,#N/A,FALSE,"4WD"}</definedName>
    <definedName name="_266t45445_" hidden="1">{"'7-2지역별'!$A$1:$R$44"}</definedName>
    <definedName name="_266U1_" hidden="1">{#N/A,#N/A,FALSE,"단축1";#N/A,#N/A,FALSE,"단축2";#N/A,#N/A,FALSE,"단축3";#N/A,#N/A,FALSE,"장축";#N/A,#N/A,FALSE,"4WD"}</definedName>
    <definedName name="_266W7_" hidden="1">{#N/A,#N/A,FALSE,"KMC최종회의(7월) 자료"}</definedName>
    <definedName name="_266W7__1" hidden="1">{#N/A,#N/A,FALSE,"KMC최종회의(7월) 자료"}</definedName>
    <definedName name="_266X3_" hidden="1">{#N/A,#N/A,FALSE,"KMC최종회의(7월) 자료"}</definedName>
    <definedName name="_266X4_" hidden="1">{#N/A,#N/A,FALSE,"KMC최종회의(7월) 자료"}</definedName>
    <definedName name="_267H1620_" hidden="1">{#N/A,#N/A,FALSE,"단축1";#N/A,#N/A,FALSE,"단축2";#N/A,#N/A,FALSE,"단축3";#N/A,#N/A,FALSE,"장축";#N/A,#N/A,FALSE,"4WD"}</definedName>
    <definedName name="_267Q7_" hidden="1">{#N/A,#N/A,FALSE,"KMC최종회의(7월) 자료"}</definedName>
    <definedName name="_267S8_" hidden="1">{#N/A,#N/A,FALSE,"KMC최종회의(7월) 자료"}</definedName>
    <definedName name="_267T5_" hidden="1">{#N/A,#N/A,FALSE,"단축1";#N/A,#N/A,FALSE,"단축2";#N/A,#N/A,FALSE,"단축3";#N/A,#N/A,FALSE,"장축";#N/A,#N/A,FALSE,"4WD"}</definedName>
    <definedName name="_267W6_" hidden="1">{#N/A,#N/A,FALSE,"KMC최종회의(7월) 자료"}</definedName>
    <definedName name="_267W6__1" hidden="1">{#N/A,#N/A,FALSE,"KMC최종회의(7월) 자료"}</definedName>
    <definedName name="_267X1_" hidden="1">{#N/A,#N/A,FALSE,"KMC최종회의(7월) 자료"}</definedName>
    <definedName name="_267X6_" hidden="1">{#N/A,#N/A,FALSE,"KMC최종회의(7월) 자료"}</definedName>
    <definedName name="_268A5_" hidden="1">{#N/A,#N/A,FALSE,"KMC최종회의(7월) 자료"}</definedName>
    <definedName name="_268Q1_" hidden="1">{#N/A,#N/A,FALSE,"단축1";#N/A,#N/A,FALSE,"단축2";#N/A,#N/A,FALSE,"단축3";#N/A,#N/A,FALSE,"장축";#N/A,#N/A,FALSE,"4WD"}</definedName>
    <definedName name="_268Q8_" hidden="1">{#N/A,#N/A,FALSE,"KMC최종회의(7월) 자료"}</definedName>
    <definedName name="_268S6_" hidden="1">{#N/A,#N/A,FALSE,"KMC최종회의(7월) 자료"}</definedName>
    <definedName name="_268W5_" hidden="1">{#N/A,#N/A,FALSE,"KMC최종회의(7월) 자료"}</definedName>
    <definedName name="_268X5_" hidden="1">{#N/A,#N/A,FALSE,"KMC최종회의(7월) 자료"}</definedName>
    <definedName name="_2694X8_" hidden="1">{#N/A,#N/A,FALSE,"KMC최종회의(7월) 자료"}</definedName>
    <definedName name="_2694X8__1" hidden="1">{#N/A,#N/A,FALSE,"KMC최종회의(7월) 자료"}</definedName>
    <definedName name="_269HL3_" hidden="1">{#N/A,#N/A,TRUE,"Y생산";#N/A,#N/A,TRUE,"Y판매";#N/A,#N/A,TRUE,"Y총물량";#N/A,#N/A,TRUE,"Y능력";#N/A,#N/A,TRUE,"YKD"}</definedName>
    <definedName name="_269Q7_" hidden="1">{#N/A,#N/A,FALSE,"KMC최종회의(7월) 자료"}</definedName>
    <definedName name="_269Q9_" hidden="1">{#N/A,#N/A,FALSE,"KMC최종회의(7월) 자료"}</definedName>
    <definedName name="_269W3_" hidden="1">{#N/A,#N/A,FALSE,"KMC최종회의(7월) 자료"}</definedName>
    <definedName name="_269z123_" hidden="1">{#N/A,#N/A,FALSE,"단축1";#N/A,#N/A,FALSE,"단축2";#N/A,#N/A,FALSE,"단축3";#N/A,#N/A,FALSE,"장축";#N/A,#N/A,FALSE,"4WD"}</definedName>
    <definedName name="_26A1_" hidden="1">{#N/A,#N/A,FALSE,"KMC최종회의(7월) 자료"}</definedName>
    <definedName name="_26A2_" hidden="1">{#N/A,#N/A,FALSE,"KMC최종회의(7월) 자료"}</definedName>
    <definedName name="_26A3_" hidden="1">{#N/A,#N/A,FALSE,"단축1";#N/A,#N/A,FALSE,"단축2";#N/A,#N/A,FALSE,"단축3";#N/A,#N/A,FALSE,"장축";#N/A,#N/A,FALSE,"4WD"}</definedName>
    <definedName name="_26A6_" hidden="1">{#N/A,#N/A,FALSE,"KMC최종회의(7월) 자료"}</definedName>
    <definedName name="_26A7_" hidden="1">{#N/A,#N/A,FALSE,"KMC최종회의(7월) 자료"}</definedName>
    <definedName name="_26A9_" hidden="1">{#N/A,#N/A,FALSE,"KMC최종회의(7월) 자료"}</definedName>
    <definedName name="_26CL33_" hidden="1">{#N/A,#N/A,FALSE,"KMC최종회의(7월) 자료"}</definedName>
    <definedName name="_26D6_" hidden="1">{"'표지'!$B$5"}</definedName>
    <definedName name="_26DB777_" hidden="1">{#N/A,#N/A,TRUE,"Y생산";#N/A,#N/A,TRUE,"Y판매";#N/A,#N/A,TRUE,"Y총물량";#N/A,#N/A,TRUE,"Y능력";#N/A,#N/A,TRUE,"YKD"}</definedName>
    <definedName name="_26E1_" hidden="1">{#N/A,#N/A,FALSE,"KMC최종회의(7월) 자료"}</definedName>
    <definedName name="_26e9_" hidden="1">{#N/A,#N/A,FALSE,"단축1";#N/A,#N/A,FALSE,"단축2";#N/A,#N/A,FALSE,"단축3";#N/A,#N/A,FALSE,"장축";#N/A,#N/A,FALSE,"4WD"}</definedName>
    <definedName name="_26EO2_" hidden="1">{#N/A,#N/A,FALSE,"신규dep";#N/A,#N/A,FALSE,"신규dep-금형상각후";#N/A,#N/A,FALSE,"신규dep-연구비상각후";#N/A,#N/A,FALSE,"신규dep-기계,공구상각후"}</definedName>
    <definedName name="_26h4_" hidden="1">{"'표지'!$B$5"}</definedName>
    <definedName name="_26HL2_" hidden="1">{#N/A,#N/A,FALSE,"단축1";#N/A,#N/A,FALSE,"단축2";#N/A,#N/A,FALSE,"단축3";#N/A,#N/A,FALSE,"장축";#N/A,#N/A,FALSE,"4WD"}</definedName>
    <definedName name="_26HP02_" hidden="1">{#N/A,#N/A,FALSE,"단축1";#N/A,#N/A,FALSE,"단축2";#N/A,#N/A,FALSE,"단축3";#N/A,#N/A,FALSE,"장축";#N/A,#N/A,FALSE,"4WD"}</definedName>
    <definedName name="_26k1_" hidden="1">#REF!</definedName>
    <definedName name="_26O11_" hidden="1">{#N/A,#N/A,FALSE,"단축1";#N/A,#N/A,FALSE,"단축2";#N/A,#N/A,FALSE,"단축3";#N/A,#N/A,FALSE,"장축";#N/A,#N/A,FALSE,"4WD"}</definedName>
    <definedName name="_26P21_" hidden="1">{#N/A,#N/A,FALSE,"단축1";#N/A,#N/A,FALSE,"단축2";#N/A,#N/A,FALSE,"단축3";#N/A,#N/A,FALSE,"장축";#N/A,#N/A,FALSE,"4WD"}</definedName>
    <definedName name="_26P3_" hidden="1">{#N/A,#N/A,FALSE,"단축1";#N/A,#N/A,FALSE,"단축2";#N/A,#N/A,FALSE,"단축3";#N/A,#N/A,FALSE,"장축";#N/A,#N/A,FALSE,"4WD"}</definedName>
    <definedName name="_26Q1_" hidden="1">{#N/A,#N/A,FALSE,"KMC최종회의(7월) 자료"}</definedName>
    <definedName name="_26Q2_" hidden="1">{#N/A,#N/A,FALSE,"KMC최종회의(7월) 자료"}</definedName>
    <definedName name="_26Q5_" hidden="1">{#N/A,#N/A,FALSE,"KMC최종회의(7월) 자료"}</definedName>
    <definedName name="_26Q7_" hidden="1">{#N/A,#N/A,FALSE,"KMC최종회의(7월) 자료"}</definedName>
    <definedName name="_26Q8_" hidden="1">{#N/A,#N/A,FALSE,"KMC최종회의(7월) 자료"}</definedName>
    <definedName name="_26Q9_" hidden="1">{#N/A,#N/A,FALSE,"KMC최종회의(7월) 자료"}</definedName>
    <definedName name="_26S1_" hidden="1">{#N/A,#N/A,FALSE,"KMC최종회의(7월) 자료"}</definedName>
    <definedName name="_26S2_" hidden="1">{#N/A,#N/A,FALSE,"KMC최종회의(7월) 자료"}</definedName>
    <definedName name="_26S3_" hidden="1">{#N/A,#N/A,FALSE,"KMC최종회의(7월) 자료"}</definedName>
    <definedName name="_26S4_" hidden="1">{#N/A,#N/A,FALSE,"KMC최종회의(7월) 자료"}</definedName>
    <definedName name="_26S4__1" hidden="1">{#N/A,#N/A,FALSE,"KMC최종회의(7월) 자료"}</definedName>
    <definedName name="_26S5_" hidden="1">{#N/A,#N/A,FALSE,"KMC최종회의(7월) 자료"}</definedName>
    <definedName name="_26S6_" hidden="1">{#N/A,#N/A,FALSE,"KMC최종회의(7월) 자료"}</definedName>
    <definedName name="_26S7_" hidden="1">{#N/A,#N/A,FALSE,"KMC최종회의(7월) 자료"}</definedName>
    <definedName name="_26S8_" hidden="1">{#N/A,#N/A,FALSE,"KMC최종회의(7월) 자료"}</definedName>
    <definedName name="_26S8__1" hidden="1">{#N/A,#N/A,FALSE,"KMC최종회의(7월) 자료"}</definedName>
    <definedName name="_26T2_" hidden="1">{#N/A,#N/A,FALSE,"단축1";#N/A,#N/A,FALSE,"단축2";#N/A,#N/A,FALSE,"단축3";#N/A,#N/A,FALSE,"장축";#N/A,#N/A,FALSE,"4WD"}</definedName>
    <definedName name="_26W1_" hidden="1">{#N/A,#N/A,FALSE,"KMC최종회의(7월) 자료"}</definedName>
    <definedName name="_26W1__1" hidden="1">{#N/A,#N/A,FALSE,"KMC최종회의(7월) 자료"}</definedName>
    <definedName name="_26Z4_" hidden="1">{#N/A,#N/A,FALSE,"KMC최종회의(7월) 자료"}</definedName>
    <definedName name="_27__________________________0_S" hidden="1">#REF!</definedName>
    <definedName name="_27_____0_S" hidden="1">#REF!</definedName>
    <definedName name="_27__123Graph_AC04C_FF_L" hidden="1">#REF!</definedName>
    <definedName name="_27__123Graph_XC04C_FF_L" hidden="1">#REF!</definedName>
    <definedName name="_27__0_S" hidden="1">#REF!</definedName>
    <definedName name="_270H20_" hidden="1">{#N/A,#N/A,FALSE,"단축1";#N/A,#N/A,FALSE,"단축2";#N/A,#N/A,FALSE,"단축3";#N/A,#N/A,FALSE,"장축";#N/A,#N/A,FALSE,"4WD"}</definedName>
    <definedName name="_270q7_" hidden="1">{#N/A,#N/A,FALSE,"신규dep";#N/A,#N/A,FALSE,"신규dep-금형상각후";#N/A,#N/A,FALSE,"신규dep-연구비상각후";#N/A,#N/A,FALSE,"신규dep-기계,공구상각후"}</definedName>
    <definedName name="_270W5_" hidden="1">{#N/A,#N/A,FALSE,"KMC최종회의(7월) 자료"}</definedName>
    <definedName name="_270W7_" hidden="1">{#N/A,#N/A,FALSE,"KMC최종회의(7월) 자료"}</definedName>
    <definedName name="_270X3_" hidden="1">{#N/A,#N/A,FALSE,"KMC최종회의(7월) 자료"}</definedName>
    <definedName name="_270X4_" hidden="1">{#N/A,#N/A,FALSE,"KMC최종회의(7월) 자료"}</definedName>
    <definedName name="_270X6_" hidden="1">{#N/A,#N/A,FALSE,"KMC최종회의(7월) 자료"}</definedName>
    <definedName name="_270X7_" hidden="1">{#N/A,#N/A,FALSE,"KMC최종회의(7월) 자료"}</definedName>
    <definedName name="_270Z1_" hidden="1">{#N/A,#N/A,FALSE,"KMC최종회의(7월) 자료"}</definedName>
    <definedName name="_270Z2_" hidden="1">{#N/A,#N/A,FALSE,"KMC최종회의(7월) 자료"}</definedName>
    <definedName name="_270Z7_" hidden="1">{#N/A,#N/A,FALSE,"KMC최종회의(7월) 자료"}</definedName>
    <definedName name="_270Z8_" hidden="1">{#N/A,#N/A,FALSE,"KMC최종회의(7월) 자료"}</definedName>
    <definedName name="_271____S" hidden="1">#REF!</definedName>
    <definedName name="_271S5_" hidden="1">{#N/A,#N/A,FALSE,"KMC최종회의(7월) 자료"}</definedName>
    <definedName name="_271S7_" hidden="1">{#N/A,#N/A,FALSE,"KMC최종회의(7월) 자료"}</definedName>
    <definedName name="_271W1_" hidden="1">{#N/A,#N/A,FALSE,"KMC최종회의(7월) 자료"}</definedName>
    <definedName name="_271W3_" hidden="1">{#N/A,#N/A,FALSE,"KMC최종회의(7월) 자료"}</definedName>
    <definedName name="_271X2_" hidden="1">{#N/A,#N/A,FALSE,"KMC최종회의(7월) 자료"}</definedName>
    <definedName name="_271X5_" hidden="1">{#N/A,#N/A,FALSE,"KMC최종회의(7월) 자료"}</definedName>
    <definedName name="_271X7_" hidden="1">{#N/A,#N/A,FALSE,"KMC최종회의(7월) 자료"}</definedName>
    <definedName name="_2727Z1_" hidden="1">{#N/A,#N/A,FALSE,"KMC최종회의(7월) 자료"}</definedName>
    <definedName name="_2727Z1__1" hidden="1">{#N/A,#N/A,FALSE,"KMC최종회의(7월) 자료"}</definedName>
    <definedName name="_272HP02_" hidden="1">{#N/A,#N/A,FALSE,"단축1";#N/A,#N/A,FALSE,"단축2";#N/A,#N/A,FALSE,"단축3";#N/A,#N/A,FALSE,"장축";#N/A,#N/A,FALSE,"4WD"}</definedName>
    <definedName name="_272S3_" hidden="1">{#N/A,#N/A,FALSE,"KMC최종회의(7월) 자료"}</definedName>
    <definedName name="_272T2_" hidden="1">{#N/A,#N/A,FALSE,"단축1";#N/A,#N/A,FALSE,"단축2";#N/A,#N/A,FALSE,"단축3";#N/A,#N/A,FALSE,"장축";#N/A,#N/A,FALSE,"4WD"}</definedName>
    <definedName name="_272W2_" hidden="1">{#N/A,#N/A,FALSE,"KMC최종회의(7월) 자료"}</definedName>
    <definedName name="_272X7_" hidden="1">{#N/A,#N/A,FALSE,"KMC최종회의(7월) 자료"}</definedName>
    <definedName name="_273__0_S" hidden="1">#REF!</definedName>
    <definedName name="_273Q12_" hidden="1">{#N/A,#N/A,FALSE,"단축1";#N/A,#N/A,FALSE,"단축2";#N/A,#N/A,FALSE,"단축3";#N/A,#N/A,FALSE,"장축";#N/A,#N/A,FALSE,"4WD"}</definedName>
    <definedName name="_273s8_" hidden="1">{#N/A,#N/A,FALSE,"신규dep";#N/A,#N/A,FALSE,"신규dep-금형상각후";#N/A,#N/A,FALSE,"신규dep-연구비상각후";#N/A,#N/A,FALSE,"신규dep-기계,공구상각후"}</definedName>
    <definedName name="_273T2_" hidden="1">{#N/A,#N/A,FALSE,"단축1";#N/A,#N/A,FALSE,"단축2";#N/A,#N/A,FALSE,"단축3";#N/A,#N/A,FALSE,"장축";#N/A,#N/A,FALSE,"4WD"}</definedName>
    <definedName name="_273W1_" hidden="1">{#N/A,#N/A,FALSE,"KMC최종회의(7월) 자료"}</definedName>
    <definedName name="_273W2_" hidden="1">{#N/A,#N/A,FALSE,"KMC최종회의(7월) 자료"}</definedName>
    <definedName name="_273W4_" hidden="1">{#N/A,#N/A,FALSE,"KMC최종회의(7월) 자료"}</definedName>
    <definedName name="_273W7_" hidden="1">{#N/A,#N/A,FALSE,"KMC최종회의(7월) 자료"}</definedName>
    <definedName name="_273W7__1" hidden="1">{#N/A,#N/A,FALSE,"KMC최종회의(7월) 자료"}</definedName>
    <definedName name="_273W8_" hidden="1">{#N/A,#N/A,FALSE,"KMC최종회의(7월) 자료"}</definedName>
    <definedName name="_273W8__1" hidden="1">{#N/A,#N/A,FALSE,"KMC최종회의(7월) 자료"}</definedName>
    <definedName name="_273X4_" hidden="1">{#N/A,#N/A,FALSE,"KMC최종회의(7월) 자료"}</definedName>
    <definedName name="_274k8_" hidden="1">{#N/A,#N/A,FALSE,"단축1";#N/A,#N/A,FALSE,"단축2";#N/A,#N/A,FALSE,"단축3";#N/A,#N/A,FALSE,"장축";#N/A,#N/A,FALSE,"4WD"}</definedName>
    <definedName name="_274k8__1" hidden="1">{#N/A,#N/A,FALSE,"단축1";#N/A,#N/A,FALSE,"단축2";#N/A,#N/A,FALSE,"단축3";#N/A,#N/A,FALSE,"장축";#N/A,#N/A,FALSE,"4WD"}</definedName>
    <definedName name="_274S5_" hidden="1">{#N/A,#N/A,FALSE,"KMC최종회의(7월) 자료"}</definedName>
    <definedName name="_274S8_" hidden="1">{#N/A,#N/A,FALSE,"KMC최종회의(7월) 자료"}</definedName>
    <definedName name="_274T3_" hidden="1">{#N/A,#N/A,FALSE,"단축1";#N/A,#N/A,FALSE,"단축2";#N/A,#N/A,FALSE,"단축3";#N/A,#N/A,FALSE,"장축";#N/A,#N/A,FALSE,"4WD"}</definedName>
    <definedName name="_274W12324_" hidden="1">{"'7-2지역별'!$A$1:$R$44"}</definedName>
    <definedName name="_274W3_" hidden="1">{#N/A,#N/A,FALSE,"KMC최종회의(7월) 자료"}</definedName>
    <definedName name="_274X5_" hidden="1">{#N/A,#N/A,FALSE,"KMC최종회의(7월) 자료"}</definedName>
    <definedName name="_274X8_" hidden="1">{#N/A,#N/A,FALSE,"KMC최종회의(7월) 자료"}</definedName>
    <definedName name="_274z2_" hidden="1">{#N/A,#N/A,FALSE,"단축1";#N/A,#N/A,FALSE,"단축2";#N/A,#N/A,FALSE,"단축3";#N/A,#N/A,FALSE,"장축";#N/A,#N/A,FALSE,"4WD"}</definedName>
    <definedName name="_275q9_" hidden="1">{#N/A,#N/A,FALSE,"신규dep";#N/A,#N/A,FALSE,"신규dep-금형상각후";#N/A,#N/A,FALSE,"신규dep-연구비상각후";#N/A,#N/A,FALSE,"신규dep-기계,공구상각후"}</definedName>
    <definedName name="_275W4_" hidden="1">{#N/A,#N/A,FALSE,"KMC최종회의(7월) 자료"}</definedName>
    <definedName name="_275X3_" hidden="1">{#N/A,#N/A,FALSE,"KMC최종회의(7월) 자료"}</definedName>
    <definedName name="_275X4_" hidden="1">{#N/A,#N/A,FALSE,"KMC최종회의(7월) 자료"}</definedName>
    <definedName name="_275X8_" hidden="1">{#N/A,#N/A,FALSE,"KMC최종회의(7월) 자료"}</definedName>
    <definedName name="_275Z2_" hidden="1">{#N/A,#N/A,FALSE,"KMC최종회의(7월) 자료"}</definedName>
    <definedName name="_275Z8_" hidden="1">{#N/A,#N/A,FALSE,"KMC최종회의(7월) 자료"}</definedName>
    <definedName name="_275Z9_" hidden="1">{#N/A,#N/A,FALSE,"KMC최종회의(7월) 자료"}</definedName>
    <definedName name="_2760Z2_" hidden="1">{#N/A,#N/A,FALSE,"KMC최종회의(7월) 자료"}</definedName>
    <definedName name="_2760Z2__1" hidden="1">{#N/A,#N/A,FALSE,"KMC최종회의(7월) 자료"}</definedName>
    <definedName name="_276HP2_" hidden="1">{#N/A,#N/A,FALSE,"단축1";#N/A,#N/A,FALSE,"단축2";#N/A,#N/A,FALSE,"단축3";#N/A,#N/A,FALSE,"장축";#N/A,#N/A,FALSE,"4WD"}</definedName>
    <definedName name="_276S5_" hidden="1">{#N/A,#N/A,FALSE,"KMC최종회의(7월) 자료"}</definedName>
    <definedName name="_276T5_" hidden="1">{#N/A,#N/A,FALSE,"단축1";#N/A,#N/A,FALSE,"단축2";#N/A,#N/A,FALSE,"단축3";#N/A,#N/A,FALSE,"장축";#N/A,#N/A,FALSE,"4WD"}</definedName>
    <definedName name="_276W5_" hidden="1">{#N/A,#N/A,FALSE,"KMC최종회의(7월) 자료"}</definedName>
    <definedName name="_276W6_" hidden="1">{#N/A,#N/A,FALSE,"KMC최종회의(7월) 자료"}</definedName>
    <definedName name="_276W8_" hidden="1">{#N/A,#N/A,FALSE,"KMC최종회의(7월) 자료"}</definedName>
    <definedName name="_276X6_" hidden="1">{#N/A,#N/A,FALSE,"KMC최종회의(7월) 자료"}</definedName>
    <definedName name="_276Z1_" hidden="1">{#N/A,#N/A,FALSE,"KMC최종회의(7월) 자료"}</definedName>
    <definedName name="_276Z3_" hidden="1">{#N/A,#N/A,FALSE,"KMC최종회의(7월) 자료"}</definedName>
    <definedName name="_277__0_S" hidden="1">#REF!</definedName>
    <definedName name="_277S6_" hidden="1">{#N/A,#N/A,FALSE,"KMC최종회의(7월) 자료"}</definedName>
    <definedName name="_277T2_" hidden="1">{#N/A,#N/A,FALSE,"단축1";#N/A,#N/A,FALSE,"단축2";#N/A,#N/A,FALSE,"단축3";#N/A,#N/A,FALSE,"장축";#N/A,#N/A,FALSE,"4WD"}</definedName>
    <definedName name="_277T3_" hidden="1">{#N/A,#N/A,FALSE,"단축1";#N/A,#N/A,FALSE,"단축2";#N/A,#N/A,FALSE,"단축3";#N/A,#N/A,FALSE,"장축";#N/A,#N/A,FALSE,"4WD"}</definedName>
    <definedName name="_277W4_" hidden="1">{#N/A,#N/A,FALSE,"KMC최종회의(7월) 자료"}</definedName>
    <definedName name="_277W5_" hidden="1">{#N/A,#N/A,FALSE,"KMC최종회의(7월) 자료"}</definedName>
    <definedName name="_277W6_" hidden="1">{#N/A,#N/A,FALSE,"KMC최종회의(7월) 자료"}</definedName>
    <definedName name="_278AT1_" hidden="1">{#N/A,#N/A,FALSE,"인원";#N/A,#N/A,FALSE,"비용2";#N/A,#N/A,FALSE,"비용1";#N/A,#N/A,FALSE,"비용";#N/A,#N/A,FALSE,"보증2";#N/A,#N/A,FALSE,"보증1";#N/A,#N/A,FALSE,"보증";#N/A,#N/A,FALSE,"손익1";#N/A,#N/A,FALSE,"손익";#N/A,#N/A,FALSE,"부서별매출";#N/A,#N/A,FALSE,"매출"}</definedName>
    <definedName name="_278Q124_" hidden="1">{#N/A,#N/A,FALSE,"단축1";#N/A,#N/A,FALSE,"단축2";#N/A,#N/A,FALSE,"단축3";#N/A,#N/A,FALSE,"장축";#N/A,#N/A,FALSE,"4WD"}</definedName>
    <definedName name="_278Q8_" hidden="1">{#N/A,#N/A,FALSE,"KMC최종회의(7월) 자료"}</definedName>
    <definedName name="_278W7_" hidden="1">{#N/A,#N/A,FALSE,"KMC최종회의(7월) 자료"}</definedName>
    <definedName name="_278X6_" hidden="1">{#N/A,#N/A,FALSE,"KMC최종회의(7월) 자료"}</definedName>
    <definedName name="_278Z2_" hidden="1">{#N/A,#N/A,FALSE,"KMC최종회의(7월) 자료"}</definedName>
    <definedName name="_2793Z3_" hidden="1">{#N/A,#N/A,FALSE,"KMC최종회의(7월) 자료"}</definedName>
    <definedName name="_2793Z3__1" hidden="1">{#N/A,#N/A,FALSE,"KMC최종회의(7월) 자료"}</definedName>
    <definedName name="_279W1_" hidden="1">{#N/A,#N/A,FALSE,"KMC최종회의(7월) 자료"}</definedName>
    <definedName name="_279W8_" hidden="1">{#N/A,#N/A,FALSE,"KMC최종회의(7월) 자료"}</definedName>
    <definedName name="_279W8__1" hidden="1">{#N/A,#N/A,FALSE,"KMC최종회의(7월) 자료"}</definedName>
    <definedName name="_279X4_" hidden="1">{#N/A,#N/A,FALSE,"KMC최종회의(7월) 자료"}</definedName>
    <definedName name="_279Z1_" hidden="1">{#N/A,#N/A,FALSE,"KMC최종회의(7월) 자료"}</definedName>
    <definedName name="_279z4_" hidden="1">{#N/A,#N/A,FALSE,"단축1";#N/A,#N/A,FALSE,"단축2";#N/A,#N/A,FALSE,"단축3";#N/A,#N/A,FALSE,"장축";#N/A,#N/A,FALSE,"4WD"}</definedName>
    <definedName name="_27A0323_" hidden="1">{#N/A,#N/A,FALSE,"단축1";#N/A,#N/A,FALSE,"단축2";#N/A,#N/A,FALSE,"단축3";#N/A,#N/A,FALSE,"장축";#N/A,#N/A,FALSE,"4WD"}</definedName>
    <definedName name="_27A1_" hidden="1">{#N/A,#N/A,FALSE,"KMC최종회의(7월) 자료"}</definedName>
    <definedName name="_27A2_" hidden="1">{#N/A,#N/A,FALSE,"KMC최종회의(7월) 자료"}</definedName>
    <definedName name="_27A2__1" hidden="1">{#N/A,#N/A,FALSE,"신규dep";#N/A,#N/A,FALSE,"신규dep-금형상각후";#N/A,#N/A,FALSE,"신규dep-연구비상각후";#N/A,#N/A,FALSE,"신규dep-기계,공구상각후"}</definedName>
    <definedName name="_27A21321_" hidden="1">{#N/A,#N/A,FALSE,"단축1";#N/A,#N/A,FALSE,"단축2";#N/A,#N/A,FALSE,"단축3";#N/A,#N/A,FALSE,"장축";#N/A,#N/A,FALSE,"4WD"}</definedName>
    <definedName name="_27A3_" hidden="1">{#N/A,#N/A,FALSE,"KMC최종회의(7월) 자료"}</definedName>
    <definedName name="_27A4444_" hidden="1">{#N/A,#N/A,FALSE,"KMC최종회의(7월) 자료"}</definedName>
    <definedName name="_27A5_" hidden="1">{#N/A,#N/A,FALSE,"KMC최종회의(7월) 자료"}</definedName>
    <definedName name="_27A7_" hidden="1">{#N/A,#N/A,FALSE,"KMC최종회의(7월) 자료"}</definedName>
    <definedName name="_27A8_" hidden="1">{#N/A,#N/A,FALSE,"KMC최종회의(7월) 자료"}</definedName>
    <definedName name="_27A8__1" hidden="1">{#N/A,#N/A,FALSE,"KMC최종회의(7월) 자료"}</definedName>
    <definedName name="_27A9_" hidden="1">{#N/A,#N/A,FALSE,"KMC최종회의(7월) 자료"}</definedName>
    <definedName name="_27AA4_" hidden="1">{#N/A,#N/A,FALSE,"신규dep";#N/A,#N/A,FALSE,"신규dep-금형상각후";#N/A,#N/A,FALSE,"신규dep-연구비상각후";#N/A,#N/A,FALSE,"신규dep-기계,공구상각후"}</definedName>
    <definedName name="_27d2_" hidden="1">{#N/A,#N/A,FALSE,"신규dep";#N/A,#N/A,FALSE,"신규dep-금형상각후";#N/A,#N/A,FALSE,"신규dep-연구비상각후";#N/A,#N/A,FALSE,"신규dep-기계,공구상각후"}</definedName>
    <definedName name="_27E1_" hidden="1">{#N/A,#N/A,FALSE,"KMC최종회의(7월) 자료"}</definedName>
    <definedName name="_27E1__1" hidden="1">{#N/A,#N/A,FALSE,"KMC최종회의(7월) 자료"}</definedName>
    <definedName name="_27E2_" hidden="1">{#N/A,#N/A,FALSE,"KMC최종회의(7월) 자료"}</definedName>
    <definedName name="_27HP2_" hidden="1">{#N/A,#N/A,FALSE,"단축1";#N/A,#N/A,FALSE,"단축2";#N/A,#N/A,FALSE,"단축3";#N/A,#N/A,FALSE,"장축";#N/A,#N/A,FALSE,"4WD"}</definedName>
    <definedName name="_27k7_" hidden="1">{#N/A,#N/A,FALSE,"단축1";#N/A,#N/A,FALSE,"단축2";#N/A,#N/A,FALSE,"단축3";#N/A,#N/A,FALSE,"장축";#N/A,#N/A,FALSE,"4WD"}</definedName>
    <definedName name="_27k8_" hidden="1">{#N/A,#N/A,FALSE,"단축1";#N/A,#N/A,FALSE,"단축2";#N/A,#N/A,FALSE,"단축3";#N/A,#N/A,FALSE,"장축";#N/A,#N/A,FALSE,"4WD"}</definedName>
    <definedName name="_27Q1_" hidden="1">{#N/A,#N/A,FALSE,"KMC최종회의(7월) 자료"}</definedName>
    <definedName name="_27Q2_" hidden="1">{#N/A,#N/A,FALSE,"KMC최종회의(7월) 자료"}</definedName>
    <definedName name="_27Q3_" hidden="1">{#N/A,#N/A,FALSE,"KMC최종회의(7월) 자료"}</definedName>
    <definedName name="_27Q7_" hidden="1">{#N/A,#N/A,FALSE,"KMC최종회의(7월) 자료"}</definedName>
    <definedName name="_27Q8_" hidden="1">{#N/A,#N/A,FALSE,"KMC최종회의(7월) 자료"}</definedName>
    <definedName name="_27Q9_" hidden="1">{#N/A,#N/A,FALSE,"KMC최종회의(7월) 자료"}</definedName>
    <definedName name="_27S1_" hidden="1">{#N/A,#N/A,FALSE,"KMC최종회의(7월) 자료"}</definedName>
    <definedName name="_27S2_" hidden="1">{#N/A,#N/A,FALSE,"KMC최종회의(7월) 자료"}</definedName>
    <definedName name="_27S3_" hidden="1">{#N/A,#N/A,FALSE,"KMC최종회의(7월) 자료"}</definedName>
    <definedName name="_27S4_" hidden="1">{#N/A,#N/A,FALSE,"KMC최종회의(7월) 자료"}</definedName>
    <definedName name="_27S5_" hidden="1">{#N/A,#N/A,FALSE,"KMC최종회의(7월) 자료"}</definedName>
    <definedName name="_27S5__1" hidden="1">{#N/A,#N/A,FALSE,"KMC최종회의(7월) 자료"}</definedName>
    <definedName name="_27S6_" hidden="1">{#N/A,#N/A,FALSE,"KMC최종회의(7월) 자료"}</definedName>
    <definedName name="_27S7_" hidden="1">{#N/A,#N/A,FALSE,"KMC최종회의(7월) 자료"}</definedName>
    <definedName name="_27S8_" hidden="1">{#N/A,#N/A,FALSE,"KMC최종회의(7월) 자료"}</definedName>
    <definedName name="_27T3_" hidden="1">{#N/A,#N/A,FALSE,"단축1";#N/A,#N/A,FALSE,"단축2";#N/A,#N/A,FALSE,"단축3";#N/A,#N/A,FALSE,"장축";#N/A,#N/A,FALSE,"4WD"}</definedName>
    <definedName name="_27W1_" hidden="1">{#N/A,#N/A,FALSE,"KMC최종회의(7월) 자료"}</definedName>
    <definedName name="_27W1__1" hidden="1">{#N/A,#N/A,FALSE,"KMC최종회의(7월) 자료"}</definedName>
    <definedName name="_27W2_" hidden="1">{#N/A,#N/A,FALSE,"KMC최종회의(7월) 자료"}</definedName>
    <definedName name="_27W2__1" hidden="1">{#N/A,#N/A,FALSE,"KMC최종회의(7월) 자료"}</definedName>
    <definedName name="_27Z5_" hidden="1">{#N/A,#N/A,FALSE,"KMC최종회의(7월) 자료"}</definedName>
    <definedName name="_28__123Graph_AC04C_FF_L" hidden="1">#REF!</definedName>
    <definedName name="_28__123Graph_CCHART_3" hidden="1">#REF!</definedName>
    <definedName name="_28__123Graph_XC04C_FF_T" hidden="1">#REF!</definedName>
    <definedName name="_28____S" hidden="1">#REF!</definedName>
    <definedName name="_28__0_S" hidden="1">#REF!</definedName>
    <definedName name="_280____S" hidden="1">#REF!</definedName>
    <definedName name="_28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80s1_" hidden="1">{#N/A,#N/A,FALSE,"신규dep";#N/A,#N/A,FALSE,"신규dep-금형상각후";#N/A,#N/A,FALSE,"신규dep-연구비상각후";#N/A,#N/A,FALSE,"신규dep-기계,공구상각후"}</definedName>
    <definedName name="_280S8_" hidden="1">{#N/A,#N/A,FALSE,"KMC최종회의(7월) 자료"}</definedName>
    <definedName name="_280T2_" hidden="1">{#N/A,#N/A,FALSE,"단축1";#N/A,#N/A,FALSE,"단축2";#N/A,#N/A,FALSE,"단축3";#N/A,#N/A,FALSE,"장축";#N/A,#N/A,FALSE,"4WD"}</definedName>
    <definedName name="_280W2_" hidden="1">{#N/A,#N/A,FALSE,"KMC최종회의(7월) 자료"}</definedName>
    <definedName name="_280W9_" hidden="1">{#N/A,#N/A,FALSE,"KMC최종회의(7월) 자료"}</definedName>
    <definedName name="_280W9__1" hidden="1">{#N/A,#N/A,FALSE,"KMC최종회의(7월) 자료"}</definedName>
    <definedName name="_280X5_" hidden="1">{#N/A,#N/A,FALSE,"KMC최종회의(7월) 자료"}</definedName>
    <definedName name="_280Z1_" hidden="1">{#N/A,#N/A,FALSE,"KMC최종회의(7월) 자료"}</definedName>
    <definedName name="_280Z3_" hidden="1">{#N/A,#N/A,FALSE,"KMC최종회의(7월) 자료"}</definedName>
    <definedName name="_280Z9_" hidden="1">{#N/A,#N/A,FALSE,"KMC최종회의(7월) 자료"}</definedName>
    <definedName name="_281__0_S" hidden="1">#REF!</definedName>
    <definedName name="_281T5_" hidden="1">{#N/A,#N/A,FALSE,"단축1";#N/A,#N/A,FALSE,"단축2";#N/A,#N/A,FALSE,"단축3";#N/A,#N/A,FALSE,"장축";#N/A,#N/A,FALSE,"4WD"}</definedName>
    <definedName name="_281W6_" hidden="1">{#N/A,#N/A,FALSE,"KMC최종회의(7월) 자료"}</definedName>
    <definedName name="_281X1_" hidden="1">{#N/A,#N/A,FALSE,"KMC최종회의(7월) 자료"}</definedName>
    <definedName name="_281X7_" hidden="1">{#N/A,#N/A,FALSE,"KMC최종회의(7월) 자료"}</definedName>
    <definedName name="_282__0_S" hidden="1">#REF!</definedName>
    <definedName name="_2826Z4_" hidden="1">{#N/A,#N/A,FALSE,"KMC최종회의(7월) 자료"}</definedName>
    <definedName name="_2826Z4__1" hidden="1">{#N/A,#N/A,FALSE,"KMC최종회의(7월) 자료"}</definedName>
    <definedName name="_282AT3_" hidden="1">{#N/A,#N/A,FALSE,"인원";#N/A,#N/A,FALSE,"비용2";#N/A,#N/A,FALSE,"비용1";#N/A,#N/A,FALSE,"비용";#N/A,#N/A,FALSE,"보증2";#N/A,#N/A,FALSE,"보증1";#N/A,#N/A,FALSE,"보증";#N/A,#N/A,FALSE,"손익1";#N/A,#N/A,FALSE,"손익";#N/A,#N/A,FALSE,"부서별매출";#N/A,#N/A,FALSE,"매출"}</definedName>
    <definedName name="_282Q2_" hidden="1">{#N/A,#N/A,FALSE,"KMC최종회의(7월) 자료"}</definedName>
    <definedName name="_282S7_" hidden="1">{#N/A,#N/A,FALSE,"KMC최종회의(7월) 자료"}</definedName>
    <definedName name="_282W322_" hidden="1">{"'7-2지역별'!$A$1:$R$44"}</definedName>
    <definedName name="_282W9_" hidden="1">{#N/A,#N/A,FALSE,"KMC최종회의(7월) 자료"}</definedName>
    <definedName name="_282X2_" hidden="1">{#N/A,#N/A,FALSE,"KMC최종회의(7월) 자료"}</definedName>
    <definedName name="_282X7_" hidden="1">{#N/A,#N/A,FALSE,"KMC최종회의(7월) 자료"}</definedName>
    <definedName name="_282Z4_" hidden="1">{#N/A,#N/A,FALSE,"KMC최종회의(7월) 자료"}</definedName>
    <definedName name="_283k9_" hidden="1">{#N/A,#N/A,FALSE,"단축1";#N/A,#N/A,FALSE,"단축2";#N/A,#N/A,FALSE,"단축3";#N/A,#N/A,FALSE,"장축";#N/A,#N/A,FALSE,"4WD"}</definedName>
    <definedName name="_283k9__1" hidden="1">{#N/A,#N/A,FALSE,"단축1";#N/A,#N/A,FALSE,"단축2";#N/A,#N/A,FALSE,"단축3";#N/A,#N/A,FALSE,"장축";#N/A,#N/A,FALSE,"4WD"}</definedName>
    <definedName name="_283W1_" hidden="1">{#N/A,#N/A,FALSE,"KMC최종회의(7월) 자료"}</definedName>
    <definedName name="_283W5_" hidden="1">{#N/A,#N/A,FALSE,"KMC최종회의(7월) 자료"}</definedName>
    <definedName name="_283X3_" hidden="1">{#N/A,#N/A,FALSE,"KMC최종회의(7월) 자료"}</definedName>
    <definedName name="_283X5_" hidden="1">{#N/A,#N/A,FALSE,"KMC최종회의(7월) 자료"}</definedName>
    <definedName name="_283Z2_" hidden="1">{#N/A,#N/A,FALSE,"KMC최종회의(7월) 자료"}</definedName>
    <definedName name="_284A6_" hidden="1">{#N/A,#N/A,FALSE,"KMC최종회의(7월) 자료"}</definedName>
    <definedName name="_284T2_" hidden="1">{#N/A,#N/A,FALSE,"단축1";#N/A,#N/A,FALSE,"단축2";#N/A,#N/A,FALSE,"단축3";#N/A,#N/A,FALSE,"장축";#N/A,#N/A,FALSE,"4WD"}</definedName>
    <definedName name="_284W7_" hidden="1">{#N/A,#N/A,FALSE,"KMC최종회의(7월) 자료"}</definedName>
    <definedName name="_284X4_" hidden="1">{#N/A,#N/A,FALSE,"KMC최종회의(7월) 자료"}</definedName>
    <definedName name="_284Z5_" hidden="1">{#N/A,#N/A,FALSE,"KMC최종회의(7월) 자료"}</definedName>
    <definedName name="_2859Z5_" hidden="1">{#N/A,#N/A,FALSE,"KMC최종회의(7월) 자료"}</definedName>
    <definedName name="_2859Z5__1" hidden="1">{#N/A,#N/A,FALSE,"KMC최종회의(7월) 자료"}</definedName>
    <definedName name="_285s2_" hidden="1">{#N/A,#N/A,FALSE,"신규dep";#N/A,#N/A,FALSE,"신규dep-금형상각후";#N/A,#N/A,FALSE,"신규dep-연구비상각후";#N/A,#N/A,FALSE,"신규dep-기계,공구상각후"}</definedName>
    <definedName name="_285W7_" hidden="1">{#N/A,#N/A,FALSE,"KMC최종회의(7월) 자료"}</definedName>
    <definedName name="_285W9_" hidden="1">{#N/A,#N/A,FALSE,"KMC최종회의(7월) 자료"}</definedName>
    <definedName name="_285W9__1" hidden="1">{#N/A,#N/A,FALSE,"KMC최종회의(7월) 자료"}</definedName>
    <definedName name="_285X5_" hidden="1">{#N/A,#N/A,FALSE,"KMC최종회의(7월) 자료"}</definedName>
    <definedName name="_285X6_" hidden="1">{#N/A,#N/A,FALSE,"KMC최종회의(7월) 자료"}</definedName>
    <definedName name="_285Z2_" hidden="1">{#N/A,#N/A,FALSE,"KMC최종회의(7월) 자료"}</definedName>
    <definedName name="_285Z4_" hidden="1">{#N/A,#N/A,FALSE,"KMC최종회의(7월) 자료"}</definedName>
    <definedName name="_286____S" hidden="1">#REF!</definedName>
    <definedName name="_286T3_" hidden="1">{#N/A,#N/A,FALSE,"단축1";#N/A,#N/A,FALSE,"단축2";#N/A,#N/A,FALSE,"단축3";#N/A,#N/A,FALSE,"장축";#N/A,#N/A,FALSE,"4WD"}</definedName>
    <definedName name="_286W2_" hidden="1">{#N/A,#N/A,FALSE,"KMC최종회의(7월) 자료"}</definedName>
    <definedName name="_286X6_" hidden="1">{#N/A,#N/A,FALSE,"KMC최종회의(7월) 자료"}</definedName>
    <definedName name="_286X8_" hidden="1">{#N/A,#N/A,FALSE,"KMC최종회의(7월) 자료"}</definedName>
    <definedName name="_286Z6_" hidden="1">{#N/A,#N/A,FALSE,"KMC최종회의(7월) 자료"}</definedName>
    <definedName name="_287__0_S" hidden="1">#REF!</definedName>
    <definedName name="_287Q21_" hidden="1">{#N/A,#N/A,FALSE,"단축1";#N/A,#N/A,FALSE,"단축2";#N/A,#N/A,FALSE,"단축3";#N/A,#N/A,FALSE,"장축";#N/A,#N/A,FALSE,"4WD"}</definedName>
    <definedName name="_287Q9_" hidden="1">{#N/A,#N/A,FALSE,"KMC최종회의(7월) 자료"}</definedName>
    <definedName name="_287S8_" hidden="1">{#N/A,#N/A,FALSE,"KMC최종회의(7월) 자료"}</definedName>
    <definedName name="_287T3_" hidden="1">{#N/A,#N/A,FALSE,"단축1";#N/A,#N/A,FALSE,"단축2";#N/A,#N/A,FALSE,"단축3";#N/A,#N/A,FALSE,"장축";#N/A,#N/A,FALSE,"4WD"}</definedName>
    <definedName name="_287T5_" hidden="1">{#N/A,#N/A,FALSE,"단축1";#N/A,#N/A,FALSE,"단축2";#N/A,#N/A,FALSE,"단축3";#N/A,#N/A,FALSE,"장축";#N/A,#N/A,FALSE,"4WD"}</definedName>
    <definedName name="_287W2_" hidden="1">{#N/A,#N/A,FALSE,"KMC최종회의(7월) 자료"}</definedName>
    <definedName name="_287W3_" hidden="1">{#N/A,#N/A,FALSE,"KMC최종회의(7월) 자료"}</definedName>
    <definedName name="_287X1_" hidden="1">{#N/A,#N/A,FALSE,"KMC최종회의(7월) 자료"}</definedName>
    <definedName name="_287X1__1" hidden="1">{#N/A,#N/A,FALSE,"KMC최종회의(7월) 자료"}</definedName>
    <definedName name="_287X6_" hidden="1">{#N/A,#N/A,FALSE,"KMC최종회의(7월) 자료"}</definedName>
    <definedName name="_287X7_" hidden="1">{#N/A,#N/A,FALSE,"KMC최종회의(7월) 자료"}</definedName>
    <definedName name="_287Z3_" hidden="1">{#N/A,#N/A,FALSE,"KMC최종회의(7월) 자료"}</definedName>
    <definedName name="_288__0_S" hidden="1">#REF!</definedName>
    <definedName name="_288S6_" hidden="1">{#N/A,#N/A,FALSE,"KMC최종회의(7월) 자료"}</definedName>
    <definedName name="_288W3_" hidden="1">{#N/A,#N/A,FALSE,"KMC최종회의(7월) 자료"}</definedName>
    <definedName name="_288X1_" hidden="1">{#N/A,#N/A,FALSE,"KMC최종회의(7월) 자료"}</definedName>
    <definedName name="_288X8_" hidden="1">{#N/A,#N/A,FALSE,"KMC최종회의(7월) 자료"}</definedName>
    <definedName name="_288Z5_" hidden="1">{#N/A,#N/A,FALSE,"KMC최종회의(7월) 자료"}</definedName>
    <definedName name="_288Z7_" hidden="1">{#N/A,#N/A,FALSE,"KMC최종회의(7월) 자료"}</definedName>
    <definedName name="_289____S" hidden="1">#REF!</definedName>
    <definedName name="_2892Z6_" hidden="1">{#N/A,#N/A,FALSE,"KMC최종회의(7월) 자료"}</definedName>
    <definedName name="_2892Z6__1" hidden="1">{#N/A,#N/A,FALSE,"KMC최종회의(7월) 자료"}</definedName>
    <definedName name="_289W1_" hidden="1">{#N/A,#N/A,FALSE,"KMC최종회의(7월) 자료"}</definedName>
    <definedName name="_289W3_" hidden="1">{#N/A,#N/A,FALSE,"KMC최종회의(7월) 자료"}</definedName>
    <definedName name="_289W6_" hidden="1">{#N/A,#N/A,FALSE,"KMC최종회의(7월) 자료"}</definedName>
    <definedName name="_289W8_" hidden="1">{#N/A,#N/A,FALSE,"KMC최종회의(7월) 자료"}</definedName>
    <definedName name="_289Z1_" hidden="1">{#N/A,#N/A,FALSE,"KMC최종회의(7월) 자료"}</definedName>
    <definedName name="_28A0323_" hidden="1">{#N/A,#N/A,FALSE,"단축1";#N/A,#N/A,FALSE,"단축2";#N/A,#N/A,FALSE,"단축3";#N/A,#N/A,FALSE,"장축";#N/A,#N/A,FALSE,"4WD"}</definedName>
    <definedName name="_28A1_" hidden="1">{#N/A,#N/A,FALSE,"KMC최종회의(7월) 자료"}</definedName>
    <definedName name="_28A2_" hidden="1">{#N/A,#N/A,FALSE,"KMC최종회의(7월) 자료"}</definedName>
    <definedName name="_28A3_" hidden="1">{#N/A,#N/A,FALSE,"KMC최종회의(7월) 자료"}</definedName>
    <definedName name="_28A4_" hidden="1">{#N/A,#N/A,FALSE,"KMC최종회의(7월) 자료"}</definedName>
    <definedName name="_28A7_" hidden="1">{#N/A,#N/A,FALSE,"KMC최종회의(7월) 자료"}</definedName>
    <definedName name="_28A8_" hidden="1">{#N/A,#N/A,FALSE,"KMC최종회의(7월) 자료"}</definedName>
    <definedName name="_28A9_" hidden="1">{#N/A,#N/A,FALSE,"KMC최종회의(7월) 자료"}</definedName>
    <definedName name="_28AA4_" hidden="1">{#N/A,#N/A,FALSE,"신규dep";#N/A,#N/A,FALSE,"신규dep-금형상각후";#N/A,#N/A,FALSE,"신규dep-연구비상각후";#N/A,#N/A,FALSE,"신규dep-기계,공구상각후"}</definedName>
    <definedName name="_28AT3_" hidden="1">{#N/A,#N/A,FALSE,"인원";#N/A,#N/A,FALSE,"비용2";#N/A,#N/A,FALSE,"비용1";#N/A,#N/A,FALSE,"비용";#N/A,#N/A,FALSE,"보증2";#N/A,#N/A,FALSE,"보증1";#N/A,#N/A,FALSE,"보증";#N/A,#N/A,FALSE,"손익1";#N/A,#N/A,FALSE,"손익";#N/A,#N/A,FALSE,"부서별매출";#N/A,#N/A,FALSE,"매출"}</definedName>
    <definedName name="_28DB777_" hidden="1">{#N/A,#N/A,TRUE,"Y생산";#N/A,#N/A,TRUE,"Y판매";#N/A,#N/A,TRUE,"Y총물량";#N/A,#N/A,TRUE,"Y능력";#N/A,#N/A,TRUE,"YKD"}</definedName>
    <definedName name="_28E1_" hidden="1">{#N/A,#N/A,FALSE,"KMC최종회의(7월) 자료"}</definedName>
    <definedName name="_28E2_" hidden="1">{#N/A,#N/A,FALSE,"KMC최종회의(7월) 자료"}</definedName>
    <definedName name="_28FG1_" hidden="1">{#N/A,#N/A,FALSE,"단축1";#N/A,#N/A,FALSE,"단축2";#N/A,#N/A,FALSE,"단축3";#N/A,#N/A,FALSE,"장축";#N/A,#N/A,FALSE,"4WD"}</definedName>
    <definedName name="_28HP02_" hidden="1">{#N/A,#N/A,FALSE,"단축1";#N/A,#N/A,FALSE,"단축2";#N/A,#N/A,FALSE,"단축3";#N/A,#N/A,FALSE,"장축";#N/A,#N/A,FALSE,"4WD"}</definedName>
    <definedName name="_28HP2_" hidden="1">{#N/A,#N/A,FALSE,"단축1";#N/A,#N/A,FALSE,"단축2";#N/A,#N/A,FALSE,"단축3";#N/A,#N/A,FALSE,"장축";#N/A,#N/A,FALSE,"4WD"}</definedName>
    <definedName name="_28k1_" hidden="1">#REF!</definedName>
    <definedName name="_28K7_" hidden="1">{#N/A,#N/A,TRUE,"Y생산";#N/A,#N/A,TRUE,"Y판매";#N/A,#N/A,TRUE,"Y총물량";#N/A,#N/A,TRUE,"Y능력";#N/A,#N/A,TRUE,"YKD"}</definedName>
    <definedName name="_28k8_" hidden="1">{#N/A,#N/A,FALSE,"단축1";#N/A,#N/A,FALSE,"단축2";#N/A,#N/A,FALSE,"단축3";#N/A,#N/A,FALSE,"장축";#N/A,#N/A,FALSE,"4WD"}</definedName>
    <definedName name="_28k9_" hidden="1">{#N/A,#N/A,FALSE,"단축1";#N/A,#N/A,FALSE,"단축2";#N/A,#N/A,FALSE,"단축3";#N/A,#N/A,FALSE,"장축";#N/A,#N/A,FALSE,"4WD"}</definedName>
    <definedName name="_28P3_" hidden="1">{#N/A,#N/A,FALSE,"단축1";#N/A,#N/A,FALSE,"단축2";#N/A,#N/A,FALSE,"단축3";#N/A,#N/A,FALSE,"장축";#N/A,#N/A,FALSE,"4WD"}</definedName>
    <definedName name="_28Q1_" hidden="1">{#N/A,#N/A,FALSE,"KMC최종회의(7월) 자료"}</definedName>
    <definedName name="_28Q2_" hidden="1">{#N/A,#N/A,FALSE,"KMC최종회의(7월) 자료"}</definedName>
    <definedName name="_28Q3_" hidden="1">{#N/A,#N/A,FALSE,"KMC최종회의(7월) 자료"}</definedName>
    <definedName name="_28Q5_" hidden="1">{#N/A,#N/A,FALSE,"KMC최종회의(7월) 자료"}</definedName>
    <definedName name="_28Q8_" hidden="1">{#N/A,#N/A,FALSE,"KMC최종회의(7월) 자료"}</definedName>
    <definedName name="_28Q9_" hidden="1">{#N/A,#N/A,FALSE,"KMC최종회의(7월) 자료"}</definedName>
    <definedName name="_28S1_" hidden="1">{#N/A,#N/A,FALSE,"KMC최종회의(7월) 자료"}</definedName>
    <definedName name="_28S2_" hidden="1">{#N/A,#N/A,FALSE,"KMC최종회의(7월) 자료"}</definedName>
    <definedName name="_28S3_" hidden="1">{#N/A,#N/A,FALSE,"KMC최종회의(7월) 자료"}</definedName>
    <definedName name="_28S4_" hidden="1">{#N/A,#N/A,FALSE,"KMC최종회의(7월) 자료"}</definedName>
    <definedName name="_28S5_" hidden="1">{#N/A,#N/A,FALSE,"KMC최종회의(7월) 자료"}</definedName>
    <definedName name="_28S6_" hidden="1">{#N/A,#N/A,FALSE,"KMC최종회의(7월) 자료"}</definedName>
    <definedName name="_28S6__1" hidden="1">{#N/A,#N/A,FALSE,"KMC최종회의(7월) 자료"}</definedName>
    <definedName name="_28S7_" hidden="1">{#N/A,#N/A,FALSE,"KMC최종회의(7월) 자료"}</definedName>
    <definedName name="_28S8_" hidden="1">{#N/A,#N/A,FALSE,"KMC최종회의(7월) 자료"}</definedName>
    <definedName name="_28T5_" hidden="1">{#N/A,#N/A,FALSE,"단축1";#N/A,#N/A,FALSE,"단축2";#N/A,#N/A,FALSE,"단축3";#N/A,#N/A,FALSE,"장축";#N/A,#N/A,FALSE,"4WD"}</definedName>
    <definedName name="_28W1_" hidden="1">{#N/A,#N/A,FALSE,"KMC최종회의(7월) 자료"}</definedName>
    <definedName name="_28W2_" hidden="1">{#N/A,#N/A,FALSE,"KMC최종회의(7월) 자료"}</definedName>
    <definedName name="_28W2__1" hidden="1">{#N/A,#N/A,FALSE,"KMC최종회의(7월) 자료"}</definedName>
    <definedName name="_28W3_" hidden="1">{#N/A,#N/A,FALSE,"KMC최종회의(7월) 자료"}</definedName>
    <definedName name="_28W3__1" hidden="1">{#N/A,#N/A,FALSE,"KMC최종회의(7월) 자료"}</definedName>
    <definedName name="_28Z6_" hidden="1">{#N/A,#N/A,FALSE,"KMC최종회의(7월) 자료"}</definedName>
    <definedName name="_29______0_S" hidden="1">#REF!</definedName>
    <definedName name="_29__123Graph_XC04C_FR_L1" hidden="1">#REF!</definedName>
    <definedName name="_29____S" hidden="1">#REF!</definedName>
    <definedName name="_290DB777_" hidden="1">{#N/A,#N/A,TRUE,"Y생산";#N/A,#N/A,TRUE,"Y판매";#N/A,#N/A,TRUE,"Y총물량";#N/A,#N/A,TRUE,"Y능력";#N/A,#N/A,TRUE,"YKD"}</definedName>
    <definedName name="_290s3_" hidden="1">{#N/A,#N/A,FALSE,"단축1";#N/A,#N/A,FALSE,"단축2";#N/A,#N/A,FALSE,"단축3";#N/A,#N/A,FALSE,"장축";#N/A,#N/A,FALSE,"4WD"}</definedName>
    <definedName name="_290W4454_" hidden="1">{"'7-2지역별'!$A$1:$R$44"}</definedName>
    <definedName name="_290X7_" hidden="1">{#N/A,#N/A,FALSE,"KMC최종회의(7월) 자료"}</definedName>
    <definedName name="_290Z1_" hidden="1">{#N/A,#N/A,FALSE,"KMC최종회의(7월) 자료"}</definedName>
    <definedName name="_290z123_" hidden="1">{#N/A,#N/A,FALSE,"단축1";#N/A,#N/A,FALSE,"단축2";#N/A,#N/A,FALSE,"단축3";#N/A,#N/A,FALSE,"장축";#N/A,#N/A,FALSE,"4WD"}</definedName>
    <definedName name="_290Z3_" hidden="1">{#N/A,#N/A,FALSE,"KMC최종회의(7월) 자료"}</definedName>
    <definedName name="_290Z5_" hidden="1">{#N/A,#N/A,FALSE,"KMC최종회의(7월) 자료"}</definedName>
    <definedName name="_290Z8_" hidden="1">{#N/A,#N/A,FALSE,"KMC최종회의(7월) 자료"}</definedName>
    <definedName name="_291__0_S" hidden="1">#REF!</definedName>
    <definedName name="_291DB777_" hidden="1">{#N/A,#N/A,TRUE,"Y생산";#N/A,#N/A,TRUE,"Y판매";#N/A,#N/A,TRUE,"Y총물량";#N/A,#N/A,TRUE,"Y능력";#N/A,#N/A,TRUE,"YKD"}</definedName>
    <definedName name="_291Q3_" hidden="1">{#N/A,#N/A,FALSE,"KMC최종회의(7월) 자료"}</definedName>
    <definedName name="_291W2_" hidden="1">{#N/A,#N/A,FALSE,"KMC최종회의(7월) 자료"}</definedName>
    <definedName name="_291W8_" hidden="1">{#N/A,#N/A,FALSE,"KMC최종회의(7월) 자료"}</definedName>
    <definedName name="_291X1_" hidden="1">{#N/A,#N/A,FALSE,"KMC최종회의(7월) 자료"}</definedName>
    <definedName name="_291X1__1" hidden="1">{#N/A,#N/A,FALSE,"KMC최종회의(7월) 자료"}</definedName>
    <definedName name="_291X7_" hidden="1">{#N/A,#N/A,FALSE,"KMC최종회의(7월) 자료"}</definedName>
    <definedName name="_291Z1_" hidden="1">{#N/A,#N/A,FALSE,"KMC최종회의(7월) 자료"}</definedName>
    <definedName name="_291Z2_" hidden="1">{#N/A,#N/A,FALSE,"KMC최종회의(7월) 자료"}</definedName>
    <definedName name="_291Z4_" hidden="1">{#N/A,#N/A,FALSE,"KMC최종회의(7월) 자료"}</definedName>
    <definedName name="_292__0_S" hidden="1">#REF!</definedName>
    <definedName name="_2925Z7_" hidden="1">{#N/A,#N/A,FALSE,"KMC최종회의(7월) 자료"}</definedName>
    <definedName name="_2925Z7__1" hidden="1">{#N/A,#N/A,FALSE,"KMC최종회의(7월) 자료"}</definedName>
    <definedName name="_292EO2_" hidden="1">{#N/A,#N/A,FALSE,"신규dep";#N/A,#N/A,FALSE,"신규dep-금형상각후";#N/A,#N/A,FALSE,"신규dep-연구비상각후";#N/A,#N/A,FALSE,"신규dep-기계,공구상각후"}</definedName>
    <definedName name="_292P2_" hidden="1">{#N/A,#N/A,FALSE,"단축1";#N/A,#N/A,FALSE,"단축2";#N/A,#N/A,FALSE,"단축3";#N/A,#N/A,FALSE,"장축";#N/A,#N/A,FALSE,"4WD"}</definedName>
    <definedName name="_292P2__1" hidden="1">{#N/A,#N/A,FALSE,"단축1";#N/A,#N/A,FALSE,"단축2";#N/A,#N/A,FALSE,"단축3";#N/A,#N/A,FALSE,"장축";#N/A,#N/A,FALSE,"4WD"}</definedName>
    <definedName name="_292W3_" hidden="1">{#N/A,#N/A,FALSE,"KMC최종회의(7월) 자료"}</definedName>
    <definedName name="_292W8_" hidden="1">{#N/A,#N/A,FALSE,"KMC최종회의(7월) 자료"}</definedName>
    <definedName name="_292Z3_" hidden="1">{#N/A,#N/A,FALSE,"KMC최종회의(7월) 자료"}</definedName>
    <definedName name="_292Z9_" hidden="1">{#N/A,#N/A,FALSE,"KMC최종회의(7월) 자료"}</definedName>
    <definedName name="_293T2_" hidden="1">{#N/A,#N/A,FALSE,"단축1";#N/A,#N/A,FALSE,"단축2";#N/A,#N/A,FALSE,"단축3";#N/A,#N/A,FALSE,"장축";#N/A,#N/A,FALSE,"4WD"}</definedName>
    <definedName name="_293W4_" hidden="1">{#N/A,#N/A,FALSE,"KMC최종회의(7월) 자료"}</definedName>
    <definedName name="_293W9_" hidden="1">{#N/A,#N/A,FALSE,"KMC최종회의(7월) 자료"}</definedName>
    <definedName name="_293Z4_" hidden="1">{#N/A,#N/A,FALSE,"KMC최종회의(7월) 자료"}</definedName>
    <definedName name="_294T5_" hidden="1">{#N/A,#N/A,FALSE,"단축1";#N/A,#N/A,FALSE,"단축2";#N/A,#N/A,FALSE,"단축3";#N/A,#N/A,FALSE,"장축";#N/A,#N/A,FALSE,"4WD"}</definedName>
    <definedName name="_294W4_" hidden="1">{#N/A,#N/A,FALSE,"KMC최종회의(7월) 자료"}</definedName>
    <definedName name="_294W5_" hidden="1">{#N/A,#N/A,FALSE,"KMC최종회의(7월) 자료"}</definedName>
    <definedName name="_294X2_" hidden="1">{#N/A,#N/A,FALSE,"KMC최종회의(7월) 자료"}</definedName>
    <definedName name="_294X2__1" hidden="1">{#N/A,#N/A,FALSE,"KMC최종회의(7월) 자료"}</definedName>
    <definedName name="_294X7_" hidden="1">{#N/A,#N/A,FALSE,"KMC최종회의(7월) 자료"}</definedName>
    <definedName name="_294Z2_" hidden="1">{#N/A,#N/A,FALSE,"KMC최종회의(7월) 자료"}</definedName>
    <definedName name="_294Z5_" hidden="1">{#N/A,#N/A,FALSE,"KMC최종회의(7월) 자료"}</definedName>
    <definedName name="_294Z6_" hidden="1">{#N/A,#N/A,FALSE,"KMC최종회의(7월) 자료"}</definedName>
    <definedName name="_2958Z8_" hidden="1">{#N/A,#N/A,FALSE,"KMC최종회의(7월) 자료"}</definedName>
    <definedName name="_2958Z8__1" hidden="1">{#N/A,#N/A,FALSE,"KMC최종회의(7월) 자료"}</definedName>
    <definedName name="_295s4_" hidden="1">{#N/A,#N/A,FALSE,"단축1";#N/A,#N/A,FALSE,"단축2";#N/A,#N/A,FALSE,"단축3";#N/A,#N/A,FALSE,"장축";#N/A,#N/A,FALSE,"4WD"}</definedName>
    <definedName name="_295W3_" hidden="1">{#N/A,#N/A,FALSE,"KMC최종회의(7월) 자료"}</definedName>
    <definedName name="_295W6_" hidden="1">{#N/A,#N/A,FALSE,"KMC최종회의(7월) 자료"}</definedName>
    <definedName name="_295W7_" hidden="1">{#N/A,#N/A,FALSE,"KMC최종회의(7월) 자료"}</definedName>
    <definedName name="_295X8_" hidden="1">{#N/A,#N/A,FALSE,"KMC최종회의(7월) 자료"}</definedName>
    <definedName name="_295Z4_" hidden="1">{#N/A,#N/A,FALSE,"KMC최종회의(7월) 자료"}</definedName>
    <definedName name="_295Z5_" hidden="1">{#N/A,#N/A,FALSE,"KMC최종회의(7월) 자료"}</definedName>
    <definedName name="_295Z6_" hidden="1">{#N/A,#N/A,FALSE,"KMC최종회의(7월) 자료"}</definedName>
    <definedName name="_296Q32_" hidden="1">{#N/A,#N/A,FALSE,"단축1";#N/A,#N/A,FALSE,"단축2";#N/A,#N/A,FALSE,"단축3";#N/A,#N/A,FALSE,"장축";#N/A,#N/A,FALSE,"4WD"}</definedName>
    <definedName name="_296S1_" hidden="1">{#N/A,#N/A,FALSE,"KMC최종회의(7월) 자료"}</definedName>
    <definedName name="_296W5_" hidden="1">{#N/A,#N/A,FALSE,"KMC최종회의(7월) 자료"}</definedName>
    <definedName name="_296W7_" hidden="1">{#N/A,#N/A,FALSE,"KMC최종회의(7월) 자료"}</definedName>
    <definedName name="_296Z2_" hidden="1">{#N/A,#N/A,FALSE,"KMC최종회의(7월) 자료"}</definedName>
    <definedName name="_296Z7_" hidden="1">{#N/A,#N/A,FALSE,"KMC최종회의(7월) 자료"}</definedName>
    <definedName name="_297W8_" hidden="1">{#N/A,#N/A,FALSE,"KMC최종회의(7월) 자료"}</definedName>
    <definedName name="_297X1_" hidden="1">{#N/A,#N/A,FALSE,"KMC최종회의(7월) 자료"}</definedName>
    <definedName name="_297X2_" hidden="1">{#N/A,#N/A,FALSE,"KMC최종회의(7월) 자료"}</definedName>
    <definedName name="_297X2__1" hidden="1">{#N/A,#N/A,FALSE,"KMC최종회의(7월) 자료"}</definedName>
    <definedName name="_297Z8_" hidden="1">{#N/A,#N/A,FALSE,"KMC최종회의(7월) 자료"}</definedName>
    <definedName name="_298W53_" hidden="1">{"'7-2지역별'!$A$1:$R$44"}</definedName>
    <definedName name="_298W9_" hidden="1">{#N/A,#N/A,FALSE,"KMC최종회의(7월) 자료"}</definedName>
    <definedName name="_298Z3_" hidden="1">{#N/A,#N/A,FALSE,"KMC최종회의(7월) 자료"}</definedName>
    <definedName name="_298Z9_" hidden="1">{#N/A,#N/A,FALSE,"KMC최종회의(7월) 자료"}</definedName>
    <definedName name="_2991Z9_" hidden="1">{#N/A,#N/A,FALSE,"KMC최종회의(7월) 자료"}</definedName>
    <definedName name="_2991Z9__1" hidden="1">{#N/A,#N/A,FALSE,"KMC최종회의(7월) 자료"}</definedName>
    <definedName name="_299W1_" hidden="1">{#N/A,#N/A,FALSE,"KMC최종회의(7월) 자료"}</definedName>
    <definedName name="_299W6_" hidden="1">{#N/A,#N/A,FALSE,"KMC최종회의(7월) 자료"}</definedName>
    <definedName name="_299Z1_" hidden="1">{#N/A,#N/A,FALSE,"KMC최종회의(7월) 자료"}</definedName>
    <definedName name="_299Z6_" hidden="1">{#N/A,#N/A,FALSE,"KMC최종회의(7월) 자료"}</definedName>
    <definedName name="_29A1_" hidden="1">{#N/A,#N/A,FALSE,"KMC최종회의(7월) 자료"}</definedName>
    <definedName name="_29A1__1" hidden="1">{#N/A,#N/A,FALSE,"KMC최종회의(7월) 자료"}</definedName>
    <definedName name="_29A1232_" hidden="1">{#N/A,#N/A,FALSE,"단축1";#N/A,#N/A,FALSE,"단축2";#N/A,#N/A,FALSE,"단축3";#N/A,#N/A,FALSE,"장축";#N/A,#N/A,FALSE,"4WD"}</definedName>
    <definedName name="_29A1232__1" hidden="1">{#N/A,#N/A,FALSE,"단축1";#N/A,#N/A,FALSE,"단축2";#N/A,#N/A,FALSE,"단축3";#N/A,#N/A,FALSE,"장축";#N/A,#N/A,FALSE,"4WD"}</definedName>
    <definedName name="_29A21321_" hidden="1">{#N/A,#N/A,FALSE,"단축1";#N/A,#N/A,FALSE,"단축2";#N/A,#N/A,FALSE,"단축3";#N/A,#N/A,FALSE,"장축";#N/A,#N/A,FALSE,"4WD"}</definedName>
    <definedName name="_29A3_" hidden="1">{#N/A,#N/A,FALSE,"KMC최종회의(7월) 자료"}</definedName>
    <definedName name="_29A3__1" hidden="1">{#N/A,#N/A,FALSE,"단축1";#N/A,#N/A,FALSE,"단축2";#N/A,#N/A,FALSE,"단축3";#N/A,#N/A,FALSE,"장축";#N/A,#N/A,FALSE,"4WD"}</definedName>
    <definedName name="_29A4_" hidden="1">{#N/A,#N/A,FALSE,"KMC최종회의(7월) 자료"}</definedName>
    <definedName name="_29A5_" hidden="1">{#N/A,#N/A,FALSE,"KMC최종회의(7월) 자료"}</definedName>
    <definedName name="_29A7_" hidden="1">{#N/A,#N/A,FALSE,"KMC최종회의(7월) 자료"}</definedName>
    <definedName name="_29A9_" hidden="1">{#N/A,#N/A,FALSE,"KMC최종회의(7월) 자료"}</definedName>
    <definedName name="_29CL22_" hidden="1">{#N/A,#N/A,FALSE,"KMC최종회의(7월) 자료"}</definedName>
    <definedName name="_29DB777_" hidden="1">{#N/A,#N/A,TRUE,"Y생산";#N/A,#N/A,TRUE,"Y판매";#N/A,#N/A,TRUE,"Y총물량";#N/A,#N/A,TRUE,"Y능력";#N/A,#N/A,TRUE,"YKD"}</definedName>
    <definedName name="_29DC50_" hidden="1">{#N/A,#N/A,FALSE,"단축1";#N/A,#N/A,FALSE,"단축2";#N/A,#N/A,FALSE,"단축3";#N/A,#N/A,FALSE,"장축";#N/A,#N/A,FALSE,"4WD"}</definedName>
    <definedName name="_29E2_" hidden="1">{#N/A,#N/A,FALSE,"KMC최종회의(7월) 자료"}</definedName>
    <definedName name="_29E2__1" hidden="1">{#N/A,#N/A,FALSE,"KMC최종회의(7월) 자료"}</definedName>
    <definedName name="_29FG1_" hidden="1">{#N/A,#N/A,FALSE,"단축1";#N/A,#N/A,FALSE,"단축2";#N/A,#N/A,FALSE,"단축3";#N/A,#N/A,FALSE,"장축";#N/A,#N/A,FALSE,"4WD"}</definedName>
    <definedName name="_29HL3_" hidden="1">{#N/A,#N/A,TRUE,"Y생산";#N/A,#N/A,TRUE,"Y판매";#N/A,#N/A,TRUE,"Y총물량";#N/A,#N/A,TRUE,"Y능력";#N/A,#N/A,TRUE,"YKD"}</definedName>
    <definedName name="_29HP02_" hidden="1">{#N/A,#N/A,FALSE,"단축1";#N/A,#N/A,FALSE,"단축2";#N/A,#N/A,FALSE,"단축3";#N/A,#N/A,FALSE,"장축";#N/A,#N/A,FALSE,"4WD"}</definedName>
    <definedName name="_29k7_" hidden="1">{#N/A,#N/A,FALSE,"단축1";#N/A,#N/A,FALSE,"단축2";#N/A,#N/A,FALSE,"단축3";#N/A,#N/A,FALSE,"장축";#N/A,#N/A,FALSE,"4WD"}</definedName>
    <definedName name="_29k8_" hidden="1">{#N/A,#N/A,FALSE,"단축1";#N/A,#N/A,FALSE,"단축2";#N/A,#N/A,FALSE,"단축3";#N/A,#N/A,FALSE,"장축";#N/A,#N/A,FALSE,"4WD"}</definedName>
    <definedName name="_29k9_" hidden="1">{#N/A,#N/A,FALSE,"단축1";#N/A,#N/A,FALSE,"단축2";#N/A,#N/A,FALSE,"단축3";#N/A,#N/A,FALSE,"장축";#N/A,#N/A,FALSE,"4WD"}</definedName>
    <definedName name="_29Q1_" hidden="1">{#N/A,#N/A,FALSE,"KMC최종회의(7월) 자료"}</definedName>
    <definedName name="_29Q2_" hidden="1">{#N/A,#N/A,FALSE,"KMC최종회의(7월) 자료"}</definedName>
    <definedName name="_29Q3_" hidden="1">{#N/A,#N/A,FALSE,"KMC최종회의(7월) 자료"}</definedName>
    <definedName name="_29Q7_" hidden="1">{#N/A,#N/A,FALSE,"KMC최종회의(7월) 자료"}</definedName>
    <definedName name="_29Q9_" hidden="1">{#N/A,#N/A,FALSE,"KMC최종회의(7월) 자료"}</definedName>
    <definedName name="_29S1_" hidden="1">{#N/A,#N/A,FALSE,"KMC최종회의(7월) 자료"}</definedName>
    <definedName name="_29S2_" hidden="1">{#N/A,#N/A,FALSE,"KMC최종회의(7월) 자료"}</definedName>
    <definedName name="_29S3_" hidden="1">{#N/A,#N/A,FALSE,"KMC최종회의(7월) 자료"}</definedName>
    <definedName name="_29S4_" hidden="1">{#N/A,#N/A,FALSE,"KMC최종회의(7월) 자료"}</definedName>
    <definedName name="_29S5_" hidden="1">{#N/A,#N/A,FALSE,"KMC최종회의(7월) 자료"}</definedName>
    <definedName name="_29S6_" hidden="1">{#N/A,#N/A,FALSE,"KMC최종회의(7월) 자료"}</definedName>
    <definedName name="_29S7_" hidden="1">{#N/A,#N/A,FALSE,"KMC최종회의(7월) 자료"}</definedName>
    <definedName name="_29S7__1" hidden="1">{#N/A,#N/A,FALSE,"KMC최종회의(7월) 자료"}</definedName>
    <definedName name="_29S8_" hidden="1">{#N/A,#N/A,FALSE,"KMC최종회의(7월) 자료"}</definedName>
    <definedName name="_29W1_" hidden="1">{#N/A,#N/A,FALSE,"KMC최종회의(7월) 자료"}</definedName>
    <definedName name="_29W2_" hidden="1">{#N/A,#N/A,FALSE,"KMC최종회의(7월) 자료"}</definedName>
    <definedName name="_29W3_" hidden="1">{#N/A,#N/A,FALSE,"KMC최종회의(7월) 자료"}</definedName>
    <definedName name="_29W3__1" hidden="1">{#N/A,#N/A,FALSE,"KMC최종회의(7월) 자료"}</definedName>
    <definedName name="_29W4_" hidden="1">{#N/A,#N/A,FALSE,"KMC최종회의(7월) 자료"}</definedName>
    <definedName name="_29W4__1" hidden="1">{#N/A,#N/A,FALSE,"KMC최종회의(7월) 자료"}</definedName>
    <definedName name="_29Z7_" hidden="1">{#N/A,#N/A,FALSE,"KMC최종회의(7월) 자료"}</definedName>
    <definedName name="_2A02_" hidden="1">{#N/A,#N/A,FALSE,"단축1";#N/A,#N/A,FALSE,"단축2";#N/A,#N/A,FALSE,"단축3";#N/A,#N/A,FALSE,"장축";#N/A,#N/A,FALSE,"4WD"}</definedName>
    <definedName name="_2A0323_" hidden="1">{#N/A,#N/A,FALSE,"단축1";#N/A,#N/A,FALSE,"단축2";#N/A,#N/A,FALSE,"단축3";#N/A,#N/A,FALSE,"장축";#N/A,#N/A,FALSE,"4WD"}</definedName>
    <definedName name="_2A1_" hidden="1">{#N/A,#N/A,FALSE,"KMC최종회의(7월) 자료"}</definedName>
    <definedName name="_2A2_" hidden="1">{#N/A,#N/A,FALSE,"KMC최종회의(7월) 자료"}</definedName>
    <definedName name="_2A2__1" hidden="1">{#N/A,#N/A,FALSE,"KMC최종회의(7월) 자료"}</definedName>
    <definedName name="_2A2040_" hidden="1">{#N/A,#N/A,FALSE,"단축1";#N/A,#N/A,FALSE,"단축2";#N/A,#N/A,FALSE,"단축3";#N/A,#N/A,FALSE,"장축";#N/A,#N/A,FALSE,"4WD"}</definedName>
    <definedName name="_2A4_" hidden="1">{#N/A,#N/A,FALSE,"KMC최종회의(7월) 자료"}</definedName>
    <definedName name="_2A4444_" hidden="1">{#N/A,#N/A,FALSE,"KMC최종회의(7월) 자료"}</definedName>
    <definedName name="_2A5_" hidden="1">{#N/A,#N/A,FALSE,"KMC최종회의(7월) 자료"}</definedName>
    <definedName name="_2A6_" hidden="1">{#N/A,#N/A,FALSE,"KMC최종회의(7월) 자료"}</definedName>
    <definedName name="_2AS6_" hidden="1">{#N/A,#N/A,FALSE,"Australien";#N/A,#N/A,FALSE,"Birmingham";#N/A,#N/A,FALSE,"Brasilien";#N/A,#N/A,FALSE,"Prag";#N/A,#N/A,FALSE,"Spanien";#N/A,#N/A,FALSE,"Malaysia ( Com)";#N/A,#N/A,FALSE,"Malaysia (Instr)"}</definedName>
    <definedName name="_2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D11_" hidden="1">{#N/A,#N/A,TRUE,"Y생산";#N/A,#N/A,TRUE,"Y판매";#N/A,#N/A,TRUE,"Y총물량";#N/A,#N/A,TRUE,"Y능력";#N/A,#N/A,TRUE,"YKD"}</definedName>
    <definedName name="_2DB777_" hidden="1">{#N/A,#N/A,TRUE,"Y생산";#N/A,#N/A,TRUE,"Y판매";#N/A,#N/A,TRUE,"Y총물량";#N/A,#N/A,TRUE,"Y능력";#N/A,#N/A,TRUE,"YKD"}</definedName>
    <definedName name="_2DR1_" hidden="1">{#N/A,#N/A,FALSE,"업체선정";#N/A,#N/A,FALSE,"업체선정sheet";#N/A,#N/A,FALSE,"업체실태";#N/A,#N/A,FALSE,"업체실태(1)";#N/A,#N/A,FALSE,"종업원현황(2)";#N/A,#N/A,FALSE,"생산품목(3)";#N/A,#N/A,FALSE,"장비보유현황";#N/A,#N/A,FALSE,"차량및약도";#N/A,#N/A,FALSE,"금형LIST"}</definedName>
    <definedName name="_2EO2_" hidden="1">{#N/A,#N/A,FALSE,"신규dep";#N/A,#N/A,FALSE,"신규dep-금형상각후";#N/A,#N/A,FALSE,"신규dep-연구비상각후";#N/A,#N/A,FALSE,"신규dep-기계,공구상각후"}</definedName>
    <definedName name="_2FG1_" hidden="1">{#N/A,#N/A,FALSE,"단축1";#N/A,#N/A,FALSE,"단축2";#N/A,#N/A,FALSE,"단축3";#N/A,#N/A,FALSE,"장축";#N/A,#N/A,FALSE,"4WD"}</definedName>
    <definedName name="_2P_P" hidden="1">{#N/A,#N/A,FALSE,"단축1";#N/A,#N/A,FALSE,"단축2";#N/A,#N/A,FALSE,"단축3";#N/A,#N/A,FALSE,"장축";#N/A,#N/A,FALSE,"4WD"}</definedName>
    <definedName name="_2Q1_" hidden="1">{#N/A,#N/A,FALSE,"KMC최종회의(7월) 자료"}</definedName>
    <definedName name="_2T2_" hidden="1">{#N/A,#N/A,FALSE,"단축1";#N/A,#N/A,FALSE,"단축2";#N/A,#N/A,FALSE,"단축3";#N/A,#N/A,FALSE,"장축";#N/A,#N/A,FALSE,"4WD"}</definedName>
    <definedName name="_3__________________________0_S" hidden="1">#REF!</definedName>
    <definedName name="_3__________0_S" hidden="1">#REF!</definedName>
    <definedName name="_3__123Graph_ABORE_EXH.VALVE" hidden="1">#REF!</definedName>
    <definedName name="_3__123Graph_BCHART_3" hidden="1">#REF!</definedName>
    <definedName name="_3_____S" hidden="1">#REF!</definedName>
    <definedName name="_3___0_S" hidden="1">#REF!</definedName>
    <definedName name="_3_7_0__123Graph_LB" hidden="1">#REF!</definedName>
    <definedName name="_3____S" hidden="1">#REF!</definedName>
    <definedName name="_3__0_S" hidden="1">#REF!</definedName>
    <definedName name="_30__123Graph_XC04C_FR_L2" hidden="1">#REF!</definedName>
    <definedName name="_30__0_S" hidden="1">#REF!</definedName>
    <definedName name="_300FG1_" hidden="1">{#N/A,#N/A,FALSE,"단축1";#N/A,#N/A,FALSE,"단축2";#N/A,#N/A,FALSE,"단축3";#N/A,#N/A,FALSE,"장축";#N/A,#N/A,FALSE,"4WD"}</definedName>
    <definedName name="_300s5_" hidden="1">{#N/A,#N/A,FALSE,"신규dep";#N/A,#N/A,FALSE,"신규dep-금형상각후";#N/A,#N/A,FALSE,"신규dep-연구비상각후";#N/A,#N/A,FALSE,"신규dep-기계,공구상각후"}</definedName>
    <definedName name="_300S7_" hidden="1">{#N/A,#N/A,FALSE,"KMC최종회의(7월) 자료"}</definedName>
    <definedName name="_300W9_" hidden="1">{#N/A,#N/A,FALSE,"KMC최종회의(7월) 자료"}</definedName>
    <definedName name="_300X3_" hidden="1">{#N/A,#N/A,FALSE,"KMC최종회의(7월) 자료"}</definedName>
    <definedName name="_300Z1_" hidden="1">{#N/A,#N/A,FALSE,"KMC최종회의(7월) 자료"}</definedName>
    <definedName name="_300Z5_" hidden="1">{#N/A,#N/A,FALSE,"KMC최종회의(7월) 자료"}</definedName>
    <definedName name="_300Z7_" hidden="1">{#N/A,#N/A,FALSE,"KMC최종회의(7월) 자료"}</definedName>
    <definedName name="_301__0_S" hidden="1">#REF!</definedName>
    <definedName name="_301Q43_" hidden="1">{#N/A,#N/A,FALSE,"단축1";#N/A,#N/A,FALSE,"단축2";#N/A,#N/A,FALSE,"단축3";#N/A,#N/A,FALSE,"장축";#N/A,#N/A,FALSE,"4WD"}</definedName>
    <definedName name="_301w1_" hidden="1">{#N/A,#N/A,FALSE,"신규dep";#N/A,#N/A,FALSE,"신규dep-금형상각후";#N/A,#N/A,FALSE,"신규dep-연구비상각후";#N/A,#N/A,FALSE,"신규dep-기계,공구상각후"}</definedName>
    <definedName name="_301W5_" hidden="1">{#N/A,#N/A,FALSE,"KMC최종회의(7월) 자료"}</definedName>
    <definedName name="_301W8_" hidden="1">{#N/A,#N/A,FALSE,"KMC최종회의(7월) 자료"}</definedName>
    <definedName name="_301X2_" hidden="1">{#N/A,#N/A,FALSE,"KMC최종회의(7월) 자료"}</definedName>
    <definedName name="_301X3_" hidden="1">{#N/A,#N/A,FALSE,"KMC최종회의(7월) 자료"}</definedName>
    <definedName name="_301X3__1" hidden="1">{#N/A,#N/A,FALSE,"KMC최종회의(7월) 자료"}</definedName>
    <definedName name="_301X8_" hidden="1">{#N/A,#N/A,FALSE,"KMC최종회의(7월) 자료"}</definedName>
    <definedName name="_301Z3_" hidden="1">{#N/A,#N/A,FALSE,"KMC최종회의(7월) 자료"}</definedName>
    <definedName name="_3028__0_S" hidden="1">#REF!</definedName>
    <definedName name="_3029__0_S" hidden="1">#REF!</definedName>
    <definedName name="_302H1620_" hidden="1">{#N/A,#N/A,FALSE,"단축1";#N/A,#N/A,FALSE,"단축2";#N/A,#N/A,FALSE,"단축3";#N/A,#N/A,FALSE,"장축";#N/A,#N/A,FALSE,"4WD"}</definedName>
    <definedName name="_302W7_" hidden="1">{#N/A,#N/A,FALSE,"KMC최종회의(7월) 자료"}</definedName>
    <definedName name="_302X4_" hidden="1">{#N/A,#N/A,FALSE,"KMC최종회의(7월) 자료"}</definedName>
    <definedName name="_302Z4_" hidden="1">{#N/A,#N/A,FALSE,"KMC최종회의(7월) 자료"}</definedName>
    <definedName name="_303T2_" hidden="1">{#N/A,#N/A,FALSE,"단축1";#N/A,#N/A,FALSE,"단축2";#N/A,#N/A,FALSE,"단축3";#N/A,#N/A,FALSE,"장축";#N/A,#N/A,FALSE,"4WD"}</definedName>
    <definedName name="_303W4_" hidden="1">{#N/A,#N/A,FALSE,"KMC최종회의(7월) 자료"}</definedName>
    <definedName name="_303X3_" hidden="1">{#N/A,#N/A,FALSE,"KMC최종회의(7월) 자료"}</definedName>
    <definedName name="_303X3__1" hidden="1">{#N/A,#N/A,FALSE,"KMC최종회의(7월) 자료"}</definedName>
    <definedName name="_303Z2_" hidden="1">{#N/A,#N/A,FALSE,"KMC최종회의(7월) 자료"}</definedName>
    <definedName name="_303Z7_" hidden="1">{#N/A,#N/A,FALSE,"KMC최종회의(7월) 자료"}</definedName>
    <definedName name="_304H20_" hidden="1">{#N/A,#N/A,FALSE,"단축1";#N/A,#N/A,FALSE,"단축2";#N/A,#N/A,FALSE,"단축3";#N/A,#N/A,FALSE,"장축";#N/A,#N/A,FALSE,"4WD"}</definedName>
    <definedName name="_304Ń飼Ń__餄Ń000000000" hidden="1">#REF!</definedName>
    <definedName name="_304W2_" hidden="1">{#N/A,#N/A,FALSE,"KMC최종회의(7월) 자료"}</definedName>
    <definedName name="_304W4_" hidden="1">{#N/A,#N/A,FALSE,"KMC최종회의(7월) 자료"}</definedName>
    <definedName name="_305P21_" hidden="1">{#N/A,#N/A,FALSE,"단축1";#N/A,#N/A,FALSE,"단축2";#N/A,#N/A,FALSE,"단축3";#N/A,#N/A,FALSE,"장축";#N/A,#N/A,FALSE,"4WD"}</definedName>
    <definedName name="_305Q5_" hidden="1">{#N/A,#N/A,FALSE,"KMC최종회의(7월) 자료"}</definedName>
    <definedName name="_305S2_" hidden="1">{#N/A,#N/A,FALSE,"KMC최종회의(7월) 자료"}</definedName>
    <definedName name="_305s6_" hidden="1">{#N/A,#N/A,FALSE,"신규dep";#N/A,#N/A,FALSE,"신규dep-금형상각후";#N/A,#N/A,FALSE,"신규dep-연구비상각후";#N/A,#N/A,FALSE,"신규dep-기계,공구상각후"}</definedName>
    <definedName name="_305W8_" hidden="1">{#N/A,#N/A,FALSE,"KMC최종회의(7월) 자료"}</definedName>
    <definedName name="_305X1_" hidden="1">{#N/A,#N/A,FALSE,"KMC최종회의(7월) 자료"}</definedName>
    <definedName name="_305X3_" hidden="1">{#N/A,#N/A,FALSE,"KMC최종회의(7월) 자료"}</definedName>
    <definedName name="_305z123_" hidden="1">{#N/A,#N/A,FALSE,"단축1";#N/A,#N/A,FALSE,"단축2";#N/A,#N/A,FALSE,"단축3";#N/A,#N/A,FALSE,"장축";#N/A,#N/A,FALSE,"4WD"}</definedName>
    <definedName name="_305Z6_" hidden="1">{#N/A,#N/A,FALSE,"KMC최종회의(7월) 자료"}</definedName>
    <definedName name="_305Z8_" hidden="1">{#N/A,#N/A,FALSE,"KMC최종회의(7월) 자료"}</definedName>
    <definedName name="_306HP02_" hidden="1">{#N/A,#N/A,FALSE,"단축1";#N/A,#N/A,FALSE,"단축2";#N/A,#N/A,FALSE,"단축3";#N/A,#N/A,FALSE,"장축";#N/A,#N/A,FALSE,"4WD"}</definedName>
    <definedName name="_306T3_" hidden="1">{#N/A,#N/A,FALSE,"단축1";#N/A,#N/A,FALSE,"단축2";#N/A,#N/A,FALSE,"단축3";#N/A,#N/A,FALSE,"장축";#N/A,#N/A,FALSE,"4WD"}</definedName>
    <definedName name="_306X4_" hidden="1">{#N/A,#N/A,FALSE,"KMC최종회의(7월) 자료"}</definedName>
    <definedName name="_306X8_" hidden="1">{#N/A,#N/A,FALSE,"KMC최종회의(7월) 자료"}</definedName>
    <definedName name="_306y45546_" hidden="1">{"'7-2지역별'!$A$1:$R$44"}</definedName>
    <definedName name="_306Z4_" hidden="1">{#N/A,#N/A,FALSE,"KMC최종회의(7월) 자료"}</definedName>
    <definedName name="_306Z5_" hidden="1">{#N/A,#N/A,FALSE,"KMC최종회의(7월) 자료"}</definedName>
    <definedName name="_306Z8_" hidden="1">{#N/A,#N/A,FALSE,"KMC최종회의(7월) 자료"}</definedName>
    <definedName name="_307DR1_" hidden="1">{#N/A,#N/A,FALSE,"업체선정";#N/A,#N/A,FALSE,"업체선정sheet";#N/A,#N/A,FALSE,"업체실태";#N/A,#N/A,FALSE,"업체실태(1)";#N/A,#N/A,FALSE,"종업원현황(2)";#N/A,#N/A,FALSE,"생산품목(3)";#N/A,#N/A,FALSE,"장비보유현황";#N/A,#N/A,FALSE,"차량및약도";#N/A,#N/A,FALSE,"금형LIST"}</definedName>
    <definedName name="_307Ń飴Ń0_餄Ń000000000" hidden="1">#REF!</definedName>
    <definedName name="_307q1_" hidden="1">{#N/A,#N/A,FALSE,"단축1";#N/A,#N/A,FALSE,"단축2";#N/A,#N/A,FALSE,"단축3";#N/A,#N/A,FALSE,"장축";#N/A,#N/A,FALSE,"4WD"}</definedName>
    <definedName name="_307q1__1" hidden="1">{#N/A,#N/A,FALSE,"단축1";#N/A,#N/A,FALSE,"단축2";#N/A,#N/A,FALSE,"단축3";#N/A,#N/A,FALSE,"장축";#N/A,#N/A,FALSE,"4WD"}</definedName>
    <definedName name="_307W9_" hidden="1">{#N/A,#N/A,FALSE,"KMC최종회의(7월) 자료"}</definedName>
    <definedName name="_307Z1_" hidden="1">{#N/A,#N/A,FALSE,"KMC최종회의(7월) 자료"}</definedName>
    <definedName name="_307Z3_" hidden="1">{#N/A,#N/A,FALSE,"KMC최종회의(7월) 자료"}</definedName>
    <definedName name="_307Z8_" hidden="1">{#N/A,#N/A,FALSE,"KMC최종회의(7월) 자료"}</definedName>
    <definedName name="_308HP2_" hidden="1">{#N/A,#N/A,FALSE,"단축1";#N/A,#N/A,FALSE,"단축2";#N/A,#N/A,FALSE,"단축3";#N/A,#N/A,FALSE,"장축";#N/A,#N/A,FALSE,"4WD"}</definedName>
    <definedName name="_308w3_" hidden="1">{#N/A,#N/A,FALSE,"신규dep";#N/A,#N/A,FALSE,"신규dep-금형상각후";#N/A,#N/A,FALSE,"신규dep-연구비상각후";#N/A,#N/A,FALSE,"신규dep-기계,공구상각후"}</definedName>
    <definedName name="_308W6_" hidden="1">{#N/A,#N/A,FALSE,"KMC최종회의(7월) 자료"}</definedName>
    <definedName name="_308W9_" hidden="1">{#N/A,#N/A,FALSE,"KMC최종회의(7월) 자료"}</definedName>
    <definedName name="_308X1_" hidden="1">{#N/A,#N/A,FALSE,"KMC최종회의(7월) 자료"}</definedName>
    <definedName name="_308X4_" hidden="1">{#N/A,#N/A,FALSE,"KMC최종회의(7월) 자료"}</definedName>
    <definedName name="_308X4__1" hidden="1">{#N/A,#N/A,FALSE,"KMC최종회의(7월) 자료"}</definedName>
    <definedName name="_308Z1_" hidden="1">{#N/A,#N/A,FALSE,"KMC최종회의(7월) 자료"}</definedName>
    <definedName name="_308Z2_" hidden="1">{#N/A,#N/A,FALSE,"KMC최종회의(7월) 자료"}</definedName>
    <definedName name="_309T5_" hidden="1">{#N/A,#N/A,FALSE,"단축1";#N/A,#N/A,FALSE,"단축2";#N/A,#N/A,FALSE,"단축3";#N/A,#N/A,FALSE,"장축";#N/A,#N/A,FALSE,"4WD"}</definedName>
    <definedName name="_309W3_" hidden="1">{#N/A,#N/A,FALSE,"KMC최종회의(7월) 자료"}</definedName>
    <definedName name="_309X4_" hidden="1">{#N/A,#N/A,FALSE,"KMC최종회의(7월) 자료"}</definedName>
    <definedName name="_309X4__1" hidden="1">{#N/A,#N/A,FALSE,"KMC최종회의(7월) 자료"}</definedName>
    <definedName name="_309Z3_" hidden="1">{#N/A,#N/A,FALSE,"KMC최종회의(7월) 자료"}</definedName>
    <definedName name="_30A1232_" hidden="1">{#N/A,#N/A,FALSE,"단축1";#N/A,#N/A,FALSE,"단축2";#N/A,#N/A,FALSE,"단축3";#N/A,#N/A,FALSE,"장축";#N/A,#N/A,FALSE,"4WD"}</definedName>
    <definedName name="_30A1454_" hidden="1">{#N/A,#N/A,FALSE,"단축1";#N/A,#N/A,FALSE,"단축2";#N/A,#N/A,FALSE,"단축3";#N/A,#N/A,FALSE,"장축";#N/A,#N/A,FALSE,"4WD"}</definedName>
    <definedName name="_30A2_" hidden="1">{#N/A,#N/A,FALSE,"신규dep";#N/A,#N/A,FALSE,"신규dep-금형상각후";#N/A,#N/A,FALSE,"신규dep-연구비상각후";#N/A,#N/A,FALSE,"신규dep-기계,공구상각후"}</definedName>
    <definedName name="_30A2__1" hidden="1">{#N/A,#N/A,FALSE,"신규dep";#N/A,#N/A,FALSE,"신규dep-금형상각후";#N/A,#N/A,FALSE,"신규dep-연구비상각후";#N/A,#N/A,FALSE,"신규dep-기계,공구상각후"}</definedName>
    <definedName name="_30A3_" hidden="1">{#N/A,#N/A,FALSE,"단축1";#N/A,#N/A,FALSE,"단축2";#N/A,#N/A,FALSE,"단축3";#N/A,#N/A,FALSE,"장축";#N/A,#N/A,FALSE,"4WD"}</definedName>
    <definedName name="_30A4_" hidden="1">{#N/A,#N/A,FALSE,"KMC최종회의(7월) 자료"}</definedName>
    <definedName name="_30A5_" hidden="1">{#N/A,#N/A,FALSE,"KMC최종회의(7월) 자료"}</definedName>
    <definedName name="_30A6_" hidden="1">{#N/A,#N/A,FALSE,"KMC최종회의(7월) 자료"}</definedName>
    <definedName name="_30A7_" hidden="1">{#N/A,#N/A,FALSE,"KMC최종회의(7월) 자료"}</definedName>
    <definedName name="_30A8_" hidden="1">{#N/A,#N/A,FALSE,"KMC최종회의(7월) 자료"}</definedName>
    <definedName name="_30A9_" hidden="1">{#N/A,#N/A,FALSE,"KMC최종회의(7월) 자료"}</definedName>
    <definedName name="_30A9__1" hidden="1">{#N/A,#N/A,FALSE,"KMC최종회의(7월) 자료"}</definedName>
    <definedName name="_30d1_" hidden="1">{#N/A,#N/A,FALSE,"신규dep";#N/A,#N/A,FALSE,"신규dep-금형상각후";#N/A,#N/A,FALSE,"신규dep-연구비상각후";#N/A,#N/A,FALSE,"신규dep-기계,공구상각후"}</definedName>
    <definedName name="_30DB777_" hidden="1">{#N/A,#N/A,TRUE,"Y생산";#N/A,#N/A,TRUE,"Y판매";#N/A,#N/A,TRUE,"Y총물량";#N/A,#N/A,TRUE,"Y능력";#N/A,#N/A,TRUE,"YKD"}</definedName>
    <definedName name="_30E1_" hidden="1">{#N/A,#N/A,FALSE,"KMC최종회의(7월) 자료"}</definedName>
    <definedName name="_30E2_" hidden="1">{#N/A,#N/A,FALSE,"KMC최종회의(7월) 자료"}</definedName>
    <definedName name="_30EO2_" hidden="1">{#N/A,#N/A,FALSE,"신규dep";#N/A,#N/A,FALSE,"신규dep-금형상각후";#N/A,#N/A,FALSE,"신규dep-연구비상각후";#N/A,#N/A,FALSE,"신규dep-기계,공구상각후"}</definedName>
    <definedName name="_30FG1_" hidden="1">{#N/A,#N/A,FALSE,"단축1";#N/A,#N/A,FALSE,"단축2";#N/A,#N/A,FALSE,"단축3";#N/A,#N/A,FALSE,"장축";#N/A,#N/A,FALSE,"4WD"}</definedName>
    <definedName name="_30h1_" hidden="1">{"'표지'!$B$5"}</definedName>
    <definedName name="_30H1620_" hidden="1">{#N/A,#N/A,FALSE,"단축1";#N/A,#N/A,FALSE,"단축2";#N/A,#N/A,FALSE,"단축3";#N/A,#N/A,FALSE,"장축";#N/A,#N/A,FALSE,"4WD"}</definedName>
    <definedName name="_30h5_" hidden="1">{"'표지'!$B$5"}</definedName>
    <definedName name="_30k8_" hidden="1">{#N/A,#N/A,FALSE,"단축1";#N/A,#N/A,FALSE,"단축2";#N/A,#N/A,FALSE,"단축3";#N/A,#N/A,FALSE,"장축";#N/A,#N/A,FALSE,"4WD"}</definedName>
    <definedName name="_30k9_" hidden="1">{#N/A,#N/A,FALSE,"단축1";#N/A,#N/A,FALSE,"단축2";#N/A,#N/A,FALSE,"단축3";#N/A,#N/A,FALSE,"장축";#N/A,#N/A,FALSE,"4WD"}</definedName>
    <definedName name="_30O11_" hidden="1">{#N/A,#N/A,FALSE,"단축1";#N/A,#N/A,FALSE,"단축2";#N/A,#N/A,FALSE,"단축3";#N/A,#N/A,FALSE,"장축";#N/A,#N/A,FALSE,"4WD"}</definedName>
    <definedName name="_30P21_" hidden="1">{#N/A,#N/A,FALSE,"단축1";#N/A,#N/A,FALSE,"단축2";#N/A,#N/A,FALSE,"단축3";#N/A,#N/A,FALSE,"장축";#N/A,#N/A,FALSE,"4WD"}</definedName>
    <definedName name="_30Q1_" hidden="1">{#N/A,#N/A,FALSE,"KMC최종회의(7월) 자료"}</definedName>
    <definedName name="_30Q2_" hidden="1">{#N/A,#N/A,FALSE,"KMC최종회의(7월) 자료"}</definedName>
    <definedName name="_30Q3_" hidden="1">{#N/A,#N/A,FALSE,"KMC최종회의(7월) 자료"}</definedName>
    <definedName name="_30Q5_" hidden="1">{#N/A,#N/A,FALSE,"KMC최종회의(7월) 자료"}</definedName>
    <definedName name="_30Q8_" hidden="1">{#N/A,#N/A,FALSE,"KMC최종회의(7월) 자료"}</definedName>
    <definedName name="_30Q9_" hidden="1">{#N/A,#N/A,FALSE,"KMC최종회의(7월) 자료"}</definedName>
    <definedName name="_30S1_" hidden="1">{#N/A,#N/A,FALSE,"KMC최종회의(7월) 자료"}</definedName>
    <definedName name="_30S2_" hidden="1">{#N/A,#N/A,FALSE,"KMC최종회의(7월) 자료"}</definedName>
    <definedName name="_30S3_" hidden="1">{#N/A,#N/A,FALSE,"KMC최종회의(7월) 자료"}</definedName>
    <definedName name="_30S4_" hidden="1">{#N/A,#N/A,FALSE,"KMC최종회의(7월) 자료"}</definedName>
    <definedName name="_30S5_" hidden="1">{#N/A,#N/A,FALSE,"KMC최종회의(7월) 자료"}</definedName>
    <definedName name="_30S6_" hidden="1">{#N/A,#N/A,FALSE,"KMC최종회의(7월) 자료"}</definedName>
    <definedName name="_30S7_" hidden="1">{#N/A,#N/A,FALSE,"KMC최종회의(7월) 자료"}</definedName>
    <definedName name="_30S8_" hidden="1">{#N/A,#N/A,FALSE,"KMC최종회의(7월) 자료"}</definedName>
    <definedName name="_30S8__1" hidden="1">{#N/A,#N/A,FALSE,"KMC최종회의(7월) 자료"}</definedName>
    <definedName name="_30T5_" hidden="1">{#N/A,#N/A,FALSE,"단축1";#N/A,#N/A,FALSE,"단축2";#N/A,#N/A,FALSE,"단축3";#N/A,#N/A,FALSE,"장축";#N/A,#N/A,FALSE,"4WD"}</definedName>
    <definedName name="_30W1_" hidden="1">{#N/A,#N/A,FALSE,"KMC최종회의(7월) 자료"}</definedName>
    <definedName name="_30W2_" hidden="1">{#N/A,#N/A,FALSE,"KMC최종회의(7월) 자료"}</definedName>
    <definedName name="_30W3_" hidden="1">{#N/A,#N/A,FALSE,"KMC최종회의(7월) 자료"}</definedName>
    <definedName name="_30W4_" hidden="1">{#N/A,#N/A,FALSE,"KMC최종회의(7월) 자료"}</definedName>
    <definedName name="_30W4__1" hidden="1">{#N/A,#N/A,FALSE,"KMC최종회의(7월) 자료"}</definedName>
    <definedName name="_30W5_" hidden="1">{#N/A,#N/A,FALSE,"KMC최종회의(7월) 자료"}</definedName>
    <definedName name="_30W5__1" hidden="1">{#N/A,#N/A,FALSE,"KMC최종회의(7월) 자료"}</definedName>
    <definedName name="_30Z8_" hidden="1">{#N/A,#N/A,FALSE,"KMC최종회의(7월) 자료"}</definedName>
    <definedName name="_31__123Graph_AC04C_FF_T" hidden="1">#REF!</definedName>
    <definedName name="_31__123Graph_XC04C_FR_T1" hidden="1">#REF!</definedName>
    <definedName name="_31__0_S" hidden="1">#REF!</definedName>
    <definedName name="_310K1_" hidden="1">{#N/A,#N/A,FALSE,"인원";#N/A,#N/A,FALSE,"비용2";#N/A,#N/A,FALSE,"비용1";#N/A,#N/A,FALSE,"비용";#N/A,#N/A,FALSE,"보증2";#N/A,#N/A,FALSE,"보증1";#N/A,#N/A,FALSE,"보증";#N/A,#N/A,FALSE,"손익1";#N/A,#N/A,FALSE,"손익";#N/A,#N/A,FALSE,"부서별매출";#N/A,#N/A,FALSE,"매출"}</definedName>
    <definedName name="_310Q54_" hidden="1">{#N/A,#N/A,FALSE,"단축1";#N/A,#N/A,FALSE,"단축2";#N/A,#N/A,FALSE,"단축3";#N/A,#N/A,FALSE,"장축";#N/A,#N/A,FALSE,"4WD"}</definedName>
    <definedName name="_310s7_" hidden="1">{#N/A,#N/A,FALSE,"신규dep";#N/A,#N/A,FALSE,"신규dep-금형상각후";#N/A,#N/A,FALSE,"신규dep-연구비상각후";#N/A,#N/A,FALSE,"신규dep-기계,공구상각후"}</definedName>
    <definedName name="_310Z2_" hidden="1">{#N/A,#N/A,FALSE,"KMC최종회의(7월) 자료"}</definedName>
    <definedName name="_310Z4_" hidden="1">{#N/A,#N/A,FALSE,"KMC최종회의(7월) 자료"}</definedName>
    <definedName name="_310Z6_" hidden="1">{#N/A,#N/A,FALSE,"KMC최종회의(7월) 자료"}</definedName>
    <definedName name="_310Z7_" hidden="1">{#N/A,#N/A,FALSE,"KMC최종회의(7월) 자료"}</definedName>
    <definedName name="_310Z9_" hidden="1">{#N/A,#N/A,FALSE,"KMC최종회의(7월) 자료"}</definedName>
    <definedName name="_311A7_" hidden="1">{#N/A,#N/A,FALSE,"KMC최종회의(7월) 자료"}</definedName>
    <definedName name="_311W5_" hidden="1">{#N/A,#N/A,FALSE,"KMC최종회의(7월) 자료"}</definedName>
    <definedName name="_311X1_" hidden="1">{#N/A,#N/A,FALSE,"KMC최종회의(7월) 자료"}</definedName>
    <definedName name="_311Z4_" hidden="1">{#N/A,#N/A,FALSE,"KMC최종회의(7월) 자료"}</definedName>
    <definedName name="_311Z5_" hidden="1">{#N/A,#N/A,FALSE,"KMC최종회의(7월) 자료"}</definedName>
    <definedName name="_311Z9_" hidden="1">{#N/A,#N/A,FALSE,"KMC최종회의(7월) 자료"}</definedName>
    <definedName name="_312____S" hidden="1">#REF!</definedName>
    <definedName name="_312K115_" hidden="1">{#N/A,#N/A,FALSE,"인원";#N/A,#N/A,FALSE,"비용2";#N/A,#N/A,FALSE,"비용1";#N/A,#N/A,FALSE,"비용";#N/A,#N/A,FALSE,"보증2";#N/A,#N/A,FALSE,"보증1";#N/A,#N/A,FALSE,"보증";#N/A,#N/A,FALSE,"손익1";#N/A,#N/A,FALSE,"손익";#N/A,#N/A,FALSE,"부서별매출";#N/A,#N/A,FALSE,"매출"}</definedName>
    <definedName name="_312S8_" hidden="1">{#N/A,#N/A,FALSE,"KMC최종회의(7월) 자료"}</definedName>
    <definedName name="_312X2_" hidden="1">{#N/A,#N/A,FALSE,"KMC최종회의(7월) 자료"}</definedName>
    <definedName name="_312X5_" hidden="1">{#N/A,#N/A,FALSE,"KMC최종회의(7월) 자료"}</definedName>
    <definedName name="_312Z6_" hidden="1">{#N/A,#N/A,FALSE,"KMC최종회의(7월) 자료"}</definedName>
    <definedName name="_312Z9_" hidden="1">{#N/A,#N/A,FALSE,"KMC최종회의(7월) 자료"}</definedName>
    <definedName name="_313EO2_" hidden="1">{#N/A,#N/A,FALSE,"신규dep";#N/A,#N/A,FALSE,"신규dep-금형상각후";#N/A,#N/A,FALSE,"신규dep-연구비상각후";#N/A,#N/A,FALSE,"신규dep-기계,공구상각후"}</definedName>
    <definedName name="_313X1_" hidden="1">{#N/A,#N/A,FALSE,"KMC최종회의(7월) 자료"}</definedName>
    <definedName name="_313X5_" hidden="1">{#N/A,#N/A,FALSE,"KMC최종회의(7월) 자료"}</definedName>
    <definedName name="_313Z7_" hidden="1">{#N/A,#N/A,FALSE,"KMC최종회의(7월) 자료"}</definedName>
    <definedName name="_314__0_S" hidden="1">#REF!</definedName>
    <definedName name="_314S3_" hidden="1">{#N/A,#N/A,FALSE,"KMC최종회의(7월) 자료"}</definedName>
    <definedName name="_314W4_" hidden="1">{#N/A,#N/A,FALSE,"KMC최종회의(7월) 자료"}</definedName>
    <definedName name="_314X2_" hidden="1">{#N/A,#N/A,FALSE,"KMC최종회의(7월) 자료"}</definedName>
    <definedName name="_314Z7_" hidden="1">{#N/A,#N/A,FALSE,"KMC최종회의(7월) 자료"}</definedName>
    <definedName name="_314Z8_" hidden="1">{#N/A,#N/A,FALSE,"KMC최종회의(7월) 자료"}</definedName>
    <definedName name="_315Q56_" hidden="1">{#N/A,#N/A,FALSE,"단축1";#N/A,#N/A,FALSE,"단축2";#N/A,#N/A,FALSE,"단축3";#N/A,#N/A,FALSE,"장축";#N/A,#N/A,FALSE,"4WD"}</definedName>
    <definedName name="_315s8_" hidden="1">{#N/A,#N/A,FALSE,"신규dep";#N/A,#N/A,FALSE,"신규dep-금형상각후";#N/A,#N/A,FALSE,"신규dep-연구비상각후";#N/A,#N/A,FALSE,"신규dep-기계,공구상각후"}</definedName>
    <definedName name="_315w4_" hidden="1">{#N/A,#N/A,FALSE,"단축1";#N/A,#N/A,FALSE,"단축2";#N/A,#N/A,FALSE,"단축3";#N/A,#N/A,FALSE,"장축";#N/A,#N/A,FALSE,"4WD"}</definedName>
    <definedName name="_315W7_" hidden="1">{#N/A,#N/A,FALSE,"KMC최종회의(7월) 자료"}</definedName>
    <definedName name="_315X5_" hidden="1">{#N/A,#N/A,FALSE,"KMC최종회의(7월) 자료"}</definedName>
    <definedName name="_315X5__1" hidden="1">{#N/A,#N/A,FALSE,"KMC최종회의(7월) 자료"}</definedName>
    <definedName name="_315Z2_" hidden="1">{#N/A,#N/A,FALSE,"KMC최종회의(7월) 자료"}</definedName>
    <definedName name="_315Z3_" hidden="1">{#N/A,#N/A,FALSE,"KMC최종회의(7월) 자료"}</definedName>
    <definedName name="_315Z5_" hidden="1">{#N/A,#N/A,FALSE,"KMC최종회의(7월) 자료"}</definedName>
    <definedName name="_315Z8_" hidden="1">{#N/A,#N/A,FALSE,"KMC최종회의(7월) 자료"}</definedName>
    <definedName name="_315Z9_" hidden="1">{#N/A,#N/A,FALSE,"KMC최종회의(7월) 자료"}</definedName>
    <definedName name="_316____S" hidden="1">#REF!</definedName>
    <definedName name="_316X2_" hidden="1">{#N/A,#N/A,FALSE,"KMC최종회의(7월) 자료"}</definedName>
    <definedName name="_316Z6_" hidden="1">{#N/A,#N/A,FALSE,"KMC최종회의(7월) 자료"}</definedName>
    <definedName name="_317X3_" hidden="1">{#N/A,#N/A,FALSE,"KMC최종회의(7월) 자료"}</definedName>
    <definedName name="_317X6_" hidden="1">{#N/A,#N/A,FALSE,"KMC최종회의(7월) 자료"}</definedName>
    <definedName name="_318____S" hidden="1">#REF!</definedName>
    <definedName name="_318X6_" hidden="1">{#N/A,#N/A,FALSE,"KMC최종회의(7월) 자료"}</definedName>
    <definedName name="_318Z8_" hidden="1">{#N/A,#N/A,FALSE,"KMC최종회의(7월) 자료"}</definedName>
    <definedName name="_319__0_S" hidden="1">#REF!</definedName>
    <definedName name="_319DB777_" hidden="1">{#N/A,#N/A,TRUE,"Y생산";#N/A,#N/A,TRUE,"Y판매";#N/A,#N/A,TRUE,"Y총물량";#N/A,#N/A,TRUE,"Y능력";#N/A,#N/A,TRUE,"YKD"}</definedName>
    <definedName name="_319Q7_" hidden="1">{#N/A,#N/A,FALSE,"KMC최종회의(7월) 자료"}</definedName>
    <definedName name="_319W5_" hidden="1">{#N/A,#N/A,FALSE,"KMC최종회의(7월) 자료"}</definedName>
    <definedName name="_319W6_" hidden="1">{#N/A,#N/A,FALSE,"KMC최종회의(7월) 자료"}</definedName>
    <definedName name="_319X2_" hidden="1">{#N/A,#N/A,FALSE,"KMC최종회의(7월) 자료"}</definedName>
    <definedName name="_319X3_" hidden="1">{#N/A,#N/A,FALSE,"KMC최종회의(7월) 자료"}</definedName>
    <definedName name="_319Z6_" hidden="1">{#N/A,#N/A,FALSE,"KMC최종회의(7월) 자료"}</definedName>
    <definedName name="_31A2_" hidden="1">{#N/A,#N/A,FALSE,"KMC최종회의(7월) 자료"}</definedName>
    <definedName name="_31A2__1" hidden="1">{#N/A,#N/A,FALSE,"신규dep";#N/A,#N/A,FALSE,"신규dep-금형상각후";#N/A,#N/A,FALSE,"신규dep-연구비상각후";#N/A,#N/A,FALSE,"신규dep-기계,공구상각후"}</definedName>
    <definedName name="_31A3_" hidden="1">{#N/A,#N/A,FALSE,"KMC최종회의(7월) 자료"}</definedName>
    <definedName name="_31A4_" hidden="1">{#N/A,#N/A,FALSE,"KMC최종회의(7월) 자료"}</definedName>
    <definedName name="_31A5_" hidden="1">{#N/A,#N/A,FALSE,"KMC최종회의(7월) 자료"}</definedName>
    <definedName name="_31A6_" hidden="1">{#N/A,#N/A,FALSE,"KMC최종회의(7월) 자료"}</definedName>
    <definedName name="_31A6666_" hidden="1">{#N/A,#N/A,FALSE,"KMC최종회의(7월) 자료"}</definedName>
    <definedName name="_31A9_" hidden="1">{#N/A,#N/A,FALSE,"KMC최종회의(7월) 자료"}</definedName>
    <definedName name="_31AA4_" hidden="1">{#N/A,#N/A,FALSE,"신규dep";#N/A,#N/A,FALSE,"신규dep-금형상각후";#N/A,#N/A,FALSE,"신규dep-연구비상각후";#N/A,#N/A,FALSE,"신규dep-기계,공구상각후"}</definedName>
    <definedName name="_31AA4__1" hidden="1">{#N/A,#N/A,FALSE,"신규dep";#N/A,#N/A,FALSE,"신규dep-금형상각후";#N/A,#N/A,FALSE,"신규dep-연구비상각후";#N/A,#N/A,FALSE,"신규dep-기계,공구상각후"}</definedName>
    <definedName name="_31CL22_" hidden="1">{#N/A,#N/A,FALSE,"KMC최종회의(7월) 자료"}</definedName>
    <definedName name="_31CL222_" hidden="1">{#N/A,#N/A,FALSE,"KMC최종회의(7월) 자료"}</definedName>
    <definedName name="_31DA1_" hidden="1">{#N/A,#N/A,FALSE,"단축1";#N/A,#N/A,FALSE,"단축2";#N/A,#N/A,FALSE,"단축3";#N/A,#N/A,FALSE,"장축";#N/A,#N/A,FALSE,"4WD"}</definedName>
    <definedName name="_31E1_" hidden="1">{#N/A,#N/A,FALSE,"KMC최종회의(7월) 자료"}</definedName>
    <definedName name="_31E2_" hidden="1">{#N/A,#N/A,FALSE,"KMC최종회의(7월) 자료"}</definedName>
    <definedName name="_31h2_" hidden="1">{"'표지'!$B$5"}</definedName>
    <definedName name="_31k9_" hidden="1">{#N/A,#N/A,FALSE,"단축1";#N/A,#N/A,FALSE,"단축2";#N/A,#N/A,FALSE,"단축3";#N/A,#N/A,FALSE,"장축";#N/A,#N/A,FALSE,"4WD"}</definedName>
    <definedName name="_31M123_" hidden="1">{#N/A,#N/A,FALSE,"단축1";#N/A,#N/A,FALSE,"단축2";#N/A,#N/A,FALSE,"단축3";#N/A,#N/A,FALSE,"장축";#N/A,#N/A,FALSE,"4WD"}</definedName>
    <definedName name="_31P2_" hidden="1">{#N/A,#N/A,FALSE,"단축1";#N/A,#N/A,FALSE,"단축2";#N/A,#N/A,FALSE,"단축3";#N/A,#N/A,FALSE,"장축";#N/A,#N/A,FALSE,"4WD"}</definedName>
    <definedName name="_31Q1_" hidden="1">{#N/A,#N/A,FALSE,"KMC최종회의(7월) 자료"}</definedName>
    <definedName name="_31Q3_" hidden="1">{#N/A,#N/A,FALSE,"KMC최종회의(7월) 자료"}</definedName>
    <definedName name="_31Q5_" hidden="1">{#N/A,#N/A,FALSE,"KMC최종회의(7월) 자료"}</definedName>
    <definedName name="_31Q7_" hidden="1">{#N/A,#N/A,FALSE,"KMC최종회의(7월) 자료"}</definedName>
    <definedName name="_31Q9_" hidden="1">{#N/A,#N/A,FALSE,"KMC최종회의(7월) 자료"}</definedName>
    <definedName name="_31S2_" hidden="1">{#N/A,#N/A,FALSE,"KMC최종회의(7월) 자료"}</definedName>
    <definedName name="_31S3_" hidden="1">{#N/A,#N/A,FALSE,"KMC최종회의(7월) 자료"}</definedName>
    <definedName name="_31S4_" hidden="1">{#N/A,#N/A,FALSE,"KMC최종회의(7월) 자료"}</definedName>
    <definedName name="_31S5_" hidden="1">{#N/A,#N/A,FALSE,"KMC최종회의(7월) 자료"}</definedName>
    <definedName name="_31S6_" hidden="1">{#N/A,#N/A,FALSE,"KMC최종회의(7월) 자료"}</definedName>
    <definedName name="_31S7_" hidden="1">{#N/A,#N/A,FALSE,"KMC최종회의(7월) 자료"}</definedName>
    <definedName name="_31S8_" hidden="1">{#N/A,#N/A,FALSE,"KMC최종회의(7월) 자료"}</definedName>
    <definedName name="_31T2_" hidden="1">{#N/A,#N/A,FALSE,"단축1";#N/A,#N/A,FALSE,"단축2";#N/A,#N/A,FALSE,"단축3";#N/A,#N/A,FALSE,"장축";#N/A,#N/A,FALSE,"4WD"}</definedName>
    <definedName name="_31W1_" hidden="1">{#N/A,#N/A,FALSE,"KMC최종회의(7월) 자료"}</definedName>
    <definedName name="_31W1__1" hidden="1">{#N/A,#N/A,FALSE,"KMC최종회의(7월) 자료"}</definedName>
    <definedName name="_31W2_" hidden="1">{#N/A,#N/A,FALSE,"KMC최종회의(7월) 자료"}</definedName>
    <definedName name="_31W3_" hidden="1">{#N/A,#N/A,FALSE,"KMC최종회의(7월) 자료"}</definedName>
    <definedName name="_31W4_" hidden="1">{#N/A,#N/A,FALSE,"KMC최종회의(7월) 자료"}</definedName>
    <definedName name="_31W5_" hidden="1">{#N/A,#N/A,FALSE,"KMC최종회의(7월) 자료"}</definedName>
    <definedName name="_31W5__1" hidden="1">{#N/A,#N/A,FALSE,"KMC최종회의(7월) 자료"}</definedName>
    <definedName name="_31W6_" hidden="1">{#N/A,#N/A,FALSE,"KMC최종회의(7월) 자료"}</definedName>
    <definedName name="_31W6__1" hidden="1">{#N/A,#N/A,FALSE,"KMC최종회의(7월) 자료"}</definedName>
    <definedName name="_31Z9_" hidden="1">{#N/A,#N/A,FALSE,"KMC최종회의(7월) 자료"}</definedName>
    <definedName name="_32__123Graph_AC04C_FF_T" hidden="1">#REF!</definedName>
    <definedName name="_32__123Graph_XC04C_FR_T2" hidden="1">#REF!</definedName>
    <definedName name="_320FG1_" hidden="1">{#N/A,#N/A,FALSE,"단축1";#N/A,#N/A,FALSE,"단축2";#N/A,#N/A,FALSE,"단축3";#N/A,#N/A,FALSE,"장축";#N/A,#N/A,FALSE,"4WD"}</definedName>
    <definedName name="_320P2_" hidden="1">{#N/A,#N/A,FALSE,"단축1";#N/A,#N/A,FALSE,"단축2";#N/A,#N/A,FALSE,"단축3";#N/A,#N/A,FALSE,"장축";#N/A,#N/A,FALSE,"4WD"}</definedName>
    <definedName name="_320T2_" hidden="1">{#N/A,#N/A,FALSE,"단축1";#N/A,#N/A,FALSE,"단축2";#N/A,#N/A,FALSE,"단축3";#N/A,#N/A,FALSE,"장축";#N/A,#N/A,FALSE,"4WD"}</definedName>
    <definedName name="_320W5_" hidden="1">{#N/A,#N/A,FALSE,"KMC최종회의(7월) 자료"}</definedName>
    <definedName name="_320X4_" hidden="1">{#N/A,#N/A,FALSE,"KMC최종회의(7월) 자료"}</definedName>
    <definedName name="_320Z4_" hidden="1">{#N/A,#N/A,FALSE,"KMC최종회의(7월) 자료"}</definedName>
    <definedName name="_320Z9_" hidden="1">{#N/A,#N/A,FALSE,"KMC최종회의(7월) 자료"}</definedName>
    <definedName name="_321__0_S" hidden="1">#REF!</definedName>
    <definedName name="_321X6_" hidden="1">{#N/A,#N/A,FALSE,"KMC최종회의(7월) 자료"}</definedName>
    <definedName name="_321X6__1" hidden="1">{#N/A,#N/A,FALSE,"KMC최종회의(7월) 자료"}</definedName>
    <definedName name="_321X7_" hidden="1">{#N/A,#N/A,FALSE,"KMC최종회의(7월) 자료"}</definedName>
    <definedName name="_321Z7_" hidden="1">{#N/A,#N/A,FALSE,"KMC최종회의(7월) 자료"}</definedName>
    <definedName name="_322G1_" hidden="1">{#N/A,#N/A,FALSE,"단축1";#N/A,#N/A,FALSE,"단축2";#N/A,#N/A,FALSE,"단축3";#N/A,#N/A,FALSE,"장축";#N/A,#N/A,FALSE,"4WD"}</definedName>
    <definedName name="_322q3_" hidden="1">{#N/A,#N/A,FALSE,"단축1";#N/A,#N/A,FALSE,"단축2";#N/A,#N/A,FALSE,"단축3";#N/A,#N/A,FALSE,"장축";#N/A,#N/A,FALSE,"4WD"}</definedName>
    <definedName name="_322q3__1" hidden="1">{#N/A,#N/A,FALSE,"단축1";#N/A,#N/A,FALSE,"단축2";#N/A,#N/A,FALSE,"단축3";#N/A,#N/A,FALSE,"장축";#N/A,#N/A,FALSE,"4WD"}</definedName>
    <definedName name="_322w5_" hidden="1">{#N/A,#N/A,FALSE,"신규dep";#N/A,#N/A,FALSE,"신규dep-금형상각후";#N/A,#N/A,FALSE,"신규dep-연구비상각후";#N/A,#N/A,FALSE,"신규dep-기계,공구상각후"}</definedName>
    <definedName name="_322W8_" hidden="1">{#N/A,#N/A,FALSE,"KMC최종회의(7월) 자료"}</definedName>
    <definedName name="_322X6_" hidden="1">{#N/A,#N/A,FALSE,"KMC최종회의(7월) 자료"}</definedName>
    <definedName name="_322X6__1" hidden="1">{#N/A,#N/A,FALSE,"KMC최종회의(7월) 자료"}</definedName>
    <definedName name="_322Z3_" hidden="1">{#N/A,#N/A,FALSE,"KMC최종회의(7월) 자료"}</definedName>
    <definedName name="_322Z9_" hidden="1">{#N/A,#N/A,FALSE,"KMC최종회의(7월) 자료"}</definedName>
    <definedName name="_323S4_" hidden="1">{#N/A,#N/A,FALSE,"KMC최종회의(7월) 자료"}</definedName>
    <definedName name="_323X5_" hidden="1">{#N/A,#N/A,FALSE,"KMC최종회의(7월) 자료"}</definedName>
    <definedName name="_323Z7_" hidden="1">{#N/A,#N/A,FALSE,"KMC최종회의(7월) 자료"}</definedName>
    <definedName name="_324____S" hidden="1">#REF!</definedName>
    <definedName name="_324Q76_" hidden="1">{#N/A,#N/A,FALSE,"단축1";#N/A,#N/A,FALSE,"단축2";#N/A,#N/A,FALSE,"단축3";#N/A,#N/A,FALSE,"장축";#N/A,#N/A,FALSE,"4WD"}</definedName>
    <definedName name="_324W1_" hidden="1">{#N/A,#N/A,FALSE,"KMC최종회의(7월) 자료"}</definedName>
    <definedName name="_324W6_" hidden="1">{#N/A,#N/A,FALSE,"KMC최종회의(7월) 자료"}</definedName>
    <definedName name="_324X3_" hidden="1">{#N/A,#N/A,FALSE,"KMC최종회의(7월) 자료"}</definedName>
    <definedName name="_324X7_" hidden="1">{#N/A,#N/A,FALSE,"KMC최종회의(7월) 자료"}</definedName>
    <definedName name="_325T3_" hidden="1">{#N/A,#N/A,FALSE,"단축1";#N/A,#N/A,FALSE,"단축2";#N/A,#N/A,FALSE,"단축3";#N/A,#N/A,FALSE,"장축";#N/A,#N/A,FALSE,"4WD"}</definedName>
    <definedName name="_325X3_" hidden="1">{#N/A,#N/A,FALSE,"KMC최종회의(7월) 자료"}</definedName>
    <definedName name="_325X8_" hidden="1">{#N/A,#N/A,FALSE,"KMC최종회의(7월) 자료"}</definedName>
    <definedName name="_325Z5_" hidden="1">{#N/A,#N/A,FALSE,"KMC최종회의(7월) 자료"}</definedName>
    <definedName name="_326X4_" hidden="1">{#N/A,#N/A,FALSE,"KMC최종회의(7월) 자료"}</definedName>
    <definedName name="_326X6_" hidden="1">{#N/A,#N/A,FALSE,"KMC최종회의(7월) 자료"}</definedName>
    <definedName name="_326Z8_" hidden="1">{#N/A,#N/A,FALSE,"KMC최종회의(7월) 자료"}</definedName>
    <definedName name="_327____S" hidden="1">#REF!</definedName>
    <definedName name="_327A8_" hidden="1">{#N/A,#N/A,FALSE,"KMC최종회의(7월) 자료"}</definedName>
    <definedName name="_327W7_" hidden="1">{#N/A,#N/A,FALSE,"KMC최종회의(7월) 자료"}</definedName>
    <definedName name="_327X7_" hidden="1">{#N/A,#N/A,FALSE,"KMC최종회의(7월) 자료"}</definedName>
    <definedName name="_327X7__1" hidden="1">{#N/A,#N/A,FALSE,"KMC최종회의(7월) 자료"}</definedName>
    <definedName name="_327Z8_" hidden="1">{#N/A,#N/A,FALSE,"KMC최종회의(7월) 자료"}</definedName>
    <definedName name="_328Q8_" hidden="1">{#N/A,#N/A,FALSE,"KMC최종회의(7월) 자료"}</definedName>
    <definedName name="_329HL1_" hidden="1">{#N/A,#N/A,FALSE,"단축1";#N/A,#N/A,FALSE,"단축2";#N/A,#N/A,FALSE,"단축3";#N/A,#N/A,FALSE,"장축";#N/A,#N/A,FALSE,"4WD"}</definedName>
    <definedName name="_329T2_" hidden="1">#REF!</definedName>
    <definedName name="_329W7_" hidden="1">{#N/A,#N/A,FALSE,"KMC최종회의(7월) 자료"}</definedName>
    <definedName name="_329W9_" hidden="1">{#N/A,#N/A,FALSE,"KMC최종회의(7월) 자료"}</definedName>
    <definedName name="_329x1_" hidden="1">{#N/A,#N/A,FALSE,"단축1";#N/A,#N/A,FALSE,"단축2";#N/A,#N/A,FALSE,"단축3";#N/A,#N/A,FALSE,"장축";#N/A,#N/A,FALSE,"4WD"}</definedName>
    <definedName name="_329X7_" hidden="1">{#N/A,#N/A,FALSE,"KMC최종회의(7월) 자료"}</definedName>
    <definedName name="_329X7__1" hidden="1">{#N/A,#N/A,FALSE,"KMC최종회의(7월) 자료"}</definedName>
    <definedName name="_329Z1_" hidden="1">{#N/A,#N/A,FALSE,"KMC최종회의(7월) 자료"}</definedName>
    <definedName name="_329Z4_" hidden="1">{#N/A,#N/A,FALSE,"KMC최종회의(7월) 자료"}</definedName>
    <definedName name="_32A1_" hidden="1">{#N/A,#N/A,FALSE,"KMC최종회의(7월) 자료"}</definedName>
    <definedName name="_32A2040_" hidden="1">{#N/A,#N/A,FALSE,"단축1";#N/A,#N/A,FALSE,"단축2";#N/A,#N/A,FALSE,"단축3";#N/A,#N/A,FALSE,"장축";#N/A,#N/A,FALSE,"4WD"}</definedName>
    <definedName name="_32A4_" hidden="1">{#N/A,#N/A,FALSE,"KMC최종회의(7월) 자료"}</definedName>
    <definedName name="_32A6_" hidden="1">{#N/A,#N/A,FALSE,"KMC최종회의(7월) 자료"}</definedName>
    <definedName name="_32A7_" hidden="1">{#N/A,#N/A,FALSE,"KMC최종회의(7월) 자료"}</definedName>
    <definedName name="_32A8_" hidden="1">{#N/A,#N/A,FALSE,"KMC최종회의(7월) 자료"}</definedName>
    <definedName name="_32A9_" hidden="1">{#N/A,#N/A,FALSE,"KMC최종회의(7월) 자료"}</definedName>
    <definedName name="_32CL22_" hidden="1">{#N/A,#N/A,FALSE,"KMC최종회의(7월) 자료"}</definedName>
    <definedName name="_32d2_" hidden="1">{#N/A,#N/A,FALSE,"신규dep";#N/A,#N/A,FALSE,"신규dep-금형상각후";#N/A,#N/A,FALSE,"신규dep-연구비상각후";#N/A,#N/A,FALSE,"신규dep-기계,공구상각후"}</definedName>
    <definedName name="_32E1_" hidden="1">{#N/A,#N/A,FALSE,"KMC최종회의(7월) 자료"}</definedName>
    <definedName name="_32E2_" hidden="1">{#N/A,#N/A,FALSE,"KMC최종회의(7월) 자료"}</definedName>
    <definedName name="_32E45_" hidden="1">{"'7-2지역별'!$A$1:$R$44"}</definedName>
    <definedName name="_32FG1_" hidden="1">{#N/A,#N/A,FALSE,"단축1";#N/A,#N/A,FALSE,"단축2";#N/A,#N/A,FALSE,"단축3";#N/A,#N/A,FALSE,"장축";#N/A,#N/A,FALSE,"4WD"}</definedName>
    <definedName name="_32h1_" hidden="1">{"'표지'!$B$5"}</definedName>
    <definedName name="_32H20_" hidden="1">{#N/A,#N/A,FALSE,"단축1";#N/A,#N/A,FALSE,"단축2";#N/A,#N/A,FALSE,"단축3";#N/A,#N/A,FALSE,"장축";#N/A,#N/A,FALSE,"4WD"}</definedName>
    <definedName name="_32h3_" hidden="1">{"'표지'!$B$5"}</definedName>
    <definedName name="_32HP02_" hidden="1">{#N/A,#N/A,FALSE,"단축1";#N/A,#N/A,FALSE,"단축2";#N/A,#N/A,FALSE,"단축3";#N/A,#N/A,FALSE,"장축";#N/A,#N/A,FALSE,"4WD"}</definedName>
    <definedName name="_32HP2_" hidden="1">{#N/A,#N/A,FALSE,"단축1";#N/A,#N/A,FALSE,"단축2";#N/A,#N/A,FALSE,"단축3";#N/A,#N/A,FALSE,"장축";#N/A,#N/A,FALSE,"4WD"}</definedName>
    <definedName name="_32O11_" hidden="1">{#N/A,#N/A,FALSE,"단축1";#N/A,#N/A,FALSE,"단축2";#N/A,#N/A,FALSE,"단축3";#N/A,#N/A,FALSE,"장축";#N/A,#N/A,FALSE,"4WD"}</definedName>
    <definedName name="_32P2_" hidden="1">{#N/A,#N/A,FALSE,"단축1";#N/A,#N/A,FALSE,"단축2";#N/A,#N/A,FALSE,"단축3";#N/A,#N/A,FALSE,"장축";#N/A,#N/A,FALSE,"4WD"}</definedName>
    <definedName name="_32P3_" hidden="1">{#N/A,#N/A,FALSE,"단축1";#N/A,#N/A,FALSE,"단축2";#N/A,#N/A,FALSE,"단축3";#N/A,#N/A,FALSE,"장축";#N/A,#N/A,FALSE,"4WD"}</definedName>
    <definedName name="_32Q2_" hidden="1">{#N/A,#N/A,FALSE,"KMC최종회의(7월) 자료"}</definedName>
    <definedName name="_32Q5_" hidden="1">{#N/A,#N/A,FALSE,"KMC최종회의(7월) 자료"}</definedName>
    <definedName name="_32Q7_" hidden="1">{#N/A,#N/A,FALSE,"KMC최종회의(7월) 자료"}</definedName>
    <definedName name="_32Q8_" hidden="1">{#N/A,#N/A,FALSE,"KMC최종회의(7월) 자료"}</definedName>
    <definedName name="_32S1_" hidden="1">{#N/A,#N/A,FALSE,"KMC최종회의(7월) 자료"}</definedName>
    <definedName name="_32S3_" hidden="1">{#N/A,#N/A,FALSE,"KMC최종회의(7월) 자료"}</definedName>
    <definedName name="_32S4_" hidden="1">{#N/A,#N/A,FALSE,"KMC최종회의(7월) 자료"}</definedName>
    <definedName name="_32S5_" hidden="1">{#N/A,#N/A,FALSE,"KMC최종회의(7월) 자료"}</definedName>
    <definedName name="_32S6_" hidden="1">{#N/A,#N/A,FALSE,"KMC최종회의(7월) 자료"}</definedName>
    <definedName name="_32S7_" hidden="1">{#N/A,#N/A,FALSE,"KMC최종회의(7월) 자료"}</definedName>
    <definedName name="_32S8_" hidden="1">{#N/A,#N/A,FALSE,"KMC최종회의(7월) 자료"}</definedName>
    <definedName name="_32T2_" hidden="1">{#N/A,#N/A,FALSE,"단축1";#N/A,#N/A,FALSE,"단축2";#N/A,#N/A,FALSE,"단축3";#N/A,#N/A,FALSE,"장축";#N/A,#N/A,FALSE,"4WD"}</definedName>
    <definedName name="_32W1_" hidden="1">{#N/A,#N/A,FALSE,"KMC최종회의(7월) 자료"}</definedName>
    <definedName name="_32W2_" hidden="1">{#N/A,#N/A,FALSE,"KMC최종회의(7월) 자료"}</definedName>
    <definedName name="_32W2__1" hidden="1">{#N/A,#N/A,FALSE,"KMC최종회의(7월) 자료"}</definedName>
    <definedName name="_32W3_" hidden="1">{#N/A,#N/A,FALSE,"KMC최종회의(7월) 자료"}</definedName>
    <definedName name="_32W4_" hidden="1">{#N/A,#N/A,FALSE,"KMC최종회의(7월) 자료"}</definedName>
    <definedName name="_32W5_" hidden="1">{#N/A,#N/A,FALSE,"KMC최종회의(7월) 자료"}</definedName>
    <definedName name="_32W6_" hidden="1">{#N/A,#N/A,FALSE,"KMC최종회의(7월) 자료"}</definedName>
    <definedName name="_32W6__1" hidden="1">{#N/A,#N/A,FALSE,"KMC최종회의(7월) 자료"}</definedName>
    <definedName name="_32W7_" hidden="1">{#N/A,#N/A,FALSE,"KMC최종회의(7월) 자료"}</definedName>
    <definedName name="_32W7__1" hidden="1">{#N/A,#N/A,FALSE,"KMC최종회의(7월) 자료"}</definedName>
    <definedName name="_33__123Graph_ACHART_3" hidden="1">#REF!</definedName>
    <definedName name="_33__123Graph_XVALVE_BORE" hidden="1">#REF!</definedName>
    <definedName name="_33__0_S" hidden="1">#REF!</definedName>
    <definedName name="_330T5_" hidden="1">{#N/A,#N/A,FALSE,"단축1";#N/A,#N/A,FALSE,"단축2";#N/A,#N/A,FALSE,"단축3";#N/A,#N/A,FALSE,"장축";#N/A,#N/A,FALSE,"4WD"}</definedName>
    <definedName name="_330X8_" hidden="1">{#N/A,#N/A,FALSE,"KMC최종회의(7월) 자료"}</definedName>
    <definedName name="_330Z6_" hidden="1">{#N/A,#N/A,FALSE,"KMC최종회의(7월) 자료"}</definedName>
    <definedName name="_331__0_S" hidden="1">#REF!</definedName>
    <definedName name="_331HL2_" hidden="1">{#N/A,#N/A,FALSE,"단축1";#N/A,#N/A,FALSE,"단축2";#N/A,#N/A,FALSE,"단축3";#N/A,#N/A,FALSE,"장축";#N/A,#N/A,FALSE,"4WD"}</definedName>
    <definedName name="_331X4_" hidden="1">{#N/A,#N/A,FALSE,"KMC최종회의(7월) 자료"}</definedName>
    <definedName name="_331Z9_" hidden="1">{#N/A,#N/A,FALSE,"KMC최종회의(7월) 자료"}</definedName>
    <definedName name="_332Q9_" hidden="1">{#N/A,#N/A,FALSE,"KMC최종회의(7월) 자료"}</definedName>
    <definedName name="_332S5_" hidden="1">{#N/A,#N/A,FALSE,"KMC최종회의(7월) 자료"}</definedName>
    <definedName name="_332X4_" hidden="1">{#N/A,#N/A,FALSE,"KMC최종회의(7월) 자료"}</definedName>
    <definedName name="_332X8_" hidden="1">{#N/A,#N/A,FALSE,"KMC최종회의(7월) 자료"}</definedName>
    <definedName name="_333____S" hidden="1">#REF!</definedName>
    <definedName name="_333__0_S" hidden="1">#REF!</definedName>
    <definedName name="_333HL3_" hidden="1">{#N/A,#N/A,TRUE,"Y생산";#N/A,#N/A,TRUE,"Y판매";#N/A,#N/A,TRUE,"Y총물량";#N/A,#N/A,TRUE,"Y능력";#N/A,#N/A,TRUE,"YKD"}</definedName>
    <definedName name="_333s1_" hidden="1">{#N/A,#N/A,TRUE,"매출진척-1";#N/A,#N/A,TRUE,"매출진척-2";#N/A,#N/A,TRUE,"제품실적";#N/A,#N/A,TRUE,"RAC";#N/A,#N/A,TRUE,"PAC ";#N/A,#N/A,TRUE,"재고현황";#N/A,#N/A,TRUE,"공지사항"}</definedName>
    <definedName name="_333T2_" hidden="1">{#N/A,#N/A,FALSE,"단축1";#N/A,#N/A,FALSE,"단축2";#N/A,#N/A,FALSE,"단축3";#N/A,#N/A,FALSE,"장축";#N/A,#N/A,FALSE,"4WD"}</definedName>
    <definedName name="_333X5_" hidden="1">{#N/A,#N/A,FALSE,"KMC최종회의(7월) 자료"}</definedName>
    <definedName name="_333X8_" hidden="1">{#N/A,#N/A,FALSE,"KMC최종회의(7월) 자료"}</definedName>
    <definedName name="_333X8__1" hidden="1">{#N/A,#N/A,FALSE,"KMC최종회의(7월) 자료"}</definedName>
    <definedName name="_333Z2_" hidden="1">{#N/A,#N/A,FALSE,"KMC최종회의(7월) 자료"}</definedName>
    <definedName name="_334________0_S" hidden="1">#REF!</definedName>
    <definedName name="_334W8_" hidden="1">{#N/A,#N/A,FALSE,"KMC최종회의(7월) 자료"}</definedName>
    <definedName name="_335__0_S" hidden="1">#REF!</definedName>
    <definedName name="_335HP02_" hidden="1">{#N/A,#N/A,FALSE,"단축1";#N/A,#N/A,FALSE,"단축2";#N/A,#N/A,FALSE,"단축3";#N/A,#N/A,FALSE,"장축";#N/A,#N/A,FALSE,"4WD"}</definedName>
    <definedName name="_335W8_" hidden="1">{#N/A,#N/A,FALSE,"KMC최종회의(7월) 자료"}</definedName>
    <definedName name="_335Z1_" hidden="1">{#N/A,#N/A,FALSE,"KMC최종회의(7월) 자료"}</definedName>
    <definedName name="_335Z7_" hidden="1">{#N/A,#N/A,FALSE,"KMC최종회의(7월) 자료"}</definedName>
    <definedName name="_336T3_" hidden="1">{#N/A,#N/A,FALSE,"단축1";#N/A,#N/A,FALSE,"단축2";#N/A,#N/A,FALSE,"단축3";#N/A,#N/A,FALSE,"장축";#N/A,#N/A,FALSE,"4WD"}</definedName>
    <definedName name="_336W2_" hidden="1">{#N/A,#N/A,FALSE,"KMC최종회의(7월) 자료"}</definedName>
    <definedName name="_336W6_" hidden="1">{#N/A,#N/A,FALSE,"KMC최종회의(7월) 자료"}</definedName>
    <definedName name="_336X1_" hidden="1">{#N/A,#N/A,FALSE,"KMC최종회의(7월) 자료"}</definedName>
    <definedName name="_336x2_" hidden="1">{#N/A,#N/A,FALSE,"단축1";#N/A,#N/A,FALSE,"단축2";#N/A,#N/A,FALSE,"단축3";#N/A,#N/A,FALSE,"장축";#N/A,#N/A,FALSE,"4WD"}</definedName>
    <definedName name="_336X8_" hidden="1">{#N/A,#N/A,FALSE,"KMC최종회의(7월) 자료"}</definedName>
    <definedName name="_336X8__1" hidden="1">{#N/A,#N/A,FALSE,"KMC최종회의(7월) 자료"}</definedName>
    <definedName name="_336Z1_" hidden="1">{#N/A,#N/A,FALSE,"KMC최종회의(7월) 자료"}</definedName>
    <definedName name="_336Z5_" hidden="1">{#N/A,#N/A,FALSE,"KMC최종회의(7월) 자료"}</definedName>
    <definedName name="_337HP2_" hidden="1">{#N/A,#N/A,FALSE,"단축1";#N/A,#N/A,FALSE,"단축2";#N/A,#N/A,FALSE,"단축3";#N/A,#N/A,FALSE,"장축";#N/A,#N/A,FALSE,"4WD"}</definedName>
    <definedName name="_337q5_" hidden="1">{#N/A,#N/A,FALSE,"신규dep";#N/A,#N/A,FALSE,"신규dep-금형상각후";#N/A,#N/A,FALSE,"신규dep-연구비상각후";#N/A,#N/A,FALSE,"신규dep-기계,공구상각후"}</definedName>
    <definedName name="_337q5__1" hidden="1">{#N/A,#N/A,FALSE,"신규dep";#N/A,#N/A,FALSE,"신규dep-금형상각후";#N/A,#N/A,FALSE,"신규dep-연구비상각후";#N/A,#N/A,FALSE,"신규dep-기계,공구상각후"}</definedName>
    <definedName name="_337S12_" hidden="1">{#N/A,#N/A,FALSE,"단축1";#N/A,#N/A,FALSE,"단축2";#N/A,#N/A,FALSE,"단축3";#N/A,#N/A,FALSE,"장축";#N/A,#N/A,FALSE,"4WD"}</definedName>
    <definedName name="_337w1_" hidden="1">{#N/A,#N/A,FALSE,"신규dep";#N/A,#N/A,FALSE,"신규dep-금형상각후";#N/A,#N/A,FALSE,"신규dep-연구비상각후";#N/A,#N/A,FALSE,"신규dep-기계,공구상각후"}</definedName>
    <definedName name="_337X5_" hidden="1">{#N/A,#N/A,FALSE,"KMC최종회의(7월) 자료"}</definedName>
    <definedName name="_337z123_" hidden="1">{#N/A,#N/A,FALSE,"단축1";#N/A,#N/A,FALSE,"단축2";#N/A,#N/A,FALSE,"단축3";#N/A,#N/A,FALSE,"장축";#N/A,#N/A,FALSE,"4WD"}</definedName>
    <definedName name="_337Z3_" hidden="1">{#N/A,#N/A,FALSE,"KMC최종회의(7월) 자료"}</definedName>
    <definedName name="_339T5_" hidden="1">{#N/A,#N/A,FALSE,"단축1";#N/A,#N/A,FALSE,"단축2";#N/A,#N/A,FALSE,"단축3";#N/A,#N/A,FALSE,"장축";#N/A,#N/A,FALSE,"4WD"}</definedName>
    <definedName name="_339W9_" hidden="1">{#N/A,#N/A,FALSE,"KMC최종회의(7월) 자료"}</definedName>
    <definedName name="_339Z1_" hidden="1">{#N/A,#N/A,FALSE,"KMC최종회의(7월) 자료"}</definedName>
    <definedName name="_339Z1__1" hidden="1">{#N/A,#N/A,FALSE,"KMC최종회의(7월) 자료"}</definedName>
    <definedName name="_33A02_" hidden="1">{#N/A,#N/A,FALSE,"단축1";#N/A,#N/A,FALSE,"단축2";#N/A,#N/A,FALSE,"단축3";#N/A,#N/A,FALSE,"장축";#N/A,#N/A,FALSE,"4WD"}</definedName>
    <definedName name="_33A02__1" hidden="1">{#N/A,#N/A,FALSE,"단축1";#N/A,#N/A,FALSE,"단축2";#N/A,#N/A,FALSE,"단축3";#N/A,#N/A,FALSE,"장축";#N/A,#N/A,FALSE,"4WD"}</definedName>
    <definedName name="_33A1_" hidden="1">{#N/A,#N/A,FALSE,"KMC최종회의(7월) 자료"}</definedName>
    <definedName name="_33A1232_" hidden="1">{#N/A,#N/A,FALSE,"단축1";#N/A,#N/A,FALSE,"단축2";#N/A,#N/A,FALSE,"단축3";#N/A,#N/A,FALSE,"장축";#N/A,#N/A,FALSE,"4WD"}</definedName>
    <definedName name="_33A2_" hidden="1">{#N/A,#N/A,FALSE,"KMC최종회의(7월) 자료"}</definedName>
    <definedName name="_33A3_" hidden="1">{#N/A,#N/A,FALSE,"단축1";#N/A,#N/A,FALSE,"단축2";#N/A,#N/A,FALSE,"단축3";#N/A,#N/A,FALSE,"장축";#N/A,#N/A,FALSE,"4WD"}</definedName>
    <definedName name="_33A3__1" hidden="1">{#N/A,#N/A,FALSE,"단축1";#N/A,#N/A,FALSE,"단축2";#N/A,#N/A,FALSE,"단축3";#N/A,#N/A,FALSE,"장축";#N/A,#N/A,FALSE,"4WD"}</definedName>
    <definedName name="_33A5_" hidden="1">{#N/A,#N/A,FALSE,"KMC최종회의(7월) 자료"}</definedName>
    <definedName name="_33A6_" hidden="1">{#N/A,#N/A,FALSE,"KMC최종회의(7월) 자료"}</definedName>
    <definedName name="_33A7_" hidden="1">{#N/A,#N/A,FALSE,"KMC최종회의(7월) 자료"}</definedName>
    <definedName name="_33A8_" hidden="1">{#N/A,#N/A,FALSE,"KMC최종회의(7월) 자료"}</definedName>
    <definedName name="_33A9_" hidden="1">{#N/A,#N/A,FALSE,"KMC최종회의(7월) 자료"}</definedName>
    <definedName name="_33AA4_" hidden="1">{#N/A,#N/A,FALSE,"신규dep";#N/A,#N/A,FALSE,"신규dep-금형상각후";#N/A,#N/A,FALSE,"신규dep-연구비상각후";#N/A,#N/A,FALSE,"신규dep-기계,공구상각후"}</definedName>
    <definedName name="_33CL22_" hidden="1">{#N/A,#N/A,FALSE,"KMC최종회의(7월) 자료"}</definedName>
    <definedName name="_33CL22__1" hidden="1">{#N/A,#N/A,FALSE,"KMC최종회의(7월) 자료"}</definedName>
    <definedName name="_33CL33_" hidden="1">{#N/A,#N/A,FALSE,"KMC최종회의(7월) 자료"}</definedName>
    <definedName name="_33d1_" hidden="1">{#N/A,#N/A,FALSE,"신규dep";#N/A,#N/A,FALSE,"신규dep-금형상각후";#N/A,#N/A,FALSE,"신규dep-연구비상각후";#N/A,#N/A,FALSE,"신규dep-기계,공구상각후"}</definedName>
    <definedName name="_33d1__1" hidden="1">{#N/A,#N/A,FALSE,"신규dep";#N/A,#N/A,FALSE,"신규dep-금형상각후";#N/A,#N/A,FALSE,"신규dep-연구비상각후";#N/A,#N/A,FALSE,"신규dep-기계,공구상각후"}</definedName>
    <definedName name="_33d2_" hidden="1">{#N/A,#N/A,FALSE,"신규dep";#N/A,#N/A,FALSE,"신규dep-금형상각후";#N/A,#N/A,FALSE,"신규dep-연구비상각후";#N/A,#N/A,FALSE,"신규dep-기계,공구상각후"}</definedName>
    <definedName name="_33e2_" hidden="1">{#N/A,#N/A,FALSE,"단축1";#N/A,#N/A,FALSE,"단축2";#N/A,#N/A,FALSE,"단축3";#N/A,#N/A,FALSE,"장축";#N/A,#N/A,FALSE,"4WD"}</definedName>
    <definedName name="_33FG1_" hidden="1">{#N/A,#N/A,FALSE,"단축1";#N/A,#N/A,FALSE,"단축2";#N/A,#N/A,FALSE,"단축3";#N/A,#N/A,FALSE,"장축";#N/A,#N/A,FALSE,"4WD"}</definedName>
    <definedName name="_33h4_" hidden="1">{"'표지'!$B$5"}</definedName>
    <definedName name="_33HP02_" hidden="1">{#N/A,#N/A,FALSE,"단축1";#N/A,#N/A,FALSE,"단축2";#N/A,#N/A,FALSE,"단축3";#N/A,#N/A,FALSE,"장축";#N/A,#N/A,FALSE,"4WD"}</definedName>
    <definedName name="_33HP2_" hidden="1">{#N/A,#N/A,FALSE,"단축1";#N/A,#N/A,FALSE,"단축2";#N/A,#N/A,FALSE,"단축3";#N/A,#N/A,FALSE,"장축";#N/A,#N/A,FALSE,"4WD"}</definedName>
    <definedName name="_33k7_" hidden="1">{#N/A,#N/A,FALSE,"단축1";#N/A,#N/A,FALSE,"단축2";#N/A,#N/A,FALSE,"단축3";#N/A,#N/A,FALSE,"장축";#N/A,#N/A,FALSE,"4WD"}</definedName>
    <definedName name="_33P2_" hidden="1">{#N/A,#N/A,FALSE,"단축1";#N/A,#N/A,FALSE,"단축2";#N/A,#N/A,FALSE,"단축3";#N/A,#N/A,FALSE,"장축";#N/A,#N/A,FALSE,"4WD"}</definedName>
    <definedName name="_33Q1_" hidden="1">{#N/A,#N/A,FALSE,"KMC최종회의(7월) 자료"}</definedName>
    <definedName name="_33Q1__1" hidden="1">{#N/A,#N/A,FALSE,"KMC최종회의(7월) 자료"}</definedName>
    <definedName name="_33Q2_" hidden="1">{#N/A,#N/A,FALSE,"KMC최종회의(7월) 자료"}</definedName>
    <definedName name="_33Q3_" hidden="1">{#N/A,#N/A,FALSE,"KMC최종회의(7월) 자료"}</definedName>
    <definedName name="_33Q5_" hidden="1">{#N/A,#N/A,FALSE,"KMC최종회의(7월) 자료"}</definedName>
    <definedName name="_33Q7_" hidden="1">{#N/A,#N/A,FALSE,"KMC최종회의(7월) 자료"}</definedName>
    <definedName name="_33Q9_" hidden="1">{#N/A,#N/A,FALSE,"KMC최종회의(7월) 자료"}</definedName>
    <definedName name="_33S4_" hidden="1">{#N/A,#N/A,FALSE,"KMC최종회의(7월) 자료"}</definedName>
    <definedName name="_33S5_" hidden="1">{#N/A,#N/A,FALSE,"KMC최종회의(7월) 자료"}</definedName>
    <definedName name="_33S6_" hidden="1">{#N/A,#N/A,FALSE,"KMC최종회의(7월) 자료"}</definedName>
    <definedName name="_33S7_" hidden="1">{#N/A,#N/A,FALSE,"KMC최종회의(7월) 자료"}</definedName>
    <definedName name="_33S8_" hidden="1">{#N/A,#N/A,FALSE,"KMC최종회의(7월) 자료"}</definedName>
    <definedName name="_33T2_" hidden="1">{#N/A,#N/A,FALSE,"단축1";#N/A,#N/A,FALSE,"단축2";#N/A,#N/A,FALSE,"단축3";#N/A,#N/A,FALSE,"장축";#N/A,#N/A,FALSE,"4WD"}</definedName>
    <definedName name="_33T3_" hidden="1">{#N/A,#N/A,FALSE,"단축1";#N/A,#N/A,FALSE,"단축2";#N/A,#N/A,FALSE,"단축3";#N/A,#N/A,FALSE,"장축";#N/A,#N/A,FALSE,"4WD"}</definedName>
    <definedName name="_33W1_" hidden="1">{#N/A,#N/A,FALSE,"KMC최종회의(7월) 자료"}</definedName>
    <definedName name="_33W2_" hidden="1">{#N/A,#N/A,FALSE,"KMC최종회의(7월) 자료"}</definedName>
    <definedName name="_33W3_" hidden="1">{#N/A,#N/A,FALSE,"KMC최종회의(7월) 자료"}</definedName>
    <definedName name="_33W3__1" hidden="1">{#N/A,#N/A,FALSE,"KMC최종회의(7월) 자료"}</definedName>
    <definedName name="_33W4_" hidden="1">{#N/A,#N/A,FALSE,"KMC최종회의(7월) 자료"}</definedName>
    <definedName name="_33W5_" hidden="1">{#N/A,#N/A,FALSE,"KMC최종회의(7월) 자료"}</definedName>
    <definedName name="_33W6_" hidden="1">{#N/A,#N/A,FALSE,"KMC최종회의(7월) 자료"}</definedName>
    <definedName name="_33W7_" hidden="1">{#N/A,#N/A,FALSE,"KMC최종회의(7월) 자료"}</definedName>
    <definedName name="_33W7__1" hidden="1">{#N/A,#N/A,FALSE,"KMC최종회의(7월) 자료"}</definedName>
    <definedName name="_33W8_" hidden="1">{#N/A,#N/A,FALSE,"KMC최종회의(7월) 자료"}</definedName>
    <definedName name="_33W8__1" hidden="1">{#N/A,#N/A,FALSE,"KMC최종회의(7월) 자료"}</definedName>
    <definedName name="_34__123Graph_ACHART_3" hidden="1">#REF!</definedName>
    <definedName name="_340X5_" hidden="1">{#N/A,#N/A,FALSE,"KMC최종회의(7월) 자료"}</definedName>
    <definedName name="_340X6_" hidden="1">{#N/A,#N/A,FALSE,"KMC최종회의(7월) 자료"}</definedName>
    <definedName name="_340Z2_" hidden="1">{#N/A,#N/A,FALSE,"KMC최종회의(7월) 자료"}</definedName>
    <definedName name="_340Z8_" hidden="1">{#N/A,#N/A,FALSE,"KMC최종회의(7월) 자료"}</definedName>
    <definedName name="_341S4_" hidden="1">{#N/A,#N/A,FALSE,"KMC최종회의(7월) 자료"}</definedName>
    <definedName name="_341S6_" hidden="1">{#N/A,#N/A,FALSE,"KMC최종회의(7월) 자료"}</definedName>
    <definedName name="_341T2_" hidden="1">{#N/A,#N/A,FALSE,"단축1";#N/A,#N/A,FALSE,"단축2";#N/A,#N/A,FALSE,"단축3";#N/A,#N/A,FALSE,"장축";#N/A,#N/A,FALSE,"4WD"}</definedName>
    <definedName name="_341Z4_" hidden="1">{#N/A,#N/A,FALSE,"KMC최종회의(7월) 자료"}</definedName>
    <definedName name="_342W2_" hidden="1">{#N/A,#N/A,FALSE,"품의서";#N/A,#N/A,FALSE,"전제";#N/A,#N/A,FALSE,"총손";#N/A,#N/A,FALSE,"손익"}</definedName>
    <definedName name="_342Z2_" hidden="1">{#N/A,#N/A,FALSE,"KMC최종회의(7월) 자료"}</definedName>
    <definedName name="_343A9_" hidden="1">{#N/A,#N/A,FALSE,"KMC최종회의(7월) 자료"}</definedName>
    <definedName name="_343T3_" hidden="1">{#N/A,#N/A,FALSE,"단축1";#N/A,#N/A,FALSE,"단축2";#N/A,#N/A,FALSE,"단축3";#N/A,#N/A,FALSE,"장축";#N/A,#N/A,FALSE,"4WD"}</definedName>
    <definedName name="_343W9_" hidden="1">{#N/A,#N/A,FALSE,"KMC최종회의(7월) 자료"}</definedName>
    <definedName name="_343X2_" hidden="1">{#N/A,#N/A,FALSE,"KMC최종회의(7월) 자료"}</definedName>
    <definedName name="_343X6_" hidden="1">{#N/A,#N/A,FALSE,"KMC최종회의(7월) 자료"}</definedName>
    <definedName name="_343Z1_" hidden="1">{#N/A,#N/A,FALSE,"KMC최종회의(7월) 자료"}</definedName>
    <definedName name="_343Z1__1" hidden="1">{#N/A,#N/A,FALSE,"KMC최종회의(7월) 자료"}</definedName>
    <definedName name="_343Z3_" hidden="1">{#N/A,#N/A,FALSE,"KMC최종회의(7월) 자료"}</definedName>
    <definedName name="_343Z6_" hidden="1">{#N/A,#N/A,FALSE,"KMC최종회의(7월) 자료"}</definedName>
    <definedName name="_344_______0_S" hidden="1">#REF!</definedName>
    <definedName name="_344X1_" hidden="1">{#N/A,#N/A,FALSE,"KMC최종회의(7월) 자료"}</definedName>
    <definedName name="_345S5_" hidden="1">{#N/A,#N/A,FALSE,"KMC최종회의(7월) 자료"}</definedName>
    <definedName name="_345t4_" hidden="1">{#N/A,#N/A,FALSE,"단축1";#N/A,#N/A,FALSE,"단축2";#N/A,#N/A,FALSE,"단축3";#N/A,#N/A,FALSE,"장축";#N/A,#N/A,FALSE,"4WD"}</definedName>
    <definedName name="_345z123_" hidden="1">{#N/A,#N/A,FALSE,"단축1";#N/A,#N/A,FALSE,"단축2";#N/A,#N/A,FALSE,"단축3";#N/A,#N/A,FALSE,"장축";#N/A,#N/A,FALSE,"4WD"}</definedName>
    <definedName name="_345z123__1" hidden="1">{#N/A,#N/A,FALSE,"단축1";#N/A,#N/A,FALSE,"단축2";#N/A,#N/A,FALSE,"단축3";#N/A,#N/A,FALSE,"장축";#N/A,#N/A,FALSE,"4WD"}</definedName>
    <definedName name="_345Z5_" hidden="1">{#N/A,#N/A,FALSE,"KMC최종회의(7월) 자료"}</definedName>
    <definedName name="_345Z9_" hidden="1">{#N/A,#N/A,FALSE,"KMC최종회의(7월) 자료"}</definedName>
    <definedName name="_346Z4_" hidden="1">{#N/A,#N/A,FALSE,"KMC최종회의(7월) 자료"}</definedName>
    <definedName name="_347__0_S" hidden="1">#REF!</definedName>
    <definedName name="_347T5_" hidden="1">{#N/A,#N/A,FALSE,"단축1";#N/A,#N/A,FALSE,"단축2";#N/A,#N/A,FALSE,"단축3";#N/A,#N/A,FALSE,"장축";#N/A,#N/A,FALSE,"4WD"}</definedName>
    <definedName name="_347W3_" hidden="1">{#N/A,#N/A,FALSE,"96 3월물량표";#N/A,#N/A,FALSE,"96 4월물량표";#N/A,#N/A,FALSE,"96 5월물량표"}</definedName>
    <definedName name="_347X7_" hidden="1">{#N/A,#N/A,FALSE,"KMC최종회의(7월) 자료"}</definedName>
    <definedName name="_348____S" hidden="1">#REF!</definedName>
    <definedName name="_348W3_" hidden="1">{#N/A,#N/A,FALSE,"KMC최종회의(7월) 자료"}</definedName>
    <definedName name="_348X6_" hidden="1">{#N/A,#N/A,FALSE,"KMC최종회의(7월) 자료"}</definedName>
    <definedName name="_348Z3_" hidden="1">{#N/A,#N/A,FALSE,"KMC최종회의(7월) 자료"}</definedName>
    <definedName name="_349S6_" hidden="1">{#N/A,#N/A,FALSE,"KMC최종회의(7월) 자료"}</definedName>
    <definedName name="_349X2_" hidden="1">{#N/A,#N/A,FALSE,"KMC최종회의(7월) 자료"}</definedName>
    <definedName name="_349X7_" hidden="1">{#N/A,#N/A,FALSE,"KMC최종회의(7월) 자료"}</definedName>
    <definedName name="_349Z5_" hidden="1">{#N/A,#N/A,FALSE,"KMC최종회의(7월) 자료"}</definedName>
    <definedName name="_349Z6_" hidden="1">{#N/A,#N/A,FALSE,"KMC최종회의(7월) 자료"}</definedName>
    <definedName name="_34A1_" hidden="1">{#N/A,#N/A,FALSE,"KMC최종회의(7월) 자료"}</definedName>
    <definedName name="_34A2040_" hidden="1">{#N/A,#N/A,FALSE,"단축1";#N/A,#N/A,FALSE,"단축2";#N/A,#N/A,FALSE,"단축3";#N/A,#N/A,FALSE,"장축";#N/A,#N/A,FALSE,"4WD"}</definedName>
    <definedName name="_34A3_" hidden="1">{#N/A,#N/A,FALSE,"KMC최종회의(7월) 자료"}</definedName>
    <definedName name="_34A5_" hidden="1">{#N/A,#N/A,FALSE,"KMC최종회의(7월) 자료"}</definedName>
    <definedName name="_34A5__1" hidden="1">{#N/A,#N/A,FALSE,"KMC최종회의(7월) 자료"}</definedName>
    <definedName name="_34A6_" hidden="1">{#N/A,#N/A,FALSE,"KMC최종회의(7월) 자료"}</definedName>
    <definedName name="_34A8_" hidden="1">{#N/A,#N/A,FALSE,"KMC최종회의(7월) 자료"}</definedName>
    <definedName name="_34A9_" hidden="1">{#N/A,#N/A,FALSE,"KMC최종회의(7월) 자료"}</definedName>
    <definedName name="_34CL222_" hidden="1">{#N/A,#N/A,FALSE,"KMC최종회의(7월) 자료"}</definedName>
    <definedName name="_34DA2_" hidden="1">{#N/A,#N/A,FALSE,"단축1";#N/A,#N/A,FALSE,"단축2";#N/A,#N/A,FALSE,"단축3";#N/A,#N/A,FALSE,"장축";#N/A,#N/A,FALSE,"4WD"}</definedName>
    <definedName name="_34DC50_" hidden="1">{#N/A,#N/A,FALSE,"단축1";#N/A,#N/A,FALSE,"단축2";#N/A,#N/A,FALSE,"단축3";#N/A,#N/A,FALSE,"장축";#N/A,#N/A,FALSE,"4WD"}</definedName>
    <definedName name="_34E2_" hidden="1">{#N/A,#N/A,FALSE,"KMC최종회의(7월) 자료"}</definedName>
    <definedName name="_34FG1_" hidden="1">{#N/A,#N/A,FALSE,"단축1";#N/A,#N/A,FALSE,"단축2";#N/A,#N/A,FALSE,"단축3";#N/A,#N/A,FALSE,"장축";#N/A,#N/A,FALSE,"4WD"}</definedName>
    <definedName name="_34h2_" hidden="1">{"'표지'!$B$5"}</definedName>
    <definedName name="_34h5_" hidden="1">{"'표지'!$B$5"}</definedName>
    <definedName name="_34HP02_" hidden="1">{#N/A,#N/A,FALSE,"단축1";#N/A,#N/A,FALSE,"단축2";#N/A,#N/A,FALSE,"단축3";#N/A,#N/A,FALSE,"장축";#N/A,#N/A,FALSE,"4WD"}</definedName>
    <definedName name="_34k7_" hidden="1">{#N/A,#N/A,FALSE,"단축1";#N/A,#N/A,FALSE,"단축2";#N/A,#N/A,FALSE,"단축3";#N/A,#N/A,FALSE,"장축";#N/A,#N/A,FALSE,"4WD"}</definedName>
    <definedName name="_34M123_" hidden="1">{#N/A,#N/A,FALSE,"단축1";#N/A,#N/A,FALSE,"단축2";#N/A,#N/A,FALSE,"단축3";#N/A,#N/A,FALSE,"장축";#N/A,#N/A,FALSE,"4WD"}</definedName>
    <definedName name="_34P2_" hidden="1">#REF!</definedName>
    <definedName name="_34q1_" hidden="1">{#N/A,#N/A,FALSE,"단축1";#N/A,#N/A,FALSE,"단축2";#N/A,#N/A,FALSE,"단축3";#N/A,#N/A,FALSE,"장축";#N/A,#N/A,FALSE,"4WD"}</definedName>
    <definedName name="_34Q2_" hidden="1">{#N/A,#N/A,FALSE,"KMC최종회의(7월) 자료"}</definedName>
    <definedName name="_34Q3_" hidden="1">{#N/A,#N/A,FALSE,"KMC최종회의(7월) 자료"}</definedName>
    <definedName name="_34Q5_" hidden="1">{#N/A,#N/A,FALSE,"KMC최종회의(7월) 자료"}</definedName>
    <definedName name="_34Q7_" hidden="1">{#N/A,#N/A,FALSE,"KMC최종회의(7월) 자료"}</definedName>
    <definedName name="_34Q8_" hidden="1">{#N/A,#N/A,FALSE,"KMC최종회의(7월) 자료"}</definedName>
    <definedName name="_34Q9_" hidden="1">{#N/A,#N/A,FALSE,"KMC최종회의(7월) 자료"}</definedName>
    <definedName name="_34S1_" hidden="1">{#N/A,#N/A,FALSE,"KMC최종회의(7월) 자료"}</definedName>
    <definedName name="_34S2_" hidden="1">{#N/A,#N/A,FALSE,"KMC최종회의(7월) 자료"}</definedName>
    <definedName name="_34S5_" hidden="1">{#N/A,#N/A,FALSE,"KMC최종회의(7월) 자료"}</definedName>
    <definedName name="_34S6_" hidden="1">{#N/A,#N/A,FALSE,"KMC최종회의(7월) 자료"}</definedName>
    <definedName name="_34S7_" hidden="1">{#N/A,#N/A,FALSE,"KMC최종회의(7월) 자료"}</definedName>
    <definedName name="_34S8_" hidden="1">{#N/A,#N/A,FALSE,"KMC최종회의(7월) 자료"}</definedName>
    <definedName name="_34T2_" hidden="1">{#N/A,#N/A,FALSE,"단축1";#N/A,#N/A,FALSE,"단축2";#N/A,#N/A,FALSE,"단축3";#N/A,#N/A,FALSE,"장축";#N/A,#N/A,FALSE,"4WD"}</definedName>
    <definedName name="_34T3_" hidden="1">{#N/A,#N/A,FALSE,"단축1";#N/A,#N/A,FALSE,"단축2";#N/A,#N/A,FALSE,"단축3";#N/A,#N/A,FALSE,"장축";#N/A,#N/A,FALSE,"4WD"}</definedName>
    <definedName name="_34W2_" hidden="1">{#N/A,#N/A,FALSE,"KMC최종회의(7월) 자료"}</definedName>
    <definedName name="_34W3_" hidden="1">{#N/A,#N/A,FALSE,"KMC최종회의(7월) 자료"}</definedName>
    <definedName name="_34W4_" hidden="1">{#N/A,#N/A,FALSE,"KMC최종회의(7월) 자료"}</definedName>
    <definedName name="_34W4__1" hidden="1">{#N/A,#N/A,FALSE,"KMC최종회의(7월) 자료"}</definedName>
    <definedName name="_34W5_" hidden="1">{#N/A,#N/A,FALSE,"KMC최종회의(7월) 자료"}</definedName>
    <definedName name="_34W6_" hidden="1">{#N/A,#N/A,FALSE,"KMC최종회의(7월) 자료"}</definedName>
    <definedName name="_34W7_" hidden="1">{#N/A,#N/A,FALSE,"KMC최종회의(7월) 자료"}</definedName>
    <definedName name="_34W8_" hidden="1">{#N/A,#N/A,FALSE,"KMC최종회의(7월) 자료"}</definedName>
    <definedName name="_34W8__1" hidden="1">{#N/A,#N/A,FALSE,"KMC최종회의(7월) 자료"}</definedName>
    <definedName name="_34W9_" hidden="1">{#N/A,#N/A,FALSE,"KMC최종회의(7월) 자료"}</definedName>
    <definedName name="_34W9__1" hidden="1">{#N/A,#N/A,FALSE,"KMC최종회의(7월) 자료"}</definedName>
    <definedName name="_35__123Graph_AC04C_FR_L1" hidden="1">#REF!</definedName>
    <definedName name="_35__123Graph_BCHART_3" hidden="1">#REF!</definedName>
    <definedName name="_350S7_" hidden="1">{#N/A,#N/A,FALSE,"KMC최종회의(7월) 자료"}</definedName>
    <definedName name="_350X3_" hidden="1">{#N/A,#N/A,FALSE,"KMC최종회의(7월) 자료"}</definedName>
    <definedName name="_350z123_" hidden="1">{#N/A,#N/A,FALSE,"단축1";#N/A,#N/A,FALSE,"단축2";#N/A,#N/A,FALSE,"단축3";#N/A,#N/A,FALSE,"장축";#N/A,#N/A,FALSE,"4WD"}</definedName>
    <definedName name="_350z123__1" hidden="1">{#N/A,#N/A,FALSE,"단축1";#N/A,#N/A,FALSE,"단축2";#N/A,#N/A,FALSE,"단축3";#N/A,#N/A,FALSE,"장축";#N/A,#N/A,FALSE,"4WD"}</definedName>
    <definedName name="_350z2_" hidden="1">{#N/A,#N/A,FALSE,"단축1";#N/A,#N/A,FALSE,"단축2";#N/A,#N/A,FALSE,"단축3";#N/A,#N/A,FALSE,"장축";#N/A,#N/A,FALSE,"4WD"}</definedName>
    <definedName name="_350Z7_" hidden="1">{#N/A,#N/A,FALSE,"KMC최종회의(7월) 자료"}</definedName>
    <definedName name="_351X1_" hidden="1">{#N/A,#N/A,FALSE,"KMC최종회의(7월) 자료"}</definedName>
    <definedName name="_351Z2_" hidden="1">{#N/A,#N/A,FALSE,"KMC최종회의(7월) 자료"}</definedName>
    <definedName name="_351Z2__1" hidden="1">{#N/A,#N/A,FALSE,"KMC최종회의(7월) 자료"}</definedName>
    <definedName name="_352q6_" hidden="1">{#N/A,#N/A,FALSE,"신규dep";#N/A,#N/A,FALSE,"신규dep-금형상각후";#N/A,#N/A,FALSE,"신규dep-연구비상각후";#N/A,#N/A,FALSE,"신규dep-기계,공구상각후"}</definedName>
    <definedName name="_352q6__1" hidden="1">{#N/A,#N/A,FALSE,"신규dep";#N/A,#N/A,FALSE,"신규dep-금형상각후";#N/A,#N/A,FALSE,"신규dep-연구비상각후";#N/A,#N/A,FALSE,"신규dep-기계,공구상각후"}</definedName>
    <definedName name="_352W4_" hidden="1">{#N/A,#N/A,TRUE,"Y생산";#N/A,#N/A,TRUE,"Y판매";#N/A,#N/A,TRUE,"Y총물량";#N/A,#N/A,TRUE,"Y능력";#N/A,#N/A,TRUE,"YKD"}</definedName>
    <definedName name="_352W7_" hidden="1">{#N/A,#N/A,FALSE,"KMC최종회의(7월) 자료"}</definedName>
    <definedName name="_352Z6_" hidden="1">{#N/A,#N/A,FALSE,"KMC최종회의(7월) 자료"}</definedName>
    <definedName name="_353__0_S" hidden="1">#REF!</definedName>
    <definedName name="_353S7_" hidden="1">{#N/A,#N/A,FALSE,"KMC최종회의(7월) 자료"}</definedName>
    <definedName name="_353Z7_" hidden="1">{#N/A,#N/A,FALSE,"KMC최종회의(7월) 자료"}</definedName>
    <definedName name="_354X3_" hidden="1">{#N/A,#N/A,FALSE,"KMC최종회의(7월) 자료"}</definedName>
    <definedName name="_354X8_" hidden="1">{#N/A,#N/A,FALSE,"KMC최종회의(7월) 자료"}</definedName>
    <definedName name="_354Z4_" hidden="1">{#N/A,#N/A,FALSE,"KMC최종회의(7월) 자료"}</definedName>
    <definedName name="_355X8_" hidden="1">{#N/A,#N/A,FALSE,"KMC최종회의(7월) 자료"}</definedName>
    <definedName name="_355Z7_" hidden="1">{#N/A,#N/A,FALSE,"KMC최종회의(7월) 자료"}</definedName>
    <definedName name="_356X7_" hidden="1">{#N/A,#N/A,FALSE,"KMC최종회의(7월) 자료"}</definedName>
    <definedName name="_357S8_" hidden="1">{#N/A,#N/A,FALSE,"KMC최종회의(7월) 자료"}</definedName>
    <definedName name="_357w5_" hidden="1">{#N/A,#N/A,FALSE,"신규dep";#N/A,#N/A,FALSE,"신규dep-금형상각후";#N/A,#N/A,FALSE,"신규dep-연구비상각후";#N/A,#N/A,FALSE,"신규dep-기계,공구상각후"}</definedName>
    <definedName name="_357X4_" hidden="1">{#N/A,#N/A,FALSE,"KMC최종회의(7월) 자료"}</definedName>
    <definedName name="_357Z2_" hidden="1">{#N/A,#N/A,FALSE,"KMC최종회의(7월) 자료"}</definedName>
    <definedName name="_357Z2__1" hidden="1">{#N/A,#N/A,FALSE,"KMC최종회의(7월) 자료"}</definedName>
    <definedName name="_357Z3_" hidden="1">{#N/A,#N/A,FALSE,"KMC최종회의(7월) 자료"}</definedName>
    <definedName name="_357Z3__1" hidden="1">{#N/A,#N/A,FALSE,"KMC최종회의(7월) 자료"}</definedName>
    <definedName name="_357z4_" hidden="1">{#N/A,#N/A,FALSE,"단축1";#N/A,#N/A,FALSE,"단축2";#N/A,#N/A,FALSE,"단축3";#N/A,#N/A,FALSE,"장축";#N/A,#N/A,FALSE,"4WD"}</definedName>
    <definedName name="_357Z8_" hidden="1">{#N/A,#N/A,FALSE,"KMC최종회의(7월) 자료"}</definedName>
    <definedName name="_358__0_S" hidden="1">#REF!</definedName>
    <definedName name="_358Z8_" hidden="1">{#N/A,#N/A,FALSE,"KMC최종회의(7월) 자료"}</definedName>
    <definedName name="_359S8_" hidden="1">{#N/A,#N/A,FALSE,"KMC최종회의(7월) 자료"}</definedName>
    <definedName name="_359X2_" hidden="1">{#N/A,#N/A,FALSE,"KMC최종회의(7월) 자료"}</definedName>
    <definedName name="_359X4_" hidden="1">{#N/A,#N/A,FALSE,"KMC최종회의(7월) 자료"}</definedName>
    <definedName name="_35A1_" hidden="1">{#N/A,#N/A,FALSE,"KMC최종회의(7월) 자료"}</definedName>
    <definedName name="_35A2_" hidden="1">{#N/A,#N/A,FALSE,"KMC최종회의(7월) 자료"}</definedName>
    <definedName name="_35A21321_" hidden="1">{#N/A,#N/A,FALSE,"단축1";#N/A,#N/A,FALSE,"단축2";#N/A,#N/A,FALSE,"단축3";#N/A,#N/A,FALSE,"장축";#N/A,#N/A,FALSE,"4WD"}</definedName>
    <definedName name="_35A3_" hidden="1">{#N/A,#N/A,FALSE,"KMC최종회의(7월) 자료"}</definedName>
    <definedName name="_35A3__1" hidden="1">{#N/A,#N/A,FALSE,"단축1";#N/A,#N/A,FALSE,"단축2";#N/A,#N/A,FALSE,"단축3";#N/A,#N/A,FALSE,"장축";#N/A,#N/A,FALSE,"4WD"}</definedName>
    <definedName name="_35A4_" hidden="1">{#N/A,#N/A,FALSE,"KMC최종회의(7월) 자료"}</definedName>
    <definedName name="_35A5_" hidden="1">{#N/A,#N/A,FALSE,"KMC최종회의(7월) 자료"}</definedName>
    <definedName name="_35A6_" hidden="1">{#N/A,#N/A,FALSE,"KMC최종회의(7월) 자료"}</definedName>
    <definedName name="_35A6__1" hidden="1">{#N/A,#N/A,FALSE,"KMC최종회의(7월) 자료"}</definedName>
    <definedName name="_35A6666_" hidden="1">{#N/A,#N/A,FALSE,"KMC최종회의(7월) 자료"}</definedName>
    <definedName name="_35A7_" hidden="1">{#N/A,#N/A,FALSE,"KMC최종회의(7월) 자료"}</definedName>
    <definedName name="_35A8_" hidden="1">{#N/A,#N/A,FALSE,"KMC최종회의(7월) 자료"}</definedName>
    <definedName name="_35A9_" hidden="1">{#N/A,#N/A,FALSE,"KMC최종회의(7월) 자료"}</definedName>
    <definedName name="_35AS6_" hidden="1">{#N/A,#N/A,FALSE,"Australien";#N/A,#N/A,FALSE,"Birmingham";#N/A,#N/A,FALSE,"Brasilien";#N/A,#N/A,FALSE,"Prag";#N/A,#N/A,FALSE,"Spanien";#N/A,#N/A,FALSE,"Malaysia ( Com)";#N/A,#N/A,FALSE,"Malaysia (Instr)"}</definedName>
    <definedName name="_35d2_" hidden="1">{#N/A,#N/A,FALSE,"신규dep";#N/A,#N/A,FALSE,"신규dep-금형상각후";#N/A,#N/A,FALSE,"신규dep-연구비상각후";#N/A,#N/A,FALSE,"신규dep-기계,공구상각후"}</definedName>
    <definedName name="_35d2__1" hidden="1">{#N/A,#N/A,FALSE,"신규dep";#N/A,#N/A,FALSE,"신규dep-금형상각후";#N/A,#N/A,FALSE,"신규dep-연구비상각후";#N/A,#N/A,FALSE,"신규dep-기계,공구상각후"}</definedName>
    <definedName name="_35D6_" hidden="1">{"'표지'!$B$5"}</definedName>
    <definedName name="_35E1_" hidden="1">{#N/A,#N/A,FALSE,"KMC최종회의(7월) 자료"}</definedName>
    <definedName name="_35e3_" hidden="1">{#N/A,#N/A,FALSE,"단축1";#N/A,#N/A,FALSE,"단축2";#N/A,#N/A,FALSE,"단축3";#N/A,#N/A,FALSE,"장축";#N/A,#N/A,FALSE,"4WD"}</definedName>
    <definedName name="_35FG1_" hidden="1">{#N/A,#N/A,FALSE,"단축1";#N/A,#N/A,FALSE,"단축2";#N/A,#N/A,FALSE,"단축3";#N/A,#N/A,FALSE,"장축";#N/A,#N/A,FALSE,"4WD"}</definedName>
    <definedName name="_35HP2_" hidden="1">{#N/A,#N/A,FALSE,"단축1";#N/A,#N/A,FALSE,"단축2";#N/A,#N/A,FALSE,"단축3";#N/A,#N/A,FALSE,"장축";#N/A,#N/A,FALSE,"4WD"}</definedName>
    <definedName name="_35k8_" hidden="1">{#N/A,#N/A,FALSE,"단축1";#N/A,#N/A,FALSE,"단축2";#N/A,#N/A,FALSE,"단축3";#N/A,#N/A,FALSE,"장축";#N/A,#N/A,FALSE,"4WD"}</definedName>
    <definedName name="_35Q2_" hidden="1">{#N/A,#N/A,FALSE,"KMC최종회의(7월) 자료"}</definedName>
    <definedName name="_35Q2__1" hidden="1">{#N/A,#N/A,FALSE,"KMC최종회의(7월) 자료"}</definedName>
    <definedName name="_35q3_" hidden="1">{#N/A,#N/A,FALSE,"단축1";#N/A,#N/A,FALSE,"단축2";#N/A,#N/A,FALSE,"단축3";#N/A,#N/A,FALSE,"장축";#N/A,#N/A,FALSE,"4WD"}</definedName>
    <definedName name="_35Q7_" hidden="1">{#N/A,#N/A,FALSE,"KMC최종회의(7월) 자료"}</definedName>
    <definedName name="_35Q8_" hidden="1">{#N/A,#N/A,FALSE,"KMC최종회의(7월) 자료"}</definedName>
    <definedName name="_35Q9_" hidden="1">{#N/A,#N/A,FALSE,"KMC최종회의(7월) 자료"}</definedName>
    <definedName name="_35S1_" hidden="1">{#N/A,#N/A,FALSE,"KMC최종회의(7월) 자료"}</definedName>
    <definedName name="_35S2_" hidden="1">{#N/A,#N/A,FALSE,"KMC최종회의(7월) 자료"}</definedName>
    <definedName name="_35S6_" hidden="1">{#N/A,#N/A,FALSE,"KMC최종회의(7월) 자료"}</definedName>
    <definedName name="_35S7_" hidden="1">{#N/A,#N/A,FALSE,"KMC최종회의(7월) 자료"}</definedName>
    <definedName name="_35S8_" hidden="1">{#N/A,#N/A,FALSE,"KMC최종회의(7월) 자료"}</definedName>
    <definedName name="_35T3_" hidden="1">{#N/A,#N/A,FALSE,"단축1";#N/A,#N/A,FALSE,"단축2";#N/A,#N/A,FALSE,"단축3";#N/A,#N/A,FALSE,"장축";#N/A,#N/A,FALSE,"4WD"}</definedName>
    <definedName name="_35T5_" hidden="1">{#N/A,#N/A,FALSE,"단축1";#N/A,#N/A,FALSE,"단축2";#N/A,#N/A,FALSE,"단축3";#N/A,#N/A,FALSE,"장축";#N/A,#N/A,FALSE,"4WD"}</definedName>
    <definedName name="_35W1_" hidden="1">{#N/A,#N/A,FALSE,"KMC최종회의(7월) 자료"}</definedName>
    <definedName name="_35W3_" hidden="1">{#N/A,#N/A,FALSE,"KMC최종회의(7월) 자료"}</definedName>
    <definedName name="_35W4_" hidden="1">{#N/A,#N/A,FALSE,"KMC최종회의(7월) 자료"}</definedName>
    <definedName name="_35W5_" hidden="1">{#N/A,#N/A,FALSE,"KMC최종회의(7월) 자료"}</definedName>
    <definedName name="_35W5__1" hidden="1">{#N/A,#N/A,FALSE,"KMC최종회의(7월) 자료"}</definedName>
    <definedName name="_35W6_" hidden="1">{#N/A,#N/A,FALSE,"KMC최종회의(7월) 자료"}</definedName>
    <definedName name="_35W7_" hidden="1">{#N/A,#N/A,FALSE,"KMC최종회의(7월) 자료"}</definedName>
    <definedName name="_35W8_" hidden="1">{#N/A,#N/A,FALSE,"KMC최종회의(7월) 자료"}</definedName>
    <definedName name="_35W9_" hidden="1">{#N/A,#N/A,FALSE,"KMC최종회의(7월) 자료"}</definedName>
    <definedName name="_35W9__1" hidden="1">{#N/A,#N/A,FALSE,"KMC최종회의(7월) 자료"}</definedName>
    <definedName name="_35X1_" hidden="1">{#N/A,#N/A,FALSE,"KMC최종회의(7월) 자료"}</definedName>
    <definedName name="_35X1__1" hidden="1">{#N/A,#N/A,FALSE,"KMC최종회의(7월) 자료"}</definedName>
    <definedName name="_36__123Graph_AC04C_FR_L1" hidden="1">#REF!</definedName>
    <definedName name="_36__0_S" hidden="1">#REF!</definedName>
    <definedName name="_360W4_" hidden="1">{#N/A,#N/A,FALSE,"KMC최종회의(7월) 자료"}</definedName>
    <definedName name="_360Z5_" hidden="1">{#N/A,#N/A,FALSE,"KMC최종회의(7월) 자료"}</definedName>
    <definedName name="_361__0_S" hidden="1">#REF!</definedName>
    <definedName name="_361Z1_" hidden="1">{#N/A,#N/A,FALSE,"KMC최종회의(7월) 자료"}</definedName>
    <definedName name="_361Z9_" hidden="1">{#N/A,#N/A,FALSE,"KMC최종회의(7월) 자료"}</definedName>
    <definedName name="_362T2_" hidden="1">{#N/A,#N/A,FALSE,"단축1";#N/A,#N/A,FALSE,"단축2";#N/A,#N/A,FALSE,"단축3";#N/A,#N/A,FALSE,"장축";#N/A,#N/A,FALSE,"4WD"}</definedName>
    <definedName name="_363EO2_" hidden="1">{#N/A,#N/A,FALSE,"신규dep";#N/A,#N/A,FALSE,"신규dep-금형상각후";#N/A,#N/A,FALSE,"신규dep-연구비상각후";#N/A,#N/A,FALSE,"신규dep-기계,공구상각후"}</definedName>
    <definedName name="_363Z4_" hidden="1">{#N/A,#N/A,FALSE,"KMC최종회의(7월) 자료"}</definedName>
    <definedName name="_363Z4__1" hidden="1">{#N/A,#N/A,FALSE,"KMC최종회의(7월) 자료"}</definedName>
    <definedName name="_364__0_S" hidden="1">#REF!</definedName>
    <definedName name="_364DR1_" hidden="1">{#N/A,#N/A,FALSE,"업체선정";#N/A,#N/A,FALSE,"업체선정sheet";#N/A,#N/A,FALSE,"업체실태";#N/A,#N/A,FALSE,"업체실태(1)";#N/A,#N/A,FALSE,"종업원현황(2)";#N/A,#N/A,FALSE,"생산품목(3)";#N/A,#N/A,FALSE,"장비보유현황";#N/A,#N/A,FALSE,"차량및약도";#N/A,#N/A,FALSE,"금형LIST"}</definedName>
    <definedName name="_364X5_" hidden="1">{#N/A,#N/A,FALSE,"KMC최종회의(7월) 자료"}</definedName>
    <definedName name="_364X8_" hidden="1">{#N/A,#N/A,FALSE,"KMC최종회의(7월) 자료"}</definedName>
    <definedName name="_364Z3_" hidden="1">{#N/A,#N/A,FALSE,"KMC최종회의(7월) 자료"}</definedName>
    <definedName name="_364Z3__1" hidden="1">{#N/A,#N/A,FALSE,"KMC최종회의(7월) 자료"}</definedName>
    <definedName name="_364Z9_" hidden="1">{#N/A,#N/A,FALSE,"KMC최종회의(7월) 자료"}</definedName>
    <definedName name="_366T2_" hidden="1">{#N/A,#N/A,FALSE,"단축1";#N/A,#N/A,FALSE,"단축2";#N/A,#N/A,FALSE,"단축3";#N/A,#N/A,FALSE,"장축";#N/A,#N/A,FALSE,"4WD"}</definedName>
    <definedName name="_366Z6_" hidden="1">{#N/A,#N/A,FALSE,"KMC최종회의(7월) 자료"}</definedName>
    <definedName name="_367q7_" hidden="1">{#N/A,#N/A,FALSE,"신규dep";#N/A,#N/A,FALSE,"신규dep-금형상각후";#N/A,#N/A,FALSE,"신규dep-연구비상각후";#N/A,#N/A,FALSE,"신규dep-기계,공구상각후"}</definedName>
    <definedName name="_367q7__1" hidden="1">{#N/A,#N/A,FALSE,"신규dep";#N/A,#N/A,FALSE,"신규dep-금형상각후";#N/A,#N/A,FALSE,"신규dep-연구비상각후";#N/A,#N/A,FALSE,"신규dep-기계,공구상각후"}</definedName>
    <definedName name="_367T3_" hidden="1">{#N/A,#N/A,FALSE,"단축1";#N/A,#N/A,FALSE,"단축2";#N/A,#N/A,FALSE,"단축3";#N/A,#N/A,FALSE,"장축";#N/A,#N/A,FALSE,"4WD"}</definedName>
    <definedName name="_367X3_" hidden="1">{#N/A,#N/A,FALSE,"KMC최종회의(7월) 자료"}</definedName>
    <definedName name="_367Z2_" hidden="1">{#N/A,#N/A,FALSE,"KMC최종회의(7월) 자료"}</definedName>
    <definedName name="_368W8_" hidden="1">{#N/A,#N/A,FALSE,"KMC최종회의(7월) 자료"}</definedName>
    <definedName name="_368Z2_" hidden="1">{#N/A,#N/A,FALSE,"KMC최종회의(7월) 자료"}</definedName>
    <definedName name="_369______0_S" hidden="1">#REF!</definedName>
    <definedName name="_369X6_" hidden="1">{#N/A,#N/A,FALSE,"KMC최종회의(7월) 자료"}</definedName>
    <definedName name="_369Z5_" hidden="1">{#N/A,#N/A,FALSE,"KMC최종회의(7월) 자료"}</definedName>
    <definedName name="_369Z5__1" hidden="1">{#N/A,#N/A,FALSE,"KMC최종회의(7월) 자료"}</definedName>
    <definedName name="_36A1245_" hidden="1">{#N/A,#N/A,FALSE,"단축1";#N/A,#N/A,FALSE,"단축2";#N/A,#N/A,FALSE,"단축3";#N/A,#N/A,FALSE,"장축";#N/A,#N/A,FALSE,"4WD"}</definedName>
    <definedName name="_36A1245__1" hidden="1">{#N/A,#N/A,FALSE,"단축1";#N/A,#N/A,FALSE,"단축2";#N/A,#N/A,FALSE,"단축3";#N/A,#N/A,FALSE,"장축";#N/A,#N/A,FALSE,"4WD"}</definedName>
    <definedName name="_36A2040_" hidden="1">{#N/A,#N/A,FALSE,"단축1";#N/A,#N/A,FALSE,"단축2";#N/A,#N/A,FALSE,"단축3";#N/A,#N/A,FALSE,"장축";#N/A,#N/A,FALSE,"4WD"}</definedName>
    <definedName name="_36A3_" hidden="1">{#N/A,#N/A,FALSE,"KMC최종회의(7월) 자료"}</definedName>
    <definedName name="_36A4_" hidden="1">{#N/A,#N/A,FALSE,"KMC최종회의(7월) 자료"}</definedName>
    <definedName name="_36A5_" hidden="1">{#N/A,#N/A,FALSE,"KMC최종회의(7월) 자료"}</definedName>
    <definedName name="_36A6_" hidden="1">{#N/A,#N/A,FALSE,"KMC최종회의(7월) 자료"}</definedName>
    <definedName name="_36A7_" hidden="1">{#N/A,#N/A,FALSE,"KMC최종회의(7월) 자료"}</definedName>
    <definedName name="_36A7__1" hidden="1">{#N/A,#N/A,FALSE,"KMC최종회의(7월) 자료"}</definedName>
    <definedName name="_36A8_" hidden="1">{#N/A,#N/A,FALSE,"KMC최종회의(7월) 자료"}</definedName>
    <definedName name="_36A9_" hidden="1">{#N/A,#N/A,FALSE,"KMC최종회의(7월) 자료"}</definedName>
    <definedName name="_36AS6_" hidden="1">{#N/A,#N/A,FALSE,"Australien";#N/A,#N/A,FALSE,"Birmingham";#N/A,#N/A,FALSE,"Brasilien";#N/A,#N/A,FALSE,"Prag";#N/A,#N/A,FALSE,"Spanien";#N/A,#N/A,FALSE,"Malaysia ( Com)";#N/A,#N/A,FALSE,"Malaysia (Instr)"}</definedName>
    <definedName name="_36CL22_" hidden="1">{#N/A,#N/A,FALSE,"KMC최종회의(7월) 자료"}</definedName>
    <definedName name="_36CL222_" hidden="1">{#N/A,#N/A,FALSE,"KMC최종회의(7월) 자료"}</definedName>
    <definedName name="_36CL222__1" hidden="1">{#N/A,#N/A,FALSE,"KMC최종회의(7월) 자료"}</definedName>
    <definedName name="_36CL33_" hidden="1">{#N/A,#N/A,FALSE,"KMC최종회의(7월) 자료"}</definedName>
    <definedName name="_36DC50_" hidden="1">{#N/A,#N/A,FALSE,"단축1";#N/A,#N/A,FALSE,"단축2";#N/A,#N/A,FALSE,"단축3";#N/A,#N/A,FALSE,"장축";#N/A,#N/A,FALSE,"4WD"}</definedName>
    <definedName name="_36e1_" hidden="1">{#N/A,#N/A,FALSE,"단축1";#N/A,#N/A,FALSE,"단축2";#N/A,#N/A,FALSE,"단축3";#N/A,#N/A,FALSE,"장축";#N/A,#N/A,FALSE,"4WD"}</definedName>
    <definedName name="_36E2_" hidden="1">{#N/A,#N/A,FALSE,"KMC최종회의(7월) 자료"}</definedName>
    <definedName name="_36h3_" hidden="1">{"'표지'!$B$5"}</definedName>
    <definedName name="_36HP2_" hidden="1">{#N/A,#N/A,FALSE,"단축1";#N/A,#N/A,FALSE,"단축2";#N/A,#N/A,FALSE,"단축3";#N/A,#N/A,FALSE,"장축";#N/A,#N/A,FALSE,"4WD"}</definedName>
    <definedName name="_36k9_" hidden="1">{#N/A,#N/A,FALSE,"단축1";#N/A,#N/A,FALSE,"단축2";#N/A,#N/A,FALSE,"단축3";#N/A,#N/A,FALSE,"장축";#N/A,#N/A,FALSE,"4WD"}</definedName>
    <definedName name="_36O11_" hidden="1">{#N/A,#N/A,FALSE,"단축1";#N/A,#N/A,FALSE,"단축2";#N/A,#N/A,FALSE,"단축3";#N/A,#N/A,FALSE,"장축";#N/A,#N/A,FALSE,"4WD"}</definedName>
    <definedName name="_36P21_" hidden="1">{#N/A,#N/A,FALSE,"단축1";#N/A,#N/A,FALSE,"단축2";#N/A,#N/A,FALSE,"단축3";#N/A,#N/A,FALSE,"장축";#N/A,#N/A,FALSE,"4WD"}</definedName>
    <definedName name="_36Q1_" hidden="1">{#N/A,#N/A,FALSE,"KMC최종회의(7월) 자료"}</definedName>
    <definedName name="_36Q3_" hidden="1">{#N/A,#N/A,FALSE,"KMC최종회의(7월) 자료"}</definedName>
    <definedName name="_36Q5_" hidden="1">{#N/A,#N/A,FALSE,"KMC최종회의(7월) 자료"}</definedName>
    <definedName name="_36Q8_" hidden="1">{#N/A,#N/A,FALSE,"KMC최종회의(7월) 자료"}</definedName>
    <definedName name="_36Q9_" hidden="1">{#N/A,#N/A,FALSE,"KMC최종회의(7월) 자료"}</definedName>
    <definedName name="_36S1_" hidden="1">{#N/A,#N/A,FALSE,"KMC최종회의(7월) 자료"}</definedName>
    <definedName name="_36S3_" hidden="1">{#N/A,#N/A,FALSE,"KMC최종회의(7월) 자료"}</definedName>
    <definedName name="_36S7_" hidden="1">{#N/A,#N/A,FALSE,"KMC최종회의(7월) 자료"}</definedName>
    <definedName name="_36S8_" hidden="1">{#N/A,#N/A,FALSE,"KMC최종회의(7월) 자료"}</definedName>
    <definedName name="_36T2_" hidden="1">{#N/A,#N/A,FALSE,"단축1";#N/A,#N/A,FALSE,"단축2";#N/A,#N/A,FALSE,"단축3";#N/A,#N/A,FALSE,"장축";#N/A,#N/A,FALSE,"4WD"}</definedName>
    <definedName name="_36U1_" hidden="1">{#N/A,#N/A,FALSE,"단축1";#N/A,#N/A,FALSE,"단축2";#N/A,#N/A,FALSE,"단축3";#N/A,#N/A,FALSE,"장축";#N/A,#N/A,FALSE,"4WD"}</definedName>
    <definedName name="_36W1_" hidden="1">{#N/A,#N/A,FALSE,"KMC최종회의(7월) 자료"}</definedName>
    <definedName name="_36W2_" hidden="1">{#N/A,#N/A,FALSE,"KMC최종회의(7월) 자료"}</definedName>
    <definedName name="_36W3_" hidden="1">{#N/A,#N/A,FALSE,"KMC최종회의(7월) 자료"}</definedName>
    <definedName name="_36W4_" hidden="1">{#N/A,#N/A,FALSE,"KMC최종회의(7월) 자료"}</definedName>
    <definedName name="_36W5_" hidden="1">{#N/A,#N/A,FALSE,"KMC최종회의(7월) 자료"}</definedName>
    <definedName name="_36W6_" hidden="1">{#N/A,#N/A,FALSE,"KMC최종회의(7월) 자료"}</definedName>
    <definedName name="_36W6__1" hidden="1">{#N/A,#N/A,FALSE,"KMC최종회의(7월) 자료"}</definedName>
    <definedName name="_36W7_" hidden="1">{#N/A,#N/A,FALSE,"KMC최종회의(7월) 자료"}</definedName>
    <definedName name="_36W8_" hidden="1">{#N/A,#N/A,FALSE,"KMC최종회의(7월) 자료"}</definedName>
    <definedName name="_36W9_" hidden="1">{#N/A,#N/A,FALSE,"KMC최종회의(7월) 자료"}</definedName>
    <definedName name="_36X1_" hidden="1">{#N/A,#N/A,FALSE,"KMC최종회의(7월) 자료"}</definedName>
    <definedName name="_36X1__1" hidden="1">{#N/A,#N/A,FALSE,"KMC최종회의(7월) 자료"}</definedName>
    <definedName name="_36X2_" hidden="1">{#N/A,#N/A,FALSE,"KMC최종회의(7월) 자료"}</definedName>
    <definedName name="_36X2__1" hidden="1">{#N/A,#N/A,FALSE,"KMC최종회의(7월) 자료"}</definedName>
    <definedName name="_37_____0_S" hidden="1">#REF!</definedName>
    <definedName name="_37__123Graph_CCHART_3" hidden="1">#REF!</definedName>
    <definedName name="_37____S" hidden="1">#REF!</definedName>
    <definedName name="_370z123_" hidden="1">{#N/A,#N/A,FALSE,"단축1";#N/A,#N/A,FALSE,"단축2";#N/A,#N/A,FALSE,"단축3";#N/A,#N/A,FALSE,"장축";#N/A,#N/A,FALSE,"4WD"}</definedName>
    <definedName name="_371X6_" hidden="1">{#N/A,#N/A,FALSE,"KMC최종회의(7월) 자료"}</definedName>
    <definedName name="_371Z4_" hidden="1">{#N/A,#N/A,FALSE,"KMC최종회의(7월) 자료"}</definedName>
    <definedName name="_371Z4__1" hidden="1">{#N/A,#N/A,FALSE,"KMC최종회의(7월) 자료"}</definedName>
    <definedName name="_372T5_" hidden="1">{#N/A,#N/A,FALSE,"단축1";#N/A,#N/A,FALSE,"단축2";#N/A,#N/A,FALSE,"단축3";#N/A,#N/A,FALSE,"장축";#N/A,#N/A,FALSE,"4WD"}</definedName>
    <definedName name="_372W5_" hidden="1">{#N/A,#N/A,FALSE,"KMC최종회의(7월) 자료"}</definedName>
    <definedName name="_372Z1_" hidden="1">{#N/A,#N/A,FALSE,"KMC최종회의(7월) 자료"}</definedName>
    <definedName name="_372Z7_" hidden="1">{#N/A,#N/A,FALSE,"KMC최종회의(7월) 자료"}</definedName>
    <definedName name="_373____S" hidden="1">#REF!</definedName>
    <definedName name="_373T3_" hidden="1">{#N/A,#N/A,FALSE,"단축1";#N/A,#N/A,FALSE,"단축2";#N/A,#N/A,FALSE,"단축3";#N/A,#N/A,FALSE,"장축";#N/A,#N/A,FALSE,"4WD"}</definedName>
    <definedName name="_373Z3_" hidden="1">{#N/A,#N/A,FALSE,"KMC최종회의(7월) 자료"}</definedName>
    <definedName name="_374X7_" hidden="1">{#N/A,#N/A,FALSE,"KMC최종회의(7월) 자료"}</definedName>
    <definedName name="_375X4_" hidden="1">{#N/A,#N/A,FALSE,"KMC최종회의(7월) 자료"}</definedName>
    <definedName name="_375Z3_" hidden="1">{#N/A,#N/A,FALSE,"KMC최종회의(7월) 자료"}</definedName>
    <definedName name="_375Z6_" hidden="1">{#N/A,#N/A,FALSE,"KMC최종회의(7월) 자료"}</definedName>
    <definedName name="_375Z6__1" hidden="1">{#N/A,#N/A,FALSE,"KMC최종회의(7월) 자료"}</definedName>
    <definedName name="_376__0_S" hidden="1">#REF!</definedName>
    <definedName name="_377FG1_" hidden="1">{#N/A,#N/A,FALSE,"단축1";#N/A,#N/A,FALSE,"단축2";#N/A,#N/A,FALSE,"단축3";#N/A,#N/A,FALSE,"장축";#N/A,#N/A,FALSE,"4WD"}</definedName>
    <definedName name="_377U1_" hidden="1">{#N/A,#N/A,FALSE,"단축1";#N/A,#N/A,FALSE,"단축2";#N/A,#N/A,FALSE,"단축3";#N/A,#N/A,FALSE,"장축";#N/A,#N/A,FALSE,"4WD"}</definedName>
    <definedName name="_378X7_" hidden="1">{#N/A,#N/A,FALSE,"KMC최종회의(7월) 자료"}</definedName>
    <definedName name="_378Z5_" hidden="1">{#N/A,#N/A,FALSE,"KMC최종회의(7월) 자료"}</definedName>
    <definedName name="_378Z5__1" hidden="1">{#N/A,#N/A,FALSE,"KMC최종회의(7월) 자료"}</definedName>
    <definedName name="_378Z8_" hidden="1">{#N/A,#N/A,FALSE,"KMC최종회의(7월) 자료"}</definedName>
    <definedName name="_379X8_" hidden="1">{#N/A,#N/A,FALSE,"KMC최종회의(7월) 자료"}</definedName>
    <definedName name="_379Z4_" hidden="1">{#N/A,#N/A,FALSE,"KMC최종회의(7월) 자료"}</definedName>
    <definedName name="_37A1232_" hidden="1">{#N/A,#N/A,FALSE,"단축1";#N/A,#N/A,FALSE,"단축2";#N/A,#N/A,FALSE,"단축3";#N/A,#N/A,FALSE,"장축";#N/A,#N/A,FALSE,"4WD"}</definedName>
    <definedName name="_37A1245_" hidden="1">{#N/A,#N/A,FALSE,"단축1";#N/A,#N/A,FALSE,"단축2";#N/A,#N/A,FALSE,"단축3";#N/A,#N/A,FALSE,"장축";#N/A,#N/A,FALSE,"4WD"}</definedName>
    <definedName name="_37A2_" hidden="1">{#N/A,#N/A,FALSE,"KMC최종회의(7월) 자료"}</definedName>
    <definedName name="_37A3_" hidden="1">{#N/A,#N/A,FALSE,"KMC최종회의(7월) 자료"}</definedName>
    <definedName name="_37A4_" hidden="1">{#N/A,#N/A,FALSE,"KMC최종회의(7월) 자료"}</definedName>
    <definedName name="_37A5_" hidden="1">{#N/A,#N/A,FALSE,"KMC최종회의(7월) 자료"}</definedName>
    <definedName name="_37A6666_" hidden="1">{#N/A,#N/A,FALSE,"KMC최종회의(7월) 자료"}</definedName>
    <definedName name="_37A7_" hidden="1">{#N/A,#N/A,FALSE,"KMC최종회의(7월) 자료"}</definedName>
    <definedName name="_37A8_" hidden="1">{#N/A,#N/A,FALSE,"KMC최종회의(7월) 자료"}</definedName>
    <definedName name="_37A8__1" hidden="1">{#N/A,#N/A,FALSE,"KMC최종회의(7월) 자료"}</definedName>
    <definedName name="_37A9_" hidden="1">{#N/A,#N/A,FALSE,"KMC최종회의(7월) 자료"}</definedName>
    <definedName name="_37CL22_" hidden="1">{#N/A,#N/A,FALSE,"KMC최종회의(7월) 자료"}</definedName>
    <definedName name="_37CL222_" hidden="1">{#N/A,#N/A,FALSE,"KMC최종회의(7월) 자료"}</definedName>
    <definedName name="_37CL33_" hidden="1">{#N/A,#N/A,FALSE,"KMC최종회의(7월) 자료"}</definedName>
    <definedName name="_37d1_" hidden="1">{#N/A,#N/A,FALSE,"신규dep";#N/A,#N/A,FALSE,"신규dep-금형상각후";#N/A,#N/A,FALSE,"신규dep-연구비상각후";#N/A,#N/A,FALSE,"신규dep-기계,공구상각후"}</definedName>
    <definedName name="_37d3__1" hidden="1">{#N/A,#N/A,FALSE,"신규dep";#N/A,#N/A,FALSE,"신규dep-금형상각후";#N/A,#N/A,FALSE,"신규dep-연구비상각후";#N/A,#N/A,FALSE,"신규dep-기계,공구상각후"}</definedName>
    <definedName name="_37DA3_" hidden="1">{#N/A,#N/A,FALSE,"단축1";#N/A,#N/A,FALSE,"단축2";#N/A,#N/A,FALSE,"단축3";#N/A,#N/A,FALSE,"장축";#N/A,#N/A,FALSE,"4WD"}</definedName>
    <definedName name="_37E1_" hidden="1">{#N/A,#N/A,FALSE,"KMC최종회의(7월) 자료"}</definedName>
    <definedName name="_37e4_" hidden="1">{#N/A,#N/A,FALSE,"단축1";#N/A,#N/A,FALSE,"단축2";#N/A,#N/A,FALSE,"단축3";#N/A,#N/A,FALSE,"장축";#N/A,#N/A,FALSE,"4WD"}</definedName>
    <definedName name="_37FG1_" hidden="1">{#N/A,#N/A,FALSE,"단축1";#N/A,#N/A,FALSE,"단축2";#N/A,#N/A,FALSE,"단축3";#N/A,#N/A,FALSE,"장축";#N/A,#N/A,FALSE,"4WD"}</definedName>
    <definedName name="_37Q1_" hidden="1">{#N/A,#N/A,FALSE,"KMC최종회의(7월) 자료"}</definedName>
    <definedName name="_37Q3_" hidden="1">{#N/A,#N/A,FALSE,"KMC최종회의(7월) 자료"}</definedName>
    <definedName name="_37Q3__1" hidden="1">{#N/A,#N/A,FALSE,"KMC최종회의(7월) 자료"}</definedName>
    <definedName name="_37q6_" hidden="1">{#N/A,#N/A,FALSE,"신규dep";#N/A,#N/A,FALSE,"신규dep-금형상각후";#N/A,#N/A,FALSE,"신규dep-연구비상각후";#N/A,#N/A,FALSE,"신규dep-기계,공구상각후"}</definedName>
    <definedName name="_37Q8_" hidden="1">{#N/A,#N/A,FALSE,"KMC최종회의(7월) 자료"}</definedName>
    <definedName name="_37Q9_" hidden="1">{#N/A,#N/A,FALSE,"KMC최종회의(7월) 자료"}</definedName>
    <definedName name="_37S2_" hidden="1">{#N/A,#N/A,FALSE,"KMC최종회의(7월) 자료"}</definedName>
    <definedName name="_37S3_" hidden="1">{#N/A,#N/A,FALSE,"KMC최종회의(7월) 자료"}</definedName>
    <definedName name="_37S4_" hidden="1">{#N/A,#N/A,FALSE,"KMC최종회의(7월) 자료"}</definedName>
    <definedName name="_37S8_" hidden="1">{#N/A,#N/A,FALSE,"KMC최종회의(7월) 자료"}</definedName>
    <definedName name="_37T2_" hidden="1">{#N/A,#N/A,FALSE,"단축1";#N/A,#N/A,FALSE,"단축2";#N/A,#N/A,FALSE,"단축3";#N/A,#N/A,FALSE,"장축";#N/A,#N/A,FALSE,"4WD"}</definedName>
    <definedName name="_37T3_" hidden="1">{#N/A,#N/A,FALSE,"단축1";#N/A,#N/A,FALSE,"단축2";#N/A,#N/A,FALSE,"단축3";#N/A,#N/A,FALSE,"장축";#N/A,#N/A,FALSE,"4WD"}</definedName>
    <definedName name="_37W1_" hidden="1">{#N/A,#N/A,FALSE,"KMC최종회의(7월) 자료"}</definedName>
    <definedName name="_37W2_" hidden="1">{#N/A,#N/A,FALSE,"KMC최종회의(7월) 자료"}</definedName>
    <definedName name="_37W3_" hidden="1">{#N/A,#N/A,FALSE,"KMC최종회의(7월) 자료"}</definedName>
    <definedName name="_37W5_" hidden="1">{#N/A,#N/A,FALSE,"KMC최종회의(7월) 자료"}</definedName>
    <definedName name="_37W6_" hidden="1">{#N/A,#N/A,FALSE,"KMC최종회의(7월) 자료"}</definedName>
    <definedName name="_37W7_" hidden="1">{#N/A,#N/A,FALSE,"KMC최종회의(7월) 자료"}</definedName>
    <definedName name="_37W7__1" hidden="1">{#N/A,#N/A,FALSE,"KMC최종회의(7월) 자료"}</definedName>
    <definedName name="_37W8_" hidden="1">{#N/A,#N/A,FALSE,"KMC최종회의(7월) 자료"}</definedName>
    <definedName name="_37W9_" hidden="1">{#N/A,#N/A,FALSE,"KMC최종회의(7월) 자료"}</definedName>
    <definedName name="_37X1_" hidden="1">{#N/A,#N/A,FALSE,"KMC최종회의(7월) 자료"}</definedName>
    <definedName name="_37X2_" hidden="1">{#N/A,#N/A,FALSE,"KMC최종회의(7월) 자료"}</definedName>
    <definedName name="_37X2__1" hidden="1">{#N/A,#N/A,FALSE,"KMC최종회의(7월) 자료"}</definedName>
    <definedName name="_37X3_" hidden="1">{#N/A,#N/A,FALSE,"KMC최종회의(7월) 자료"}</definedName>
    <definedName name="_37X3__1" hidden="1">{#N/A,#N/A,FALSE,"KMC최종회의(7월) 자료"}</definedName>
    <definedName name="_38____S" hidden="1">#REF!</definedName>
    <definedName name="_38__0_S" hidden="1">#REF!</definedName>
    <definedName name="_380U1_" hidden="1">{#N/A,#N/A,FALSE,"단축1";#N/A,#N/A,FALSE,"단축2";#N/A,#N/A,FALSE,"단축3";#N/A,#N/A,FALSE,"장축";#N/A,#N/A,FALSE,"4WD"}</definedName>
    <definedName name="_380Z2_" hidden="1">{#N/A,#N/A,FALSE,"KMC최종회의(7월) 자료"}</definedName>
    <definedName name="_381W1_" hidden="1">{#N/A,#N/A,FALSE,"KMC최종회의(7월) 자료"}</definedName>
    <definedName name="_381z4_" hidden="1">{#N/A,#N/A,FALSE,"단축1";#N/A,#N/A,FALSE,"단축2";#N/A,#N/A,FALSE,"단축3";#N/A,#N/A,FALSE,"장축";#N/A,#N/A,FALSE,"4WD"}</definedName>
    <definedName name="_381Z7_" hidden="1">{#N/A,#N/A,FALSE,"KMC최종회의(7월) 자료"}</definedName>
    <definedName name="_381Z7__1" hidden="1">{#N/A,#N/A,FALSE,"KMC최종회의(7월) 자료"}</definedName>
    <definedName name="_382CL22_" hidden="1">{#N/A,#N/A,FALSE,"KMC최종회의(7월) 자료"}</definedName>
    <definedName name="_382q9_" hidden="1">{#N/A,#N/A,FALSE,"신규dep";#N/A,#N/A,FALSE,"신규dep-금형상각후";#N/A,#N/A,FALSE,"신규dep-연구비상각후";#N/A,#N/A,FALSE,"신규dep-기계,공구상각후"}</definedName>
    <definedName name="_382q9__1" hidden="1">{#N/A,#N/A,FALSE,"신규dep";#N/A,#N/A,FALSE,"신규dep-금형상각후";#N/A,#N/A,FALSE,"신규dep-연구비상각후";#N/A,#N/A,FALSE,"신규dep-기계,공구상각후"}</definedName>
    <definedName name="_382Z4_" hidden="1">{#N/A,#N/A,FALSE,"KMC최종회의(7월) 자료"}</definedName>
    <definedName name="_383__0_S" hidden="1">#REF!</definedName>
    <definedName name="_383HP02_" hidden="1">{#N/A,#N/A,FALSE,"단축1";#N/A,#N/A,FALSE,"단축2";#N/A,#N/A,FALSE,"단축3";#N/A,#N/A,FALSE,"장축";#N/A,#N/A,FALSE,"4WD"}</definedName>
    <definedName name="_383X5_" hidden="1">{#N/A,#N/A,FALSE,"KMC최종회의(7월) 자료"}</definedName>
    <definedName name="_384W6_" hidden="1">{#N/A,#N/A,FALSE,"KMC최종회의(7월) 자료"}</definedName>
    <definedName name="_384W9_" hidden="1">{#N/A,#N/A,FALSE,"KMC최종회의(7월) 자료"}</definedName>
    <definedName name="_384Z1_" hidden="1">{#N/A,#N/A,FALSE,"KMC최종회의(7월) 자료"}</definedName>
    <definedName name="_384Z9_" hidden="1">{#N/A,#N/A,FALSE,"KMC최종회의(7월) 자료"}</definedName>
    <definedName name="_385W2_" hidden="1">{#N/A,#N/A,FALSE,"KMC최종회의(7월) 자료"}</definedName>
    <definedName name="_385X8_" hidden="1">{#N/A,#N/A,FALSE,"KMC최종회의(7월) 자료"}</definedName>
    <definedName name="_385Z5_" hidden="1">{#N/A,#N/A,FALSE,"KMC최종회의(7월) 자료"}</definedName>
    <definedName name="_385Z6_" hidden="1">{#N/A,#N/A,FALSE,"KMC최종회의(7월) 자료"}</definedName>
    <definedName name="_385Z6__1" hidden="1">{#N/A,#N/A,FALSE,"KMC최종회의(7월) 자료"}</definedName>
    <definedName name="_387____S" hidden="1">#REF!</definedName>
    <definedName name="_387z123_" hidden="1">{#N/A,#N/A,FALSE,"단축1";#N/A,#N/A,FALSE,"단축2";#N/A,#N/A,FALSE,"단축3";#N/A,#N/A,FALSE,"장축";#N/A,#N/A,FALSE,"4WD"}</definedName>
    <definedName name="_387Z8_" hidden="1">{#N/A,#N/A,FALSE,"KMC최종회의(7월) 자료"}</definedName>
    <definedName name="_387Z8__1" hidden="1">{#N/A,#N/A,FALSE,"KMC최종회의(7월) 자료"}</definedName>
    <definedName name="_388Z3_" hidden="1">{#N/A,#N/A,FALSE,"KMC최종회의(7월) 자료"}</definedName>
    <definedName name="_389____S" hidden="1">#REF!</definedName>
    <definedName name="_389HP2_" hidden="1">{#N/A,#N/A,FALSE,"단축1";#N/A,#N/A,FALSE,"단축2";#N/A,#N/A,FALSE,"단축3";#N/A,#N/A,FALSE,"장축";#N/A,#N/A,FALSE,"4WD"}</definedName>
    <definedName name="_389W1_" hidden="1">{#N/A,#N/A,FALSE,"KMC최종회의(7월) 자료"}</definedName>
    <definedName name="_389Z5_" hidden="1">{#N/A,#N/A,FALSE,"KMC최종회의(7월) 자료"}</definedName>
    <definedName name="_38A1245_" hidden="1">{#N/A,#N/A,FALSE,"단축1";#N/A,#N/A,FALSE,"단축2";#N/A,#N/A,FALSE,"단축3";#N/A,#N/A,FALSE,"장축";#N/A,#N/A,FALSE,"4WD"}</definedName>
    <definedName name="_38A2_" hidden="1">{#N/A,#N/A,FALSE,"KMC최종회의(7월) 자료"}</definedName>
    <definedName name="_38A4_" hidden="1">{#N/A,#N/A,FALSE,"KMC최종회의(7월) 자료"}</definedName>
    <definedName name="_38A6_" hidden="1">{#N/A,#N/A,FALSE,"KMC최종회의(7월) 자료"}</definedName>
    <definedName name="_38A9_" hidden="1">{#N/A,#N/A,FALSE,"KMC최종회의(7월) 자료"}</definedName>
    <definedName name="_38A9__1" hidden="1">{#N/A,#N/A,FALSE,"KMC최종회의(7월) 자료"}</definedName>
    <definedName name="_38CL222_" hidden="1">{#N/A,#N/A,FALSE,"KMC최종회의(7월) 자료"}</definedName>
    <definedName name="_38CL33_" hidden="1">{#N/A,#N/A,FALSE,"KMC최종회의(7월) 자료"}</definedName>
    <definedName name="_38E1_" hidden="1">{#N/A,#N/A,FALSE,"KMC최종회의(7월) 자료"}</definedName>
    <definedName name="_38e2_" hidden="1">{#N/A,#N/A,FALSE,"단축1";#N/A,#N/A,FALSE,"단축2";#N/A,#N/A,FALSE,"단축3";#N/A,#N/A,FALSE,"장축";#N/A,#N/A,FALSE,"4WD"}</definedName>
    <definedName name="_38h4_" hidden="1">{"'표지'!$B$5"}</definedName>
    <definedName name="_38k8_" hidden="1">{#N/A,#N/A,FALSE,"단축1";#N/A,#N/A,FALSE,"단축2";#N/A,#N/A,FALSE,"단축3";#N/A,#N/A,FALSE,"장축";#N/A,#N/A,FALSE,"4WD"}</definedName>
    <definedName name="_38P21_" hidden="1">{#N/A,#N/A,FALSE,"단축1";#N/A,#N/A,FALSE,"단축2";#N/A,#N/A,FALSE,"단축3";#N/A,#N/A,FALSE,"장축";#N/A,#N/A,FALSE,"4WD"}</definedName>
    <definedName name="_38Q1_" hidden="1">{#N/A,#N/A,FALSE,"KMC최종회의(7월) 자료"}</definedName>
    <definedName name="_38Q2_" hidden="1">{#N/A,#N/A,FALSE,"KMC최종회의(7월) 자료"}</definedName>
    <definedName name="_38Q7_" hidden="1">{#N/A,#N/A,FALSE,"KMC최종회의(7월) 자료"}</definedName>
    <definedName name="_38Q9_" hidden="1">{#N/A,#N/A,FALSE,"KMC최종회의(7월) 자료"}</definedName>
    <definedName name="_38S1_" hidden="1">{#N/A,#N/A,FALSE,"KMC최종회의(7월) 자료"}</definedName>
    <definedName name="_38S3_" hidden="1">{#N/A,#N/A,FALSE,"KMC최종회의(7월) 자료"}</definedName>
    <definedName name="_38S4_" hidden="1">{#N/A,#N/A,FALSE,"KMC최종회의(7월) 자료"}</definedName>
    <definedName name="_38S5_" hidden="1">{#N/A,#N/A,FALSE,"KMC최종회의(7월) 자료"}</definedName>
    <definedName name="_38T2_" hidden="1">{#N/A,#N/A,FALSE,"단축1";#N/A,#N/A,FALSE,"단축2";#N/A,#N/A,FALSE,"단축3";#N/A,#N/A,FALSE,"장축";#N/A,#N/A,FALSE,"4WD"}</definedName>
    <definedName name="_38U1_" hidden="1">{#N/A,#N/A,FALSE,"단축1";#N/A,#N/A,FALSE,"단축2";#N/A,#N/A,FALSE,"단축3";#N/A,#N/A,FALSE,"장축";#N/A,#N/A,FALSE,"4WD"}</definedName>
    <definedName name="_38W1_" hidden="1">{#N/A,#N/A,FALSE,"KMC최종회의(7월) 자료"}</definedName>
    <definedName name="_38W2_" hidden="1">{#N/A,#N/A,FALSE,"KMC최종회의(7월) 자료"}</definedName>
    <definedName name="_38W3_" hidden="1">{#N/A,#N/A,FALSE,"KMC최종회의(7월) 자료"}</definedName>
    <definedName name="_38W4_" hidden="1">{#N/A,#N/A,FALSE,"KMC최종회의(7월) 자료"}</definedName>
    <definedName name="_38W6_" hidden="1">{#N/A,#N/A,FALSE,"KMC최종회의(7월) 자료"}</definedName>
    <definedName name="_38W7_" hidden="1">{#N/A,#N/A,FALSE,"KMC최종회의(7월) 자료"}</definedName>
    <definedName name="_38W8_" hidden="1">{#N/A,#N/A,FALSE,"KMC최종회의(7월) 자료"}</definedName>
    <definedName name="_38W8__1" hidden="1">{#N/A,#N/A,FALSE,"KMC최종회의(7월) 자료"}</definedName>
    <definedName name="_38W9_" hidden="1">{#N/A,#N/A,FALSE,"KMC최종회의(7월) 자료"}</definedName>
    <definedName name="_38X1_" hidden="1">{#N/A,#N/A,FALSE,"KMC최종회의(7월) 자료"}</definedName>
    <definedName name="_38X2_" hidden="1">{#N/A,#N/A,FALSE,"KMC최종회의(7월) 자료"}</definedName>
    <definedName name="_38X3_" hidden="1">{#N/A,#N/A,FALSE,"KMC최종회의(7월) 자료"}</definedName>
    <definedName name="_38X3__1" hidden="1">{#N/A,#N/A,FALSE,"KMC최종회의(7월) 자료"}</definedName>
    <definedName name="_38X4_" hidden="1">{#N/A,#N/A,FALSE,"KMC최종회의(7월) 자료"}</definedName>
    <definedName name="_38X4__1" hidden="1">{#N/A,#N/A,FALSE,"KMC최종회의(7월) 자료"}</definedName>
    <definedName name="_39__123Graph_AC04C_FR_L2" hidden="1">#REF!</definedName>
    <definedName name="_390__0_S" hidden="1">#REF!</definedName>
    <definedName name="_390W23_" hidden="1">{#N/A,#N/A,FALSE,"단축1";#N/A,#N/A,FALSE,"단축2";#N/A,#N/A,FALSE,"단축3";#N/A,#N/A,FALSE,"장축";#N/A,#N/A,FALSE,"4WD"}</definedName>
    <definedName name="_391X6_" hidden="1">{#N/A,#N/A,FALSE,"KMC최종회의(7월) 자료"}</definedName>
    <definedName name="_391Z6_" hidden="1">{#N/A,#N/A,FALSE,"KMC최종회의(7월) 자료"}</definedName>
    <definedName name="_392Z1_" hidden="1">{#N/A,#N/A,FALSE,"KMC최종회의(7월) 자료"}</definedName>
    <definedName name="_392Z2_" hidden="1">{#N/A,#N/A,FALSE,"KMC최종회의(7월) 자료"}</definedName>
    <definedName name="_392Z7_" hidden="1">{#N/A,#N/A,FALSE,"KMC최종회의(7월) 자료"}</definedName>
    <definedName name="_392Z7__1" hidden="1">{#N/A,#N/A,FALSE,"KMC최종회의(7월) 자료"}</definedName>
    <definedName name="_393Z9_" hidden="1">{#N/A,#N/A,FALSE,"KMC최종회의(7월) 자료"}</definedName>
    <definedName name="_393Z9__1" hidden="1">{#N/A,#N/A,FALSE,"KMC최종회의(7월) 자료"}</definedName>
    <definedName name="_394_____0_S" hidden="1">#REF!</definedName>
    <definedName name="_394__0_S" hidden="1">#REF!</definedName>
    <definedName name="_394T2_" hidden="1">{#N/A,#N/A,FALSE,"단축1";#N/A,#N/A,FALSE,"단축2";#N/A,#N/A,FALSE,"단축3";#N/A,#N/A,FALSE,"장축";#N/A,#N/A,FALSE,"4WD"}</definedName>
    <definedName name="_394W3_" hidden="1">{#N/A,#N/A,FALSE,"KMC최종회의(7월) 자료"}</definedName>
    <definedName name="_396__0_S" hidden="1">#REF!</definedName>
    <definedName name="_396T3_" hidden="1">{#N/A,#N/A,FALSE,"단축1";#N/A,#N/A,FALSE,"단축2";#N/A,#N/A,FALSE,"단축3";#N/A,#N/A,FALSE,"장축";#N/A,#N/A,FALSE,"4WD"}</definedName>
    <definedName name="_396W7_" hidden="1">{#N/A,#N/A,FALSE,"KMC최종회의(7월) 자료"}</definedName>
    <definedName name="_396Z4_" hidden="1">{#N/A,#N/A,FALSE,"KMC최종회의(7월) 자료"}</definedName>
    <definedName name="_396Z6_" hidden="1">{#N/A,#N/A,FALSE,"KMC최종회의(7월) 자료"}</definedName>
    <definedName name="_397s1_" hidden="1">{#N/A,#N/A,FALSE,"신규dep";#N/A,#N/A,FALSE,"신규dep-금형상각후";#N/A,#N/A,FALSE,"신규dep-연구비상각후";#N/A,#N/A,FALSE,"신규dep-기계,공구상각후"}</definedName>
    <definedName name="_397s1__1" hidden="1">{#N/A,#N/A,FALSE,"신규dep";#N/A,#N/A,FALSE,"신규dep-금형상각후";#N/A,#N/A,FALSE,"신규dep-연구비상각후";#N/A,#N/A,FALSE,"신규dep-기계,공구상각후"}</definedName>
    <definedName name="_397Z3_" hidden="1">{#N/A,#N/A,FALSE,"KMC최종회의(7월) 자료"}</definedName>
    <definedName name="_397Z7_" hidden="1">{#N/A,#N/A,FALSE,"KMC최종회의(7월) 자료"}</definedName>
    <definedName name="_398CL222_" hidden="1">{#N/A,#N/A,FALSE,"KMC최종회의(7월) 자료"}</definedName>
    <definedName name="_398T5_" hidden="1">{#N/A,#N/A,FALSE,"단축1";#N/A,#N/A,FALSE,"단축2";#N/A,#N/A,FALSE,"단축3";#N/A,#N/A,FALSE,"장축";#N/A,#N/A,FALSE,"4WD"}</definedName>
    <definedName name="_398W2_" hidden="1">{#N/A,#N/A,FALSE,"KMC최종회의(7월) 자료"}</definedName>
    <definedName name="_399W32_" hidden="1">{#N/A,#N/A,FALSE,"단축1";#N/A,#N/A,FALSE,"단축2";#N/A,#N/A,FALSE,"단축3";#N/A,#N/A,FALSE,"장축";#N/A,#N/A,FALSE,"4WD"}</definedName>
    <definedName name="_399X7_" hidden="1">{#N/A,#N/A,FALSE,"KMC최종회의(7월) 자료"}</definedName>
    <definedName name="_399Z2_" hidden="1">{#N/A,#N/A,FALSE,"KMC최종회의(7월) 자료"}</definedName>
    <definedName name="_399Z8_" hidden="1">{#N/A,#N/A,FALSE,"KMC최종회의(7월) 자료"}</definedName>
    <definedName name="_399Z8__1" hidden="1">{#N/A,#N/A,FALSE,"KMC최종회의(7월) 자료"}</definedName>
    <definedName name="_39A0323_" hidden="1">{#N/A,#N/A,FALSE,"단축1";#N/A,#N/A,FALSE,"단축2";#N/A,#N/A,FALSE,"단축3";#N/A,#N/A,FALSE,"장축";#N/A,#N/A,FALSE,"4WD"}</definedName>
    <definedName name="_39A0323__1" hidden="1">{#N/A,#N/A,FALSE,"단축1";#N/A,#N/A,FALSE,"단축2";#N/A,#N/A,FALSE,"단축3";#N/A,#N/A,FALSE,"장축";#N/A,#N/A,FALSE,"4WD"}</definedName>
    <definedName name="_39A1_" hidden="1">{#N/A,#N/A,FALSE,"KMC최종회의(7월) 자료"}</definedName>
    <definedName name="_39A2_" hidden="1">{#N/A,#N/A,FALSE,"단축1";#N/A,#N/A,FALSE,"단축2";#N/A,#N/A,FALSE,"단축3";#N/A,#N/A,FALSE,"장축";#N/A,#N/A,FALSE,"4WD"}</definedName>
    <definedName name="_39A3_" hidden="1">{#N/A,#N/A,FALSE,"KMC최종회의(7월) 자료"}</definedName>
    <definedName name="_39A4_" hidden="1">{#N/A,#N/A,FALSE,"KMC최종회의(7월) 자료"}</definedName>
    <definedName name="_39A5_" hidden="1">{#N/A,#N/A,FALSE,"KMC최종회의(7월) 자료"}</definedName>
    <definedName name="_39A6_" hidden="1">{#N/A,#N/A,FALSE,"KMC최종회의(7월) 자료"}</definedName>
    <definedName name="_39A7_" hidden="1">{#N/A,#N/A,FALSE,"KMC최종회의(7월) 자료"}</definedName>
    <definedName name="_39A9_" hidden="1">{#N/A,#N/A,FALSE,"KMC최종회의(7월) 자료"}</definedName>
    <definedName name="_39AA4_" hidden="1">{#N/A,#N/A,FALSE,"신규dep";#N/A,#N/A,FALSE,"신규dep-금형상각후";#N/A,#N/A,FALSE,"신규dep-연구비상각후";#N/A,#N/A,FALSE,"신규dep-기계,공구상각후"}</definedName>
    <definedName name="_39AA4__1" hidden="1">{#N/A,#N/A,FALSE,"신규dep";#N/A,#N/A,FALSE,"신규dep-금형상각후";#N/A,#N/A,FALSE,"신규dep-연구비상각후";#N/A,#N/A,FALSE,"신규dep-기계,공구상각후"}</definedName>
    <definedName name="_39AS6_" hidden="1">{#N/A,#N/A,FALSE,"Australien";#N/A,#N/A,FALSE,"Birmingham";#N/A,#N/A,FALSE,"Brasilien";#N/A,#N/A,FALSE,"Prag";#N/A,#N/A,FALSE,"Spanien";#N/A,#N/A,FALSE,"Malaysia ( Com)";#N/A,#N/A,FALSE,"Malaysia (Instr)"}</definedName>
    <definedName name="_39CL222_" hidden="1">{#N/A,#N/A,FALSE,"KMC최종회의(7월) 자료"}</definedName>
    <definedName name="_39CL33_" hidden="1">{#N/A,#N/A,FALSE,"KMC최종회의(7월) 자료"}</definedName>
    <definedName name="_39CL33__1" hidden="1">{#N/A,#N/A,FALSE,"KMC최종회의(7월) 자료"}</definedName>
    <definedName name="_39DB777_" hidden="1">{#N/A,#N/A,TRUE,"Y생산";#N/A,#N/A,TRUE,"Y판매";#N/A,#N/A,TRUE,"Y총물량";#N/A,#N/A,TRUE,"Y능력";#N/A,#N/A,TRUE,"YKD"}</definedName>
    <definedName name="_39e1_" hidden="1">{#N/A,#N/A,FALSE,"단축1";#N/A,#N/A,FALSE,"단축2";#N/A,#N/A,FALSE,"단축3";#N/A,#N/A,FALSE,"장축";#N/A,#N/A,FALSE,"4WD"}</definedName>
    <definedName name="_39e1__1" hidden="1">{#N/A,#N/A,FALSE,"단축1";#N/A,#N/A,FALSE,"단축2";#N/A,#N/A,FALSE,"단축3";#N/A,#N/A,FALSE,"장축";#N/A,#N/A,FALSE,"4WD"}</definedName>
    <definedName name="_39e5_" hidden="1">{#N/A,#N/A,FALSE,"단축1";#N/A,#N/A,FALSE,"단축2";#N/A,#N/A,FALSE,"단축3";#N/A,#N/A,FALSE,"장축";#N/A,#N/A,FALSE,"4WD"}</definedName>
    <definedName name="_39P21_" hidden="1">{#N/A,#N/A,FALSE,"단축1";#N/A,#N/A,FALSE,"단축2";#N/A,#N/A,FALSE,"단축3";#N/A,#N/A,FALSE,"장축";#N/A,#N/A,FALSE,"4WD"}</definedName>
    <definedName name="_39Q1_" hidden="1">{#N/A,#N/A,FALSE,"KMC최종회의(7월) 자료"}</definedName>
    <definedName name="_39Q2_" hidden="1">{#N/A,#N/A,FALSE,"KMC최종회의(7월) 자료"}</definedName>
    <definedName name="_39Q3_" hidden="1">{#N/A,#N/A,FALSE,"KMC최종회의(7월) 자료"}</definedName>
    <definedName name="_39Q5_" hidden="1">{#N/A,#N/A,FALSE,"KMC최종회의(7월) 자료"}</definedName>
    <definedName name="_39Q5__1" hidden="1">{#N/A,#N/A,FALSE,"KMC최종회의(7월) 자료"}</definedName>
    <definedName name="_39Q8_" hidden="1">{#N/A,#N/A,FALSE,"KMC최종회의(7월) 자료"}</definedName>
    <definedName name="_39q9_" hidden="1">{#N/A,#N/A,FALSE,"신규dep";#N/A,#N/A,FALSE,"신규dep-금형상각후";#N/A,#N/A,FALSE,"신규dep-연구비상각후";#N/A,#N/A,FALSE,"신규dep-기계,공구상각후"}</definedName>
    <definedName name="_39S1_" hidden="1">{#N/A,#N/A,FALSE,"KMC최종회의(7월) 자료"}</definedName>
    <definedName name="_39S2_" hidden="1">{#N/A,#N/A,FALSE,"KMC최종회의(7월) 자료"}</definedName>
    <definedName name="_39S4_" hidden="1">{#N/A,#N/A,FALSE,"KMC최종회의(7월) 자료"}</definedName>
    <definedName name="_39S6_" hidden="1">{#N/A,#N/A,FALSE,"KMC최종회의(7월) 자료"}</definedName>
    <definedName name="_39T3_" hidden="1">{#N/A,#N/A,FALSE,"단축1";#N/A,#N/A,FALSE,"단축2";#N/A,#N/A,FALSE,"단축3";#N/A,#N/A,FALSE,"장축";#N/A,#N/A,FALSE,"4WD"}</definedName>
    <definedName name="_39W1_" hidden="1">{#N/A,#N/A,FALSE,"KMC최종회의(7월) 자료"}</definedName>
    <definedName name="_39W2_" hidden="1">{#N/A,#N/A,FALSE,"KMC최종회의(7월) 자료"}</definedName>
    <definedName name="_39W3_" hidden="1">{#N/A,#N/A,FALSE,"KMC최종회의(7월) 자료"}</definedName>
    <definedName name="_39W4_" hidden="1">{#N/A,#N/A,FALSE,"KMC최종회의(7월) 자료"}</definedName>
    <definedName name="_39W5_" hidden="1">{#N/A,#N/A,FALSE,"KMC최종회의(7월) 자료"}</definedName>
    <definedName name="_39W7_" hidden="1">{#N/A,#N/A,FALSE,"KMC최종회의(7월) 자료"}</definedName>
    <definedName name="_39W8_" hidden="1">{#N/A,#N/A,FALSE,"KMC최종회의(7월) 자료"}</definedName>
    <definedName name="_39W9_" hidden="1">{#N/A,#N/A,FALSE,"KMC최종회의(7월) 자료"}</definedName>
    <definedName name="_39W9__1" hidden="1">{#N/A,#N/A,FALSE,"KMC최종회의(7월) 자료"}</definedName>
    <definedName name="_39X1_" hidden="1">{#N/A,#N/A,FALSE,"KMC최종회의(7월) 자료"}</definedName>
    <definedName name="_39X2_" hidden="1">{#N/A,#N/A,FALSE,"KMC최종회의(7월) 자료"}</definedName>
    <definedName name="_39X3_" hidden="1">{#N/A,#N/A,FALSE,"KMC최종회의(7월) 자료"}</definedName>
    <definedName name="_39X4_" hidden="1">{#N/A,#N/A,FALSE,"KMC최종회의(7월) 자료"}</definedName>
    <definedName name="_39X4__1" hidden="1">{#N/A,#N/A,FALSE,"KMC최종회의(7월) 자료"}</definedName>
    <definedName name="_39X5_" hidden="1">{#N/A,#N/A,FALSE,"KMC최종회의(7월) 자료"}</definedName>
    <definedName name="_39X5__1" hidden="1">{#N/A,#N/A,FALSE,"KMC최종회의(7월) 자료"}</definedName>
    <definedName name="_3A02_" hidden="1">{#N/A,#N/A,FALSE,"단축1";#N/A,#N/A,FALSE,"단축2";#N/A,#N/A,FALSE,"단축3";#N/A,#N/A,FALSE,"장축";#N/A,#N/A,FALSE,"4WD"}</definedName>
    <definedName name="_3A1_" hidden="1">{#N/A,#N/A,FALSE,"KMC최종회의(7월) 자료"}</definedName>
    <definedName name="_3A1232_" hidden="1">{#N/A,#N/A,FALSE,"단축1";#N/A,#N/A,FALSE,"단축2";#N/A,#N/A,FALSE,"단축3";#N/A,#N/A,FALSE,"장축";#N/A,#N/A,FALSE,"4WD"}</definedName>
    <definedName name="_3A2_" hidden="1">{#N/A,#N/A,FALSE,"KMC최종회의(7월) 자료"}</definedName>
    <definedName name="_3A2040_" hidden="1">{#N/A,#N/A,FALSE,"단축1";#N/A,#N/A,FALSE,"단축2";#N/A,#N/A,FALSE,"단축3";#N/A,#N/A,FALSE,"장축";#N/A,#N/A,FALSE,"4WD"}</definedName>
    <definedName name="_3A3_" hidden="1">{#N/A,#N/A,FALSE,"KMC최종회의(7월) 자료"}</definedName>
    <definedName name="_3A3__1" hidden="1">{#N/A,#N/A,FALSE,"KMC최종회의(7월) 자료"}</definedName>
    <definedName name="_3A5_" hidden="1">{#N/A,#N/A,FALSE,"KMC최종회의(7월) 자료"}</definedName>
    <definedName name="_3A6_" hidden="1">{#N/A,#N/A,FALSE,"KMC최종회의(7월) 자료"}</definedName>
    <definedName name="_3A7_" hidden="1">{#N/A,#N/A,FALSE,"KMC최종회의(7월) 자료"}</definedName>
    <definedName name="_3AT3_" hidden="1">{#N/A,#N/A,FALSE,"인원";#N/A,#N/A,FALSE,"비용2";#N/A,#N/A,FALSE,"비용1";#N/A,#N/A,FALSE,"비용";#N/A,#N/A,FALSE,"보증2";#N/A,#N/A,FALSE,"보증1";#N/A,#N/A,FALSE,"보증";#N/A,#N/A,FALSE,"손익1";#N/A,#N/A,FALSE,"손익";#N/A,#N/A,FALSE,"부서별매출";#N/A,#N/A,FALSE,"매출"}</definedName>
    <definedName name="_3D123_" hidden="1">{#N/A,#N/A,TRUE,"Y생산";#N/A,#N/A,TRUE,"Y판매";#N/A,#N/A,TRUE,"Y총물량";#N/A,#N/A,TRUE,"Y능력";#N/A,#N/A,TRUE,"YKD"}</definedName>
    <definedName name="_3EO2_" hidden="1">{#N/A,#N/A,FALSE,"신규dep";#N/A,#N/A,FALSE,"신규dep-금형상각후";#N/A,#N/A,FALSE,"신규dep-연구비상각후";#N/A,#N/A,FALSE,"신규dep-기계,공구상각후"}</definedName>
    <definedName name="_3FG1_" hidden="1">{#N/A,#N/A,FALSE,"단축1";#N/A,#N/A,FALSE,"단축2";#N/A,#N/A,FALSE,"단축3";#N/A,#N/A,FALSE,"장축";#N/A,#N/A,FALSE,"4WD"}</definedName>
    <definedName name="_3P2_" hidden="1">{#N/A,#N/A,FALSE,"단축1";#N/A,#N/A,FALSE,"단축2";#N/A,#N/A,FALSE,"단축3";#N/A,#N/A,FALSE,"장축";#N/A,#N/A,FALSE,"4WD"}</definedName>
    <definedName name="_4________________________________________________0_S" hidden="1">#REF!</definedName>
    <definedName name="_4_________0_S" hidden="1">#REF!</definedName>
    <definedName name="_4__123Graph_ABORE_I.VALVE" hidden="1">#REF!</definedName>
    <definedName name="_4__123Graph_ACHART_2" hidden="1">#REF!</definedName>
    <definedName name="_4__123Graph_ACHART_3" hidden="1">#REF!</definedName>
    <definedName name="_4__123Graph_CCHART_3" hidden="1">#REF!</definedName>
    <definedName name="_4___0_S" hidden="1">#REF!</definedName>
    <definedName name="_4_5_0__123Grap" hidden="1">#REF!</definedName>
    <definedName name="_4_9_0__123Grap" hidden="1">#REF!</definedName>
    <definedName name="_4____S" hidden="1">#REF!</definedName>
    <definedName name="_4__0_S" hidden="1">#REF!</definedName>
    <definedName name="_40__123Graph_AC04C_FR_L2" hidden="1">#REF!</definedName>
    <definedName name="_40__123Graph_BCHART_3" hidden="1">#REF!</definedName>
    <definedName name="_40__0_S" hidden="1">#REF!</definedName>
    <definedName name="_400X1_" hidden="1">{#N/A,#N/A,FALSE,"KMC최종회의(7월) 자료"}</definedName>
    <definedName name="_402Z4_" hidden="1">{#N/A,#N/A,FALSE,"KMC최종회의(7월) 자료"}</definedName>
    <definedName name="_403W4_" hidden="1">{#N/A,#N/A,FALSE,"KMC최종회의(7월) 자료"}</definedName>
    <definedName name="_403Z7_" hidden="1">{#N/A,#N/A,FALSE,"KMC최종회의(7월) 자료"}</definedName>
    <definedName name="_403Z8_" hidden="1">{#N/A,#N/A,FALSE,"KMC최종회의(7월) 자료"}</definedName>
    <definedName name="_404Z5_" hidden="1">{#N/A,#N/A,FALSE,"KMC최종회의(7월) 자료"}</definedName>
    <definedName name="_406Z3_" hidden="1">{#N/A,#N/A,FALSE,"KMC최종회의(7월) 자료"}</definedName>
    <definedName name="_406Z9_" hidden="1">{#N/A,#N/A,FALSE,"KMC최종회의(7월) 자료"}</definedName>
    <definedName name="_406Z9__1" hidden="1">{#N/A,#N/A,FALSE,"KMC최종회의(7월) 자료"}</definedName>
    <definedName name="_407__0_S" hidden="1">#REF!</definedName>
    <definedName name="_407W3_" hidden="1">{#N/A,#N/A,FALSE,"KMC최종회의(7월) 자료"}</definedName>
    <definedName name="_407X8_" hidden="1">{#N/A,#N/A,FALSE,"KMC최종회의(7월) 자료"}</definedName>
    <definedName name="_407Z5_" hidden="1">{#N/A,#N/A,FALSE,"KMC최종회의(7월) 자료"}</definedName>
    <definedName name="_408____S" hidden="1">#REF!</definedName>
    <definedName name="_408W456_" hidden="1">{#N/A,#N/A,FALSE,"단축1";#N/A,#N/A,FALSE,"단축2";#N/A,#N/A,FALSE,"단축3";#N/A,#N/A,FALSE,"장축";#N/A,#N/A,FALSE,"4WD"}</definedName>
    <definedName name="_408W8_" hidden="1">{#N/A,#N/A,FALSE,"KMC최종회의(7월) 자료"}</definedName>
    <definedName name="_409Z9_" hidden="1">{#N/A,#N/A,FALSE,"KMC최종회의(7월) 자료"}</definedName>
    <definedName name="_40A1_" hidden="1">{#N/A,#N/A,FALSE,"KMC최종회의(7월) 자료"}</definedName>
    <definedName name="_40A2_" hidden="1">{#N/A,#N/A,FALSE,"단축1";#N/A,#N/A,FALSE,"단축2";#N/A,#N/A,FALSE,"단축3";#N/A,#N/A,FALSE,"장축";#N/A,#N/A,FALSE,"4WD"}</definedName>
    <definedName name="_40A3_" hidden="1">{#N/A,#N/A,FALSE,"KMC최종회의(7월) 자료"}</definedName>
    <definedName name="_40A4_" hidden="1">{#N/A,#N/A,FALSE,"KMC최종회의(7월) 자료"}</definedName>
    <definedName name="_40A5_" hidden="1">{#N/A,#N/A,FALSE,"KMC최종회의(7월) 자료"}</definedName>
    <definedName name="_40A6_" hidden="1">{#N/A,#N/A,FALSE,"KMC최종회의(7월) 자료"}</definedName>
    <definedName name="_40A8_" hidden="1">{#N/A,#N/A,FALSE,"KMC최종회의(7월) 자료"}</definedName>
    <definedName name="_40AA4_" hidden="1">{#N/A,#N/A,FALSE,"신규dep";#N/A,#N/A,FALSE,"신규dep-금형상각후";#N/A,#N/A,FALSE,"신규dep-연구비상각후";#N/A,#N/A,FALSE,"신규dep-기계,공구상각후"}</definedName>
    <definedName name="_40AA4__1" hidden="1">{#N/A,#N/A,FALSE,"신규dep";#N/A,#N/A,FALSE,"신규dep-금형상각후";#N/A,#N/A,FALSE,"신규dep-연구비상각후";#N/A,#N/A,FALSE,"신규dep-기계,공구상각후"}</definedName>
    <definedName name="_40AS6_" hidden="1">{#N/A,#N/A,FALSE,"Australien";#N/A,#N/A,FALSE,"Birmingham";#N/A,#N/A,FALSE,"Brasilien";#N/A,#N/A,FALSE,"Prag";#N/A,#N/A,FALSE,"Spanien";#N/A,#N/A,FALSE,"Malaysia ( Com)";#N/A,#N/A,FALSE,"Malaysia (Instr)"}</definedName>
    <definedName name="_40d1_" hidden="1">{#N/A,#N/A,FALSE,"신규dep";#N/A,#N/A,FALSE,"신규dep-금형상각후";#N/A,#N/A,FALSE,"신규dep-연구비상각후";#N/A,#N/A,FALSE,"신규dep-기계,공구상각후"}</definedName>
    <definedName name="_40d1__1" hidden="1">{#N/A,#N/A,FALSE,"신규dep";#N/A,#N/A,FALSE,"신규dep-금형상각후";#N/A,#N/A,FALSE,"신규dep-연구비상각후";#N/A,#N/A,FALSE,"신규dep-기계,공구상각후"}</definedName>
    <definedName name="_40DA4_" hidden="1">{#N/A,#N/A,FALSE,"단축1";#N/A,#N/A,FALSE,"단축2";#N/A,#N/A,FALSE,"단축3";#N/A,#N/A,FALSE,"장축";#N/A,#N/A,FALSE,"4WD"}</definedName>
    <definedName name="_40E1_" hidden="1">{#N/A,#N/A,FALSE,"KMC최종회의(7월) 자료"}</definedName>
    <definedName name="_40E2_" hidden="1">{#N/A,#N/A,FALSE,"KMC최종회의(7월) 자료"}</definedName>
    <definedName name="_40e3_" hidden="1">{#N/A,#N/A,FALSE,"단축1";#N/A,#N/A,FALSE,"단축2";#N/A,#N/A,FALSE,"단축3";#N/A,#N/A,FALSE,"장축";#N/A,#N/A,FALSE,"4WD"}</definedName>
    <definedName name="_40h5_" hidden="1">{"'표지'!$B$5"}</definedName>
    <definedName name="_40HP2_" hidden="1">{#N/A,#N/A,FALSE,"단축1";#N/A,#N/A,FALSE,"단축2";#N/A,#N/A,FALSE,"단축3";#N/A,#N/A,FALSE,"장축";#N/A,#N/A,FALSE,"4WD"}</definedName>
    <definedName name="_40M123_" hidden="1">{#N/A,#N/A,FALSE,"단축1";#N/A,#N/A,FALSE,"단축2";#N/A,#N/A,FALSE,"단축3";#N/A,#N/A,FALSE,"장축";#N/A,#N/A,FALSE,"4WD"}</definedName>
    <definedName name="_40Q1_" hidden="1">{#N/A,#N/A,FALSE,"KMC최종회의(7월) 자료"}</definedName>
    <definedName name="_40Q2_" hidden="1">{#N/A,#N/A,FALSE,"KMC최종회의(7월) 자료"}</definedName>
    <definedName name="_40Q3_" hidden="1">{#N/A,#N/A,FALSE,"KMC최종회의(7월) 자료"}</definedName>
    <definedName name="_40Q8_" hidden="1">{#N/A,#N/A,FALSE,"KMC최종회의(7월) 자료"}</definedName>
    <definedName name="_40Q9_" hidden="1">{#N/A,#N/A,FALSE,"KMC최종회의(7월) 자료"}</definedName>
    <definedName name="_40S1_" hidden="1">{#N/A,#N/A,FALSE,"KMC최종회의(7월) 자료"}</definedName>
    <definedName name="_40S2_" hidden="1">{#N/A,#N/A,FALSE,"KMC최종회의(7월) 자료"}</definedName>
    <definedName name="_40S3_" hidden="1">{#N/A,#N/A,FALSE,"KMC최종회의(7월) 자료"}</definedName>
    <definedName name="_40S5_" hidden="1">{#N/A,#N/A,FALSE,"KMC최종회의(7월) 자료"}</definedName>
    <definedName name="_40S6_" hidden="1">{#N/A,#N/A,FALSE,"KMC최종회의(7월) 자료"}</definedName>
    <definedName name="_40S7_" hidden="1">{#N/A,#N/A,FALSE,"KMC최종회의(7월) 자료"}</definedName>
    <definedName name="_40T2_" hidden="1">{#N/A,#N/A,FALSE,"단축1";#N/A,#N/A,FALSE,"단축2";#N/A,#N/A,FALSE,"단축3";#N/A,#N/A,FALSE,"장축";#N/A,#N/A,FALSE,"4WD"}</definedName>
    <definedName name="_40T5_" hidden="1">{#N/A,#N/A,FALSE,"단축1";#N/A,#N/A,FALSE,"단축2";#N/A,#N/A,FALSE,"단축3";#N/A,#N/A,FALSE,"장축";#N/A,#N/A,FALSE,"4WD"}</definedName>
    <definedName name="_40U1_" hidden="1">{#N/A,#N/A,FALSE,"단축1";#N/A,#N/A,FALSE,"단축2";#N/A,#N/A,FALSE,"단축3";#N/A,#N/A,FALSE,"장축";#N/A,#N/A,FALSE,"4WD"}</definedName>
    <definedName name="_40W2_" hidden="1">{#N/A,#N/A,FALSE,"KMC최종회의(7월) 자료"}</definedName>
    <definedName name="_40W3_" hidden="1">{#N/A,#N/A,FALSE,"KMC최종회의(7월) 자료"}</definedName>
    <definedName name="_40W4_" hidden="1">{#N/A,#N/A,FALSE,"KMC최종회의(7월) 자료"}</definedName>
    <definedName name="_40W5_" hidden="1">{#N/A,#N/A,FALSE,"KMC최종회의(7월) 자료"}</definedName>
    <definedName name="_40W6_" hidden="1">{#N/A,#N/A,FALSE,"KMC최종회의(7월) 자료"}</definedName>
    <definedName name="_40W8_" hidden="1">{#N/A,#N/A,FALSE,"KMC최종회의(7월) 자료"}</definedName>
    <definedName name="_40W9_" hidden="1">{#N/A,#N/A,FALSE,"KMC최종회의(7월) 자료"}</definedName>
    <definedName name="_40X1_" hidden="1">{#N/A,#N/A,FALSE,"KMC최종회의(7월) 자료"}</definedName>
    <definedName name="_40X1__1" hidden="1">{#N/A,#N/A,FALSE,"KMC최종회의(7월) 자료"}</definedName>
    <definedName name="_40X2_" hidden="1">{#N/A,#N/A,FALSE,"KMC최종회의(7월) 자료"}</definedName>
    <definedName name="_40X3_" hidden="1">{#N/A,#N/A,FALSE,"KMC최종회의(7월) 자료"}</definedName>
    <definedName name="_40X4_" hidden="1">{#N/A,#N/A,FALSE,"KMC최종회의(7월) 자료"}</definedName>
    <definedName name="_40X5_" hidden="1">{#N/A,#N/A,FALSE,"KMC최종회의(7월) 자료"}</definedName>
    <definedName name="_40X5__1" hidden="1">{#N/A,#N/A,FALSE,"KMC최종회의(7월) 자료"}</definedName>
    <definedName name="_40X6_" hidden="1">{#N/A,#N/A,FALSE,"KMC최종회의(7월) 자료"}</definedName>
    <definedName name="_40X6__1" hidden="1">{#N/A,#N/A,FALSE,"KMC최종회의(7월) 자료"}</definedName>
    <definedName name="_41__0_S" hidden="1">#REF!</definedName>
    <definedName name="_410Z8_" hidden="1">{#N/A,#N/A,FALSE,"KMC최종회의(7월) 자료"}</definedName>
    <definedName name="_412s2_" hidden="1">{#N/A,#N/A,FALSE,"신규dep";#N/A,#N/A,FALSE,"신규dep-금형상각후";#N/A,#N/A,FALSE,"신규dep-연구비상각후";#N/A,#N/A,FALSE,"신규dep-기계,공구상각후"}</definedName>
    <definedName name="_412s2__1" hidden="1">{#N/A,#N/A,FALSE,"신규dep";#N/A,#N/A,FALSE,"신규dep-금형상각후";#N/A,#N/A,FALSE,"신규dep-연구비상각후";#N/A,#N/A,FALSE,"신규dep-기계,공구상각후"}</definedName>
    <definedName name="_412W5_" hidden="1">{#N/A,#N/A,FALSE,"KMC최종회의(7월) 자료"}</definedName>
    <definedName name="_412Z6_" hidden="1">{#N/A,#N/A,FALSE,"KMC최종회의(7월) 자료"}</definedName>
    <definedName name="_413__0_S" hidden="1">#REF!</definedName>
    <definedName name="_413Z4_" hidden="1">{#N/A,#N/A,FALSE,"KMC최종회의(7월) 자료"}</definedName>
    <definedName name="_414CL33_" hidden="1">{#N/A,#N/A,FALSE,"KMC최종회의(7월) 자료"}</definedName>
    <definedName name="_415Z1_" hidden="1">{#N/A,#N/A,FALSE,"KMC최종회의(7월) 자료"}</definedName>
    <definedName name="_416W4_" hidden="1">{#N/A,#N/A,FALSE,"KMC최종회의(7월) 자료"}</definedName>
    <definedName name="_416W6_" hidden="1">{#N/A,#N/A,FALSE,"KMC최종회의(7월) 자료"}</definedName>
    <definedName name="_416X2_" hidden="1">{#N/A,#N/A,FALSE,"KMC최종회의(7월) 자료"}</definedName>
    <definedName name="_417____S" hidden="1">#REF!</definedName>
    <definedName name="_417Z7_" hidden="1">{#N/A,#N/A,FALSE,"KMC최종회의(7월) 자료"}</definedName>
    <definedName name="_417Z9_" hidden="1">{#N/A,#N/A,FALSE,"KMC최종회의(7월) 자료"}</definedName>
    <definedName name="_41A2_" hidden="1">{#N/A,#N/A,FALSE,"KMC최종회의(7월) 자료"}</definedName>
    <definedName name="_41A3_" hidden="1">{#N/A,#N/A,FALSE,"단축1";#N/A,#N/A,FALSE,"단축2";#N/A,#N/A,FALSE,"단축3";#N/A,#N/A,FALSE,"장축";#N/A,#N/A,FALSE,"4WD"}</definedName>
    <definedName name="_41A4_" hidden="1">{#N/A,#N/A,FALSE,"KMC최종회의(7월) 자료"}</definedName>
    <definedName name="_41A7_" hidden="1">{#N/A,#N/A,FALSE,"KMC최종회의(7월) 자료"}</definedName>
    <definedName name="_41A8_" hidden="1">{#N/A,#N/A,FALSE,"KMC최종회의(7월) 자료"}</definedName>
    <definedName name="_41A9_" hidden="1">{#N/A,#N/A,FALSE,"KMC최종회의(7월) 자료"}</definedName>
    <definedName name="_41AS6_" hidden="1">{#N/A,#N/A,FALSE,"Australien";#N/A,#N/A,FALSE,"Birmingham";#N/A,#N/A,FALSE,"Brasilien";#N/A,#N/A,FALSE,"Prag";#N/A,#N/A,FALSE,"Spanien";#N/A,#N/A,FALSE,"Malaysia ( Com)";#N/A,#N/A,FALSE,"Malaysia (Instr)"}</definedName>
    <definedName name="_41CL22_" hidden="1">{#N/A,#N/A,FALSE,"KMC최종회의(7월) 자료"}</definedName>
    <definedName name="_41CL33_" hidden="1">{#N/A,#N/A,FALSE,"KMC최종회의(7월) 자료"}</definedName>
    <definedName name="_41d2_" hidden="1">{#N/A,#N/A,FALSE,"신규dep";#N/A,#N/A,FALSE,"신규dep-금형상각후";#N/A,#N/A,FALSE,"신규dep-연구비상각후";#N/A,#N/A,FALSE,"신규dep-기계,공구상각후"}</definedName>
    <definedName name="_41d2__1" hidden="1">{#N/A,#N/A,FALSE,"신규dep";#N/A,#N/A,FALSE,"신규dep-금형상각후";#N/A,#N/A,FALSE,"신규dep-연구비상각후";#N/A,#N/A,FALSE,"신규dep-기계,공구상각후"}</definedName>
    <definedName name="_41DB777_" hidden="1">{#N/A,#N/A,TRUE,"Y생산";#N/A,#N/A,TRUE,"Y판매";#N/A,#N/A,TRUE,"Y총물량";#N/A,#N/A,TRUE,"Y능력";#N/A,#N/A,TRUE,"YKD"}</definedName>
    <definedName name="_41E1_" hidden="1">{#N/A,#N/A,FALSE,"KMC최종회의(7월) 자료"}</definedName>
    <definedName name="_41e2_" hidden="1">{#N/A,#N/A,FALSE,"단축1";#N/A,#N/A,FALSE,"단축2";#N/A,#N/A,FALSE,"단축3";#N/A,#N/A,FALSE,"장축";#N/A,#N/A,FALSE,"4WD"}</definedName>
    <definedName name="_41e2__1" hidden="1">{#N/A,#N/A,FALSE,"단축1";#N/A,#N/A,FALSE,"단축2";#N/A,#N/A,FALSE,"단축3";#N/A,#N/A,FALSE,"장축";#N/A,#N/A,FALSE,"4WD"}</definedName>
    <definedName name="_41e6_" hidden="1">{#N/A,#N/A,FALSE,"단축1";#N/A,#N/A,FALSE,"단축2";#N/A,#N/A,FALSE,"단축3";#N/A,#N/A,FALSE,"장축";#N/A,#N/A,FALSE,"4WD"}</definedName>
    <definedName name="_41h2_" hidden="1">{"'7-2지역별'!$A$1:$R$44"}</definedName>
    <definedName name="_41P21_" hidden="1">{#N/A,#N/A,FALSE,"단축1";#N/A,#N/A,FALSE,"단축2";#N/A,#N/A,FALSE,"단축3";#N/A,#N/A,FALSE,"장축";#N/A,#N/A,FALSE,"4WD"}</definedName>
    <definedName name="_41Q1_" hidden="1">{#N/A,#N/A,FALSE,"KMC최종회의(7월) 자료"}</definedName>
    <definedName name="_41Q2_" hidden="1">{#N/A,#N/A,FALSE,"KMC최종회의(7월) 자료"}</definedName>
    <definedName name="_41Q5_" hidden="1">{#N/A,#N/A,FALSE,"KMC최종회의(7월) 자료"}</definedName>
    <definedName name="_41Q7_" hidden="1">{#N/A,#N/A,FALSE,"KMC최종회의(7월) 자료"}</definedName>
    <definedName name="_41Q7__1" hidden="1">{#N/A,#N/A,FALSE,"KMC최종회의(7월) 자료"}</definedName>
    <definedName name="_41S1_" hidden="1">{#N/A,#N/A,FALSE,"KMC최종회의(7월) 자료"}</definedName>
    <definedName name="_41S2_" hidden="1">{#N/A,#N/A,FALSE,"KMC최종회의(7월) 자료"}</definedName>
    <definedName name="_41S4_" hidden="1">{#N/A,#N/A,FALSE,"KMC최종회의(7월) 자료"}</definedName>
    <definedName name="_41S6_" hidden="1">{#N/A,#N/A,FALSE,"KMC최종회의(7월) 자료"}</definedName>
    <definedName name="_41S7_" hidden="1">{#N/A,#N/A,FALSE,"KMC최종회의(7월) 자료"}</definedName>
    <definedName name="_41S8_" hidden="1">{#N/A,#N/A,FALSE,"KMC최종회의(7월) 자료"}</definedName>
    <definedName name="_41T3_" hidden="1">{#N/A,#N/A,FALSE,"단축1";#N/A,#N/A,FALSE,"단축2";#N/A,#N/A,FALSE,"단축3";#N/A,#N/A,FALSE,"장축";#N/A,#N/A,FALSE,"4WD"}</definedName>
    <definedName name="_41W1_" hidden="1">{#N/A,#N/A,FALSE,"KMC최종회의(7월) 자료"}</definedName>
    <definedName name="_41W3_" hidden="1">{#N/A,#N/A,FALSE,"KMC최종회의(7월) 자료"}</definedName>
    <definedName name="_41W4_" hidden="1">{#N/A,#N/A,FALSE,"KMC최종회의(7월) 자료"}</definedName>
    <definedName name="_41W5_" hidden="1">{#N/A,#N/A,FALSE,"KMC최종회의(7월) 자료"}</definedName>
    <definedName name="_41W6_" hidden="1">{#N/A,#N/A,FALSE,"KMC최종회의(7월) 자료"}</definedName>
    <definedName name="_41W7_" hidden="1">{#N/A,#N/A,FALSE,"KMC최종회의(7월) 자료"}</definedName>
    <definedName name="_41W9_" hidden="1">{#N/A,#N/A,FALSE,"KMC최종회의(7월) 자료"}</definedName>
    <definedName name="_41X1_" hidden="1">{#N/A,#N/A,FALSE,"KMC최종회의(7월) 자료"}</definedName>
    <definedName name="_41X2_" hidden="1">{#N/A,#N/A,FALSE,"KMC최종회의(7월) 자료"}</definedName>
    <definedName name="_41X2__1" hidden="1">{#N/A,#N/A,FALSE,"KMC최종회의(7월) 자료"}</definedName>
    <definedName name="_41X3_" hidden="1">{#N/A,#N/A,FALSE,"KMC최종회의(7월) 자료"}</definedName>
    <definedName name="_41X4_" hidden="1">{#N/A,#N/A,FALSE,"KMC최종회의(7월) 자료"}</definedName>
    <definedName name="_41X5_" hidden="1">{#N/A,#N/A,FALSE,"KMC최종회의(7월) 자료"}</definedName>
    <definedName name="_41X6_" hidden="1">{#N/A,#N/A,FALSE,"KMC최종회의(7월) 자료"}</definedName>
    <definedName name="_41X6__1" hidden="1">{#N/A,#N/A,FALSE,"KMC최종회의(7월) 자료"}</definedName>
    <definedName name="_41X7_" hidden="1">{#N/A,#N/A,FALSE,"KMC최종회의(7월) 자료"}</definedName>
    <definedName name="_41X7__1" hidden="1">{#N/A,#N/A,FALSE,"KMC최종회의(7월) 자료"}</definedName>
    <definedName name="_420__0_S" hidden="1">#REF!</definedName>
    <definedName name="_420W7_" hidden="1">{#N/A,#N/A,FALSE,"KMC최종회의(7월) 자료"}</definedName>
    <definedName name="_420W9_" hidden="1">{#N/A,#N/A,FALSE,"KMC최종회의(7월) 자료"}</definedName>
    <definedName name="_420Z5_" hidden="1">{#N/A,#N/A,FALSE,"KMC최종회의(7월) 자료"}</definedName>
    <definedName name="_420Z7_" hidden="1">{#N/A,#N/A,FALSE,"KMC최종회의(7월) 자료"}</definedName>
    <definedName name="_421__0_S" hidden="1">#REF!</definedName>
    <definedName name="_422Z8_" hidden="1">{#N/A,#N/A,FALSE,"KMC최종회의(7월) 자료"}</definedName>
    <definedName name="_423Z2_" hidden="1">{#N/A,#N/A,FALSE,"KMC최종회의(7월) 자료"}</definedName>
    <definedName name="_424W8_" hidden="1">{#N/A,#N/A,FALSE,"KMC최종회의(7월) 자료"}</definedName>
    <definedName name="_425W5_" hidden="1">{#N/A,#N/A,FALSE,"KMC최종회의(7월) 자료"}</definedName>
    <definedName name="_427s3_" hidden="1">{#N/A,#N/A,FALSE,"단축1";#N/A,#N/A,FALSE,"단축2";#N/A,#N/A,FALSE,"단축3";#N/A,#N/A,FALSE,"장축";#N/A,#N/A,FALSE,"4WD"}</definedName>
    <definedName name="_427s3__1" hidden="1">{#N/A,#N/A,FALSE,"단축1";#N/A,#N/A,FALSE,"단축2";#N/A,#N/A,FALSE,"단축3";#N/A,#N/A,FALSE,"장축";#N/A,#N/A,FALSE,"4WD"}</definedName>
    <definedName name="_427Z6_" hidden="1">{#N/A,#N/A,FALSE,"KMC최종회의(7월) 자료"}</definedName>
    <definedName name="_427Z9_" hidden="1">{#N/A,#N/A,FALSE,"KMC최종회의(7월) 자료"}</definedName>
    <definedName name="_428____S" hidden="1">#REF!</definedName>
    <definedName name="_428W9_" hidden="1">{#N/A,#N/A,FALSE,"KMC최종회의(7월) 자료"}</definedName>
    <definedName name="_428Z8_" hidden="1">{#N/A,#N/A,FALSE,"KMC최종회의(7월) 자료"}</definedName>
    <definedName name="_429__0_S" hidden="1">#REF!</definedName>
    <definedName name="_42A1245_" hidden="1">{#N/A,#N/A,FALSE,"단축1";#N/A,#N/A,FALSE,"단축2";#N/A,#N/A,FALSE,"단축3";#N/A,#N/A,FALSE,"장축";#N/A,#N/A,FALSE,"4WD"}</definedName>
    <definedName name="_42A2_" hidden="1">{#N/A,#N/A,FALSE,"단축1";#N/A,#N/A,FALSE,"단축2";#N/A,#N/A,FALSE,"단축3";#N/A,#N/A,FALSE,"장축";#N/A,#N/A,FALSE,"4WD"}</definedName>
    <definedName name="_42A3_" hidden="1">{#N/A,#N/A,FALSE,"단축1";#N/A,#N/A,FALSE,"단축2";#N/A,#N/A,FALSE,"단축3";#N/A,#N/A,FALSE,"장축";#N/A,#N/A,FALSE,"4WD"}</definedName>
    <definedName name="_42A3__1" hidden="1">{#N/A,#N/A,FALSE,"단축1";#N/A,#N/A,FALSE,"단축2";#N/A,#N/A,FALSE,"단축3";#N/A,#N/A,FALSE,"장축";#N/A,#N/A,FALSE,"4WD"}</definedName>
    <definedName name="_42A5_" hidden="1">{#N/A,#N/A,FALSE,"KMC최종회의(7월) 자료"}</definedName>
    <definedName name="_42A6_" hidden="1">{#N/A,#N/A,FALSE,"KMC최종회의(7월) 자료"}</definedName>
    <definedName name="_42A7_" hidden="1">{#N/A,#N/A,FALSE,"KMC최종회의(7월) 자료"}</definedName>
    <definedName name="_42A8_" hidden="1">{#N/A,#N/A,FALSE,"KMC최종회의(7월) 자료"}</definedName>
    <definedName name="_42AS6_" hidden="1">{#N/A,#N/A,FALSE,"Australien";#N/A,#N/A,FALSE,"Birmingham";#N/A,#N/A,FALSE,"Brasilien";#N/A,#N/A,FALSE,"Prag";#N/A,#N/A,FALSE,"Spanien";#N/A,#N/A,FALSE,"Malaysia ( Com)";#N/A,#N/A,FALSE,"Malaysia (Instr)"}</definedName>
    <definedName name="_42d3_" hidden="1">{#N/A,#N/A,FALSE,"신규dep";#N/A,#N/A,FALSE,"신규dep-금형상각후";#N/A,#N/A,FALSE,"신규dep-연구비상각후";#N/A,#N/A,FALSE,"신규dep-기계,공구상각후"}</definedName>
    <definedName name="_42d3__1" hidden="1">{#N/A,#N/A,FALSE,"신규dep";#N/A,#N/A,FALSE,"신규dep-금형상각후";#N/A,#N/A,FALSE,"신규dep-연구비상각후";#N/A,#N/A,FALSE,"신규dep-기계,공구상각후"}</definedName>
    <definedName name="_42D6_" hidden="1">{"'표지'!$B$5"}</definedName>
    <definedName name="_42E1_" hidden="1">{#N/A,#N/A,FALSE,"KMC최종회의(7월) 자료"}</definedName>
    <definedName name="_42E1__1" hidden="1">{#N/A,#N/A,FALSE,"KMC최종회의(7월) 자료"}</definedName>
    <definedName name="_42e2_" hidden="1">{#N/A,#N/A,FALSE,"단축1";#N/A,#N/A,FALSE,"단축2";#N/A,#N/A,FALSE,"단축3";#N/A,#N/A,FALSE,"장축";#N/A,#N/A,FALSE,"4WD"}</definedName>
    <definedName name="_42e4_" hidden="1">{#N/A,#N/A,FALSE,"단축1";#N/A,#N/A,FALSE,"단축2";#N/A,#N/A,FALSE,"단축3";#N/A,#N/A,FALSE,"장축";#N/A,#N/A,FALSE,"4WD"}</definedName>
    <definedName name="_42FG1_" hidden="1">{#N/A,#N/A,FALSE,"단축1";#N/A,#N/A,FALSE,"단축2";#N/A,#N/A,FALSE,"단축3";#N/A,#N/A,FALSE,"장축";#N/A,#N/A,FALSE,"4WD"}</definedName>
    <definedName name="_42Q1_" hidden="1">{#N/A,#N/A,FALSE,"KMC최종회의(7월) 자료"}</definedName>
    <definedName name="_42Q2_" hidden="1">{#N/A,#N/A,FALSE,"KMC최종회의(7월) 자료"}</definedName>
    <definedName name="_42Q3_" hidden="1">{#N/A,#N/A,FALSE,"KMC최종회의(7월) 자료"}</definedName>
    <definedName name="_42Q5_" hidden="1">{#N/A,#N/A,FALSE,"KMC최종회의(7월) 자료"}</definedName>
    <definedName name="_42Q7_" hidden="1">{#N/A,#N/A,FALSE,"KMC최종회의(7월) 자료"}</definedName>
    <definedName name="_42Q9_" hidden="1">{#N/A,#N/A,FALSE,"KMC최종회의(7월) 자료"}</definedName>
    <definedName name="_42S2_" hidden="1">{#N/A,#N/A,FALSE,"KMC최종회의(7월) 자료"}</definedName>
    <definedName name="_42S3_" hidden="1">{#N/A,#N/A,FALSE,"KMC최종회의(7월) 자료"}</definedName>
    <definedName name="_42S5_" hidden="1">{#N/A,#N/A,FALSE,"KMC최종회의(7월) 자료"}</definedName>
    <definedName name="_42S6_" hidden="1">{#N/A,#N/A,FALSE,"KMC최종회의(7월) 자료"}</definedName>
    <definedName name="_42S7_" hidden="1">{#N/A,#N/A,FALSE,"KMC최종회의(7월) 자료"}</definedName>
    <definedName name="_42T2_" hidden="1">{#N/A,#N/A,FALSE,"단축1";#N/A,#N/A,FALSE,"단축2";#N/A,#N/A,FALSE,"단축3";#N/A,#N/A,FALSE,"장축";#N/A,#N/A,FALSE,"4WD"}</definedName>
    <definedName name="_42W2_" hidden="1">{#N/A,#N/A,FALSE,"KMC최종회의(7월) 자료"}</definedName>
    <definedName name="_42W4_" hidden="1">{#N/A,#N/A,FALSE,"KMC최종회의(7월) 자료"}</definedName>
    <definedName name="_42W5_" hidden="1">{#N/A,#N/A,FALSE,"KMC최종회의(7월) 자료"}</definedName>
    <definedName name="_42W6_" hidden="1">{#N/A,#N/A,FALSE,"KMC최종회의(7월) 자료"}</definedName>
    <definedName name="_42W7_" hidden="1">{#N/A,#N/A,FALSE,"KMC최종회의(7월) 자료"}</definedName>
    <definedName name="_42W8_" hidden="1">{#N/A,#N/A,FALSE,"KMC최종회의(7월) 자료"}</definedName>
    <definedName name="_42X1_" hidden="1">{#N/A,#N/A,FALSE,"KMC최종회의(7월) 자료"}</definedName>
    <definedName name="_42X2_" hidden="1">{#N/A,#N/A,FALSE,"KMC최종회의(7월) 자료"}</definedName>
    <definedName name="_42X3_" hidden="1">{#N/A,#N/A,FALSE,"KMC최종회의(7월) 자료"}</definedName>
    <definedName name="_42X3__1" hidden="1">{#N/A,#N/A,FALSE,"KMC최종회의(7월) 자료"}</definedName>
    <definedName name="_42X4_" hidden="1">{#N/A,#N/A,FALSE,"KMC최종회의(7월) 자료"}</definedName>
    <definedName name="_42X5_" hidden="1">{#N/A,#N/A,FALSE,"KMC최종회의(7월) 자료"}</definedName>
    <definedName name="_42X6_" hidden="1">{#N/A,#N/A,FALSE,"KMC최종회의(7월) 자료"}</definedName>
    <definedName name="_42X7_" hidden="1">{#N/A,#N/A,FALSE,"KMC최종회의(7월) 자료"}</definedName>
    <definedName name="_42X7__1" hidden="1">{#N/A,#N/A,FALSE,"KMC최종회의(7월) 자료"}</definedName>
    <definedName name="_42X8_" hidden="1">{#N/A,#N/A,FALSE,"KMC최종회의(7월) 자료"}</definedName>
    <definedName name="_42X8__1" hidden="1">{#N/A,#N/A,FALSE,"KMC최종회의(7월) 자료"}</definedName>
    <definedName name="_42z123_" hidden="1">{#N/A,#N/A,FALSE,"단축1";#N/A,#N/A,FALSE,"단축2";#N/A,#N/A,FALSE,"단축3";#N/A,#N/A,FALSE,"장축";#N/A,#N/A,FALSE,"4WD"}</definedName>
    <definedName name="_43__123Graph_AC04C_FR_T1" hidden="1">#REF!</definedName>
    <definedName name="_43____S" hidden="1">#REF!</definedName>
    <definedName name="_43__0_S" hidden="1">#REF!</definedName>
    <definedName name="_431Z3_" hidden="1">{#N/A,#N/A,FALSE,"KMC최종회의(7월) 자료"}</definedName>
    <definedName name="_432X1_" hidden="1">{#N/A,#N/A,FALSE,"KMC최종회의(7월) 자료"}</definedName>
    <definedName name="_432X3_" hidden="1">{#N/A,#N/A,FALSE,"KMC최종회의(7월) 자료"}</definedName>
    <definedName name="_434W6_" hidden="1">{#N/A,#N/A,FALSE,"KMC최종회의(7월) 자료"}</definedName>
    <definedName name="_434Z7_" hidden="1">{#N/A,#N/A,FALSE,"KMC최종회의(7월) 자료"}</definedName>
    <definedName name="_436Z9_" hidden="1">{#N/A,#N/A,FALSE,"KMC최종회의(7월) 자료"}</definedName>
    <definedName name="_437__0_S" hidden="1">#REF!</definedName>
    <definedName name="_438__0_S" hidden="1">#REF!</definedName>
    <definedName name="_439Z4_" hidden="1">{#N/A,#N/A,FALSE,"KMC최종회의(7월) 자료"}</definedName>
    <definedName name="_43A1_" hidden="1">{#N/A,#N/A,FALSE,"KMC최종회의(7월) 자료"}</definedName>
    <definedName name="_43A12458_" hidden="1">{#N/A,#N/A,FALSE,"단축1";#N/A,#N/A,FALSE,"단축2";#N/A,#N/A,FALSE,"단축3";#N/A,#N/A,FALSE,"장축";#N/A,#N/A,FALSE,"4WD"}</definedName>
    <definedName name="_43A12458__1" hidden="1">{#N/A,#N/A,FALSE,"단축1";#N/A,#N/A,FALSE,"단축2";#N/A,#N/A,FALSE,"단축3";#N/A,#N/A,FALSE,"장축";#N/A,#N/A,FALSE,"4WD"}</definedName>
    <definedName name="_43A2_" hidden="1">{#N/A,#N/A,FALSE,"KMC최종회의(7월) 자료"}</definedName>
    <definedName name="_43A3_" hidden="1">{#N/A,#N/A,FALSE,"KMC최종회의(7월) 자료"}</definedName>
    <definedName name="_43A5_" hidden="1">{#N/A,#N/A,FALSE,"KMC최종회의(7월) 자료"}</definedName>
    <definedName name="_43A6_" hidden="1">{#N/A,#N/A,FALSE,"KMC최종회의(7월) 자료"}</definedName>
    <definedName name="_43A8_" hidden="1">{#N/A,#N/A,FALSE,"KMC최종회의(7월) 자료"}</definedName>
    <definedName name="_43A9_" hidden="1">{#N/A,#N/A,FALSE,"KMC최종회의(7월) 자료"}</definedName>
    <definedName name="_43CL22_" hidden="1">{#N/A,#N/A,FALSE,"KMC최종회의(7월) 자료"}</definedName>
    <definedName name="_43CL222_" hidden="1">{#N/A,#N/A,FALSE,"KMC최종회의(7월) 자료"}</definedName>
    <definedName name="_43E1_" hidden="1">{#N/A,#N/A,FALSE,"KMC최종회의(7월) 자료"}</definedName>
    <definedName name="_43E2_" hidden="1">{#N/A,#N/A,FALSE,"KMC최종회의(7월) 자료"}</definedName>
    <definedName name="_43e3_" hidden="1">{#N/A,#N/A,FALSE,"단축1";#N/A,#N/A,FALSE,"단축2";#N/A,#N/A,FALSE,"단축3";#N/A,#N/A,FALSE,"장축";#N/A,#N/A,FALSE,"4WD"}</definedName>
    <definedName name="_43e3__1" hidden="1">{#N/A,#N/A,FALSE,"단축1";#N/A,#N/A,FALSE,"단축2";#N/A,#N/A,FALSE,"단축3";#N/A,#N/A,FALSE,"장축";#N/A,#N/A,FALSE,"4WD"}</definedName>
    <definedName name="_43e7_" hidden="1">{#N/A,#N/A,FALSE,"신규dep";#N/A,#N/A,FALSE,"신규dep-금형상각후";#N/A,#N/A,FALSE,"신규dep-연구비상각후";#N/A,#N/A,FALSE,"신규dep-기계,공구상각후"}</definedName>
    <definedName name="_43k9_" hidden="1">{#N/A,#N/A,FALSE,"단축1";#N/A,#N/A,FALSE,"단축2";#N/A,#N/A,FALSE,"단축3";#N/A,#N/A,FALSE,"장축";#N/A,#N/A,FALSE,"4WD"}</definedName>
    <definedName name="_43Q1_" hidden="1">{#N/A,#N/A,FALSE,"KMC최종회의(7월) 자료"}</definedName>
    <definedName name="_43Q2_" hidden="1">{#N/A,#N/A,FALSE,"KMC최종회의(7월) 자료"}</definedName>
    <definedName name="_43Q3_" hidden="1">{#N/A,#N/A,FALSE,"KMC최종회의(7월) 자료"}</definedName>
    <definedName name="_43Q7_" hidden="1">{#N/A,#N/A,FALSE,"KMC최종회의(7월) 자료"}</definedName>
    <definedName name="_43Q8_" hidden="1">{#N/A,#N/A,FALSE,"KMC최종회의(7월) 자료"}</definedName>
    <definedName name="_43Q8__1" hidden="1">{#N/A,#N/A,FALSE,"KMC최종회의(7월) 자료"}</definedName>
    <definedName name="_43S2_" hidden="1">{#N/A,#N/A,FALSE,"KMC최종회의(7월) 자료"}</definedName>
    <definedName name="_43S3_" hidden="1">{#N/A,#N/A,FALSE,"KMC최종회의(7월) 자료"}</definedName>
    <definedName name="_43s4_" hidden="1">{#N/A,#N/A,FALSE,"단축1";#N/A,#N/A,FALSE,"단축2";#N/A,#N/A,FALSE,"단축3";#N/A,#N/A,FALSE,"장축";#N/A,#N/A,FALSE,"4WD"}</definedName>
    <definedName name="_43S6_" hidden="1">{#N/A,#N/A,FALSE,"KMC최종회의(7월) 자료"}</definedName>
    <definedName name="_43S8_" hidden="1">{#N/A,#N/A,FALSE,"KMC최종회의(7월) 자료"}</definedName>
    <definedName name="_43T2_" hidden="1">{#N/A,#N/A,FALSE,"단축1";#N/A,#N/A,FALSE,"단축2";#N/A,#N/A,FALSE,"단축3";#N/A,#N/A,FALSE,"장축";#N/A,#N/A,FALSE,"4WD"}</definedName>
    <definedName name="_43T3_" hidden="1">{#N/A,#N/A,FALSE,"단축1";#N/A,#N/A,FALSE,"단축2";#N/A,#N/A,FALSE,"단축3";#N/A,#N/A,FALSE,"장축";#N/A,#N/A,FALSE,"4WD"}</definedName>
    <definedName name="_43W1_" hidden="1">{#N/A,#N/A,FALSE,"KMC최종회의(7월) 자료"}</definedName>
    <definedName name="_43W3_" hidden="1">{#N/A,#N/A,FALSE,"KMC최종회의(7월) 자료"}</definedName>
    <definedName name="_43W5_" hidden="1">{#N/A,#N/A,FALSE,"KMC최종회의(7월) 자료"}</definedName>
    <definedName name="_43W6_" hidden="1">{#N/A,#N/A,FALSE,"KMC최종회의(7월) 자료"}</definedName>
    <definedName name="_43W7_" hidden="1">{#N/A,#N/A,FALSE,"KMC최종회의(7월) 자료"}</definedName>
    <definedName name="_43W8_" hidden="1">{#N/A,#N/A,FALSE,"KMC최종회의(7월) 자료"}</definedName>
    <definedName name="_43W9_" hidden="1">{#N/A,#N/A,FALSE,"KMC최종회의(7월) 자료"}</definedName>
    <definedName name="_43X2_" hidden="1">{#N/A,#N/A,FALSE,"KMC최종회의(7월) 자료"}</definedName>
    <definedName name="_43X3_" hidden="1">{#N/A,#N/A,FALSE,"KMC최종회의(7월) 자료"}</definedName>
    <definedName name="_43X4_" hidden="1">{#N/A,#N/A,FALSE,"KMC최종회의(7월) 자료"}</definedName>
    <definedName name="_43X4__1" hidden="1">{#N/A,#N/A,FALSE,"KMC최종회의(7월) 자료"}</definedName>
    <definedName name="_43X5_" hidden="1">{#N/A,#N/A,FALSE,"KMC최종회의(7월) 자료"}</definedName>
    <definedName name="_43X6_" hidden="1">{#N/A,#N/A,FALSE,"KMC최종회의(7월) 자료"}</definedName>
    <definedName name="_43X7_" hidden="1">{#N/A,#N/A,FALSE,"KMC최종회의(7월) 자료"}</definedName>
    <definedName name="_43X8_" hidden="1">{#N/A,#N/A,FALSE,"KMC최종회의(7월) 자료"}</definedName>
    <definedName name="_43X8__1" hidden="1">{#N/A,#N/A,FALSE,"KMC최종회의(7월) 자료"}</definedName>
    <definedName name="_43Z1_" hidden="1">{#N/A,#N/A,FALSE,"KMC최종회의(7월) 자료"}</definedName>
    <definedName name="_43Z1__1" hidden="1">{#N/A,#N/A,FALSE,"KMC최종회의(7월) 자료"}</definedName>
    <definedName name="_44__123Graph_AC04C_FR_T1" hidden="1">#REF!</definedName>
    <definedName name="_44__0_S" hidden="1">#REF!</definedName>
    <definedName name="_441Z8_" hidden="1">{#N/A,#N/A,FALSE,"KMC최종회의(7월) 자료"}</definedName>
    <definedName name="_442s4_" hidden="1">{#N/A,#N/A,FALSE,"단축1";#N/A,#N/A,FALSE,"단축2";#N/A,#N/A,FALSE,"단축3";#N/A,#N/A,FALSE,"장축";#N/A,#N/A,FALSE,"4WD"}</definedName>
    <definedName name="_442s4__1" hidden="1">{#N/A,#N/A,FALSE,"단축1";#N/A,#N/A,FALSE,"단축2";#N/A,#N/A,FALSE,"단축3";#N/A,#N/A,FALSE,"장축";#N/A,#N/A,FALSE,"4WD"}</definedName>
    <definedName name="_443W7_" hidden="1">{#N/A,#N/A,FALSE,"KMC최종회의(7월) 자료"}</definedName>
    <definedName name="_443X21_" hidden="1">{#N/A,#N/A,FALSE,"단축1";#N/A,#N/A,FALSE,"단축2";#N/A,#N/A,FALSE,"단축3";#N/A,#N/A,FALSE,"장축";#N/A,#N/A,FALSE,"4WD"}</definedName>
    <definedName name="_444X2_" hidden="1">{#N/A,#N/A,FALSE,"KMC최종회의(7월) 자료"}</definedName>
    <definedName name="_446A2040_" hidden="1">{#N/A,#N/A,FALSE,"단축1";#N/A,#N/A,FALSE,"단축2";#N/A,#N/A,FALSE,"단축3";#N/A,#N/A,FALSE,"장축";#N/A,#N/A,FALSE,"4WD"}</definedName>
    <definedName name="_447X3_" hidden="1">{#N/A,#N/A,FALSE,"KMC최종회의(7월) 자료"}</definedName>
    <definedName name="_447Z5_" hidden="1">{#N/A,#N/A,FALSE,"KMC최종회의(7월) 자료"}</definedName>
    <definedName name="_448A2040_" hidden="1">{#N/A,#N/A,FALSE,"단축1";#N/A,#N/A,FALSE,"단축2";#N/A,#N/A,FALSE,"단축3";#N/A,#N/A,FALSE,"장축";#N/A,#N/A,FALSE,"4WD"}</definedName>
    <definedName name="_448X4_" hidden="1">{#N/A,#N/A,FALSE,"KMC최종회의(7월) 자료"}</definedName>
    <definedName name="_448Z9_" hidden="1">{#N/A,#N/A,FALSE,"KMC최종회의(7월) 자료"}</definedName>
    <definedName name="_44A12458_" hidden="1">{#N/A,#N/A,FALSE,"단축1";#N/A,#N/A,FALSE,"단축2";#N/A,#N/A,FALSE,"단축3";#N/A,#N/A,FALSE,"장축";#N/A,#N/A,FALSE,"4WD"}</definedName>
    <definedName name="_44A3_" hidden="1">{#N/A,#N/A,FALSE,"단축1";#N/A,#N/A,FALSE,"단축2";#N/A,#N/A,FALSE,"단축3";#N/A,#N/A,FALSE,"장축";#N/A,#N/A,FALSE,"4WD"}</definedName>
    <definedName name="_44AS6_" hidden="1">{#N/A,#N/A,FALSE,"Australien";#N/A,#N/A,FALSE,"Birmingham";#N/A,#N/A,FALSE,"Brasilien";#N/A,#N/A,FALSE,"Prag";#N/A,#N/A,FALSE,"Spanien";#N/A,#N/A,FALSE,"Malaysia ( Com)";#N/A,#N/A,FALSE,"Malaysia (Instr)"}</definedName>
    <definedName name="_44AT1_" hidden="1">{#N/A,#N/A,FALSE,"인원";#N/A,#N/A,FALSE,"비용2";#N/A,#N/A,FALSE,"비용1";#N/A,#N/A,FALSE,"비용";#N/A,#N/A,FALSE,"보증2";#N/A,#N/A,FALSE,"보증1";#N/A,#N/A,FALSE,"보증";#N/A,#N/A,FALSE,"손익1";#N/A,#N/A,FALSE,"손익";#N/A,#N/A,FALSE,"부서별매출";#N/A,#N/A,FALSE,"매출"}</definedName>
    <definedName name="_44CL22_" hidden="1">{#N/A,#N/A,FALSE,"KMC최종회의(7월) 자료"}</definedName>
    <definedName name="_44CL222_" hidden="1">{#N/A,#N/A,FALSE,"KMC최종회의(7월) 자료"}</definedName>
    <definedName name="_44DB777_" hidden="1">{#N/A,#N/A,TRUE,"Y생산";#N/A,#N/A,TRUE,"Y판매";#N/A,#N/A,TRUE,"Y총물량";#N/A,#N/A,TRUE,"Y능력";#N/A,#N/A,TRUE,"YKD"}</definedName>
    <definedName name="_44e1_" hidden="1">{#N/A,#N/A,FALSE,"단축1";#N/A,#N/A,FALSE,"단축2";#N/A,#N/A,FALSE,"단축3";#N/A,#N/A,FALSE,"장축";#N/A,#N/A,FALSE,"4WD"}</definedName>
    <definedName name="_44e1__1" hidden="1">{#N/A,#N/A,FALSE,"단축1";#N/A,#N/A,FALSE,"단축2";#N/A,#N/A,FALSE,"단축3";#N/A,#N/A,FALSE,"장축";#N/A,#N/A,FALSE,"4WD"}</definedName>
    <definedName name="_44E2_" hidden="1">{#N/A,#N/A,FALSE,"KMC최종회의(7월) 자료"}</definedName>
    <definedName name="_44e5_" hidden="1">{#N/A,#N/A,FALSE,"단축1";#N/A,#N/A,FALSE,"단축2";#N/A,#N/A,FALSE,"단축3";#N/A,#N/A,FALSE,"장축";#N/A,#N/A,FALSE,"4WD"}</definedName>
    <definedName name="_44FG1_" hidden="1">{#N/A,#N/A,FALSE,"단축1";#N/A,#N/A,FALSE,"단축2";#N/A,#N/A,FALSE,"단축3";#N/A,#N/A,FALSE,"장축";#N/A,#N/A,FALSE,"4WD"}</definedName>
    <definedName name="_44h1_" hidden="1">{"'표지'!$B$5"}</definedName>
    <definedName name="_44Q1_" hidden="1">{#N/A,#N/A,FALSE,"KMC최종회의(7월) 자료"}</definedName>
    <definedName name="_44Q2_" hidden="1">{#N/A,#N/A,FALSE,"KMC최종회의(7월) 자료"}</definedName>
    <definedName name="_44Q3_" hidden="1">{#N/A,#N/A,FALSE,"KMC최종회의(7월) 자료"}</definedName>
    <definedName name="_44Q5_" hidden="1">{#N/A,#N/A,FALSE,"KMC최종회의(7월) 자료"}</definedName>
    <definedName name="_44Q7_" hidden="1">{#N/A,#N/A,FALSE,"KMC최종회의(7월) 자료"}</definedName>
    <definedName name="_44S1_" hidden="1">{#N/A,#N/A,FALSE,"KMC최종회의(7월) 자료"}</definedName>
    <definedName name="_44S2_" hidden="1">{#N/A,#N/A,FALSE,"KMC최종회의(7월) 자료"}</definedName>
    <definedName name="_44S3_" hidden="1">{#N/A,#N/A,FALSE,"KMC최종회의(7월) 자료"}</definedName>
    <definedName name="_44S4_" hidden="1">{#N/A,#N/A,FALSE,"KMC최종회의(7월) 자료"}</definedName>
    <definedName name="_44s5_" hidden="1">{#N/A,#N/A,FALSE,"신규dep";#N/A,#N/A,FALSE,"신규dep-금형상각후";#N/A,#N/A,FALSE,"신규dep-연구비상각후";#N/A,#N/A,FALSE,"신규dep-기계,공구상각후"}</definedName>
    <definedName name="_44S7_" hidden="1">{#N/A,#N/A,FALSE,"KMC최종회의(7월) 자료"}</definedName>
    <definedName name="_44T5_" hidden="1">{#N/A,#N/A,FALSE,"단축1";#N/A,#N/A,FALSE,"단축2";#N/A,#N/A,FALSE,"단축3";#N/A,#N/A,FALSE,"장축";#N/A,#N/A,FALSE,"4WD"}</definedName>
    <definedName name="_44U1_" hidden="1">{#N/A,#N/A,FALSE,"단축1";#N/A,#N/A,FALSE,"단축2";#N/A,#N/A,FALSE,"단축3";#N/A,#N/A,FALSE,"장축";#N/A,#N/A,FALSE,"4WD"}</definedName>
    <definedName name="_44W2_" hidden="1">{#N/A,#N/A,FALSE,"KMC최종회의(7월) 자료"}</definedName>
    <definedName name="_44W4_" hidden="1">{#N/A,#N/A,FALSE,"KMC최종회의(7월) 자료"}</definedName>
    <definedName name="_44W6_" hidden="1">{#N/A,#N/A,FALSE,"KMC최종회의(7월) 자료"}</definedName>
    <definedName name="_44W7_" hidden="1">{#N/A,#N/A,FALSE,"KMC최종회의(7월) 자료"}</definedName>
    <definedName name="_44W8_" hidden="1">{#N/A,#N/A,FALSE,"KMC최종회의(7월) 자료"}</definedName>
    <definedName name="_44W9_" hidden="1">{#N/A,#N/A,FALSE,"KMC최종회의(7월) 자료"}</definedName>
    <definedName name="_44X1_" hidden="1">{#N/A,#N/A,FALSE,"KMC최종회의(7월) 자료"}</definedName>
    <definedName name="_44X3_" hidden="1">{#N/A,#N/A,FALSE,"KMC최종회의(7월) 자료"}</definedName>
    <definedName name="_44X4_" hidden="1">{#N/A,#N/A,FALSE,"KMC최종회의(7월) 자료"}</definedName>
    <definedName name="_44X5_" hidden="1">{#N/A,#N/A,FALSE,"KMC최종회의(7월) 자료"}</definedName>
    <definedName name="_44X5__1" hidden="1">{#N/A,#N/A,FALSE,"KMC최종회의(7월) 자료"}</definedName>
    <definedName name="_44X6_" hidden="1">{#N/A,#N/A,FALSE,"KMC최종회의(7월) 자료"}</definedName>
    <definedName name="_44X7_" hidden="1">{#N/A,#N/A,FALSE,"KMC최종회의(7월) 자료"}</definedName>
    <definedName name="_44X8_" hidden="1">{#N/A,#N/A,FALSE,"KMC최종회의(7월) 자료"}</definedName>
    <definedName name="_44Z1_" hidden="1">{#N/A,#N/A,FALSE,"KMC최종회의(7월) 자료"}</definedName>
    <definedName name="_44Z1__1" hidden="1">{#N/A,#N/A,FALSE,"KMC최종회의(7월) 자료"}</definedName>
    <definedName name="_44Z2_" hidden="1">{#N/A,#N/A,FALSE,"KMC최종회의(7월) 자료"}</definedName>
    <definedName name="_44Z2__1" hidden="1">{#N/A,#N/A,FALSE,"KMC최종회의(7월) 자료"}</definedName>
    <definedName name="_450E1_" hidden="1">{#N/A,#N/A,FALSE,"KMC최종회의(7월) 자료"}</definedName>
    <definedName name="_451____S" hidden="1">#REF!</definedName>
    <definedName name="_451X4_" hidden="1">{#N/A,#N/A,FALSE,"KMC최종회의(7월) 자료"}</definedName>
    <definedName name="_452W8_" hidden="1">{#N/A,#N/A,FALSE,"KMC최종회의(7월) 자료"}</definedName>
    <definedName name="_454__0_S" hidden="1">#REF!</definedName>
    <definedName name="_455X5_" hidden="1">{#N/A,#N/A,FALSE,"KMC최종회의(7월) 자료"}</definedName>
    <definedName name="_455Z6_" hidden="1">{#N/A,#N/A,FALSE,"KMC최종회의(7월) 자료"}</definedName>
    <definedName name="_456X3_" hidden="1">{#N/A,#N/A,FALSE,"KMC최종회의(7월) 자료"}</definedName>
    <definedName name="_457s5_" hidden="1">{#N/A,#N/A,FALSE,"신규dep";#N/A,#N/A,FALSE,"신규dep-금형상각후";#N/A,#N/A,FALSE,"신규dep-연구비상각후";#N/A,#N/A,FALSE,"신규dep-기계,공구상각후"}</definedName>
    <definedName name="_457s5__1" hidden="1">{#N/A,#N/A,FALSE,"신규dep";#N/A,#N/A,FALSE,"신규dep-금형상각후";#N/A,#N/A,FALSE,"신규dep-연구비상각후";#N/A,#N/A,FALSE,"신규dep-기계,공구상각후"}</definedName>
    <definedName name="_459X6_" hidden="1">{#N/A,#N/A,FALSE,"KMC최종회의(7월) 자료"}</definedName>
    <definedName name="_45A1_" hidden="1">{#N/A,#N/A,FALSE,"KMC최종회의(7월) 자료"}</definedName>
    <definedName name="_45A2_" hidden="1">{#N/A,#N/A,FALSE,"KMC최종회의(7월) 자료"}</definedName>
    <definedName name="_45A4_" hidden="1">{#N/A,#N/A,FALSE,"KMC최종회의(7월) 자료"}</definedName>
    <definedName name="_45A5_" hidden="1">{#N/A,#N/A,FALSE,"KMC최종회의(7월) 자료"}</definedName>
    <definedName name="_45A6_" hidden="1">{#N/A,#N/A,FALSE,"KMC최종회의(7월) 자료"}</definedName>
    <definedName name="_45A9_" hidden="1">{#N/A,#N/A,FALSE,"KMC최종회의(7월) 자료"}</definedName>
    <definedName name="_45AS6_" hidden="1">{#N/A,#N/A,FALSE,"Australien";#N/A,#N/A,FALSE,"Birmingham";#N/A,#N/A,FALSE,"Brasilien";#N/A,#N/A,FALSE,"Prag";#N/A,#N/A,FALSE,"Spanien";#N/A,#N/A,FALSE,"Malaysia ( Com)";#N/A,#N/A,FALSE,"Malaysia (Instr)"}</definedName>
    <definedName name="_4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5CL22_" hidden="1">{#N/A,#N/A,FALSE,"KMC최종회의(7월) 자료"}</definedName>
    <definedName name="_45CL222_" hidden="1">{#N/A,#N/A,FALSE,"KMC최종회의(7월) 자료"}</definedName>
    <definedName name="_45CL33_" hidden="1">{#N/A,#N/A,FALSE,"KMC최종회의(7월) 자료"}</definedName>
    <definedName name="_45d1_" hidden="1">{#N/A,#N/A,FALSE,"신규dep";#N/A,#N/A,FALSE,"신규dep-금형상각후";#N/A,#N/A,FALSE,"신규dep-연구비상각후";#N/A,#N/A,FALSE,"신규dep-기계,공구상각후"}</definedName>
    <definedName name="_45d1__1" hidden="1">{#N/A,#N/A,FALSE,"신규dep";#N/A,#N/A,FALSE,"신규dep-금형상각후";#N/A,#N/A,FALSE,"신규dep-연구비상각후";#N/A,#N/A,FALSE,"신규dep-기계,공구상각후"}</definedName>
    <definedName name="_45DB777_" hidden="1">{#N/A,#N/A,TRUE,"Y생산";#N/A,#N/A,TRUE,"Y판매";#N/A,#N/A,TRUE,"Y총물량";#N/A,#N/A,TRUE,"Y능력";#N/A,#N/A,TRUE,"YKD"}</definedName>
    <definedName name="_45DC50_" hidden="1">{#N/A,#N/A,FALSE,"단축1";#N/A,#N/A,FALSE,"단축2";#N/A,#N/A,FALSE,"단축3";#N/A,#N/A,FALSE,"장축";#N/A,#N/A,FALSE,"4WD"}</definedName>
    <definedName name="_45DR1_" hidden="1">{#N/A,#N/A,FALSE,"업체선정";#N/A,#N/A,FALSE,"업체선정sheet";#N/A,#N/A,FALSE,"업체실태";#N/A,#N/A,FALSE,"업체실태(1)";#N/A,#N/A,FALSE,"종업원현황(2)";#N/A,#N/A,FALSE,"생산품목(3)";#N/A,#N/A,FALSE,"장비보유현황";#N/A,#N/A,FALSE,"차량및약도";#N/A,#N/A,FALSE,"금형LIST"}</definedName>
    <definedName name="_45E1_" hidden="1">{#N/A,#N/A,FALSE,"KMC최종회의(7월) 자료"}</definedName>
    <definedName name="_45E2_" hidden="1">{#N/A,#N/A,FALSE,"KMC최종회의(7월) 자료"}</definedName>
    <definedName name="_45E2__1" hidden="1">{#N/A,#N/A,FALSE,"KMC최종회의(7월) 자료"}</definedName>
    <definedName name="_45e3_" hidden="1">{#N/A,#N/A,FALSE,"단축1";#N/A,#N/A,FALSE,"단축2";#N/A,#N/A,FALSE,"단축3";#N/A,#N/A,FALSE,"장축";#N/A,#N/A,FALSE,"4WD"}</definedName>
    <definedName name="_45e4_" hidden="1">{#N/A,#N/A,FALSE,"단축1";#N/A,#N/A,FALSE,"단축2";#N/A,#N/A,FALSE,"단축3";#N/A,#N/A,FALSE,"장축";#N/A,#N/A,FALSE,"4WD"}</definedName>
    <definedName name="_45e4__1" hidden="1">{#N/A,#N/A,FALSE,"단축1";#N/A,#N/A,FALSE,"단축2";#N/A,#N/A,FALSE,"단축3";#N/A,#N/A,FALSE,"장축";#N/A,#N/A,FALSE,"4WD"}</definedName>
    <definedName name="_45e8_" hidden="1">{#N/A,#N/A,FALSE,"신규dep";#N/A,#N/A,FALSE,"신규dep-금형상각후";#N/A,#N/A,FALSE,"신규dep-연구비상각후";#N/A,#N/A,FALSE,"신규dep-기계,공구상각후"}</definedName>
    <definedName name="_45P21_" hidden="1">{#N/A,#N/A,FALSE,"단축1";#N/A,#N/A,FALSE,"단축2";#N/A,#N/A,FALSE,"단축3";#N/A,#N/A,FALSE,"장축";#N/A,#N/A,FALSE,"4WD"}</definedName>
    <definedName name="_45Q2_" hidden="1">{#N/A,#N/A,FALSE,"KMC최종회의(7월) 자료"}</definedName>
    <definedName name="_45Q5_" hidden="1">{#N/A,#N/A,FALSE,"KMC최종회의(7월) 자료"}</definedName>
    <definedName name="_45Q7_" hidden="1">{#N/A,#N/A,FALSE,"KMC최종회의(7월) 자료"}</definedName>
    <definedName name="_45Q8_" hidden="1">{#N/A,#N/A,FALSE,"KMC최종회의(7월) 자료"}</definedName>
    <definedName name="_45Q9_" hidden="1">{#N/A,#N/A,FALSE,"KMC최종회의(7월) 자료"}</definedName>
    <definedName name="_45Q9__1" hidden="1">{#N/A,#N/A,FALSE,"KMC최종회의(7월) 자료"}</definedName>
    <definedName name="_45S3_" hidden="1">{#N/A,#N/A,FALSE,"KMC최종회의(7월) 자료"}</definedName>
    <definedName name="_45S4_" hidden="1">{#N/A,#N/A,FALSE,"KMC최종회의(7월) 자료"}</definedName>
    <definedName name="_45S5_" hidden="1">{#N/A,#N/A,FALSE,"KMC최종회의(7월) 자료"}</definedName>
    <definedName name="_45s6_" hidden="1">{#N/A,#N/A,FALSE,"신규dep";#N/A,#N/A,FALSE,"신규dep-금형상각후";#N/A,#N/A,FALSE,"신규dep-연구비상각후";#N/A,#N/A,FALSE,"신규dep-기계,공구상각후"}</definedName>
    <definedName name="_45S8_" hidden="1">{#N/A,#N/A,FALSE,"KMC최종회의(7월) 자료"}</definedName>
    <definedName name="_45W1_" hidden="1">{#N/A,#N/A,FALSE,"KMC최종회의(7월) 자료"}</definedName>
    <definedName name="_45W3_" hidden="1">{#N/A,#N/A,FALSE,"KMC최종회의(7월) 자료"}</definedName>
    <definedName name="_45W5_" hidden="1">{#N/A,#N/A,FALSE,"KMC최종회의(7월) 자료"}</definedName>
    <definedName name="_45W7_" hidden="1">{#N/A,#N/A,FALSE,"KMC최종회의(7월) 자료"}</definedName>
    <definedName name="_45W8_" hidden="1">{#N/A,#N/A,FALSE,"KMC최종회의(7월) 자료"}</definedName>
    <definedName name="_45W9_" hidden="1">{#N/A,#N/A,FALSE,"KMC최종회의(7월) 자료"}</definedName>
    <definedName name="_45X1_" hidden="1">{#N/A,#N/A,FALSE,"KMC최종회의(7월) 자료"}</definedName>
    <definedName name="_45X2_" hidden="1">{#N/A,#N/A,FALSE,"KMC최종회의(7월) 자료"}</definedName>
    <definedName name="_45X4_" hidden="1">{#N/A,#N/A,FALSE,"KMC최종회의(7월) 자료"}</definedName>
    <definedName name="_45X5_" hidden="1">{#N/A,#N/A,FALSE,"KMC최종회의(7월) 자료"}</definedName>
    <definedName name="_45X6_" hidden="1">{#N/A,#N/A,FALSE,"KMC최종회의(7월) 자료"}</definedName>
    <definedName name="_45X6__1" hidden="1">{#N/A,#N/A,FALSE,"KMC최종회의(7월) 자료"}</definedName>
    <definedName name="_45X7_" hidden="1">{#N/A,#N/A,FALSE,"KMC최종회의(7월) 자료"}</definedName>
    <definedName name="_45X8_" hidden="1">{#N/A,#N/A,FALSE,"KMC최종회의(7월) 자료"}</definedName>
    <definedName name="_45Z1_" hidden="1">{#N/A,#N/A,FALSE,"KMC최종회의(7월) 자료"}</definedName>
    <definedName name="_45Z2_" hidden="1">{#N/A,#N/A,FALSE,"KMC최종회의(7월) 자료"}</definedName>
    <definedName name="_45Z2__1" hidden="1">{#N/A,#N/A,FALSE,"KMC최종회의(7월) 자료"}</definedName>
    <definedName name="_45Z3_" hidden="1">{#N/A,#N/A,FALSE,"KMC최종회의(7월) 자료"}</definedName>
    <definedName name="_45Z3__1" hidden="1">{#N/A,#N/A,FALSE,"KMC최종회의(7월) 자료"}</definedName>
    <definedName name="_46__123Graph_CCHART_3" hidden="1">#REF!</definedName>
    <definedName name="_46__0_S" hidden="1">#REF!</definedName>
    <definedName name="_461W9_" hidden="1">{#N/A,#N/A,FALSE,"KMC최종회의(7월) 자료"}</definedName>
    <definedName name="_463X7_" hidden="1">{#N/A,#N/A,FALSE,"KMC최종회의(7월) 자료"}</definedName>
    <definedName name="_463Z7_" hidden="1">{#N/A,#N/A,FALSE,"KMC최종회의(7월) 자료"}</definedName>
    <definedName name="_464X5_" hidden="1">{#N/A,#N/A,FALSE,"KMC최종회의(7월) 자료"}</definedName>
    <definedName name="_466E2_" hidden="1">{#N/A,#N/A,FALSE,"KMC최종회의(7월) 자료"}</definedName>
    <definedName name="_467X8_" hidden="1">{#N/A,#N/A,FALSE,"KMC최종회의(7월) 자료"}</definedName>
    <definedName name="_468X4_" hidden="1">{#N/A,#N/A,FALSE,"KMC최종회의(7월) 자료"}</definedName>
    <definedName name="_46A4_" hidden="1">{#N/A,#N/A,FALSE,"KMC최종회의(7월) 자료"}</definedName>
    <definedName name="_46A5_" hidden="1">{#N/A,#N/A,FALSE,"KMC최종회의(7월) 자료"}</definedName>
    <definedName name="_46A7_" hidden="1">{#N/A,#N/A,FALSE,"KMC최종회의(7월) 자료"}</definedName>
    <definedName name="_46AT3_" hidden="1">{#N/A,#N/A,FALSE,"인원";#N/A,#N/A,FALSE,"비용2";#N/A,#N/A,FALSE,"비용1";#N/A,#N/A,FALSE,"비용";#N/A,#N/A,FALSE,"보증2";#N/A,#N/A,FALSE,"보증1";#N/A,#N/A,FALSE,"보증";#N/A,#N/A,FALSE,"손익1";#N/A,#N/A,FALSE,"손익";#N/A,#N/A,FALSE,"부서별매출";#N/A,#N/A,FALSE,"매출"}</definedName>
    <definedName name="_46CL222_" hidden="1">{#N/A,#N/A,FALSE,"KMC최종회의(7월) 자료"}</definedName>
    <definedName name="_46DB777_" hidden="1">{#N/A,#N/A,TRUE,"Y생산";#N/A,#N/A,TRUE,"Y판매";#N/A,#N/A,TRUE,"Y총물량";#N/A,#N/A,TRUE,"Y능력";#N/A,#N/A,TRUE,"YKD"}</definedName>
    <definedName name="_46E1_" hidden="1">{#N/A,#N/A,FALSE,"KMC최종회의(7월) 자료"}</definedName>
    <definedName name="_46e2_" hidden="1">{#N/A,#N/A,FALSE,"단축1";#N/A,#N/A,FALSE,"단축2";#N/A,#N/A,FALSE,"단축3";#N/A,#N/A,FALSE,"장축";#N/A,#N/A,FALSE,"4WD"}</definedName>
    <definedName name="_46e2__1" hidden="1">{#N/A,#N/A,FALSE,"단축1";#N/A,#N/A,FALSE,"단축2";#N/A,#N/A,FALSE,"단축3";#N/A,#N/A,FALSE,"장축";#N/A,#N/A,FALSE,"4WD"}</definedName>
    <definedName name="_46e6_" hidden="1">{#N/A,#N/A,FALSE,"단축1";#N/A,#N/A,FALSE,"단축2";#N/A,#N/A,FALSE,"단축3";#N/A,#N/A,FALSE,"장축";#N/A,#N/A,FALSE,"4WD"}</definedName>
    <definedName name="_46HP02_" hidden="1">{#N/A,#N/A,FALSE,"단축1";#N/A,#N/A,FALSE,"단축2";#N/A,#N/A,FALSE,"단축3";#N/A,#N/A,FALSE,"장축";#N/A,#N/A,FALSE,"4WD"}</definedName>
    <definedName name="_46P21_" hidden="1">{#N/A,#N/A,FALSE,"단축1";#N/A,#N/A,FALSE,"단축2";#N/A,#N/A,FALSE,"단축3";#N/A,#N/A,FALSE,"장축";#N/A,#N/A,FALSE,"4WD"}</definedName>
    <definedName name="_46Q1_" hidden="1">{#N/A,#N/A,FALSE,"KMC최종회의(7월) 자료"}</definedName>
    <definedName name="_46Q3_" hidden="1">{#N/A,#N/A,FALSE,"KMC최종회의(7월) 자료"}</definedName>
    <definedName name="_46Q5_" hidden="1">{#N/A,#N/A,FALSE,"KMC최종회의(7월) 자료"}</definedName>
    <definedName name="_46Q7_" hidden="1">{#N/A,#N/A,FALSE,"KMC최종회의(7월) 자료"}</definedName>
    <definedName name="_46Q8_" hidden="1">{#N/A,#N/A,FALSE,"KMC최종회의(7월) 자료"}</definedName>
    <definedName name="_46S2_" hidden="1">{#N/A,#N/A,FALSE,"KMC최종회의(7월) 자료"}</definedName>
    <definedName name="_46S4_" hidden="1">{#N/A,#N/A,FALSE,"KMC최종회의(7월) 자료"}</definedName>
    <definedName name="_46S5_" hidden="1">{#N/A,#N/A,FALSE,"KMC최종회의(7월) 자료"}</definedName>
    <definedName name="_46S6_" hidden="1">{#N/A,#N/A,FALSE,"KMC최종회의(7월) 자료"}</definedName>
    <definedName name="_46s7_" hidden="1">{#N/A,#N/A,FALSE,"신규dep";#N/A,#N/A,FALSE,"신규dep-금형상각후";#N/A,#N/A,FALSE,"신규dep-연구비상각후";#N/A,#N/A,FALSE,"신규dep-기계,공구상각후"}</definedName>
    <definedName name="_46S8_" hidden="1">{#N/A,#N/A,FALSE,"KMC최종회의(7월) 자료"}</definedName>
    <definedName name="_46T2_" hidden="1">{#N/A,#N/A,FALSE,"단축1";#N/A,#N/A,FALSE,"단축2";#N/A,#N/A,FALSE,"단축3";#N/A,#N/A,FALSE,"장축";#N/A,#N/A,FALSE,"4WD"}</definedName>
    <definedName name="_46W1_" hidden="1">{#N/A,#N/A,FALSE,"KMC최종회의(7월) 자료"}</definedName>
    <definedName name="_46W2_" hidden="1">{#N/A,#N/A,FALSE,"KMC최종회의(7월) 자료"}</definedName>
    <definedName name="_46W4_" hidden="1">{#N/A,#N/A,FALSE,"KMC최종회의(7월) 자료"}</definedName>
    <definedName name="_46W6_" hidden="1">{#N/A,#N/A,FALSE,"KMC최종회의(7월) 자료"}</definedName>
    <definedName name="_46W8_" hidden="1">{#N/A,#N/A,FALSE,"KMC최종회의(7월) 자료"}</definedName>
    <definedName name="_46W9_" hidden="1">{#N/A,#N/A,FALSE,"KMC최종회의(7월) 자료"}</definedName>
    <definedName name="_46X1_" hidden="1">{#N/A,#N/A,FALSE,"KMC최종회의(7월) 자료"}</definedName>
    <definedName name="_46X2_" hidden="1">{#N/A,#N/A,FALSE,"KMC최종회의(7월) 자료"}</definedName>
    <definedName name="_46X3_" hidden="1">{#N/A,#N/A,FALSE,"KMC최종회의(7월) 자료"}</definedName>
    <definedName name="_46X5_" hidden="1">{#N/A,#N/A,FALSE,"KMC최종회의(7월) 자료"}</definedName>
    <definedName name="_46X6_" hidden="1">{#N/A,#N/A,FALSE,"KMC최종회의(7월) 자료"}</definedName>
    <definedName name="_46X7_" hidden="1">{#N/A,#N/A,FALSE,"KMC최종회의(7월) 자료"}</definedName>
    <definedName name="_46X7__1" hidden="1">{#N/A,#N/A,FALSE,"KMC최종회의(7월) 자료"}</definedName>
    <definedName name="_46X8_" hidden="1">{#N/A,#N/A,FALSE,"KMC최종회의(7월) 자료"}</definedName>
    <definedName name="_46Z1_" hidden="1">{#N/A,#N/A,FALSE,"KMC최종회의(7월) 자료"}</definedName>
    <definedName name="_46Z2_" hidden="1">{#N/A,#N/A,FALSE,"KMC최종회의(7월) 자료"}</definedName>
    <definedName name="_46Z3_" hidden="1">{#N/A,#N/A,FALSE,"KMC최종회의(7월) 자료"}</definedName>
    <definedName name="_46Z3__1" hidden="1">{#N/A,#N/A,FALSE,"KMC최종회의(7월) 자료"}</definedName>
    <definedName name="_46Z4_" hidden="1">{#N/A,#N/A,FALSE,"KMC최종회의(7월) 자료"}</definedName>
    <definedName name="_46Z4__1" hidden="1">{#N/A,#N/A,FALSE,"KMC최종회의(7월) 자료"}</definedName>
    <definedName name="_47__123Graph_AC04C_FR_T2" hidden="1">#REF!</definedName>
    <definedName name="_47____S" hidden="1">#REF!</definedName>
    <definedName name="_470X1_" hidden="1">{#N/A,#N/A,FALSE,"KMC최종회의(7월) 자료"}</definedName>
    <definedName name="_471Z1_" hidden="1">{#N/A,#N/A,FALSE,"KMC최종회의(7월) 자료"}</definedName>
    <definedName name="_471Z8_" hidden="1">{#N/A,#N/A,FALSE,"KMC최종회의(7월) 자료"}</definedName>
    <definedName name="_472s6_" hidden="1">{#N/A,#N/A,FALSE,"신규dep";#N/A,#N/A,FALSE,"신규dep-금형상각후";#N/A,#N/A,FALSE,"신규dep-연구비상각후";#N/A,#N/A,FALSE,"신규dep-기계,공구상각후"}</definedName>
    <definedName name="_472s6__1" hidden="1">{#N/A,#N/A,FALSE,"신규dep";#N/A,#N/A,FALSE,"신규dep-금형상각후";#N/A,#N/A,FALSE,"신규dep-연구비상각후";#N/A,#N/A,FALSE,"신규dep-기계,공구상각후"}</definedName>
    <definedName name="_475Z2_" hidden="1">{#N/A,#N/A,FALSE,"KMC최종회의(7월) 자료"}</definedName>
    <definedName name="_476T2_" hidden="1">{#N/A,#N/A,FALSE,"단축1";#N/A,#N/A,FALSE,"단축2";#N/A,#N/A,FALSE,"단축3";#N/A,#N/A,FALSE,"장축";#N/A,#N/A,FALSE,"4WD"}</definedName>
    <definedName name="_479X2_" hidden="1">{#N/A,#N/A,FALSE,"KMC최종회의(7월) 자료"}</definedName>
    <definedName name="_479Z9_" hidden="1">{#N/A,#N/A,FALSE,"KMC최종회의(7월) 자료"}</definedName>
    <definedName name="_47A12458_" hidden="1">{#N/A,#N/A,FALSE,"단축1";#N/A,#N/A,FALSE,"단축2";#N/A,#N/A,FALSE,"단축3";#N/A,#N/A,FALSE,"장축";#N/A,#N/A,FALSE,"4WD"}</definedName>
    <definedName name="_47A2_" hidden="1">{#N/A,#N/A,FALSE,"KMC최종회의(7월) 자료"}</definedName>
    <definedName name="_47A3_" hidden="1">{#N/A,#N/A,FALSE,"단축1";#N/A,#N/A,FALSE,"단축2";#N/A,#N/A,FALSE,"단축3";#N/A,#N/A,FALSE,"장축";#N/A,#N/A,FALSE,"4WD"}</definedName>
    <definedName name="_47A5_" hidden="1">{#N/A,#N/A,FALSE,"KMC최종회의(7월) 자료"}</definedName>
    <definedName name="_47A6_" hidden="1">{#N/A,#N/A,FALSE,"KMC최종회의(7월) 자료"}</definedName>
    <definedName name="_47A7_" hidden="1">{#N/A,#N/A,FALSE,"KMC최종회의(7월) 자료"}</definedName>
    <definedName name="_47A8_" hidden="1">{#N/A,#N/A,FALSE,"KMC최종회의(7월) 자료"}</definedName>
    <definedName name="_47AA4_" hidden="1">{#N/A,#N/A,FALSE,"신규dep";#N/A,#N/A,FALSE,"신규dep-금형상각후";#N/A,#N/A,FALSE,"신규dep-연구비상각후";#N/A,#N/A,FALSE,"신규dep-기계,공구상각후"}</definedName>
    <definedName name="_47CL22_" hidden="1">{#N/A,#N/A,FALSE,"KMC최종회의(7월) 자료"}</definedName>
    <definedName name="_47CL33_" hidden="1">{#N/A,#N/A,FALSE,"KMC최종회의(7월) 자료"}</definedName>
    <definedName name="_47E1_" hidden="1">{#N/A,#N/A,FALSE,"KMC최종회의(7월) 자료"}</definedName>
    <definedName name="_47E2_" hidden="1">{#N/A,#N/A,FALSE,"KMC최종회의(7월) 자료"}</definedName>
    <definedName name="_47e3_" hidden="1">{#N/A,#N/A,FALSE,"단축1";#N/A,#N/A,FALSE,"단축2";#N/A,#N/A,FALSE,"단축3";#N/A,#N/A,FALSE,"장축";#N/A,#N/A,FALSE,"4WD"}</definedName>
    <definedName name="_47e3__1" hidden="1">{#N/A,#N/A,FALSE,"단축1";#N/A,#N/A,FALSE,"단축2";#N/A,#N/A,FALSE,"단축3";#N/A,#N/A,FALSE,"장축";#N/A,#N/A,FALSE,"4WD"}</definedName>
    <definedName name="_47e5_" hidden="1">{#N/A,#N/A,FALSE,"단축1";#N/A,#N/A,FALSE,"단축2";#N/A,#N/A,FALSE,"단축3";#N/A,#N/A,FALSE,"장축";#N/A,#N/A,FALSE,"4WD"}</definedName>
    <definedName name="_47e5__1" hidden="1">{#N/A,#N/A,FALSE,"단축1";#N/A,#N/A,FALSE,"단축2";#N/A,#N/A,FALSE,"단축3";#N/A,#N/A,FALSE,"장축";#N/A,#N/A,FALSE,"4WD"}</definedName>
    <definedName name="_47e9_" hidden="1">{#N/A,#N/A,FALSE,"단축1";#N/A,#N/A,FALSE,"단축2";#N/A,#N/A,FALSE,"단축3";#N/A,#N/A,FALSE,"장축";#N/A,#N/A,FALSE,"4WD"}</definedName>
    <definedName name="_47h2_" hidden="1">{"'표지'!$B$5"}</definedName>
    <definedName name="_47HP2_" hidden="1">{#N/A,#N/A,FALSE,"단축1";#N/A,#N/A,FALSE,"단축2";#N/A,#N/A,FALSE,"단축3";#N/A,#N/A,FALSE,"장축";#N/A,#N/A,FALSE,"4WD"}</definedName>
    <definedName name="_47k7_" hidden="1">{#N/A,#N/A,FALSE,"단축1";#N/A,#N/A,FALSE,"단축2";#N/A,#N/A,FALSE,"단축3";#N/A,#N/A,FALSE,"장축";#N/A,#N/A,FALSE,"4WD"}</definedName>
    <definedName name="_47Q2_" hidden="1">{#N/A,#N/A,FALSE,"KMC최종회의(7월) 자료"}</definedName>
    <definedName name="_47Q3_" hidden="1">{#N/A,#N/A,FALSE,"KMC최종회의(7월) 자료"}</definedName>
    <definedName name="_47Q7_" hidden="1">{#N/A,#N/A,FALSE,"KMC최종회의(7월) 자료"}</definedName>
    <definedName name="_47Q8_" hidden="1">{#N/A,#N/A,FALSE,"KMC최종회의(7월) 자료"}</definedName>
    <definedName name="_47Q9_" hidden="1">{#N/A,#N/A,FALSE,"KMC최종회의(7월) 자료"}</definedName>
    <definedName name="_47S4_" hidden="1">{#N/A,#N/A,FALSE,"KMC최종회의(7월) 자료"}</definedName>
    <definedName name="_47S4__1" hidden="1">{#N/A,#N/A,FALSE,"KMC최종회의(7월) 자료"}</definedName>
    <definedName name="_47S5_" hidden="1">{#N/A,#N/A,FALSE,"KMC최종회의(7월) 자료"}</definedName>
    <definedName name="_47S7_" hidden="1">{#N/A,#N/A,FALSE,"KMC최종회의(7월) 자료"}</definedName>
    <definedName name="_47s8_" hidden="1">{#N/A,#N/A,FALSE,"신규dep";#N/A,#N/A,FALSE,"신규dep-금형상각후";#N/A,#N/A,FALSE,"신규dep-연구비상각후";#N/A,#N/A,FALSE,"신규dep-기계,공구상각후"}</definedName>
    <definedName name="_47T3_" hidden="1">{#N/A,#N/A,FALSE,"단축1";#N/A,#N/A,FALSE,"단축2";#N/A,#N/A,FALSE,"단축3";#N/A,#N/A,FALSE,"장축";#N/A,#N/A,FALSE,"4WD"}</definedName>
    <definedName name="_47W2_" hidden="1">{#N/A,#N/A,FALSE,"KMC최종회의(7월) 자료"}</definedName>
    <definedName name="_47W3_" hidden="1">{#N/A,#N/A,FALSE,"KMC최종회의(7월) 자료"}</definedName>
    <definedName name="_47W5_" hidden="1">{#N/A,#N/A,FALSE,"KMC최종회의(7월) 자료"}</definedName>
    <definedName name="_47W7_" hidden="1">{#N/A,#N/A,FALSE,"KMC최종회의(7월) 자료"}</definedName>
    <definedName name="_47W9_" hidden="1">{#N/A,#N/A,FALSE,"KMC최종회의(7월) 자료"}</definedName>
    <definedName name="_47X1_" hidden="1">{#N/A,#N/A,FALSE,"KMC최종회의(7월) 자료"}</definedName>
    <definedName name="_47X2_" hidden="1">{#N/A,#N/A,FALSE,"KMC최종회의(7월) 자료"}</definedName>
    <definedName name="_47X3_" hidden="1">{#N/A,#N/A,FALSE,"KMC최종회의(7월) 자료"}</definedName>
    <definedName name="_47X4_" hidden="1">{#N/A,#N/A,FALSE,"KMC최종회의(7월) 자료"}</definedName>
    <definedName name="_47X6_" hidden="1">{#N/A,#N/A,FALSE,"KMC최종회의(7월) 자료"}</definedName>
    <definedName name="_47X7_" hidden="1">{#N/A,#N/A,FALSE,"KMC최종회의(7월) 자료"}</definedName>
    <definedName name="_47X8_" hidden="1">{#N/A,#N/A,FALSE,"KMC최종회의(7월) 자료"}</definedName>
    <definedName name="_47X8__1" hidden="1">{#N/A,#N/A,FALSE,"KMC최종회의(7월) 자료"}</definedName>
    <definedName name="_47Z1_" hidden="1">{#N/A,#N/A,FALSE,"KMC최종회의(7월) 자료"}</definedName>
    <definedName name="_47Z2_" hidden="1">{#N/A,#N/A,FALSE,"KMC최종회의(7월) 자료"}</definedName>
    <definedName name="_47Z3_" hidden="1">{#N/A,#N/A,FALSE,"KMC최종회의(7월) 자료"}</definedName>
    <definedName name="_47Z4_" hidden="1">{#N/A,#N/A,FALSE,"KMC최종회의(7월) 자료"}</definedName>
    <definedName name="_47Z4__1" hidden="1">{#N/A,#N/A,FALSE,"KMC최종회의(7월) 자료"}</definedName>
    <definedName name="_47Z5_" hidden="1">{#N/A,#N/A,FALSE,"KMC최종회의(7월) 자료"}</definedName>
    <definedName name="_47Z5__1" hidden="1">{#N/A,#N/A,FALSE,"KMC최종회의(7월) 자료"}</definedName>
    <definedName name="_48__123Graph_AC04C_FR_T2" hidden="1">#REF!</definedName>
    <definedName name="_48__123Graph_AVALVE_BORE" hidden="1">#REF!</definedName>
    <definedName name="_480X5_" hidden="1">{#N/A,#N/A,FALSE,"KMC최종회의(7월) 자료"}</definedName>
    <definedName name="_480X6_" hidden="1">{#N/A,#N/A,FALSE,"KMC최종회의(7월) 자료"}</definedName>
    <definedName name="_480Z23_" hidden="1">{#N/A,#N/A,FALSE,"단축1";#N/A,#N/A,FALSE,"단축2";#N/A,#N/A,FALSE,"단축3";#N/A,#N/A,FALSE,"장축";#N/A,#N/A,FALSE,"4WD"}</definedName>
    <definedName name="_483T3_" hidden="1">{#N/A,#N/A,FALSE,"단축1";#N/A,#N/A,FALSE,"단축2";#N/A,#N/A,FALSE,"단축3";#N/A,#N/A,FALSE,"장축";#N/A,#N/A,FALSE,"4WD"}</definedName>
    <definedName name="_484Z3_" hidden="1">{#N/A,#N/A,FALSE,"KMC최종회의(7월) 자료"}</definedName>
    <definedName name="_487s7_" hidden="1">{#N/A,#N/A,FALSE,"신규dep";#N/A,#N/A,FALSE,"신규dep-금형상각후";#N/A,#N/A,FALSE,"신규dep-연구비상각후";#N/A,#N/A,FALSE,"신규dep-기계,공구상각후"}</definedName>
    <definedName name="_487s7__1" hidden="1">{#N/A,#N/A,FALSE,"신규dep";#N/A,#N/A,FALSE,"신규dep-금형상각후";#N/A,#N/A,FALSE,"신규dep-연구비상각후";#N/A,#N/A,FALSE,"신규dep-기계,공구상각후"}</definedName>
    <definedName name="_488X3_" hidden="1">{#N/A,#N/A,FALSE,"KMC최종회의(7월) 자료"}</definedName>
    <definedName name="_488Z4_" hidden="1">{#N/A,#N/A,FALSE,"KMC최종회의(7월) 자료"}</definedName>
    <definedName name="_48A1232_" hidden="1">{#N/A,#N/A,FALSE,"단축1";#N/A,#N/A,FALSE,"단축2";#N/A,#N/A,FALSE,"단축3";#N/A,#N/A,FALSE,"장축";#N/A,#N/A,FALSE,"4WD"}</definedName>
    <definedName name="_48A1232__1" hidden="1">{#N/A,#N/A,FALSE,"단축1";#N/A,#N/A,FALSE,"단축2";#N/A,#N/A,FALSE,"단축3";#N/A,#N/A,FALSE,"장축";#N/A,#N/A,FALSE,"4WD"}</definedName>
    <definedName name="_48A1454_" hidden="1">{#N/A,#N/A,FALSE,"단축1";#N/A,#N/A,FALSE,"단축2";#N/A,#N/A,FALSE,"단축3";#N/A,#N/A,FALSE,"장축";#N/A,#N/A,FALSE,"4WD"}</definedName>
    <definedName name="_48A2_" hidden="1">{#N/A,#N/A,FALSE,"단축1";#N/A,#N/A,FALSE,"단축2";#N/A,#N/A,FALSE,"단축3";#N/A,#N/A,FALSE,"장축";#N/A,#N/A,FALSE,"4WD"}</definedName>
    <definedName name="_48A2__1" hidden="1">{#N/A,#N/A,FALSE,"단축1";#N/A,#N/A,FALSE,"단축2";#N/A,#N/A,FALSE,"단축3";#N/A,#N/A,FALSE,"장축";#N/A,#N/A,FALSE,"4WD"}</definedName>
    <definedName name="_48A3_" hidden="1">{#N/A,#N/A,FALSE,"단축1";#N/A,#N/A,FALSE,"단축2";#N/A,#N/A,FALSE,"단축3";#N/A,#N/A,FALSE,"장축";#N/A,#N/A,FALSE,"4WD"}</definedName>
    <definedName name="_48A4_" hidden="1">{#N/A,#N/A,FALSE,"KMC최종회의(7월) 자료"}</definedName>
    <definedName name="_48A6_" hidden="1">{#N/A,#N/A,FALSE,"KMC최종회의(7월) 자료"}</definedName>
    <definedName name="_48A6666_" hidden="1">{#N/A,#N/A,FALSE,"KMC최종회의(7월) 자료"}</definedName>
    <definedName name="_48A7_" hidden="1">{#N/A,#N/A,FALSE,"KMC최종회의(7월) 자료"}</definedName>
    <definedName name="_48A8_" hidden="1">{#N/A,#N/A,FALSE,"KMC최종회의(7월) 자료"}</definedName>
    <definedName name="_48AS6_" hidden="1">{#N/A,#N/A,FALSE,"Australien";#N/A,#N/A,FALSE,"Birmingham";#N/A,#N/A,FALSE,"Brasilien";#N/A,#N/A,FALSE,"Prag";#N/A,#N/A,FALSE,"Spanien";#N/A,#N/A,FALSE,"Malaysia ( Com)";#N/A,#N/A,FALSE,"Malaysia (Instr)"}</definedName>
    <definedName name="_48CL222_" hidden="1">{#N/A,#N/A,FALSE,"KMC최종회의(7월) 자료"}</definedName>
    <definedName name="_48DB777_" hidden="1">{#N/A,#N/A,TRUE,"Y생산";#N/A,#N/A,TRUE,"Y판매";#N/A,#N/A,TRUE,"Y총물량";#N/A,#N/A,TRUE,"Y능력";#N/A,#N/A,TRUE,"YKD"}</definedName>
    <definedName name="_48dr2_" hidden="1">{#N/A,#N/A,FALSE,"신규dep";#N/A,#N/A,FALSE,"신규dep-금형상각후";#N/A,#N/A,FALSE,"신규dep-연구비상각후";#N/A,#N/A,FALSE,"신규dep-기계,공구상각후"}</definedName>
    <definedName name="_48E1_" hidden="1">{#N/A,#N/A,FALSE,"KMC최종회의(7월) 자료"}</definedName>
    <definedName name="_48E2_" hidden="1">{#N/A,#N/A,FALSE,"KMC최종회의(7월) 자료"}</definedName>
    <definedName name="_48e4_" hidden="1">{#N/A,#N/A,FALSE,"단축1";#N/A,#N/A,FALSE,"단축2";#N/A,#N/A,FALSE,"단축3";#N/A,#N/A,FALSE,"장축";#N/A,#N/A,FALSE,"4WD"}</definedName>
    <definedName name="_48e4__1" hidden="1">{#N/A,#N/A,FALSE,"단축1";#N/A,#N/A,FALSE,"단축2";#N/A,#N/A,FALSE,"단축3";#N/A,#N/A,FALSE,"장축";#N/A,#N/A,FALSE,"4WD"}</definedName>
    <definedName name="_48e7_" hidden="1">{#N/A,#N/A,FALSE,"신규dep";#N/A,#N/A,FALSE,"신규dep-금형상각후";#N/A,#N/A,FALSE,"신규dep-연구비상각후";#N/A,#N/A,FALSE,"신규dep-기계,공구상각후"}</definedName>
    <definedName name="_48FG1_" hidden="1">{#N/A,#N/A,FALSE,"단축1";#N/A,#N/A,FALSE,"단축2";#N/A,#N/A,FALSE,"단축3";#N/A,#N/A,FALSE,"장축";#N/A,#N/A,FALSE,"4WD"}</definedName>
    <definedName name="_48k1_" hidden="1">#REF!</definedName>
    <definedName name="_48k7_" hidden="1">{#N/A,#N/A,FALSE,"단축1";#N/A,#N/A,FALSE,"단축2";#N/A,#N/A,FALSE,"단축3";#N/A,#N/A,FALSE,"장축";#N/A,#N/A,FALSE,"4WD"}</definedName>
    <definedName name="_48P2_" hidden="1">{#N/A,#N/A,FALSE,"단축1";#N/A,#N/A,FALSE,"단축2";#N/A,#N/A,FALSE,"단축3";#N/A,#N/A,FALSE,"장축";#N/A,#N/A,FALSE,"4WD"}</definedName>
    <definedName name="_48Q1_" hidden="1">{#N/A,#N/A,FALSE,"KMC최종회의(7월) 자료"}</definedName>
    <definedName name="_48Q1__1" hidden="1">{#N/A,#N/A,FALSE,"KMC최종회의(7월) 자료"}</definedName>
    <definedName name="_48Q3_" hidden="1">{#N/A,#N/A,FALSE,"KMC최종회의(7월) 자료"}</definedName>
    <definedName name="_48Q5_" hidden="1">{#N/A,#N/A,FALSE,"KMC최종회의(7월) 자료"}</definedName>
    <definedName name="_48Q7_" hidden="1">{#N/A,#N/A,FALSE,"KMC최종회의(7월) 자료"}</definedName>
    <definedName name="_48Q8_" hidden="1">{#N/A,#N/A,FALSE,"KMC최종회의(7월) 자료"}</definedName>
    <definedName name="_48Q9_" hidden="1">{#N/A,#N/A,FALSE,"KMC최종회의(7월) 자료"}</definedName>
    <definedName name="_48S3_" hidden="1">{#N/A,#N/A,FALSE,"KMC최종회의(7월) 자료"}</definedName>
    <definedName name="_48S5_" hidden="1">{#N/A,#N/A,FALSE,"KMC최종회의(7월) 자료"}</definedName>
    <definedName name="_48S6_" hidden="1">{#N/A,#N/A,FALSE,"KMC최종회의(7월) 자료"}</definedName>
    <definedName name="_48S8_" hidden="1">{#N/A,#N/A,FALSE,"KMC최종회의(7월) 자료"}</definedName>
    <definedName name="_48T2_" hidden="1">{#N/A,#N/A,FALSE,"단축1";#N/A,#N/A,FALSE,"단축2";#N/A,#N/A,FALSE,"단축3";#N/A,#N/A,FALSE,"장축";#N/A,#N/A,FALSE,"4WD"}</definedName>
    <definedName name="_48U1_" hidden="1">{#N/A,#N/A,FALSE,"단축1";#N/A,#N/A,FALSE,"단축2";#N/A,#N/A,FALSE,"단축3";#N/A,#N/A,FALSE,"장축";#N/A,#N/A,FALSE,"4WD"}</definedName>
    <definedName name="_48W1_" hidden="1">{#N/A,#N/A,FALSE,"KMC최종회의(7월) 자료"}</definedName>
    <definedName name="_48W3_" hidden="1">{#N/A,#N/A,FALSE,"KMC최종회의(7월) 자료"}</definedName>
    <definedName name="_48W4_" hidden="1">{#N/A,#N/A,FALSE,"KMC최종회의(7월) 자료"}</definedName>
    <definedName name="_48W6_" hidden="1">{#N/A,#N/A,FALSE,"KMC최종회의(7월) 자료"}</definedName>
    <definedName name="_48W8_" hidden="1">{#N/A,#N/A,FALSE,"KMC최종회의(7월) 자료"}</definedName>
    <definedName name="_48W9_" hidden="1">{#N/A,#N/A,FALSE,"KMC최종회의(7월) 자료"}</definedName>
    <definedName name="_48X1_" hidden="1">{#N/A,#N/A,FALSE,"KMC최종회의(7월) 자료"}</definedName>
    <definedName name="_48X2_" hidden="1">{#N/A,#N/A,FALSE,"KMC최종회의(7월) 자료"}</definedName>
    <definedName name="_48X3_" hidden="1">{#N/A,#N/A,FALSE,"KMC최종회의(7월) 자료"}</definedName>
    <definedName name="_48X4_" hidden="1">{#N/A,#N/A,FALSE,"KMC최종회의(7월) 자료"}</definedName>
    <definedName name="_48X5_" hidden="1">{#N/A,#N/A,FALSE,"KMC최종회의(7월) 자료"}</definedName>
    <definedName name="_48X7_" hidden="1">{#N/A,#N/A,FALSE,"KMC최종회의(7월) 자료"}</definedName>
    <definedName name="_48X8_" hidden="1">{#N/A,#N/A,FALSE,"KMC최종회의(7월) 자료"}</definedName>
    <definedName name="_48Z1_" hidden="1">{#N/A,#N/A,FALSE,"KMC최종회의(7월) 자료"}</definedName>
    <definedName name="_48Z1__1" hidden="1">{#N/A,#N/A,FALSE,"KMC최종회의(7월) 자료"}</definedName>
    <definedName name="_48Z2_" hidden="1">{#N/A,#N/A,FALSE,"KMC최종회의(7월) 자료"}</definedName>
    <definedName name="_48Z3_" hidden="1">{#N/A,#N/A,FALSE,"KMC최종회의(7월) 자료"}</definedName>
    <definedName name="_48Z4_" hidden="1">{#N/A,#N/A,FALSE,"KMC최종회의(7월) 자료"}</definedName>
    <definedName name="_48Z5_" hidden="1">{#N/A,#N/A,FALSE,"KMC최종회의(7월) 자료"}</definedName>
    <definedName name="_48Z5__1" hidden="1">{#N/A,#N/A,FALSE,"KMC최종회의(7월) 자료"}</definedName>
    <definedName name="_48Z6_" hidden="1">{#N/A,#N/A,FALSE,"KMC최종회의(7월) 자료"}</definedName>
    <definedName name="_48Z6__1" hidden="1">{#N/A,#N/A,FALSE,"KMC최종회의(7월) 자료"}</definedName>
    <definedName name="_49__123Graph_AVALVE_BORE" hidden="1">#REF!</definedName>
    <definedName name="_490T5_" hidden="1">{#N/A,#N/A,FALSE,"단축1";#N/A,#N/A,FALSE,"단축2";#N/A,#N/A,FALSE,"단축3";#N/A,#N/A,FALSE,"장축";#N/A,#N/A,FALSE,"4WD"}</definedName>
    <definedName name="_492X6_" hidden="1">{#N/A,#N/A,FALSE,"KMC최종회의(7월) 자료"}</definedName>
    <definedName name="_492Z5_" hidden="1">{#N/A,#N/A,FALSE,"KMC최종회의(7월) 자료"}</definedName>
    <definedName name="_494____S" hidden="1">#REF!</definedName>
    <definedName name="_495A2040_" hidden="1">{#N/A,#N/A,FALSE,"단축1";#N/A,#N/A,FALSE,"단축2";#N/A,#N/A,FALSE,"단축3";#N/A,#N/A,FALSE,"장축";#N/A,#N/A,FALSE,"4WD"}</definedName>
    <definedName name="_496X7_" hidden="1">{#N/A,#N/A,FALSE,"KMC최종회의(7월) 자료"}</definedName>
    <definedName name="_496Z6_" hidden="1">{#N/A,#N/A,FALSE,"KMC최종회의(7월) 자료"}</definedName>
    <definedName name="_497X4_" hidden="1">{#N/A,#N/A,FALSE,"KMC최종회의(7월) 자료"}</definedName>
    <definedName name="_499__0_S" hidden="1">#REF!</definedName>
    <definedName name="_49A2_" hidden="1">{#N/A,#N/A,FALSE,"KMC최종회의(7월) 자료"}</definedName>
    <definedName name="_49A4_" hidden="1">{#N/A,#N/A,FALSE,"KMC최종회의(7월) 자료"}</definedName>
    <definedName name="_49A6_" hidden="1">{#N/A,#N/A,FALSE,"KMC최종회의(7월) 자료"}</definedName>
    <definedName name="_49A7_" hidden="1">{#N/A,#N/A,FALSE,"KMC최종회의(7월) 자료"}</definedName>
    <definedName name="_49A8_" hidden="1">{#N/A,#N/A,FALSE,"KMC최종회의(7월) 자료"}</definedName>
    <definedName name="_49AS6_" hidden="1">{#N/A,#N/A,FALSE,"Australien";#N/A,#N/A,FALSE,"Birmingham";#N/A,#N/A,FALSE,"Brasilien";#N/A,#N/A,FALSE,"Prag";#N/A,#N/A,FALSE,"Spanien";#N/A,#N/A,FALSE,"Malaysia ( Com)";#N/A,#N/A,FALSE,"Malaysia (Instr)"}</definedName>
    <definedName name="_49CL222_" hidden="1">{#N/A,#N/A,FALSE,"KMC최종회의(7월) 자료"}</definedName>
    <definedName name="_49DB777_" hidden="1">{#N/A,#N/A,TRUE,"Y생산";#N/A,#N/A,TRUE,"Y판매";#N/A,#N/A,TRUE,"Y총물량";#N/A,#N/A,TRUE,"Y능력";#N/A,#N/A,TRUE,"YKD"}</definedName>
    <definedName name="_49e1_" hidden="1">{#N/A,#N/A,FALSE,"단축1";#N/A,#N/A,FALSE,"단축2";#N/A,#N/A,FALSE,"단축3";#N/A,#N/A,FALSE,"장축";#N/A,#N/A,FALSE,"4WD"}</definedName>
    <definedName name="_49e5_" hidden="1">{#N/A,#N/A,FALSE,"단축1";#N/A,#N/A,FALSE,"단축2";#N/A,#N/A,FALSE,"단축3";#N/A,#N/A,FALSE,"장축";#N/A,#N/A,FALSE,"4WD"}</definedName>
    <definedName name="_49e5__1" hidden="1">{#N/A,#N/A,FALSE,"단축1";#N/A,#N/A,FALSE,"단축2";#N/A,#N/A,FALSE,"단축3";#N/A,#N/A,FALSE,"장축";#N/A,#N/A,FALSE,"4WD"}</definedName>
    <definedName name="_49e6_" hidden="1">{#N/A,#N/A,FALSE,"단축1";#N/A,#N/A,FALSE,"단축2";#N/A,#N/A,FALSE,"단축3";#N/A,#N/A,FALSE,"장축";#N/A,#N/A,FALSE,"4WD"}</definedName>
    <definedName name="_49e6__1" hidden="1">{#N/A,#N/A,FALSE,"단축1";#N/A,#N/A,FALSE,"단축2";#N/A,#N/A,FALSE,"단축3";#N/A,#N/A,FALSE,"장축";#N/A,#N/A,FALSE,"4WD"}</definedName>
    <definedName name="_49EO2_" hidden="1">{#N/A,#N/A,FALSE,"신규dep";#N/A,#N/A,FALSE,"신규dep-금형상각후";#N/A,#N/A,FALSE,"신규dep-연구비상각후";#N/A,#N/A,FALSE,"신규dep-기계,공구상각후"}</definedName>
    <definedName name="_49h3_" hidden="1">{"'7-2지역별'!$A$1:$R$44"}</definedName>
    <definedName name="_49k7_" hidden="1">{#N/A,#N/A,FALSE,"단축1";#N/A,#N/A,FALSE,"단축2";#N/A,#N/A,FALSE,"단축3";#N/A,#N/A,FALSE,"장축";#N/A,#N/A,FALSE,"4WD"}</definedName>
    <definedName name="_49k8_" hidden="1">{#N/A,#N/A,FALSE,"단축1";#N/A,#N/A,FALSE,"단축2";#N/A,#N/A,FALSE,"단축3";#N/A,#N/A,FALSE,"장축";#N/A,#N/A,FALSE,"4WD"}</definedName>
    <definedName name="_49O11_" hidden="1">{#N/A,#N/A,FALSE,"단축1";#N/A,#N/A,FALSE,"단축2";#N/A,#N/A,FALSE,"단축3";#N/A,#N/A,FALSE,"장축";#N/A,#N/A,FALSE,"4WD"}</definedName>
    <definedName name="_49P21_" hidden="1">{#N/A,#N/A,FALSE,"단축1";#N/A,#N/A,FALSE,"단축2";#N/A,#N/A,FALSE,"단축3";#N/A,#N/A,FALSE,"장축";#N/A,#N/A,FALSE,"4WD"}</definedName>
    <definedName name="_49Q2_" hidden="1">{#N/A,#N/A,FALSE,"KMC최종회의(7월) 자료"}</definedName>
    <definedName name="_49Q3_" hidden="1">{#N/A,#N/A,FALSE,"KMC최종회의(7월) 자료"}</definedName>
    <definedName name="_49Q5_" hidden="1">{#N/A,#N/A,FALSE,"KMC최종회의(7월) 자료"}</definedName>
    <definedName name="_49Q8_" hidden="1">{#N/A,#N/A,FALSE,"KMC최종회의(7월) 자료"}</definedName>
    <definedName name="_49S1_" hidden="1">{#N/A,#N/A,FALSE,"KMC최종회의(7월) 자료"}</definedName>
    <definedName name="_49S5_" hidden="1">{#N/A,#N/A,FALSE,"KMC최종회의(7월) 자료"}</definedName>
    <definedName name="_49S5__1" hidden="1">{#N/A,#N/A,FALSE,"KMC최종회의(7월) 자료"}</definedName>
    <definedName name="_49S6_" hidden="1">{#N/A,#N/A,FALSE,"KMC최종회의(7월) 자료"}</definedName>
    <definedName name="_49T2_" hidden="1">{#N/A,#N/A,FALSE,"단축1";#N/A,#N/A,FALSE,"단축2";#N/A,#N/A,FALSE,"단축3";#N/A,#N/A,FALSE,"장축";#N/A,#N/A,FALSE,"4WD"}</definedName>
    <definedName name="_49T3_" hidden="1">{#N/A,#N/A,FALSE,"단축1";#N/A,#N/A,FALSE,"단축2";#N/A,#N/A,FALSE,"단축3";#N/A,#N/A,FALSE,"장축";#N/A,#N/A,FALSE,"4WD"}</definedName>
    <definedName name="_49W1_" hidden="1">{#N/A,#N/A,FALSE,"KMC최종회의(7월) 자료"}</definedName>
    <definedName name="_49W4_" hidden="1">{#N/A,#N/A,FALSE,"KMC최종회의(7월) 자료"}</definedName>
    <definedName name="_49W5_" hidden="1">{#N/A,#N/A,FALSE,"KMC최종회의(7월) 자료"}</definedName>
    <definedName name="_49W7_" hidden="1">{#N/A,#N/A,FALSE,"KMC최종회의(7월) 자료"}</definedName>
    <definedName name="_49W9_" hidden="1">{#N/A,#N/A,FALSE,"KMC최종회의(7월) 자료"}</definedName>
    <definedName name="_49X2_" hidden="1">{#N/A,#N/A,FALSE,"KMC최종회의(7월) 자료"}</definedName>
    <definedName name="_49X3_" hidden="1">{#N/A,#N/A,FALSE,"KMC최종회의(7월) 자료"}</definedName>
    <definedName name="_49X4_" hidden="1">{#N/A,#N/A,FALSE,"KMC최종회의(7월) 자료"}</definedName>
    <definedName name="_49X5_" hidden="1">{#N/A,#N/A,FALSE,"KMC최종회의(7월) 자료"}</definedName>
    <definedName name="_49X6_" hidden="1">{#N/A,#N/A,FALSE,"KMC최종회의(7월) 자료"}</definedName>
    <definedName name="_49X8_" hidden="1">{#N/A,#N/A,FALSE,"KMC최종회의(7월) 자료"}</definedName>
    <definedName name="_49Z1_" hidden="1">{#N/A,#N/A,FALSE,"KMC최종회의(7월) 자료"}</definedName>
    <definedName name="_49Z2_" hidden="1">{#N/A,#N/A,FALSE,"KMC최종회의(7월) 자료"}</definedName>
    <definedName name="_49Z2__1" hidden="1">{#N/A,#N/A,FALSE,"KMC최종회의(7월) 자료"}</definedName>
    <definedName name="_49Z3_" hidden="1">{#N/A,#N/A,FALSE,"KMC최종회의(7월) 자료"}</definedName>
    <definedName name="_49Z4_" hidden="1">{#N/A,#N/A,FALSE,"KMC최종회의(7월) 자료"}</definedName>
    <definedName name="_49Z5_" hidden="1">{#N/A,#N/A,FALSE,"KMC최종회의(7월) 자료"}</definedName>
    <definedName name="_49Z6_" hidden="1">{#N/A,#N/A,FALSE,"KMC최종회의(7월) 자료"}</definedName>
    <definedName name="_49Z6__1" hidden="1">{#N/A,#N/A,FALSE,"KMC최종회의(7월) 자료"}</definedName>
    <definedName name="_49Z7_" hidden="1">{#N/A,#N/A,FALSE,"KMC최종회의(7월) 자료"}</definedName>
    <definedName name="_49Z7__1" hidden="1">{#N/A,#N/A,FALSE,"KMC최종회의(7월) 자료"}</definedName>
    <definedName name="_4A02_" hidden="1">{#N/A,#N/A,FALSE,"단축1";#N/A,#N/A,FALSE,"단축2";#N/A,#N/A,FALSE,"단축3";#N/A,#N/A,FALSE,"장축";#N/A,#N/A,FALSE,"4WD"}</definedName>
    <definedName name="_4A0323_" hidden="1">{#N/A,#N/A,FALSE,"단축1";#N/A,#N/A,FALSE,"단축2";#N/A,#N/A,FALSE,"단축3";#N/A,#N/A,FALSE,"장축";#N/A,#N/A,FALSE,"4WD"}</definedName>
    <definedName name="_4A1_" hidden="1">{#N/A,#N/A,FALSE,"KMC최종회의(7월) 자료"}</definedName>
    <definedName name="_4A1232_" hidden="1">{#N/A,#N/A,FALSE,"단축1";#N/A,#N/A,FALSE,"단축2";#N/A,#N/A,FALSE,"단축3";#N/A,#N/A,FALSE,"장축";#N/A,#N/A,FALSE,"4WD"}</definedName>
    <definedName name="_4A1245_" hidden="1">{#N/A,#N/A,FALSE,"단축1";#N/A,#N/A,FALSE,"단축2";#N/A,#N/A,FALSE,"단축3";#N/A,#N/A,FALSE,"장축";#N/A,#N/A,FALSE,"4WD"}</definedName>
    <definedName name="_4A2_" hidden="1">{#N/A,#N/A,FALSE,"KMC최종회의(7월) 자료"}</definedName>
    <definedName name="_4A2040_" hidden="1">{#N/A,#N/A,FALSE,"단축1";#N/A,#N/A,FALSE,"단축2";#N/A,#N/A,FALSE,"단축3";#N/A,#N/A,FALSE,"장축";#N/A,#N/A,FALSE,"4WD"}</definedName>
    <definedName name="_4A3_" hidden="1">{#N/A,#N/A,FALSE,"KMC최종회의(7월) 자료"}</definedName>
    <definedName name="_4A4_" hidden="1">{#N/A,#N/A,FALSE,"KMC최종회의(7월) 자료"}</definedName>
    <definedName name="_4A4__1" hidden="1">{#N/A,#N/A,FALSE,"KMC최종회의(7월) 자료"}</definedName>
    <definedName name="_4A5_" hidden="1">{#N/A,#N/A,FALSE,"KMC최종회의(7월) 자료"}</definedName>
    <definedName name="_4A5__1" hidden="1">{#N/A,#N/A,FALSE,"KMC최종회의(7월) 자료"}</definedName>
    <definedName name="_4A6_" hidden="1">{#N/A,#N/A,FALSE,"KMC최종회의(7월) 자료"}</definedName>
    <definedName name="_4A7_" hidden="1">{#N/A,#N/A,FALSE,"KMC최종회의(7월) 자료"}</definedName>
    <definedName name="_4A8_" hidden="1">{#N/A,#N/A,FALSE,"KMC최종회의(7월) 자료"}</definedName>
    <definedName name="_4AS6_" hidden="1">{#N/A,#N/A,FALSE,"Australien";#N/A,#N/A,FALSE,"Birmingham";#N/A,#N/A,FALSE,"Brasilien";#N/A,#N/A,FALSE,"Prag";#N/A,#N/A,FALSE,"Spanien";#N/A,#N/A,FALSE,"Malaysia ( Com)";#N/A,#N/A,FALSE,"Malaysia (Instr)"}</definedName>
    <definedName name="_4AT4_" hidden="1">{#N/A,#N/A,FALSE,"인원";#N/A,#N/A,FALSE,"비용2";#N/A,#N/A,FALSE,"비용1";#N/A,#N/A,FALSE,"비용";#N/A,#N/A,FALSE,"보증2";#N/A,#N/A,FALSE,"보증1";#N/A,#N/A,FALSE,"보증";#N/A,#N/A,FALSE,"손익1";#N/A,#N/A,FALSE,"손익";#N/A,#N/A,FALSE,"부서별매출";#N/A,#N/A,FALSE,"매출"}</definedName>
    <definedName name="_4DB777_" hidden="1">{#N/A,#N/A,TRUE,"Y생산";#N/A,#N/A,TRUE,"Y판매";#N/A,#N/A,TRUE,"Y총물량";#N/A,#N/A,TRUE,"Y능력";#N/A,#N/A,TRUE,"YKD"}</definedName>
    <definedName name="_4FG1_" hidden="1">{#N/A,#N/A,FALSE,"단축1";#N/A,#N/A,FALSE,"단축2";#N/A,#N/A,FALSE,"단축3";#N/A,#N/A,FALSE,"장축";#N/A,#N/A,FALSE,"4WD"}</definedName>
    <definedName name="_4HL1_" hidden="1">{#N/A,#N/A,FALSE,"단축1";#N/A,#N/A,FALSE,"단축2";#N/A,#N/A,FALSE,"단축3";#N/A,#N/A,FALSE,"장축";#N/A,#N/A,FALSE,"4WD"}</definedName>
    <definedName name="_4Q2_" hidden="1">{#N/A,#N/A,FALSE,"KMC최종회의(7월) 자료"}</definedName>
    <definedName name="_4T2_" hidden="1">{#N/A,#N/A,FALSE,"단축1";#N/A,#N/A,FALSE,"단축2";#N/A,#N/A,FALSE,"단축3";#N/A,#N/A,FALSE,"장축";#N/A,#N/A,FALSE,"4WD"}</definedName>
    <definedName name="_5_____________________________________________________________________0_S" hidden="1">#REF!</definedName>
    <definedName name="_5________0_S" hidden="1">#REF!</definedName>
    <definedName name="_5__123Graph_ABORE_圧縮比" hidden="1">#REF!</definedName>
    <definedName name="_5__123Graph_AC04C_ALL_L1" hidden="1">#REF!</definedName>
    <definedName name="_5__123Graph_ACHART_3" hidden="1">#REF!</definedName>
    <definedName name="_5_9_0__123Graph_LB" hidden="1">#REF!</definedName>
    <definedName name="_5____S" hidden="1">#REF!</definedName>
    <definedName name="_5__0_S" hidden="1">#REF!</definedName>
    <definedName name="_50____S" hidden="1">#REF!</definedName>
    <definedName name="_50__0_S" hidden="1">#REF!</definedName>
    <definedName name="_500Z7_" hidden="1">{#N/A,#N/A,FALSE,"KMC최종회의(7월) 자료"}</definedName>
    <definedName name="_502s8_" hidden="1">{#N/A,#N/A,FALSE,"신규dep";#N/A,#N/A,FALSE,"신규dep-금형상각후";#N/A,#N/A,FALSE,"신규dep-연구비상각후";#N/A,#N/A,FALSE,"신규dep-기계,공구상각후"}</definedName>
    <definedName name="_502s8__1" hidden="1">{#N/A,#N/A,FALSE,"신규dep";#N/A,#N/A,FALSE,"신규dep-금형상각후";#N/A,#N/A,FALSE,"신규dep-연구비상각후";#N/A,#N/A,FALSE,"신규dep-기계,공구상각후"}</definedName>
    <definedName name="_503A02_" hidden="1">{#N/A,#N/A,FALSE,"단축1";#N/A,#N/A,FALSE,"단축2";#N/A,#N/A,FALSE,"단축3";#N/A,#N/A,FALSE,"장축";#N/A,#N/A,FALSE,"4WD"}</definedName>
    <definedName name="_504A0323_" hidden="1">{#N/A,#N/A,FALSE,"단축1";#N/A,#N/A,FALSE,"단축2";#N/A,#N/A,FALSE,"단축3";#N/A,#N/A,FALSE,"장축";#N/A,#N/A,FALSE,"4WD"}</definedName>
    <definedName name="_504X7_" hidden="1">{#N/A,#N/A,FALSE,"KMC최종회의(7월) 자료"}</definedName>
    <definedName name="_504Z8_" hidden="1">{#N/A,#N/A,FALSE,"KMC최종회의(7월) 자료"}</definedName>
    <definedName name="_506X5_" hidden="1">{#N/A,#N/A,FALSE,"KMC최종회의(7월) 자료"}</definedName>
    <definedName name="_508Z9_" hidden="1">{#N/A,#N/A,FALSE,"KMC최종회의(7월) 자료"}</definedName>
    <definedName name="_509AS6_" hidden="1">{#N/A,#N/A,FALSE,"Australien";#N/A,#N/A,FALSE,"Birmingham";#N/A,#N/A,FALSE,"Brasilien";#N/A,#N/A,FALSE,"Prag";#N/A,#N/A,FALSE,"Spanien";#N/A,#N/A,FALSE,"Malaysia ( Com)";#N/A,#N/A,FALSE,"Malaysia (Instr)"}</definedName>
    <definedName name="_50A1454_" hidden="1">{#N/A,#N/A,FALSE,"단축1";#N/A,#N/A,FALSE,"단축2";#N/A,#N/A,FALSE,"단축3";#N/A,#N/A,FALSE,"장축";#N/A,#N/A,FALSE,"4WD"}</definedName>
    <definedName name="_50A1454__1" hidden="1">{#N/A,#N/A,FALSE,"단축1";#N/A,#N/A,FALSE,"단축2";#N/A,#N/A,FALSE,"단축3";#N/A,#N/A,FALSE,"장축";#N/A,#N/A,FALSE,"4WD"}</definedName>
    <definedName name="_50A2_" hidden="1">{#N/A,#N/A,FALSE,"KMC최종회의(7월) 자료"}</definedName>
    <definedName name="_50A5_" hidden="1">{#N/A,#N/A,FALSE,"KMC최종회의(7월) 자료"}</definedName>
    <definedName name="_50A6_" hidden="1">{#N/A,#N/A,FALSE,"KMC최종회의(7월) 자료"}</definedName>
    <definedName name="_50A9_" hidden="1">{#N/A,#N/A,FALSE,"KMC최종회의(7월) 자료"}</definedName>
    <definedName name="_50AS6_" hidden="1">{#N/A,#N/A,FALSE,"Australien";#N/A,#N/A,FALSE,"Birmingham";#N/A,#N/A,FALSE,"Brasilien";#N/A,#N/A,FALSE,"Prag";#N/A,#N/A,FALSE,"Spanien";#N/A,#N/A,FALSE,"Malaysia ( Com)";#N/A,#N/A,FALSE,"Malaysia (Instr)"}</definedName>
    <definedName name="_50CL22_" hidden="1">{#N/A,#N/A,FALSE,"KMC최종회의(7월) 자료"}</definedName>
    <definedName name="_50d2_" hidden="1">{#N/A,#N/A,FALSE,"신규dep";#N/A,#N/A,FALSE,"신규dep-금형상각후";#N/A,#N/A,FALSE,"신규dep-연구비상각후";#N/A,#N/A,FALSE,"신규dep-기계,공구상각후"}</definedName>
    <definedName name="_50d2__1" hidden="1">{#N/A,#N/A,FALSE,"신규dep";#N/A,#N/A,FALSE,"신규dep-금형상각후";#N/A,#N/A,FALSE,"신규dep-연구비상각후";#N/A,#N/A,FALSE,"신규dep-기계,공구상각후"}</definedName>
    <definedName name="_50DB777_" hidden="1">{#N/A,#N/A,TRUE,"Y생산";#N/A,#N/A,TRUE,"Y판매";#N/A,#N/A,TRUE,"Y총물량";#N/A,#N/A,TRUE,"Y능력";#N/A,#N/A,TRUE,"YKD"}</definedName>
    <definedName name="_50E1_" hidden="1">{#N/A,#N/A,FALSE,"KMC최종회의(7월) 자료"}</definedName>
    <definedName name="_50E2_" hidden="1">{#N/A,#N/A,FALSE,"KMC최종회의(7월) 자료"}</definedName>
    <definedName name="_50e6_" hidden="1">{#N/A,#N/A,FALSE,"단축1";#N/A,#N/A,FALSE,"단축2";#N/A,#N/A,FALSE,"단축3";#N/A,#N/A,FALSE,"장축";#N/A,#N/A,FALSE,"4WD"}</definedName>
    <definedName name="_50e6__1" hidden="1">{#N/A,#N/A,FALSE,"단축1";#N/A,#N/A,FALSE,"단축2";#N/A,#N/A,FALSE,"단축3";#N/A,#N/A,FALSE,"장축";#N/A,#N/A,FALSE,"4WD"}</definedName>
    <definedName name="_50e8_" hidden="1">{#N/A,#N/A,FALSE,"신규dep";#N/A,#N/A,FALSE,"신규dep-금형상각후";#N/A,#N/A,FALSE,"신규dep-연구비상각후";#N/A,#N/A,FALSE,"신규dep-기계,공구상각후"}</definedName>
    <definedName name="_50FG1_" hidden="1">{#N/A,#N/A,FALSE,"단축1";#N/A,#N/A,FALSE,"단축2";#N/A,#N/A,FALSE,"단축3";#N/A,#N/A,FALSE,"장축";#N/A,#N/A,FALSE,"4WD"}</definedName>
    <definedName name="_50h3_" hidden="1">{"'표지'!$B$5"}</definedName>
    <definedName name="_50K7_" hidden="1">{#N/A,#N/A,TRUE,"Y생산";#N/A,#N/A,TRUE,"Y판매";#N/A,#N/A,TRUE,"Y총물량";#N/A,#N/A,TRUE,"Y능력";#N/A,#N/A,TRUE,"YKD"}</definedName>
    <definedName name="_50k8_" hidden="1">{#N/A,#N/A,FALSE,"단축1";#N/A,#N/A,FALSE,"단축2";#N/A,#N/A,FALSE,"단축3";#N/A,#N/A,FALSE,"장축";#N/A,#N/A,FALSE,"4WD"}</definedName>
    <definedName name="_50k9_" hidden="1">{#N/A,#N/A,FALSE,"단축1";#N/A,#N/A,FALSE,"단축2";#N/A,#N/A,FALSE,"단축3";#N/A,#N/A,FALSE,"장축";#N/A,#N/A,FALSE,"4WD"}</definedName>
    <definedName name="_50P21_" hidden="1">{#N/A,#N/A,FALSE,"단축1";#N/A,#N/A,FALSE,"단축2";#N/A,#N/A,FALSE,"단축3";#N/A,#N/A,FALSE,"장축";#N/A,#N/A,FALSE,"4WD"}</definedName>
    <definedName name="_50Q2_" hidden="1">{#N/A,#N/A,FALSE,"KMC최종회의(7월) 자료"}</definedName>
    <definedName name="_50Q3_" hidden="1">{#N/A,#N/A,FALSE,"KMC최종회의(7월) 자료"}</definedName>
    <definedName name="_50Q5_" hidden="1">{#N/A,#N/A,FALSE,"KMC최종회의(7월) 자료"}</definedName>
    <definedName name="_50Q7_" hidden="1">{#N/A,#N/A,FALSE,"KMC최종회의(7월) 자료"}</definedName>
    <definedName name="_50Q8_" hidden="1">{#N/A,#N/A,FALSE,"KMC최종회의(7월) 자료"}</definedName>
    <definedName name="_50Q9_" hidden="1">{#N/A,#N/A,FALSE,"KMC최종회의(7월) 자료"}</definedName>
    <definedName name="_50S1_" hidden="1">{#N/A,#N/A,FALSE,"KMC최종회의(7월) 자료"}</definedName>
    <definedName name="_50S2_" hidden="1">{#N/A,#N/A,FALSE,"KMC최종회의(7월) 자료"}</definedName>
    <definedName name="_50S4_" hidden="1">{#N/A,#N/A,FALSE,"KMC최종회의(7월) 자료"}</definedName>
    <definedName name="_50S6_" hidden="1">{#N/A,#N/A,FALSE,"KMC최종회의(7월) 자료"}</definedName>
    <definedName name="_50S7_" hidden="1">{#N/A,#N/A,FALSE,"KMC최종회의(7월) 자료"}</definedName>
    <definedName name="_50T3_" hidden="1">{#N/A,#N/A,FALSE,"단축1";#N/A,#N/A,FALSE,"단축2";#N/A,#N/A,FALSE,"단축3";#N/A,#N/A,FALSE,"장축";#N/A,#N/A,FALSE,"4WD"}</definedName>
    <definedName name="_50T5_" hidden="1">{#N/A,#N/A,FALSE,"단축1";#N/A,#N/A,FALSE,"단축2";#N/A,#N/A,FALSE,"단축3";#N/A,#N/A,FALSE,"장축";#N/A,#N/A,FALSE,"4WD"}</definedName>
    <definedName name="_50W2_" hidden="1">{#N/A,#N/A,FALSE,"KMC최종회의(7월) 자료"}</definedName>
    <definedName name="_50W5_" hidden="1">{#N/A,#N/A,FALSE,"KMC최종회의(7월) 자료"}</definedName>
    <definedName name="_50W6_" hidden="1">{#N/A,#N/A,FALSE,"KMC최종회의(7월) 자료"}</definedName>
    <definedName name="_50W8_" hidden="1">{#N/A,#N/A,FALSE,"KMC최종회의(7월) 자료"}</definedName>
    <definedName name="_50X1_" hidden="1">{#N/A,#N/A,FALSE,"KMC최종회의(7월) 자료"}</definedName>
    <definedName name="_50X3_" hidden="1">{#N/A,#N/A,FALSE,"KMC최종회의(7월) 자료"}</definedName>
    <definedName name="_50X4_" hidden="1">{#N/A,#N/A,FALSE,"KMC최종회의(7월) 자료"}</definedName>
    <definedName name="_50X5_" hidden="1">{#N/A,#N/A,FALSE,"KMC최종회의(7월) 자료"}</definedName>
    <definedName name="_50X6_" hidden="1">{#N/A,#N/A,FALSE,"KMC최종회의(7월) 자료"}</definedName>
    <definedName name="_50X7_" hidden="1">{#N/A,#N/A,FALSE,"KMC최종회의(7월) 자료"}</definedName>
    <definedName name="_50Z1_" hidden="1">{#N/A,#N/A,FALSE,"KMC최종회의(7월) 자료"}</definedName>
    <definedName name="_50Z2_" hidden="1">{#N/A,#N/A,FALSE,"KMC최종회의(7월) 자료"}</definedName>
    <definedName name="_50Z3_" hidden="1">{#N/A,#N/A,FALSE,"KMC최종회의(7월) 자료"}</definedName>
    <definedName name="_50Z3__1" hidden="1">{#N/A,#N/A,FALSE,"KMC최종회의(7월) 자료"}</definedName>
    <definedName name="_50Z4_" hidden="1">{#N/A,#N/A,FALSE,"KMC최종회의(7월) 자료"}</definedName>
    <definedName name="_50Z5_" hidden="1">{#N/A,#N/A,FALSE,"KMC최종회의(7월) 자료"}</definedName>
    <definedName name="_50Z6_" hidden="1">{#N/A,#N/A,FALSE,"KMC최종회의(7월) 자료"}</definedName>
    <definedName name="_50Z7_" hidden="1">{#N/A,#N/A,FALSE,"KMC최종회의(7월) 자료"}</definedName>
    <definedName name="_50Z7__1" hidden="1">{#N/A,#N/A,FALSE,"KMC최종회의(7월) 자료"}</definedName>
    <definedName name="_50Z8_" hidden="1">{#N/A,#N/A,FALSE,"KMC최종회의(7월) 자료"}</definedName>
    <definedName name="_50Z8__1" hidden="1">{#N/A,#N/A,FALSE,"KMC최종회의(7월) 자료"}</definedName>
    <definedName name="_51__0_S" hidden="1">#REF!</definedName>
    <definedName name="_510____S" hidden="1">#REF!</definedName>
    <definedName name="_512__0_S" hidden="1">#REF!</definedName>
    <definedName name="_512AS6_" hidden="1">{#N/A,#N/A,FALSE,"Australien";#N/A,#N/A,FALSE,"Birmingham";#N/A,#N/A,FALSE,"Brasilien";#N/A,#N/A,FALSE,"Prag";#N/A,#N/A,FALSE,"Spanien";#N/A,#N/A,FALSE,"Malaysia ( Com)";#N/A,#N/A,FALSE,"Malaysia (Instr)"}</definedName>
    <definedName name="_512Q1_" hidden="1">{#N/A,#N/A,FALSE,"KMC최종회의(7월) 자료"}</definedName>
    <definedName name="_512X8_" hidden="1">{#N/A,#N/A,FALSE,"KMC최종회의(7월) 자료"}</definedName>
    <definedName name="_514A1232_" hidden="1">{#N/A,#N/A,FALSE,"단축1";#N/A,#N/A,FALSE,"단축2";#N/A,#N/A,FALSE,"단축3";#N/A,#N/A,FALSE,"장축";#N/A,#N/A,FALSE,"4WD"}</definedName>
    <definedName name="_515A1245_" hidden="1">{#N/A,#N/A,FALSE,"단축1";#N/A,#N/A,FALSE,"단축2";#N/A,#N/A,FALSE,"단축3";#N/A,#N/A,FALSE,"장축";#N/A,#N/A,FALSE,"4WD"}</definedName>
    <definedName name="_515X6_" hidden="1">{#N/A,#N/A,FALSE,"KMC최종회의(7월) 자료"}</definedName>
    <definedName name="_516A12458_" hidden="1">{#N/A,#N/A,FALSE,"단축1";#N/A,#N/A,FALSE,"단축2";#N/A,#N/A,FALSE,"단축3";#N/A,#N/A,FALSE,"장축";#N/A,#N/A,FALSE,"4WD"}</definedName>
    <definedName name="_516X8_" hidden="1">{#N/A,#N/A,FALSE,"KMC최종회의(7월) 자료"}</definedName>
    <definedName name="_517A1454_" hidden="1">{#N/A,#N/A,FALSE,"단축1";#N/A,#N/A,FALSE,"단축2";#N/A,#N/A,FALSE,"단축3";#N/A,#N/A,FALSE,"장축";#N/A,#N/A,FALSE,"4WD"}</definedName>
    <definedName name="_517T2_" hidden="1">{#N/A,#N/A,FALSE,"단축1";#N/A,#N/A,FALSE,"단축2";#N/A,#N/A,FALSE,"단축3";#N/A,#N/A,FALSE,"장축";#N/A,#N/A,FALSE,"4WD"}</definedName>
    <definedName name="_517T2__1" hidden="1">{#N/A,#N/A,FALSE,"단축1";#N/A,#N/A,FALSE,"단축2";#N/A,#N/A,FALSE,"단축3";#N/A,#N/A,FALSE,"장축";#N/A,#N/A,FALSE,"4WD"}</definedName>
    <definedName name="_51A1454_" hidden="1">{#N/A,#N/A,FALSE,"단축1";#N/A,#N/A,FALSE,"단축2";#N/A,#N/A,FALSE,"단축3";#N/A,#N/A,FALSE,"장축";#N/A,#N/A,FALSE,"4WD"}</definedName>
    <definedName name="_51A3_" hidden="1">{#N/A,#N/A,FALSE,"단축1";#N/A,#N/A,FALSE,"단축2";#N/A,#N/A,FALSE,"단축3";#N/A,#N/A,FALSE,"장축";#N/A,#N/A,FALSE,"4WD"}</definedName>
    <definedName name="_51A5_" hidden="1">{#N/A,#N/A,FALSE,"KMC최종회의(7월) 자료"}</definedName>
    <definedName name="_51A6_" hidden="1">{#N/A,#N/A,FALSE,"KMC최종회의(7월) 자료"}</definedName>
    <definedName name="_51A7_" hidden="1">{#N/A,#N/A,FALSE,"KMC최종회의(7월) 자료"}</definedName>
    <definedName name="_51A8_" hidden="1">{#N/A,#N/A,FALSE,"KMC최종회의(7월) 자료"}</definedName>
    <definedName name="_51A9_" hidden="1">{#N/A,#N/A,FALSE,"KMC최종회의(7월) 자료"}</definedName>
    <definedName name="_51AA4_" hidden="1">{#N/A,#N/A,FALSE,"신규dep";#N/A,#N/A,FALSE,"신규dep-금형상각후";#N/A,#N/A,FALSE,"신규dep-연구비상각후";#N/A,#N/A,FALSE,"신규dep-기계,공구상각후"}</definedName>
    <definedName name="_51CL33_" hidden="1">{#N/A,#N/A,FALSE,"KMC최종회의(7월) 자료"}</definedName>
    <definedName name="_51DB777_" hidden="1">{#N/A,#N/A,TRUE,"Y생산";#N/A,#N/A,TRUE,"Y판매";#N/A,#N/A,TRUE,"Y총물량";#N/A,#N/A,TRUE,"Y능력";#N/A,#N/A,TRUE,"YKD"}</definedName>
    <definedName name="_51DR7_" hidden="1">{#N/A,#N/A,FALSE,"표지";#N/A,#N/A,FALSE,"전제";#N/A,#N/A,FALSE,"손익-자 (2)";#N/A,#N/A,FALSE,"손익-자";#N/A,#N/A,FALSE,"손익-마 (2)";#N/A,#N/A,FALSE,"손익-마";#N/A,#N/A,FALSE,"총손최종"}</definedName>
    <definedName name="_51E1_" hidden="1">{#N/A,#N/A,FALSE,"KMC최종회의(7월) 자료"}</definedName>
    <definedName name="_51E2_" hidden="1">{#N/A,#N/A,FALSE,"KMC최종회의(7월) 자료"}</definedName>
    <definedName name="_51e5_" hidden="1">{#N/A,#N/A,FALSE,"단축1";#N/A,#N/A,FALSE,"단축2";#N/A,#N/A,FALSE,"단축3";#N/A,#N/A,FALSE,"장축";#N/A,#N/A,FALSE,"4WD"}</definedName>
    <definedName name="_51e7_" hidden="1">{#N/A,#N/A,FALSE,"신규dep";#N/A,#N/A,FALSE,"신규dep-금형상각후";#N/A,#N/A,FALSE,"신규dep-연구비상각후";#N/A,#N/A,FALSE,"신규dep-기계,공구상각후"}</definedName>
    <definedName name="_51e7__1" hidden="1">{#N/A,#N/A,FALSE,"신규dep";#N/A,#N/A,FALSE,"신규dep-금형상각후";#N/A,#N/A,FALSE,"신규dep-연구비상각후";#N/A,#N/A,FALSE,"신규dep-기계,공구상각후"}</definedName>
    <definedName name="_51FG1_" hidden="1">{#N/A,#N/A,FALSE,"단축1";#N/A,#N/A,FALSE,"단축2";#N/A,#N/A,FALSE,"단축3";#N/A,#N/A,FALSE,"장축";#N/A,#N/A,FALSE,"4WD"}</definedName>
    <definedName name="_51h1_" hidden="1">{"'표지'!$B$5"}</definedName>
    <definedName name="_51k9_" hidden="1">{#N/A,#N/A,FALSE,"단축1";#N/A,#N/A,FALSE,"단축2";#N/A,#N/A,FALSE,"단축3";#N/A,#N/A,FALSE,"장축";#N/A,#N/A,FALSE,"4WD"}</definedName>
    <definedName name="_51O11_" hidden="1">{#N/A,#N/A,FALSE,"단축1";#N/A,#N/A,FALSE,"단축2";#N/A,#N/A,FALSE,"단축3";#N/A,#N/A,FALSE,"장축";#N/A,#N/A,FALSE,"4WD"}</definedName>
    <definedName name="_51P3_" hidden="1">{#N/A,#N/A,FALSE,"단축1";#N/A,#N/A,FALSE,"단축2";#N/A,#N/A,FALSE,"단축3";#N/A,#N/A,FALSE,"장축";#N/A,#N/A,FALSE,"4WD"}</definedName>
    <definedName name="_51Q2_" hidden="1">{#N/A,#N/A,FALSE,"KMC최종회의(7월) 자료"}</definedName>
    <definedName name="_51Q2__1" hidden="1">{#N/A,#N/A,FALSE,"KMC최종회의(7월) 자료"}</definedName>
    <definedName name="_51Q7_" hidden="1">{#N/A,#N/A,FALSE,"KMC최종회의(7월) 자료"}</definedName>
    <definedName name="_51Q8_" hidden="1">{#N/A,#N/A,FALSE,"KMC최종회의(7월) 자료"}</definedName>
    <definedName name="_51Q9_" hidden="1">{#N/A,#N/A,FALSE,"KMC최종회의(7월) 자료"}</definedName>
    <definedName name="_51S1_" hidden="1">{#N/A,#N/A,FALSE,"KMC최종회의(7월) 자료"}</definedName>
    <definedName name="_51S2_" hidden="1">{#N/A,#N/A,FALSE,"KMC최종회의(7월) 자료"}</definedName>
    <definedName name="_51S3_" hidden="1">{#N/A,#N/A,FALSE,"KMC최종회의(7월) 자료"}</definedName>
    <definedName name="_51S4_" hidden="1">{#N/A,#N/A,FALSE,"KMC최종회의(7월) 자료"}</definedName>
    <definedName name="_51S6_" hidden="1">{#N/A,#N/A,FALSE,"KMC최종회의(7월) 자료"}</definedName>
    <definedName name="_51S6__1" hidden="1">{#N/A,#N/A,FALSE,"KMC최종회의(7월) 자료"}</definedName>
    <definedName name="_51S7_" hidden="1">{#N/A,#N/A,FALSE,"KMC최종회의(7월) 자료"}</definedName>
    <definedName name="_51T5_" hidden="1">{#N/A,#N/A,FALSE,"단축1";#N/A,#N/A,FALSE,"단축2";#N/A,#N/A,FALSE,"단축3";#N/A,#N/A,FALSE,"장축";#N/A,#N/A,FALSE,"4WD"}</definedName>
    <definedName name="_51w1_" hidden="1">{#N/A,#N/A,FALSE,"신규dep";#N/A,#N/A,FALSE,"신규dep-금형상각후";#N/A,#N/A,FALSE,"신규dep-연구비상각후";#N/A,#N/A,FALSE,"신규dep-기계,공구상각후"}</definedName>
    <definedName name="_51W3_" hidden="1">{#N/A,#N/A,FALSE,"KMC최종회의(7월) 자료"}</definedName>
    <definedName name="_51W6_" hidden="1">{#N/A,#N/A,FALSE,"KMC최종회의(7월) 자료"}</definedName>
    <definedName name="_51W7_" hidden="1">{#N/A,#N/A,FALSE,"KMC최종회의(7월) 자료"}</definedName>
    <definedName name="_51W9_" hidden="1">{#N/A,#N/A,FALSE,"KMC최종회의(7월) 자료"}</definedName>
    <definedName name="_51X2_" hidden="1">{#N/A,#N/A,FALSE,"KMC최종회의(7월) 자료"}</definedName>
    <definedName name="_51X4_" hidden="1">{#N/A,#N/A,FALSE,"KMC최종회의(7월) 자료"}</definedName>
    <definedName name="_51X5_" hidden="1">{#N/A,#N/A,FALSE,"KMC최종회의(7월) 자료"}</definedName>
    <definedName name="_51X6_" hidden="1">{#N/A,#N/A,FALSE,"KMC최종회의(7월) 자료"}</definedName>
    <definedName name="_51X7_" hidden="1">{#N/A,#N/A,FALSE,"KMC최종회의(7월) 자료"}</definedName>
    <definedName name="_51X8_" hidden="1">{#N/A,#N/A,FALSE,"KMC최종회의(7월) 자료"}</definedName>
    <definedName name="_51z123_" hidden="1">{#N/A,#N/A,FALSE,"단축1";#N/A,#N/A,FALSE,"단축2";#N/A,#N/A,FALSE,"단축3";#N/A,#N/A,FALSE,"장축";#N/A,#N/A,FALSE,"4WD"}</definedName>
    <definedName name="_51Z2_" hidden="1">{#N/A,#N/A,FALSE,"KMC최종회의(7월) 자료"}</definedName>
    <definedName name="_51Z3_" hidden="1">{#N/A,#N/A,FALSE,"KMC최종회의(7월) 자료"}</definedName>
    <definedName name="_51Z4_" hidden="1">{#N/A,#N/A,FALSE,"KMC최종회의(7월) 자료"}</definedName>
    <definedName name="_51Z4__1" hidden="1">{#N/A,#N/A,FALSE,"KMC최종회의(7월) 자료"}</definedName>
    <definedName name="_51Z5_" hidden="1">{#N/A,#N/A,FALSE,"KMC최종회의(7월) 자료"}</definedName>
    <definedName name="_51Z6_" hidden="1">{#N/A,#N/A,FALSE,"KMC최종회의(7월) 자료"}</definedName>
    <definedName name="_51Z7_" hidden="1">{#N/A,#N/A,FALSE,"KMC최종회의(7월) 자료"}</definedName>
    <definedName name="_51Z8_" hidden="1">{#N/A,#N/A,FALSE,"KMC최종회의(7월) 자료"}</definedName>
    <definedName name="_51Z8__1" hidden="1">{#N/A,#N/A,FALSE,"KMC최종회의(7월) 자료"}</definedName>
    <definedName name="_51Z9_" hidden="1">{#N/A,#N/A,FALSE,"KMC최종회의(7월) 자료"}</definedName>
    <definedName name="_51Z9__1" hidden="1">{#N/A,#N/A,FALSE,"KMC최종회의(7월) 자료"}</definedName>
    <definedName name="_52__123Graph_LBL_AC04C_FF_L" hidden="1">#REF!</definedName>
    <definedName name="_52____S" hidden="1">#REF!</definedName>
    <definedName name="_520A21321_" hidden="1">{#N/A,#N/A,FALSE,"단축1";#N/A,#N/A,FALSE,"단축2";#N/A,#N/A,FALSE,"단축3";#N/A,#N/A,FALSE,"장축";#N/A,#N/A,FALSE,"4WD"}</definedName>
    <definedName name="_522A3_" hidden="1">{#N/A,#N/A,FALSE,"단축1";#N/A,#N/A,FALSE,"단축2";#N/A,#N/A,FALSE,"단축3";#N/A,#N/A,FALSE,"장축";#N/A,#N/A,FALSE,"4WD"}</definedName>
    <definedName name="_524X7_" hidden="1">{#N/A,#N/A,FALSE,"KMC최종회의(7월) 자료"}</definedName>
    <definedName name="_526T3_" hidden="1">{#N/A,#N/A,FALSE,"단축1";#N/A,#N/A,FALSE,"단축2";#N/A,#N/A,FALSE,"단축3";#N/A,#N/A,FALSE,"장축";#N/A,#N/A,FALSE,"4WD"}</definedName>
    <definedName name="_526T3__1" hidden="1">{#N/A,#N/A,FALSE,"단축1";#N/A,#N/A,FALSE,"단축2";#N/A,#N/A,FALSE,"단축3";#N/A,#N/A,FALSE,"장축";#N/A,#N/A,FALSE,"4WD"}</definedName>
    <definedName name="_528Q2_" hidden="1">{#N/A,#N/A,FALSE,"KMC최종회의(7월) 자료"}</definedName>
    <definedName name="_528Z1_" hidden="1">{#N/A,#N/A,FALSE,"KMC최종회의(7월) 자료"}</definedName>
    <definedName name="_52A1454_" hidden="1">{#N/A,#N/A,FALSE,"단축1";#N/A,#N/A,FALSE,"단축2";#N/A,#N/A,FALSE,"단축3";#N/A,#N/A,FALSE,"장축";#N/A,#N/A,FALSE,"4WD"}</definedName>
    <definedName name="_52A3_" hidden="1">{#N/A,#N/A,FALSE,"KMC최종회의(7월) 자료"}</definedName>
    <definedName name="_52A6_" hidden="1">{#N/A,#N/A,FALSE,"KMC최종회의(7월) 자료"}</definedName>
    <definedName name="_52A7_" hidden="1">{#N/A,#N/A,FALSE,"KMC최종회의(7월) 자료"}</definedName>
    <definedName name="_52A9_" hidden="1">{#N/A,#N/A,FALSE,"KMC최종회의(7월) 자료"}</definedName>
    <definedName name="_52CL33_" hidden="1">{#N/A,#N/A,FALSE,"KMC최종회의(7월) 자료"}</definedName>
    <definedName name="_52E1_" hidden="1">{#N/A,#N/A,FALSE,"KMC최종회의(7월) 자료"}</definedName>
    <definedName name="_52E2_" hidden="1">{#N/A,#N/A,FALSE,"KMC최종회의(7월) 자료"}</definedName>
    <definedName name="_52e8_" hidden="1">{#N/A,#N/A,FALSE,"신규dep";#N/A,#N/A,FALSE,"신규dep-금형상각후";#N/A,#N/A,FALSE,"신규dep-연구비상각후";#N/A,#N/A,FALSE,"신규dep-기계,공구상각후"}</definedName>
    <definedName name="_52e8__1" hidden="1">{#N/A,#N/A,FALSE,"신규dep";#N/A,#N/A,FALSE,"신규dep-금형상각후";#N/A,#N/A,FALSE,"신규dep-연구비상각후";#N/A,#N/A,FALSE,"신규dep-기계,공구상각후"}</definedName>
    <definedName name="_52e9_" hidden="1">{#N/A,#N/A,FALSE,"단축1";#N/A,#N/A,FALSE,"단축2";#N/A,#N/A,FALSE,"단축3";#N/A,#N/A,FALSE,"장축";#N/A,#N/A,FALSE,"4WD"}</definedName>
    <definedName name="_52FG1_" hidden="1">{#N/A,#N/A,FALSE,"단축1";#N/A,#N/A,FALSE,"단축2";#N/A,#N/A,FALSE,"단축3";#N/A,#N/A,FALSE,"장축";#N/A,#N/A,FALSE,"4WD"}</definedName>
    <definedName name="_52H1620_" hidden="1">{#N/A,#N/A,FALSE,"단축1";#N/A,#N/A,FALSE,"단축2";#N/A,#N/A,FALSE,"단축3";#N/A,#N/A,FALSE,"장축";#N/A,#N/A,FALSE,"4WD"}</definedName>
    <definedName name="_52k7_" hidden="1">{#N/A,#N/A,FALSE,"단축1";#N/A,#N/A,FALSE,"단축2";#N/A,#N/A,FALSE,"단축3";#N/A,#N/A,FALSE,"장축";#N/A,#N/A,FALSE,"4WD"}</definedName>
    <definedName name="_52k8_" hidden="1">{#N/A,#N/A,FALSE,"단축1";#N/A,#N/A,FALSE,"단축2";#N/A,#N/A,FALSE,"단축3";#N/A,#N/A,FALSE,"장축";#N/A,#N/A,FALSE,"4WD"}</definedName>
    <definedName name="_52P2_" hidden="1">{#N/A,#N/A,FALSE,"단축1";#N/A,#N/A,FALSE,"단축2";#N/A,#N/A,FALSE,"단축3";#N/A,#N/A,FALSE,"장축";#N/A,#N/A,FALSE,"4WD"}</definedName>
    <definedName name="_52P21_" hidden="1">{#N/A,#N/A,FALSE,"단축1";#N/A,#N/A,FALSE,"단축2";#N/A,#N/A,FALSE,"단축3";#N/A,#N/A,FALSE,"장축";#N/A,#N/A,FALSE,"4WD"}</definedName>
    <definedName name="_52Q1_" hidden="1">{#N/A,#N/A,FALSE,"KMC최종회의(7월) 자료"}</definedName>
    <definedName name="_52Q2_" hidden="1">{#N/A,#N/A,FALSE,"KMC최종회의(7월) 자료"}</definedName>
    <definedName name="_52Q3_" hidden="1">{#N/A,#N/A,FALSE,"KMC최종회의(7월) 자료"}</definedName>
    <definedName name="_52Q7_" hidden="1">{#N/A,#N/A,FALSE,"KMC최종회의(7월) 자료"}</definedName>
    <definedName name="_52Q8_" hidden="1">{#N/A,#N/A,FALSE,"KMC최종회의(7월) 자료"}</definedName>
    <definedName name="_52Q9_" hidden="1">{#N/A,#N/A,FALSE,"KMC최종회의(7월) 자료"}</definedName>
    <definedName name="_52S1_" hidden="1">{#N/A,#N/A,FALSE,"KMC최종회의(7월) 자료"}</definedName>
    <definedName name="_52S2_" hidden="1">{#N/A,#N/A,FALSE,"KMC최종회의(7월) 자료"}</definedName>
    <definedName name="_52S4_" hidden="1">{#N/A,#N/A,FALSE,"KMC최종회의(7월) 자료"}</definedName>
    <definedName name="_52S5_" hidden="1">{#N/A,#N/A,FALSE,"KMC최종회의(7월) 자료"}</definedName>
    <definedName name="_52S7_" hidden="1">{#N/A,#N/A,FALSE,"KMC최종회의(7월) 자료"}</definedName>
    <definedName name="_52S8_" hidden="1">{#N/A,#N/A,FALSE,"KMC최종회의(7월) 자료"}</definedName>
    <definedName name="_52W1_" hidden="1">{#N/A,#N/A,FALSE,"KMC최종회의(7월) 자료"}</definedName>
    <definedName name="_52W2_" hidden="1">{#N/A,#N/A,FALSE,"품의서";#N/A,#N/A,FALSE,"전제";#N/A,#N/A,FALSE,"총손";#N/A,#N/A,FALSE,"손익"}</definedName>
    <definedName name="_52W3_" hidden="1">{#N/A,#N/A,FALSE,"KMC최종회의(7월) 자료"}</definedName>
    <definedName name="_52W4_" hidden="1">{#N/A,#N/A,FALSE,"KMC최종회의(7월) 자료"}</definedName>
    <definedName name="_52W7_" hidden="1">{#N/A,#N/A,FALSE,"KMC최종회의(7월) 자료"}</definedName>
    <definedName name="_52W8_" hidden="1">{#N/A,#N/A,FALSE,"KMC최종회의(7월) 자료"}</definedName>
    <definedName name="_52X1_" hidden="1">{#N/A,#N/A,FALSE,"KMC최종회의(7월) 자료"}</definedName>
    <definedName name="_52X2_" hidden="1">{#N/A,#N/A,FALSE,"KMC최종회의(7월) 자료"}</definedName>
    <definedName name="_52X3_" hidden="1">{#N/A,#N/A,FALSE,"KMC최종회의(7월) 자료"}</definedName>
    <definedName name="_52X5_" hidden="1">{#N/A,#N/A,FALSE,"KMC최종회의(7월) 자료"}</definedName>
    <definedName name="_52X6_" hidden="1">{#N/A,#N/A,FALSE,"KMC최종회의(7월) 자료"}</definedName>
    <definedName name="_52X7_" hidden="1">{#N/A,#N/A,FALSE,"KMC최종회의(7월) 자료"}</definedName>
    <definedName name="_52X8_" hidden="1">{#N/A,#N/A,FALSE,"KMC최종회의(7월) 자료"}</definedName>
    <definedName name="_52Z1_" hidden="1">{#N/A,#N/A,FALSE,"KMC최종회의(7월) 자료"}</definedName>
    <definedName name="_52Z2_" hidden="1">{#N/A,#N/A,FALSE,"KMC최종회의(7월) 자료"}</definedName>
    <definedName name="_52Z3_" hidden="1">{#N/A,#N/A,FALSE,"KMC최종회의(7월) 자료"}</definedName>
    <definedName name="_52Z4_" hidden="1">{#N/A,#N/A,FALSE,"KMC최종회의(7월) 자료"}</definedName>
    <definedName name="_52Z5_" hidden="1">{#N/A,#N/A,FALSE,"KMC최종회의(7월) 자료"}</definedName>
    <definedName name="_52Z5__1" hidden="1">{#N/A,#N/A,FALSE,"KMC최종회의(7월) 자료"}</definedName>
    <definedName name="_52Z6_" hidden="1">{#N/A,#N/A,FALSE,"KMC최종회의(7월) 자료"}</definedName>
    <definedName name="_52Z7_" hidden="1">{#N/A,#N/A,FALSE,"KMC최종회의(7월) 자료"}</definedName>
    <definedName name="_52Z8_" hidden="1">{#N/A,#N/A,FALSE,"KMC최종회의(7월) 자료"}</definedName>
    <definedName name="_52Z9_" hidden="1">{#N/A,#N/A,FALSE,"KMC최종회의(7월) 자료"}</definedName>
    <definedName name="_52Z9__1" hidden="1">{#N/A,#N/A,FALSE,"KMC최종회의(7월) 자료"}</definedName>
    <definedName name="_53__123Graph_LBL_AC04C_FF_L" hidden="1">#REF!</definedName>
    <definedName name="_530A6_" hidden="1">{#N/A,#N/A,FALSE,"KMC최종회의(7월) 자료"}</definedName>
    <definedName name="_531A7_" hidden="1">{#N/A,#N/A,FALSE,"KMC최종회의(7월) 자료"}</definedName>
    <definedName name="_532A8_" hidden="1">{#N/A,#N/A,FALSE,"KMC최종회의(7월) 자료"}</definedName>
    <definedName name="_533A9_" hidden="1">{#N/A,#N/A,FALSE,"KMC최종회의(7월) 자료"}</definedName>
    <definedName name="_533X8_" hidden="1">{#N/A,#N/A,FALSE,"KMC최종회의(7월) 자료"}</definedName>
    <definedName name="_535T5_" hidden="1">{#N/A,#N/A,FALSE,"단축1";#N/A,#N/A,FALSE,"단축2";#N/A,#N/A,FALSE,"단축3";#N/A,#N/A,FALSE,"장축";#N/A,#N/A,FALSE,"4WD"}</definedName>
    <definedName name="_535T5__1" hidden="1">{#N/A,#N/A,FALSE,"단축1";#N/A,#N/A,FALSE,"단축2";#N/A,#N/A,FALSE,"단축3";#N/A,#N/A,FALSE,"장축";#N/A,#N/A,FALSE,"4WD"}</definedName>
    <definedName name="_53A21321_" hidden="1">{#N/A,#N/A,FALSE,"단축1";#N/A,#N/A,FALSE,"단축2";#N/A,#N/A,FALSE,"단축3";#N/A,#N/A,FALSE,"장축";#N/A,#N/A,FALSE,"4WD"}</definedName>
    <definedName name="_53A4_" hidden="1">{#N/A,#N/A,FALSE,"KMC최종회의(7월) 자료"}</definedName>
    <definedName name="_53A6_" hidden="1">{#N/A,#N/A,FALSE,"KMC최종회의(7월) 자료"}</definedName>
    <definedName name="_53A8_" hidden="1">{#N/A,#N/A,FALSE,"KMC최종회의(7월) 자료"}</definedName>
    <definedName name="_53A9_" hidden="1">{#N/A,#N/A,FALSE,"KMC최종회의(7월) 자료"}</definedName>
    <definedName name="_53D6_" hidden="1">{"'표지'!$B$5"}</definedName>
    <definedName name="_53E2_" hidden="1">{#N/A,#N/A,FALSE,"KMC최종회의(7월) 자료"}</definedName>
    <definedName name="_53e8_" hidden="1">{#N/A,#N/A,FALSE,"신규dep";#N/A,#N/A,FALSE,"신규dep-금형상각후";#N/A,#N/A,FALSE,"신규dep-연구비상각후";#N/A,#N/A,FALSE,"신규dep-기계,공구상각후"}</definedName>
    <definedName name="_53e8__1" hidden="1">{#N/A,#N/A,FALSE,"신규dep";#N/A,#N/A,FALSE,"신규dep-금형상각후";#N/A,#N/A,FALSE,"신규dep-연구비상각후";#N/A,#N/A,FALSE,"신규dep-기계,공구상각후"}</definedName>
    <definedName name="_53e9_" hidden="1">{#N/A,#N/A,FALSE,"단축1";#N/A,#N/A,FALSE,"단축2";#N/A,#N/A,FALSE,"단축3";#N/A,#N/A,FALSE,"장축";#N/A,#N/A,FALSE,"4WD"}</definedName>
    <definedName name="_53e9__1" hidden="1">{#N/A,#N/A,FALSE,"단축1";#N/A,#N/A,FALSE,"단축2";#N/A,#N/A,FALSE,"단축3";#N/A,#N/A,FALSE,"장축";#N/A,#N/A,FALSE,"4WD"}</definedName>
    <definedName name="_53FG1_" hidden="1">{#N/A,#N/A,FALSE,"단축1";#N/A,#N/A,FALSE,"단축2";#N/A,#N/A,FALSE,"단축3";#N/A,#N/A,FALSE,"장축";#N/A,#N/A,FALSE,"4WD"}</definedName>
    <definedName name="_53H1620_" hidden="1">{#N/A,#N/A,FALSE,"단축1";#N/A,#N/A,FALSE,"단축2";#N/A,#N/A,FALSE,"단축3";#N/A,#N/A,FALSE,"장축";#N/A,#N/A,FALSE,"4WD"}</definedName>
    <definedName name="_53H20_" hidden="1">{#N/A,#N/A,FALSE,"단축1";#N/A,#N/A,FALSE,"단축2";#N/A,#N/A,FALSE,"단축3";#N/A,#N/A,FALSE,"장축";#N/A,#N/A,FALSE,"4WD"}</definedName>
    <definedName name="_53h4_" hidden="1">{"'표지'!$B$5"}</definedName>
    <definedName name="_53P2_" hidden="1">{#N/A,#N/A,FALSE,"단축1";#N/A,#N/A,FALSE,"단축2";#N/A,#N/A,FALSE,"단축3";#N/A,#N/A,FALSE,"장축";#N/A,#N/A,FALSE,"4WD"}</definedName>
    <definedName name="_53Q1_" hidden="1">{#N/A,#N/A,FALSE,"KMC최종회의(7월) 자료"}</definedName>
    <definedName name="_53Q2_" hidden="1">{#N/A,#N/A,FALSE,"KMC최종회의(7월) 자료"}</definedName>
    <definedName name="_53Q8_" hidden="1">{#N/A,#N/A,FALSE,"KMC최종회의(7월) 자료"}</definedName>
    <definedName name="_53Q9_" hidden="1">{#N/A,#N/A,FALSE,"KMC최종회의(7월) 자료"}</definedName>
    <definedName name="_53S1_" hidden="1">{#N/A,#N/A,FALSE,"KMC최종회의(7월) 자료"}</definedName>
    <definedName name="_53S3_" hidden="1">{#N/A,#N/A,FALSE,"KMC최종회의(7월) 자료"}</definedName>
    <definedName name="_53S5_" hidden="1">{#N/A,#N/A,FALSE,"KMC최종회의(7월) 자료"}</definedName>
    <definedName name="_53S6_" hidden="1">{#N/A,#N/A,FALSE,"KMC최종회의(7월) 자료"}</definedName>
    <definedName name="_53S7_" hidden="1">{#N/A,#N/A,FALSE,"KMC최종회의(7월) 자료"}</definedName>
    <definedName name="_53S7__1" hidden="1">{#N/A,#N/A,FALSE,"KMC최종회의(7월) 자료"}</definedName>
    <definedName name="_53S8_" hidden="1">{#N/A,#N/A,FALSE,"KMC최종회의(7월) 자료"}</definedName>
    <definedName name="_53T2_" hidden="1">{#N/A,#N/A,FALSE,"단축1";#N/A,#N/A,FALSE,"단축2";#N/A,#N/A,FALSE,"단축3";#N/A,#N/A,FALSE,"장축";#N/A,#N/A,FALSE,"4WD"}</definedName>
    <definedName name="_53W2_" hidden="1">{#N/A,#N/A,FALSE,"KMC최종회의(7월) 자료"}</definedName>
    <definedName name="_53w4_" hidden="1">{#N/A,#N/A,FALSE,"단축1";#N/A,#N/A,FALSE,"단축2";#N/A,#N/A,FALSE,"단축3";#N/A,#N/A,FALSE,"장축";#N/A,#N/A,FALSE,"4WD"}</definedName>
    <definedName name="_53W5_" hidden="1">{#N/A,#N/A,FALSE,"KMC최종회의(7월) 자료"}</definedName>
    <definedName name="_53W8_" hidden="1">{#N/A,#N/A,FALSE,"KMC최종회의(7월) 자료"}</definedName>
    <definedName name="_53W9_" hidden="1">{#N/A,#N/A,FALSE,"KMC최종회의(7월) 자료"}</definedName>
    <definedName name="_53X2_" hidden="1">{#N/A,#N/A,FALSE,"KMC최종회의(7월) 자료"}</definedName>
    <definedName name="_53X4_" hidden="1">{#N/A,#N/A,FALSE,"KMC최종회의(7월) 자료"}</definedName>
    <definedName name="_53X6_" hidden="1">{#N/A,#N/A,FALSE,"KMC최종회의(7월) 자료"}</definedName>
    <definedName name="_53X7_" hidden="1">{#N/A,#N/A,FALSE,"KMC최종회의(7월) 자료"}</definedName>
    <definedName name="_53X8_" hidden="1">{#N/A,#N/A,FALSE,"KMC최종회의(7월) 자료"}</definedName>
    <definedName name="_53Z1_" hidden="1">{#N/A,#N/A,FALSE,"KMC최종회의(7월) 자료"}</definedName>
    <definedName name="_53Z2_" hidden="1">{#N/A,#N/A,FALSE,"KMC최종회의(7월) 자료"}</definedName>
    <definedName name="_53Z3_" hidden="1">{#N/A,#N/A,FALSE,"KMC최종회의(7월) 자료"}</definedName>
    <definedName name="_53Z4_" hidden="1">{#N/A,#N/A,FALSE,"KMC최종회의(7월) 자료"}</definedName>
    <definedName name="_53Z5_" hidden="1">{#N/A,#N/A,FALSE,"KMC최종회의(7월) 자료"}</definedName>
    <definedName name="_53Z6_" hidden="1">{#N/A,#N/A,FALSE,"KMC최종회의(7월) 자료"}</definedName>
    <definedName name="_53Z6__1" hidden="1">{#N/A,#N/A,FALSE,"KMC최종회의(7월) 자료"}</definedName>
    <definedName name="_53Z7_" hidden="1">{#N/A,#N/A,FALSE,"KMC최종회의(7월) 자료"}</definedName>
    <definedName name="_53Z8_" hidden="1">{#N/A,#N/A,FALSE,"KMC최종회의(7월) 자료"}</definedName>
    <definedName name="_53Z9_" hidden="1">{#N/A,#N/A,FALSE,"KMC최종회의(7월) 자료"}</definedName>
    <definedName name="_540Z2_" hidden="1">{#N/A,#N/A,FALSE,"KMC최종회의(7월) 자료"}</definedName>
    <definedName name="_542Z1_" hidden="1">{#N/A,#N/A,FALSE,"KMC최종회의(7월) 자료"}</definedName>
    <definedName name="_544Z2_" hidden="1">{#N/A,#N/A,FALSE,"KMC최종회의(7월) 자료"}</definedName>
    <definedName name="_549Q3_" hidden="1">{#N/A,#N/A,FALSE,"KMC최종회의(7월) 자료"}</definedName>
    <definedName name="_549z123_" hidden="1">{#N/A,#N/A,FALSE,"단축1";#N/A,#N/A,FALSE,"단축2";#N/A,#N/A,FALSE,"단축3";#N/A,#N/A,FALSE,"장축";#N/A,#N/A,FALSE,"4WD"}</definedName>
    <definedName name="_54A1245_" hidden="1">{#N/A,#N/A,FALSE,"단축1";#N/A,#N/A,FALSE,"단축2";#N/A,#N/A,FALSE,"단축3";#N/A,#N/A,FALSE,"장축";#N/A,#N/A,FALSE,"4WD"}</definedName>
    <definedName name="_54A1245__1" hidden="1">{#N/A,#N/A,FALSE,"단축1";#N/A,#N/A,FALSE,"단축2";#N/A,#N/A,FALSE,"단축3";#N/A,#N/A,FALSE,"장축";#N/A,#N/A,FALSE,"4WD"}</definedName>
    <definedName name="_54A5_" hidden="1">{#N/A,#N/A,FALSE,"KMC최종회의(7월) 자료"}</definedName>
    <definedName name="_54A6_" hidden="1">{#N/A,#N/A,FALSE,"KMC최종회의(7월) 자료"}</definedName>
    <definedName name="_54A7_" hidden="1">{#N/A,#N/A,FALSE,"KMC최종회의(7월) 자료"}</definedName>
    <definedName name="_54A9_" hidden="1">{#N/A,#N/A,FALSE,"KMC최종회의(7월) 자료"}</definedName>
    <definedName name="_54AA4_" hidden="1">{#N/A,#N/A,FALSE,"신규dep";#N/A,#N/A,FALSE,"신규dep-금형상각후";#N/A,#N/A,FALSE,"신규dep-연구비상각후";#N/A,#N/A,FALSE,"신규dep-기계,공구상각후"}</definedName>
    <definedName name="_54AS6_" hidden="1">{#N/A,#N/A,FALSE,"Australien";#N/A,#N/A,FALSE,"Birmingham";#N/A,#N/A,FALSE,"Brasilien";#N/A,#N/A,FALSE,"Prag";#N/A,#N/A,FALSE,"Spanien";#N/A,#N/A,FALSE,"Malaysia ( Com)";#N/A,#N/A,FALSE,"Malaysia (Instr)"}</definedName>
    <definedName name="_54E1_" hidden="1">{#N/A,#N/A,FALSE,"KMC최종회의(7월) 자료"}</definedName>
    <definedName name="_54E2_" hidden="1">{#N/A,#N/A,FALSE,"KMC최종회의(7월) 자료"}</definedName>
    <definedName name="_54e6_" hidden="1">{#N/A,#N/A,FALSE,"단축1";#N/A,#N/A,FALSE,"단축2";#N/A,#N/A,FALSE,"단축3";#N/A,#N/A,FALSE,"장축";#N/A,#N/A,FALSE,"4WD"}</definedName>
    <definedName name="_54EO2_" hidden="1">{#N/A,#N/A,FALSE,"신규dep";#N/A,#N/A,FALSE,"신규dep-금형상각후";#N/A,#N/A,FALSE,"신규dep-연구비상각후";#N/A,#N/A,FALSE,"신규dep-기계,공구상각후"}</definedName>
    <definedName name="_54h2_" hidden="1">{"'표지'!$B$5"}</definedName>
    <definedName name="_54H20_" hidden="1">{#N/A,#N/A,FALSE,"단축1";#N/A,#N/A,FALSE,"단축2";#N/A,#N/A,FALSE,"단축3";#N/A,#N/A,FALSE,"장축";#N/A,#N/A,FALSE,"4WD"}</definedName>
    <definedName name="_54HP02_" hidden="1">{#N/A,#N/A,FALSE,"단축1";#N/A,#N/A,FALSE,"단축2";#N/A,#N/A,FALSE,"단축3";#N/A,#N/A,FALSE,"장축";#N/A,#N/A,FALSE,"4WD"}</definedName>
    <definedName name="_54HP02__1" hidden="1">{#N/A,#N/A,FALSE,"단축1";#N/A,#N/A,FALSE,"단축2";#N/A,#N/A,FALSE,"단축3";#N/A,#N/A,FALSE,"장축";#N/A,#N/A,FALSE,"4WD"}</definedName>
    <definedName name="_54k8_" hidden="1">{#N/A,#N/A,FALSE,"단축1";#N/A,#N/A,FALSE,"단축2";#N/A,#N/A,FALSE,"단축3";#N/A,#N/A,FALSE,"장축";#N/A,#N/A,FALSE,"4WD"}</definedName>
    <definedName name="_54k9_" hidden="1">{#N/A,#N/A,FALSE,"단축1";#N/A,#N/A,FALSE,"단축2";#N/A,#N/A,FALSE,"단축3";#N/A,#N/A,FALSE,"장축";#N/A,#N/A,FALSE,"4WD"}</definedName>
    <definedName name="_54P21_" hidden="1">{#N/A,#N/A,FALSE,"단축1";#N/A,#N/A,FALSE,"단축2";#N/A,#N/A,FALSE,"단축3";#N/A,#N/A,FALSE,"장축";#N/A,#N/A,FALSE,"4WD"}</definedName>
    <definedName name="_54Q1_" hidden="1">{#N/A,#N/A,FALSE,"KMC최종회의(7월) 자료"}</definedName>
    <definedName name="_54Q2_" hidden="1">{#N/A,#N/A,FALSE,"KMC최종회의(7월) 자료"}</definedName>
    <definedName name="_54Q3_" hidden="1">{#N/A,#N/A,FALSE,"KMC최종회의(7월) 자료"}</definedName>
    <definedName name="_54Q3__1" hidden="1">{#N/A,#N/A,FALSE,"KMC최종회의(7월) 자료"}</definedName>
    <definedName name="_54Q5_" hidden="1">{#N/A,#N/A,FALSE,"KMC최종회의(7월) 자료"}</definedName>
    <definedName name="_54Q9_" hidden="1">{#N/A,#N/A,FALSE,"KMC최종회의(7월) 자료"}</definedName>
    <definedName name="_54S1_" hidden="1">{#N/A,#N/A,FALSE,"KMC최종회의(7월) 자료"}</definedName>
    <definedName name="_54S2_" hidden="1">{#N/A,#N/A,FALSE,"KMC최종회의(7월) 자료"}</definedName>
    <definedName name="_54S3_" hidden="1">{#N/A,#N/A,FALSE,"KMC최종회의(7월) 자료"}</definedName>
    <definedName name="_54S6_" hidden="1">{#N/A,#N/A,FALSE,"KMC최종회의(7월) 자료"}</definedName>
    <definedName name="_54S7_" hidden="1">{#N/A,#N/A,FALSE,"KMC최종회의(7월) 자료"}</definedName>
    <definedName name="_54S8_" hidden="1">{#N/A,#N/A,FALSE,"KMC최종회의(7월) 자료"}</definedName>
    <definedName name="_54T3_" hidden="1">{#N/A,#N/A,FALSE,"단축1";#N/A,#N/A,FALSE,"단축2";#N/A,#N/A,FALSE,"단축3";#N/A,#N/A,FALSE,"장축";#N/A,#N/A,FALSE,"4WD"}</definedName>
    <definedName name="_54W1_" hidden="1">{#N/A,#N/A,FALSE,"KMC최종회의(7월) 자료"}</definedName>
    <definedName name="_54W3_" hidden="1">{#N/A,#N/A,FALSE,"KMC최종회의(7월) 자료"}</definedName>
    <definedName name="_54W4_" hidden="1">{#N/A,#N/A,FALSE,"KMC최종회의(7월) 자료"}</definedName>
    <definedName name="_54w5_" hidden="1">{#N/A,#N/A,FALSE,"신규dep";#N/A,#N/A,FALSE,"신규dep-금형상각후";#N/A,#N/A,FALSE,"신규dep-연구비상각후";#N/A,#N/A,FALSE,"신규dep-기계,공구상각후"}</definedName>
    <definedName name="_54W6_" hidden="1">{#N/A,#N/A,FALSE,"KMC최종회의(7월) 자료"}</definedName>
    <definedName name="_54W9_" hidden="1">{#N/A,#N/A,FALSE,"KMC최종회의(7월) 자료"}</definedName>
    <definedName name="_54X1_" hidden="1">{#N/A,#N/A,FALSE,"KMC최종회의(7월) 자료"}</definedName>
    <definedName name="_54X3_" hidden="1">{#N/A,#N/A,FALSE,"KMC최종회의(7월) 자료"}</definedName>
    <definedName name="_54X5_" hidden="1">{#N/A,#N/A,FALSE,"KMC최종회의(7월) 자료"}</definedName>
    <definedName name="_54X7_" hidden="1">{#N/A,#N/A,FALSE,"KMC최종회의(7월) 자료"}</definedName>
    <definedName name="_54X8_" hidden="1">{#N/A,#N/A,FALSE,"KMC최종회의(7월) 자료"}</definedName>
    <definedName name="_54Z1_" hidden="1">{#N/A,#N/A,FALSE,"KMC최종회의(7월) 자료"}</definedName>
    <definedName name="_54Z2_" hidden="1">{#N/A,#N/A,FALSE,"KMC최종회의(7월) 자료"}</definedName>
    <definedName name="_54Z3_" hidden="1">{#N/A,#N/A,FALSE,"KMC최종회의(7월) 자료"}</definedName>
    <definedName name="_54Z4_" hidden="1">{#N/A,#N/A,FALSE,"KMC최종회의(7월) 자료"}</definedName>
    <definedName name="_54Z5_" hidden="1">{#N/A,#N/A,FALSE,"KMC최종회의(7월) 자료"}</definedName>
    <definedName name="_54Z6_" hidden="1">{#N/A,#N/A,FALSE,"KMC최종회의(7월) 자료"}</definedName>
    <definedName name="_54Z7_" hidden="1">{#N/A,#N/A,FALSE,"KMC최종회의(7월) 자료"}</definedName>
    <definedName name="_54Z7__1" hidden="1">{#N/A,#N/A,FALSE,"KMC최종회의(7월) 자료"}</definedName>
    <definedName name="_54Z8_" hidden="1">{#N/A,#N/A,FALSE,"KMC최종회의(7월) 자료"}</definedName>
    <definedName name="_54Z9_" hidden="1">{#N/A,#N/A,FALSE,"KMC최종회의(7월) 자료"}</definedName>
    <definedName name="_550w1_" hidden="1">{#N/A,#N/A,FALSE,"신규dep";#N/A,#N/A,FALSE,"신규dep-금형상각후";#N/A,#N/A,FALSE,"신규dep-연구비상각후";#N/A,#N/A,FALSE,"신규dep-기계,공구상각후"}</definedName>
    <definedName name="_550w1__1" hidden="1">{#N/A,#N/A,FALSE,"신규dep";#N/A,#N/A,FALSE,"신규dep-금형상각후";#N/A,#N/A,FALSE,"신규dep-연구비상각후";#N/A,#N/A,FALSE,"신규dep-기계,공구상각후"}</definedName>
    <definedName name="_552AS6_" hidden="1">{#N/A,#N/A,FALSE,"Australien";#N/A,#N/A,FALSE,"Birmingham";#N/A,#N/A,FALSE,"Brasilien";#N/A,#N/A,FALSE,"Prag";#N/A,#N/A,FALSE,"Spanien";#N/A,#N/A,FALSE,"Malaysia ( Com)";#N/A,#N/A,FALSE,"Malaysia (Instr)"}</definedName>
    <definedName name="_552Z3_" hidden="1">{#N/A,#N/A,FALSE,"KMC최종회의(7월) 자료"}</definedName>
    <definedName name="_558Z2_" hidden="1">{#N/A,#N/A,FALSE,"KMC최종회의(7월) 자료"}</definedName>
    <definedName name="_559AS6_" hidden="1">{#N/A,#N/A,FALSE,"Australien";#N/A,#N/A,FALSE,"Birmingham";#N/A,#N/A,FALSE,"Brasilien";#N/A,#N/A,FALSE,"Prag";#N/A,#N/A,FALSE,"Spanien";#N/A,#N/A,FALSE,"Malaysia ( Com)";#N/A,#N/A,FALSE,"Malaysia (Instr)"}</definedName>
    <definedName name="_559D11_" hidden="1">{#N/A,#N/A,TRUE,"Y생산";#N/A,#N/A,TRUE,"Y판매";#N/A,#N/A,TRUE,"Y총물량";#N/A,#N/A,TRUE,"Y능력";#N/A,#N/A,TRUE,"YKD"}</definedName>
    <definedName name="_55A3_" hidden="1">{#N/A,#N/A,FALSE,"KMC최종회의(7월) 자료"}</definedName>
    <definedName name="_55A6_" hidden="1">{#N/A,#N/A,FALSE,"KMC최종회의(7월) 자료"}</definedName>
    <definedName name="_55A7_" hidden="1">{#N/A,#N/A,FALSE,"KMC최종회의(7월) 자료"}</definedName>
    <definedName name="_55A9_" hidden="1">{#N/A,#N/A,FALSE,"KMC최종회의(7월) 자료"}</definedName>
    <definedName name="_55AA4_" hidden="1">{#N/A,#N/A,FALSE,"신규dep";#N/A,#N/A,FALSE,"신규dep-금형상각후";#N/A,#N/A,FALSE,"신규dep-연구비상각후";#N/A,#N/A,FALSE,"신규dep-기계,공구상각후"}</definedName>
    <definedName name="_55CL22_" hidden="1">{#N/A,#N/A,FALSE,"KMC최종회의(7월) 자료"}</definedName>
    <definedName name="_55CL222_" hidden="1">{#N/A,#N/A,FALSE,"KMC최종회의(7월) 자료"}</definedName>
    <definedName name="_55d3_" hidden="1">{#N/A,#N/A,FALSE,"신규dep";#N/A,#N/A,FALSE,"신규dep-금형상각후";#N/A,#N/A,FALSE,"신규dep-연구비상각후";#N/A,#N/A,FALSE,"신규dep-기계,공구상각후"}</definedName>
    <definedName name="_55d3__1" hidden="1">{#N/A,#N/A,FALSE,"신규dep";#N/A,#N/A,FALSE,"신규dep-금형상각후";#N/A,#N/A,FALSE,"신규dep-연구비상각후";#N/A,#N/A,FALSE,"신규dep-기계,공구상각후"}</definedName>
    <definedName name="_55DB777_" hidden="1">{#N/A,#N/A,TRUE,"Y생산";#N/A,#N/A,TRUE,"Y판매";#N/A,#N/A,TRUE,"Y총물량";#N/A,#N/A,TRUE,"Y능력";#N/A,#N/A,TRUE,"YKD"}</definedName>
    <definedName name="_55e9_" hidden="1">{#N/A,#N/A,FALSE,"단축1";#N/A,#N/A,FALSE,"단축2";#N/A,#N/A,FALSE,"단축3";#N/A,#N/A,FALSE,"장축";#N/A,#N/A,FALSE,"4WD"}</definedName>
    <definedName name="_55e9__1" hidden="1">{#N/A,#N/A,FALSE,"단축1";#N/A,#N/A,FALSE,"단축2";#N/A,#N/A,FALSE,"단축3";#N/A,#N/A,FALSE,"장축";#N/A,#N/A,FALSE,"4WD"}</definedName>
    <definedName name="_55EO2_" hidden="1">{#N/A,#N/A,FALSE,"신규dep";#N/A,#N/A,FALSE,"신규dep-금형상각후";#N/A,#N/A,FALSE,"신규dep-연구비상각후";#N/A,#N/A,FALSE,"신규dep-기계,공구상각후"}</definedName>
    <definedName name="_55FG1_" hidden="1">{#N/A,#N/A,FALSE,"단축1";#N/A,#N/A,FALSE,"단축2";#N/A,#N/A,FALSE,"단축3";#N/A,#N/A,FALSE,"장축";#N/A,#N/A,FALSE,"4WD"}</definedName>
    <definedName name="_55HP2_" hidden="1">{#N/A,#N/A,FALSE,"단축1";#N/A,#N/A,FALSE,"단축2";#N/A,#N/A,FALSE,"단축3";#N/A,#N/A,FALSE,"장축";#N/A,#N/A,FALSE,"4WD"}</definedName>
    <definedName name="_55HP2__1" hidden="1">{#N/A,#N/A,FALSE,"단축1";#N/A,#N/A,FALSE,"단축2";#N/A,#N/A,FALSE,"단축3";#N/A,#N/A,FALSE,"장축";#N/A,#N/A,FALSE,"4WD"}</definedName>
    <definedName name="_55K7_" hidden="1">{#N/A,#N/A,TRUE,"Y생산";#N/A,#N/A,TRUE,"Y판매";#N/A,#N/A,TRUE,"Y총물량";#N/A,#N/A,TRUE,"Y능력";#N/A,#N/A,TRUE,"YKD"}</definedName>
    <definedName name="_55Q1_" hidden="1">{#N/A,#N/A,FALSE,"KMC최종회의(7월) 자료"}</definedName>
    <definedName name="_55Q3_" hidden="1">{#N/A,#N/A,FALSE,"KMC최종회의(7월) 자료"}</definedName>
    <definedName name="_55Q5_" hidden="1">{#N/A,#N/A,FALSE,"KMC최종회의(7월) 자료"}</definedName>
    <definedName name="_55Q9_" hidden="1">{#N/A,#N/A,FALSE,"KMC최종회의(7월) 자료"}</definedName>
    <definedName name="_55S2_" hidden="1">{#N/A,#N/A,FALSE,"KMC최종회의(7월) 자료"}</definedName>
    <definedName name="_55S4_" hidden="1">{#N/A,#N/A,FALSE,"KMC최종회의(7월) 자료"}</definedName>
    <definedName name="_55S7_" hidden="1">{#N/A,#N/A,FALSE,"KMC최종회의(7월) 자료"}</definedName>
    <definedName name="_55S8_" hidden="1">{#N/A,#N/A,FALSE,"KMC최종회의(7월) 자료"}</definedName>
    <definedName name="_55S8__1" hidden="1">{#N/A,#N/A,FALSE,"KMC최종회의(7월) 자료"}</definedName>
    <definedName name="_55T2_" hidden="1">{#N/A,#N/A,FALSE,"단축1";#N/A,#N/A,FALSE,"단축2";#N/A,#N/A,FALSE,"단축3";#N/A,#N/A,FALSE,"장축";#N/A,#N/A,FALSE,"4WD"}</definedName>
    <definedName name="_55T5_" hidden="1">{#N/A,#N/A,FALSE,"단축1";#N/A,#N/A,FALSE,"단축2";#N/A,#N/A,FALSE,"단축3";#N/A,#N/A,FALSE,"장축";#N/A,#N/A,FALSE,"4WD"}</definedName>
    <definedName name="_55W1_" hidden="1">{#N/A,#N/A,FALSE,"KMC최종회의(7월) 자료"}</definedName>
    <definedName name="_55W4_" hidden="1">{#N/A,#N/A,FALSE,"KMC최종회의(7월) 자료"}</definedName>
    <definedName name="_55W7_" hidden="1">{#N/A,#N/A,FALSE,"KMC최종회의(7월) 자료"}</definedName>
    <definedName name="_55X1_" hidden="1">{#N/A,#N/A,FALSE,"KMC최종회의(7월) 자료"}</definedName>
    <definedName name="_55X2_" hidden="1">{#N/A,#N/A,FALSE,"KMC최종회의(7월) 자료"}</definedName>
    <definedName name="_55X4_" hidden="1">{#N/A,#N/A,FALSE,"KMC최종회의(7월) 자료"}</definedName>
    <definedName name="_55X6_" hidden="1">{#N/A,#N/A,FALSE,"KMC최종회의(7월) 자료"}</definedName>
    <definedName name="_55X8_" hidden="1">{#N/A,#N/A,FALSE,"KMC최종회의(7월) 자료"}</definedName>
    <definedName name="_55Z1_" hidden="1">{#N/A,#N/A,FALSE,"KMC최종회의(7월) 자료"}</definedName>
    <definedName name="_55Z2_" hidden="1">{#N/A,#N/A,FALSE,"KMC최종회의(7월) 자료"}</definedName>
    <definedName name="_55Z3_" hidden="1">{#N/A,#N/A,FALSE,"KMC최종회의(7월) 자료"}</definedName>
    <definedName name="_55Z4_" hidden="1">{#N/A,#N/A,FALSE,"KMC최종회의(7월) 자료"}</definedName>
    <definedName name="_55Z5_" hidden="1">{#N/A,#N/A,FALSE,"KMC최종회의(7월) 자료"}</definedName>
    <definedName name="_55Z6_" hidden="1">{#N/A,#N/A,FALSE,"KMC최종회의(7월) 자료"}</definedName>
    <definedName name="_55Z7_" hidden="1">{#N/A,#N/A,FALSE,"KMC최종회의(7월) 자료"}</definedName>
    <definedName name="_55Z8_" hidden="1">{#N/A,#N/A,FALSE,"KMC최종회의(7월) 자료"}</definedName>
    <definedName name="_55Z8__1" hidden="1">{#N/A,#N/A,FALSE,"KMC최종회의(7월) 자료"}</definedName>
    <definedName name="_55Z9_" hidden="1">{#N/A,#N/A,FALSE,"KMC최종회의(7월) 자료"}</definedName>
    <definedName name="_56__123Graph_LBL_AC04C_FF_T" hidden="1">#REF!</definedName>
    <definedName name="_56__0_S" hidden="1">#REF!</definedName>
    <definedName name="_560Z3_" hidden="1">{#N/A,#N/A,FALSE,"KMC최종회의(7월) 자료"}</definedName>
    <definedName name="_564D11_" hidden="1">{#N/A,#N/A,TRUE,"Y생산";#N/A,#N/A,TRUE,"Y판매";#N/A,#N/A,TRUE,"Y총물량";#N/A,#N/A,TRUE,"Y능력";#N/A,#N/A,TRUE,"YKD"}</definedName>
    <definedName name="_564D123_" hidden="1">{#N/A,#N/A,TRUE,"Y생산";#N/A,#N/A,TRUE,"Y판매";#N/A,#N/A,TRUE,"Y총물량";#N/A,#N/A,TRUE,"Y능력";#N/A,#N/A,TRUE,"YKD"}</definedName>
    <definedName name="_564Z4_" hidden="1">{#N/A,#N/A,FALSE,"KMC최종회의(7월) 자료"}</definedName>
    <definedName name="_565Q5_" hidden="1">{#N/A,#N/A,FALSE,"KMC최종회의(7월) 자료"}</definedName>
    <definedName name="_565W2_" hidden="1">{#N/A,#N/A,FALSE,"품의서";#N/A,#N/A,FALSE,"전제";#N/A,#N/A,FALSE,"총손";#N/A,#N/A,FALSE,"손익"}</definedName>
    <definedName name="_565W2__1" hidden="1">{#N/A,#N/A,FALSE,"품의서";#N/A,#N/A,FALSE,"전제";#N/A,#N/A,FALSE,"총손";#N/A,#N/A,FALSE,"손익"}</definedName>
    <definedName name="_567Z3_" hidden="1">{#N/A,#N/A,FALSE,"KMC최종회의(7월) 자료"}</definedName>
    <definedName name="_56A6666_" hidden="1">{#N/A,#N/A,FALSE,"KMC최종회의(7월) 자료"}</definedName>
    <definedName name="_56A7_" hidden="1">{#N/A,#N/A,FALSE,"KMC최종회의(7월) 자료"}</definedName>
    <definedName name="_56A8_" hidden="1">{#N/A,#N/A,FALSE,"KMC최종회의(7월) 자료"}</definedName>
    <definedName name="_56CL22_" hidden="1">{#N/A,#N/A,FALSE,"KMC최종회의(7월) 자료"}</definedName>
    <definedName name="_56DB777_" hidden="1">{#N/A,#N/A,TRUE,"Y생산";#N/A,#N/A,TRUE,"Y판매";#N/A,#N/A,TRUE,"Y총물량";#N/A,#N/A,TRUE,"Y능력";#N/A,#N/A,TRUE,"YKD"}</definedName>
    <definedName name="_56FG1_" hidden="1">{#N/A,#N/A,FALSE,"단축1";#N/A,#N/A,FALSE,"단축2";#N/A,#N/A,FALSE,"단축3";#N/A,#N/A,FALSE,"장축";#N/A,#N/A,FALSE,"4WD"}</definedName>
    <definedName name="_56h5_" hidden="1">{"'표지'!$B$5"}</definedName>
    <definedName name="_56K1_" hidden="1">{#N/A,#N/A,FALSE,"인원";#N/A,#N/A,FALSE,"비용2";#N/A,#N/A,FALSE,"비용1";#N/A,#N/A,FALSE,"비용";#N/A,#N/A,FALSE,"보증2";#N/A,#N/A,FALSE,"보증1";#N/A,#N/A,FALSE,"보증";#N/A,#N/A,FALSE,"손익1";#N/A,#N/A,FALSE,"손익";#N/A,#N/A,FALSE,"부서별매출";#N/A,#N/A,FALSE,"매출"}</definedName>
    <definedName name="_56k7_" hidden="1">{#N/A,#N/A,FALSE,"단축1";#N/A,#N/A,FALSE,"단축2";#N/A,#N/A,FALSE,"단축3";#N/A,#N/A,FALSE,"장축";#N/A,#N/A,FALSE,"4WD"}</definedName>
    <definedName name="_56k7__1" hidden="1">{#N/A,#N/A,FALSE,"단축1";#N/A,#N/A,FALSE,"단축2";#N/A,#N/A,FALSE,"단축3";#N/A,#N/A,FALSE,"장축";#N/A,#N/A,FALSE,"4WD"}</definedName>
    <definedName name="_56k9_" hidden="1">{#N/A,#N/A,FALSE,"단축1";#N/A,#N/A,FALSE,"단축2";#N/A,#N/A,FALSE,"단축3";#N/A,#N/A,FALSE,"장축";#N/A,#N/A,FALSE,"4WD"}</definedName>
    <definedName name="_56M123_" hidden="1">{#N/A,#N/A,FALSE,"단축1";#N/A,#N/A,FALSE,"단축2";#N/A,#N/A,FALSE,"단축3";#N/A,#N/A,FALSE,"장축";#N/A,#N/A,FALSE,"4WD"}</definedName>
    <definedName name="_56Q1_" hidden="1">{#N/A,#N/A,FALSE,"KMC최종회의(7월) 자료"}</definedName>
    <definedName name="_56Q2_" hidden="1">{#N/A,#N/A,FALSE,"KMC최종회의(7월) 자료"}</definedName>
    <definedName name="_56Q3_" hidden="1">{#N/A,#N/A,FALSE,"KMC최종회의(7월) 자료"}</definedName>
    <definedName name="_56Q5_" hidden="1">{#N/A,#N/A,FALSE,"KMC최종회의(7월) 자료"}</definedName>
    <definedName name="_56Q7_" hidden="1">{#N/A,#N/A,FALSE,"KMC최종회의(7월) 자료"}</definedName>
    <definedName name="_56Q8_" hidden="1">{#N/A,#N/A,FALSE,"KMC최종회의(7월) 자료"}</definedName>
    <definedName name="_56S1_" hidden="1">{#N/A,#N/A,FALSE,"KMC최종회의(7월) 자료"}</definedName>
    <definedName name="_56S2_" hidden="1">{#N/A,#N/A,FALSE,"KMC최종회의(7월) 자료"}</definedName>
    <definedName name="_56S3_" hidden="1">{#N/A,#N/A,FALSE,"KMC최종회의(7월) 자료"}</definedName>
    <definedName name="_56S4_" hidden="1">{#N/A,#N/A,FALSE,"KMC최종회의(7월) 자료"}</definedName>
    <definedName name="_56S5_" hidden="1">{#N/A,#N/A,FALSE,"KMC최종회의(7월) 자료"}</definedName>
    <definedName name="_56S7_" hidden="1">{#N/A,#N/A,FALSE,"KMC최종회의(7월) 자료"}</definedName>
    <definedName name="_56S8_" hidden="1">{#N/A,#N/A,FALSE,"KMC최종회의(7월) 자료"}</definedName>
    <definedName name="_56T2_" hidden="1">{#N/A,#N/A,FALSE,"단축1";#N/A,#N/A,FALSE,"단축2";#N/A,#N/A,FALSE,"단축3";#N/A,#N/A,FALSE,"장축";#N/A,#N/A,FALSE,"4WD"}</definedName>
    <definedName name="_56T3_" hidden="1">{#N/A,#N/A,FALSE,"단축1";#N/A,#N/A,FALSE,"단축2";#N/A,#N/A,FALSE,"단축3";#N/A,#N/A,FALSE,"장축";#N/A,#N/A,FALSE,"4WD"}</definedName>
    <definedName name="_56W1_" hidden="1">{#N/A,#N/A,FALSE,"KMC최종회의(7월) 자료"}</definedName>
    <definedName name="_56W2_" hidden="1">{#N/A,#N/A,FALSE,"KMC최종회의(7월) 자료"}</definedName>
    <definedName name="_56W5_" hidden="1">{#N/A,#N/A,FALSE,"KMC최종회의(7월) 자료"}</definedName>
    <definedName name="_56W8_" hidden="1">{#N/A,#N/A,FALSE,"KMC최종회의(7월) 자료"}</definedName>
    <definedName name="_56X2_" hidden="1">{#N/A,#N/A,FALSE,"KMC최종회의(7월) 자료"}</definedName>
    <definedName name="_56X3_" hidden="1">{#N/A,#N/A,FALSE,"KMC최종회의(7월) 자료"}</definedName>
    <definedName name="_56X4_" hidden="1">{#N/A,#N/A,FALSE,"KMC최종회의(7월) 자료"}</definedName>
    <definedName name="_56X5_" hidden="1">{#N/A,#N/A,FALSE,"KMC최종회의(7월) 자료"}</definedName>
    <definedName name="_56X7_" hidden="1">{#N/A,#N/A,FALSE,"KMC최종회의(7월) 자료"}</definedName>
    <definedName name="_56Z1_" hidden="1">{#N/A,#N/A,FALSE,"KMC최종회의(7월) 자료"}</definedName>
    <definedName name="_56z123_" hidden="1">{#N/A,#N/A,FALSE,"단축1";#N/A,#N/A,FALSE,"단축2";#N/A,#N/A,FALSE,"단축3";#N/A,#N/A,FALSE,"장축";#N/A,#N/A,FALSE,"4WD"}</definedName>
    <definedName name="_56Z2_" hidden="1">{#N/A,#N/A,FALSE,"KMC최종회의(7월) 자료"}</definedName>
    <definedName name="_56Z3_" hidden="1">{#N/A,#N/A,FALSE,"KMC최종회의(7월) 자료"}</definedName>
    <definedName name="_56Z4_" hidden="1">{#N/A,#N/A,FALSE,"KMC최종회의(7월) 자료"}</definedName>
    <definedName name="_56Z5_" hidden="1">{#N/A,#N/A,FALSE,"KMC최종회의(7월) 자료"}</definedName>
    <definedName name="_56Z6_" hidden="1">{#N/A,#N/A,FALSE,"KMC최종회의(7월) 자료"}</definedName>
    <definedName name="_56Z7_" hidden="1">{#N/A,#N/A,FALSE,"KMC최종회의(7월) 자료"}</definedName>
    <definedName name="_56Z8_" hidden="1">{#N/A,#N/A,FALSE,"KMC최종회의(7월) 자료"}</definedName>
    <definedName name="_56Z9_" hidden="1">{#N/A,#N/A,FALSE,"KMC최종회의(7월) 자료"}</definedName>
    <definedName name="_56Z9__1" hidden="1">{#N/A,#N/A,FALSE,"KMC최종회의(7월) 자료"}</definedName>
    <definedName name="_57__123Graph_LBL_AC04C_FF_T" hidden="1">#REF!</definedName>
    <definedName name="_57__0_S" hidden="1">#REF!</definedName>
    <definedName name="_571D123_" hidden="1">{#N/A,#N/A,TRUE,"Y생산";#N/A,#N/A,TRUE,"Y판매";#N/A,#N/A,TRUE,"Y총물량";#N/A,#N/A,TRUE,"Y능력";#N/A,#N/A,TRUE,"YKD"}</definedName>
    <definedName name="_573DB777_" hidden="1">{#N/A,#N/A,TRUE,"Y생산";#N/A,#N/A,TRUE,"Y판매";#N/A,#N/A,TRUE,"Y총물량";#N/A,#N/A,TRUE,"Y능력";#N/A,#N/A,TRUE,"YKD"}</definedName>
    <definedName name="_575DB777_" hidden="1">{#N/A,#N/A,TRUE,"Y생산";#N/A,#N/A,TRUE,"Y판매";#N/A,#N/A,TRUE,"Y총물량";#N/A,#N/A,TRUE,"Y능력";#N/A,#N/A,TRUE,"YKD"}</definedName>
    <definedName name="_576Z4_" hidden="1">{#N/A,#N/A,FALSE,"KMC최종회의(7월) 자료"}</definedName>
    <definedName name="_576Z5_" hidden="1">{#N/A,#N/A,FALSE,"KMC최종회의(7월) 자료"}</definedName>
    <definedName name="_57A2_" hidden="1">{#N/A,#N/A,FALSE,"KMC최종회의(7월) 자료"}</definedName>
    <definedName name="_57A5_" hidden="1">{#N/A,#N/A,FALSE,"KMC최종회의(7월) 자료"}</definedName>
    <definedName name="_57A8_" hidden="1">{#N/A,#N/A,FALSE,"KMC최종회의(7월) 자료"}</definedName>
    <definedName name="_57AA4_" hidden="1">{#N/A,#N/A,FALSE,"신규dep";#N/A,#N/A,FALSE,"신규dep-금형상각후";#N/A,#N/A,FALSE,"신규dep-연구비상각후";#N/A,#N/A,FALSE,"신규dep-기계,공구상각후"}</definedName>
    <definedName name="_57AA4__1" hidden="1">{#N/A,#N/A,FALSE,"신규dep";#N/A,#N/A,FALSE,"신규dep-금형상각후";#N/A,#N/A,FALSE,"신규dep-연구비상각후";#N/A,#N/A,FALSE,"신규dep-기계,공구상각후"}</definedName>
    <definedName name="_57AS6_" hidden="1">{#N/A,#N/A,FALSE,"Australien";#N/A,#N/A,FALSE,"Birmingham";#N/A,#N/A,FALSE,"Brasilien";#N/A,#N/A,FALSE,"Prag";#N/A,#N/A,FALSE,"Spanien";#N/A,#N/A,FALSE,"Malaysia ( Com)";#N/A,#N/A,FALSE,"Malaysia (Instr)"}</definedName>
    <definedName name="_57E2_" hidden="1">{#N/A,#N/A,FALSE,"KMC최종회의(7월) 자료"}</definedName>
    <definedName name="_57e3_" hidden="1">{#N/A,#N/A,FALSE,"단축1";#N/A,#N/A,FALSE,"단축2";#N/A,#N/A,FALSE,"단축3";#N/A,#N/A,FALSE,"장축";#N/A,#N/A,FALSE,"4WD"}</definedName>
    <definedName name="_57e7_" hidden="1">{#N/A,#N/A,FALSE,"신규dep";#N/A,#N/A,FALSE,"신규dep-금형상각후";#N/A,#N/A,FALSE,"신규dep-연구비상각후";#N/A,#N/A,FALSE,"신규dep-기계,공구상각후"}</definedName>
    <definedName name="_57h3_" hidden="1">{"'표지'!$B$5"}</definedName>
    <definedName name="_57h4_" hidden="1">{"'7-2지역별'!$A$1:$R$44"}</definedName>
    <definedName name="_57HP02_" hidden="1">{#N/A,#N/A,FALSE,"단축1";#N/A,#N/A,FALSE,"단축2";#N/A,#N/A,FALSE,"단축3";#N/A,#N/A,FALSE,"장축";#N/A,#N/A,FALSE,"4WD"}</definedName>
    <definedName name="_57HP02__1" hidden="1">{#N/A,#N/A,FALSE,"단축1";#N/A,#N/A,FALSE,"단축2";#N/A,#N/A,FALSE,"단축3";#N/A,#N/A,FALSE,"장축";#N/A,#N/A,FALSE,"4WD"}</definedName>
    <definedName name="_57K115_" hidden="1">{#N/A,#N/A,FALSE,"인원";#N/A,#N/A,FALSE,"비용2";#N/A,#N/A,FALSE,"비용1";#N/A,#N/A,FALSE,"비용";#N/A,#N/A,FALSE,"보증2";#N/A,#N/A,FALSE,"보증1";#N/A,#N/A,FALSE,"보증";#N/A,#N/A,FALSE,"손익1";#N/A,#N/A,FALSE,"손익";#N/A,#N/A,FALSE,"부서별매출";#N/A,#N/A,FALSE,"매출"}</definedName>
    <definedName name="_57k8_" hidden="1">{#N/A,#N/A,FALSE,"단축1";#N/A,#N/A,FALSE,"단축2";#N/A,#N/A,FALSE,"단축3";#N/A,#N/A,FALSE,"장축";#N/A,#N/A,FALSE,"4WD"}</definedName>
    <definedName name="_57k8__1" hidden="1">{#N/A,#N/A,FALSE,"단축1";#N/A,#N/A,FALSE,"단축2";#N/A,#N/A,FALSE,"단축3";#N/A,#N/A,FALSE,"장축";#N/A,#N/A,FALSE,"4WD"}</definedName>
    <definedName name="_57P21_" hidden="1">{#N/A,#N/A,FALSE,"단축1";#N/A,#N/A,FALSE,"단축2";#N/A,#N/A,FALSE,"단축3";#N/A,#N/A,FALSE,"장축";#N/A,#N/A,FALSE,"4WD"}</definedName>
    <definedName name="_57Q2_" hidden="1">{#N/A,#N/A,FALSE,"KMC최종회의(7월) 자료"}</definedName>
    <definedName name="_57Q3_" hidden="1">{#N/A,#N/A,FALSE,"KMC최종회의(7월) 자료"}</definedName>
    <definedName name="_57Q5_" hidden="1">{#N/A,#N/A,FALSE,"KMC최종회의(7월) 자료"}</definedName>
    <definedName name="_57Q5__1" hidden="1">{#N/A,#N/A,FALSE,"KMC최종회의(7월) 자료"}</definedName>
    <definedName name="_57Q7_" hidden="1">{#N/A,#N/A,FALSE,"KMC최종회의(7월) 자료"}</definedName>
    <definedName name="_57Q8_" hidden="1">{#N/A,#N/A,FALSE,"KMC최종회의(7월) 자료"}</definedName>
    <definedName name="_57S1_" hidden="1">{#N/A,#N/A,FALSE,"KMC최종회의(7월) 자료"}</definedName>
    <definedName name="_57S3_" hidden="1">{#N/A,#N/A,FALSE,"KMC최종회의(7월) 자료"}</definedName>
    <definedName name="_57S4_" hidden="1">{#N/A,#N/A,FALSE,"KMC최종회의(7월) 자료"}</definedName>
    <definedName name="_57S5_" hidden="1">{#N/A,#N/A,FALSE,"KMC최종회의(7월) 자료"}</definedName>
    <definedName name="_57T2_" hidden="1">{#N/A,#N/A,FALSE,"단축1";#N/A,#N/A,FALSE,"단축2";#N/A,#N/A,FALSE,"단축3";#N/A,#N/A,FALSE,"장축";#N/A,#N/A,FALSE,"4WD"}</definedName>
    <definedName name="_57T2__1" hidden="1">{#N/A,#N/A,FALSE,"단축1";#N/A,#N/A,FALSE,"단축2";#N/A,#N/A,FALSE,"단축3";#N/A,#N/A,FALSE,"장축";#N/A,#N/A,FALSE,"4WD"}</definedName>
    <definedName name="_57T5_" hidden="1">{#N/A,#N/A,FALSE,"단축1";#N/A,#N/A,FALSE,"단축2";#N/A,#N/A,FALSE,"단축3";#N/A,#N/A,FALSE,"장축";#N/A,#N/A,FALSE,"4WD"}</definedName>
    <definedName name="_57W1_" hidden="1">{#N/A,#N/A,FALSE,"KMC최종회의(7월) 자료"}</definedName>
    <definedName name="_57W2_" hidden="1">{#N/A,#N/A,FALSE,"KMC최종회의(7월) 자료"}</definedName>
    <definedName name="_57W6_" hidden="1">{#N/A,#N/A,FALSE,"KMC최종회의(7월) 자료"}</definedName>
    <definedName name="_57W9_" hidden="1">{#N/A,#N/A,FALSE,"KMC최종회의(7월) 자료"}</definedName>
    <definedName name="_57X3_" hidden="1">{#N/A,#N/A,FALSE,"KMC최종회의(7월) 자료"}</definedName>
    <definedName name="_57X4_" hidden="1">{#N/A,#N/A,FALSE,"KMC최종회의(7월) 자료"}</definedName>
    <definedName name="_57X6_" hidden="1">{#N/A,#N/A,FALSE,"KMC최종회의(7월) 자료"}</definedName>
    <definedName name="_57X8_" hidden="1">{#N/A,#N/A,FALSE,"KMC최종회의(7월) 자료"}</definedName>
    <definedName name="_57Z2_" hidden="1">{#N/A,#N/A,FALSE,"KMC최종회의(7월) 자료"}</definedName>
    <definedName name="_57Z3_" hidden="1">{#N/A,#N/A,FALSE,"KMC최종회의(7월) 자료"}</definedName>
    <definedName name="_57Z4_" hidden="1">{#N/A,#N/A,FALSE,"KMC최종회의(7월) 자료"}</definedName>
    <definedName name="_57Z5_" hidden="1">{#N/A,#N/A,FALSE,"KMC최종회의(7월) 자료"}</definedName>
    <definedName name="_57Z6_" hidden="1">{#N/A,#N/A,FALSE,"KMC최종회의(7월) 자료"}</definedName>
    <definedName name="_57Z7_" hidden="1">{#N/A,#N/A,FALSE,"KMC최종회의(7월) 자료"}</definedName>
    <definedName name="_57Z8_" hidden="1">{#N/A,#N/A,FALSE,"KMC최종회의(7월) 자료"}</definedName>
    <definedName name="_57Z9_" hidden="1">{#N/A,#N/A,FALSE,"KMC최종회의(7월) 자료"}</definedName>
    <definedName name="_58__0_S" hidden="1">#REF!</definedName>
    <definedName name="_580w3_" hidden="1">{#N/A,#N/A,FALSE,"신규dep";#N/A,#N/A,FALSE,"신규dep-금형상각후";#N/A,#N/A,FALSE,"신규dep-연구비상각후";#N/A,#N/A,FALSE,"신규dep-기계,공구상각후"}</definedName>
    <definedName name="_580w3__1" hidden="1">{#N/A,#N/A,FALSE,"신규dep";#N/A,#N/A,FALSE,"신규dep-금형상각후";#N/A,#N/A,FALSE,"신규dep-연구비상각후";#N/A,#N/A,FALSE,"신규dep-기계,공구상각후"}</definedName>
    <definedName name="_581Q7_" hidden="1">{#N/A,#N/A,FALSE,"KMC최종회의(7월) 자료"}</definedName>
    <definedName name="_584DB777_" hidden="1">{#N/A,#N/A,TRUE,"Y생산";#N/A,#N/A,TRUE,"Y판매";#N/A,#N/A,TRUE,"Y총물량";#N/A,#N/A,TRUE,"Y능력";#N/A,#N/A,TRUE,"YKD"}</definedName>
    <definedName name="_585Z5_" hidden="1">{#N/A,#N/A,FALSE,"KMC최종회의(7월) 자료"}</definedName>
    <definedName name="_586E1_" hidden="1">{#N/A,#N/A,FALSE,"KMC최종회의(7월) 자료"}</definedName>
    <definedName name="_587E2_" hidden="1">{#N/A,#N/A,FALSE,"KMC최종회의(7월) 자료"}</definedName>
    <definedName name="_588Z6_" hidden="1">{#N/A,#N/A,FALSE,"KMC최종회의(7월) 자료"}</definedName>
    <definedName name="_58A2040_" hidden="1">{#N/A,#N/A,FALSE,"단축1";#N/A,#N/A,FALSE,"단축2";#N/A,#N/A,FALSE,"단축3";#N/A,#N/A,FALSE,"장축";#N/A,#N/A,FALSE,"4WD"}</definedName>
    <definedName name="_58A21321_" hidden="1">{#N/A,#N/A,FALSE,"단축1";#N/A,#N/A,FALSE,"단축2";#N/A,#N/A,FALSE,"단축3";#N/A,#N/A,FALSE,"장축";#N/A,#N/A,FALSE,"4WD"}</definedName>
    <definedName name="_58A21321__1" hidden="1">{#N/A,#N/A,FALSE,"단축1";#N/A,#N/A,FALSE,"단축2";#N/A,#N/A,FALSE,"단축3";#N/A,#N/A,FALSE,"장축";#N/A,#N/A,FALSE,"4WD"}</definedName>
    <definedName name="_58A3_" hidden="1">{#N/A,#N/A,FALSE,"단축1";#N/A,#N/A,FALSE,"단축2";#N/A,#N/A,FALSE,"단축3";#N/A,#N/A,FALSE,"장축";#N/A,#N/A,FALSE,"4WD"}</definedName>
    <definedName name="_58A3__1" hidden="1">{#N/A,#N/A,FALSE,"단축1";#N/A,#N/A,FALSE,"단축2";#N/A,#N/A,FALSE,"단축3";#N/A,#N/A,FALSE,"장축";#N/A,#N/A,FALSE,"4WD"}</definedName>
    <definedName name="_58A7_" hidden="1">{#N/A,#N/A,FALSE,"KMC최종회의(7월) 자료"}</definedName>
    <definedName name="_58A9_" hidden="1">{#N/A,#N/A,FALSE,"KMC최종회의(7월) 자료"}</definedName>
    <definedName name="_58CL22_" hidden="1">{#N/A,#N/A,FALSE,"KMC최종회의(7월) 자료"}</definedName>
    <definedName name="_58CL222_" hidden="1">{#N/A,#N/A,FALSE,"KMC최종회의(7월) 자료"}</definedName>
    <definedName name="_58E1_" hidden="1">{#N/A,#N/A,FALSE,"KMC최종회의(7월) 자료"}</definedName>
    <definedName name="_58ER34_" hidden="1">{#N/A,#N/A,FALSE,"단축1";#N/A,#N/A,FALSE,"단축2";#N/A,#N/A,FALSE,"단축3";#N/A,#N/A,FALSE,"장축";#N/A,#N/A,FALSE,"4WD"}</definedName>
    <definedName name="_58FG1_" hidden="1">{#N/A,#N/A,FALSE,"단축1";#N/A,#N/A,FALSE,"단축2";#N/A,#N/A,FALSE,"단축3";#N/A,#N/A,FALSE,"장축";#N/A,#N/A,FALSE,"4WD"}</definedName>
    <definedName name="_58IO8_" hidden="1">{#N/A,#N/A,FALSE,"단축1";#N/A,#N/A,FALSE,"단축2";#N/A,#N/A,FALSE,"단축3";#N/A,#N/A,FALSE,"장축";#N/A,#N/A,FALSE,"4WD"}</definedName>
    <definedName name="_58k9_" hidden="1">{#N/A,#N/A,FALSE,"단축1";#N/A,#N/A,FALSE,"단축2";#N/A,#N/A,FALSE,"단축3";#N/A,#N/A,FALSE,"장축";#N/A,#N/A,FALSE,"4WD"}</definedName>
    <definedName name="_58k9__1" hidden="1">{#N/A,#N/A,FALSE,"단축1";#N/A,#N/A,FALSE,"단축2";#N/A,#N/A,FALSE,"단축3";#N/A,#N/A,FALSE,"장축";#N/A,#N/A,FALSE,"4WD"}</definedName>
    <definedName name="_58O11_" hidden="1">{#N/A,#N/A,FALSE,"단축1";#N/A,#N/A,FALSE,"단축2";#N/A,#N/A,FALSE,"단축3";#N/A,#N/A,FALSE,"장축";#N/A,#N/A,FALSE,"4WD"}</definedName>
    <definedName name="_58P21_" hidden="1">{#N/A,#N/A,FALSE,"단축1";#N/A,#N/A,FALSE,"단축2";#N/A,#N/A,FALSE,"단축3";#N/A,#N/A,FALSE,"장축";#N/A,#N/A,FALSE,"4WD"}</definedName>
    <definedName name="_58Q3_" hidden="1">{#N/A,#N/A,FALSE,"KMC최종회의(7월) 자료"}</definedName>
    <definedName name="_58Q5_" hidden="1">{#N/A,#N/A,FALSE,"KMC최종회의(7월) 자료"}</definedName>
    <definedName name="_58Q7_" hidden="1">{#N/A,#N/A,FALSE,"KMC최종회의(7월) 자료"}</definedName>
    <definedName name="_58Q8_" hidden="1">{#N/A,#N/A,FALSE,"KMC최종회의(7월) 자료"}</definedName>
    <definedName name="_58Q9_" hidden="1">{#N/A,#N/A,FALSE,"KMC최종회의(7월) 자료"}</definedName>
    <definedName name="_58S2_" hidden="1">{#N/A,#N/A,FALSE,"KMC최종회의(7월) 자료"}</definedName>
    <definedName name="_58S3_" hidden="1">{#N/A,#N/A,FALSE,"KMC최종회의(7월) 자료"}</definedName>
    <definedName name="_58S4_" hidden="1">{#N/A,#N/A,FALSE,"KMC최종회의(7월) 자료"}</definedName>
    <definedName name="_58S5_" hidden="1">{#N/A,#N/A,FALSE,"KMC최종회의(7월) 자료"}</definedName>
    <definedName name="_58S8_" hidden="1">{#N/A,#N/A,FALSE,"KMC최종회의(7월) 자료"}</definedName>
    <definedName name="_58T3_" hidden="1">{#N/A,#N/A,FALSE,"단축1";#N/A,#N/A,FALSE,"단축2";#N/A,#N/A,FALSE,"단축3";#N/A,#N/A,FALSE,"장축";#N/A,#N/A,FALSE,"4WD"}</definedName>
    <definedName name="_58W2_" hidden="1">{#N/A,#N/A,FALSE,"KMC최종회의(7월) 자료"}</definedName>
    <definedName name="_58W3_" hidden="1">{#N/A,#N/A,FALSE,"KMC최종회의(7월) 자료"}</definedName>
    <definedName name="_58W6_" hidden="1">{#N/A,#N/A,FALSE,"KMC최종회의(7월) 자료"}</definedName>
    <definedName name="_58W7_" hidden="1">{#N/A,#N/A,FALSE,"KMC최종회의(7월) 자료"}</definedName>
    <definedName name="_58X1_" hidden="1">{#N/A,#N/A,FALSE,"KMC최종회의(7월) 자료"}</definedName>
    <definedName name="_58X4_" hidden="1">{#N/A,#N/A,FALSE,"KMC최종회의(7월) 자료"}</definedName>
    <definedName name="_58X5_" hidden="1">{#N/A,#N/A,FALSE,"KMC최종회의(7월) 자료"}</definedName>
    <definedName name="_58X7_" hidden="1">{#N/A,#N/A,FALSE,"KMC최종회의(7월) 자료"}</definedName>
    <definedName name="_58Z1_" hidden="1">{#N/A,#N/A,FALSE,"KMC최종회의(7월) 자료"}</definedName>
    <definedName name="_58Z3_" hidden="1">{#N/A,#N/A,FALSE,"KMC최종회의(7월) 자료"}</definedName>
    <definedName name="_58Z4_" hidden="1">{#N/A,#N/A,FALSE,"KMC최종회의(7월) 자료"}</definedName>
    <definedName name="_58Z5_" hidden="1">{#N/A,#N/A,FALSE,"KMC최종회의(7월) 자료"}</definedName>
    <definedName name="_58Z6_" hidden="1">{#N/A,#N/A,FALSE,"KMC최종회의(7월) 자료"}</definedName>
    <definedName name="_58Z7_" hidden="1">{#N/A,#N/A,FALSE,"KMC최종회의(7월) 자료"}</definedName>
    <definedName name="_58Z8_" hidden="1">{#N/A,#N/A,FALSE,"KMC최종회의(7월) 자료"}</definedName>
    <definedName name="_58Z9_" hidden="1">{#N/A,#N/A,FALSE,"KMC최종회의(7월) 자료"}</definedName>
    <definedName name="_59__0_S" hidden="1">#REF!</definedName>
    <definedName name="_592Z5_" hidden="1">{#N/A,#N/A,FALSE,"KMC최종회의(7월) 자료"}</definedName>
    <definedName name="_594EO2_" hidden="1">{#N/A,#N/A,FALSE,"신규dep";#N/A,#N/A,FALSE,"신규dep-금형상각후";#N/A,#N/A,FALSE,"신규dep-연구비상각후";#N/A,#N/A,FALSE,"신규dep-기계,공구상각후"}</definedName>
    <definedName name="_594Z6_" hidden="1">{#N/A,#N/A,FALSE,"KMC최종회의(7월) 자료"}</definedName>
    <definedName name="_595__123Graph_ACHART_3" hidden="1">#REF!</definedName>
    <definedName name="_595w4_" hidden="1">{#N/A,#N/A,FALSE,"단축1";#N/A,#N/A,FALSE,"단축2";#N/A,#N/A,FALSE,"단축3";#N/A,#N/A,FALSE,"장축";#N/A,#N/A,FALSE,"4WD"}</definedName>
    <definedName name="_595w4__1" hidden="1">{#N/A,#N/A,FALSE,"단축1";#N/A,#N/A,FALSE,"단축2";#N/A,#N/A,FALSE,"단축3";#N/A,#N/A,FALSE,"장축";#N/A,#N/A,FALSE,"4WD"}</definedName>
    <definedName name="_597Q8_" hidden="1">{#N/A,#N/A,FALSE,"KMC최종회의(7월) 자료"}</definedName>
    <definedName name="_59A7_" hidden="1">{#N/A,#N/A,FALSE,"KMC최종회의(7월) 자료"}</definedName>
    <definedName name="_59A9_" hidden="1">{#N/A,#N/A,FALSE,"KMC최종회의(7월) 자료"}</definedName>
    <definedName name="_59AS6_" hidden="1">{#N/A,#N/A,FALSE,"Australien";#N/A,#N/A,FALSE,"Birmingham";#N/A,#N/A,FALSE,"Brasilien";#N/A,#N/A,FALSE,"Prag";#N/A,#N/A,FALSE,"Spanien";#N/A,#N/A,FALSE,"Malaysia ( Com)";#N/A,#N/A,FALSE,"Malaysia (Instr)"}</definedName>
    <definedName name="_59CC014_" hidden="1">{#N/A,#N/A,FALSE,"96 3월물량표";#N/A,#N/A,FALSE,"96 4월물량표";#N/A,#N/A,FALSE,"96 5월물량표"}</definedName>
    <definedName name="_59DB777_" hidden="1">{#N/A,#N/A,TRUE,"Y생산";#N/A,#N/A,TRUE,"Y판매";#N/A,#N/A,TRUE,"Y총물량";#N/A,#N/A,TRUE,"Y능력";#N/A,#N/A,TRUE,"YKD"}</definedName>
    <definedName name="_59E1_" hidden="1">{#N/A,#N/A,FALSE,"KMC최종회의(7월) 자료"}</definedName>
    <definedName name="_59FG1_" hidden="1">{#N/A,#N/A,FALSE,"단축1";#N/A,#N/A,FALSE,"단축2";#N/A,#N/A,FALSE,"단축3";#N/A,#N/A,FALSE,"장축";#N/A,#N/A,FALSE,"4WD"}</definedName>
    <definedName name="_59HP2_" hidden="1">{#N/A,#N/A,FALSE,"단축1";#N/A,#N/A,FALSE,"단축2";#N/A,#N/A,FALSE,"단축3";#N/A,#N/A,FALSE,"장축";#N/A,#N/A,FALSE,"4WD"}</definedName>
    <definedName name="_59HP2__1" hidden="1">{#N/A,#N/A,FALSE,"단축1";#N/A,#N/A,FALSE,"단축2";#N/A,#N/A,FALSE,"단축3";#N/A,#N/A,FALSE,"장축";#N/A,#N/A,FALSE,"4WD"}</definedName>
    <definedName name="_59k7_" hidden="1">{#N/A,#N/A,FALSE,"단축1";#N/A,#N/A,FALSE,"단축2";#N/A,#N/A,FALSE,"단축3";#N/A,#N/A,FALSE,"장축";#N/A,#N/A,FALSE,"4WD"}</definedName>
    <definedName name="_59k9_" hidden="1">{#N/A,#N/A,FALSE,"단축1";#N/A,#N/A,FALSE,"단축2";#N/A,#N/A,FALSE,"단축3";#N/A,#N/A,FALSE,"장축";#N/A,#N/A,FALSE,"4WD"}</definedName>
    <definedName name="_59P2_" hidden="1">{#N/A,#N/A,FALSE,"단축1";#N/A,#N/A,FALSE,"단축2";#N/A,#N/A,FALSE,"단축3";#N/A,#N/A,FALSE,"장축";#N/A,#N/A,FALSE,"4WD"}</definedName>
    <definedName name="_59P2__1" hidden="1">{#N/A,#N/A,FALSE,"단축1";#N/A,#N/A,FALSE,"단축2";#N/A,#N/A,FALSE,"단축3";#N/A,#N/A,FALSE,"장축";#N/A,#N/A,FALSE,"4WD"}</definedName>
    <definedName name="_59Q1_" hidden="1">{#N/A,#N/A,FALSE,"KMC최종회의(7월) 자료"}</definedName>
    <definedName name="_59Q2_" hidden="1">{#N/A,#N/A,FALSE,"KMC최종회의(7월) 자료"}</definedName>
    <definedName name="_59Q7_" hidden="1">{#N/A,#N/A,FALSE,"KMC최종회의(7월) 자료"}</definedName>
    <definedName name="_59Q9_" hidden="1">{#N/A,#N/A,FALSE,"KMC최종회의(7월) 자료"}</definedName>
    <definedName name="_59S1_" hidden="1">{#N/A,#N/A,FALSE,"KMC최종회의(7월) 자료"}</definedName>
    <definedName name="_59S2_" hidden="1">{#N/A,#N/A,FALSE,"KMC최종회의(7월) 자료"}</definedName>
    <definedName name="_59S4_" hidden="1">{#N/A,#N/A,FALSE,"KMC최종회의(7월) 자료"}</definedName>
    <definedName name="_59S6_" hidden="1">{#N/A,#N/A,FALSE,"KMC최종회의(7월) 자료"}</definedName>
    <definedName name="_59W1_" hidden="1">{#N/A,#N/A,FALSE,"KMC최종회의(7월) 자료"}</definedName>
    <definedName name="_59W1__1" hidden="1">{#N/A,#N/A,FALSE,"KMC최종회의(7월) 자료"}</definedName>
    <definedName name="_59W2_" hidden="1">{#N/A,#N/A,FALSE,"KMC최종회의(7월) 자료"}</definedName>
    <definedName name="_59W3_" hidden="1">{#N/A,#N/A,FALSE,"KMC최종회의(7월) 자료"}</definedName>
    <definedName name="_59W4_" hidden="1">{#N/A,#N/A,FALSE,"KMC최종회의(7월) 자료"}</definedName>
    <definedName name="_59W8_" hidden="1">{#N/A,#N/A,FALSE,"KMC최종회의(7월) 자료"}</definedName>
    <definedName name="_59X2_" hidden="1">{#N/A,#N/A,FALSE,"KMC최종회의(7월) 자료"}</definedName>
    <definedName name="_59X5_" hidden="1">{#N/A,#N/A,FALSE,"KMC최종회의(7월) 자료"}</definedName>
    <definedName name="_59X6_" hidden="1">{#N/A,#N/A,FALSE,"KMC최종회의(7월) 자료"}</definedName>
    <definedName name="_59X8_" hidden="1">{#N/A,#N/A,FALSE,"KMC최종회의(7월) 자료"}</definedName>
    <definedName name="_59Z2_" hidden="1">{#N/A,#N/A,FALSE,"KMC최종회의(7월) 자료"}</definedName>
    <definedName name="_59Z4_" hidden="1">{#N/A,#N/A,FALSE,"KMC최종회의(7월) 자료"}</definedName>
    <definedName name="_59Z5_" hidden="1">{#N/A,#N/A,FALSE,"KMC최종회의(7월) 자료"}</definedName>
    <definedName name="_59Z6_" hidden="1">{#N/A,#N/A,FALSE,"KMC최종회의(7월) 자료"}</definedName>
    <definedName name="_59Z7_" hidden="1">{#N/A,#N/A,FALSE,"KMC최종회의(7월) 자료"}</definedName>
    <definedName name="_59Z8_" hidden="1">{#N/A,#N/A,FALSE,"KMC최종회의(7월) 자료"}</definedName>
    <definedName name="_59Z9_" hidden="1">{#N/A,#N/A,FALSE,"KMC최종회의(7월) 자료"}</definedName>
    <definedName name="_5A02_" hidden="1">{#N/A,#N/A,FALSE,"단축1";#N/A,#N/A,FALSE,"단축2";#N/A,#N/A,FALSE,"단축3";#N/A,#N/A,FALSE,"장축";#N/A,#N/A,FALSE,"4WD"}</definedName>
    <definedName name="_5A0323_" hidden="1">{#N/A,#N/A,FALSE,"단축1";#N/A,#N/A,FALSE,"단축2";#N/A,#N/A,FALSE,"단축3";#N/A,#N/A,FALSE,"장축";#N/A,#N/A,FALSE,"4WD"}</definedName>
    <definedName name="_5A1_" hidden="1">{#N/A,#N/A,FALSE,"KMC최종회의(7월) 자료"}</definedName>
    <definedName name="_5A1245_" hidden="1">{#N/A,#N/A,FALSE,"단축1";#N/A,#N/A,FALSE,"단축2";#N/A,#N/A,FALSE,"단축3";#N/A,#N/A,FALSE,"장축";#N/A,#N/A,FALSE,"4WD"}</definedName>
    <definedName name="_5A12458_" hidden="1">{#N/A,#N/A,FALSE,"단축1";#N/A,#N/A,FALSE,"단축2";#N/A,#N/A,FALSE,"단축3";#N/A,#N/A,FALSE,"장축";#N/A,#N/A,FALSE,"4WD"}</definedName>
    <definedName name="_5A2_" hidden="1">{#N/A,#N/A,FALSE,"KMC최종회의(7월) 자료"}</definedName>
    <definedName name="_5A2040_" hidden="1">{#N/A,#N/A,FALSE,"단축1";#N/A,#N/A,FALSE,"단축2";#N/A,#N/A,FALSE,"단축3";#N/A,#N/A,FALSE,"장축";#N/A,#N/A,FALSE,"4WD"}</definedName>
    <definedName name="_5A3_" hidden="1">{#N/A,#N/A,FALSE,"KMC최종회의(7월) 자료"}</definedName>
    <definedName name="_5A4_" hidden="1">{#N/A,#N/A,FALSE,"KMC최종회의(7월) 자료"}</definedName>
    <definedName name="_5A4444_" hidden="1">{#N/A,#N/A,FALSE,"KMC최종회의(7월) 자료"}</definedName>
    <definedName name="_5A4444__1" hidden="1">{#N/A,#N/A,FALSE,"KMC최종회의(7월) 자료"}</definedName>
    <definedName name="_5A5_" hidden="1">{#N/A,#N/A,FALSE,"KMC최종회의(7월) 자료"}</definedName>
    <definedName name="_5A5__1" hidden="1">{#N/A,#N/A,FALSE,"KMC최종회의(7월) 자료"}</definedName>
    <definedName name="_5A6_" hidden="1">{#N/A,#N/A,FALSE,"KMC최종회의(7월) 자료"}</definedName>
    <definedName name="_5A6__1" hidden="1">{#N/A,#N/A,FALSE,"KMC최종회의(7월) 자료"}</definedName>
    <definedName name="_5A6666_" hidden="1">{#N/A,#N/A,FALSE,"KMC최종회의(7월) 자료"}</definedName>
    <definedName name="_5A8_" hidden="1">{#N/A,#N/A,FALSE,"KMC최종회의(7월) 자료"}</definedName>
    <definedName name="_5A9_" hidden="1">{#N/A,#N/A,FALSE,"KMC최종회의(7월) 자료"}</definedName>
    <definedName name="_5D6_" hidden="1">{"'표지'!$B$5"}</definedName>
    <definedName name="_5DB777_" hidden="1">{#N/A,#N/A,TRUE,"Y생산";#N/A,#N/A,TRUE,"Y판매";#N/A,#N/A,TRUE,"Y총물량";#N/A,#N/A,TRUE,"Y능력";#N/A,#N/A,TRUE,"YKD"}</definedName>
    <definedName name="_5EO2_" hidden="1">{#N/A,#N/A,FALSE,"신규dep";#N/A,#N/A,FALSE,"신규dep-금형상각후";#N/A,#N/A,FALSE,"신규dep-연구비상각후";#N/A,#N/A,FALSE,"신규dep-기계,공구상각후"}</definedName>
    <definedName name="_5HL1_" hidden="1">{#N/A,#N/A,FALSE,"단축1";#N/A,#N/A,FALSE,"단축2";#N/A,#N/A,FALSE,"단축3";#N/A,#N/A,FALSE,"장축";#N/A,#N/A,FALSE,"4WD"}</definedName>
    <definedName name="_5HL2_" hidden="1">{#N/A,#N/A,FALSE,"단축1";#N/A,#N/A,FALSE,"단축2";#N/A,#N/A,FALSE,"단축3";#N/A,#N/A,FALSE,"장축";#N/A,#N/A,FALSE,"4WD"}</definedName>
    <definedName name="_5T3_" hidden="1">{#N/A,#N/A,FALSE,"단축1";#N/A,#N/A,FALSE,"단축2";#N/A,#N/A,FALSE,"단축3";#N/A,#N/A,FALSE,"장축";#N/A,#N/A,FALSE,"4WD"}</definedName>
    <definedName name="_6__________________________0_S" hidden="1">#REF!</definedName>
    <definedName name="_6_______0_S" hidden="1">#REF!</definedName>
    <definedName name="_6__123Graph_ABORE_EXH.VALVE" hidden="1">#REF!</definedName>
    <definedName name="_6__123Graph_ABORE_圧縮比" hidden="1">#REF!</definedName>
    <definedName name="_6__123Graph_AC04C_ALL_L2" hidden="1">#REF!</definedName>
    <definedName name="_6__123Graph_BCHART_3" hidden="1">#REF!</definedName>
    <definedName name="_6___0_S" hidden="1">#REF!</definedName>
    <definedName name="_6____S" hidden="1">#REF!</definedName>
    <definedName name="_6__0_S" hidden="1">#REF!</definedName>
    <definedName name="_60__123Graph_LBL_AC04C_FR_L1" hidden="1">#REF!</definedName>
    <definedName name="_60___0_S" hidden="1">#REF!</definedName>
    <definedName name="_60____S" hidden="1">#REF!</definedName>
    <definedName name="_60__0_S" hidden="1">#REF!</definedName>
    <definedName name="_600Z7_" hidden="1">{#N/A,#N/A,FALSE,"KMC최종회의(7월) 자료"}</definedName>
    <definedName name="_601EO2_" hidden="1">{#N/A,#N/A,FALSE,"신규dep";#N/A,#N/A,FALSE,"신규dep-금형상각후";#N/A,#N/A,FALSE,"신규dep-연구비상각후";#N/A,#N/A,FALSE,"신규dep-기계,공구상각후"}</definedName>
    <definedName name="_603Z7_" hidden="1">{#N/A,#N/A,FALSE,"KMC최종회의(7월) 자료"}</definedName>
    <definedName name="_604__123Graph_BCHART_3" hidden="1">#REF!</definedName>
    <definedName name="_608Z6_" hidden="1">{#N/A,#N/A,FALSE,"KMC최종회의(7월) 자료"}</definedName>
    <definedName name="_609D11_" hidden="1">{#N/A,#N/A,TRUE,"Y생산";#N/A,#N/A,TRUE,"Y판매";#N/A,#N/A,TRUE,"Y총물량";#N/A,#N/A,TRUE,"Y능력";#N/A,#N/A,TRUE,"YKD"}</definedName>
    <definedName name="_60A1_" hidden="1">{#N/A,#N/A,FALSE,"KMC최종회의(7월) 자료"}</definedName>
    <definedName name="_60A12458_" hidden="1">{#N/A,#N/A,FALSE,"단축1";#N/A,#N/A,FALSE,"단축2";#N/A,#N/A,FALSE,"단축3";#N/A,#N/A,FALSE,"장축";#N/A,#N/A,FALSE,"4WD"}</definedName>
    <definedName name="_60A12458__1" hidden="1">{#N/A,#N/A,FALSE,"단축1";#N/A,#N/A,FALSE,"단축2";#N/A,#N/A,FALSE,"단축3";#N/A,#N/A,FALSE,"장축";#N/A,#N/A,FALSE,"4WD"}</definedName>
    <definedName name="_60A2_" hidden="1">{#N/A,#N/A,FALSE,"KMC최종회의(7월) 자료"}</definedName>
    <definedName name="_60A4_" hidden="1">{#N/A,#N/A,FALSE,"KMC최종회의(7월) 자료"}</definedName>
    <definedName name="_60A5_" hidden="1">{#N/A,#N/A,FALSE,"KMC최종회의(7월) 자료"}</definedName>
    <definedName name="_60A8_" hidden="1">{#N/A,#N/A,FALSE,"KMC최종회의(7월) 자료"}</definedName>
    <definedName name="_60AA4_" hidden="1">{#N/A,#N/A,FALSE,"신규dep";#N/A,#N/A,FALSE,"신규dep-금형상각후";#N/A,#N/A,FALSE,"신규dep-연구비상각후";#N/A,#N/A,FALSE,"신규dep-기계,공구상각후"}</definedName>
    <definedName name="_60CL222_" hidden="1">{#N/A,#N/A,FALSE,"KMC최종회의(7월) 자료"}</definedName>
    <definedName name="_60CL33_" hidden="1">{#N/A,#N/A,FALSE,"KMC최종회의(7월) 자료"}</definedName>
    <definedName name="_60DB777_" hidden="1">{#N/A,#N/A,TRUE,"Y생산";#N/A,#N/A,TRUE,"Y판매";#N/A,#N/A,TRUE,"Y총물량";#N/A,#N/A,TRUE,"Y능력";#N/A,#N/A,TRUE,"YKD"}</definedName>
    <definedName name="_60E1_" hidden="1">{#N/A,#N/A,FALSE,"KMC최종회의(7월) 자료"}</definedName>
    <definedName name="_60e1__1" hidden="1">{#N/A,#N/A,FALSE,"단축1";#N/A,#N/A,FALSE,"단축2";#N/A,#N/A,FALSE,"단축3";#N/A,#N/A,FALSE,"장축";#N/A,#N/A,FALSE,"4WD"}</definedName>
    <definedName name="_60e8_" hidden="1">{#N/A,#N/A,FALSE,"신규dep";#N/A,#N/A,FALSE,"신규dep-금형상각후";#N/A,#N/A,FALSE,"신규dep-연구비상각후";#N/A,#N/A,FALSE,"신규dep-기계,공구상각후"}</definedName>
    <definedName name="_60EO2_" hidden="1">{#N/A,#N/A,FALSE,"신규dep";#N/A,#N/A,FALSE,"신규dep-금형상각후";#N/A,#N/A,FALSE,"신규dep-연구비상각후";#N/A,#N/A,FALSE,"신규dep-기계,공구상각후"}</definedName>
    <definedName name="_60h4_" hidden="1">{"'표지'!$B$5"}</definedName>
    <definedName name="_60HL1_" hidden="1">{#N/A,#N/A,FALSE,"단축1";#N/A,#N/A,FALSE,"단축2";#N/A,#N/A,FALSE,"단축3";#N/A,#N/A,FALSE,"장축";#N/A,#N/A,FALSE,"4WD"}</definedName>
    <definedName name="_60P2_" hidden="1">{#N/A,#N/A,FALSE,"단축1";#N/A,#N/A,FALSE,"단축2";#N/A,#N/A,FALSE,"단축3";#N/A,#N/A,FALSE,"장축";#N/A,#N/A,FALSE,"4WD"}</definedName>
    <definedName name="_60Q1_" hidden="1">{#N/A,#N/A,FALSE,"KMC최종회의(7월) 자료"}</definedName>
    <definedName name="_60Q5_" hidden="1">{#N/A,#N/A,FALSE,"KMC최종회의(7월) 자료"}</definedName>
    <definedName name="_60Q7_" hidden="1">{#N/A,#N/A,FALSE,"KMC최종회의(7월) 자료"}</definedName>
    <definedName name="_60Q7__1" hidden="1">{#N/A,#N/A,FALSE,"KMC최종회의(7월) 자료"}</definedName>
    <definedName name="_60Q8_" hidden="1">{#N/A,#N/A,FALSE,"KMC최종회의(7월) 자료"}</definedName>
    <definedName name="_60Q9_" hidden="1">{#N/A,#N/A,FALSE,"KMC최종회의(7월) 자료"}</definedName>
    <definedName name="_60S1_" hidden="1">{#N/A,#N/A,FALSE,"KMC최종회의(7월) 자료"}</definedName>
    <definedName name="_60S2_" hidden="1">{#N/A,#N/A,FALSE,"KMC최종회의(7월) 자료"}</definedName>
    <definedName name="_60S3_" hidden="1">{#N/A,#N/A,FALSE,"KMC최종회의(7월) 자료"}</definedName>
    <definedName name="_60S4_" hidden="1">{#N/A,#N/A,FALSE,"KMC최종회의(7월) 자료"}</definedName>
    <definedName name="_60S5_" hidden="1">{#N/A,#N/A,FALSE,"KMC최종회의(7월) 자료"}</definedName>
    <definedName name="_60S6_" hidden="1">{#N/A,#N/A,FALSE,"KMC최종회의(7월) 자료"}</definedName>
    <definedName name="_60S7_" hidden="1">{#N/A,#N/A,FALSE,"KMC최종회의(7월) 자료"}</definedName>
    <definedName name="_60T2_" hidden="1">{#N/A,#N/A,FALSE,"단축1";#N/A,#N/A,FALSE,"단축2";#N/A,#N/A,FALSE,"단축3";#N/A,#N/A,FALSE,"장축";#N/A,#N/A,FALSE,"4WD"}</definedName>
    <definedName name="_60W1_" hidden="1">{#N/A,#N/A,FALSE,"KMC최종회의(7월) 자료"}</definedName>
    <definedName name="_60W3_" hidden="1">{#N/A,#N/A,FALSE,"KMC최종회의(7월) 자료"}</definedName>
    <definedName name="_60W4_" hidden="1">{#N/A,#N/A,FALSE,"KMC최종회의(7월) 자료"}</definedName>
    <definedName name="_60W7_" hidden="1">{#N/A,#N/A,FALSE,"KMC최종회의(7월) 자료"}</definedName>
    <definedName name="_60W9_" hidden="1">{#N/A,#N/A,FALSE,"KMC최종회의(7월) 자료"}</definedName>
    <definedName name="_60X3_" hidden="1">{#N/A,#N/A,FALSE,"KMC최종회의(7월) 자료"}</definedName>
    <definedName name="_60X6_" hidden="1">{#N/A,#N/A,FALSE,"KMC최종회의(7월) 자료"}</definedName>
    <definedName name="_60X7_" hidden="1">{#N/A,#N/A,FALSE,"KMC최종회의(7월) 자료"}</definedName>
    <definedName name="_60Z1_" hidden="1">{#N/A,#N/A,FALSE,"KMC최종회의(7월) 자료"}</definedName>
    <definedName name="_60Z3_" hidden="1">{#N/A,#N/A,FALSE,"KMC최종회의(7월) 자료"}</definedName>
    <definedName name="_60Z5_" hidden="1">{#N/A,#N/A,FALSE,"KMC최종회의(7월) 자료"}</definedName>
    <definedName name="_60Z6_" hidden="1">{#N/A,#N/A,FALSE,"KMC최종회의(7월) 자료"}</definedName>
    <definedName name="_60Z7_" hidden="1">{#N/A,#N/A,FALSE,"KMC최종회의(7월) 자료"}</definedName>
    <definedName name="_60Z8_" hidden="1">{#N/A,#N/A,FALSE,"KMC최종회의(7월) 자료"}</definedName>
    <definedName name="_60Z9_" hidden="1">{#N/A,#N/A,FALSE,"KMC최종회의(7월) 자료"}</definedName>
    <definedName name="_61__123Graph_LBL_AC04C_FR_L1" hidden="1">#REF!</definedName>
    <definedName name="_61__0_S" hidden="1">#REF!</definedName>
    <definedName name="_610D123_" hidden="1">{#N/A,#N/A,TRUE,"Y생산";#N/A,#N/A,TRUE,"Y판매";#N/A,#N/A,TRUE,"Y총물량";#N/A,#N/A,TRUE,"Y능력";#N/A,#N/A,TRUE,"YKD"}</definedName>
    <definedName name="_610w5_" hidden="1">{#N/A,#N/A,FALSE,"신규dep";#N/A,#N/A,FALSE,"신규dep-금형상각후";#N/A,#N/A,FALSE,"신규dep-연구비상각후";#N/A,#N/A,FALSE,"신규dep-기계,공구상각후"}</definedName>
    <definedName name="_610w5__1" hidden="1">{#N/A,#N/A,FALSE,"신규dep";#N/A,#N/A,FALSE,"신규dep-금형상각후";#N/A,#N/A,FALSE,"신규dep-연구비상각후";#N/A,#N/A,FALSE,"신규dep-기계,공구상각후"}</definedName>
    <definedName name="_612EO2_" hidden="1">{#N/A,#N/A,FALSE,"신규dep";#N/A,#N/A,FALSE,"신규dep-금형상각후";#N/A,#N/A,FALSE,"신규dep-연구비상각후";#N/A,#N/A,FALSE,"신규dep-기계,공구상각후"}</definedName>
    <definedName name="_612Z8_" hidden="1">{#N/A,#N/A,FALSE,"KMC최종회의(7월) 자료"}</definedName>
    <definedName name="_613__123Graph_CCHART_3" hidden="1">#REF!</definedName>
    <definedName name="_613k1_" hidden="1">#REF!</definedName>
    <definedName name="_613Q9_" hidden="1">{#N/A,#N/A,FALSE,"KMC최종회의(7월) 자료"}</definedName>
    <definedName name="_614K7_" hidden="1">{#N/A,#N/A,TRUE,"Y생산";#N/A,#N/A,TRUE,"Y판매";#N/A,#N/A,TRUE,"Y총물량";#N/A,#N/A,TRUE,"Y능력";#N/A,#N/A,TRUE,"YKD"}</definedName>
    <definedName name="_615M123_" hidden="1">{#N/A,#N/A,FALSE,"단축1";#N/A,#N/A,FALSE,"단축2";#N/A,#N/A,FALSE,"단축3";#N/A,#N/A,FALSE,"장축";#N/A,#N/A,FALSE,"4WD"}</definedName>
    <definedName name="_616O11_" hidden="1">{#N/A,#N/A,FALSE,"단축1";#N/A,#N/A,FALSE,"단축2";#N/A,#N/A,FALSE,"단축3";#N/A,#N/A,FALSE,"장축";#N/A,#N/A,FALSE,"4WD"}</definedName>
    <definedName name="_617DB777_" hidden="1">{#N/A,#N/A,TRUE,"Y생산";#N/A,#N/A,TRUE,"Y판매";#N/A,#N/A,TRUE,"Y총물량";#N/A,#N/A,TRUE,"Y능력";#N/A,#N/A,TRUE,"YKD"}</definedName>
    <definedName name="_61A8_" hidden="1">{#N/A,#N/A,FALSE,"KMC최종회의(7월) 자료"}</definedName>
    <definedName name="_61CL22_" hidden="1">{#N/A,#N/A,FALSE,"KMC최종회의(7월) 자료"}</definedName>
    <definedName name="_61CL222_" hidden="1">{#N/A,#N/A,FALSE,"KMC최종회의(7월) 자료"}</definedName>
    <definedName name="_61E2_" hidden="1">{#N/A,#N/A,FALSE,"KMC최종회의(7월) 자료"}</definedName>
    <definedName name="_61e4_" hidden="1">{#N/A,#N/A,FALSE,"단축1";#N/A,#N/A,FALSE,"단축2";#N/A,#N/A,FALSE,"단축3";#N/A,#N/A,FALSE,"장축";#N/A,#N/A,FALSE,"4WD"}</definedName>
    <definedName name="_61FA2_" hidden="1">{#N/A,#N/A,FALSE,"단축1";#N/A,#N/A,FALSE,"단축2";#N/A,#N/A,FALSE,"단축3";#N/A,#N/A,FALSE,"장축";#N/A,#N/A,FALSE,"4WD"}</definedName>
    <definedName name="_61k7_" hidden="1">{#N/A,#N/A,FALSE,"단축1";#N/A,#N/A,FALSE,"단축2";#N/A,#N/A,FALSE,"단축3";#N/A,#N/A,FALSE,"장축";#N/A,#N/A,FALSE,"4WD"}</definedName>
    <definedName name="_61k7__1" hidden="1">{#N/A,#N/A,FALSE,"단축1";#N/A,#N/A,FALSE,"단축2";#N/A,#N/A,FALSE,"단축3";#N/A,#N/A,FALSE,"장축";#N/A,#N/A,FALSE,"4WD"}</definedName>
    <definedName name="_61k8_" hidden="1">{#N/A,#N/A,FALSE,"단축1";#N/A,#N/A,FALSE,"단축2";#N/A,#N/A,FALSE,"단축3";#N/A,#N/A,FALSE,"장축";#N/A,#N/A,FALSE,"4WD"}</definedName>
    <definedName name="_61k9_" hidden="1">{#N/A,#N/A,FALSE,"단축1";#N/A,#N/A,FALSE,"단축2";#N/A,#N/A,FALSE,"단축3";#N/A,#N/A,FALSE,"장축";#N/A,#N/A,FALSE,"4WD"}</definedName>
    <definedName name="_61M123_" hidden="1">{#N/A,#N/A,FALSE,"단축1";#N/A,#N/A,FALSE,"단축2";#N/A,#N/A,FALSE,"단축3";#N/A,#N/A,FALSE,"장축";#N/A,#N/A,FALSE,"4WD"}</definedName>
    <definedName name="_61q1_" hidden="1">{#N/A,#N/A,FALSE,"단축1";#N/A,#N/A,FALSE,"단축2";#N/A,#N/A,FALSE,"단축3";#N/A,#N/A,FALSE,"장축";#N/A,#N/A,FALSE,"4WD"}</definedName>
    <definedName name="_61q1__1" hidden="1">{#N/A,#N/A,FALSE,"단축1";#N/A,#N/A,FALSE,"단축2";#N/A,#N/A,FALSE,"단축3";#N/A,#N/A,FALSE,"장축";#N/A,#N/A,FALSE,"4WD"}</definedName>
    <definedName name="_61Q2_" hidden="1">{#N/A,#N/A,FALSE,"KMC최종회의(7월) 자료"}</definedName>
    <definedName name="_61Q3_" hidden="1">{#N/A,#N/A,FALSE,"KMC최종회의(7월) 자료"}</definedName>
    <definedName name="_61Q8_" hidden="1">{#N/A,#N/A,FALSE,"KMC최종회의(7월) 자료"}</definedName>
    <definedName name="_61Q9_" hidden="1">{#N/A,#N/A,FALSE,"KMC최종회의(7월) 자료"}</definedName>
    <definedName name="_61S2_" hidden="1">{#N/A,#N/A,FALSE,"KMC최종회의(7월) 자료"}</definedName>
    <definedName name="_61S3_" hidden="1">{#N/A,#N/A,FALSE,"KMC최종회의(7월) 자료"}</definedName>
    <definedName name="_61S5_" hidden="1">{#N/A,#N/A,FALSE,"KMC최종회의(7월) 자료"}</definedName>
    <definedName name="_61S7_" hidden="1">{#N/A,#N/A,FALSE,"KMC최종회의(7월) 자료"}</definedName>
    <definedName name="_61S8_" hidden="1">{#N/A,#N/A,FALSE,"KMC최종회의(7월) 자료"}</definedName>
    <definedName name="_61T3_" hidden="1">{#N/A,#N/A,FALSE,"단축1";#N/A,#N/A,FALSE,"단축2";#N/A,#N/A,FALSE,"단축3";#N/A,#N/A,FALSE,"장축";#N/A,#N/A,FALSE,"4WD"}</definedName>
    <definedName name="_61W1_" hidden="1">{#N/A,#N/A,FALSE,"KMC최종회의(7월) 자료"}</definedName>
    <definedName name="_61W2_" hidden="1">{#N/A,#N/A,FALSE,"KMC최종회의(7월) 자료"}</definedName>
    <definedName name="_61W2__1" hidden="1">{#N/A,#N/A,FALSE,"KMC최종회의(7월) 자료"}</definedName>
    <definedName name="_61W3_" hidden="1">{#N/A,#N/A,FALSE,"KMC최종회의(7월) 자료"}</definedName>
    <definedName name="_61W4_" hidden="1">{#N/A,#N/A,FALSE,"KMC최종회의(7월) 자료"}</definedName>
    <definedName name="_61W5_" hidden="1">{#N/A,#N/A,FALSE,"KMC최종회의(7월) 자료"}</definedName>
    <definedName name="_61X1_" hidden="1">{#N/A,#N/A,FALSE,"KMC최종회의(7월) 자료"}</definedName>
    <definedName name="_61X4_" hidden="1">{#N/A,#N/A,FALSE,"KMC최종회의(7월) 자료"}</definedName>
    <definedName name="_61X7_" hidden="1">{#N/A,#N/A,FALSE,"KMC최종회의(7월) 자료"}</definedName>
    <definedName name="_61X8_" hidden="1">{#N/A,#N/A,FALSE,"KMC최종회의(7월) 자료"}</definedName>
    <definedName name="_61Z2_" hidden="1">{#N/A,#N/A,FALSE,"KMC최종회의(7월) 자료"}</definedName>
    <definedName name="_61Z4_" hidden="1">{#N/A,#N/A,FALSE,"KMC최종회의(7월) 자료"}</definedName>
    <definedName name="_61Z6_" hidden="1">{#N/A,#N/A,FALSE,"KMC최종회의(7월) 자료"}</definedName>
    <definedName name="_61Z7_" hidden="1">{#N/A,#N/A,FALSE,"KMC최종회의(7월) 자료"}</definedName>
    <definedName name="_61Z8_" hidden="1">{#N/A,#N/A,FALSE,"KMC최종회의(7월) 자료"}</definedName>
    <definedName name="_61Z9_" hidden="1">{#N/A,#N/A,FALSE,"KMC최종회의(7월) 자료"}</definedName>
    <definedName name="_620FG1_" hidden="1">{#N/A,#N/A,FALSE,"단축1";#N/A,#N/A,FALSE,"단축2";#N/A,#N/A,FALSE,"단축3";#N/A,#N/A,FALSE,"장축";#N/A,#N/A,FALSE,"4WD"}</definedName>
    <definedName name="_621HP02_" hidden="1">{#N/A,#N/A,FALSE,"단축1";#N/A,#N/A,FALSE,"단축2";#N/A,#N/A,FALSE,"단축3";#N/A,#N/A,FALSE,"장축";#N/A,#N/A,FALSE,"4WD"}</definedName>
    <definedName name="_621Z9_" hidden="1">{#N/A,#N/A,FALSE,"KMC최종회의(7월) 자료"}</definedName>
    <definedName name="_622HP2_" hidden="1">{#N/A,#N/A,FALSE,"단축1";#N/A,#N/A,FALSE,"단축2";#N/A,#N/A,FALSE,"단축3";#N/A,#N/A,FALSE,"장축";#N/A,#N/A,FALSE,"4WD"}</definedName>
    <definedName name="_623Q1_" hidden="1">{#N/A,#N/A,FALSE,"KMC최종회의(7월) 자료"}</definedName>
    <definedName name="_624__0_S" hidden="1">#REF!</definedName>
    <definedName name="_624Q2_" hidden="1">{#N/A,#N/A,FALSE,"KMC최종회의(7월) 자료"}</definedName>
    <definedName name="_624Z7_" hidden="1">{#N/A,#N/A,FALSE,"KMC최종회의(7월) 자료"}</definedName>
    <definedName name="_624Z9_" hidden="1">{#N/A,#N/A,FALSE,"KMC최종회의(7월) 자료"}</definedName>
    <definedName name="_625Q3_" hidden="1">{#N/A,#N/A,FALSE,"KMC최종회의(7월) 자료"}</definedName>
    <definedName name="_625x1_" hidden="1">{#N/A,#N/A,FALSE,"단축1";#N/A,#N/A,FALSE,"단축2";#N/A,#N/A,FALSE,"단축3";#N/A,#N/A,FALSE,"장축";#N/A,#N/A,FALSE,"4WD"}</definedName>
    <definedName name="_625x1__1" hidden="1">{#N/A,#N/A,FALSE,"단축1";#N/A,#N/A,FALSE,"단축2";#N/A,#N/A,FALSE,"단축3";#N/A,#N/A,FALSE,"장축";#N/A,#N/A,FALSE,"4WD"}</definedName>
    <definedName name="_626Q5_" hidden="1">{#N/A,#N/A,FALSE,"KMC최종회의(7월) 자료"}</definedName>
    <definedName name="_627Q7_" hidden="1">{#N/A,#N/A,FALSE,"KMC최종회의(7월) 자료"}</definedName>
    <definedName name="_628Q8_" hidden="1">{#N/A,#N/A,FALSE,"KMC최종회의(7월) 자료"}</definedName>
    <definedName name="_629Q9_" hidden="1">{#N/A,#N/A,FALSE,"KMC최종회의(7월) 자료"}</definedName>
    <definedName name="_629S1_" hidden="1">{#N/A,#N/A,FALSE,"KMC최종회의(7월) 자료"}</definedName>
    <definedName name="_62A21321_" hidden="1">{#N/A,#N/A,FALSE,"단축1";#N/A,#N/A,FALSE,"단축2";#N/A,#N/A,FALSE,"단축3";#N/A,#N/A,FALSE,"장축";#N/A,#N/A,FALSE,"4WD"}</definedName>
    <definedName name="_62A8_" hidden="1">{#N/A,#N/A,FALSE,"KMC최종회의(7월) 자료"}</definedName>
    <definedName name="_62E2_" hidden="1">{#N/A,#N/A,FALSE,"KMC최종회의(7월) 자료"}</definedName>
    <definedName name="_62HL2_" hidden="1">{#N/A,#N/A,FALSE,"단축1";#N/A,#N/A,FALSE,"단축2";#N/A,#N/A,FALSE,"단축3";#N/A,#N/A,FALSE,"장축";#N/A,#N/A,FALSE,"4WD"}</definedName>
    <definedName name="_62q1_" hidden="1">{#N/A,#N/A,FALSE,"단축1";#N/A,#N/A,FALSE,"단축2";#N/A,#N/A,FALSE,"단축3";#N/A,#N/A,FALSE,"장축";#N/A,#N/A,FALSE,"4WD"}</definedName>
    <definedName name="_62Q2_" hidden="1">{#N/A,#N/A,FALSE,"KMC최종회의(7월) 자료"}</definedName>
    <definedName name="_62Q2__1" hidden="1">{#N/A,#N/A,FALSE,"KMC최종회의(7월) 자료"}</definedName>
    <definedName name="_62Q7_" hidden="1">{#N/A,#N/A,FALSE,"KMC최종회의(7월) 자료"}</definedName>
    <definedName name="_62S1_" hidden="1">{#N/A,#N/A,FALSE,"KMC최종회의(7월) 자료"}</definedName>
    <definedName name="_62S3_" hidden="1">{#N/A,#N/A,FALSE,"KMC최종회의(7월) 자료"}</definedName>
    <definedName name="_62S4_" hidden="1">{#N/A,#N/A,FALSE,"KMC최종회의(7월) 자료"}</definedName>
    <definedName name="_62S5_" hidden="1">{#N/A,#N/A,FALSE,"KMC최종회의(7월) 자료"}</definedName>
    <definedName name="_62S6_" hidden="1">{#N/A,#N/A,FALSE,"KMC최종회의(7월) 자료"}</definedName>
    <definedName name="_62S7_" hidden="1">{#N/A,#N/A,FALSE,"KMC최종회의(7월) 자료"}</definedName>
    <definedName name="_62T2_" hidden="1">{#N/A,#N/A,FALSE,"단축1";#N/A,#N/A,FALSE,"단축2";#N/A,#N/A,FALSE,"단축3";#N/A,#N/A,FALSE,"장축";#N/A,#N/A,FALSE,"4WD"}</definedName>
    <definedName name="_62U1_" hidden="1">{#N/A,#N/A,FALSE,"단축1";#N/A,#N/A,FALSE,"단축2";#N/A,#N/A,FALSE,"단축3";#N/A,#N/A,FALSE,"장축";#N/A,#N/A,FALSE,"4WD"}</definedName>
    <definedName name="_62W2_" hidden="1">{#N/A,#N/A,FALSE,"KMC최종회의(7월) 자료"}</definedName>
    <definedName name="_62W4_" hidden="1">{#N/A,#N/A,FALSE,"KMC최종회의(7월) 자료"}</definedName>
    <definedName name="_62W5_" hidden="1">{#N/A,#N/A,FALSE,"KMC최종회의(7월) 자료"}</definedName>
    <definedName name="_62W6_" hidden="1">{#N/A,#N/A,FALSE,"KMC최종회의(7월) 자료"}</definedName>
    <definedName name="_62W8_" hidden="1">{#N/A,#N/A,FALSE,"KMC최종회의(7월) 자료"}</definedName>
    <definedName name="_62X2_" hidden="1">{#N/A,#N/A,FALSE,"KMC최종회의(7월) 자료"}</definedName>
    <definedName name="_62X5_" hidden="1">{#N/A,#N/A,FALSE,"KMC최종회의(7월) 자료"}</definedName>
    <definedName name="_62X7_" hidden="1">{#N/A,#N/A,FALSE,"KMC최종회의(7월) 자료"}</definedName>
    <definedName name="_62X8_" hidden="1">{#N/A,#N/A,FALSE,"KMC최종회의(7월) 자료"}</definedName>
    <definedName name="_62Z1_" hidden="1">{#N/A,#N/A,FALSE,"KMC최종회의(7월) 자료"}</definedName>
    <definedName name="_62Z3_" hidden="1">{#N/A,#N/A,FALSE,"KMC최종회의(7월) 자료"}</definedName>
    <definedName name="_62Z5_" hidden="1">{#N/A,#N/A,FALSE,"KMC최종회의(7월) 자료"}</definedName>
    <definedName name="_62Z7_" hidden="1">{#N/A,#N/A,FALSE,"KMC최종회의(7월) 자료"}</definedName>
    <definedName name="_62Z8_" hidden="1">{#N/A,#N/A,FALSE,"KMC최종회의(7월) 자료"}</definedName>
    <definedName name="_62Z9_" hidden="1">{#N/A,#N/A,FALSE,"KMC최종회의(7월) 자료"}</definedName>
    <definedName name="_63____S" hidden="1">#REF!</definedName>
    <definedName name="_63__0_S" hidden="1">#REF!</definedName>
    <definedName name="_633FG1_" hidden="1">{#N/A,#N/A,FALSE,"단축1";#N/A,#N/A,FALSE,"단축2";#N/A,#N/A,FALSE,"단축3";#N/A,#N/A,FALSE,"장축";#N/A,#N/A,FALSE,"4WD"}</definedName>
    <definedName name="_633S4_" hidden="1">{#N/A,#N/A,FALSE,"KMC최종회의(7월) 자료"}</definedName>
    <definedName name="_634A1_" hidden="1">{#N/A,#N/A,FALSE,"신규dep";#N/A,#N/A,FALSE,"신규dep-금형상각후";#N/A,#N/A,FALSE,"신규dep-연구비상각후";#N/A,#N/A,FALSE,"신규dep-기계,공구상각후"}</definedName>
    <definedName name="_634S5_" hidden="1">{#N/A,#N/A,FALSE,"KMC최종회의(7월) 자료"}</definedName>
    <definedName name="_636HP02_" hidden="1">{#N/A,#N/A,FALSE,"단축1";#N/A,#N/A,FALSE,"단축2";#N/A,#N/A,FALSE,"단축3";#N/A,#N/A,FALSE,"장축";#N/A,#N/A,FALSE,"4WD"}</definedName>
    <definedName name="_636S6_" hidden="1">{#N/A,#N/A,FALSE,"KMC최종회의(7월) 자료"}</definedName>
    <definedName name="_637S7_" hidden="1">{#N/A,#N/A,FALSE,"KMC최종회의(7월) 자료"}</definedName>
    <definedName name="_638S8_" hidden="1">{#N/A,#N/A,FALSE,"KMC최종회의(7월) 자료"}</definedName>
    <definedName name="_639HP2_" hidden="1">{#N/A,#N/A,FALSE,"단축1";#N/A,#N/A,FALSE,"단축2";#N/A,#N/A,FALSE,"단축3";#N/A,#N/A,FALSE,"장축";#N/A,#N/A,FALSE,"4WD"}</definedName>
    <definedName name="_63A3_" hidden="1">{#N/A,#N/A,FALSE,"단축1";#N/A,#N/A,FALSE,"단축2";#N/A,#N/A,FALSE,"단축3";#N/A,#N/A,FALSE,"장축";#N/A,#N/A,FALSE,"4WD"}</definedName>
    <definedName name="_63A7_" hidden="1">{#N/A,#N/A,FALSE,"KMC최종회의(7월) 자료"}</definedName>
    <definedName name="_63A9_" hidden="1">{#N/A,#N/A,FALSE,"KMC최종회의(7월) 자료"}</definedName>
    <definedName name="_63AA4_" hidden="1">{#N/A,#N/A,FALSE,"신규dep";#N/A,#N/A,FALSE,"신규dep-금형상각후";#N/A,#N/A,FALSE,"신규dep-연구비상각후";#N/A,#N/A,FALSE,"신규dep-기계,공구상각후"}</definedName>
    <definedName name="_63CL222_" hidden="1">{#N/A,#N/A,FALSE,"KMC최종회의(7월) 자료"}</definedName>
    <definedName name="_63e9_" hidden="1">{#N/A,#N/A,FALSE,"단축1";#N/A,#N/A,FALSE,"단축2";#N/A,#N/A,FALSE,"단축3";#N/A,#N/A,FALSE,"장축";#N/A,#N/A,FALSE,"4WD"}</definedName>
    <definedName name="_63FG1_" hidden="1">{#N/A,#N/A,FALSE,"단축1";#N/A,#N/A,FALSE,"단축2";#N/A,#N/A,FALSE,"단축3";#N/A,#N/A,FALSE,"장축";#N/A,#N/A,FALSE,"4WD"}</definedName>
    <definedName name="_63H1620_" hidden="1">{#N/A,#N/A,FALSE,"단축1";#N/A,#N/A,FALSE,"단축2";#N/A,#N/A,FALSE,"단축3";#N/A,#N/A,FALSE,"장축";#N/A,#N/A,FALSE,"4WD"}</definedName>
    <definedName name="_63h5_" hidden="1">{"'표지'!$B$5"}</definedName>
    <definedName name="_63k8_" hidden="1">{#N/A,#N/A,FALSE,"단축1";#N/A,#N/A,FALSE,"단축2";#N/A,#N/A,FALSE,"단축3";#N/A,#N/A,FALSE,"장축";#N/A,#N/A,FALSE,"4WD"}</definedName>
    <definedName name="_63k8__1" hidden="1">{#N/A,#N/A,FALSE,"단축1";#N/A,#N/A,FALSE,"단축2";#N/A,#N/A,FALSE,"단축3";#N/A,#N/A,FALSE,"장축";#N/A,#N/A,FALSE,"4WD"}</definedName>
    <definedName name="_63k9_" hidden="1">{#N/A,#N/A,FALSE,"단축1";#N/A,#N/A,FALSE,"단축2";#N/A,#N/A,FALSE,"단축3";#N/A,#N/A,FALSE,"장축";#N/A,#N/A,FALSE,"4WD"}</definedName>
    <definedName name="_63O11_" hidden="1">{#N/A,#N/A,FALSE,"단축1";#N/A,#N/A,FALSE,"단축2";#N/A,#N/A,FALSE,"단축3";#N/A,#N/A,FALSE,"장축";#N/A,#N/A,FALSE,"4WD"}</definedName>
    <definedName name="_63P2_" hidden="1">{#N/A,#N/A,FALSE,"단축1";#N/A,#N/A,FALSE,"단축2";#N/A,#N/A,FALSE,"단축3";#N/A,#N/A,FALSE,"장축";#N/A,#N/A,FALSE,"4WD"}</definedName>
    <definedName name="_63Q3_" hidden="1">{#N/A,#N/A,FALSE,"KMC최종회의(7월) 자료"}</definedName>
    <definedName name="_63Q8_" hidden="1">{#N/A,#N/A,FALSE,"KMC최종회의(7월) 자료"}</definedName>
    <definedName name="_63Q8__1" hidden="1">{#N/A,#N/A,FALSE,"KMC최종회의(7월) 자료"}</definedName>
    <definedName name="_63S2_" hidden="1">{#N/A,#N/A,FALSE,"KMC최종회의(7월) 자료"}</definedName>
    <definedName name="_63S3_" hidden="1">{#N/A,#N/A,FALSE,"KMC최종회의(7월) 자료"}</definedName>
    <definedName name="_63S4_" hidden="1">{#N/A,#N/A,FALSE,"KMC최종회의(7월) 자료"}</definedName>
    <definedName name="_63S5_" hidden="1">{#N/A,#N/A,FALSE,"KMC최종회의(7월) 자료"}</definedName>
    <definedName name="_63S6_" hidden="1">{#N/A,#N/A,FALSE,"KMC최종회의(7월) 자료"}</definedName>
    <definedName name="_63S8_" hidden="1">{#N/A,#N/A,FALSE,"KMC최종회의(7월) 자료"}</definedName>
    <definedName name="_63T2_" hidden="1">{#N/A,#N/A,FALSE,"단축1";#N/A,#N/A,FALSE,"단축2";#N/A,#N/A,FALSE,"단축3";#N/A,#N/A,FALSE,"장축";#N/A,#N/A,FALSE,"4WD"}</definedName>
    <definedName name="_63T3_" hidden="1">{#N/A,#N/A,FALSE,"단축1";#N/A,#N/A,FALSE,"단축2";#N/A,#N/A,FALSE,"단축3";#N/A,#N/A,FALSE,"장축";#N/A,#N/A,FALSE,"4WD"}</definedName>
    <definedName name="_63T5_" hidden="1">{#N/A,#N/A,FALSE,"단축1";#N/A,#N/A,FALSE,"단축2";#N/A,#N/A,FALSE,"단축3";#N/A,#N/A,FALSE,"장축";#N/A,#N/A,FALSE,"4WD"}</definedName>
    <definedName name="_63W3_" hidden="1">{#N/A,#N/A,FALSE,"KMC최종회의(7월) 자료"}</definedName>
    <definedName name="_63W3__1" hidden="1">{#N/A,#N/A,FALSE,"KMC최종회의(7월) 자료"}</definedName>
    <definedName name="_63W4_" hidden="1">{#N/A,#N/A,FALSE,"KMC최종회의(7월) 자료"}</definedName>
    <definedName name="_63W5_" hidden="1">{#N/A,#N/A,FALSE,"KMC최종회의(7월) 자료"}</definedName>
    <definedName name="_63W7_" hidden="1">{#N/A,#N/A,FALSE,"KMC최종회의(7월) 자료"}</definedName>
    <definedName name="_63X3_" hidden="1">{#N/A,#N/A,FALSE,"KMC최종회의(7월) 자료"}</definedName>
    <definedName name="_63X6_" hidden="1">{#N/A,#N/A,FALSE,"KMC최종회의(7월) 자료"}</definedName>
    <definedName name="_63Z1_" hidden="1">{#N/A,#N/A,FALSE,"KMC최종회의(7월) 자료"}</definedName>
    <definedName name="_63Z2_" hidden="1">{#N/A,#N/A,FALSE,"KMC최종회의(7월) 자료"}</definedName>
    <definedName name="_63Z4_" hidden="1">{#N/A,#N/A,FALSE,"KMC최종회의(7월) 자료"}</definedName>
    <definedName name="_63Z6_" hidden="1">{#N/A,#N/A,FALSE,"KMC최종회의(7월) 자료"}</definedName>
    <definedName name="_63Z8_" hidden="1">{#N/A,#N/A,FALSE,"KMC최종회의(7월) 자료"}</definedName>
    <definedName name="_63Z9_" hidden="1">{#N/A,#N/A,FALSE,"KMC최종회의(7월) 자료"}</definedName>
    <definedName name="_64__123Graph_LBL_AC04C_FR_L2" hidden="1">#REF!</definedName>
    <definedName name="_64__0_S" hidden="1">#REF!</definedName>
    <definedName name="_640x2_" hidden="1">{#N/A,#N/A,FALSE,"단축1";#N/A,#N/A,FALSE,"단축2";#N/A,#N/A,FALSE,"단축3";#N/A,#N/A,FALSE,"장축";#N/A,#N/A,FALSE,"4WD"}</definedName>
    <definedName name="_640x2__1" hidden="1">{#N/A,#N/A,FALSE,"단축1";#N/A,#N/A,FALSE,"단축2";#N/A,#N/A,FALSE,"단축3";#N/A,#N/A,FALSE,"장축";#N/A,#N/A,FALSE,"4WD"}</definedName>
    <definedName name="_640Z8_" hidden="1">{#N/A,#N/A,FALSE,"KMC최종회의(7월) 자료"}</definedName>
    <definedName name="_641P2_" hidden="1">{#N/A,#N/A,FALSE,"단축1";#N/A,#N/A,FALSE,"단축2";#N/A,#N/A,FALSE,"단축3";#N/A,#N/A,FALSE,"장축";#N/A,#N/A,FALSE,"4WD"}</definedName>
    <definedName name="_642A2_" hidden="1">{#N/A,#N/A,FALSE,"신규dep";#N/A,#N/A,FALSE,"신규dep-금형상각후";#N/A,#N/A,FALSE,"신규dep-연구비상각후";#N/A,#N/A,FALSE,"신규dep-기계,공구상각후"}</definedName>
    <definedName name="_645EO2_" hidden="1">{#N/A,#N/A,FALSE,"신규dep";#N/A,#N/A,FALSE,"신규dep-금형상각후";#N/A,#N/A,FALSE,"신규dep-연구비상각후";#N/A,#N/A,FALSE,"신규dep-기계,공구상각후"}</definedName>
    <definedName name="_645S2_" hidden="1">{#N/A,#N/A,FALSE,"KMC최종회의(7월) 자료"}</definedName>
    <definedName name="_645T2_" hidden="1">{#N/A,#N/A,FALSE,"단축1";#N/A,#N/A,FALSE,"단축2";#N/A,#N/A,FALSE,"단축3";#N/A,#N/A,FALSE,"장축";#N/A,#N/A,FALSE,"4WD"}</definedName>
    <definedName name="_646W1_" hidden="1">{#N/A,#N/A,FALSE,"KMC최종회의(7월) 자료"}</definedName>
    <definedName name="_647W2_" hidden="1">{#N/A,#N/A,FALSE,"KMC최종회의(7월) 자료"}</definedName>
    <definedName name="_648W3_" hidden="1">{#N/A,#N/A,FALSE,"KMC최종회의(7월) 자료"}</definedName>
    <definedName name="_649A3_" hidden="1">{#N/A,#N/A,FALSE,"단축1";#N/A,#N/A,FALSE,"단축2";#N/A,#N/A,FALSE,"단축3";#N/A,#N/A,FALSE,"장축";#N/A,#N/A,FALSE,"4WD"}</definedName>
    <definedName name="_649W4_" hidden="1">{#N/A,#N/A,FALSE,"KMC최종회의(7월) 자료"}</definedName>
    <definedName name="_64A3_" hidden="1">{#N/A,#N/A,FALSE,"단축1";#N/A,#N/A,FALSE,"단축2";#N/A,#N/A,FALSE,"단축3";#N/A,#N/A,FALSE,"장축";#N/A,#N/A,FALSE,"4WD"}</definedName>
    <definedName name="_64A5_" hidden="1">{#N/A,#N/A,FALSE,"KMC최종회의(7월) 자료"}</definedName>
    <definedName name="_64A8_" hidden="1">{#N/A,#N/A,FALSE,"KMC최종회의(7월) 자료"}</definedName>
    <definedName name="_64AS6_" hidden="1">{#N/A,#N/A,FALSE,"Australien";#N/A,#N/A,FALSE,"Birmingham";#N/A,#N/A,FALSE,"Brasilien";#N/A,#N/A,FALSE,"Prag";#N/A,#N/A,FALSE,"Spanien";#N/A,#N/A,FALSE,"Malaysia ( Com)";#N/A,#N/A,FALSE,"Malaysia (Instr)"}</definedName>
    <definedName name="_64CL33_" hidden="1">{#N/A,#N/A,FALSE,"KMC최종회의(7월) 자료"}</definedName>
    <definedName name="_64E2_" hidden="1">{#N/A,#N/A,FALSE,"KMC최종회의(7월) 자료"}</definedName>
    <definedName name="_64h1_" hidden="1">{"'표지'!$B$5"}</definedName>
    <definedName name="_64H20_" hidden="1">{#N/A,#N/A,FALSE,"단축1";#N/A,#N/A,FALSE,"단축2";#N/A,#N/A,FALSE,"단축3";#N/A,#N/A,FALSE,"장축";#N/A,#N/A,FALSE,"4WD"}</definedName>
    <definedName name="_64HL3_" hidden="1">{#N/A,#N/A,TRUE,"Y생산";#N/A,#N/A,TRUE,"Y판매";#N/A,#N/A,TRUE,"Y총물량";#N/A,#N/A,TRUE,"Y능력";#N/A,#N/A,TRUE,"YKD"}</definedName>
    <definedName name="_64k1_" hidden="1">#REF!</definedName>
    <definedName name="_64q3_" hidden="1">{#N/A,#N/A,FALSE,"단축1";#N/A,#N/A,FALSE,"단축2";#N/A,#N/A,FALSE,"단축3";#N/A,#N/A,FALSE,"장축";#N/A,#N/A,FALSE,"4WD"}</definedName>
    <definedName name="_64q3__1" hidden="1">{#N/A,#N/A,FALSE,"단축1";#N/A,#N/A,FALSE,"단축2";#N/A,#N/A,FALSE,"단축3";#N/A,#N/A,FALSE,"장축";#N/A,#N/A,FALSE,"4WD"}</definedName>
    <definedName name="_64Q5_" hidden="1">{#N/A,#N/A,FALSE,"KMC최종회의(7월) 자료"}</definedName>
    <definedName name="_64Q7_" hidden="1">{#N/A,#N/A,FALSE,"KMC최종회의(7월) 자료"}</definedName>
    <definedName name="_64Q8_" hidden="1">{#N/A,#N/A,FALSE,"KMC최종회의(7월) 자료"}</definedName>
    <definedName name="_64Q9_" hidden="1">{#N/A,#N/A,FALSE,"KMC최종회의(7월) 자료"}</definedName>
    <definedName name="_64S2_" hidden="1">{#N/A,#N/A,FALSE,"KMC최종회의(7월) 자료"}</definedName>
    <definedName name="_64S3_" hidden="1">{#N/A,#N/A,FALSE,"KMC최종회의(7월) 자료"}</definedName>
    <definedName name="_64S4_" hidden="1">{#N/A,#N/A,FALSE,"KMC최종회의(7월) 자료"}</definedName>
    <definedName name="_64S5_" hidden="1">{#N/A,#N/A,FALSE,"KMC최종회의(7월) 자료"}</definedName>
    <definedName name="_64S6_" hidden="1">{#N/A,#N/A,FALSE,"KMC최종회의(7월) 자료"}</definedName>
    <definedName name="_64S7_" hidden="1">{#N/A,#N/A,FALSE,"KMC최종회의(7월) 자료"}</definedName>
    <definedName name="_64S8_" hidden="1">{#N/A,#N/A,FALSE,"KMC최종회의(7월) 자료"}</definedName>
    <definedName name="_64T2_" hidden="1">{#N/A,#N/A,FALSE,"단축1";#N/A,#N/A,FALSE,"단축2";#N/A,#N/A,FALSE,"단축3";#N/A,#N/A,FALSE,"장축";#N/A,#N/A,FALSE,"4WD"}</definedName>
    <definedName name="_64T3_" hidden="1">{#N/A,#N/A,FALSE,"단축1";#N/A,#N/A,FALSE,"단축2";#N/A,#N/A,FALSE,"단축3";#N/A,#N/A,FALSE,"장축";#N/A,#N/A,FALSE,"4WD"}</definedName>
    <definedName name="_64U1_" hidden="1">{#N/A,#N/A,FALSE,"단축1";#N/A,#N/A,FALSE,"단축2";#N/A,#N/A,FALSE,"단축3";#N/A,#N/A,FALSE,"장축";#N/A,#N/A,FALSE,"4WD"}</definedName>
    <definedName name="_64W1_" hidden="1">{#N/A,#N/A,FALSE,"KMC최종회의(7월) 자료"}</definedName>
    <definedName name="_64W3_" hidden="1">{#N/A,#N/A,FALSE,"KMC최종회의(7월) 자료"}</definedName>
    <definedName name="_64W4_" hidden="1">{#N/A,#N/A,FALSE,"KMC최종회의(7월) 자료"}</definedName>
    <definedName name="_64W5_" hidden="1">{#N/A,#N/A,FALSE,"KMC최종회의(7월) 자료"}</definedName>
    <definedName name="_64W6_" hidden="1">{#N/A,#N/A,FALSE,"KMC최종회의(7월) 자료"}</definedName>
    <definedName name="_64W8_" hidden="1">{#N/A,#N/A,FALSE,"KMC최종회의(7월) 자료"}</definedName>
    <definedName name="_64W9_" hidden="1">{#N/A,#N/A,FALSE,"KMC최종회의(7월) 자료"}</definedName>
    <definedName name="_64X4_" hidden="1">{#N/A,#N/A,FALSE,"KMC최종회의(7월) 자료"}</definedName>
    <definedName name="_64X7_" hidden="1">{#N/A,#N/A,FALSE,"KMC최종회의(7월) 자료"}</definedName>
    <definedName name="_64X8_" hidden="1">{#N/A,#N/A,FALSE,"KMC최종회의(7월) 자료"}</definedName>
    <definedName name="_64Z2_" hidden="1">{#N/A,#N/A,FALSE,"KMC최종회의(7월) 자료"}</definedName>
    <definedName name="_64Z3_" hidden="1">{#N/A,#N/A,FALSE,"KMC최종회의(7월) 자료"}</definedName>
    <definedName name="_64Z5_" hidden="1">{#N/A,#N/A,FALSE,"KMC최종회의(7월) 자료"}</definedName>
    <definedName name="_64Z7_" hidden="1">{#N/A,#N/A,FALSE,"KMC최종회의(7월) 자료"}</definedName>
    <definedName name="_64Z9_" hidden="1">{#N/A,#N/A,FALSE,"KMC최종회의(7월) 자료"}</definedName>
    <definedName name="_65__123Graph_LBL_AC04C_FR_L2" hidden="1">#REF!</definedName>
    <definedName name="_65____S" hidden="1">#REF!</definedName>
    <definedName name="_65__0_S" hidden="1">#REF!</definedName>
    <definedName name="_650W5_" hidden="1">{#N/A,#N/A,FALSE,"KMC최종회의(7월) 자료"}</definedName>
    <definedName name="_651W6_" hidden="1">{#N/A,#N/A,FALSE,"KMC최종회의(7월) 자료"}</definedName>
    <definedName name="_652W7_" hidden="1">{#N/A,#N/A,FALSE,"KMC최종회의(7월) 자료"}</definedName>
    <definedName name="_653W8_" hidden="1">{#N/A,#N/A,FALSE,"KMC최종회의(7월) 자료"}</definedName>
    <definedName name="_654W9_" hidden="1">{#N/A,#N/A,FALSE,"KMC최종회의(7월) 자료"}</definedName>
    <definedName name="_655X1_" hidden="1">{#N/A,#N/A,FALSE,"KMC최종회의(7월) 자료"}</definedName>
    <definedName name="_655z1_" hidden="1">{#N/A,#N/A,FALSE,"단축1";#N/A,#N/A,FALSE,"단축2";#N/A,#N/A,FALSE,"단축3";#N/A,#N/A,FALSE,"장축";#N/A,#N/A,FALSE,"4WD"}</definedName>
    <definedName name="_655z1__1" hidden="1">{#N/A,#N/A,FALSE,"단축1";#N/A,#N/A,FALSE,"단축2";#N/A,#N/A,FALSE,"단축3";#N/A,#N/A,FALSE,"장축";#N/A,#N/A,FALSE,"4WD"}</definedName>
    <definedName name="_656X2_" hidden="1">{#N/A,#N/A,FALSE,"KMC최종회의(7월) 자료"}</definedName>
    <definedName name="_656Z9_" hidden="1">{#N/A,#N/A,FALSE,"KMC최종회의(7월) 자료"}</definedName>
    <definedName name="_657X3_" hidden="1">{#N/A,#N/A,FALSE,"KMC최종회의(7월) 자료"}</definedName>
    <definedName name="_658X4_" hidden="1">{#N/A,#N/A,FALSE,"KMC최종회의(7월) 자료"}</definedName>
    <definedName name="_659X5_" hidden="1">{#N/A,#N/A,FALSE,"KMC최종회의(7월) 자료"}</definedName>
    <definedName name="_65A1_" hidden="1">{#N/A,#N/A,FALSE,"KMC최종회의(7월) 자료"}</definedName>
    <definedName name="_65A2_" hidden="1">{#N/A,#N/A,FALSE,"단축1";#N/A,#N/A,FALSE,"단축2";#N/A,#N/A,FALSE,"단축3";#N/A,#N/A,FALSE,"장축";#N/A,#N/A,FALSE,"4WD"}</definedName>
    <definedName name="_65A5_" hidden="1">{#N/A,#N/A,FALSE,"KMC최종회의(7월) 자료"}</definedName>
    <definedName name="_65A6_" hidden="1">{#N/A,#N/A,FALSE,"KMC최종회의(7월) 자료"}</definedName>
    <definedName name="_65A9_" hidden="1">{#N/A,#N/A,FALSE,"KMC최종회의(7월) 자료"}</definedName>
    <definedName name="_65CL22_" hidden="1">{#N/A,#N/A,FALSE,"KMC최종회의(7월) 자료"}</definedName>
    <definedName name="_65CL33_" hidden="1">{#N/A,#N/A,FALSE,"KMC최종회의(7월) 자료"}</definedName>
    <definedName name="_65E1_" hidden="1">{#N/A,#N/A,FALSE,"KMC최종회의(7월) 자료"}</definedName>
    <definedName name="_65e2_" hidden="1">{#N/A,#N/A,FALSE,"단축1";#N/A,#N/A,FALSE,"단축2";#N/A,#N/A,FALSE,"단축3";#N/A,#N/A,FALSE,"장축";#N/A,#N/A,FALSE,"4WD"}</definedName>
    <definedName name="_65e2__1" hidden="1">{#N/A,#N/A,FALSE,"단축1";#N/A,#N/A,FALSE,"단축2";#N/A,#N/A,FALSE,"단축3";#N/A,#N/A,FALSE,"장축";#N/A,#N/A,FALSE,"4WD"}</definedName>
    <definedName name="_65e5_" hidden="1">{#N/A,#N/A,FALSE,"단축1";#N/A,#N/A,FALSE,"단축2";#N/A,#N/A,FALSE,"단축3";#N/A,#N/A,FALSE,"장축";#N/A,#N/A,FALSE,"4WD"}</definedName>
    <definedName name="_65FG1_" hidden="1">{#N/A,#N/A,FALSE,"단축1";#N/A,#N/A,FALSE,"단축2";#N/A,#N/A,FALSE,"단축3";#N/A,#N/A,FALSE,"장축";#N/A,#N/A,FALSE,"4WD"}</definedName>
    <definedName name="_65h5_" hidden="1">{"'7-2지역별'!$A$1:$R$44"}</definedName>
    <definedName name="_65k9_" hidden="1">{#N/A,#N/A,FALSE,"단축1";#N/A,#N/A,FALSE,"단축2";#N/A,#N/A,FALSE,"단축3";#N/A,#N/A,FALSE,"장축";#N/A,#N/A,FALSE,"4WD"}</definedName>
    <definedName name="_65k9__1" hidden="1">{#N/A,#N/A,FALSE,"단축1";#N/A,#N/A,FALSE,"단축2";#N/A,#N/A,FALSE,"단축3";#N/A,#N/A,FALSE,"장축";#N/A,#N/A,FALSE,"4WD"}</definedName>
    <definedName name="_65P2_" hidden="1">{#N/A,#N/A,FALSE,"단축1";#N/A,#N/A,FALSE,"단축2";#N/A,#N/A,FALSE,"단축3";#N/A,#N/A,FALSE,"장축";#N/A,#N/A,FALSE,"4WD"}</definedName>
    <definedName name="_65P21_" hidden="1">{#N/A,#N/A,FALSE,"단축1";#N/A,#N/A,FALSE,"단축2";#N/A,#N/A,FALSE,"단축3";#N/A,#N/A,FALSE,"장축";#N/A,#N/A,FALSE,"4WD"}</definedName>
    <definedName name="_65Q3_" hidden="1">{#N/A,#N/A,FALSE,"KMC최종회의(7월) 자료"}</definedName>
    <definedName name="_65Q5_" hidden="1">{#N/A,#N/A,FALSE,"KMC최종회의(7월) 자료"}</definedName>
    <definedName name="_65S4_" hidden="1">{#N/A,#N/A,FALSE,"KMC최종회의(7월) 자료"}</definedName>
    <definedName name="_65S5_" hidden="1">{#N/A,#N/A,FALSE,"KMC최종회의(7월) 자료"}</definedName>
    <definedName name="_65S6_" hidden="1">{#N/A,#N/A,FALSE,"KMC최종회의(7월) 자료"}</definedName>
    <definedName name="_65S7_" hidden="1">{#N/A,#N/A,FALSE,"KMC최종회의(7월) 자료"}</definedName>
    <definedName name="_65t4_" hidden="1">{#N/A,#N/A,FALSE,"단축1";#N/A,#N/A,FALSE,"단축2";#N/A,#N/A,FALSE,"단축3";#N/A,#N/A,FALSE,"장축";#N/A,#N/A,FALSE,"4WD"}</definedName>
    <definedName name="_65T5_" hidden="1">{#N/A,#N/A,FALSE,"단축1";#N/A,#N/A,FALSE,"단축2";#N/A,#N/A,FALSE,"단축3";#N/A,#N/A,FALSE,"장축";#N/A,#N/A,FALSE,"4WD"}</definedName>
    <definedName name="_65W1_" hidden="1">{#N/A,#N/A,FALSE,"KMC최종회의(7월) 자료"}</definedName>
    <definedName name="_65W4_" hidden="1">{#N/A,#N/A,FALSE,"KMC최종회의(7월) 자료"}</definedName>
    <definedName name="_65W4__1" hidden="1">{#N/A,#N/A,FALSE,"KMC최종회의(7월) 자료"}</definedName>
    <definedName name="_65W5_" hidden="1">{#N/A,#N/A,FALSE,"KMC최종회의(7월) 자료"}</definedName>
    <definedName name="_65W6_" hidden="1">{#N/A,#N/A,FALSE,"KMC최종회의(7월) 자료"}</definedName>
    <definedName name="_65W9_" hidden="1">{#N/A,#N/A,FALSE,"KMC최종회의(7월) 자료"}</definedName>
    <definedName name="_65X5_" hidden="1">{#N/A,#N/A,FALSE,"KMC최종회의(7월) 자료"}</definedName>
    <definedName name="_65X8_" hidden="1">{#N/A,#N/A,FALSE,"KMC최종회의(7월) 자료"}</definedName>
    <definedName name="_65Z3_" hidden="1">{#N/A,#N/A,FALSE,"KMC최종회의(7월) 자료"}</definedName>
    <definedName name="_65Z4_" hidden="1">{#N/A,#N/A,FALSE,"KMC최종회의(7월) 자료"}</definedName>
    <definedName name="_65Z6_" hidden="1">{#N/A,#N/A,FALSE,"KMC최종회의(7월) 자료"}</definedName>
    <definedName name="_65Z8_" hidden="1">{#N/A,#N/A,FALSE,"KMC최종회의(7월) 자료"}</definedName>
    <definedName name="_66____S" hidden="1">#REF!</definedName>
    <definedName name="_66__0_S" hidden="1">#REF!</definedName>
    <definedName name="_660P2_" hidden="1">{#N/A,#N/A,FALSE,"단축1";#N/A,#N/A,FALSE,"단축2";#N/A,#N/A,FALSE,"단축3";#N/A,#N/A,FALSE,"장축";#N/A,#N/A,FALSE,"4WD"}</definedName>
    <definedName name="_660X6_" hidden="1">{#N/A,#N/A,FALSE,"KMC최종회의(7월) 자료"}</definedName>
    <definedName name="_661S3_" hidden="1">{#N/A,#N/A,FALSE,"KMC최종회의(7월) 자료"}</definedName>
    <definedName name="_661X7_" hidden="1">{#N/A,#N/A,FALSE,"KMC최종회의(7월) 자료"}</definedName>
    <definedName name="_662X8_" hidden="1">{#N/A,#N/A,FALSE,"KMC최종회의(7월) 자료"}</definedName>
    <definedName name="_663Z1_" hidden="1">{#N/A,#N/A,FALSE,"KMC최종회의(7월) 자료"}</definedName>
    <definedName name="_664z123_" hidden="1">{#N/A,#N/A,FALSE,"단축1";#N/A,#N/A,FALSE,"단축2";#N/A,#N/A,FALSE,"단축3";#N/A,#N/A,FALSE,"장축";#N/A,#N/A,FALSE,"4WD"}</definedName>
    <definedName name="_665AA4_" hidden="1">{#N/A,#N/A,FALSE,"신규dep";#N/A,#N/A,FALSE,"신규dep-금형상각후";#N/A,#N/A,FALSE,"신규dep-연구비상각후";#N/A,#N/A,FALSE,"신규dep-기계,공구상각후"}</definedName>
    <definedName name="_665Z2_" hidden="1">{#N/A,#N/A,FALSE,"KMC최종회의(7월) 자료"}</definedName>
    <definedName name="_666FG1_" hidden="1">{#N/A,#N/A,FALSE,"단축1";#N/A,#N/A,FALSE,"단축2";#N/A,#N/A,FALSE,"단축3";#N/A,#N/A,FALSE,"장축";#N/A,#N/A,FALSE,"4WD"}</definedName>
    <definedName name="_666Z3_" hidden="1">{#N/A,#N/A,FALSE,"KMC최종회의(7월) 자료"}</definedName>
    <definedName name="_667HP02_" hidden="1">{#N/A,#N/A,FALSE,"단축1";#N/A,#N/A,FALSE,"단축2";#N/A,#N/A,FALSE,"단축3";#N/A,#N/A,FALSE,"장축";#N/A,#N/A,FALSE,"4WD"}</definedName>
    <definedName name="_667Z4_" hidden="1">{#N/A,#N/A,FALSE,"KMC최종회의(7월) 자료"}</definedName>
    <definedName name="_668HP2_" hidden="1">{#N/A,#N/A,FALSE,"단축1";#N/A,#N/A,FALSE,"단축2";#N/A,#N/A,FALSE,"단축3";#N/A,#N/A,FALSE,"장축";#N/A,#N/A,FALSE,"4WD"}</definedName>
    <definedName name="_668T2_" hidden="1">{#N/A,#N/A,FALSE,"단축1";#N/A,#N/A,FALSE,"단축2";#N/A,#N/A,FALSE,"단축3";#N/A,#N/A,FALSE,"장축";#N/A,#N/A,FALSE,"4WD"}</definedName>
    <definedName name="_668Z5_" hidden="1">{#N/A,#N/A,FALSE,"KMC최종회의(7월) 자료"}</definedName>
    <definedName name="_669T3_" hidden="1">{#N/A,#N/A,FALSE,"단축1";#N/A,#N/A,FALSE,"단축2";#N/A,#N/A,FALSE,"단축3";#N/A,#N/A,FALSE,"장축";#N/A,#N/A,FALSE,"4WD"}</definedName>
    <definedName name="_669Z6_" hidden="1">{#N/A,#N/A,FALSE,"KMC최종회의(7월) 자료"}</definedName>
    <definedName name="_66A1454_" hidden="1">{#N/A,#N/A,FALSE,"단축1";#N/A,#N/A,FALSE,"단축2";#N/A,#N/A,FALSE,"단축3";#N/A,#N/A,FALSE,"장축";#N/A,#N/A,FALSE,"4WD"}</definedName>
    <definedName name="_66A1454__1" hidden="1">{#N/A,#N/A,FALSE,"단축1";#N/A,#N/A,FALSE,"단축2";#N/A,#N/A,FALSE,"단축3";#N/A,#N/A,FALSE,"장축";#N/A,#N/A,FALSE,"4WD"}</definedName>
    <definedName name="_66A4_" hidden="1">{#N/A,#N/A,FALSE,"KMC최종회의(7월) 자료"}</definedName>
    <definedName name="_66A4__1" hidden="1">{#N/A,#N/A,FALSE,"KMC최종회의(7월) 자료"}</definedName>
    <definedName name="_66A6_" hidden="1">{#N/A,#N/A,FALSE,"KMC최종회의(7월) 자료"}</definedName>
    <definedName name="_66A8_" hidden="1">{#N/A,#N/A,FALSE,"KMC최종회의(7월) 자료"}</definedName>
    <definedName name="_66A9_" hidden="1">{#N/A,#N/A,FALSE,"KMC최종회의(7월) 자료"}</definedName>
    <definedName name="_66DR1_" hidden="1">{#N/A,#N/A,FALSE,"업체선정";#N/A,#N/A,FALSE,"업체선정sheet";#N/A,#N/A,FALSE,"업체실태";#N/A,#N/A,FALSE,"업체실태(1)";#N/A,#N/A,FALSE,"종업원현황(2)";#N/A,#N/A,FALSE,"생산품목(3)";#N/A,#N/A,FALSE,"장비보유현황";#N/A,#N/A,FALSE,"차량및약도";#N/A,#N/A,FALSE,"금형LIST"}</definedName>
    <definedName name="_66DR1__1" hidden="1">{#N/A,#N/A,FALSE,"업체선정";#N/A,#N/A,FALSE,"업체선정sheet";#N/A,#N/A,FALSE,"업체실태";#N/A,#N/A,FALSE,"업체실태(1)";#N/A,#N/A,FALSE,"종업원현황(2)";#N/A,#N/A,FALSE,"생산품목(3)";#N/A,#N/A,FALSE,"장비보유현황";#N/A,#N/A,FALSE,"차량및약도";#N/A,#N/A,FALSE,"금형LIST"}</definedName>
    <definedName name="_66E2_" hidden="1">{#N/A,#N/A,FALSE,"KMC최종회의(7월) 자료"}</definedName>
    <definedName name="_66HP02_" hidden="1">{#N/A,#N/A,FALSE,"단축1";#N/A,#N/A,FALSE,"단축2";#N/A,#N/A,FALSE,"단축3";#N/A,#N/A,FALSE,"장축";#N/A,#N/A,FALSE,"4WD"}</definedName>
    <definedName name="_66Q1_" hidden="1">{#N/A,#N/A,FALSE,"KMC최종회의(7월) 자료"}</definedName>
    <definedName name="_66Q3_" hidden="1">{#N/A,#N/A,FALSE,"KMC최종회의(7월) 자료"}</definedName>
    <definedName name="_66q5_" hidden="1">{#N/A,#N/A,FALSE,"신규dep";#N/A,#N/A,FALSE,"신규dep-금형상각후";#N/A,#N/A,FALSE,"신규dep-연구비상각후";#N/A,#N/A,FALSE,"신규dep-기계,공구상각후"}</definedName>
    <definedName name="_66q5__1" hidden="1">{#N/A,#N/A,FALSE,"신규dep";#N/A,#N/A,FALSE,"신규dep-금형상각후";#N/A,#N/A,FALSE,"신규dep-연구비상각후";#N/A,#N/A,FALSE,"신규dep-기계,공구상각후"}</definedName>
    <definedName name="_66Q9_" hidden="1">{#N/A,#N/A,FALSE,"KMC최종회의(7월) 자료"}</definedName>
    <definedName name="_66Q9__1" hidden="1">{#N/A,#N/A,FALSE,"KMC최종회의(7월) 자료"}</definedName>
    <definedName name="_66S3_" hidden="1">{#N/A,#N/A,FALSE,"KMC최종회의(7월) 자료"}</definedName>
    <definedName name="_66S4_" hidden="1">{#N/A,#N/A,FALSE,"KMC최종회의(7월) 자료"}</definedName>
    <definedName name="_66S5_" hidden="1">{#N/A,#N/A,FALSE,"KMC최종회의(7월) 자료"}</definedName>
    <definedName name="_66S6_" hidden="1">{#N/A,#N/A,FALSE,"KMC최종회의(7월) 자료"}</definedName>
    <definedName name="_66S7_" hidden="1">{#N/A,#N/A,FALSE,"KMC최종회의(7월) 자료"}</definedName>
    <definedName name="_66S8_" hidden="1">{#N/A,#N/A,FALSE,"KMC최종회의(7월) 자료"}</definedName>
    <definedName name="_66T2_" hidden="1">{#N/A,#N/A,FALSE,"단축1";#N/A,#N/A,FALSE,"단축2";#N/A,#N/A,FALSE,"단축3";#N/A,#N/A,FALSE,"장축";#N/A,#N/A,FALSE,"4WD"}</definedName>
    <definedName name="_66T5_" hidden="1">{#N/A,#N/A,FALSE,"단축1";#N/A,#N/A,FALSE,"단축2";#N/A,#N/A,FALSE,"단축3";#N/A,#N/A,FALSE,"장축";#N/A,#N/A,FALSE,"4WD"}</definedName>
    <definedName name="_66U1_" hidden="1">{#N/A,#N/A,FALSE,"단축1";#N/A,#N/A,FALSE,"단축2";#N/A,#N/A,FALSE,"단축3";#N/A,#N/A,FALSE,"장축";#N/A,#N/A,FALSE,"4WD"}</definedName>
    <definedName name="_66W1_" hidden="1">{#N/A,#N/A,FALSE,"KMC최종회의(7월) 자료"}</definedName>
    <definedName name="_66W2_" hidden="1">{#N/A,#N/A,FALSE,"KMC최종회의(7월) 자료"}</definedName>
    <definedName name="_66W4_" hidden="1">{#N/A,#N/A,FALSE,"KMC최종회의(7월) 자료"}</definedName>
    <definedName name="_66W6_" hidden="1">{#N/A,#N/A,FALSE,"KMC최종회의(7월) 자료"}</definedName>
    <definedName name="_66W7_" hidden="1">{#N/A,#N/A,FALSE,"KMC최종회의(7월) 자료"}</definedName>
    <definedName name="_66X1_" hidden="1">{#N/A,#N/A,FALSE,"KMC최종회의(7월) 자료"}</definedName>
    <definedName name="_66X6_" hidden="1">{#N/A,#N/A,FALSE,"KMC최종회의(7월) 자료"}</definedName>
    <definedName name="_66Z1_" hidden="1">{#N/A,#N/A,FALSE,"KMC최종회의(7월) 자료"}</definedName>
    <definedName name="_66Z4_" hidden="1">{#N/A,#N/A,FALSE,"KMC최종회의(7월) 자료"}</definedName>
    <definedName name="_66Z5_" hidden="1">{#N/A,#N/A,FALSE,"KMC최종회의(7월) 자료"}</definedName>
    <definedName name="_66Z7_" hidden="1">{#N/A,#N/A,FALSE,"KMC최종회의(7월) 자료"}</definedName>
    <definedName name="_66Z9_" hidden="1">{#N/A,#N/A,FALSE,"KMC최종회의(7월) 자료"}</definedName>
    <definedName name="_67____S" hidden="1">#REF!</definedName>
    <definedName name="_67__0_S" hidden="1">#REF!</definedName>
    <definedName name="_670T5_" hidden="1">{#N/A,#N/A,FALSE,"단축1";#N/A,#N/A,FALSE,"단축2";#N/A,#N/A,FALSE,"단축3";#N/A,#N/A,FALSE,"장축";#N/A,#N/A,FALSE,"4WD"}</definedName>
    <definedName name="_670z2_" hidden="1">{#N/A,#N/A,FALSE,"단축1";#N/A,#N/A,FALSE,"단축2";#N/A,#N/A,FALSE,"단축3";#N/A,#N/A,FALSE,"장축";#N/A,#N/A,FALSE,"4WD"}</definedName>
    <definedName name="_670z2__1" hidden="1">{#N/A,#N/A,FALSE,"단축1";#N/A,#N/A,FALSE,"단축2";#N/A,#N/A,FALSE,"단축3";#N/A,#N/A,FALSE,"장축";#N/A,#N/A,FALSE,"4WD"}</definedName>
    <definedName name="_670Z7_" hidden="1">{#N/A,#N/A,FALSE,"KMC최종회의(7월) 자료"}</definedName>
    <definedName name="_671Z8_" hidden="1">{#N/A,#N/A,FALSE,"KMC최종회의(7월) 자료"}</definedName>
    <definedName name="_672Z9_" hidden="1">{#N/A,#N/A,FALSE,"KMC최종회의(7월) 자료"}</definedName>
    <definedName name="_674____S" hidden="1">#REF!</definedName>
    <definedName name="_677S4_" hidden="1">{#N/A,#N/A,FALSE,"KMC최종회의(7월) 자료"}</definedName>
    <definedName name="_678____S" hidden="1">#REF!</definedName>
    <definedName name="_679__0_S" hidden="1">#REF!</definedName>
    <definedName name="_67A2_" hidden="1">{#N/A,#N/A,FALSE,"KMC최종회의(7월) 자료"}</definedName>
    <definedName name="_67A2040_" hidden="1">{#N/A,#N/A,FALSE,"단축1";#N/A,#N/A,FALSE,"단축2";#N/A,#N/A,FALSE,"단축3";#N/A,#N/A,FALSE,"장축";#N/A,#N/A,FALSE,"4WD"}</definedName>
    <definedName name="_67A3_" hidden="1">{#N/A,#N/A,FALSE,"단축1";#N/A,#N/A,FALSE,"단축2";#N/A,#N/A,FALSE,"단축3";#N/A,#N/A,FALSE,"장축";#N/A,#N/A,FALSE,"4WD"}</definedName>
    <definedName name="_67E2_" hidden="1">{#N/A,#N/A,FALSE,"KMC최종회의(7월) 자료"}</definedName>
    <definedName name="_67K7_" hidden="1">{#N/A,#N/A,TRUE,"Y생산";#N/A,#N/A,TRUE,"Y판매";#N/A,#N/A,TRUE,"Y총물량";#N/A,#N/A,TRUE,"Y능력";#N/A,#N/A,TRUE,"YKD"}</definedName>
    <definedName name="_67P2_" hidden="1">{#N/A,#N/A,FALSE,"단축1";#N/A,#N/A,FALSE,"단축2";#N/A,#N/A,FALSE,"단축3";#N/A,#N/A,FALSE,"장축";#N/A,#N/A,FALSE,"4WD"}</definedName>
    <definedName name="_67P2__1" hidden="1">{#N/A,#N/A,FALSE,"단축1";#N/A,#N/A,FALSE,"단축2";#N/A,#N/A,FALSE,"단축3";#N/A,#N/A,FALSE,"장축";#N/A,#N/A,FALSE,"4WD"}</definedName>
    <definedName name="_67q1_" hidden="1">{#N/A,#N/A,FALSE,"단축1";#N/A,#N/A,FALSE,"단축2";#N/A,#N/A,FALSE,"단축3";#N/A,#N/A,FALSE,"장축";#N/A,#N/A,FALSE,"4WD"}</definedName>
    <definedName name="_67q6_" hidden="1">{#N/A,#N/A,FALSE,"신규dep";#N/A,#N/A,FALSE,"신규dep-금형상각후";#N/A,#N/A,FALSE,"신규dep-연구비상각후";#N/A,#N/A,FALSE,"신규dep-기계,공구상각후"}</definedName>
    <definedName name="_67q6__1" hidden="1">{#N/A,#N/A,FALSE,"신규dep";#N/A,#N/A,FALSE,"신규dep-금형상각후";#N/A,#N/A,FALSE,"신규dep-연구비상각후";#N/A,#N/A,FALSE,"신규dep-기계,공구상각후"}</definedName>
    <definedName name="_67Q7_" hidden="1">{#N/A,#N/A,FALSE,"KMC최종회의(7월) 자료"}</definedName>
    <definedName name="_67S1_" hidden="1">{#N/A,#N/A,FALSE,"KMC최종회의(7월) 자료"}</definedName>
    <definedName name="_67S6_" hidden="1">{#N/A,#N/A,FALSE,"KMC최종회의(7월) 자료"}</definedName>
    <definedName name="_67S8_" hidden="1">{#N/A,#N/A,FALSE,"KMC최종회의(7월) 자료"}</definedName>
    <definedName name="_67T2_" hidden="1">{#N/A,#N/A,FALSE,"단축1";#N/A,#N/A,FALSE,"단축2";#N/A,#N/A,FALSE,"단축3";#N/A,#N/A,FALSE,"장축";#N/A,#N/A,FALSE,"4WD"}</definedName>
    <definedName name="_67W1_" hidden="1">{#N/A,#N/A,FALSE,"KMC최종회의(7월) 자료"}</definedName>
    <definedName name="_67W3_" hidden="1">{#N/A,#N/A,FALSE,"KMC최종회의(7월) 자료"}</definedName>
    <definedName name="_67W5_" hidden="1">{#N/A,#N/A,FALSE,"KMC최종회의(7월) 자료"}</definedName>
    <definedName name="_67W5__1" hidden="1">{#N/A,#N/A,FALSE,"KMC최종회의(7월) 자료"}</definedName>
    <definedName name="_67W6_" hidden="1">{#N/A,#N/A,FALSE,"KMC최종회의(7월) 자료"}</definedName>
    <definedName name="_67W7_" hidden="1">{#N/A,#N/A,FALSE,"KMC최종회의(7월) 자료"}</definedName>
    <definedName name="_67X2_" hidden="1">{#N/A,#N/A,FALSE,"KMC최종회의(7월) 자료"}</definedName>
    <definedName name="_67X7_" hidden="1">{#N/A,#N/A,FALSE,"KMC최종회의(7월) 자료"}</definedName>
    <definedName name="_67Z2_" hidden="1">{#N/A,#N/A,FALSE,"KMC최종회의(7월) 자료"}</definedName>
    <definedName name="_67Z5_" hidden="1">{#N/A,#N/A,FALSE,"KMC최종회의(7월) 자료"}</definedName>
    <definedName name="_67Z6_" hidden="1">{#N/A,#N/A,FALSE,"KMC최종회의(7월) 자료"}</definedName>
    <definedName name="_67Z8_" hidden="1">{#N/A,#N/A,FALSE,"KMC최종회의(7월) 자료"}</definedName>
    <definedName name="_68__123Graph_LBL_AC04C_FR_T1" hidden="1">#REF!</definedName>
    <definedName name="_68____S" hidden="1">#REF!</definedName>
    <definedName name="_68__0_S" hidden="1">#REF!</definedName>
    <definedName name="_682____S" hidden="1">#REF!</definedName>
    <definedName name="_684__0_S" hidden="1">#REF!</definedName>
    <definedName name="_685z4_" hidden="1">{#N/A,#N/A,FALSE,"단축1";#N/A,#N/A,FALSE,"단축2";#N/A,#N/A,FALSE,"단축3";#N/A,#N/A,FALSE,"장축";#N/A,#N/A,FALSE,"4WD"}</definedName>
    <definedName name="_685z4__1" hidden="1">{#N/A,#N/A,FALSE,"단축1";#N/A,#N/A,FALSE,"단축2";#N/A,#N/A,FALSE,"단축3";#N/A,#N/A,FALSE,"장축";#N/A,#N/A,FALSE,"4WD"}</definedName>
    <definedName name="_686__0_S" hidden="1">#REF!</definedName>
    <definedName name="_689P2_" hidden="1">{#N/A,#N/A,FALSE,"단축1";#N/A,#N/A,FALSE,"단축2";#N/A,#N/A,FALSE,"단축3";#N/A,#N/A,FALSE,"장축";#N/A,#N/A,FALSE,"4WD"}</definedName>
    <definedName name="_689T2_" hidden="1">{#N/A,#N/A,FALSE,"단축1";#N/A,#N/A,FALSE,"단축2";#N/A,#N/A,FALSE,"단축3";#N/A,#N/A,FALSE,"장축";#N/A,#N/A,FALSE,"4WD"}</definedName>
    <definedName name="_68A02_" hidden="1">{#N/A,#N/A,FALSE,"단축1";#N/A,#N/A,FALSE,"단축2";#N/A,#N/A,FALSE,"단축3";#N/A,#N/A,FALSE,"장축";#N/A,#N/A,FALSE,"4WD"}</definedName>
    <definedName name="_68A7_" hidden="1">{#N/A,#N/A,FALSE,"KMC최종회의(7월) 자료"}</definedName>
    <definedName name="_68d1_" hidden="1">{#N/A,#N/A,FALSE,"신규dep";#N/A,#N/A,FALSE,"신규dep-금형상각후";#N/A,#N/A,FALSE,"신규dep-연구비상각후";#N/A,#N/A,FALSE,"신규dep-기계,공구상각후"}</definedName>
    <definedName name="_68d2_" hidden="1">{#N/A,#N/A,FALSE,"신규dep";#N/A,#N/A,FALSE,"신규dep-금형상각후";#N/A,#N/A,FALSE,"신규dep-연구비상각후";#N/A,#N/A,FALSE,"신규dep-기계,공구상각후"}</definedName>
    <definedName name="_68FG1_" hidden="1">{#N/A,#N/A,FALSE,"단축1";#N/A,#N/A,FALSE,"단축2";#N/A,#N/A,FALSE,"단축3";#N/A,#N/A,FALSE,"장축";#N/A,#N/A,FALSE,"4WD"}</definedName>
    <definedName name="_68HP2_" hidden="1">{#N/A,#N/A,FALSE,"단축1";#N/A,#N/A,FALSE,"단축2";#N/A,#N/A,FALSE,"단축3";#N/A,#N/A,FALSE,"장축";#N/A,#N/A,FALSE,"4WD"}</definedName>
    <definedName name="_68P2_" hidden="1">{#N/A,#N/A,FALSE,"단축1";#N/A,#N/A,FALSE,"단축2";#N/A,#N/A,FALSE,"단축3";#N/A,#N/A,FALSE,"장축";#N/A,#N/A,FALSE,"4WD"}</definedName>
    <definedName name="_68Q1_" hidden="1">{#N/A,#N/A,FALSE,"KMC최종회의(7월) 자료"}</definedName>
    <definedName name="_68Q5_" hidden="1">{#N/A,#N/A,FALSE,"KMC최종회의(7월) 자료"}</definedName>
    <definedName name="_68q6_" hidden="1">{#N/A,#N/A,FALSE,"신규dep";#N/A,#N/A,FALSE,"신규dep-금형상각후";#N/A,#N/A,FALSE,"신규dep-연구비상각후";#N/A,#N/A,FALSE,"신규dep-기계,공구상각후"}</definedName>
    <definedName name="_68Q8_" hidden="1">{#N/A,#N/A,FALSE,"KMC최종회의(7월) 자료"}</definedName>
    <definedName name="_68S1_" hidden="1">{#N/A,#N/A,FALSE,"KMC최종회의(7월) 자료"}</definedName>
    <definedName name="_68S4_" hidden="1">{#N/A,#N/A,FALSE,"KMC최종회의(7월) 자료"}</definedName>
    <definedName name="_68S5_" hidden="1">{#N/A,#N/A,FALSE,"KMC최종회의(7월) 자료"}</definedName>
    <definedName name="_68S7_" hidden="1">{#N/A,#N/A,FALSE,"KMC최종회의(7월) 자료"}</definedName>
    <definedName name="_68S8_" hidden="1">{#N/A,#N/A,FALSE,"KMC최종회의(7월) 자료"}</definedName>
    <definedName name="_68T2_" hidden="1">{#N/A,#N/A,FALSE,"단축1";#N/A,#N/A,FALSE,"단축2";#N/A,#N/A,FALSE,"단축3";#N/A,#N/A,FALSE,"장축";#N/A,#N/A,FALSE,"4WD"}</definedName>
    <definedName name="_68T3_" hidden="1">{#N/A,#N/A,FALSE,"단축1";#N/A,#N/A,FALSE,"단축2";#N/A,#N/A,FALSE,"단축3";#N/A,#N/A,FALSE,"장축";#N/A,#N/A,FALSE,"4WD"}</definedName>
    <definedName name="_68W2_" hidden="1">{#N/A,#N/A,FALSE,"KMC최종회의(7월) 자료"}</definedName>
    <definedName name="_68W3_" hidden="1">{#N/A,#N/A,FALSE,"KMC최종회의(7월) 자료"}</definedName>
    <definedName name="_68W4_" hidden="1">{#N/A,#N/A,FALSE,"KMC최종회의(7월) 자료"}</definedName>
    <definedName name="_68W5_" hidden="1">{#N/A,#N/A,FALSE,"KMC최종회의(7월) 자료"}</definedName>
    <definedName name="_68W7_" hidden="1">{#N/A,#N/A,FALSE,"KMC최종회의(7월) 자료"}</definedName>
    <definedName name="_68W8_" hidden="1">{#N/A,#N/A,FALSE,"KMC최종회의(7월) 자료"}</definedName>
    <definedName name="_68X2_" hidden="1">{#N/A,#N/A,FALSE,"KMC최종회의(7월) 자료"}</definedName>
    <definedName name="_68X3_" hidden="1">{#N/A,#N/A,FALSE,"KMC최종회의(7월) 자료"}</definedName>
    <definedName name="_68X8_" hidden="1">{#N/A,#N/A,FALSE,"KMC최종회의(7월) 자료"}</definedName>
    <definedName name="_68Z2_" hidden="1">{#N/A,#N/A,FALSE,"KMC최종회의(7월) 자료"}</definedName>
    <definedName name="_68Z3_" hidden="1">{#N/A,#N/A,FALSE,"KMC최종회의(7월) 자료"}</definedName>
    <definedName name="_68Z6_" hidden="1">{#N/A,#N/A,FALSE,"KMC최종회의(7월) 자료"}</definedName>
    <definedName name="_68Z7_" hidden="1">{#N/A,#N/A,FALSE,"KMC최종회의(7월) 자료"}</definedName>
    <definedName name="_68Z9_" hidden="1">{#N/A,#N/A,FALSE,"KMC최종회의(7월) 자료"}</definedName>
    <definedName name="_69__123Graph_LBL_AC04C_FR_T1" hidden="1">#REF!</definedName>
    <definedName name="_69__0_S" hidden="1">#REF!</definedName>
    <definedName name="_692T3_" hidden="1">{#N/A,#N/A,FALSE,"단축1";#N/A,#N/A,FALSE,"단축2";#N/A,#N/A,FALSE,"단축3";#N/A,#N/A,FALSE,"장축";#N/A,#N/A,FALSE,"4WD"}</definedName>
    <definedName name="_693__0_S" hidden="1">#REF!</definedName>
    <definedName name="_693S5_" hidden="1">{#N/A,#N/A,FALSE,"KMC최종회의(7월) 자료"}</definedName>
    <definedName name="_695T5_" hidden="1">{#N/A,#N/A,FALSE,"단축1";#N/A,#N/A,FALSE,"단축2";#N/A,#N/A,FALSE,"단축3";#N/A,#N/A,FALSE,"장축";#N/A,#N/A,FALSE,"4WD"}</definedName>
    <definedName name="_69A02_" hidden="1">{#N/A,#N/A,FALSE,"단축1";#N/A,#N/A,FALSE,"단축2";#N/A,#N/A,FALSE,"단축3";#N/A,#N/A,FALSE,"장축";#N/A,#N/A,FALSE,"4WD"}</definedName>
    <definedName name="_69A1_" hidden="1">{#N/A,#N/A,FALSE,"KMC최종회의(7월) 자료"}</definedName>
    <definedName name="_69DB777_" hidden="1">{#N/A,#N/A,TRUE,"Y생산";#N/A,#N/A,TRUE,"Y판매";#N/A,#N/A,TRUE,"Y총물량";#N/A,#N/A,TRUE,"Y능력";#N/A,#N/A,TRUE,"YKD"}</definedName>
    <definedName name="_69e6_" hidden="1">{#N/A,#N/A,FALSE,"단축1";#N/A,#N/A,FALSE,"단축2";#N/A,#N/A,FALSE,"단축3";#N/A,#N/A,FALSE,"장축";#N/A,#N/A,FALSE,"4WD"}</definedName>
    <definedName name="_69H1620_" hidden="1">{#N/A,#N/A,FALSE,"단축1";#N/A,#N/A,FALSE,"단축2";#N/A,#N/A,FALSE,"단축3";#N/A,#N/A,FALSE,"장축";#N/A,#N/A,FALSE,"4WD"}</definedName>
    <definedName name="_69q1_" hidden="1">{#N/A,#N/A,FALSE,"단축1";#N/A,#N/A,FALSE,"단축2";#N/A,#N/A,FALSE,"단축3";#N/A,#N/A,FALSE,"장축";#N/A,#N/A,FALSE,"4WD"}</definedName>
    <definedName name="_69q1__1" hidden="1">{#N/A,#N/A,FALSE,"단축1";#N/A,#N/A,FALSE,"단축2";#N/A,#N/A,FALSE,"단축3";#N/A,#N/A,FALSE,"장축";#N/A,#N/A,FALSE,"4WD"}</definedName>
    <definedName name="_69Q2_" hidden="1">{#N/A,#N/A,FALSE,"KMC최종회의(7월) 자료"}</definedName>
    <definedName name="_69q3_" hidden="1">{#N/A,#N/A,FALSE,"단축1";#N/A,#N/A,FALSE,"단축2";#N/A,#N/A,FALSE,"단축3";#N/A,#N/A,FALSE,"장축";#N/A,#N/A,FALSE,"4WD"}</definedName>
    <definedName name="_69Q5_" hidden="1">{#N/A,#N/A,FALSE,"KMC최종회의(7월) 자료"}</definedName>
    <definedName name="_69q7_" hidden="1">{#N/A,#N/A,FALSE,"신규dep";#N/A,#N/A,FALSE,"신규dep-금형상각후";#N/A,#N/A,FALSE,"신규dep-연구비상각후";#N/A,#N/A,FALSE,"신규dep-기계,공구상각후"}</definedName>
    <definedName name="_69q7__1" hidden="1">{#N/A,#N/A,FALSE,"신규dep";#N/A,#N/A,FALSE,"신규dep-금형상각후";#N/A,#N/A,FALSE,"신규dep-연구비상각후";#N/A,#N/A,FALSE,"신규dep-기계,공구상각후"}</definedName>
    <definedName name="_69Q8_" hidden="1">{#N/A,#N/A,FALSE,"KMC최종회의(7월) 자료"}</definedName>
    <definedName name="_69S1_" hidden="1">{#N/A,#N/A,FALSE,"KMC최종회의(7월) 자료"}</definedName>
    <definedName name="_69S1__1" hidden="1">{#N/A,#N/A,FALSE,"KMC최종회의(7월) 자료"}</definedName>
    <definedName name="_69S5_" hidden="1">{#N/A,#N/A,FALSE,"KMC최종회의(7월) 자료"}</definedName>
    <definedName name="_69S7_" hidden="1">{#N/A,#N/A,FALSE,"KMC최종회의(7월) 자료"}</definedName>
    <definedName name="_69S8_" hidden="1">{#N/A,#N/A,FALSE,"KMC최종회의(7월) 자료"}</definedName>
    <definedName name="_69T3_" hidden="1">{#N/A,#N/A,FALSE,"단축1";#N/A,#N/A,FALSE,"단축2";#N/A,#N/A,FALSE,"단축3";#N/A,#N/A,FALSE,"장축";#N/A,#N/A,FALSE,"4WD"}</definedName>
    <definedName name="_69U1_" hidden="1">{#N/A,#N/A,FALSE,"단축1";#N/A,#N/A,FALSE,"단축2";#N/A,#N/A,FALSE,"단축3";#N/A,#N/A,FALSE,"장축";#N/A,#N/A,FALSE,"4WD"}</definedName>
    <definedName name="_69W1_" hidden="1">{#N/A,#N/A,FALSE,"KMC최종회의(7월) 자료"}</definedName>
    <definedName name="_69W3_" hidden="1">{#N/A,#N/A,FALSE,"KMC최종회의(7월) 자료"}</definedName>
    <definedName name="_69W5_" hidden="1">{#N/A,#N/A,FALSE,"KMC최종회의(7월) 자료"}</definedName>
    <definedName name="_69W6_" hidden="1">{#N/A,#N/A,FALSE,"KMC최종회의(7월) 자료"}</definedName>
    <definedName name="_69W6__1" hidden="1">{#N/A,#N/A,FALSE,"KMC최종회의(7월) 자료"}</definedName>
    <definedName name="_69W7_" hidden="1">{#N/A,#N/A,FALSE,"KMC최종회의(7월) 자료"}</definedName>
    <definedName name="_69W8_" hidden="1">{#N/A,#N/A,FALSE,"KMC최종회의(7월) 자료"}</definedName>
    <definedName name="_69W9_" hidden="1">{#N/A,#N/A,FALSE,"KMC최종회의(7월) 자료"}</definedName>
    <definedName name="_69X4_" hidden="1">{#N/A,#N/A,FALSE,"KMC최종회의(7월) 자료"}</definedName>
    <definedName name="_69Z1_" hidden="1">{#N/A,#N/A,FALSE,"KMC최종회의(7월) 자료"}</definedName>
    <definedName name="_69Z4_" hidden="1">{#N/A,#N/A,FALSE,"KMC최종회의(7월) 자료"}</definedName>
    <definedName name="_69Z7_" hidden="1">{#N/A,#N/A,FALSE,"KMC최종회의(7월) 자료"}</definedName>
    <definedName name="_69Z8_" hidden="1">{#N/A,#N/A,FALSE,"KMC최종회의(7월) 자료"}</definedName>
    <definedName name="_6A02_" hidden="1">{#N/A,#N/A,FALSE,"단축1";#N/A,#N/A,FALSE,"단축2";#N/A,#N/A,FALSE,"단축3";#N/A,#N/A,FALSE,"장축";#N/A,#N/A,FALSE,"4WD"}</definedName>
    <definedName name="_6A0323_" hidden="1">{#N/A,#N/A,FALSE,"단축1";#N/A,#N/A,FALSE,"단축2";#N/A,#N/A,FALSE,"단축3";#N/A,#N/A,FALSE,"장축";#N/A,#N/A,FALSE,"4WD"}</definedName>
    <definedName name="_6A1_" hidden="1">{#N/A,#N/A,FALSE,"KMC최종회의(7월) 자료"}</definedName>
    <definedName name="_6A1__1" hidden="1">{#N/A,#N/A,FALSE,"KMC최종회의(7월) 자료"}</definedName>
    <definedName name="_6A1232_" hidden="1">{#N/A,#N/A,FALSE,"단축1";#N/A,#N/A,FALSE,"단축2";#N/A,#N/A,FALSE,"단축3";#N/A,#N/A,FALSE,"장축";#N/A,#N/A,FALSE,"4WD"}</definedName>
    <definedName name="_6A12458_" hidden="1">{#N/A,#N/A,FALSE,"단축1";#N/A,#N/A,FALSE,"단축2";#N/A,#N/A,FALSE,"단축3";#N/A,#N/A,FALSE,"장축";#N/A,#N/A,FALSE,"4WD"}</definedName>
    <definedName name="_6A1454_" hidden="1">{#N/A,#N/A,FALSE,"단축1";#N/A,#N/A,FALSE,"단축2";#N/A,#N/A,FALSE,"단축3";#N/A,#N/A,FALSE,"장축";#N/A,#N/A,FALSE,"4WD"}</definedName>
    <definedName name="_6A2_" hidden="1">{#N/A,#N/A,FALSE,"KMC최종회의(7월) 자료"}</definedName>
    <definedName name="_6A2040_" hidden="1">{#N/A,#N/A,FALSE,"단축1";#N/A,#N/A,FALSE,"단축2";#N/A,#N/A,FALSE,"단축3";#N/A,#N/A,FALSE,"장축";#N/A,#N/A,FALSE,"4WD"}</definedName>
    <definedName name="_6A3_" hidden="1">{#N/A,#N/A,FALSE,"KMC최종회의(7월) 자료"}</definedName>
    <definedName name="_6A4_" hidden="1">{#N/A,#N/A,FALSE,"KMC최종회의(7월) 자료"}</definedName>
    <definedName name="_6A5_" hidden="1">{#N/A,#N/A,FALSE,"KMC최종회의(7월) 자료"}</definedName>
    <definedName name="_6A5__1" hidden="1">{#N/A,#N/A,FALSE,"KMC최종회의(7월) 자료"}</definedName>
    <definedName name="_6A6_" hidden="1">{#N/A,#N/A,FALSE,"KMC최종회의(7월) 자료"}</definedName>
    <definedName name="_6A6__1" hidden="1">{#N/A,#N/A,FALSE,"KMC최종회의(7월) 자료"}</definedName>
    <definedName name="_6A7_" hidden="1">{#N/A,#N/A,FALSE,"KMC최종회의(7월) 자료"}</definedName>
    <definedName name="_6A7__1" hidden="1">{#N/A,#N/A,FALSE,"KMC최종회의(7월) 자료"}</definedName>
    <definedName name="_6A9_" hidden="1">{#N/A,#N/A,FALSE,"KMC최종회의(7월) 자료"}</definedName>
    <definedName name="_6dr2_" hidden="1">{#N/A,#N/A,FALSE,"신규dep";#N/A,#N/A,FALSE,"신규dep-금형상각후";#N/A,#N/A,FALSE,"신규dep-연구비상각후";#N/A,#N/A,FALSE,"신규dep-기계,공구상각후"}</definedName>
    <definedName name="_6EO2_" hidden="1">{#N/A,#N/A,FALSE,"신규dep";#N/A,#N/A,FALSE,"신규dep-금형상각후";#N/A,#N/A,FALSE,"신규dep-연구비상각후";#N/A,#N/A,FALSE,"신규dep-기계,공구상각후"}</definedName>
    <definedName name="_6HL2_" hidden="1">{#N/A,#N/A,FALSE,"단축1";#N/A,#N/A,FALSE,"단축2";#N/A,#N/A,FALSE,"단축3";#N/A,#N/A,FALSE,"장축";#N/A,#N/A,FALSE,"4WD"}</definedName>
    <definedName name="_6HL3_" hidden="1">{#N/A,#N/A,TRUE,"Y생산";#N/A,#N/A,TRUE,"Y판매";#N/A,#N/A,TRUE,"Y총물량";#N/A,#N/A,TRUE,"Y능력";#N/A,#N/A,TRUE,"YKD"}</definedName>
    <definedName name="_6HP02_" hidden="1">{#N/A,#N/A,FALSE,"단축1";#N/A,#N/A,FALSE,"단축2";#N/A,#N/A,FALSE,"단축3";#N/A,#N/A,FALSE,"장축";#N/A,#N/A,FALSE,"4WD"}</definedName>
    <definedName name="_6Q3_" hidden="1">{#N/A,#N/A,FALSE,"KMC최종회의(7월) 자료"}</definedName>
    <definedName name="_6T2_" hidden="1">{#N/A,#N/A,FALSE,"단축1";#N/A,#N/A,FALSE,"단축2";#N/A,#N/A,FALSE,"단축3";#N/A,#N/A,FALSE,"장축";#N/A,#N/A,FALSE,"4WD"}</definedName>
    <definedName name="_6T5_" hidden="1">{#N/A,#N/A,FALSE,"단축1";#N/A,#N/A,FALSE,"단축2";#N/A,#N/A,FALSE,"단축3";#N/A,#N/A,FALSE,"장축";#N/A,#N/A,FALSE,"4WD"}</definedName>
    <definedName name="_7______0_S" hidden="1">#REF!</definedName>
    <definedName name="_7__123Graph_ABORE_EXH.VALVE" hidden="1">#REF!</definedName>
    <definedName name="_7__123Graph_ABORE_I.VALVE" hidden="1">#REF!</definedName>
    <definedName name="_7__123Graph_AC04C_ALL_T1" hidden="1">#REF!</definedName>
    <definedName name="_7__123Graph_ACHART_1" hidden="1">#N/A</definedName>
    <definedName name="_7__123Graph_ACHART_3" hidden="1">#REF!</definedName>
    <definedName name="_7__123Graph_BCHART_3" hidden="1">#REF!</definedName>
    <definedName name="_7__123Graph_CCHART_3" hidden="1">#REF!</definedName>
    <definedName name="_7_____S" hidden="1">#REF!</definedName>
    <definedName name="_7__0_S" hidden="1">#REF!</definedName>
    <definedName name="_70____S" hidden="1">#REF!</definedName>
    <definedName name="_70__0_S" hidden="1">#REF!</definedName>
    <definedName name="_707____S" hidden="1">#REF!</definedName>
    <definedName name="_709S6_" hidden="1">{#N/A,#N/A,FALSE,"KMC최종회의(7월) 자료"}</definedName>
    <definedName name="_70A2_" hidden="1">{#N/A,#N/A,FALSE,"KMC최종회의(7월) 자료"}</definedName>
    <definedName name="_70A2040_" hidden="1">{#N/A,#N/A,FALSE,"단축1";#N/A,#N/A,FALSE,"단축2";#N/A,#N/A,FALSE,"단축3";#N/A,#N/A,FALSE,"장축";#N/A,#N/A,FALSE,"4WD"}</definedName>
    <definedName name="_70A3_" hidden="1">{#N/A,#N/A,FALSE,"단축1";#N/A,#N/A,FALSE,"단축2";#N/A,#N/A,FALSE,"단축3";#N/A,#N/A,FALSE,"장축";#N/A,#N/A,FALSE,"4WD"}</definedName>
    <definedName name="_70A6_" hidden="1">{#N/A,#N/A,FALSE,"KMC최종회의(7월) 자료"}</definedName>
    <definedName name="_70A8_" hidden="1">{#N/A,#N/A,FALSE,"KMC최종회의(7월) 자료"}</definedName>
    <definedName name="_70A9_" hidden="1">{#N/A,#N/A,FALSE,"KMC최종회의(7월) 자료"}</definedName>
    <definedName name="_70DB777_" hidden="1">{#N/A,#N/A,TRUE,"Y생산";#N/A,#N/A,TRUE,"Y판매";#N/A,#N/A,TRUE,"Y총물량";#N/A,#N/A,TRUE,"Y능력";#N/A,#N/A,TRUE,"YKD"}</definedName>
    <definedName name="_70E1_" hidden="1">{#N/A,#N/A,FALSE,"KMC최종회의(7월) 자료"}</definedName>
    <definedName name="_70E2_" hidden="1">{#N/A,#N/A,FALSE,"KMC최종회의(7월) 자료"}</definedName>
    <definedName name="_70e3_" hidden="1">{#N/A,#N/A,FALSE,"단축1";#N/A,#N/A,FALSE,"단축2";#N/A,#N/A,FALSE,"단축3";#N/A,#N/A,FALSE,"장축";#N/A,#N/A,FALSE,"4WD"}</definedName>
    <definedName name="_70e3__1" hidden="1">{#N/A,#N/A,FALSE,"단축1";#N/A,#N/A,FALSE,"단축2";#N/A,#N/A,FALSE,"단축3";#N/A,#N/A,FALSE,"장축";#N/A,#N/A,FALSE,"4WD"}</definedName>
    <definedName name="_70h2_" hidden="1">{"'표지'!$B$5"}</definedName>
    <definedName name="_70k8_" hidden="1">{#N/A,#N/A,FALSE,"단축1";#N/A,#N/A,FALSE,"단축2";#N/A,#N/A,FALSE,"단축3";#N/A,#N/A,FALSE,"장축";#N/A,#N/A,FALSE,"4WD"}</definedName>
    <definedName name="_70Q1_" hidden="1">{#N/A,#N/A,FALSE,"KMC최종회의(7월) 자료"}</definedName>
    <definedName name="_70q7_" hidden="1">{#N/A,#N/A,FALSE,"신규dep";#N/A,#N/A,FALSE,"신규dep-금형상각후";#N/A,#N/A,FALSE,"신규dep-연구비상각후";#N/A,#N/A,FALSE,"신규dep-기계,공구상각후"}</definedName>
    <definedName name="_70Q8_" hidden="1">{#N/A,#N/A,FALSE,"KMC최종회의(7월) 자료"}</definedName>
    <definedName name="_70Q8__1" hidden="1">{#N/A,#N/A,FALSE,"KMC최종회의(7월) 자료"}</definedName>
    <definedName name="_70S2_" hidden="1">{#N/A,#N/A,FALSE,"KMC최종회의(7월) 자료"}</definedName>
    <definedName name="_70S5_" hidden="1">{#N/A,#N/A,FALSE,"KMC최종회의(7월) 자료"}</definedName>
    <definedName name="_70S8_" hidden="1">{#N/A,#N/A,FALSE,"KMC최종회의(7월) 자료"}</definedName>
    <definedName name="_70T2_" hidden="1">{#N/A,#N/A,FALSE,"단축1";#N/A,#N/A,FALSE,"단축2";#N/A,#N/A,FALSE,"단축3";#N/A,#N/A,FALSE,"장축";#N/A,#N/A,FALSE,"4WD"}</definedName>
    <definedName name="_70T3_" hidden="1">{#N/A,#N/A,FALSE,"단축1";#N/A,#N/A,FALSE,"단축2";#N/A,#N/A,FALSE,"단축3";#N/A,#N/A,FALSE,"장축";#N/A,#N/A,FALSE,"4WD"}</definedName>
    <definedName name="_70T5_" hidden="1">{#N/A,#N/A,FALSE,"단축1";#N/A,#N/A,FALSE,"단축2";#N/A,#N/A,FALSE,"단축3";#N/A,#N/A,FALSE,"장축";#N/A,#N/A,FALSE,"4WD"}</definedName>
    <definedName name="_70U1_" hidden="1">{#N/A,#N/A,FALSE,"단축1";#N/A,#N/A,FALSE,"단축2";#N/A,#N/A,FALSE,"단축3";#N/A,#N/A,FALSE,"장축";#N/A,#N/A,FALSE,"4WD"}</definedName>
    <definedName name="_70W1_" hidden="1">{#N/A,#N/A,FALSE,"KMC최종회의(7월) 자료"}</definedName>
    <definedName name="_70W2_" hidden="1">{#N/A,#N/A,FALSE,"KMC최종회의(7월) 자료"}</definedName>
    <definedName name="_70W3_" hidden="1">{#N/A,#N/A,FALSE,"KMC최종회의(7월) 자료"}</definedName>
    <definedName name="_70W4_" hidden="1">{#N/A,#N/A,FALSE,"KMC최종회의(7월) 자료"}</definedName>
    <definedName name="_70W6_" hidden="1">{#N/A,#N/A,FALSE,"KMC최종회의(7월) 자료"}</definedName>
    <definedName name="_70W8_" hidden="1">{#N/A,#N/A,FALSE,"KMC최종회의(7월) 자료"}</definedName>
    <definedName name="_70W9_" hidden="1">{#N/A,#N/A,FALSE,"KMC최종회의(7월) 자료"}</definedName>
    <definedName name="_70X1_" hidden="1">{#N/A,#N/A,FALSE,"KMC최종회의(7월) 자료"}</definedName>
    <definedName name="_70X3_" hidden="1">{#N/A,#N/A,FALSE,"KMC최종회의(7월) 자료"}</definedName>
    <definedName name="_70X5_" hidden="1">{#N/A,#N/A,FALSE,"KMC최종회의(7월) 자료"}</definedName>
    <definedName name="_70Z2_" hidden="1">{#N/A,#N/A,FALSE,"KMC최종회의(7월) 자료"}</definedName>
    <definedName name="_70Z3_" hidden="1">{#N/A,#N/A,FALSE,"KMC최종회의(7월) 자료"}</definedName>
    <definedName name="_70Z5_" hidden="1">{#N/A,#N/A,FALSE,"KMC최종회의(7월) 자료"}</definedName>
    <definedName name="_70Z8_" hidden="1">{#N/A,#N/A,FALSE,"KMC최종회의(7월) 자료"}</definedName>
    <definedName name="_70Z9_" hidden="1">{#N/A,#N/A,FALSE,"KMC최종회의(7월) 자료"}</definedName>
    <definedName name="_71____S" hidden="1">#REF!</definedName>
    <definedName name="_71__0_S" hidden="1">#REF!</definedName>
    <definedName name="_715A1_" hidden="1">{#N/A,#N/A,FALSE,"KMC최종회의(7월) 자료"}</definedName>
    <definedName name="_715d1_" hidden="1">{#N/A,#N/A,FALSE,"신규dep";#N/A,#N/A,FALSE,"신규dep-금형상각후";#N/A,#N/A,FALSE,"신규dep-연구비상각후";#N/A,#N/A,FALSE,"신규dep-기계,공구상각후"}</definedName>
    <definedName name="_717__0_S" hidden="1">#REF!</definedName>
    <definedName name="_718T2_" hidden="1">{#N/A,#N/A,FALSE,"단축1";#N/A,#N/A,FALSE,"단축2";#N/A,#N/A,FALSE,"단축3";#N/A,#N/A,FALSE,"장축";#N/A,#N/A,FALSE,"4WD"}</definedName>
    <definedName name="_719T3_" hidden="1">{#N/A,#N/A,FALSE,"단축1";#N/A,#N/A,FALSE,"단축2";#N/A,#N/A,FALSE,"단축3";#N/A,#N/A,FALSE,"장축";#N/A,#N/A,FALSE,"4WD"}</definedName>
    <definedName name="_71AS6_" hidden="1">{#N/A,#N/A,FALSE,"Australien";#N/A,#N/A,FALSE,"Birmingham";#N/A,#N/A,FALSE,"Brasilien";#N/A,#N/A,FALSE,"Prag";#N/A,#N/A,FALSE,"Spanien";#N/A,#N/A,FALSE,"Malaysia ( Com)";#N/A,#N/A,FALSE,"Malaysia (Instr)"}</definedName>
    <definedName name="_71CL22_" hidden="1">{#N/A,#N/A,FALSE,"KMC최종회의(7월) 자료"}</definedName>
    <definedName name="_71CL222_" hidden="1">{#N/A,#N/A,FALSE,"KMC최종회의(7월) 자료"}</definedName>
    <definedName name="_71D6_" hidden="1">{"'표지'!$B$5"}</definedName>
    <definedName name="_71E2_" hidden="1">{#N/A,#N/A,FALSE,"KMC최종회의(7월) 자료"}</definedName>
    <definedName name="_71h3_" hidden="1">{"'표지'!$B$5"}</definedName>
    <definedName name="_71P21_" hidden="1">{#N/A,#N/A,FALSE,"단축1";#N/A,#N/A,FALSE,"단축2";#N/A,#N/A,FALSE,"단축3";#N/A,#N/A,FALSE,"장축";#N/A,#N/A,FALSE,"4WD"}</definedName>
    <definedName name="_71Q2_" hidden="1">{#N/A,#N/A,FALSE,"KMC최종회의(7월) 자료"}</definedName>
    <definedName name="_71q3_" hidden="1">{#N/A,#N/A,FALSE,"단축1";#N/A,#N/A,FALSE,"단축2";#N/A,#N/A,FALSE,"단축3";#N/A,#N/A,FALSE,"장축";#N/A,#N/A,FALSE,"4WD"}</definedName>
    <definedName name="_71q3__1" hidden="1">{#N/A,#N/A,FALSE,"단축1";#N/A,#N/A,FALSE,"단축2";#N/A,#N/A,FALSE,"단축3";#N/A,#N/A,FALSE,"장축";#N/A,#N/A,FALSE,"4WD"}</definedName>
    <definedName name="_71q5_" hidden="1">{#N/A,#N/A,FALSE,"신규dep";#N/A,#N/A,FALSE,"신규dep-금형상각후";#N/A,#N/A,FALSE,"신규dep-연구비상각후";#N/A,#N/A,FALSE,"신규dep-기계,공구상각후"}</definedName>
    <definedName name="_71Q7_" hidden="1">{#N/A,#N/A,FALSE,"KMC최종회의(7월) 자료"}</definedName>
    <definedName name="_71Q9_" hidden="1">{#N/A,#N/A,FALSE,"KMC최종회의(7월) 자료"}</definedName>
    <definedName name="_71S8_" hidden="1">{#N/A,#N/A,FALSE,"KMC최종회의(7월) 자료"}</definedName>
    <definedName name="_71T2_" hidden="1">{#N/A,#N/A,FALSE,"단축1";#N/A,#N/A,FALSE,"단축2";#N/A,#N/A,FALSE,"단축3";#N/A,#N/A,FALSE,"장축";#N/A,#N/A,FALSE,"4WD"}</definedName>
    <definedName name="_71T3_" hidden="1">{#N/A,#N/A,FALSE,"단축1";#N/A,#N/A,FALSE,"단축2";#N/A,#N/A,FALSE,"단축3";#N/A,#N/A,FALSE,"장축";#N/A,#N/A,FALSE,"4WD"}</definedName>
    <definedName name="_71W1_" hidden="1">{#N/A,#N/A,FALSE,"KMC최종회의(7월) 자료"}</definedName>
    <definedName name="_71W2_" hidden="1">{#N/A,#N/A,FALSE,"KMC최종회의(7월) 자료"}</definedName>
    <definedName name="_71W3_" hidden="1">{#N/A,#N/A,FALSE,"KMC최종회의(7월) 자료"}</definedName>
    <definedName name="_71W5_" hidden="1">{#N/A,#N/A,FALSE,"KMC최종회의(7월) 자료"}</definedName>
    <definedName name="_71W7_" hidden="1">{#N/A,#N/A,FALSE,"KMC최종회의(7월) 자료"}</definedName>
    <definedName name="_71W7__1" hidden="1">{#N/A,#N/A,FALSE,"KMC최종회의(7월) 자료"}</definedName>
    <definedName name="_71W8_" hidden="1">{#N/A,#N/A,FALSE,"KMC최종회의(7월) 자료"}</definedName>
    <definedName name="_71W9_" hidden="1">{#N/A,#N/A,FALSE,"KMC최종회의(7월) 자료"}</definedName>
    <definedName name="_71X2_" hidden="1">{#N/A,#N/A,FALSE,"KMC최종회의(7월) 자료"}</definedName>
    <definedName name="_71X6_" hidden="1">{#N/A,#N/A,FALSE,"KMC최종회의(7월) 자료"}</definedName>
    <definedName name="_71Z3_" hidden="1">{#N/A,#N/A,FALSE,"KMC최종회의(7월) 자료"}</definedName>
    <definedName name="_71Z6_" hidden="1">{#N/A,#N/A,FALSE,"KMC최종회의(7월) 자료"}</definedName>
    <definedName name="_71Z9_" hidden="1">{#N/A,#N/A,FALSE,"KMC최종회의(7월) 자료"}</definedName>
    <definedName name="_72__123Graph_LBL_AC04C_FR_T2" hidden="1">#REF!</definedName>
    <definedName name="_72__0_S" hidden="1">#REF!</definedName>
    <definedName name="_720d2_" hidden="1">{#N/A,#N/A,FALSE,"신규dep";#N/A,#N/A,FALSE,"신규dep-금형상각후";#N/A,#N/A,FALSE,"신규dep-연구비상각후";#N/A,#N/A,FALSE,"신규dep-기계,공구상각후"}</definedName>
    <definedName name="_720T5_" hidden="1">{#N/A,#N/A,FALSE,"단축1";#N/A,#N/A,FALSE,"단축2";#N/A,#N/A,FALSE,"단축3";#N/A,#N/A,FALSE,"장축";#N/A,#N/A,FALSE,"4WD"}</definedName>
    <definedName name="_725d3_" hidden="1">{#N/A,#N/A,FALSE,"신규dep";#N/A,#N/A,FALSE,"신규dep-금형상각후";#N/A,#N/A,FALSE,"신규dep-연구비상각후";#N/A,#N/A,FALSE,"신규dep-기계,공구상각후"}</definedName>
    <definedName name="_725S7_" hidden="1">{#N/A,#N/A,FALSE,"KMC최종회의(7월) 자료"}</definedName>
    <definedName name="_728A2_" hidden="1">{#N/A,#N/A,FALSE,"KMC최종회의(7월) 자료"}</definedName>
    <definedName name="_72A0323_" hidden="1">{#N/A,#N/A,FALSE,"단축1";#N/A,#N/A,FALSE,"단축2";#N/A,#N/A,FALSE,"단축3";#N/A,#N/A,FALSE,"장축";#N/A,#N/A,FALSE,"4WD"}</definedName>
    <definedName name="_72A6_" hidden="1">{#N/A,#N/A,FALSE,"KMC최종회의(7월) 자료"}</definedName>
    <definedName name="_72A9_" hidden="1">{#N/A,#N/A,FALSE,"KMC최종회의(7월) 자료"}</definedName>
    <definedName name="_72AS6_" hidden="1">{#N/A,#N/A,FALSE,"Australien";#N/A,#N/A,FALSE,"Birmingham";#N/A,#N/A,FALSE,"Brasilien";#N/A,#N/A,FALSE,"Prag";#N/A,#N/A,FALSE,"Spanien";#N/A,#N/A,FALSE,"Malaysia ( Com)";#N/A,#N/A,FALSE,"Malaysia (Instr)"}</definedName>
    <definedName name="_72d1_" hidden="1">{#N/A,#N/A,FALSE,"신규dep";#N/A,#N/A,FALSE,"신규dep-금형상각후";#N/A,#N/A,FALSE,"신규dep-연구비상각후";#N/A,#N/A,FALSE,"신규dep-기계,공구상각후"}</definedName>
    <definedName name="_72d1__1" hidden="1">{#N/A,#N/A,FALSE,"신규dep";#N/A,#N/A,FALSE,"신규dep-금형상각후";#N/A,#N/A,FALSE,"신규dep-연구비상각후";#N/A,#N/A,FALSE,"신규dep-기계,공구상각후"}</definedName>
    <definedName name="_72e3_" hidden="1">{#N/A,#N/A,FALSE,"단축1";#N/A,#N/A,FALSE,"단축2";#N/A,#N/A,FALSE,"단축3";#N/A,#N/A,FALSE,"장축";#N/A,#N/A,FALSE,"4WD"}</definedName>
    <definedName name="_72h4_" hidden="1">{"'표지'!$B$5"}</definedName>
    <definedName name="_72P21_" hidden="1">{#N/A,#N/A,FALSE,"단축1";#N/A,#N/A,FALSE,"단축2";#N/A,#N/A,FALSE,"단축3";#N/A,#N/A,FALSE,"장축";#N/A,#N/A,FALSE,"4WD"}</definedName>
    <definedName name="_72Q1_" hidden="1">{#N/A,#N/A,FALSE,"KMC최종회의(7월) 자료"}</definedName>
    <definedName name="_72Q2_" hidden="1">{#N/A,#N/A,FALSE,"KMC최종회의(7월) 자료"}</definedName>
    <definedName name="_72Q3_" hidden="1">{#N/A,#N/A,FALSE,"KMC최종회의(7월) 자료"}</definedName>
    <definedName name="_72Q8_" hidden="1">{#N/A,#N/A,FALSE,"KMC최종회의(7월) 자료"}</definedName>
    <definedName name="_72Q9_" hidden="1">{#N/A,#N/A,FALSE,"KMC최종회의(7월) 자료"}</definedName>
    <definedName name="_72q9__1" hidden="1">{#N/A,#N/A,FALSE,"신규dep";#N/A,#N/A,FALSE,"신규dep-금형상각후";#N/A,#N/A,FALSE,"신규dep-연구비상각후";#N/A,#N/A,FALSE,"신규dep-기계,공구상각후"}</definedName>
    <definedName name="_72S2_" hidden="1">{#N/A,#N/A,FALSE,"KMC최종회의(7월) 자료"}</definedName>
    <definedName name="_72S2__1" hidden="1">{#N/A,#N/A,FALSE,"KMC최종회의(7월) 자료"}</definedName>
    <definedName name="_72S3_" hidden="1">{#N/A,#N/A,FALSE,"KMC최종회의(7월) 자료"}</definedName>
    <definedName name="_72S6_" hidden="1">{#N/A,#N/A,FALSE,"KMC최종회의(7월) 자료"}</definedName>
    <definedName name="_72S8_" hidden="1">{#N/A,#N/A,FALSE,"KMC최종회의(7월) 자료"}</definedName>
    <definedName name="_72T2_" hidden="1">{#N/A,#N/A,FALSE,"단축1";#N/A,#N/A,FALSE,"단축2";#N/A,#N/A,FALSE,"단축3";#N/A,#N/A,FALSE,"장축";#N/A,#N/A,FALSE,"4WD"}</definedName>
    <definedName name="_72U1_" hidden="1">{#N/A,#N/A,FALSE,"단축1";#N/A,#N/A,FALSE,"단축2";#N/A,#N/A,FALSE,"단축3";#N/A,#N/A,FALSE,"장축";#N/A,#N/A,FALSE,"4WD"}</definedName>
    <definedName name="_72W1_" hidden="1">{#N/A,#N/A,FALSE,"KMC최종회의(7월) 자료"}</definedName>
    <definedName name="_72W2_" hidden="1">{#N/A,#N/A,FALSE,"KMC최종회의(7월) 자료"}</definedName>
    <definedName name="_72W3_" hidden="1">{#N/A,#N/A,FALSE,"KMC최종회의(7월) 자료"}</definedName>
    <definedName name="_72W4_" hidden="1">{#N/A,#N/A,FALSE,"KMC최종회의(7월) 자료"}</definedName>
    <definedName name="_72W5_" hidden="1">{#N/A,#N/A,FALSE,"KMC최종회의(7월) 자료"}</definedName>
    <definedName name="_72W6_" hidden="1">{#N/A,#N/A,FALSE,"KMC최종회의(7월) 자료"}</definedName>
    <definedName name="_72W7_" hidden="1">{#N/A,#N/A,FALSE,"KMC최종회의(7월) 자료"}</definedName>
    <definedName name="_72W8_" hidden="1">{#N/A,#N/A,FALSE,"KMC최종회의(7월) 자료"}</definedName>
    <definedName name="_72W9_" hidden="1">{#N/A,#N/A,FALSE,"KMC최종회의(7월) 자료"}</definedName>
    <definedName name="_72X1_" hidden="1">{#N/A,#N/A,FALSE,"KMC최종회의(7월) 자료"}</definedName>
    <definedName name="_72X3_" hidden="1">{#N/A,#N/A,FALSE,"KMC최종회의(7월) 자료"}</definedName>
    <definedName name="_72X4_" hidden="1">{#N/A,#N/A,FALSE,"KMC최종회의(7월) 자료"}</definedName>
    <definedName name="_72X7_" hidden="1">{#N/A,#N/A,FALSE,"KMC최종회의(7월) 자료"}</definedName>
    <definedName name="_72Z4_" hidden="1">{#N/A,#N/A,FALSE,"KMC최종회의(7월) 자료"}</definedName>
    <definedName name="_72Z7_" hidden="1">{#N/A,#N/A,FALSE,"KMC최종회의(7월) 자료"}</definedName>
    <definedName name="_73__123Graph_LBL_AC04C_FR_T2" hidden="1">#REF!</definedName>
    <definedName name="_73__123Graph_XBORE_圧縮比" hidden="1">#REF!</definedName>
    <definedName name="_732____S" hidden="1">#REF!</definedName>
    <definedName name="_734A2040_" hidden="1">{#N/A,#N/A,FALSE,"단축1";#N/A,#N/A,FALSE,"단축2";#N/A,#N/A,FALSE,"단축3";#N/A,#N/A,FALSE,"장축";#N/A,#N/A,FALSE,"4WD"}</definedName>
    <definedName name="_73A0323_" hidden="1">{#N/A,#N/A,FALSE,"단축1";#N/A,#N/A,FALSE,"단축2";#N/A,#N/A,FALSE,"단축3";#N/A,#N/A,FALSE,"장축";#N/A,#N/A,FALSE,"4WD"}</definedName>
    <definedName name="_73A2_" hidden="1">{#N/A,#N/A,FALSE,"KMC최종회의(7월) 자료"}</definedName>
    <definedName name="_73A2040_" hidden="1">{#N/A,#N/A,FALSE,"단축1";#N/A,#N/A,FALSE,"단축2";#N/A,#N/A,FALSE,"단축3";#N/A,#N/A,FALSE,"장축";#N/A,#N/A,FALSE,"4WD"}</definedName>
    <definedName name="_73A5_" hidden="1">{#N/A,#N/A,FALSE,"KMC최종회의(7월) 자료"}</definedName>
    <definedName name="_73A5__1" hidden="1">{#N/A,#N/A,FALSE,"KMC최종회의(7월) 자료"}</definedName>
    <definedName name="_73A7_" hidden="1">{#N/A,#N/A,FALSE,"KMC최종회의(7월) 자료"}</definedName>
    <definedName name="_73A9_" hidden="1">{#N/A,#N/A,FALSE,"KMC최종회의(7월) 자료"}</definedName>
    <definedName name="_73AT1_" hidden="1">{#N/A,#N/A,FALSE,"인원";#N/A,#N/A,FALSE,"비용2";#N/A,#N/A,FALSE,"비용1";#N/A,#N/A,FALSE,"비용";#N/A,#N/A,FALSE,"보증2";#N/A,#N/A,FALSE,"보증1";#N/A,#N/A,FALSE,"보증";#N/A,#N/A,FALSE,"손익1";#N/A,#N/A,FALSE,"손익";#N/A,#N/A,FALSE,"부서별매출";#N/A,#N/A,FALSE,"매출"}</definedName>
    <definedName name="_73d2_" hidden="1">{#N/A,#N/A,FALSE,"신규dep";#N/A,#N/A,FALSE,"신규dep-금형상각후";#N/A,#N/A,FALSE,"신규dep-연구비상각후";#N/A,#N/A,FALSE,"신규dep-기계,공구상각후"}</definedName>
    <definedName name="_73DB777_" hidden="1">{#N/A,#N/A,TRUE,"Y생산";#N/A,#N/A,TRUE,"Y판매";#N/A,#N/A,TRUE,"Y총물량";#N/A,#N/A,TRUE,"Y능력";#N/A,#N/A,TRUE,"YKD"}</definedName>
    <definedName name="_73E1_" hidden="1">{#N/A,#N/A,FALSE,"KMC최종회의(7월) 자료"}</definedName>
    <definedName name="_73E2_" hidden="1">{#N/A,#N/A,FALSE,"KMC최종회의(7월) 자료"}</definedName>
    <definedName name="_73e4_" hidden="1">{#N/A,#N/A,FALSE,"단축1";#N/A,#N/A,FALSE,"단축2";#N/A,#N/A,FALSE,"단축3";#N/A,#N/A,FALSE,"장축";#N/A,#N/A,FALSE,"4WD"}</definedName>
    <definedName name="_73e7_" hidden="1">{#N/A,#N/A,FALSE,"신규dep";#N/A,#N/A,FALSE,"신규dep-금형상각후";#N/A,#N/A,FALSE,"신규dep-연구비상각후";#N/A,#N/A,FALSE,"신규dep-기계,공구상각후"}</definedName>
    <definedName name="_73H20_" hidden="1">{#N/A,#N/A,FALSE,"단축1";#N/A,#N/A,FALSE,"단축2";#N/A,#N/A,FALSE,"단축3";#N/A,#N/A,FALSE,"장축";#N/A,#N/A,FALSE,"4WD"}</definedName>
    <definedName name="_73h5_" hidden="1">{"'표지'!$B$5"}</definedName>
    <definedName name="_73k9_" hidden="1">{#N/A,#N/A,FALSE,"단축1";#N/A,#N/A,FALSE,"단축2";#N/A,#N/A,FALSE,"단축3";#N/A,#N/A,FALSE,"장축";#N/A,#N/A,FALSE,"4WD"}</definedName>
    <definedName name="_73q5_" hidden="1">{#N/A,#N/A,FALSE,"신규dep";#N/A,#N/A,FALSE,"신규dep-금형상각후";#N/A,#N/A,FALSE,"신규dep-연구비상각후";#N/A,#N/A,FALSE,"신규dep-기계,공구상각후"}</definedName>
    <definedName name="_73q5__1" hidden="1">{#N/A,#N/A,FALSE,"신규dep";#N/A,#N/A,FALSE,"신규dep-금형상각후";#N/A,#N/A,FALSE,"신규dep-연구비상각후";#N/A,#N/A,FALSE,"신규dep-기계,공구상각후"}</definedName>
    <definedName name="_73q6_" hidden="1">{#N/A,#N/A,FALSE,"신규dep";#N/A,#N/A,FALSE,"신규dep-금형상각후";#N/A,#N/A,FALSE,"신규dep-연구비상각후";#N/A,#N/A,FALSE,"신규dep-기계,공구상각후"}</definedName>
    <definedName name="_73Q7_" hidden="1">{#N/A,#N/A,FALSE,"KMC최종회의(7월) 자료"}</definedName>
    <definedName name="_73Q8_" hidden="1">{#N/A,#N/A,FALSE,"KMC최종회의(7월) 자료"}</definedName>
    <definedName name="_73S1_" hidden="1">{#N/A,#N/A,FALSE,"KMC최종회의(7월) 자료"}</definedName>
    <definedName name="_73S3_" hidden="1">{#N/A,#N/A,FALSE,"KMC최종회의(7월) 자료"}</definedName>
    <definedName name="_73T3_" hidden="1">{#N/A,#N/A,FALSE,"단축1";#N/A,#N/A,FALSE,"단축2";#N/A,#N/A,FALSE,"단축3";#N/A,#N/A,FALSE,"장축";#N/A,#N/A,FALSE,"4WD"}</definedName>
    <definedName name="_73W1_" hidden="1">{#N/A,#N/A,FALSE,"KMC최종회의(7월) 자료"}</definedName>
    <definedName name="_73W2_" hidden="1">{#N/A,#N/A,FALSE,"KMC최종회의(7월) 자료"}</definedName>
    <definedName name="_73W3_" hidden="1">{#N/A,#N/A,FALSE,"KMC최종회의(7월) 자료"}</definedName>
    <definedName name="_73W4_" hidden="1">{#N/A,#N/A,FALSE,"KMC최종회의(7월) 자료"}</definedName>
    <definedName name="_73W5_" hidden="1">{#N/A,#N/A,FALSE,"KMC최종회의(7월) 자료"}</definedName>
    <definedName name="_73W7_" hidden="1">{#N/A,#N/A,FALSE,"KMC최종회의(7월) 자료"}</definedName>
    <definedName name="_73W8_" hidden="1">{#N/A,#N/A,FALSE,"KMC최종회의(7월) 자료"}</definedName>
    <definedName name="_73W8__1" hidden="1">{#N/A,#N/A,FALSE,"KMC최종회의(7월) 자료"}</definedName>
    <definedName name="_73W9_" hidden="1">{#N/A,#N/A,FALSE,"KMC최종회의(7월) 자료"}</definedName>
    <definedName name="_73X1_" hidden="1">{#N/A,#N/A,FALSE,"KMC최종회의(7월) 자료"}</definedName>
    <definedName name="_73X4_" hidden="1">{#N/A,#N/A,FALSE,"KMC최종회의(7월) 자료"}</definedName>
    <definedName name="_73X8_" hidden="1">{#N/A,#N/A,FALSE,"KMC최종회의(7월) 자료"}</definedName>
    <definedName name="_73Z5_" hidden="1">{#N/A,#N/A,FALSE,"KMC최종회의(7월) 자료"}</definedName>
    <definedName name="_73Z8_" hidden="1">{#N/A,#N/A,FALSE,"KMC최종회의(7월) 자료"}</definedName>
    <definedName name="_74__123Graph_XBORE_EXH.VALVE" hidden="1">#REF!</definedName>
    <definedName name="_74__123Graph_XBORE_圧縮比" hidden="1">#REF!</definedName>
    <definedName name="_74____S" hidden="1">#REF!</definedName>
    <definedName name="_740A3_" hidden="1">{#N/A,#N/A,FALSE,"단축1";#N/A,#N/A,FALSE,"단축2";#N/A,#N/A,FALSE,"단축3";#N/A,#N/A,FALSE,"장축";#N/A,#N/A,FALSE,"4WD"}</definedName>
    <definedName name="_741e1_" hidden="1">{#N/A,#N/A,FALSE,"단축1";#N/A,#N/A,FALSE,"단축2";#N/A,#N/A,FALSE,"단축3";#N/A,#N/A,FALSE,"장축";#N/A,#N/A,FALSE,"4WD"}</definedName>
    <definedName name="_741S8_" hidden="1">{#N/A,#N/A,FALSE,"KMC최종회의(7월) 자료"}</definedName>
    <definedName name="_742__0_S" hidden="1">#REF!</definedName>
    <definedName name="_746e2_" hidden="1">{#N/A,#N/A,FALSE,"단축1";#N/A,#N/A,FALSE,"단축2";#N/A,#N/A,FALSE,"단축3";#N/A,#N/A,FALSE,"장축";#N/A,#N/A,FALSE,"4WD"}</definedName>
    <definedName name="_74A21321_" hidden="1">{#N/A,#N/A,FALSE,"단축1";#N/A,#N/A,FALSE,"단축2";#N/A,#N/A,FALSE,"단축3";#N/A,#N/A,FALSE,"장축";#N/A,#N/A,FALSE,"4WD"}</definedName>
    <definedName name="_74A3_" hidden="1">{#N/A,#N/A,FALSE,"KMC최종회의(7월) 자료"}</definedName>
    <definedName name="_74AS6_" hidden="1">{#N/A,#N/A,FALSE,"Australien";#N/A,#N/A,FALSE,"Birmingham";#N/A,#N/A,FALSE,"Brasilien";#N/A,#N/A,FALSE,"Prag";#N/A,#N/A,FALSE,"Spanien";#N/A,#N/A,FALSE,"Malaysia ( Com)";#N/A,#N/A,FALSE,"Malaysia (Instr)"}</definedName>
    <definedName name="_7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4E1_" hidden="1">{#N/A,#N/A,FALSE,"KMC최종회의(7월) 자료"}</definedName>
    <definedName name="_74e5_" hidden="1">{#N/A,#N/A,FALSE,"단축1";#N/A,#N/A,FALSE,"단축2";#N/A,#N/A,FALSE,"단축3";#N/A,#N/A,FALSE,"장축";#N/A,#N/A,FALSE,"4WD"}</definedName>
    <definedName name="_74FG1_" hidden="1">{#N/A,#N/A,FALSE,"단축1";#N/A,#N/A,FALSE,"단축2";#N/A,#N/A,FALSE,"단축3";#N/A,#N/A,FALSE,"장축";#N/A,#N/A,FALSE,"4WD"}</definedName>
    <definedName name="_74Q098_" hidden="1">{"'7-2지역별'!$A$1:$R$44"}</definedName>
    <definedName name="_74Q1_" hidden="1">{#N/A,#N/A,FALSE,"KMC최종회의(7월) 자료"}</definedName>
    <definedName name="_74Q2_" hidden="1">{#N/A,#N/A,FALSE,"KMC최종회의(7월) 자료"}</definedName>
    <definedName name="_74Q3_" hidden="1">{#N/A,#N/A,FALSE,"KMC최종회의(7월) 자료"}</definedName>
    <definedName name="_74Q8_" hidden="1">{#N/A,#N/A,FALSE,"KMC최종회의(7월) 자료"}</definedName>
    <definedName name="_74Q9_" hidden="1">{#N/A,#N/A,FALSE,"KMC최종회의(7월) 자료"}</definedName>
    <definedName name="_74s1_" hidden="1">{#N/A,#N/A,FALSE,"신규dep";#N/A,#N/A,FALSE,"신규dep-금형상각후";#N/A,#N/A,FALSE,"신규dep-연구비상각후";#N/A,#N/A,FALSE,"신규dep-기계,공구상각후"}</definedName>
    <definedName name="_74s1__1" hidden="1">{#N/A,#N/A,FALSE,"신규dep";#N/A,#N/A,FALSE,"신규dep-금형상각후";#N/A,#N/A,FALSE,"신규dep-연구비상각후";#N/A,#N/A,FALSE,"신규dep-기계,공구상각후"}</definedName>
    <definedName name="_74S4_" hidden="1">{#N/A,#N/A,FALSE,"KMC최종회의(7월) 자료"}</definedName>
    <definedName name="_74S7_" hidden="1">{#N/A,#N/A,FALSE,"KMC최종회의(7월) 자료"}</definedName>
    <definedName name="_74U1_" hidden="1">{#N/A,#N/A,FALSE,"단축1";#N/A,#N/A,FALSE,"단축2";#N/A,#N/A,FALSE,"단축3";#N/A,#N/A,FALSE,"장축";#N/A,#N/A,FALSE,"4WD"}</definedName>
    <definedName name="_74W1_" hidden="1">{#N/A,#N/A,FALSE,"KMC최종회의(7월) 자료"}</definedName>
    <definedName name="_74W2_" hidden="1">{#N/A,#N/A,FALSE,"KMC최종회의(7월) 자료"}</definedName>
    <definedName name="_74W3_" hidden="1">{#N/A,#N/A,FALSE,"KMC최종회의(7월) 자료"}</definedName>
    <definedName name="_74W4_" hidden="1">{#N/A,#N/A,FALSE,"KMC최종회의(7월) 자료"}</definedName>
    <definedName name="_74W5_" hidden="1">{#N/A,#N/A,FALSE,"KMC최종회의(7월) 자료"}</definedName>
    <definedName name="_74W6_" hidden="1">{#N/A,#N/A,FALSE,"KMC최종회의(7월) 자료"}</definedName>
    <definedName name="_74W8_" hidden="1">{#N/A,#N/A,FALSE,"KMC최종회의(7월) 자료"}</definedName>
    <definedName name="_74X1_" hidden="1">{#N/A,#N/A,FALSE,"KMC최종회의(7월) 자료"}</definedName>
    <definedName name="_74X2_" hidden="1">{#N/A,#N/A,FALSE,"KMC최종회의(7월) 자료"}</definedName>
    <definedName name="_74X5_" hidden="1">{#N/A,#N/A,FALSE,"KMC최종회의(7월) 자료"}</definedName>
    <definedName name="_74Z1_" hidden="1">{#N/A,#N/A,FALSE,"KMC최종회의(7월) 자료"}</definedName>
    <definedName name="_74Z5_" hidden="1">{#N/A,#N/A,FALSE,"KMC최종회의(7월) 자료"}</definedName>
    <definedName name="_74Z6_" hidden="1">{#N/A,#N/A,FALSE,"KMC최종회의(7월) 자료"}</definedName>
    <definedName name="_74Z9_" hidden="1">{#N/A,#N/A,FALSE,"KMC최종회의(7월) 자료"}</definedName>
    <definedName name="_75__123Graph_XBORE_EXH.VALVE" hidden="1">#REF!</definedName>
    <definedName name="_75__123Graph_XBORE_I.VALVE" hidden="1">#REF!</definedName>
    <definedName name="_75__0_S" hidden="1">#REF!</definedName>
    <definedName name="_751e3_" hidden="1">{#N/A,#N/A,FALSE,"단축1";#N/A,#N/A,FALSE,"단축2";#N/A,#N/A,FALSE,"단축3";#N/A,#N/A,FALSE,"장축";#N/A,#N/A,FALSE,"4WD"}</definedName>
    <definedName name="_754A5_" hidden="1">{#N/A,#N/A,FALSE,"KMC최종회의(7월) 자료"}</definedName>
    <definedName name="_756e4_" hidden="1">{#N/A,#N/A,FALSE,"단축1";#N/A,#N/A,FALSE,"단축2";#N/A,#N/A,FALSE,"단축3";#N/A,#N/A,FALSE,"장축";#N/A,#N/A,FALSE,"4WD"}</definedName>
    <definedName name="_759A6_" hidden="1">{#N/A,#N/A,FALSE,"KMC최종회의(7월) 자료"}</definedName>
    <definedName name="_75A1_" hidden="1">{#N/A,#N/A,FALSE,"KMC최종회의(7월) 자료"}</definedName>
    <definedName name="_75A2040_" hidden="1">{#N/A,#N/A,FALSE,"단축1";#N/A,#N/A,FALSE,"단축2";#N/A,#N/A,FALSE,"단축3";#N/A,#N/A,FALSE,"장축";#N/A,#N/A,FALSE,"4WD"}</definedName>
    <definedName name="_75A21321_" hidden="1">{#N/A,#N/A,FALSE,"단축1";#N/A,#N/A,FALSE,"단축2";#N/A,#N/A,FALSE,"단축3";#N/A,#N/A,FALSE,"장축";#N/A,#N/A,FALSE,"4WD"}</definedName>
    <definedName name="_75A21321__1" hidden="1">{#N/A,#N/A,FALSE,"단축1";#N/A,#N/A,FALSE,"단축2";#N/A,#N/A,FALSE,"단축3";#N/A,#N/A,FALSE,"장축";#N/A,#N/A,FALSE,"4WD"}</definedName>
    <definedName name="_75A7_" hidden="1">{#N/A,#N/A,FALSE,"KMC최종회의(7월) 자료"}</definedName>
    <definedName name="_75AS6_" hidden="1">{#N/A,#N/A,FALSE,"Australien";#N/A,#N/A,FALSE,"Birmingham";#N/A,#N/A,FALSE,"Brasilien";#N/A,#N/A,FALSE,"Prag";#N/A,#N/A,FALSE,"Spanien";#N/A,#N/A,FALSE,"Malaysia ( Com)";#N/A,#N/A,FALSE,"Malaysia (Instr)"}</definedName>
    <definedName name="_7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5AT3_" hidden="1">{#N/A,#N/A,FALSE,"인원";#N/A,#N/A,FALSE,"비용2";#N/A,#N/A,FALSE,"비용1";#N/A,#N/A,FALSE,"비용";#N/A,#N/A,FALSE,"보증2";#N/A,#N/A,FALSE,"보증1";#N/A,#N/A,FALSE,"보증";#N/A,#N/A,FALSE,"손익1";#N/A,#N/A,FALSE,"손익";#N/A,#N/A,FALSE,"부서별매출";#N/A,#N/A,FALSE,"매출"}</definedName>
    <definedName name="_75CL222_" hidden="1">{#N/A,#N/A,FALSE,"KMC최종회의(7월) 자료"}</definedName>
    <definedName name="_75d3_" hidden="1">{#N/A,#N/A,FALSE,"신규dep";#N/A,#N/A,FALSE,"신규dep-금형상각후";#N/A,#N/A,FALSE,"신규dep-연구비상각후";#N/A,#N/A,FALSE,"신규dep-기계,공구상각후"}</definedName>
    <definedName name="_75E1_" hidden="1">{#N/A,#N/A,FALSE,"KMC최종회의(7월) 자료"}</definedName>
    <definedName name="_75E2_" hidden="1">{#N/A,#N/A,FALSE,"KMC최종회의(7월) 자료"}</definedName>
    <definedName name="_75e4_" hidden="1">{#N/A,#N/A,FALSE,"단축1";#N/A,#N/A,FALSE,"단축2";#N/A,#N/A,FALSE,"단축3";#N/A,#N/A,FALSE,"장축";#N/A,#N/A,FALSE,"4WD"}</definedName>
    <definedName name="_75e4__1" hidden="1">{#N/A,#N/A,FALSE,"단축1";#N/A,#N/A,FALSE,"단축2";#N/A,#N/A,FALSE,"단축3";#N/A,#N/A,FALSE,"장축";#N/A,#N/A,FALSE,"4WD"}</definedName>
    <definedName name="_75e6_" hidden="1">{#N/A,#N/A,FALSE,"단축1";#N/A,#N/A,FALSE,"단축2";#N/A,#N/A,FALSE,"단축3";#N/A,#N/A,FALSE,"장축";#N/A,#N/A,FALSE,"4WD"}</definedName>
    <definedName name="_75HL1_" hidden="1">{#N/A,#N/A,FALSE,"단축1";#N/A,#N/A,FALSE,"단축2";#N/A,#N/A,FALSE,"단축3";#N/A,#N/A,FALSE,"장축";#N/A,#N/A,FALSE,"4WD"}</definedName>
    <definedName name="_75P21_" hidden="1">{#N/A,#N/A,FALSE,"단축1";#N/A,#N/A,FALSE,"단축2";#N/A,#N/A,FALSE,"단축3";#N/A,#N/A,FALSE,"장축";#N/A,#N/A,FALSE,"4WD"}</definedName>
    <definedName name="_75Q1_" hidden="1">{#N/A,#N/A,FALSE,"KMC최종회의(7월) 자료"}</definedName>
    <definedName name="_75Q5_" hidden="1">{#N/A,#N/A,FALSE,"KMC최종회의(7월) 자료"}</definedName>
    <definedName name="_75q6_" hidden="1">{#N/A,#N/A,FALSE,"신규dep";#N/A,#N/A,FALSE,"신규dep-금형상각후";#N/A,#N/A,FALSE,"신규dep-연구비상각후";#N/A,#N/A,FALSE,"신규dep-기계,공구상각후"}</definedName>
    <definedName name="_75q6__1" hidden="1">{#N/A,#N/A,FALSE,"신규dep";#N/A,#N/A,FALSE,"신규dep-금형상각후";#N/A,#N/A,FALSE,"신규dep-연구비상각후";#N/A,#N/A,FALSE,"신규dep-기계,공구상각후"}</definedName>
    <definedName name="_75q7_" hidden="1">{#N/A,#N/A,FALSE,"신규dep";#N/A,#N/A,FALSE,"신규dep-금형상각후";#N/A,#N/A,FALSE,"신규dep-연구비상각후";#N/A,#N/A,FALSE,"신규dep-기계,공구상각후"}</definedName>
    <definedName name="_75S2_" hidden="1">{#N/A,#N/A,FALSE,"KMC최종회의(7월) 자료"}</definedName>
    <definedName name="_75S3_" hidden="1">{#N/A,#N/A,FALSE,"KMC최종회의(7월) 자료"}</definedName>
    <definedName name="_75S3__1" hidden="1">{#N/A,#N/A,FALSE,"KMC최종회의(7월) 자료"}</definedName>
    <definedName name="_75S7_" hidden="1">{#N/A,#N/A,FALSE,"KMC최종회의(7월) 자료"}</definedName>
    <definedName name="_75T2_" hidden="1">{#N/A,#N/A,FALSE,"단축1";#N/A,#N/A,FALSE,"단축2";#N/A,#N/A,FALSE,"단축3";#N/A,#N/A,FALSE,"장축";#N/A,#N/A,FALSE,"4WD"}</definedName>
    <definedName name="_75W1_" hidden="1">{#N/A,#N/A,FALSE,"KMC최종회의(7월) 자료"}</definedName>
    <definedName name="_75W3_" hidden="1">{#N/A,#N/A,FALSE,"KMC최종회의(7월) 자료"}</definedName>
    <definedName name="_75W5_" hidden="1">{#N/A,#N/A,FALSE,"KMC최종회의(7월) 자료"}</definedName>
    <definedName name="_75W6_" hidden="1">{#N/A,#N/A,FALSE,"KMC최종회의(7월) 자료"}</definedName>
    <definedName name="_75W7_" hidden="1">{#N/A,#N/A,FALSE,"KMC최종회의(7월) 자료"}</definedName>
    <definedName name="_75W9_" hidden="1">{#N/A,#N/A,FALSE,"KMC최종회의(7월) 자료"}</definedName>
    <definedName name="_75W9__1" hidden="1">{#N/A,#N/A,FALSE,"KMC최종회의(7월) 자료"}</definedName>
    <definedName name="_75X1_" hidden="1">{#N/A,#N/A,FALSE,"KMC최종회의(7월) 자료"}</definedName>
    <definedName name="_75X2_" hidden="1">{#N/A,#N/A,FALSE,"KMC최종회의(7월) 자료"}</definedName>
    <definedName name="_75X6_" hidden="1">{#N/A,#N/A,FALSE,"KMC최종회의(7월) 자료"}</definedName>
    <definedName name="_75z123_" hidden="1">{#N/A,#N/A,FALSE,"단축1";#N/A,#N/A,FALSE,"단축2";#N/A,#N/A,FALSE,"단축3";#N/A,#N/A,FALSE,"장축";#N/A,#N/A,FALSE,"4WD"}</definedName>
    <definedName name="_75Z7_" hidden="1">{#N/A,#N/A,FALSE,"KMC최종회의(7월) 자료"}</definedName>
    <definedName name="_76__123Graph_XBORE_I.VALVE" hidden="1">#REF!</definedName>
    <definedName name="_76_____S" hidden="1">#REF!</definedName>
    <definedName name="_761e5_" hidden="1">{#N/A,#N/A,FALSE,"단축1";#N/A,#N/A,FALSE,"단축2";#N/A,#N/A,FALSE,"단축3";#N/A,#N/A,FALSE,"장축";#N/A,#N/A,FALSE,"4WD"}</definedName>
    <definedName name="_764A6666_" hidden="1">{#N/A,#N/A,FALSE,"KMC최종회의(7월) 자료"}</definedName>
    <definedName name="_766e6_" hidden="1">{#N/A,#N/A,FALSE,"단축1";#N/A,#N/A,FALSE,"단축2";#N/A,#N/A,FALSE,"단축3";#N/A,#N/A,FALSE,"장축";#N/A,#N/A,FALSE,"4WD"}</definedName>
    <definedName name="_769A7_" hidden="1">{#N/A,#N/A,FALSE,"KMC최종회의(7월) 자료"}</definedName>
    <definedName name="_76A3_" hidden="1">{#N/A,#N/A,FALSE,"KMC최종회의(7월) 자료"}</definedName>
    <definedName name="_76CL22_" hidden="1">{#N/A,#N/A,FALSE,"KMC최종회의(7월) 자료"}</definedName>
    <definedName name="_76D6_" hidden="1">{"'표지'!$B$5"}</definedName>
    <definedName name="_76DB777_" hidden="1">{#N/A,#N/A,TRUE,"Y생산";#N/A,#N/A,TRUE,"Y판매";#N/A,#N/A,TRUE,"Y총물량";#N/A,#N/A,TRUE,"Y능력";#N/A,#N/A,TRUE,"YKD"}</definedName>
    <definedName name="_76e3_" hidden="1">{#N/A,#N/A,FALSE,"단축1";#N/A,#N/A,FALSE,"단축2";#N/A,#N/A,FALSE,"단축3";#N/A,#N/A,FALSE,"장축";#N/A,#N/A,FALSE,"4WD"}</definedName>
    <definedName name="_76e7_" hidden="1">{#N/A,#N/A,FALSE,"신규dep";#N/A,#N/A,FALSE,"신규dep-금형상각후";#N/A,#N/A,FALSE,"신규dep-연구비상각후";#N/A,#N/A,FALSE,"신규dep-기계,공구상각후"}</definedName>
    <definedName name="_76M123_" hidden="1">{#N/A,#N/A,FALSE,"단축1";#N/A,#N/A,FALSE,"단축2";#N/A,#N/A,FALSE,"단축3";#N/A,#N/A,FALSE,"장축";#N/A,#N/A,FALSE,"4WD"}</definedName>
    <definedName name="_76Q1_" hidden="1">{#N/A,#N/A,FALSE,"KMC최종회의(7월) 자료"}</definedName>
    <definedName name="_76Q3_" hidden="1">{#N/A,#N/A,FALSE,"KMC최종회의(7월) 자료"}</definedName>
    <definedName name="_76Q8_" hidden="1">{#N/A,#N/A,FALSE,"KMC최종회의(7월) 자료"}</definedName>
    <definedName name="_76S1_" hidden="1">{#N/A,#N/A,FALSE,"KMC최종회의(7월) 자료"}</definedName>
    <definedName name="_76s2_" hidden="1">{#N/A,#N/A,FALSE,"신규dep";#N/A,#N/A,FALSE,"신규dep-금형상각후";#N/A,#N/A,FALSE,"신규dep-연구비상각후";#N/A,#N/A,FALSE,"신규dep-기계,공구상각후"}</definedName>
    <definedName name="_76s2__1" hidden="1">{#N/A,#N/A,FALSE,"신규dep";#N/A,#N/A,FALSE,"신규dep-금형상각후";#N/A,#N/A,FALSE,"신규dep-연구비상각후";#N/A,#N/A,FALSE,"신규dep-기계,공구상각후"}</definedName>
    <definedName name="_76S4_" hidden="1">{#N/A,#N/A,FALSE,"KMC최종회의(7월) 자료"}</definedName>
    <definedName name="_76S5_" hidden="1">{#N/A,#N/A,FALSE,"KMC최종회의(7월) 자료"}</definedName>
    <definedName name="_76S7_" hidden="1">{#N/A,#N/A,FALSE,"KMC최종회의(7월) 자료"}</definedName>
    <definedName name="_76S8_" hidden="1">{#N/A,#N/A,FALSE,"KMC최종회의(7월) 자료"}</definedName>
    <definedName name="_76W1_" hidden="1">{#N/A,#N/A,FALSE,"KMC최종회의(7월) 자료"}</definedName>
    <definedName name="_76W2_" hidden="1">{#N/A,#N/A,FALSE,"KMC최종회의(7월) 자료"}</definedName>
    <definedName name="_76W3_" hidden="1">{#N/A,#N/A,FALSE,"KMC최종회의(7월) 자료"}</definedName>
    <definedName name="_76W4_" hidden="1">{#N/A,#N/A,FALSE,"KMC최종회의(7월) 자료"}</definedName>
    <definedName name="_76W6_" hidden="1">{#N/A,#N/A,FALSE,"KMC최종회의(7월) 자료"}</definedName>
    <definedName name="_76W7_" hidden="1">{#N/A,#N/A,FALSE,"KMC최종회의(7월) 자료"}</definedName>
    <definedName name="_76W8_" hidden="1">{#N/A,#N/A,FALSE,"KMC최종회의(7월) 자료"}</definedName>
    <definedName name="_76W9_" hidden="1">{#N/A,#N/A,FALSE,"KMC최종회의(7월) 자료"}</definedName>
    <definedName name="_76X1_" hidden="1">{#N/A,#N/A,FALSE,"KMC최종회의(7월) 자료"}</definedName>
    <definedName name="_76X2_" hidden="1">{#N/A,#N/A,FALSE,"KMC최종회의(7월) 자료"}</definedName>
    <definedName name="_76X3_" hidden="1">{#N/A,#N/A,FALSE,"KMC최종회의(7월) 자료"}</definedName>
    <definedName name="_76X6_" hidden="1">{#N/A,#N/A,FALSE,"KMC최종회의(7월) 자료"}</definedName>
    <definedName name="_76X7_" hidden="1">{#N/A,#N/A,FALSE,"KMC최종회의(7월) 자료"}</definedName>
    <definedName name="_76Z2_" hidden="1">{#N/A,#N/A,FALSE,"KMC최종회의(7월) 자료"}</definedName>
    <definedName name="_76Z6_" hidden="1">{#N/A,#N/A,FALSE,"KMC최종회의(7월) 자료"}</definedName>
    <definedName name="_76Z8_" hidden="1">{#N/A,#N/A,FALSE,"KMC최종회의(7월) 자료"}</definedName>
    <definedName name="_77___0_S" hidden="1">#REF!</definedName>
    <definedName name="_771e7_" hidden="1">{#N/A,#N/A,FALSE,"신규dep";#N/A,#N/A,FALSE,"신규dep-금형상각후";#N/A,#N/A,FALSE,"신규dep-연구비상각후";#N/A,#N/A,FALSE,"신규dep-기계,공구상각후"}</definedName>
    <definedName name="_774A8_" hidden="1">{#N/A,#N/A,FALSE,"KMC최종회의(7월) 자료"}</definedName>
    <definedName name="_776e8_" hidden="1">{#N/A,#N/A,FALSE,"신규dep";#N/A,#N/A,FALSE,"신규dep-금형상각후";#N/A,#N/A,FALSE,"신규dep-연구비상각후";#N/A,#N/A,FALSE,"신규dep-기계,공구상각후"}</definedName>
    <definedName name="_779A9_" hidden="1">{#N/A,#N/A,FALSE,"KMC최종회의(7월) 자료"}</definedName>
    <definedName name="_77A3_" hidden="1">{#N/A,#N/A,FALSE,"KMC최종회의(7월) 자료"}</definedName>
    <definedName name="_77A5_" hidden="1">{#N/A,#N/A,FALSE,"KMC최종회의(7월) 자료"}</definedName>
    <definedName name="_77A9_" hidden="1">{#N/A,#N/A,FALSE,"KMC최종회의(7월) 자료"}</definedName>
    <definedName name="_77AS6_" hidden="1">{#N/A,#N/A,FALSE,"Australien";#N/A,#N/A,FALSE,"Birmingham";#N/A,#N/A,FALSE,"Brasilien";#N/A,#N/A,FALSE,"Prag";#N/A,#N/A,FALSE,"Spanien";#N/A,#N/A,FALSE,"Malaysia ( Com)";#N/A,#N/A,FALSE,"Malaysia (Instr)"}</definedName>
    <definedName name="_77AT3_" hidden="1">{#N/A,#N/A,FALSE,"인원";#N/A,#N/A,FALSE,"비용2";#N/A,#N/A,FALSE,"비용1";#N/A,#N/A,FALSE,"비용";#N/A,#N/A,FALSE,"보증2";#N/A,#N/A,FALSE,"보증1";#N/A,#N/A,FALSE,"보증";#N/A,#N/A,FALSE,"손익1";#N/A,#N/A,FALSE,"손익";#N/A,#N/A,FALSE,"부서별매출";#N/A,#N/A,FALSE,"매출"}</definedName>
    <definedName name="_77CL33_" hidden="1">{#N/A,#N/A,FALSE,"KMC최종회의(7월) 자료"}</definedName>
    <definedName name="_77E2_" hidden="1">{#N/A,#N/A,FALSE,"KMC최종회의(7월) 자료"}</definedName>
    <definedName name="_77e4_" hidden="1">{#N/A,#N/A,FALSE,"단축1";#N/A,#N/A,FALSE,"단축2";#N/A,#N/A,FALSE,"단축3";#N/A,#N/A,FALSE,"장축";#N/A,#N/A,FALSE,"4WD"}</definedName>
    <definedName name="_77e8_" hidden="1">{#N/A,#N/A,FALSE,"신규dep";#N/A,#N/A,FALSE,"신규dep-금형상각후";#N/A,#N/A,FALSE,"신규dep-연구비상각후";#N/A,#N/A,FALSE,"신규dep-기계,공구상각후"}</definedName>
    <definedName name="_77EO2_" hidden="1">{#N/A,#N/A,FALSE,"신규dep";#N/A,#N/A,FALSE,"신규dep-금형상각후";#N/A,#N/A,FALSE,"신규dep-연구비상각후";#N/A,#N/A,FALSE,"신규dep-기계,공구상각후"}</definedName>
    <definedName name="_77HL2_" hidden="1">{#N/A,#N/A,FALSE,"단축1";#N/A,#N/A,FALSE,"단축2";#N/A,#N/A,FALSE,"단축3";#N/A,#N/A,FALSE,"장축";#N/A,#N/A,FALSE,"4WD"}</definedName>
    <definedName name="_77HP02_" hidden="1">{#N/A,#N/A,FALSE,"단축1";#N/A,#N/A,FALSE,"단축2";#N/A,#N/A,FALSE,"단축3";#N/A,#N/A,FALSE,"장축";#N/A,#N/A,FALSE,"4WD"}</definedName>
    <definedName name="_77HP02__1" hidden="1">{#N/A,#N/A,FALSE,"단축1";#N/A,#N/A,FALSE,"단축2";#N/A,#N/A,FALSE,"단축3";#N/A,#N/A,FALSE,"장축";#N/A,#N/A,FALSE,"4WD"}</definedName>
    <definedName name="_77Q2_" hidden="1">{#N/A,#N/A,FALSE,"KMC최종회의(7월) 자료"}</definedName>
    <definedName name="_77Q5_" hidden="1">{#N/A,#N/A,FALSE,"KMC최종회의(7월) 자료"}</definedName>
    <definedName name="_77q7_" hidden="1">{#N/A,#N/A,FALSE,"신규dep";#N/A,#N/A,FALSE,"신규dep-금형상각후";#N/A,#N/A,FALSE,"신규dep-연구비상각후";#N/A,#N/A,FALSE,"신규dep-기계,공구상각후"}</definedName>
    <definedName name="_77q7__1" hidden="1">{#N/A,#N/A,FALSE,"신규dep";#N/A,#N/A,FALSE,"신규dep-금형상각후";#N/A,#N/A,FALSE,"신규dep-연구비상각후";#N/A,#N/A,FALSE,"신규dep-기계,공구상각후"}</definedName>
    <definedName name="_77q9_" hidden="1">{#N/A,#N/A,FALSE,"신규dep";#N/A,#N/A,FALSE,"신규dep-금형상각후";#N/A,#N/A,FALSE,"신규dep-연구비상각후";#N/A,#N/A,FALSE,"신규dep-기계,공구상각후"}</definedName>
    <definedName name="_77S3_" hidden="1">{#N/A,#N/A,FALSE,"KMC최종회의(7월) 자료"}</definedName>
    <definedName name="_77T2_" hidden="1">{#N/A,#N/A,FALSE,"단축1";#N/A,#N/A,FALSE,"단축2";#N/A,#N/A,FALSE,"단축3";#N/A,#N/A,FALSE,"장축";#N/A,#N/A,FALSE,"4WD"}</definedName>
    <definedName name="_77W4_" hidden="1">{#N/A,#N/A,FALSE,"KMC최종회의(7월) 자료"}</definedName>
    <definedName name="_77W5_" hidden="1">{#N/A,#N/A,FALSE,"KMC최종회의(7월) 자료"}</definedName>
    <definedName name="_77W7_" hidden="1">{#N/A,#N/A,FALSE,"KMC최종회의(7월) 자료"}</definedName>
    <definedName name="_77W8_" hidden="1">{#N/A,#N/A,FALSE,"KMC최종회의(7월) 자료"}</definedName>
    <definedName name="_77W9_" hidden="1">{#N/A,#N/A,FALSE,"KMC최종회의(7월) 자료"}</definedName>
    <definedName name="_77X1_" hidden="1">{#N/A,#N/A,FALSE,"KMC최종회의(7월) 자료"}</definedName>
    <definedName name="_77X1__1" hidden="1">{#N/A,#N/A,FALSE,"KMC최종회의(7월) 자료"}</definedName>
    <definedName name="_77X2_" hidden="1">{#N/A,#N/A,FALSE,"KMC최종회의(7월) 자료"}</definedName>
    <definedName name="_77X3_" hidden="1">{#N/A,#N/A,FALSE,"KMC최종회의(7월) 자료"}</definedName>
    <definedName name="_77X4_" hidden="1">{#N/A,#N/A,FALSE,"KMC최종회의(7월) 자료"}</definedName>
    <definedName name="_77X8_" hidden="1">{#N/A,#N/A,FALSE,"KMC최종회의(7월) 자료"}</definedName>
    <definedName name="_77Z3_" hidden="1">{#N/A,#N/A,FALSE,"KMC최종회의(7월) 자료"}</definedName>
    <definedName name="_77Z9_" hidden="1">{#N/A,#N/A,FALSE,"KMC최종회의(7월) 자료"}</definedName>
    <definedName name="_78__0_S" hidden="1">#REF!</definedName>
    <definedName name="_781e9_" hidden="1">{#N/A,#N/A,FALSE,"단축1";#N/A,#N/A,FALSE,"단축2";#N/A,#N/A,FALSE,"단축3";#N/A,#N/A,FALSE,"장축";#N/A,#N/A,FALSE,"4WD"}</definedName>
    <definedName name="_78A2040_" hidden="1">{#N/A,#N/A,FALSE,"단축1";#N/A,#N/A,FALSE,"단축2";#N/A,#N/A,FALSE,"단축3";#N/A,#N/A,FALSE,"장축";#N/A,#N/A,FALSE,"4WD"}</definedName>
    <definedName name="_78CL22_" hidden="1">{#N/A,#N/A,FALSE,"KMC최종회의(7월) 자료"}</definedName>
    <definedName name="_78CL222_" hidden="1">{#N/A,#N/A,FALSE,"KMC최종회의(7월) 자료"}</definedName>
    <definedName name="_78DC50_" hidden="1">{#N/A,#N/A,FALSE,"단축1";#N/A,#N/A,FALSE,"단축2";#N/A,#N/A,FALSE,"단축3";#N/A,#N/A,FALSE,"장축";#N/A,#N/A,FALSE,"4WD"}</definedName>
    <definedName name="_78e5_" hidden="1">{#N/A,#N/A,FALSE,"단축1";#N/A,#N/A,FALSE,"단축2";#N/A,#N/A,FALSE,"단축3";#N/A,#N/A,FALSE,"장축";#N/A,#N/A,FALSE,"4WD"}</definedName>
    <definedName name="_78e9_" hidden="1">{#N/A,#N/A,FALSE,"단축1";#N/A,#N/A,FALSE,"단축2";#N/A,#N/A,FALSE,"단축3";#N/A,#N/A,FALSE,"장축";#N/A,#N/A,FALSE,"4WD"}</definedName>
    <definedName name="_78FG1_" hidden="1">{#N/A,#N/A,FALSE,"단축1";#N/A,#N/A,FALSE,"단축2";#N/A,#N/A,FALSE,"단축3";#N/A,#N/A,FALSE,"장축";#N/A,#N/A,FALSE,"4WD"}</definedName>
    <definedName name="_78h1_" hidden="1">{"'표지'!$B$5"}</definedName>
    <definedName name="_78Q1_" hidden="1">{#N/A,#N/A,FALSE,"KMC최종회의(7월) 자료"}</definedName>
    <definedName name="_78Q2_" hidden="1">{#N/A,#N/A,FALSE,"KMC최종회의(7월) 자료"}</definedName>
    <definedName name="_78Q5_" hidden="1">{#N/A,#N/A,FALSE,"KMC최종회의(7월) 자료"}</definedName>
    <definedName name="_78Q7_" hidden="1">{#N/A,#N/A,FALSE,"KMC최종회의(7월) 자료"}</definedName>
    <definedName name="_78S2_" hidden="1">{#N/A,#N/A,FALSE,"KMC최종회의(7월) 자료"}</definedName>
    <definedName name="_78s3_" hidden="1">{#N/A,#N/A,FALSE,"단축1";#N/A,#N/A,FALSE,"단축2";#N/A,#N/A,FALSE,"단축3";#N/A,#N/A,FALSE,"장축";#N/A,#N/A,FALSE,"4WD"}</definedName>
    <definedName name="_78s3__1" hidden="1">{#N/A,#N/A,FALSE,"단축1";#N/A,#N/A,FALSE,"단축2";#N/A,#N/A,FALSE,"단축3";#N/A,#N/A,FALSE,"장축";#N/A,#N/A,FALSE,"4WD"}</definedName>
    <definedName name="_78S4_" hidden="1">{#N/A,#N/A,FALSE,"KMC최종회의(7월) 자료"}</definedName>
    <definedName name="_78S4__1" hidden="1">{#N/A,#N/A,FALSE,"KMC최종회의(7월) 자료"}</definedName>
    <definedName name="_78S6_" hidden="1">{#N/A,#N/A,FALSE,"KMC최종회의(7월) 자료"}</definedName>
    <definedName name="_78S8_" hidden="1">{#N/A,#N/A,FALSE,"KMC최종회의(7월) 자료"}</definedName>
    <definedName name="_78T3_" hidden="1">{#N/A,#N/A,FALSE,"단축1";#N/A,#N/A,FALSE,"단축2";#N/A,#N/A,FALSE,"단축3";#N/A,#N/A,FALSE,"장축";#N/A,#N/A,FALSE,"4WD"}</definedName>
    <definedName name="_78W2_" hidden="1">{#N/A,#N/A,FALSE,"KMC최종회의(7월) 자료"}</definedName>
    <definedName name="_78W3_" hidden="1">{#N/A,#N/A,FALSE,"KMC최종회의(7월) 자료"}</definedName>
    <definedName name="_78W4_" hidden="1">{#N/A,#N/A,FALSE,"KMC최종회의(7월) 자료"}</definedName>
    <definedName name="_78W5_" hidden="1">{#N/A,#N/A,FALSE,"KMC최종회의(7월) 자료"}</definedName>
    <definedName name="_78W6_" hidden="1">{#N/A,#N/A,FALSE,"KMC최종회의(7월) 자료"}</definedName>
    <definedName name="_78W7_" hidden="1">{#N/A,#N/A,FALSE,"KMC최종회의(7월) 자료"}</definedName>
    <definedName name="_78W8_" hidden="1">{#N/A,#N/A,FALSE,"KMC최종회의(7월) 자료"}</definedName>
    <definedName name="_78W9_" hidden="1">{#N/A,#N/A,FALSE,"KMC최종회의(7월) 자료"}</definedName>
    <definedName name="_78X1_" hidden="1">{#N/A,#N/A,FALSE,"KMC최종회의(7월) 자료"}</definedName>
    <definedName name="_78X3_" hidden="1">{#N/A,#N/A,FALSE,"KMC최종회의(7월) 자료"}</definedName>
    <definedName name="_78X4_" hidden="1">{#N/A,#N/A,FALSE,"KMC최종회의(7월) 자료"}</definedName>
    <definedName name="_78X5_" hidden="1">{#N/A,#N/A,FALSE,"KMC최종회의(7월) 자료"}</definedName>
    <definedName name="_78X7_" hidden="1">{#N/A,#N/A,FALSE,"KMC최종회의(7월) 자료"}</definedName>
    <definedName name="_78Z1_" hidden="1">{#N/A,#N/A,FALSE,"KMC최종회의(7월) 자료"}</definedName>
    <definedName name="_78Z4_" hidden="1">{#N/A,#N/A,FALSE,"KMC최종회의(7월) 자료"}</definedName>
    <definedName name="_78Z7_" hidden="1">{#N/A,#N/A,FALSE,"KMC최종회의(7월) 자료"}</definedName>
    <definedName name="_79__123Graph_XC04C_ALL_T1" hidden="1">#REF!</definedName>
    <definedName name="_794W1_" hidden="1">{#N/A,#N/A,FALSE,"KMC최종회의(7월) 자료"}</definedName>
    <definedName name="_79A2_" hidden="1">{#N/A,#N/A,FALSE,"단축1";#N/A,#N/A,FALSE,"단축2";#N/A,#N/A,FALSE,"단축3";#N/A,#N/A,FALSE,"장축";#N/A,#N/A,FALSE,"4WD"}</definedName>
    <definedName name="_79CL33_" hidden="1">{#N/A,#N/A,FALSE,"KMC최종회의(7월) 자료"}</definedName>
    <definedName name="_79DB777_" hidden="1">{#N/A,#N/A,TRUE,"Y생산";#N/A,#N/A,TRUE,"Y판매";#N/A,#N/A,TRUE,"Y총물량";#N/A,#N/A,TRUE,"Y능력";#N/A,#N/A,TRUE,"YKD"}</definedName>
    <definedName name="_79e6_" hidden="1">{#N/A,#N/A,FALSE,"단축1";#N/A,#N/A,FALSE,"단축2";#N/A,#N/A,FALSE,"단축3";#N/A,#N/A,FALSE,"장축";#N/A,#N/A,FALSE,"4WD"}</definedName>
    <definedName name="_79H1620_" hidden="1">{#N/A,#N/A,FALSE,"단축1";#N/A,#N/A,FALSE,"단축2";#N/A,#N/A,FALSE,"단축3";#N/A,#N/A,FALSE,"장축";#N/A,#N/A,FALSE,"4WD"}</definedName>
    <definedName name="_79HL3_" hidden="1">{#N/A,#N/A,TRUE,"Y생산";#N/A,#N/A,TRUE,"Y판매";#N/A,#N/A,TRUE,"Y총물량";#N/A,#N/A,TRUE,"Y능력";#N/A,#N/A,TRUE,"YKD"}</definedName>
    <definedName name="_79O11_" hidden="1">{#N/A,#N/A,FALSE,"단축1";#N/A,#N/A,FALSE,"단축2";#N/A,#N/A,FALSE,"단축3";#N/A,#N/A,FALSE,"장축";#N/A,#N/A,FALSE,"4WD"}</definedName>
    <definedName name="_79Q2_" hidden="1">{#N/A,#N/A,FALSE,"KMC최종회의(7월) 자료"}</definedName>
    <definedName name="_79Q9_" hidden="1">{#N/A,#N/A,FALSE,"KMC최종회의(7월) 자료"}</definedName>
    <definedName name="_79q9__1" hidden="1">{#N/A,#N/A,FALSE,"신규dep";#N/A,#N/A,FALSE,"신규dep-금형상각후";#N/A,#N/A,FALSE,"신규dep-연구비상각후";#N/A,#N/A,FALSE,"신규dep-기계,공구상각후"}</definedName>
    <definedName name="_79s1_" hidden="1">{#N/A,#N/A,FALSE,"신규dep";#N/A,#N/A,FALSE,"신규dep-금형상각후";#N/A,#N/A,FALSE,"신규dep-연구비상각후";#N/A,#N/A,FALSE,"신규dep-기계,공구상각후"}</definedName>
    <definedName name="_79S4_" hidden="1">{#N/A,#N/A,FALSE,"KMC최종회의(7월) 자료"}</definedName>
    <definedName name="_79S5_" hidden="1">{#N/A,#N/A,FALSE,"KMC최종회의(7월) 자료"}</definedName>
    <definedName name="_79U1_" hidden="1">{#N/A,#N/A,FALSE,"단축1";#N/A,#N/A,FALSE,"단축2";#N/A,#N/A,FALSE,"단축3";#N/A,#N/A,FALSE,"장축";#N/A,#N/A,FALSE,"4WD"}</definedName>
    <definedName name="_79W5_" hidden="1">{#N/A,#N/A,FALSE,"KMC최종회의(7월) 자료"}</definedName>
    <definedName name="_79W7_" hidden="1">{#N/A,#N/A,FALSE,"KMC최종회의(7월) 자료"}</definedName>
    <definedName name="_79W9_" hidden="1">{#N/A,#N/A,FALSE,"KMC최종회의(7월) 자료"}</definedName>
    <definedName name="_79X1_" hidden="1">{#N/A,#N/A,FALSE,"KMC최종회의(7월) 자료"}</definedName>
    <definedName name="_79X2_" hidden="1">{#N/A,#N/A,FALSE,"KMC최종회의(7월) 자료"}</definedName>
    <definedName name="_79X2__1" hidden="1">{#N/A,#N/A,FALSE,"KMC최종회의(7월) 자료"}</definedName>
    <definedName name="_79X3_" hidden="1">{#N/A,#N/A,FALSE,"KMC최종회의(7월) 자료"}</definedName>
    <definedName name="_79X4_" hidden="1">{#N/A,#N/A,FALSE,"KMC최종회의(7월) 자료"}</definedName>
    <definedName name="_79X6_" hidden="1">{#N/A,#N/A,FALSE,"KMC최종회의(7월) 자료"}</definedName>
    <definedName name="_79Z2_" hidden="1">{#N/A,#N/A,FALSE,"KMC최종회의(7월) 자료"}</definedName>
    <definedName name="_79Z5_" hidden="1">{#N/A,#N/A,FALSE,"KMC최종회의(7월) 자료"}</definedName>
    <definedName name="_7A02_" hidden="1">{#N/A,#N/A,FALSE,"단축1";#N/A,#N/A,FALSE,"단축2";#N/A,#N/A,FALSE,"단축3";#N/A,#N/A,FALSE,"장축";#N/A,#N/A,FALSE,"4WD"}</definedName>
    <definedName name="_7A0323_" hidden="1">{#N/A,#N/A,FALSE,"단축1";#N/A,#N/A,FALSE,"단축2";#N/A,#N/A,FALSE,"단축3";#N/A,#N/A,FALSE,"장축";#N/A,#N/A,FALSE,"4WD"}</definedName>
    <definedName name="_7A1_" hidden="1">{#N/A,#N/A,FALSE,"KMC최종회의(7월) 자료"}</definedName>
    <definedName name="_7A1245_" hidden="1">{#N/A,#N/A,FALSE,"단축1";#N/A,#N/A,FALSE,"단축2";#N/A,#N/A,FALSE,"단축3";#N/A,#N/A,FALSE,"장축";#N/A,#N/A,FALSE,"4WD"}</definedName>
    <definedName name="_7A1454_" hidden="1">{#N/A,#N/A,FALSE,"단축1";#N/A,#N/A,FALSE,"단축2";#N/A,#N/A,FALSE,"단축3";#N/A,#N/A,FALSE,"장축";#N/A,#N/A,FALSE,"4WD"}</definedName>
    <definedName name="_7A2_" hidden="1">{#N/A,#N/A,FALSE,"KMC최종회의(7월) 자료"}</definedName>
    <definedName name="_7A2040_" hidden="1">{#N/A,#N/A,FALSE,"단축1";#N/A,#N/A,FALSE,"단축2";#N/A,#N/A,FALSE,"단축3";#N/A,#N/A,FALSE,"장축";#N/A,#N/A,FALSE,"4WD"}</definedName>
    <definedName name="_7A21321_" hidden="1">{#N/A,#N/A,FALSE,"단축1";#N/A,#N/A,FALSE,"단축2";#N/A,#N/A,FALSE,"단축3";#N/A,#N/A,FALSE,"장축";#N/A,#N/A,FALSE,"4WD"}</definedName>
    <definedName name="_7A3_" hidden="1">{#N/A,#N/A,FALSE,"단축1";#N/A,#N/A,FALSE,"단축2";#N/A,#N/A,FALSE,"단축3";#N/A,#N/A,FALSE,"장축";#N/A,#N/A,FALSE,"4WD"}</definedName>
    <definedName name="_7A4_" hidden="1">{#N/A,#N/A,FALSE,"KMC최종회의(7월) 자료"}</definedName>
    <definedName name="_7A5_" hidden="1">{#N/A,#N/A,FALSE,"KMC최종회의(7월) 자료"}</definedName>
    <definedName name="_7A6_" hidden="1">{#N/A,#N/A,FALSE,"KMC최종회의(7월) 자료"}</definedName>
    <definedName name="_7A6__1" hidden="1">{#N/A,#N/A,FALSE,"KMC최종회의(7월) 자료"}</definedName>
    <definedName name="_7A7_" hidden="1">{#N/A,#N/A,FALSE,"KMC최종회의(7월) 자료"}</definedName>
    <definedName name="_7A7__1" hidden="1">{#N/A,#N/A,FALSE,"KMC최종회의(7월) 자료"}</definedName>
    <definedName name="_7A8_" hidden="1">{#N/A,#N/A,FALSE,"KMC최종회의(7월) 자료"}</definedName>
    <definedName name="_7A8__1" hidden="1">{#N/A,#N/A,FALSE,"KMC최종회의(7월) 자료"}</definedName>
    <definedName name="_7AS6_" hidden="1">{#N/A,#N/A,FALSE,"Australien";#N/A,#N/A,FALSE,"Birmingham";#N/A,#N/A,FALSE,"Brasilien";#N/A,#N/A,FALSE,"Prag";#N/A,#N/A,FALSE,"Spanien";#N/A,#N/A,FALSE,"Malaysia ( Com)";#N/A,#N/A,FALSE,"Malaysia (Instr)"}</definedName>
    <definedName name="_7DR7_" hidden="1">{#N/A,#N/A,FALSE,"표지";#N/A,#N/A,FALSE,"전제";#N/A,#N/A,FALSE,"손익-자 (2)";#N/A,#N/A,FALSE,"손익-자";#N/A,#N/A,FALSE,"손익-마 (2)";#N/A,#N/A,FALSE,"손익-마";#N/A,#N/A,FALSE,"총손최종"}</definedName>
    <definedName name="_7ER34_" hidden="1">{#N/A,#N/A,FALSE,"단축1";#N/A,#N/A,FALSE,"단축2";#N/A,#N/A,FALSE,"단축3";#N/A,#N/A,FALSE,"장축";#N/A,#N/A,FALSE,"4WD"}</definedName>
    <definedName name="_7FG1_" hidden="1">{#N/A,#N/A,FALSE,"단축1";#N/A,#N/A,FALSE,"단축2";#N/A,#N/A,FALSE,"단축3";#N/A,#N/A,FALSE,"장축";#N/A,#N/A,FALSE,"4WD"}</definedName>
    <definedName name="_7HL3_" hidden="1">{#N/A,#N/A,TRUE,"Y생산";#N/A,#N/A,TRUE,"Y판매";#N/A,#N/A,TRUE,"Y총물량";#N/A,#N/A,TRUE,"Y능력";#N/A,#N/A,TRUE,"YKD"}</definedName>
    <definedName name="_7HP02_" hidden="1">{#N/A,#N/A,FALSE,"단축1";#N/A,#N/A,FALSE,"단축2";#N/A,#N/A,FALSE,"단축3";#N/A,#N/A,FALSE,"장축";#N/A,#N/A,FALSE,"4WD"}</definedName>
    <definedName name="_7HP2_" hidden="1">{#N/A,#N/A,FALSE,"단축1";#N/A,#N/A,FALSE,"단축2";#N/A,#N/A,FALSE,"단축3";#N/A,#N/A,FALSE,"장축";#N/A,#N/A,FALSE,"4WD"}</definedName>
    <definedName name="_7S1_" hidden="1">{#N/A,#N/A,FALSE,"KMC최종회의(7월) 자료"}</definedName>
    <definedName name="_8_____0_S" hidden="1">#REF!</definedName>
    <definedName name="_8__123Graph_ABORE_I.VALVE" hidden="1">#REF!</definedName>
    <definedName name="_8__123Graph_AC04C_ALL_T2" hidden="1">#REF!</definedName>
    <definedName name="_8__123Graph_BCHART_1" hidden="1">#N/A</definedName>
    <definedName name="_8_7_0__123Grap" hidden="1">#REF!</definedName>
    <definedName name="_8__0_S" hidden="1">#REF!</definedName>
    <definedName name="_80__123Graph_XC04C_ALL_T1" hidden="1">#REF!</definedName>
    <definedName name="_80__0_S" hidden="1">#REF!</definedName>
    <definedName name="_800AS6_" hidden="1">{#N/A,#N/A,FALSE,"Australien";#N/A,#N/A,FALSE,"Birmingham";#N/A,#N/A,FALSE,"Brasilien";#N/A,#N/A,FALSE,"Prag";#N/A,#N/A,FALSE,"Spanien";#N/A,#N/A,FALSE,"Malaysia ( Com)";#N/A,#N/A,FALSE,"Malaysia (Instr)"}</definedName>
    <definedName name="_80A6_" hidden="1">{#N/A,#N/A,FALSE,"KMC최종회의(7월) 자료"}</definedName>
    <definedName name="_80A6__1" hidden="1">{#N/A,#N/A,FALSE,"KMC최종회의(7월) 자료"}</definedName>
    <definedName name="_80A8_" hidden="1">{#N/A,#N/A,FALSE,"KMC최종회의(7월) 자료"}</definedName>
    <definedName name="_80CL22_" hidden="1">{#N/A,#N/A,FALSE,"KMC최종회의(7월) 자료"}</definedName>
    <definedName name="_80CL33_" hidden="1">{#N/A,#N/A,FALSE,"KMC최종회의(7월) 자료"}</definedName>
    <definedName name="_80E2_" hidden="1">{#N/A,#N/A,FALSE,"KMC최종회의(7월) 자료"}</definedName>
    <definedName name="_80e5_" hidden="1">{#N/A,#N/A,FALSE,"단축1";#N/A,#N/A,FALSE,"단축2";#N/A,#N/A,FALSE,"단축3";#N/A,#N/A,FALSE,"장축";#N/A,#N/A,FALSE,"4WD"}</definedName>
    <definedName name="_80e5__1" hidden="1">{#N/A,#N/A,FALSE,"단축1";#N/A,#N/A,FALSE,"단축2";#N/A,#N/A,FALSE,"단축3";#N/A,#N/A,FALSE,"장축";#N/A,#N/A,FALSE,"4WD"}</definedName>
    <definedName name="_80e7_" hidden="1">{#N/A,#N/A,FALSE,"신규dep";#N/A,#N/A,FALSE,"신규dep-금형상각후";#N/A,#N/A,FALSE,"신규dep-연구비상각후";#N/A,#N/A,FALSE,"신규dep-기계,공구상각후"}</definedName>
    <definedName name="_80H20_" hidden="1">{#N/A,#N/A,FALSE,"단축1";#N/A,#N/A,FALSE,"단축2";#N/A,#N/A,FALSE,"단축3";#N/A,#N/A,FALSE,"장축";#N/A,#N/A,FALSE,"4WD"}</definedName>
    <definedName name="_80HP2_" hidden="1">{#N/A,#N/A,FALSE,"단축1";#N/A,#N/A,FALSE,"단축2";#N/A,#N/A,FALSE,"단축3";#N/A,#N/A,FALSE,"장축";#N/A,#N/A,FALSE,"4WD"}</definedName>
    <definedName name="_80M123_" hidden="1">{#N/A,#N/A,FALSE,"단축1";#N/A,#N/A,FALSE,"단축2";#N/A,#N/A,FALSE,"단축3";#N/A,#N/A,FALSE,"장축";#N/A,#N/A,FALSE,"4WD"}</definedName>
    <definedName name="_80Q1_" hidden="1">{#N/A,#N/A,FALSE,"KMC최종회의(7월) 자료"}</definedName>
    <definedName name="_80Q2_" hidden="1">{#N/A,#N/A,FALSE,"KMC최종회의(7월) 자료"}</definedName>
    <definedName name="_80Q3_" hidden="1">{#N/A,#N/A,FALSE,"KMC최종회의(7월) 자료"}</definedName>
    <definedName name="_80Q7_" hidden="1">{#N/A,#N/A,FALSE,"KMC최종회의(7월) 자료"}</definedName>
    <definedName name="_80S1_" hidden="1">{#N/A,#N/A,FALSE,"KMC최종회의(7월) 자료"}</definedName>
    <definedName name="_80S2_" hidden="1">{#N/A,#N/A,FALSE,"KMC최종회의(7월) 자료"}</definedName>
    <definedName name="_80S3_" hidden="1">{#N/A,#N/A,FALSE,"KMC최종회의(7월) 자료"}</definedName>
    <definedName name="_80s4_" hidden="1">{#N/A,#N/A,FALSE,"단축1";#N/A,#N/A,FALSE,"단축2";#N/A,#N/A,FALSE,"단축3";#N/A,#N/A,FALSE,"장축";#N/A,#N/A,FALSE,"4WD"}</definedName>
    <definedName name="_80s4__1" hidden="1">{#N/A,#N/A,FALSE,"단축1";#N/A,#N/A,FALSE,"단축2";#N/A,#N/A,FALSE,"단축3";#N/A,#N/A,FALSE,"장축";#N/A,#N/A,FALSE,"4WD"}</definedName>
    <definedName name="_80S7_" hidden="1">{#N/A,#N/A,FALSE,"KMC최종회의(7월) 자료"}</definedName>
    <definedName name="_80S8_" hidden="1">{#N/A,#N/A,FALSE,"KMC최종회의(7월) 자료"}</definedName>
    <definedName name="_80W3_" hidden="1">{#N/A,#N/A,FALSE,"KMC최종회의(7월) 자료"}</definedName>
    <definedName name="_80W4_" hidden="1">{#N/A,#N/A,FALSE,"KMC최종회의(7월) 자료"}</definedName>
    <definedName name="_80W5_" hidden="1">{#N/A,#N/A,FALSE,"KMC최종회의(7월) 자료"}</definedName>
    <definedName name="_80W6_" hidden="1">{#N/A,#N/A,FALSE,"KMC최종회의(7월) 자료"}</definedName>
    <definedName name="_80W8_" hidden="1">{#N/A,#N/A,FALSE,"KMC최종회의(7월) 자료"}</definedName>
    <definedName name="_80W9_" hidden="1">{#N/A,#N/A,FALSE,"KMC최종회의(7월) 자료"}</definedName>
    <definedName name="_80X1_" hidden="1">{#N/A,#N/A,FALSE,"KMC최종회의(7월) 자료"}</definedName>
    <definedName name="_80X2_" hidden="1">{#N/A,#N/A,FALSE,"KMC최종회의(7월) 자료"}</definedName>
    <definedName name="_80X3_" hidden="1">{#N/A,#N/A,FALSE,"KMC최종회의(7월) 자료"}</definedName>
    <definedName name="_80X4_" hidden="1">{#N/A,#N/A,FALSE,"KMC최종회의(7월) 자료"}</definedName>
    <definedName name="_80X5_" hidden="1">{#N/A,#N/A,FALSE,"KMC최종회의(7월) 자료"}</definedName>
    <definedName name="_80X7_" hidden="1">{#N/A,#N/A,FALSE,"KMC최종회의(7월) 자료"}</definedName>
    <definedName name="_80X8_" hidden="1">{#N/A,#N/A,FALSE,"KMC최종회의(7월) 자료"}</definedName>
    <definedName name="_80Z3_" hidden="1">{#N/A,#N/A,FALSE,"KMC최종회의(7월) 자료"}</definedName>
    <definedName name="_80Z6_" hidden="1">{#N/A,#N/A,FALSE,"KMC최종회의(7월) 자료"}</definedName>
    <definedName name="_80Z8_" hidden="1">{#N/A,#N/A,FALSE,"KMC최종회의(7월) 자료"}</definedName>
    <definedName name="_810W2_" hidden="1">{#N/A,#N/A,FALSE,"KMC최종회의(7월) 자료"}</definedName>
    <definedName name="_81A1_" hidden="1">{#N/A,#N/A,FALSE,"KMC최종회의(7월) 자료"}</definedName>
    <definedName name="_81A1232_" hidden="1">{#N/A,#N/A,FALSE,"단축1";#N/A,#N/A,FALSE,"단축2";#N/A,#N/A,FALSE,"단축3";#N/A,#N/A,FALSE,"장축";#N/A,#N/A,FALSE,"4WD"}</definedName>
    <definedName name="_81A3_" hidden="1">{#N/A,#N/A,FALSE,"단축1";#N/A,#N/A,FALSE,"단축2";#N/A,#N/A,FALSE,"단축3";#N/A,#N/A,FALSE,"장축";#N/A,#N/A,FALSE,"4WD"}</definedName>
    <definedName name="_81A4_" hidden="1">{#N/A,#N/A,FALSE,"KMC최종회의(7월) 자료"}</definedName>
    <definedName name="_81A4444_" hidden="1">{#N/A,#N/A,FALSE,"KMC최종회의(7월) 자료"}</definedName>
    <definedName name="_81A8_" hidden="1">{#N/A,#N/A,FALSE,"KMC최종회의(7월) 자료"}</definedName>
    <definedName name="_81CL22_" hidden="1">{#N/A,#N/A,FALSE,"KMC최종회의(7월) 자료"}</definedName>
    <definedName name="_81CL222_" hidden="1">{#N/A,#N/A,FALSE,"KMC최종회의(7월) 자료"}</definedName>
    <definedName name="_81E1_" hidden="1">{#N/A,#N/A,FALSE,"KMC최종회의(7월) 자료"}</definedName>
    <definedName name="_81e8_" hidden="1">{#N/A,#N/A,FALSE,"신규dep";#N/A,#N/A,FALSE,"신규dep-금형상각후";#N/A,#N/A,FALSE,"신규dep-연구비상각후";#N/A,#N/A,FALSE,"신규dep-기계,공구상각후"}</definedName>
    <definedName name="_81e9_" hidden="1">{#N/A,#N/A,FALSE,"단축1";#N/A,#N/A,FALSE,"단축2";#N/A,#N/A,FALSE,"단축3";#N/A,#N/A,FALSE,"장축";#N/A,#N/A,FALSE,"4WD"}</definedName>
    <definedName name="_81EO2_" hidden="1">{#N/A,#N/A,FALSE,"신규dep";#N/A,#N/A,FALSE,"신규dep-금형상각후";#N/A,#N/A,FALSE,"신규dep-연구비상각후";#N/A,#N/A,FALSE,"신규dep-기계,공구상각후"}</definedName>
    <definedName name="_81FG1_" hidden="1">{#N/A,#N/A,FALSE,"단축1";#N/A,#N/A,FALSE,"단축2";#N/A,#N/A,FALSE,"단축3";#N/A,#N/A,FALSE,"장축";#N/A,#N/A,FALSE,"4WD"}</definedName>
    <definedName name="_81h2_" hidden="1">{"'표지'!$B$5"}</definedName>
    <definedName name="_81HP02_" hidden="1">{#N/A,#N/A,FALSE,"단축1";#N/A,#N/A,FALSE,"단축2";#N/A,#N/A,FALSE,"단축3";#N/A,#N/A,FALSE,"장축";#N/A,#N/A,FALSE,"4WD"}</definedName>
    <definedName name="_81Q2_" hidden="1">{#N/A,#N/A,FALSE,"KMC최종회의(7월) 자료"}</definedName>
    <definedName name="_81Q8_" hidden="1">{#N/A,#N/A,FALSE,"KMC최종회의(7월) 자료"}</definedName>
    <definedName name="_81s1_" hidden="1">{#N/A,#N/A,FALSE,"신규dep";#N/A,#N/A,FALSE,"신규dep-금형상각후";#N/A,#N/A,FALSE,"신규dep-연구비상각후";#N/A,#N/A,FALSE,"신규dep-기계,공구상각후"}</definedName>
    <definedName name="_81s1__1" hidden="1">{#N/A,#N/A,FALSE,"신규dep";#N/A,#N/A,FALSE,"신규dep-금형상각후";#N/A,#N/A,FALSE,"신규dep-연구비상각후";#N/A,#N/A,FALSE,"신규dep-기계,공구상각후"}</definedName>
    <definedName name="_81s2_" hidden="1">{#N/A,#N/A,FALSE,"신규dep";#N/A,#N/A,FALSE,"신규dep-금형상각후";#N/A,#N/A,FALSE,"신규dep-연구비상각후";#N/A,#N/A,FALSE,"신규dep-기계,공구상각후"}</definedName>
    <definedName name="_81S5_" hidden="1">{#N/A,#N/A,FALSE,"KMC최종회의(7월) 자료"}</definedName>
    <definedName name="_81S5__1" hidden="1">{#N/A,#N/A,FALSE,"KMC최종회의(7월) 자료"}</definedName>
    <definedName name="_81W1_" hidden="1">{#N/A,#N/A,FALSE,"KMC최종회의(7월) 자료"}</definedName>
    <definedName name="_81W3_" hidden="1">{#N/A,#N/A,FALSE,"KMC최종회의(7월) 자료"}</definedName>
    <definedName name="_81W6_" hidden="1">{#N/A,#N/A,FALSE,"KMC최종회의(7월) 자료"}</definedName>
    <definedName name="_81W9_" hidden="1">{#N/A,#N/A,FALSE,"KMC최종회의(7월) 자료"}</definedName>
    <definedName name="_81X2_" hidden="1">{#N/A,#N/A,FALSE,"KMC최종회의(7월) 자료"}</definedName>
    <definedName name="_81X3_" hidden="1">{#N/A,#N/A,FALSE,"KMC최종회의(7월) 자료"}</definedName>
    <definedName name="_81X3__1" hidden="1">{#N/A,#N/A,FALSE,"KMC최종회의(7월) 자료"}</definedName>
    <definedName name="_81X4_" hidden="1">{#N/A,#N/A,FALSE,"KMC최종회의(7월) 자료"}</definedName>
    <definedName name="_81X5_" hidden="1">{#N/A,#N/A,FALSE,"KMC최종회의(7월) 자료"}</definedName>
    <definedName name="_81X6_" hidden="1">{#N/A,#N/A,FALSE,"KMC최종회의(7월) 자료"}</definedName>
    <definedName name="_81X8_" hidden="1">{#N/A,#N/A,FALSE,"KMC최종회의(7월) 자료"}</definedName>
    <definedName name="_81Z4_" hidden="1">{#N/A,#N/A,FALSE,"KMC최종회의(7월) 자료"}</definedName>
    <definedName name="_81Z7_" hidden="1">{#N/A,#N/A,FALSE,"KMC최종회의(7월) 자료"}</definedName>
    <definedName name="_826W3_" hidden="1">{#N/A,#N/A,FALSE,"KMC최종회의(7월) 자료"}</definedName>
    <definedName name="_828CL22_" hidden="1">{#N/A,#N/A,FALSE,"KMC최종회의(7월) 자료"}</definedName>
    <definedName name="_82A6_" hidden="1">{#N/A,#N/A,FALSE,"KMC최종회의(7월) 자료"}</definedName>
    <definedName name="_82DB777_" hidden="1">{#N/A,#N/A,TRUE,"Y생산";#N/A,#N/A,TRUE,"Y판매";#N/A,#N/A,TRUE,"Y총물량";#N/A,#N/A,TRUE,"Y능력";#N/A,#N/A,TRUE,"YKD"}</definedName>
    <definedName name="_82e1_" hidden="1">{#N/A,#N/A,FALSE,"단축1";#N/A,#N/A,FALSE,"단축2";#N/A,#N/A,FALSE,"단축3";#N/A,#N/A,FALSE,"장축";#N/A,#N/A,FALSE,"4WD"}</definedName>
    <definedName name="_82e9_" hidden="1">{#N/A,#N/A,FALSE,"단축1";#N/A,#N/A,FALSE,"단축2";#N/A,#N/A,FALSE,"단축3";#N/A,#N/A,FALSE,"장축";#N/A,#N/A,FALSE,"4WD"}</definedName>
    <definedName name="_82HP2_" hidden="1">{#N/A,#N/A,FALSE,"단축1";#N/A,#N/A,FALSE,"단축2";#N/A,#N/A,FALSE,"단축3";#N/A,#N/A,FALSE,"장축";#N/A,#N/A,FALSE,"4WD"}</definedName>
    <definedName name="_82k1_" hidden="1">#REF!</definedName>
    <definedName name="_82P2_" hidden="1">{#N/A,#N/A,FALSE,"단축1";#N/A,#N/A,FALSE,"단축2";#N/A,#N/A,FALSE,"단축3";#N/A,#N/A,FALSE,"장축";#N/A,#N/A,FALSE,"4WD"}</definedName>
    <definedName name="_82Q11_" hidden="1">{"'7-2지역별'!$A$1:$R$44"}</definedName>
    <definedName name="_82Q3_" hidden="1">{#N/A,#N/A,FALSE,"KMC최종회의(7월) 자료"}</definedName>
    <definedName name="_82Q8_" hidden="1">{#N/A,#N/A,FALSE,"KMC최종회의(7월) 자료"}</definedName>
    <definedName name="_82S1_" hidden="1">{#N/A,#N/A,FALSE,"KMC최종회의(7월) 자료"}</definedName>
    <definedName name="_82S4_" hidden="1">{#N/A,#N/A,FALSE,"KMC최종회의(7월) 자료"}</definedName>
    <definedName name="_82s5_" hidden="1">{#N/A,#N/A,FALSE,"신규dep";#N/A,#N/A,FALSE,"신규dep-금형상각후";#N/A,#N/A,FALSE,"신규dep-연구비상각후";#N/A,#N/A,FALSE,"신규dep-기계,공구상각후"}</definedName>
    <definedName name="_82s5__1" hidden="1">{#N/A,#N/A,FALSE,"신규dep";#N/A,#N/A,FALSE,"신규dep-금형상각후";#N/A,#N/A,FALSE,"신규dep-연구비상각후";#N/A,#N/A,FALSE,"신규dep-기계,공구상각후"}</definedName>
    <definedName name="_82S6_" hidden="1">{#N/A,#N/A,FALSE,"KMC최종회의(7월) 자료"}</definedName>
    <definedName name="_82S8_" hidden="1">{#N/A,#N/A,FALSE,"KMC최종회의(7월) 자료"}</definedName>
    <definedName name="_82T3_" hidden="1">{#N/A,#N/A,FALSE,"단축1";#N/A,#N/A,FALSE,"단축2";#N/A,#N/A,FALSE,"단축3";#N/A,#N/A,FALSE,"장축";#N/A,#N/A,FALSE,"4WD"}</definedName>
    <definedName name="_82W1_" hidden="1">{#N/A,#N/A,FALSE,"KMC최종회의(7월) 자료"}</definedName>
    <definedName name="_82W4_" hidden="1">{#N/A,#N/A,FALSE,"KMC최종회의(7월) 자료"}</definedName>
    <definedName name="_82W5_" hidden="1">{#N/A,#N/A,FALSE,"KMC최종회의(7월) 자료"}</definedName>
    <definedName name="_82W6_" hidden="1">{#N/A,#N/A,FALSE,"KMC최종회의(7월) 자료"}</definedName>
    <definedName name="_82W7_" hidden="1">{#N/A,#N/A,FALSE,"KMC최종회의(7월) 자료"}</definedName>
    <definedName name="_82W9_" hidden="1">{#N/A,#N/A,FALSE,"KMC최종회의(7월) 자료"}</definedName>
    <definedName name="_82X1_" hidden="1">{#N/A,#N/A,FALSE,"KMC최종회의(7월) 자료"}</definedName>
    <definedName name="_82X3_" hidden="1">{#N/A,#N/A,FALSE,"KMC최종회의(7월) 자료"}</definedName>
    <definedName name="_82X4_" hidden="1">{#N/A,#N/A,FALSE,"KMC최종회의(7월) 자료"}</definedName>
    <definedName name="_82X5_" hidden="1">{#N/A,#N/A,FALSE,"KMC최종회의(7월) 자료"}</definedName>
    <definedName name="_82X6_" hidden="1">{#N/A,#N/A,FALSE,"KMC최종회의(7월) 자료"}</definedName>
    <definedName name="_82X7_" hidden="1">{#N/A,#N/A,FALSE,"KMC최종회의(7월) 자료"}</definedName>
    <definedName name="_82Z1_" hidden="1">{#N/A,#N/A,FALSE,"KMC최종회의(7월) 자료"}</definedName>
    <definedName name="_82Z5_" hidden="1">{#N/A,#N/A,FALSE,"KMC최종회의(7월) 자료"}</definedName>
    <definedName name="_82Z8_" hidden="1">{#N/A,#N/A,FALSE,"KMC최종회의(7월) 자료"}</definedName>
    <definedName name="_82Z9_" hidden="1">{#N/A,#N/A,FALSE,"KMC최종회의(7월) 자료"}</definedName>
    <definedName name="_83__123Graph_XC04C_ALL_T2" hidden="1">#REF!</definedName>
    <definedName name="_833CL222_" hidden="1">{#N/A,#N/A,FALSE,"KMC최종회의(7월) 자료"}</definedName>
    <definedName name="_838CL33_" hidden="1">{#N/A,#N/A,FALSE,"KMC최종회의(7월) 자료"}</definedName>
    <definedName name="_83A3_" hidden="1">{#N/A,#N/A,FALSE,"KMC최종회의(7월) 자료"}</definedName>
    <definedName name="_83A5_" hidden="1">{#N/A,#N/A,FALSE,"KMC최종회의(7월) 자료"}</definedName>
    <definedName name="_83DB777_" hidden="1">{#N/A,#N/A,TRUE,"Y생산";#N/A,#N/A,TRUE,"Y판매";#N/A,#N/A,TRUE,"Y총물량";#N/A,#N/A,TRUE,"Y능력";#N/A,#N/A,TRUE,"YKD"}</definedName>
    <definedName name="_83e1_" hidden="1">{#N/A,#N/A,FALSE,"단축1";#N/A,#N/A,FALSE,"단축2";#N/A,#N/A,FALSE,"단축3";#N/A,#N/A,FALSE,"장축";#N/A,#N/A,FALSE,"4WD"}</definedName>
    <definedName name="_83E2_" hidden="1">{#N/A,#N/A,FALSE,"KMC최종회의(7월) 자료"}</definedName>
    <definedName name="_83FG1_" hidden="1">{#N/A,#N/A,FALSE,"단축1";#N/A,#N/A,FALSE,"단축2";#N/A,#N/A,FALSE,"단축3";#N/A,#N/A,FALSE,"장축";#N/A,#N/A,FALSE,"4WD"}</definedName>
    <definedName name="_83h3_" hidden="1">{"'표지'!$B$5"}</definedName>
    <definedName name="_83HP02_" hidden="1">{#N/A,#N/A,FALSE,"단축1";#N/A,#N/A,FALSE,"단축2";#N/A,#N/A,FALSE,"단축3";#N/A,#N/A,FALSE,"장축";#N/A,#N/A,FALSE,"4WD"}</definedName>
    <definedName name="_83K1_" hidden="1">{#N/A,#N/A,FALSE,"인원";#N/A,#N/A,FALSE,"비용2";#N/A,#N/A,FALSE,"비용1";#N/A,#N/A,FALSE,"비용";#N/A,#N/A,FALSE,"보증2";#N/A,#N/A,FALSE,"보증1";#N/A,#N/A,FALSE,"보증";#N/A,#N/A,FALSE,"손익1";#N/A,#N/A,FALSE,"손익";#N/A,#N/A,FALSE,"부서별매출";#N/A,#N/A,FALSE,"매출"}</definedName>
    <definedName name="_83Q2_" hidden="1">{#N/A,#N/A,FALSE,"KMC최종회의(7월) 자료"}</definedName>
    <definedName name="_83Q3_" hidden="1">{#N/A,#N/A,FALSE,"KMC최종회의(7월) 자료"}</definedName>
    <definedName name="_83Q5_" hidden="1">{#N/A,#N/A,FALSE,"KMC최종회의(7월) 자료"}</definedName>
    <definedName name="_83Q8_" hidden="1">{#N/A,#N/A,FALSE,"KMC최종회의(7월) 자료"}</definedName>
    <definedName name="_83s2_" hidden="1">{#N/A,#N/A,FALSE,"신규dep";#N/A,#N/A,FALSE,"신규dep-금형상각후";#N/A,#N/A,FALSE,"신규dep-연구비상각후";#N/A,#N/A,FALSE,"신규dep-기계,공구상각후"}</definedName>
    <definedName name="_83s2__1" hidden="1">{#N/A,#N/A,FALSE,"신규dep";#N/A,#N/A,FALSE,"신규dep-금형상각후";#N/A,#N/A,FALSE,"신규dep-연구비상각후";#N/A,#N/A,FALSE,"신규dep-기계,공구상각후"}</definedName>
    <definedName name="_83s3_" hidden="1">{#N/A,#N/A,FALSE,"단축1";#N/A,#N/A,FALSE,"단축2";#N/A,#N/A,FALSE,"단축3";#N/A,#N/A,FALSE,"장축";#N/A,#N/A,FALSE,"4WD"}</definedName>
    <definedName name="_83S6_" hidden="1">{#N/A,#N/A,FALSE,"KMC최종회의(7월) 자료"}</definedName>
    <definedName name="_83W7_" hidden="1">{#N/A,#N/A,FALSE,"KMC최종회의(7월) 자료"}</definedName>
    <definedName name="_83X2_" hidden="1">{#N/A,#N/A,FALSE,"KMC최종회의(7월) 자료"}</definedName>
    <definedName name="_83X3_" hidden="1">{#N/A,#N/A,FALSE,"KMC최종회의(7월) 자료"}</definedName>
    <definedName name="_83X4_" hidden="1">{#N/A,#N/A,FALSE,"KMC최종회의(7월) 자료"}</definedName>
    <definedName name="_83X4__1" hidden="1">{#N/A,#N/A,FALSE,"KMC최종회의(7월) 자료"}</definedName>
    <definedName name="_83X5_" hidden="1">{#N/A,#N/A,FALSE,"KMC최종회의(7월) 자료"}</definedName>
    <definedName name="_83X6_" hidden="1">{#N/A,#N/A,FALSE,"KMC최종회의(7월) 자료"}</definedName>
    <definedName name="_83X8_" hidden="1">{#N/A,#N/A,FALSE,"KMC최종회의(7월) 자료"}</definedName>
    <definedName name="_83Z2_" hidden="1">{#N/A,#N/A,FALSE,"KMC최종회의(7월) 자료"}</definedName>
    <definedName name="_83Z6_" hidden="1">{#N/A,#N/A,FALSE,"KMC최종회의(7월) 자료"}</definedName>
    <definedName name="_83Z9_" hidden="1">{#N/A,#N/A,FALSE,"KMC최종회의(7월) 자료"}</definedName>
    <definedName name="_84__123Graph_XC04C_ALL_T2" hidden="1">#REF!</definedName>
    <definedName name="_84____S" hidden="1">#REF!</definedName>
    <definedName name="_841q1_" hidden="1">{#N/A,#N/A,FALSE,"단축1";#N/A,#N/A,FALSE,"단축2";#N/A,#N/A,FALSE,"단축3";#N/A,#N/A,FALSE,"장축";#N/A,#N/A,FALSE,"4WD"}</definedName>
    <definedName name="_842W4_" hidden="1">{#N/A,#N/A,FALSE,"KMC최종회의(7월) 자료"}</definedName>
    <definedName name="_84A1245_" hidden="1">{#N/A,#N/A,FALSE,"단축1";#N/A,#N/A,FALSE,"단축2";#N/A,#N/A,FALSE,"단축3";#N/A,#N/A,FALSE,"장축";#N/A,#N/A,FALSE,"4WD"}</definedName>
    <definedName name="_84A2_" hidden="1">{#N/A,#N/A,FALSE,"KMC최종회의(7월) 자료"}</definedName>
    <definedName name="_84A4_" hidden="1">{#N/A,#N/A,FALSE,"KMC최종회의(7월) 자료"}</definedName>
    <definedName name="_84A4__1" hidden="1">{#N/A,#N/A,FALSE,"KMC최종회의(7월) 자료"}</definedName>
    <definedName name="_84A7_" hidden="1">{#N/A,#N/A,FALSE,"KMC최종회의(7월) 자료"}</definedName>
    <definedName name="_84AS6_" hidden="1">{#N/A,#N/A,FALSE,"Australien";#N/A,#N/A,FALSE,"Birmingham";#N/A,#N/A,FALSE,"Brasilien";#N/A,#N/A,FALSE,"Prag";#N/A,#N/A,FALSE,"Spanien";#N/A,#N/A,FALSE,"Malaysia ( Com)";#N/A,#N/A,FALSE,"Malaysia (Instr)"}</definedName>
    <definedName name="_84CL222_" hidden="1">{#N/A,#N/A,FALSE,"KMC최종회의(7월) 자료"}</definedName>
    <definedName name="_84CL33_" hidden="1">{#N/A,#N/A,FALSE,"KMC최종회의(7월) 자료"}</definedName>
    <definedName name="_84e3_" hidden="1">{#N/A,#N/A,FALSE,"단축1";#N/A,#N/A,FALSE,"단축2";#N/A,#N/A,FALSE,"단축3";#N/A,#N/A,FALSE,"장축";#N/A,#N/A,FALSE,"4WD"}</definedName>
    <definedName name="_84G1_" hidden="1">{#N/A,#N/A,FALSE,"단축1";#N/A,#N/A,FALSE,"단축2";#N/A,#N/A,FALSE,"단축3";#N/A,#N/A,FALSE,"장축";#N/A,#N/A,FALSE,"4WD"}</definedName>
    <definedName name="_84k1_" hidden="1">{#N/A,#N/A,FALSE,"단축1";#N/A,#N/A,FALSE,"단축2";#N/A,#N/A,FALSE,"단축3";#N/A,#N/A,FALSE,"장축";#N/A,#N/A,FALSE,"4WD"}</definedName>
    <definedName name="_84K115_" hidden="1">{#N/A,#N/A,FALSE,"인원";#N/A,#N/A,FALSE,"비용2";#N/A,#N/A,FALSE,"비용1";#N/A,#N/A,FALSE,"비용";#N/A,#N/A,FALSE,"보증2";#N/A,#N/A,FALSE,"보증1";#N/A,#N/A,FALSE,"보증";#N/A,#N/A,FALSE,"손익1";#N/A,#N/A,FALSE,"손익";#N/A,#N/A,FALSE,"부서별매출";#N/A,#N/A,FALSE,"매출"}</definedName>
    <definedName name="_84Q1_" hidden="1">{#N/A,#N/A,FALSE,"KMC최종회의(7월) 자료"}</definedName>
    <definedName name="_84Q3_" hidden="1">{#N/A,#N/A,FALSE,"KMC최종회의(7월) 자료"}</definedName>
    <definedName name="_84Q9_" hidden="1">{#N/A,#N/A,FALSE,"KMC최종회의(7월) 자료"}</definedName>
    <definedName name="_84S3_" hidden="1">{#N/A,#N/A,FALSE,"KMC최종회의(7월) 자료"}</definedName>
    <definedName name="_84S5_" hidden="1">{#N/A,#N/A,FALSE,"KMC최종회의(7월) 자료"}</definedName>
    <definedName name="_84S6_" hidden="1">{#N/A,#N/A,FALSE,"KMC최종회의(7월) 자료"}</definedName>
    <definedName name="_84S6__1" hidden="1">{#N/A,#N/A,FALSE,"KMC최종회의(7월) 자료"}</definedName>
    <definedName name="_84W1_" hidden="1">{#N/A,#N/A,FALSE,"KMC최종회의(7월) 자료"}</definedName>
    <definedName name="_84W2_" hidden="1">{#N/A,#N/A,FALSE,"KMC최종회의(7월) 자료"}</definedName>
    <definedName name="_84W4_" hidden="1">{#N/A,#N/A,FALSE,"KMC최종회의(7월) 자료"}</definedName>
    <definedName name="_84W5_" hidden="1">{#N/A,#N/A,FALSE,"KMC최종회의(7월) 자료"}</definedName>
    <definedName name="_84W6_" hidden="1">{#N/A,#N/A,FALSE,"KMC최종회의(7월) 자료"}</definedName>
    <definedName name="_84W7_" hidden="1">{#N/A,#N/A,FALSE,"KMC최종회의(7월) 자료"}</definedName>
    <definedName name="_84W8_" hidden="1">{#N/A,#N/A,FALSE,"KMC최종회의(7월) 자료"}</definedName>
    <definedName name="_84X1_" hidden="1">{#N/A,#N/A,FALSE,"KMC최종회의(7월) 자료"}</definedName>
    <definedName name="_84X2_" hidden="1">{#N/A,#N/A,FALSE,"KMC최종회의(7월) 자료"}</definedName>
    <definedName name="_84X3_" hidden="1">{#N/A,#N/A,FALSE,"KMC최종회의(7월) 자료"}</definedName>
    <definedName name="_84X4_" hidden="1">{#N/A,#N/A,FALSE,"KMC최종회의(7월) 자료"}</definedName>
    <definedName name="_84X5_" hidden="1">{#N/A,#N/A,FALSE,"KMC최종회의(7월) 자료"}</definedName>
    <definedName name="_84X6_" hidden="1">{#N/A,#N/A,FALSE,"KMC최종회의(7월) 자료"}</definedName>
    <definedName name="_84X7_" hidden="1">{#N/A,#N/A,FALSE,"KMC최종회의(7월) 자료"}</definedName>
    <definedName name="_84Z1_" hidden="1">{#N/A,#N/A,FALSE,"KMC최종회의(7월) 자료"}</definedName>
    <definedName name="_84Z2_" hidden="1">{#N/A,#N/A,FALSE,"KMC최종회의(7월) 자료"}</definedName>
    <definedName name="_84Z3_" hidden="1">{#N/A,#N/A,FALSE,"KMC최종회의(7월) 자료"}</definedName>
    <definedName name="_84Z7_" hidden="1">{#N/A,#N/A,FALSE,"KMC최종회의(7월) 자료"}</definedName>
    <definedName name="_85__0_S" hidden="1">#REF!</definedName>
    <definedName name="_857q3_" hidden="1">{#N/A,#N/A,FALSE,"단축1";#N/A,#N/A,FALSE,"단축2";#N/A,#N/A,FALSE,"단축3";#N/A,#N/A,FALSE,"장축";#N/A,#N/A,FALSE,"4WD"}</definedName>
    <definedName name="_858W5_" hidden="1">{#N/A,#N/A,FALSE,"KMC최종회의(7월) 자료"}</definedName>
    <definedName name="_859A3_" hidden="1">{#N/A,#N/A,FALSE,"단축1";#N/A,#N/A,FALSE,"단축2";#N/A,#N/A,FALSE,"단축3";#N/A,#N/A,FALSE,"장축";#N/A,#N/A,FALSE,"4WD"}</definedName>
    <definedName name="_85A5_" hidden="1">{#N/A,#N/A,FALSE,"KMC최종회의(7월) 자료"}</definedName>
    <definedName name="_85A6_" hidden="1">{#N/A,#N/A,FALSE,"KMC최종회의(7월) 자료"}</definedName>
    <definedName name="_85A9_" hidden="1">{#N/A,#N/A,FALSE,"KMC최종회의(7월) 자료"}</definedName>
    <definedName name="_85CL222_" hidden="1">{#N/A,#N/A,FALSE,"KMC최종회의(7월) 자료"}</definedName>
    <definedName name="_85DB777_" hidden="1">{#N/A,#N/A,TRUE,"Y생산";#N/A,#N/A,TRUE,"Y판매";#N/A,#N/A,TRUE,"Y총물량";#N/A,#N/A,TRUE,"Y능력";#N/A,#N/A,TRUE,"YKD"}</definedName>
    <definedName name="_85e4_" hidden="1">{#N/A,#N/A,FALSE,"단축1";#N/A,#N/A,FALSE,"단축2";#N/A,#N/A,FALSE,"단축3";#N/A,#N/A,FALSE,"장축";#N/A,#N/A,FALSE,"4WD"}</definedName>
    <definedName name="_85e6_" hidden="1">{#N/A,#N/A,FALSE,"단축1";#N/A,#N/A,FALSE,"단축2";#N/A,#N/A,FALSE,"단축3";#N/A,#N/A,FALSE,"장축";#N/A,#N/A,FALSE,"4WD"}</definedName>
    <definedName name="_85e6__1" hidden="1">{#N/A,#N/A,FALSE,"단축1";#N/A,#N/A,FALSE,"단축2";#N/A,#N/A,FALSE,"단축3";#N/A,#N/A,FALSE,"장축";#N/A,#N/A,FALSE,"4WD"}</definedName>
    <definedName name="_85FG1_" hidden="1">{#N/A,#N/A,FALSE,"단축1";#N/A,#N/A,FALSE,"단축2";#N/A,#N/A,FALSE,"단축3";#N/A,#N/A,FALSE,"장축";#N/A,#N/A,FALSE,"4WD"}</definedName>
    <definedName name="_85H1620_" hidden="1">{#N/A,#N/A,FALSE,"단축1";#N/A,#N/A,FALSE,"단축2";#N/A,#N/A,FALSE,"단축3";#N/A,#N/A,FALSE,"장축";#N/A,#N/A,FALSE,"4WD"}</definedName>
    <definedName name="_85h4_" hidden="1">{"'표지'!$B$5"}</definedName>
    <definedName name="_85HL1_" hidden="1">{#N/A,#N/A,FALSE,"단축1";#N/A,#N/A,FALSE,"단축2";#N/A,#N/A,FALSE,"단축3";#N/A,#N/A,FALSE,"장축";#N/A,#N/A,FALSE,"4WD"}</definedName>
    <definedName name="_85HP2_" hidden="1">{#N/A,#N/A,FALSE,"단축1";#N/A,#N/A,FALSE,"단축2";#N/A,#N/A,FALSE,"단축3";#N/A,#N/A,FALSE,"장축";#N/A,#N/A,FALSE,"4WD"}</definedName>
    <definedName name="_85HP2__1" hidden="1">{#N/A,#N/A,FALSE,"단축1";#N/A,#N/A,FALSE,"단축2";#N/A,#N/A,FALSE,"단축3";#N/A,#N/A,FALSE,"장축";#N/A,#N/A,FALSE,"4WD"}</definedName>
    <definedName name="_85q1_" hidden="1">{#N/A,#N/A,FALSE,"단축1";#N/A,#N/A,FALSE,"단축2";#N/A,#N/A,FALSE,"단축3";#N/A,#N/A,FALSE,"장축";#N/A,#N/A,FALSE,"4WD"}</definedName>
    <definedName name="_85Q3_" hidden="1">{#N/A,#N/A,FALSE,"KMC최종회의(7월) 자료"}</definedName>
    <definedName name="_85S2_" hidden="1">{#N/A,#N/A,FALSE,"KMC최종회의(7월) 자료"}</definedName>
    <definedName name="_85s3_" hidden="1">{#N/A,#N/A,FALSE,"단축1";#N/A,#N/A,FALSE,"단축2";#N/A,#N/A,FALSE,"단축3";#N/A,#N/A,FALSE,"장축";#N/A,#N/A,FALSE,"4WD"}</definedName>
    <definedName name="_85s3__1" hidden="1">{#N/A,#N/A,FALSE,"단축1";#N/A,#N/A,FALSE,"단축2";#N/A,#N/A,FALSE,"단축3";#N/A,#N/A,FALSE,"장축";#N/A,#N/A,FALSE,"4WD"}</definedName>
    <definedName name="_85s4_" hidden="1">{#N/A,#N/A,FALSE,"단축1";#N/A,#N/A,FALSE,"단축2";#N/A,#N/A,FALSE,"단축3";#N/A,#N/A,FALSE,"장축";#N/A,#N/A,FALSE,"4WD"}</definedName>
    <definedName name="_85S7_" hidden="1">{#N/A,#N/A,FALSE,"KMC최종회의(7월) 자료"}</definedName>
    <definedName name="_85W8_" hidden="1">{#N/A,#N/A,FALSE,"KMC최종회의(7월) 자료"}</definedName>
    <definedName name="_85X4_" hidden="1">{#N/A,#N/A,FALSE,"KMC최종회의(7월) 자료"}</definedName>
    <definedName name="_85X5_" hidden="1">{#N/A,#N/A,FALSE,"KMC최종회의(7월) 자료"}</definedName>
    <definedName name="_85X5__1" hidden="1">{#N/A,#N/A,FALSE,"KMC최종회의(7월) 자료"}</definedName>
    <definedName name="_85X6_" hidden="1">{#N/A,#N/A,FALSE,"KMC최종회의(7월) 자료"}</definedName>
    <definedName name="_85X7_" hidden="1">{#N/A,#N/A,FALSE,"KMC최종회의(7월) 자료"}</definedName>
    <definedName name="_85Z2_" hidden="1">{#N/A,#N/A,FALSE,"KMC최종회의(7월) 자료"}</definedName>
    <definedName name="_85Z4_" hidden="1">{#N/A,#N/A,FALSE,"KMC최종회의(7월) 자료"}</definedName>
    <definedName name="_85Z8_" hidden="1">{#N/A,#N/A,FALSE,"KMC최종회의(7월) 자료"}</definedName>
    <definedName name="_860DB777_" hidden="1">{#N/A,#N/A,TRUE,"Y생산";#N/A,#N/A,TRUE,"Y판매";#N/A,#N/A,TRUE,"Y총물량";#N/A,#N/A,TRUE,"Y능력";#N/A,#N/A,TRUE,"YKD"}</definedName>
    <definedName name="_863A4_" hidden="1">{#N/A,#N/A,FALSE,"KMC최종회의(7월) 자료"}</definedName>
    <definedName name="_865E1_" hidden="1">{#N/A,#N/A,FALSE,"KMC최종회의(7월) 자료"}</definedName>
    <definedName name="_866A5_" hidden="1">{#N/A,#N/A,FALSE,"KMC최종회의(7월) 자료"}</definedName>
    <definedName name="_869A6_" hidden="1">{#N/A,#N/A,FALSE,"KMC최종회의(7월) 자료"}</definedName>
    <definedName name="_86A1_" hidden="1">{#N/A,#N/A,FALSE,"KMC최종회의(7월) 자료"}</definedName>
    <definedName name="_86A1245_" hidden="1">{#N/A,#N/A,FALSE,"단축1";#N/A,#N/A,FALSE,"단축2";#N/A,#N/A,FALSE,"단축3";#N/A,#N/A,FALSE,"장축";#N/A,#N/A,FALSE,"4WD"}</definedName>
    <definedName name="_86A2_" hidden="1">{#N/A,#N/A,FALSE,"KMC최종회의(7월) 자료"}</definedName>
    <definedName name="_86A3_" hidden="1">{#N/A,#N/A,FALSE,"단축1";#N/A,#N/A,FALSE,"단축2";#N/A,#N/A,FALSE,"단축3";#N/A,#N/A,FALSE,"장축";#N/A,#N/A,FALSE,"4WD"}</definedName>
    <definedName name="_86CL33_" hidden="1">{#N/A,#N/A,FALSE,"KMC최종회의(7월) 자료"}</definedName>
    <definedName name="_86E1_" hidden="1">{#N/A,#N/A,FALSE,"KMC최종회의(7월) 자료"}</definedName>
    <definedName name="_86e5_" hidden="1">{#N/A,#N/A,FALSE,"단축1";#N/A,#N/A,FALSE,"단축2";#N/A,#N/A,FALSE,"단축3";#N/A,#N/A,FALSE,"장축";#N/A,#N/A,FALSE,"4WD"}</definedName>
    <definedName name="_86HL2_" hidden="1">{#N/A,#N/A,FALSE,"단축1";#N/A,#N/A,FALSE,"단축2";#N/A,#N/A,FALSE,"단축3";#N/A,#N/A,FALSE,"장축";#N/A,#N/A,FALSE,"4WD"}</definedName>
    <definedName name="_86k1_" hidden="1">#REF!</definedName>
    <definedName name="_86K7_" hidden="1">{#N/A,#N/A,TRUE,"Y생산";#N/A,#N/A,TRUE,"Y판매";#N/A,#N/A,TRUE,"Y총물량";#N/A,#N/A,TRUE,"Y능력";#N/A,#N/A,TRUE,"YKD"}</definedName>
    <definedName name="_86Q5_" hidden="1">{#N/A,#N/A,FALSE,"KMC최종회의(7월) 자료"}</definedName>
    <definedName name="_86Q7_" hidden="1">{#N/A,#N/A,FALSE,"KMC최종회의(7월) 자료"}</definedName>
    <definedName name="_86Q9_" hidden="1">{#N/A,#N/A,FALSE,"KMC최종회의(7월) 자료"}</definedName>
    <definedName name="_86S1_" hidden="1">{#N/A,#N/A,FALSE,"KMC최종회의(7월) 자료"}</definedName>
    <definedName name="_86S3_" hidden="1">{#N/A,#N/A,FALSE,"KMC최종회의(7월) 자료"}</definedName>
    <definedName name="_86S6_" hidden="1">{#N/A,#N/A,FALSE,"KMC최종회의(7월) 자료"}</definedName>
    <definedName name="_86s7_" hidden="1">{#N/A,#N/A,FALSE,"신규dep";#N/A,#N/A,FALSE,"신규dep-금형상각후";#N/A,#N/A,FALSE,"신규dep-연구비상각후";#N/A,#N/A,FALSE,"신규dep-기계,공구상각후"}</definedName>
    <definedName name="_86s7__1" hidden="1">{#N/A,#N/A,FALSE,"신규dep";#N/A,#N/A,FALSE,"신규dep-금형상각후";#N/A,#N/A,FALSE,"신규dep-연구비상각후";#N/A,#N/A,FALSE,"신규dep-기계,공구상각후"}</definedName>
    <definedName name="_86W2_" hidden="1">{#N/A,#N/A,FALSE,"KMC최종회의(7월) 자료"}</definedName>
    <definedName name="_86W3_" hidden="1">{#N/A,#N/A,FALSE,"KMC최종회의(7월) 자료"}</definedName>
    <definedName name="_86W6_" hidden="1">{#N/A,#N/A,FALSE,"KMC최종회의(7월) 자료"}</definedName>
    <definedName name="_86W7_" hidden="1">{#N/A,#N/A,FALSE,"KMC최종회의(7월) 자료"}</definedName>
    <definedName name="_86W8_" hidden="1">{#N/A,#N/A,FALSE,"KMC최종회의(7월) 자료"}</definedName>
    <definedName name="_86W9_" hidden="1">{#N/A,#N/A,FALSE,"KMC최종회의(7월) 자료"}</definedName>
    <definedName name="_86X2_" hidden="1">{#N/A,#N/A,FALSE,"KMC최종회의(7월) 자료"}</definedName>
    <definedName name="_86X3_" hidden="1">{#N/A,#N/A,FALSE,"KMC최종회의(7월) 자료"}</definedName>
    <definedName name="_86X5_" hidden="1">{#N/A,#N/A,FALSE,"KMC최종회의(7월) 자료"}</definedName>
    <definedName name="_86X7_" hidden="1">{#N/A,#N/A,FALSE,"KMC최종회의(7월) 자료"}</definedName>
    <definedName name="_86X8_" hidden="1">{#N/A,#N/A,FALSE,"KMC최종회의(7월) 자료"}</definedName>
    <definedName name="_86Z3_" hidden="1">{#N/A,#N/A,FALSE,"KMC최종회의(7월) 자료"}</definedName>
    <definedName name="_86Z5_" hidden="1">{#N/A,#N/A,FALSE,"KMC최종회의(7월) 자료"}</definedName>
    <definedName name="_86Z9_" hidden="1">{#N/A,#N/A,FALSE,"KMC최종회의(7월) 자료"}</definedName>
    <definedName name="_87__123Graph_XC04C_FF_L" hidden="1">#REF!</definedName>
    <definedName name="_870E2_" hidden="1">{#N/A,#N/A,FALSE,"KMC최종회의(7월) 자료"}</definedName>
    <definedName name="_872A7_" hidden="1">{#N/A,#N/A,FALSE,"KMC최종회의(7월) 자료"}</definedName>
    <definedName name="_873q5_" hidden="1">{#N/A,#N/A,FALSE,"신규dep";#N/A,#N/A,FALSE,"신규dep-금형상각후";#N/A,#N/A,FALSE,"신규dep-연구비상각후";#N/A,#N/A,FALSE,"신규dep-기계,공구상각후"}</definedName>
    <definedName name="_874W6_" hidden="1">{#N/A,#N/A,FALSE,"KMC최종회의(7월) 자료"}</definedName>
    <definedName name="_875A8_" hidden="1">{#N/A,#N/A,FALSE,"KMC최종회의(7월) 자료"}</definedName>
    <definedName name="_878A9_" hidden="1">{#N/A,#N/A,FALSE,"KMC최종회의(7월) 자료"}</definedName>
    <definedName name="_878q6_" hidden="1">{#N/A,#N/A,FALSE,"신규dep";#N/A,#N/A,FALSE,"신규dep-금형상각후";#N/A,#N/A,FALSE,"신규dep-연구비상각후";#N/A,#N/A,FALSE,"신규dep-기계,공구상각후"}</definedName>
    <definedName name="_87A12458_" hidden="1">{#N/A,#N/A,FALSE,"단축1";#N/A,#N/A,FALSE,"단축2";#N/A,#N/A,FALSE,"단축3";#N/A,#N/A,FALSE,"장축";#N/A,#N/A,FALSE,"4WD"}</definedName>
    <definedName name="_87A2_" hidden="1">{#N/A,#N/A,FALSE,"KMC최종회의(7월) 자료"}</definedName>
    <definedName name="_87A3_" hidden="1">{#N/A,#N/A,FALSE,"단축1";#N/A,#N/A,FALSE,"단축2";#N/A,#N/A,FALSE,"단축3";#N/A,#N/A,FALSE,"장축";#N/A,#N/A,FALSE,"4WD"}</definedName>
    <definedName name="_87A6_" hidden="1">{#N/A,#N/A,FALSE,"KMC최종회의(7월) 자료"}</definedName>
    <definedName name="_87A7_" hidden="1">{#N/A,#N/A,FALSE,"KMC최종회의(7월) 자료"}</definedName>
    <definedName name="_87A7__1" hidden="1">{#N/A,#N/A,FALSE,"KMC최종회의(7월) 자료"}</definedName>
    <definedName name="_87AT1_" hidden="1">{#N/A,#N/A,FALSE,"인원";#N/A,#N/A,FALSE,"비용2";#N/A,#N/A,FALSE,"비용1";#N/A,#N/A,FALSE,"비용";#N/A,#N/A,FALSE,"보증2";#N/A,#N/A,FALSE,"보증1";#N/A,#N/A,FALSE,"보증";#N/A,#N/A,FALSE,"손익1";#N/A,#N/A,FALSE,"손익";#N/A,#N/A,FALSE,"부서별매출";#N/A,#N/A,FALSE,"매출"}</definedName>
    <definedName name="_87d2_" hidden="1">{#N/A,#N/A,FALSE,"신규dep";#N/A,#N/A,FALSE,"신규dep-금형상각후";#N/A,#N/A,FALSE,"신규dep-연구비상각후";#N/A,#N/A,FALSE,"신규dep-기계,공구상각후"}</definedName>
    <definedName name="_87d2__1" hidden="1">{#N/A,#N/A,FALSE,"신규dep";#N/A,#N/A,FALSE,"신규dep-금형상각후";#N/A,#N/A,FALSE,"신규dep-연구비상각후";#N/A,#N/A,FALSE,"신규dep-기계,공구상각후"}</definedName>
    <definedName name="_87E1_" hidden="1">{#N/A,#N/A,FALSE,"KMC최종회의(7월) 자료"}</definedName>
    <definedName name="_87e6_" hidden="1">{#N/A,#N/A,FALSE,"단축1";#N/A,#N/A,FALSE,"단축2";#N/A,#N/A,FALSE,"단축3";#N/A,#N/A,FALSE,"장축";#N/A,#N/A,FALSE,"4WD"}</definedName>
    <definedName name="_87EO2_" hidden="1">{#N/A,#N/A,FALSE,"신규dep";#N/A,#N/A,FALSE,"신규dep-금형상각후";#N/A,#N/A,FALSE,"신규dep-연구비상각후";#N/A,#N/A,FALSE,"신규dep-기계,공구상각후"}</definedName>
    <definedName name="_87H20_" hidden="1">{#N/A,#N/A,FALSE,"단축1";#N/A,#N/A,FALSE,"단축2";#N/A,#N/A,FALSE,"단축3";#N/A,#N/A,FALSE,"장축";#N/A,#N/A,FALSE,"4WD"}</definedName>
    <definedName name="_87h5_" hidden="1">{"'표지'!$B$5"}</definedName>
    <definedName name="_87HL3_" hidden="1">{#N/A,#N/A,TRUE,"Y생산";#N/A,#N/A,TRUE,"Y판매";#N/A,#N/A,TRUE,"Y총물량";#N/A,#N/A,TRUE,"Y능력";#N/A,#N/A,TRUE,"YKD"}</definedName>
    <definedName name="_87HP2_" hidden="1">{#N/A,#N/A,FALSE,"단축1";#N/A,#N/A,FALSE,"단축2";#N/A,#N/A,FALSE,"단축3";#N/A,#N/A,FALSE,"장축";#N/A,#N/A,FALSE,"4WD"}</definedName>
    <definedName name="_87k7_" hidden="1">{#N/A,#N/A,FALSE,"단축1";#N/A,#N/A,FALSE,"단축2";#N/A,#N/A,FALSE,"단축3";#N/A,#N/A,FALSE,"장축";#N/A,#N/A,FALSE,"4WD"}</definedName>
    <definedName name="_87P2_" hidden="1">{#N/A,#N/A,FALSE,"단축1";#N/A,#N/A,FALSE,"단축2";#N/A,#N/A,FALSE,"단축3";#N/A,#N/A,FALSE,"장축";#N/A,#N/A,FALSE,"4WD"}</definedName>
    <definedName name="_87Q5_" hidden="1">{#N/A,#N/A,FALSE,"KMC최종회의(7월) 자료"}</definedName>
    <definedName name="_87S1_" hidden="1">{#N/A,#N/A,FALSE,"KMC최종회의(7월) 자료"}</definedName>
    <definedName name="_87s4_" hidden="1">{#N/A,#N/A,FALSE,"단축1";#N/A,#N/A,FALSE,"단축2";#N/A,#N/A,FALSE,"단축3";#N/A,#N/A,FALSE,"장축";#N/A,#N/A,FALSE,"4WD"}</definedName>
    <definedName name="_87s4__1" hidden="1">{#N/A,#N/A,FALSE,"단축1";#N/A,#N/A,FALSE,"단축2";#N/A,#N/A,FALSE,"단축3";#N/A,#N/A,FALSE,"장축";#N/A,#N/A,FALSE,"4WD"}</definedName>
    <definedName name="_87s5_" hidden="1">{#N/A,#N/A,FALSE,"신규dep";#N/A,#N/A,FALSE,"신규dep-금형상각후";#N/A,#N/A,FALSE,"신규dep-연구비상각후";#N/A,#N/A,FALSE,"신규dep-기계,공구상각후"}</definedName>
    <definedName name="_87S7_" hidden="1">{#N/A,#N/A,FALSE,"KMC최종회의(7월) 자료"}</definedName>
    <definedName name="_87S7__1" hidden="1">{#N/A,#N/A,FALSE,"KMC최종회의(7월) 자료"}</definedName>
    <definedName name="_87S8_" hidden="1">{#N/A,#N/A,FALSE,"KMC최종회의(7월) 자료"}</definedName>
    <definedName name="_87W3_" hidden="1">{#N/A,#N/A,FALSE,"KMC최종회의(7월) 자료"}</definedName>
    <definedName name="_87W5_" hidden="1">{#N/A,#N/A,FALSE,"KMC최종회의(7월) 자료"}</definedName>
    <definedName name="_87W9_" hidden="1">{#N/A,#N/A,FALSE,"KMC최종회의(7월) 자료"}</definedName>
    <definedName name="_87X5_" hidden="1">{#N/A,#N/A,FALSE,"KMC최종회의(7월) 자료"}</definedName>
    <definedName name="_87X6_" hidden="1">{#N/A,#N/A,FALSE,"KMC최종회의(7월) 자료"}</definedName>
    <definedName name="_87X6__1" hidden="1">{#N/A,#N/A,FALSE,"KMC최종회의(7월) 자료"}</definedName>
    <definedName name="_87X7_" hidden="1">{#N/A,#N/A,FALSE,"KMC최종회의(7월) 자료"}</definedName>
    <definedName name="_87X8_" hidden="1">{#N/A,#N/A,FALSE,"KMC최종회의(7월) 자료"}</definedName>
    <definedName name="_87Z1_" hidden="1">{#N/A,#N/A,FALSE,"KMC최종회의(7월) 자료"}</definedName>
    <definedName name="_87Z4_" hidden="1">{#N/A,#N/A,FALSE,"KMC최종회의(7월) 자료"}</definedName>
    <definedName name="_87Z6_" hidden="1">{#N/A,#N/A,FALSE,"KMC최종회의(7월) 자료"}</definedName>
    <definedName name="_88__123Graph_XC04C_FF_L" hidden="1">#REF!</definedName>
    <definedName name="_883FG1_" hidden="1">{#N/A,#N/A,FALSE,"단축1";#N/A,#N/A,FALSE,"단축2";#N/A,#N/A,FALSE,"단축3";#N/A,#N/A,FALSE,"장축";#N/A,#N/A,FALSE,"4WD"}</definedName>
    <definedName name="_883q7_" hidden="1">{#N/A,#N/A,FALSE,"신규dep";#N/A,#N/A,FALSE,"신규dep-금형상각후";#N/A,#N/A,FALSE,"신규dep-연구비상각후";#N/A,#N/A,FALSE,"신규dep-기계,공구상각후"}</definedName>
    <definedName name="_88A3_" hidden="1">{#N/A,#N/A,FALSE,"KMC최종회의(7월) 자료"}</definedName>
    <definedName name="_88A4_" hidden="1">{#N/A,#N/A,FALSE,"KMC최종회의(7월) 자료"}</definedName>
    <definedName name="_88e2_" hidden="1">{#N/A,#N/A,FALSE,"단축1";#N/A,#N/A,FALSE,"단축2";#N/A,#N/A,FALSE,"단축3";#N/A,#N/A,FALSE,"장축";#N/A,#N/A,FALSE,"4WD"}</definedName>
    <definedName name="_88e7_" hidden="1">{#N/A,#N/A,FALSE,"신규dep";#N/A,#N/A,FALSE,"신규dep-금형상각후";#N/A,#N/A,FALSE,"신규dep-연구비상각후";#N/A,#N/A,FALSE,"신규dep-기계,공구상각후"}</definedName>
    <definedName name="_88HP02_" hidden="1">{#N/A,#N/A,FALSE,"단축1";#N/A,#N/A,FALSE,"단축2";#N/A,#N/A,FALSE,"단축3";#N/A,#N/A,FALSE,"장축";#N/A,#N/A,FALSE,"4WD"}</definedName>
    <definedName name="_88k8_" hidden="1">{#N/A,#N/A,FALSE,"단축1";#N/A,#N/A,FALSE,"단축2";#N/A,#N/A,FALSE,"단축3";#N/A,#N/A,FALSE,"장축";#N/A,#N/A,FALSE,"4WD"}</definedName>
    <definedName name="_88q3_" hidden="1">{#N/A,#N/A,FALSE,"단축1";#N/A,#N/A,FALSE,"단축2";#N/A,#N/A,FALSE,"단축3";#N/A,#N/A,FALSE,"장축";#N/A,#N/A,FALSE,"4WD"}</definedName>
    <definedName name="_88Q5_" hidden="1">{#N/A,#N/A,FALSE,"KMC최종회의(7월) 자료"}</definedName>
    <definedName name="_88S2_" hidden="1">{#N/A,#N/A,FALSE,"KMC최종회의(7월) 자료"}</definedName>
    <definedName name="_88S3_" hidden="1">{#N/A,#N/A,FALSE,"KMC최종회의(7월) 자료"}</definedName>
    <definedName name="_88S4_" hidden="1">{#N/A,#N/A,FALSE,"KMC최종회의(7월) 자료"}</definedName>
    <definedName name="_88S7_" hidden="1">{#N/A,#N/A,FALSE,"KMC최종회의(7월) 자료"}</definedName>
    <definedName name="_88S8_" hidden="1">{#N/A,#N/A,FALSE,"KMC최종회의(7월) 자료"}</definedName>
    <definedName name="_88s8__1" hidden="1">{#N/A,#N/A,FALSE,"신규dep";#N/A,#N/A,FALSE,"신규dep-금형상각후";#N/A,#N/A,FALSE,"신규dep-연구비상각후";#N/A,#N/A,FALSE,"신규dep-기계,공구상각후"}</definedName>
    <definedName name="_88T2_" hidden="1">{#N/A,#N/A,FALSE,"단축1";#N/A,#N/A,FALSE,"단축2";#N/A,#N/A,FALSE,"단축3";#N/A,#N/A,FALSE,"장축";#N/A,#N/A,FALSE,"4WD"}</definedName>
    <definedName name="_88W2_" hidden="1">{#N/A,#N/A,FALSE,"KMC최종회의(7월) 자료"}</definedName>
    <definedName name="_88W3_" hidden="1">{#N/A,#N/A,FALSE,"KMC최종회의(7월) 자료"}</definedName>
    <definedName name="_88W4_" hidden="1">{#N/A,#N/A,FALSE,"KMC최종회의(7월) 자료"}</definedName>
    <definedName name="_88W7_" hidden="1">{#N/A,#N/A,FALSE,"KMC최종회의(7월) 자료"}</definedName>
    <definedName name="_88W8_" hidden="1">{#N/A,#N/A,FALSE,"KMC최종회의(7월) 자료"}</definedName>
    <definedName name="_88W9_" hidden="1">{#N/A,#N/A,FALSE,"KMC최종회의(7월) 자료"}</definedName>
    <definedName name="_88X1_" hidden="1">{#N/A,#N/A,FALSE,"KMC최종회의(7월) 자료"}</definedName>
    <definedName name="_88X3_" hidden="1">{#N/A,#N/A,FALSE,"KMC최종회의(7월) 자료"}</definedName>
    <definedName name="_88X4_" hidden="1">{#N/A,#N/A,FALSE,"KMC최종회의(7월) 자료"}</definedName>
    <definedName name="_88X5_" hidden="1">{#N/A,#N/A,FALSE,"KMC최종회의(7월) 자료"}</definedName>
    <definedName name="_88X6_" hidden="1">{#N/A,#N/A,FALSE,"KMC최종회의(7월) 자료"}</definedName>
    <definedName name="_88X7_" hidden="1">{#N/A,#N/A,FALSE,"KMC최종회의(7월) 자료"}</definedName>
    <definedName name="_88X8_" hidden="1">{#N/A,#N/A,FALSE,"KMC최종회의(7월) 자료"}</definedName>
    <definedName name="_88Z1_" hidden="1">{#N/A,#N/A,FALSE,"KMC최종회의(7월) 자료"}</definedName>
    <definedName name="_88Z2_" hidden="1">{#N/A,#N/A,FALSE,"KMC최종회의(7월) 자료"}</definedName>
    <definedName name="_88Z4_" hidden="1">{#N/A,#N/A,FALSE,"KMC최종회의(7월) 자료"}</definedName>
    <definedName name="_88Z5_" hidden="1">{#N/A,#N/A,FALSE,"KMC최종회의(7월) 자료"}</definedName>
    <definedName name="_88Z7_" hidden="1">{#N/A,#N/A,FALSE,"KMC최종회의(7월) 자료"}</definedName>
    <definedName name="_89____S" hidden="1">#REF!</definedName>
    <definedName name="_890W7_" hidden="1">{#N/A,#N/A,FALSE,"KMC최종회의(7월) 자료"}</definedName>
    <definedName name="_892g5_" hidden="1">{#N/A,#N/A,FALSE,"KMC최종회의(7월) 자료"}</definedName>
    <definedName name="_899q9_" hidden="1">{#N/A,#N/A,FALSE,"신규dep";#N/A,#N/A,FALSE,"신규dep-금형상각후";#N/A,#N/A,FALSE,"신규dep-연구비상각후";#N/A,#N/A,FALSE,"신규dep-기계,공구상각후"}</definedName>
    <definedName name="_89A5_" hidden="1">{#N/A,#N/A,FALSE,"KMC최종회의(7월) 자료"}</definedName>
    <definedName name="_89A6_" hidden="1">{#N/A,#N/A,FALSE,"KMC최종회의(7월) 자료"}</definedName>
    <definedName name="_89A8_" hidden="1">{#N/A,#N/A,FALSE,"KMC최종회의(7월) 자료"}</definedName>
    <definedName name="_89A9_" hidden="1">{#N/A,#N/A,FALSE,"KMC최종회의(7월) 자료"}</definedName>
    <definedName name="_8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9CL33_" hidden="1">{#N/A,#N/A,FALSE,"KMC최종회의(7월) 자료"}</definedName>
    <definedName name="_89E1_" hidden="1">{#N/A,#N/A,FALSE,"KMC최종회의(7월) 자료"}</definedName>
    <definedName name="_89E2_" hidden="1">{#N/A,#N/A,FALSE,"KMC최종회의(7월) 자료"}</definedName>
    <definedName name="_89e8_" hidden="1">{#N/A,#N/A,FALSE,"신규dep";#N/A,#N/A,FALSE,"신규dep-금형상각후";#N/A,#N/A,FALSE,"신규dep-연구비상각후";#N/A,#N/A,FALSE,"신규dep-기계,공구상각후"}</definedName>
    <definedName name="_89FG1_" hidden="1">{#N/A,#N/A,FALSE,"단축1";#N/A,#N/A,FALSE,"단축2";#N/A,#N/A,FALSE,"단축3";#N/A,#N/A,FALSE,"장축";#N/A,#N/A,FALSE,"4WD"}</definedName>
    <definedName name="_89HP02_" hidden="1">{#N/A,#N/A,FALSE,"단축1";#N/A,#N/A,FALSE,"단축2";#N/A,#N/A,FALSE,"단축3";#N/A,#N/A,FALSE,"장축";#N/A,#N/A,FALSE,"4WD"}</definedName>
    <definedName name="_89HP2_" hidden="1">{#N/A,#N/A,FALSE,"단축1";#N/A,#N/A,FALSE,"단축2";#N/A,#N/A,FALSE,"단축3";#N/A,#N/A,FALSE,"장축";#N/A,#N/A,FALSE,"4WD"}</definedName>
    <definedName name="_89k9_" hidden="1">{#N/A,#N/A,FALSE,"단축1";#N/A,#N/A,FALSE,"단축2";#N/A,#N/A,FALSE,"단축3";#N/A,#N/A,FALSE,"장축";#N/A,#N/A,FALSE,"4WD"}</definedName>
    <definedName name="_89P2_" hidden="1">{#N/A,#N/A,FALSE,"단축1";#N/A,#N/A,FALSE,"단축2";#N/A,#N/A,FALSE,"단축3";#N/A,#N/A,FALSE,"장축";#N/A,#N/A,FALSE,"4WD"}</definedName>
    <definedName name="_89Q8_" hidden="1">{#N/A,#N/A,FALSE,"KMC최종회의(7월) 자료"}</definedName>
    <definedName name="_89S1_" hidden="1">{#N/A,#N/A,FALSE,"KMC최종회의(7월) 자료"}</definedName>
    <definedName name="_89S3_" hidden="1">{#N/A,#N/A,FALSE,"KMC최종회의(7월) 자료"}</definedName>
    <definedName name="_89S4_" hidden="1">{#N/A,#N/A,FALSE,"KMC최종회의(7월) 자료"}</definedName>
    <definedName name="_89s5_" hidden="1">{#N/A,#N/A,FALSE,"신규dep";#N/A,#N/A,FALSE,"신규dep-금형상각후";#N/A,#N/A,FALSE,"신규dep-연구비상각후";#N/A,#N/A,FALSE,"신규dep-기계,공구상각후"}</definedName>
    <definedName name="_89s5__1" hidden="1">{#N/A,#N/A,FALSE,"신규dep";#N/A,#N/A,FALSE,"신규dep-금형상각후";#N/A,#N/A,FALSE,"신규dep-연구비상각후";#N/A,#N/A,FALSE,"신규dep-기계,공구상각후"}</definedName>
    <definedName name="_89s6_" hidden="1">{#N/A,#N/A,FALSE,"신규dep";#N/A,#N/A,FALSE,"신규dep-금형상각후";#N/A,#N/A,FALSE,"신규dep-연구비상각후";#N/A,#N/A,FALSE,"신규dep-기계,공구상각후"}</definedName>
    <definedName name="_89T2_" hidden="1">{#N/A,#N/A,FALSE,"단축1";#N/A,#N/A,FALSE,"단축2";#N/A,#N/A,FALSE,"단축3";#N/A,#N/A,FALSE,"장축";#N/A,#N/A,FALSE,"4WD"}</definedName>
    <definedName name="_89T2__1" hidden="1">{#N/A,#N/A,FALSE,"단축1";#N/A,#N/A,FALSE,"단축2";#N/A,#N/A,FALSE,"단축3";#N/A,#N/A,FALSE,"장축";#N/A,#N/A,FALSE,"4WD"}</definedName>
    <definedName name="_89T3_" hidden="1">{#N/A,#N/A,FALSE,"단축1";#N/A,#N/A,FALSE,"단축2";#N/A,#N/A,FALSE,"단축3";#N/A,#N/A,FALSE,"장축";#N/A,#N/A,FALSE,"4WD"}</definedName>
    <definedName name="_89T5_" hidden="1">{#N/A,#N/A,FALSE,"단축1";#N/A,#N/A,FALSE,"단축2";#N/A,#N/A,FALSE,"단축3";#N/A,#N/A,FALSE,"장축";#N/A,#N/A,FALSE,"4WD"}</definedName>
    <definedName name="_89W1_" hidden="1">{#N/A,#N/A,FALSE,"KMC최종회의(7월) 자료"}</definedName>
    <definedName name="_89X1_" hidden="1">{#N/A,#N/A,FALSE,"KMC최종회의(7월) 자료"}</definedName>
    <definedName name="_89X6_" hidden="1">{#N/A,#N/A,FALSE,"KMC최종회의(7월) 자료"}</definedName>
    <definedName name="_89X7_" hidden="1">{#N/A,#N/A,FALSE,"KMC최종회의(7월) 자료"}</definedName>
    <definedName name="_89X7__1" hidden="1">{#N/A,#N/A,FALSE,"KMC최종회의(7월) 자료"}</definedName>
    <definedName name="_89X8_" hidden="1">{#N/A,#N/A,FALSE,"KMC최종회의(7월) 자료"}</definedName>
    <definedName name="_89Z1_" hidden="1">{#N/A,#N/A,FALSE,"KMC최종회의(7월) 자료"}</definedName>
    <definedName name="_89Z2_" hidden="1">{#N/A,#N/A,FALSE,"KMC최종회의(7월) 자료"}</definedName>
    <definedName name="_89Z3_" hidden="1">{#N/A,#N/A,FALSE,"KMC최종회의(7월) 자료"}</definedName>
    <definedName name="_89Z6_" hidden="1">{#N/A,#N/A,FALSE,"KMC최종회의(7월) 자료"}</definedName>
    <definedName name="_89Z8_" hidden="1">{#N/A,#N/A,FALSE,"KMC최종회의(7월) 자료"}</definedName>
    <definedName name="_8A1_" hidden="1">{#N/A,#N/A,FALSE,"KMC최종회의(7월) 자료"}</definedName>
    <definedName name="_8A1232_" hidden="1">{#N/A,#N/A,FALSE,"단축1";#N/A,#N/A,FALSE,"단축2";#N/A,#N/A,FALSE,"단축3";#N/A,#N/A,FALSE,"장축";#N/A,#N/A,FALSE,"4WD"}</definedName>
    <definedName name="_8A1245_" hidden="1">{#N/A,#N/A,FALSE,"단축1";#N/A,#N/A,FALSE,"단축2";#N/A,#N/A,FALSE,"단축3";#N/A,#N/A,FALSE,"장축";#N/A,#N/A,FALSE,"4WD"}</definedName>
    <definedName name="_8A12458_" hidden="1">{#N/A,#N/A,FALSE,"단축1";#N/A,#N/A,FALSE,"단축2";#N/A,#N/A,FALSE,"단축3";#N/A,#N/A,FALSE,"장축";#N/A,#N/A,FALSE,"4WD"}</definedName>
    <definedName name="_8A2_" hidden="1">{#N/A,#N/A,FALSE,"KMC최종회의(7월) 자료"}</definedName>
    <definedName name="_8A3_" hidden="1">{#N/A,#N/A,FALSE,"KMC최종회의(7월) 자료"}</definedName>
    <definedName name="_8A4_" hidden="1">{#N/A,#N/A,FALSE,"KMC최종회의(7월) 자료"}</definedName>
    <definedName name="_8A5_" hidden="1">{#N/A,#N/A,FALSE,"KMC최종회의(7월) 자료"}</definedName>
    <definedName name="_8A6_" hidden="1">{#N/A,#N/A,FALSE,"KMC최종회의(7월) 자료"}</definedName>
    <definedName name="_8A6666_" hidden="1">{#N/A,#N/A,FALSE,"KMC최종회의(7월) 자료"}</definedName>
    <definedName name="_8A7_" hidden="1">{#N/A,#N/A,FALSE,"KMC최종회의(7월) 자료"}</definedName>
    <definedName name="_8A7__1" hidden="1">{#N/A,#N/A,FALSE,"KMC최종회의(7월) 자료"}</definedName>
    <definedName name="_8A8_" hidden="1">{#N/A,#N/A,FALSE,"KMC최종회의(7월) 자료"}</definedName>
    <definedName name="_8A8__1" hidden="1">{#N/A,#N/A,FALSE,"KMC최종회의(7월) 자료"}</definedName>
    <definedName name="_8A9_" hidden="1">{#N/A,#N/A,FALSE,"KMC최종회의(7월) 자료"}</definedName>
    <definedName name="_8A9__1" hidden="1">{#N/A,#N/A,FALSE,"KMC최종회의(7월) 자료"}</definedName>
    <definedName name="_8AS6_" hidden="1">{#N/A,#N/A,FALSE,"Australien";#N/A,#N/A,FALSE,"Birmingham";#N/A,#N/A,FALSE,"Brasilien";#N/A,#N/A,FALSE,"Prag";#N/A,#N/A,FALSE,"Spanien";#N/A,#N/A,FALSE,"Malaysia ( Com)";#N/A,#N/A,FALSE,"Malaysia (Instr)"}</definedName>
    <definedName name="_8D6_" hidden="1">{"'표지'!$B$5"}</definedName>
    <definedName name="_8DB777_" hidden="1">{#N/A,#N/A,TRUE,"Y생산";#N/A,#N/A,TRUE,"Y판매";#N/A,#N/A,TRUE,"Y총물량";#N/A,#N/A,TRUE,"Y능력";#N/A,#N/A,TRUE,"YKD"}</definedName>
    <definedName name="_8EO2_" hidden="1">{#N/A,#N/A,FALSE,"신규dep";#N/A,#N/A,FALSE,"신규dep-금형상각후";#N/A,#N/A,FALSE,"신규dep-연구비상각후";#N/A,#N/A,FALSE,"신규dep-기계,공구상각후"}</definedName>
    <definedName name="_8FG1_" hidden="1">{#N/A,#N/A,FALSE,"단축1";#N/A,#N/A,FALSE,"단축2";#N/A,#N/A,FALSE,"단축3";#N/A,#N/A,FALSE,"장축";#N/A,#N/A,FALSE,"4WD"}</definedName>
    <definedName name="_8HP02_" hidden="1">{#N/A,#N/A,FALSE,"단축1";#N/A,#N/A,FALSE,"단축2";#N/A,#N/A,FALSE,"단축3";#N/A,#N/A,FALSE,"장축";#N/A,#N/A,FALSE,"4WD"}</definedName>
    <definedName name="_8HP2_" hidden="1">{#N/A,#N/A,FALSE,"단축1";#N/A,#N/A,FALSE,"단축2";#N/A,#N/A,FALSE,"단축3";#N/A,#N/A,FALSE,"장축";#N/A,#N/A,FALSE,"4WD"}</definedName>
    <definedName name="_8k7_" hidden="1">{#N/A,#N/A,FALSE,"단축1";#N/A,#N/A,FALSE,"단축2";#N/A,#N/A,FALSE,"단축3";#N/A,#N/A,FALSE,"장축";#N/A,#N/A,FALSE,"4WD"}</definedName>
    <definedName name="_8Q5_" hidden="1">{#N/A,#N/A,FALSE,"KMC최종회의(7월) 자료"}</definedName>
    <definedName name="_8S2_" hidden="1">{#N/A,#N/A,FALSE,"KMC최종회의(7월) 자료"}</definedName>
    <definedName name="_8T2_" hidden="1">{#N/A,#N/A,FALSE,"단축1";#N/A,#N/A,FALSE,"단축2";#N/A,#N/A,FALSE,"단축3";#N/A,#N/A,FALSE,"장축";#N/A,#N/A,FALSE,"4WD"}</definedName>
    <definedName name="_9_____________________________________________________________________0_S" hidden="1">#REF!</definedName>
    <definedName name="_9________0_S" hidden="1">#REF!</definedName>
    <definedName name="_9____0_S" hidden="1">#REF!</definedName>
    <definedName name="_9__123Graph_AC04C_FF_L" hidden="1">#REF!</definedName>
    <definedName name="_9__123Graph_ACHART_3" hidden="1">#REF!</definedName>
    <definedName name="_9__123Graph_BCHART_3" hidden="1">#REF!</definedName>
    <definedName name="_9__123Graph_XCHART_1" hidden="1">#N/A</definedName>
    <definedName name="_9____S" hidden="1">#REF!</definedName>
    <definedName name="_90__0_S" hidden="1">#REF!</definedName>
    <definedName name="_904AS6_" hidden="1">{#N/A,#N/A,FALSE,"Australien";#N/A,#N/A,FALSE,"Birmingham";#N/A,#N/A,FALSE,"Brasilien";#N/A,#N/A,FALSE,"Prag";#N/A,#N/A,FALSE,"Spanien";#N/A,#N/A,FALSE,"Malaysia ( Com)";#N/A,#N/A,FALSE,"Malaysia (Instr)"}</definedName>
    <definedName name="_904s1_" hidden="1">{#N/A,#N/A,FALSE,"신규dep";#N/A,#N/A,FALSE,"신규dep-금형상각후";#N/A,#N/A,FALSE,"신규dep-연구비상각후";#N/A,#N/A,FALSE,"신규dep-기계,공구상각후"}</definedName>
    <definedName name="_906W8_" hidden="1">{#N/A,#N/A,FALSE,"KMC최종회의(7월) 자료"}</definedName>
    <definedName name="_909HP02_" hidden="1">{#N/A,#N/A,FALSE,"단축1";#N/A,#N/A,FALSE,"단축2";#N/A,#N/A,FALSE,"단축3";#N/A,#N/A,FALSE,"장축";#N/A,#N/A,FALSE,"4WD"}</definedName>
    <definedName name="_909s2_" hidden="1">{#N/A,#N/A,FALSE,"신규dep";#N/A,#N/A,FALSE,"신규dep-금형상각후";#N/A,#N/A,FALSE,"신규dep-연구비상각후";#N/A,#N/A,FALSE,"신규dep-기계,공구상각후"}</definedName>
    <definedName name="_90A1454_" hidden="1">{#N/A,#N/A,FALSE,"단축1";#N/A,#N/A,FALSE,"단축2";#N/A,#N/A,FALSE,"단축3";#N/A,#N/A,FALSE,"장축";#N/A,#N/A,FALSE,"4WD"}</definedName>
    <definedName name="_90A4_" hidden="1">{#N/A,#N/A,FALSE,"KMC최종회의(7월) 자료"}</definedName>
    <definedName name="_90A5_" hidden="1">{#N/A,#N/A,FALSE,"KMC최종회의(7월) 자료"}</definedName>
    <definedName name="_90A5__1" hidden="1">{#N/A,#N/A,FALSE,"KMC최종회의(7월) 자료"}</definedName>
    <definedName name="_90A6_" hidden="1">{#N/A,#N/A,FALSE,"KMC최종회의(7월) 자료"}</definedName>
    <definedName name="_90CL33_" hidden="1">{#N/A,#N/A,FALSE,"KMC최종회의(7월) 자료"}</definedName>
    <definedName name="_90E1_" hidden="1">{#N/A,#N/A,FALSE,"KMC최종회의(7월) 자료"}</definedName>
    <definedName name="_90E2_" hidden="1">{#N/A,#N/A,FALSE,"KMC최종회의(7월) 자료"}</definedName>
    <definedName name="_90e7_" hidden="1">{#N/A,#N/A,FALSE,"신규dep";#N/A,#N/A,FALSE,"신규dep-금형상각후";#N/A,#N/A,FALSE,"신규dep-연구비상각후";#N/A,#N/A,FALSE,"신규dep-기계,공구상각후"}</definedName>
    <definedName name="_90e7__1" hidden="1">{#N/A,#N/A,FALSE,"신규dep";#N/A,#N/A,FALSE,"신규dep-금형상각후";#N/A,#N/A,FALSE,"신규dep-연구비상각후";#N/A,#N/A,FALSE,"신규dep-기계,공구상각후"}</definedName>
    <definedName name="_90e9_" hidden="1">{#N/A,#N/A,FALSE,"단축1";#N/A,#N/A,FALSE,"단축2";#N/A,#N/A,FALSE,"단축3";#N/A,#N/A,FALSE,"장축";#N/A,#N/A,FALSE,"4WD"}</definedName>
    <definedName name="_90HL1_" hidden="1">{#N/A,#N/A,FALSE,"단축1";#N/A,#N/A,FALSE,"단축2";#N/A,#N/A,FALSE,"단축3";#N/A,#N/A,FALSE,"장축";#N/A,#N/A,FALSE,"4WD"}</definedName>
    <definedName name="_90K1_" hidden="1">{#N/A,#N/A,FALSE,"인원";#N/A,#N/A,FALSE,"비용2";#N/A,#N/A,FALSE,"비용1";#N/A,#N/A,FALSE,"비용";#N/A,#N/A,FALSE,"보증2";#N/A,#N/A,FALSE,"보증1";#N/A,#N/A,FALSE,"보증";#N/A,#N/A,FALSE,"손익1";#N/A,#N/A,FALSE,"손익";#N/A,#N/A,FALSE,"부서별매출";#N/A,#N/A,FALSE,"매출"}</definedName>
    <definedName name="_90k8_" hidden="1">{#N/A,#N/A,FALSE,"단축1";#N/A,#N/A,FALSE,"단축2";#N/A,#N/A,FALSE,"단축3";#N/A,#N/A,FALSE,"장축";#N/A,#N/A,FALSE,"4WD"}</definedName>
    <definedName name="_90O11_" hidden="1">{#N/A,#N/A,FALSE,"단축1";#N/A,#N/A,FALSE,"단축2";#N/A,#N/A,FALSE,"단축3";#N/A,#N/A,FALSE,"장축";#N/A,#N/A,FALSE,"4WD"}</definedName>
    <definedName name="_90P21_" hidden="1">{#N/A,#N/A,FALSE,"단축1";#N/A,#N/A,FALSE,"단축2";#N/A,#N/A,FALSE,"단축3";#N/A,#N/A,FALSE,"장축";#N/A,#N/A,FALSE,"4WD"}</definedName>
    <definedName name="_90Q11234_" hidden="1">{"'7-2지역별'!$A$1:$R$44"}</definedName>
    <definedName name="_90Q2_" hidden="1">{#N/A,#N/A,FALSE,"KMC최종회의(7월) 자료"}</definedName>
    <definedName name="_90Q5_" hidden="1">{#N/A,#N/A,FALSE,"KMC최종회의(7월) 자료"}</definedName>
    <definedName name="_90Q7_" hidden="1">{#N/A,#N/A,FALSE,"KMC최종회의(7월) 자료"}</definedName>
    <definedName name="_90S2_" hidden="1">{#N/A,#N/A,FALSE,"KMC최종회의(7월) 자료"}</definedName>
    <definedName name="_90S3_" hidden="1">{#N/A,#N/A,FALSE,"KMC최종회의(7월) 자료"}</definedName>
    <definedName name="_90S8_" hidden="1">{#N/A,#N/A,FALSE,"KMC최종회의(7월) 자료"}</definedName>
    <definedName name="_90S8__1" hidden="1">{#N/A,#N/A,FALSE,"KMC최종회의(7월) 자료"}</definedName>
    <definedName name="_90T2_" hidden="1">{#N/A,#N/A,FALSE,"단축1";#N/A,#N/A,FALSE,"단축2";#N/A,#N/A,FALSE,"단축3";#N/A,#N/A,FALSE,"장축";#N/A,#N/A,FALSE,"4WD"}</definedName>
    <definedName name="_90T3_" hidden="1">{#N/A,#N/A,FALSE,"단축1";#N/A,#N/A,FALSE,"단축2";#N/A,#N/A,FALSE,"단축3";#N/A,#N/A,FALSE,"장축";#N/A,#N/A,FALSE,"4WD"}</definedName>
    <definedName name="_90T3__1" hidden="1">{#N/A,#N/A,FALSE,"단축1";#N/A,#N/A,FALSE,"단축2";#N/A,#N/A,FALSE,"단축3";#N/A,#N/A,FALSE,"장축";#N/A,#N/A,FALSE,"4WD"}</definedName>
    <definedName name="_90t4_" hidden="1">{#N/A,#N/A,FALSE,"단축1";#N/A,#N/A,FALSE,"단축2";#N/A,#N/A,FALSE,"단축3";#N/A,#N/A,FALSE,"장축";#N/A,#N/A,FALSE,"4WD"}</definedName>
    <definedName name="_90W4_" hidden="1">{#N/A,#N/A,FALSE,"KMC최종회의(7월) 자료"}</definedName>
    <definedName name="_90W5_" hidden="1">{#N/A,#N/A,FALSE,"KMC최종회의(7월) 자료"}</definedName>
    <definedName name="_90W6_" hidden="1">{#N/A,#N/A,FALSE,"KMC최종회의(7월) 자료"}</definedName>
    <definedName name="_90W8_" hidden="1">{#N/A,#N/A,FALSE,"KMC최종회의(7월) 자료"}</definedName>
    <definedName name="_90W9_" hidden="1">{#N/A,#N/A,FALSE,"KMC최종회의(7월) 자료"}</definedName>
    <definedName name="_90X1_" hidden="1">{#N/A,#N/A,FALSE,"KMC최종회의(7월) 자료"}</definedName>
    <definedName name="_90X2_" hidden="1">{#N/A,#N/A,FALSE,"KMC최종회의(7월) 자료"}</definedName>
    <definedName name="_90X4_" hidden="1">{#N/A,#N/A,FALSE,"KMC최종회의(7월) 자료"}</definedName>
    <definedName name="_90X5_" hidden="1">{#N/A,#N/A,FALSE,"KMC최종회의(7월) 자료"}</definedName>
    <definedName name="_90X7_" hidden="1">{#N/A,#N/A,FALSE,"KMC최종회의(7월) 자료"}</definedName>
    <definedName name="_90Z1_" hidden="1">{#N/A,#N/A,FALSE,"KMC최종회의(7월) 자료"}</definedName>
    <definedName name="_90Z2_" hidden="1">{#N/A,#N/A,FALSE,"KMC최종회의(7월) 자료"}</definedName>
    <definedName name="_90Z3_" hidden="1">{#N/A,#N/A,FALSE,"KMC최종회의(7월) 자료"}</definedName>
    <definedName name="_90Z4_" hidden="1">{#N/A,#N/A,FALSE,"KMC최종회의(7월) 자료"}</definedName>
    <definedName name="_90Z5_" hidden="1">{#N/A,#N/A,FALSE,"KMC최종회의(7월) 자료"}</definedName>
    <definedName name="_90Z7_" hidden="1">{#N/A,#N/A,FALSE,"KMC최종회의(7월) 자료"}</definedName>
    <definedName name="_90Z9_" hidden="1">{#N/A,#N/A,FALSE,"KMC최종회의(7월) 자료"}</definedName>
    <definedName name="_91__123Graph_XC04C_FF_T" hidden="1">#REF!</definedName>
    <definedName name="_91____S" hidden="1">#REF!</definedName>
    <definedName name="_910HP2_" hidden="1">{#N/A,#N/A,FALSE,"단축1";#N/A,#N/A,FALSE,"단축2";#N/A,#N/A,FALSE,"단축3";#N/A,#N/A,FALSE,"장축";#N/A,#N/A,FALSE,"4WD"}</definedName>
    <definedName name="_914s3_" hidden="1">{#N/A,#N/A,FALSE,"단축1";#N/A,#N/A,FALSE,"단축2";#N/A,#N/A,FALSE,"단축3";#N/A,#N/A,FALSE,"장축";#N/A,#N/A,FALSE,"4WD"}</definedName>
    <definedName name="_919s4_" hidden="1">{#N/A,#N/A,FALSE,"단축1";#N/A,#N/A,FALSE,"단축2";#N/A,#N/A,FALSE,"단축3";#N/A,#N/A,FALSE,"장축";#N/A,#N/A,FALSE,"4WD"}</definedName>
    <definedName name="_91A12458_" hidden="1">{#N/A,#N/A,FALSE,"단축1";#N/A,#N/A,FALSE,"단축2";#N/A,#N/A,FALSE,"단축3";#N/A,#N/A,FALSE,"장축";#N/A,#N/A,FALSE,"4WD"}</definedName>
    <definedName name="_91A7_" hidden="1">{#N/A,#N/A,FALSE,"KMC최종회의(7월) 자료"}</definedName>
    <definedName name="_91A9_" hidden="1">{#N/A,#N/A,FALSE,"KMC최종회의(7월) 자료"}</definedName>
    <definedName name="_91AS6_" hidden="1">{#N/A,#N/A,FALSE,"Australien";#N/A,#N/A,FALSE,"Birmingham";#N/A,#N/A,FALSE,"Brasilien";#N/A,#N/A,FALSE,"Prag";#N/A,#N/A,FALSE,"Spanien";#N/A,#N/A,FALSE,"Malaysia ( Com)";#N/A,#N/A,FALSE,"Malaysia (Instr)"}</definedName>
    <definedName name="_91AT3_" hidden="1">{#N/A,#N/A,FALSE,"인원";#N/A,#N/A,FALSE,"비용2";#N/A,#N/A,FALSE,"비용1";#N/A,#N/A,FALSE,"비용";#N/A,#N/A,FALSE,"보증2";#N/A,#N/A,FALSE,"보증1";#N/A,#N/A,FALSE,"보증";#N/A,#N/A,FALSE,"손익1";#N/A,#N/A,FALSE,"손익";#N/A,#N/A,FALSE,"부서별매출";#N/A,#N/A,FALSE,"매출"}</definedName>
    <definedName name="_91CL22_" hidden="1">{#N/A,#N/A,FALSE,"KMC최종회의(7월) 자료"}</definedName>
    <definedName name="_91DB777_" hidden="1">{#N/A,#N/A,TRUE,"Y생산";#N/A,#N/A,TRUE,"Y판매";#N/A,#N/A,TRUE,"Y총물량";#N/A,#N/A,TRUE,"Y능력";#N/A,#N/A,TRUE,"YKD"}</definedName>
    <definedName name="_91dr2_" hidden="1">{#N/A,#N/A,FALSE,"신규dep";#N/A,#N/A,FALSE,"신규dep-금형상각후";#N/A,#N/A,FALSE,"신규dep-연구비상각후";#N/A,#N/A,FALSE,"신규dep-기계,공구상각후"}</definedName>
    <definedName name="_91EO2_" hidden="1">{#N/A,#N/A,FALSE,"신규dep";#N/A,#N/A,FALSE,"신규dep-금형상각후";#N/A,#N/A,FALSE,"신규dep-연구비상각후";#N/A,#N/A,FALSE,"신규dep-기계,공구상각후"}</definedName>
    <definedName name="_91HL2_" hidden="1">{#N/A,#N/A,FALSE,"단축1";#N/A,#N/A,FALSE,"단축2";#N/A,#N/A,FALSE,"단축3";#N/A,#N/A,FALSE,"장축";#N/A,#N/A,FALSE,"4WD"}</definedName>
    <definedName name="_91HP2_" hidden="1">{#N/A,#N/A,FALSE,"단축1";#N/A,#N/A,FALSE,"단축2";#N/A,#N/A,FALSE,"단축3";#N/A,#N/A,FALSE,"장축";#N/A,#N/A,FALSE,"4WD"}</definedName>
    <definedName name="_91k7_" hidden="1">{#N/A,#N/A,FALSE,"단축1";#N/A,#N/A,FALSE,"단축2";#N/A,#N/A,FALSE,"단축3";#N/A,#N/A,FALSE,"장축";#N/A,#N/A,FALSE,"4WD"}</definedName>
    <definedName name="_91P2_" hidden="1">{#N/A,#N/A,FALSE,"단축1";#N/A,#N/A,FALSE,"단축2";#N/A,#N/A,FALSE,"단축3";#N/A,#N/A,FALSE,"장축";#N/A,#N/A,FALSE,"4WD"}</definedName>
    <definedName name="_91Q2_" hidden="1">{#N/A,#N/A,FALSE,"KMC최종회의(7월) 자료"}</definedName>
    <definedName name="_91q5_" hidden="1">{#N/A,#N/A,FALSE,"신규dep";#N/A,#N/A,FALSE,"신규dep-금형상각후";#N/A,#N/A,FALSE,"신규dep-연구비상각후";#N/A,#N/A,FALSE,"신규dep-기계,공구상각후"}</definedName>
    <definedName name="_91Q7_" hidden="1">{#N/A,#N/A,FALSE,"KMC최종회의(7월) 자료"}</definedName>
    <definedName name="_91S4_" hidden="1">{#N/A,#N/A,FALSE,"KMC최종회의(7월) 자료"}</definedName>
    <definedName name="_91s6_" hidden="1">{#N/A,#N/A,FALSE,"신규dep";#N/A,#N/A,FALSE,"신규dep-금형상각후";#N/A,#N/A,FALSE,"신규dep-연구비상각후";#N/A,#N/A,FALSE,"신규dep-기계,공구상각후"}</definedName>
    <definedName name="_91s6__1" hidden="1">{#N/A,#N/A,FALSE,"신규dep";#N/A,#N/A,FALSE,"신규dep-금형상각후";#N/A,#N/A,FALSE,"신규dep-연구비상각후";#N/A,#N/A,FALSE,"신규dep-기계,공구상각후"}</definedName>
    <definedName name="_91s7_" hidden="1">{#N/A,#N/A,FALSE,"신규dep";#N/A,#N/A,FALSE,"신규dep-금형상각후";#N/A,#N/A,FALSE,"신규dep-연구비상각후";#N/A,#N/A,FALSE,"신규dep-기계,공구상각후"}</definedName>
    <definedName name="_91T3_" hidden="1">{#N/A,#N/A,FALSE,"단축1";#N/A,#N/A,FALSE,"단축2";#N/A,#N/A,FALSE,"단축3";#N/A,#N/A,FALSE,"장축";#N/A,#N/A,FALSE,"4WD"}</definedName>
    <definedName name="_91T5_" hidden="1">{#N/A,#N/A,FALSE,"단축1";#N/A,#N/A,FALSE,"단축2";#N/A,#N/A,FALSE,"단축3";#N/A,#N/A,FALSE,"장축";#N/A,#N/A,FALSE,"4WD"}</definedName>
    <definedName name="_91T5__1" hidden="1">{#N/A,#N/A,FALSE,"단축1";#N/A,#N/A,FALSE,"단축2";#N/A,#N/A,FALSE,"단축3";#N/A,#N/A,FALSE,"장축";#N/A,#N/A,FALSE,"4WD"}</definedName>
    <definedName name="_91W1_" hidden="1">{#N/A,#N/A,FALSE,"KMC최종회의(7월) 자료"}</definedName>
    <definedName name="_91W2_" hidden="1">{#N/A,#N/A,FALSE,"KMC최종회의(7월) 자료"}</definedName>
    <definedName name="_91X2_" hidden="1">{#N/A,#N/A,FALSE,"KMC최종회의(7월) 자료"}</definedName>
    <definedName name="_91X7_" hidden="1">{#N/A,#N/A,FALSE,"KMC최종회의(7월) 자료"}</definedName>
    <definedName name="_91X8_" hidden="1">{#N/A,#N/A,FALSE,"KMC최종회의(7월) 자료"}</definedName>
    <definedName name="_91X8__1" hidden="1">{#N/A,#N/A,FALSE,"KMC최종회의(7월) 자료"}</definedName>
    <definedName name="_91Z1_" hidden="1">{#N/A,#N/A,FALSE,"KMC최종회의(7월) 자료"}</definedName>
    <definedName name="_91Z2_" hidden="1">{#N/A,#N/A,FALSE,"KMC최종회의(7월) 자료"}</definedName>
    <definedName name="_91Z4_" hidden="1">{#N/A,#N/A,FALSE,"KMC최종회의(7월) 자료"}</definedName>
    <definedName name="_91Z5_" hidden="1">{#N/A,#N/A,FALSE,"KMC최종회의(7월) 자료"}</definedName>
    <definedName name="_91Z8_" hidden="1">{#N/A,#N/A,FALSE,"KMC최종회의(7월) 자료"}</definedName>
    <definedName name="_92__123Graph_XC04C_FF_T" hidden="1">#REF!</definedName>
    <definedName name="_92__0_S" hidden="1">#REF!</definedName>
    <definedName name="_922W9_" hidden="1">{#N/A,#N/A,FALSE,"KMC최종회의(7월) 자료"}</definedName>
    <definedName name="_923CL22_" hidden="1">{#N/A,#N/A,FALSE,"KMC최종회의(7월) 자료"}</definedName>
    <definedName name="_924s5_" hidden="1">{#N/A,#N/A,FALSE,"신규dep";#N/A,#N/A,FALSE,"신규dep-금형상각후";#N/A,#N/A,FALSE,"신규dep-연구비상각후";#N/A,#N/A,FALSE,"신규dep-기계,공구상각후"}</definedName>
    <definedName name="_926CL222_" hidden="1">{#N/A,#N/A,FALSE,"KMC최종회의(7월) 자료"}</definedName>
    <definedName name="_927k1_" hidden="1">#REF!</definedName>
    <definedName name="_928k7_" hidden="1">{#N/A,#N/A,FALSE,"단축1";#N/A,#N/A,FALSE,"단축2";#N/A,#N/A,FALSE,"단축3";#N/A,#N/A,FALSE,"장축";#N/A,#N/A,FALSE,"4WD"}</definedName>
    <definedName name="_929CL33_" hidden="1">{#N/A,#N/A,FALSE,"KMC최종회의(7월) 자료"}</definedName>
    <definedName name="_929k8_" hidden="1">{#N/A,#N/A,FALSE,"단축1";#N/A,#N/A,FALSE,"단축2";#N/A,#N/A,FALSE,"단축3";#N/A,#N/A,FALSE,"장축";#N/A,#N/A,FALSE,"4WD"}</definedName>
    <definedName name="_929s6_" hidden="1">{#N/A,#N/A,FALSE,"신규dep";#N/A,#N/A,FALSE,"신규dep-금형상각후";#N/A,#N/A,FALSE,"신규dep-연구비상각후";#N/A,#N/A,FALSE,"신규dep-기계,공구상각후"}</definedName>
    <definedName name="_92A1_" hidden="1">{#N/A,#N/A,FALSE,"KMC최종회의(7월) 자료"}</definedName>
    <definedName name="_92A4_" hidden="1">{#N/A,#N/A,FALSE,"KMC최종회의(7월) 자료"}</definedName>
    <definedName name="_92A8_" hidden="1">{#N/A,#N/A,FALSE,"KMC최종회의(7월) 자료"}</definedName>
    <definedName name="_92DR7_" hidden="1">{#N/A,#N/A,FALSE,"표지";#N/A,#N/A,FALSE,"전제";#N/A,#N/A,FALSE,"손익-자 (2)";#N/A,#N/A,FALSE,"손익-자";#N/A,#N/A,FALSE,"손익-마 (2)";#N/A,#N/A,FALSE,"손익-마";#N/A,#N/A,FALSE,"총손최종"}</definedName>
    <definedName name="_92EO2_" hidden="1">{#N/A,#N/A,FALSE,"신규dep";#N/A,#N/A,FALSE,"신규dep-금형상각후";#N/A,#N/A,FALSE,"신규dep-연구비상각후";#N/A,#N/A,FALSE,"신규dep-기계,공구상각후"}</definedName>
    <definedName name="_92FG1_" hidden="1">{#N/A,#N/A,FALSE,"단축1";#N/A,#N/A,FALSE,"단축2";#N/A,#N/A,FALSE,"단축3";#N/A,#N/A,FALSE,"장축";#N/A,#N/A,FALSE,"4WD"}</definedName>
    <definedName name="_92HL3_" hidden="1">{#N/A,#N/A,TRUE,"Y생산";#N/A,#N/A,TRUE,"Y판매";#N/A,#N/A,TRUE,"Y총물량";#N/A,#N/A,TRUE,"Y능력";#N/A,#N/A,TRUE,"YKD"}</definedName>
    <definedName name="_92k8_" hidden="1">{#N/A,#N/A,FALSE,"단축1";#N/A,#N/A,FALSE,"단축2";#N/A,#N/A,FALSE,"단축3";#N/A,#N/A,FALSE,"장축";#N/A,#N/A,FALSE,"4WD"}</definedName>
    <definedName name="_92P3_" hidden="1">{#N/A,#N/A,FALSE,"단축1";#N/A,#N/A,FALSE,"단축2";#N/A,#N/A,FALSE,"단축3";#N/A,#N/A,FALSE,"장축";#N/A,#N/A,FALSE,"4WD"}</definedName>
    <definedName name="_92Q7_" hidden="1">{#N/A,#N/A,FALSE,"KMC최종회의(7월) 자료"}</definedName>
    <definedName name="_92Q9_" hidden="1">{#N/A,#N/A,FALSE,"KMC최종회의(7월) 자료"}</definedName>
    <definedName name="_92S2_" hidden="1">{#N/A,#N/A,FALSE,"KMC최종회의(7월) 자료"}</definedName>
    <definedName name="_92S4_" hidden="1">{#N/A,#N/A,FALSE,"KMC최종회의(7월) 자료"}</definedName>
    <definedName name="_92S5_" hidden="1">{#N/A,#N/A,FALSE,"KMC최종회의(7월) 자료"}</definedName>
    <definedName name="_92T2_" hidden="1">{#N/A,#N/A,FALSE,"단축1";#N/A,#N/A,FALSE,"단축2";#N/A,#N/A,FALSE,"단축3";#N/A,#N/A,FALSE,"장축";#N/A,#N/A,FALSE,"4WD"}</definedName>
    <definedName name="_92T3_" hidden="1">{#N/A,#N/A,FALSE,"단축1";#N/A,#N/A,FALSE,"단축2";#N/A,#N/A,FALSE,"단축3";#N/A,#N/A,FALSE,"장축";#N/A,#N/A,FALSE,"4WD"}</definedName>
    <definedName name="_92W3_" hidden="1">{#N/A,#N/A,FALSE,"KMC최종회의(7월) 자료"}</definedName>
    <definedName name="_92W5_" hidden="1">{#N/A,#N/A,FALSE,"KMC최종회의(7월) 자료"}</definedName>
    <definedName name="_92W6_" hidden="1">{#N/A,#N/A,FALSE,"KMC최종회의(7월) 자료"}</definedName>
    <definedName name="_92W9_" hidden="1">{#N/A,#N/A,FALSE,"KMC최종회의(7월) 자료"}</definedName>
    <definedName name="_92X1_" hidden="1">{#N/A,#N/A,FALSE,"KMC최종회의(7월) 자료"}</definedName>
    <definedName name="_92X2_" hidden="1">{#N/A,#N/A,FALSE,"KMC최종회의(7월) 자료"}</definedName>
    <definedName name="_92X3_" hidden="1">{#N/A,#N/A,FALSE,"KMC최종회의(7월) 자료"}</definedName>
    <definedName name="_92X5_" hidden="1">{#N/A,#N/A,FALSE,"KMC최종회의(7월) 자료"}</definedName>
    <definedName name="_92X6_" hidden="1">{#N/A,#N/A,FALSE,"KMC최종회의(7월) 자료"}</definedName>
    <definedName name="_92X8_" hidden="1">{#N/A,#N/A,FALSE,"KMC최종회의(7월) 자료"}</definedName>
    <definedName name="_92Z2_" hidden="1">{#N/A,#N/A,FALSE,"KMC최종회의(7월) 자료"}</definedName>
    <definedName name="_92Z3_" hidden="1">{#N/A,#N/A,FALSE,"KMC최종회의(7월) 자료"}</definedName>
    <definedName name="_92Z5_" hidden="1">{#N/A,#N/A,FALSE,"KMC최종회의(7월) 자료"}</definedName>
    <definedName name="_92Z6_" hidden="1">{#N/A,#N/A,FALSE,"KMC최종회의(7월) 자료"}</definedName>
    <definedName name="_92Z9_" hidden="1">{#N/A,#N/A,FALSE,"KMC최종회의(7월) 자료"}</definedName>
    <definedName name="_930k9_" hidden="1">{#N/A,#N/A,FALSE,"단축1";#N/A,#N/A,FALSE,"단축2";#N/A,#N/A,FALSE,"단축3";#N/A,#N/A,FALSE,"장축";#N/A,#N/A,FALSE,"4WD"}</definedName>
    <definedName name="_934s7_" hidden="1">{#N/A,#N/A,FALSE,"신규dep";#N/A,#N/A,FALSE,"신규dep-금형상각후";#N/A,#N/A,FALSE,"신규dep-연구비상각후";#N/A,#N/A,FALSE,"신규dep-기계,공구상각후"}</definedName>
    <definedName name="_935O11_" hidden="1">{#N/A,#N/A,FALSE,"단축1";#N/A,#N/A,FALSE,"단축2";#N/A,#N/A,FALSE,"단축3";#N/A,#N/A,FALSE,"장축";#N/A,#N/A,FALSE,"4WD"}</definedName>
    <definedName name="_938X1_" hidden="1">{#N/A,#N/A,FALSE,"KMC최종회의(7월) 자료"}</definedName>
    <definedName name="_939s8_" hidden="1">{#N/A,#N/A,FALSE,"신규dep";#N/A,#N/A,FALSE,"신규dep-금형상각후";#N/A,#N/A,FALSE,"신규dep-연구비상각후";#N/A,#N/A,FALSE,"신규dep-기계,공구상각후"}</definedName>
    <definedName name="_93A2_" hidden="1">{#N/A,#N/A,FALSE,"KMC최종회의(7월) 자료"}</definedName>
    <definedName name="_93A5_" hidden="1">{#N/A,#N/A,FALSE,"KMC최종회의(7월) 자료"}</definedName>
    <definedName name="_93A7_" hidden="1">{#N/A,#N/A,FALSE,"KMC최종회의(7월) 자료"}</definedName>
    <definedName name="_93A9_" hidden="1">{#N/A,#N/A,FALSE,"KMC최종회의(7월) 자료"}</definedName>
    <definedName name="_93AS6_" hidden="1">{#N/A,#N/A,FALSE,"Australien";#N/A,#N/A,FALSE,"Birmingham";#N/A,#N/A,FALSE,"Brasilien";#N/A,#N/A,FALSE,"Prag";#N/A,#N/A,FALSE,"Spanien";#N/A,#N/A,FALSE,"Malaysia ( Com)";#N/A,#N/A,FALSE,"Malaysia (Instr)"}</definedName>
    <definedName name="_93CL22_" hidden="1">{#N/A,#N/A,FALSE,"KMC최종회의(7월) 자료"}</definedName>
    <definedName name="_93DB777_" hidden="1">{#N/A,#N/A,TRUE,"Y생산";#N/A,#N/A,TRUE,"Y판매";#N/A,#N/A,TRUE,"Y총물량";#N/A,#N/A,TRUE,"Y능력";#N/A,#N/A,TRUE,"YKD"}</definedName>
    <definedName name="_93e3_" hidden="1">{#N/A,#N/A,FALSE,"단축1";#N/A,#N/A,FALSE,"단축2";#N/A,#N/A,FALSE,"단축3";#N/A,#N/A,FALSE,"장축";#N/A,#N/A,FALSE,"4WD"}</definedName>
    <definedName name="_93h1_" hidden="1">{"'표지'!$B$5"}</definedName>
    <definedName name="_93HP02_" hidden="1">{#N/A,#N/A,FALSE,"단축1";#N/A,#N/A,FALSE,"단축2";#N/A,#N/A,FALSE,"단축3";#N/A,#N/A,FALSE,"장축";#N/A,#N/A,FALSE,"4WD"}</definedName>
    <definedName name="_93K1_" hidden="1">{#N/A,#N/A,FALSE,"인원";#N/A,#N/A,FALSE,"비용2";#N/A,#N/A,FALSE,"비용1";#N/A,#N/A,FALSE,"비용";#N/A,#N/A,FALSE,"보증2";#N/A,#N/A,FALSE,"보증1";#N/A,#N/A,FALSE,"보증";#N/A,#N/A,FALSE,"손익1";#N/A,#N/A,FALSE,"손익";#N/A,#N/A,FALSE,"부서별매출";#N/A,#N/A,FALSE,"매출"}</definedName>
    <definedName name="_93K115_" hidden="1">{#N/A,#N/A,FALSE,"인원";#N/A,#N/A,FALSE,"비용2";#N/A,#N/A,FALSE,"비용1";#N/A,#N/A,FALSE,"비용";#N/A,#N/A,FALSE,"보증2";#N/A,#N/A,FALSE,"보증1";#N/A,#N/A,FALSE,"보증";#N/A,#N/A,FALSE,"손익1";#N/A,#N/A,FALSE,"손익";#N/A,#N/A,FALSE,"부서별매출";#N/A,#N/A,FALSE,"매출"}</definedName>
    <definedName name="_93k9_" hidden="1">{#N/A,#N/A,FALSE,"단축1";#N/A,#N/A,FALSE,"단축2";#N/A,#N/A,FALSE,"단축3";#N/A,#N/A,FALSE,"장축";#N/A,#N/A,FALSE,"4WD"}</definedName>
    <definedName name="_93Q1_" hidden="1">{#N/A,#N/A,FALSE,"KMC최종회의(7월) 자료"}</definedName>
    <definedName name="_93Q8_" hidden="1">{#N/A,#N/A,FALSE,"KMC최종회의(7월) 자료"}</definedName>
    <definedName name="_93S3_" hidden="1">{#N/A,#N/A,FALSE,"KMC최종회의(7월) 자료"}</definedName>
    <definedName name="_93S4_" hidden="1">{#N/A,#N/A,FALSE,"KMC최종회의(7월) 자료"}</definedName>
    <definedName name="_93s7_" hidden="1">{#N/A,#N/A,FALSE,"신규dep";#N/A,#N/A,FALSE,"신규dep-금형상각후";#N/A,#N/A,FALSE,"신규dep-연구비상각후";#N/A,#N/A,FALSE,"신규dep-기계,공구상각후"}</definedName>
    <definedName name="_93s7__1" hidden="1">{#N/A,#N/A,FALSE,"신규dep";#N/A,#N/A,FALSE,"신규dep-금형상각후";#N/A,#N/A,FALSE,"신규dep-연구비상각후";#N/A,#N/A,FALSE,"신규dep-기계,공구상각후"}</definedName>
    <definedName name="_93s8_" hidden="1">{#N/A,#N/A,FALSE,"신규dep";#N/A,#N/A,FALSE,"신규dep-금형상각후";#N/A,#N/A,FALSE,"신규dep-연구비상각후";#N/A,#N/A,FALSE,"신규dep-기계,공구상각후"}</definedName>
    <definedName name="_93T2_" hidden="1">{#N/A,#N/A,FALSE,"단축1";#N/A,#N/A,FALSE,"단축2";#N/A,#N/A,FALSE,"단축3";#N/A,#N/A,FALSE,"장축";#N/A,#N/A,FALSE,"4WD"}</definedName>
    <definedName name="_93U1_" hidden="1">{#N/A,#N/A,FALSE,"단축1";#N/A,#N/A,FALSE,"단축2";#N/A,#N/A,FALSE,"단축3";#N/A,#N/A,FALSE,"장축";#N/A,#N/A,FALSE,"4WD"}</definedName>
    <definedName name="_93W1_" hidden="1">{#N/A,#N/A,FALSE,"KMC최종회의(7월) 자료"}</definedName>
    <definedName name="_93W1__1" hidden="1">{#N/A,#N/A,FALSE,"KMC최종회의(7월) 자료"}</definedName>
    <definedName name="_93W3_" hidden="1">{#N/A,#N/A,FALSE,"KMC최종회의(7월) 자료"}</definedName>
    <definedName name="_93W5_" hidden="1">{#N/A,#N/A,FALSE,"KMC최종회의(7월) 자료"}</definedName>
    <definedName name="_93W7_" hidden="1">{#N/A,#N/A,FALSE,"KMC최종회의(7월) 자료"}</definedName>
    <definedName name="_93X3_" hidden="1">{#N/A,#N/A,FALSE,"KMC최종회의(7월) 자료"}</definedName>
    <definedName name="_93X8_" hidden="1">{#N/A,#N/A,FALSE,"KMC최종회의(7월) 자료"}</definedName>
    <definedName name="_93Z1_" hidden="1">{#N/A,#N/A,FALSE,"KMC최종회의(7월) 자료"}</definedName>
    <definedName name="_93Z1__1" hidden="1">{#N/A,#N/A,FALSE,"KMC최종회의(7월) 자료"}</definedName>
    <definedName name="_93Z2_" hidden="1">{#N/A,#N/A,FALSE,"KMC최종회의(7월) 자료"}</definedName>
    <definedName name="_93Z3_" hidden="1">{#N/A,#N/A,FALSE,"KMC최종회의(7월) 자료"}</definedName>
    <definedName name="_93Z4_" hidden="1">{#N/A,#N/A,FALSE,"KMC최종회의(7월) 자료"}</definedName>
    <definedName name="_93Z6_" hidden="1">{#N/A,#N/A,FALSE,"KMC최종회의(7월) 자료"}</definedName>
    <definedName name="_93Z7_" hidden="1">{#N/A,#N/A,FALSE,"KMC최종회의(7월) 자료"}</definedName>
    <definedName name="_948P21_" hidden="1">{#N/A,#N/A,FALSE,"단축1";#N/A,#N/A,FALSE,"단축2";#N/A,#N/A,FALSE,"단축3";#N/A,#N/A,FALSE,"장축";#N/A,#N/A,FALSE,"4WD"}</definedName>
    <definedName name="_94A4444_" hidden="1">{#N/A,#N/A,FALSE,"KMC최종회의(7월) 자료"}</definedName>
    <definedName name="_94A8_" hidden="1">{#N/A,#N/A,FALSE,"KMC최종회의(7월) 자료"}</definedName>
    <definedName name="_94A8__1" hidden="1">{#N/A,#N/A,FALSE,"KMC최종회의(7월) 자료"}</definedName>
    <definedName name="_94CL222_" hidden="1">{#N/A,#N/A,FALSE,"KMC최종회의(7월) 자료"}</definedName>
    <definedName name="_94DB777_" hidden="1">{#N/A,#N/A,TRUE,"Y생산";#N/A,#N/A,TRUE,"Y판매";#N/A,#N/A,TRUE,"Y총물량";#N/A,#N/A,TRUE,"Y능력";#N/A,#N/A,TRUE,"YKD"}</definedName>
    <definedName name="_94E1_" hidden="1">{#N/A,#N/A,FALSE,"KMC최종회의(7월) 자료"}</definedName>
    <definedName name="_94HP2_" hidden="1">{#N/A,#N/A,FALSE,"단축1";#N/A,#N/A,FALSE,"단축2";#N/A,#N/A,FALSE,"단축3";#N/A,#N/A,FALSE,"장축";#N/A,#N/A,FALSE,"4WD"}</definedName>
    <definedName name="_94k7_" hidden="1">{#N/A,#N/A,FALSE,"단축1";#N/A,#N/A,FALSE,"단축2";#N/A,#N/A,FALSE,"단축3";#N/A,#N/A,FALSE,"장축";#N/A,#N/A,FALSE,"4WD"}</definedName>
    <definedName name="_94k7__1" hidden="1">{#N/A,#N/A,FALSE,"단축1";#N/A,#N/A,FALSE,"단축2";#N/A,#N/A,FALSE,"단축3";#N/A,#N/A,FALSE,"장축";#N/A,#N/A,FALSE,"4WD"}</definedName>
    <definedName name="_94k9_" hidden="1">{#N/A,#N/A,FALSE,"단축1";#N/A,#N/A,FALSE,"단축2";#N/A,#N/A,FALSE,"단축3";#N/A,#N/A,FALSE,"장축";#N/A,#N/A,FALSE,"4WD"}</definedName>
    <definedName name="_94O11_" hidden="1">{#N/A,#N/A,FALSE,"단축1";#N/A,#N/A,FALSE,"단축2";#N/A,#N/A,FALSE,"단축3";#N/A,#N/A,FALSE,"장축";#N/A,#N/A,FALSE,"4WD"}</definedName>
    <definedName name="_94Q2_" hidden="1">{#N/A,#N/A,FALSE,"KMC최종회의(7월) 자료"}</definedName>
    <definedName name="_94q6_" hidden="1">{#N/A,#N/A,FALSE,"신규dep";#N/A,#N/A,FALSE,"신규dep-금형상각후";#N/A,#N/A,FALSE,"신규dep-연구비상각후";#N/A,#N/A,FALSE,"신규dep-기계,공구상각후"}</definedName>
    <definedName name="_94Q7_" hidden="1">{#N/A,#N/A,FALSE,"KMC최종회의(7월) 자료"}</definedName>
    <definedName name="_94Q8_" hidden="1">{#N/A,#N/A,FALSE,"KMC최종회의(7월) 자료"}</definedName>
    <definedName name="_94S5_" hidden="1">{#N/A,#N/A,FALSE,"KMC최종회의(7월) 자료"}</definedName>
    <definedName name="_94T3_" hidden="1">{#N/A,#N/A,FALSE,"단축1";#N/A,#N/A,FALSE,"단축2";#N/A,#N/A,FALSE,"단축3";#N/A,#N/A,FALSE,"장축";#N/A,#N/A,FALSE,"4WD"}</definedName>
    <definedName name="_94T5_" hidden="1">{#N/A,#N/A,FALSE,"단축1";#N/A,#N/A,FALSE,"단축2";#N/A,#N/A,FALSE,"단축3";#N/A,#N/A,FALSE,"장축";#N/A,#N/A,FALSE,"4WD"}</definedName>
    <definedName name="_94W2_" hidden="1">{#N/A,#N/A,FALSE,"KMC최종회의(7월) 자료"}</definedName>
    <definedName name="_94W6_" hidden="1">{#N/A,#N/A,FALSE,"KMC최종회의(7월) 자료"}</definedName>
    <definedName name="_94W7_" hidden="1">{#N/A,#N/A,FALSE,"KMC최종회의(7월) 자료"}</definedName>
    <definedName name="_94X1_" hidden="1">{#N/A,#N/A,FALSE,"KMC최종회의(7월) 자료"}</definedName>
    <definedName name="_94X2_" hidden="1">{#N/A,#N/A,FALSE,"KMC최종회의(7월) 자료"}</definedName>
    <definedName name="_94X3_" hidden="1">{#N/A,#N/A,FALSE,"KMC최종회의(7월) 자료"}</definedName>
    <definedName name="_94X4_" hidden="1">{#N/A,#N/A,FALSE,"KMC최종회의(7월) 자료"}</definedName>
    <definedName name="_94X6_" hidden="1">{#N/A,#N/A,FALSE,"KMC최종회의(7월) 자료"}</definedName>
    <definedName name="_94X7_" hidden="1">{#N/A,#N/A,FALSE,"KMC최종회의(7월) 자료"}</definedName>
    <definedName name="_94Z1_" hidden="1">{#N/A,#N/A,FALSE,"KMC최종회의(7월) 자료"}</definedName>
    <definedName name="_94Z3_" hidden="1">{#N/A,#N/A,FALSE,"KMC최종회의(7월) 자료"}</definedName>
    <definedName name="_94Z4_" hidden="1">{#N/A,#N/A,FALSE,"KMC최종회의(7월) 자료"}</definedName>
    <definedName name="_94Z5_" hidden="1">{#N/A,#N/A,FALSE,"KMC최종회의(7월) 자료"}</definedName>
    <definedName name="_94Z7_" hidden="1">{#N/A,#N/A,FALSE,"KMC최종회의(7월) 자료"}</definedName>
    <definedName name="_94Z8_" hidden="1">{#N/A,#N/A,FALSE,"KMC최종회의(7월) 자료"}</definedName>
    <definedName name="_95__123Graph_XC04C_FR_L1" hidden="1">#REF!</definedName>
    <definedName name="_95__0_S" hidden="1">#REF!</definedName>
    <definedName name="_953P3_" hidden="1">{#N/A,#N/A,FALSE,"단축1";#N/A,#N/A,FALSE,"단축2";#N/A,#N/A,FALSE,"단축3";#N/A,#N/A,FALSE,"장축";#N/A,#N/A,FALSE,"4WD"}</definedName>
    <definedName name="_954E1_" hidden="1">{#N/A,#N/A,FALSE,"KMC최종회의(7월) 자료"}</definedName>
    <definedName name="_954X2_" hidden="1">{#N/A,#N/A,FALSE,"KMC최종회의(7월) 자료"}</definedName>
    <definedName name="_955T2_" hidden="1">{#N/A,#N/A,FALSE,"단축1";#N/A,#N/A,FALSE,"단축2";#N/A,#N/A,FALSE,"단축3";#N/A,#N/A,FALSE,"장축";#N/A,#N/A,FALSE,"4WD"}</definedName>
    <definedName name="_957E2_" hidden="1">{#N/A,#N/A,FALSE,"KMC최종회의(7월) 자료"}</definedName>
    <definedName name="_958Q1_" hidden="1">{#N/A,#N/A,FALSE,"KMC최종회의(7월) 자료"}</definedName>
    <definedName name="_95A8_" hidden="1">{#N/A,#N/A,FALSE,"KMC최종회의(7월) 자료"}</definedName>
    <definedName name="_95CL222_" hidden="1">{#N/A,#N/A,FALSE,"KMC최종회의(7월) 자료"}</definedName>
    <definedName name="_95DB777_" hidden="1">{#N/A,#N/A,TRUE,"Y생산";#N/A,#N/A,TRUE,"Y판매";#N/A,#N/A,TRUE,"Y총물량";#N/A,#N/A,TRUE,"Y능력";#N/A,#N/A,TRUE,"YKD"}</definedName>
    <definedName name="_95E2_" hidden="1">{#N/A,#N/A,FALSE,"KMC최종회의(7월) 자료"}</definedName>
    <definedName name="_95e8_" hidden="1">{#N/A,#N/A,FALSE,"신규dep";#N/A,#N/A,FALSE,"신규dep-금형상각후";#N/A,#N/A,FALSE,"신규dep-연구비상각후";#N/A,#N/A,FALSE,"신규dep-기계,공구상각후"}</definedName>
    <definedName name="_95e8__1" hidden="1">{#N/A,#N/A,FALSE,"신규dep";#N/A,#N/A,FALSE,"신규dep-금형상각후";#N/A,#N/A,FALSE,"신규dep-연구비상각후";#N/A,#N/A,FALSE,"신규dep-기계,공구상각후"}</definedName>
    <definedName name="_95FG1_" hidden="1">{#N/A,#N/A,FALSE,"단축1";#N/A,#N/A,FALSE,"단축2";#N/A,#N/A,FALSE,"단축3";#N/A,#N/A,FALSE,"장축";#N/A,#N/A,FALSE,"4WD"}</definedName>
    <definedName name="_95K115_" hidden="1">{#N/A,#N/A,FALSE,"인원";#N/A,#N/A,FALSE,"비용2";#N/A,#N/A,FALSE,"비용1";#N/A,#N/A,FALSE,"비용";#N/A,#N/A,FALSE,"보증2";#N/A,#N/A,FALSE,"보증1";#N/A,#N/A,FALSE,"보증";#N/A,#N/A,FALSE,"손익1";#N/A,#N/A,FALSE,"손익";#N/A,#N/A,FALSE,"부서별매출";#N/A,#N/A,FALSE,"매출"}</definedName>
    <definedName name="_95P2_" hidden="1">{#N/A,#N/A,FALSE,"단축1";#N/A,#N/A,FALSE,"단축2";#N/A,#N/A,FALSE,"단축3";#N/A,#N/A,FALSE,"장축";#N/A,#N/A,FALSE,"4WD"}</definedName>
    <definedName name="_95P3_" hidden="1">#REF!</definedName>
    <definedName name="_95Q1_" hidden="1">{#N/A,#N/A,FALSE,"KMC최종회의(7월) 자료"}</definedName>
    <definedName name="_95Q3_" hidden="1">{#N/A,#N/A,FALSE,"KMC최종회의(7월) 자료"}</definedName>
    <definedName name="_95Q7_" hidden="1">{#N/A,#N/A,FALSE,"KMC최종회의(7월) 자료"}</definedName>
    <definedName name="_95Q8_" hidden="1">{#N/A,#N/A,FALSE,"KMC최종회의(7월) 자료"}</definedName>
    <definedName name="_95S1_" hidden="1">{#N/A,#N/A,FALSE,"KMC최종회의(7월) 자료"}</definedName>
    <definedName name="_95S3_" hidden="1">{#N/A,#N/A,FALSE,"KMC최종회의(7월) 자료"}</definedName>
    <definedName name="_95S6_" hidden="1">{#N/A,#N/A,FALSE,"KMC최종회의(7월) 자료"}</definedName>
    <definedName name="_95s8_" hidden="1">{#N/A,#N/A,FALSE,"신규dep";#N/A,#N/A,FALSE,"신규dep-금형상각후";#N/A,#N/A,FALSE,"신규dep-연구비상각후";#N/A,#N/A,FALSE,"신규dep-기계,공구상각후"}</definedName>
    <definedName name="_95s8__1" hidden="1">{#N/A,#N/A,FALSE,"신규dep";#N/A,#N/A,FALSE,"신규dep-금형상각후";#N/A,#N/A,FALSE,"신규dep-연구비상각후";#N/A,#N/A,FALSE,"신규dep-기계,공구상각후"}</definedName>
    <definedName name="_95T2_" hidden="1">{#N/A,#N/A,FALSE,"단축1";#N/A,#N/A,FALSE,"단축2";#N/A,#N/A,FALSE,"단축3";#N/A,#N/A,FALSE,"장축";#N/A,#N/A,FALSE,"4WD"}</definedName>
    <definedName name="_95T5_" hidden="1">{#N/A,#N/A,FALSE,"단축1";#N/A,#N/A,FALSE,"단축2";#N/A,#N/A,FALSE,"단축3";#N/A,#N/A,FALSE,"장축";#N/A,#N/A,FALSE,"4WD"}</definedName>
    <definedName name="_95W1_" hidden="1">{#N/A,#N/A,FALSE,"KMC최종회의(7월) 자료"}</definedName>
    <definedName name="_95W2_" hidden="1">{#N/A,#N/A,FALSE,"품의서";#N/A,#N/A,FALSE,"전제";#N/A,#N/A,FALSE,"총손";#N/A,#N/A,FALSE,"손익"}</definedName>
    <definedName name="_95W2__1" hidden="1">{#N/A,#N/A,FALSE,"품의서";#N/A,#N/A,FALSE,"전제";#N/A,#N/A,FALSE,"총손";#N/A,#N/A,FALSE,"손익"}</definedName>
    <definedName name="_95W4_" hidden="1">{#N/A,#N/A,FALSE,"KMC최종회의(7월) 자료"}</definedName>
    <definedName name="_95X4_" hidden="1">{#N/A,#N/A,FALSE,"KMC최종회의(7월) 자료"}</definedName>
    <definedName name="_95Z1_" hidden="1">{#N/A,#N/A,FALSE,"KMC최종회의(7월) 자료"}</definedName>
    <definedName name="_95Z2_" hidden="1">{#N/A,#N/A,FALSE,"KMC최종회의(7월) 자료"}</definedName>
    <definedName name="_95Z2__1" hidden="1">{#N/A,#N/A,FALSE,"KMC최종회의(7월) 자료"}</definedName>
    <definedName name="_95Z3_" hidden="1">{#N/A,#N/A,FALSE,"KMC최종회의(7월) 자료"}</definedName>
    <definedName name="_95Z4_" hidden="1">{#N/A,#N/A,FALSE,"KMC최종회의(7월) 자료"}</definedName>
    <definedName name="_95Z6_" hidden="1">{#N/A,#N/A,FALSE,"KMC최종회의(7월) 자료"}</definedName>
    <definedName name="_95Z8_" hidden="1">{#N/A,#N/A,FALSE,"KMC최종회의(7월) 자료"}</definedName>
    <definedName name="_95Z9_" hidden="1">{#N/A,#N/A,FALSE,"KMC최종회의(7월) 자료"}</definedName>
    <definedName name="_96__123Graph_XC04C_FR_L1" hidden="1">#REF!</definedName>
    <definedName name="_96__0_S" hidden="1">#REF!</definedName>
    <definedName name="_963Q2_" hidden="1">{#N/A,#N/A,FALSE,"KMC최종회의(7월) 자료"}</definedName>
    <definedName name="_96A1454_" hidden="1">{#N/A,#N/A,FALSE,"단축1";#N/A,#N/A,FALSE,"단축2";#N/A,#N/A,FALSE,"단축3";#N/A,#N/A,FALSE,"장축";#N/A,#N/A,FALSE,"4WD"}</definedName>
    <definedName name="_96A2_" hidden="1">{#N/A,#N/A,FALSE,"KMC최종회의(7월) 자료"}</definedName>
    <definedName name="_96A21321_" hidden="1">{#N/A,#N/A,FALSE,"단축1";#N/A,#N/A,FALSE,"단축2";#N/A,#N/A,FALSE,"단축3";#N/A,#N/A,FALSE,"장축";#N/A,#N/A,FALSE,"4WD"}</definedName>
    <definedName name="_96A5_" hidden="1">{#N/A,#N/A,FALSE,"KMC최종회의(7월) 자료"}</definedName>
    <definedName name="_96A6_" hidden="1">{#N/A,#N/A,FALSE,"KMC최종회의(7월) 자료"}</definedName>
    <definedName name="_96A6__1" hidden="1">{#N/A,#N/A,FALSE,"KMC최종회의(7월) 자료"}</definedName>
    <definedName name="_96A8_" hidden="1">{#N/A,#N/A,FALSE,"KMC최종회의(7월) 자료"}</definedName>
    <definedName name="_96CL22_" hidden="1">{#N/A,#N/A,FALSE,"KMC최종회의(7월) 자료"}</definedName>
    <definedName name="_96DB777_" hidden="1">{#N/A,#N/A,TRUE,"Y생산";#N/A,#N/A,TRUE,"Y판매";#N/A,#N/A,TRUE,"Y총물량";#N/A,#N/A,TRUE,"Y능력";#N/A,#N/A,TRUE,"YKD"}</definedName>
    <definedName name="_96E1_" hidden="1">{#N/A,#N/A,FALSE,"KMC최종회의(7월) 자료"}</definedName>
    <definedName name="_96e3_" hidden="1">{#N/A,#N/A,FALSE,"단축1";#N/A,#N/A,FALSE,"단축2";#N/A,#N/A,FALSE,"단축3";#N/A,#N/A,FALSE,"장축";#N/A,#N/A,FALSE,"4WD"}</definedName>
    <definedName name="_96G1_" hidden="1">{#N/A,#N/A,FALSE,"단축1";#N/A,#N/A,FALSE,"단축2";#N/A,#N/A,FALSE,"단축3";#N/A,#N/A,FALSE,"장축";#N/A,#N/A,FALSE,"4WD"}</definedName>
    <definedName name="_96h2_" hidden="1">{"'표지'!$B$5"}</definedName>
    <definedName name="_96IO8_" hidden="1">{#N/A,#N/A,FALSE,"단축1";#N/A,#N/A,FALSE,"단축2";#N/A,#N/A,FALSE,"단축3";#N/A,#N/A,FALSE,"장축";#N/A,#N/A,FALSE,"4WD"}</definedName>
    <definedName name="_96K12_" hidden="1">{#N/A,#N/A,FALSE,"단축1";#N/A,#N/A,FALSE,"단축2";#N/A,#N/A,FALSE,"단축3";#N/A,#N/A,FALSE,"장축";#N/A,#N/A,FALSE,"4WD"}</definedName>
    <definedName name="_96P3_" hidden="1">{#N/A,#N/A,FALSE,"단축1";#N/A,#N/A,FALSE,"단축2";#N/A,#N/A,FALSE,"단축3";#N/A,#N/A,FALSE,"장축";#N/A,#N/A,FALSE,"4WD"}</definedName>
    <definedName name="_96Q5_" hidden="1">{#N/A,#N/A,FALSE,"KMC최종회의(7월) 자료"}</definedName>
    <definedName name="_96Q7_" hidden="1">{#N/A,#N/A,FALSE,"KMC최종회의(7월) 자료"}</definedName>
    <definedName name="_96Q8_" hidden="1">{#N/A,#N/A,FALSE,"KMC최종회의(7월) 자료"}</definedName>
    <definedName name="_96Q9_" hidden="1">{#N/A,#N/A,FALSE,"KMC최종회의(7월) 자료"}</definedName>
    <definedName name="_96S4_" hidden="1">{#N/A,#N/A,FALSE,"KMC최종회의(7월) 자료"}</definedName>
    <definedName name="_96S6_" hidden="1">{#N/A,#N/A,FALSE,"KMC최종회의(7월) 자료"}</definedName>
    <definedName name="_96U1_" hidden="1">{#N/A,#N/A,FALSE,"단축1";#N/A,#N/A,FALSE,"단축2";#N/A,#N/A,FALSE,"단축3";#N/A,#N/A,FALSE,"장축";#N/A,#N/A,FALSE,"4WD"}</definedName>
    <definedName name="_96w1_" hidden="1">{#N/A,#N/A,FALSE,"신규dep";#N/A,#N/A,FALSE,"신규dep-금형상각후";#N/A,#N/A,FALSE,"신규dep-연구비상각후";#N/A,#N/A,FALSE,"신규dep-기계,공구상각후"}</definedName>
    <definedName name="_96W2_" hidden="1">{#N/A,#N/A,FALSE,"KMC최종회의(7월) 자료"}</definedName>
    <definedName name="_96W2__1" hidden="1">{#N/A,#N/A,FALSE,"KMC최종회의(7월) 자료"}</definedName>
    <definedName name="_96W4_" hidden="1">{#N/A,#N/A,FALSE,"KMC최종회의(7월) 자료"}</definedName>
    <definedName name="_96W6_" hidden="1">{#N/A,#N/A,FALSE,"KMC최종회의(7월) 자료"}</definedName>
    <definedName name="_96W7_" hidden="1">{#N/A,#N/A,FALSE,"KMC최종회의(7월) 자료"}</definedName>
    <definedName name="_96W8_" hidden="1">{#N/A,#N/A,FALSE,"KMC최종회의(7월) 자료"}</definedName>
    <definedName name="_96X2_" hidden="1">{#N/A,#N/A,FALSE,"KMC최종회의(7월) 자료"}</definedName>
    <definedName name="_96X3_" hidden="1">{#N/A,#N/A,FALSE,"KMC최종회의(7월) 자료"}</definedName>
    <definedName name="_96X4_" hidden="1">{#N/A,#N/A,FALSE,"KMC최종회의(7월) 자료"}</definedName>
    <definedName name="_96X5_" hidden="1">{#N/A,#N/A,FALSE,"KMC최종회의(7월) 자료"}</definedName>
    <definedName name="_96X7_" hidden="1">{#N/A,#N/A,FALSE,"KMC최종회의(7월) 자료"}</definedName>
    <definedName name="_96X8_" hidden="1">{#N/A,#N/A,FALSE,"KMC최종회의(7월) 자료"}</definedName>
    <definedName name="_96Z2_" hidden="1">{#N/A,#N/A,FALSE,"KMC최종회의(7월) 자료"}</definedName>
    <definedName name="_96Z4_" hidden="1">{#N/A,#N/A,FALSE,"KMC최종회의(7월) 자료"}</definedName>
    <definedName name="_96Z5_" hidden="1">{#N/A,#N/A,FALSE,"KMC최종회의(7월) 자료"}</definedName>
    <definedName name="_96Z7_" hidden="1">{#N/A,#N/A,FALSE,"KMC최종회의(7월) 자료"}</definedName>
    <definedName name="_96Z8_" hidden="1">{#N/A,#N/A,FALSE,"KMC최종회의(7월) 자료"}</definedName>
    <definedName name="_96Z9_" hidden="1">{#N/A,#N/A,FALSE,"KMC최종회의(7월) 자료"}</definedName>
    <definedName name="_970X3_" hidden="1">{#N/A,#N/A,FALSE,"KMC최종회의(7월) 자료"}</definedName>
    <definedName name="_971w1_" hidden="1">{#N/A,#N/A,FALSE,"신규dep";#N/A,#N/A,FALSE,"신규dep-금형상각후";#N/A,#N/A,FALSE,"신규dep-연구비상각후";#N/A,#N/A,FALSE,"신규dep-기계,공구상각후"}</definedName>
    <definedName name="_978Q3_" hidden="1">{#N/A,#N/A,FALSE,"KMC최종회의(7월) 자료"}</definedName>
    <definedName name="_97A6_" hidden="1">{#N/A,#N/A,FALSE,"KMC최종회의(7월) 자료"}</definedName>
    <definedName name="_97A8_" hidden="1">{#N/A,#N/A,FALSE,"KMC최종회의(7월) 자료"}</definedName>
    <definedName name="_97A9_" hidden="1">{#N/A,#N/A,FALSE,"KMC최종회의(7월) 자료"}</definedName>
    <definedName name="_97CL33_" hidden="1">{#N/A,#N/A,FALSE,"KMC최종회의(7월) 자료"}</definedName>
    <definedName name="_97EO2_" hidden="1">{#N/A,#N/A,FALSE,"신규dep";#N/A,#N/A,FALSE,"신규dep-금형상각후";#N/A,#N/A,FALSE,"신규dep-연구비상각후";#N/A,#N/A,FALSE,"신규dep-기계,공구상각후"}</definedName>
    <definedName name="_97k1_" hidden="1">#REF!</definedName>
    <definedName name="_97Q1_" hidden="1">{#N/A,#N/A,FALSE,"KMC최종회의(7월) 자료"}</definedName>
    <definedName name="_97q6_" hidden="1">{#N/A,#N/A,FALSE,"신규dep";#N/A,#N/A,FALSE,"신규dep-금형상각후";#N/A,#N/A,FALSE,"신규dep-연구비상각후";#N/A,#N/A,FALSE,"신규dep-기계,공구상각후"}</definedName>
    <definedName name="_97q7_" hidden="1">{#N/A,#N/A,FALSE,"신규dep";#N/A,#N/A,FALSE,"신규dep-금형상각후";#N/A,#N/A,FALSE,"신규dep-연구비상각후";#N/A,#N/A,FALSE,"신규dep-기계,공구상각후"}</definedName>
    <definedName name="_97Q8_" hidden="1">{#N/A,#N/A,FALSE,"KMC최종회의(7월) 자료"}</definedName>
    <definedName name="_97S5_" hidden="1">{#N/A,#N/A,FALSE,"KMC최종회의(7월) 자료"}</definedName>
    <definedName name="_97S6_" hidden="1">{#N/A,#N/A,FALSE,"KMC최종회의(7월) 자료"}</definedName>
    <definedName name="_97T2_" hidden="1">{#N/A,#N/A,FALSE,"단축1";#N/A,#N/A,FALSE,"단축2";#N/A,#N/A,FALSE,"단축3";#N/A,#N/A,FALSE,"장축";#N/A,#N/A,FALSE,"4WD"}</definedName>
    <definedName name="_97T2__1" hidden="1">{#N/A,#N/A,FALSE,"단축1";#N/A,#N/A,FALSE,"단축2";#N/A,#N/A,FALSE,"단축3";#N/A,#N/A,FALSE,"장축";#N/A,#N/A,FALSE,"4WD"}</definedName>
    <definedName name="_97T3_" hidden="1">{#N/A,#N/A,FALSE,"단축1";#N/A,#N/A,FALSE,"단축2";#N/A,#N/A,FALSE,"단축3";#N/A,#N/A,FALSE,"장축";#N/A,#N/A,FALSE,"4WD"}</definedName>
    <definedName name="_97W2_" hidden="1">{#N/A,#N/A,FALSE,"KMC최종회의(7월) 자료"}</definedName>
    <definedName name="_97w3_" hidden="1">{#N/A,#N/A,FALSE,"신규dep";#N/A,#N/A,FALSE,"신규dep-금형상각후";#N/A,#N/A,FALSE,"신규dep-연구비상각후";#N/A,#N/A,FALSE,"신규dep-기계,공구상각후"}</definedName>
    <definedName name="_97w3__1" hidden="1">{#N/A,#N/A,FALSE,"신규dep";#N/A,#N/A,FALSE,"신규dep-금형상각후";#N/A,#N/A,FALSE,"신규dep-연구비상각후";#N/A,#N/A,FALSE,"신규dep-기계,공구상각후"}</definedName>
    <definedName name="_97W5_" hidden="1">{#N/A,#N/A,FALSE,"KMC최종회의(7월) 자료"}</definedName>
    <definedName name="_97X5_" hidden="1">{#N/A,#N/A,FALSE,"KMC최종회의(7월) 자료"}</definedName>
    <definedName name="_97Z2_" hidden="1">{#N/A,#N/A,FALSE,"KMC최종회의(7월) 자료"}</definedName>
    <definedName name="_97Z3_" hidden="1">{#N/A,#N/A,FALSE,"KMC최종회의(7월) 자료"}</definedName>
    <definedName name="_97Z3__1" hidden="1">{#N/A,#N/A,FALSE,"KMC최종회의(7월) 자료"}</definedName>
    <definedName name="_97Z4_" hidden="1">{#N/A,#N/A,FALSE,"KMC최종회의(7월) 자료"}</definedName>
    <definedName name="_97Z5_" hidden="1">{#N/A,#N/A,FALSE,"KMC최종회의(7월) 자료"}</definedName>
    <definedName name="_97Z8_" hidden="1">{#N/A,#N/A,FALSE,"KMC최종회의(7월) 자료"}</definedName>
    <definedName name="_983Q5_" hidden="1">{#N/A,#N/A,FALSE,"KMC최종회의(7월) 자료"}</definedName>
    <definedName name="_986X4_" hidden="1">{#N/A,#N/A,FALSE,"KMC최종회의(7월) 자료"}</definedName>
    <definedName name="_987w3_" hidden="1">{#N/A,#N/A,FALSE,"신규dep";#N/A,#N/A,FALSE,"신규dep-금형상각후";#N/A,#N/A,FALSE,"신규dep-연구비상각후";#N/A,#N/A,FALSE,"신규dep-기계,공구상각후"}</definedName>
    <definedName name="_988Q7_" hidden="1">{#N/A,#N/A,FALSE,"KMC최종회의(7월) 자료"}</definedName>
    <definedName name="_98A7_" hidden="1">{#N/A,#N/A,FALSE,"KMC최종회의(7월) 자료"}</definedName>
    <definedName name="_98AS6_" hidden="1">{#N/A,#N/A,FALSE,"Australien";#N/A,#N/A,FALSE,"Birmingham";#N/A,#N/A,FALSE,"Brasilien";#N/A,#N/A,FALSE,"Prag";#N/A,#N/A,FALSE,"Spanien";#N/A,#N/A,FALSE,"Malaysia ( Com)";#N/A,#N/A,FALSE,"Malaysia (Instr)"}</definedName>
    <definedName name="_98CL222_" hidden="1">{#N/A,#N/A,FALSE,"KMC최종회의(7월) 자료"}</definedName>
    <definedName name="_98DR1_" hidden="1">{#N/A,#N/A,FALSE,"업체선정";#N/A,#N/A,FALSE,"업체선정sheet";#N/A,#N/A,FALSE,"업체실태";#N/A,#N/A,FALSE,"업체실태(1)";#N/A,#N/A,FALSE,"종업원현황(2)";#N/A,#N/A,FALSE,"생산품목(3)";#N/A,#N/A,FALSE,"장비보유현황";#N/A,#N/A,FALSE,"차량및약도";#N/A,#N/A,FALSE,"금형LIST"}</definedName>
    <definedName name="_98E2_" hidden="1">{#N/A,#N/A,FALSE,"KMC최종회의(7월) 자료"}</definedName>
    <definedName name="_98e4_" hidden="1">{#N/A,#N/A,FALSE,"단축1";#N/A,#N/A,FALSE,"단축2";#N/A,#N/A,FALSE,"단축3";#N/A,#N/A,FALSE,"장축";#N/A,#N/A,FALSE,"4WD"}</definedName>
    <definedName name="_98h3_" hidden="1">{"'표지'!$B$5"}</definedName>
    <definedName name="_98HL1_" hidden="1">{#N/A,#N/A,FALSE,"단축1";#N/A,#N/A,FALSE,"단축2";#N/A,#N/A,FALSE,"단축3";#N/A,#N/A,FALSE,"장축";#N/A,#N/A,FALSE,"4WD"}</definedName>
    <definedName name="_98k7_" hidden="1">{#N/A,#N/A,FALSE,"단축1";#N/A,#N/A,FALSE,"단축2";#N/A,#N/A,FALSE,"단축3";#N/A,#N/A,FALSE,"장축";#N/A,#N/A,FALSE,"4WD"}</definedName>
    <definedName name="_98k8_" hidden="1">{#N/A,#N/A,FALSE,"단축1";#N/A,#N/A,FALSE,"단축2";#N/A,#N/A,FALSE,"단축3";#N/A,#N/A,FALSE,"장축";#N/A,#N/A,FALSE,"4WD"}</definedName>
    <definedName name="_98M123_" hidden="1">{#N/A,#N/A,FALSE,"단축1";#N/A,#N/A,FALSE,"단축2";#N/A,#N/A,FALSE,"단축3";#N/A,#N/A,FALSE,"장축";#N/A,#N/A,FALSE,"4WD"}</definedName>
    <definedName name="_98Q12_" hidden="1">{"'7-2지역별'!$A$1:$R$44"}</definedName>
    <definedName name="_98Q2_" hidden="1">{#N/A,#N/A,FALSE,"KMC최종회의(7월) 자료"}</definedName>
    <definedName name="_98Q3_" hidden="1">{#N/A,#N/A,FALSE,"KMC최종회의(7월) 자료"}</definedName>
    <definedName name="_98Q7_" hidden="1">{#N/A,#N/A,FALSE,"KMC최종회의(7월) 자료"}</definedName>
    <definedName name="_98Q9_" hidden="1">{#N/A,#N/A,FALSE,"KMC최종회의(7월) 자료"}</definedName>
    <definedName name="_98S2_" hidden="1">{#N/A,#N/A,FALSE,"KMC최종회의(7월) 자료"}</definedName>
    <definedName name="_98S4_" hidden="1">{#N/A,#N/A,FALSE,"KMC최종회의(7월) 자료"}</definedName>
    <definedName name="_98S7_" hidden="1">{#N/A,#N/A,FALSE,"KMC최종회의(7월) 자료"}</definedName>
    <definedName name="_98T3_" hidden="1">{#N/A,#N/A,FALSE,"단축1";#N/A,#N/A,FALSE,"단축2";#N/A,#N/A,FALSE,"단축3";#N/A,#N/A,FALSE,"장축";#N/A,#N/A,FALSE,"4WD"}</definedName>
    <definedName name="_98W1_" hidden="1">{#N/A,#N/A,FALSE,"KMC최종회의(7월) 자료"}</definedName>
    <definedName name="_98W2_" hidden="1">{#N/A,#N/A,FALSE,"품의서";#N/A,#N/A,FALSE,"전제";#N/A,#N/A,FALSE,"총손";#N/A,#N/A,FALSE,"손익"}</definedName>
    <definedName name="_98W8_" hidden="1">{#N/A,#N/A,FALSE,"KMC최종회의(7월) 자료"}</definedName>
    <definedName name="_98W9_" hidden="1">{#N/A,#N/A,FALSE,"KMC최종회의(7월) 자료"}</definedName>
    <definedName name="_98X3_" hidden="1">{#N/A,#N/A,FALSE,"KMC최종회의(7월) 자료"}</definedName>
    <definedName name="_98X4_" hidden="1">{#N/A,#N/A,FALSE,"KMC최종회의(7월) 자료"}</definedName>
    <definedName name="_98X5_" hidden="1">{#N/A,#N/A,FALSE,"KMC최종회의(7월) 자료"}</definedName>
    <definedName name="_98X6_" hidden="1">{#N/A,#N/A,FALSE,"KMC최종회의(7월) 자료"}</definedName>
    <definedName name="_98X8_" hidden="1">{#N/A,#N/A,FALSE,"KMC최종회의(7월) 자료"}</definedName>
    <definedName name="_98Z1_" hidden="1">{#N/A,#N/A,FALSE,"KMC최종회의(7월) 자료"}</definedName>
    <definedName name="_98Z3_" hidden="1">{#N/A,#N/A,FALSE,"KMC최종회의(7월) 자료"}</definedName>
    <definedName name="_98Z5_" hidden="1">{#N/A,#N/A,FALSE,"KMC최종회의(7월) 자료"}</definedName>
    <definedName name="_98Z6_" hidden="1">{#N/A,#N/A,FALSE,"KMC최종회의(7월) 자료"}</definedName>
    <definedName name="_98Z9_" hidden="1">{#N/A,#N/A,FALSE,"KMC최종회의(7월) 자료"}</definedName>
    <definedName name="_99__123Graph_XC04C_FR_L2" hidden="1">#REF!</definedName>
    <definedName name="_99____S" hidden="1">#REF!</definedName>
    <definedName name="_990HP02_" hidden="1">{#N/A,#N/A,FALSE,"단축1";#N/A,#N/A,FALSE,"단축2";#N/A,#N/A,FALSE,"단축3";#N/A,#N/A,FALSE,"장축";#N/A,#N/A,FALSE,"4WD"}</definedName>
    <definedName name="_992w4_" hidden="1">{#N/A,#N/A,FALSE,"단축1";#N/A,#N/A,FALSE,"단축2";#N/A,#N/A,FALSE,"단축3";#N/A,#N/A,FALSE,"장축";#N/A,#N/A,FALSE,"4WD"}</definedName>
    <definedName name="_993Q8_" hidden="1">{#N/A,#N/A,FALSE,"KMC최종회의(7월) 자료"}</definedName>
    <definedName name="_995HP2_" hidden="1">{#N/A,#N/A,FALSE,"단축1";#N/A,#N/A,FALSE,"단축2";#N/A,#N/A,FALSE,"단축3";#N/A,#N/A,FALSE,"장축";#N/A,#N/A,FALSE,"4WD"}</definedName>
    <definedName name="_997w5_" hidden="1">{#N/A,#N/A,FALSE,"신규dep";#N/A,#N/A,FALSE,"신규dep-금형상각후";#N/A,#N/A,FALSE,"신규dep-연구비상각후";#N/A,#N/A,FALSE,"신규dep-기계,공구상각후"}</definedName>
    <definedName name="_998Q9_" hidden="1">{#N/A,#N/A,FALSE,"KMC최종회의(7월) 자료"}</definedName>
    <definedName name="_99A4444_" hidden="1">{#N/A,#N/A,FALSE,"KMC최종회의(7월) 자료"}</definedName>
    <definedName name="_99A7_" hidden="1">{#N/A,#N/A,FALSE,"KMC최종회의(7월) 자료"}</definedName>
    <definedName name="_99A8_" hidden="1">{#N/A,#N/A,FALSE,"KMC최종회의(7월) 자료"}</definedName>
    <definedName name="_99A9_" hidden="1">{#N/A,#N/A,FALSE,"KMC최종회의(7월) 자료"}</definedName>
    <definedName name="_99DB777_" hidden="1">{#N/A,#N/A,TRUE,"Y생산";#N/A,#N/A,TRUE,"Y판매";#N/A,#N/A,TRUE,"Y총물량";#N/A,#N/A,TRUE,"Y능력";#N/A,#N/A,TRUE,"YKD"}</definedName>
    <definedName name="_99HL2_" hidden="1">{#N/A,#N/A,FALSE,"단축1";#N/A,#N/A,FALSE,"단축2";#N/A,#N/A,FALSE,"단축3";#N/A,#N/A,FALSE,"장축";#N/A,#N/A,FALSE,"4WD"}</definedName>
    <definedName name="_99K223_" hidden="1">{#N/A,#N/A,FALSE,"단축1";#N/A,#N/A,FALSE,"단축2";#N/A,#N/A,FALSE,"단축3";#N/A,#N/A,FALSE,"장축";#N/A,#N/A,FALSE,"4WD"}</definedName>
    <definedName name="_99k8_" hidden="1">{#N/A,#N/A,FALSE,"단축1";#N/A,#N/A,FALSE,"단축2";#N/A,#N/A,FALSE,"단축3";#N/A,#N/A,FALSE,"장축";#N/A,#N/A,FALSE,"4WD"}</definedName>
    <definedName name="_99P2_" hidden="1">{#N/A,#N/A,FALSE,"단축1";#N/A,#N/A,FALSE,"단축2";#N/A,#N/A,FALSE,"단축3";#N/A,#N/A,FALSE,"장축";#N/A,#N/A,FALSE,"4WD"}</definedName>
    <definedName name="_99Q2_" hidden="1">{#N/A,#N/A,FALSE,"KMC최종회의(7월) 자료"}</definedName>
    <definedName name="_99Q3_" hidden="1">{#N/A,#N/A,FALSE,"KMC최종회의(7월) 자료"}</definedName>
    <definedName name="_99Q8_" hidden="1">{#N/A,#N/A,FALSE,"KMC최종회의(7월) 자료"}</definedName>
    <definedName name="_99Q9_" hidden="1">{#N/A,#N/A,FALSE,"KMC최종회의(7월) 자료"}</definedName>
    <definedName name="_99S1_" hidden="1">{#N/A,#N/A,FALSE,"KMC최종회의(7월) 자료"}</definedName>
    <definedName name="_99S5_" hidden="1">{#N/A,#N/A,FALSE,"KMC최종회의(7월) 자료"}</definedName>
    <definedName name="_99T3_" hidden="1">{#N/A,#N/A,FALSE,"단축1";#N/A,#N/A,FALSE,"단축2";#N/A,#N/A,FALSE,"단축3";#N/A,#N/A,FALSE,"장축";#N/A,#N/A,FALSE,"4WD"}</definedName>
    <definedName name="_99T3__1" hidden="1">{#N/A,#N/A,FALSE,"단축1";#N/A,#N/A,FALSE,"단축2";#N/A,#N/A,FALSE,"단축3";#N/A,#N/A,FALSE,"장축";#N/A,#N/A,FALSE,"4WD"}</definedName>
    <definedName name="_99T5_" hidden="1">{#N/A,#N/A,FALSE,"단축1";#N/A,#N/A,FALSE,"단축2";#N/A,#N/A,FALSE,"단축3";#N/A,#N/A,FALSE,"장축";#N/A,#N/A,FALSE,"4WD"}</definedName>
    <definedName name="_99W3_" hidden="1">{#N/A,#N/A,FALSE,"KMC최종회의(7월) 자료"}</definedName>
    <definedName name="_99W3__1" hidden="1">{#N/A,#N/A,FALSE,"KMC최종회의(7월) 자료"}</definedName>
    <definedName name="_99w4_" hidden="1">{#N/A,#N/A,FALSE,"단축1";#N/A,#N/A,FALSE,"단축2";#N/A,#N/A,FALSE,"단축3";#N/A,#N/A,FALSE,"장축";#N/A,#N/A,FALSE,"4WD"}</definedName>
    <definedName name="_99w4__1" hidden="1">{#N/A,#N/A,FALSE,"단축1";#N/A,#N/A,FALSE,"단축2";#N/A,#N/A,FALSE,"단축3";#N/A,#N/A,FALSE,"장축";#N/A,#N/A,FALSE,"4WD"}</definedName>
    <definedName name="_99W6_" hidden="1">{#N/A,#N/A,FALSE,"KMC최종회의(7월) 자료"}</definedName>
    <definedName name="_99W7_" hidden="1">{#N/A,#N/A,FALSE,"KMC최종회의(7월) 자료"}</definedName>
    <definedName name="_99W9_" hidden="1">{#N/A,#N/A,FALSE,"KMC최종회의(7월) 자료"}</definedName>
    <definedName name="_99X6_" hidden="1">{#N/A,#N/A,FALSE,"KMC최종회의(7월) 자료"}</definedName>
    <definedName name="_99Z3_" hidden="1">{#N/A,#N/A,FALSE,"KMC최종회의(7월) 자료"}</definedName>
    <definedName name="_99Z4_" hidden="1">{#N/A,#N/A,FALSE,"KMC최종회의(7월) 자료"}</definedName>
    <definedName name="_99Z4__1" hidden="1">{#N/A,#N/A,FALSE,"KMC최종회의(7월) 자료"}</definedName>
    <definedName name="_99Z5_" hidden="1">{#N/A,#N/A,FALSE,"KMC최종회의(7월) 자료"}</definedName>
    <definedName name="_99Z6_" hidden="1">{#N/A,#N/A,FALSE,"KMC최종회의(7월) 자료"}</definedName>
    <definedName name="_9A0323_" hidden="1">{#N/A,#N/A,FALSE,"단축1";#N/A,#N/A,FALSE,"단축2";#N/A,#N/A,FALSE,"단축3";#N/A,#N/A,FALSE,"장축";#N/A,#N/A,FALSE,"4WD"}</definedName>
    <definedName name="_9A1_" hidden="1">{#N/A,#N/A,FALSE,"KMC최종회의(7월) 자료"}</definedName>
    <definedName name="_9A1232_" hidden="1">{#N/A,#N/A,FALSE,"단축1";#N/A,#N/A,FALSE,"단축2";#N/A,#N/A,FALSE,"단축3";#N/A,#N/A,FALSE,"장축";#N/A,#N/A,FALSE,"4WD"}</definedName>
    <definedName name="_9A1245_" hidden="1">{#N/A,#N/A,FALSE,"단축1";#N/A,#N/A,FALSE,"단축2";#N/A,#N/A,FALSE,"단축3";#N/A,#N/A,FALSE,"장축";#N/A,#N/A,FALSE,"4WD"}</definedName>
    <definedName name="_9A1454_" hidden="1">{#N/A,#N/A,FALSE,"단축1";#N/A,#N/A,FALSE,"단축2";#N/A,#N/A,FALSE,"단축3";#N/A,#N/A,FALSE,"장축";#N/A,#N/A,FALSE,"4WD"}</definedName>
    <definedName name="_9A2_" hidden="1">{#N/A,#N/A,FALSE,"KMC최종회의(7월) 자료"}</definedName>
    <definedName name="_9A2__1" hidden="1">{#N/A,#N/A,FALSE,"KMC최종회의(7월) 자료"}</definedName>
    <definedName name="_9A21321_" hidden="1">{#N/A,#N/A,FALSE,"단축1";#N/A,#N/A,FALSE,"단축2";#N/A,#N/A,FALSE,"단축3";#N/A,#N/A,FALSE,"장축";#N/A,#N/A,FALSE,"4WD"}</definedName>
    <definedName name="_9A3_" hidden="1">{#N/A,#N/A,FALSE,"KMC최종회의(7월) 자료"}</definedName>
    <definedName name="_9A4_" hidden="1">{#N/A,#N/A,FALSE,"KMC최종회의(7월) 자료"}</definedName>
    <definedName name="_9A5_" hidden="1">{#N/A,#N/A,FALSE,"KMC최종회의(7월) 자료"}</definedName>
    <definedName name="_9A6_" hidden="1">{#N/A,#N/A,FALSE,"KMC최종회의(7월) 자료"}</definedName>
    <definedName name="_9A7_" hidden="1">{#N/A,#N/A,FALSE,"KMC최종회의(7월) 자료"}</definedName>
    <definedName name="_9A8_" hidden="1">{#N/A,#N/A,FALSE,"KMC최종회의(7월) 자료"}</definedName>
    <definedName name="_9A8__1" hidden="1">{#N/A,#N/A,FALSE,"KMC최종회의(7월) 자료"}</definedName>
    <definedName name="_9A9_" hidden="1">{#N/A,#N/A,FALSE,"KMC최종회의(7월) 자료"}</definedName>
    <definedName name="_9A9__1" hidden="1">{#N/A,#N/A,FALSE,"KMC최종회의(7월) 자료"}</definedName>
    <definedName name="_9AS6_" hidden="1">{#N/A,#N/A,FALSE,"Australien";#N/A,#N/A,FALSE,"Birmingham";#N/A,#N/A,FALSE,"Brasilien";#N/A,#N/A,FALSE,"Prag";#N/A,#N/A,FALSE,"Spanien";#N/A,#N/A,FALSE,"Malaysia ( Com)";#N/A,#N/A,FALSE,"Malaysia (Instr)"}</definedName>
    <definedName name="_9AT1_" hidden="1">{#N/A,#N/A,FALSE,"인원";#N/A,#N/A,FALSE,"비용2";#N/A,#N/A,FALSE,"비용1";#N/A,#N/A,FALSE,"비용";#N/A,#N/A,FALSE,"보증2";#N/A,#N/A,FALSE,"보증1";#N/A,#N/A,FALSE,"보증";#N/A,#N/A,FALSE,"손익1";#N/A,#N/A,FALSE,"손익";#N/A,#N/A,FALSE,"부서별매출";#N/A,#N/A,FALSE,"매출"}</definedName>
    <definedName name="_9CL22_" hidden="1">{#N/A,#N/A,FALSE,"KMC최종회의(7월) 자료"}</definedName>
    <definedName name="_9E1_" hidden="1">{#N/A,#N/A,FALSE,"KMC최종회의(7월) 자료"}</definedName>
    <definedName name="_9E1__1" hidden="1">{#N/A,#N/A,FALSE,"KMC최종회의(7월) 자료"}</definedName>
    <definedName name="_9EO2_" hidden="1">{#N/A,#N/A,FALSE,"신규dep";#N/A,#N/A,FALSE,"신규dep-금형상각후";#N/A,#N/A,FALSE,"신규dep-연구비상각후";#N/A,#N/A,FALSE,"신규dep-기계,공구상각후"}</definedName>
    <definedName name="_9FG1_" hidden="1">{#N/A,#N/A,FALSE,"단축1";#N/A,#N/A,FALSE,"단축2";#N/A,#N/A,FALSE,"단축3";#N/A,#N/A,FALSE,"장축";#N/A,#N/A,FALSE,"4WD"}</definedName>
    <definedName name="_9HL1_" hidden="1">{#N/A,#N/A,FALSE,"단축1";#N/A,#N/A,FALSE,"단축2";#N/A,#N/A,FALSE,"단축3";#N/A,#N/A,FALSE,"장축";#N/A,#N/A,FALSE,"4WD"}</definedName>
    <definedName name="_9HP02_" hidden="1">{#N/A,#N/A,FALSE,"단축1";#N/A,#N/A,FALSE,"단축2";#N/A,#N/A,FALSE,"단축3";#N/A,#N/A,FALSE,"장축";#N/A,#N/A,FALSE,"4WD"}</definedName>
    <definedName name="_9HP2_" hidden="1">{#N/A,#N/A,FALSE,"단축1";#N/A,#N/A,FALSE,"단축2";#N/A,#N/A,FALSE,"단축3";#N/A,#N/A,FALSE,"장축";#N/A,#N/A,FALSE,"4WD"}</definedName>
    <definedName name="_9k1_" hidden="1">#REF!</definedName>
    <definedName name="_9k8_" hidden="1">{#N/A,#N/A,FALSE,"단축1";#N/A,#N/A,FALSE,"단축2";#N/A,#N/A,FALSE,"단축3";#N/A,#N/A,FALSE,"장축";#N/A,#N/A,FALSE,"4WD"}</definedName>
    <definedName name="_9S3_" hidden="1">{#N/A,#N/A,FALSE,"KMC최종회의(7월) 자료"}</definedName>
    <definedName name="_9T2_" hidden="1">{#N/A,#N/A,FALSE,"단축1";#N/A,#N/A,FALSE,"단축2";#N/A,#N/A,FALSE,"단축3";#N/A,#N/A,FALSE,"장축";#N/A,#N/A,FALSE,"4WD"}</definedName>
    <definedName name="_9T3_" hidden="1">{#N/A,#N/A,FALSE,"단축1";#N/A,#N/A,FALSE,"단축2";#N/A,#N/A,FALSE,"단축3";#N/A,#N/A,FALSE,"장축";#N/A,#N/A,FALSE,"4WD"}</definedName>
    <definedName name="_A02" hidden="1">{#N/A,#N/A,FALSE,"단축1";#N/A,#N/A,FALSE,"단축2";#N/A,#N/A,FALSE,"단축3";#N/A,#N/A,FALSE,"장축";#N/A,#N/A,FALSE,"4WD"}</definedName>
    <definedName name="_A02_1" hidden="1">{#N/A,#N/A,FALSE,"단축1";#N/A,#N/A,FALSE,"단축2";#N/A,#N/A,FALSE,"단축3";#N/A,#N/A,FALSE,"장축";#N/A,#N/A,FALSE,"4WD"}</definedName>
    <definedName name="_A0323" hidden="1">{#N/A,#N/A,FALSE,"단축1";#N/A,#N/A,FALSE,"단축2";#N/A,#N/A,FALSE,"단축3";#N/A,#N/A,FALSE,"장축";#N/A,#N/A,FALSE,"4WD"}</definedName>
    <definedName name="_A0323_1" hidden="1">{#N/A,#N/A,FALSE,"단축1";#N/A,#N/A,FALSE,"단축2";#N/A,#N/A,FALSE,"단축3";#N/A,#N/A,FALSE,"장축";#N/A,#N/A,FALSE,"4WD"}</definedName>
    <definedName name="_A1" hidden="1">{#N/A,#N/A,FALSE,"KMC최종회의(7월) 자료"}</definedName>
    <definedName name="_A1_1" hidden="1">{#N/A,#N/A,FALSE,"KMC최종회의(7월) 자료"}</definedName>
    <definedName name="_a12" hidden="1">{"'Monthly 1997'!$A$3:$S$89"}</definedName>
    <definedName name="_A1232" hidden="1">{#N/A,#N/A,FALSE,"단축1";#N/A,#N/A,FALSE,"단축2";#N/A,#N/A,FALSE,"단축3";#N/A,#N/A,FALSE,"장축";#N/A,#N/A,FALSE,"4WD"}</definedName>
    <definedName name="_A1232_1" hidden="1">{#N/A,#N/A,FALSE,"단축1";#N/A,#N/A,FALSE,"단축2";#N/A,#N/A,FALSE,"단축3";#N/A,#N/A,FALSE,"장축";#N/A,#N/A,FALSE,"4WD"}</definedName>
    <definedName name="_A1245" hidden="1">{#N/A,#N/A,FALSE,"단축1";#N/A,#N/A,FALSE,"단축2";#N/A,#N/A,FALSE,"단축3";#N/A,#N/A,FALSE,"장축";#N/A,#N/A,FALSE,"4WD"}</definedName>
    <definedName name="_A1245_1" hidden="1">{#N/A,#N/A,FALSE,"단축1";#N/A,#N/A,FALSE,"단축2";#N/A,#N/A,FALSE,"단축3";#N/A,#N/A,FALSE,"장축";#N/A,#N/A,FALSE,"4WD"}</definedName>
    <definedName name="_A12458" hidden="1">{#N/A,#N/A,FALSE,"단축1";#N/A,#N/A,FALSE,"단축2";#N/A,#N/A,FALSE,"단축3";#N/A,#N/A,FALSE,"장축";#N/A,#N/A,FALSE,"4WD"}</definedName>
    <definedName name="_A12458_1" hidden="1">{#N/A,#N/A,FALSE,"단축1";#N/A,#N/A,FALSE,"단축2";#N/A,#N/A,FALSE,"단축3";#N/A,#N/A,FALSE,"장축";#N/A,#N/A,FALSE,"4WD"}</definedName>
    <definedName name="_A124587" hidden="1">{#N/A,#N/A,FALSE,"단축1";#N/A,#N/A,FALSE,"단축2";#N/A,#N/A,FALSE,"단축3";#N/A,#N/A,FALSE,"장축";#N/A,#N/A,FALSE,"4WD"}</definedName>
    <definedName name="_A1454" hidden="1">{#N/A,#N/A,FALSE,"단축1";#N/A,#N/A,FALSE,"단축2";#N/A,#N/A,FALSE,"단축3";#N/A,#N/A,FALSE,"장축";#N/A,#N/A,FALSE,"4WD"}</definedName>
    <definedName name="_A1454_1" hidden="1">{#N/A,#N/A,FALSE,"단축1";#N/A,#N/A,FALSE,"단축2";#N/A,#N/A,FALSE,"단축3";#N/A,#N/A,FALSE,"장축";#N/A,#N/A,FALSE,"4WD"}</definedName>
    <definedName name="_A2" hidden="1">{#N/A,#N/A,FALSE,"KMC최종회의(7월) 자료"}</definedName>
    <definedName name="_A2_1" hidden="1">{#N/A,#N/A,FALSE,"KMC최종회의(7월) 자료"}</definedName>
    <definedName name="_A2040" hidden="1">{#N/A,#N/A,FALSE,"단축1";#N/A,#N/A,FALSE,"단축2";#N/A,#N/A,FALSE,"단축3";#N/A,#N/A,FALSE,"장축";#N/A,#N/A,FALSE,"4WD"}</definedName>
    <definedName name="_A21" hidden="1">{#N/A,#N/A,FALSE,"단축1";#N/A,#N/A,FALSE,"단축2";#N/A,#N/A,FALSE,"단축3";#N/A,#N/A,FALSE,"장축";#N/A,#N/A,FALSE,"4WD"}</definedName>
    <definedName name="_A21321" hidden="1">{#N/A,#N/A,FALSE,"단축1";#N/A,#N/A,FALSE,"단축2";#N/A,#N/A,FALSE,"단축3";#N/A,#N/A,FALSE,"장축";#N/A,#N/A,FALSE,"4WD"}</definedName>
    <definedName name="_A21321_1" hidden="1">{#N/A,#N/A,FALSE,"단축1";#N/A,#N/A,FALSE,"단축2";#N/A,#N/A,FALSE,"단축3";#N/A,#N/A,FALSE,"장축";#N/A,#N/A,FALSE,"4WD"}</definedName>
    <definedName name="_A23" hidden="1">{#N/A,#N/A,FALSE,"단축1";#N/A,#N/A,FALSE,"단축2";#N/A,#N/A,FALSE,"단축3";#N/A,#N/A,FALSE,"장축";#N/A,#N/A,FALSE,"4WD"}</definedName>
    <definedName name="_A3" hidden="1">{#N/A,#N/A,FALSE,"KMC최종회의(7월) 자료"}</definedName>
    <definedName name="_A3_1" hidden="1">{#N/A,#N/A,FALSE,"KMC최종회의(7월) 자료"}</definedName>
    <definedName name="_A3_2" hidden="1">{#N/A,#N/A,FALSE,"단축1";#N/A,#N/A,FALSE,"단축2";#N/A,#N/A,FALSE,"단축3";#N/A,#N/A,FALSE,"장축";#N/A,#N/A,FALSE,"4WD"}</definedName>
    <definedName name="_A4" hidden="1">{#N/A,#N/A,FALSE,"KMC최종회의(7월) 자료"}</definedName>
    <definedName name="_A4_1" hidden="1">{#N/A,#N/A,FALSE,"KMC최종회의(7월) 자료"}</definedName>
    <definedName name="_A4_2" hidden="1">{#N/A,#N/A,FALSE,"KMC최종회의(7월) 자료"}</definedName>
    <definedName name="_A4444" hidden="1">{#N/A,#N/A,FALSE,"KMC최종회의(7월) 자료"}</definedName>
    <definedName name="_A5" hidden="1">{#N/A,#N/A,FALSE,"KMC최종회의(7월) 자료"}</definedName>
    <definedName name="_A5_1" hidden="1">{#N/A,#N/A,FALSE,"KMC최종회의(7월) 자료"}</definedName>
    <definedName name="_A6" hidden="1">{#N/A,#N/A,FALSE,"KMC최종회의(7월) 자료"}</definedName>
    <definedName name="_A6_1" hidden="1">{#N/A,#N/A,FALSE,"KMC최종회의(7월) 자료"}</definedName>
    <definedName name="_A6666" hidden="1">{#N/A,#N/A,FALSE,"KMC최종회의(7월) 자료"}</definedName>
    <definedName name="_A6666_1" hidden="1">{#N/A,#N/A,FALSE,"KMC최종회의(7월) 자료"}</definedName>
    <definedName name="_A7" hidden="1">{#N/A,#N/A,FALSE,"KMC최종회의(7월) 자료"}</definedName>
    <definedName name="_A7_1" hidden="1">{#N/A,#N/A,FALSE,"KMC최종회의(7월) 자료"}</definedName>
    <definedName name="_A8" hidden="1">{#N/A,#N/A,FALSE,"KMC최종회의(7월) 자료"}</definedName>
    <definedName name="_A8_1" hidden="1">{#N/A,#N/A,FALSE,"KMC최종회의(7월) 자료"}</definedName>
    <definedName name="_A8_2" hidden="1">{#N/A,#N/A,FALSE,"KMC최종회의(7월) 자료"}</definedName>
    <definedName name="_A9" hidden="1">{#N/A,#N/A,FALSE,"KMC최종회의(7월) 자료"}</definedName>
    <definedName name="_A9_1" hidden="1">{#N/A,#N/A,FALSE,"KMC최종회의(7월) 자료"}</definedName>
    <definedName name="_AA4" hidden="1">{#N/A,#N/A,FALSE,"신규dep";#N/A,#N/A,FALSE,"신규dep-금형상각후";#N/A,#N/A,FALSE,"신규dep-연구비상각후";#N/A,#N/A,FALSE,"신규dep-기계,공구상각후"}</definedName>
    <definedName name="_AA4_1" hidden="1">{#N/A,#N/A,FALSE,"신규dep";#N/A,#N/A,FALSE,"신규dep-금형상각후";#N/A,#N/A,FALSE,"신규dep-연구비상각후";#N/A,#N/A,FALSE,"신규dep-기계,공구상각후"}</definedName>
    <definedName name="_AAA1" hidden="1">#REF!</definedName>
    <definedName name="_AAA10" hidden="1">#REF!</definedName>
    <definedName name="_AAA11" hidden="1">#REF!</definedName>
    <definedName name="_AAA111" hidden="1">{#N/A,#N/A,FALSE,"단축1";#N/A,#N/A,FALSE,"단축2";#N/A,#N/A,FALSE,"단축3";#N/A,#N/A,FALSE,"장축";#N/A,#N/A,FALSE,"4WD"}</definedName>
    <definedName name="_AAA12" hidden="1">#REF!</definedName>
    <definedName name="_AAA13" hidden="1">#REF!</definedName>
    <definedName name="_AAA14" hidden="1">#REF!</definedName>
    <definedName name="_AAA15" hidden="1">#REF!</definedName>
    <definedName name="_AAA16" hidden="1">#REF!</definedName>
    <definedName name="_AAA17" hidden="1">#REF!</definedName>
    <definedName name="_AAA18" hidden="1">#REF!</definedName>
    <definedName name="_AAA19" hidden="1">#REF!</definedName>
    <definedName name="_AAA2" hidden="1">#REF!</definedName>
    <definedName name="_AAA20" hidden="1">#REF!</definedName>
    <definedName name="_AAA21" hidden="1">#REF!</definedName>
    <definedName name="_AAA22" hidden="1">#REF!</definedName>
    <definedName name="_AAA23" hidden="1">#REF!</definedName>
    <definedName name="_AAA24" hidden="1">#REF!</definedName>
    <definedName name="_AAA3" hidden="1">#REF!</definedName>
    <definedName name="_AAA4" hidden="1">#REF!</definedName>
    <definedName name="_AAA5" hidden="1">#REF!</definedName>
    <definedName name="_AAA6" hidden="1">#REF!</definedName>
    <definedName name="_AAA7" hidden="1">#REF!</definedName>
    <definedName name="_AAA8" hidden="1">#REF!</definedName>
    <definedName name="_AAA9" hidden="1">#REF!</definedName>
    <definedName name="_AS6" hidden="1">{#N/A,#N/A,FALSE,"Australien";#N/A,#N/A,FALSE,"Birmingham";#N/A,#N/A,FALSE,"Brasilien";#N/A,#N/A,FALSE,"Prag";#N/A,#N/A,FALSE,"Spanien";#N/A,#N/A,FALSE,"Malaysia ( Com)";#N/A,#N/A,FALSE,"Malaysia (Instr)"}</definedName>
    <definedName name="_AS6_1" hidden="1">{#N/A,#N/A,FALSE,"Australien";#N/A,#N/A,FALSE,"Birmingham";#N/A,#N/A,FALSE,"Brasilien";#N/A,#N/A,FALSE,"Prag";#N/A,#N/A,FALSE,"Spanien";#N/A,#N/A,FALSE,"Malaysia ( Com)";#N/A,#N/A,FALSE,"Malaysia (Instr)"}</definedName>
    <definedName name="_AS6_2" hidden="1">{#N/A,#N/A,FALSE,"Australien";#N/A,#N/A,FALSE,"Birmingham";#N/A,#N/A,FALSE,"Brasilien";#N/A,#N/A,FALSE,"Prag";#N/A,#N/A,FALSE,"Spanien";#N/A,#N/A,FALSE,"Malaysia ( Com)";#N/A,#N/A,FALSE,"Malaysia (Instr)"}</definedName>
    <definedName name="_ASD1" hidden="1">{#N/A,#N/A,FALSE,"단축1";#N/A,#N/A,FALSE,"단축2";#N/A,#N/A,FALSE,"단축3";#N/A,#N/A,FALSE,"장축";#N/A,#N/A,FALSE,"4WD"}</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T4" hidden="1">{#N/A,#N/A,FALSE,"인원";#N/A,#N/A,FALSE,"비용2";#N/A,#N/A,FALSE,"비용1";#N/A,#N/A,FALSE,"비용";#N/A,#N/A,FALSE,"보증2";#N/A,#N/A,FALSE,"보증1";#N/A,#N/A,FALSE,"보증";#N/A,#N/A,FALSE,"손익1";#N/A,#N/A,FALSE,"손익";#N/A,#N/A,FALSE,"부서별매출";#N/A,#N/A,FALSE,"매출"}</definedName>
    <definedName name="_bk2" hidden="1">{#N/A,#N/A,FALSE,"단축1";#N/A,#N/A,FALSE,"단축2";#N/A,#N/A,FALSE,"단축3";#N/A,#N/A,FALSE,"장축";#N/A,#N/A,FALSE,"4WD"}</definedName>
    <definedName name="_BLK2" hidden="1">{#N/A,#N/A,FALSE,"단축1";#N/A,#N/A,FALSE,"단축2";#N/A,#N/A,FALSE,"단축3";#N/A,#N/A,FALSE,"장축";#N/A,#N/A,FALSE,"4WD"}</definedName>
    <definedName name="_CC014" hidden="1">{#N/A,#N/A,FALSE,"96 3월물량표";#N/A,#N/A,FALSE,"96 4월물량표";#N/A,#N/A,FALSE,"96 5월물량표"}</definedName>
    <definedName name="_CC1" hidden="1">{#N/A,#N/A,FALSE,"신규dep";#N/A,#N/A,FALSE,"신규dep-금형상각후";#N/A,#N/A,FALSE,"신규dep-연구비상각후";#N/A,#N/A,FALSE,"신규dep-기계,공구상각후"}</definedName>
    <definedName name="_CC123" hidden="1">{#N/A,#N/A,TRUE,"Y생산";#N/A,#N/A,TRUE,"Y판매";#N/A,#N/A,TRUE,"Y총물량";#N/A,#N/A,TRUE,"Y능력";#N/A,#N/A,TRUE,"YKD"}</definedName>
    <definedName name="_ccc4" hidden="1">#REF!</definedName>
    <definedName name="_CL22" hidden="1">{#N/A,#N/A,FALSE,"KMC최종회의(7월) 자료"}</definedName>
    <definedName name="_CL22_1" hidden="1">{#N/A,#N/A,FALSE,"KMC최종회의(7월) 자료"}</definedName>
    <definedName name="_CL22_2" hidden="1">{#N/A,#N/A,FALSE,"KMC최종회의(7월) 자료"}</definedName>
    <definedName name="_CL222" hidden="1">{#N/A,#N/A,FALSE,"KMC최종회의(7월) 자료"}</definedName>
    <definedName name="_CL222_1" hidden="1">{#N/A,#N/A,FALSE,"KMC최종회의(7월) 자료"}</definedName>
    <definedName name="_CL222_2" hidden="1">{#N/A,#N/A,FALSE,"KMC최종회의(7월) 자료"}</definedName>
    <definedName name="_CL33" hidden="1">{#N/A,#N/A,FALSE,"KMC최종회의(7월) 자료"}</definedName>
    <definedName name="_CL33_1" hidden="1">{#N/A,#N/A,FALSE,"KMC최종회의(7월) 자료"}</definedName>
    <definedName name="_CL33_2" hidden="1">{#N/A,#N/A,FALSE,"KMC최종회의(7월) 자료"}</definedName>
    <definedName name="_CVJ1" hidden="1">{#N/A,#N/A,FALSE,"KMC최종회의(7월) 자료"}</definedName>
    <definedName name="_CVJ1_1" hidden="1">{#N/A,#N/A,FALSE,"KMC최종회의(7월) 자료"}</definedName>
    <definedName name="_CVJ1_2" hidden="1">{#N/A,#N/A,FALSE,"KMC최종회의(7월) 자료"}</definedName>
    <definedName name="_d1" hidden="1">{#N/A,#N/A,FALSE,"신규dep";#N/A,#N/A,FALSE,"신규dep-금형상각후";#N/A,#N/A,FALSE,"신규dep-연구비상각후";#N/A,#N/A,FALSE,"신규dep-기계,공구상각후"}</definedName>
    <definedName name="_D11" hidden="1">{#N/A,#N/A,TRUE,"Y생산";#N/A,#N/A,TRUE,"Y판매";#N/A,#N/A,TRUE,"Y총물량";#N/A,#N/A,TRUE,"Y능력";#N/A,#N/A,TRUE,"YKD"}</definedName>
    <definedName name="_D12" hidden="1">{#N/A,#N/A,FALSE,"단축1";#N/A,#N/A,FALSE,"단축2";#N/A,#N/A,FALSE,"단축3";#N/A,#N/A,FALSE,"장축";#N/A,#N/A,FALSE,"4WD"}</definedName>
    <definedName name="_D123" hidden="1">{#N/A,#N/A,TRUE,"Y생산";#N/A,#N/A,TRUE,"Y판매";#N/A,#N/A,TRUE,"Y총물량";#N/A,#N/A,TRUE,"Y능력";#N/A,#N/A,TRUE,"YKD"}</definedName>
    <definedName name="_d2" hidden="1">{#N/A,#N/A,FALSE,"신규dep";#N/A,#N/A,FALSE,"신규dep-금형상각후";#N/A,#N/A,FALSE,"신규dep-연구비상각후";#N/A,#N/A,FALSE,"신규dep-기계,공구상각후"}</definedName>
    <definedName name="_D20" hidden="1">{#N/A,#N/A,FALSE,"단축1";#N/A,#N/A,FALSE,"단축2";#N/A,#N/A,FALSE,"단축3";#N/A,#N/A,FALSE,"장축";#N/A,#N/A,FALSE,"4WD"}</definedName>
    <definedName name="_d3" hidden="1">{#N/A,#N/A,FALSE,"신규dep";#N/A,#N/A,FALSE,"신규dep-금형상각후";#N/A,#N/A,FALSE,"신규dep-연구비상각후";#N/A,#N/A,FALSE,"신규dep-기계,공구상각후"}</definedName>
    <definedName name="_D6" hidden="1">{"'표지'!$B$5"}</definedName>
    <definedName name="_DA1" hidden="1">{#N/A,#N/A,FALSE,"단축1";#N/A,#N/A,FALSE,"단축2";#N/A,#N/A,FALSE,"단축3";#N/A,#N/A,FALSE,"장축";#N/A,#N/A,FALSE,"4WD"}</definedName>
    <definedName name="_DA2" hidden="1">{#N/A,#N/A,FALSE,"단축1";#N/A,#N/A,FALSE,"단축2";#N/A,#N/A,FALSE,"단축3";#N/A,#N/A,FALSE,"장축";#N/A,#N/A,FALSE,"4WD"}</definedName>
    <definedName name="_DA3" hidden="1">{#N/A,#N/A,FALSE,"단축1";#N/A,#N/A,FALSE,"단축2";#N/A,#N/A,FALSE,"단축3";#N/A,#N/A,FALSE,"장축";#N/A,#N/A,FALSE,"4WD"}</definedName>
    <definedName name="_DA4" hidden="1">{#N/A,#N/A,FALSE,"단축1";#N/A,#N/A,FALSE,"단축2";#N/A,#N/A,FALSE,"단축3";#N/A,#N/A,FALSE,"장축";#N/A,#N/A,FALSE,"4WD"}</definedName>
    <definedName name="_DB777" hidden="1">{#N/A,#N/A,TRUE,"Y생산";#N/A,#N/A,TRUE,"Y판매";#N/A,#N/A,TRUE,"Y총물량";#N/A,#N/A,TRUE,"Y능력";#N/A,#N/A,TRUE,"YKD"}</definedName>
    <definedName name="_DC50" hidden="1">{#N/A,#N/A,FALSE,"단축1";#N/A,#N/A,FALSE,"단축2";#N/A,#N/A,FALSE,"단축3";#N/A,#N/A,FALSE,"장축";#N/A,#N/A,FALSE,"4WD"}</definedName>
    <definedName name="_Dist_bim" hidden="1">#REF!</definedName>
    <definedName name="_Dist_Bin" hidden="1">#REF!</definedName>
    <definedName name="_Dist_Values" hidden="1">#REF!</definedName>
    <definedName name="_DR1" hidden="1">{#N/A,#N/A,FALSE,"업체선정";#N/A,#N/A,FALSE,"업체선정sheet";#N/A,#N/A,FALSE,"업체실태";#N/A,#N/A,FALSE,"업체실태(1)";#N/A,#N/A,FALSE,"종업원현황(2)";#N/A,#N/A,FALSE,"생산품목(3)";#N/A,#N/A,FALSE,"장비보유현황";#N/A,#N/A,FALSE,"차량및약도";#N/A,#N/A,FALSE,"금형LIST"}</definedName>
    <definedName name="_dr2" hidden="1">{#N/A,#N/A,FALSE,"신규dep";#N/A,#N/A,FALSE,"신규dep-금형상각후";#N/A,#N/A,FALSE,"신규dep-연구비상각후";#N/A,#N/A,FALSE,"신규dep-기계,공구상각후"}</definedName>
    <definedName name="_DR7" hidden="1">{#N/A,#N/A,FALSE,"표지";#N/A,#N/A,FALSE,"전제";#N/A,#N/A,FALSE,"손익-자 (2)";#N/A,#N/A,FALSE,"손익-자";#N/A,#N/A,FALSE,"손익-마 (2)";#N/A,#N/A,FALSE,"손익-마";#N/A,#N/A,FALSE,"총손최종"}</definedName>
    <definedName name="_E1" hidden="1">{#N/A,#N/A,FALSE,"KMC최종회의(7월) 자료"}</definedName>
    <definedName name="_E1_1" hidden="1">{#N/A,#N/A,FALSE,"KMC최종회의(7월) 자료"}</definedName>
    <definedName name="_E2" hidden="1">{#N/A,#N/A,FALSE,"KMC최종회의(7월) 자료"}</definedName>
    <definedName name="_E2_1" hidden="1">{#N/A,#N/A,FALSE,"KMC최종회의(7월) 자료"}</definedName>
    <definedName name="_E222" hidden="1">{#N/A,#N/A,FALSE,"단축1";#N/A,#N/A,FALSE,"단축2";#N/A,#N/A,FALSE,"단축3";#N/A,#N/A,FALSE,"장축";#N/A,#N/A,FALSE,"4WD"}</definedName>
    <definedName name="_e3" hidden="1">{#N/A,#N/A,FALSE,"단축1";#N/A,#N/A,FALSE,"단축2";#N/A,#N/A,FALSE,"단축3";#N/A,#N/A,FALSE,"장축";#N/A,#N/A,FALSE,"4WD"}</definedName>
    <definedName name="_E32" hidden="1">{#N/A,#N/A,FALSE,"단축1";#N/A,#N/A,FALSE,"단축2";#N/A,#N/A,FALSE,"단축3";#N/A,#N/A,FALSE,"장축";#N/A,#N/A,FALSE,"4WD"}</definedName>
    <definedName name="_e4" hidden="1">{#N/A,#N/A,FALSE,"단축1";#N/A,#N/A,FALSE,"단축2";#N/A,#N/A,FALSE,"단축3";#N/A,#N/A,FALSE,"장축";#N/A,#N/A,FALSE,"4WD"}</definedName>
    <definedName name="_E45" hidden="1">{#N/A,#N/A,FALSE,"단축1";#N/A,#N/A,FALSE,"단축2";#N/A,#N/A,FALSE,"단축3";#N/A,#N/A,FALSE,"장축";#N/A,#N/A,FALSE,"4WD"}</definedName>
    <definedName name="_e5" hidden="1">{#N/A,#N/A,FALSE,"단축1";#N/A,#N/A,FALSE,"단축2";#N/A,#N/A,FALSE,"단축3";#N/A,#N/A,FALSE,"장축";#N/A,#N/A,FALSE,"4WD"}</definedName>
    <definedName name="_E56" hidden="1">{#N/A,#N/A,FALSE,"단축1";#N/A,#N/A,FALSE,"단축2";#N/A,#N/A,FALSE,"단축3";#N/A,#N/A,FALSE,"장축";#N/A,#N/A,FALSE,"4WD"}</definedName>
    <definedName name="_e6" hidden="1">{#N/A,#N/A,FALSE,"단축1";#N/A,#N/A,FALSE,"단축2";#N/A,#N/A,FALSE,"단축3";#N/A,#N/A,FALSE,"장축";#N/A,#N/A,FALSE,"4WD"}</definedName>
    <definedName name="_e7"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8_1" hidden="1">{#N/A,#N/A,FALSE,"신규dep";#N/A,#N/A,FALSE,"신규dep-금형상각후";#N/A,#N/A,FALSE,"신규dep-연구비상각후";#N/A,#N/A,FALSE,"신규dep-기계,공구상각후"}</definedName>
    <definedName name="_e9" hidden="1">{#N/A,#N/A,FALSE,"단축1";#N/A,#N/A,FALSE,"단축2";#N/A,#N/A,FALSE,"단축3";#N/A,#N/A,FALSE,"장축";#N/A,#N/A,FALSE,"4WD"}</definedName>
    <definedName name="_e9_1" hidden="1">{#N/A,#N/A,FALSE,"단축1";#N/A,#N/A,FALSE,"단축2";#N/A,#N/A,FALSE,"단축3";#N/A,#N/A,FALSE,"장축";#N/A,#N/A,FALSE,"4WD"}</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ng1" hidden="1">{#N/A,#N/A,FALSE,"단축1";#N/A,#N/A,FALSE,"단축2";#N/A,#N/A,FALSE,"단축3";#N/A,#N/A,FALSE,"장축";#N/A,#N/A,FALSE,"4WD"}</definedName>
    <definedName name="_eng2" hidden="1">{#N/A,#N/A,FALSE,"단축1";#N/A,#N/A,FALSE,"단축2";#N/A,#N/A,FALSE,"단축3";#N/A,#N/A,FALSE,"장축";#N/A,#N/A,FALSE,"4WD"}</definedName>
    <definedName name="_eng2_1" hidden="1">{#N/A,#N/A,FALSE,"단축1";#N/A,#N/A,FALSE,"단축2";#N/A,#N/A,FALSE,"단축3";#N/A,#N/A,FALSE,"장축";#N/A,#N/A,FALSE,"4WD"}</definedName>
    <definedName name="_EO2" hidden="1">{#N/A,#N/A,FALSE,"신규dep";#N/A,#N/A,FALSE,"신규dep-금형상각후";#N/A,#N/A,FALSE,"신규dep-연구비상각후";#N/A,#N/A,FALSE,"신규dep-기계,공구상각후"}</definedName>
    <definedName name="_ER34" hidden="1">{#N/A,#N/A,FALSE,"단축1";#N/A,#N/A,FALSE,"단축2";#N/A,#N/A,FALSE,"단축3";#N/A,#N/A,FALSE,"장축";#N/A,#N/A,FALSE,"4WD"}</definedName>
    <definedName name="_EWA1" hidden="1">{#N/A,#N/A,FALSE,"초도품";#N/A,#N/A,FALSE,"초도품 (2)";#N/A,#N/A,FALSE,"초도품 (3)";#N/A,#N/A,FALSE,"초도품 (4)";#N/A,#N/A,FALSE,"초도품 (5)";#N/A,#N/A,FALSE,"초도품 (6)"}</definedName>
    <definedName name="_F12" hidden="1">{#N/A,#N/A,FALSE,"단축1";#N/A,#N/A,FALSE,"단축2";#N/A,#N/A,FALSE,"단축3";#N/A,#N/A,FALSE,"장축";#N/A,#N/A,FALSE,"4WD"}</definedName>
    <definedName name="_F3" hidden="1">{#N/A,#N/A,FALSE,"개발계획표지";#N/A,#N/A,FALSE,"목차";#N/A,#N/A,FALSE,"개요"}</definedName>
    <definedName name="_F4" hidden="1">{#N/A,#N/A,FALSE,"개발계획표지";#N/A,#N/A,FALSE,"목차";#N/A,#N/A,FALSE,"개요"}</definedName>
    <definedName name="_FA2" hidden="1">{#N/A,#N/A,FALSE,"단축1";#N/A,#N/A,FALSE,"단축2";#N/A,#N/A,FALSE,"단축3";#N/A,#N/A,FALSE,"장축";#N/A,#N/A,FALSE,"4WD"}</definedName>
    <definedName name="_FAN1" hidden="1">{#N/A,#N/A,FALSE,"HOT RU TEM";#N/A,#N/A,FALSE,"HOT RU TEM";#N/A,#N/A,FALSE,"HOT RU TEM"}</definedName>
    <definedName name="_FG1" hidden="1">{#N/A,#N/A,FALSE,"단축1";#N/A,#N/A,FALSE,"단축2";#N/A,#N/A,FALSE,"단축3";#N/A,#N/A,FALSE,"장축";#N/A,#N/A,FALSE,"4WD"}</definedName>
    <definedName name="_FG1_1" hidden="1">{#N/A,#N/A,FALSE,"단축1";#N/A,#N/A,FALSE,"단축2";#N/A,#N/A,FALSE,"단축3";#N/A,#N/A,FALSE,"장축";#N/A,#N/A,FALSE,"4WD"}</definedName>
    <definedName name="_FG1_2" hidden="1">{#N/A,#N/A,FALSE,"단축1";#N/A,#N/A,FALSE,"단축2";#N/A,#N/A,FALSE,"단축3";#N/A,#N/A,FALSE,"장축";#N/A,#N/A,FALSE,"4WD"}</definedName>
    <definedName name="_Fill" hidden="1">#REF!</definedName>
    <definedName name="_xlnm._FilterDatabase" localSheetId="7" hidden="1">Revenue_HW!$A$5:$AH$5</definedName>
    <definedName name="_xlnm._FilterDatabase" localSheetId="18" hidden="1">판매수량!$A$2:$AF$82</definedName>
    <definedName name="_xlnm._FilterDatabase" hidden="1">#REF!</definedName>
    <definedName name="_frj5" hidden="1">{#N/A,#N/A,FALSE,"단축1";#N/A,#N/A,FALSE,"단축2";#N/A,#N/A,FALSE,"단축3";#N/A,#N/A,FALSE,"장축";#N/A,#N/A,FALSE,"4WD"}</definedName>
    <definedName name="_G1_1" hidden="1">{#N/A,#N/A,FALSE,"단축1";#N/A,#N/A,FALSE,"단축2";#N/A,#N/A,FALSE,"단축3";#N/A,#N/A,FALSE,"장축";#N/A,#N/A,FALSE,"4WD"}</definedName>
    <definedName name="_g5" hidden="1">{#N/A,#N/A,FALSE,"KMC최종회의(7월) 자료"}</definedName>
    <definedName name="_h1" hidden="1">{"'표지'!$B$5"}</definedName>
    <definedName name="_H1620" hidden="1">{#N/A,#N/A,FALSE,"단축1";#N/A,#N/A,FALSE,"단축2";#N/A,#N/A,FALSE,"단축3";#N/A,#N/A,FALSE,"장축";#N/A,#N/A,FALSE,"4WD"}</definedName>
    <definedName name="_h2" hidden="1">{"'표지'!$B$5"}</definedName>
    <definedName name="_H20" hidden="1">{#N/A,#N/A,FALSE,"단축1";#N/A,#N/A,FALSE,"단축2";#N/A,#N/A,FALSE,"단축3";#N/A,#N/A,FALSE,"장축";#N/A,#N/A,FALSE,"4WD"}</definedName>
    <definedName name="_h3" hidden="1">{"'표지'!$B$5"}</definedName>
    <definedName name="_h4" hidden="1">{"'표지'!$B$5"}</definedName>
    <definedName name="_h5" hidden="1">{"'표지'!$B$5"}</definedName>
    <definedName name="_HAC200212" hidden="1">{#N/A,#N/A,FALSE,"단축1";#N/A,#N/A,FALSE,"단축2";#N/A,#N/A,FALSE,"단축3";#N/A,#N/A,FALSE,"장축";#N/A,#N/A,FALSE,"4WD"}</definedName>
    <definedName name="_HDG12" hidden="1">{#N/A,#N/A,FALSE,"단축1";#N/A,#N/A,FALSE,"단축2";#N/A,#N/A,FALSE,"단축3";#N/A,#N/A,FALSE,"장축";#N/A,#N/A,FALSE,"4WD"}</definedName>
    <definedName name="_HL1" hidden="1">{#N/A,#N/A,FALSE,"단축1";#N/A,#N/A,FALSE,"단축2";#N/A,#N/A,FALSE,"단축3";#N/A,#N/A,FALSE,"장축";#N/A,#N/A,FALSE,"4WD"}</definedName>
    <definedName name="_HL1_1" hidden="1">{#N/A,#N/A,FALSE,"단축1";#N/A,#N/A,FALSE,"단축2";#N/A,#N/A,FALSE,"단축3";#N/A,#N/A,FALSE,"장축";#N/A,#N/A,FALSE,"4WD"}</definedName>
    <definedName name="_HL1_2" hidden="1">{#N/A,#N/A,FALSE,"단축1";#N/A,#N/A,FALSE,"단축2";#N/A,#N/A,FALSE,"단축3";#N/A,#N/A,FALSE,"장축";#N/A,#N/A,FALSE,"4WD"}</definedName>
    <definedName name="_HL2" hidden="1">{#N/A,#N/A,FALSE,"단축1";#N/A,#N/A,FALSE,"단축2";#N/A,#N/A,FALSE,"단축3";#N/A,#N/A,FALSE,"장축";#N/A,#N/A,FALSE,"4WD"}</definedName>
    <definedName name="_HL2_1" hidden="1">{#N/A,#N/A,FALSE,"단축1";#N/A,#N/A,FALSE,"단축2";#N/A,#N/A,FALSE,"단축3";#N/A,#N/A,FALSE,"장축";#N/A,#N/A,FALSE,"4WD"}</definedName>
    <definedName name="_HL2_2" hidden="1">{#N/A,#N/A,FALSE,"단축1";#N/A,#N/A,FALSE,"단축2";#N/A,#N/A,FALSE,"단축3";#N/A,#N/A,FALSE,"장축";#N/A,#N/A,FALSE,"4WD"}</definedName>
    <definedName name="_HL3" hidden="1">{#N/A,#N/A,TRUE,"Y생산";#N/A,#N/A,TRUE,"Y판매";#N/A,#N/A,TRUE,"Y총물량";#N/A,#N/A,TRUE,"Y능력";#N/A,#N/A,TRUE,"YKD"}</definedName>
    <definedName name="_HL3_1" hidden="1">{#N/A,#N/A,TRUE,"Y생산";#N/A,#N/A,TRUE,"Y판매";#N/A,#N/A,TRUE,"Y총물량";#N/A,#N/A,TRUE,"Y능력";#N/A,#N/A,TRUE,"YKD"}</definedName>
    <definedName name="_HL3_2" hidden="1">{#N/A,#N/A,TRUE,"Y생산";#N/A,#N/A,TRUE,"Y판매";#N/A,#N/A,TRUE,"Y총물량";#N/A,#N/A,TRUE,"Y능력";#N/A,#N/A,TRUE,"YKD"}</definedName>
    <definedName name="_HP02" hidden="1">{#N/A,#N/A,FALSE,"단축1";#N/A,#N/A,FALSE,"단축2";#N/A,#N/A,FALSE,"단축3";#N/A,#N/A,FALSE,"장축";#N/A,#N/A,FALSE,"4WD"}</definedName>
    <definedName name="_HP02_1" hidden="1">{#N/A,#N/A,FALSE,"단축1";#N/A,#N/A,FALSE,"단축2";#N/A,#N/A,FALSE,"단축3";#N/A,#N/A,FALSE,"장축";#N/A,#N/A,FALSE,"4WD"}</definedName>
    <definedName name="_HP02_2" hidden="1">{#N/A,#N/A,FALSE,"단축1";#N/A,#N/A,FALSE,"단축2";#N/A,#N/A,FALSE,"단축3";#N/A,#N/A,FALSE,"장축";#N/A,#N/A,FALSE,"4WD"}</definedName>
    <definedName name="_HP2" hidden="1">{#N/A,#N/A,FALSE,"단축1";#N/A,#N/A,FALSE,"단축2";#N/A,#N/A,FALSE,"단축3";#N/A,#N/A,FALSE,"장축";#N/A,#N/A,FALSE,"4WD"}</definedName>
    <definedName name="_HP2_1" hidden="1">{#N/A,#N/A,FALSE,"단축1";#N/A,#N/A,FALSE,"단축2";#N/A,#N/A,FALSE,"단축3";#N/A,#N/A,FALSE,"장축";#N/A,#N/A,FALSE,"4WD"}</definedName>
    <definedName name="_HP2_2" hidden="1">{#N/A,#N/A,FALSE,"단축1";#N/A,#N/A,FALSE,"단축2";#N/A,#N/A,FALSE,"단축3";#N/A,#N/A,FALSE,"장축";#N/A,#N/A,FALSE,"4WD"}</definedName>
    <definedName name="_htt1" hidden="1">{"'표지'!$B$5"}</definedName>
    <definedName name="_IO8" hidden="1">{#N/A,#N/A,FALSE,"단축1";#N/A,#N/A,FALSE,"단축2";#N/A,#N/A,FALSE,"단축3";#N/A,#N/A,FALSE,"장축";#N/A,#N/A,FALSE,"4WD"}</definedName>
    <definedName name="_IO8_1" hidden="1">{#N/A,#N/A,FALSE,"단축1";#N/A,#N/A,FALSE,"단축2";#N/A,#N/A,FALSE,"단축3";#N/A,#N/A,FALSE,"장축";#N/A,#N/A,FALSE,"4WD"}</definedName>
    <definedName name="_JKS1" hidden="1">{#N/A,#N/A,TRUE,"일정"}</definedName>
    <definedName name="_JM2" hidden="1">{#N/A,#N/A,FALSE,"단축1";#N/A,#N/A,FALSE,"단축2";#N/A,#N/A,FALSE,"단축3";#N/A,#N/A,FALSE,"장축";#N/A,#N/A,FALSE,"4WD"}</definedName>
    <definedName name="_k1" hidden="1">#REF!</definedName>
    <definedName name="_K115" hidden="1">{#N/A,#N/A,FALSE,"인원";#N/A,#N/A,FALSE,"비용2";#N/A,#N/A,FALSE,"비용1";#N/A,#N/A,FALSE,"비용";#N/A,#N/A,FALSE,"보증2";#N/A,#N/A,FALSE,"보증1";#N/A,#N/A,FALSE,"보증";#N/A,#N/A,FALSE,"손익1";#N/A,#N/A,FALSE,"손익";#N/A,#N/A,FALSE,"부서별매출";#N/A,#N/A,FALSE,"매출"}</definedName>
    <definedName name="_K12" hidden="1">{#N/A,#N/A,FALSE,"단축1";#N/A,#N/A,FALSE,"단축2";#N/A,#N/A,FALSE,"단축3";#N/A,#N/A,FALSE,"장축";#N/A,#N/A,FALSE,"4WD"}</definedName>
    <definedName name="_K223" hidden="1">{#N/A,#N/A,FALSE,"단축1";#N/A,#N/A,FALSE,"단축2";#N/A,#N/A,FALSE,"단축3";#N/A,#N/A,FALSE,"장축";#N/A,#N/A,FALSE,"4WD"}</definedName>
    <definedName name="_k7" hidden="1">{#N/A,#N/A,FALSE,"단축1";#N/A,#N/A,FALSE,"단축2";#N/A,#N/A,FALSE,"단축3";#N/A,#N/A,FALSE,"장축";#N/A,#N/A,FALSE,"4WD"}</definedName>
    <definedName name="_k7_1" hidden="1">{#N/A,#N/A,FALSE,"단축1";#N/A,#N/A,FALSE,"단축2";#N/A,#N/A,FALSE,"단축3";#N/A,#N/A,FALSE,"장축";#N/A,#N/A,FALSE,"4WD"}</definedName>
    <definedName name="_k8" hidden="1">{#N/A,#N/A,FALSE,"단축1";#N/A,#N/A,FALSE,"단축2";#N/A,#N/A,FALSE,"단축3";#N/A,#N/A,FALSE,"장축";#N/A,#N/A,FALSE,"4WD"}</definedName>
    <definedName name="_k8_1" hidden="1">{#N/A,#N/A,FALSE,"단축1";#N/A,#N/A,FALSE,"단축2";#N/A,#N/A,FALSE,"단축3";#N/A,#N/A,FALSE,"장축";#N/A,#N/A,FALSE,"4WD"}</definedName>
    <definedName name="_k9" hidden="1">{#N/A,#N/A,FALSE,"단축1";#N/A,#N/A,FALSE,"단축2";#N/A,#N/A,FALSE,"단축3";#N/A,#N/A,FALSE,"장축";#N/A,#N/A,FALSE,"4WD"}</definedName>
    <definedName name="_k9_1" hidden="1">{#N/A,#N/A,FALSE,"단축1";#N/A,#N/A,FALSE,"단축2";#N/A,#N/A,FALSE,"단축3";#N/A,#N/A,FALSE,"장축";#N/A,#N/A,FALSE,"4WD"}</definedName>
    <definedName name="_Key1" hidden="1">#REF!</definedName>
    <definedName name="_Key102" hidden="1">#REF!</definedName>
    <definedName name="_Key13" hidden="1">#REF!</definedName>
    <definedName name="_Key2" hidden="1">#REF!</definedName>
    <definedName name="_Key22" hidden="1">#REF!</definedName>
    <definedName name="_Key3" hidden="1">#REF!</definedName>
    <definedName name="_Key4" hidden="1">#REF!</definedName>
    <definedName name="_Key6" hidden="1">#REF!</definedName>
    <definedName name="_Key7" hidden="1">#REF!</definedName>
    <definedName name="_KI9" hidden="1">{#N/A,#N/A,TRUE,"Y생산";#N/A,#N/A,TRUE,"Y판매";#N/A,#N/A,TRUE,"Y총물량";#N/A,#N/A,TRUE,"Y능력";#N/A,#N/A,TRUE,"YKD"}</definedName>
    <definedName name="_kkk1" hidden="1">{#N/A,#N/A,FALSE,"단축1";#N/A,#N/A,FALSE,"단축2";#N/A,#N/A,FALSE,"단축3";#N/A,#N/A,FALSE,"장축";#N/A,#N/A,FALSE,"4WD"}</definedName>
    <definedName name="_kv6" hidden="1">{#N/A,#N/A,FALSE,"단축1";#N/A,#N/A,FALSE,"단축2";#N/A,#N/A,FALSE,"단축3";#N/A,#N/A,FALSE,"장축";#N/A,#N/A,FALSE,"4WD"}</definedName>
    <definedName name="_LG2" hidden="1">{#N/A,#N/A,TRUE,"매출진척-1";#N/A,#N/A,TRUE,"매출진척-2";#N/A,#N/A,TRUE,"제품실적";#N/A,#N/A,TRUE,"RAC";#N/A,#N/A,TRUE,"PAC ";#N/A,#N/A,TRUE,"재고현황";#N/A,#N/A,TRUE,"공지사항"}</definedName>
    <definedName name="_LH1" hidden="1">{"'7보유'!$A$1:$F$44"}</definedName>
    <definedName name="_LH2" hidden="1">{"'7보유'!$A$1:$F$44"}</definedName>
    <definedName name="_LPS2" hidden="1">{#N/A,#N/A,FALSE,"단축1";#N/A,#N/A,FALSE,"단축2";#N/A,#N/A,FALSE,"단축3";#N/A,#N/A,FALSE,"장축";#N/A,#N/A,FALSE,"4WD"}</definedName>
    <definedName name="_LPS2_1" hidden="1">{#N/A,#N/A,FALSE,"단축1";#N/A,#N/A,FALSE,"단축2";#N/A,#N/A,FALSE,"단축3";#N/A,#N/A,FALSE,"장축";#N/A,#N/A,FALSE,"4WD"}</definedName>
    <definedName name="_LPS2_2" hidden="1">{#N/A,#N/A,FALSE,"단축1";#N/A,#N/A,FALSE,"단축2";#N/A,#N/A,FALSE,"단축3";#N/A,#N/A,FALSE,"장축";#N/A,#N/A,FALSE,"4WD"}</definedName>
    <definedName name="_lwr10" hidden="1">{#N/A,#N/A,FALSE,"단축1";#N/A,#N/A,FALSE,"단축2";#N/A,#N/A,FALSE,"단축3";#N/A,#N/A,FALSE,"장축";#N/A,#N/A,FALSE,"4WD"}</definedName>
    <definedName name="_M123" hidden="1">{#N/A,#N/A,FALSE,"단축1";#N/A,#N/A,FALSE,"단축2";#N/A,#N/A,FALSE,"단축3";#N/A,#N/A,FALSE,"장축";#N/A,#N/A,FALSE,"4WD"}</definedName>
    <definedName name="_M123_1" hidden="1">{#N/A,#N/A,FALSE,"단축1";#N/A,#N/A,FALSE,"단축2";#N/A,#N/A,FALSE,"단축3";#N/A,#N/A,FALSE,"장축";#N/A,#N/A,FALSE,"4WD"}</definedName>
    <definedName name="_M43877" hidden="1">{#N/A,#N/A,FALSE,"단축1";#N/A,#N/A,FALSE,"단축2";#N/A,#N/A,FALSE,"단축3";#N/A,#N/A,FALSE,"장축";#N/A,#N/A,FALSE,"4WD"}</definedName>
    <definedName name="_MIP10" hidden="1">{#N/A,#N/A,FALSE,"단축1";#N/A,#N/A,FALSE,"단축2";#N/A,#N/A,FALSE,"단축3";#N/A,#N/A,FALSE,"장축";#N/A,#N/A,FALSE,"4WD"}</definedName>
    <definedName name="_MIP2" hidden="1">{#N/A,#N/A,FALSE,"단축1";#N/A,#N/A,FALSE,"단축2";#N/A,#N/A,FALSE,"단축3";#N/A,#N/A,FALSE,"장축";#N/A,#N/A,FALSE,"4WD"}</definedName>
    <definedName name="_NA11" hidden="1">{#N/A,#N/A,FALSE,"단축1";#N/A,#N/A,FALSE,"단축2";#N/A,#N/A,FALSE,"단축3";#N/A,#N/A,FALSE,"장축";#N/A,#N/A,FALSE,"4WD"}</definedName>
    <definedName name="_nbj75" hidden="1">{#N/A,#N/A,FALSE,"단축1";#N/A,#N/A,FALSE,"단축2";#N/A,#N/A,FALSE,"단축3";#N/A,#N/A,FALSE,"장축";#N/A,#N/A,FALSE,"4WD"}</definedName>
    <definedName name="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NI23" hidden="1">{#N/A,#N/A,FALSE,"단축1";#N/A,#N/A,FALSE,"단축2";#N/A,#N/A,FALSE,"단축3";#N/A,#N/A,FALSE,"장축";#N/A,#N/A,FALSE,"4WD"}</definedName>
    <definedName name="_Nill" hidden="1">#REF!</definedName>
    <definedName name="_NO11" hidden="1">{#N/A,#N/A,FALSE,"단축1";#N/A,#N/A,FALSE,"단축2";#N/A,#N/A,FALSE,"단축3";#N/A,#N/A,FALSE,"장축";#N/A,#N/A,FALSE,"4WD"}</definedName>
    <definedName name="_NO222" hidden="1">{#N/A,#N/A,FALSE,"단축1";#N/A,#N/A,FALSE,"단축2";#N/A,#N/A,FALSE,"단축3";#N/A,#N/A,FALSE,"장축";#N/A,#N/A,FALSE,"4WD"}</definedName>
    <definedName name="_NO22222" hidden="1">{#N/A,#N/A,FALSE,"단축1";#N/A,#N/A,FALSE,"단축2";#N/A,#N/A,FALSE,"단축3";#N/A,#N/A,FALSE,"장축";#N/A,#N/A,FALSE,"4WD"}</definedName>
    <definedName name="_NO23" hidden="1">{#N/A,#N/A,FALSE,"단축1";#N/A,#N/A,FALSE,"단축2";#N/A,#N/A,FALSE,"단축3";#N/A,#N/A,FALSE,"장축";#N/A,#N/A,FALSE,"4WD"}</definedName>
    <definedName name="_NO33333" hidden="1">{#N/A,#N/A,FALSE,"단축1";#N/A,#N/A,FALSE,"단축2";#N/A,#N/A,FALSE,"단축3";#N/A,#N/A,FALSE,"장축";#N/A,#N/A,FALSE,"4WD"}</definedName>
    <definedName name="_NPS2" hidden="1">{#N/A,#N/A,FALSE,"인원";#N/A,#N/A,FALSE,"비용2";#N/A,#N/A,FALSE,"비용1";#N/A,#N/A,FALSE,"비용";#N/A,#N/A,FALSE,"보증2";#N/A,#N/A,FALSE,"보증1";#N/A,#N/A,FALSE,"보증";#N/A,#N/A,FALSE,"손익1";#N/A,#N/A,FALSE,"손익";#N/A,#N/A,FALSE,"부서별매출";#N/A,#N/A,FALSE,"매출"}</definedName>
    <definedName name="_O11" hidden="1">{#N/A,#N/A,FALSE,"단축1";#N/A,#N/A,FALSE,"단축2";#N/A,#N/A,FALSE,"단축3";#N/A,#N/A,FALSE,"장축";#N/A,#N/A,FALSE,"4WD"}</definedName>
    <definedName name="_O21" hidden="1">{#N/A,#N/A,FALSE,"단축1";#N/A,#N/A,FALSE,"단축2";#N/A,#N/A,FALSE,"단축3";#N/A,#N/A,FALSE,"장축";#N/A,#N/A,FALSE,"4WD"}</definedName>
    <definedName name="_OPS1" hidden="1">{"Wire Charts",#N/A,TRUE,"Wires"}</definedName>
    <definedName name="_Order1" hidden="1">255</definedName>
    <definedName name="_Order2" hidden="1">255</definedName>
    <definedName name="_P09" hidden="1">{#N/A,#N/A,FALSE,"단축1";#N/A,#N/A,FALSE,"단축2";#N/A,#N/A,FALSE,"단축3";#N/A,#N/A,FALSE,"장축";#N/A,#N/A,FALSE,"4WD"}</definedName>
    <definedName name="_P2" hidden="1">{#N/A,#N/A,FALSE,"단축1";#N/A,#N/A,FALSE,"단축2";#N/A,#N/A,FALSE,"단축3";#N/A,#N/A,FALSE,"장축";#N/A,#N/A,FALSE,"4WD"}</definedName>
    <definedName name="_P2_1" hidden="1">{#N/A,#N/A,FALSE,"단축1";#N/A,#N/A,FALSE,"단축2";#N/A,#N/A,FALSE,"단축3";#N/A,#N/A,FALSE,"장축";#N/A,#N/A,FALSE,"4WD"}</definedName>
    <definedName name="_P21" hidden="1">{#N/A,#N/A,FALSE,"단축1";#N/A,#N/A,FALSE,"단축2";#N/A,#N/A,FALSE,"단축3";#N/A,#N/A,FALSE,"장축";#N/A,#N/A,FALSE,"4WD"}</definedName>
    <definedName name="_P3" hidden="1">{#N/A,#N/A,FALSE,"단축1";#N/A,#N/A,FALSE,"단축2";#N/A,#N/A,FALSE,"단축3";#N/A,#N/A,FALSE,"장축";#N/A,#N/A,FALSE,"4WD"}</definedName>
    <definedName name="_Parse_In" hidden="1">#REF!</definedName>
    <definedName name="_Parse_Out" hidden="1">#REF!</definedName>
    <definedName name="_PB004" hidden="1">{#N/A,#N/A,FALSE,"단축1";#N/A,#N/A,FALSE,"단축2";#N/A,#N/A,FALSE,"단축3";#N/A,#N/A,FALSE,"장축";#N/A,#N/A,FALSE,"4WD"}</definedName>
    <definedName name="_PP4" hidden="1">{#N/A,#N/A,FALSE,"단축1";#N/A,#N/A,FALSE,"단축2";#N/A,#N/A,FALSE,"단축3";#N/A,#N/A,FALSE,"장축";#N/A,#N/A,FALSE,"4WD"}</definedName>
    <definedName name="_PPP21" hidden="1">{#N/A,#N/A,FALSE,"KMC최종회의(7월) 자료"}</definedName>
    <definedName name="_PPP21_1" hidden="1">{#N/A,#N/A,FALSE,"KMC최종회의(7월) 자료"}</definedName>
    <definedName name="_PPP3" hidden="1">{#N/A,#N/A,FALSE,"KMC최종회의(7월) 자료"}</definedName>
    <definedName name="_PPP3_1" hidden="1">{#N/A,#N/A,FALSE,"KMC최종회의(7월) 자료"}</definedName>
    <definedName name="_PPR2" hidden="1">{#N/A,#N/A,FALSE,"단축1";#N/A,#N/A,FALSE,"단축2";#N/A,#N/A,FALSE,"단축3";#N/A,#N/A,FALSE,"장축";#N/A,#N/A,FALSE,"4WD"}</definedName>
    <definedName name="_PU7" hidden="1">{#N/A,#N/A,TRUE,"일정"}</definedName>
    <definedName name="_Q1" hidden="1">{#N/A,#N/A,FALSE,"KMC최종회의(7월) 자료"}</definedName>
    <definedName name="_Q1_1" hidden="1">{#N/A,#N/A,FALSE,"KMC최종회의(7월) 자료"}</definedName>
    <definedName name="_Q11" hidden="1">{#N/A,#N/A,FALSE,"단축1";#N/A,#N/A,FALSE,"단축2";#N/A,#N/A,FALSE,"단축3";#N/A,#N/A,FALSE,"장축";#N/A,#N/A,FALSE,"4WD"}</definedName>
    <definedName name="_Q12" hidden="1">{#N/A,#N/A,FALSE,"단축1";#N/A,#N/A,FALSE,"단축2";#N/A,#N/A,FALSE,"단축3";#N/A,#N/A,FALSE,"장축";#N/A,#N/A,FALSE,"4WD"}</definedName>
    <definedName name="_Q124" hidden="1">{#N/A,#N/A,FALSE,"단축1";#N/A,#N/A,FALSE,"단축2";#N/A,#N/A,FALSE,"단축3";#N/A,#N/A,FALSE,"장축";#N/A,#N/A,FALSE,"4WD"}</definedName>
    <definedName name="_Q2" hidden="1">{#N/A,#N/A,FALSE,"KMC최종회의(7월) 자료"}</definedName>
    <definedName name="_Q2_1" hidden="1">{#N/A,#N/A,FALSE,"KMC최종회의(7월) 자료"}</definedName>
    <definedName name="_Q21" hidden="1">{#N/A,#N/A,FALSE,"단축1";#N/A,#N/A,FALSE,"단축2";#N/A,#N/A,FALSE,"단축3";#N/A,#N/A,FALSE,"장축";#N/A,#N/A,FALSE,"4WD"}</definedName>
    <definedName name="_Q3" hidden="1">{#N/A,#N/A,FALSE,"KMC최종회의(7월) 자료"}</definedName>
    <definedName name="_Q3_1" hidden="1">{#N/A,#N/A,FALSE,"KMC최종회의(7월) 자료"}</definedName>
    <definedName name="_Q32" hidden="1">{#N/A,#N/A,FALSE,"단축1";#N/A,#N/A,FALSE,"단축2";#N/A,#N/A,FALSE,"단축3";#N/A,#N/A,FALSE,"장축";#N/A,#N/A,FALSE,"4WD"}</definedName>
    <definedName name="_Q43" hidden="1">{#N/A,#N/A,FALSE,"단축1";#N/A,#N/A,FALSE,"단축2";#N/A,#N/A,FALSE,"단축3";#N/A,#N/A,FALSE,"장축";#N/A,#N/A,FALSE,"4WD"}</definedName>
    <definedName name="_Q5" hidden="1">{#N/A,#N/A,FALSE,"KMC최종회의(7월) 자료"}</definedName>
    <definedName name="_Q5_1" hidden="1">{#N/A,#N/A,FALSE,"KMC최종회의(7월) 자료"}</definedName>
    <definedName name="_Q5_2" hidden="1">{#N/A,#N/A,FALSE,"KMC최종회의(7월) 자료"}</definedName>
    <definedName name="_Q54" hidden="1">{#N/A,#N/A,FALSE,"단축1";#N/A,#N/A,FALSE,"단축2";#N/A,#N/A,FALSE,"단축3";#N/A,#N/A,FALSE,"장축";#N/A,#N/A,FALSE,"4WD"}</definedName>
    <definedName name="_Q543421" hidden="1">{"'7-2지역별'!$A$1:$R$44"}</definedName>
    <definedName name="_Q56" hidden="1">{#N/A,#N/A,FALSE,"단축1";#N/A,#N/A,FALSE,"단축2";#N/A,#N/A,FALSE,"단축3";#N/A,#N/A,FALSE,"장축";#N/A,#N/A,FALSE,"4WD"}</definedName>
    <definedName name="_q6" hidden="1">{#N/A,#N/A,FALSE,"신규dep";#N/A,#N/A,FALSE,"신규dep-금형상각후";#N/A,#N/A,FALSE,"신규dep-연구비상각후";#N/A,#N/A,FALSE,"신규dep-기계,공구상각후"}</definedName>
    <definedName name="_q6_1" hidden="1">{#N/A,#N/A,FALSE,"신규dep";#N/A,#N/A,FALSE,"신규dep-금형상각후";#N/A,#N/A,FALSE,"신규dep-연구비상각후";#N/A,#N/A,FALSE,"신규dep-기계,공구상각후"}</definedName>
    <definedName name="_Q7" hidden="1">{#N/A,#N/A,FALSE,"KMC최종회의(7월) 자료"}</definedName>
    <definedName name="_Q7_1" hidden="1">{#N/A,#N/A,FALSE,"KMC최종회의(7월) 자료"}</definedName>
    <definedName name="_Q7_2" hidden="1">{#N/A,#N/A,FALSE,"KMC최종회의(7월) 자료"}</definedName>
    <definedName name="_Q75655" hidden="1">{"'7-2지역별'!$A$1:$R$44"}</definedName>
    <definedName name="_Q76" hidden="1">{#N/A,#N/A,FALSE,"단축1";#N/A,#N/A,FALSE,"단축2";#N/A,#N/A,FALSE,"단축3";#N/A,#N/A,FALSE,"장축";#N/A,#N/A,FALSE,"4WD"}</definedName>
    <definedName name="_Q8" hidden="1">{#N/A,#N/A,FALSE,"KMC최종회의(7월) 자료"}</definedName>
    <definedName name="_Q8_1" hidden="1">{#N/A,#N/A,FALSE,"KMC최종회의(7월) 자료"}</definedName>
    <definedName name="_Q8_2" hidden="1">{#N/A,#N/A,FALSE,"KMC최종회의(7월) 자료"}</definedName>
    <definedName name="_Q9" hidden="1">{#N/A,#N/A,FALSE,"KMC최종회의(7월) 자료"}</definedName>
    <definedName name="_Q9_1" hidden="1">{#N/A,#N/A,FALSE,"KMC최종회의(7월) 자료"}</definedName>
    <definedName name="_Q9_2" hidden="1">{#N/A,#N/A,FALSE,"KMC최종회의(7월) 자료"}</definedName>
    <definedName name="_QQ12" hidden="1">{#N/A,#N/A,FALSE,"단축1";#N/A,#N/A,FALSE,"단축2";#N/A,#N/A,FALSE,"단축3";#N/A,#N/A,FALSE,"장축";#N/A,#N/A,FALSE,"4WD"}</definedName>
    <definedName name="_Regression_Int" hidden="1">1</definedName>
    <definedName name="_Regression_Out" hidden="1">#REF!</definedName>
    <definedName name="_Regression_X" hidden="1">#REF!</definedName>
    <definedName name="_Regression_Y" hidden="1">#REF!</definedName>
    <definedName name="_RR2" hidden="1">{#N/A,#N/A,FALSE,"단축1";#N/A,#N/A,FALSE,"단축2";#N/A,#N/A,FALSE,"단축3";#N/A,#N/A,FALSE,"장축";#N/A,#N/A,FALSE,"4WD"}</definedName>
    <definedName name="_RS451" hidden="1">{#N/A,#N/A,FALSE,"단축1";#N/A,#N/A,FALSE,"단축2";#N/A,#N/A,FALSE,"단축3";#N/A,#N/A,FALSE,"장축";#N/A,#N/A,FALSE,"4WD"}</definedName>
    <definedName name="_RUN12" hidden="1">{#N/A,#N/A,FALSE,"KMC최종회의(7월) 자료"}</definedName>
    <definedName name="_S1" hidden="1">{#N/A,#N/A,FALSE,"KMC최종회의(7월) 자료"}</definedName>
    <definedName name="_S1_1" hidden="1">{#N/A,#N/A,FALSE,"KMC최종회의(7월) 자료"}</definedName>
    <definedName name="_S1_2" hidden="1">{#N/A,#N/A,FALSE,"KMC최종회의(7월) 자료"}</definedName>
    <definedName name="_S12" hidden="1">{#N/A,#N/A,FALSE,"단축1";#N/A,#N/A,FALSE,"단축2";#N/A,#N/A,FALSE,"단축3";#N/A,#N/A,FALSE,"장축";#N/A,#N/A,FALSE,"4WD"}</definedName>
    <definedName name="_S15" hidden="1">{#N/A,#N/A,FALSE,"KMC최종회의(7월) 자료"}</definedName>
    <definedName name="_S2" hidden="1">{#N/A,#N/A,FALSE,"KMC최종회의(7월) 자료"}</definedName>
    <definedName name="_S2_1" hidden="1">{#N/A,#N/A,FALSE,"KMC최종회의(7월) 자료"}</definedName>
    <definedName name="_S2_2" hidden="1">{#N/A,#N/A,FALSE,"KMC최종회의(7월) 자료"}</definedName>
    <definedName name="_S3" hidden="1">{#N/A,#N/A,FALSE,"KMC최종회의(7월) 자료"}</definedName>
    <definedName name="_S3_1" hidden="1">{#N/A,#N/A,FALSE,"KMC최종회의(7월) 자료"}</definedName>
    <definedName name="_S3_2" hidden="1">{#N/A,#N/A,FALSE,"KMC최종회의(7월) 자료"}</definedName>
    <definedName name="_S4" hidden="1">{#N/A,#N/A,FALSE,"KMC최종회의(7월) 자료"}</definedName>
    <definedName name="_S4_1" hidden="1">{#N/A,#N/A,FALSE,"KMC최종회의(7월) 자료"}</definedName>
    <definedName name="_S4_2" hidden="1">{#N/A,#N/A,FALSE,"KMC최종회의(7월) 자료"}</definedName>
    <definedName name="_S5" hidden="1">{#N/A,#N/A,FALSE,"KMC최종회의(7월) 자료"}</definedName>
    <definedName name="_S5_1" hidden="1">{#N/A,#N/A,FALSE,"KMC최종회의(7월) 자료"}</definedName>
    <definedName name="_S5_2" hidden="1">{#N/A,#N/A,FALSE,"KMC최종회의(7월) 자료"}</definedName>
    <definedName name="_S6" hidden="1">{#N/A,#N/A,FALSE,"KMC최종회의(7월) 자료"}</definedName>
    <definedName name="_S6_1" hidden="1">{#N/A,#N/A,FALSE,"KMC최종회의(7월) 자료"}</definedName>
    <definedName name="_S6_2" hidden="1">{#N/A,#N/A,FALSE,"KMC최종회의(7월) 자료"}</definedName>
    <definedName name="_S7" hidden="1">{#N/A,#N/A,FALSE,"KMC최종회의(7월) 자료"}</definedName>
    <definedName name="_S7_1" hidden="1">{#N/A,#N/A,FALSE,"KMC최종회의(7월) 자료"}</definedName>
    <definedName name="_S7_2" hidden="1">{#N/A,#N/A,FALSE,"KMC최종회의(7월) 자료"}</definedName>
    <definedName name="_S8" hidden="1">{#N/A,#N/A,FALSE,"KMC최종회의(7월) 자료"}</definedName>
    <definedName name="_S8_1" hidden="1">{#N/A,#N/A,FALSE,"KMC최종회의(7월) 자료"}</definedName>
    <definedName name="_S8_2" hidden="1">{#N/A,#N/A,FALSE,"KMC최종회의(7월) 자료"}</definedName>
    <definedName name="_SD323" hidden="1">{"'7-2지역별'!$A$1:$R$44"}</definedName>
    <definedName name="_SDW1" hidden="1">#REF!</definedName>
    <definedName name="_SHT1" hidden="1">{#N/A,#N/A,FALSE,"신규dep";#N/A,#N/A,FALSE,"신규dep-금형상각후";#N/A,#N/A,FALSE,"신규dep-연구비상각후";#N/A,#N/A,FALSE,"신규dep-기계,공구상각후"}</definedName>
    <definedName name="_SMM1" hidden="1">{"'7보유'!$A$1:$F$44"}</definedName>
    <definedName name="_SMM2" hidden="1">{"'7보유'!$A$1:$F$44"}</definedName>
    <definedName name="_Sort" hidden="1">#REF!</definedName>
    <definedName name="_Sort2" hidden="1">#REF!</definedName>
    <definedName name="_SR1" hidden="1">{#N/A,#N/A,TRUE,"Y생산";#N/A,#N/A,TRUE,"Y판매";#N/A,#N/A,TRUE,"Y총물량";#N/A,#N/A,TRUE,"Y능력";#N/A,#N/A,TRUE,"YKD"}</definedName>
    <definedName name="_SUM1" hidden="1">{#N/A,#N/A,FALSE,"단축1";#N/A,#N/A,FALSE,"단축2";#N/A,#N/A,FALSE,"단축3";#N/A,#N/A,FALSE,"장축";#N/A,#N/A,FALSE,"4WD"}</definedName>
    <definedName name="_SUM1_1" hidden="1">{#N/A,#N/A,FALSE,"단축1";#N/A,#N/A,FALSE,"단축2";#N/A,#N/A,FALSE,"단축3";#N/A,#N/A,FALSE,"장축";#N/A,#N/A,FALSE,"4WD"}</definedName>
    <definedName name="_SZ47" hidden="1">{#N/A,#N/A,FALSE,"정공"}</definedName>
    <definedName name="_T2" hidden="1">{#N/A,#N/A,FALSE,"단축1";#N/A,#N/A,FALSE,"단축2";#N/A,#N/A,FALSE,"단축3";#N/A,#N/A,FALSE,"장축";#N/A,#N/A,FALSE,"4WD"}</definedName>
    <definedName name="_T2_1" hidden="1">{#N/A,#N/A,FALSE,"단축1";#N/A,#N/A,FALSE,"단축2";#N/A,#N/A,FALSE,"단축3";#N/A,#N/A,FALSE,"장축";#N/A,#N/A,FALSE,"4WD"}</definedName>
    <definedName name="_T2_2" hidden="1">{#N/A,#N/A,FALSE,"단축1";#N/A,#N/A,FALSE,"단축2";#N/A,#N/A,FALSE,"단축3";#N/A,#N/A,FALSE,"장축";#N/A,#N/A,FALSE,"4WD"}</definedName>
    <definedName name="_T3" hidden="1">{#N/A,#N/A,FALSE,"단축1";#N/A,#N/A,FALSE,"단축2";#N/A,#N/A,FALSE,"단축3";#N/A,#N/A,FALSE,"장축";#N/A,#N/A,FALSE,"4WD"}</definedName>
    <definedName name="_T3_1" hidden="1">{#N/A,#N/A,FALSE,"단축1";#N/A,#N/A,FALSE,"단축2";#N/A,#N/A,FALSE,"단축3";#N/A,#N/A,FALSE,"장축";#N/A,#N/A,FALSE,"4WD"}</definedName>
    <definedName name="_t4" hidden="1">{#N/A,#N/A,FALSE,"단축1";#N/A,#N/A,FALSE,"단축2";#N/A,#N/A,FALSE,"단축3";#N/A,#N/A,FALSE,"장축";#N/A,#N/A,FALSE,"4WD"}</definedName>
    <definedName name="_T5" hidden="1">{#N/A,#N/A,FALSE,"단축1";#N/A,#N/A,FALSE,"단축2";#N/A,#N/A,FALSE,"단축3";#N/A,#N/A,FALSE,"장축";#N/A,#N/A,FALSE,"4WD"}</definedName>
    <definedName name="_T5_1" hidden="1">{#N/A,#N/A,FALSE,"단축1";#N/A,#N/A,FALSE,"단축2";#N/A,#N/A,FALSE,"단축3";#N/A,#N/A,FALSE,"장축";#N/A,#N/A,FALSE,"4WD"}</definedName>
    <definedName name="_Table1_In1" hidden="1">#REF!</definedName>
    <definedName name="_tb2" hidden="1">{#N/A,#N/A,FALSE,"단축1";#N/A,#N/A,FALSE,"단축2";#N/A,#N/A,FALSE,"단축3";#N/A,#N/A,FALSE,"장축";#N/A,#N/A,FALSE,"4WD"}</definedName>
    <definedName name="_TM1" hidden="1">{#N/A,#N/A,FALSE,"단축1";#N/A,#N/A,FALSE,"단축2";#N/A,#N/A,FALSE,"단축3";#N/A,#N/A,FALSE,"장축";#N/A,#N/A,FALSE,"4WD"}</definedName>
    <definedName name="_TM1_1" hidden="1">{#N/A,#N/A,FALSE,"단축1";#N/A,#N/A,FALSE,"단축2";#N/A,#N/A,FALSE,"단축3";#N/A,#N/A,FALSE,"장축";#N/A,#N/A,FALSE,"4WD"}</definedName>
    <definedName name="_TRT11" hidden="1">{#N/A,#N/A,FALSE,"표지";#N/A,#N/A,FALSE,"전제";#N/A,#N/A,FALSE,"손익-자 (2)";#N/A,#N/A,FALSE,"손익-자";#N/A,#N/A,FALSE,"손익-마 (2)";#N/A,#N/A,FALSE,"손익-마";#N/A,#N/A,FALSE,"총손최종"}</definedName>
    <definedName name="_U1" hidden="1">{#N/A,#N/A,FALSE,"단축1";#N/A,#N/A,FALSE,"단축2";#N/A,#N/A,FALSE,"단축3";#N/A,#N/A,FALSE,"장축";#N/A,#N/A,FALSE,"4WD"}</definedName>
    <definedName name="_V2007" hidden="1">{#N/A,#N/A,FALSE,"HOT RU TEM";#N/A,#N/A,FALSE,"HOT RU TEM";#N/A,#N/A,FALSE,"HOT RU TEM"}</definedName>
    <definedName name="_VQ20" hidden="1">{#N/A,#N/A,FALSE,"FR 계산내역";#N/A,#N/A,FALSE,"RR 계산내역";#N/A,#N/A,FALSE,"기계경비"}</definedName>
    <definedName name="_W1" hidden="1">{#N/A,#N/A,FALSE,"KMC최종회의(7월) 자료"}</definedName>
    <definedName name="_W1_1" hidden="1">{#N/A,#N/A,FALSE,"KMC최종회의(7월) 자료"}</definedName>
    <definedName name="_W1_2" hidden="1">{#N/A,#N/A,FALSE,"KMC최종회의(7월) 자료"}</definedName>
    <definedName name="_W2" hidden="1">{#N/A,#N/A,FALSE,"KMC최종회의(7월) 자료"}</definedName>
    <definedName name="_W2_1" hidden="1">{#N/A,#N/A,FALSE,"KMC최종회의(7월) 자료"}</definedName>
    <definedName name="_W2_2" hidden="1">{#N/A,#N/A,FALSE,"KMC최종회의(7월) 자료"}</definedName>
    <definedName name="_W23" hidden="1">{#N/A,#N/A,FALSE,"단축1";#N/A,#N/A,FALSE,"단축2";#N/A,#N/A,FALSE,"단축3";#N/A,#N/A,FALSE,"장축";#N/A,#N/A,FALSE,"4WD"}</definedName>
    <definedName name="_W3" hidden="1">{#N/A,#N/A,FALSE,"KMC최종회의(7월) 자료"}</definedName>
    <definedName name="_W3_1" hidden="1">{#N/A,#N/A,FALSE,"KMC최종회의(7월) 자료"}</definedName>
    <definedName name="_W3_2" hidden="1">{#N/A,#N/A,FALSE,"KMC최종회의(7월) 자료"}</definedName>
    <definedName name="_W32" hidden="1">{#N/A,#N/A,FALSE,"단축1";#N/A,#N/A,FALSE,"단축2";#N/A,#N/A,FALSE,"단축3";#N/A,#N/A,FALSE,"장축";#N/A,#N/A,FALSE,"4WD"}</definedName>
    <definedName name="_W4" hidden="1">{#N/A,#N/A,FALSE,"KMC최종회의(7월) 자료"}</definedName>
    <definedName name="_W4_1" hidden="1">{#N/A,#N/A,FALSE,"KMC최종회의(7월) 자료"}</definedName>
    <definedName name="_W4_2" hidden="1">{#N/A,#N/A,FALSE,"KMC최종회의(7월) 자료"}</definedName>
    <definedName name="_W456" hidden="1">{#N/A,#N/A,FALSE,"단축1";#N/A,#N/A,FALSE,"단축2";#N/A,#N/A,FALSE,"단축3";#N/A,#N/A,FALSE,"장축";#N/A,#N/A,FALSE,"4WD"}</definedName>
    <definedName name="_W5" hidden="1">{#N/A,#N/A,FALSE,"KMC최종회의(7월) 자료"}</definedName>
    <definedName name="_W5_1" hidden="1">{#N/A,#N/A,FALSE,"KMC최종회의(7월) 자료"}</definedName>
    <definedName name="_W5_2" hidden="1">{#N/A,#N/A,FALSE,"KMC최종회의(7월) 자료"}</definedName>
    <definedName name="_W6" hidden="1">{#N/A,#N/A,FALSE,"KMC최종회의(7월) 자료"}</definedName>
    <definedName name="_W6_1" hidden="1">{#N/A,#N/A,FALSE,"KMC최종회의(7월) 자료"}</definedName>
    <definedName name="_W6_2" hidden="1">{#N/A,#N/A,FALSE,"KMC최종회의(7월) 자료"}</definedName>
    <definedName name="_W7" hidden="1">{#N/A,#N/A,FALSE,"KMC최종회의(7월) 자료"}</definedName>
    <definedName name="_W7_1" hidden="1">{#N/A,#N/A,FALSE,"KMC최종회의(7월) 자료"}</definedName>
    <definedName name="_W7_2" hidden="1">{#N/A,#N/A,FALSE,"KMC최종회의(7월) 자료"}</definedName>
    <definedName name="_W8" hidden="1">{#N/A,#N/A,FALSE,"KMC최종회의(7월) 자료"}</definedName>
    <definedName name="_W8_1" hidden="1">{#N/A,#N/A,FALSE,"KMC최종회의(7월) 자료"}</definedName>
    <definedName name="_W8_2" hidden="1">{#N/A,#N/A,FALSE,"KMC최종회의(7월) 자료"}</definedName>
    <definedName name="_W9" hidden="1">{#N/A,#N/A,FALSE,"KMC최종회의(7월) 자료"}</definedName>
    <definedName name="_W9_1" hidden="1">{#N/A,#N/A,FALSE,"KMC최종회의(7월) 자료"}</definedName>
    <definedName name="_W9_2" hidden="1">{#N/A,#N/A,FALSE,"KMC최종회의(7월) 자료"}</definedName>
    <definedName name="_WO1" hidden="1">{#N/A,#N/A,FALSE,"단축1";#N/A,#N/A,FALSE,"단축2";#N/A,#N/A,FALSE,"단축3";#N/A,#N/A,FALSE,"장축";#N/A,#N/A,FALSE,"4WD"}</definedName>
    <definedName name="_WRN2" hidden="1">{#N/A,#N/A,FALSE,"단축1";#N/A,#N/A,FALSE,"단축2";#N/A,#N/A,FALSE,"단축3";#N/A,#N/A,FALSE,"장축";#N/A,#N/A,FALSE,"4WD"}</definedName>
    <definedName name="_X1" hidden="1">{#N/A,#N/A,FALSE,"KMC최종회의(7월) 자료"}</definedName>
    <definedName name="_X1_1" hidden="1">{#N/A,#N/A,FALSE,"KMC최종회의(7월) 자료"}</definedName>
    <definedName name="_X2" hidden="1">{#N/A,#N/A,FALSE,"KMC최종회의(7월) 자료"}</definedName>
    <definedName name="_X2_1" hidden="1">{#N/A,#N/A,FALSE,"KMC최종회의(7월) 자료"}</definedName>
    <definedName name="_X21" hidden="1">{#N/A,#N/A,FALSE,"단축1";#N/A,#N/A,FALSE,"단축2";#N/A,#N/A,FALSE,"단축3";#N/A,#N/A,FALSE,"장축";#N/A,#N/A,FALSE,"4WD"}</definedName>
    <definedName name="_X3" hidden="1">{#N/A,#N/A,FALSE,"KMC최종회의(7월) 자료"}</definedName>
    <definedName name="_X3_1" hidden="1">{#N/A,#N/A,FALSE,"KMC최종회의(7월) 자료"}</definedName>
    <definedName name="_X3_2" hidden="1">{#N/A,#N/A,FALSE,"KMC최종회의(7월) 자료"}</definedName>
    <definedName name="_X4" hidden="1">{#N/A,#N/A,FALSE,"KMC최종회의(7월) 자료"}</definedName>
    <definedName name="_X4_1" hidden="1">{#N/A,#N/A,FALSE,"KMC최종회의(7월) 자료"}</definedName>
    <definedName name="_X4_2" hidden="1">{#N/A,#N/A,FALSE,"KMC최종회의(7월) 자료"}</definedName>
    <definedName name="_X5" hidden="1">{#N/A,#N/A,FALSE,"KMC최종회의(7월) 자료"}</definedName>
    <definedName name="_X5_1" hidden="1">{#N/A,#N/A,FALSE,"KMC최종회의(7월) 자료"}</definedName>
    <definedName name="_X5_2" hidden="1">{#N/A,#N/A,FALSE,"KMC최종회의(7월) 자료"}</definedName>
    <definedName name="_X6" hidden="1">{#N/A,#N/A,FALSE,"KMC최종회의(7월) 자료"}</definedName>
    <definedName name="_X6_1" hidden="1">{#N/A,#N/A,FALSE,"KMC최종회의(7월) 자료"}</definedName>
    <definedName name="_X6_2" hidden="1">{#N/A,#N/A,FALSE,"KMC최종회의(7월) 자료"}</definedName>
    <definedName name="_X7" hidden="1">{#N/A,#N/A,FALSE,"KMC최종회의(7월) 자료"}</definedName>
    <definedName name="_X7_1" hidden="1">{#N/A,#N/A,FALSE,"KMC최종회의(7월) 자료"}</definedName>
    <definedName name="_X7_2" hidden="1">{#N/A,#N/A,FALSE,"KMC최종회의(7월) 자료"}</definedName>
    <definedName name="_X8" hidden="1">{#N/A,#N/A,FALSE,"KMC최종회의(7월) 자료"}</definedName>
    <definedName name="_X8_1" hidden="1">{#N/A,#N/A,FALSE,"KMC최종회의(7월) 자료"}</definedName>
    <definedName name="_X8_2" hidden="1">{#N/A,#N/A,FALSE,"KMC최종회의(7월) 자료"}</definedName>
    <definedName name="_XG2" hidden="1">{#N/A,#N/A,FALSE,"단축1";#N/A,#N/A,FALSE,"단축2";#N/A,#N/A,FALSE,"단축3";#N/A,#N/A,FALSE,"장축";#N/A,#N/A,FALSE,"4WD"}</definedName>
    <definedName name="_XG2_1" hidden="1">{#N/A,#N/A,FALSE,"단축1";#N/A,#N/A,FALSE,"단축2";#N/A,#N/A,FALSE,"단축3";#N/A,#N/A,FALSE,"장축";#N/A,#N/A,FALSE,"4WD"}</definedName>
    <definedName name="_XG2_2" hidden="1">{#N/A,#N/A,FALSE,"단축1";#N/A,#N/A,FALSE,"단축2";#N/A,#N/A,FALSE,"단축3";#N/A,#N/A,FALSE,"장축";#N/A,#N/A,FALSE,"4WD"}</definedName>
    <definedName name="_XG3" hidden="1">{#N/A,#N/A,FALSE,"단축1";#N/A,#N/A,FALSE,"단축2";#N/A,#N/A,FALSE,"단축3";#N/A,#N/A,FALSE,"장축";#N/A,#N/A,FALSE,"4WD"}</definedName>
    <definedName name="_Z1" hidden="1">{#N/A,#N/A,FALSE,"KMC최종회의(7월) 자료"}</definedName>
    <definedName name="_Z1_1" hidden="1">{#N/A,#N/A,FALSE,"KMC최종회의(7월) 자료"}</definedName>
    <definedName name="_Z1_2" hidden="1">{#N/A,#N/A,FALSE,"KMC최종회의(7월) 자료"}</definedName>
    <definedName name="_z123" hidden="1">{#N/A,#N/A,FALSE,"단축1";#N/A,#N/A,FALSE,"단축2";#N/A,#N/A,FALSE,"단축3";#N/A,#N/A,FALSE,"장축";#N/A,#N/A,FALSE,"4WD"}</definedName>
    <definedName name="_z123_1" hidden="1">{#N/A,#N/A,FALSE,"단축1";#N/A,#N/A,FALSE,"단축2";#N/A,#N/A,FALSE,"단축3";#N/A,#N/A,FALSE,"장축";#N/A,#N/A,FALSE,"4WD"}</definedName>
    <definedName name="_Z2" hidden="1">{#N/A,#N/A,FALSE,"KMC최종회의(7월) 자료"}</definedName>
    <definedName name="_Z2_1" hidden="1">{#N/A,#N/A,FALSE,"KMC최종회의(7월) 자료"}</definedName>
    <definedName name="_Z2_2" hidden="1">{#N/A,#N/A,FALSE,"KMC최종회의(7월) 자료"}</definedName>
    <definedName name="_Z23" hidden="1">{#N/A,#N/A,FALSE,"단축1";#N/A,#N/A,FALSE,"단축2";#N/A,#N/A,FALSE,"단축3";#N/A,#N/A,FALSE,"장축";#N/A,#N/A,FALSE,"4WD"}</definedName>
    <definedName name="_Z3" hidden="1">{#N/A,#N/A,FALSE,"KMC최종회의(7월) 자료"}</definedName>
    <definedName name="_Z3_1" hidden="1">{#N/A,#N/A,FALSE,"KMC최종회의(7월) 자료"}</definedName>
    <definedName name="_Z3_2" hidden="1">{#N/A,#N/A,FALSE,"KMC최종회의(7월) 자료"}</definedName>
    <definedName name="_Z4" hidden="1">{#N/A,#N/A,FALSE,"KMC최종회의(7월) 자료"}</definedName>
    <definedName name="_Z4_1" hidden="1">{#N/A,#N/A,FALSE,"KMC최종회의(7월) 자료"}</definedName>
    <definedName name="_Z4_2" hidden="1">{#N/A,#N/A,FALSE,"KMC최종회의(7월) 자료"}</definedName>
    <definedName name="_Z5" hidden="1">{#N/A,#N/A,FALSE,"KMC최종회의(7월) 자료"}</definedName>
    <definedName name="_Z5_1" hidden="1">{#N/A,#N/A,FALSE,"KMC최종회의(7월) 자료"}</definedName>
    <definedName name="_Z5_2" hidden="1">{#N/A,#N/A,FALSE,"KMC최종회의(7월) 자료"}</definedName>
    <definedName name="_Z6" hidden="1">{#N/A,#N/A,FALSE,"KMC최종회의(7월) 자료"}</definedName>
    <definedName name="_Z6_1" hidden="1">{#N/A,#N/A,FALSE,"KMC최종회의(7월) 자료"}</definedName>
    <definedName name="_Z6_2" hidden="1">{#N/A,#N/A,FALSE,"KMC최종회의(7월) 자료"}</definedName>
    <definedName name="_Z7" hidden="1">{#N/A,#N/A,FALSE,"KMC최종회의(7월) 자료"}</definedName>
    <definedName name="_Z7_1" hidden="1">{#N/A,#N/A,FALSE,"KMC최종회의(7월) 자료"}</definedName>
    <definedName name="_Z7_2" hidden="1">{#N/A,#N/A,FALSE,"KMC최종회의(7월) 자료"}</definedName>
    <definedName name="_Z8" hidden="1">{#N/A,#N/A,FALSE,"KMC최종회의(7월) 자료"}</definedName>
    <definedName name="_Z8_1" hidden="1">{#N/A,#N/A,FALSE,"KMC최종회의(7월) 자료"}</definedName>
    <definedName name="_Z8_2" hidden="1">{#N/A,#N/A,FALSE,"KMC최종회의(7월) 자료"}</definedName>
    <definedName name="_Z9" hidden="1">{#N/A,#N/A,FALSE,"KMC최종회의(7월) 자료"}</definedName>
    <definedName name="_Z9_1" hidden="1">{#N/A,#N/A,FALSE,"KMC최종회의(7월) 자료"}</definedName>
    <definedName name="_Z9_2" hidden="1">{#N/A,#N/A,FALSE,"KMC최종회의(7월) 자료"}</definedName>
    <definedName name="_ZA1" hidden="1">#REF!</definedName>
    <definedName name="_ZA10" hidden="1">#REF!</definedName>
    <definedName name="_ZA11" hidden="1">#REF!</definedName>
    <definedName name="_ZA12" hidden="1">#REF!</definedName>
    <definedName name="_ZA13" hidden="1">#REF!</definedName>
    <definedName name="_ZA14" hidden="1">#REF!</definedName>
    <definedName name="_ZA15" hidden="1">#REF!</definedName>
    <definedName name="_ZA16" hidden="1">#REF!</definedName>
    <definedName name="_ZA17" hidden="1">#REF!</definedName>
    <definedName name="_ZA18" hidden="1">#REF!</definedName>
    <definedName name="_ZA19" hidden="1">#REF!</definedName>
    <definedName name="_ZA2" hidden="1">#REF!</definedName>
    <definedName name="_ZA20" hidden="1">#REF!</definedName>
    <definedName name="_ZA21" hidden="1">#REF!</definedName>
    <definedName name="_ZA22" hidden="1">#REF!</definedName>
    <definedName name="_ZA23" hidden="1">#REF!</definedName>
    <definedName name="_ZA24" hidden="1">#REF!</definedName>
    <definedName name="_ZA3" hidden="1">#REF!</definedName>
    <definedName name="_ZA4" hidden="1">#REF!</definedName>
    <definedName name="_ZA5" hidden="1">#REF!</definedName>
    <definedName name="_ZA6" hidden="1">#REF!</definedName>
    <definedName name="_ZA7" hidden="1">#REF!</definedName>
    <definedName name="_ZA8" hidden="1">#REF!</definedName>
    <definedName name="_ZA9" hidden="1">#REF!</definedName>
    <definedName name="\" hidden="1">{#N/A,#N/A,FALSE,"단축1";#N/A,#N/A,FALSE,"단축2";#N/A,#N/A,FALSE,"단축3";#N/A,#N/A,FALSE,"장축";#N/A,#N/A,FALSE,"4WD"}</definedName>
    <definedName name="\\" hidden="1">{#N/A,#N/A,FALSE,"단축1";#N/A,#N/A,FALSE,"단축2";#N/A,#N/A,FALSE,"단축3";#N/A,#N/A,FALSE,"장축";#N/A,#N/A,FALSE,"4WD"}</definedName>
    <definedName name="\\_1" hidden="1">{#N/A,#N/A,FALSE,"단축1";#N/A,#N/A,FALSE,"단축2";#N/A,#N/A,FALSE,"단축3";#N/A,#N/A,FALSE,"장축";#N/A,#N/A,FALSE,"4WD"}</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세부추진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Ⅱ" hidden="1">{#N/A,#N/A,FALSE,"정공"}</definedName>
    <definedName name="Ⅱ_1" hidden="1">{#N/A,#N/A,FALSE,"정공"}</definedName>
    <definedName name="Ⅱ_2" hidden="1">{#N/A,#N/A,FALSE,"정공"}</definedName>
    <definedName name="Ⅱ_2_1" hidden="1">{#N/A,#N/A,FALSE,"정공"}</definedName>
    <definedName name="Ⅱ_2_2" hidden="1">{#N/A,#N/A,FALSE,"정공"}</definedName>
    <definedName name="Ⅱ_2_3" hidden="1">{#N/A,#N/A,FALSE,"정공"}</definedName>
    <definedName name="Ⅱ_3" hidden="1">{#N/A,#N/A,FALSE,"정공"}</definedName>
    <definedName name="Ⅱ_3_1" hidden="1">{#N/A,#N/A,FALSE,"정공"}</definedName>
    <definedName name="Ⅱ_3_2" hidden="1">{#N/A,#N/A,FALSE,"정공"}</definedName>
    <definedName name="Ⅱ_3_3" hidden="1">{#N/A,#N/A,FALSE,"정공"}</definedName>
    <definedName name="Ⅱ_4" hidden="1">{#N/A,#N/A,FALSE,"정공"}</definedName>
    <definedName name="Ⅱ_5" hidden="1">{#N/A,#N/A,FALSE,"정공"}</definedName>
    <definedName name="a" hidden="1">{#N/A,#N/A,FALSE,"KMC최종회의(7월) 자료"}</definedName>
    <definedName name="ä" hidden="1">{#N/A,#N/A,TRUE,"Y생산";#N/A,#N/A,TRUE,"Y판매";#N/A,#N/A,TRUE,"Y총물량";#N/A,#N/A,TRUE,"Y능력";#N/A,#N/A,TRUE,"YKD"}</definedName>
    <definedName name="a_1" hidden="1">{#N/A,#N/A,FALSE,"KMC최종회의(7월) 자료"}</definedName>
    <definedName name="ä_1" hidden="1">{#N/A,#N/A,TRUE,"Y생산";#N/A,#N/A,TRUE,"Y판매";#N/A,#N/A,TRUE,"Y총물량";#N/A,#N/A,TRUE,"Y능력";#N/A,#N/A,TRUE,"YKD"}</definedName>
    <definedName name="A_C" hidden="1">{#N/A,#N/A,FALSE,"신규dep";#N/A,#N/A,FALSE,"신규dep-금형상각후";#N/A,#N/A,FALSE,"신규dep-연구비상각후";#N/A,#N/A,FALSE,"신규dep-기계,공구상각후"}</definedName>
    <definedName name="A0" hidden="1">{#N/A,#N/A,FALSE,"KMC최종회의(7월) 자료"}</definedName>
    <definedName name="A0_1" hidden="1">{#N/A,#N/A,FALSE,"KMC최종회의(7월) 자료"}</definedName>
    <definedName name="A0_2" hidden="1">{#N/A,#N/A,FALSE,"KMC최종회의(7월) 자료"}</definedName>
    <definedName name="A03을" hidden="1">{#N/A,#N/A,FALSE,"단축1";#N/A,#N/A,FALSE,"단축2";#N/A,#N/A,FALSE,"단축3";#N/A,#N/A,FALSE,"장축";#N/A,#N/A,FALSE,"4WD"}</definedName>
    <definedName name="A1_00근거" hidden="1">{#N/A,#N/A,FALSE,"단축1";#N/A,#N/A,FALSE,"단축2";#N/A,#N/A,FALSE,"단축3";#N/A,#N/A,FALSE,"장축";#N/A,#N/A,FALSE,"4WD"}</definedName>
    <definedName name="A1_00근거_1" hidden="1">{#N/A,#N/A,FALSE,"단축1";#N/A,#N/A,FALSE,"단축2";#N/A,#N/A,FALSE,"단축3";#N/A,#N/A,FALSE,"장축";#N/A,#N/A,FALSE,"4WD"}</definedName>
    <definedName name="A1_00근거1" hidden="1">{#N/A,#N/A,FALSE,"단축1";#N/A,#N/A,FALSE,"단축2";#N/A,#N/A,FALSE,"단축3";#N/A,#N/A,FALSE,"장축";#N/A,#N/A,FALSE,"4WD"}</definedName>
    <definedName name="A2.5" hidden="1">{#N/A,#N/A,FALSE,"단축1";#N/A,#N/A,FALSE,"단축2";#N/A,#N/A,FALSE,"단축3";#N/A,#N/A,FALSE,"장축";#N/A,#N/A,FALSE,"4WD"}</definedName>
    <definedName name="A2OPU" hidden="1">{#N/A,#N/A,FALSE,"단축1";#N/A,#N/A,FALSE,"단축2";#N/A,#N/A,FALSE,"단축3";#N/A,#N/A,FALSE,"장축";#N/A,#N/A,FALSE,"4WD"}</definedName>
    <definedName name="a5d" hidden="1">{#N/A,#N/A,FALSE,"단축1";#N/A,#N/A,FALSE,"단축2";#N/A,#N/A,FALSE,"단축3";#N/A,#N/A,FALSE,"장축";#N/A,#N/A,FALSE,"4WD"}</definedName>
    <definedName name="A9999999999956261" hidden="1">{#N/A,#N/A,FALSE,"KMC최종회의(7월) 자료"}</definedName>
    <definedName name="A9999999999956261_1" hidden="1">{#N/A,#N/A,FALSE,"KMC최종회의(7월) 자료"}</definedName>
    <definedName name="aa" hidden="1">{#N/A,#N/A,FALSE,"KMC최종회의(7월) 자료"}</definedName>
    <definedName name="AAA" hidden="1">{#N/A,#N/A,FALSE,"KMC최종회의(7월) 자료"}</definedName>
    <definedName name="AAAA" hidden="1">{#N/A,#N/A,FALSE,"KMC최종회의(7월) 자료"}</definedName>
    <definedName name="AAAA_1" hidden="1">{#N/A,#N/A,FALSE,"단축1";#N/A,#N/A,FALSE,"단축2";#N/A,#N/A,FALSE,"단축3";#N/A,#N/A,FALSE,"장축";#N/A,#N/A,FALSE,"4WD"}</definedName>
    <definedName name="AAAA_2" hidden="1">{#N/A,#N/A,FALSE,"단축1";#N/A,#N/A,FALSE,"단축2";#N/A,#N/A,FALSE,"단축3";#N/A,#N/A,FALSE,"장축";#N/A,#N/A,FALSE,"4WD"}</definedName>
    <definedName name="AAAA123" hidden="1">{#N/A,#N/A,FALSE,"단축1";#N/A,#N/A,FALSE,"단축2";#N/A,#N/A,FALSE,"단축3";#N/A,#N/A,FALSE,"장축";#N/A,#N/A,FALSE,"4WD"}</definedName>
    <definedName name="AAAAA" hidden="1">{#N/A,#N/A,FALSE,"KMC최종회의(7월) 자료"}</definedName>
    <definedName name="AAAAA_1" hidden="1">{#N/A,#N/A,FALSE,"KMC최종회의(7월) 자료"}</definedName>
    <definedName name="AAAAAA" hidden="1">{#N/A,#N/A,FALSE,"KMC최종회의(7월) 자료"}</definedName>
    <definedName name="AAAAAAA" hidden="1">{#N/A,#N/A,TRUE,"Y생산";#N/A,#N/A,TRUE,"Y판매";#N/A,#N/A,TRUE,"Y총물량";#N/A,#N/A,TRUE,"Y능력";#N/A,#N/A,TRUE,"YKD"}</definedName>
    <definedName name="AAAAAAA_1" hidden="1">{#N/A,#N/A,TRUE,"Y생산";#N/A,#N/A,TRUE,"Y판매";#N/A,#N/A,TRUE,"Y총물량";#N/A,#N/A,TRUE,"Y능력";#N/A,#N/A,TRUE,"YKD"}</definedName>
    <definedName name="AAAAAAA_2" hidden="1">{#N/A,#N/A,TRUE,"Y생산";#N/A,#N/A,TRUE,"Y판매";#N/A,#N/A,TRUE,"Y총물량";#N/A,#N/A,TRUE,"Y능력";#N/A,#N/A,TRUE,"YKD"}</definedName>
    <definedName name="aaaaaaaaaa" hidden="1">{#N/A,#N/A,TRUE,"이사님";#N/A,#N/A,TRUE,"이사님"}</definedName>
    <definedName name="AAAAAAAAAAAA" hidden="1">{#N/A,#N/A,FALSE,"단축1";#N/A,#N/A,FALSE,"단축2";#N/A,#N/A,FALSE,"단축3";#N/A,#N/A,FALSE,"장축";#N/A,#N/A,FALSE,"4WD"}</definedName>
    <definedName name="aaaaaaaaaaaaa" hidden="1">{"COMNUS2000",#N/A,FALSE,"BL2000"}</definedName>
    <definedName name="aaaaaaaaaaaaaaa" hidden="1">{"CTO ACUMULADO",#N/A,FALSE,"BASE ANEXOS";"VAR ACUMULADAS",#N/A,FALSE,"BASE ANEXOS"}</definedName>
    <definedName name="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hidden="1">{"AnaM1",#N/A,FALSE,"AnalisisM";"AnaM2",#N/A,FALSE,"AnalisisM";"AnaM3",#N/A,FALSE,"AnalisisM"}</definedName>
    <definedName name="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 hidden="1">{"COMJPN2000",#N/A,FALSE,"BL2000"}</definedName>
    <definedName name="AAAAAAAAAAAAAAAAAAAAAAAAA" hidden="1">{#N/A,#N/A,TRUE,"일정"}</definedName>
    <definedName name="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AA" hidden="1">{#N/A,#N/A,FALSE,"단축1";#N/A,#N/A,FALSE,"단축2";#N/A,#N/A,FALSE,"단축3";#N/A,#N/A,FALSE,"장축";#N/A,#N/A,FALSE,"4WD"}</definedName>
    <definedName name="aaaaaanw" hidden="1">{#N/A,#N/A,FALSE,"단축1";#N/A,#N/A,FALSE,"단축2";#N/A,#N/A,FALSE,"단축3";#N/A,#N/A,FALSE,"장축";#N/A,#N/A,FALSE,"4WD"}</definedName>
    <definedName name="aaaad" hidden="1">{"'7-2지역별'!$A$1:$R$44"}</definedName>
    <definedName name="aaaaq" hidden="1">{"'7-2지역별'!$A$1:$R$44"}</definedName>
    <definedName name="AAAAS" hidden="1">{#N/A,#N/A,FALSE,"정공"}</definedName>
    <definedName name="AAAAS_1" hidden="1">{#N/A,#N/A,FALSE,"정공"}</definedName>
    <definedName name="AAAAS_2" hidden="1">{#N/A,#N/A,FALSE,"정공"}</definedName>
    <definedName name="AAAAS_2_1" hidden="1">{#N/A,#N/A,FALSE,"정공"}</definedName>
    <definedName name="AAAAS_2_2" hidden="1">{#N/A,#N/A,FALSE,"정공"}</definedName>
    <definedName name="AAAAS_2_3" hidden="1">{#N/A,#N/A,FALSE,"정공"}</definedName>
    <definedName name="AAAAS_3" hidden="1">{#N/A,#N/A,FALSE,"정공"}</definedName>
    <definedName name="AAAAS_3_1" hidden="1">{#N/A,#N/A,FALSE,"정공"}</definedName>
    <definedName name="AAAAS_3_2" hidden="1">{#N/A,#N/A,FALSE,"정공"}</definedName>
    <definedName name="AAAAS_3_3" hidden="1">{#N/A,#N/A,FALSE,"정공"}</definedName>
    <definedName name="AAAAS_4" hidden="1">{#N/A,#N/A,FALSE,"정공"}</definedName>
    <definedName name="AAAAS_5" hidden="1">{#N/A,#N/A,FALSE,"정공"}</definedName>
    <definedName name="aaaaw" hidden="1">{"'7-2지역별'!$A$1:$R$44"}</definedName>
    <definedName name="aaaax" hidden="1">{"'7-2지역별'!$A$1:$R$44"}</definedName>
    <definedName name="aaaaz" hidden="1">{#N/A,#N/A,FALSE,"단축1";#N/A,#N/A,FALSE,"단축2";#N/A,#N/A,FALSE,"단축3";#N/A,#N/A,FALSE,"장축";#N/A,#N/A,FALSE,"4WD"}</definedName>
    <definedName name="AAACV" hidden="1">{"'KET'!$A$1:$E$2423"}</definedName>
    <definedName name="AAAQQQ" hidden="1">{#N/A,#N/A,FALSE,"단축1";#N/A,#N/A,FALSE,"단축2";#N/A,#N/A,FALSE,"단축3";#N/A,#N/A,FALSE,"장축";#N/A,#N/A,FALSE,"4WD"}</definedName>
    <definedName name="AAAQWS" hidden="1">{#N/A,#N/A,FALSE,"단축1";#N/A,#N/A,FALSE,"단축2";#N/A,#N/A,FALSE,"단축3";#N/A,#N/A,FALSE,"장축";#N/A,#N/A,FALSE,"4WD"}</definedName>
    <definedName name="aa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S" hidden="1">{#N/A,#N/A,FALSE,"단축1";#N/A,#N/A,FALSE,"단축2";#N/A,#N/A,FALSE,"단축3";#N/A,#N/A,FALSE,"장축";#N/A,#N/A,FALSE,"4WD"}</definedName>
    <definedName name="AAAV" hidden="1">{"Wire Charts",#N/A,TRUE,"Wires"}</definedName>
    <definedName name="aaaz" hidden="1">{"'7-2지역별'!$A$1:$R$44"}</definedName>
    <definedName name="AAFASASASFASASF" hidden="1">{#N/A,#N/A,FALSE,"단축1";#N/A,#N/A,FALSE,"단축2";#N/A,#N/A,FALSE,"단축3";#N/A,#N/A,FALSE,"장축";#N/A,#N/A,FALSE,"4WD"}</definedName>
    <definedName name="aaif" hidden="1">{#N/A,#N/A,FALSE,"단축1";#N/A,#N/A,FALSE,"단축2";#N/A,#N/A,FALSE,"단축3";#N/A,#N/A,FALSE,"장축";#N/A,#N/A,FALSE,"4WD"}</definedName>
    <definedName name="aaif_1" hidden="1">{#N/A,#N/A,FALSE,"단축1";#N/A,#N/A,FALSE,"단축2";#N/A,#N/A,FALSE,"단축3";#N/A,#N/A,FALSE,"장축";#N/A,#N/A,FALSE,"4WD"}</definedName>
    <definedName name="AAM" hidden="1">{#N/A,#N/A,FALSE,"정공"}</definedName>
    <definedName name="AAM_1" hidden="1">{#N/A,#N/A,FALSE,"정공"}</definedName>
    <definedName name="AAM_2" hidden="1">{#N/A,#N/A,FALSE,"정공"}</definedName>
    <definedName name="aaqs" hidden="1">{#N/A,#N/A,FALSE,"단축1";#N/A,#N/A,FALSE,"단축2";#N/A,#N/A,FALSE,"단축3";#N/A,#N/A,FALSE,"장축";#N/A,#N/A,FALSE,"4WD"}</definedName>
    <definedName name="aaqwz" hidden="1">{#N/A,#N/A,TRUE,"일정"}</definedName>
    <definedName name="AAS" hidden="1">{#N/A,#N/A,FALSE,"정공"}</definedName>
    <definedName name="AAS_1" hidden="1">{#N/A,#N/A,FALSE,"정공"}</definedName>
    <definedName name="AAS_2" hidden="1">{#N/A,#N/A,FALSE,"정공"}</definedName>
    <definedName name="AASWEWWREESREW" hidden="1">{#N/A,#N/A,FALSE,"단축1";#N/A,#N/A,FALSE,"단축2";#N/A,#N/A,FALSE,"단축3";#N/A,#N/A,FALSE,"장축";#N/A,#N/A,FALSE,"4WD"}</definedName>
    <definedName name="aaxasassa" hidden="1">{#N/A,#N/A,FALSE,"신규dep";#N/A,#N/A,FALSE,"신규dep-금형상각후";#N/A,#N/A,FALSE,"신규dep-연구비상각후";#N/A,#N/A,FALSE,"신규dep-기계,공구상각후"}</definedName>
    <definedName name="ABC" hidden="1">{#N/A,#N/A,TRUE,"일정"}</definedName>
    <definedName name="ABC_1" hidden="1">{#N/A,#N/A,TRUE,"Y생산";#N/A,#N/A,TRUE,"Y판매";#N/A,#N/A,TRUE,"Y총물량";#N/A,#N/A,TRUE,"Y능력";#N/A,#N/A,TRUE,"YKD"}</definedName>
    <definedName name="abcd12" hidden="1">{#VALUE!,#N/A,FALSE,0;#N/A,#N/A,FALSE,0;#N/A,#N/A,FALSE,0;#N/A,#N/A,FALSE,0;#N/A,#N/A,FALSE,0}</definedName>
    <definedName name="ABCDEF" hidden="1">{#N/A,#N/A,FALSE,"정공"}</definedName>
    <definedName name="ABCDEF_1" hidden="1">{#N/A,#N/A,FALSE,"정공"}</definedName>
    <definedName name="ABCDEF_2" hidden="1">{#N/A,#N/A,FALSE,"정공"}</definedName>
    <definedName name="ABCDEF_2_1" hidden="1">{#N/A,#N/A,FALSE,"정공"}</definedName>
    <definedName name="ABCDEF_2_2" hidden="1">{#N/A,#N/A,FALSE,"정공"}</definedName>
    <definedName name="ABCDEF_2_3" hidden="1">{#N/A,#N/A,FALSE,"정공"}</definedName>
    <definedName name="ABCDEF_3" hidden="1">{#N/A,#N/A,FALSE,"정공"}</definedName>
    <definedName name="ABCDEF_3_1" hidden="1">{#N/A,#N/A,FALSE,"정공"}</definedName>
    <definedName name="ABCDEF_3_2" hidden="1">{#N/A,#N/A,FALSE,"정공"}</definedName>
    <definedName name="ABCDEF_3_3" hidden="1">{#N/A,#N/A,FALSE,"정공"}</definedName>
    <definedName name="ABCDEF_4" hidden="1">{#N/A,#N/A,FALSE,"정공"}</definedName>
    <definedName name="ABCDEF_5" hidden="1">{#N/A,#N/A,FALSE,"정공"}</definedName>
    <definedName name="ABCD관리" hidden="1">{#N/A,#N/A,FALSE,"정공"}</definedName>
    <definedName name="ABCD관리_1" hidden="1">{#N/A,#N/A,FALSE,"정공"}</definedName>
    <definedName name="ABCD관리_2" hidden="1">{#N/A,#N/A,FALSE,"정공"}</definedName>
    <definedName name="ABCD관리_2_1" hidden="1">{#N/A,#N/A,FALSE,"정공"}</definedName>
    <definedName name="ABCD관리_2_2" hidden="1">{#N/A,#N/A,FALSE,"정공"}</definedName>
    <definedName name="ABCD관리_2_3" hidden="1">{#N/A,#N/A,FALSE,"정공"}</definedName>
    <definedName name="ABCD관리_3" hidden="1">{#N/A,#N/A,FALSE,"정공"}</definedName>
    <definedName name="ABCD관리_3_1" hidden="1">{#N/A,#N/A,FALSE,"정공"}</definedName>
    <definedName name="ABCD관리_3_2" hidden="1">{#N/A,#N/A,FALSE,"정공"}</definedName>
    <definedName name="ABCD관리_3_3" hidden="1">{#N/A,#N/A,FALSE,"정공"}</definedName>
    <definedName name="ABCD관리_4" hidden="1">{#N/A,#N/A,FALSE,"정공"}</definedName>
    <definedName name="ABCD관리_5" hidden="1">{#N/A,#N/A,FALSE,"정공"}</definedName>
    <definedName name="ABD" hidden="1">{#N/A,#N/A,FALSE,"단축1";#N/A,#N/A,FALSE,"단축2";#N/A,#N/A,FALSE,"단축3";#N/A,#N/A,FALSE,"장축";#N/A,#N/A,FALSE,"4WD"}</definedName>
    <definedName name="abd_1" hidden="1">{#N/A,#N/A,FALSE,"견적대비-2"}</definedName>
    <definedName name="ABDD" hidden="1">{#N/A,#N/A,FALSE,"단축1";#N/A,#N/A,FALSE,"단축2";#N/A,#N/A,FALSE,"단축3";#N/A,#N/A,FALSE,"장축";#N/A,#N/A,FALSE,"4WD"}</definedName>
    <definedName name="abea" hidden="1">{#N/A,#N/A,FALSE,"신규dep";#N/A,#N/A,FALSE,"신규dep-금형상각후";#N/A,#N/A,FALSE,"신규dep-연구비상각후";#N/A,#N/A,FALSE,"신규dep-기계,공구상각후"}</definedName>
    <definedName name="abgfdrt" hidden="1">{#N/A,#N/A,FALSE,"KMC최종회의(7월) 자료"}</definedName>
    <definedName name="abgfdrt_1" hidden="1">{#N/A,#N/A,FALSE,"KMC최종회의(7월) 자료"}</definedName>
    <definedName name="abgfdrt_2" hidden="1">{#N/A,#N/A,FALSE,"KMC최종회의(7월) 자료"}</definedName>
    <definedName name="ABS" hidden="1">{#N/A,#N/A,FALSE,"단축1";#N/A,#N/A,FALSE,"단축2";#N/A,#N/A,FALSE,"단축3";#N/A,#N/A,FALSE,"장축";#N/A,#N/A,FALSE,"4WD"}</definedName>
    <definedName name="ACB" hidden="1">{#N/A,#N/A,FALSE,"단축1";#N/A,#N/A,FALSE,"단축2";#N/A,#N/A,FALSE,"단축3";#N/A,#N/A,FALSE,"장축";#N/A,#N/A,FALSE,"4WD"}</definedName>
    <definedName name="ACB_1" hidden="1">{#N/A,#N/A,FALSE,"단축1";#N/A,#N/A,FALSE,"단축2";#N/A,#N/A,FALSE,"단축3";#N/A,#N/A,FALSE,"장축";#N/A,#N/A,FALSE,"4WD"}</definedName>
    <definedName name="ACCCC" hidden="1">{0,0,0,0}</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"c:\wiz32\xl\acclink.mdb"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E" hidden="1">{0,0,0,0}</definedName>
    <definedName name="ACN" hidden="1">{#N/A,#N/A,FALSE,"신규dep";#N/A,#N/A,FALSE,"신규dep-금형상각후";#N/A,#N/A,FALSE,"신규dep-연구비상각후";#N/A,#N/A,FALSE,"신규dep-기계,공구상각후"}</definedName>
    <definedName name="ACON" hidden="1">{#N/A,#N/A,TRUE,"일정"}</definedName>
    <definedName name="ACR4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TDSVTTVG" hidden="1">{#N/A,#N/A,FALSE,"단축1";#N/A,#N/A,FALSE,"단축2";#N/A,#N/A,FALSE,"단축3";#N/A,#N/A,FALSE,"장축";#N/A,#N/A,FALSE,"4WD"}</definedName>
    <definedName name="action1" hidden="1">{#N/A,#N/A,FALSE,"단축1";#N/A,#N/A,FALSE,"단축2";#N/A,#N/A,FALSE,"단축3";#N/A,#N/A,FALSE,"장축";#N/A,#N/A,FALSE,"4WD"}</definedName>
    <definedName name="ACwvu.Komplett." hidden="1">#REF!</definedName>
    <definedName name="ACwvu.Screen." hidden="1">#REF!</definedName>
    <definedName name="AD" hidden="1">{#N/A,#N/A,FALSE,"을지 (4)";#N/A,#N/A,FALSE,"을지 (5)";#N/A,#N/A,FALSE,"을지 (6)"}</definedName>
    <definedName name="ad_1" hidden="1">{#N/A,#N/A,TRUE,"Y생산";#N/A,#N/A,TRUE,"Y판매";#N/A,#N/A,TRUE,"Y총물량";#N/A,#N/A,TRUE,"Y능력";#N/A,#N/A,TRUE,"YKD"}</definedName>
    <definedName name="ADA" hidden="1">{#N/A,#N/A,FALSE,"단축1";#N/A,#N/A,FALSE,"단축2";#N/A,#N/A,FALSE,"단축3";#N/A,#N/A,FALSE,"장축";#N/A,#N/A,FALSE,"4WD"}</definedName>
    <definedName name="ADADADADADADADADA" hidden="1">{#N/A,#N/A,FALSE,"단축1";#N/A,#N/A,FALSE,"단축2";#N/A,#N/A,FALSE,"단축3";#N/A,#N/A,FALSE,"장축";#N/A,#N/A,FALSE,"4WD"}</definedName>
    <definedName name="ADC" hidden="1">{"'매출계획'!$D$2"}</definedName>
    <definedName name="ad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DDD" hidden="1">{#N/A,#N/A,FALSE,"단축1";#N/A,#N/A,FALSE,"단축2";#N/A,#N/A,FALSE,"단축3";#N/A,#N/A,FALSE,"장축";#N/A,#N/A,FALSE,"4WD"}</definedName>
    <definedName name="adef" hidden="1">{#N/A,#N/A,FALSE,"정공"}</definedName>
    <definedName name="adef_1" hidden="1">{#N/A,#N/A,FALSE,"정공"}</definedName>
    <definedName name="adef_2" hidden="1">{#N/A,#N/A,FALSE,"정공"}</definedName>
    <definedName name="adf" hidden="1">#REF!</definedName>
    <definedName name="ADFA" hidden="1">{#N/A,#N/A,FALSE,"단축1";#N/A,#N/A,FALSE,"단축2";#N/A,#N/A,FALSE,"단축3";#N/A,#N/A,FALSE,"장축";#N/A,#N/A,FALSE,"4WD"}</definedName>
    <definedName name="adfafdaf" hidden="1">{#N/A,#N/A,FALSE,"단축1";#N/A,#N/A,FALSE,"단축2";#N/A,#N/A,FALSE,"단축3";#N/A,#N/A,FALSE,"장축";#N/A,#N/A,FALSE,"4WD"}</definedName>
    <definedName name="adfds" hidden="1">{#N/A,#N/A,FALSE,"단축1";#N/A,#N/A,FALSE,"단축2";#N/A,#N/A,FALSE,"단축3";#N/A,#N/A,FALSE,"장축";#N/A,#N/A,FALSE,"4WD"}</definedName>
    <definedName name="adfge" hidden="1">{#N/A,#N/A,TRUE,"Y생산";#N/A,#N/A,TRUE,"Y판매";#N/A,#N/A,TRUE,"Y총물량";#N/A,#N/A,TRUE,"Y능력";#N/A,#N/A,TRUE,"YKD"}</definedName>
    <definedName name="adfge_1" hidden="1">{#N/A,#N/A,TRUE,"Y생산";#N/A,#N/A,TRUE,"Y판매";#N/A,#N/A,TRUE,"Y총물량";#N/A,#N/A,TRUE,"Y능력";#N/A,#N/A,TRUE,"YKD"}</definedName>
    <definedName name="adfs" hidden="1">{#N/A,#N/A,FALSE,"미판매분"}</definedName>
    <definedName name="ADG" hidden="1">{0,0,0,0}</definedName>
    <definedName name="ADGFD" hidden="1">{#N/A,#N/A,FALSE,"단축1";#N/A,#N/A,FALSE,"단축2";#N/A,#N/A,FALSE,"단축3";#N/A,#N/A,FALSE,"장축";#N/A,#N/A,FALSE,"4WD"}</definedName>
    <definedName name="ADGG" hidden="1">{#N/A,#N/A,TRUE,"Y생산";#N/A,#N/A,TRUE,"Y판매";#N/A,#N/A,TRUE,"Y총물량";#N/A,#N/A,TRUE,"Y능력";#N/A,#N/A,TRUE,"YKD"}</definedName>
    <definedName name="ADGG_1" hidden="1">{#N/A,#N/A,TRUE,"Y생산";#N/A,#N/A,TRUE,"Y판매";#N/A,#N/A,TRUE,"Y총물량";#N/A,#N/A,TRUE,"Y능력";#N/A,#N/A,TRUE,"YKD"}</definedName>
    <definedName name="ads" hidden="1">{#N/A,#N/A,FALSE,"미판매분"}</definedName>
    <definedName name="ADSDF" hidden="1">{#N/A,#N/A,TRUE,"Y생산";#N/A,#N/A,TRUE,"Y판매";#N/A,#N/A,TRUE,"Y총물량";#N/A,#N/A,TRUE,"Y능력";#N/A,#N/A,TRUE,"YKD"}</definedName>
    <definedName name="ADSDF_1" hidden="1">{#N/A,#N/A,TRUE,"Y생산";#N/A,#N/A,TRUE,"Y판매";#N/A,#N/A,TRUE,"Y총물량";#N/A,#N/A,TRUE,"Y능력";#N/A,#N/A,TRUE,"YKD"}</definedName>
    <definedName name="ADSDF_2" hidden="1">{#N/A,#N/A,TRUE,"Y생산";#N/A,#N/A,TRUE,"Y판매";#N/A,#N/A,TRUE,"Y총물량";#N/A,#N/A,TRUE,"Y능력";#N/A,#N/A,TRUE,"YKD"}</definedName>
    <definedName name="adsf" hidden="1">{#N/A,#N/A,FALSE,"단축1";#N/A,#N/A,FALSE,"단축2";#N/A,#N/A,FALSE,"단축3";#N/A,#N/A,FALSE,"장축";#N/A,#N/A,FALSE,"4WD"}</definedName>
    <definedName name="adsfasd" hidden="1">{#N/A,#N/A,FALSE,"단축1";#N/A,#N/A,FALSE,"단축2";#N/A,#N/A,FALSE,"단축3";#N/A,#N/A,FALSE,"장축";#N/A,#N/A,FALSE,"4WD"}</definedName>
    <definedName name="ADSFQWASGWHQH" hidden="1">{#N/A,#N/A,FALSE,"단축1";#N/A,#N/A,FALSE,"단축2";#N/A,#N/A,FALSE,"단축3";#N/A,#N/A,FALSE,"장축";#N/A,#N/A,FALSE,"4WD"}</definedName>
    <definedName name="ADSGHJHGJ" hidden="1">{#N/A,#N/A,FALSE,"단축1";#N/A,#N/A,FALSE,"단축2";#N/A,#N/A,FALSE,"단축3";#N/A,#N/A,FALSE,"장축";#N/A,#N/A,FALSE,"4WD"}</definedName>
    <definedName name="ADSS" hidden="1">{#N/A,#N/A,FALSE,"단축1";#N/A,#N/A,FALSE,"단축2";#N/A,#N/A,FALSE,"단축3";#N/A,#N/A,FALSE,"장축";#N/A,#N/A,FALSE,"4WD"}</definedName>
    <definedName name="AE" hidden="1">{#N/A,#N/A,FALSE,"단축1";#N/A,#N/A,FALSE,"단축2";#N/A,#N/A,FALSE,"단축3";#N/A,#N/A,FALSE,"장축";#N/A,#N/A,FALSE,"4WD"}</definedName>
    <definedName name="aeaeae" hidden="1">{#N/A,#N/A,FALSE,"단축1";#N/A,#N/A,FALSE,"단축2";#N/A,#N/A,FALSE,"단축3";#N/A,#N/A,FALSE,"장축";#N/A,#N/A,FALSE,"4WD"}</definedName>
    <definedName name="aedf3" hidden="1">{#N/A,#N/A,TRUE,"Y생산";#N/A,#N/A,TRUE,"Y판매";#N/A,#N/A,TRUE,"Y총물량";#N/A,#N/A,TRUE,"Y능력";#N/A,#N/A,TRUE,"YKD"}</definedName>
    <definedName name="AEFG" hidden="1">{"'7-2지역별'!$A$1:$R$44"}</definedName>
    <definedName name="AEQ" hidden="1">{#N/A,#N/A,FALSE,"단축1";#N/A,#N/A,FALSE,"단축2";#N/A,#N/A,FALSE,"단축3";#N/A,#N/A,FALSE,"장축";#N/A,#N/A,FALSE,"4WD"}</definedName>
    <definedName name="AER" hidden="1">{#N/A,#N/A,FALSE,"단축1";#N/A,#N/A,FALSE,"단축2";#N/A,#N/A,FALSE,"단축3";#N/A,#N/A,FALSE,"장축";#N/A,#N/A,FALSE,"4WD"}</definedName>
    <definedName name="aerhrea" hidden="1">{#N/A,#N/A,FALSE,"단축1";#N/A,#N/A,FALSE,"단축2";#N/A,#N/A,FALSE,"단축3";#N/A,#N/A,FALSE,"장축";#N/A,#N/A,FALSE,"4WD"}</definedName>
    <definedName name="AERHTRJN" hidden="1">{#N/A,#N/A,TRUE,"Y생산";#N/A,#N/A,TRUE,"Y판매";#N/A,#N/A,TRUE,"Y총물량";#N/A,#N/A,TRUE,"Y능력";#N/A,#N/A,TRUE,"YKD"}</definedName>
    <definedName name="AERHTRJN_1" hidden="1">{#N/A,#N/A,TRUE,"Y생산";#N/A,#N/A,TRUE,"Y판매";#N/A,#N/A,TRUE,"Y총물량";#N/A,#N/A,TRUE,"Y능력";#N/A,#N/A,TRUE,"YKD"}</definedName>
    <definedName name="AERWGFDB" hidden="1">{#N/A,#N/A,FALSE,"96 3월물량표";#N/A,#N/A,FALSE,"96 4월물량표";#N/A,#N/A,FALSE,"96 5월물량표"}</definedName>
    <definedName name="AERWGFDB_1" hidden="1">{#N/A,#N/A,FALSE,"96 3월물량표";#N/A,#N/A,FALSE,"96 4월물량표";#N/A,#N/A,FALSE,"96 5월물량표"}</definedName>
    <definedName name="AET" hidden="1">#REF!</definedName>
    <definedName name="AF" hidden="1">{#N/A,#N/A,FALSE,"단축1";#N/A,#N/A,FALSE,"단축2";#N/A,#N/A,FALSE,"단축3";#N/A,#N/A,FALSE,"장축";#N/A,#N/A,FALSE,"4WD"}</definedName>
    <definedName name="AFAAFASFSA" hidden="1">{#N/A,#N/A,FALSE,"단축1";#N/A,#N/A,FALSE,"단축2";#N/A,#N/A,FALSE,"단축3";#N/A,#N/A,FALSE,"장축";#N/A,#N/A,FALSE,"4WD"}</definedName>
    <definedName name="AFDAFA" hidden="1">{#N/A,#N/A,FALSE,"단축1";#N/A,#N/A,FALSE,"단축2";#N/A,#N/A,FALSE,"단축3";#N/A,#N/A,FALSE,"장축";#N/A,#N/A,FALSE,"4WD"}</definedName>
    <definedName name="aff" hidden="1">{#N/A,#N/A,FALSE,"단축1";#N/A,#N/A,FALSE,"단축2";#N/A,#N/A,FALSE,"단축3";#N/A,#N/A,FALSE,"장축";#N/A,#N/A,FALSE,"4WD"}</definedName>
    <definedName name="aff_1" hidden="1">{#N/A,#N/A,FALSE,"단축1";#N/A,#N/A,FALSE,"단축2";#N/A,#N/A,FALSE,"단축3";#N/A,#N/A,FALSE,"장축";#N/A,#N/A,FALSE,"4WD"}</definedName>
    <definedName name="AFGFHN" hidden="1">{0,0,0,0}</definedName>
    <definedName name="AFRAW" hidden="1">{#N/A,#N/A,FALSE,"신규dep";#N/A,#N/A,FALSE,"신규dep-금형상각후";#N/A,#N/A,FALSE,"신규dep-연구비상각후";#N/A,#N/A,FALSE,"신규dep-기계,공구상각후"}</definedName>
    <definedName name="AFS" hidden="1">{#N/A,#N/A,FALSE,"단축1";#N/A,#N/A,FALSE,"단축2";#N/A,#N/A,FALSE,"단축3";#N/A,#N/A,FALSE,"장축";#N/A,#N/A,FALSE,"4WD"}</definedName>
    <definedName name="AFSDA" hidden="1">{#N/A,#N/A,FALSE,"단축1";#N/A,#N/A,FALSE,"단축2";#N/A,#N/A,FALSE,"단축3";#N/A,#N/A,FALSE,"장축";#N/A,#N/A,FALSE,"4WD"}</definedName>
    <definedName name="AFSDF" hidden="1">{#N/A,#N/A,FALSE,"단축1";#N/A,#N/A,FALSE,"단축2";#N/A,#N/A,FALSE,"단축3";#N/A,#N/A,FALSE,"장축";#N/A,#N/A,FALSE,"4WD"}</definedName>
    <definedName name="afsgbvgfgff" hidden="1">{#N/A,#N/A,TRUE,"Y생산";#N/A,#N/A,TRUE,"Y판매";#N/A,#N/A,TRUE,"Y총물량";#N/A,#N/A,TRUE,"Y능력";#N/A,#N/A,TRUE,"YKD"}</definedName>
    <definedName name="AFXSHJSDJK" hidden="1">{#N/A,#N/A,FALSE,"단축1";#N/A,#N/A,FALSE,"단축2";#N/A,#N/A,FALSE,"단축3";#N/A,#N/A,FALSE,"장축";#N/A,#N/A,FALSE,"4WD"}</definedName>
    <definedName name="AG" hidden="1">{#N/A,#N/A,FALSE,"단축1";#N/A,#N/A,FALSE,"단축2";#N/A,#N/A,FALSE,"단축3";#N/A,#N/A,FALSE,"장축";#N/A,#N/A,FALSE,"4WD"}</definedName>
    <definedName name="AGEAHAE" hidden="1">{#N/A,#N/A,FALSE,"FR 계산내역";#N/A,#N/A,FALSE,"RR 계산내역";#N/A,#N/A,FALSE,"기계경비"}</definedName>
    <definedName name="AGGG" hidden="1">{0,0,0,0}</definedName>
    <definedName name="AH" hidden="1">{#N/A,#N/A,FALSE,"단축1";#N/A,#N/A,FALSE,"단축2";#N/A,#N/A,FALSE,"단축3";#N/A,#N/A,FALSE,"장축";#N/A,#N/A,FALSE,"4WD"}</definedName>
    <definedName name="AHA" hidden="1">{#N/A,#N/A,FALSE,"신규dep";#N/A,#N/A,FALSE,"신규dep-금형상각후";#N/A,#N/A,FALSE,"신규dep-연구비상각후";#N/A,#N/A,FALSE,"신규dep-기계,공구상각후"}</definedName>
    <definedName name="AHAAH" hidden="1">{#N/A,#N/A,FALSE,"단축1";#N/A,#N/A,FALSE,"단축2";#N/A,#N/A,FALSE,"단축3";#N/A,#N/A,FALSE,"장축";#N/A,#N/A,FALSE,"4WD"}</definedName>
    <definedName name="AHGFDAS" hidden="1">{#N/A,#N/A,FALSE,"단축1";#N/A,#N/A,FALSE,"단축2";#N/A,#N/A,FALSE,"단축3";#N/A,#N/A,FALSE,"장축";#N/A,#N/A,FALSE,"4WD"}</definedName>
    <definedName name="AHGGG" hidden="1">{0,0,0,0}</definedName>
    <definedName name="AHHHHH" hidden="1">{0,0,0,0}</definedName>
    <definedName name="AHR" hidden="1">{#N/A,#N/A,FALSE,"KMC최종회의(7월) 자료"}</definedName>
    <definedName name="AIAA" hidden="1">{#N/A,#N/A,FALSE,"단축1";#N/A,#N/A,FALSE,"단축2";#N/A,#N/A,FALSE,"단축3";#N/A,#N/A,FALSE,"장축";#N/A,#N/A,FALSE,"4WD"}</definedName>
    <definedName name="AIRCON" hidden="1">{#N/A,#N/A,FALSE,"단축1";#N/A,#N/A,FALSE,"단축2";#N/A,#N/A,FALSE,"단축3";#N/A,#N/A,FALSE,"장축";#N/A,#N/A,FALSE,"4WD"}</definedName>
    <definedName name="AJ" hidden="1">{#N/A,#N/A,FALSE,"단축1";#N/A,#N/A,FALSE,"단축2";#N/A,#N/A,FALSE,"단축3";#N/A,#N/A,FALSE,"장축";#N/A,#N/A,FALSE,"4WD"}</definedName>
    <definedName name="AJAJ" hidden="1">{#N/A,#N/A,FALSE,"KMC최종회의(7월) 자료"}</definedName>
    <definedName name="AJU2002년가공손익" hidden="1">{#N/A,#N/A,FALSE,"정공"}</definedName>
    <definedName name="AJU2002년가공손익_1" hidden="1">{#N/A,#N/A,FALSE,"정공"}</definedName>
    <definedName name="a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kcess_Button" hidden="1">"업체현황_카드발송_List"</definedName>
    <definedName name="akrka123" hidden="1">{#N/A,#N/A,TRUE,"Y생산";#N/A,#N/A,TRUE,"Y판매";#N/A,#N/A,TRUE,"Y총물량";#N/A,#N/A,TRUE,"Y능력";#N/A,#N/A,TRUE,"YKD"}</definedName>
    <definedName name="akrka123_1" hidden="1">{#N/A,#N/A,TRUE,"Y생산";#N/A,#N/A,TRUE,"Y판매";#N/A,#N/A,TRUE,"Y총물량";#N/A,#N/A,TRUE,"Y능력";#N/A,#N/A,TRUE,"YKD"}</definedName>
    <definedName name="AL" hidden="1">{#N/A,#N/A,FALSE,"단축1";#N/A,#N/A,FALSE,"단축2";#N/A,#N/A,FALSE,"단축3";#N/A,#N/A,FALSE,"장축";#N/A,#N/A,FALSE,"4WD"}</definedName>
    <definedName name="alalalalalalalalalalalalalalalalalalalalalalalalalalalalalalalalalalalalalalalalalalalal" hidden="1">{#N/A,#N/A,FALSE,"KMC최종회의(7월) 자료"}</definedName>
    <definedName name="AMECH" hidden="1">{#N/A,#N/A,FALSE,"단축1";#N/A,#N/A,FALSE,"단축2";#N/A,#N/A,FALSE,"단축3";#N/A,#N/A,FALSE,"장축";#N/A,#N/A,FALSE,"4WD"}</definedName>
    <definedName name="AMT" hidden="1">{#N/A,#N/A,FALSE,"HOT RU TEM";#N/A,#N/A,FALSE,"HOT RU TEM";#N/A,#N/A,FALSE,"HOT RU TEM"}</definedName>
    <definedName name="AN" hidden="1">{#N/A,#N/A,FALSE,"단축1";#N/A,#N/A,FALSE,"단축2";#N/A,#N/A,FALSE,"단축3";#N/A,#N/A,FALSE,"장축";#N/A,#N/A,FALSE,"4WD"}</definedName>
    <definedName name="anscount" hidden="1">4</definedName>
    <definedName name="ANSTJ4" hidden="1">{#N/A,#N/A,FALSE,"단축1";#N/A,#N/A,FALSE,"단축2";#N/A,#N/A,FALSE,"단축3";#N/A,#N/A,FALSE,"장축";#N/A,#N/A,FALSE,"4WD"}</definedName>
    <definedName name="AOCNFTHSDLR" hidden="1">{#N/A,#N/A,FALSE,"정공"}</definedName>
    <definedName name="AOCNFTHSDLR_1" hidden="1">{#N/A,#N/A,FALSE,"정공"}</definedName>
    <definedName name="AOCNFTHSDLR_2" hidden="1">{#N/A,#N/A,FALSE,"정공"}</definedName>
    <definedName name="aqaqa" hidden="1">{#N/A,#N/A,FALSE,"단축1";#N/A,#N/A,FALSE,"단축2";#N/A,#N/A,FALSE,"단축3";#N/A,#N/A,FALSE,"장축";#N/A,#N/A,FALSE,"4WD"}</definedName>
    <definedName name="AQP" hidden="1">{#N/A,#N/A,FALSE,"96 3월물량표";#N/A,#N/A,FALSE,"96 4월물량표";#N/A,#N/A,FALSE,"96 5월물량표"}</definedName>
    <definedName name="AQP_1" hidden="1">{#N/A,#N/A,FALSE,"96 3월물량표";#N/A,#N/A,FALSE,"96 4월물량표";#N/A,#N/A,FALSE,"96 5월물량표"}</definedName>
    <definedName name="aqsfrf" hidden="1">{#N/A,#N/A,FALSE,"단축1";#N/A,#N/A,FALSE,"단축2";#N/A,#N/A,FALSE,"단축3";#N/A,#N/A,FALSE,"장축";#N/A,#N/A,FALSE,"4WD"}</definedName>
    <definedName name="AQW" hidden="1">{#N/A,#N/A,FALSE,"단축1";#N/A,#N/A,FALSE,"단축2";#N/A,#N/A,FALSE,"단축3";#N/A,#N/A,FALSE,"장축";#N/A,#N/A,FALSE,"4WD"}</definedName>
    <definedName name="aq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_1" hidden="1">{#N/A,#N/A,FALSE,"KMC최종회의(7월) 자료"}</definedName>
    <definedName name="AR" hidden="1">{#N/A,#N/A,FALSE,"단축1";#N/A,#N/A,FALSE,"단축2";#N/A,#N/A,FALSE,"단축3";#N/A,#N/A,FALSE,"장축";#N/A,#N/A,FALSE,"4WD"}</definedName>
    <definedName name="aregy" hidden="1">{#N/A,#N/A,TRUE,"Y생산";#N/A,#N/A,TRUE,"Y판매";#N/A,#N/A,TRUE,"Y총물량";#N/A,#N/A,TRUE,"Y능력";#N/A,#N/A,TRUE,"YKD"}</definedName>
    <definedName name="aregy_1" hidden="1">{#N/A,#N/A,TRUE,"Y생산";#N/A,#N/A,TRUE,"Y판매";#N/A,#N/A,TRUE,"Y총물량";#N/A,#N/A,TRUE,"Y능력";#N/A,#N/A,TRUE,"YKD"}</definedName>
    <definedName name="AREQ" hidden="1">{#N/A,#N/A,FALSE,"단축1";#N/A,#N/A,FALSE,"단축2";#N/A,#N/A,FALSE,"단축3";#N/A,#N/A,FALSE,"장축";#N/A,#N/A,FALSE,"4WD"}</definedName>
    <definedName name="AS" hidden="1">{#N/A,#N/A,FALSE,"단축1";#N/A,#N/A,FALSE,"단축2";#N/A,#N/A,FALSE,"단축3";#N/A,#N/A,FALSE,"장축";#N/A,#N/A,FALSE,"4WD"}</definedName>
    <definedName name="AS_1" hidden="1">{#N/A,#N/A,FALSE,"단축1";#N/A,#N/A,FALSE,"단축2";#N/A,#N/A,FALSE,"단축3";#N/A,#N/A,FALSE,"장축";#N/A,#N/A,FALSE,"4WD"}</definedName>
    <definedName name="AS_2" hidden="1">{#N/A,#N/A,FALSE,"단축1";#N/A,#N/A,FALSE,"단축2";#N/A,#N/A,FALSE,"단축3";#N/A,#N/A,FALSE,"장축";#N/A,#N/A,FALSE,"4WD"}</definedName>
    <definedName name="AS2DocOpenMode" hidden="1">"AS2DocumentEdit"</definedName>
    <definedName name="AS2TickmarkLS" hidden="1">#REF!</definedName>
    <definedName name="asa" hidden="1">{#N/A,#N/A,FALSE,"단축1";#N/A,#N/A,FALSE,"단축2";#N/A,#N/A,FALSE,"단축3";#N/A,#N/A,FALSE,"장축";#N/A,#N/A,FALSE,"4WD"}</definedName>
    <definedName name="ASAAAAFAFDAFDGFGFFHG" hidden="1">{#N/A,#N/A,FALSE,"단축1";#N/A,#N/A,FALSE,"단축2";#N/A,#N/A,FALSE,"단축3";#N/A,#N/A,FALSE,"장축";#N/A,#N/A,FALSE,"4WD"}</definedName>
    <definedName name="asad" hidden="1">#REF!</definedName>
    <definedName name="asads" hidden="1">{#N/A,#N/A,FALSE,"미판매분"}</definedName>
    <definedName name="asaf" hidden="1">{#N/A,#N/A,FALSE,"미판매분"}</definedName>
    <definedName name="ASAFFFFFFFFFF" hidden="1">{#N/A,#N/A,FALSE,"단축1";#N/A,#N/A,FALSE,"단축2";#N/A,#N/A,FALSE,"단축3";#N/A,#N/A,FALSE,"장축";#N/A,#N/A,FALSE,"4WD"}</definedName>
    <definedName name="ASAS" hidden="1">{#N/A,#N/A,FALSE,"단축1";#N/A,#N/A,FALSE,"단축2";#N/A,#N/A,FALSE,"단축3";#N/A,#N/A,FALSE,"장축";#N/A,#N/A,FALSE,"4WD"}</definedName>
    <definedName name="ASASAASA" hidden="1">{#N/A,#N/A,FALSE,"단축1";#N/A,#N/A,FALSE,"단축2";#N/A,#N/A,FALSE,"단축3";#N/A,#N/A,FALSE,"장축";#N/A,#N/A,FALSE,"4WD"}</definedName>
    <definedName name="ASASASA" hidden="1">{#N/A,#N/A,FALSE,"초도품";#N/A,#N/A,FALSE,"초도품 (2)";#N/A,#N/A,FALSE,"초도품 (3)";#N/A,#N/A,FALSE,"초도품 (4)";#N/A,#N/A,FALSE,"초도품 (5)";#N/A,#N/A,FALSE,"초도품 (6)"}</definedName>
    <definedName name="ASASASFASF" hidden="1">{#N/A,#N/A,FALSE,"단축1";#N/A,#N/A,FALSE,"단축2";#N/A,#N/A,FALSE,"단축3";#N/A,#N/A,FALSE,"장축";#N/A,#N/A,FALSE,"4WD"}</definedName>
    <definedName name="ASASASSA" hidden="1">{#N/A,#N/A,FALSE,"단축1";#N/A,#N/A,FALSE,"단축2";#N/A,#N/A,FALSE,"단축3";#N/A,#N/A,FALSE,"장축";#N/A,#N/A,FALSE,"4WD"}</definedName>
    <definedName name="asasasws" hidden="1">{#N/A,#N/A,FALSE,"단축1";#N/A,#N/A,FALSE,"단축2";#N/A,#N/A,FALSE,"단축3";#N/A,#N/A,FALSE,"장축";#N/A,#N/A,FALSE,"4WD"}</definedName>
    <definedName name="asasasws_1" hidden="1">{#N/A,#N/A,FALSE,"단축1";#N/A,#N/A,FALSE,"단축2";#N/A,#N/A,FALSE,"단축3";#N/A,#N/A,FALSE,"장축";#N/A,#N/A,FALSE,"4WD"}</definedName>
    <definedName name="ASASFASFASFASFASFASF" hidden="1">{#N/A,#N/A,FALSE,"단축1";#N/A,#N/A,FALSE,"단축2";#N/A,#N/A,FALSE,"단축3";#N/A,#N/A,FALSE,"장축";#N/A,#N/A,FALSE,"4WD"}</definedName>
    <definedName name="ASASFASFASFASFKLASFKLASF" hidden="1">{#N/A,#N/A,FALSE,"단축1";#N/A,#N/A,FALSE,"단축2";#N/A,#N/A,FALSE,"단축3";#N/A,#N/A,FALSE,"장축";#N/A,#N/A,FALSE,"4WD"}</definedName>
    <definedName name="ASASFFASASASF" hidden="1">{#N/A,#N/A,FALSE,"단축1";#N/A,#N/A,FALSE,"단축2";#N/A,#N/A,FALSE,"단축3";#N/A,#N/A,FALSE,"장축";#N/A,#N/A,FALSE,"4WD"}</definedName>
    <definedName name="asasw" hidden="1">{#N/A,#N/A,FALSE,"단축1";#N/A,#N/A,FALSE,"단축2";#N/A,#N/A,FALSE,"단축3";#N/A,#N/A,FALSE,"장축";#N/A,#N/A,FALSE,"4WD"}</definedName>
    <definedName name="ASCZQ" hidden="1">{#N/A,#N/A,FALSE,"단축1";#N/A,#N/A,FALSE,"단축2";#N/A,#N/A,FALSE,"단축3";#N/A,#N/A,FALSE,"장축";#N/A,#N/A,FALSE,"4WD"}</definedName>
    <definedName name="A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ADA" hidden="1">{#N/A,#N/A,FALSE,"단축1";#N/A,#N/A,FALSE,"단축2";#N/A,#N/A,FALSE,"단축3";#N/A,#N/A,FALSE,"장축";#N/A,#N/A,FALSE,"4WD"}</definedName>
    <definedName name="asdasd" hidden="1">{"qchm_dcf",#N/A,FALSE,"QCHMDCF2";"qchm_terminal",#N/A,FALSE,"QCHMDCF2"}</definedName>
    <definedName name="ASDASDF" hidden="1">{#N/A,#N/A,FALSE,"단축1";#N/A,#N/A,FALSE,"단축2";#N/A,#N/A,FALSE,"단축3";#N/A,#N/A,FALSE,"장축";#N/A,#N/A,FALSE,"4WD"}</definedName>
    <definedName name="asdf" hidden="1">{#N/A,#N/A,FALSE,"정공"}</definedName>
    <definedName name="asdf_1" hidden="1">{#N/A,#N/A,FALSE,"정공"}</definedName>
    <definedName name="asdf_2" hidden="1">{#N/A,#N/A,FALSE,"정공"}</definedName>
    <definedName name="asdf_2_1" hidden="1">{#N/A,#N/A,FALSE,"정공"}</definedName>
    <definedName name="asdf_2_2" hidden="1">{#N/A,#N/A,FALSE,"정공"}</definedName>
    <definedName name="asdf_2_3" hidden="1">{#N/A,#N/A,FALSE,"정공"}</definedName>
    <definedName name="asdf_3" hidden="1">{#N/A,#N/A,FALSE,"정공"}</definedName>
    <definedName name="asdf_3_1" hidden="1">{#N/A,#N/A,FALSE,"정공"}</definedName>
    <definedName name="asdf_3_2" hidden="1">{#N/A,#N/A,FALSE,"정공"}</definedName>
    <definedName name="asdf_3_3" hidden="1">{#N/A,#N/A,FALSE,"정공"}</definedName>
    <definedName name="asdf_4" hidden="1">{#N/A,#N/A,FALSE,"정공"}</definedName>
    <definedName name="asdf_5" hidden="1">{#N/A,#N/A,FALSE,"정공"}</definedName>
    <definedName name="asdfa" hidden="1">{#N/A,#N/A,FALSE,"PART-1234-8-12-9(41)";#N/A,#N/A,FALSE,"PARTS-2(3)";#N/A,#N/A,FALSE,"VAN SYSTEM";#N/A,#N/A,FALSE,"PARTS-10(26)";#N/A,#N/A,FALSE,"PART-5-6-7-11(14)";#N/A,#N/A,FALSE,"PARTS-4(3)";#N/A,#N/A,FALSE,"PCLASS"}</definedName>
    <definedName name="ASDFAD" hidden="1">{#N/A,#N/A,FALSE,"단축1";#N/A,#N/A,FALSE,"단축2";#N/A,#N/A,FALSE,"단축3";#N/A,#N/A,FALSE,"장축";#N/A,#N/A,FALSE,"4WD"}</definedName>
    <definedName name="asdfas" hidden="1">{#N/A,#N/A,FALSE,"단축1";#N/A,#N/A,FALSE,"단축2";#N/A,#N/A,FALSE,"단축3";#N/A,#N/A,FALSE,"장축";#N/A,#N/A,FALSE,"4WD"}</definedName>
    <definedName name="ASDF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DFADF" hidden="1">{"'Sheet1'!$A$211:$M$235"}</definedName>
    <definedName name="asdfasdfaf" hidden="1">#REF!</definedName>
    <definedName name="asdfasdfasdfase" hidden="1">#REF!</definedName>
    <definedName name="ASDFASGAS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fagag" hidden="1">{#N/A,#N/A,FALSE,"단축1";#N/A,#N/A,FALSE,"단축2";#N/A,#N/A,FALSE,"단축3";#N/A,#N/A,FALSE,"장축";#N/A,#N/A,FALSE,"4WD"}</definedName>
    <definedName name="ASDFB" hidden="1">{#N/A,#N/A,FALSE,"단축1";#N/A,#N/A,FALSE,"단축2";#N/A,#N/A,FALSE,"단축3";#N/A,#N/A,FALSE,"장축";#N/A,#N/A,FALSE,"4WD"}</definedName>
    <definedName name="ASDFEE" hidden="1">{#N/A,#N/A,FALSE,"FR 계산내역";#N/A,#N/A,FALSE,"RR 계산내역";#N/A,#N/A,FALSE,"기계경비"}</definedName>
    <definedName name="ASDFF" hidden="1">{#N/A,#N/A,FALSE,"표지";#N/A,#N/A,FALSE,"전제";#N/A,#N/A,FALSE,"손익-자 (2)";#N/A,#N/A,FALSE,"손익-자";#N/A,#N/A,FALSE,"손익-마 (2)";#N/A,#N/A,FALSE,"손익-마";#N/A,#N/A,FALSE,"총손최종"}</definedName>
    <definedName name="ASDFGA" hidden="1">{#N/A,#N/A,FALSE,"단축1";#N/A,#N/A,FALSE,"단축2";#N/A,#N/A,FALSE,"단축3";#N/A,#N/A,FALSE,"장축";#N/A,#N/A,FALSE,"4WD"}</definedName>
    <definedName name="asdfqddf" hidden="1">{#N/A,#N/A,FALSE,"단축1";#N/A,#N/A,FALSE,"단축2";#N/A,#N/A,FALSE,"단축3";#N/A,#N/A,FALSE,"장축";#N/A,#N/A,FALSE,"4WD"}</definedName>
    <definedName name="ASDFSAD" hidden="1">{#N/A,#N/A,FALSE,"초도품";#N/A,#N/A,FALSE,"초도품 (2)";#N/A,#N/A,FALSE,"초도품 (3)";#N/A,#N/A,FALSE,"초도품 (4)";#N/A,#N/A,FALSE,"초도품 (5)";#N/A,#N/A,FALSE,"초도품 (6)"}</definedName>
    <definedName name="ASDGFSDG" hidden="1">{#N/A,#N/A,FALSE,"96 3월물량표";#N/A,#N/A,FALSE,"96 4월물량표";#N/A,#N/A,FALSE,"96 5월물량표"}</definedName>
    <definedName name="ASDGFSDG_1" hidden="1">{#N/A,#N/A,FALSE,"96 3월물량표";#N/A,#N/A,FALSE,"96 4월물량표";#N/A,#N/A,FALSE,"96 5월물량표"}</definedName>
    <definedName name="ASDL" hidden="1">{#N/A,#N/A,FALSE,"단축1";#N/A,#N/A,FALSE,"단축2";#N/A,#N/A,FALSE,"단축3";#N/A,#N/A,FALSE,"장축";#N/A,#N/A,FALSE,"4WD"}</definedName>
    <definedName name="ASDSAD" hidden="1">{#N/A,#N/A,FALSE,"단축1";#N/A,#N/A,FALSE,"단축2";#N/A,#N/A,FALSE,"단축3";#N/A,#N/A,FALSE,"장축";#N/A,#N/A,FALSE,"4WD"}</definedName>
    <definedName name="ASDSSS" hidden="1">{#N/A,#N/A,FALSE,"단축1";#N/A,#N/A,FALSE,"단축2";#N/A,#N/A,FALSE,"단축3";#N/A,#N/A,FALSE,"장축";#N/A,#N/A,FALSE,"4WD"}</definedName>
    <definedName name="ASE" hidden="1">{#N/A,#N/A,FALSE,"초도품";#N/A,#N/A,FALSE,"초도품 (2)";#N/A,#N/A,FALSE,"초도품 (3)";#N/A,#N/A,FALSE,"초도품 (4)";#N/A,#N/A,FALSE,"초도품 (5)";#N/A,#N/A,FALSE,"초도품 (6)"}</definedName>
    <definedName name="asedasdfa" hidden="1">{#N/A,#N/A,FALSE,"단축1";#N/A,#N/A,FALSE,"단축2";#N/A,#N/A,FALSE,"단축3";#N/A,#N/A,FALSE,"장축";#N/A,#N/A,FALSE,"4WD"}</definedName>
    <definedName name="asefq" hidden="1">{#N/A,#N/A,FALSE,"96 3월물량표";#N/A,#N/A,FALSE,"96 4월물량표";#N/A,#N/A,FALSE,"96 5월물량표"}</definedName>
    <definedName name="asefq_1" hidden="1">{#N/A,#N/A,FALSE,"96 3월물량표";#N/A,#N/A,FALSE,"96 4월물량표";#N/A,#N/A,FALSE,"96 5월물량표"}</definedName>
    <definedName name="ASERF" hidden="1">{#N/A,#N/A,FALSE,"단축1";#N/A,#N/A,FALSE,"단축2";#N/A,#N/A,FALSE,"단축3";#N/A,#N/A,FALSE,"장축";#N/A,#N/A,FALSE,"4WD"}</definedName>
    <definedName name="asewa" hidden="1">{#N/A,#N/A,FALSE,"KMC최종회의(7월) 자료"}</definedName>
    <definedName name="asewa_1" hidden="1">{#N/A,#N/A,FALSE,"KMC최종회의(7월) 자료"}</definedName>
    <definedName name="ASFASASFASASFASFASFASF" hidden="1">{#N/A,#N/A,FALSE,"단축1";#N/A,#N/A,FALSE,"단축2";#N/A,#N/A,FALSE,"단축3";#N/A,#N/A,FALSE,"장축";#N/A,#N/A,FALSE,"4WD"}</definedName>
    <definedName name="ASFASASFASFASFASF" hidden="1">{#N/A,#N/A,FALSE,"단축1";#N/A,#N/A,FALSE,"단축2";#N/A,#N/A,FALSE,"단축3";#N/A,#N/A,FALSE,"장축";#N/A,#N/A,FALSE,"4WD"}</definedName>
    <definedName name="ASfASDSADF" hidden="1">{#N/A,#N/A,TRUE,"Y생산";#N/A,#N/A,TRUE,"Y판매";#N/A,#N/A,TRUE,"Y총물량";#N/A,#N/A,TRUE,"Y능력";#N/A,#N/A,TRUE,"YKD"}</definedName>
    <definedName name="ASFASFASFASFAS" hidden="1">{#N/A,#N/A,FALSE,"단축1";#N/A,#N/A,FALSE,"단축2";#N/A,#N/A,FALSE,"단축3";#N/A,#N/A,FALSE,"장축";#N/A,#N/A,FALSE,"4WD"}</definedName>
    <definedName name="ASFASFFASFASASF" hidden="1">{#N/A,#N/A,FALSE,"단축1";#N/A,#N/A,FALSE,"단축2";#N/A,#N/A,FALSE,"단축3";#N/A,#N/A,FALSE,"장축";#N/A,#N/A,FALSE,"4WD"}</definedName>
    <definedName name="ASFD" hidden="1">{#N/A,#N/A,FALSE,"인원";#N/A,#N/A,FALSE,"비용2";#N/A,#N/A,FALSE,"비용1";#N/A,#N/A,FALSE,"비용";#N/A,#N/A,FALSE,"보증2";#N/A,#N/A,FALSE,"보증1";#N/A,#N/A,FALSE,"보증";#N/A,#N/A,FALSE,"손익1";#N/A,#N/A,FALSE,"손익";#N/A,#N/A,FALSE,"부서별매출";#N/A,#N/A,FALSE,"매출"}</definedName>
    <definedName name="asfdas" hidden="1">{#N/A,#N/A,FALSE,"단축1";#N/A,#N/A,FALSE,"단축2";#N/A,#N/A,FALSE,"단축3";#N/A,#N/A,FALSE,"장축";#N/A,#N/A,FALSE,"4WD"}</definedName>
    <definedName name="asfdasfdasdf"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ASFGBVB" hidden="1">{#N/A,#N/A,FALSE,"단축1";#N/A,#N/A,FALSE,"단축2";#N/A,#N/A,FALSE,"단축3";#N/A,#N/A,FALSE,"장축";#N/A,#N/A,FALSE,"4WD"}</definedName>
    <definedName name="ASGA" hidden="1">{#N/A,#N/A,FALSE,"단축1";#N/A,#N/A,FALSE,"단축2";#N/A,#N/A,FALSE,"단축3";#N/A,#N/A,FALSE,"장축";#N/A,#N/A,FALSE,"4WD"}</definedName>
    <definedName name="ASHDFAJS" hidden="1">{#N/A,#N/A,FALSE,"단축1";#N/A,#N/A,FALSE,"단축2";#N/A,#N/A,FALSE,"단축3";#N/A,#N/A,FALSE,"장축";#N/A,#N/A,FALSE,"4WD"}</definedName>
    <definedName name="ASHG" hidden="1">{0,0,0,0}</definedName>
    <definedName name="ASS" hidden="1">{#N/A,#N/A,FALSE,"단축1";#N/A,#N/A,FALSE,"단축2";#N/A,#N/A,FALSE,"단축3";#N/A,#N/A,FALSE,"장축";#N/A,#N/A,FALSE,"4WD"}</definedName>
    <definedName name="ASS_1" hidden="1">{#N/A,#N/A,FALSE,"단축1";#N/A,#N/A,FALSE,"단축2";#N/A,#N/A,FALSE,"단축3";#N/A,#N/A,FALSE,"장축";#N/A,#N/A,FALSE,"4WD"}</definedName>
    <definedName name="ASS_2" hidden="1">{#N/A,#N/A,FALSE,"단축1";#N/A,#N/A,FALSE,"단축2";#N/A,#N/A,FALSE,"단축3";#N/A,#N/A,FALSE,"장축";#N/A,#N/A,FALSE,"4WD"}</definedName>
    <definedName name="ASSA" hidden="1">{#N/A,#N/A,FALSE,"단축1";#N/A,#N/A,FALSE,"단축2";#N/A,#N/A,FALSE,"단축3";#N/A,#N/A,FALSE,"장축";#N/A,#N/A,FALSE,"4WD"}</definedName>
    <definedName name="ASSAASASAS" hidden="1">{#N/A,#N/A,FALSE,"단축1";#N/A,#N/A,FALSE,"단축2";#N/A,#N/A,FALSE,"단축3";#N/A,#N/A,FALSE,"장축";#N/A,#N/A,FALSE,"4WD"}</definedName>
    <definedName name="assa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assd" hidden="1">{#N/A,#N/A,TRUE,"매출진척-1";#N/A,#N/A,TRUE,"매출진척-2";#N/A,#N/A,TRUE,"제품실적";#N/A,#N/A,TRUE,"RAC";#N/A,#N/A,TRUE,"PAC ";#N/A,#N/A,TRUE,"재고현황";#N/A,#N/A,TRUE,"공지사항"}</definedName>
    <definedName name="assddassdadas" hidden="1">{"'7-2지역별'!$A$1:$R$44"}</definedName>
    <definedName name="ASSDDD" hidden="1">{#N/A,#N/A,FALSE,"단축1";#N/A,#N/A,FALSE,"단축2";#N/A,#N/A,FALSE,"단축3";#N/A,#N/A,FALSE,"장축";#N/A,#N/A,FALSE,"4WD"}</definedName>
    <definedName name="ASSDDD_1" hidden="1">{#N/A,#N/A,FALSE,"단축1";#N/A,#N/A,FALSE,"단축2";#N/A,#N/A,FALSE,"단축3";#N/A,#N/A,FALSE,"장축";#N/A,#N/A,FALSE,"4WD"}</definedName>
    <definedName name="ASSDDD_2" hidden="1">{#N/A,#N/A,FALSE,"단축1";#N/A,#N/A,FALSE,"단축2";#N/A,#N/A,FALSE,"단축3";#N/A,#N/A,FALSE,"장축";#N/A,#N/A,FALSE,"4WD"}</definedName>
    <definedName name="assdewdwe" hidden="1">{#N/A,#N/A,FALSE,"단축1";#N/A,#N/A,FALSE,"단축2";#N/A,#N/A,FALSE,"단축3";#N/A,#N/A,FALSE,"장축";#N/A,#N/A,FALSE,"4WD"}</definedName>
    <definedName name="assdewdwe_1" hidden="1">{#N/A,#N/A,FALSE,"단축1";#N/A,#N/A,FALSE,"단축2";#N/A,#N/A,FALSE,"단축3";#N/A,#N/A,FALSE,"장축";#N/A,#N/A,FALSE,"4WD"}</definedName>
    <definedName name="assdf" hidden="1">{"'7-2지역별'!$A$1:$R$44"}</definedName>
    <definedName name="ASSDFF" hidden="1">{#N/A,#N/A,FALSE,"단축1";#N/A,#N/A,FALSE,"단축2";#N/A,#N/A,FALSE,"단축3";#N/A,#N/A,FALSE,"장축";#N/A,#N/A,FALSE,"4WD"}</definedName>
    <definedName name="ASSJHHASKDKHASFDHFSLFD" hidden="1">{#N/A,#N/A,FALSE,"단축1";#N/A,#N/A,FALSE,"단축2";#N/A,#N/A,FALSE,"단축3";#N/A,#N/A,FALSE,"장축";#N/A,#N/A,FALSE,"4WD"}</definedName>
    <definedName name="ASS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SS" hidden="1">{#N/A,#N/A,FALSE,"단축1";#N/A,#N/A,FALSE,"단축2";#N/A,#N/A,FALSE,"단축3";#N/A,#N/A,FALSE,"장축";#N/A,#N/A,FALSE,"4WD"}</definedName>
    <definedName name="ASSSS_1" hidden="1">{#N/A,#N/A,FALSE,"단축1";#N/A,#N/A,FALSE,"단축2";#N/A,#N/A,FALSE,"단축3";#N/A,#N/A,FALSE,"장축";#N/A,#N/A,FALSE,"4WD"}</definedName>
    <definedName name="ASSSS_2" hidden="1">{#N/A,#N/A,FALSE,"단축1";#N/A,#N/A,FALSE,"단축2";#N/A,#N/A,FALSE,"단축3";#N/A,#N/A,FALSE,"장축";#N/A,#N/A,FALSE,"4WD"}</definedName>
    <definedName name="ASSY" hidden="1">{#N/A,#N/A,FALSE,"단축1";#N/A,#N/A,FALSE,"단축2";#N/A,#N/A,FALSE,"단축3";#N/A,#N/A,FALSE,"장축";#N/A,#N/A,FALSE,"4WD"}</definedName>
    <definedName name="ASSY_1" hidden="1">{#N/A,#N/A,FALSE,"단축1";#N/A,#N/A,FALSE,"단축2";#N/A,#N/A,FALSE,"단축3";#N/A,#N/A,FALSE,"장축";#N/A,#N/A,FALSE,"4WD"}</definedName>
    <definedName name="ASX" hidden="1">{#N/A,#N/A,FALSE,"단축1";#N/A,#N/A,FALSE,"단축2";#N/A,#N/A,FALSE,"단축3";#N/A,#N/A,FALSE,"장축";#N/A,#N/A,FALSE,"4WD"}</definedName>
    <definedName name="ASZ" hidden="1">{#N/A,#N/A,FALSE,"단축1";#N/A,#N/A,FALSE,"단축2";#N/A,#N/A,FALSE,"단축3";#N/A,#N/A,FALSE,"장축";#N/A,#N/A,FALSE,"4WD"}</definedName>
    <definedName name="ASZSA" hidden="1">{#N/A,#N/A,FALSE,"단축1";#N/A,#N/A,FALSE,"단축2";#N/A,#N/A,FALSE,"단축3";#N/A,#N/A,FALSE,"장축";#N/A,#N/A,FALSE,"4WD"}</definedName>
    <definedName name="AT" hidden="1">{#N/A,#N/A,FALSE,"인원";#N/A,#N/A,FALSE,"비용2";#N/A,#N/A,FALSE,"비용1";#N/A,#N/A,FALSE,"비용";#N/A,#N/A,FALSE,"보증2";#N/A,#N/A,FALSE,"보증1";#N/A,#N/A,FALSE,"보증";#N/A,#N/A,FALSE,"손익1";#N/A,#N/A,FALSE,"손익";#N/A,#N/A,FALSE,"부서별매출";#N/A,#N/A,FALSE,"매출"}</definedName>
    <definedName name="ATART" hidden="1">{#N/A,#N/A,FALSE,"단축1";#N/A,#N/A,FALSE,"단축2";#N/A,#N/A,FALSE,"단축3";#N/A,#N/A,FALSE,"장축";#N/A,#N/A,FALSE,"4WD"}</definedName>
    <definedName name="AUDIT1" hidden="1">{#N/A,#N/A,FALSE,"단축1";#N/A,#N/A,FALSE,"단축2";#N/A,#N/A,FALSE,"단축3";#N/A,#N/A,FALSE,"장축";#N/A,#N/A,FALSE,"4WD"}</definedName>
    <definedName name="AV" hidden="1">{#N/A,#N/A,FALSE,"KMC최종회의(7월) 자료"}</definedName>
    <definedName name="AV_1" hidden="1">{#N/A,#N/A,FALSE,"KMC최종회의(7월) 자료"}</definedName>
    <definedName name="AV_2" hidden="1">{#N/A,#N/A,FALSE,"KMC최종회의(7월) 자료"}</definedName>
    <definedName name="avafvevevev" hidden="1">{#N/A,#N/A,FALSE,"을지 (4)";#N/A,#N/A,FALSE,"을지 (5)";#N/A,#N/A,FALSE,"을지 (6)"}</definedName>
    <definedName name="AVTRWEAVTSRGFD" hidden="1">{#N/A,#N/A,FALSE,"단축1";#N/A,#N/A,FALSE,"단축2";#N/A,#N/A,FALSE,"단축3";#N/A,#N/A,FALSE,"장축";#N/A,#N/A,FALSE,"4WD"}</definedName>
    <definedName name="AVV" hidden="1">{#N/A,#N/A,FALSE,"96자동차사 계획";#N/A,#N/A,FALSE,"96자동차사 계획"}</definedName>
    <definedName name="AVWTRFUHF" hidden="1">{#N/A,#N/A,FALSE,"단축1";#N/A,#N/A,FALSE,"단축2";#N/A,#N/A,FALSE,"단축3";#N/A,#N/A,FALSE,"장축";#N/A,#N/A,FALSE,"4WD"}</definedName>
    <definedName name="AVYDAVYHDTH" hidden="1">{#N/A,#N/A,FALSE,"단축1";#N/A,#N/A,FALSE,"단축2";#N/A,#N/A,FALSE,"단축3";#N/A,#N/A,FALSE,"장축";#N/A,#N/A,FALSE,"4WD"}</definedName>
    <definedName name="AWE" hidden="1">{#N/A,#N/A,FALSE,"초도품";#N/A,#N/A,FALSE,"초도품 (2)";#N/A,#N/A,FALSE,"초도품 (3)";#N/A,#N/A,FALSE,"초도품 (4)";#N/A,#N/A,FALSE,"초도품 (5)";#N/A,#N/A,FALSE,"초도품 (6)"}</definedName>
    <definedName name="awefgdvb" hidden="1">{#N/A,#N/A,TRUE,"Y생산";#N/A,#N/A,TRUE,"Y판매";#N/A,#N/A,TRUE,"Y총물량";#N/A,#N/A,TRUE,"Y능력";#N/A,#N/A,TRUE,"YKD"}</definedName>
    <definedName name="awefgdvb_1" hidden="1">{#N/A,#N/A,TRUE,"Y생산";#N/A,#N/A,TRUE,"Y판매";#N/A,#N/A,TRUE,"Y총물량";#N/A,#N/A,TRUE,"Y능력";#N/A,#N/A,TRUE,"YKD"}</definedName>
    <definedName name="AWEGDFBV" hidden="1">{#N/A,#N/A,TRUE,"Y생산";#N/A,#N/A,TRUE,"Y판매";#N/A,#N/A,TRUE,"Y총물량";#N/A,#N/A,TRUE,"Y능력";#N/A,#N/A,TRUE,"YKD"}</definedName>
    <definedName name="AWEGDFBV_1" hidden="1">{#N/A,#N/A,TRUE,"Y생산";#N/A,#N/A,TRUE,"Y판매";#N/A,#N/A,TRUE,"Y총물량";#N/A,#N/A,TRUE,"Y능력";#N/A,#N/A,TRUE,"YKD"}</definedName>
    <definedName name="AWEGERHBDFB" hidden="1">{#N/A,#N/A,TRUE,"Y생산";#N/A,#N/A,TRUE,"Y판매";#N/A,#N/A,TRUE,"Y총물량";#N/A,#N/A,TRUE,"Y능력";#N/A,#N/A,TRUE,"YKD"}</definedName>
    <definedName name="AWEGERHBDFB_1" hidden="1">{#N/A,#N/A,TRUE,"Y생산";#N/A,#N/A,TRUE,"Y판매";#N/A,#N/A,TRUE,"Y총물량";#N/A,#N/A,TRUE,"Y능력";#N/A,#N/A,TRUE,"YKD"}</definedName>
    <definedName name="AWERGERGH" hidden="1">{#N/A,#N/A,FALSE,"96 3월물량표";#N/A,#N/A,FALSE,"96 4월물량표";#N/A,#N/A,FALSE,"96 5월물량표"}</definedName>
    <definedName name="AWERGERGH_1" hidden="1">{#N/A,#N/A,FALSE,"96 3월물량표";#N/A,#N/A,FALSE,"96 4월물량표";#N/A,#N/A,FALSE,"96 5월물량표"}</definedName>
    <definedName name="AWETDFBV" hidden="1">{#N/A,#N/A,TRUE,"Y생산";#N/A,#N/A,TRUE,"Y판매";#N/A,#N/A,TRUE,"Y총물량";#N/A,#N/A,TRUE,"Y능력";#N/A,#N/A,TRUE,"YKD"}</definedName>
    <definedName name="AWETDFBV_1" hidden="1">{#N/A,#N/A,TRUE,"Y생산";#N/A,#N/A,TRUE,"Y판매";#N/A,#N/A,TRUE,"Y총물량";#N/A,#N/A,TRUE,"Y능력";#N/A,#N/A,TRUE,"YKD"}</definedName>
    <definedName name="AX" hidden="1">{#N/A,#N/A,FALSE,"단축1";#N/A,#N/A,FALSE,"단축2";#N/A,#N/A,FALSE,"단축3";#N/A,#N/A,FALSE,"장축";#N/A,#N/A,FALSE,"4WD"}</definedName>
    <definedName name="axcdf" hidden="1">{#N/A,#N/A,FALSE,"정공"}</definedName>
    <definedName name="axcdf_1" hidden="1">{#N/A,#N/A,FALSE,"정공"}</definedName>
    <definedName name="axcdf_2" hidden="1">{#N/A,#N/A,FALSE,"정공"}</definedName>
    <definedName name="axcdf_2_1" hidden="1">{#N/A,#N/A,FALSE,"정공"}</definedName>
    <definedName name="axcdf_2_2" hidden="1">{#N/A,#N/A,FALSE,"정공"}</definedName>
    <definedName name="axcdf_2_3" hidden="1">{#N/A,#N/A,FALSE,"정공"}</definedName>
    <definedName name="axcdf_3" hidden="1">{#N/A,#N/A,FALSE,"정공"}</definedName>
    <definedName name="axcdf_3_1" hidden="1">{#N/A,#N/A,FALSE,"정공"}</definedName>
    <definedName name="axcdf_3_2" hidden="1">{#N/A,#N/A,FALSE,"정공"}</definedName>
    <definedName name="axcdf_3_3" hidden="1">{#N/A,#N/A,FALSE,"정공"}</definedName>
    <definedName name="axcdf_4" hidden="1">{#N/A,#N/A,FALSE,"정공"}</definedName>
    <definedName name="axcdf_5" hidden="1">{#N/A,#N/A,FALSE,"정공"}</definedName>
    <definedName name="AXD" hidden="1">{#N/A,#N/A,FALSE,"초도품";#N/A,#N/A,FALSE,"초도품 (2)";#N/A,#N/A,FALSE,"초도품 (3)";#N/A,#N/A,FALSE,"초도품 (4)";#N/A,#N/A,FALSE,"초도품 (5)";#N/A,#N/A,FALSE,"초도품 (6)"}</definedName>
    <definedName name="AXSA" hidden="1">{#N/A,#N/A,FALSE,"단축1";#N/A,#N/A,FALSE,"단축2";#N/A,#N/A,FALSE,"단축3";#N/A,#N/A,FALSE,"장축";#N/A,#N/A,FALSE,"4WD"}</definedName>
    <definedName name="axsjsj" hidden="1">{#N/A,#N/A,FALSE,"신규dep";#N/A,#N/A,FALSE,"신규dep-금형상각후";#N/A,#N/A,FALSE,"신규dep-연구비상각후";#N/A,#N/A,FALSE,"신규dep-기계,공구상각후"}</definedName>
    <definedName name="axxs" hidden="1">{#N/A,#N/A,FALSE,"KMC최종회의(7월) 자료"}</definedName>
    <definedName name="axxs_1" hidden="1">{#N/A,#N/A,FALSE,"KMC최종회의(7월) 자료"}</definedName>
    <definedName name="AYP" hidden="1">{#N/A,#N/A,FALSE,"96 3월물량표";#N/A,#N/A,FALSE,"96 4월물량표";#N/A,#N/A,FALSE,"96 5월물량표"}</definedName>
    <definedName name="azazaz" hidden="1">{#N/A,#N/A,TRUE,"Y생산";#N/A,#N/A,TRUE,"Y판매";#N/A,#N/A,TRUE,"Y총물량";#N/A,#N/A,TRUE,"Y능력";#N/A,#N/A,TRUE,"YKD"}</definedName>
    <definedName name="AZGVZ" hidden="1">{#N/A,#N/A,FALSE,"을지 (4)";#N/A,#N/A,FALSE,"을지 (5)";#N/A,#N/A,FALSE,"을지 (6)"}</definedName>
    <definedName name="AZZXX" hidden="1">{"'7-2지역별'!$A$1:$R$44"}</definedName>
    <definedName name="B00K1" hidden="1">{#N/A,#N/A,FALSE,"표지";#N/A,#N/A,FALSE,"을지1";#N/A,#N/A,FALSE,"일정1";#N/A,#N/A,FALSE,"일정2";#N/A,#N/A,FALSE,"11T-C";#N/A,#N/A,FALSE,"15T-D";#N/A,#N/A,FALSE,"판매현황";#N/A,#N/A,FALSE,"업무 FLOW"}</definedName>
    <definedName name="BAEQ" hidden="1">{#N/A,#N/A,FALSE,"단축1";#N/A,#N/A,FALSE,"단축2";#N/A,#N/A,FALSE,"단축3";#N/A,#N/A,FALSE,"장축";#N/A,#N/A,FALSE,"4WD"}</definedName>
    <definedName name="BAG" hidden="1">{#N/A,#N/A,FALSE,"단축1";#N/A,#N/A,FALSE,"단축2";#N/A,#N/A,FALSE,"단축3";#N/A,#N/A,FALSE,"장축";#N/A,#N/A,FALSE,"4WD"}</definedName>
    <definedName name="BAQQ" hidden="1">{0,0,0,0}</definedName>
    <definedName name="BBBB" hidden="1">{#N/A,#N/A,FALSE,"KMC최종회의(7월) 자료"}</definedName>
    <definedName name="BBBB_1" hidden="1">{#N/A,#N/A,FALSE,"KMC최종회의(7월) 자료"}</definedName>
    <definedName name="BBBB_2" hidden="1">{#N/A,#N/A,FALSE,"KMC최종회의(7월) 자료"}</definedName>
    <definedName name="bbbbb" hidden="1">{"RES-2000",#N/A,FALSE,"BL2000";"A1-2000",#N/A,FALSE,"BL2000";"A2-2000",#N/A,FALSE,"BL2000"}</definedName>
    <definedName name="bbbbbb" hidden="1">{"RES-2002",#N/A,FALSE,"BL2000";"A1-2002",#N/A,FALSE,"BL2000";"A2-2002",#N/A,FALSE,"BL2000"}</definedName>
    <definedName name="bbbbbbb" hidden="1">{"B10-2000",#N/A,FALSE,"BL2000"}</definedName>
    <definedName name="bbbbbbbbbb" hidden="1">{#N/A,#N/A,FALSE,"신규dep";#N/A,#N/A,FALSE,"신규dep-금형상각후";#N/A,#N/A,FALSE,"신규dep-연구비상각후";#N/A,#N/A,FALSE,"신규dep-기계,공구상각후"}</definedName>
    <definedName name="bbbbbbbbbbbb" hidden="1">{"Ana1",#N/A,FALSE,"AnalisisA";"Ana2",#N/A,FALSE,"AnalisisA";"Ana3",#N/A,FALSE,"AnalisisA"}</definedName>
    <definedName name="bbbbbbbbbbbbb" hidden="1">{"COMNUS2000",#N/A,FALSE,"BL2000"}</definedName>
    <definedName name="bbbbbbbbbbbbbbb" hidden="1">{"CTO ACUMULADO",#N/A,FALSE,"BASE ANEXOS";"VAR ACUMULADAS",#N/A,FALSE,"BASE ANEXOS"}</definedName>
    <definedName name="bbbbbbbbbbbbbbbbb" hidden="1">{"AnaM1",#N/A,FALSE,"AnalisisM";"AnaM2",#N/A,FALSE,"AnalisisM";"AnaM3",#N/A,FALSE,"AnalisisM"}</definedName>
    <definedName name="bbbbbbbbbbbbbbbbbbbbbbbb" hidden="1">{"COMJPN2000",#N/A,FALSE,"BL2000"}</definedName>
    <definedName name="bbbbbgf" hidden="1">{#N/A,#N/A,FALSE,"KMC최종회의(7월) 자료"}</definedName>
    <definedName name="bbbbbgf_1" hidden="1">{#N/A,#N/A,FALSE,"KMC최종회의(7월) 자료"}</definedName>
    <definedName name="BBBF" hidden="1">{#N/A,#N/A,FALSE,"단축1";#N/A,#N/A,FALSE,"단축2";#N/A,#N/A,FALSE,"단축3";#N/A,#N/A,FALSE,"장축";#N/A,#N/A,FALSE,"4WD"}</definedName>
    <definedName name="bbdsssss" hidden="1">{#N/A,#N/A,FALSE,"KMC최종회의(7월) 자료"}</definedName>
    <definedName name="bbdsssss_1" hidden="1">{#N/A,#N/A,FALSE,"KMC최종회의(7월) 자료"}</definedName>
    <definedName name="bbf" hidden="1">{#N/A,#N/A,TRUE,"Y생산";#N/A,#N/A,TRUE,"Y판매";#N/A,#N/A,TRUE,"Y총물량";#N/A,#N/A,TRUE,"Y능력";#N/A,#N/A,TRUE,"YKD"}</definedName>
    <definedName name="bbf_1" hidden="1">{#N/A,#N/A,TRUE,"Y생산";#N/A,#N/A,TRUE,"Y판매";#N/A,#N/A,TRUE,"Y총물량";#N/A,#N/A,TRUE,"Y능력";#N/A,#N/A,TRUE,"YKD"}</definedName>
    <definedName name="BBNNMMM" hidden="1">{#N/A,#N/A,FALSE,"단축1";#N/A,#N/A,FALSE,"단축2";#N/A,#N/A,FALSE,"단축3";#N/A,#N/A,FALSE,"장축";#N/A,#N/A,FALSE,"4WD"}</definedName>
    <definedName name="bcm가공_01" hidden="1">{#N/A,#N/A,FALSE,"단축1";#N/A,#N/A,FALSE,"단축2";#N/A,#N/A,FALSE,"단축3";#N/A,#N/A,FALSE,"장축";#N/A,#N/A,FALSE,"4WD"}</definedName>
    <definedName name="BDFDF" hidden="1">{#N/A,#N/A,FALSE,"을지 (4)";#N/A,#N/A,FALSE,"을지 (5)";#N/A,#N/A,FALSE,"을지 (6)"}</definedName>
    <definedName name="BEG" hidden="1">{0,0,0,0}</definedName>
    <definedName name="BEP비교" hidden="1">{#N/A,#N/A,FALSE,"정공"}</definedName>
    <definedName name="BEP비교_1" hidden="1">{#N/A,#N/A,FALSE,"정공"}</definedName>
    <definedName name="BEP비교_2" hidden="1">{#N/A,#N/A,FALSE,"정공"}</definedName>
    <definedName name="betbgxsv" hidden="1">{#N/A,#N/A,FALSE,"단축1";#N/A,#N/A,FALSE,"단축2";#N/A,#N/A,FALSE,"단축3";#N/A,#N/A,FALSE,"장축";#N/A,#N/A,FALSE,"4WD"}</definedName>
    <definedName name="B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FRYHRFYJ" hidden="1">{#N/A,#N/A,FALSE,"단축1";#N/A,#N/A,FALSE,"단축2";#N/A,#N/A,FALSE,"단축3";#N/A,#N/A,FALSE,"장축";#N/A,#N/A,FALSE,"4WD"}</definedName>
    <definedName name="bgbgvffvfff" hidden="1">{"'7-2지역별'!$A$1:$R$44"}</definedName>
    <definedName name="BGFGF" hidden="1">{#N/A,#N/A,FALSE,"단축1";#N/A,#N/A,FALSE,"단축2";#N/A,#N/A,FALSE,"단축3";#N/A,#N/A,FALSE,"장축";#N/A,#N/A,FALSE,"4WD"}</definedName>
    <definedName name="BGFNFGN" hidden="1">{"'7-2지역별'!$A$1:$R$44"}</definedName>
    <definedName name="bggbgeazzgbfdbgfh" hidden="1">{"'7-2지역별'!$A$1:$R$44"}</definedName>
    <definedName name="bggd" hidden="1">{"'7-2지역별'!$A$1:$R$44"}</definedName>
    <definedName name="bgggf" hidden="1">{"'7-2지역별'!$A$1:$R$44"}</definedName>
    <definedName name="bggyhgy" hidden="1">{#N/A,#N/A,FALSE,"단축1";#N/A,#N/A,FALSE,"단축2";#N/A,#N/A,FALSE,"단축3";#N/A,#N/A,FALSE,"장축";#N/A,#N/A,FALSE,"4WD"}</definedName>
    <definedName name="BGJK" hidden="1">{#N/A,#N/A,FALSE,"단축1";#N/A,#N/A,FALSE,"단축2";#N/A,#N/A,FALSE,"단축3";#N/A,#N/A,FALSE,"장축";#N/A,#N/A,FALSE,"4WD"}</definedName>
    <definedName name="BGJK_1" hidden="1">{#N/A,#N/A,FALSE,"단축1";#N/A,#N/A,FALSE,"단축2";#N/A,#N/A,FALSE,"단축3";#N/A,#N/A,FALSE,"장축";#N/A,#N/A,FALSE,"4WD"}</definedName>
    <definedName name="BGJK_2" hidden="1">{#N/A,#N/A,FALSE,"단축1";#N/A,#N/A,FALSE,"단축2";#N/A,#N/A,FALSE,"단축3";#N/A,#N/A,FALSE,"장축";#N/A,#N/A,FALSE,"4WD"}</definedName>
    <definedName name="bgt" hidden="1">{"'7-2지역별'!$A$1:$R$44"}</definedName>
    <definedName name="BGVFUISHIOGSIOP" hidden="1">{#N/A,#N/A,FALSE,"단축1";#N/A,#N/A,FALSE,"단축2";#N/A,#N/A,FALSE,"단축3";#N/A,#N/A,FALSE,"장축";#N/A,#N/A,FALSE,"4WD"}</definedName>
    <definedName name="BHBHBBHHBBHBHBHBHB" hidden="1">{#N/A,#N/A,TRUE,"Y생산";#N/A,#N/A,TRUE,"Y판매";#N/A,#N/A,TRUE,"Y총물량";#N/A,#N/A,TRUE,"Y능력";#N/A,#N/A,TRUE,"YKD"}</definedName>
    <definedName name="bhh" hidden="1">{#N/A,#N/A,FALSE,"인원";#N/A,#N/A,FALSE,"비용2";#N/A,#N/A,FALSE,"비용1";#N/A,#N/A,FALSE,"비용";#N/A,#N/A,FALSE,"보증2";#N/A,#N/A,FALSE,"보증1";#N/A,#N/A,FALSE,"보증";#N/A,#N/A,FALSE,"손익1";#N/A,#N/A,FALSE,"손익";#N/A,#N/A,FALSE,"부서별매출";#N/A,#N/A,FALSE,"매출"}</definedName>
    <definedName name="bhpark" hidden="1">{#N/A,#N/A,TRUE,"Y생산";#N/A,#N/A,TRUE,"Y판매";#N/A,#N/A,TRUE,"Y총물량";#N/A,#N/A,TRUE,"Y능력";#N/A,#N/A,TRUE,"YKD"}</definedName>
    <definedName name="bjj" hidden="1">{#N/A,#N/A,FALSE,"단축1";#N/A,#N/A,FALSE,"단축2";#N/A,#N/A,FALSE,"단축3";#N/A,#N/A,FALSE,"장축";#N/A,#N/A,FALSE,"4WD"}</definedName>
    <definedName name="BKT" hidden="1">{#N/A,#N/A,FALSE,"단축1";#N/A,#N/A,FALSE,"단축2";#N/A,#N/A,FALSE,"단축3";#N/A,#N/A,FALSE,"장축";#N/A,#N/A,FALSE,"4WD"}</definedName>
    <definedName name="BL" hidden="1">{#N/A,#N/A,FALSE,"단축1";#N/A,#N/A,FALSE,"단축2";#N/A,#N/A,FALSE,"단축3";#N/A,#N/A,FALSE,"장축";#N/A,#N/A,FALSE,"4WD"}</definedName>
    <definedName name="BL_1" hidden="1">{#N/A,#N/A,FALSE,"신규dep";#N/A,#N/A,FALSE,"신규dep-금형상각후";#N/A,#N/A,FALSE,"신규dep-연구비상각후";#N/A,#N/A,FALSE,"신규dep-기계,공구상각후"}</definedName>
    <definedName name="BLBL" hidden="1">{#N/A,#N/A,FALSE,"단축1";#N/A,#N/A,FALSE,"단축2";#N/A,#N/A,FALSE,"단축3";#N/A,#N/A,FALSE,"장축";#N/A,#N/A,FALSE,"4WD"}</definedName>
    <definedName name="BLK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OCK" hidden="1">{#N/A,#N/A,FALSE,"단축1";#N/A,#N/A,FALSE,"단축2";#N/A,#N/A,FALSE,"단축3";#N/A,#N/A,FALSE,"장축";#N/A,#N/A,FALSE,"4WD"}</definedName>
    <definedName name="bltnwjd2" hidden="1">{#N/A,#N/A,FALSE,"신규dep";#N/A,#N/A,FALSE,"신규dep-금형상각후";#N/A,#N/A,FALSE,"신규dep-연구비상각후";#N/A,#N/A,FALSE,"신규dep-기계,공구상각후"}</definedName>
    <definedName name="BL레이아웃293" hidden="1">{#N/A,#N/A,FALSE,"단축1";#N/A,#N/A,FALSE,"단축2";#N/A,#N/A,FALSE,"단축3";#N/A,#N/A,FALSE,"장축";#N/A,#N/A,FALSE,"4WD"}</definedName>
    <definedName name="BL레이아웃293_1" hidden="1">{#N/A,#N/A,FALSE,"단축1";#N/A,#N/A,FALSE,"단축2";#N/A,#N/A,FALSE,"단축3";#N/A,#N/A,FALSE,"장축";#N/A,#N/A,FALSE,"4WD"}</definedName>
    <definedName name="BL수정4.5" hidden="1">{#N/A,#N/A,FALSE,"신규dep";#N/A,#N/A,FALSE,"신규dep-금형상각후";#N/A,#N/A,FALSE,"신규dep-연구비상각후";#N/A,#N/A,FALSE,"신규dep-기계,공구상각후"}</definedName>
    <definedName name="BL수정4.6" hidden="1">{#N/A,#N/A,FALSE,"신규dep";#N/A,#N/A,FALSE,"신규dep-금형상각후";#N/A,#N/A,FALSE,"신규dep-연구비상각후";#N/A,#N/A,FALSE,"신규dep-기계,공구상각후"}</definedName>
    <definedName name="BL수정5" hidden="1">{#N/A,#N/A,FALSE,"신규dep";#N/A,#N/A,FALSE,"신규dep-금형상각후";#N/A,#N/A,FALSE,"신규dep-연구비상각후";#N/A,#N/A,FALSE,"신규dep-기계,공구상각후"}</definedName>
    <definedName name="BL폐각1" hidden="1">{#N/A,#N/A,FALSE,"신규dep";#N/A,#N/A,FALSE,"신규dep-금형상각후";#N/A,#N/A,FALSE,"신규dep-연구비상각후";#N/A,#N/A,FALSE,"신규dep-기계,공구상각후"}</definedName>
    <definedName name="BN" hidden="1">{0,0,0,0}</definedName>
    <definedName name="BNF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NG" hidden="1">{#N/A,#N/A,TRUE,"Y생산";#N/A,#N/A,TRUE,"Y판매";#N/A,#N/A,TRUE,"Y총물량";#N/A,#N/A,TRUE,"Y능력";#N/A,#N/A,TRUE,"YKD"}</definedName>
    <definedName name="BNHG" hidden="1">{#N/A,#N/A,FALSE,"단축1";#N/A,#N/A,FALSE,"단축2";#N/A,#N/A,FALSE,"단축3";#N/A,#N/A,FALSE,"장축";#N/A,#N/A,FALSE,"4WD"}</definedName>
    <definedName name="bnmfhk" hidden="1">{#N/A,#N/A,FALSE,"단축1";#N/A,#N/A,FALSE,"단축2";#N/A,#N/A,FALSE,"단축3";#N/A,#N/A,FALSE,"장축";#N/A,#N/A,FALSE,"4WD"}</definedName>
    <definedName name="BNNBN" hidden="1">{#N/A,#N/A,FALSE,"단축1";#N/A,#N/A,FALSE,"단축2";#N/A,#N/A,FALSE,"단축3";#N/A,#N/A,FALSE,"장축";#N/A,#N/A,FALSE,"4WD"}</definedName>
    <definedName name="BNVCJ" hidden="1">#REF!</definedName>
    <definedName name="BNVGH" hidden="1">{#N/A,#N/A,FALSE,"단축1";#N/A,#N/A,FALSE,"단축2";#N/A,#N/A,FALSE,"단축3";#N/A,#N/A,FALSE,"장축";#N/A,#N/A,FALSE,"4WD"}</definedName>
    <definedName name="BNVKFGHK" hidden="1">{#N/A,#N/A,FALSE,"단축1";#N/A,#N/A,FALSE,"단축2";#N/A,#N/A,FALSE,"단축3";#N/A,#N/A,FALSE,"장축";#N/A,#N/A,FALSE,"4WD"}</definedName>
    <definedName name="BO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M_PIC_COVER_LH" hidden="1">{#N/A,#N/A,FALSE,"단축1";#N/A,#N/A,FALSE,"단축2";#N/A,#N/A,FALSE,"단축3";#N/A,#N/A,FALSE,"장축";#N/A,#N/A,FALSE,"4WD"}</definedName>
    <definedName name="BOOK" hidden="1">{#N/A,#N/A,FALSE,"단축1";#N/A,#N/A,FALSE,"단축2";#N/A,#N/A,FALSE,"단축3";#N/A,#N/A,FALSE,"장축";#N/A,#N/A,FALSE,"4WD"}</definedName>
    <definedName name="book1" hidden="1">{#N/A,#N/A,TRUE,"Y생산";#N/A,#N/A,TRUE,"Y판매";#N/A,#N/A,TRUE,"Y총물량";#N/A,#N/A,TRUE,"Y능력";#N/A,#N/A,TRUE,"YKD"}</definedName>
    <definedName name="book1_1" hidden="1">{#N/A,#N/A,TRUE,"Y생산";#N/A,#N/A,TRUE,"Y판매";#N/A,#N/A,TRUE,"Y총물량";#N/A,#N/A,TRUE,"Y능력";#N/A,#N/A,TRUE,"YKD"}</definedName>
    <definedName name="BOOK2" hidden="1">{#N/A,#N/A,FALSE,"표지";#N/A,#N/A,FALSE,"전제";#N/A,#N/A,FALSE,"손익-자 (2)";#N/A,#N/A,FALSE,"손익-자";#N/A,#N/A,FALSE,"손익-마 (2)";#N/A,#N/A,FALSE,"손익-마";#N/A,#N/A,FALSE,"총손최종"}</definedName>
    <definedName name="book3" hidden="1">#REF!</definedName>
    <definedName name="BOOT" hidden="1">{#N/A,#N/A,FALSE,"KMC최종회의(7월) 자료"}</definedName>
    <definedName name="BOPRO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PR" hidden="1">{#N/A,#N/A,FALSE,"단축1";#N/A,#N/A,FALSE,"단축2";#N/A,#N/A,FALSE,"단축3";#N/A,#N/A,FALSE,"장축";#N/A,#N/A,FALSE,"4WD"}</definedName>
    <definedName name="BR" hidden="1">{0,0,0,0}</definedName>
    <definedName name="bracket" hidden="1">{#N/A,#N/A,FALSE,"단축1";#N/A,#N/A,FALSE,"단축2";#N/A,#N/A,FALSE,"단축3";#N/A,#N/A,FALSE,"장축";#N/A,#N/A,FALSE,"4WD"}</definedName>
    <definedName name="brbb" hidden="1">{"'7-2지역별'!$A$1:$R$44"}</definedName>
    <definedName name="BRGAS" hidden="1">{#N/A,#N/A,FALSE,"단축1";#N/A,#N/A,FALSE,"단축2";#N/A,#N/A,FALSE,"단축3";#N/A,#N/A,FALSE,"장축";#N/A,#N/A,FALSE,"4WD"}</definedName>
    <definedName name="brtbdf" hidden="1">{"'7-2지역별'!$A$1:$R$44"}</definedName>
    <definedName name="BS차이내역" hidden="1">{#N/A,#N/A,FALSE,"정공"}</definedName>
    <definedName name="BS차이내역_1" hidden="1">{#N/A,#N/A,FALSE,"정공"}</definedName>
    <definedName name="BS차이내역_2" hidden="1">{#N/A,#N/A,FALSE,"정공"}</definedName>
    <definedName name="BS차이내역_2_1" hidden="1">{#N/A,#N/A,FALSE,"정공"}</definedName>
    <definedName name="BS차이내역_2_2" hidden="1">{#N/A,#N/A,FALSE,"정공"}</definedName>
    <definedName name="BS차이내역_2_3" hidden="1">{#N/A,#N/A,FALSE,"정공"}</definedName>
    <definedName name="BS차이내역_3" hidden="1">{#N/A,#N/A,FALSE,"정공"}</definedName>
    <definedName name="BS차이내역_3_1" hidden="1">{#N/A,#N/A,FALSE,"정공"}</definedName>
    <definedName name="BS차이내역_3_2" hidden="1">{#N/A,#N/A,FALSE,"정공"}</definedName>
    <definedName name="BS차이내역_3_3" hidden="1">{#N/A,#N/A,FALSE,"정공"}</definedName>
    <definedName name="BS차이내역_4" hidden="1">{#N/A,#N/A,FALSE,"정공"}</definedName>
    <definedName name="BS차이내역_5" hidden="1">{#N/A,#N/A,FALSE,"정공"}</definedName>
    <definedName name="btgrgr" hidden="1">{"'7-2지역별'!$A$1:$R$44"}</definedName>
    <definedName name="BVDFGH" hidden="1">{#N/A,#N/A,FALSE,"단축1";#N/A,#N/A,FALSE,"단축2";#N/A,#N/A,FALSE,"단축3";#N/A,#N/A,FALSE,"장축";#N/A,#N/A,FALSE,"4WD"}</definedName>
    <definedName name="BVDFS" hidden="1">{#N/A,#N/A,FALSE,"단축1";#N/A,#N/A,FALSE,"단축2";#N/A,#N/A,FALSE,"단축3";#N/A,#N/A,FALSE,"장축";#N/A,#N/A,FALSE,"4WD"}</definedName>
    <definedName name="BVMN" hidden="1">{#VALUE!,#N/A,TRUE,0;#N/A,#N/A,TRUE,0;#N/A,#N/A,TRUE,0;#N/A,#N/A,TRUE,0;#N/A,#N/A,TRUE,0}</definedName>
    <definedName name="BVNC" hidden="1">{#N/A,#N/A,FALSE,"단축1";#N/A,#N/A,FALSE,"단축2";#N/A,#N/A,FALSE,"단축3";#N/A,#N/A,FALSE,"장축";#N/A,#N/A,FALSE,"4WD"}</definedName>
    <definedName name="BVNHX" hidden="1">{0,0,0,0}</definedName>
    <definedName name="BVNM" hidden="1">{#N/A,#N/A,FALSE,"단축1";#N/A,#N/A,FALSE,"단축2";#N/A,#N/A,FALSE,"단축3";#N/A,#N/A,FALSE,"장축";#N/A,#N/A,FALSE,"4WD"}</definedName>
    <definedName name="BVNMKJ" hidden="1">#REF!</definedName>
    <definedName name="B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XB" hidden="1">{#N/A,#N/A,FALSE,"을지 (4)";#N/A,#N/A,FALSE,"을지 (5)";#N/A,#N/A,FALSE,"을지 (6)"}</definedName>
    <definedName name="BXCXC" hidden="1">{#N/A,#N/A,FALSE,"초도품";#N/A,#N/A,FALSE,"초도품 (2)";#N/A,#N/A,FALSE,"초도품 (3)";#N/A,#N/A,FALSE,"초도품 (4)";#N/A,#N/A,FALSE,"초도품 (5)";#N/A,#N/A,FALSE,"초도품 (6)"}</definedName>
    <definedName name="CAB" hidden="1">{#N/A,#N/A,FALSE,"표지";#N/A,#N/A,FALSE,"을지1";#N/A,#N/A,FALSE,"일정1";#N/A,#N/A,FALSE,"일정2";#N/A,#N/A,FALSE,"11T-C";#N/A,#N/A,FALSE,"15T-D";#N/A,#N/A,FALSE,"판매현황";#N/A,#N/A,FALSE,"업무 FLOW"}</definedName>
    <definedName name="CAE해석" hidden="1">{#N/A,#N/A,FALSE,"단축1";#N/A,#N/A,FALSE,"단축2";#N/A,#N/A,FALSE,"단축3";#N/A,#N/A,FALSE,"장축";#N/A,#N/A,FALSE,"4WD"}</definedName>
    <definedName name="CAE해석_1" hidden="1">{#N/A,#N/A,FALSE,"단축1";#N/A,#N/A,FALSE,"단축2";#N/A,#N/A,FALSE,"단축3";#N/A,#N/A,FALSE,"장축";#N/A,#N/A,FALSE,"4WD"}</definedName>
    <definedName name="CAE해석_2" hidden="1">{#N/A,#N/A,FALSE,"단축1";#N/A,#N/A,FALSE,"단축2";#N/A,#N/A,FALSE,"단축3";#N/A,#N/A,FALSE,"장축";#N/A,#N/A,FALSE,"4WD"}</definedName>
    <definedName name="CAE해석1" hidden="1">{#N/A,#N/A,FALSE,"단축1";#N/A,#N/A,FALSE,"단축2";#N/A,#N/A,FALSE,"단축3";#N/A,#N/A,FALSE,"장축";#N/A,#N/A,FALSE,"4WD"}</definedName>
    <definedName name="CALENDAR" hidden="1">{#N/A,#N/A,TRUE,"Y생산";#N/A,#N/A,TRUE,"Y판매";#N/A,#N/A,TRUE,"Y총물량";#N/A,#N/A,TRUE,"Y능력";#N/A,#N/A,TRUE,"YKD"}</definedName>
    <definedName name="CAPA" hidden="1">{#N/A,#N/A,FALSE,"인원";#N/A,#N/A,FALSE,"비용2";#N/A,#N/A,FALSE,"비용1";#N/A,#N/A,FALSE,"비용";#N/A,#N/A,FALSE,"보증2";#N/A,#N/A,FALSE,"보증1";#N/A,#N/A,FALSE,"보증";#N/A,#N/A,FALSE,"손익1";#N/A,#N/A,FALSE,"손익";#N/A,#N/A,FALSE,"부서별매출";#N/A,#N/A,FALSE,"매출"}</definedName>
    <definedName name="CAPA_1" hidden="1">{#N/A,#N/A,FALSE,"단축1";#N/A,#N/A,FALSE,"단축2";#N/A,#N/A,FALSE,"단축3";#N/A,#N/A,FALSE,"장축";#N/A,#N/A,FALSE,"4WD"}</definedName>
    <definedName name="CAPA_2" hidden="1">{#N/A,#N/A,FALSE,"단축1";#N/A,#N/A,FALSE,"단축2";#N/A,#N/A,FALSE,"단축3";#N/A,#N/A,FALSE,"장축";#N/A,#N/A,FALSE,"4WD"}</definedName>
    <definedName name="carpet" hidden="1">{#N/A,#N/A,FALSE,"단축1";#N/A,#N/A,FALSE,"단축2";#N/A,#N/A,FALSE,"단축3";#N/A,#N/A,FALSE,"장축";#N/A,#N/A,FALSE,"4WD"}</definedName>
    <definedName name="CARRIER" hidden="1">{#N/A,#N/A,FALSE,"단축1";#N/A,#N/A,FALSE,"단축2";#N/A,#N/A,FALSE,"단축3";#N/A,#N/A,FALSE,"장축";#N/A,#N/A,FALSE,"4WD"}</definedName>
    <definedName name="CAS" hidden="1">{#N/A,#N/A,FALSE,"인원";#N/A,#N/A,FALSE,"비용2";#N/A,#N/A,FALSE,"비용1";#N/A,#N/A,FALSE,"비용";#N/A,#N/A,FALSE,"보증2";#N/A,#N/A,FALSE,"보증1";#N/A,#N/A,FALSE,"보증";#N/A,#N/A,FALSE,"손익1";#N/A,#N/A,FALSE,"손익";#N/A,#N/A,FALSE,"부서별매출";#N/A,#N/A,FALSE,"매출"}</definedName>
    <definedName name="CASE" hidden="1">{#N/A,#N/A,FALSE,"단축1";#N/A,#N/A,FALSE,"단축2";#N/A,#N/A,FALSE,"단축3";#N/A,#N/A,FALSE,"장축";#N/A,#N/A,FALSE,"4WD"}</definedName>
    <definedName name="CASE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T" hidden="1">{#N/A,#N/A,FALSE,"단축1";#N/A,#N/A,FALSE,"단축2";#N/A,#N/A,FALSE,"단축3";#N/A,#N/A,FALSE,"장축";#N/A,#N/A,FALSE,"4WD"}</definedName>
    <definedName name="catch방안" hidden="1">{#N/A,#N/A,FALSE,"인원";#N/A,#N/A,FALSE,"비용2";#N/A,#N/A,FALSE,"비용1";#N/A,#N/A,FALSE,"비용";#N/A,#N/A,FALSE,"보증2";#N/A,#N/A,FALSE,"보증1";#N/A,#N/A,FALSE,"보증";#N/A,#N/A,FALSE,"손익1";#N/A,#N/A,FALSE,"손익";#N/A,#N/A,FALSE,"부서별매출";#N/A,#N/A,FALSE,"매출"}</definedName>
    <definedName name="cbk" hidden="1">{"'표지'!$B$5"}</definedName>
    <definedName name="cbsfg" hidden="1">{"'7-2지역별'!$A$1:$R$44"}</definedName>
    <definedName name="cbv" hidden="1">{"'7-2지역별'!$A$1:$R$44"}</definedName>
    <definedName name="CBVNJFSGD" hidden="1">{#N/A,#N/A,FALSE,"단축1";#N/A,#N/A,FALSE,"단축2";#N/A,#N/A,FALSE,"단축3";#N/A,#N/A,FALSE,"장축";#N/A,#N/A,FALSE,"4WD"}</definedName>
    <definedName name="ccc" hidden="1">{#N/A,#N/A,FALSE,"정공"}</definedName>
    <definedName name="cccc" hidden="1">{#N/A,#N/A,FALSE,"단축1";#N/A,#N/A,FALSE,"단축2";#N/A,#N/A,FALSE,"단축3";#N/A,#N/A,FALSE,"장축";#N/A,#N/A,FALSE,"4WD"}</definedName>
    <definedName name="CCCC_1" hidden="1">{#N/A,#N/A,TRUE,"Y생산";#N/A,#N/A,TRUE,"Y판매";#N/A,#N/A,TRUE,"Y총물량";#N/A,#N/A,TRUE,"Y능력";#N/A,#N/A,TRUE,"YKD"}</definedName>
    <definedName name="CCCCC" hidden="1">{#N/A,#N/A,FALSE,"KMC최종회의(7월) 자료"}</definedName>
    <definedName name="CCCCCCCCCCCCCC" hidden="1">{#N/A,#N/A,FALSE,"KMC최종회의(7월) 자료"}</definedName>
    <definedName name="CCCCCCCCCCCCCC_1" hidden="1">{#N/A,#N/A,FALSE,"KMC최종회의(7월) 자료"}</definedName>
    <definedName name="cccddd" hidden="1">{#N/A,#N/A,FALSE,"단축1";#N/A,#N/A,FALSE,"단축2";#N/A,#N/A,FALSE,"단축3";#N/A,#N/A,FALSE,"장축";#N/A,#N/A,FALSE,"4WD"}</definedName>
    <definedName name="cccxxc" hidden="1">{"'7-2지역별'!$A$1:$R$44"}</definedName>
    <definedName name="CCV" hidden="1">{#N/A,#N/A,FALSE,"표지";#N/A,#N/A,FALSE,"전제";#N/A,#N/A,FALSE,"손익-자 (2)";#N/A,#N/A,FALSE,"손익-자";#N/A,#N/A,FALSE,"손익-마 (2)";#N/A,#N/A,FALSE,"손익-마";#N/A,#N/A,FALSE,"총손최종"}</definedName>
    <definedName name="ccxcxcz" hidden="1">{"'7-2지역별'!$A$1:$R$44"}</definedName>
    <definedName name="CD" hidden="1">{#N/A,#N/A,FALSE,"단축1";#N/A,#N/A,FALSE,"단축2";#N/A,#N/A,FALSE,"단축3";#N/A,#N/A,FALSE,"장축";#N/A,#N/A,FALSE,"4WD"}</definedName>
    <definedName name="CDE" hidden="1">{#N/A,#N/A,TRUE,"일정"}</definedName>
    <definedName name="cdf" hidden="1">{"'매출계획'!$D$2"}</definedName>
    <definedName name="CDGD" hidden="1">{#N/A,#N/A,FALSE,"단축1";#N/A,#N/A,FALSE,"단축2";#N/A,#N/A,FALSE,"단축3";#N/A,#N/A,FALSE,"장축";#N/A,#N/A,FALSE,"4WD"}</definedName>
    <definedName name="cdhbkjbkjnkjnlmmn" hidden="1">{#N/A,#N/A,TRUE,"일정"}</definedName>
    <definedName name="CDSFDD" hidden="1">{"'7-2지역별'!$A$1:$R$44"}</definedName>
    <definedName name="CDSX" hidden="1">{#N/A,#N/A,FALSE,"단축1";#N/A,#N/A,FALSE,"단축2";#N/A,#N/A,FALSE,"단축3";#N/A,#N/A,FALSE,"장축";#N/A,#N/A,FALSE,"4WD"}</definedName>
    <definedName name="CFSDFFDFFSDFSD" hidden="1">{#N/A,#N/A,FALSE,"단축1";#N/A,#N/A,FALSE,"단축2";#N/A,#N/A,FALSE,"단축3";#N/A,#N/A,FALSE,"장축";#N/A,#N/A,FALSE,"4WD"}</definedName>
    <definedName name="CG" hidden="1">{#N/A,#N/A,FALSE,"단축1";#N/A,#N/A,FALSE,"단축2";#N/A,#N/A,FALSE,"단축3";#N/A,#N/A,FALSE,"장축";#N/A,#N/A,FALSE,"4WD"}</definedName>
    <definedName name="CGFGD" hidden="1">{#N/A,#N/A,FALSE,"단축1";#N/A,#N/A,FALSE,"단축2";#N/A,#N/A,FALSE,"단축3";#N/A,#N/A,FALSE,"장축";#N/A,#N/A,FALSE,"4WD"}</definedName>
    <definedName name="chang" hidden="1">{#N/A,#N/A,FALSE,"을지 (4)";#N/A,#N/A,FALSE,"을지 (5)";#N/A,#N/A,FALSE,"을지 (6)"}</definedName>
    <definedName name="CHLWLSDH" hidden="1">{#N/A,#N/A,FALSE,"단축1";#N/A,#N/A,FALSE,"단축2";#N/A,#N/A,FALSE,"단축3";#N/A,#N/A,FALSE,"장축";#N/A,#N/A,FALSE,"4WD"}</definedName>
    <definedName name="choi" hidden="1">{#N/A,#N/A,FALSE,"Australien";#N/A,#N/A,FALSE,"Birmingham";#N/A,#N/A,FALSE,"Brasilien";#N/A,#N/A,FALSE,"Prag";#N/A,#N/A,FALSE,"Spanien";#N/A,#N/A,FALSE,"Malaysia ( Com)";#N/A,#N/A,FALSE,"Malaysia (Instr)"}</definedName>
    <definedName name="choi_1" hidden="1">{#N/A,#N/A,FALSE,"Australien";#N/A,#N/A,FALSE,"Birmingham";#N/A,#N/A,FALSE,"Brasilien";#N/A,#N/A,FALSE,"Prag";#N/A,#N/A,FALSE,"Spanien";#N/A,#N/A,FALSE,"Malaysia ( Com)";#N/A,#N/A,FALSE,"Malaysia (Instr)"}</definedName>
    <definedName name="choi_2" hidden="1">{#N/A,#N/A,FALSE,"Australien";#N/A,#N/A,FALSE,"Birmingham";#N/A,#N/A,FALSE,"Brasilien";#N/A,#N/A,FALSE,"Prag";#N/A,#N/A,FALSE,"Spanien";#N/A,#N/A,FALSE,"Malaysia ( Com)";#N/A,#N/A,FALSE,"Malaysia (Instr)"}</definedName>
    <definedName name="ci" hidden="1">{#N/A,#N/A,FALSE,"단축1";#N/A,#N/A,FALSE,"단축2";#N/A,#N/A,FALSE,"단축3";#N/A,#N/A,FALSE,"장축";#N/A,#N/A,FALSE,"4WD"}</definedName>
    <definedName name="ci_1" hidden="1">{#N/A,#N/A,FALSE,"단축1";#N/A,#N/A,FALSE,"단축2";#N/A,#N/A,FALSE,"단축3";#N/A,#N/A,FALSE,"장축";#N/A,#N/A,FALSE,"4WD"}</definedName>
    <definedName name="cjdjcsd" hidden="1">{#N/A,#N/A,FALSE,"단축1";#N/A,#N/A,FALSE,"단축2";#N/A,#N/A,FALSE,"단축3";#N/A,#N/A,FALSE,"장축";#N/A,#N/A,FALSE,"4WD"}</definedName>
    <definedName name="CJO" hidden="1">{#N/A,#N/A,FALSE,"을지 (4)";#N/A,#N/A,FALSE,"을지 (5)";#N/A,#N/A,FALSE,"을지 (6)"}</definedName>
    <definedName name="ckckckckckckckckckckckckckckckckckckckckck" hidden="1">{#N/A,#N/A,FALSE,"KMC최종회의(7월) 자료"}</definedName>
    <definedName name="ckckckckckckckckckckckckckckckckckckckckck_1" hidden="1">{#N/A,#N/A,FALSE,"KMC최종회의(7월) 자료"}</definedName>
    <definedName name="ckdksl" hidden="1">{#N/A,#N/A,FALSE,"단축1";#N/A,#N/A,FALSE,"단축2";#N/A,#N/A,FALSE,"단축3";#N/A,#N/A,FALSE,"장축";#N/A,#N/A,FALSE,"4WD"}</definedName>
    <definedName name="ckdksl_1" hidden="1">{#N/A,#N/A,FALSE,"단축1";#N/A,#N/A,FALSE,"단축2";#N/A,#N/A,FALSE,"단축3";#N/A,#N/A,FALSE,"장축";#N/A,#N/A,FALSE,"4WD"}</definedName>
    <definedName name="CKD엔진2" hidden="1">{#N/A,#N/A,FALSE,"단축1";#N/A,#N/A,FALSE,"단축2";#N/A,#N/A,FALSE,"단축3";#N/A,#N/A,FALSE,"장축";#N/A,#N/A,FALSE,"4WD"}</definedName>
    <definedName name="CODK" hidden="1">{#N/A,#N/A,FALSE,"개발계획표지";#N/A,#N/A,FALSE,"목차";#N/A,#N/A,FALSE,"개요"}</definedName>
    <definedName name="COMPARISON" hidden="1">{#N/A,#N/A,FALSE,"단축1";#N/A,#N/A,FALSE,"단축2";#N/A,#N/A,FALSE,"단축3";#N/A,#N/A,FALSE,"장축";#N/A,#N/A,FALSE,"4WD"}</definedName>
    <definedName name="CONCEPT" hidden="1">{#N/A,#N/A,FALSE,"단축1";#N/A,#N/A,FALSE,"단축2";#N/A,#N/A,FALSE,"단축3";#N/A,#N/A,FALSE,"장축";#N/A,#N/A,FALSE,"4WD"}</definedName>
    <definedName name="CONCEPT_1" hidden="1">{#N/A,#N/A,FALSE,"단축1";#N/A,#N/A,FALSE,"단축2";#N/A,#N/A,FALSE,"단축3";#N/A,#N/A,FALSE,"장축";#N/A,#N/A,FALSE,"4WD"}</definedName>
    <definedName name="COND투자" hidden="1">{#N/A,#N/A,TRUE,"매출진척-1";#N/A,#N/A,TRUE,"매출진척-2";#N/A,#N/A,TRUE,"제품실적";#N/A,#N/A,TRUE,"RAC";#N/A,#N/A,TRUE,"PAC ";#N/A,#N/A,TRUE,"재고현황";#N/A,#N/A,TRUE,"공지사항"}</definedName>
    <definedName name="COND투자비" hidden="1">{#N/A,#N/A,TRUE,"매출진척-1";#N/A,#N/A,TRUE,"매출진척-2";#N/A,#N/A,TRUE,"제품실적";#N/A,#N/A,TRUE,"RAC";#N/A,#N/A,TRUE,"PAC ";#N/A,#N/A,TRUE,"재고현황";#N/A,#N/A,TRUE,"공지사항"}</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PRO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PY" hidden="1">{#N/A,#N/A,FALSE,"단축1";#N/A,#N/A,FALSE,"단축2";#N/A,#N/A,FALSE,"단축3";#N/A,#N/A,FALSE,"장축";#N/A,#N/A,FALSE,"4WD"}</definedName>
    <definedName name="COPY1" hidden="1">{#N/A,#N/A,FALSE,"단축1";#N/A,#N/A,FALSE,"단축2";#N/A,#N/A,FALSE,"단축3";#N/A,#N/A,FALSE,"장축";#N/A,#N/A,FALSE,"4WD"}</definedName>
    <definedName name="COURSE" hidden="1">{#N/A,#N/A,FALSE,"KMC최종회의(7월) 자료"}</definedName>
    <definedName name="COURSE_1" hidden="1">{#N/A,#N/A,FALSE,"KMC최종회의(7월) 자료"}</definedName>
    <definedName name="COURSE_2" hidden="1">{#N/A,#N/A,FALSE,"KMC최종회의(7월) 자료"}</definedName>
    <definedName name="cover" hidden="1">{#N/A,#N/A,FALSE,"단축1";#N/A,#N/A,FALSE,"단축2";#N/A,#N/A,FALSE,"단축3";#N/A,#N/A,FALSE,"장축";#N/A,#N/A,FALSE,"4WD"}</definedName>
    <definedName name="cover2" hidden="1">#REF!</definedName>
    <definedName name="CPAD" hidden="1">{#N/A,#N/A,FALSE,"단축1";#N/A,#N/A,FALSE,"단축2";#N/A,#N/A,FALSE,"단축3";#N/A,#N/A,FALSE,"장축";#N/A,#N/A,FALSE,"4WD"}</definedName>
    <definedName name="cpk.3" hidden="1">#REF!</definedName>
    <definedName name="CPK.4" hidden="1">#REF!</definedName>
    <definedName name="CPK.5" hidden="1">#REF!</definedName>
    <definedName name="CR" hidden="1">{#N/A,#N/A,TRUE,"Y생산";#N/A,#N/A,TRUE,"Y판매";#N/A,#N/A,TRUE,"Y총물량";#N/A,#N/A,TRUE,"Y능력";#N/A,#N/A,TRUE,"YKD"}</definedName>
    <definedName name="CR5000실적" hidden="1">{#N/A,#N/A,TRUE,"Y생산";#N/A,#N/A,TRUE,"Y판매";#N/A,#N/A,TRUE,"Y총물량";#N/A,#N/A,TRUE,"Y능력";#N/A,#N/A,TRUE,"YKD"}</definedName>
    <definedName name="crank" hidden="1">{#N/A,#N/A,FALSE,"단축1";#N/A,#N/A,FALSE,"단축2";#N/A,#N/A,FALSE,"단축3";#N/A,#N/A,FALSE,"장축";#N/A,#N/A,FALSE,"4WD"}</definedName>
    <definedName name="CRANKSHAFT" hidden="1">{#N/A,#N/A,FALSE,"단축1";#N/A,#N/A,FALSE,"단축2";#N/A,#N/A,FALSE,"단축3";#N/A,#N/A,FALSE,"장축";#N/A,#N/A,FALSE,"4WD"}</definedName>
    <definedName name="CRK" hidden="1">{#N/A,#N/A,FALSE,"단축1";#N/A,#N/A,FALSE,"단축2";#N/A,#N/A,FALSE,"단축3";#N/A,#N/A,FALSE,"장축";#N/A,#N/A,FALSE,"4WD"}</definedName>
    <definedName name="CRN" hidden="1">{#N/A,#N/A,FALSE,"단축1";#N/A,#N/A,FALSE,"단축2";#N/A,#N/A,FALSE,"단축3";#N/A,#N/A,FALSE,"장축";#N/A,#N/A,FALSE,"4WD"}</definedName>
    <definedName name="CROSSMBR" hidden="1">{#N/A,#N/A,FALSE,"단축1";#N/A,#N/A,FALSE,"단축2";#N/A,#N/A,FALSE,"단축3";#N/A,#N/A,FALSE,"장축";#N/A,#N/A,FALSE,"4WD"}</definedName>
    <definedName name="csas" hidden="1">{#N/A,#N/A,FALSE,"KMC최종회의(7월) 자료"}</definedName>
    <definedName name="csas_1" hidden="1">{#N/A,#N/A,FALSE,"KMC최종회의(7월) 자료"}</definedName>
    <definedName name="csb" hidden="1">{#N/A,#N/A,FALSE,"단축1";#N/A,#N/A,FALSE,"단축2";#N/A,#N/A,FALSE,"단축3";#N/A,#N/A,FALSE,"장축";#N/A,#N/A,FALSE,"4WD"}</definedName>
    <definedName name="CSDFEFAED" hidden="1">{#N/A,#N/A,FALSE,"단축1";#N/A,#N/A,FALSE,"단축2";#N/A,#N/A,FALSE,"단축3";#N/A,#N/A,FALSE,"장축";#N/A,#N/A,FALSE,"4WD"}</definedName>
    <definedName name="CSSA" hidden="1">{#N/A,#N/A,FALSE,"단축1";#N/A,#N/A,FALSE,"단축2";#N/A,#N/A,FALSE,"단축3";#N/A,#N/A,FALSE,"장축";#N/A,#N/A,FALSE,"4WD"}</definedName>
    <definedName name="CTR" hidden="1">{#N/A,#N/A,FALSE,"단축1";#N/A,#N/A,FALSE,"단축2";#N/A,#N/A,FALSE,"단축3";#N/A,#N/A,FALSE,"장축";#N/A,#N/A,FALSE,"4WD"}</definedName>
    <definedName name="CV" hidden="1">{0,0,0,0}</definedName>
    <definedName name="CVB" hidden="1">{#VALUE!,#N/A,FALSE,0;#N/A,#N/A,FALSE,0;#N/A,#N/A,FALSE,0;#N/A,#N/A,FALSE,0;#N/A,#N/A,FALSE,0}</definedName>
    <definedName name="CVBN" hidden="1">{#N/A,#N/A,FALSE,"단축1";#N/A,#N/A,FALSE,"단축2";#N/A,#N/A,FALSE,"단축3";#N/A,#N/A,FALSE,"장축";#N/A,#N/A,FALSE,"4WD"}</definedName>
    <definedName name="CVBSDFG"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cvj" hidden="1">{#N/A,#N/A,FALSE,"KMC최종회의(7월) 자료"}</definedName>
    <definedName name="cvj_1" hidden="1">{#N/A,#N/A,FALSE,"KMC최종회의(7월) 자료"}</definedName>
    <definedName name="cvj_2" hidden="1">{#N/A,#N/A,FALSE,"KMC최종회의(7월) 자료"}</definedName>
    <definedName name="CVJJ" hidden="1">{#N/A,#N/A,FALSE,"KMC최종회의(7월) 자료"}</definedName>
    <definedName name="CVJ추진계획" hidden="1">{#N/A,#N/A,FALSE,"KMC최종회의(7월) 자료"}</definedName>
    <definedName name="CVN" hidden="1">{#N/A,#N/A,FALSE,"단축1";#N/A,#N/A,FALSE,"단축2";#N/A,#N/A,FALSE,"단축3";#N/A,#N/A,FALSE,"장축";#N/A,#N/A,FALSE,"4WD"}</definedName>
    <definedName name="CVNCVN" hidden="1">#REF!</definedName>
    <definedName name="CVX" hidden="1">{0,0,0,0}</definedName>
    <definedName name="cvxbg" hidden="1">{"'7-2지역별'!$A$1:$R$44"}</definedName>
    <definedName name="cxccx" hidden="1">{"'7-2지역별'!$A$1:$R$44"}</definedName>
    <definedName name="CXVBBFGSSS" hidden="1">{#N/A,#N/A,FALSE,"단축1";#N/A,#N/A,FALSE,"단축2";#N/A,#N/A,FALSE,"단축3";#N/A,#N/A,FALSE,"장축";#N/A,#N/A,FALSE,"4WD"}</definedName>
    <definedName name="CXVZ" hidden="1">{#N/A,#N/A,FALSE,"인원";#N/A,#N/A,FALSE,"비용2";#N/A,#N/A,FALSE,"비용1";#N/A,#N/A,FALSE,"비용";#N/A,#N/A,FALSE,"보증2";#N/A,#N/A,FALSE,"보증1";#N/A,#N/A,FALSE,"보증";#N/A,#N/A,FALSE,"손익1";#N/A,#N/A,FALSE,"손익";#N/A,#N/A,FALSE,"부서별매출";#N/A,#N/A,FALSE,"매출"}</definedName>
    <definedName name="cxzccxzc" hidden="1">{#N/A,#N/A,FALSE,"단축1";#N/A,#N/A,FALSE,"단축2";#N/A,#N/A,FALSE,"단축3";#N/A,#N/A,FALSE,"장축";#N/A,#N/A,FALSE,"4WD"}</definedName>
    <definedName name="cxzczxcasdasd" hidden="1">{#N/A,#N/A,TRUE,"일정"}</definedName>
    <definedName name="CY" hidden="1">{#N/A,#N/A,FALSE,"단축1";#N/A,#N/A,FALSE,"단축2";#N/A,#N/A,FALSE,"단축3";#N/A,#N/A,FALSE,"장축";#N/A,#N/A,FALSE,"4WD"}</definedName>
    <definedName name="D" hidden="1">{#N/A,#N/A,TRUE,"Y생산";#N/A,#N/A,TRUE,"Y판매";#N/A,#N/A,TRUE,"Y총물량";#N/A,#N/A,TRUE,"Y능력";#N/A,#N/A,TRUE,"YKD"}</definedName>
    <definedName name="DADADASSDSS2WWW" hidden="1">{#N/A,#N/A,FALSE,"단축1";#N/A,#N/A,FALSE,"단축2";#N/A,#N/A,FALSE,"단축3";#N/A,#N/A,FALSE,"장축";#N/A,#N/A,FALSE,"4WD"}</definedName>
    <definedName name="DADASDASASFSDFDSVVDSDGDFGBDFBDSFSAFDASD" hidden="1">{#N/A,#N/A,FALSE,"신규dep";#N/A,#N/A,FALSE,"신규dep-금형상각후";#N/A,#N/A,FALSE,"신규dep-연구비상각후";#N/A,#N/A,FALSE,"신규dep-기계,공구상각후"}</definedName>
    <definedName name="dadsdwqdwdwwadadwqqdqwd" hidden="1">{#N/A,#N/A,FALSE,"단축1";#N/A,#N/A,FALSE,"단축2";#N/A,#N/A,FALSE,"단축3";#N/A,#N/A,FALSE,"장축";#N/A,#N/A,FALSE,"4WD"}</definedName>
    <definedName name="dadssdsdsds" hidden="1">{#N/A,#N/A,FALSE,"단축1";#N/A,#N/A,FALSE,"단축2";#N/A,#N/A,FALSE,"단축3";#N/A,#N/A,FALSE,"장축";#N/A,#N/A,FALSE,"4WD"}</definedName>
    <definedName name="DAFAD" hidden="1">{#N/A,#N/A,FALSE,"을지 (4)";#N/A,#N/A,FALSE,"을지 (5)";#N/A,#N/A,FALSE,"을지 (6)"}</definedName>
    <definedName name="DAFAFAE" hidden="1">{#N/A,#N/A,FALSE,"단축1";#N/A,#N/A,FALSE,"단축2";#N/A,#N/A,FALSE,"단축3";#N/A,#N/A,FALSE,"장축";#N/A,#N/A,FALSE,"4WD"}</definedName>
    <definedName name="DAFLKFD" hidden="1">{#N/A,#N/A,FALSE,"을지 (4)";#N/A,#N/A,FALSE,"을지 (5)";#N/A,#N/A,FALSE,"을지 (6)"}</definedName>
    <definedName name="DALDJKLA" hidden="1">{#N/A,#N/A,FALSE,"단축1";#N/A,#N/A,FALSE,"단축2";#N/A,#N/A,FALSE,"단축3";#N/A,#N/A,FALSE,"장축";#N/A,#N/A,FALSE,"4WD"}</definedName>
    <definedName name="das" hidden="1">{#N/A,#N/A,TRUE,"Y생산";#N/A,#N/A,TRUE,"Y판매";#N/A,#N/A,TRUE,"Y총물량";#N/A,#N/A,TRUE,"Y능력";#N/A,#N/A,TRUE,"YKD"}</definedName>
    <definedName name="das_1" hidden="1">{#N/A,#N/A,TRUE,"Y생산";#N/A,#N/A,TRUE,"Y판매";#N/A,#N/A,TRUE,"Y총물량";#N/A,#N/A,TRUE,"Y능력";#N/A,#N/A,TRUE,"YKD"}</definedName>
    <definedName name="dasd" hidden="1">{#N/A,#N/A,FALSE,"KMC최종회의(7월) 자료"}</definedName>
    <definedName name="DASF" hidden="1">{#N/A,#N/A,TRUE,"Y생산";#N/A,#N/A,TRUE,"Y판매";#N/A,#N/A,TRUE,"Y총물량";#N/A,#N/A,TRUE,"Y능력";#N/A,#N/A,TRUE,"YKD"}</definedName>
    <definedName name="DATGTSGHFD" hidden="1">{#N/A,#N/A,FALSE,"단축1";#N/A,#N/A,FALSE,"단축2";#N/A,#N/A,FALSE,"단축3";#N/A,#N/A,FALSE,"장축";#N/A,#N/A,FALSE,"4WD"}</definedName>
    <definedName name="DBCJA" hidden="1">{#N/A,#N/A,FALSE,"단축1";#N/A,#N/A,FALSE,"단축2";#N/A,#N/A,FALSE,"단축3";#N/A,#N/A,FALSE,"장축";#N/A,#N/A,FALSE,"4WD"}</definedName>
    <definedName name="DBSTJDTLR" hidden="1">{#N/A,#N/A,FALSE,"단축1";#N/A,#N/A,FALSE,"단축2";#N/A,#N/A,FALSE,"단축3";#N/A,#N/A,FALSE,"장축";#N/A,#N/A,FALSE,"4WD"}</definedName>
    <definedName name="DC_1" hidden="1">{#N/A,#N/A,FALSE,"단축1";#N/A,#N/A,FALSE,"단축2";#N/A,#N/A,FALSE,"단축3";#N/A,#N/A,FALSE,"장축";#N/A,#N/A,FALSE,"4WD"}</definedName>
    <definedName name="DC_2" hidden="1">{#N/A,#N/A,FALSE,"단축1";#N/A,#N/A,FALSE,"단축2";#N/A,#N/A,FALSE,"단축3";#N/A,#N/A,FALSE,"장축";#N/A,#N/A,FALSE,"4WD"}</definedName>
    <definedName name="DCD" hidden="1">{#N/A,#N/A,FALSE,"단축1";#N/A,#N/A,FALSE,"단축2";#N/A,#N/A,FALSE,"단축3";#N/A,#N/A,FALSE,"장축";#N/A,#N/A,FALSE,"4WD"}</definedName>
    <definedName name="DCDF" hidden="1">{"'7-2지역별'!$A$1:$R$44"}</definedName>
    <definedName name="DCFEDF" hidden="1">{"'7-2지역별'!$A$1:$R$44"}</definedName>
    <definedName name="DCV" hidden="1">{#N/A,#N/A,FALSE,"단축1";#N/A,#N/A,FALSE,"단축2";#N/A,#N/A,FALSE,"단축3";#N/A,#N/A,FALSE,"장축";#N/A,#N/A,FALSE,"4WD"}</definedName>
    <definedName name="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AE" hidden="1">{#N/A,#N/A,FALSE,"단축1";#N/A,#N/A,FALSE,"단축2";#N/A,#N/A,FALSE,"단축3";#N/A,#N/A,FALSE,"장축";#N/A,#N/A,FALSE,"4WD"}</definedName>
    <definedName name="ddd" hidden="1">{#N/A,#N/A,FALSE,"KMC최종회의(7월) 자료"}</definedName>
    <definedName name="DDDD" hidden="1">{#N/A,#N/A,FALSE,"단축1";#N/A,#N/A,FALSE,"단축2";#N/A,#N/A,FALSE,"단축3";#N/A,#N/A,FALSE,"장축";#N/A,#N/A,FALSE,"4WD"}</definedName>
    <definedName name="ddddcccc" hidden="1">{"'7-2지역별'!$A$1:$R$44"}</definedName>
    <definedName name="DDDDD" hidden="1">{#N/A,#N/A,FALSE,"96 3월물량표";#N/A,#N/A,FALSE,"96 4월물량표";#N/A,#N/A,FALSE,"96 5월물량표"}</definedName>
    <definedName name="dddddcfcfcffffffffffffff" hidden="1">{#N/A,#N/A,FALSE,"단축1";#N/A,#N/A,FALSE,"단축2";#N/A,#N/A,FALSE,"단축3";#N/A,#N/A,FALSE,"장축";#N/A,#N/A,FALSE,"4WD"}</definedName>
    <definedName name="DDDDDD" hidden="1">{#N/A,#N/A,FALSE,"단축1";#N/A,#N/A,FALSE,"단축2";#N/A,#N/A,FALSE,"단축3";#N/A,#N/A,FALSE,"장축";#N/A,#N/A,FALSE,"4WD"}</definedName>
    <definedName name="DDDDDD_1" hidden="1">{#VALUE!,#N/A,TRUE,0;#N/A,#N/A,TRUE,0;#N/A,#N/A,TRUE,0;#N/A,#N/A,TRUE,0;#N/A,#N/A,TRUE,0}</definedName>
    <definedName name="DDDDDD_2" hidden="1">{#VALUE!,#N/A,TRUE,0;#N/A,#N/A,TRUE,0;#N/A,#N/A,TRUE,0;#N/A,#N/A,TRUE,0;#N/A,#N/A,TRUE,0}</definedName>
    <definedName name="DDDDDDD" hidden="1">#REF!</definedName>
    <definedName name="DDDDDDDD" hidden="1">{"Wire Charts",#N/A,TRUE,"Wires"}</definedName>
    <definedName name="ddddddddd" hidden="1">{#N/A,#N/A,FALSE,"단축1";#N/A,#N/A,FALSE,"단축2";#N/A,#N/A,FALSE,"단축3";#N/A,#N/A,FALSE,"장축";#N/A,#N/A,FALSE,"4WD"}</definedName>
    <definedName name="dddddddddddddddddd" hidden="1">{#N/A,#N/A,FALSE,"신규dep";#N/A,#N/A,FALSE,"신규dep-금형상각후";#N/A,#N/A,FALSE,"신규dep-연구비상각후";#N/A,#N/A,FALSE,"신규dep-기계,공구상각후"}</definedName>
    <definedName name="dddddddddddddddddddddddddddd" hidden="1">{#N/A,#N/A,FALSE,"단축1";#N/A,#N/A,FALSE,"단축2";#N/A,#N/A,FALSE,"단축3";#N/A,#N/A,FALSE,"장축";#N/A,#N/A,FALSE,"4WD"}</definedName>
    <definedName name="dddddf" hidden="1">{#N/A,#N/A,FALSE,"단축1";#N/A,#N/A,FALSE,"단축2";#N/A,#N/A,FALSE,"단축3";#N/A,#N/A,FALSE,"장축";#N/A,#N/A,FALSE,"4WD"}</definedName>
    <definedName name="DDDDDFRT" hidden="1">{#N/A,#N/A,FALSE,"단축1";#N/A,#N/A,FALSE,"단축2";#N/A,#N/A,FALSE,"단축3";#N/A,#N/A,FALSE,"장축";#N/A,#N/A,FALSE,"4WD"}</definedName>
    <definedName name="DDDDEE" hidden="1">{#N/A,#N/A,FALSE,"정공"}</definedName>
    <definedName name="ddddsss" hidden="1">{"'7-2지역별'!$A$1:$R$44"}</definedName>
    <definedName name="dddeeggad" hidden="1">{#N/A,#N/A,FALSE,"FR 계산내역";#N/A,#N/A,FALSE,"RR 계산내역";#N/A,#N/A,FALSE,"기계경비"}</definedName>
    <definedName name="dddfdasdsfdsf" hidden="1">{"'7-2지역별'!$A$1:$R$44"}</definedName>
    <definedName name="DDDFF" hidden="1">{"'7-2지역별'!$A$1:$R$44"}</definedName>
    <definedName name="dddfff" hidden="1">{#N/A,#N/A,FALSE,"단축1";#N/A,#N/A,FALSE,"단축2";#N/A,#N/A,FALSE,"단축3";#N/A,#N/A,FALSE,"장축";#N/A,#N/A,FALSE,"4WD"}</definedName>
    <definedName name="dddfg" hidden="1">{#N/A,#N/A,FALSE,"정공"}</definedName>
    <definedName name="dddfg_1" hidden="1">{#N/A,#N/A,FALSE,"정공"}</definedName>
    <definedName name="dddfg_2" hidden="1">{#N/A,#N/A,FALSE,"정공"}</definedName>
    <definedName name="dddfg_2_1" hidden="1">{#N/A,#N/A,FALSE,"정공"}</definedName>
    <definedName name="dddfg_2_2" hidden="1">{#N/A,#N/A,FALSE,"정공"}</definedName>
    <definedName name="dddfg_2_3" hidden="1">{#N/A,#N/A,FALSE,"정공"}</definedName>
    <definedName name="dddfg_3" hidden="1">{#N/A,#N/A,FALSE,"정공"}</definedName>
    <definedName name="dddfg_3_1" hidden="1">{#N/A,#N/A,FALSE,"정공"}</definedName>
    <definedName name="dddfg_3_2" hidden="1">{#N/A,#N/A,FALSE,"정공"}</definedName>
    <definedName name="dddfg_3_3" hidden="1">{#N/A,#N/A,FALSE,"정공"}</definedName>
    <definedName name="dddfg_4" hidden="1">{#N/A,#N/A,FALSE,"정공"}</definedName>
    <definedName name="dddfg_5" hidden="1">{#N/A,#N/A,FALSE,"정공"}</definedName>
    <definedName name="DDDW" hidden="1">{#N/A,#N/A,FALSE,"단축1";#N/A,#N/A,FALSE,"단축2";#N/A,#N/A,FALSE,"단축3";#N/A,#N/A,FALSE,"장축";#N/A,#N/A,FALSE,"4WD"}</definedName>
    <definedName name="dddweeee" hidden="1">{#N/A,#N/A,FALSE,"단축1";#N/A,#N/A,FALSE,"단축2";#N/A,#N/A,FALSE,"단축3";#N/A,#N/A,FALSE,"장축";#N/A,#N/A,FALSE,"4WD"}</definedName>
    <definedName name="DDE" hidden="1">{#N/A,#N/A,FALSE,"단축1";#N/A,#N/A,FALSE,"단축2";#N/A,#N/A,FALSE,"단축3";#N/A,#N/A,FALSE,"장축";#N/A,#N/A,FALSE,"4WD"}</definedName>
    <definedName name="DDE_1" hidden="1">{#N/A,#N/A,FALSE,"단축1";#N/A,#N/A,FALSE,"단축2";#N/A,#N/A,FALSE,"단축3";#N/A,#N/A,FALSE,"장축";#N/A,#N/A,FALSE,"4WD"}</definedName>
    <definedName name="DDE_2" hidden="1">{#N/A,#N/A,FALSE,"단축1";#N/A,#N/A,FALSE,"단축2";#N/A,#N/A,FALSE,"단축3";#N/A,#N/A,FALSE,"장축";#N/A,#N/A,FALSE,"4WD"}</definedName>
    <definedName name="DDEAGE" hidden="1">{#N/A,#N/A,FALSE,"FR 계산내역";#N/A,#N/A,FALSE,"RR 계산내역";#N/A,#N/A,FALSE,"기계경비"}</definedName>
    <definedName name="DDED" hidden="1">{#N/A,#N/A,FALSE,"단축1";#N/A,#N/A,FALSE,"단축2";#N/A,#N/A,FALSE,"단축3";#N/A,#N/A,FALSE,"장축";#N/A,#N/A,FALSE,"4WD"}</definedName>
    <definedName name="DDF" hidden="1">{#N/A,#N/A,TRUE,"일정"}</definedName>
    <definedName name="dDFA" hidden="1">{#N/A,#N/A,FALSE,"단축1";#N/A,#N/A,FALSE,"단축2";#N/A,#N/A,FALSE,"단축3";#N/A,#N/A,FALSE,"장축";#N/A,#N/A,FALSE,"4WD"}</definedName>
    <definedName name="dDFA_1" hidden="1">{#N/A,#N/A,FALSE,"단축1";#N/A,#N/A,FALSE,"단축2";#N/A,#N/A,FALSE,"단축3";#N/A,#N/A,FALSE,"장축";#N/A,#N/A,FALSE,"4WD"}</definedName>
    <definedName name="dDFA_2" hidden="1">{#N/A,#N/A,FALSE,"단축1";#N/A,#N/A,FALSE,"단축2";#N/A,#N/A,FALSE,"단축3";#N/A,#N/A,FALSE,"장축";#N/A,#N/A,FALSE,"4WD"}</definedName>
    <definedName name="DDFAA" hidden="1">{#N/A,#N/A,FALSE,"FR 계산내역";#N/A,#N/A,FALSE,"RR 계산내역";#N/A,#N/A,FALSE,"기계경비"}</definedName>
    <definedName name="DDFAFFD" hidden="1">{#N/A,#N/A,FALSE,"단축1";#N/A,#N/A,FALSE,"단축2";#N/A,#N/A,FALSE,"단축3";#N/A,#N/A,FALSE,"장축";#N/A,#N/A,FALSE,"4WD"}</definedName>
    <definedName name="ddfdfddd" hidden="1">{"'7-2지역별'!$A$1:$R$44"}</definedName>
    <definedName name="DDFGF" hidden="1">{#N/A,#N/A,FALSE,"KMC최종회의(7월) 자료"}</definedName>
    <definedName name="DDGAEAG" hidden="1">{#N/A,#N/A,FALSE,"FR 계산내역";#N/A,#N/A,FALSE,"RR 계산내역";#N/A,#N/A,FALSE,"기계경비"}</definedName>
    <definedName name="DDGHJH" hidden="1">{#N/A,#N/A,FALSE,"단축1";#N/A,#N/A,FALSE,"단축2";#N/A,#N/A,FALSE,"단축3";#N/A,#N/A,FALSE,"장축";#N/A,#N/A,FALSE,"4WD"}</definedName>
    <definedName name="DDHHH" hidden="1">{#N/A,#N/A,FALSE,"을지 (4)";#N/A,#N/A,FALSE,"을지 (5)";#N/A,#N/A,FALSE,"을지 (6)"}</definedName>
    <definedName name="DDS" hidden="1">{#N/A,#N/A,FALSE,"을지 (4)";#N/A,#N/A,FALSE,"을지 (5)";#N/A,#N/A,FALSE,"을지 (6)"}</definedName>
    <definedName name="DDSA" hidden="1">{#N/A,#N/A,FALSE,"개발계획표지";#N/A,#N/A,FALSE,"목차";#N/A,#N/A,FALSE,"개요"}</definedName>
    <definedName name="ddsdasdssd" hidden="1">{"'7-2지역별'!$A$1:$R$44"}</definedName>
    <definedName name="ddsdsdd" hidden="1">{"'7-2지역별'!$A$1:$R$44"}</definedName>
    <definedName name="DDSSS" hidden="1">{#N/A,#N/A,FALSE,"단축1";#N/A,#N/A,FALSE,"단축2";#N/A,#N/A,FALSE,"단축3";#N/A,#N/A,FALSE,"장축";#N/A,#N/A,FALSE,"4WD"}</definedName>
    <definedName name="DDW" hidden="1">{#N/A,#N/A,FALSE,"단축1";#N/A,#N/A,FALSE,"단축2";#N/A,#N/A,FALSE,"단축3";#N/A,#N/A,FALSE,"장축";#N/A,#N/A,FALSE,"4WD"}</definedName>
    <definedName name="DDXXXXX" hidden="1">{"'7-2지역별'!$A$1:$R$44"}</definedName>
    <definedName name="DEF" hidden="1">{#N/A,#N/A,FALSE,"단축1";#N/A,#N/A,FALSE,"단축2";#N/A,#N/A,FALSE,"단축3";#N/A,#N/A,FALSE,"장축";#N/A,#N/A,FALSE,"4WD"}</definedName>
    <definedName name="DERDE" hidden="1">{"'7-2지역별'!$A$1:$R$44"}</definedName>
    <definedName name="DERET" hidden="1">{#N/A,#N/A,FALSE,"단축1";#N/A,#N/A,FALSE,"단축2";#N/A,#N/A,FALSE,"단축3";#N/A,#N/A,FALSE,"장축";#N/A,#N/A,FALSE,"4WD"}</definedName>
    <definedName name="DERTF" hidden="1">{#N/A,#N/A,FALSE,"단축1";#N/A,#N/A,FALSE,"단축2";#N/A,#N/A,FALSE,"단축3";#N/A,#N/A,FALSE,"장축";#N/A,#N/A,FALSE,"4WD"}</definedName>
    <definedName name="desds" hidden="1">{#N/A,#N/A,FALSE,"단축1";#N/A,#N/A,FALSE,"단축2";#N/A,#N/A,FALSE,"단축3";#N/A,#N/A,FALSE,"장축";#N/A,#N/A,FALSE,"4WD"}</definedName>
    <definedName name="DESK" hidden="1">{#N/A,#N/A,FALSE,"정공"}</definedName>
    <definedName name="DESSD" hidden="1">{#N/A,#N/A,FALSE,"을지 (4)";#N/A,#N/A,FALSE,"을지 (5)";#N/A,#N/A,FALSE,"을지 (6)"}</definedName>
    <definedName name="DETAIL1" hidden="1">{#N/A,#N/A,FALSE,"인원";#N/A,#N/A,FALSE,"비용2";#N/A,#N/A,FALSE,"비용1";#N/A,#N/A,FALSE,"비용";#N/A,#N/A,FALSE,"보증2";#N/A,#N/A,FALSE,"보증1";#N/A,#N/A,FALSE,"보증";#N/A,#N/A,FALSE,"손익1";#N/A,#N/A,FALSE,"손익";#N/A,#N/A,FALSE,"부서별매출";#N/A,#N/A,FALSE,"매출"}</definedName>
    <definedName name="DEWDEWFQEW" hidden="1">{#N/A,#N/A,FALSE,"단축1";#N/A,#N/A,FALSE,"단축2";#N/A,#N/A,FALSE,"단축3";#N/A,#N/A,FALSE,"장축";#N/A,#N/A,FALSE,"4WD"}</definedName>
    <definedName name="DEWDEWFQEW_1" hidden="1">{#N/A,#N/A,FALSE,"단축1";#N/A,#N/A,FALSE,"단축2";#N/A,#N/A,FALSE,"단축3";#N/A,#N/A,FALSE,"장축";#N/A,#N/A,FALSE,"4WD"}</definedName>
    <definedName name="DEWDEWFQEW_2" hidden="1">{#N/A,#N/A,FALSE,"단축1";#N/A,#N/A,FALSE,"단축2";#N/A,#N/A,FALSE,"단축3";#N/A,#N/A,FALSE,"장축";#N/A,#N/A,FALSE,"4WD"}</definedName>
    <definedName name="DEWWER" hidden="1">{"'7-2지역별'!$A$1:$R$44"}</definedName>
    <definedName name="df" hidden="1">{#N/A,#N/A,FALSE,"96 3월물량표";#N/A,#N/A,FALSE,"96 4월물량표";#N/A,#N/A,FALSE,"96 5월물량표"}</definedName>
    <definedName name="df_1" hidden="1">{#N/A,#N/A,FALSE,"96 3월물량표";#N/A,#N/A,FALSE,"96 4월물량표";#N/A,#N/A,FALSE,"96 5월물량표"}</definedName>
    <definedName name="DFA" hidden="1">{#N/A,#N/A,FALSE,"단축1";#N/A,#N/A,FALSE,"단축2";#N/A,#N/A,FALSE,"단축3";#N/A,#N/A,FALSE,"장축";#N/A,#N/A,FALSE,"4WD"}</definedName>
    <definedName name="DFA_1" hidden="1">{#N/A,#N/A,FALSE,"단축1";#N/A,#N/A,FALSE,"단축2";#N/A,#N/A,FALSE,"단축3";#N/A,#N/A,FALSE,"장축";#N/A,#N/A,FALSE,"4WD"}</definedName>
    <definedName name="DFA_2" hidden="1">{#N/A,#N/A,FALSE,"단축1";#N/A,#N/A,FALSE,"단축2";#N/A,#N/A,FALSE,"단축3";#N/A,#N/A,FALSE,"장축";#N/A,#N/A,FALSE,"4WD"}</definedName>
    <definedName name="DFADFAFA" hidden="1">{#N/A,#N/A,TRUE,"Y생산";#N/A,#N/A,TRUE,"Y판매";#N/A,#N/A,TRUE,"Y총물량";#N/A,#N/A,TRUE,"Y능력";#N/A,#N/A,TRUE,"YKD"}</definedName>
    <definedName name="DFAFASDFASF" hidden="1">{#N/A,#N/A,FALSE,"단축1";#N/A,#N/A,FALSE,"단축2";#N/A,#N/A,FALSE,"단축3";#N/A,#N/A,FALSE,"장축";#N/A,#N/A,FALSE,"4WD"}</definedName>
    <definedName name="DFAG" hidden="1">{#N/A,#N/A,FALSE,"신규dep";#N/A,#N/A,FALSE,"신규dep-금형상각후";#N/A,#N/A,FALSE,"신규dep-연구비상각후";#N/A,#N/A,FALSE,"신규dep-기계,공구상각후"}</definedName>
    <definedName name="DFASASASASF" hidden="1">{#N/A,#N/A,FALSE,"단축1";#N/A,#N/A,FALSE,"단축2";#N/A,#N/A,FALSE,"단축3";#N/A,#N/A,FALSE,"장축";#N/A,#N/A,FALSE,"4WD"}</definedName>
    <definedName name="DFASD" hidden="1">{#N/A,#N/A,FALSE,"인원";#N/A,#N/A,FALSE,"비용2";#N/A,#N/A,FALSE,"비용1";#N/A,#N/A,FALSE,"비용";#N/A,#N/A,FALSE,"보증2";#N/A,#N/A,FALSE,"보증1";#N/A,#N/A,FALSE,"보증";#N/A,#N/A,FALSE,"손익1";#N/A,#N/A,FALSE,"손익";#N/A,#N/A,FALSE,"부서별매출";#N/A,#N/A,FALSE,"매출"}</definedName>
    <definedName name="DFASDF" hidden="1">{#N/A,#N/A,FALSE,"단축1";#N/A,#N/A,FALSE,"단축2";#N/A,#N/A,FALSE,"단축3";#N/A,#N/A,FALSE,"장축";#N/A,#N/A,FALSE,"4WD"}</definedName>
    <definedName name="DFASDFS" hidden="1">{#N/A,#N/A,FALSE,"단축1";#N/A,#N/A,FALSE,"단축2";#N/A,#N/A,FALSE,"단축3";#N/A,#N/A,FALSE,"장축";#N/A,#N/A,FALSE,"4WD"}</definedName>
    <definedName name="DFB" hidden="1">{#N/A,#N/A,FALSE,"단축1";#N/A,#N/A,FALSE,"단축2";#N/A,#N/A,FALSE,"단축3";#N/A,#N/A,FALSE,"장축";#N/A,#N/A,FALSE,"4WD"}</definedName>
    <definedName name="dfd" hidden="1">{#N/A,#N/A,FALSE,"단축1";#N/A,#N/A,FALSE,"단축2";#N/A,#N/A,FALSE,"단축3";#N/A,#N/A,FALSE,"장축";#N/A,#N/A,FALSE,"4WD"}</definedName>
    <definedName name="dfdcvc" hidden="1">{"'7-2지역별'!$A$1:$R$44"}</definedName>
    <definedName name="DFDDDD" hidden="1">{#N/A,#N/A,FALSE,"단축1";#N/A,#N/A,FALSE,"단축2";#N/A,#N/A,FALSE,"단축3";#N/A,#N/A,FALSE,"장축";#N/A,#N/A,FALSE,"4WD"}</definedName>
    <definedName name="dfdf" hidden="1">{#N/A,#N/A,FALSE,"단축1";#N/A,#N/A,FALSE,"단축2";#N/A,#N/A,FALSE,"단축3";#N/A,#N/A,FALSE,"장축";#N/A,#N/A,FALSE,"4WD"}</definedName>
    <definedName name="dfdffddfdf" hidden="1">{"'7-2지역별'!$A$1:$R$44"}</definedName>
    <definedName name="DFDSF" hidden="1">{#N/A,#N/A,FALSE,"단축1";#N/A,#N/A,FALSE,"단축2";#N/A,#N/A,FALSE,"단축3";#N/A,#N/A,FALSE,"장축";#N/A,#N/A,FALSE,"4WD"}</definedName>
    <definedName name="DFEF" hidden="1">{"'7-2지역별'!$A$1:$R$44"}</definedName>
    <definedName name="DFERFF" hidden="1">{"'7-2지역별'!$A$1:$R$44"}</definedName>
    <definedName name="DFF" hidden="1">{#N/A,#N/A,FALSE,"단축1";#N/A,#N/A,FALSE,"단축2";#N/A,#N/A,FALSE,"단축3";#N/A,#N/A,FALSE,"장축";#N/A,#N/A,FALSE,"4WD"}</definedName>
    <definedName name="DFFd" hidden="1">{#N/A,#N/A,FALSE,"단축1";#N/A,#N/A,FALSE,"단축2";#N/A,#N/A,FALSE,"단축3";#N/A,#N/A,FALSE,"장축";#N/A,#N/A,FALSE,"4WD"}</definedName>
    <definedName name="dffdfdf" hidden="1">{"'7-2지역별'!$A$1:$R$44"}</definedName>
    <definedName name="dffdfdfdvc" hidden="1">{"'7-2지역별'!$A$1:$R$44"}</definedName>
    <definedName name="DFFDFSGDHFGJFGDFSF" hidden="1">{#N/A,#N/A,FALSE,"전제";#N/A,#N/A,FALSE,"표지";#N/A,#N/A,FALSE,"6D16";#N/A,#N/A,FALSE,"6D22";#N/A,#N/A,FALSE,"6D22-T";#N/A,#N/A,FALSE,"Q-DEG";#N/A,#N/A,FALSE,"총손";#N/A,#N/A,FALSE,"대당";#N/A,#N/A,FALSE,"가공비"}</definedName>
    <definedName name="DFFF" hidden="1">{#N/A,#N/A,FALSE,"KMC최종회의(7월) 자료"}</definedName>
    <definedName name="DFFFDFDF" hidden="1">{#N/A,#N/A,FALSE,"단축1";#N/A,#N/A,FALSE,"단축2";#N/A,#N/A,FALSE,"단축3";#N/A,#N/A,FALSE,"장축";#N/A,#N/A,FALSE,"4WD"}</definedName>
    <definedName name="DFFGHHJHKG" hidden="1">{#N/A,#N/A,FALSE,"단축1";#N/A,#N/A,FALSE,"단축2";#N/A,#N/A,FALSE,"단축3";#N/A,#N/A,FALSE,"장축";#N/A,#N/A,FALSE,"4WD"}</definedName>
    <definedName name="DFFKDJD" hidden="1">{#N/A,#N/A,FALSE,"단축1";#N/A,#N/A,FALSE,"단축2";#N/A,#N/A,FALSE,"단축3";#N/A,#N/A,FALSE,"장축";#N/A,#N/A,FALSE,"4WD"}</definedName>
    <definedName name="DFG" hidden="1">{#N/A,#N/A,FALSE,"단축1";#N/A,#N/A,FALSE,"단축2";#N/A,#N/A,FALSE,"단축3";#N/A,#N/A,FALSE,"장축";#N/A,#N/A,FALSE,"4WD"}</definedName>
    <definedName name="dfgbbn" hidden="1">{#N/A,#N/A,TRUE,"Y생산";#N/A,#N/A,TRUE,"Y판매";#N/A,#N/A,TRUE,"Y총물량";#N/A,#N/A,TRUE,"Y능력";#N/A,#N/A,TRUE,"YKD"}</definedName>
    <definedName name="dfgbbn_1" hidden="1">{#N/A,#N/A,TRUE,"Y생산";#N/A,#N/A,TRUE,"Y판매";#N/A,#N/A,TRUE,"Y총물량";#N/A,#N/A,TRUE,"Y능력";#N/A,#N/A,TRUE,"YKD"}</definedName>
    <definedName name="DFGDFGDF" hidden="1">{#N/A,#N/A,FALSE,"단축1";#N/A,#N/A,FALSE,"단축2";#N/A,#N/A,FALSE,"단축3";#N/A,#N/A,FALSE,"장축";#N/A,#N/A,FALSE,"4WD"}</definedName>
    <definedName name="dfgds" hidden="1">{#N/A,#N/A,FALSE,"단축1";#N/A,#N/A,FALSE,"단축2";#N/A,#N/A,FALSE,"단축3";#N/A,#N/A,FALSE,"장축";#N/A,#N/A,FALSE,"4WD"}</definedName>
    <definedName name="DFGDSS" hidden="1">{#N/A,#N/A,FALSE,"단축1";#N/A,#N/A,FALSE,"단축2";#N/A,#N/A,FALSE,"단축3";#N/A,#N/A,FALSE,"장축";#N/A,#N/A,FALSE,"4WD"}</definedName>
    <definedName name="dfgfgh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GGHHH" hidden="1">{#N/A,#N/A,FALSE,"PART-1234-8-12-9(41)";#N/A,#N/A,FALSE,"PARTS-2(3)";#N/A,#N/A,FALSE,"VAN SYSTEM";#N/A,#N/A,FALSE,"PARTS-10(26)";#N/A,#N/A,FALSE,"PART-5-6-7-11(14)";#N/A,#N/A,FALSE,"PARTS-4(3)";#N/A,#N/A,FALSE,"PCLASS"}</definedName>
    <definedName name="DFGHH" hidden="1">{#N/A,#N/A,FALSE,"단축1";#N/A,#N/A,FALSE,"단축2";#N/A,#N/A,FALSE,"단축3";#N/A,#N/A,FALSE,"장축";#N/A,#N/A,FALSE,"4WD"}</definedName>
    <definedName name="DFGHHHJK" hidden="1">{#N/A,#N/A,FALSE,"PART-1234-8-12-9(41)";#N/A,#N/A,FALSE,"PARTS-2(3)";#N/A,#N/A,FALSE,"VAN SYSTEM";#N/A,#N/A,FALSE,"PARTS-10(26)";#N/A,#N/A,FALSE,"PART-5-6-7-11(14)";#N/A,#N/A,FALSE,"PARTS-4(3)";#N/A,#N/A,FALSE,"PCLASS"}</definedName>
    <definedName name="DFGHHJK" hidden="1">{#N/A,#N/A,FALSE,"PART-1234-8-12-9(41)";#N/A,#N/A,FALSE,"PARTS-2(3)";#N/A,#N/A,FALSE,"VAN SYSTEM";#N/A,#N/A,FALSE,"PARTS-10(26)";#N/A,#N/A,FALSE,"PART-5-6-7-11(14)";#N/A,#N/A,FALSE,"PARTS-4(3)";#N/A,#N/A,FALSE,"PCLASS"}</definedName>
    <definedName name="DFGHJKLLL" hidden="1">{#N/A,#N/A,FALSE,"PART-1234-8-12-9(41)";#N/A,#N/A,FALSE,"PARTS-2(3)";#N/A,#N/A,FALSE,"VAN SYSTEM";#N/A,#N/A,FALSE,"PARTS-10(26)";#N/A,#N/A,FALSE,"PART-5-6-7-11(14)";#N/A,#N/A,FALSE,"PARTS-4(3)";#N/A,#N/A,FALSE,"PCLASS"}</definedName>
    <definedName name="DFGHS" hidden="1">{#N/A,#N/A,FALSE,"단축1";#N/A,#N/A,FALSE,"단축2";#N/A,#N/A,FALSE,"단축3";#N/A,#N/A,FALSE,"장축";#N/A,#N/A,FALSE,"4WD"}</definedName>
    <definedName name="dfghsadfghsdfghsdhfgsdgh" hidden="1">{#N/A,#N/A,FALSE,"단축1";#N/A,#N/A,FALSE,"단축2";#N/A,#N/A,FALSE,"단축3";#N/A,#N/A,FALSE,"장축";#N/A,#N/A,FALSE,"4WD"}</definedName>
    <definedName name="dfghsdgh" hidden="1">{#N/A,#N/A,FALSE,"단축1";#N/A,#N/A,FALSE,"단축2";#N/A,#N/A,FALSE,"단축3";#N/A,#N/A,FALSE,"장축";#N/A,#N/A,FALSE,"4WD"}</definedName>
    <definedName name="DFGRGR" hidden="1">{#N/A,#N/A,FALSE,"단축1";#N/A,#N/A,FALSE,"단축2";#N/A,#N/A,FALSE,"단축3";#N/A,#N/A,FALSE,"장축";#N/A,#N/A,FALSE,"4WD"}</definedName>
    <definedName name="DFGS" hidden="1">{#N/A,#N/A,FALSE,"을지 (4)";#N/A,#N/A,FALSE,"을지 (5)";#N/A,#N/A,FALSE,"을지 (6)"}</definedName>
    <definedName name="DFGSDHFDSFHG" hidden="1">{#N/A,#N/A,FALSE,"단축1";#N/A,#N/A,FALSE,"단축2";#N/A,#N/A,FALSE,"단축3";#N/A,#N/A,FALSE,"장축";#N/A,#N/A,FALSE,"4WD"}</definedName>
    <definedName name="DFGSg" hidden="1">{#N/A,#N/A,FALSE,"단축1";#N/A,#N/A,FALSE,"단축2";#N/A,#N/A,FALSE,"단축3";#N/A,#N/A,FALSE,"장축";#N/A,#N/A,FALSE,"4WD"}</definedName>
    <definedName name="dfgt" hidden="1">{#N/A,#N/A,FALSE,"단축1";#N/A,#N/A,FALSE,"단축2";#N/A,#N/A,FALSE,"단축3";#N/A,#N/A,FALSE,"장축";#N/A,#N/A,FALSE,"4WD"}</definedName>
    <definedName name="DFH" hidden="1">{#N/A,#N/A,FALSE,"단축1";#N/A,#N/A,FALSE,"단축2";#N/A,#N/A,FALSE,"단축3";#N/A,#N/A,FALSE,"장축";#N/A,#N/A,FALSE,"4WD"}</definedName>
    <definedName name="DFHD2" hidden="1">{#N/A,#N/A,FALSE,"단축1";#N/A,#N/A,FALSE,"단축2";#N/A,#N/A,FALSE,"단축3";#N/A,#N/A,FALSE,"장축";#N/A,#N/A,FALSE,"4WD"}</definedName>
    <definedName name="DFHG" hidden="1">{#N/A,#N/A,FALSE,"단축1";#N/A,#N/A,FALSE,"단축2";#N/A,#N/A,FALSE,"단축3";#N/A,#N/A,FALSE,"장축";#N/A,#N/A,FALSE,"4WD"}</definedName>
    <definedName name="dfhgfd" hidden="1">{#N/A,#N/A,FALSE,"산학연 합동연구";#N/A,#N/A,FALSE,"96업무계획";#N/A,#N/A,FALSE,"96기술개발계획";#N/A,#N/A,FALSE,"인력양성";#N/A,#N/A,FALSE,"7. 원가절감계획";#N/A,#N/A,FALSE,"노무";#N/A,#N/A,FALSE,"업무계획";#N/A,#N/A,FALSE,"제목"}</definedName>
    <definedName name="DFHGFDH" hidden="1">{#N/A,#N/A,FALSE,"단축1";#N/A,#N/A,FALSE,"단축2";#N/A,#N/A,FALSE,"단축3";#N/A,#N/A,FALSE,"장축";#N/A,#N/A,FALSE,"4WD"}</definedName>
    <definedName name="DFHH" hidden="1">{#N/A,#N/A,FALSE,"단축1";#N/A,#N/A,FALSE,"단축2";#N/A,#N/A,FALSE,"단축3";#N/A,#N/A,FALSE,"장축";#N/A,#N/A,FALSE,"4WD"}</definedName>
    <definedName name="DFHJ" hidden="1">{#N/A,#N/A,FALSE,"단축1";#N/A,#N/A,FALSE,"단축2";#N/A,#N/A,FALSE,"단축3";#N/A,#N/A,FALSE,"장축";#N/A,#N/A,FALSE,"4WD"}</definedName>
    <definedName name="DFHJ_1" hidden="1">{#N/A,#N/A,FALSE,"단축1";#N/A,#N/A,FALSE,"단축2";#N/A,#N/A,FALSE,"단축3";#N/A,#N/A,FALSE,"장축";#N/A,#N/A,FALSE,"4WD"}</definedName>
    <definedName name="DFHJ_2" hidden="1">{#N/A,#N/A,FALSE,"단축1";#N/A,#N/A,FALSE,"단축2";#N/A,#N/A,FALSE,"단축3";#N/A,#N/A,FALSE,"장축";#N/A,#N/A,FALSE,"4WD"}</definedName>
    <definedName name="DFHJFD" hidden="1">{0,0,0,0}</definedName>
    <definedName name="DFJDFJFJFJF" hidden="1">{#N/A,#N/A,TRUE,"Y생산";#N/A,#N/A,TRUE,"Y판매";#N/A,#N/A,TRUE,"Y총물량";#N/A,#N/A,TRUE,"Y능력";#N/A,#N/A,TRUE,"YKD"}</definedName>
    <definedName name="DFJHD" hidden="1">{#N/A,#N/A,FALSE,"단축1";#N/A,#N/A,FALSE,"단축2";#N/A,#N/A,FALSE,"단축3";#N/A,#N/A,FALSE,"장축";#N/A,#N/A,FALSE,"4WD"}</definedName>
    <definedName name="dfjskl" hidden="1">{#N/A,#N/A,FALSE,"단축1";#N/A,#N/A,FALSE,"단축2";#N/A,#N/A,FALSE,"단축3";#N/A,#N/A,FALSE,"장축";#N/A,#N/A,FALSE,"4WD"}</definedName>
    <definedName name="DFMEA" hidden="1">{#N/A,#N/A,FALSE,"단축1";#N/A,#N/A,FALSE,"단축2";#N/A,#N/A,FALSE,"단축3";#N/A,#N/A,FALSE,"장축";#N/A,#N/A,FALSE,"4WD"}</definedName>
    <definedName name="DFMEA_1" hidden="1">{#N/A,#N/A,FALSE,"단축1";#N/A,#N/A,FALSE,"단축2";#N/A,#N/A,FALSE,"단축3";#N/A,#N/A,FALSE,"장축";#N/A,#N/A,FALSE,"4WD"}</definedName>
    <definedName name="DFMEA_2" hidden="1">{#N/A,#N/A,FALSE,"단축1";#N/A,#N/A,FALSE,"단축2";#N/A,#N/A,FALSE,"단축3";#N/A,#N/A,FALSE,"장축";#N/A,#N/A,FALSE,"4WD"}</definedName>
    <definedName name="DFRE" hidden="1">{"'7-2지역별'!$A$1:$R$44"}</definedName>
    <definedName name="dfrefrrrrrr" hidden="1">{#N/A,#N/A,TRUE,"Y생산";#N/A,#N/A,TRUE,"Y판매";#N/A,#N/A,TRUE,"Y총물량";#N/A,#N/A,TRUE,"Y능력";#N/A,#N/A,TRUE,"YKD"}</definedName>
    <definedName name="dfrrrrr" hidden="1">{#N/A,#N/A,FALSE,"단축1";#N/A,#N/A,FALSE,"단축2";#N/A,#N/A,FALSE,"단축3";#N/A,#N/A,FALSE,"장축";#N/A,#N/A,FALSE,"4WD"}</definedName>
    <definedName name="DFS" hidden="1">{#N/A,#N/A,FALSE,"단축1";#N/A,#N/A,FALSE,"단축2";#N/A,#N/A,FALSE,"단축3";#N/A,#N/A,FALSE,"장축";#N/A,#N/A,FALSE,"4WD"}</definedName>
    <definedName name="DFSA32ASD" hidden="1">#REF!</definedName>
    <definedName name="DFSDF" hidden="1">{#N/A,#N/A,FALSE,"단축1";#N/A,#N/A,FALSE,"단축2";#N/A,#N/A,FALSE,"단축3";#N/A,#N/A,FALSE,"장축";#N/A,#N/A,FALSE,"4WD"}</definedName>
    <definedName name="DFSDFS" hidden="1">#REF!</definedName>
    <definedName name="DFSDGDGHDH" hidden="1">{"'7-2지역별'!$A$1:$R$44"}</definedName>
    <definedName name="DG" hidden="1">{#N/A,#N/A,FALSE,"단축1";#N/A,#N/A,FALSE,"단축2";#N/A,#N/A,FALSE,"단축3";#N/A,#N/A,FALSE,"장축";#N/A,#N/A,FALSE,"4WD"}</definedName>
    <definedName name="dg_1" hidden="1">{#N/A,#N/A,FALSE,"단축1";#N/A,#N/A,FALSE,"단축2";#N/A,#N/A,FALSE,"단축3";#N/A,#N/A,FALSE,"장축";#N/A,#N/A,FALSE,"4WD"}</definedName>
    <definedName name="DGD" hidden="1">{#N/A,#N/A,FALSE,"단축1";#N/A,#N/A,FALSE,"단축2";#N/A,#N/A,FALSE,"단축3";#N/A,#N/A,FALSE,"장축";#N/A,#N/A,FALSE,"4WD"}</definedName>
    <definedName name="DGDF" hidden="1">{#N/A,#N/A,FALSE,"단축1";#N/A,#N/A,FALSE,"단축2";#N/A,#N/A,FALSE,"단축3";#N/A,#N/A,FALSE,"장축";#N/A,#N/A,FALSE,"4WD"}</definedName>
    <definedName name="DGDSH" hidden="1">{#N/A,#N/A,FALSE,"단축1";#N/A,#N/A,FALSE,"단축2";#N/A,#N/A,FALSE,"단축3";#N/A,#N/A,FALSE,"장축";#N/A,#N/A,FALSE,"4WD"}</definedName>
    <definedName name="DGF" hidden="1">{#N/A,#N/A,FALSE,"단축1";#N/A,#N/A,FALSE,"단축2";#N/A,#N/A,FALSE,"단축3";#N/A,#N/A,FALSE,"장축";#N/A,#N/A,FALSE,"4WD"}</definedName>
    <definedName name="DGF_1" hidden="1">{#N/A,#N/A,FALSE,"단축1";#N/A,#N/A,FALSE,"단축2";#N/A,#N/A,FALSE,"단축3";#N/A,#N/A,FALSE,"장축";#N/A,#N/A,FALSE,"4WD"}</definedName>
    <definedName name="DGF_2" hidden="1">{#N/A,#N/A,FALSE,"단축1";#N/A,#N/A,FALSE,"단축2";#N/A,#N/A,FALSE,"단축3";#N/A,#N/A,FALSE,"장축";#N/A,#N/A,FALSE,"4WD"}</definedName>
    <definedName name="dgfn" hidden="1">{#N/A,#N/A,FALSE,"단축1";#N/A,#N/A,FALSE,"단축2";#N/A,#N/A,FALSE,"단축3";#N/A,#N/A,FALSE,"장축";#N/A,#N/A,FALSE,"4WD"}</definedName>
    <definedName name="dgfrhg" hidden="1">{#N/A,#N/A,TRUE,"Y생산";#N/A,#N/A,TRUE,"Y판매";#N/A,#N/A,TRUE,"Y총물량";#N/A,#N/A,TRUE,"Y능력";#N/A,#N/A,TRUE,"YKD"}</definedName>
    <definedName name="dgfrhg_1" hidden="1">{#N/A,#N/A,TRUE,"Y생산";#N/A,#N/A,TRUE,"Y판매";#N/A,#N/A,TRUE,"Y총물량";#N/A,#N/A,TRUE,"Y능력";#N/A,#N/A,TRUE,"YKD"}</definedName>
    <definedName name="DGFTXDVS" hidden="1">{#N/A,#N/A,FALSE,"단축1";#N/A,#N/A,FALSE,"단축2";#N/A,#N/A,FALSE,"단축3";#N/A,#N/A,FALSE,"장축";#N/A,#N/A,FALSE,"4WD"}</definedName>
    <definedName name="dgh" hidden="1">{#N/A,#N/A,FALSE,"단축1";#N/A,#N/A,FALSE,"단축2";#N/A,#N/A,FALSE,"단축3";#N/A,#N/A,FALSE,"장축";#N/A,#N/A,FALSE,"4WD"}</definedName>
    <definedName name="DGHGFDS" hidden="1">{#N/A,#N/A,FALSE,"단축1";#N/A,#N/A,FALSE,"단축2";#N/A,#N/A,FALSE,"단축3";#N/A,#N/A,FALSE,"장축";#N/A,#N/A,FALSE,"4WD"}</definedName>
    <definedName name="DGJSRGH" hidden="1">{#N/A,#N/A,FALSE,"단축1";#N/A,#N/A,FALSE,"단축2";#N/A,#N/A,FALSE,"단축3";#N/A,#N/A,FALSE,"장축";#N/A,#N/A,FALSE,"4WD"}</definedName>
    <definedName name="DGJSRGH_1" hidden="1">{#N/A,#N/A,FALSE,"단축1";#N/A,#N/A,FALSE,"단축2";#N/A,#N/A,FALSE,"단축3";#N/A,#N/A,FALSE,"장축";#N/A,#N/A,FALSE,"4WD"}</definedName>
    <definedName name="DGJSRGH_2" hidden="1">{#N/A,#N/A,FALSE,"단축1";#N/A,#N/A,FALSE,"단축2";#N/A,#N/A,FALSE,"단축3";#N/A,#N/A,FALSE,"장축";#N/A,#N/A,FALSE,"4WD"}</definedName>
    <definedName name="dgn" hidden="1">{#N/A,#N/A,FALSE,"단축1";#N/A,#N/A,FALSE,"단축2";#N/A,#N/A,FALSE,"단축3";#N/A,#N/A,FALSE,"장축";#N/A,#N/A,FALSE,"4WD"}</definedName>
    <definedName name="DGRDF" hidden="1">{#N/A,#N/A,FALSE,"을지 (4)";#N/A,#N/A,FALSE,"을지 (5)";#N/A,#N/A,FALSE,"을지 (6)"}</definedName>
    <definedName name="DGSDGXV" hidden="1">{#N/A,#N/A,FALSE,"단축1";#N/A,#N/A,FALSE,"단축2";#N/A,#N/A,FALSE,"단축3";#N/A,#N/A,FALSE,"장축";#N/A,#N/A,FALSE,"4WD"}</definedName>
    <definedName name="DGSGDSGDSGD" hidden="1">{#N/A,#N/A,FALSE,"단축1";#N/A,#N/A,FALSE,"단축2";#N/A,#N/A,FALSE,"단축3";#N/A,#N/A,FALSE,"장축";#N/A,#N/A,FALSE,"4WD"}</definedName>
    <definedName name="DGSRFDFGGEQQWF" hidden="1">{#N/A,#N/A,FALSE,"단축1";#N/A,#N/A,FALSE,"단축2";#N/A,#N/A,FALSE,"단축3";#N/A,#N/A,FALSE,"장축";#N/A,#N/A,FALSE,"4WD"}</definedName>
    <definedName name="DGUJTYI" hidden="1">{#VALUE!,#N/A,FALSE,0;#N/A,#N/A,FALSE,0;#N/A,#N/A,FALSE,0;#N/A,#N/A,FALSE,0;#N/A,#N/A,FALSE,0}</definedName>
    <definedName name="DH" hidden="1">{#N/A,#N/A,FALSE,"단축1";#N/A,#N/A,FALSE,"단축2";#N/A,#N/A,FALSE,"단축3";#N/A,#N/A,FALSE,"장축";#N/A,#N/A,FALSE,"4WD"}</definedName>
    <definedName name="DHD" hidden="1">{#N/A,#N/A,FALSE,"단축1";#N/A,#N/A,FALSE,"단축2";#N/A,#N/A,FALSE,"단축3";#N/A,#N/A,FALSE,"장축";#N/A,#N/A,FALSE,"4WD"}</definedName>
    <definedName name="dhdh" hidden="1">{"'표지'!$B$5"}</definedName>
    <definedName name="DHFGGD" hidden="1">{#N/A,#N/A,FALSE,"단축1";#N/A,#N/A,FALSE,"단축2";#N/A,#N/A,FALSE,"단축3";#N/A,#N/A,FALSE,"장축";#N/A,#N/A,FALSE,"4WD"}</definedName>
    <definedName name="DHG" hidden="1">{#N/A,#N/A,FALSE,"단축1";#N/A,#N/A,FALSE,"단축2";#N/A,#N/A,FALSE,"단축3";#N/A,#N/A,FALSE,"장축";#N/A,#N/A,FALSE,"4WD"}</definedName>
    <definedName name="DHGF" hidden="1">{#N/A,#N/A,FALSE,"단축1";#N/A,#N/A,FALSE,"단축2";#N/A,#N/A,FALSE,"단축3";#N/A,#N/A,FALSE,"장축";#N/A,#N/A,FALSE,"4WD"}</definedName>
    <definedName name="DHGFGG" hidden="1">{#N/A,#N/A,FALSE,"단축1";#N/A,#N/A,FALSE,"단축2";#N/A,#N/A,FALSE,"단축3";#N/A,#N/A,FALSE,"장축";#N/A,#N/A,FALSE,"4WD"}</definedName>
    <definedName name="DHGFYJMGJM" hidden="1">{#N/A,#N/A,FALSE,"단축1";#N/A,#N/A,FALSE,"단축2";#N/A,#N/A,FALSE,"단축3";#N/A,#N/A,FALSE,"장축";#N/A,#N/A,FALSE,"4WD"}</definedName>
    <definedName name="dhkdkd" hidden="1">{#N/A,#N/A,FALSE,"단축1";#N/A,#N/A,FALSE,"단축2";#N/A,#N/A,FALSE,"단축3";#N/A,#N/A,FALSE,"장축";#N/A,#N/A,FALSE,"4WD"}</definedName>
    <definedName name="dhkdkd_1" hidden="1">{#N/A,#N/A,FALSE,"단축1";#N/A,#N/A,FALSE,"단축2";#N/A,#N/A,FALSE,"단축3";#N/A,#N/A,FALSE,"장축";#N/A,#N/A,FALSE,"4WD"}</definedName>
    <definedName name="dhui" hidden="1">{#N/A,#N/A,TRUE,"Y생산";#N/A,#N/A,TRUE,"Y판매";#N/A,#N/A,TRUE,"Y총물량";#N/A,#N/A,TRUE,"Y능력";#N/A,#N/A,TRUE,"YKD"}</definedName>
    <definedName name="DHYUE" hidden="1">{#N/A,#N/A,FALSE,"단축1";#N/A,#N/A,FALSE,"단축2";#N/A,#N/A,FALSE,"단축3";#N/A,#N/A,FALSE,"장축";#N/A,#N/A,FALSE,"4WD"}</definedName>
    <definedName name="DIAPH" hidden="1">{#N/A,#N/A,FALSE,"단축1";#N/A,#N/A,FALSE,"단축2";#N/A,#N/A,FALSE,"단축3";#N/A,#N/A,FALSE,"장축";#N/A,#N/A,FALSE,"4WD"}</definedName>
    <definedName name="DID" hidden="1">{#N/A,#N/A,FALSE,"단축1";#N/A,#N/A,FALSE,"단축2";#N/A,#N/A,FALSE,"단축3";#N/A,#N/A,FALSE,"장축";#N/A,#N/A,FALSE,"4WD"}</definedName>
    <definedName name="DIDTLR" hidden="1">{#N/A,#N/A,FALSE,"KMC최종회의(7월) 자료"}</definedName>
    <definedName name="DIDTLR_1" hidden="1">{#N/A,#N/A,FALSE,"KMC최종회의(7월) 자료"}</definedName>
    <definedName name="DIE" hidden="1">{#N/A,#N/A,FALSE,"단축1";#N/A,#N/A,FALSE,"단축2";#N/A,#N/A,FALSE,"단축3";#N/A,#N/A,FALSE,"장축";#N/A,#N/A,FALSE,"4WD"}</definedName>
    <definedName name="DIE_1" hidden="1">{#N/A,#N/A,FALSE,"단축1";#N/A,#N/A,FALSE,"단축2";#N/A,#N/A,FALSE,"단축3";#N/A,#N/A,FALSE,"장축";#N/A,#N/A,FALSE,"4WD"}</definedName>
    <definedName name="DIESEL" hidden="1">{#N/A,#N/A,FALSE,"단축1";#N/A,#N/A,FALSE,"단축2";#N/A,#N/A,FALSE,"단축3";#N/A,#N/A,FALSE,"장축";#N/A,#N/A,FALSE,"4WD"}</definedName>
    <definedName name="DIESEL_1" hidden="1">{#N/A,#N/A,FALSE,"단축1";#N/A,#N/A,FALSE,"단축2";#N/A,#N/A,FALSE,"단축3";#N/A,#N/A,FALSE,"장축";#N/A,#N/A,FALSE,"4WD"}</definedName>
    <definedName name="DIESELLL" hidden="1">{#N/A,#N/A,FALSE,"단축1";#N/A,#N/A,FALSE,"단축2";#N/A,#N/A,FALSE,"단축3";#N/A,#N/A,FALSE,"장축";#N/A,#N/A,FALSE,"4WD"}</definedName>
    <definedName name="DIESELLL_1" hidden="1">{#N/A,#N/A,FALSE,"단축1";#N/A,#N/A,FALSE,"단축2";#N/A,#N/A,FALSE,"단축3";#N/A,#N/A,FALSE,"장축";#N/A,#N/A,FALSE,"4WD"}</definedName>
    <definedName name="DIJS" hidden="1">{#N/A,#N/A,FALSE,"단축1";#N/A,#N/A,FALSE,"단축2";#N/A,#N/A,FALSE,"단축3";#N/A,#N/A,FALSE,"장축";#N/A,#N/A,FALSE,"4WD"}</definedName>
    <definedName name="DILSS" hidden="1">{#N/A,#N/A,FALSE,"단축1";#N/A,#N/A,FALSE,"단축2";#N/A,#N/A,FALSE,"단축3";#N/A,#N/A,FALSE,"장축";#N/A,#N/A,FALSE,"4WD"}</definedName>
    <definedName name="DIM" hidden="1">{#N/A,#N/A,FALSE,"단축1";#N/A,#N/A,FALSE,"단축2";#N/A,#N/A,FALSE,"단축3";#N/A,#N/A,FALSE,"장축";#N/A,#N/A,FALSE,"4WD"}</definedName>
    <definedName name="DimS성적서" hidden="1">{#N/A,#N/A,FALSE,"단축1";#N/A,#N/A,FALSE,"단축2";#N/A,#N/A,FALSE,"단축3";#N/A,#N/A,FALSE,"장축";#N/A,#N/A,FALSE,"4WD"}</definedName>
    <definedName name="DJ" hidden="1">#REF!</definedName>
    <definedName name="djbtezsr" hidden="1">{#N/A,#N/A,FALSE,"단축1";#N/A,#N/A,FALSE,"단축2";#N/A,#N/A,FALSE,"단축3";#N/A,#N/A,FALSE,"장축";#N/A,#N/A,FALSE,"4WD"}</definedName>
    <definedName name="DJCJJS" hidden="1">{#N/A,#N/A,FALSE,"단축1";#N/A,#N/A,FALSE,"단축2";#N/A,#N/A,FALSE,"단축3";#N/A,#N/A,FALSE,"장축";#N/A,#N/A,FALSE,"4WD"}</definedName>
    <definedName name="DJDQ" hidden="1">{#N/A,#N/A,FALSE,"단축1";#N/A,#N/A,FALSE,"단축2";#N/A,#N/A,FALSE,"단축3";#N/A,#N/A,FALSE,"장축";#N/A,#N/A,FALSE,"4WD"}</definedName>
    <definedName name="djee" hidden="1">{#N/A,#N/A,FALSE,"단축1";#N/A,#N/A,FALSE,"단축2";#N/A,#N/A,FALSE,"단축3";#N/A,#N/A,FALSE,"장축";#N/A,#N/A,FALSE,"4WD"}</definedName>
    <definedName name="DJFDD" hidden="1">{#N/A,#N/A,FALSE,"단축1";#N/A,#N/A,FALSE,"단축2";#N/A,#N/A,FALSE,"단축3";#N/A,#N/A,FALSE,"장축";#N/A,#N/A,FALSE,"4WD"}</definedName>
    <definedName name="DJFHJ" hidden="1">{#N/A,#N/A,FALSE,"단축1";#N/A,#N/A,FALSE,"단축2";#N/A,#N/A,FALSE,"단축3";#N/A,#N/A,FALSE,"장축";#N/A,#N/A,FALSE,"4WD"}</definedName>
    <definedName name="DJFHJ_1" hidden="1">{#N/A,#N/A,FALSE,"단축1";#N/A,#N/A,FALSE,"단축2";#N/A,#N/A,FALSE,"단축3";#N/A,#N/A,FALSE,"장축";#N/A,#N/A,FALSE,"4WD"}</definedName>
    <definedName name="DJFHJ_2" hidden="1">{#N/A,#N/A,FALSE,"단축1";#N/A,#N/A,FALSE,"단축2";#N/A,#N/A,FALSE,"단축3";#N/A,#N/A,FALSE,"장축";#N/A,#N/A,FALSE,"4WD"}</definedName>
    <definedName name="DJGHJ" hidden="1">{#N/A,#N/A,FALSE,"단축1";#N/A,#N/A,FALSE,"단축2";#N/A,#N/A,FALSE,"단축3";#N/A,#N/A,FALSE,"장축";#N/A,#N/A,FALSE,"4WD"}</definedName>
    <definedName name="DJGHJ_1" hidden="1">{#N/A,#N/A,FALSE,"단축1";#N/A,#N/A,FALSE,"단축2";#N/A,#N/A,FALSE,"단축3";#N/A,#N/A,FALSE,"장축";#N/A,#N/A,FALSE,"4WD"}</definedName>
    <definedName name="DJGHJ_2" hidden="1">{#N/A,#N/A,FALSE,"단축1";#N/A,#N/A,FALSE,"단축2";#N/A,#N/A,FALSE,"단축3";#N/A,#N/A,FALSE,"장축";#N/A,#N/A,FALSE,"4WD"}</definedName>
    <definedName name="DJHD" hidden="1">{#N/A,#N/A,FALSE,"단축1";#N/A,#N/A,FALSE,"단축2";#N/A,#N/A,FALSE,"단축3";#N/A,#N/A,FALSE,"장축";#N/A,#N/A,FALSE,"4WD"}</definedName>
    <definedName name="DJHD_1" hidden="1">{#N/A,#N/A,FALSE,"단축1";#N/A,#N/A,FALSE,"단축2";#N/A,#N/A,FALSE,"단축3";#N/A,#N/A,FALSE,"장축";#N/A,#N/A,FALSE,"4WD"}</definedName>
    <definedName name="DJHD_2" hidden="1">{#N/A,#N/A,FALSE,"단축1";#N/A,#N/A,FALSE,"단축2";#N/A,#N/A,FALSE,"단축3";#N/A,#N/A,FALSE,"장축";#N/A,#N/A,FALSE,"4WD"}</definedName>
    <definedName name="DJNFD" hidden="1">{#N/A,#N/A,FALSE,"단축1";#N/A,#N/A,FALSE,"단축2";#N/A,#N/A,FALSE,"단축3";#N/A,#N/A,FALSE,"장축";#N/A,#N/A,FALSE,"4WD"}</definedName>
    <definedName name="DJOJLKD" hidden="1">{#N/A,#N/A,TRUE,"Y생산";#N/A,#N/A,TRUE,"Y판매";#N/A,#N/A,TRUE,"Y총물량";#N/A,#N/A,TRUE,"Y능력";#N/A,#N/A,TRUE,"YKD"}</definedName>
    <definedName name="DKD" hidden="1">{#N/A,#N/A,FALSE,"KMC최종회의(7월) 자료"}</definedName>
    <definedName name="DKD_1" hidden="1">{#N/A,#N/A,FALSE,"KMC최종회의(7월) 자료"}</definedName>
    <definedName name="dkdk" hidden="1">{#N/A,#N/A,FALSE,"단축1";#N/A,#N/A,FALSE,"단축2";#N/A,#N/A,FALSE,"단축3";#N/A,#N/A,FALSE,"장축";#N/A,#N/A,FALSE,"4WD"}</definedName>
    <definedName name="dkdk_1" hidden="1">{#N/A,#N/A,FALSE,"단축1";#N/A,#N/A,FALSE,"단축2";#N/A,#N/A,FALSE,"단축3";#N/A,#N/A,FALSE,"장축";#N/A,#N/A,FALSE,"4WD"}</definedName>
    <definedName name="dkdk_2" hidden="1">{#N/A,#N/A,FALSE,"단축1";#N/A,#N/A,FALSE,"단축2";#N/A,#N/A,FALSE,"단축3";#N/A,#N/A,FALSE,"장축";#N/A,#N/A,FALSE,"4WD"}</definedName>
    <definedName name="dkdkd" hidden="1">{#N/A,#N/A,FALSE,"개발계획표지";#N/A,#N/A,FALSE,"목차";#N/A,#N/A,FALSE,"개요"}</definedName>
    <definedName name="dkdldy" hidden="1">{#N/A,#N/A,FALSE,"단축1";#N/A,#N/A,FALSE,"단축2";#N/A,#N/A,FALSE,"단축3";#N/A,#N/A,FALSE,"장축";#N/A,#N/A,FALSE,"4WD"}</definedName>
    <definedName name="dkdlrh" hidden="1">{#N/A,#N/A,FALSE,"단축1";#N/A,#N/A,FALSE,"단축2";#N/A,#N/A,FALSE,"단축3";#N/A,#N/A,FALSE,"장축";#N/A,#N/A,FALSE,"4WD"}</definedName>
    <definedName name="dkf" hidden="1">{#N/A,#N/A,FALSE,"단축1";#N/A,#N/A,FALSE,"단축2";#N/A,#N/A,FALSE,"단축3";#N/A,#N/A,FALSE,"장축";#N/A,#N/A,FALSE,"4WD"}</definedName>
    <definedName name="dkf_1" hidden="1">{#N/A,#N/A,FALSE,"단축1";#N/A,#N/A,FALSE,"단축2";#N/A,#N/A,FALSE,"단축3";#N/A,#N/A,FALSE,"장축";#N/A,#N/A,FALSE,"4WD"}</definedName>
    <definedName name="DKFJALF" hidden="1">{#N/A,#N/A,FALSE,"단축1";#N/A,#N/A,FALSE,"단축2";#N/A,#N/A,FALSE,"단축3";#N/A,#N/A,FALSE,"장축";#N/A,#N/A,FALSE,"4WD"}</definedName>
    <definedName name="DKIKFAKDID" hidden="1">{#N/A,#N/A,FALSE,"단축1";#N/A,#N/A,FALSE,"단축2";#N/A,#N/A,FALSE,"단축3";#N/A,#N/A,FALSE,"장축";#N/A,#N/A,FALSE,"4WD"}</definedName>
    <definedName name="dkjdkdk" hidden="1">{#N/A,#N/A,FALSE,"단축1";#N/A,#N/A,FALSE,"단축2";#N/A,#N/A,FALSE,"단축3";#N/A,#N/A,FALSE,"장축";#N/A,#N/A,FALSE,"4WD"}</definedName>
    <definedName name="DKMDKJ" hidden="1">{#N/A,#N/A,FALSE,"단축1";#N/A,#N/A,FALSE,"단축2";#N/A,#N/A,FALSE,"단축3";#N/A,#N/A,FALSE,"장축";#N/A,#N/A,FALSE,"4WD"}</definedName>
    <definedName name="DKRL" hidden="1">{#N/A,#N/A,FALSE,"단축1";#N/A,#N/A,FALSE,"단축2";#N/A,#N/A,FALSE,"단축3";#N/A,#N/A,FALSE,"장축";#N/A,#N/A,FALSE,"4WD"}</definedName>
    <definedName name="DKS" hidden="1">{#N/A,#N/A,FALSE,"을지 (4)";#N/A,#N/A,FALSE,"을지 (5)";#N/A,#N/A,FALSE,"을지 (6)"}</definedName>
    <definedName name="DKSLDH" hidden="1">{#N/A,#N/A,FALSE,"단축1";#N/A,#N/A,FALSE,"단축2";#N/A,#N/A,FALSE,"단축3";#N/A,#N/A,FALSE,"장축";#N/A,#N/A,FALSE,"4WD"}</definedName>
    <definedName name="DKW" hidden="1">{#N/A,#N/A,FALSE,"단축1";#N/A,#N/A,FALSE,"단축2";#N/A,#N/A,FALSE,"단축3";#N/A,#N/A,FALSE,"장축";#N/A,#N/A,FALSE,"4WD"}</definedName>
    <definedName name="DKWDLA" hidden="1">{#N/A,#N/A,FALSE,"단축1";#N/A,#N/A,FALSE,"단축2";#N/A,#N/A,FALSE,"단축3";#N/A,#N/A,FALSE,"장축";#N/A,#N/A,FALSE,"4WD"}</definedName>
    <definedName name="DLA" hidden="1">{#N/A,#N/A,FALSE,"단축1";#N/A,#N/A,FALSE,"단축2";#N/A,#N/A,FALSE,"단축3";#N/A,#N/A,FALSE,"장축";#N/A,#N/A,FALSE,"4WD"}</definedName>
    <definedName name="DLAKL" hidden="1">{#N/A,#N/A,TRUE,"Y생산";#N/A,#N/A,TRUE,"Y판매";#N/A,#N/A,TRUE,"Y총물량";#N/A,#N/A,TRUE,"Y능력";#N/A,#N/A,TRUE,"YKD"}</definedName>
    <definedName name="DLAKL_1" hidden="1">{#N/A,#N/A,TRUE,"Y생산";#N/A,#N/A,TRUE,"Y판매";#N/A,#N/A,TRUE,"Y총물량";#N/A,#N/A,TRUE,"Y능력";#N/A,#N/A,TRUE,"YKD"}</definedName>
    <definedName name="DLAKL_2" hidden="1">{#N/A,#N/A,TRUE,"Y생산";#N/A,#N/A,TRUE,"Y판매";#N/A,#N/A,TRUE,"Y총물량";#N/A,#N/A,TRUE,"Y능력";#N/A,#N/A,TRUE,"YKD"}</definedName>
    <definedName name="DLATL" hidden="1">{#N/A,#N/A,FALSE,"단축1";#N/A,#N/A,FALSE,"단축2";#N/A,#N/A,FALSE,"단축3";#N/A,#N/A,FALSE,"장축";#N/A,#N/A,FALSE,"4WD"}</definedName>
    <definedName name="DLATL_1" hidden="1">{#N/A,#N/A,FALSE,"단축1";#N/A,#N/A,FALSE,"단축2";#N/A,#N/A,FALSE,"단축3";#N/A,#N/A,FALSE,"장축";#N/A,#N/A,FALSE,"4WD"}</definedName>
    <definedName name="dld" hidden="1">{#N/A,#N/A,FALSE,"KMC최종회의(7월) 자료"}</definedName>
    <definedName name="DLDIM" hidden="1">{#N/A,#N/A,FALSE,"정공"}</definedName>
    <definedName name="DLDL" hidden="1">{#N/A,#N/A,FALSE,"단축1";#N/A,#N/A,FALSE,"단축2";#N/A,#N/A,FALSE,"단축3";#N/A,#N/A,FALSE,"장축";#N/A,#N/A,FALSE,"4WD"}</definedName>
    <definedName name="DLDLD" hidden="1">{#N/A,#N/A,FALSE,"단축1";#N/A,#N/A,FALSE,"단축2";#N/A,#N/A,FALSE,"단축3";#N/A,#N/A,FALSE,"장축";#N/A,#N/A,FALSE,"4WD"}</definedName>
    <definedName name="DLDLDLD" hidden="1">{#N/A,#N/A,FALSE,"단축1";#N/A,#N/A,FALSE,"단축2";#N/A,#N/A,FALSE,"단축3";#N/A,#N/A,FALSE,"장축";#N/A,#N/A,FALSE,"4WD"}</definedName>
    <definedName name="DLDLDLDLL" hidden="1">{#N/A,#N/A,FALSE,"정공"}</definedName>
    <definedName name="dldlkdkldkldklklsdklsdksdkldsklklkldsdklsdkldsklklssdklsdklsdklsdklklsdkldssdklsdkldsklsdklsdklsdklsdklsdkldskklsdklsdklsdkldksdlsdklsdksdklsdkldklsdsklsdldklsdsklsdklsdkldklssdkl" hidden="1">{#N/A,#N/A,FALSE,"KMC최종회의(7월) 자료"}</definedName>
    <definedName name="DLEHD" hidden="1">{#N/A,#N/A,FALSE,"정공"}</definedName>
    <definedName name="dlehdcjs" hidden="1">{#N/A,#N/A,FALSE,"단축1";#N/A,#N/A,FALSE,"단축2";#N/A,#N/A,FALSE,"단축3";#N/A,#N/A,FALSE,"장축";#N/A,#N/A,FALSE,"4WD"}</definedName>
    <definedName name="DLF" hidden="1">{#N/A,#N/A,TRUE,"일정"}</definedName>
    <definedName name="DLFJS" hidden="1">{#N/A,#N/A,FALSE,"단축1";#N/A,#N/A,FALSE,"단축2";#N/A,#N/A,FALSE,"단축3";#N/A,#N/A,FALSE,"장축";#N/A,#N/A,FALSE,"4WD"}</definedName>
    <definedName name="DLFJSANJDIDDLDD" hidden="1">{#N/A,#N/A,FALSE,"단축1";#N/A,#N/A,FALSE,"단축2";#N/A,#N/A,FALSE,"단축3";#N/A,#N/A,FALSE,"장축";#N/A,#N/A,FALSE,"4WD"}</definedName>
    <definedName name="DLFMA" hidden="1">{#N/A,#N/A,TRUE,"일정"}</definedName>
    <definedName name="DLQL" hidden="1">{#N/A,#N/A,FALSE,"단축1";#N/A,#N/A,FALSE,"단축2";#N/A,#N/A,FALSE,"단축3";#N/A,#N/A,FALSE,"장축";#N/A,#N/A,FALSE,"4WD"}</definedName>
    <definedName name="DLRHD" hidden="1">{#N/A,#N/A,FALSE,"KMC최종회의(7월) 자료"}</definedName>
    <definedName name="DLRHD_1" hidden="1">{#N/A,#N/A,FALSE,"KMC최종회의(7월) 자료"}</definedName>
    <definedName name="DLRHD_2" hidden="1">{#N/A,#N/A,FALSE,"KMC최종회의(7월) 자료"}</definedName>
    <definedName name="dlruddls" hidden="1">{#N/A,#N/A,FALSE,"단축1";#N/A,#N/A,FALSE,"단축2";#N/A,#N/A,FALSE,"단축3";#N/A,#N/A,FALSE,"장축";#N/A,#N/A,FALSE,"4WD"}</definedName>
    <definedName name="DLS" hidden="1">{#N/A,#N/A,TRUE,"Y생산";#N/A,#N/A,TRUE,"Y판매";#N/A,#N/A,TRUE,"Y총물량";#N/A,#N/A,TRUE,"Y능력";#N/A,#N/A,TRUE,"YKD"}</definedName>
    <definedName name="DLS_1" hidden="1">{#N/A,#N/A,TRUE,"Y생산";#N/A,#N/A,TRUE,"Y판매";#N/A,#N/A,TRUE,"Y총물량";#N/A,#N/A,TRUE,"Y능력";#N/A,#N/A,TRUE,"YKD"}</definedName>
    <definedName name="DLTKDRNR" hidden="1">{#N/A,#N/A,FALSE,"초도품";#N/A,#N/A,FALSE,"초도품 (2)";#N/A,#N/A,FALSE,"초도품 (3)";#N/A,#N/A,FALSE,"초도품 (4)";#N/A,#N/A,FALSE,"초도품 (5)";#N/A,#N/A,FALSE,"초도품 (6)"}</definedName>
    <definedName name="DLTKDSJ" hidden="1">{#N/A,#N/A,FALSE,"PART-1234-8-12-9(41)";#N/A,#N/A,FALSE,"PARTS-2(3)";#N/A,#N/A,FALSE,"VAN SYSTEM";#N/A,#N/A,FALSE,"PARTS-10(26)";#N/A,#N/A,FALSE,"PART-5-6-7-11(14)";#N/A,#N/A,FALSE,"PARTS-4(3)";#N/A,#N/A,FALSE,"PCLASS"}</definedName>
    <definedName name="DLWLSTN" hidden="1">{"카메라",#N/A,FALSE,"일일현황"}</definedName>
    <definedName name="dmsgh" hidden="1">{#N/A,#N/A,FALSE,"단축1";#N/A,#N/A,FALSE,"단축2";#N/A,#N/A,FALSE,"단축3";#N/A,#N/A,FALSE,"장축";#N/A,#N/A,FALSE,"4WD"}</definedName>
    <definedName name="dn" hidden="1">{"'5'!$A$1:$BB$147"}</definedName>
    <definedName name="DNFL" hidden="1">{#N/A,#N/A,FALSE,"정공"}</definedName>
    <definedName name="DNFLA" hidden="1">{#N/A,#N/A,FALSE,"단축1";#N/A,#N/A,FALSE,"단축2";#N/A,#N/A,FALSE,"단축3";#N/A,#N/A,FALSE,"장축";#N/A,#N/A,FALSE,"4WD"}</definedName>
    <definedName name="DNTL" hidden="1">{#N/A,#N/A,FALSE,"단축1";#N/A,#N/A,FALSE,"단축2";#N/A,#N/A,FALSE,"단축3";#N/A,#N/A,FALSE,"장축";#N/A,#N/A,FALSE,"4WD"}</definedName>
    <definedName name="dq" hidden="1">{#N/A,#N/A,FALSE,"미판매분"}</definedName>
    <definedName name="dq_1" hidden="1">{#N/A,#N/A,FALSE,"미판매분"}</definedName>
    <definedName name="DR" hidden="1">{#N/A,#N/A,FALSE,"단축1";#N/A,#N/A,FALSE,"단축2";#N/A,#N/A,FALSE,"단축3";#N/A,#N/A,FALSE,"장축";#N/A,#N/A,FALSE,"4WD"}</definedName>
    <definedName name="DR2사진" hidden="1">{#N/A,#N/A,FALSE,"단축1";#N/A,#N/A,FALSE,"단축2";#N/A,#N/A,FALSE,"단축3";#N/A,#N/A,FALSE,"장축";#N/A,#N/A,FALSE,"4WD"}</definedName>
    <definedName name="DRECXES" hidden="1">{#N/A,#N/A,FALSE,"KMC최종회의(7월) 자료"}</definedName>
    <definedName name="DRECXES_1" hidden="1">{#N/A,#N/A,FALSE,"KMC최종회의(7월) 자료"}</definedName>
    <definedName name="DRFDGH" hidden="1">{#N/A,#N/A,FALSE,"단축1";#N/A,#N/A,FALSE,"단축2";#N/A,#N/A,FALSE,"단축3";#N/A,#N/A,FALSE,"장축";#N/A,#N/A,FALSE,"4WD"}</definedName>
    <definedName name="DRGDTHM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RIVEABILITY_1" hidden="1">{#N/A,#N/A,FALSE,"단축1";#N/A,#N/A,FALSE,"단축2";#N/A,#N/A,FALSE,"단축3";#N/A,#N/A,FALSE,"장축";#N/A,#N/A,FALSE,"4WD"}</definedName>
    <definedName name="DRIVEABILITY_2" hidden="1">{#N/A,#N/A,FALSE,"단축1";#N/A,#N/A,FALSE,"단축2";#N/A,#N/A,FALSE,"단축3";#N/A,#N/A,FALSE,"장축";#N/A,#N/A,FALSE,"4WD"}</definedName>
    <definedName name="DRLATCH" hidden="1">{#N/A,#N/A,FALSE,"단축1";#N/A,#N/A,FALSE,"단축2";#N/A,#N/A,FALSE,"단축3";#N/A,#N/A,FALSE,"장축";#N/A,#N/A,FALSE,"4WD"}</definedName>
    <definedName name="DRLATCH2" hidden="1">{#N/A,#N/A,FALSE,"단축1";#N/A,#N/A,FALSE,"단축2";#N/A,#N/A,FALSE,"단축3";#N/A,#N/A,FALSE,"장축";#N/A,#N/A,FALSE,"4WD"}</definedName>
    <definedName name="DS" hidden="1">{#N/A,#N/A,FALSE,"초도품";#N/A,#N/A,FALSE,"초도품 (2)";#N/A,#N/A,FALSE,"초도품 (3)";#N/A,#N/A,FALSE,"초도품 (4)";#N/A,#N/A,FALSE,"초도품 (5)";#N/A,#N/A,FALSE,"초도품 (6)"}</definedName>
    <definedName name="DSA" hidden="1">{#N/A,#N/A,FALSE,"을지 (4)";#N/A,#N/A,FALSE,"을지 (5)";#N/A,#N/A,FALSE,"을지 (6)"}</definedName>
    <definedName name="dsa_1" hidden="1">{#N/A,#N/A,FALSE,"KMC최종회의(7월) 자료"}</definedName>
    <definedName name="DSADDSADADSADASDADAA" hidden="1">{#N/A,#N/A,FALSE,"단축1";#N/A,#N/A,FALSE,"단축2";#N/A,#N/A,FALSE,"단축3";#N/A,#N/A,FALSE,"장축";#N/A,#N/A,FALSE,"4WD"}</definedName>
    <definedName name="dsafasdfas" hidden="1">#REF!</definedName>
    <definedName name="DSALDAFJALS" hidden="1">{#N/A,#N/A,FALSE,"해외크레임";#N/A,#N/A,FALSE,"ACCENT현황";#N/A,#N/A,FALSE,"AVANTE";#N/A,#N/A,FALSE,"SONATA(3)";#N/A,#N/A,FALSE,"국내크레임"}</definedName>
    <definedName name="DSASA" hidden="1">{"'7-2지역별'!$A$1:$R$44"}</definedName>
    <definedName name="dsasdad" hidden="1">{"'7-2지역별'!$A$1:$R$44"}</definedName>
    <definedName name="dsasdasdasdassda" hidden="1">{"'7-2지역별'!$A$1:$R$44"}</definedName>
    <definedName name="dsasf" hidden="1">{#N/A,#N/A,FALSE,"KMC최종회의(7월) 자료"}</definedName>
    <definedName name="dsasf_1" hidden="1">{#N/A,#N/A,FALSE,"KMC최종회의(7월) 자료"}</definedName>
    <definedName name="dsd" hidden="1">#REF!</definedName>
    <definedName name="DSDADF" hidden="1">{#N/A,#N/A,FALSE,"단축1";#N/A,#N/A,FALSE,"단축2";#N/A,#N/A,FALSE,"단축3";#N/A,#N/A,FALSE,"장축";#N/A,#N/A,FALSE,"4WD"}</definedName>
    <definedName name="DSDDD" hidden="1">{#N/A,#N/A,FALSE,"단축1";#N/A,#N/A,FALSE,"단축2";#N/A,#N/A,FALSE,"단축3";#N/A,#N/A,FALSE,"장축";#N/A,#N/A,FALSE,"4WD"}</definedName>
    <definedName name="DSDDS" hidden="1">{#N/A,#N/A,FALSE,"단축1";#N/A,#N/A,FALSE,"단축2";#N/A,#N/A,FALSE,"단축3";#N/A,#N/A,FALSE,"장축";#N/A,#N/A,FALSE,"4WD"}</definedName>
    <definedName name="DSDF" hidden="1">{#N/A,#N/A,FALSE,"단축1";#N/A,#N/A,FALSE,"단축2";#N/A,#N/A,FALSE,"단축3";#N/A,#N/A,FALSE,"장축";#N/A,#N/A,FALSE,"4WD"}</definedName>
    <definedName name="DSDFG" hidden="1">{#N/A,#N/A,FALSE,"KMC최종회의(7월) 자료"}</definedName>
    <definedName name="DSDS" hidden="1">{#N/A,#N/A,FALSE,"단축1";#N/A,#N/A,FALSE,"단축2";#N/A,#N/A,FALSE,"단축3";#N/A,#N/A,FALSE,"장축";#N/A,#N/A,FALSE,"4WD"}</definedName>
    <definedName name="DSDSD" hidden="1">{#N/A,#N/A,FALSE,"단축1";#N/A,#N/A,FALSE,"단축2";#N/A,#N/A,FALSE,"단축3";#N/A,#N/A,FALSE,"장축";#N/A,#N/A,FALSE,"4WD"}</definedName>
    <definedName name="dsdsdd" hidden="1">{"'7-2지역별'!$A$1:$R$44"}</definedName>
    <definedName name="dsdsdsd" hidden="1">{"'7-2지역별'!$A$1:$R$44"}</definedName>
    <definedName name="dsdsdsds" hidden="1">{"'7-2지역별'!$A$1:$R$44"}</definedName>
    <definedName name="DSDSFSDSDFSD" hidden="1">{#N/A,#N/A,FALSE,"단축1";#N/A,#N/A,FALSE,"단축2";#N/A,#N/A,FALSE,"단축3";#N/A,#N/A,FALSE,"장축";#N/A,#N/A,FALSE,"4WD"}</definedName>
    <definedName name="DSDV" hidden="1">{#N/A,#N/A,FALSE,"단축1";#N/A,#N/A,FALSE,"단축2";#N/A,#N/A,FALSE,"단축3";#N/A,#N/A,FALSE,"장축";#N/A,#N/A,FALSE,"4WD"}</definedName>
    <definedName name="dsewq" hidden="1">{#N/A,#N/A,FALSE,"KMC최종회의(7월) 자료"}</definedName>
    <definedName name="dsewq_1" hidden="1">{#N/A,#N/A,FALSE,"KMC최종회의(7월) 자료"}</definedName>
    <definedName name="DSF" hidden="1">{#N/A,#N/A,FALSE,"단축1";#N/A,#N/A,FALSE,"단축2";#N/A,#N/A,FALSE,"단축3";#N/A,#N/A,FALSE,"장축";#N/A,#N/A,FALSE,"4WD"}</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SDFSFSDF" hidden="1">#REF!</definedName>
    <definedName name="DSFBVGSRDER" hidden="1">{#N/A,#N/A,TRUE,"Y생산";#N/A,#N/A,TRUE,"Y판매";#N/A,#N/A,TRUE,"Y총물량";#N/A,#N/A,TRUE,"Y능력";#N/A,#N/A,TRUE,"YKD"}</definedName>
    <definedName name="DSFDS" hidden="1">#REF!</definedName>
    <definedName name="DSFgg" hidden="1">{#N/A,#N/A,FALSE,"단축1";#N/A,#N/A,FALSE,"단축2";#N/A,#N/A,FALSE,"단축3";#N/A,#N/A,FALSE,"장축";#N/A,#N/A,FALSE,"4WD"}</definedName>
    <definedName name="DSFHDFL" hidden="1">#REF!</definedName>
    <definedName name="DSFSD" hidden="1">#REF!</definedName>
    <definedName name="DSFSDASDF" hidden="1">{"'7-2지역별'!$A$1:$R$44"}</definedName>
    <definedName name="DSFSDSFDSD" hidden="1">{#N/A,#N/A,FALSE,"단축1";#N/A,#N/A,FALSE,"단축2";#N/A,#N/A,FALSE,"단축3";#N/A,#N/A,FALSE,"장축";#N/A,#N/A,FALSE,"4WD"}</definedName>
    <definedName name="dsfsf" hidden="1">{"SUM GER",#N/A,FALSE,"SUM GER";"SUM FRA",#N/A,FALSE,"SUM FRA";"SUM ITA",#N/A,FALSE,"SUM ITA";"SUM SPA",#N/A,FALSE,"SUM SPA";"SUM EGB",#N/A,FALSE,"SUM EGB";"SUM IND",#N/A,FALSE,"SUM IND"}</definedName>
    <definedName name="dsfwe" hidden="1">{#N/A,#N/A,TRUE,"Y생산";#N/A,#N/A,TRUE,"Y판매";#N/A,#N/A,TRUE,"Y총물량";#N/A,#N/A,TRUE,"Y능력";#N/A,#N/A,TRUE,"YKD"}</definedName>
    <definedName name="dsfwe_1" hidden="1">{#N/A,#N/A,TRUE,"Y생산";#N/A,#N/A,TRUE,"Y판매";#N/A,#N/A,TRUE,"Y총물량";#N/A,#N/A,TRUE,"Y능력";#N/A,#N/A,TRUE,"YKD"}</definedName>
    <definedName name="dsgs" hidden="1">{#N/A,#N/A,FALSE,"단축1";#N/A,#N/A,FALSE,"단축2";#N/A,#N/A,FALSE,"단축3";#N/A,#N/A,FALSE,"장축";#N/A,#N/A,FALSE,"4WD"}</definedName>
    <definedName name="DSJFHAEFQ1" hidden="1">{#N/A,#N/A,FALSE,"단축1";#N/A,#N/A,FALSE,"단축2";#N/A,#N/A,FALSE,"단축3";#N/A,#N/A,FALSE,"장축";#N/A,#N/A,FALSE,"4WD"}</definedName>
    <definedName name="DSL" hidden="1">{#N/A,#N/A,FALSE,"단축1";#N/A,#N/A,FALSE,"단축2";#N/A,#N/A,FALSE,"단축3";#N/A,#N/A,FALSE,"장축";#N/A,#N/A,FALSE,"4WD"}</definedName>
    <definedName name="DSL_1" hidden="1">{#N/A,#N/A,FALSE,"단축1";#N/A,#N/A,FALSE,"단축2";#N/A,#N/A,FALSE,"단축3";#N/A,#N/A,FALSE,"장축";#N/A,#N/A,FALSE,"4WD"}</definedName>
    <definedName name="DSSD" hidden="1">{#N/A,#N/A,FALSE,"을지 (4)";#N/A,#N/A,FALSE,"을지 (5)";#N/A,#N/A,FALSE,"을지 (6)"}</definedName>
    <definedName name="DSW" hidden="1">{#N/A,#N/A,FALSE,"단축1";#N/A,#N/A,FALSE,"단축2";#N/A,#N/A,FALSE,"단축3";#N/A,#N/A,FALSE,"장축";#N/A,#N/A,FALSE,"4WD"}</definedName>
    <definedName name="dswe" hidden="1">{"'7-2지역별'!$A$1:$R$44"}</definedName>
    <definedName name="DSWSD" hidden="1">{#N/A,#N/A,FALSE,"단축1";#N/A,#N/A,FALSE,"단축2";#N/A,#N/A,FALSE,"단축3";#N/A,#N/A,FALSE,"장축";#N/A,#N/A,FALSE,"4WD"}</definedName>
    <definedName name="DT" hidden="1">{#N/A,#N/A,FALSE,"단축1";#N/A,#N/A,FALSE,"단축2";#N/A,#N/A,FALSE,"단축3";#N/A,#N/A,FALSE,"장축";#N/A,#N/A,FALSE,"4WD"}</definedName>
    <definedName name="DTHDGFGHJHJMH" hidden="1">{#N/A,#N/A,FALSE,"단축1";#N/A,#N/A,FALSE,"단축2";#N/A,#N/A,FALSE,"단축3";#N/A,#N/A,FALSE,"장축";#N/A,#N/A,FALSE,"4WD"}</definedName>
    <definedName name="dud" hidden="1">{#N/A,#N/A,FALSE,"Aging Summary";#N/A,#N/A,FALSE,"Ratio Analysis";#N/A,#N/A,FALSE,"Test 120 Day Accts";#N/A,#N/A,FALSE,"Tickmarks"}</definedName>
    <definedName name="DUMP일정" hidden="1">{#N/A,#N/A,FALSE,"신규dep";#N/A,#N/A,FALSE,"신규dep-금형상각후";#N/A,#N/A,FALSE,"신규dep-연구비상각후";#N/A,#N/A,FALSE,"신규dep-기계,공구상각후"}</definedName>
    <definedName name="DV" hidden="1">{0,0,0,0}</definedName>
    <definedName name="DVD" hidden="1">{#N/A,#N/A,FALSE,"단축1";#N/A,#N/A,FALSE,"단축2";#N/A,#N/A,FALSE,"단축3";#N/A,#N/A,FALSE,"장축";#N/A,#N/A,FALSE,"4WD"}</definedName>
    <definedName name="DVF" hidden="1">{#N/A,#N/A,FALSE,"단축1";#N/A,#N/A,FALSE,"단축2";#N/A,#N/A,FALSE,"단축3";#N/A,#N/A,FALSE,"장축";#N/A,#N/A,FALSE,"4WD"}</definedName>
    <definedName name="DVP" hidden="1">{#N/A,#N/A,TRUE,"일정"}</definedName>
    <definedName name="DWEWE" hidden="1">{"'7-2지역별'!$A$1:$R$44"}</definedName>
    <definedName name="DWWE" hidden="1">{"'7-2지역별'!$A$1:$R$44"}</definedName>
    <definedName name="DWWERFDXC" hidden="1">{#N/A,#N/A,FALSE,"단축1";#N/A,#N/A,FALSE,"단축2";#N/A,#N/A,FALSE,"단축3";#N/A,#N/A,FALSE,"장축";#N/A,#N/A,FALSE,"4WD"}</definedName>
    <definedName name="DXYH" hidden="1">{#N/A,#N/A,FALSE,"단축1";#N/A,#N/A,FALSE,"단축2";#N/A,#N/A,FALSE,"단축3";#N/A,#N/A,FALSE,"장축";#N/A,#N/A,FALSE,"4WD"}</definedName>
    <definedName name="DZFDVVFF" hidden="1">{"'7-2지역별'!$A$1:$R$44"}</definedName>
    <definedName name="E" hidden="1">{#N/A,#N/A,TRUE,"Y생산";#N/A,#N/A,TRUE,"Y판매";#N/A,#N/A,TRUE,"Y총물량";#N/A,#N/A,TRUE,"Y능력";#N/A,#N/A,TRUE,"YKD"}</definedName>
    <definedName name="E_1" hidden="1">{#N/A,#N/A,TRUE,"Y생산";#N/A,#N/A,TRUE,"Y판매";#N/A,#N/A,TRUE,"Y총물량";#N/A,#N/A,TRUE,"Y능력";#N/A,#N/A,TRUE,"YKD"}</definedName>
    <definedName name="E32E2" hidden="1">{#N/A,#N/A,FALSE,"단축1";#N/A,#N/A,FALSE,"단축2";#N/A,#N/A,FALSE,"단축3";#N/A,#N/A,FALSE,"장축";#N/A,#N/A,FALSE,"4WD"}</definedName>
    <definedName name="E32E2_1" hidden="1">{#N/A,#N/A,FALSE,"단축1";#N/A,#N/A,FALSE,"단축2";#N/A,#N/A,FALSE,"단축3";#N/A,#N/A,FALSE,"장축";#N/A,#N/A,FALSE,"4WD"}</definedName>
    <definedName name="E32E2_2" hidden="1">{#N/A,#N/A,FALSE,"단축1";#N/A,#N/A,FALSE,"단축2";#N/A,#N/A,FALSE,"단축3";#N/A,#N/A,FALSE,"장축";#N/A,#N/A,FALSE,"4WD"}</definedName>
    <definedName name="E32E4" hidden="1">{"'7-2지역별'!$A$1:$R$44"}</definedName>
    <definedName name="E33OK2OOO" hidden="1">{"'7-2지역별'!$A$1:$R$44"}</definedName>
    <definedName name="E3D일정표" hidden="1">{#N/A,#N/A,FALSE,"단축1";#N/A,#N/A,FALSE,"단축2";#N/A,#N/A,FALSE,"단축3";#N/A,#N/A,FALSE,"장축";#N/A,#N/A,FALSE,"4WD"}</definedName>
    <definedName name="EADAF" hidden="1">{#N/A,#N/A,FALSE,"단축1";#N/A,#N/A,FALSE,"단축2";#N/A,#N/A,FALSE,"단축3";#N/A,#N/A,FALSE,"장축";#N/A,#N/A,FALSE,"4WD"}</definedName>
    <definedName name="EADAF_1" hidden="1">{#N/A,#N/A,FALSE,"단축1";#N/A,#N/A,FALSE,"단축2";#N/A,#N/A,FALSE,"단축3";#N/A,#N/A,FALSE,"장축";#N/A,#N/A,FALSE,"4WD"}</definedName>
    <definedName name="EARFGS" hidden="1">{#N/A,#N/A,FALSE,"을지 (4)";#N/A,#N/A,FALSE,"을지 (5)";#N/A,#N/A,FALSE,"을지 (6)"}</definedName>
    <definedName name="EAWR" hidden="1">{#N/A,#N/A,FALSE,"단축1";#N/A,#N/A,FALSE,"단축2";#N/A,#N/A,FALSE,"단축3";#N/A,#N/A,FALSE,"장축";#N/A,#N/A,FALSE,"4WD"}</definedName>
    <definedName name="EAWR_1" hidden="1">{#N/A,#N/A,FALSE,"단축1";#N/A,#N/A,FALSE,"단축2";#N/A,#N/A,FALSE,"단축3";#N/A,#N/A,FALSE,"장축";#N/A,#N/A,FALSE,"4WD"}</definedName>
    <definedName name="EAWR_2" hidden="1">{#N/A,#N/A,FALSE,"단축1";#N/A,#N/A,FALSE,"단축2";#N/A,#N/A,FALSE,"단축3";#N/A,#N/A,FALSE,"장축";#N/A,#N/A,FALSE,"4WD"}</definedName>
    <definedName name="EB" hidden="1">{0,0,0,0}</definedName>
    <definedName name="EBHEATRG" hidden="1">{"'7-2지역별'!$A$1:$R$44"}</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C" hidden="1">{#N/A,#N/A,FALSE,"KMC최종회의(7월) 자료"}</definedName>
    <definedName name="ECC_1" hidden="1">{#N/A,#N/A,FALSE,"KMC최종회의(7월) 자료"}</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U적용현황" hidden="1">{#N/A,#N/A,FALSE,"단축1";#N/A,#N/A,FALSE,"단축2";#N/A,#N/A,FALSE,"단축3";#N/A,#N/A,FALSE,"장축";#N/A,#N/A,FALSE,"4WD"}</definedName>
    <definedName name="ED" hidden="1">{#N/A,#N/A,FALSE,"단축1";#N/A,#N/A,FALSE,"단축2";#N/A,#N/A,FALSE,"단축3";#N/A,#N/A,FALSE,"장축";#N/A,#N/A,FALSE,"4WD"}</definedName>
    <definedName name="EDASASX" hidden="1">{"'7-2지역별'!$A$1:$R$44"}</definedName>
    <definedName name="EDD" hidden="1">{#N/A,#N/A,FALSE,"단축1";#N/A,#N/A,FALSE,"단축2";#N/A,#N/A,FALSE,"단축3";#N/A,#N/A,FALSE,"장축";#N/A,#N/A,FALSE,"4WD"}</definedName>
    <definedName name="EDFD" hidden="1">{#N/A,#N/A,FALSE,"단축1";#N/A,#N/A,FALSE,"단축2";#N/A,#N/A,FALSE,"단축3";#N/A,#N/A,FALSE,"장축";#N/A,#N/A,FALSE,"4WD"}</definedName>
    <definedName name="EDGSDAJ" hidden="1">#REF!</definedName>
    <definedName name="EDIEW" hidden="1">{#N/A,#N/A,FALSE,"신규dep";#N/A,#N/A,FALSE,"신규dep-금형상각후";#N/A,#N/A,FALSE,"신규dep-연구비상각후";#N/A,#N/A,FALSE,"신규dep-기계,공구상각후"}</definedName>
    <definedName name="EDJEW" hidden="1">{#N/A,#N/A,FALSE,"단축1";#N/A,#N/A,FALSE,"단축2";#N/A,#N/A,FALSE,"단축3";#N/A,#N/A,FALSE,"장축";#N/A,#N/A,FALSE,"4WD"}</definedName>
    <definedName name="edjwh" hidden="1">{#N/A,#N/A,FALSE,"단축1";#N/A,#N/A,FALSE,"단축2";#N/A,#N/A,FALSE,"단축3";#N/A,#N/A,FALSE,"장축";#N/A,#N/A,FALSE,"4WD"}</definedName>
    <definedName name="EDW" hidden="1">{#N/A,#N/A,FALSE,"단축1";#N/A,#N/A,FALSE,"단축2";#N/A,#N/A,FALSE,"단축3";#N/A,#N/A,FALSE,"장축";#N/A,#N/A,FALSE,"4WD"}</definedName>
    <definedName name="EDWE" hidden="1">{#N/A,#N/A,FALSE,"단축1";#N/A,#N/A,FALSE,"단축2";#N/A,#N/A,FALSE,"단축3";#N/A,#N/A,FALSE,"장축";#N/A,#N/A,FALSE,"4WD"}</definedName>
    <definedName name="EDWSA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dyhbfgrsv" hidden="1">{#N/A,#N/A,FALSE,"단축1";#N/A,#N/A,FALSE,"단축2";#N/A,#N/A,FALSE,"단축3";#N/A,#N/A,FALSE,"장축";#N/A,#N/A,FALSE,"4WD"}</definedName>
    <definedName name="EEDD" hidden="1">{#N/A,#N/A,FALSE,"KMC최종회의(7월) 자료"}</definedName>
    <definedName name="EEDD_1" hidden="1">{#N/A,#N/A,FALSE,"KMC최종회의(7월) 자료"}</definedName>
    <definedName name="eededed" hidden="1">{"'7-2지역별'!$A$1:$R$44"}</definedName>
    <definedName name="EEE" hidden="1">{#N/A,#N/A,TRUE,"Y생산";#N/A,#N/A,TRUE,"Y판매";#N/A,#N/A,TRUE,"Y총물량";#N/A,#N/A,TRUE,"Y능력";#N/A,#N/A,TRUE,"YKD"}</definedName>
    <definedName name="EEE_1" hidden="1">{#N/A,#N/A,TRUE,"Y생산";#N/A,#N/A,TRUE,"Y판매";#N/A,#N/A,TRUE,"Y총물량";#N/A,#N/A,TRUE,"Y능력";#N/A,#N/A,TRUE,"YKD"}</definedName>
    <definedName name="eeee" hidden="1">{#N/A,#N/A,FALSE,"단축1";#N/A,#N/A,FALSE,"단축2";#N/A,#N/A,FALSE,"단축3";#N/A,#N/A,FALSE,"장축";#N/A,#N/A,FALSE,"4WD"}</definedName>
    <definedName name="EEEEE" hidden="1">{#N/A,#N/A,TRUE,"Y생산";#N/A,#N/A,TRUE,"Y판매";#N/A,#N/A,TRUE,"Y총물량";#N/A,#N/A,TRUE,"Y능력";#N/A,#N/A,TRUE,"YKD"}</definedName>
    <definedName name="EEJEJJEJEJEJE" hidden="1">{#N/A,#N/A,TRUE,"Y생산";#N/A,#N/A,TRUE,"Y판매";#N/A,#N/A,TRUE,"Y총물량";#N/A,#N/A,TRUE,"Y능력";#N/A,#N/A,TRUE,"YKD"}</definedName>
    <definedName name="ef" hidden="1">{#N/A,#N/A,TRUE,"Y생산";#N/A,#N/A,TRUE,"Y판매";#N/A,#N/A,TRUE,"Y총물량";#N/A,#N/A,TRUE,"Y능력";#N/A,#N/A,TRUE,"YKD"}</definedName>
    <definedName name="ef_1" hidden="1">{#N/A,#N/A,TRUE,"Y생산";#N/A,#N/A,TRUE,"Y판매";#N/A,#N/A,TRUE,"Y총물량";#N/A,#N/A,TRUE,"Y능력";#N/A,#N/A,TRUE,"YKD"}</definedName>
    <definedName name="efaef" hidden="1">{#N/A,#N/A,TRUE,"Y생산";#N/A,#N/A,TRUE,"Y판매";#N/A,#N/A,TRUE,"Y총물량";#N/A,#N/A,TRUE,"Y능력";#N/A,#N/A,TRUE,"YKD"}</definedName>
    <definedName name="efaef_1" hidden="1">{#N/A,#N/A,TRUE,"Y생산";#N/A,#N/A,TRUE,"Y판매";#N/A,#N/A,TRUE,"Y총물량";#N/A,#N/A,TRUE,"Y능력";#N/A,#N/A,TRUE,"YKD"}</definedName>
    <definedName name="EFD" hidden="1">{#N/A,#N/A,FALSE,"단축1";#N/A,#N/A,FALSE,"단축2";#N/A,#N/A,FALSE,"단축3";#N/A,#N/A,FALSE,"장축";#N/A,#N/A,FALSE,"4WD"}</definedName>
    <definedName name="EFDS" hidden="1">{#N/A,#N/A,FALSE,"단축1";#N/A,#N/A,FALSE,"단축2";#N/A,#N/A,FALSE,"단축3";#N/A,#N/A,FALSE,"장축";#N/A,#N/A,FALSE,"4WD"}</definedName>
    <definedName name="efdsds" hidden="1">{"'7-2지역별'!$A$1:$R$44"}</definedName>
    <definedName name="efewf" hidden="1">#N/A</definedName>
    <definedName name="efffgsdcasdarae" hidden="1">{#N/A,#N/A,FALSE,"단축1";#N/A,#N/A,FALSE,"단축2";#N/A,#N/A,FALSE,"단축3";#N/A,#N/A,FALSE,"장축";#N/A,#N/A,FALSE,"4WD"}</definedName>
    <definedName name="effg" hidden="1">{"'7-2지역별'!$A$1:$R$44"}</definedName>
    <definedName name="EFFOG" hidden="1">{#N/A,#N/A,FALSE,"단축1";#N/A,#N/A,FALSE,"단축2";#N/A,#N/A,FALSE,"단축3";#N/A,#N/A,FALSE,"장축";#N/A,#N/A,FALSE,"4WD"}</definedName>
    <definedName name="EFFOG_1" hidden="1">{#N/A,#N/A,FALSE,"단축1";#N/A,#N/A,FALSE,"단축2";#N/A,#N/A,FALSE,"단축3";#N/A,#N/A,FALSE,"장축";#N/A,#N/A,FALSE,"4WD"}</definedName>
    <definedName name="EFFOG_2" hidden="1">{#N/A,#N/A,FALSE,"단축1";#N/A,#N/A,FALSE,"단축2";#N/A,#N/A,FALSE,"단축3";#N/A,#N/A,FALSE,"장축";#N/A,#N/A,FALSE,"4WD"}</definedName>
    <definedName name="EFG" hidden="1">{#N/A,#N/A,TRUE,"Y생산";#N/A,#N/A,TRUE,"Y판매";#N/A,#N/A,TRUE,"Y총물량";#N/A,#N/A,TRUE,"Y능력";#N/A,#N/A,TRUE,"YKD"}</definedName>
    <definedName name="EFG_1" hidden="1">{#N/A,#N/A,TRUE,"Y생산";#N/A,#N/A,TRUE,"Y판매";#N/A,#N/A,TRUE,"Y총물량";#N/A,#N/A,TRUE,"Y능력";#N/A,#N/A,TRUE,"YKD"}</definedName>
    <definedName name="efsadf" hidden="1">{"'7-2지역별'!$A$1:$R$44"}</definedName>
    <definedName name="EF제동" hidden="1">{#N/A,#N/A,FALSE,"단축1";#N/A,#N/A,FALSE,"단축2";#N/A,#N/A,FALSE,"단축3";#N/A,#N/A,FALSE,"장축";#N/A,#N/A,FALSE,"4WD"}</definedName>
    <definedName name="EF제동_1" hidden="1">{#N/A,#N/A,FALSE,"단축1";#N/A,#N/A,FALSE,"단축2";#N/A,#N/A,FALSE,"단축3";#N/A,#N/A,FALSE,"장축";#N/A,#N/A,FALSE,"4WD"}</definedName>
    <definedName name="EF제동_2" hidden="1">{#N/A,#N/A,FALSE,"단축1";#N/A,#N/A,FALSE,"단축2";#N/A,#N/A,FALSE,"단축3";#N/A,#N/A,FALSE,"장축";#N/A,#N/A,FALSE,"4WD"}</definedName>
    <definedName name="eg" hidden="1">{#VALUE!,#N/A,FALSE,0;#N/A,#N/A,FALSE,0;#N/A,#N/A,FALSE,0;#N/A,#N/A,FALSE,0}</definedName>
    <definedName name="EGB" hidden="1">{0,0,0,0}</definedName>
    <definedName name="ege" hidden="1">{#N/A,#N/A,FALSE,"단축1";#N/A,#N/A,FALSE,"단축2";#N/A,#N/A,FALSE,"단축3";#N/A,#N/A,FALSE,"장축";#N/A,#N/A,FALSE,"4WD"}</definedName>
    <definedName name="egfdgs" hidden="1">{"'7-2지역별'!$A$1:$R$44"}</definedName>
    <definedName name="EGJ" hidden="1">{#N/A,#N/A,FALSE,"단축1";#N/A,#N/A,FALSE,"단축2";#N/A,#N/A,FALSE,"단축3";#N/A,#N/A,FALSE,"장축";#N/A,#N/A,FALSE,"4WD"}</definedName>
    <definedName name="EGRCFTRG" hidden="1">{#N/A,#N/A,FALSE,"단축1";#N/A,#N/A,FALSE,"단축2";#N/A,#N/A,FALSE,"단축3";#N/A,#N/A,FALSE,"장축";#N/A,#N/A,FALSE,"4WD"}</definedName>
    <definedName name="EGRERG" hidden="1">{"'7-2지역별'!$A$1:$R$44"}</definedName>
    <definedName name="egtth" hidden="1">{#N/A,#N/A,FALSE,"96 3월물량표";#N/A,#N/A,FALSE,"96 4월물량표";#N/A,#N/A,FALSE,"96 5월물량표"}</definedName>
    <definedName name="egtth_1" hidden="1">{#N/A,#N/A,FALSE,"96 3월물량표";#N/A,#N/A,FALSE,"96 4월물량표";#N/A,#N/A,FALSE,"96 5월물량표"}</definedName>
    <definedName name="EHD" hidden="1">{#N/A,#N/A,FALSE,"을지 (4)";#N/A,#N/A,FALSE,"을지 (5)";#N/A,#N/A,FALSE,"을지 (6)"}</definedName>
    <definedName name="EJ" hidden="1">{#N/A,#N/A,TRUE,"Y생산";#N/A,#N/A,TRUE,"Y판매";#N/A,#N/A,TRUE,"Y총물량";#N/A,#N/A,TRUE,"Y능력";#N/A,#N/A,TRUE,"YKD"}</definedName>
    <definedName name="EJWWQ" hidden="1">{#N/A,#N/A,FALSE,"단축1";#N/A,#N/A,FALSE,"단축2";#N/A,#N/A,FALSE,"단축3";#N/A,#N/A,FALSE,"장축";#N/A,#N/A,FALSE,"4WD"}</definedName>
    <definedName name="ek" hidden="1">{#N/A,#N/A,FALSE,"KMC최종회의(7월) 자료"}</definedName>
    <definedName name="ek_1" hidden="1">{#N/A,#N/A,FALSE,"KMC최종회의(7월) 자료"}</definedName>
    <definedName name="ek_2" hidden="1">{#N/A,#N/A,FALSE,"KMC최종회의(7월) 자료"}</definedName>
    <definedName name="EKDKD.LJFL" hidden="1">{#N/A,#N/A,FALSE,"Australien";#N/A,#N/A,FALSE,"Birmingham";#N/A,#N/A,FALSE,"Brasilien";#N/A,#N/A,FALSE,"Prag";#N/A,#N/A,FALSE,"Spanien";#N/A,#N/A,FALSE,"Malaysia ( Com)";#N/A,#N/A,FALSE,"Malaysia (Instr)"}</definedName>
    <definedName name="EKDKD.LJFL_1" hidden="1">{#N/A,#N/A,FALSE,"Australien";#N/A,#N/A,FALSE,"Birmingham";#N/A,#N/A,FALSE,"Brasilien";#N/A,#N/A,FALSE,"Prag";#N/A,#N/A,FALSE,"Spanien";#N/A,#N/A,FALSE,"Malaysia ( Com)";#N/A,#N/A,FALSE,"Malaysia (Instr)"}</definedName>
    <definedName name="EKDKD.LJFL_2" hidden="1">{#N/A,#N/A,FALSE,"Australien";#N/A,#N/A,FALSE,"Birmingham";#N/A,#N/A,FALSE,"Brasilien";#N/A,#N/A,FALSE,"Prag";#N/A,#N/A,FALSE,"Spanien";#N/A,#N/A,FALSE,"Malaysia ( Com)";#N/A,#N/A,FALSE,"Malaysia (Instr)"}</definedName>
    <definedName name="EKK3JJL" hidden="1">{"'7-2지역별'!$A$1:$R$44"}</definedName>
    <definedName name="EKLLD" hidden="1">{#N/A,#N/A,FALSE,"단축1";#N/A,#N/A,FALSE,"단축2";#N/A,#N/A,FALSE,"단축3";#N/A,#N/A,FALSE,"장축";#N/A,#N/A,FALSE,"4WD"}</definedName>
    <definedName name="EKSK" hidden="1">{#N/A,#N/A,FALSE,"단축1";#N/A,#N/A,FALSE,"단축2";#N/A,#N/A,FALSE,"단축3";#N/A,#N/A,FALSE,"장축";#N/A,#N/A,FALSE,"4WD"}</definedName>
    <definedName name="ELA" hidden="1">{#N/A,#N/A,FALSE,"2월입도";#N/A,#N/A,FALSE,"1월입도";#N/A,#N/A,FALSE,"3월입도"}</definedName>
    <definedName name="ELF" hidden="1">{#N/A,#N/A,FALSE,"단축1";#N/A,#N/A,FALSE,"단축2";#N/A,#N/A,FALSE,"단축3";#N/A,#N/A,FALSE,"장축";#N/A,#N/A,FALSE,"4WD"}</definedName>
    <definedName name="EM3MK" hidden="1">{"'7-2지역별'!$A$1:$R$44"}</definedName>
    <definedName name="END" hidden="1">{#N/A,#N/A,FALSE,"단축1";#N/A,#N/A,FALSE,"단축2";#N/A,#N/A,FALSE,"단축3";#N/A,#N/A,FALSE,"장축";#N/A,#N/A,FALSE,"4WD"}</definedName>
    <definedName name="ENENEN" hidden="1">{#N/A,#N/A,FALSE,"단축1";#N/A,#N/A,FALSE,"단축2";#N/A,#N/A,FALSE,"단축3";#N/A,#N/A,FALSE,"장축";#N/A,#N/A,FALSE,"4WD"}</definedName>
    <definedName name="ENG" hidden="1">#REF!</definedName>
    <definedName name="engine" hidden="1">{#N/A,#N/A,FALSE,"단축1";#N/A,#N/A,FALSE,"단축2";#N/A,#N/A,FALSE,"단축3";#N/A,#N/A,FALSE,"장축";#N/A,#N/A,FALSE,"4WD"}</definedName>
    <definedName name="engtm" hidden="1">{#N/A,#N/A,FALSE,"단축1";#N/A,#N/A,FALSE,"단축2";#N/A,#N/A,FALSE,"단축3";#N/A,#N/A,FALSE,"장축";#N/A,#N/A,FALSE,"4WD"}</definedName>
    <definedName name="engtm_1" hidden="1">{#N/A,#N/A,FALSE,"단축1";#N/A,#N/A,FALSE,"단축2";#N/A,#N/A,FALSE,"단축3";#N/A,#N/A,FALSE,"장축";#N/A,#N/A,FALSE,"4WD"}</definedName>
    <definedName name="èÓ" hidden="1">#N/A</definedName>
    <definedName name="eoeocortj" hidden="1">{#N/A,#N/A,FALSE,"단축1";#N/A,#N/A,FALSE,"단축2";#N/A,#N/A,FALSE,"단축3";#N/A,#N/A,FALSE,"장축";#N/A,#N/A,FALSE,"4WD"}</definedName>
    <definedName name="EOFHSFSSJF" hidden="1">{#N/A,#N/A,FALSE,"단축1";#N/A,#N/A,FALSE,"단축2";#N/A,#N/A,FALSE,"단축3";#N/A,#N/A,FALSE,"장축";#N/A,#N/A,FALSE,"4WD"}</definedName>
    <definedName name="EOGH" hidden="1">{#N/A,#N/A,FALSE,"단축1";#N/A,#N/A,FALSE,"단축2";#N/A,#N/A,FALSE,"단축3";#N/A,#N/A,FALSE,"장축";#N/A,#N/A,FALSE,"4WD"}</definedName>
    <definedName name="EOJDKJOIEJKJDOIUJENLKSP" hidden="1">{#N/A,#N/A,FALSE,"을지 (4)";#N/A,#N/A,FALSE,"을지 (5)";#N/A,#N/A,FALSE,"을지 (6)"}</definedName>
    <definedName name="EOJOL" hidden="1">{#N/A,#N/A,FALSE,"단축1";#N/A,#N/A,FALSE,"단축2";#N/A,#N/A,FALSE,"단축3";#N/A,#N/A,FALSE,"장축";#N/A,#N/A,FALSE,"4WD"}</definedName>
    <definedName name="eotkd" hidden="1">{#N/A,#N/A,FALSE,"인원";#N/A,#N/A,FALSE,"비용2";#N/A,#N/A,FALSE,"비용1";#N/A,#N/A,FALSE,"비용";#N/A,#N/A,FALSE,"보증2";#N/A,#N/A,FALSE,"보증1";#N/A,#N/A,FALSE,"보증";#N/A,#N/A,FALSE,"손익1";#N/A,#N/A,FALSE,"손익";#N/A,#N/A,FALSE,"부서별매출";#N/A,#N/A,FALSE,"매출"}</definedName>
    <definedName name="EO계획" hidden="1">#REF!</definedName>
    <definedName name="EO정리" hidden="1">{#N/A,#N/A,FALSE,"단축1";#N/A,#N/A,FALSE,"단축2";#N/A,#N/A,FALSE,"단축3";#N/A,#N/A,FALSE,"장축";#N/A,#N/A,FALSE,"4WD"}</definedName>
    <definedName name="EO정리_1" hidden="1">{#N/A,#N/A,FALSE,"단축1";#N/A,#N/A,FALSE,"단축2";#N/A,#N/A,FALSE,"단축3";#N/A,#N/A,FALSE,"장축";#N/A,#N/A,FALSE,"4WD"}</definedName>
    <definedName name="EO정리_2" hidden="1">{#N/A,#N/A,FALSE,"단축1";#N/A,#N/A,FALSE,"단축2";#N/A,#N/A,FALSE,"단축3";#N/A,#N/A,FALSE,"장축";#N/A,#N/A,FALSE,"4WD"}</definedName>
    <definedName name="EQB" hidden="1">{#N/A,#N/A,FALSE,"단축1";#N/A,#N/A,FALSE,"단축2";#N/A,#N/A,FALSE,"단축3";#N/A,#N/A,FALSE,"장축";#N/A,#N/A,FALSE,"4WD"}</definedName>
    <definedName name="EQWGTWEG" hidden="1">{#N/A,#N/A,TRUE,"Y생산";#N/A,#N/A,TRUE,"Y판매";#N/A,#N/A,TRUE,"Y총물량";#N/A,#N/A,TRUE,"Y능력";#N/A,#N/A,TRUE,"YKD"}</definedName>
    <definedName name="EQWGTWEG_1" hidden="1">{#N/A,#N/A,TRUE,"Y생산";#N/A,#N/A,TRUE,"Y판매";#N/A,#N/A,TRUE,"Y총물량";#N/A,#N/A,TRUE,"Y능력";#N/A,#N/A,TRUE,"YKD"}</definedName>
    <definedName name="er" hidden="1">{#N/A,#N/A,FALSE,"단축1";#N/A,#N/A,FALSE,"단축2";#N/A,#N/A,FALSE,"단축3";#N/A,#N/A,FALSE,"장축";#N/A,#N/A,FALSE,"4WD"}</definedName>
    <definedName name="ERAWYGDFBG" hidden="1">{#N/A,#N/A,TRUE,"Y생산";#N/A,#N/A,TRUE,"Y판매";#N/A,#N/A,TRUE,"Y총물량";#N/A,#N/A,TRUE,"Y능력";#N/A,#N/A,TRUE,"YKD"}</definedName>
    <definedName name="ERAWYGDFBG_1" hidden="1">{#N/A,#N/A,TRUE,"Y생산";#N/A,#N/A,TRUE,"Y판매";#N/A,#N/A,TRUE,"Y총물량";#N/A,#N/A,TRUE,"Y능력";#N/A,#N/A,TRUE,"YKD"}</definedName>
    <definedName name="ERB" hidden="1">{0,0,0,0}</definedName>
    <definedName name="ERD" hidden="1">{#N/A,#N/A,FALSE,"단축1";#N/A,#N/A,FALSE,"단축2";#N/A,#N/A,FALSE,"단축3";#N/A,#N/A,FALSE,"장축";#N/A,#N/A,FALSE,"4WD"}</definedName>
    <definedName name="ERDT" hidden="1">{#N/A,#N/A,FALSE,"KMC최종회의(7월) 자료"}</definedName>
    <definedName name="ERDT_1" hidden="1">{#N/A,#N/A,FALSE,"KMC최종회의(7월) 자료"}</definedName>
    <definedName name="er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rerewr" hidden="1">{"'7-2지역별'!$A$1:$R$44"}</definedName>
    <definedName name="ERE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G" hidden="1">{"Wire Charts",#N/A,TRUE,"Wires"}</definedName>
    <definedName name="ergdag" hidden="1">{#N/A,#N/A,FALSE,"96 3월물량표";#N/A,#N/A,FALSE,"96 4월물량표";#N/A,#N/A,FALSE,"96 5월물량표"}</definedName>
    <definedName name="ergdag_1" hidden="1">{#N/A,#N/A,FALSE,"96 3월물량표";#N/A,#N/A,FALSE,"96 4월물량표";#N/A,#N/A,FALSE,"96 5월물량표"}</definedName>
    <definedName name="ERGDS" hidden="1">{#N/A,#N/A,FALSE,"을지 (4)";#N/A,#N/A,FALSE,"을지 (5)";#N/A,#N/A,FALSE,"을지 (6)"}</definedName>
    <definedName name="ergsdfg" hidden="1">{#N/A,#N/A,TRUE,"Y생산";#N/A,#N/A,TRUE,"Y판매";#N/A,#N/A,TRUE,"Y총물량";#N/A,#N/A,TRUE,"Y능력";#N/A,#N/A,TRUE,"YKD"}</definedName>
    <definedName name="ergsdfg_1" hidden="1">{#N/A,#N/A,TRUE,"Y생산";#N/A,#N/A,TRUE,"Y판매";#N/A,#N/A,TRUE,"Y총물량";#N/A,#N/A,TRUE,"Y능력";#N/A,#N/A,TRUE,"YKD"}</definedName>
    <definedName name="ERGTR" hidden="1">{#N/A,#N/A,FALSE,"단축1";#N/A,#N/A,FALSE,"단축2";#N/A,#N/A,FALSE,"단축3";#N/A,#N/A,FALSE,"장축";#N/A,#N/A,FALSE,"4WD"}</definedName>
    <definedName name="erh" hidden="1">{#N/A,#N/A,FALSE,"96 3월물량표";#N/A,#N/A,FALSE,"96 4월물량표";#N/A,#N/A,FALSE,"96 5월물량표"}</definedName>
    <definedName name="erh_1" hidden="1">{#N/A,#N/A,FALSE,"96 3월물량표";#N/A,#N/A,FALSE,"96 4월물량표";#N/A,#N/A,FALSE,"96 5월물량표"}</definedName>
    <definedName name="ERHGFBN" hidden="1">{#N/A,#N/A,TRUE,"Y생산";#N/A,#N/A,TRUE,"Y판매";#N/A,#N/A,TRUE,"Y총물량";#N/A,#N/A,TRUE,"Y능력";#N/A,#N/A,TRUE,"YKD"}</definedName>
    <definedName name="ERHGFBN_1" hidden="1">{#N/A,#N/A,TRUE,"Y생산";#N/A,#N/A,TRUE,"Y판매";#N/A,#N/A,TRUE,"Y총물량";#N/A,#N/A,TRUE,"Y능력";#N/A,#N/A,TRUE,"YKD"}</definedName>
    <definedName name="erhgfh" hidden="1">{#N/A,#N/A,TRUE,"Y생산";#N/A,#N/A,TRUE,"Y판매";#N/A,#N/A,TRUE,"Y총물량";#N/A,#N/A,TRUE,"Y능력";#N/A,#N/A,TRUE,"YKD"}</definedName>
    <definedName name="erhgfh_1" hidden="1">{#N/A,#N/A,TRUE,"Y생산";#N/A,#N/A,TRUE,"Y판매";#N/A,#N/A,TRUE,"Y총물량";#N/A,#N/A,TRUE,"Y능력";#N/A,#N/A,TRUE,"YKD"}</definedName>
    <definedName name="ERHGN" hidden="1">{#N/A,#N/A,FALSE,"96 3월물량표";#N/A,#N/A,FALSE,"96 4월물량표";#N/A,#N/A,FALSE,"96 5월물량표"}</definedName>
    <definedName name="ERHGN_1" hidden="1">{#N/A,#N/A,FALSE,"96 3월물량표";#N/A,#N/A,FALSE,"96 4월물량표";#N/A,#N/A,FALSE,"96 5월물량표"}</definedName>
    <definedName name="ERHTETRF" hidden="1">{#N/A,#N/A,FALSE,"단축1";#N/A,#N/A,FALSE,"단축2";#N/A,#N/A,FALSE,"단축3";#N/A,#N/A,FALSE,"장축";#N/A,#N/A,FALSE,"4WD"}</definedName>
    <definedName name="ERHTH" hidden="1">{#N/A,#N/A,TRUE,"Y생산";#N/A,#N/A,TRUE,"Y판매";#N/A,#N/A,TRUE,"Y총물량";#N/A,#N/A,TRUE,"Y능력";#N/A,#N/A,TRUE,"YKD"}</definedName>
    <definedName name="ERHTH_1" hidden="1">{#N/A,#N/A,TRUE,"Y생산";#N/A,#N/A,TRUE,"Y판매";#N/A,#N/A,TRUE,"Y총물량";#N/A,#N/A,TRUE,"Y능력";#N/A,#N/A,TRUE,"YKD"}</definedName>
    <definedName name="erhyhtj" hidden="1">{#N/A,#N/A,TRUE,"Y생산";#N/A,#N/A,TRUE,"Y판매";#N/A,#N/A,TRUE,"Y총물량";#N/A,#N/A,TRUE,"Y능력";#N/A,#N/A,TRUE,"YKD"}</definedName>
    <definedName name="erhyhtj_1" hidden="1">{#N/A,#N/A,TRUE,"Y생산";#N/A,#N/A,TRUE,"Y판매";#N/A,#N/A,TRUE,"Y총물량";#N/A,#N/A,TRUE,"Y능력";#N/A,#N/A,TRUE,"YKD"}</definedName>
    <definedName name="err" hidden="1">{#N/A,#N/A,FALSE,"단축1";#N/A,#N/A,FALSE,"단축2";#N/A,#N/A,FALSE,"단축3";#N/A,#N/A,FALSE,"장축";#N/A,#N/A,FALSE,"4WD"}</definedName>
    <definedName name="ERRE" hidden="1">{#N/A,#N/A,FALSE,"단축1";#N/A,#N/A,FALSE,"단축2";#N/A,#N/A,FALSE,"단축3";#N/A,#N/A,FALSE,"장축";#N/A,#N/A,FALSE,"4WD"}</definedName>
    <definedName name="ERRERE" hidden="1">{#N/A,#N/A,FALSE,"단축1";#N/A,#N/A,FALSE,"단축2";#N/A,#N/A,FALSE,"단축3";#N/A,#N/A,FALSE,"장축";#N/A,#N/A,FALSE,"4WD"}</definedName>
    <definedName name="ErrName018758356" hidden="1">{#VALUE!,#N/A,FALSE,0}</definedName>
    <definedName name="ErrName097973823" hidden="1">{#VALUE!,#N/A,FALSE,0}</definedName>
    <definedName name="ErrName106369674" hidden="1">{#VALUE!,#N/A,FALSE,0}</definedName>
    <definedName name="ErrName186013519" hidden="1">{#VALUE!,#N/A,FALSE,0}</definedName>
    <definedName name="ErrName353472649" hidden="1">{#VALUE!,#N/A,FALSE,0}</definedName>
    <definedName name="ErrName373536169" hidden="1">{#VALUE!,#N/A,FALSE,0}</definedName>
    <definedName name="ErrName628751873" hidden="1">{#VALUE!,#N/A,FALSE,0}</definedName>
    <definedName name="ErrName647821187" hidden="1">{#VALUE!,#N/A,FALSE,0}</definedName>
    <definedName name="ErrName948571084" hidden="1">{#VALUE!,#N/A,FALSE,0}</definedName>
    <definedName name="ers" hidden="1">{#N/A,#N/A,FALSE,"96 3월물량표";#N/A,#N/A,FALSE,"96 4월물량표";#N/A,#N/A,FALSE,"96 5월물량표"}</definedName>
    <definedName name="ers_1" hidden="1">{#N/A,#N/A,FALSE,"96 3월물량표";#N/A,#N/A,FALSE,"96 4월물량표";#N/A,#N/A,FALSE,"96 5월물량표"}</definedName>
    <definedName name="ert" hidden="1">{#N/A,#N/A,TRUE,"Y생산";#N/A,#N/A,TRUE,"Y판매";#N/A,#N/A,TRUE,"Y총물량";#N/A,#N/A,TRUE,"Y능력";#N/A,#N/A,TRUE,"YKD"}</definedName>
    <definedName name="ert_1" hidden="1">{#N/A,#N/A,TRUE,"Y생산";#N/A,#N/A,TRUE,"Y판매";#N/A,#N/A,TRUE,"Y총물량";#N/A,#N/A,TRUE,"Y능력";#N/A,#N/A,TRUE,"YKD"}</definedName>
    <definedName name="erta" hidden="1">{"'7-2지역별'!$A$1:$R$44"}</definedName>
    <definedName name="ERTERT" hidden="1">{#N/A,#N/A,FALSE,"단축1";#N/A,#N/A,FALSE,"단축2";#N/A,#N/A,FALSE,"단축3";#N/A,#N/A,FALSE,"장축";#N/A,#N/A,FALSE,"4WD"}</definedName>
    <definedName name="erwqerwer" hidden="1">{#N/A,#N/A,TRUE,"Y생산";#N/A,#N/A,TRUE,"Y판매";#N/A,#N/A,TRUE,"Y총물량";#N/A,#N/A,TRUE,"Y능력";#N/A,#N/A,TRUE,"YKD"}</definedName>
    <definedName name="ery" hidden="1">{#N/A,#N/A,TRUE,"Y생산";#N/A,#N/A,TRUE,"Y판매";#N/A,#N/A,TRUE,"Y총물량";#N/A,#N/A,TRUE,"Y능력";#N/A,#N/A,TRUE,"YKD"}</definedName>
    <definedName name="ery_1" hidden="1">{#N/A,#N/A,TRUE,"Y생산";#N/A,#N/A,TRUE,"Y판매";#N/A,#N/A,TRUE,"Y총물량";#N/A,#N/A,TRUE,"Y능력";#N/A,#N/A,TRUE,"YKD"}</definedName>
    <definedName name="eryh" hidden="1">{#N/A,#N/A,TRUE,"Y생산";#N/A,#N/A,TRUE,"Y판매";#N/A,#N/A,TRUE,"Y총물량";#N/A,#N/A,TRUE,"Y능력";#N/A,#N/A,TRUE,"YKD"}</definedName>
    <definedName name="eryh_1" hidden="1">{#N/A,#N/A,TRUE,"Y생산";#N/A,#N/A,TRUE,"Y판매";#N/A,#N/A,TRUE,"Y총물량";#N/A,#N/A,TRUE,"Y능력";#N/A,#N/A,TRUE,"YKD"}</definedName>
    <definedName name="eryhghnj" hidden="1">{#N/A,#N/A,TRUE,"Y생산";#N/A,#N/A,TRUE,"Y판매";#N/A,#N/A,TRUE,"Y총물량";#N/A,#N/A,TRUE,"Y능력";#N/A,#N/A,TRUE,"YKD"}</definedName>
    <definedName name="eryhghnj_1" hidden="1">{#N/A,#N/A,TRUE,"Y생산";#N/A,#N/A,TRUE,"Y판매";#N/A,#N/A,TRUE,"Y총물량";#N/A,#N/A,TRUE,"Y능력";#N/A,#N/A,TRUE,"YKD"}</definedName>
    <definedName name="ES" hidden="1">{#N/A,#N/A,FALSE,"단축1";#N/A,#N/A,FALSE,"단축2";#N/A,#N/A,FALSE,"단축3";#N/A,#N/A,FALSE,"장축";#N/A,#N/A,FALSE,"4WD"}</definedName>
    <definedName name="esgwertw4etsdfgsdfg" hidden="1">{#N/A,#N/A,FALSE,"단축1";#N/A,#N/A,FALSE,"단축2";#N/A,#N/A,FALSE,"단축3";#N/A,#N/A,FALSE,"장축";#N/A,#N/A,FALSE,"4WD"}</definedName>
    <definedName name="esrtgehsrthjrdftyhdfh" hidden="1">{#N/A,#N/A,FALSE,"단축1";#N/A,#N/A,FALSE,"단축2";#N/A,#N/A,FALSE,"단축3";#N/A,#N/A,FALSE,"장축";#N/A,#N/A,FALSE,"4WD"}</definedName>
    <definedName name="estgret" hidden="1">{#N/A,#N/A,FALSE,"단축1";#N/A,#N/A,FALSE,"단축2";#N/A,#N/A,FALSE,"단축3";#N/A,#N/A,FALSE,"장축";#N/A,#N/A,FALSE,"4WD"}</definedName>
    <definedName name="ET" hidden="1">{#N/A,#N/A,FALSE,"단축1";#N/A,#N/A,FALSE,"단축2";#N/A,#N/A,FALSE,"단축3";#N/A,#N/A,FALSE,"장축";#N/A,#N/A,FALSE,"4WD"}</definedName>
    <definedName name="etete" hidden="1">{#N/A,#N/A,FALSE,"표지";#N/A,#N/A,FALSE,"전제";#N/A,#N/A,FALSE,"손익-자 (2)";#N/A,#N/A,FALSE,"손익-자";#N/A,#N/A,FALSE,"손익-마 (2)";#N/A,#N/A,FALSE,"손익-마";#N/A,#N/A,FALSE,"총손최종"}</definedName>
    <definedName name="ETEW" hidden="1">{#N/A,#N/A,FALSE,"단축1";#N/A,#N/A,FALSE,"단축2";#N/A,#N/A,FALSE,"단축3";#N/A,#N/A,FALSE,"장축";#N/A,#N/A,FALSE,"4WD"}</definedName>
    <definedName name="etgtg" hidden="1">{"SUM GER",#N/A,FALSE,"SUM GER";"SUM FRA",#N/A,FALSE,"SUM FRA";"SUM ITA",#N/A,FALSE,"SUM ITA";"SUM SPA",#N/A,FALSE,"SUM SPA";"SUM EGB",#N/A,FALSE,"SUM EGB";"SUM IND",#N/A,FALSE,"SUM IND"}</definedName>
    <definedName name="etjh" hidden="1">{#N/A,#N/A,FALSE,"단축1";#N/A,#N/A,FALSE,"단축2";#N/A,#N/A,FALSE,"단축3";#N/A,#N/A,FALSE,"장축";#N/A,#N/A,FALSE,"4WD"}</definedName>
    <definedName name="ETRE" hidden="1">{#N/A,#N/A,FALSE,"신규dep";#N/A,#N/A,FALSE,"신규dep-금형상각후";#N/A,#N/A,FALSE,"신규dep-연구비상각후";#N/A,#N/A,FALSE,"신규dep-기계,공구상각후"}</definedName>
    <definedName name="etrer" hidden="1">{#N/A,#N/A,FALSE,"단축1";#N/A,#N/A,FALSE,"단축2";#N/A,#N/A,FALSE,"단축3";#N/A,#N/A,FALSE,"장축";#N/A,#N/A,FALSE,"4WD"}</definedName>
    <definedName name="etretette" hidden="1">{#N/A,#N/A,FALSE,"단축1";#N/A,#N/A,FALSE,"단축2";#N/A,#N/A,FALSE,"단축3";#N/A,#N/A,FALSE,"장축";#N/A,#N/A,FALSE,"4WD"}</definedName>
    <definedName name="etrp" hidden="1">{#N/A,#N/A,TRUE,"Y생산";#N/A,#N/A,TRUE,"Y판매";#N/A,#N/A,TRUE,"Y총물량";#N/A,#N/A,TRUE,"Y능력";#N/A,#N/A,TRUE,"YKD"}</definedName>
    <definedName name="ETRYU" hidden="1">{#N/A,#N/A,FALSE,"단축1";#N/A,#N/A,FALSE,"단축2";#N/A,#N/A,FALSE,"단축3";#N/A,#N/A,FALSE,"장축";#N/A,#N/A,FALSE,"4WD"}</definedName>
    <definedName name="ETRYU_1" hidden="1">{#N/A,#N/A,FALSE,"단축1";#N/A,#N/A,FALSE,"단축2";#N/A,#N/A,FALSE,"단축3";#N/A,#N/A,FALSE,"장축";#N/A,#N/A,FALSE,"4WD"}</definedName>
    <definedName name="ETRYU_2" hidden="1">{#N/A,#N/A,FALSE,"단축1";#N/A,#N/A,FALSE,"단축2";#N/A,#N/A,FALSE,"단축3";#N/A,#N/A,FALSE,"장축";#N/A,#N/A,FALSE,"4WD"}</definedName>
    <definedName name="ett" hidden="1">{#N/A,#N/A,FALSE,"단축1";#N/A,#N/A,FALSE,"단축2";#N/A,#N/A,FALSE,"단축3";#N/A,#N/A,FALSE,"장축";#N/A,#N/A,FALSE,"4WD"}</definedName>
    <definedName name="ETYUI" hidden="1">{#N/A,#N/A,FALSE,"단축1";#N/A,#N/A,FALSE,"단축2";#N/A,#N/A,FALSE,"단축3";#N/A,#N/A,FALSE,"장축";#N/A,#N/A,FALSE,"4WD"}</definedName>
    <definedName name="ETYUI_1" hidden="1">{#N/A,#N/A,FALSE,"단축1";#N/A,#N/A,FALSE,"단축2";#N/A,#N/A,FALSE,"단축3";#N/A,#N/A,FALSE,"장축";#N/A,#N/A,FALSE,"4WD"}</definedName>
    <definedName name="ETYUI_2" hidden="1">{#N/A,#N/A,FALSE,"단축1";#N/A,#N/A,FALSE,"단축2";#N/A,#N/A,FALSE,"단축3";#N/A,#N/A,FALSE,"장축";#N/A,#N/A,FALSE,"4WD"}</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yt" hidden="1">{#N/A,#N/A,FALSE,"단축1";#N/A,#N/A,FALSE,"단축2";#N/A,#N/A,FALSE,"단축3";#N/A,#N/A,FALSE,"장축";#N/A,#N/A,FALSE,"4WD"}</definedName>
    <definedName name="EV__LASTREFTIME__" hidden="1">"2012-02-22 오전 9:12:55"</definedName>
    <definedName name="EWA" hidden="1">{#N/A,#N/A,FALSE,"초도품";#N/A,#N/A,FALSE,"초도품 (2)";#N/A,#N/A,FALSE,"초도품 (3)";#N/A,#N/A,FALSE,"초도품 (4)";#N/A,#N/A,FALSE,"초도품 (5)";#N/A,#N/A,FALSE,"초도품 (6)"}</definedName>
    <definedName name="ewcwc" hidden="1">{#N/A,#N/A,FALSE,"단축1";#N/A,#N/A,FALSE,"단축2";#N/A,#N/A,FALSE,"단축3";#N/A,#N/A,FALSE,"장축";#N/A,#N/A,FALSE,"4WD"}</definedName>
    <definedName name="ewdjuwe" hidden="1">{#N/A,#N/A,FALSE,"단축1";#N/A,#N/A,FALSE,"단축2";#N/A,#N/A,FALSE,"단축3";#N/A,#N/A,FALSE,"장축";#N/A,#N/A,FALSE,"4WD"}</definedName>
    <definedName name="ewe" hidden="1">{#N/A,#N/A,FALSE,"단축1";#N/A,#N/A,FALSE,"단축2";#N/A,#N/A,FALSE,"단축3";#N/A,#N/A,FALSE,"장축";#N/A,#N/A,FALSE,"4WD"}</definedName>
    <definedName name="EWEE" hidden="1">{#N/A,#N/A,FALSE,"단축1";#N/A,#N/A,FALSE,"단축2";#N/A,#N/A,FALSE,"단축3";#N/A,#N/A,FALSE,"장축";#N/A,#N/A,FALSE,"4WD"}</definedName>
    <definedName name="ewer" hidden="1">{#N/A,#N/A,FALSE,"KMC최종회의(7월) 자료"}</definedName>
    <definedName name="ewer_1" hidden="1">{#N/A,#N/A,FALSE,"KMC최종회의(7월) 자료"}</definedName>
    <definedName name="EWEWEW" hidden="1">{#N/A,#N/A,FALSE,"단축1";#N/A,#N/A,FALSE,"단축2";#N/A,#N/A,FALSE,"단축3";#N/A,#N/A,FALSE,"장축";#N/A,#N/A,FALSE,"4WD"}</definedName>
    <definedName name="EWEWEWE" hidden="1">{#N/A,#N/A,FALSE,"단축1";#N/A,#N/A,FALSE,"단축2";#N/A,#N/A,FALSE,"단축3";#N/A,#N/A,FALSE,"장축";#N/A,#N/A,FALSE,"4WD"}</definedName>
    <definedName name="EWEWEWEW" hidden="1">{#N/A,#N/A,FALSE,"단축1";#N/A,#N/A,FALSE,"단축2";#N/A,#N/A,FALSE,"단축3";#N/A,#N/A,FALSE,"장축";#N/A,#N/A,FALSE,"4WD"}</definedName>
    <definedName name="EWEWEWEWEW" hidden="1">{#N/A,#N/A,FALSE,"단축1";#N/A,#N/A,FALSE,"단축2";#N/A,#N/A,FALSE,"단축3";#N/A,#N/A,FALSE,"장축";#N/A,#N/A,FALSE,"4WD"}</definedName>
    <definedName name="EWFDS" hidden="1">{#N/A,#N/A,FALSE,"단축1";#N/A,#N/A,FALSE,"단축2";#N/A,#N/A,FALSE,"단축3";#N/A,#N/A,FALSE,"장축";#N/A,#N/A,FALSE,"4WD"}</definedName>
    <definedName name="EWFRWEFSDFSDG" hidden="1">{"'7-2지역별'!$A$1:$R$44"}</definedName>
    <definedName name="EWFWE" hidden="1">{"'7-2지역별'!$A$1:$R$44"}</definedName>
    <definedName name="EWGERBGDFB" hidden="1">{#N/A,#N/A,FALSE,"96 3월물량표";#N/A,#N/A,FALSE,"96 4월물량표";#N/A,#N/A,FALSE,"96 5월물량표"}</definedName>
    <definedName name="EWGERBGDFB_1" hidden="1">{#N/A,#N/A,FALSE,"96 3월물량표";#N/A,#N/A,FALSE,"96 4월물량표";#N/A,#N/A,FALSE,"96 5월물량표"}</definedName>
    <definedName name="EWRFWE" hidden="1">{"'7-2지역별'!$A$1:$R$44"}</definedName>
    <definedName name="ewTG" hidden="1">{#N/A,#N/A,FALSE,"단축1";#N/A,#N/A,FALSE,"단축2";#N/A,#N/A,FALSE,"단축3";#N/A,#N/A,FALSE,"장축";#N/A,#N/A,FALSE,"4WD"}</definedName>
    <definedName name="EWTJ" hidden="1">#REF!</definedName>
    <definedName name="ewtwe" hidden="1">{#N/A,#N/A,FALSE,"단축1";#N/A,#N/A,FALSE,"단축2";#N/A,#N/A,FALSE,"단축3";#N/A,#N/A,FALSE,"장축";#N/A,#N/A,FALSE,"4WD"}</definedName>
    <definedName name="EWY" hidden="1">{#N/A,#N/A,FALSE,"단축1";#N/A,#N/A,FALSE,"단축2";#N/A,#N/A,FALSE,"단축3";#N/A,#N/A,FALSE,"장축";#N/A,#N/A,FALSE,"4WD"}</definedName>
    <definedName name="EWY_1" hidden="1">{#N/A,#N/A,FALSE,"단축1";#N/A,#N/A,FALSE,"단축2";#N/A,#N/A,FALSE,"단축3";#N/A,#N/A,FALSE,"장축";#N/A,#N/A,FALSE,"4WD"}</definedName>
    <definedName name="EWY_2" hidden="1">{#N/A,#N/A,FALSE,"단축1";#N/A,#N/A,FALSE,"단축2";#N/A,#N/A,FALSE,"단축3";#N/A,#N/A,FALSE,"장축";#N/A,#N/A,FALSE,"4WD"}</definedName>
    <definedName name="excess" hidden="1">{#N/A,#N/A,FALSE,"품의서";#N/A,#N/A,FALSE,"전제";#N/A,#N/A,FALSE,"총손";#N/A,#N/A,FALSE,"손익";#N/A,#N/A,FALSE,"대당";#N/A,#N/A,FALSE,"가공비";#N/A,#N/A,FALSE,"재료비";#N/A,#N/A,FALSE,"판비";#N/A,#N/A,FALSE,"가격"}</definedName>
    <definedName name="EXT" hidden="1">{#N/A,#N/A,TRUE,"일정"}</definedName>
    <definedName name="EXTT" hidden="1">{#N/A,#N/A,TRUE,"일정"}</definedName>
    <definedName name="EYERYWEYTRWWW4" hidden="1">{#N/A,#N/A,FALSE,"단축1";#N/A,#N/A,FALSE,"단축2";#N/A,#N/A,FALSE,"단축3";#N/A,#N/A,FALSE,"장축";#N/A,#N/A,FALSE,"4WD"}</definedName>
    <definedName name="EYREYTRUTYTR" hidden="1">{#N/A,#N/A,FALSE,"단축1";#N/A,#N/A,FALSE,"단축2";#N/A,#N/A,FALSE,"단축3";#N/A,#N/A,FALSE,"장축";#N/A,#N/A,FALSE,"4WD"}</definedName>
    <definedName name="EYRU" hidden="1">{#N/A,#N/A,FALSE,"단축1";#N/A,#N/A,FALSE,"단축2";#N/A,#N/A,FALSE,"단축3";#N/A,#N/A,FALSE,"장축";#N/A,#N/A,FALSE,"4WD"}</definedName>
    <definedName name="EYRU_1" hidden="1">{#N/A,#N/A,FALSE,"단축1";#N/A,#N/A,FALSE,"단축2";#N/A,#N/A,FALSE,"단축3";#N/A,#N/A,FALSE,"장축";#N/A,#N/A,FALSE,"4WD"}</definedName>
    <definedName name="EYRU_2" hidden="1">{#N/A,#N/A,FALSE,"단축1";#N/A,#N/A,FALSE,"단축2";#N/A,#N/A,FALSE,"단축3";#N/A,#N/A,FALSE,"장축";#N/A,#N/A,FALSE,"4WD"}</definedName>
    <definedName name="eyte" hidden="1">{#N/A,#N/A,FALSE,"단축1";#N/A,#N/A,FALSE,"단축2";#N/A,#N/A,FALSE,"단축3";#N/A,#N/A,FALSE,"장축";#N/A,#N/A,FALSE,"4WD"}</definedName>
    <definedName name="EYTRE" hidden="1">{#N/A,#N/A,FALSE,"단축1";#N/A,#N/A,FALSE,"단축2";#N/A,#N/A,FALSE,"단축3";#N/A,#N/A,FALSE,"장축";#N/A,#N/A,FALSE,"4WD"}</definedName>
    <definedName name="eyuhhgfh" hidden="1">{#N/A,#N/A,TRUE,"Y생산";#N/A,#N/A,TRUE,"Y판매";#N/A,#N/A,TRUE,"Y총물량";#N/A,#N/A,TRUE,"Y능력";#N/A,#N/A,TRUE,"YKD"}</definedName>
    <definedName name="eyuhhgfh_1" hidden="1">{#N/A,#N/A,TRUE,"Y생산";#N/A,#N/A,TRUE,"Y판매";#N/A,#N/A,TRUE,"Y총물량";#N/A,#N/A,TRUE,"Y능력";#N/A,#N/A,TRUE,"YKD"}</definedName>
    <definedName name="EYUUU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 hidden="1">{#N/A,#N/A,FALSE,"96 3월물량표";#N/A,#N/A,FALSE,"96 4월물량표";#N/A,#N/A,FALSE,"96 5월물량표"}</definedName>
    <definedName name="F.CHART" hidden="1">{#N/A,#N/A,FALSE,"KMC최종회의(7월) 자료"}</definedName>
    <definedName name="F.CHART_1" hidden="1">{#N/A,#N/A,FALSE,"KMC최종회의(7월) 자료"}</definedName>
    <definedName name="F.CHART_2" hidden="1">{#N/A,#N/A,FALSE,"KMC최종회의(7월) 자료"}</definedName>
    <definedName name="F_CHART3" hidden="1">{#N/A,#N/A,FALSE,"단축1";#N/A,#N/A,FALSE,"단축2";#N/A,#N/A,FALSE,"단축3";#N/A,#N/A,FALSE,"장축";#N/A,#N/A,FALSE,"4WD"}</definedName>
    <definedName name="F4FEW" hidden="1">{#N/A,#N/A,FALSE,"단축1";#N/A,#N/A,FALSE,"단축2";#N/A,#N/A,FALSE,"단축3";#N/A,#N/A,FALSE,"장축";#N/A,#N/A,FALSE,"4WD"}</definedName>
    <definedName name="faah" hidden="1">{#N/A,#N/A,FALSE,"단축1";#N/A,#N/A,FALSE,"단축2";#N/A,#N/A,FALSE,"단축3";#N/A,#N/A,FALSE,"장축";#N/A,#N/A,FALSE,"4WD"}</definedName>
    <definedName name="fadsfasdfasdfads" hidden="1">{#N/A,#N/A,FALSE,"단축1";#N/A,#N/A,FALSE,"단축2";#N/A,#N/A,FALSE,"단축3";#N/A,#N/A,FALSE,"장축";#N/A,#N/A,FALSE,"4WD"}</definedName>
    <definedName name="FAN" hidden="1">{#N/A,#N/A,FALSE,"HOT RU TEM";#N/A,#N/A,FALSE,"HOT RU TEM";#N/A,#N/A,FALSE,"HOT RU TEM"}</definedName>
    <definedName name="fasdf" hidden="1">{"SUM ALL YR",#N/A,FALSE,"SUM ALL YR";"sum01",#N/A,FALSE,"SUM 01";"sumM2",#N/A,FALSE,"SUM M2";"sum02",#N/A,FALSE,"SUM 02";"sum03",#N/A,FALSE,"SUM 03";"sum04",#N/A,FALSE,"SUM 04";"sum05",#N/A,FALSE,"SUM 05"}</definedName>
    <definedName name="fasdfa" hidden="1">{#N/A,#N/A,FALSE,"PART-1234-8-12-9(41)";#N/A,#N/A,FALSE,"PARTS-2(3)";#N/A,#N/A,FALSE,"VAN SYSTEM";#N/A,#N/A,FALSE,"PARTS-10(26)";#N/A,#N/A,FALSE,"PART-5-6-7-11(14)";#N/A,#N/A,FALSE,"PARTS-4(3)";#N/A,#N/A,FALSE,"PCLASS"}</definedName>
    <definedName name="FBFDGFDFGSGFSD" hidden="1">{"'7-2지역별'!$A$1:$R$44"}</definedName>
    <definedName name="fbfvfv" hidden="1">{"'7-2지역별'!$A$1:$R$44"}</definedName>
    <definedName name="fbvnvcb" hidden="1">{#N/A,#N/A,FALSE,"96 3월물량표";#N/A,#N/A,FALSE,"96 4월물량표";#N/A,#N/A,FALSE,"96 5월물량표"}</definedName>
    <definedName name="fbvnvcb_1" hidden="1">{#N/A,#N/A,FALSE,"96 3월물량표";#N/A,#N/A,FALSE,"96 4월물량표";#N/A,#N/A,FALSE,"96 5월물량표"}</definedName>
    <definedName name="FC" hidden="1">{#N/A,#N/A,FALSE,"단축1";#N/A,#N/A,FALSE,"단축2";#N/A,#N/A,FALSE,"단축3";#N/A,#N/A,FALSE,"장축";#N/A,#N/A,FALSE,"4WD"}</definedName>
    <definedName name="f℃" hidden="1">{#N/A,#N/A,FALSE,"Australien";#N/A,#N/A,FALSE,"Birmingham";#N/A,#N/A,FALSE,"Brasilien";#N/A,#N/A,FALSE,"Prag";#N/A,#N/A,FALSE,"Spanien";#N/A,#N/A,FALSE,"Malaysia ( Com)";#N/A,#N/A,FALSE,"Malaysia (Instr)"}</definedName>
    <definedName name="FC." hidden="1">{#N/A,#N/A,FALSE,"단축1";#N/A,#N/A,FALSE,"단축2";#N/A,#N/A,FALSE,"단축3";#N/A,#N/A,FALSE,"장축";#N/A,#N/A,FALSE,"4WD"}</definedName>
    <definedName name="FC_신차_PERT" hidden="1">#N/A</definedName>
    <definedName name="FCLINE2" hidden="1">{#N/A,#N/A,FALSE,"단축1";#N/A,#N/A,FALSE,"단축2";#N/A,#N/A,FALSE,"단축3";#N/A,#N/A,FALSE,"장축";#N/A,#N/A,FALSE,"4WD"}</definedName>
    <definedName name="FCS" hidden="1">{#N/A,#N/A,FALSE,"단축1";#N/A,#N/A,FALSE,"단축2";#N/A,#N/A,FALSE,"단축3";#N/A,#N/A,FALSE,"장축";#N/A,#N/A,FALSE,"4WD"}</definedName>
    <definedName name="fcxxxxxc" hidden="1">{"'7-2지역별'!$A$1:$R$44"}</definedName>
    <definedName name="F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as" hidden="1">{#N/A,#N/A,FALSE,"KMC최종회의(7월) 자료"}</definedName>
    <definedName name="FDASF" hidden="1">{#N/A,#N/A,FALSE,"단축1";#N/A,#N/A,FALSE,"단축2";#N/A,#N/A,FALSE,"단축3";#N/A,#N/A,FALSE,"장축";#N/A,#N/A,FALSE,"4WD"}</definedName>
    <definedName name="FDCTFVHHGFHGH" hidden="1">{#N/A,#N/A,TRUE,"Y생산";#N/A,#N/A,TRUE,"Y판매";#N/A,#N/A,TRUE,"Y총물량";#N/A,#N/A,TRUE,"Y능력";#N/A,#N/A,TRUE,"YKD"}</definedName>
    <definedName name="FDDSF" hidden="1">{#N/A,#N/A,FALSE,"단축1";#N/A,#N/A,FALSE,"단축2";#N/A,#N/A,FALSE,"단축3";#N/A,#N/A,FALSE,"장축";#N/A,#N/A,FALSE,"4WD"}</definedName>
    <definedName name="FDDSFDSFS" hidden="1">{"'7-2지역별'!$A$1:$R$44"}</definedName>
    <definedName name="FDES" hidden="1">{#N/A,#N/A,FALSE,"단축1";#N/A,#N/A,FALSE,"단축2";#N/A,#N/A,FALSE,"단축3";#N/A,#N/A,FALSE,"장축";#N/A,#N/A,FALSE,"4WD"}</definedName>
    <definedName name="fdf" hidden="1">{#N/A,#N/A,FALSE,"표지";#N/A,#N/A,FALSE,"전제";#N/A,#N/A,FALSE,"손익-자 (2)";#N/A,#N/A,FALSE,"손익-자";#N/A,#N/A,FALSE,"손익-마 (2)";#N/A,#N/A,FALSE,"손익-마";#N/A,#N/A,FALSE,"총손최종"}</definedName>
    <definedName name="fdfdf" hidden="1">{#N/A,#N/A,FALSE,"표지";#N/A,#N/A,FALSE,"전제";#N/A,#N/A,FALSE,"손익-자 (2)";#N/A,#N/A,FALSE,"손익-자";#N/A,#N/A,FALSE,"손익-마 (2)";#N/A,#N/A,FALSE,"손익-마";#N/A,#N/A,FALSE,"총손최종"}</definedName>
    <definedName name="FDFDFDDDDDDD" hidden="1">{#N/A,#N/A,FALSE,"단축1";#N/A,#N/A,FALSE,"단축2";#N/A,#N/A,FALSE,"단축3";#N/A,#N/A,FALSE,"장축";#N/A,#N/A,FALSE,"4WD"}</definedName>
    <definedName name="FDFDFDFDFDFD" hidden="1">{#N/A,#N/A,FALSE,"단축1";#N/A,#N/A,FALSE,"단축2";#N/A,#N/A,FALSE,"단축3";#N/A,#N/A,FALSE,"장축";#N/A,#N/A,FALSE,"4WD"}</definedName>
    <definedName name="FDFDGFDDDDDDDDDDDDDDD" hidden="1">{#N/A,#N/A,FALSE,"단축1";#N/A,#N/A,FALSE,"단축2";#N/A,#N/A,FALSE,"단축3";#N/A,#N/A,FALSE,"장축";#N/A,#N/A,FALSE,"4WD"}</definedName>
    <definedName name="FDFDGGGGGGGGGFDFDGGFD" hidden="1">{#N/A,#N/A,FALSE,"단축1";#N/A,#N/A,FALSE,"단축2";#N/A,#N/A,FALSE,"단축3";#N/A,#N/A,FALSE,"장축";#N/A,#N/A,FALSE,"4WD"}</definedName>
    <definedName name="FDFDS" hidden="1">{"'7-2지역별'!$A$1:$R$44"}</definedName>
    <definedName name="FDFFDS" hidden="1">{"'7-2지역별'!$A$1:$R$44"}</definedName>
    <definedName name="fdffs" hidden="1">{#N/A,#N/A,FALSE,"단축1";#N/A,#N/A,FALSE,"단축2";#N/A,#N/A,FALSE,"단축3";#N/A,#N/A,FALSE,"장축";#N/A,#N/A,FALSE,"4WD"}</definedName>
    <definedName name="FDGBFDGFS" hidden="1">{"'7-2지역별'!$A$1:$R$44"}</definedName>
    <definedName name="fdgdf" hidden="1">{#N/A,#N/A,FALSE,"단축1";#N/A,#N/A,FALSE,"단축2";#N/A,#N/A,FALSE,"단축3";#N/A,#N/A,FALSE,"장축";#N/A,#N/A,FALSE,"4WD"}</definedName>
    <definedName name="FDGDFGVDFSG" hidden="1">{"'7-2지역별'!$A$1:$R$44"}</definedName>
    <definedName name="fdgdfsg" hidden="1">{"'7-2지역별'!$A$1:$R$44"}</definedName>
    <definedName name="FDGFDBHGD" hidden="1">{"'7-2지역별'!$A$1:$R$44"}</definedName>
    <definedName name="FDGHDFG" hidden="1">{#N/A,#N/A,FALSE,"단축1";#N/A,#N/A,FALSE,"단축2";#N/A,#N/A,FALSE,"단축3";#N/A,#N/A,FALSE,"장축";#N/A,#N/A,FALSE,"4WD"}</definedName>
    <definedName name="fdghea" hidden="1">{#N/A,#N/A,TRUE,"Y생산";#N/A,#N/A,TRUE,"Y판매";#N/A,#N/A,TRUE,"Y총물량";#N/A,#N/A,TRUE,"Y능력";#N/A,#N/A,TRUE,"YKD"}</definedName>
    <definedName name="fdghea_1" hidden="1">{#N/A,#N/A,TRUE,"Y생산";#N/A,#N/A,TRUE,"Y판매";#N/A,#N/A,TRUE,"Y총물량";#N/A,#N/A,TRUE,"Y능력";#N/A,#N/A,TRUE,"YKD"}</definedName>
    <definedName name="FDGHSDFHG" hidden="1">{#N/A,#N/A,FALSE,"단축1";#N/A,#N/A,FALSE,"단축2";#N/A,#N/A,FALSE,"단축3";#N/A,#N/A,FALSE,"장축";#N/A,#N/A,FALSE,"4WD"}</definedName>
    <definedName name="fdghsssssr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J" hidden="1">{#N/A,#N/A,FALSE,"단축1";#N/A,#N/A,FALSE,"단축2";#N/A,#N/A,FALSE,"단축3";#N/A,#N/A,FALSE,"장축";#N/A,#N/A,FALSE,"4WD"}</definedName>
    <definedName name="FDGS" hidden="1">{"'KET'!$A$1:$E$2423"}</definedName>
    <definedName name="FDHFDH" hidden="1">{#N/A,#N/A,FALSE,"단축1";#N/A,#N/A,FALSE,"단축2";#N/A,#N/A,FALSE,"단축3";#N/A,#N/A,FALSE,"장축";#N/A,#N/A,FALSE,"4WD"}</definedName>
    <definedName name="FDHFGH" hidden="1">{#N/A,#N/A,FALSE,"인원";#N/A,#N/A,FALSE,"비용2";#N/A,#N/A,FALSE,"비용1";#N/A,#N/A,FALSE,"비용";#N/A,#N/A,FALSE,"보증2";#N/A,#N/A,FALSE,"보증1";#N/A,#N/A,FALSE,"보증";#N/A,#N/A,FALSE,"손익1";#N/A,#N/A,FALSE,"손익";#N/A,#N/A,FALSE,"부서별매출";#N/A,#N/A,FALSE,"매출"}</definedName>
    <definedName name="FDHGF" hidden="1">{#N/A,#N/A,FALSE,"단축1";#N/A,#N/A,FALSE,"단축2";#N/A,#N/A,FALSE,"단축3";#N/A,#N/A,FALSE,"장축";#N/A,#N/A,FALSE,"4WD"}</definedName>
    <definedName name="FDHGFH" hidden="1">{#N/A,#N/A,FALSE,"신규dep";#N/A,#N/A,FALSE,"신규dep-금형상각후";#N/A,#N/A,FALSE,"신규dep-연구비상각후";#N/A,#N/A,FALSE,"신규dep-기계,공구상각후"}</definedName>
    <definedName name="FDHHGFH" hidden="1">{#N/A,#N/A,FALSE,"단축1";#N/A,#N/A,FALSE,"단축2";#N/A,#N/A,FALSE,"단축3";#N/A,#N/A,FALSE,"장축";#N/A,#N/A,FALSE,"4WD"}</definedName>
    <definedName name="FDJD" hidden="1">{#N/A,#N/A,FALSE,"단축1";#N/A,#N/A,FALSE,"단축2";#N/A,#N/A,FALSE,"단축3";#N/A,#N/A,FALSE,"장축";#N/A,#N/A,FALSE,"4WD"}</definedName>
    <definedName name="FDJGDFHJ" hidden="1">{#N/A,#N/A,FALSE,"단축1";#N/A,#N/A,FALSE,"단축2";#N/A,#N/A,FALSE,"단축3";#N/A,#N/A,FALSE,"장축";#N/A,#N/A,FALSE,"4WD"}</definedName>
    <definedName name="FDJGDFHJ_1" hidden="1">{#N/A,#N/A,FALSE,"단축1";#N/A,#N/A,FALSE,"단축2";#N/A,#N/A,FALSE,"단축3";#N/A,#N/A,FALSE,"장축";#N/A,#N/A,FALSE,"4WD"}</definedName>
    <definedName name="FDJGDFHJ_2" hidden="1">{#N/A,#N/A,FALSE,"단축1";#N/A,#N/A,FALSE,"단축2";#N/A,#N/A,FALSE,"단축3";#N/A,#N/A,FALSE,"장축";#N/A,#N/A,FALSE,"4WD"}</definedName>
    <definedName name="FDJHSHFDHSFDHSFD" hidden="1">{#N/A,#N/A,FALSE,"단축1";#N/A,#N/A,FALSE,"단축2";#N/A,#N/A,FALSE,"단축3";#N/A,#N/A,FALSE,"장축";#N/A,#N/A,FALSE,"4WD"}</definedName>
    <definedName name="fdkjkj" hidden="1">{#N/A,#N/A,FALSE,"단축1";#N/A,#N/A,FALSE,"단축2";#N/A,#N/A,FALSE,"단축3";#N/A,#N/A,FALSE,"장축";#N/A,#N/A,FALSE,"4WD"}</definedName>
    <definedName name="fdkjkj_1" hidden="1">{#N/A,#N/A,FALSE,"단축1";#N/A,#N/A,FALSE,"단축2";#N/A,#N/A,FALSE,"단축3";#N/A,#N/A,FALSE,"장축";#N/A,#N/A,FALSE,"4WD"}</definedName>
    <definedName name="FDKLI" hidden="1">{#N/A,#N/A,FALSE,"단축1";#N/A,#N/A,FALSE,"단축2";#N/A,#N/A,FALSE,"단축3";#N/A,#N/A,FALSE,"장축";#N/A,#N/A,FALSE,"4WD"}</definedName>
    <definedName name="FDL" hidden="1">{#N/A,#N/A,FALSE,"단축1";#N/A,#N/A,FALSE,"단축2";#N/A,#N/A,FALSE,"단축3";#N/A,#N/A,FALSE,"장축";#N/A,#N/A,FALSE,"4WD"}</definedName>
    <definedName name="FDS" hidden="1">{#N/A,#N/A,TRUE,"Y생산";#N/A,#N/A,TRUE,"Y판매";#N/A,#N/A,TRUE,"Y총물량";#N/A,#N/A,TRUE,"Y능력";#N/A,#N/A,TRUE,"YKD"}</definedName>
    <definedName name="fdsa" hidden="1">{#N/A,#N/A,FALSE,"KMC최종회의(7월) 자료"}</definedName>
    <definedName name="fdsa_1" hidden="1">{#N/A,#N/A,FALSE,"KMC최종회의(7월) 자료"}</definedName>
    <definedName name="fdsaasdf" hidden="1">#REF!</definedName>
    <definedName name="FDSAFASF" hidden="1">{#N/A,#N/A,FALSE,"단축1";#N/A,#N/A,FALSE,"단축2";#N/A,#N/A,FALSE,"단축3";#N/A,#N/A,FALSE,"장축";#N/A,#N/A,FALSE,"4WD"}</definedName>
    <definedName name="FDSFDSAF" hidden="1">{"'7-2지역별'!$A$1:$R$44"}</definedName>
    <definedName name="FDSFDSDAF" hidden="1">{"'7-2지역별'!$A$1:$R$44"}</definedName>
    <definedName name="fdsfdsfds" hidden="1">{"'7-2지역별'!$A$1:$R$44"}</definedName>
    <definedName name="FDSFSDF" hidden="1">{"'7-2지역별'!$A$1:$R$44"}</definedName>
    <definedName name="FDSKEF" hidden="1">{#N/A,#N/A,FALSE,"단축1";#N/A,#N/A,FALSE,"단축2";#N/A,#N/A,FALSE,"단축3";#N/A,#N/A,FALSE,"장축";#N/A,#N/A,FALSE,"4WD"}</definedName>
    <definedName name="fdvd" hidden="1">{#N/A,#N/A,FALSE,"단축1";#N/A,#N/A,FALSE,"단축2";#N/A,#N/A,FALSE,"단축3";#N/A,#N/A,FALSE,"장축";#N/A,#N/A,FALSE,"4WD"}</definedName>
    <definedName name="FDVXDVV" hidden="1">{#N/A,#N/A,FALSE,"단축1";#N/A,#N/A,FALSE,"단축2";#N/A,#N/A,FALSE,"단축3";#N/A,#N/A,FALSE,"장축";#N/A,#N/A,FALSE,"4WD"}</definedName>
    <definedName name="FEFR" hidden="1">{"'7-2지역별'!$A$1:$R$44"}</definedName>
    <definedName name="fer" hidden="1">{#N/A,#N/A,FALSE,"단축1";#N/A,#N/A,FALSE,"단축2";#N/A,#N/A,FALSE,"단축3";#N/A,#N/A,FALSE,"장축";#N/A,#N/A,FALSE,"4WD"}</definedName>
    <definedName name="FERFRE" hidden="1">{"'7-2지역별'!$A$1:$R$44"}</definedName>
    <definedName name="FEWA" hidden="1">{#N/A,#N/A,FALSE,"단축1";#N/A,#N/A,FALSE,"단축2";#N/A,#N/A,FALSE,"단축3";#N/A,#N/A,FALSE,"장축";#N/A,#N/A,FALSE,"4WD"}</definedName>
    <definedName name="fewfewe" hidden="1">{#N/A,#N/A,FALSE,"단축1";#N/A,#N/A,FALSE,"단축2";#N/A,#N/A,FALSE,"단축3";#N/A,#N/A,FALSE,"장축";#N/A,#N/A,FALSE,"4WD"}</definedName>
    <definedName name="FEWQ" hidden="1">{#N/A,#N/A,FALSE,"단축1";#N/A,#N/A,FALSE,"단축2";#N/A,#N/A,FALSE,"단축3";#N/A,#N/A,FALSE,"장축";#N/A,#N/A,FALSE,"4WD"}</definedName>
    <definedName name="FEWQ_1" hidden="1">{#N/A,#N/A,FALSE,"단축1";#N/A,#N/A,FALSE,"단축2";#N/A,#N/A,FALSE,"단축3";#N/A,#N/A,FALSE,"장축";#N/A,#N/A,FALSE,"4WD"}</definedName>
    <definedName name="FEWQ_2" hidden="1">{#N/A,#N/A,FALSE,"단축1";#N/A,#N/A,FALSE,"단축2";#N/A,#N/A,FALSE,"단축3";#N/A,#N/A,FALSE,"장축";#N/A,#N/A,FALSE,"4WD"}</definedName>
    <definedName name="FF" hidden="1">#REF!</definedName>
    <definedName name="FFADSS" hidden="1">{"'7-2지역별'!$A$1:$R$44"}</definedName>
    <definedName name="FFDD" hidden="1">{#N/A,#N/A,FALSE,"단축1";#N/A,#N/A,FALSE,"단축2";#N/A,#N/A,FALSE,"단축3";#N/A,#N/A,FALSE,"장축";#N/A,#N/A,FALSE,"4WD"}</definedName>
    <definedName name="FFDF" hidden="1">{#N/A,#N/A,FALSE,"단축1";#N/A,#N/A,FALSE,"단축2";#N/A,#N/A,FALSE,"단축3";#N/A,#N/A,FALSE,"장축";#N/A,#N/A,FALSE,"4WD"}</definedName>
    <definedName name="FFDFDFDFG" hidden="1">{"'7-2지역별'!$A$1:$R$44"}</definedName>
    <definedName name="ffdvvccx" hidden="1">{"'7-2지역별'!$A$1:$R$44"}</definedName>
    <definedName name="FFE" hidden="1">{#N/A,#N/A,FALSE,"단축1";#N/A,#N/A,FALSE,"단축2";#N/A,#N/A,FALSE,"단축3";#N/A,#N/A,FALSE,"장축";#N/A,#N/A,FALSE,"4WD"}</definedName>
    <definedName name="ffefefef" hidden="1">{"'7-2지역별'!$A$1:$R$44"}</definedName>
    <definedName name="FFF" hidden="1">{#N/A,#N/A,TRUE,"Y생산";#N/A,#N/A,TRUE,"Y판매";#N/A,#N/A,TRUE,"Y총물량";#N/A,#N/A,TRUE,"Y능력";#N/A,#N/A,TRUE,"YKD"}</definedName>
    <definedName name="FFFF" hidden="1">{#N/A,#N/A,TRUE,"Y생산";#N/A,#N/A,TRUE,"Y판매";#N/A,#N/A,TRUE,"Y총물량";#N/A,#N/A,TRUE,"Y능력";#N/A,#N/A,TRUE,"YKD"}</definedName>
    <definedName name="FFFF_1" hidden="1">{#N/A,#N/A,TRUE,"Y생산";#N/A,#N/A,TRUE,"Y판매";#N/A,#N/A,TRUE,"Y총물량";#N/A,#N/A,TRUE,"Y능력";#N/A,#N/A,TRUE,"YKD"}</definedName>
    <definedName name="FFFFF" hidden="1">{#N/A,#N/A,TRUE,"Y생산";#N/A,#N/A,TRUE,"Y판매";#N/A,#N/A,TRUE,"Y총물량";#N/A,#N/A,TRUE,"Y능력";#N/A,#N/A,TRUE,"YKD"}</definedName>
    <definedName name="FFFFF_1" hidden="1">{#N/A,#N/A,TRUE,"Y생산";#N/A,#N/A,TRUE,"Y판매";#N/A,#N/A,TRUE,"Y총물량";#N/A,#N/A,TRUE,"Y능력";#N/A,#N/A,TRUE,"YKD"}</definedName>
    <definedName name="FFFFFDD" hidden="1">{#N/A,#N/A,FALSE,"정공"}</definedName>
    <definedName name="FFFFFDD_1" hidden="1">{#N/A,#N/A,FALSE,"정공"}</definedName>
    <definedName name="FFFFFDD_2" hidden="1">{#N/A,#N/A,FALSE,"정공"}</definedName>
    <definedName name="FFFFFF" hidden="1">{#N/A,#N/A,FALSE,"신규dep";#N/A,#N/A,FALSE,"신규dep-금형상각후";#N/A,#N/A,FALSE,"신규dep-연구비상각후";#N/A,#N/A,FALSE,"신규dep-기계,공구상각후"}</definedName>
    <definedName name="FFFFFFFFF" hidden="1">{#N/A,#N/A,FALSE,"정공"}</definedName>
    <definedName name="FFFFFFFFF_1" hidden="1">{#N/A,#N/A,FALSE,"정공"}</definedName>
    <definedName name="FFFFFFFFF_2" hidden="1">{#N/A,#N/A,FALSE,"정공"}</definedName>
    <definedName name="ffffgg" hidden="1">{"'7-2지역별'!$A$1:$R$44"}</definedName>
    <definedName name="fffgfg" hidden="1">{#N/A,#N/A,FALSE,"단축1";#N/A,#N/A,FALSE,"단축2";#N/A,#N/A,FALSE,"단축3";#N/A,#N/A,FALSE,"장축";#N/A,#N/A,FALSE,"4WD"}</definedName>
    <definedName name="FFG" hidden="1">{#N/A,#N/A,FALSE,"단축1";#N/A,#N/A,FALSE,"단축2";#N/A,#N/A,FALSE,"단축3";#N/A,#N/A,FALSE,"장축";#N/A,#N/A,FALSE,"4WD"}</definedName>
    <definedName name="ffgbgbg" hidden="1">{"'7-2지역별'!$A$1:$R$44"}</definedName>
    <definedName name="ffgfdfd" hidden="1">{#N/A,#N/A,FALSE,"단축1";#N/A,#N/A,FALSE,"단축2";#N/A,#N/A,FALSE,"단축3";#N/A,#N/A,FALSE,"장축";#N/A,#N/A,FALSE,"4WD"}</definedName>
    <definedName name="FFGFG" hidden="1">{"'7-2지역별'!$A$1:$R$44"}</definedName>
    <definedName name="FFGHJKK" hidden="1">{#N/A,#N/A,FALSE,"단축1";#N/A,#N/A,FALSE,"단축2";#N/A,#N/A,FALSE,"단축3";#N/A,#N/A,FALSE,"장축";#N/A,#N/A,FALSE,"4WD"}</definedName>
    <definedName name="FFR" hidden="1">{#N/A,#N/A,FALSE,"단축1";#N/A,#N/A,FALSE,"단축2";#N/A,#N/A,FALSE,"단축3";#N/A,#N/A,FALSE,"장축";#N/A,#N/A,FALSE,"4WD"}</definedName>
    <definedName name="ffre" hidden="1">{"'7-2지역별'!$A$1:$R$44"}</definedName>
    <definedName name="fg" hidden="1">{#N/A,#N/A,TRUE,"Y생산";#N/A,#N/A,TRUE,"Y판매";#N/A,#N/A,TRUE,"Y총물량";#N/A,#N/A,TRUE,"Y능력";#N/A,#N/A,TRUE,"YKD"}</definedName>
    <definedName name="fg_1" hidden="1">{#N/A,#N/A,TRUE,"Y생산";#N/A,#N/A,TRUE,"Y판매";#N/A,#N/A,TRUE,"Y총물량";#N/A,#N/A,TRUE,"Y능력";#N/A,#N/A,TRUE,"YKD"}</definedName>
    <definedName name="fgbgff" hidden="1">{"'7-2지역별'!$A$1:$R$44"}</definedName>
    <definedName name="FGD" hidden="1">{#N/A,#N/A,FALSE,"단축1";#N/A,#N/A,FALSE,"단축2";#N/A,#N/A,FALSE,"단축3";#N/A,#N/A,FALSE,"장축";#N/A,#N/A,FALSE,"4WD"}</definedName>
    <definedName name="FGD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F" hidden="1">{#N/A,#N/A,FALSE,"단축1";#N/A,#N/A,FALSE,"단축2";#N/A,#N/A,FALSE,"단축3";#N/A,#N/A,FALSE,"장축";#N/A,#N/A,FALSE,"4WD"}</definedName>
    <definedName name="FGFDD" hidden="1">{#N/A,#N/A,FALSE,"단축1";#N/A,#N/A,FALSE,"단축2";#N/A,#N/A,FALSE,"단축3";#N/A,#N/A,FALSE,"장축";#N/A,#N/A,FALSE,"4WD"}</definedName>
    <definedName name="FGFG" hidden="1">{#N/A,#N/A,FALSE,"단축1";#N/A,#N/A,FALSE,"단축2";#N/A,#N/A,FALSE,"단축3";#N/A,#N/A,FALSE,"장축";#N/A,#N/A,FALSE,"4WD"}</definedName>
    <definedName name="FGfGFD" hidden="1">{#N/A,#N/A,FALSE,"단축1";#N/A,#N/A,FALSE,"단축2";#N/A,#N/A,FALSE,"단축3";#N/A,#N/A,FALSE,"장축";#N/A,#N/A,FALSE,"4WD"}</definedName>
    <definedName name="fgfhhj" hidden="1">{#N/A,#N/A,FALSE,"단축1";#N/A,#N/A,FALSE,"단축2";#N/A,#N/A,FALSE,"단축3";#N/A,#N/A,FALSE,"장축";#N/A,#N/A,FALSE,"4WD"}</definedName>
    <definedName name="FGGG" hidden="1">{#N/A,#N/A,FALSE,"단축1";#N/A,#N/A,FALSE,"단축2";#N/A,#N/A,FALSE,"단축3";#N/A,#N/A,FALSE,"장축";#N/A,#N/A,FALSE,"4WD"}</definedName>
    <definedName name="FGH" hidden="1">{#N/A,#N/A,FALSE,"단축1";#N/A,#N/A,FALSE,"단축2";#N/A,#N/A,FALSE,"단축3";#N/A,#N/A,FALSE,"장축";#N/A,#N/A,FALSE,"4WD"}</definedName>
    <definedName name="FGH_1" hidden="1">{#N/A,#N/A,FALSE,"단축1";#N/A,#N/A,FALSE,"단축2";#N/A,#N/A,FALSE,"단축3";#N/A,#N/A,FALSE,"장축";#N/A,#N/A,FALSE,"4WD"}</definedName>
    <definedName name="FGH_2" hidden="1">{#N/A,#N/A,FALSE,"단축1";#N/A,#N/A,FALSE,"단축2";#N/A,#N/A,FALSE,"단축3";#N/A,#N/A,FALSE,"장축";#N/A,#N/A,FALSE,"4WD"}</definedName>
    <definedName name="FGHFD" hidden="1">{#N/A,#N/A,FALSE,"단축1";#N/A,#N/A,FALSE,"단축2";#N/A,#N/A,FALSE,"단축3";#N/A,#N/A,FALSE,"장축";#N/A,#N/A,FALSE,"4WD"}</definedName>
    <definedName name="FGHFMFMJTMV" hidden="1">{#N/A,#N/A,FALSE,"단축1";#N/A,#N/A,FALSE,"단축2";#N/A,#N/A,FALSE,"단축3";#N/A,#N/A,FALSE,"장축";#N/A,#N/A,FALSE,"4WD"}</definedName>
    <definedName name="FGHGFJF" hidden="1">{#N/A,#N/A,FALSE,"단축1";#N/A,#N/A,FALSE,"단축2";#N/A,#N/A,FALSE,"단축3";#N/A,#N/A,FALSE,"장축";#N/A,#N/A,FALSE,"4WD"}</definedName>
    <definedName name="fghgsdrgjtdjdghj" hidden="1">{#N/A,#N/A,FALSE,"단축1";#N/A,#N/A,FALSE,"단축2";#N/A,#N/A,FALSE,"단축3";#N/A,#N/A,FALSE,"장축";#N/A,#N/A,FALSE,"4WD"}</definedName>
    <definedName name="fghhj" hidden="1">{#N/A,#N/A,FALSE,"단축1";#N/A,#N/A,FALSE,"단축2";#N/A,#N/A,FALSE,"단축3";#N/A,#N/A,FALSE,"장축";#N/A,#N/A,FALSE,"4WD"}</definedName>
    <definedName name="FGHHJKL" hidden="1">{#N/A,#N/A,FALSE,"PART-1234-8-12-9(41)";#N/A,#N/A,FALSE,"PARTS-2(3)";#N/A,#N/A,FALSE,"VAN SYSTEM";#N/A,#N/A,FALSE,"PARTS-10(26)";#N/A,#N/A,FALSE,"PART-5-6-7-11(14)";#N/A,#N/A,FALSE,"PARTS-4(3)";#N/A,#N/A,FALSE,"PCLASS"}</definedName>
    <definedName name="FGHJ" hidden="1">{#N/A,#N/A,FALSE,"단축1";#N/A,#N/A,FALSE,"단축2";#N/A,#N/A,FALSE,"단축3";#N/A,#N/A,FALSE,"장축";#N/A,#N/A,FALSE,"4WD"}</definedName>
    <definedName name="FGHJHF" hidden="1">{#N/A,#N/A,FALSE,"표지";#N/A,#N/A,FALSE,"전제";#N/A,#N/A,FALSE,"손익-자 (2)";#N/A,#N/A,FALSE,"손익-자";#N/A,#N/A,FALSE,"손익-마 (2)";#N/A,#N/A,FALSE,"손익-마";#N/A,#N/A,FALSE,"총손최종"}</definedName>
    <definedName name="FGHJJ" hidden="1">{#N/A,#N/A,FALSE,"단축1";#N/A,#N/A,FALSE,"단축2";#N/A,#N/A,FALSE,"단축3";#N/A,#N/A,FALSE,"장축";#N/A,#N/A,FALSE,"4WD"}</definedName>
    <definedName name="fghjk" hidden="1">{#N/A,#N/A,FALSE,"단축1";#N/A,#N/A,FALSE,"단축2";#N/A,#N/A,FALSE,"단축3";#N/A,#N/A,FALSE,"장축";#N/A,#N/A,FALSE,"4WD"}</definedName>
    <definedName name="FGHJKJKLKLLLL" hidden="1">{#N/A,#N/A,FALSE,"PART-1234-8-12-9(41)";#N/A,#N/A,FALSE,"PARTS-2(3)";#N/A,#N/A,FALSE,"VAN SYSTEM";#N/A,#N/A,FALSE,"PARTS-10(26)";#N/A,#N/A,FALSE,"PART-5-6-7-11(14)";#N/A,#N/A,FALSE,"PARTS-4(3)";#N/A,#N/A,FALSE,"PCLASS"}</definedName>
    <definedName name="FGHJKKJK" hidden="1">{#N/A,#N/A,FALSE,"PART-1234-8-12-9(41)";#N/A,#N/A,FALSE,"PARTS-2(3)";#N/A,#N/A,FALSE,"VAN SYSTEM";#N/A,#N/A,FALSE,"PARTS-10(26)";#N/A,#N/A,FALSE,"PART-5-6-7-11(14)";#N/A,#N/A,FALSE,"PARTS-4(3)";#N/A,#N/A,FALSE,"PCLASS"}</definedName>
    <definedName name="fghjkkl"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FGHJKL" hidden="1">{#N/A,#N/A,FALSE,"PART-1234-8-12-9(41)";#N/A,#N/A,FALSE,"PARTS-2(3)";#N/A,#N/A,FALSE,"VAN SYSTEM";#N/A,#N/A,FALSE,"PARTS-10(26)";#N/A,#N/A,FALSE,"PART-5-6-7-11(14)";#N/A,#N/A,FALSE,"PARTS-4(3)";#N/A,#N/A,FALSE,"PCLASS"}</definedName>
    <definedName name="FGHJKLLLLLL" hidden="1">{#N/A,#N/A,FALSE,"PART-1234-8-12-9(41)";#N/A,#N/A,FALSE,"PARTS-2(3)";#N/A,#N/A,FALSE,"VAN SYSTEM";#N/A,#N/A,FALSE,"PARTS-10(26)";#N/A,#N/A,FALSE,"PART-5-6-7-11(14)";#N/A,#N/A,FALSE,"PARTS-4(3)";#N/A,#N/A,FALSE,"PCLASS"}</definedName>
    <definedName name="FGHJKLLOP" hidden="1">{#N/A,#N/A,FALSE,"PART-1234-8-12-9(41)";#N/A,#N/A,FALSE,"PARTS-2(3)";#N/A,#N/A,FALSE,"VAN SYSTEM";#N/A,#N/A,FALSE,"PARTS-10(26)";#N/A,#N/A,FALSE,"PART-5-6-7-11(14)";#N/A,#N/A,FALSE,"PARTS-4(3)";#N/A,#N/A,FALSE,"PCLASS"}</definedName>
    <definedName name="fghsgfhg" hidden="1">{"'7-2지역별'!$A$1:$R$44"}</definedName>
    <definedName name="FGJ" hidden="1">{#N/A,#N/A,FALSE,"단축1";#N/A,#N/A,FALSE,"단축2";#N/A,#N/A,FALSE,"단축3";#N/A,#N/A,FALSE,"장축";#N/A,#N/A,FALSE,"4WD"}</definedName>
    <definedName name="fgjgjh" hidden="1">{#N/A,#N/A,FALSE,"단축1";#N/A,#N/A,FALSE,"단축2";#N/A,#N/A,FALSE,"단축3";#N/A,#N/A,FALSE,"장축";#N/A,#N/A,FALSE,"4WD"}</definedName>
    <definedName name="FGJHHD" hidden="1">{#N/A,#N/A,FALSE,"단축1";#N/A,#N/A,FALSE,"단축2";#N/A,#N/A,FALSE,"단축3";#N/A,#N/A,FALSE,"장축";#N/A,#N/A,FALSE,"4WD"}</definedName>
    <definedName name="FGJHU" hidden="1">{#N/A,#N/A,FALSE,"단축1";#N/A,#N/A,FALSE,"단축2";#N/A,#N/A,FALSE,"단축3";#N/A,#N/A,FALSE,"장축";#N/A,#N/A,FALSE,"4WD"}</definedName>
    <definedName name="FGKJHHHHHHHHHHHHHK" hidden="1">{#N/A,#N/A,FALSE,"표지";#N/A,#N/A,FALSE,"전제";#N/A,#N/A,FALSE,"손익-자 (2)";#N/A,#N/A,FALSE,"손익-자";#N/A,#N/A,FALSE,"손익-마 (2)";#N/A,#N/A,FALSE,"손익-마";#N/A,#N/A,FALSE,"총손최종"}</definedName>
    <definedName name="FGS" hidden="1">{"Wire Charts",#N/A,TRUE,"Wires"}</definedName>
    <definedName name="FGSDDRT" hidden="1">{#N/A,#N/A,FALSE,"단축1";#N/A,#N/A,FALSE,"단축2";#N/A,#N/A,FALSE,"단축3";#N/A,#N/A,FALSE,"장축";#N/A,#N/A,FALSE,"4WD"}</definedName>
    <definedName name="fgsdfds" hidden="1">{#N/A,#N/A,FALSE,"단축1";#N/A,#N/A,FALSE,"단축2";#N/A,#N/A,FALSE,"단축3";#N/A,#N/A,FALSE,"장축";#N/A,#N/A,FALSE,"4WD"}</definedName>
    <definedName name="fgsfsg" hidden="1">{#N/A,#N/A,FALSE,"단축1";#N/A,#N/A,FALSE,"단축2";#N/A,#N/A,FALSE,"단축3";#N/A,#N/A,FALSE,"장축";#N/A,#N/A,FALSE,"4WD"}</definedName>
    <definedName name="fgsgxfs" hidden="1">{#N/A,#N/A,FALSE,"단축1";#N/A,#N/A,FALSE,"단축2";#N/A,#N/A,FALSE,"단축3";#N/A,#N/A,FALSE,"장축";#N/A,#N/A,FALSE,"4WD"}</definedName>
    <definedName name="FGT" hidden="1">{#N/A,#N/A,FALSE,"단축1";#N/A,#N/A,FALSE,"단축2";#N/A,#N/A,FALSE,"단축3";#N/A,#N/A,FALSE,"장축";#N/A,#N/A,FALSE,"4WD"}</definedName>
    <definedName name="FGT_1" hidden="1">{#N/A,#N/A,FALSE,"단축1";#N/A,#N/A,FALSE,"단축2";#N/A,#N/A,FALSE,"단축3";#N/A,#N/A,FALSE,"장축";#N/A,#N/A,FALSE,"4WD"}</definedName>
    <definedName name="FGT_2" hidden="1">{#N/A,#N/A,FALSE,"단축1";#N/A,#N/A,FALSE,"단축2";#N/A,#N/A,FALSE,"단축3";#N/A,#N/A,FALSE,"장축";#N/A,#N/A,FALSE,"4WD"}</definedName>
    <definedName name="FGVCBBV" hidden="1">{#N/A,#N/A,FALSE,"단축1";#N/A,#N/A,FALSE,"단축2";#N/A,#N/A,FALSE,"단축3";#N/A,#N/A,FALSE,"장축";#N/A,#N/A,FALSE,"4WD"}</definedName>
    <definedName name="fgvh" hidden="1">{#N/A,#N/A,TRUE,"Y생산";#N/A,#N/A,TRUE,"Y판매";#N/A,#N/A,TRUE,"Y총물량";#N/A,#N/A,TRUE,"Y능력";#N/A,#N/A,TRUE,"YKD"}</definedName>
    <definedName name="fgvh_1" hidden="1">{#N/A,#N/A,TRUE,"Y생산";#N/A,#N/A,TRUE,"Y판매";#N/A,#N/A,TRUE,"Y총물량";#N/A,#N/A,TRUE,"Y능력";#N/A,#N/A,TRUE,"YKD"}</definedName>
    <definedName name="FH" hidden="1">{#N/A,#N/A,FALSE,"단축1";#N/A,#N/A,FALSE,"단축2";#N/A,#N/A,FALSE,"단축3";#N/A,#N/A,FALSE,"장축";#N/A,#N/A,FALSE,"4WD"}</definedName>
    <definedName name="FH_1" hidden="1">{#N/A,#N/A,FALSE,"단축1";#N/A,#N/A,FALSE,"단축2";#N/A,#N/A,FALSE,"단축3";#N/A,#N/A,FALSE,"장축";#N/A,#N/A,FALSE,"4WD"}</definedName>
    <definedName name="FH_2" hidden="1">{#N/A,#N/A,FALSE,"단축1";#N/A,#N/A,FALSE,"단축2";#N/A,#N/A,FALSE,"단축3";#N/A,#N/A,FALSE,"장축";#N/A,#N/A,FALSE,"4WD"}</definedName>
    <definedName name="FHDF" hidden="1">{#N/A,#N/A,FALSE,"단축1";#N/A,#N/A,FALSE,"단축2";#N/A,#N/A,FALSE,"단축3";#N/A,#N/A,FALSE,"장축";#N/A,#N/A,FALSE,"4WD"}</definedName>
    <definedName name="FHFHH" hidden="1">{#N/A,#N/A,FALSE,"단축1";#N/A,#N/A,FALSE,"단축2";#N/A,#N/A,FALSE,"단축3";#N/A,#N/A,FALSE,"장축";#N/A,#N/A,FALSE,"4WD"}</definedName>
    <definedName name="fhfr" hidden="1">{#N/A,#N/A,FALSE,"단축1";#N/A,#N/A,FALSE,"단축2";#N/A,#N/A,FALSE,"단축3";#N/A,#N/A,FALSE,"장축";#N/A,#N/A,FALSE,"4WD"}</definedName>
    <definedName name="FHGFJFJHF" hidden="1">{#N/A,#N/A,FALSE,"단축1";#N/A,#N/A,FALSE,"단축2";#N/A,#N/A,FALSE,"단축3";#N/A,#N/A,FALSE,"장축";#N/A,#N/A,FALSE,"4WD"}</definedName>
    <definedName name="FHGHEE" hidden="1">{#N/A,#N/A,FALSE,"단축1";#N/A,#N/A,FALSE,"단축2";#N/A,#N/A,FALSE,"단축3";#N/A,#N/A,FALSE,"장축";#N/A,#N/A,FALSE,"4WD"}</definedName>
    <definedName name="FHGTEBNGHYTRGNYD" hidden="1">{#N/A,#N/A,FALSE,"을지 (4)";#N/A,#N/A,FALSE,"을지 (5)";#N/A,#N/A,FALSE,"을지 (6)"}</definedName>
    <definedName name="fhh" hidden="1">{#N/A,#N/A,FALSE,"단축1";#N/A,#N/A,FALSE,"단축2";#N/A,#N/A,FALSE,"단축3";#N/A,#N/A,FALSE,"장축";#N/A,#N/A,FALSE,"4WD"}</definedName>
    <definedName name="FHHG" hidden="1">{#N/A,#N/A,FALSE,"단축1";#N/A,#N/A,FALSE,"단축2";#N/A,#N/A,FALSE,"단축3";#N/A,#N/A,FALSE,"장축";#N/A,#N/A,FALSE,"4WD"}</definedName>
    <definedName name="fhhhf" hidden="1">{#N/A,#N/A,FALSE,"단축1";#N/A,#N/A,FALSE,"단축2";#N/A,#N/A,FALSE,"단축3";#N/A,#N/A,FALSE,"장축";#N/A,#N/A,FALSE,"4WD"}</definedName>
    <definedName name="FHJD" hidden="1">{#N/A,#N/A,FALSE,"단축1";#N/A,#N/A,FALSE,"단축2";#N/A,#N/A,FALSE,"단축3";#N/A,#N/A,FALSE,"장축";#N/A,#N/A,FALSE,"4WD"}</definedName>
    <definedName name="fhjdghjdghjtdfhj" hidden="1">{#N/A,#N/A,FALSE,"단축1";#N/A,#N/A,FALSE,"단축2";#N/A,#N/A,FALSE,"단축3";#N/A,#N/A,FALSE,"장축";#N/A,#N/A,FALSE,"4WD"}</definedName>
    <definedName name="FHJFJK" hidden="1">{#N/A,#N/A,FALSE,"단축1";#N/A,#N/A,FALSE,"단축2";#N/A,#N/A,FALSE,"단축3";#N/A,#N/A,FALSE,"장축";#N/A,#N/A,FALSE,"4WD"}</definedName>
    <definedName name="fifa" hidden="1">{#N/A,#N/A,FALSE,"단축1";#N/A,#N/A,FALSE,"단축2";#N/A,#N/A,FALSE,"단축3";#N/A,#N/A,FALSE,"장축";#N/A,#N/A,FALSE,"4WD"}</definedName>
    <definedName name="FILE" hidden="1">{#N/A,#N/A,FALSE,"단축1";#N/A,#N/A,FALSE,"단축2";#N/A,#N/A,FALSE,"단축3";#N/A,#N/A,FALSE,"장축";#N/A,#N/A,FALSE,"4WD"}</definedName>
    <definedName name="FILES" hidden="1">{#N/A,#N/A,FALSE,"단축1";#N/A,#N/A,FALSE,"단축2";#N/A,#N/A,FALSE,"단축3";#N/A,#N/A,FALSE,"장축";#N/A,#N/A,FALSE,"4WD"}</definedName>
    <definedName name="findingss" hidden="1">{#N/A,#N/A,FALSE,"Aging Summary";#N/A,#N/A,FALSE,"Ratio Analysis";#N/A,#N/A,FALSE,"Test 120 Day Accts";#N/A,#N/A,FALSE,"Tickmarks"}</definedName>
    <definedName name="FJ" hidden="1">{#N/A,#N/A,FALSE,"단축1";#N/A,#N/A,FALSE,"단축2";#N/A,#N/A,FALSE,"단축3";#N/A,#N/A,FALSE,"장축";#N/A,#N/A,FALSE,"4WD"}</definedName>
    <definedName name="FJ_1" hidden="1">{#N/A,#N/A,FALSE,"단축1";#N/A,#N/A,FALSE,"단축2";#N/A,#N/A,FALSE,"단축3";#N/A,#N/A,FALSE,"장축";#N/A,#N/A,FALSE,"4WD"}</definedName>
    <definedName name="FJ_2" hidden="1">{#N/A,#N/A,FALSE,"단축1";#N/A,#N/A,FALSE,"단축2";#N/A,#N/A,FALSE,"단축3";#N/A,#N/A,FALSE,"장축";#N/A,#N/A,FALSE,"4WD"}</definedName>
    <definedName name="fjalaslaslfasllaa" hidden="1">{#N/A,#N/A,FALSE,"을지 (4)";#N/A,#N/A,FALSE,"을지 (5)";#N/A,#N/A,FALSE,"을지 (6)"}</definedName>
    <definedName name="FJASLFASFJALSLA" hidden="1">{#N/A,#N/A,FALSE,"단축1";#N/A,#N/A,FALSE,"단축2";#N/A,#N/A,FALSE,"단축3";#N/A,#N/A,FALSE,"장축";#N/A,#N/A,FALSE,"4WD"}</definedName>
    <definedName name="FJD" hidden="1">{#N/A,#N/A,FALSE,"단축1";#N/A,#N/A,FALSE,"단축2";#N/A,#N/A,FALSE,"단축3";#N/A,#N/A,FALSE,"장축";#N/A,#N/A,FALSE,"4WD"}</definedName>
    <definedName name="FJD_1" hidden="1">{#N/A,#N/A,FALSE,"단축1";#N/A,#N/A,FALSE,"단축2";#N/A,#N/A,FALSE,"단축3";#N/A,#N/A,FALSE,"장축";#N/A,#N/A,FALSE,"4WD"}</definedName>
    <definedName name="FJD_2" hidden="1">{#N/A,#N/A,FALSE,"단축1";#N/A,#N/A,FALSE,"단축2";#N/A,#N/A,FALSE,"단축3";#N/A,#N/A,FALSE,"장축";#N/A,#N/A,FALSE,"4WD"}</definedName>
    <definedName name="fjdk" hidden="1">{#N/A,#N/A,FALSE,"KMC최종회의(7월) 자료"}</definedName>
    <definedName name="FJF" hidden="1">{#N/A,#N/A,FALSE,"단축1";#N/A,#N/A,FALSE,"단축2";#N/A,#N/A,FALSE,"단축3";#N/A,#N/A,FALSE,"장축";#N/A,#N/A,FALSE,"4WD"}</definedName>
    <definedName name="FJFHF" hidden="1">{#N/A,#N/A,FALSE,"단축1";#N/A,#N/A,FALSE,"단축2";#N/A,#N/A,FALSE,"단축3";#N/A,#N/A,FALSE,"장축";#N/A,#N/A,FALSE,"4WD"}</definedName>
    <definedName name="FJFJ" hidden="1">{#N/A,#N/A,FALSE,"단축1";#N/A,#N/A,FALSE,"단축2";#N/A,#N/A,FALSE,"단축3";#N/A,#N/A,FALSE,"장축";#N/A,#N/A,FALSE,"4WD"}</definedName>
    <definedName name="FJFJFJFJFJFF" hidden="1">{#N/A,#N/A,FALSE,"단축1";#N/A,#N/A,FALSE,"단축2";#N/A,#N/A,FALSE,"단축3";#N/A,#N/A,FALSE,"장축";#N/A,#N/A,FALSE,"4WD"}</definedName>
    <definedName name="FJFKJFKF" hidden="1">{#N/A,#N/A,FALSE,"단축1";#N/A,#N/A,FALSE,"단축2";#N/A,#N/A,FALSE,"단축3";#N/A,#N/A,FALSE,"장축";#N/A,#N/A,FALSE,"4WD"}</definedName>
    <definedName name="FJFKJFKF_1" hidden="1">{#N/A,#N/A,FALSE,"단축1";#N/A,#N/A,FALSE,"단축2";#N/A,#N/A,FALSE,"단축3";#N/A,#N/A,FALSE,"장축";#N/A,#N/A,FALSE,"4WD"}</definedName>
    <definedName name="FJFKJFKF_2" hidden="1">{#N/A,#N/A,FALSE,"단축1";#N/A,#N/A,FALSE,"단축2";#N/A,#N/A,FALSE,"단축3";#N/A,#N/A,FALSE,"장축";#N/A,#N/A,FALSE,"4WD"}</definedName>
    <definedName name="FJHJ" hidden="1">{#N/A,#N/A,FALSE,"단축1";#N/A,#N/A,FALSE,"단축2";#N/A,#N/A,FALSE,"단축3";#N/A,#N/A,FALSE,"장축";#N/A,#N/A,FALSE,"4WD"}</definedName>
    <definedName name="FJJT7I6MM" hidden="1">{#N/A,#N/A,FALSE,"표지";#N/A,#N/A,FALSE,"전제";#N/A,#N/A,FALSE,"손익-자 (2)";#N/A,#N/A,FALSE,"손익-자";#N/A,#N/A,FALSE,"손익-마 (2)";#N/A,#N/A,FALSE,"손익-마";#N/A,#N/A,FALSE,"총손최종"}</definedName>
    <definedName name="FJJT7I6MM1" hidden="1">{#N/A,#N/A,FALSE,"표지";#N/A,#N/A,FALSE,"전제";#N/A,#N/A,FALSE,"손익-자 (2)";#N/A,#N/A,FALSE,"손익-자";#N/A,#N/A,FALSE,"손익-마 (2)";#N/A,#N/A,FALSE,"손익-마";#N/A,#N/A,FALSE,"총손최종"}</definedName>
    <definedName name="FJM" hidden="1">{#N/A,#N/A,FALSE,"단축1";#N/A,#N/A,FALSE,"단축2";#N/A,#N/A,FALSE,"단축3";#N/A,#N/A,FALSE,"장축";#N/A,#N/A,FALSE,"4WD"}</definedName>
    <definedName name="FJM_1" hidden="1">{#N/A,#N/A,FALSE,"단축1";#N/A,#N/A,FALSE,"단축2";#N/A,#N/A,FALSE,"단축3";#N/A,#N/A,FALSE,"장축";#N/A,#N/A,FALSE,"4WD"}</definedName>
    <definedName name="FJM_2" hidden="1">{#N/A,#N/A,FALSE,"단축1";#N/A,#N/A,FALSE,"단축2";#N/A,#N/A,FALSE,"단축3";#N/A,#N/A,FALSE,"장축";#N/A,#N/A,FALSE,"4WD"}</definedName>
    <definedName name="FJOJOOJJOEFJOEFJO" hidden="1">{#N/A,#N/A,FALSE,"단축1";#N/A,#N/A,FALSE,"단축2";#N/A,#N/A,FALSE,"단축3";#N/A,#N/A,FALSE,"장축";#N/A,#N/A,FALSE,"4WD"}</definedName>
    <definedName name="FJOJOOJJOEFJOEFJO_1" hidden="1">{#N/A,#N/A,FALSE,"단축1";#N/A,#N/A,FALSE,"단축2";#N/A,#N/A,FALSE,"단축3";#N/A,#N/A,FALSE,"장축";#N/A,#N/A,FALSE,"4WD"}</definedName>
    <definedName name="FJOJOOJJOEFJOEFJO_2" hidden="1">{#N/A,#N/A,FALSE,"단축1";#N/A,#N/A,FALSE,"단축2";#N/A,#N/A,FALSE,"단축3";#N/A,#N/A,FALSE,"장축";#N/A,#N/A,FALSE,"4WD"}</definedName>
    <definedName name="FJS" hidden="1">{#N/A,#N/A,FALSE,"을지 (4)";#N/A,#N/A,FALSE,"을지 (5)";#N/A,#N/A,FALSE,"을지 (6)"}</definedName>
    <definedName name="FJSER" hidden="1">{#N/A,#N/A,FALSE,"단축1";#N/A,#N/A,FALSE,"단축2";#N/A,#N/A,FALSE,"단축3";#N/A,#N/A,FALSE,"장축";#N/A,#N/A,FALSE,"4WD"}</definedName>
    <definedName name="FK" hidden="1">{#N/A,#N/A,FALSE,"단축1";#N/A,#N/A,FALSE,"단축2";#N/A,#N/A,FALSE,"단축3";#N/A,#N/A,FALSE,"장축";#N/A,#N/A,FALSE,"4WD"}</definedName>
    <definedName name="FK_1" hidden="1">{#N/A,#N/A,FALSE,"단축1";#N/A,#N/A,FALSE,"단축2";#N/A,#N/A,FALSE,"단축3";#N/A,#N/A,FALSE,"장축";#N/A,#N/A,FALSE,"4WD"}</definedName>
    <definedName name="FK_2" hidden="1">{#N/A,#N/A,FALSE,"단축1";#N/A,#N/A,FALSE,"단축2";#N/A,#N/A,FALSE,"단축3";#N/A,#N/A,FALSE,"장축";#N/A,#N/A,FALSE,"4WD"}</definedName>
    <definedName name="FKDE" hidden="1">{#N/A,#N/A,FALSE,"단축1";#N/A,#N/A,FALSE,"단축2";#N/A,#N/A,FALSE,"단축3";#N/A,#N/A,FALSE,"장축";#N/A,#N/A,FALSE,"4WD"}</definedName>
    <definedName name="fkfk" hidden="1">{"'5'!$A$1:$BB$147"}</definedName>
    <definedName name="FKFKFK" hidden="1">{#N/A,#N/A,FALSE,"단축1";#N/A,#N/A,FALSE,"단축2";#N/A,#N/A,FALSE,"단축3";#N/A,#N/A,FALSE,"장축";#N/A,#N/A,FALSE,"4WD"}</definedName>
    <definedName name="fkfkfkfkfkf" hidden="1">{#N/A,#N/A,FALSE,"을지 (4)";#N/A,#N/A,FALSE,"을지 (5)";#N/A,#N/A,FALSE,"을지 (6)"}</definedName>
    <definedName name="fkfkfkfkfkfkfkfk" hidden="1">{#N/A,#N/A,FALSE,"을지 (4)";#N/A,#N/A,FALSE,"을지 (5)";#N/A,#N/A,FALSE,"을지 (6)"}</definedName>
    <definedName name="fkla" hidden="1">{#N/A,#N/A,TRUE,"Y생산";#N/A,#N/A,TRUE,"Y판매";#N/A,#N/A,TRUE,"Y총물량";#N/A,#N/A,TRUE,"Y능력";#N/A,#N/A,TRUE,"YKD"}</definedName>
    <definedName name="fkla_1" hidden="1">{#N/A,#N/A,TRUE,"Y생산";#N/A,#N/A,TRUE,"Y판매";#N/A,#N/A,TRUE,"Y총물량";#N/A,#N/A,TRUE,"Y능력";#N/A,#N/A,TRUE,"YKD"}</definedName>
    <definedName name="FKO" hidden="1">{#N/A,#N/A,FALSE,"단축1";#N/A,#N/A,FALSE,"단축2";#N/A,#N/A,FALSE,"단축3";#N/A,#N/A,FALSE,"장축";#N/A,#N/A,FALSE,"4WD"}</definedName>
    <definedName name="FKO_1" hidden="1">{#N/A,#N/A,FALSE,"단축1";#N/A,#N/A,FALSE,"단축2";#N/A,#N/A,FALSE,"단축3";#N/A,#N/A,FALSE,"장축";#N/A,#N/A,FALSE,"4WD"}</definedName>
    <definedName name="FKO_2" hidden="1">{#N/A,#N/A,FALSE,"단축1";#N/A,#N/A,FALSE,"단축2";#N/A,#N/A,FALSE,"단축3";#N/A,#N/A,FALSE,"장축";#N/A,#N/A,FALSE,"4WD"}</definedName>
    <definedName name="FKRL유인철" hidden="1">{#N/A,#N/A,FALSE,"단축1";#N/A,#N/A,FALSE,"단축2";#N/A,#N/A,FALSE,"단축3";#N/A,#N/A,FALSE,"장축";#N/A,#N/A,FALSE,"4WD"}</definedName>
    <definedName name="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aig" hidden="1">{#N/A,#N/A,FALSE,"단축1";#N/A,#N/A,FALSE,"단축2";#N/A,#N/A,FALSE,"단축3";#N/A,#N/A,FALSE,"장축";#N/A,#N/A,FALSE,"4WD"}</definedName>
    <definedName name="FLANGE" hidden="1">{#N/A,#N/A,TRUE,"매출진척-1";#N/A,#N/A,TRUE,"매출진척-2";#N/A,#N/A,TRUE,"제품실적";#N/A,#N/A,TRUE,"RAC";#N/A,#N/A,TRUE,"PAC ";#N/A,#N/A,TRUE,"재고현황";#N/A,#N/A,TRUE,"공지사항"}</definedName>
    <definedName name="FLEXIBLE.T.L" hidden="1">{#N/A,#N/A,FALSE,"단축1";#N/A,#N/A,FALSE,"단축2";#N/A,#N/A,FALSE,"단축3";#N/A,#N/A,FALSE,"장축";#N/A,#N/A,FALSE,"4WD"}</definedName>
    <definedName name="FLEXIBLE.T.L_1" hidden="1">{#N/A,#N/A,FALSE,"단축1";#N/A,#N/A,FALSE,"단축2";#N/A,#N/A,FALSE,"단축3";#N/A,#N/A,FALSE,"장축";#N/A,#N/A,FALSE,"4WD"}</definedName>
    <definedName name="FLOW" hidden="1">{#N/A,#N/A,FALSE,"KMC최종회의(7월) 자료"}</definedName>
    <definedName name="FLOW_1" hidden="1">{#N/A,#N/A,FALSE,"KMC최종회의(7월) 자료"}</definedName>
    <definedName name="FLOW_2" hidden="1">{#N/A,#N/A,FALSE,"KMC최종회의(7월) 자료"}</definedName>
    <definedName name="FMEA" hidden="1">{#N/A,#N/A,FALSE,"단축1";#N/A,#N/A,FALSE,"단축2";#N/A,#N/A,FALSE,"단축3";#N/A,#N/A,FALSE,"장축";#N/A,#N/A,FALSE,"4WD"}</definedName>
    <definedName name="FMEA4" hidden="1">{#N/A,#N/A,FALSE,"단축1";#N/A,#N/A,FALSE,"단축2";#N/A,#N/A,FALSE,"단축3";#N/A,#N/A,FALSE,"장축";#N/A,#N/A,FALSE,"4WD"}</definedName>
    <definedName name="FMEA양식갑" hidden="1">{#N/A,#N/A,FALSE,"단축1";#N/A,#N/A,FALSE,"단축2";#N/A,#N/A,FALSE,"단축3";#N/A,#N/A,FALSE,"장축";#N/A,#N/A,FALSE,"4WD"}</definedName>
    <definedName name="FMEA양식갑_1" hidden="1">{#N/A,#N/A,FALSE,"단축1";#N/A,#N/A,FALSE,"단축2";#N/A,#N/A,FALSE,"단축3";#N/A,#N/A,FALSE,"장축";#N/A,#N/A,FALSE,"4WD"}</definedName>
    <definedName name="FMEA양식갑_2" hidden="1">{#N/A,#N/A,FALSE,"단축1";#N/A,#N/A,FALSE,"단축2";#N/A,#N/A,FALSE,"단축3";#N/A,#N/A,FALSE,"장축";#N/A,#N/A,FALSE,"4WD"}</definedName>
    <definedName name="FMEA양식설계갑" hidden="1">{#N/A,#N/A,FALSE,"단축1";#N/A,#N/A,FALSE,"단축2";#N/A,#N/A,FALSE,"단축3";#N/A,#N/A,FALSE,"장축";#N/A,#N/A,FALSE,"4WD"}</definedName>
    <definedName name="FMEA양식설계갑_1" hidden="1">{#N/A,#N/A,FALSE,"단축1";#N/A,#N/A,FALSE,"단축2";#N/A,#N/A,FALSE,"단축3";#N/A,#N/A,FALSE,"장축";#N/A,#N/A,FALSE,"4WD"}</definedName>
    <definedName name="FMEA양식설계갑_2" hidden="1">{#N/A,#N/A,FALSE,"단축1";#N/A,#N/A,FALSE,"단축2";#N/A,#N/A,FALSE,"단축3";#N/A,#N/A,FALSE,"장축";#N/A,#N/A,FALSE,"4WD"}</definedName>
    <definedName name="fmea양식설계정" hidden="1">{#N/A,#N/A,FALSE,"단축1";#N/A,#N/A,FALSE,"단축2";#N/A,#N/A,FALSE,"단축3";#N/A,#N/A,FALSE,"장축";#N/A,#N/A,FALSE,"4WD"}</definedName>
    <definedName name="fmea양식설계정_1" hidden="1">{#N/A,#N/A,FALSE,"단축1";#N/A,#N/A,FALSE,"단축2";#N/A,#N/A,FALSE,"단축3";#N/A,#N/A,FALSE,"장축";#N/A,#N/A,FALSE,"4WD"}</definedName>
    <definedName name="fmea양식설계정_2" hidden="1">{#N/A,#N/A,FALSE,"단축1";#N/A,#N/A,FALSE,"단축2";#N/A,#N/A,FALSE,"단축3";#N/A,#N/A,FALSE,"장축";#N/A,#N/A,FALSE,"4WD"}</definedName>
    <definedName name="FMEA양식정" hidden="1">{#N/A,#N/A,FALSE,"단축1";#N/A,#N/A,FALSE,"단축2";#N/A,#N/A,FALSE,"단축3";#N/A,#N/A,FALSE,"장축";#N/A,#N/A,FALSE,"4WD"}</definedName>
    <definedName name="FMEA양식정_1" hidden="1">{#N/A,#N/A,FALSE,"단축1";#N/A,#N/A,FALSE,"단축2";#N/A,#N/A,FALSE,"단축3";#N/A,#N/A,FALSE,"장축";#N/A,#N/A,FALSE,"4WD"}</definedName>
    <definedName name="FMEA양식정_2" hidden="1">{#N/A,#N/A,FALSE,"단축1";#N/A,#N/A,FALSE,"단축2";#N/A,#N/A,FALSE,"단축3";#N/A,#N/A,FALSE,"장축";#N/A,#N/A,FALSE,"4WD"}</definedName>
    <definedName name="FOB가" hidden="1">{#N/A,#N/A,FALSE,"단축1";#N/A,#N/A,FALSE,"단축2";#N/A,#N/A,FALSE,"단축3";#N/A,#N/A,FALSE,"장축";#N/A,#N/A,FALSE,"4WD"}</definedName>
    <definedName name="FOB가_1" hidden="1">{#N/A,#N/A,FALSE,"단축1";#N/A,#N/A,FALSE,"단축2";#N/A,#N/A,FALSE,"단축3";#N/A,#N/A,FALSE,"장축";#N/A,#N/A,FALSE,"4WD"}</definedName>
    <definedName name="FOG" hidden="1">{#N/A,#N/A,FALSE,"단축1";#N/A,#N/A,FALSE,"단축2";#N/A,#N/A,FALSE,"단축3";#N/A,#N/A,FALSE,"장축";#N/A,#N/A,FALSE,"4WD"}</definedName>
    <definedName name="FOG_자재표" hidden="1">{#N/A,#N/A,FALSE,"단축1";#N/A,#N/A,FALSE,"단축2";#N/A,#N/A,FALSE,"단축3";#N/A,#N/A,FALSE,"장축";#N/A,#N/A,FALSE,"4WD"}</definedName>
    <definedName name="FO투입시UPH조정" hidden="1">{#N/A,#N/A,FALSE,"단축1";#N/A,#N/A,FALSE,"단축2";#N/A,#N/A,FALSE,"단축3";#N/A,#N/A,FALSE,"장축";#N/A,#N/A,FALSE,"4WD"}</definedName>
    <definedName name="FO투입시UPH조정_1" hidden="1">{#N/A,#N/A,FALSE,"단축1";#N/A,#N/A,FALSE,"단축2";#N/A,#N/A,FALSE,"단축3";#N/A,#N/A,FALSE,"장축";#N/A,#N/A,FALSE,"4WD"}</definedName>
    <definedName name="FQEEEE" hidden="1">{#N/A,#N/A,FALSE,"단축1";#N/A,#N/A,FALSE,"단축2";#N/A,#N/A,FALSE,"단축3";#N/A,#N/A,FALSE,"장축";#N/A,#N/A,FALSE,"4WD"}</definedName>
    <definedName name="FR" hidden="1">{"'7-2지역별'!$A$1:$R$44"}</definedName>
    <definedName name="FRDAA" hidden="1">{#N/A,#N/A,FALSE,"단축1";#N/A,#N/A,FALSE,"단축2";#N/A,#N/A,FALSE,"단축3";#N/A,#N/A,FALSE,"장축";#N/A,#N/A,FALSE,"4WD"}</definedName>
    <definedName name="fredghj" hidden="1">{#N/A,#N/A,FALSE,"단축1";#N/A,#N/A,FALSE,"단축2";#N/A,#N/A,FALSE,"단축3";#N/A,#N/A,FALSE,"장축";#N/A,#N/A,FALSE,"4WD"}</definedName>
    <definedName name="FREEWHEEL" hidden="1">#REF!</definedName>
    <definedName name="FREF" hidden="1">{"'7-2지역별'!$A$1:$R$44"}</definedName>
    <definedName name="frmotor" hidden="1">{#N/A,#N/A,FALSE,"단축1";#N/A,#N/A,FALSE,"단축2";#N/A,#N/A,FALSE,"단축3";#N/A,#N/A,FALSE,"장축";#N/A,#N/A,FALSE,"4WD"}</definedName>
    <definedName name="frmotor_1" hidden="1">{#N/A,#N/A,FALSE,"단축1";#N/A,#N/A,FALSE,"단축2";#N/A,#N/A,FALSE,"단축3";#N/A,#N/A,FALSE,"장축";#N/A,#N/A,FALSE,"4WD"}</definedName>
    <definedName name="frmotor_2" hidden="1">{#N/A,#N/A,FALSE,"단축1";#N/A,#N/A,FALSE,"단축2";#N/A,#N/A,FALSE,"단축3";#N/A,#N/A,FALSE,"장축";#N/A,#N/A,FALSE,"4WD"}</definedName>
    <definedName name="FRONT" hidden="1">{#N/A,#N/A,FALSE,"단축1";#N/A,#N/A,FALSE,"단축2";#N/A,#N/A,FALSE,"단축3";#N/A,#N/A,FALSE,"장축";#N/A,#N/A,FALSE,"4WD"}</definedName>
    <definedName name="FRONT_1" hidden="1">{#N/A,#N/A,FALSE,"단축1";#N/A,#N/A,FALSE,"단축2";#N/A,#N/A,FALSE,"단축3";#N/A,#N/A,FALSE,"장축";#N/A,#N/A,FALSE,"4WD"}</definedName>
    <definedName name="FRONT_2" hidden="1">{#N/A,#N/A,FALSE,"단축1";#N/A,#N/A,FALSE,"단축2";#N/A,#N/A,FALSE,"단축3";#N/A,#N/A,FALSE,"장축";#N/A,#N/A,FALSE,"4WD"}</definedName>
    <definedName name="FRONT2" hidden="1">{#N/A,#N/A,FALSE,"개발계획표지";#N/A,#N/A,FALSE,"목차";#N/A,#N/A,FALSE,"개요"}</definedName>
    <definedName name="FRONT3" hidden="1">{#N/A,#N/A,FALSE,"개발계획표지";#N/A,#N/A,FALSE,"목차";#N/A,#N/A,FALSE,"개요"}</definedName>
    <definedName name="FRR" hidden="1">{"'7-2지역별'!$A$1:$R$44"}</definedName>
    <definedName name="FRRT" hidden="1">{#N/A,#N/A,FALSE,"단축1";#N/A,#N/A,FALSE,"단축2";#N/A,#N/A,FALSE,"단축3";#N/A,#N/A,FALSE,"장축";#N/A,#N/A,FALSE,"4WD"}</definedName>
    <definedName name="FRT" hidden="1">{#N/A,#N/A,FALSE,"표지";#N/A,#N/A,FALSE,"전제";#N/A,#N/A,FALSE,"손익-자 (2)";#N/A,#N/A,FALSE,"손익-자";#N/A,#N/A,FALSE,"손익-마 (2)";#N/A,#N/A,FALSE,"손익-마";#N/A,#N/A,FALSE,"총손최종"}</definedName>
    <definedName name="FRWW" hidden="1">{#N/A,#N/A,FALSE,"단축1";#N/A,#N/A,FALSE,"단축2";#N/A,#N/A,FALSE,"단축3";#N/A,#N/A,FALSE,"장축";#N/A,#N/A,FALSE,"4WD"}</definedName>
    <definedName name="fsddffds" hidden="1">{#N/A,#N/A,FALSE,"단축1";#N/A,#N/A,FALSE,"단축2";#N/A,#N/A,FALSE,"단축3";#N/A,#N/A,FALSE,"장축";#N/A,#N/A,FALSE,"4WD"}</definedName>
    <definedName name="FSDEW" hidden="1">{"'7-2지역별'!$A$1:$R$44"}</definedName>
    <definedName name="FSDFAsd" hidden="1">{#N/A,#N/A,FALSE,"을지 (4)";#N/A,#N/A,FALSE,"을지 (5)";#N/A,#N/A,FALSE,"을지 (6)"}</definedName>
    <definedName name="fsdfsdf" hidden="1">{#N/A,#N/A,FALSE,"단축1";#N/A,#N/A,FALSE,"단축2";#N/A,#N/A,FALSE,"단축3";#N/A,#N/A,FALSE,"장축";#N/A,#N/A,FALSE,"4WD"}</definedName>
    <definedName name="FSDFSDFAS" hidden="1">{#N/A,#N/A,FALSE,"단축1";#N/A,#N/A,FALSE,"단축2";#N/A,#N/A,FALSE,"단축3";#N/A,#N/A,FALSE,"장축";#N/A,#N/A,FALSE,"4WD"}</definedName>
    <definedName name="FSDGFGH" hidden="1">{"'7-2지역별'!$A$1:$R$44"}</definedName>
    <definedName name="FSDSDAFASDF" hidden="1">{"'7-2지역별'!$A$1:$R$44"}</definedName>
    <definedName name="FSERGSERGB" hidden="1">{#N/A,#N/A,FALSE,"단축1";#N/A,#N/A,FALSE,"단축2";#N/A,#N/A,FALSE,"단축3";#N/A,#N/A,FALSE,"장축";#N/A,#N/A,FALSE,"4WD"}</definedName>
    <definedName name="FSF" hidden="1">{#N/A,#N/A,FALSE,"표지";#N/A,#N/A,FALSE,"전제";#N/A,#N/A,FALSE,"대당";#N/A,#N/A,FALSE,"가공비";#N/A,#N/A,FALSE,"재료비";#N/A,#N/A,FALSE,"손익"}</definedName>
    <definedName name="FSFD" hidden="1">{#N/A,#N/A,FALSE,"단축1";#N/A,#N/A,FALSE,"단축2";#N/A,#N/A,FALSE,"단축3";#N/A,#N/A,FALSE,"장축";#N/A,#N/A,FALSE,"4WD"}</definedName>
    <definedName name="FSGTRYHXXXDA" hidden="1">{#N/A,#N/A,FALSE,"단축1";#N/A,#N/A,FALSE,"단축2";#N/A,#N/A,FALSE,"단축3";#N/A,#N/A,FALSE,"장축";#N/A,#N/A,FALSE,"4WD"}</definedName>
    <definedName name="fsh" hidden="1">{#N/A,#N/A,FALSE,"단축1";#N/A,#N/A,FALSE,"단축2";#N/A,#N/A,FALSE,"단축3";#N/A,#N/A,FALSE,"장축";#N/A,#N/A,FALSE,"4WD"}</definedName>
    <definedName name="FSSDDRDFCX" hidden="1">{#N/A,#N/A,FALSE,"단축1";#N/A,#N/A,FALSE,"단축2";#N/A,#N/A,FALSE,"단축3";#N/A,#N/A,FALSE,"장축";#N/A,#N/A,FALSE,"4WD"}</definedName>
    <definedName name="FSSRTRT" hidden="1">{#N/A,#N/A,FALSE,"단축1";#N/A,#N/A,FALSE,"단축2";#N/A,#N/A,FALSE,"단축3";#N/A,#N/A,FALSE,"장축";#N/A,#N/A,FALSE,"4WD"}</definedName>
    <definedName name="fsvfsdsdfgd" hidden="1">{#N/A,#N/A,FALSE,"단축1";#N/A,#N/A,FALSE,"단축2";#N/A,#N/A,FALSE,"단축3";#N/A,#N/A,FALSE,"장축";#N/A,#N/A,FALSE,"4WD"}</definedName>
    <definedName name="FTFTFTF" hidden="1">{#N/A,#N/A,FALSE,"단축1";#N/A,#N/A,FALSE,"단축2";#N/A,#N/A,FALSE,"단축3";#N/A,#N/A,FALSE,"장축";#N/A,#N/A,FALSE,"4WD"}</definedName>
    <definedName name="FU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UYU" hidden="1">{#N/A,#N/A,FALSE,"단축1";#N/A,#N/A,FALSE,"단축2";#N/A,#N/A,FALSE,"단축3";#N/A,#N/A,FALSE,"장축";#N/A,#N/A,FALSE,"4WD"}</definedName>
    <definedName name="fvdfv" hidden="1">{#N/A,#N/A,FALSE,"단축1";#N/A,#N/A,FALSE,"단축2";#N/A,#N/A,FALSE,"단축3";#N/A,#N/A,FALSE,"장축";#N/A,#N/A,FALSE,"4WD"}</definedName>
    <definedName name="fvfbbf" hidden="1">{"'7-2지역별'!$A$1:$R$44"}</definedName>
    <definedName name="fvfvfvfv" hidden="1">{"'7-2지역별'!$A$1:$R$44"}</definedName>
    <definedName name="FVNGHMGHM" hidden="1">{#N/A,#N/A,TRUE,"Y생산";#N/A,#N/A,TRUE,"Y판매";#N/A,#N/A,TRUE,"Y총물량";#N/A,#N/A,TRUE,"Y능력";#N/A,#N/A,TRUE,"YKD"}</definedName>
    <definedName name="FVNGHMGHM_1" hidden="1">{#N/A,#N/A,TRUE,"Y생산";#N/A,#N/A,TRUE,"Y판매";#N/A,#N/A,TRUE,"Y총물량";#N/A,#N/A,TRUE,"Y능력";#N/A,#N/A,TRUE,"YKD"}</definedName>
    <definedName name="FXCGBTD" hidden="1">{#N/A,#N/A,FALSE,"단축1";#N/A,#N/A,FALSE,"단축2";#N/A,#N/A,FALSE,"단축3";#N/A,#N/A,FALSE,"장축";#N/A,#N/A,FALSE,"4WD"}</definedName>
    <definedName name="FXDHJ" hidden="1">{#N/A,#N/A,FALSE,"단축1";#N/A,#N/A,FALSE,"단축2";#N/A,#N/A,FALSE,"단축3";#N/A,#N/A,FALSE,"장축";#N/A,#N/A,FALSE,"4WD"}</definedName>
    <definedName name="FY" hidden="1">{#N/A,#N/A,FALSE,"단축1";#N/A,#N/A,FALSE,"단축2";#N/A,#N/A,FALSE,"단축3";#N/A,#N/A,FALSE,"장축";#N/A,#N/A,FALSE,"4WD"}</definedName>
    <definedName name="fytgbghrtyyhhf6y6hut566u56y" hidden="1">{#N/A,#N/A,TRUE,"Y생산";#N/A,#N/A,TRUE,"Y판매";#N/A,#N/A,TRUE,"Y총물량";#N/A,#N/A,TRUE,"Y능력";#N/A,#N/A,TRUE,"YKD"}</definedName>
    <definedName name="FZT" hidden="1">{0,0,0,0}</definedName>
    <definedName name="F양식8" hidden="1">{#N/A,#N/A,FALSE,"단축1";#N/A,#N/A,FALSE,"단축2";#N/A,#N/A,FALSE,"단축3";#N/A,#N/A,FALSE,"장축";#N/A,#N/A,FALSE,"4WD"}</definedName>
    <definedName name="G" hidden="1">{#N/A,#N/A,FALSE,"단축1";#N/A,#N/A,FALSE,"단축2";#N/A,#N/A,FALSE,"단축3";#N/A,#N/A,FALSE,"장축";#N/A,#N/A,FALSE,"4WD"}</definedName>
    <definedName name="G_1" hidden="1">{#N/A,#N/A,FALSE,"96 3월물량표";#N/A,#N/A,FALSE,"96 4월물량표";#N/A,#N/A,FALSE,"96 5월물량표"}</definedName>
    <definedName name="gaag" hidden="1">{#N/A,#N/A,FALSE,"단축1";#N/A,#N/A,FALSE,"단축2";#N/A,#N/A,FALSE,"단축3";#N/A,#N/A,FALSE,"장축";#N/A,#N/A,FALSE,"4WD"}</definedName>
    <definedName name="gadga" hidden="1">{#N/A,#N/A,FALSE,"단축1";#N/A,#N/A,FALSE,"단축2";#N/A,#N/A,FALSE,"단축3";#N/A,#N/A,FALSE,"장축";#N/A,#N/A,FALSE,"4WD"}</definedName>
    <definedName name="GAGERR" hidden="1">#REF!</definedName>
    <definedName name="GAL" hidden="1">#REF!</definedName>
    <definedName name="GANESH" hidden="1">{#N/A,#N/A,FALSE,"단축1";#N/A,#N/A,FALSE,"단축2";#N/A,#N/A,FALSE,"단축3";#N/A,#N/A,FALSE,"장축";#N/A,#N/A,FALSE,"4WD"}</definedName>
    <definedName name="gasd" hidden="1">{#VALUE!,#N/A,FALSE,0;#N/A,#N/A,FALSE,0;#N/A,#N/A,FALSE,0;#N/A,#N/A,FALSE,0;#N/A,#N/A,FALSE,0}</definedName>
    <definedName name="gbbngbn" hidden="1">{"'7-2지역별'!$A$1:$R$44"}</definedName>
    <definedName name="gbgbbgbg" hidden="1">{"'7-2지역별'!$A$1:$R$44"}</definedName>
    <definedName name="gbgbg" hidden="1">{"'7-2지역별'!$A$1:$R$44"}</definedName>
    <definedName name="gbgbgn" hidden="1">{"'7-2지역별'!$A$1:$R$44"}</definedName>
    <definedName name="GBGHGH" hidden="1">{"'7-2지역별'!$A$1:$R$44"}</definedName>
    <definedName name="gbngrnb" hidden="1">{"'7-2지역별'!$A$1:$R$44"}</definedName>
    <definedName name="GBRGTBHRGTTDRGTC" hidden="1">{#N/A,#N/A,FALSE,"단축1";#N/A,#N/A,FALSE,"단축2";#N/A,#N/A,FALSE,"단축3";#N/A,#N/A,FALSE,"장축";#N/A,#N/A,FALSE,"4WD"}</definedName>
    <definedName name="GBRW" hidden="1">{"'7-2지역별'!$A$1:$R$44"}</definedName>
    <definedName name="GBVB" hidden="1">{"'7-2지역별'!$A$1:$R$44"}</definedName>
    <definedName name="GCKXREU" hidden="1">{#N/A,#N/A,FALSE,"단축1";#N/A,#N/A,FALSE,"단축2";#N/A,#N/A,FALSE,"단축3";#N/A,#N/A,FALSE,"장축";#N/A,#N/A,FALSE,"4WD"}</definedName>
    <definedName name="GDE" hidden="1">{"'매출계획'!$D$2"}</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F" hidden="1">{#N/A,#N/A,FALSE,"단축1";#N/A,#N/A,FALSE,"단축2";#N/A,#N/A,FALSE,"단축3";#N/A,#N/A,FALSE,"장축";#N/A,#N/A,FALSE,"4WD"}</definedName>
    <definedName name="gdfgfds" hidden="1">{"'7-2지역별'!$A$1:$R$44"}</definedName>
    <definedName name="GDFHJGFJR" hidden="1">{"'7-2지역별'!$A$1:$R$44"}</definedName>
    <definedName name="GDFJ" hidden="1">{#N/A,#N/A,FALSE,"신규dep";#N/A,#N/A,FALSE,"신규dep-금형상각후";#N/A,#N/A,FALSE,"신규dep-연구비상각후";#N/A,#N/A,FALSE,"신규dep-기계,공구상각후"}</definedName>
    <definedName name="gdmhgdmhg" hidden="1">{#N/A,#N/A,TRUE,"일정"}</definedName>
    <definedName name="GDRF" hidden="1">{#N/A,#N/A,FALSE,"단축1";#N/A,#N/A,FALSE,"단축2";#N/A,#N/A,FALSE,"단축3";#N/A,#N/A,FALSE,"장축";#N/A,#N/A,FALSE,"4WD"}</definedName>
    <definedName name="gdsd" hidden="1">{#N/A,#N/A,FALSE,"KMC최종회의(7월) 자료"}</definedName>
    <definedName name="gdsd_1" hidden="1">{#N/A,#N/A,FALSE,"KMC최종회의(7월) 자료"}</definedName>
    <definedName name="GDSJJ" hidden="1">{#N/A,#N/A,FALSE,"단축1";#N/A,#N/A,FALSE,"단축2";#N/A,#N/A,FALSE,"단축3";#N/A,#N/A,FALSE,"장축";#N/A,#N/A,FALSE,"4WD"}</definedName>
    <definedName name="gdyu" hidden="1">{#N/A,#N/A,FALSE,"96 3월물량표";#N/A,#N/A,FALSE,"96 4월물량표";#N/A,#N/A,FALSE,"96 5월물량표"}</definedName>
    <definedName name="gdyu_1" hidden="1">{#N/A,#N/A,FALSE,"96 3월물량표";#N/A,#N/A,FALSE,"96 4월물량표";#N/A,#N/A,FALSE,"96 5월물량표"}</definedName>
    <definedName name="GE" hidden="1">{#N/A,#N/A,FALSE,"단축1";#N/A,#N/A,FALSE,"단축2";#N/A,#N/A,FALSE,"단축3";#N/A,#N/A,FALSE,"장축";#N/A,#N/A,FALSE,"4WD"}</definedName>
    <definedName name="GEAR" hidden="1">{#N/A,#N/A,FALSE,"KMC최종회의(7월) 자료"}</definedName>
    <definedName name="GEERJ" hidden="1">{#N/A,#N/A,FALSE,"을지 (4)";#N/A,#N/A,FALSE,"을지 (5)";#N/A,#N/A,FALSE,"을지 (6)"}</definedName>
    <definedName name="GEGEQGERQGQER" hidden="1">{#N/A,#N/A,FALSE,"을지 (4)";#N/A,#N/A,FALSE,"을지 (5)";#N/A,#N/A,FALSE,"을지 (6)"}</definedName>
    <definedName name="GERADGF" hidden="1">{"'7-2지역별'!$A$1:$R$44"}</definedName>
    <definedName name="GERGESDF" hidden="1">{#N/A,#N/A,FALSE,"단축1";#N/A,#N/A,FALSE,"단축2";#N/A,#N/A,FALSE,"단축3";#N/A,#N/A,FALSE,"장축";#N/A,#N/A,FALSE,"4WD"}</definedName>
    <definedName name="GETRAG" hidden="1">{#N/A,#N/A,FALSE,"인원";#N/A,#N/A,FALSE,"비용2";#N/A,#N/A,FALSE,"비용1";#N/A,#N/A,FALSE,"비용";#N/A,#N/A,FALSE,"보증2";#N/A,#N/A,FALSE,"보증1";#N/A,#N/A,FALSE,"보증";#N/A,#N/A,FALSE,"손익1";#N/A,#N/A,FALSE,"손익";#N/A,#N/A,FALSE,"부서별매출";#N/A,#N/A,FALSE,"매출"}</definedName>
    <definedName name="gewhrsgtregrhgtergfsrerwttsterw" hidden="1">{#N/A,#N/A,FALSE,"단축1";#N/A,#N/A,FALSE,"단축2";#N/A,#N/A,FALSE,"단축3";#N/A,#N/A,FALSE,"장축";#N/A,#N/A,FALSE,"4WD"}</definedName>
    <definedName name="GEWRGETGTGHTRGETRGERG" hidden="1">{#N/A,#N/A,FALSE,"초도품";#N/A,#N/A,FALSE,"초도품 (2)";#N/A,#N/A,FALSE,"초도품 (3)";#N/A,#N/A,FALSE,"초도품 (4)";#N/A,#N/A,FALSE,"초도품 (5)";#N/A,#N/A,FALSE,"초도품 (6)"}</definedName>
    <definedName name="GFBGFB" hidden="1">{"'7-2지역별'!$A$1:$R$44"}</definedName>
    <definedName name="GFBGFBV" hidden="1">{"'7-2지역별'!$A$1:$R$44"}</definedName>
    <definedName name="GFBGFN" hidden="1">{"'7-2지역별'!$A$1:$R$44"}</definedName>
    <definedName name="gfbn" hidden="1">{#N/A,#N/A,TRUE,"Y생산";#N/A,#N/A,TRUE,"Y판매";#N/A,#N/A,TRUE,"Y총물량";#N/A,#N/A,TRUE,"Y능력";#N/A,#N/A,TRUE,"YKD"}</definedName>
    <definedName name="gfbn_1" hidden="1">{#N/A,#N/A,TRUE,"Y생산";#N/A,#N/A,TRUE,"Y판매";#N/A,#N/A,TRUE,"Y총물량";#N/A,#N/A,TRUE,"Y능력";#N/A,#N/A,TRUE,"YKD"}</definedName>
    <definedName name="GFD" hidden="1">{#N/A,#N/A,TRUE,"일정"}</definedName>
    <definedName name="GFD_1" hidden="1">{#N/A,#N/A,FALSE,"단축1";#N/A,#N/A,FALSE,"단축2";#N/A,#N/A,FALSE,"단축3";#N/A,#N/A,FALSE,"장축";#N/A,#N/A,FALSE,"4WD"}</definedName>
    <definedName name="GFD_2" hidden="1">{#N/A,#N/A,FALSE,"단축1";#N/A,#N/A,FALSE,"단축2";#N/A,#N/A,FALSE,"단축3";#N/A,#N/A,FALSE,"장축";#N/A,#N/A,FALSE,"4WD"}</definedName>
    <definedName name="GFDDSFGGVV" hidden="1">{#N/A,#N/A,FALSE,"단축1";#N/A,#N/A,FALSE,"단축2";#N/A,#N/A,FALSE,"단축3";#N/A,#N/A,FALSE,"장축";#N/A,#N/A,FALSE,"4WD"}</definedName>
    <definedName name="GFDF" hidden="1">{#N/A,#N/A,FALSE,"전제";#N/A,#N/A,FALSE,"표지";#N/A,#N/A,FALSE,"6D16";#N/A,#N/A,FALSE,"6D22";#N/A,#N/A,FALSE,"6D22-T";#N/A,#N/A,FALSE,"Q-DEG";#N/A,#N/A,FALSE,"총손";#N/A,#N/A,FALSE,"대당";#N/A,#N/A,FALSE,"가공비"}</definedName>
    <definedName name="GFDFDG" hidden="1">{#N/A,#N/A,FALSE,"을지 (4)";#N/A,#N/A,FALSE,"을지 (5)";#N/A,#N/A,FALSE,"을지 (6)"}</definedName>
    <definedName name="gfdfdhg" hidden="1">{"'7-2지역별'!$A$1:$R$44"}</definedName>
    <definedName name="GFDGFDGFD" hidden="1">{"'7-2지역별'!$A$1:$R$44"}</definedName>
    <definedName name="GFDGFDGGFD" hidden="1">{#N/A,#N/A,FALSE,"단축1";#N/A,#N/A,FALSE,"단축2";#N/A,#N/A,FALSE,"단축3";#N/A,#N/A,FALSE,"장축";#N/A,#N/A,FALSE,"4WD"}</definedName>
    <definedName name="GFDGFG" hidden="1">{"'7-2지역별'!$A$1:$R$44"}</definedName>
    <definedName name="GFDGGFFHGJH" hidden="1">{#N/A,#N/A,FALSE,"단축1";#N/A,#N/A,FALSE,"단축2";#N/A,#N/A,FALSE,"단축3";#N/A,#N/A,FALSE,"장축";#N/A,#N/A,FALSE,"4WD"}</definedName>
    <definedName name="gfdgh" hidden="1">{"SUM GER",#N/A,FALSE,"SUM GER";"SUM FRA",#N/A,FALSE,"SUM FRA";"SUM ITA",#N/A,FALSE,"SUM ITA";"SUM SPA",#N/A,FALSE,"SUM SPA";"SUM EGB",#N/A,FALSE,"SUM EGB";"SUM IND",#N/A,FALSE,"SUM IND"}</definedName>
    <definedName name="GFDS" hidden="1">{#N/A,#N/A,FALSE,"단축1";#N/A,#N/A,FALSE,"단축2";#N/A,#N/A,FALSE,"단축3";#N/A,#N/A,FALSE,"장축";#N/A,#N/A,FALSE,"4WD"}</definedName>
    <definedName name="GFDSG" hidden="1">{"'7-2지역별'!$A$1:$R$44"}</definedName>
    <definedName name="GFE" hidden="1">{#N/A,#N/A,FALSE,"단축1";#N/A,#N/A,FALSE,"단축2";#N/A,#N/A,FALSE,"단축3";#N/A,#N/A,FALSE,"장축";#N/A,#N/A,FALSE,"4WD"}</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G" hidden="1">{#N/A,#N/A,FALSE,"단축1";#N/A,#N/A,FALSE,"단축2";#N/A,#N/A,FALSE,"단축3";#N/A,#N/A,FALSE,"장축";#N/A,#N/A,FALSE,"4WD"}</definedName>
    <definedName name="GFGDFG" hidden="1">{#N/A,#N/A,FALSE,"단축1";#N/A,#N/A,FALSE,"단축2";#N/A,#N/A,FALSE,"단축3";#N/A,#N/A,FALSE,"장축";#N/A,#N/A,FALSE,"4WD"}</definedName>
    <definedName name="gfgffgdx" hidden="1">{"'7-2지역별'!$A$1:$R$44"}</definedName>
    <definedName name="GFGFGFDFFFFFN" hidden="1">{#N/A,#N/A,FALSE,"단축1";#N/A,#N/A,FALSE,"단축2";#N/A,#N/A,FALSE,"단축3";#N/A,#N/A,FALSE,"장축";#N/A,#N/A,FALSE,"4WD"}</definedName>
    <definedName name="GFGGF" hidden="1">{#N/A,#N/A,FALSE,"단축1";#N/A,#N/A,FALSE,"단축2";#N/A,#N/A,FALSE,"단축3";#N/A,#N/A,FALSE,"장축";#N/A,#N/A,FALSE,"4WD"}</definedName>
    <definedName name="gfgggh" hidden="1">{"'7-2지역별'!$A$1:$R$44"}</definedName>
    <definedName name="GFGHHD" hidden="1">{#N/A,#N/A,FALSE,"단축1";#N/A,#N/A,FALSE,"단축2";#N/A,#N/A,FALSE,"단축3";#N/A,#N/A,FALSE,"장축";#N/A,#N/A,FALSE,"4WD"}</definedName>
    <definedName name="gfgyt" hidden="1">{"'5'!$A$1:$BB$147"}</definedName>
    <definedName name="gfh" hidden="1">{#N/A,#N/A,FALSE,"96 3월물량표";#N/A,#N/A,FALSE,"96 4월물량표";#N/A,#N/A,FALSE,"96 5월물량표"}</definedName>
    <definedName name="gfh_1" hidden="1">{#N/A,#N/A,FALSE,"96 3월물량표";#N/A,#N/A,FALSE,"96 4월물량표";#N/A,#N/A,FALSE,"96 5월물량표"}</definedName>
    <definedName name="GFHDFH" hidden="1">{#N/A,#N/A,FALSE,"단축1";#N/A,#N/A,FALSE,"단축2";#N/A,#N/A,FALSE,"단축3";#N/A,#N/A,FALSE,"장축";#N/A,#N/A,FALSE,"4WD"}</definedName>
    <definedName name="gfhery" hidden="1">{#N/A,#N/A,FALSE,"96 3월물량표";#N/A,#N/A,FALSE,"96 4월물량표";#N/A,#N/A,FALSE,"96 5월물량표"}</definedName>
    <definedName name="gfhery_1" hidden="1">{#N/A,#N/A,FALSE,"96 3월물량표";#N/A,#N/A,FALSE,"96 4월물량표";#N/A,#N/A,FALSE,"96 5월물량표"}</definedName>
    <definedName name="gfhf" hidden="1">{#N/A,#N/A,FALSE,"단축1";#N/A,#N/A,FALSE,"단축2";#N/A,#N/A,FALSE,"단축3";#N/A,#N/A,FALSE,"장축";#N/A,#N/A,FALSE,"4WD"}</definedName>
    <definedName name="GFHG" hidden="1">{#N/A,#N/A,FALSE,"단축1";#N/A,#N/A,FALSE,"단축2";#N/A,#N/A,FALSE,"단축3";#N/A,#N/A,FALSE,"장축";#N/A,#N/A,FALSE,"4WD"}</definedName>
    <definedName name="gfhgfhfhjfg" hidden="1">{"'7-2지역별'!$A$1:$R$44"}</definedName>
    <definedName name="GFHGFHGFH" hidden="1">{#N/A,#N/A,FALSE,"단축1";#N/A,#N/A,FALSE,"단축2";#N/A,#N/A,FALSE,"단축3";#N/A,#N/A,FALSE,"장축";#N/A,#N/A,FALSE,"4WD"}</definedName>
    <definedName name="GFHGFHJ" hidden="1">{#N/A,#N/A,FALSE,"표지";#N/A,#N/A,FALSE,"전제";#N/A,#N/A,FALSE,"손익-자 (2)";#N/A,#N/A,FALSE,"손익-자";#N/A,#N/A,FALSE,"손익-마 (2)";#N/A,#N/A,FALSE,"손익-마";#N/A,#N/A,FALSE,"총손최종"}</definedName>
    <definedName name="GFHJ" hidden="1">{#N/A,#N/A,FALSE,"단축1";#N/A,#N/A,FALSE,"단축2";#N/A,#N/A,FALSE,"단축3";#N/A,#N/A,FALSE,"장축";#N/A,#N/A,FALSE,"4WD"}</definedName>
    <definedName name="gfhj_1" hidden="1">{#N/A,#N/A,TRUE,"Y생산";#N/A,#N/A,TRUE,"Y판매";#N/A,#N/A,TRUE,"Y총물량";#N/A,#N/A,TRUE,"Y능력";#N/A,#N/A,TRUE,"YKD"}</definedName>
    <definedName name="GFHK" hidden="1">{#N/A,#N/A,FALSE,"단축1";#N/A,#N/A,FALSE,"단축2";#N/A,#N/A,FALSE,"단축3";#N/A,#N/A,FALSE,"장축";#N/A,#N/A,FALSE,"4WD"}</definedName>
    <definedName name="gfj" hidden="1">{#N/A,#N/A,TRUE,"Y생산";#N/A,#N/A,TRUE,"Y판매";#N/A,#N/A,TRUE,"Y총물량";#N/A,#N/A,TRUE,"Y능력";#N/A,#N/A,TRUE,"YKD"}</definedName>
    <definedName name="gfj_1" hidden="1">{#N/A,#N/A,TRUE,"Y생산";#N/A,#N/A,TRUE,"Y판매";#N/A,#N/A,TRUE,"Y총물량";#N/A,#N/A,TRUE,"Y능력";#N/A,#N/A,TRUE,"YKD"}</definedName>
    <definedName name="GFJG" hidden="1">{#N/A,#N/A,FALSE,"단축1";#N/A,#N/A,FALSE,"단축2";#N/A,#N/A,FALSE,"단축3";#N/A,#N/A,FALSE,"장축";#N/A,#N/A,FALSE,"4WD"}</definedName>
    <definedName name="GFJG_1" hidden="1">{#N/A,#N/A,FALSE,"단축1";#N/A,#N/A,FALSE,"단축2";#N/A,#N/A,FALSE,"단축3";#N/A,#N/A,FALSE,"장축";#N/A,#N/A,FALSE,"4WD"}</definedName>
    <definedName name="GFJG_2" hidden="1">{#N/A,#N/A,FALSE,"단축1";#N/A,#N/A,FALSE,"단축2";#N/A,#N/A,FALSE,"단축3";#N/A,#N/A,FALSE,"장축";#N/A,#N/A,FALSE,"4WD"}</definedName>
    <definedName name="GFJH" hidden="1">{#N/A,#N/A,FALSE,"신규dep";#N/A,#N/A,FALSE,"신규dep-금형상각후";#N/A,#N/A,FALSE,"신규dep-연구비상각후";#N/A,#N/A,FALSE,"신규dep-기계,공구상각후"}</definedName>
    <definedName name="GFK" hidden="1">{#N/A,#N/A,FALSE,"단축1";#N/A,#N/A,FALSE,"단축2";#N/A,#N/A,FALSE,"단축3";#N/A,#N/A,FALSE,"장축";#N/A,#N/A,FALSE,"4WD"}</definedName>
    <definedName name="GFK_1" hidden="1">{#N/A,#N/A,FALSE,"단축1";#N/A,#N/A,FALSE,"단축2";#N/A,#N/A,FALSE,"단축3";#N/A,#N/A,FALSE,"장축";#N/A,#N/A,FALSE,"4WD"}</definedName>
    <definedName name="GFK_2" hidden="1">{#N/A,#N/A,FALSE,"단축1";#N/A,#N/A,FALSE,"단축2";#N/A,#N/A,FALSE,"단축3";#N/A,#N/A,FALSE,"장축";#N/A,#N/A,FALSE,"4WD"}</definedName>
    <definedName name="GFKI" hidden="1">{#N/A,#N/A,FALSE,"단축1";#N/A,#N/A,FALSE,"단축2";#N/A,#N/A,FALSE,"단축3";#N/A,#N/A,FALSE,"장축";#N/A,#N/A,FALSE,"4WD"}</definedName>
    <definedName name="GFKI_1" hidden="1">{#N/A,#N/A,FALSE,"단축1";#N/A,#N/A,FALSE,"단축2";#N/A,#N/A,FALSE,"단축3";#N/A,#N/A,FALSE,"장축";#N/A,#N/A,FALSE,"4WD"}</definedName>
    <definedName name="GFKI_2" hidden="1">{#N/A,#N/A,FALSE,"단축1";#N/A,#N/A,FALSE,"단축2";#N/A,#N/A,FALSE,"단축3";#N/A,#N/A,FALSE,"장축";#N/A,#N/A,FALSE,"4WD"}</definedName>
    <definedName name="GFKJ" hidden="1">{#N/A,#N/A,FALSE,"단축1";#N/A,#N/A,FALSE,"단축2";#N/A,#N/A,FALSE,"단축3";#N/A,#N/A,FALSE,"장축";#N/A,#N/A,FALSE,"4WD"}</definedName>
    <definedName name="GFKJ_1" hidden="1">{#N/A,#N/A,FALSE,"단축1";#N/A,#N/A,FALSE,"단축2";#N/A,#N/A,FALSE,"단축3";#N/A,#N/A,FALSE,"장축";#N/A,#N/A,FALSE,"4WD"}</definedName>
    <definedName name="GFKJ_2" hidden="1">{#N/A,#N/A,FALSE,"단축1";#N/A,#N/A,FALSE,"단축2";#N/A,#N/A,FALSE,"단축3";#N/A,#N/A,FALSE,"장축";#N/A,#N/A,FALSE,"4WD"}</definedName>
    <definedName name="gfld" hidden="1">{#N/A,#N/A,TRUE,"Y생산";#N/A,#N/A,TRUE,"Y판매";#N/A,#N/A,TRUE,"Y총물량";#N/A,#N/A,TRUE,"Y능력";#N/A,#N/A,TRUE,"YKD"}</definedName>
    <definedName name="gfld_1" hidden="1">{#N/A,#N/A,TRUE,"Y생산";#N/A,#N/A,TRUE,"Y판매";#N/A,#N/A,TRUE,"Y총물량";#N/A,#N/A,TRUE,"Y능력";#N/A,#N/A,TRUE,"YKD"}</definedName>
    <definedName name="GFN" hidden="1">{#N/A,#N/A,FALSE,"단축1";#N/A,#N/A,FALSE,"단축2";#N/A,#N/A,FALSE,"단축3";#N/A,#N/A,FALSE,"장축";#N/A,#N/A,FALSE,"4WD"}</definedName>
    <definedName name="GFN_1" hidden="1">{#N/A,#N/A,FALSE,"단축1";#N/A,#N/A,FALSE,"단축2";#N/A,#N/A,FALSE,"단축3";#N/A,#N/A,FALSE,"장축";#N/A,#N/A,FALSE,"4WD"}</definedName>
    <definedName name="GFN_2" hidden="1">{#N/A,#N/A,FALSE,"단축1";#N/A,#N/A,FALSE,"단축2";#N/A,#N/A,FALSE,"단축3";#N/A,#N/A,FALSE,"장축";#N/A,#N/A,FALSE,"4WD"}</definedName>
    <definedName name="GFNGFNFGN" hidden="1">{"'7-2지역별'!$A$1:$R$44"}</definedName>
    <definedName name="GFR" hidden="1">{#N/A,#N/A,FALSE,"단축1";#N/A,#N/A,FALSE,"단축2";#N/A,#N/A,FALSE,"단축3";#N/A,#N/A,FALSE,"장축";#N/A,#N/A,FALSE,"4WD"}</definedName>
    <definedName name="GFRGH" hidden="1">{#N/A,#N/A,TRUE,"Y생산";#N/A,#N/A,TRUE,"Y판매";#N/A,#N/A,TRUE,"Y총물량";#N/A,#N/A,TRUE,"Y능력";#N/A,#N/A,TRUE,"YKD"}</definedName>
    <definedName name="GFXK" hidden="1">{#N/A,#N/A,FALSE,"단축1";#N/A,#N/A,FALSE,"단축2";#N/A,#N/A,FALSE,"단축3";#N/A,#N/A,FALSE,"장축";#N/A,#N/A,FALSE,"4WD"}</definedName>
    <definedName name="GFY" hidden="1">{0,0,0,0}</definedName>
    <definedName name="gg" hidden="1">{#N/A,#N/A,FALSE,"KMC최종회의(7월) 자료"}</definedName>
    <definedName name="GGEA" hidden="1">{#N/A,#N/A,FALSE,"FR 계산내역";#N/A,#N/A,FALSE,"RR 계산내역";#N/A,#N/A,FALSE,"기계경비"}</definedName>
    <definedName name="GGEAD" hidden="1">{#N/A,#N/A,FALSE,"FR 계산내역";#N/A,#N/A,FALSE,"RR 계산내역";#N/A,#N/A,FALSE,"기계경비"}</definedName>
    <definedName name="GGEADE" hidden="1">{#N/A,#N/A,FALSE,"FR 계산내역";#N/A,#N/A,FALSE,"RR 계산내역";#N/A,#N/A,FALSE,"기계경비"}</definedName>
    <definedName name="ggeahh" hidden="1">{#N/A,#N/A,FALSE,"FR 계산내역";#N/A,#N/A,FALSE,"RR 계산내역";#N/A,#N/A,FALSE,"기계경비"}</definedName>
    <definedName name="GGFN" hidden="1">{#N/A,#N/A,FALSE,"단축1";#N/A,#N/A,FALSE,"단축2";#N/A,#N/A,FALSE,"단축3";#N/A,#N/A,FALSE,"장축";#N/A,#N/A,FALSE,"4WD"}</definedName>
    <definedName name="GGG" hidden="1">#REF!</definedName>
    <definedName name="GGGG" hidden="1">{#N/A,#N/A,FALSE,"96 3월물량표";#N/A,#N/A,FALSE,"96 4월물량표";#N/A,#N/A,FALSE,"96 5월물량표"}</definedName>
    <definedName name="GGGG_1" hidden="1">{#N/A,#N/A,FALSE,"96 3월물량표";#N/A,#N/A,FALSE,"96 4월물량표";#N/A,#N/A,FALSE,"96 5월물량표"}</definedName>
    <definedName name="GGGG2" hidden="1">{#N/A,#N/A,FALSE,"품의서";#N/A,#N/A,FALSE,"전제";#N/A,#N/A,FALSE,"총손";#N/A,#N/A,FALSE,"손익";#N/A,#N/A,FALSE,"대당";#N/A,#N/A,FALSE,"가공비";#N/A,#N/A,FALSE,"재료비";#N/A,#N/A,FALSE,"판비";#N/A,#N/A,FALSE,"가격"}</definedName>
    <definedName name="GGGGG" hidden="1">{#N/A,#N/A,FALSE,"단축1";#N/A,#N/A,FALSE,"단축2";#N/A,#N/A,FALSE,"단축3";#N/A,#N/A,FALSE,"장축";#N/A,#N/A,FALSE,"4WD"}</definedName>
    <definedName name="GGGGG_1" hidden="1">{#N/A,#N/A,FALSE,"단축1";#N/A,#N/A,FALSE,"단축2";#N/A,#N/A,FALSE,"단축3";#N/A,#N/A,FALSE,"장축";#N/A,#N/A,FALSE,"4WD"}</definedName>
    <definedName name="GGGGG_2" hidden="1">{#N/A,#N/A,FALSE,"단축1";#N/A,#N/A,FALSE,"단축2";#N/A,#N/A,FALSE,"단축3";#N/A,#N/A,FALSE,"장축";#N/A,#N/A,FALSE,"4WD"}</definedName>
    <definedName name="ggggge" hidden="1">{#N/A,#N/A,FALSE,"FR 계산내역";#N/A,#N/A,FALSE,"RR 계산내역";#N/A,#N/A,FALSE,"기계경비"}</definedName>
    <definedName name="GGGGGG" hidden="1">{#N/A,#N/A,FALSE,"정공"}</definedName>
    <definedName name="GGGGGG_1" hidden="1">{#N/A,#N/A,FALSE,"정공"}</definedName>
    <definedName name="GGGGGG_2" hidden="1">{#N/A,#N/A,FALSE,"정공"}</definedName>
    <definedName name="ggggghhhjj" hidden="1">{#N/A,#N/A,FALSE,"PART-1234-8-12-9(41)";#N/A,#N/A,FALSE,"PARTS-2(3)";#N/A,#N/A,FALSE,"VAN SYSTEM";#N/A,#N/A,FALSE,"PARTS-10(26)";#N/A,#N/A,FALSE,"PART-5-6-7-11(14)";#N/A,#N/A,FALSE,"PARTS-4(3)";#N/A,#N/A,FALSE,"PCLASS"}</definedName>
    <definedName name="ggghj" hidden="1">{"'7-2지역별'!$A$1:$R$44"}</definedName>
    <definedName name="GGGKJJG" hidden="1">{#N/A,#N/A,FALSE,"단축1";#N/A,#N/A,FALSE,"단축2";#N/A,#N/A,FALSE,"단축3";#N/A,#N/A,FALSE,"장축";#N/A,#N/A,FALSE,"4WD"}</definedName>
    <definedName name="GGHTE" hidden="1">{0,0,0,0}</definedName>
    <definedName name="GGJ" hidden="1">{#N/A,#N/A,FALSE,"단축1";#N/A,#N/A,FALSE,"단축2";#N/A,#N/A,FALSE,"단축3";#N/A,#N/A,FALSE,"장축";#N/A,#N/A,FALSE,"4WD"}</definedName>
    <definedName name="GGRT" hidden="1">{#N/A,#N/A,FALSE,"단축1";#N/A,#N/A,FALSE,"단축2";#N/A,#N/A,FALSE,"단축3";#N/A,#N/A,FALSE,"장축";#N/A,#N/A,FALSE,"4WD"}</definedName>
    <definedName name="gh" hidden="1">{#N/A,#N/A,TRUE,"Y생산";#N/A,#N/A,TRUE,"Y판매";#N/A,#N/A,TRUE,"Y총물량";#N/A,#N/A,TRUE,"Y능력";#N/A,#N/A,TRUE,"YKD"}</definedName>
    <definedName name="gh_1" hidden="1">{#N/A,#N/A,TRUE,"Y생산";#N/A,#N/A,TRUE,"Y판매";#N/A,#N/A,TRUE,"Y총물량";#N/A,#N/A,TRUE,"Y능력";#N/A,#N/A,TRUE,"YKD"}</definedName>
    <definedName name="GHDGH" hidden="1">{#N/A,#N/A,FALSE,"단축1";#N/A,#N/A,FALSE,"단축2";#N/A,#N/A,FALSE,"단축3";#N/A,#N/A,FALSE,"장축";#N/A,#N/A,FALSE,"4WD"}</definedName>
    <definedName name="GHDJDG" hidden="1">{#N/A,#N/A,FALSE,"단축1";#N/A,#N/A,FALSE,"단축2";#N/A,#N/A,FALSE,"단축3";#N/A,#N/A,FALSE,"장축";#N/A,#N/A,FALSE,"4WD"}</definedName>
    <definedName name="GHE" hidden="1">{0,0,0,0}</definedName>
    <definedName name="GHEQ" hidden="1">{#N/A,#N/A,FALSE,"단축1";#N/A,#N/A,FALSE,"단축2";#N/A,#N/A,FALSE,"단축3";#N/A,#N/A,FALSE,"장축";#N/A,#N/A,FALSE,"4WD"}</definedName>
    <definedName name="GHF" hidden="1">{#N/A,#N/A,FALSE,"단축1";#N/A,#N/A,FALSE,"단축2";#N/A,#N/A,FALSE,"단축3";#N/A,#N/A,FALSE,"장축";#N/A,#N/A,FALSE,"4WD"}</definedName>
    <definedName name="GHFJ" hidden="1">{#N/A,#N/A,FALSE,"단축1";#N/A,#N/A,FALSE,"단축2";#N/A,#N/A,FALSE,"단축3";#N/A,#N/A,FALSE,"장축";#N/A,#N/A,FALSE,"4WD"}</definedName>
    <definedName name="GHFS" hidden="1">{0,0,0,0}</definedName>
    <definedName name="GHFT5" hidden="1">{#N/A,#N/A,FALSE,"KMC최종회의(7월) 자료"}</definedName>
    <definedName name="GHG" hidden="1">{"'5'!$A$1:$BB$147"}</definedName>
    <definedName name="GHGF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FHGFDHGFHGFFFFFFFFFFF" hidden="1">{#N/A,#N/A,FALSE,"신규dep";#N/A,#N/A,FALSE,"신규dep-금형상각후";#N/A,#N/A,FALSE,"신규dep-연구비상각후";#N/A,#N/A,FALSE,"신규dep-기계,공구상각후"}</definedName>
    <definedName name="GHGFHGFDHGFHGFFFFFFFFFFF_1" hidden="1">{#N/A,#N/A,FALSE,"신규dep";#N/A,#N/A,FALSE,"신규dep-금형상각후";#N/A,#N/A,FALSE,"신규dep-연구비상각후";#N/A,#N/A,FALSE,"신규dep-기계,공구상각후"}</definedName>
    <definedName name="GHGFHGFDHGFHGFFFFFFFFFFF_2" hidden="1">{#N/A,#N/A,FALSE,"신규dep";#N/A,#N/A,FALSE,"신규dep-금형상각후";#N/A,#N/A,FALSE,"신규dep-연구비상각후";#N/A,#N/A,FALSE,"신규dep-기계,공구상각후"}</definedName>
    <definedName name="GHGH" hidden="1">{#N/A,#N/A,FALSE,"단축1";#N/A,#N/A,FALSE,"단축2";#N/A,#N/A,FALSE,"단축3";#N/A,#N/A,FALSE,"장축";#N/A,#N/A,FALSE,"4WD"}</definedName>
    <definedName name="GHGHG" hidden="1">{#N/A,#N/A,FALSE,"신규dep";#N/A,#N/A,FALSE,"신규dep-금형상각후";#N/A,#N/A,FALSE,"신규dep-연구비상각후";#N/A,#N/A,FALSE,"신규dep-기계,공구상각후"}</definedName>
    <definedName name="ghghhgh" hidden="1">{"'7-2지역별'!$A$1:$R$44"}</definedName>
    <definedName name="GHGJGHG" hidden="1">{#N/A,#N/A,FALSE,"단축1";#N/A,#N/A,FALSE,"단축2";#N/A,#N/A,FALSE,"단축3";#N/A,#N/A,FALSE,"장축";#N/A,#N/A,FALSE,"4WD"}</definedName>
    <definedName name="ghh" hidden="1">{"'7-2지역별'!$A$1:$R$44"}</definedName>
    <definedName name="GHHDDD" hidden="1">{#N/A,#N/A,FALSE,"단축1";#N/A,#N/A,FALSE,"단축2";#N/A,#N/A,FALSE,"단축3";#N/A,#N/A,FALSE,"장축";#N/A,#N/A,FALSE,"4WD"}</definedName>
    <definedName name="ghhhh" hidden="1">{#N/A,#N/A,FALSE,"단축1";#N/A,#N/A,FALSE,"단축2";#N/A,#N/A,FALSE,"단축3";#N/A,#N/A,FALSE,"장축";#N/A,#N/A,FALSE,"4WD"}</definedName>
    <definedName name="ghi" hidden="1">{#N/A,#N/A,FALSE,"96 3월물량표";#N/A,#N/A,FALSE,"96 4월물량표";#N/A,#N/A,FALSE,"96 5월물량표"}</definedName>
    <definedName name="ghj" hidden="1">{#N/A,#N/A,FALSE,"96 3월물량표";#N/A,#N/A,FALSE,"96 4월물량표";#N/A,#N/A,FALSE,"96 5월물량표"}</definedName>
    <definedName name="ghj_1" hidden="1">{#N/A,#N/A,FALSE,"96 3월물량표";#N/A,#N/A,FALSE,"96 4월물량표";#N/A,#N/A,FALSE,"96 5월물량표"}</definedName>
    <definedName name="GHJFGJ" hidden="1">{#N/A,#N/A,FALSE,"단축1";#N/A,#N/A,FALSE,"단축2";#N/A,#N/A,FALSE,"단축3";#N/A,#N/A,FALSE,"장축";#N/A,#N/A,FALSE,"4WD"}</definedName>
    <definedName name="GHJH" hidden="1">{#N/A,#N/A,FALSE,"단축1";#N/A,#N/A,FALSE,"단축2";#N/A,#N/A,FALSE,"단축3";#N/A,#N/A,FALSE,"장축";#N/A,#N/A,FALSE,"4WD"}</definedName>
    <definedName name="GHJHGHGJHG" hidden="1">{#N/A,#N/A,FALSE,"단축1";#N/A,#N/A,FALSE,"단축2";#N/A,#N/A,FALSE,"단축3";#N/A,#N/A,FALSE,"장축";#N/A,#N/A,FALSE,"4WD"}</definedName>
    <definedName name="ghjjhhh" hidden="1">{#N/A,#N/A,FALSE,"단축1";#N/A,#N/A,FALSE,"단축2";#N/A,#N/A,FALSE,"단축3";#N/A,#N/A,FALSE,"장축";#N/A,#N/A,FALSE,"4WD"}</definedName>
    <definedName name="GHJK" hidden="1">{#N/A,#N/A,FALSE,"KMC최종회의(7월) 자료"}</definedName>
    <definedName name="GHJKL" hidden="1">{#N/A,#N/A,FALSE,"PART-1234-8-12-9(41)";#N/A,#N/A,FALSE,"PARTS-2(3)";#N/A,#N/A,FALSE,"VAN SYSTEM";#N/A,#N/A,FALSE,"PARTS-10(26)";#N/A,#N/A,FALSE,"PART-5-6-7-11(14)";#N/A,#N/A,FALSE,"PARTS-4(3)";#N/A,#N/A,FALSE,"PCLASS"}</definedName>
    <definedName name="GHJKLL" hidden="1">{#N/A,#N/A,FALSE,"PART-1234-8-12-9(41)";#N/A,#N/A,FALSE,"PARTS-2(3)";#N/A,#N/A,FALSE,"VAN SYSTEM";#N/A,#N/A,FALSE,"PARTS-10(26)";#N/A,#N/A,FALSE,"PART-5-6-7-11(14)";#N/A,#N/A,FALSE,"PARTS-4(3)";#N/A,#N/A,FALSE,"PCLASS"}</definedName>
    <definedName name="ghjuio" hidden="1">{#N/A,#N/A,FALSE,"PART-1234-8-12-9(41)";#N/A,#N/A,FALSE,"PARTS-2(3)";#N/A,#N/A,FALSE,"VAN SYSTEM";#N/A,#N/A,FALSE,"PARTS-10(26)";#N/A,#N/A,FALSE,"PART-5-6-7-11(14)";#N/A,#N/A,FALSE,"PARTS-4(3)";#N/A,#N/A,FALSE,"PCLASS"}</definedName>
    <definedName name="ghjy" hidden="1">{#N/A,#N/A,TRUE,"Y생산";#N/A,#N/A,TRUE,"Y판매";#N/A,#N/A,TRUE,"Y총물량";#N/A,#N/A,TRUE,"Y능력";#N/A,#N/A,TRUE,"YKD"}</definedName>
    <definedName name="ghjy_1" hidden="1">{#N/A,#N/A,TRUE,"Y생산";#N/A,#N/A,TRUE,"Y판매";#N/A,#N/A,TRUE,"Y총물량";#N/A,#N/A,TRUE,"Y능력";#N/A,#N/A,TRUE,"YKD"}</definedName>
    <definedName name="GHK" hidden="1">{#N/A,#N/A,FALSE,"단축1";#N/A,#N/A,FALSE,"단축2";#N/A,#N/A,FALSE,"단축3";#N/A,#N/A,FALSE,"장축";#N/A,#N/A,FALSE,"4WD"}</definedName>
    <definedName name="GHKJFKJ" hidden="1">{#N/A,#N/A,FALSE,"단축1";#N/A,#N/A,FALSE,"단축2";#N/A,#N/A,FALSE,"단축3";#N/A,#N/A,FALSE,"장축";#N/A,#N/A,FALSE,"4WD"}</definedName>
    <definedName name="GHKJHKJHKJHJK" hidden="1">{"'5'!$A$1:$BB$147"}</definedName>
    <definedName name="GHLDML" hidden="1">{#N/A,#N/A,FALSE,"품의서";#N/A,#N/A,FALSE,"전제";#N/A,#N/A,FALSE,"총손";#N/A,#N/A,FALSE,"손익"}</definedName>
    <definedName name="ghljngiti" hidden="1">{#N/A,#N/A,FALSE,"단축1";#N/A,#N/A,FALSE,"단축2";#N/A,#N/A,FALSE,"단축3";#N/A,#N/A,FALSE,"장축";#N/A,#N/A,FALSE,"4WD"}</definedName>
    <definedName name="ghrot" hidden="1">{#N/A,#N/A,FALSE,"단축1";#N/A,#N/A,FALSE,"단축2";#N/A,#N/A,FALSE,"단축3";#N/A,#N/A,FALSE,"장축";#N/A,#N/A,FALSE,"4WD"}</definedName>
    <definedName name="GHT" hidden="1">{#N/A,#N/A,FALSE,"신규dep";#N/A,#N/A,FALSE,"신규dep-금형상각후";#N/A,#N/A,FALSE,"신규dep-연구비상각후";#N/A,#N/A,FALSE,"신규dep-기계,공구상각후"}</definedName>
    <definedName name="ghtr" hidden="1">{#VALUE!,#N/A,FALSE,0;#N/A,#N/A,FALSE,0;#N/A,#N/A,FALSE,0;#N/A,#N/A,FALSE,0;#N/A,#N/A,FALSE,0}</definedName>
    <definedName name="ghudjk" hidden="1">{#N/A,#N/A,FALSE,"정공"}</definedName>
    <definedName name="ghudjk_1" hidden="1">{#N/A,#N/A,FALSE,"정공"}</definedName>
    <definedName name="ghudjk_2" hidden="1">{#N/A,#N/A,FALSE,"정공"}</definedName>
    <definedName name="GHUTGHF" hidden="1">{#N/A,#N/A,FALSE,"96 3월물량표";#N/A,#N/A,FALSE,"96 4월물량표";#N/A,#N/A,FALSE,"96 5월물량표"}</definedName>
    <definedName name="GHUTGHF_1" hidden="1">{#N/A,#N/A,FALSE,"96 3월물량표";#N/A,#N/A,FALSE,"96 4월물량표";#N/A,#N/A,FALSE,"96 5월물량표"}</definedName>
    <definedName name="GI" hidden="1">{#N/A,#N/A,FALSE,"단축1";#N/A,#N/A,FALSE,"단축2";#N/A,#N/A,FALSE,"단축3";#N/A,#N/A,FALSE,"장축";#N/A,#N/A,FALSE,"4WD"}</definedName>
    <definedName name="GI_1" hidden="1">{#N/A,#N/A,FALSE,"단축1";#N/A,#N/A,FALSE,"단축2";#N/A,#N/A,FALSE,"단축3";#N/A,#N/A,FALSE,"장축";#N/A,#N/A,FALSE,"4WD"}</definedName>
    <definedName name="GI_2" hidden="1">{#N/A,#N/A,FALSE,"단축1";#N/A,#N/A,FALSE,"단축2";#N/A,#N/A,FALSE,"단축3";#N/A,#N/A,FALSE,"장축";#N/A,#N/A,FALSE,"4WD"}</definedName>
    <definedName name="GIGIGIGIGIGIG" hidden="1">{#N/A,#N/A,FALSE,"단축1";#N/A,#N/A,FALSE,"단축2";#N/A,#N/A,FALSE,"단축3";#N/A,#N/A,FALSE,"장축";#N/A,#N/A,FALSE,"4WD"}</definedName>
    <definedName name="GJ" hidden="1">{#N/A,#N/A,FALSE,"단축1";#N/A,#N/A,FALSE,"단축2";#N/A,#N/A,FALSE,"단축3";#N/A,#N/A,FALSE,"장축";#N/A,#N/A,FALSE,"4WD"}</definedName>
    <definedName name="GJ_1" hidden="1">{#N/A,#N/A,FALSE,"단축1";#N/A,#N/A,FALSE,"단축2";#N/A,#N/A,FALSE,"단축3";#N/A,#N/A,FALSE,"장축";#N/A,#N/A,FALSE,"4WD"}</definedName>
    <definedName name="GJ_2" hidden="1">{#N/A,#N/A,FALSE,"단축1";#N/A,#N/A,FALSE,"단축2";#N/A,#N/A,FALSE,"단축3";#N/A,#N/A,FALSE,"장축";#N/A,#N/A,FALSE,"4WD"}</definedName>
    <definedName name="GJDTRYI" hidden="1">{#VALUE!,#N/A,FALSE,0;#N/A,#N/A,FALSE,0;#N/A,#N/A,FALSE,0;#N/A,#N/A,FALSE,0;#N/A,#N/A,FALSE,0}</definedName>
    <definedName name="GJGE" hidden="1">{#N/A,#N/A,FALSE,"단축1";#N/A,#N/A,FALSE,"단축2";#N/A,#N/A,FALSE,"단축3";#N/A,#N/A,FALSE,"장축";#N/A,#N/A,FALSE,"4WD"}</definedName>
    <definedName name="GJGK" hidden="1">{#N/A,#N/A,FALSE,"표지";#N/A,#N/A,FALSE,"전제";#N/A,#N/A,FALSE,"손익-자 (2)";#N/A,#N/A,FALSE,"손익-자";#N/A,#N/A,FALSE,"손익-마 (2)";#N/A,#N/A,FALSE,"손익-마";#N/A,#N/A,FALSE,"총손최종"}</definedName>
    <definedName name="GJHG" hidden="1">{#N/A,#N/A,FALSE,"A장";#N/A,#N/A,FALSE,"B장"}</definedName>
    <definedName name="gjjuukuku" hidden="1">{"'7-2지역별'!$A$1:$R$44"}</definedName>
    <definedName name="gjk" hidden="1">{#N/A,#N/A,TRUE,"Y생산";#N/A,#N/A,TRUE,"Y판매";#N/A,#N/A,TRUE,"Y총물량";#N/A,#N/A,TRUE,"Y능력";#N/A,#N/A,TRUE,"YKD"}</definedName>
    <definedName name="GJK_1" hidden="1">{#N/A,#N/A,FALSE,"단축1";#N/A,#N/A,FALSE,"단축2";#N/A,#N/A,FALSE,"단축3";#N/A,#N/A,FALSE,"장축";#N/A,#N/A,FALSE,"4WD"}</definedName>
    <definedName name="GJK_2" hidden="1">{#N/A,#N/A,FALSE,"단축1";#N/A,#N/A,FALSE,"단축2";#N/A,#N/A,FALSE,"단축3";#N/A,#N/A,FALSE,"장축";#N/A,#N/A,FALSE,"4WD"}</definedName>
    <definedName name="GJKADJG" hidden="1">{#N/A,#N/A,FALSE,"단축1";#N/A,#N/A,FALSE,"단축2";#N/A,#N/A,FALSE,"단축3";#N/A,#N/A,FALSE,"장축";#N/A,#N/A,FALSE,"4WD"}</definedName>
    <definedName name="GJKGJK" hidden="1">{#N/A,#N/A,FALSE,"단축1";#N/A,#N/A,FALSE,"단축2";#N/A,#N/A,FALSE,"단축3";#N/A,#N/A,FALSE,"장축";#N/A,#N/A,FALSE,"4WD"}</definedName>
    <definedName name="GJKGJK_1" hidden="1">{#N/A,#N/A,FALSE,"단축1";#N/A,#N/A,FALSE,"단축2";#N/A,#N/A,FALSE,"단축3";#N/A,#N/A,FALSE,"장축";#N/A,#N/A,FALSE,"4WD"}</definedName>
    <definedName name="GJKGJK_2" hidden="1">{#N/A,#N/A,FALSE,"단축1";#N/A,#N/A,FALSE,"단축2";#N/A,#N/A,FALSE,"단축3";#N/A,#N/A,FALSE,"장축";#N/A,#N/A,FALSE,"4WD"}</definedName>
    <definedName name="GJM" hidden="1">{#N/A,#N/A,FALSE,"단축1";#N/A,#N/A,FALSE,"단축2";#N/A,#N/A,FALSE,"단축3";#N/A,#N/A,FALSE,"장축";#N/A,#N/A,FALSE,"4WD"}</definedName>
    <definedName name="GJM_1" hidden="1">{#N/A,#N/A,FALSE,"단축1";#N/A,#N/A,FALSE,"단축2";#N/A,#N/A,FALSE,"단축3";#N/A,#N/A,FALSE,"장축";#N/A,#N/A,FALSE,"4WD"}</definedName>
    <definedName name="GJM_2" hidden="1">{#N/A,#N/A,FALSE,"단축1";#N/A,#N/A,FALSE,"단축2";#N/A,#N/A,FALSE,"단축3";#N/A,#N/A,FALSE,"장축";#N/A,#N/A,FALSE,"4WD"}</definedName>
    <definedName name="GJT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K" hidden="1">{#N/A,#N/A,FALSE,"단축1";#N/A,#N/A,FALSE,"단축2";#N/A,#N/A,FALSE,"단축3";#N/A,#N/A,FALSE,"장축";#N/A,#N/A,FALSE,"4WD"}</definedName>
    <definedName name="GK_1" hidden="1">{#N/A,#N/A,FALSE,"단축1";#N/A,#N/A,FALSE,"단축2";#N/A,#N/A,FALSE,"단축3";#N/A,#N/A,FALSE,"장축";#N/A,#N/A,FALSE,"4WD"}</definedName>
    <definedName name="GK_2" hidden="1">{#N/A,#N/A,FALSE,"단축1";#N/A,#N/A,FALSE,"단축2";#N/A,#N/A,FALSE,"단축3";#N/A,#N/A,FALSE,"장축";#N/A,#N/A,FALSE,"4WD"}</definedName>
    <definedName name="gkdfgjldg" hidden="1">{#N/A,#N/A,FALSE,"신규dep";#N/A,#N/A,FALSE,"신규dep-금형상각후";#N/A,#N/A,FALSE,"신규dep-연구비상각후";#N/A,#N/A,FALSE,"신규dep-기계,공구상각후"}</definedName>
    <definedName name="GKFGK" hidden="1">{"'5'!$A$1:$BB$147"}</definedName>
    <definedName name="GKG" hidden="1">{#N/A,#N/A,FALSE,"단축1";#N/A,#N/A,FALSE,"단축2";#N/A,#N/A,FALSE,"단축3";#N/A,#N/A,FALSE,"장축";#N/A,#N/A,FALSE,"4WD"}</definedName>
    <definedName name="gkgkgkgkgkgkgkgkgkgkgkgkg" hidden="1">{#N/A,#N/A,FALSE,"KMC최종회의(7월) 자료"}</definedName>
    <definedName name="gkjyl" hidden="1">{#N/A,#N/A,FALSE,"정공"}</definedName>
    <definedName name="gkjyl_1" hidden="1">{#N/A,#N/A,FALSE,"정공"}</definedName>
    <definedName name="gkjyl_2" hidden="1">{#N/A,#N/A,FALSE,"정공"}</definedName>
    <definedName name="gkqrur" hidden="1">{#N/A,#N/A,FALSE,"단축1";#N/A,#N/A,FALSE,"단축2";#N/A,#N/A,FALSE,"단축3";#N/A,#N/A,FALSE,"장축";#N/A,#N/A,FALSE,"4WD"}</definedName>
    <definedName name="GKS" hidden="1">{#N/A,#N/A,FALSE,"단축1";#N/A,#N/A,FALSE,"단축2";#N/A,#N/A,FALSE,"단축3";#N/A,#N/A,FALSE,"장축";#N/A,#N/A,FALSE,"4WD"}</definedName>
    <definedName name="GKSK" hidden="1">{#N/A,#N/A,FALSE,"단축1";#N/A,#N/A,FALSE,"단축2";#N/A,#N/A,FALSE,"단축3";#N/A,#N/A,FALSE,"장축";#N/A,#N/A,FALSE,"4WD"}</definedName>
    <definedName name="GK경비LXLZ제외반영" hidden="1">{#N/A,#N/A,FALSE,"단축1";#N/A,#N/A,FALSE,"단축2";#N/A,#N/A,FALSE,"단축3";#N/A,#N/A,FALSE,"장축";#N/A,#N/A,FALSE,"4WD"}</definedName>
    <definedName name="GK휴얼" hidden="1">{#N/A,#N/A,FALSE,"단축1";#N/A,#N/A,FALSE,"단축2";#N/A,#N/A,FALSE,"단축3";#N/A,#N/A,FALSE,"장축";#N/A,#N/A,FALSE,"4WD"}</definedName>
    <definedName name="glad" hidden="1">{#N/A,#N/A,FALSE,"단축1";#N/A,#N/A,FALSE,"단축2";#N/A,#N/A,FALSE,"단축3";#N/A,#N/A,FALSE,"장축";#N/A,#N/A,FALSE,"4WD"}</definedName>
    <definedName name="glad_1" hidden="1">{#N/A,#N/A,FALSE,"단축1";#N/A,#N/A,FALSE,"단축2";#N/A,#N/A,FALSE,"단축3";#N/A,#N/A,FALSE,"장축";#N/A,#N/A,FALSE,"4WD"}</definedName>
    <definedName name="GLR" hidden="1">{#N/A,#N/A,FALSE,"단축1";#N/A,#N/A,FALSE,"단축2";#N/A,#N/A,FALSE,"단축3";#N/A,#N/A,FALSE,"장축";#N/A,#N/A,FALSE,"4WD"}</definedName>
    <definedName name="GM" hidden="1">{#N/A,#N/A,FALSE,"단축1";#N/A,#N/A,FALSE,"단축2";#N/A,#N/A,FALSE,"단축3";#N/A,#N/A,FALSE,"장축";#N/A,#N/A,FALSE,"4WD"}</definedName>
    <definedName name="GMDAT" hidden="1">{"EXPORT",#N/A,FALSE,"A8CONTENT"}</definedName>
    <definedName name="GML" hidden="1">{#N/A,#N/A,TRUE,"Y생산";#N/A,#N/A,TRUE,"Y판매";#N/A,#N/A,TRUE,"Y총물량";#N/A,#N/A,TRUE,"Y능력";#N/A,#N/A,TRUE,"YKD"}</definedName>
    <definedName name="GN" hidden="1">{#N/A,#N/A,FALSE,"신규dep";#N/A,#N/A,FALSE,"신규dep-금형상각후";#N/A,#N/A,FALSE,"신규dep-연구비상각후";#N/A,#N/A,FALSE,"신규dep-기계,공구상각후"}</definedName>
    <definedName name="gnhnhg" hidden="1">{"'7-2지역별'!$A$1:$R$44"}</definedName>
    <definedName name="gnxcvb" hidden="1">{#N/A,#N/A,TRUE,"Y생산";#N/A,#N/A,TRUE,"Y판매";#N/A,#N/A,TRUE,"Y총물량";#N/A,#N/A,TRUE,"Y능력";#N/A,#N/A,TRUE,"YKD"}</definedName>
    <definedName name="gnxcvb_1" hidden="1">{#N/A,#N/A,TRUE,"Y생산";#N/A,#N/A,TRUE,"Y판매";#N/A,#N/A,TRUE,"Y총물량";#N/A,#N/A,TRUE,"Y능력";#N/A,#N/A,TRUE,"YKD"}</definedName>
    <definedName name="GNZ" hidden="1">{#N/A,#N/A,FALSE,"단축1";#N/A,#N/A,FALSE,"단축2";#N/A,#N/A,FALSE,"단축3";#N/A,#N/A,FALSE,"장축";#N/A,#N/A,FALSE,"4WD"}</definedName>
    <definedName name="GOGO" hidden="1">{#N/A,#N/A,FALSE,"단축1";#N/A,#N/A,FALSE,"단축2";#N/A,#N/A,FALSE,"단축3";#N/A,#N/A,FALSE,"장축";#N/A,#N/A,FALSE,"4WD"}</definedName>
    <definedName name="GOGOGOGO" hidden="1">{"Wire Charts",#N/A,TRUE,"Wires"}</definedName>
    <definedName name="GONGZUOBIAO" hidden="1">{#N/A,#N/A,FALSE,"단축1";#N/A,#N/A,FALSE,"단축2";#N/A,#N/A,FALSE,"단축3";#N/A,#N/A,FALSE,"장축";#N/A,#N/A,FALSE,"4WD"}</definedName>
    <definedName name="gqwethxzcvhy7i" hidden="1">{#N/A,#N/A,FALSE,"단축1";#N/A,#N/A,FALSE,"단축2";#N/A,#N/A,FALSE,"단축3";#N/A,#N/A,FALSE,"장축";#N/A,#N/A,FALSE,"4WD"}</definedName>
    <definedName name="GREFE" hidden="1">{#N/A,#N/A,FALSE,"단축1";#N/A,#N/A,FALSE,"단축2";#N/A,#N/A,FALSE,"단축3";#N/A,#N/A,FALSE,"장축";#N/A,#N/A,FALSE,"4WD"}</definedName>
    <definedName name="GREGSRGS" hidden="1">{#N/A,#N/A,FALSE,"단축1";#N/A,#N/A,FALSE,"단축2";#N/A,#N/A,FALSE,"단축3";#N/A,#N/A,FALSE,"장축";#N/A,#N/A,FALSE,"4WD"}</definedName>
    <definedName name="grerwtgnhgtghrttghftrtgh" hidden="1">{#N/A,#N/A,FALSE,"단축1";#N/A,#N/A,FALSE,"단축2";#N/A,#N/A,FALSE,"단축3";#N/A,#N/A,FALSE,"장축";#N/A,#N/A,FALSE,"4WD"}</definedName>
    <definedName name="grethrhtgcrghnhrtgrttgh" hidden="1">{#N/A,#N/A,TRUE,"Y생산";#N/A,#N/A,TRUE,"Y판매";#N/A,#N/A,TRUE,"Y총물량";#N/A,#N/A,TRUE,"Y능력";#N/A,#N/A,TRUE,"YKD"}</definedName>
    <definedName name="grfdgrtrrhfgdhteretrgfdsegrggn" hidden="1">{#N/A,#N/A,FALSE,"을지 (4)";#N/A,#N/A,FALSE,"을지 (5)";#N/A,#N/A,FALSE,"을지 (6)"}</definedName>
    <definedName name="grfrfggrg" hidden="1">{"'7-2지역별'!$A$1:$R$44"}</definedName>
    <definedName name="GRGEGERG" hidden="1">{"'7-2지역별'!$A$1:$R$44"}</definedName>
    <definedName name="GRGHRH" hidden="1">{#N/A,#N/A,FALSE,"단축1";#N/A,#N/A,FALSE,"단축2";#N/A,#N/A,FALSE,"단축3";#N/A,#N/A,FALSE,"장축";#N/A,#N/A,FALSE,"4WD"}</definedName>
    <definedName name="grgrgrg" hidden="1">{"'7-2지역별'!$A$1:$R$44"}</definedName>
    <definedName name="GRKLNHDGKLN" hidden="1">{#N/A,#N/A,TRUE,"매출진척-1";#N/A,#N/A,TRUE,"매출진척-2";#N/A,#N/A,TRUE,"제품실적";#N/A,#N/A,TRUE,"RAC";#N/A,#N/A,TRUE,"PAC ";#N/A,#N/A,TRUE,"재고현황";#N/A,#N/A,TRUE,"공지사항"}</definedName>
    <definedName name="gs" hidden="1">{#N/A,#N/A,FALSE,"단축1";#N/A,#N/A,FALSE,"단축2";#N/A,#N/A,FALSE,"단축3";#N/A,#N/A,FALSE,"장축";#N/A,#N/A,FALSE,"4WD"}</definedName>
    <definedName name="GSDFGERSSZDFV" hidden="1">{#N/A,#N/A,FALSE,"단축1";#N/A,#N/A,FALSE,"단축2";#N/A,#N/A,FALSE,"단축3";#N/A,#N/A,FALSE,"장축";#N/A,#N/A,FALSE,"4WD"}</definedName>
    <definedName name="GSDFGSERGS" hidden="1">{#N/A,#N/A,FALSE,"단축1";#N/A,#N/A,FALSE,"단축2";#N/A,#N/A,FALSE,"단축3";#N/A,#N/A,FALSE,"장축";#N/A,#N/A,FALSE,"4WD"}</definedName>
    <definedName name="GSDFHGSDFSHDFG" hidden="1">{#N/A,#N/A,FALSE,"단축1";#N/A,#N/A,FALSE,"단축2";#N/A,#N/A,FALSE,"단축3";#N/A,#N/A,FALSE,"장축";#N/A,#N/A,FALSE,"4WD"}</definedName>
    <definedName name="GSEGBGSDFBGSER" hidden="1">{#N/A,#N/A,FALSE,"단축1";#N/A,#N/A,FALSE,"단축2";#N/A,#N/A,FALSE,"단축3";#N/A,#N/A,FALSE,"장축";#N/A,#N/A,FALSE,"4WD"}</definedName>
    <definedName name="GSEGSDFGVSER" hidden="1">{#N/A,#N/A,FALSE,"단축1";#N/A,#N/A,FALSE,"단축2";#N/A,#N/A,FALSE,"단축3";#N/A,#N/A,FALSE,"장축";#N/A,#N/A,FALSE,"4WD"}</definedName>
    <definedName name="gsehgsthsrhrhesrthrsth" hidden="1">{#N/A,#N/A,TRUE,"Y생산";#N/A,#N/A,TRUE,"Y판매";#N/A,#N/A,TRUE,"Y총물량";#N/A,#N/A,TRUE,"Y능력";#N/A,#N/A,TRUE,"YKD"}</definedName>
    <definedName name="GSERGBSFDGERE" hidden="1">{#N/A,#N/A,FALSE,"신규dep";#N/A,#N/A,FALSE,"신규dep-금형상각후";#N/A,#N/A,FALSE,"신규dep-연구비상각후";#N/A,#N/A,FALSE,"신규dep-기계,공구상각후"}</definedName>
    <definedName name="GSERGSDFGER" hidden="1">{#N/A,#N/A,FALSE,"단축1";#N/A,#N/A,FALSE,"단축2";#N/A,#N/A,FALSE,"단축3";#N/A,#N/A,FALSE,"장축";#N/A,#N/A,FALSE,"4WD"}</definedName>
    <definedName name="GSERGSDFGSER" hidden="1">{#N/A,#N/A,FALSE,"단축1";#N/A,#N/A,FALSE,"단축2";#N/A,#N/A,FALSE,"단축3";#N/A,#N/A,FALSE,"장축";#N/A,#N/A,FALSE,"4WD"}</definedName>
    <definedName name="GSERGSDRGV" hidden="1">{#N/A,#N/A,FALSE,"단축1";#N/A,#N/A,FALSE,"단축2";#N/A,#N/A,FALSE,"단축3";#N/A,#N/A,FALSE,"장축";#N/A,#N/A,FALSE,"4WD"}</definedName>
    <definedName name="GSERGSERGSER" hidden="1">{#N/A,#N/A,FALSE,"단축1";#N/A,#N/A,FALSE,"단축2";#N/A,#N/A,FALSE,"단축3";#N/A,#N/A,FALSE,"장축";#N/A,#N/A,FALSE,"4WD"}</definedName>
    <definedName name="GSRGSRVG" hidden="1">{#N/A,#N/A,FALSE,"단축1";#N/A,#N/A,FALSE,"단축2";#N/A,#N/A,FALSE,"단축3";#N/A,#N/A,FALSE,"장축";#N/A,#N/A,FALSE,"4WD"}</definedName>
    <definedName name="gsrnaerg" hidden="1">{#N/A,#N/A,TRUE,"Y생산";#N/A,#N/A,TRUE,"Y판매";#N/A,#N/A,TRUE,"Y총물량";#N/A,#N/A,TRUE,"Y능력";#N/A,#N/A,TRUE,"YKD"}</definedName>
    <definedName name="gsrnaerg_1" hidden="1">{#N/A,#N/A,TRUE,"Y생산";#N/A,#N/A,TRUE,"Y판매";#N/A,#N/A,TRUE,"Y총물량";#N/A,#N/A,TRUE,"Y능력";#N/A,#N/A,TRUE,"YKD"}</definedName>
    <definedName name="GTBRFV" hidden="1">#REF!</definedName>
    <definedName name="GTGTRGE55GTR" hidden="1">{#N/A,#N/A,FALSE,"단축1";#N/A,#N/A,FALSE,"단축2";#N/A,#N/A,FALSE,"단축3";#N/A,#N/A,FALSE,"장축";#N/A,#N/A,FALSE,"4WD"}</definedName>
    <definedName name="GTY" hidden="1">{#N/A,#N/A,FALSE,"단축1";#N/A,#N/A,FALSE,"단축2";#N/A,#N/A,FALSE,"단축3";#N/A,#N/A,FALSE,"장축";#N/A,#N/A,FALSE,"4WD"}</definedName>
    <definedName name="guig8yu" hidden="1">{#VALUE!,#N/A,FALSE,0;#N/A,#N/A,FALSE,0;#N/A,#N/A,FALSE,0;#N/A,#N/A,FALSE,0;#N/A,#N/A,FALSE,0}</definedName>
    <definedName name="guig8yu_1" hidden="1">{#VALUE!,#N/A,FALSE,0;#N/A,#N/A,FALSE,0;#N/A,#N/A,FALSE,0;#N/A,#N/A,FALSE,0;#N/A,#N/A,FALSE,0}</definedName>
    <definedName name="guig8yu_2" hidden="1">{#VALUE!,#N/A,FALSE,0;#N/A,#N/A,FALSE,0;#N/A,#N/A,FALSE,0;#N/A,#N/A,FALSE,0;#N/A,#N/A,FALSE,0}</definedName>
    <definedName name="GUIGU" hidden="1">{#N/A,#N/A,FALSE,"단축1";#N/A,#N/A,FALSE,"단축2";#N/A,#N/A,FALSE,"단축3";#N/A,#N/A,FALSE,"장축";#N/A,#N/A,FALSE,"4WD"}</definedName>
    <definedName name="guii" hidden="1">{#N/A,#N/A,FALSE,"단축1";#N/A,#N/A,FALSE,"단축2";#N/A,#N/A,FALSE,"단축3";#N/A,#N/A,FALSE,"장축";#N/A,#N/A,FALSE,"4WD"}</definedName>
    <definedName name="GUKMSDF" hidden="1">{#N/A,#N/A,FALSE,"단축1";#N/A,#N/A,FALSE,"단축2";#N/A,#N/A,FALSE,"단축3";#N/A,#N/A,FALSE,"장축";#N/A,#N/A,FALSE,"4WD"}</definedName>
    <definedName name="gutopo" hidden="1">{#N/A,#N/A,FALSE,"단축1";#N/A,#N/A,FALSE,"단축2";#N/A,#N/A,FALSE,"단축3";#N/A,#N/A,FALSE,"장축";#N/A,#N/A,FALSE,"4WD"}</definedName>
    <definedName name="gvdasskv" hidden="1">{#N/A,#N/A,TRUE,"일정"}</definedName>
    <definedName name="gvgfg" hidden="1">{"'7-2지역별'!$A$1:$R$44"}</definedName>
    <definedName name="GVGG" hidden="1">{#N/A,#N/A,FALSE,"단축1";#N/A,#N/A,FALSE,"단축2";#N/A,#N/A,FALSE,"단축3";#N/A,#N/A,FALSE,"장축";#N/A,#N/A,FALSE,"4WD"}</definedName>
    <definedName name="GVGG_1" hidden="1">{#N/A,#N/A,FALSE,"단축1";#N/A,#N/A,FALSE,"단축2";#N/A,#N/A,FALSE,"단축3";#N/A,#N/A,FALSE,"장축";#N/A,#N/A,FALSE,"4WD"}</definedName>
    <definedName name="GVGG_2" hidden="1">{#N/A,#N/A,FALSE,"단축1";#N/A,#N/A,FALSE,"단축2";#N/A,#N/A,FALSE,"단축3";#N/A,#N/A,FALSE,"장축";#N/A,#N/A,FALSE,"4WD"}</definedName>
    <definedName name="GVI" hidden="1">{#N/A,#N/A,FALSE,"단축1";#N/A,#N/A,FALSE,"단축2";#N/A,#N/A,FALSE,"단축3";#N/A,#N/A,FALSE,"장축";#N/A,#N/A,FALSE,"4WD"}</definedName>
    <definedName name="GVI_1" hidden="1">{#N/A,#N/A,FALSE,"단축1";#N/A,#N/A,FALSE,"단축2";#N/A,#N/A,FALSE,"단축3";#N/A,#N/A,FALSE,"장축";#N/A,#N/A,FALSE,"4WD"}</definedName>
    <definedName name="GVI_2" hidden="1">{#N/A,#N/A,FALSE,"단축1";#N/A,#N/A,FALSE,"단축2";#N/A,#N/A,FALSE,"단축3";#N/A,#N/A,FALSE,"장축";#N/A,#N/A,FALSE,"4WD"}</definedName>
    <definedName name="gvsyrtdhdgdgfhdhdfghdf" hidden="1">{#N/A,#N/A,FALSE,"단축1";#N/A,#N/A,FALSE,"단축2";#N/A,#N/A,FALSE,"단축3";#N/A,#N/A,FALSE,"장축";#N/A,#N/A,FALSE,"4WD"}</definedName>
    <definedName name="GXFGFGSDS" hidden="1">{#N/A,#N/A,FALSE,"단축1";#N/A,#N/A,FALSE,"단축2";#N/A,#N/A,FALSE,"단축3";#N/A,#N/A,FALSE,"장축";#N/A,#N/A,FALSE,"4WD"}</definedName>
    <definedName name="GYHTYYHNGJTYHNHYGTHBGHYRGTG" hidden="1">{#N/A,#N/A,FALSE,"단축1";#N/A,#N/A,FALSE,"단축2";#N/A,#N/A,FALSE,"단축3";#N/A,#N/A,FALSE,"장축";#N/A,#N/A,FALSE,"4WD"}</definedName>
    <definedName name="G한구" hidden="1">{#N/A,#N/A,FALSE,"단축1";#N/A,#N/A,FALSE,"단축2";#N/A,#N/A,FALSE,"단축3";#N/A,#N/A,FALSE,"장축";#N/A,#N/A,FALSE,"4WD"}</definedName>
    <definedName name="H" hidden="1">{#N/A,#N/A,TRUE,"Y생산";#N/A,#N/A,TRUE,"Y판매";#N/A,#N/A,TRUE,"Y총물량";#N/A,#N/A,TRUE,"Y능력";#N/A,#N/A,TRUE,"YKD"}</definedName>
    <definedName name="H\ML_Header" hidden="1">"bar-strut tower"</definedName>
    <definedName name="H\ML_Title" hidden="1">"54681-2D000_t_bar"</definedName>
    <definedName name="H3직행율1" hidden="1">{#N/A,#N/A,TRUE,"Y생산";#N/A,#N/A,TRUE,"Y판매";#N/A,#N/A,TRUE,"Y총물량";#N/A,#N/A,TRUE,"Y능력";#N/A,#N/A,TRUE,"YKD"}</definedName>
    <definedName name="H3직행율1_1" hidden="1">{#N/A,#N/A,TRUE,"Y생산";#N/A,#N/A,TRUE,"Y판매";#N/A,#N/A,TRUE,"Y총물량";#N/A,#N/A,TRUE,"Y능력";#N/A,#N/A,TRUE,"YKD"}</definedName>
    <definedName name="HAN" hidden="1">{#N/A,#N/A,FALSE,"KMC최종회의(7월) 자료"}</definedName>
    <definedName name="HB" hidden="1">{#N/A,#N/A,FALSE,"단축1";#N/A,#N/A,FALSE,"단축2";#N/A,#N/A,FALSE,"단축3";#N/A,#N/A,FALSE,"장축";#N/A,#N/A,FALSE,"4WD"}</definedName>
    <definedName name="HB_1" hidden="1">{#N/A,#N/A,FALSE,"단축1";#N/A,#N/A,FALSE,"단축2";#N/A,#N/A,FALSE,"단축3";#N/A,#N/A,FALSE,"장축";#N/A,#N/A,FALSE,"4WD"}</definedName>
    <definedName name="HB_2" hidden="1">{#N/A,#N/A,FALSE,"단축1";#N/A,#N/A,FALSE,"단축2";#N/A,#N/A,FALSE,"단축3";#N/A,#N/A,FALSE,"장축";#N/A,#N/A,FALSE,"4WD"}</definedName>
    <definedName name="HBETYRTEGBEHGTHHHY6T5" hidden="1">{#N/A,#N/A,TRUE,"Y생산";#N/A,#N/A,TRUE,"Y판매";#N/A,#N/A,TRUE,"Y총물량";#N/A,#N/A,TRUE,"Y능력";#N/A,#N/A,TRUE,"YKD"}</definedName>
    <definedName name="HBVJ" hidden="1">{#N/A,#N/A,FALSE,"단축1";#N/A,#N/A,FALSE,"단축2";#N/A,#N/A,FALSE,"단축3";#N/A,#N/A,FALSE,"장축";#N/A,#N/A,FALSE,"4WD"}</definedName>
    <definedName name="hdfdf" hidden="1">{"'7-2지역별'!$A$1:$R$44"}</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DGTJKDHYUKLS" hidden="1">{#N/A,#N/A,FALSE,"단축1";#N/A,#N/A,FALSE,"단축2";#N/A,#N/A,FALSE,"단축3";#N/A,#N/A,FALSE,"장축";#N/A,#N/A,FALSE,"4WD"}</definedName>
    <definedName name="hdh" hidden="1">{"COMPARISON",#N/A,FALSE,"Sheet1"}</definedName>
    <definedName name="hdhshsghgshgshsthsrh" hidden="1">{#N/A,#N/A,FALSE,"단축1";#N/A,#N/A,FALSE,"단축2";#N/A,#N/A,FALSE,"단축3";#N/A,#N/A,FALSE,"장축";#N/A,#N/A,FALSE,"4WD"}</definedName>
    <definedName name="hdhx" hidden="1">{"COMPARISON",#N/A,FALSE,"Sheet1"}</definedName>
    <definedName name="hdrgd" hidden="1">#REF!</definedName>
    <definedName name="HDTFJYDTYFTY" hidden="1">{#N/A,#N/A,FALSE,"단축1";#N/A,#N/A,FALSE,"단축2";#N/A,#N/A,FALSE,"단축3";#N/A,#N/A,FALSE,"장축";#N/A,#N/A,FALSE,"4WD"}</definedName>
    <definedName name="HDZHZD" hidden="1">{#N/A,#N/A,FALSE,"단축1";#N/A,#N/A,FALSE,"단축2";#N/A,#N/A,FALSE,"단축3";#N/A,#N/A,FALSE,"장축";#N/A,#N/A,FALSE,"4WD"}</definedName>
    <definedName name="he" hidden="1">{"'7-2지역별'!$A$1:$R$44"}</definedName>
    <definedName name="HFD" hidden="1">{#N/A,#N/A,FALSE,"을지 (4)";#N/A,#N/A,FALSE,"을지 (5)";#N/A,#N/A,FALSE,"을지 (6)"}</definedName>
    <definedName name="hfddsghh" hidden="1">{"'7-2지역별'!$A$1:$R$44"}</definedName>
    <definedName name="HFDZ" hidden="1">{#N/A,#N/A,FALSE,"단축1";#N/A,#N/A,FALSE,"단축2";#N/A,#N/A,FALSE,"단축3";#N/A,#N/A,FALSE,"장축";#N/A,#N/A,FALSE,"4WD"}</definedName>
    <definedName name="HFG" hidden="1">{#N/A,#N/A,TRUE,"Y생산";#N/A,#N/A,TRUE,"Y판매";#N/A,#N/A,TRUE,"Y총물량";#N/A,#N/A,TRUE,"Y능력";#N/A,#N/A,TRUE,"YKD"}</definedName>
    <definedName name="HFG_1" hidden="1">{#N/A,#N/A,TRUE,"Y생산";#N/A,#N/A,TRUE,"Y판매";#N/A,#N/A,TRUE,"Y총물량";#N/A,#N/A,TRUE,"Y능력";#N/A,#N/A,TRUE,"YKD"}</definedName>
    <definedName name="HFGJFGJJ" hidden="1">{"'OPEN'G압출'!$A$4:$P$34"}</definedName>
    <definedName name="hfhjjh" hidden="1">{#N/A,#N/A,FALSE,"단축1";#N/A,#N/A,FALSE,"단축2";#N/A,#N/A,FALSE,"단축3";#N/A,#N/A,FALSE,"장축";#N/A,#N/A,FALSE,"4WD"}</definedName>
    <definedName name="HFNHJFSEFWERWQ" hidden="1">{#N/A,#N/A,FALSE,"단축1";#N/A,#N/A,FALSE,"단축2";#N/A,#N/A,FALSE,"단축3";#N/A,#N/A,FALSE,"장축";#N/A,#N/A,FALSE,"4WD"}</definedName>
    <definedName name="HG" hidden="1">{#N/A,#N/A,FALSE,"단축1";#N/A,#N/A,FALSE,"단축2";#N/A,#N/A,FALSE,"단축3";#N/A,#N/A,FALSE,"장축";#N/A,#N/A,FALSE,"4WD"}</definedName>
    <definedName name="HGFDHFDGH" hidden="1">{#N/A,#N/A,FALSE,"단축1";#N/A,#N/A,FALSE,"단축2";#N/A,#N/A,FALSE,"단축3";#N/A,#N/A,FALSE,"장축";#N/A,#N/A,FALSE,"4WD"}</definedName>
    <definedName name="HGFDHFDGH_1" hidden="1">{#N/A,#N/A,FALSE,"단축1";#N/A,#N/A,FALSE,"단축2";#N/A,#N/A,FALSE,"단축3";#N/A,#N/A,FALSE,"장축";#N/A,#N/A,FALSE,"4WD"}</definedName>
    <definedName name="HGFDHFDGH_2" hidden="1">{#N/A,#N/A,FALSE,"단축1";#N/A,#N/A,FALSE,"단축2";#N/A,#N/A,FALSE,"단축3";#N/A,#N/A,FALSE,"장축";#N/A,#N/A,FALSE,"4WD"}</definedName>
    <definedName name="HGFDSSSGFD" hidden="1">{#N/A,#N/A,FALSE,"단축1";#N/A,#N/A,FALSE,"단축2";#N/A,#N/A,FALSE,"단축3";#N/A,#N/A,FALSE,"장축";#N/A,#N/A,FALSE,"4WD"}</definedName>
    <definedName name="hgffff" hidden="1">{"'7-2지역별'!$A$1:$R$44"}</definedName>
    <definedName name="hgfh" hidden="1">{#N/A,#N/A,FALSE,"96 3월물량표";#N/A,#N/A,FALSE,"96 4월물량표";#N/A,#N/A,FALSE,"96 5월물량표"}</definedName>
    <definedName name="hgfh_1" hidden="1">{#N/A,#N/A,FALSE,"96 3월물량표";#N/A,#N/A,FALSE,"96 4월물량표";#N/A,#N/A,FALSE,"96 5월물량표"}</definedName>
    <definedName name="HGFHG" hidden="1">{#N/A,#N/A,FALSE,"단축1";#N/A,#N/A,FALSE,"단축2";#N/A,#N/A,FALSE,"단축3";#N/A,#N/A,FALSE,"장축";#N/A,#N/A,FALSE,"4WD"}</definedName>
    <definedName name="HGFHSDHSD" hidden="1">{#N/A,#N/A,FALSE,"단축1";#N/A,#N/A,FALSE,"단축2";#N/A,#N/A,FALSE,"단축3";#N/A,#N/A,FALSE,"장축";#N/A,#N/A,FALSE,"4WD"}</definedName>
    <definedName name="hgfshg" hidden="1">{#N/A,#N/A,TRUE,"일정"}</definedName>
    <definedName name="hgfxd" hidden="1">{#N/A,#N/A,TRUE,"일정"}</definedName>
    <definedName name="HGG" hidden="1">{0,0,0,0}</definedName>
    <definedName name="HGH" hidden="1">{#N/A,#N/A,FALSE,"단축1";#N/A,#N/A,FALSE,"단축2";#N/A,#N/A,FALSE,"단축3";#N/A,#N/A,FALSE,"장축";#N/A,#N/A,FALSE,"4WD"}</definedName>
    <definedName name="HGHG" hidden="1">{#N/A,#N/A,FALSE,"단축1";#N/A,#N/A,FALSE,"단축2";#N/A,#N/A,FALSE,"단축3";#N/A,#N/A,FALSE,"장축";#N/A,#N/A,FALSE,"4WD"}</definedName>
    <definedName name="HGI" hidden="1">{#N/A,#N/A,FALSE,"단축1";#N/A,#N/A,FALSE,"단축2";#N/A,#N/A,FALSE,"단축3";#N/A,#N/A,FALSE,"장축";#N/A,#N/A,FALSE,"4WD"}</definedName>
    <definedName name="HGI_1" hidden="1">{#N/A,#N/A,FALSE,"단축1";#N/A,#N/A,FALSE,"단축2";#N/A,#N/A,FALSE,"단축3";#N/A,#N/A,FALSE,"장축";#N/A,#N/A,FALSE,"4WD"}</definedName>
    <definedName name="HGI_2" hidden="1">{#N/A,#N/A,FALSE,"단축1";#N/A,#N/A,FALSE,"단축2";#N/A,#N/A,FALSE,"단축3";#N/A,#N/A,FALSE,"장축";#N/A,#N/A,FALSE,"4WD"}</definedName>
    <definedName name="HGKF" hidden="1">{#N/A,#N/A,FALSE,"단축1";#N/A,#N/A,FALSE,"단축2";#N/A,#N/A,FALSE,"단축3";#N/A,#N/A,FALSE,"장축";#N/A,#N/A,FALSE,"4WD"}</definedName>
    <definedName name="HGKJ" hidden="1">{#N/A,#N/A,FALSE,"단축1";#N/A,#N/A,FALSE,"단축2";#N/A,#N/A,FALSE,"단축3";#N/A,#N/A,FALSE,"장축";#N/A,#N/A,FALSE,"4WD"}</definedName>
    <definedName name="HGKJ_1" hidden="1">{#N/A,#N/A,FALSE,"단축1";#N/A,#N/A,FALSE,"단축2";#N/A,#N/A,FALSE,"단축3";#N/A,#N/A,FALSE,"장축";#N/A,#N/A,FALSE,"4WD"}</definedName>
    <definedName name="HGKJ_2" hidden="1">{#N/A,#N/A,FALSE,"단축1";#N/A,#N/A,FALSE,"단축2";#N/A,#N/A,FALSE,"단축3";#N/A,#N/A,FALSE,"장축";#N/A,#N/A,FALSE,"4WD"}</definedName>
    <definedName name="HGKJKJKJ" hidden="1">{#N/A,#N/A,FALSE,"단축1";#N/A,#N/A,FALSE,"단축2";#N/A,#N/A,FALSE,"단축3";#N/A,#N/A,FALSE,"장축";#N/A,#N/A,FALSE,"4WD"}</definedName>
    <definedName name="hgmjbv" hidden="1">{#N/A,#N/A,TRUE,"Y생산";#N/A,#N/A,TRUE,"Y판매";#N/A,#N/A,TRUE,"Y총물량";#N/A,#N/A,TRUE,"Y능력";#N/A,#N/A,TRUE,"YKD"}</definedName>
    <definedName name="hgmjbv_1" hidden="1">{#N/A,#N/A,TRUE,"Y생산";#N/A,#N/A,TRUE,"Y판매";#N/A,#N/A,TRUE,"Y총물량";#N/A,#N/A,TRUE,"Y능력";#N/A,#N/A,TRUE,"YKD"}</definedName>
    <definedName name="HGRB" hidden="1">{0,0,0,0}</definedName>
    <definedName name="HGRBF" hidden="1">{"'7-2지역별'!$A$1:$R$44"}</definedName>
    <definedName name="hgshrsjtuhrgfrghtgerghhg" hidden="1">{#N/A,#N/A,FALSE,"단축1";#N/A,#N/A,FALSE,"단축2";#N/A,#N/A,FALSE,"단축3";#N/A,#N/A,FALSE,"장축";#N/A,#N/A,FALSE,"4WD"}</definedName>
    <definedName name="hgsk" hidden="1">{"'7-2지역별'!$A$1:$R$44"}</definedName>
    <definedName name="HGVGGGFGFGFGFGFGFGGGHVHGGVHHBGVHFTGKJFHSDKHFLKSHDFKLHSDKHFKSDHFLKSHDKLFJHSD" hidden="1">{#N/A,#N/A,FALSE,"단축1";#N/A,#N/A,FALSE,"단축2";#N/A,#N/A,FALSE,"단축3";#N/A,#N/A,FALSE,"장축";#N/A,#N/A,FALSE,"4WD"}</definedName>
    <definedName name="HGVGGGFGFGFGFGFGFGGGHVHGGVHHBGVHFTGKJFHSDKHFLKSHDFKLHSDKHFKSDHFLKSHDKLFJHSD_1" hidden="1">{#N/A,#N/A,FALSE,"단축1";#N/A,#N/A,FALSE,"단축2";#N/A,#N/A,FALSE,"단축3";#N/A,#N/A,FALSE,"장축";#N/A,#N/A,FALSE,"4WD"}</definedName>
    <definedName name="HGVGGGFGFGFGFGFGFGGGHVHGGVHHBGVHFTGKJFHSDKHFLKSHDFKLHSDKHFKSDHFLKSHDKLFJHSD_2" hidden="1">{#N/A,#N/A,FALSE,"단축1";#N/A,#N/A,FALSE,"단축2";#N/A,#N/A,FALSE,"단축3";#N/A,#N/A,FALSE,"장축";#N/A,#N/A,FALSE,"4WD"}</definedName>
    <definedName name="HGVI" hidden="1">{#N/A,#N/A,FALSE,"단축1";#N/A,#N/A,FALSE,"단축2";#N/A,#N/A,FALSE,"단축3";#N/A,#N/A,FALSE,"장축";#N/A,#N/A,FALSE,"4WD"}</definedName>
    <definedName name="HGVI_1" hidden="1">{#N/A,#N/A,FALSE,"단축1";#N/A,#N/A,FALSE,"단축2";#N/A,#N/A,FALSE,"단축3";#N/A,#N/A,FALSE,"장축";#N/A,#N/A,FALSE,"4WD"}</definedName>
    <definedName name="HGVI_2" hidden="1">{#N/A,#N/A,FALSE,"단축1";#N/A,#N/A,FALSE,"단축2";#N/A,#N/A,FALSE,"단축3";#N/A,#N/A,FALSE,"장축";#N/A,#N/A,FALSE,"4WD"}</definedName>
    <definedName name="hh" hidden="1">{#N/A,#N/A,TRUE,"일정"}</definedName>
    <definedName name="HHADKHCKHLDA" hidden="1">{#N/A,#N/A,FALSE,"단축1";#N/A,#N/A,FALSE,"단축2";#N/A,#N/A,FALSE,"단축3";#N/A,#N/A,FALSE,"장축";#N/A,#N/A,FALSE,"4WD"}</definedName>
    <definedName name="HHGF" hidden="1">{#N/A,#N/A,FALSE,"단축1";#N/A,#N/A,FALSE,"단축2";#N/A,#N/A,FALSE,"단축3";#N/A,#N/A,FALSE,"장축";#N/A,#N/A,FALSE,"4WD"}</definedName>
    <definedName name="HHGHG" hidden="1">{#N/A,#N/A,FALSE,"단축1";#N/A,#N/A,FALSE,"단축2";#N/A,#N/A,FALSE,"단축3";#N/A,#N/A,FALSE,"장축";#N/A,#N/A,FALSE,"4WD"}</definedName>
    <definedName name="HHGHG_1" hidden="1">{#N/A,#N/A,FALSE,"단축1";#N/A,#N/A,FALSE,"단축2";#N/A,#N/A,FALSE,"단축3";#N/A,#N/A,FALSE,"장축";#N/A,#N/A,FALSE,"4WD"}</definedName>
    <definedName name="HHGHG_2" hidden="1">{#N/A,#N/A,FALSE,"단축1";#N/A,#N/A,FALSE,"단축2";#N/A,#N/A,FALSE,"단축3";#N/A,#N/A,FALSE,"장축";#N/A,#N/A,FALSE,"4WD"}</definedName>
    <definedName name="H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HHH" hidden="1">{#N/A,#N/A,TRUE,"Y생산";#N/A,#N/A,TRUE,"Y판매";#N/A,#N/A,TRUE,"Y총물량";#N/A,#N/A,TRUE,"Y능력";#N/A,#N/A,TRUE,"YKD"}</definedName>
    <definedName name="HHHH_1" hidden="1">{#N/A,#N/A,TRUE,"Y생산";#N/A,#N/A,TRUE,"Y판매";#N/A,#N/A,TRUE,"Y총물량";#N/A,#N/A,TRUE,"Y능력";#N/A,#N/A,TRUE,"YKD"}</definedName>
    <definedName name="HHHHH" hidden="1">{#N/A,#N/A,FALSE,"단축1";#N/A,#N/A,FALSE,"단축2";#N/A,#N/A,FALSE,"단축3";#N/A,#N/A,FALSE,"장축";#N/A,#N/A,FALSE,"4WD"}</definedName>
    <definedName name="HHHHHHHH" hidden="1">{#N/A,#N/A,FALSE,"표지";#N/A,#N/A,FALSE,"전제";#N/A,#N/A,FALSE,"대당";#N/A,#N/A,FALSE,"가공비";#N/A,#N/A,FALSE,"재료비";#N/A,#N/A,FALSE,"손익"}</definedName>
    <definedName name="hhhhhhhhh" hidden="1">{#N/A,#N/A,FALSE,"단축1";#N/A,#N/A,FALSE,"단축2";#N/A,#N/A,FALSE,"단축3";#N/A,#N/A,FALSE,"장축";#N/A,#N/A,FALSE,"4WD"}</definedName>
    <definedName name="HHHHHHHHHH" hidden="1">{#N/A,#N/A,FALSE,"단축1";#N/A,#N/A,FALSE,"단축2";#N/A,#N/A,FALSE,"단축3";#N/A,#N/A,FALSE,"장축";#N/A,#N/A,FALSE,"4WD"}</definedName>
    <definedName name="HHHHHHHHHHHHH" hidden="1">{#N/A,#N/A,FALSE,"단축1";#N/A,#N/A,FALSE,"단축2";#N/A,#N/A,FALSE,"단축3";#N/A,#N/A,FALSE,"장축";#N/A,#N/A,FALSE,"4WD"}</definedName>
    <definedName name="HHHHHHHHHHHHHHHHH" hidden="1">{#N/A,#N/A,FALSE,"단축1";#N/A,#N/A,FALSE,"단축2";#N/A,#N/A,FALSE,"단축3";#N/A,#N/A,FALSE,"장축";#N/A,#N/A,FALSE,"4WD"}</definedName>
    <definedName name="hhhhhyyjy" hidden="1">{"'7-2지역별'!$A$1:$R$44"}</definedName>
    <definedName name="HHYUHUYUYUYUHYUHYUHHYUYU" hidden="1">{#N/A,#N/A,FALSE,"단축1";#N/A,#N/A,FALSE,"단축2";#N/A,#N/A,FALSE,"단축3";#N/A,#N/A,FALSE,"장축";#N/A,#N/A,FALSE,"4WD"}</definedName>
    <definedName name="HHYUHUYUYUYUHYUHYUHHYUYU_1" hidden="1">{#N/A,#N/A,FALSE,"단축1";#N/A,#N/A,FALSE,"단축2";#N/A,#N/A,FALSE,"단축3";#N/A,#N/A,FALSE,"장축";#N/A,#N/A,FALSE,"4WD"}</definedName>
    <definedName name="HHYUHUYUYUYUHYUHYUHHYUYU_2" hidden="1">{#N/A,#N/A,FALSE,"단축1";#N/A,#N/A,FALSE,"단축2";#N/A,#N/A,FALSE,"단축3";#N/A,#N/A,FALSE,"장축";#N/A,#N/A,FALSE,"4WD"}</definedName>
    <definedName name="HIHIHIHIHIHFOIHH" hidden="1">{#N/A,#N/A,FALSE,"단축1";#N/A,#N/A,FALSE,"단축2";#N/A,#N/A,FALSE,"단축3";#N/A,#N/A,FALSE,"장축";#N/A,#N/A,FALSE,"4WD"}</definedName>
    <definedName name="HING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I정기영" hidden="1">{#N/A,#N/A,FALSE,"단축1";#N/A,#N/A,FALSE,"단축2";#N/A,#N/A,FALSE,"단축3";#N/A,#N/A,FALSE,"장축";#N/A,#N/A,FALSE,"4WD"}</definedName>
    <definedName name="HJ" hidden="1">{#N/A,#N/A,FALSE,"단축1";#N/A,#N/A,FALSE,"단축2";#N/A,#N/A,FALSE,"단축3";#N/A,#N/A,FALSE,"장축";#N/A,#N/A,FALSE,"4WD"}</definedName>
    <definedName name="hjbttttyy" hidden="1">{"'7-2지역별'!$A$1:$R$44"}</definedName>
    <definedName name="HJDDYJH" hidden="1">{#N/A,#N/A,FALSE,"단축1";#N/A,#N/A,FALSE,"단축2";#N/A,#N/A,FALSE,"단축3";#N/A,#N/A,FALSE,"장축";#N/A,#N/A,FALSE,"4WD"}</definedName>
    <definedName name="HJHG" hidden="1">{#N/A,#N/A,FALSE,"단축1";#N/A,#N/A,FALSE,"단축2";#N/A,#N/A,FALSE,"단축3";#N/A,#N/A,FALSE,"장축";#N/A,#N/A,FALSE,"4WD"}</definedName>
    <definedName name="HJHG_1" hidden="1">{#N/A,#N/A,FALSE,"단축1";#N/A,#N/A,FALSE,"단축2";#N/A,#N/A,FALSE,"단축3";#N/A,#N/A,FALSE,"장축";#N/A,#N/A,FALSE,"4WD"}</definedName>
    <definedName name="HJHJ" hidden="1">{#N/A,#N/A,FALSE,"단축1";#N/A,#N/A,FALSE,"단축2";#N/A,#N/A,FALSE,"단축3";#N/A,#N/A,FALSE,"장축";#N/A,#N/A,FALSE,"4WD"}</definedName>
    <definedName name="HJHKLHKL" hidden="1">{#N/A,#N/A,FALSE,"단축1";#N/A,#N/A,FALSE,"단축2";#N/A,#N/A,FALSE,"단축3";#N/A,#N/A,FALSE,"장축";#N/A,#N/A,FALSE,"4WD"}</definedName>
    <definedName name="HJJ" hidden="1">{#N/A,#N/A,FALSE,"단축1";#N/A,#N/A,FALSE,"단축2";#N/A,#N/A,FALSE,"단축3";#N/A,#N/A,FALSE,"장축";#N/A,#N/A,FALSE,"4WD"}</definedName>
    <definedName name="HJJHKG" hidden="1">{#N/A,#N/A,FALSE,"단축1";#N/A,#N/A,FALSE,"단축2";#N/A,#N/A,FALSE,"단축3";#N/A,#N/A,FALSE,"장축";#N/A,#N/A,FALSE,"4WD"}</definedName>
    <definedName name="hjk" hidden="1">{#N/A,#N/A,FALSE,"정공"}</definedName>
    <definedName name="hjk_1" hidden="1">{#N/A,#N/A,FALSE,"정공"}</definedName>
    <definedName name="HJKHJKHJKGH" hidden="1">{#N/A,#N/A,FALSE,"단축1";#N/A,#N/A,FALSE,"단축2";#N/A,#N/A,FALSE,"단축3";#N/A,#N/A,FALSE,"장축";#N/A,#N/A,FALSE,"4WD"}</definedName>
    <definedName name="HJKLL" hidden="1">{#N/A,#N/A,TRUE,"Y생산";#N/A,#N/A,TRUE,"Y판매";#N/A,#N/A,TRUE,"Y총물량";#N/A,#N/A,TRUE,"Y능력";#N/A,#N/A,TRUE,"YKD"}</definedName>
    <definedName name="HJKLL_1" hidden="1">{#N/A,#N/A,TRUE,"Y생산";#N/A,#N/A,TRUE,"Y판매";#N/A,#N/A,TRUE,"Y총물량";#N/A,#N/A,TRUE,"Y능력";#N/A,#N/A,TRUE,"YKD"}</definedName>
    <definedName name="HJKLL_2" hidden="1">{#N/A,#N/A,TRUE,"Y생산";#N/A,#N/A,TRUE,"Y판매";#N/A,#N/A,TRUE,"Y총물량";#N/A,#N/A,TRUE,"Y능력";#N/A,#N/A,TRUE,"YKD"}</definedName>
    <definedName name="HJYT" hidden="1">{#N/A,#N/A,FALSE,"단축1";#N/A,#N/A,FALSE,"단축2";#N/A,#N/A,FALSE,"단축3";#N/A,#N/A,FALSE,"장축";#N/A,#N/A,FALSE,"4WD"}</definedName>
    <definedName name="HJ정" hidden="1">{#N/A,#N/A,FALSE,"단축1";#N/A,#N/A,FALSE,"단축2";#N/A,#N/A,FALSE,"단축3";#N/A,#N/A,FALSE,"장축";#N/A,#N/A,FALSE,"4WD"}</definedName>
    <definedName name="HK" hidden="1">{#N/A,#N/A,FALSE,"신규dep";#N/A,#N/A,FALSE,"신규dep-금형상각후";#N/A,#N/A,FALSE,"신규dep-연구비상각후";#N/A,#N/A,FALSE,"신규dep-기계,공구상각후"}</definedName>
    <definedName name="HKD" hidden="1">{#N/A,#N/A,FALSE,"단축1";#N/A,#N/A,FALSE,"단축2";#N/A,#N/A,FALSE,"단축3";#N/A,#N/A,FALSE,"장축";#N/A,#N/A,FALSE,"4WD"}</definedName>
    <definedName name="HKD_1" hidden="1">{#N/A,#N/A,FALSE,"단축1";#N/A,#N/A,FALSE,"단축2";#N/A,#N/A,FALSE,"단축3";#N/A,#N/A,FALSE,"장축";#N/A,#N/A,FALSE,"4WD"}</definedName>
    <definedName name="HKHJKHJK" hidden="1">{#N/A,#N/A,FALSE,"단축1";#N/A,#N/A,FALSE,"단축2";#N/A,#N/A,FALSE,"단축3";#N/A,#N/A,FALSE,"장축";#N/A,#N/A,FALSE,"4WD"}</definedName>
    <definedName name="HKJ" hidden="1">{#N/A,#N/A,FALSE,"단축1";#N/A,#N/A,FALSE,"단축2";#N/A,#N/A,FALSE,"단축3";#N/A,#N/A,FALSE,"장축";#N/A,#N/A,FALSE,"4WD"}</definedName>
    <definedName name="hksdfjh" hidden="1">{#N/A,#N/A,FALSE,"협조전";#N/A,#N/A,FALSE,"원가절감계획 ";#N/A,#N/A,FALSE,"항목별원가절감계획"}</definedName>
    <definedName name="HL" hidden="1">{#N/A,#N/A,FALSE,"단축1";#N/A,#N/A,FALSE,"단축2";#N/A,#N/A,FALSE,"단축3";#N/A,#N/A,FALSE,"장축";#N/A,#N/A,FALSE,"4WD"}</definedName>
    <definedName name="HLAMP4" hidden="1">{#N/A,#N/A,FALSE,"단축1";#N/A,#N/A,FALSE,"단축2";#N/A,#N/A,FALSE,"단축3";#N/A,#N/A,FALSE,"장축";#N/A,#N/A,FALSE,"4WD"}</definedName>
    <definedName name="HLING" hidden="1">{#N/A,#N/A,FALSE,"단축1";#N/A,#N/A,FALSE,"단축2";#N/A,#N/A,FALSE,"단축3";#N/A,#N/A,FALSE,"장축";#N/A,#N/A,FALSE,"4WD"}</definedName>
    <definedName name="HM" hidden="1">{0,0,0,0}</definedName>
    <definedName name="HMGHTJHJYHTGJ"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hmk" hidden="1">{#N/A,#N/A,TRUE,"Y생산";#N/A,#N/A,TRUE,"Y판매";#N/A,#N/A,TRUE,"Y총물량";#N/A,#N/A,TRUE,"Y능력";#N/A,#N/A,TRUE,"YKD"}</definedName>
    <definedName name="hmk_1" hidden="1">{#N/A,#N/A,TRUE,"Y생산";#N/A,#N/A,TRUE,"Y판매";#N/A,#N/A,TRUE,"Y총물량";#N/A,#N/A,TRUE,"Y능력";#N/A,#N/A,TRUE,"YKD"}</definedName>
    <definedName name="HNFDDSGSDSG" hidden="1">{#N/A,#N/A,TRUE,"Y생산";#N/A,#N/A,TRUE,"Y판매";#N/A,#N/A,TRUE,"Y총물량";#N/A,#N/A,TRUE,"Y능력";#N/A,#N/A,TRUE,"YKD"}</definedName>
    <definedName name="HNM" hidden="1">{#N/A,#N/A,FALSE,"표지";#N/A,#N/A,FALSE,"전제";#N/A,#N/A,FALSE,"손익-자 (2)";#N/A,#N/A,FALSE,"손익-자";#N/A,#N/A,FALSE,"손익-마 (2)";#N/A,#N/A,FALSE,"손익-마";#N/A,#N/A,FALSE,"총손최종"}</definedName>
    <definedName name="hntntht" hidden="1">{"'7-2지역별'!$A$1:$R$44"}</definedName>
    <definedName name="HOHOHOH" hidden="1">{#N/A,#N/A,FALSE,"단축1";#N/A,#N/A,FALSE,"단축2";#N/A,#N/A,FALSE,"단축3";#N/A,#N/A,FALSE,"장축";#N/A,#N/A,FALSE,"4WD"}</definedName>
    <definedName name="HOJA" hidden="1">{"RES-2002",#N/A,FALSE,"BL2000";"A1-2002",#N/A,FALSE,"BL2000";"A2-2002",#N/A,FALSE,"BL2000"}</definedName>
    <definedName name="HOOD" hidden="1">{#N/A,#N/A,FALSE,"단축1";#N/A,#N/A,FALSE,"단축2";#N/A,#N/A,FALSE,"단축3";#N/A,#N/A,FALSE,"장축";#N/A,#N/A,FALSE,"4WD"}</definedName>
    <definedName name="HOUSING" hidden="1">{#N/A,#N/A,FALSE,"단축1";#N/A,#N/A,FALSE,"단축2";#N/A,#N/A,FALSE,"단축3";#N/A,#N/A,FALSE,"장축";#N/A,#N/A,FALSE,"4WD"}</definedName>
    <definedName name="HP" hidden="1">#REF!</definedName>
    <definedName name="hpv" hidden="1">{#N/A,#N/A,FALSE,"단축1";#N/A,#N/A,FALSE,"단축2";#N/A,#N/A,FALSE,"단축3";#N/A,#N/A,FALSE,"장축";#N/A,#N/A,FALSE,"4WD"}</definedName>
    <definedName name="hpv_1" hidden="1">{#N/A,#N/A,FALSE,"단축1";#N/A,#N/A,FALSE,"단축2";#N/A,#N/A,FALSE,"단축3";#N/A,#N/A,FALSE,"장축";#N/A,#N/A,FALSE,"4WD"}</definedName>
    <definedName name="hrhrhr" hidden="1">{"'7-2지역별'!$A$1:$R$44"}</definedName>
    <definedName name="HRTBDTERGHTRGHBGTG" hidden="1">{#N/A,#N/A,TRUE,"Y생산";#N/A,#N/A,TRUE,"Y판매";#N/A,#N/A,TRUE,"Y총물량";#N/A,#N/A,TRUE,"Y능력";#N/A,#N/A,TRUE,"YKD"}</definedName>
    <definedName name="HRTYU" hidden="1">{#N/A,#N/A,FALSE,"단축1";#N/A,#N/A,FALSE,"단축2";#N/A,#N/A,FALSE,"단축3";#N/A,#N/A,FALSE,"장축";#N/A,#N/A,FALSE,"4WD"}</definedName>
    <definedName name="HS" hidden="1">{#N/A,#N/A,FALSE,"초도품";#N/A,#N/A,FALSE,"초도품 (2)";#N/A,#N/A,FALSE,"초도품 (3)";#N/A,#N/A,FALSE,"초도품 (4)";#N/A,#N/A,FALSE,"초도품 (5)";#N/A,#N/A,FALSE,"초도품 (6)"}</definedName>
    <definedName name="HS500H" hidden="1">{#N/A,#N/A,FALSE,"KMC최종회의(7월) 자료"}</definedName>
    <definedName name="HSG" hidden="1">{#N/A,#N/A,FALSE,"단축1";#N/A,#N/A,FALSE,"단축2";#N/A,#N/A,FALSE,"단축3";#N/A,#N/A,FALSE,"장축";#N/A,#N/A,FALSE,"4WD"}</definedName>
    <definedName name="HSJ" hidden="1">{#N/A,#N/A,FALSE,"단축1";#N/A,#N/A,FALSE,"단축2";#N/A,#N/A,FALSE,"단축3";#N/A,#N/A,FALSE,"장축";#N/A,#N/A,FALSE,"4WD"}</definedName>
    <definedName name="ht" hidden="1">{"'표지'!$B$5"}</definedName>
    <definedName name="htgb" hidden="1">#REF!</definedName>
    <definedName name="HTHAETJ" hidden="1">{#N/A,#N/A,FALSE,"단축1";#N/A,#N/A,FALSE,"단축2";#N/A,#N/A,FALSE,"단축3";#N/A,#N/A,FALSE,"장축";#N/A,#N/A,FALSE,"4WD"}</definedName>
    <definedName name="HTJY" hidden="1">{#N/A,#N/A,FALSE,"단축1";#N/A,#N/A,FALSE,"단축2";#N/A,#N/A,FALSE,"단축3";#N/A,#N/A,FALSE,"장축";#N/A,#N/A,FALSE,"4WD"}</definedName>
    <definedName name="HTML" hidden="1">{"'7보유'!$A$1:$F$44"}</definedName>
    <definedName name="HTML_CodePage" hidden="1">949</definedName>
    <definedName name="HTML_Control" hidden="1">{"'공작'!$A$2:$AH$17"}</definedName>
    <definedName name="HTML_Control2" hidden="1">{"'7-2지역별'!$A$1:$R$44"}</definedName>
    <definedName name="html_cONTROL4" hidden="1">{"'7-2지역별'!$A$1:$R$44"}</definedName>
    <definedName name="HTML_Control5" hidden="1">{"'7-2지역별'!$A$1:$R$44"}</definedName>
    <definedName name="HTML_Description" hidden="1">""</definedName>
    <definedName name="HTML_Email" hidden="1">""</definedName>
    <definedName name="HTML_Header" hidden="1">"공작"</definedName>
    <definedName name="HTML_LastUpdate" hidden="1">"01-11-12"</definedName>
    <definedName name="HTML_LineAfter" hidden="1">FALSE</definedName>
    <definedName name="HTML_LineBefore" hidden="1">FALSE</definedName>
    <definedName name="HTML_Name" hidden="1">"hmc"</definedName>
    <definedName name="HTML_OBDlg2" hidden="1">TRUE</definedName>
    <definedName name="HTML_OBDlg3" hidden="1">TRUE</definedName>
    <definedName name="HTML_OBDlg4" hidden="1">TRUE</definedName>
    <definedName name="HTML_OS" hidden="1">0</definedName>
    <definedName name="HTML_PathFile" hidden="1">"C:\송요재2001\공작월보서\MyHTML.htm"</definedName>
    <definedName name="HTML_PathTemplate" hidden="1">"\\Der2\vol1\DATABANK\DOWNLOAD\Head4-17.htm"</definedName>
    <definedName name="HTML_Title" hidden="1">"미수채권회수현황20011030"</definedName>
    <definedName name="HTML1" hidden="1">{"'7보유'!$A$1:$F$44"}</definedName>
    <definedName name="HTML1_1" hidden="1">"'[디자인MXE1.xls]마북OCTANE (2)'!$A$1:$G$33"</definedName>
    <definedName name="HTML2" hidden="1">{"'7보유'!$A$1:$F$44"}</definedName>
    <definedName name="htmlControl2" hidden="1">{"'표지'!$B$5"}</definedName>
    <definedName name="htr" hidden="1">{#N/A,#N/A,TRUE,"Y생산";#N/A,#N/A,TRUE,"Y판매";#N/A,#N/A,TRUE,"Y총물량";#N/A,#N/A,TRUE,"Y능력";#N/A,#N/A,TRUE,"YKD"}</definedName>
    <definedName name="htr_1" hidden="1">{#N/A,#N/A,TRUE,"Y생산";#N/A,#N/A,TRUE,"Y판매";#N/A,#N/A,TRUE,"Y총물량";#N/A,#N/A,TRUE,"Y능력";#N/A,#N/A,TRUE,"YKD"}</definedName>
    <definedName name="htrestg" hidden="1">{#N/A,#N/A,FALSE,"단축1";#N/A,#N/A,FALSE,"단축2";#N/A,#N/A,FALSE,"단축3";#N/A,#N/A,FALSE,"장축";#N/A,#N/A,FALSE,"4WD"}</definedName>
    <definedName name="httt" hidden="1">{"'7-2지역별'!$A$1:$R$44"}</definedName>
    <definedName name="HT국산화진행" hidden="1">{#N/A,#N/A,TRUE,"Y생산";#N/A,#N/A,TRUE,"Y판매";#N/A,#N/A,TRUE,"Y총물량";#N/A,#N/A,TRUE,"Y능력";#N/A,#N/A,TRUE,"YKD"}</definedName>
    <definedName name="HUB" hidden="1">{#N/A,#N/A,FALSE,"KMC최종회의(7월) 자료"}</definedName>
    <definedName name="huj" hidden="1">{#N/A,#N/A,FALSE,"인원";#N/A,#N/A,FALSE,"비용2";#N/A,#N/A,FALSE,"비용1";#N/A,#N/A,FALSE,"비용";#N/A,#N/A,FALSE,"보증2";#N/A,#N/A,FALSE,"보증1";#N/A,#N/A,FALSE,"보증";#N/A,#N/A,FALSE,"손익1";#N/A,#N/A,FALSE,"손익";#N/A,#N/A,FALSE,"부서별매출";#N/A,#N/A,FALSE,"매출"}</definedName>
    <definedName name="HXH" hidden="1">{0,0,0,0}</definedName>
    <definedName name="hy" hidden="1">{"'7-2지역별'!$A$1:$R$44"}</definedName>
    <definedName name="HYF" hidden="1">{#N/A,#N/A,FALSE,"단축1";#N/A,#N/A,FALSE,"단축2";#N/A,#N/A,FALSE,"단축3";#N/A,#N/A,FALSE,"장축";#N/A,#N/A,FALSE,"4WD"}</definedName>
    <definedName name="HYJY" hidden="1">{#N/A,#N/A,FALSE,"신규dep";#N/A,#N/A,FALSE,"신규dep-금형상각후";#N/A,#N/A,FALSE,"신규dep-연구비상각후";#N/A,#N/A,FALSE,"신규dep-기계,공구상각후"}</definedName>
    <definedName name="HYP" hidden="1">#REF!</definedName>
    <definedName name="HYRHDYRSTEGHHTGHDYTG" hidden="1">{#N/A,#N/A,TRUE,"Y생산";#N/A,#N/A,TRUE,"Y판매";#N/A,#N/A,TRUE,"Y총물량";#N/A,#N/A,TRUE,"Y능력";#N/A,#N/A,TRUE,"YKD"}</definedName>
    <definedName name="hyruyt" hidden="1">{"'7-2지역별'!$A$1:$R$44"}</definedName>
    <definedName name="HYT" hidden="1">{#N/A,#N/A,FALSE,"인원";#N/A,#N/A,FALSE,"비용2";#N/A,#N/A,FALSE,"비용1";#N/A,#N/A,FALSE,"비용";#N/A,#N/A,FALSE,"보증2";#N/A,#N/A,FALSE,"보증1";#N/A,#N/A,FALSE,"보증";#N/A,#N/A,FALSE,"손익1";#N/A,#N/A,FALSE,"손익";#N/A,#N/A,FALSE,"부서별매출";#N/A,#N/A,FALSE,"매출"}</definedName>
    <definedName name="HYU" hidden="1">{#N/A,#N/A,FALSE,"유첨3-1";#N/A,#N/A,FALSE,"3-2";#N/A,#N/A,FALSE,"3-3";#N/A,#N/A,FALSE,"3-4";#N/A,#N/A,FALSE,"3-5";#N/A,#N/A,FALSE,"3-6";#N/A,#N/A,FALSE,"3-7";#N/A,#N/A,FALSE,"3-8"}</definedName>
    <definedName name="I" hidden="1">{#N/A,#N/A,TRUE,"Y생산";#N/A,#N/A,TRUE,"Y판매";#N/A,#N/A,TRUE,"Y총물량";#N/A,#N/A,TRUE,"Y능력";#N/A,#N/A,TRUE,"YKD"}</definedName>
    <definedName name="I_1" hidden="1">{#N/A,#N/A,FALSE,"단축1";#N/A,#N/A,FALSE,"단축2";#N/A,#N/A,FALSE,"단축3";#N/A,#N/A,FALSE,"장축";#N/A,#N/A,FALSE,"4WD"}</definedName>
    <definedName name="I_2" hidden="1">{#N/A,#N/A,FALSE,"단축1";#N/A,#N/A,FALSE,"단축2";#N/A,#N/A,FALSE,"단축3";#N/A,#N/A,FALSE,"장축";#N/A,#N/A,FALSE,"4WD"}</definedName>
    <definedName name="i_race_생산계획" hidden="1">{#N/A,#N/A,FALSE,"단축1";#N/A,#N/A,FALSE,"단축2";#N/A,#N/A,FALSE,"단축3";#N/A,#N/A,FALSE,"장축";#N/A,#N/A,FALSE,"4WD"}</definedName>
    <definedName name="ic" hidden="1">{#N/A,#N/A,FALSE,"단축1";#N/A,#N/A,FALSE,"단축2";#N/A,#N/A,FALSE,"단축3";#N/A,#N/A,FALSE,"장축";#N/A,#N/A,FALSE,"4WD"}</definedName>
    <definedName name="ic_1" hidden="1">{#N/A,#N/A,FALSE,"미판매분"}</definedName>
    <definedName name="ic_2" hidden="1">{#N/A,#N/A,FALSE,"단축1";#N/A,#N/A,FALSE,"단축2";#N/A,#N/A,FALSE,"단축3";#N/A,#N/A,FALSE,"장축";#N/A,#N/A,FALSE,"4WD"}</definedName>
    <definedName name="IGFIGFITI" hidden="1">{#N/A,#N/A,FALSE,"단축1";#N/A,#N/A,FALSE,"단축2";#N/A,#N/A,FALSE,"단축3";#N/A,#N/A,FALSE,"장축";#N/A,#N/A,FALSE,"4WD"}</definedName>
    <definedName name="IGFIGFITI_1" hidden="1">{#N/A,#N/A,FALSE,"단축1";#N/A,#N/A,FALSE,"단축2";#N/A,#N/A,FALSE,"단축3";#N/A,#N/A,FALSE,"장축";#N/A,#N/A,FALSE,"4WD"}</definedName>
    <definedName name="IGFIGFITI_2" hidden="1">{#N/A,#N/A,FALSE,"단축1";#N/A,#N/A,FALSE,"단축2";#N/A,#N/A,FALSE,"단축3";#N/A,#N/A,FALSE,"장축";#N/A,#N/A,FALSE,"4WD"}</definedName>
    <definedName name="III" hidden="1">{#N/A,#N/A,FALSE,"단축1";#N/A,#N/A,FALSE,"단축2";#N/A,#N/A,FALSE,"단축3";#N/A,#N/A,FALSE,"장축";#N/A,#N/A,FALSE,"4WD"}</definedName>
    <definedName name="IIII" hidden="1">{#N/A,#N/A,FALSE,"단축1";#N/A,#N/A,FALSE,"단축2";#N/A,#N/A,FALSE,"단축3";#N/A,#N/A,FALSE,"장축";#N/A,#N/A,FALSE,"4WD"}</definedName>
    <definedName name="IIIII" hidden="1">{#N/A,#N/A,FALSE,"96 3월물량표";#N/A,#N/A,FALSE,"96 4월물량표";#N/A,#N/A,FALSE,"96 5월물량표"}</definedName>
    <definedName name="IIIII_1" hidden="1">{#N/A,#N/A,FALSE,"96 3월물량표";#N/A,#N/A,FALSE,"96 4월물량표";#N/A,#N/A,FALSE,"96 5월물량표"}</definedName>
    <definedName name="IM" hidden="1">{#N/A,#N/A,FALSE,"단축1";#N/A,#N/A,FALSE,"단축2";#N/A,#N/A,FALSE,"단축3";#N/A,#N/A,FALSE,"장축";#N/A,#N/A,FALSE,"4WD"}</definedName>
    <definedName name="INT" hidden="1">{#N/A,#N/A,TRUE,"일정"}</definedName>
    <definedName name="interestoverall" hidden="1">{#N/A,#N/A,FALSE,"Aging Summary";#N/A,#N/A,FALSE,"Ratio Analysis";#N/A,#N/A,FALSE,"Test 120 Day Accts";#N/A,#N/A,FALSE,"Tickmarks"}</definedName>
    <definedName name="IOJPO" hidden="1">{#N/A,#N/A,FALSE,"단축1";#N/A,#N/A,FALSE,"단축2";#N/A,#N/A,FALSE,"단축3";#N/A,#N/A,FALSE,"장축";#N/A,#N/A,FALSE,"4WD"}</definedName>
    <definedName name="iooooilg" hidden="1">{#N/A,#N/A,FALSE,"단축1";#N/A,#N/A,FALSE,"단축2";#N/A,#N/A,FALSE,"단축3";#N/A,#N/A,FALSE,"장축";#N/A,#N/A,FALSE,"4WD"}</definedName>
    <definedName name="IP" hidden="1">{#N/A,#N/A,FALSE,"단축1";#N/A,#N/A,FALSE,"단축2";#N/A,#N/A,FALSE,"단축3";#N/A,#N/A,FALSE,"장축";#N/A,#N/A,FALSE,"4WD"}</definedName>
    <definedName name="IP_1" hidden="1">{#N/A,#N/A,FALSE,"단축1";#N/A,#N/A,FALSE,"단축2";#N/A,#N/A,FALSE,"단축3";#N/A,#N/A,FALSE,"장축";#N/A,#N/A,FALSE,"4WD"}</definedName>
    <definedName name="IP_2" hidden="1">{#N/A,#N/A,FALSE,"단축1";#N/A,#N/A,FALSE,"단축2";#N/A,#N/A,FALSE,"단축3";#N/A,#N/A,FALSE,"장축";#N/A,#N/A,FALSE,"4WD"}</definedName>
    <definedName name="ipl" hidden="1">{#N/A,#N/A,FALSE,"단축1";#N/A,#N/A,FALSE,"단축2";#N/A,#N/A,FALSE,"단축3";#N/A,#N/A,FALSE,"장축";#N/A,#N/A,FALSE,"4WD"}</definedName>
    <definedName name="IR계획" hidden="1">{"'표지'!$B$5"}</definedName>
    <definedName name="it" hidden="1">{#N/A,#N/A,FALSE,"단축1";#N/A,#N/A,FALSE,"단축2";#N/A,#N/A,FALSE,"단축3";#N/A,#N/A,FALSE,"장축";#N/A,#N/A,FALSE,"4WD"}</definedName>
    <definedName name="ITEM" hidden="1">{#N/A,#N/A,FALSE,"단축1";#N/A,#N/A,FALSE,"단축2";#N/A,#N/A,FALSE,"단축3";#N/A,#N/A,FALSE,"장축";#N/A,#N/A,FALSE,"4WD"}</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Y" hidden="1">{#N/A,#N/A,FALSE,"단축1";#N/A,#N/A,FALSE,"단축2";#N/A,#N/A,FALSE,"단축3";#N/A,#N/A,FALSE,"장축";#N/A,#N/A,FALSE,"4WD"}</definedName>
    <definedName name="IY" hidden="1">{"'5'!$A$1:$BB$147"}</definedName>
    <definedName name="J" hidden="1">{#N/A,#N/A,FALSE,"96 3월물량표";#N/A,#N/A,FALSE,"96 4월물량표";#N/A,#N/A,FALSE,"96 5월물량표"}</definedName>
    <definedName name="j_1" hidden="1">{#N/A,#N/A,TRUE,"Y생산";#N/A,#N/A,TRUE,"Y판매";#N/A,#N/A,TRUE,"Y총물량";#N/A,#N/A,TRUE,"Y능력";#N/A,#N/A,TRUE,"YKD"}</definedName>
    <definedName name="j_2" hidden="1">{#N/A,#N/A,TRUE,"Y생산";#N/A,#N/A,TRUE,"Y판매";#N/A,#N/A,TRUE,"Y총물량";#N/A,#N/A,TRUE,"Y능력";#N/A,#N/A,TRUE,"YKD"}</definedName>
    <definedName name="jcjcw" hidden="1">{#N/A,#N/A,FALSE,"단축1";#N/A,#N/A,FALSE,"단축2";#N/A,#N/A,FALSE,"단축3";#N/A,#N/A,FALSE,"장축";#N/A,#N/A,FALSE,"4WD"}</definedName>
    <definedName name="jdghfjg" hidden="1">{#N/A,#N/A,FALSE,"단축1";#N/A,#N/A,FALSE,"단축2";#N/A,#N/A,FALSE,"단축3";#N/A,#N/A,FALSE,"장축";#N/A,#N/A,FALSE,"4WD"}</definedName>
    <definedName name="JDHSJKFHDJHSDJKLFHSDJKFH" hidden="1">{#N/A,#N/A,FALSE,"단축1";#N/A,#N/A,FALSE,"단축2";#N/A,#N/A,FALSE,"단축3";#N/A,#N/A,FALSE,"장축";#N/A,#N/A,FALSE,"4WD"}</definedName>
    <definedName name="jdjchaka" hidden="1">{#N/A,#N/A,FALSE,"단축1";#N/A,#N/A,FALSE,"단축2";#N/A,#N/A,FALSE,"단축3";#N/A,#N/A,FALSE,"장축";#N/A,#N/A,FALSE,"4WD"}</definedName>
    <definedName name="JDJD" hidden="1">{#N/A,#N/A,FALSE,"단축1";#N/A,#N/A,FALSE,"단축2";#N/A,#N/A,FALSE,"단축3";#N/A,#N/A,FALSE,"장축";#N/A,#N/A,FALSE,"4WD"}</definedName>
    <definedName name="JDS" hidden="1">{#N/A,#N/A,FALSE,"단축1";#N/A,#N/A,FALSE,"단축2";#N/A,#N/A,FALSE,"단축3";#N/A,#N/A,FALSE,"장축";#N/A,#N/A,FALSE,"4WD"}</definedName>
    <definedName name="JFG" hidden="1">{#N/A,#N/A,FALSE,"단축1";#N/A,#N/A,FALSE,"단축2";#N/A,#N/A,FALSE,"단축3";#N/A,#N/A,FALSE,"장축";#N/A,#N/A,FALSE,"4WD"}</definedName>
    <definedName name="JFJGF" hidden="1">{#N/A,#N/A,FALSE,"단축1";#N/A,#N/A,FALSE,"단축2";#N/A,#N/A,FALSE,"단축3";#N/A,#N/A,FALSE,"장축";#N/A,#N/A,FALSE,"4WD"}</definedName>
    <definedName name="JFJGF_1" hidden="1">{#N/A,#N/A,FALSE,"단축1";#N/A,#N/A,FALSE,"단축2";#N/A,#N/A,FALSE,"단축3";#N/A,#N/A,FALSE,"장축";#N/A,#N/A,FALSE,"4WD"}</definedName>
    <definedName name="JFJGF_2" hidden="1">{#N/A,#N/A,FALSE,"단축1";#N/A,#N/A,FALSE,"단축2";#N/A,#N/A,FALSE,"단축3";#N/A,#N/A,FALSE,"장축";#N/A,#N/A,FALSE,"4WD"}</definedName>
    <definedName name="JFS" hidden="1">{#N/A,#N/A,FALSE,"단축1";#N/A,#N/A,FALSE,"단축2";#N/A,#N/A,FALSE,"단축3";#N/A,#N/A,FALSE,"장축";#N/A,#N/A,FALSE,"4WD"}</definedName>
    <definedName name="JGFH" hidden="1">{#N/A,#N/A,FALSE,"단축1";#N/A,#N/A,FALSE,"단축2";#N/A,#N/A,FALSE,"단축3";#N/A,#N/A,FALSE,"장축";#N/A,#N/A,FALSE,"4WD"}</definedName>
    <definedName name="JGFJ" hidden="1">{#N/A,#N/A,FALSE,"단축1";#N/A,#N/A,FALSE,"단축2";#N/A,#N/A,FALSE,"단축3";#N/A,#N/A,FALSE,"장축";#N/A,#N/A,FALSE,"4WD"}</definedName>
    <definedName name="jgfsjhgfsjhgfsdjhgfds" hidden="1">{#N/A,#N/A,TRUE,"일정"}</definedName>
    <definedName name="JGHJ" hidden="1">{#N/A,#N/A,FALSE,"단축1";#N/A,#N/A,FALSE,"단축2";#N/A,#N/A,FALSE,"단축3";#N/A,#N/A,FALSE,"장축";#N/A,#N/A,FALSE,"4WD"}</definedName>
    <definedName name="JGHJ_1" hidden="1">{#N/A,#N/A,FALSE,"단축1";#N/A,#N/A,FALSE,"단축2";#N/A,#N/A,FALSE,"단축3";#N/A,#N/A,FALSE,"장축";#N/A,#N/A,FALSE,"4WD"}</definedName>
    <definedName name="JGHJ_2" hidden="1">{#N/A,#N/A,FALSE,"단축1";#N/A,#N/A,FALSE,"단축2";#N/A,#N/A,FALSE,"단축3";#N/A,#N/A,FALSE,"장축";#N/A,#N/A,FALSE,"4WD"}</definedName>
    <definedName name="jghjk" hidden="1">{#N/A,#N/A,FALSE,"단축1";#N/A,#N/A,FALSE,"단축2";#N/A,#N/A,FALSE,"단축3";#N/A,#N/A,FALSE,"장축";#N/A,#N/A,FALSE,"4WD"}</definedName>
    <definedName name="JGJ" hidden="1">{#N/A,#N/A,FALSE,"단축1";#N/A,#N/A,FALSE,"단축2";#N/A,#N/A,FALSE,"단축3";#N/A,#N/A,FALSE,"장축";#N/A,#N/A,FALSE,"4WD"}</definedName>
    <definedName name="JGJ_1" hidden="1">{#N/A,#N/A,FALSE,"단축1";#N/A,#N/A,FALSE,"단축2";#N/A,#N/A,FALSE,"단축3";#N/A,#N/A,FALSE,"장축";#N/A,#N/A,FALSE,"4WD"}</definedName>
    <definedName name="JGJ_2" hidden="1">{#N/A,#N/A,FALSE,"단축1";#N/A,#N/A,FALSE,"단축2";#N/A,#N/A,FALSE,"단축3";#N/A,#N/A,FALSE,"장축";#N/A,#N/A,FALSE,"4WD"}</definedName>
    <definedName name="JH" hidden="1">{#N/A,#N/A,TRUE,"Y생산";#N/A,#N/A,TRUE,"Y판매";#N/A,#N/A,TRUE,"Y총물량";#N/A,#N/A,TRUE,"Y능력";#N/A,#N/A,TRUE,"YKD"}</definedName>
    <definedName name="JH_1" hidden="1">{#N/A,#N/A,TRUE,"Y생산";#N/A,#N/A,TRUE,"Y판매";#N/A,#N/A,TRUE,"Y총물량";#N/A,#N/A,TRUE,"Y능력";#N/A,#N/A,TRUE,"YKD"}</definedName>
    <definedName name="JHFSSSFT" hidden="1">{#N/A,#N/A,FALSE,"단축1";#N/A,#N/A,FALSE,"단축2";#N/A,#N/A,FALSE,"단축3";#N/A,#N/A,FALSE,"장축";#N/A,#N/A,FALSE,"4WD"}</definedName>
    <definedName name="jhg" hidden="1">{#N/A,#N/A,FALSE,"단축1";#N/A,#N/A,FALSE,"단축2";#N/A,#N/A,FALSE,"단축3";#N/A,#N/A,FALSE,"장축";#N/A,#N/A,FALSE,"4WD"}</definedName>
    <definedName name="JHGHJF" hidden="1">{#N/A,#N/A,FALSE,"단축1";#N/A,#N/A,FALSE,"단축2";#N/A,#N/A,FALSE,"단축3";#N/A,#N/A,FALSE,"장축";#N/A,#N/A,FALSE,"4WD"}</definedName>
    <definedName name="JHGJI" hidden="1">{#N/A,#N/A,FALSE,"단축1";#N/A,#N/A,FALSE,"단축2";#N/A,#N/A,FALSE,"단축3";#N/A,#N/A,FALSE,"장축";#N/A,#N/A,FALSE,"4WD"}</definedName>
    <definedName name="JHGJI_1" hidden="1">{#N/A,#N/A,FALSE,"단축1";#N/A,#N/A,FALSE,"단축2";#N/A,#N/A,FALSE,"단축3";#N/A,#N/A,FALSE,"장축";#N/A,#N/A,FALSE,"4WD"}</definedName>
    <definedName name="JHGJI_2" hidden="1">{#N/A,#N/A,FALSE,"단축1";#N/A,#N/A,FALSE,"단축2";#N/A,#N/A,FALSE,"단축3";#N/A,#N/A,FALSE,"장축";#N/A,#N/A,FALSE,"4WD"}</definedName>
    <definedName name="JHHKKHHK" hidden="1">{#N/A,#N/A,FALSE,"단축1";#N/A,#N/A,FALSE,"단축2";#N/A,#N/A,FALSE,"단축3";#N/A,#N/A,FALSE,"장축";#N/A,#N/A,FALSE,"4WD"}</definedName>
    <definedName name="JI" hidden="1">{#N/A,#N/A,FALSE,"단축1";#N/A,#N/A,FALSE,"단축2";#N/A,#N/A,FALSE,"단축3";#N/A,#N/A,FALSE,"장축";#N/A,#N/A,FALSE,"4WD"}</definedName>
    <definedName name="JI_1" hidden="1">{#N/A,#N/A,FALSE,"단축1";#N/A,#N/A,FALSE,"단축2";#N/A,#N/A,FALSE,"단축3";#N/A,#N/A,FALSE,"장축";#N/A,#N/A,FALSE,"4WD"}</definedName>
    <definedName name="JI_2" hidden="1">{#N/A,#N/A,FALSE,"단축1";#N/A,#N/A,FALSE,"단축2";#N/A,#N/A,FALSE,"단축3";#N/A,#N/A,FALSE,"장축";#N/A,#N/A,FALSE,"4WD"}</definedName>
    <definedName name="JIG예산" hidden="1">{#N/A,#N/A,TRUE,"일정"}</definedName>
    <definedName name="JI정" hidden="1">{#N/A,#N/A,FALSE,"단축1";#N/A,#N/A,FALSE,"단축2";#N/A,#N/A,FALSE,"단축3";#N/A,#N/A,FALSE,"장축";#N/A,#N/A,FALSE,"4WD"}</definedName>
    <definedName name="JJH" hidden="1">{#N/A,#N/A,FALSE,"신규dep";#N/A,#N/A,FALSE,"신규dep-금형상각후";#N/A,#N/A,FALSE,"신규dep-연구비상각후";#N/A,#N/A,FALSE,"신규dep-기계,공구상각후"}</definedName>
    <definedName name="JJHSFDJHJHSDSDKHSFD" hidden="1">{#N/A,#N/A,FALSE,"단축1";#N/A,#N/A,FALSE,"단축2";#N/A,#N/A,FALSE,"단축3";#N/A,#N/A,FALSE,"장축";#N/A,#N/A,FALSE,"4WD"}</definedName>
    <definedName name="JJJ" hidden="1">{#N/A,#N/A,FALSE,"정공"}</definedName>
    <definedName name="JJJ_1" hidden="1">{#N/A,#N/A,FALSE,"정공"}</definedName>
    <definedName name="JJJ_2" hidden="1">{#N/A,#N/A,FALSE,"정공"}</definedName>
    <definedName name="JJJJ" hidden="1">{#N/A,#N/A,FALSE,"정공"}</definedName>
    <definedName name="JJJJ_1" hidden="1">{#N/A,#N/A,FALSE,"정공"}</definedName>
    <definedName name="JJJJJJ" hidden="1">{#N/A,#N/A,TRUE,"Y생산";#N/A,#N/A,TRUE,"Y판매";#N/A,#N/A,TRUE,"Y총물량";#N/A,#N/A,TRUE,"Y능력";#N/A,#N/A,TRUE,"YKD"}</definedName>
    <definedName name="jjjjjjjj" hidden="1">{"'7-2지역별'!$A$1:$R$44"}</definedName>
    <definedName name="JJJJJJJJJ" hidden="1">{#N/A,#N/A,FALSE,"단축1";#N/A,#N/A,FALSE,"단축2";#N/A,#N/A,FALSE,"단축3";#N/A,#N/A,FALSE,"장축";#N/A,#N/A,FALSE,"4WD"}</definedName>
    <definedName name="JJJJJJJJJJJJ" hidden="1">{#N/A,#N/A,FALSE,"단축1";#N/A,#N/A,FALSE,"단축2";#N/A,#N/A,FALSE,"단축3";#N/A,#N/A,FALSE,"장축";#N/A,#N/A,FALSE,"4WD"}</definedName>
    <definedName name="jjjjjjjjjjjjjj" hidden="1">{#N/A,#N/A,FALSE,"신규dep";#N/A,#N/A,FALSE,"신규dep-금형상각후";#N/A,#N/A,FALSE,"신규dep-연구비상각후";#N/A,#N/A,FALSE,"신규dep-기계,공구상각후"}</definedName>
    <definedName name="jjjjjjjjjjjjjj_1" hidden="1">{#N/A,#N/A,FALSE,"신규dep";#N/A,#N/A,FALSE,"신규dep-금형상각후";#N/A,#N/A,FALSE,"신규dep-연구비상각후";#N/A,#N/A,FALSE,"신규dep-기계,공구상각후"}</definedName>
    <definedName name="jjjjjjjjjjjjjj_2" hidden="1">{#N/A,#N/A,FALSE,"신규dep";#N/A,#N/A,FALSE,"신규dep-금형상각후";#N/A,#N/A,FALSE,"신규dep-연구비상각후";#N/A,#N/A,FALSE,"신규dep-기계,공구상각후"}</definedName>
    <definedName name="JJOJ" hidden="1">{#N/A,#N/A,FALSE,"단축1";#N/A,#N/A,FALSE,"단축2";#N/A,#N/A,FALSE,"단축3";#N/A,#N/A,FALSE,"장축";#N/A,#N/A,FALSE,"4WD"}</definedName>
    <definedName name="JJOJ_1" hidden="1">{#N/A,#N/A,FALSE,"단축1";#N/A,#N/A,FALSE,"단축2";#N/A,#N/A,FALSE,"단축3";#N/A,#N/A,FALSE,"장축";#N/A,#N/A,FALSE,"4WD"}</definedName>
    <definedName name="JJOJ_2" hidden="1">{#N/A,#N/A,FALSE,"단축1";#N/A,#N/A,FALSE,"단축2";#N/A,#N/A,FALSE,"단축3";#N/A,#N/A,FALSE,"장축";#N/A,#N/A,FALSE,"4WD"}</definedName>
    <definedName name="JK" hidden="1">{#N/A,#N/A,TRUE,"Y생산";#N/A,#N/A,TRUE,"Y판매";#N/A,#N/A,TRUE,"Y총물량";#N/A,#N/A,TRUE,"Y능력";#N/A,#N/A,TRUE,"YKD"}</definedName>
    <definedName name="JK_1" hidden="1">{#N/A,#N/A,TRUE,"Y생산";#N/A,#N/A,TRUE,"Y판매";#N/A,#N/A,TRUE,"Y총물량";#N/A,#N/A,TRUE,"Y능력";#N/A,#N/A,TRUE,"YKD"}</definedName>
    <definedName name="JK_2" hidden="1">{#N/A,#N/A,TRUE,"Y생산";#N/A,#N/A,TRUE,"Y판매";#N/A,#N/A,TRUE,"Y총물량";#N/A,#N/A,TRUE,"Y능력";#N/A,#N/A,TRUE,"YKD"}</definedName>
    <definedName name="JK_2_1" hidden="1">{#N/A,#N/A,TRUE,"Y생산";#N/A,#N/A,TRUE,"Y판매";#N/A,#N/A,TRUE,"Y총물량";#N/A,#N/A,TRUE,"Y능력";#N/A,#N/A,TRUE,"YKD"}</definedName>
    <definedName name="JK_2_2" hidden="1">{#N/A,#N/A,TRUE,"Y생산";#N/A,#N/A,TRUE,"Y판매";#N/A,#N/A,TRUE,"Y총물량";#N/A,#N/A,TRUE,"Y능력";#N/A,#N/A,TRUE,"YKD"}</definedName>
    <definedName name="JK_2_3" hidden="1">{#N/A,#N/A,TRUE,"Y생산";#N/A,#N/A,TRUE,"Y판매";#N/A,#N/A,TRUE,"Y총물량";#N/A,#N/A,TRUE,"Y능력";#N/A,#N/A,TRUE,"YKD"}</definedName>
    <definedName name="JK_3" hidden="1">{#N/A,#N/A,TRUE,"Y생산";#N/A,#N/A,TRUE,"Y판매";#N/A,#N/A,TRUE,"Y총물량";#N/A,#N/A,TRUE,"Y능력";#N/A,#N/A,TRUE,"YKD"}</definedName>
    <definedName name="JK_3_1" hidden="1">{#N/A,#N/A,TRUE,"Y생산";#N/A,#N/A,TRUE,"Y판매";#N/A,#N/A,TRUE,"Y총물량";#N/A,#N/A,TRUE,"Y능력";#N/A,#N/A,TRUE,"YKD"}</definedName>
    <definedName name="JK_3_2" hidden="1">{#N/A,#N/A,TRUE,"Y생산";#N/A,#N/A,TRUE,"Y판매";#N/A,#N/A,TRUE,"Y총물량";#N/A,#N/A,TRUE,"Y능력";#N/A,#N/A,TRUE,"YKD"}</definedName>
    <definedName name="JK_3_3" hidden="1">{#N/A,#N/A,TRUE,"Y생산";#N/A,#N/A,TRUE,"Y판매";#N/A,#N/A,TRUE,"Y총물량";#N/A,#N/A,TRUE,"Y능력";#N/A,#N/A,TRUE,"YKD"}</definedName>
    <definedName name="JK_4" hidden="1">{#N/A,#N/A,TRUE,"Y생산";#N/A,#N/A,TRUE,"Y판매";#N/A,#N/A,TRUE,"Y총물량";#N/A,#N/A,TRUE,"Y능력";#N/A,#N/A,TRUE,"YKD"}</definedName>
    <definedName name="JK_5" hidden="1">{#N/A,#N/A,TRUE,"Y생산";#N/A,#N/A,TRUE,"Y판매";#N/A,#N/A,TRUE,"Y총물량";#N/A,#N/A,TRUE,"Y능력";#N/A,#N/A,TRUE,"YKD"}</definedName>
    <definedName name="jkghhj" hidden="1">{#N/A,#N/A,FALSE,"신규dep";#N/A,#N/A,FALSE,"신규dep-금형상각후";#N/A,#N/A,FALSE,"신규dep-연구비상각후";#N/A,#N/A,FALSE,"신규dep-기계,공구상각후"}</definedName>
    <definedName name="jkjh" hidden="1">{#N/A,#N/A,FALSE,"단축1";#N/A,#N/A,FALSE,"단축2";#N/A,#N/A,FALSE,"단축3";#N/A,#N/A,FALSE,"장축";#N/A,#N/A,FALSE,"4WD"}</definedName>
    <definedName name="JKJHK" hidden="1">{#N/A,#N/A,FALSE,"단축1";#N/A,#N/A,FALSE,"단축2";#N/A,#N/A,FALSE,"단축3";#N/A,#N/A,FALSE,"장축";#N/A,#N/A,FALSE,"4WD"}</definedName>
    <definedName name="jkkk" hidden="1">{#VALUE!,#N/A,FALSE,0;#N/A,#N/A,FALSE,0;#N/A,#N/A,FALSE,0;#N/A,#N/A,FALSE,0;#N/A,#N/A,FALSE,0}</definedName>
    <definedName name="jkllll" hidden="1">{#N/A,#N/A,FALSE,"PART-1234-8-12-9(41)";#N/A,#N/A,FALSE,"PARTS-2(3)";#N/A,#N/A,FALSE,"VAN SYSTEM";#N/A,#N/A,FALSE,"PARTS-10(26)";#N/A,#N/A,FALSE,"PART-5-6-7-11(14)";#N/A,#N/A,FALSE,"PARTS-4(3)";#N/A,#N/A,FALSE,"PCLASS"}</definedName>
    <definedName name="JKS" hidden="1">{#N/A,#N/A,TRUE,"일정"}</definedName>
    <definedName name="JKTD" hidden="1">{#N/A,#N/A,TRUE,"Y생산";#N/A,#N/A,TRUE,"Y판매";#N/A,#N/A,TRUE,"Y총물량";#N/A,#N/A,TRUE,"Y능력";#N/A,#N/A,TRUE,"YKD"}</definedName>
    <definedName name="JKY" hidden="1">{#N/A,#N/A,FALSE,"단축1";#N/A,#N/A,FALSE,"단축2";#N/A,#N/A,FALSE,"단축3";#N/A,#N/A,FALSE,"장축";#N/A,#N/A,FALSE,"4WD"}</definedName>
    <definedName name="JL" hidden="1">{#N/A,#N/A,FALSE,"단축1";#N/A,#N/A,FALSE,"단축2";#N/A,#N/A,FALSE,"단축3";#N/A,#N/A,FALSE,"장축";#N/A,#N/A,FALSE,"4WD"}</definedName>
    <definedName name="JL_1" hidden="1">{#N/A,#N/A,FALSE,"단축1";#N/A,#N/A,FALSE,"단축2";#N/A,#N/A,FALSE,"단축3";#N/A,#N/A,FALSE,"장축";#N/A,#N/A,FALSE,"4WD"}</definedName>
    <definedName name="JLJLJJG" hidden="1">{#N/A,#N/A,FALSE,"단축1";#N/A,#N/A,FALSE,"단축2";#N/A,#N/A,FALSE,"단축3";#N/A,#N/A,FALSE,"장축";#N/A,#N/A,FALSE,"4WD"}</definedName>
    <definedName name="JLJLKJN" hidden="1">{#N/A,#N/A,FALSE,"단축1";#N/A,#N/A,FALSE,"단축2";#N/A,#N/A,FALSE,"단축3";#N/A,#N/A,FALSE,"장축";#N/A,#N/A,FALSE,"4WD"}</definedName>
    <definedName name="JLK" hidden="1">{#N/A,#N/A,FALSE,"단축1";#N/A,#N/A,FALSE,"단축2";#N/A,#N/A,FALSE,"단축3";#N/A,#N/A,FALSE,"장축";#N/A,#N/A,FALSE,"4WD"}</definedName>
    <definedName name="jlkk" hidden="1">{#N/A,#N/A,FALSE,"단축1";#N/A,#N/A,FALSE,"단축2";#N/A,#N/A,FALSE,"단축3";#N/A,#N/A,FALSE,"장축";#N/A,#N/A,FALSE,"4WD"}</definedName>
    <definedName name="jlsdjklsdf" hidden="1">{#VALUE!,#N/A,FALSE,0;#N/A,#N/A,FALSE,0;#N/A,#N/A,FALSE,0;#N/A,#N/A,FALSE,0;#N/A,#N/A,FALSE,0}</definedName>
    <definedName name="JM" hidden="1">{#N/A,#N/A,FALSE,"단축1";#N/A,#N/A,FALSE,"단축2";#N/A,#N/A,FALSE,"단축3";#N/A,#N/A,FALSE,"장축";#N/A,#N/A,FALSE,"4WD"}</definedName>
    <definedName name="JM_1" hidden="1">{#N/A,#N/A,FALSE,"단축1";#N/A,#N/A,FALSE,"단축2";#N/A,#N/A,FALSE,"단축3";#N/A,#N/A,FALSE,"장축";#N/A,#N/A,FALSE,"4WD"}</definedName>
    <definedName name="JM_2" hidden="1">{#N/A,#N/A,FALSE,"단축1";#N/A,#N/A,FALSE,"단축2";#N/A,#N/A,FALSE,"단축3";#N/A,#N/A,FALSE,"장축";#N/A,#N/A,FALSE,"4WD"}</definedName>
    <definedName name="JM_CAR" hidden="1">{#N/A,#N/A,FALSE,"단축1";#N/A,#N/A,FALSE,"단축2";#N/A,#N/A,FALSE,"단축3";#N/A,#N/A,FALSE,"장축";#N/A,#N/A,FALSE,"4WD"}</definedName>
    <definedName name="JMHMSL부품현황" hidden="1">{#N/A,#N/A,FALSE,"단축1";#N/A,#N/A,FALSE,"단축2";#N/A,#N/A,FALSE,"단축3";#N/A,#N/A,FALSE,"장축";#N/A,#N/A,FALSE,"4WD"}</definedName>
    <definedName name="JM공정FMEA1" hidden="1">{#N/A,#N/A,FALSE,"단축1";#N/A,#N/A,FALSE,"단축2";#N/A,#N/A,FALSE,"단축3";#N/A,#N/A,FALSE,"장축";#N/A,#N/A,FALSE,"4WD"}</definedName>
    <definedName name="JM양산" hidden="1">{#N/A,#N/A,FALSE,"단축1";#N/A,#N/A,FALSE,"단축2";#N/A,#N/A,FALSE,"단축3";#N/A,#N/A,FALSE,"장축";#N/A,#N/A,FALSE,"4WD"}</definedName>
    <definedName name="JOKM" hidden="1">{#N/A,#N/A,FALSE,"단축1";#N/A,#N/A,FALSE,"단축2";#N/A,#N/A,FALSE,"단축3";#N/A,#N/A,FALSE,"장축";#N/A,#N/A,FALSE,"4WD"}</definedName>
    <definedName name="JS" hidden="1">{#N/A,#N/A,FALSE,"단축1";#N/A,#N/A,FALSE,"단축2";#N/A,#N/A,FALSE,"단축3";#N/A,#N/A,FALSE,"장축";#N/A,#N/A,FALSE,"4WD"}</definedName>
    <definedName name="JSJXAJ" hidden="1">{#N/A,#N/A,FALSE,"단축1";#N/A,#N/A,FALSE,"단축2";#N/A,#N/A,FALSE,"단축3";#N/A,#N/A,FALSE,"장축";#N/A,#N/A,FALSE,"4WD"}</definedName>
    <definedName name="JSK" hidden="1">{#N/A,#N/A,FALSE,"개발계획표지";#N/A,#N/A,FALSE,"목차";#N/A,#N/A,FALSE,"개요"}</definedName>
    <definedName name="JTJTDJEAJ" hidden="1">{#N/A,#N/A,FALSE,"단축1";#N/A,#N/A,FALSE,"단축2";#N/A,#N/A,FALSE,"단축3";#N/A,#N/A,FALSE,"장축";#N/A,#N/A,FALSE,"4WD"}</definedName>
    <definedName name="jtyjh" hidden="1">{"'7-2지역별'!$A$1:$R$44"}</definedName>
    <definedName name="jtykty" hidden="1">{#N/A,#N/A,FALSE,"단축1";#N/A,#N/A,FALSE,"단축2";#N/A,#N/A,FALSE,"단축3";#N/A,#N/A,FALSE,"장축";#N/A,#N/A,FALSE,"4WD"}</definedName>
    <definedName name="jutygh" hidden="1">{"'7-2지역별'!$A$1:$R$44"}</definedName>
    <definedName name="JWG" hidden="1">{#N/A,#N/A,FALSE,"단축1";#N/A,#N/A,FALSE,"단축2";#N/A,#N/A,FALSE,"단축3";#N/A,#N/A,FALSE,"장축";#N/A,#N/A,FALSE,"4WD"}</definedName>
    <definedName name="JWG_1" hidden="1">{#N/A,#N/A,FALSE,"단축1";#N/A,#N/A,FALSE,"단축2";#N/A,#N/A,FALSE,"단축3";#N/A,#N/A,FALSE,"장축";#N/A,#N/A,FALSE,"4WD"}</definedName>
    <definedName name="JWG_2" hidden="1">{#N/A,#N/A,FALSE,"단축1";#N/A,#N/A,FALSE,"단축2";#N/A,#N/A,FALSE,"단축3";#N/A,#N/A,FALSE,"장축";#N/A,#N/A,FALSE,"4WD"}</definedName>
    <definedName name="jyfyj" hidden="1">{#N/A,#N/A,FALSE,"단축1";#N/A,#N/A,FALSE,"단축2";#N/A,#N/A,FALSE,"단축3";#N/A,#N/A,FALSE,"장축";#N/A,#N/A,FALSE,"4WD"}</definedName>
    <definedName name="JYJSARURY" hidden="1">{#N/A,#N/A,FALSE,"단축1";#N/A,#N/A,FALSE,"단축2";#N/A,#N/A,FALSE,"단축3";#N/A,#N/A,FALSE,"장축";#N/A,#N/A,FALSE,"4WD"}</definedName>
    <definedName name="jyuk" hidden="1">{#N/A,#N/A,TRUE,"Y생산";#N/A,#N/A,TRUE,"Y판매";#N/A,#N/A,TRUE,"Y총물량";#N/A,#N/A,TRUE,"Y능력";#N/A,#N/A,TRUE,"YKD"}</definedName>
    <definedName name="jyuk_1" hidden="1">{#N/A,#N/A,TRUE,"Y생산";#N/A,#N/A,TRUE,"Y판매";#N/A,#N/A,TRUE,"Y총물량";#N/A,#N/A,TRUE,"Y능력";#N/A,#N/A,TRUE,"YKD"}</definedName>
    <definedName name="K" hidden="1">{#N/A,#N/A,TRUE,"Y생산";#N/A,#N/A,TRUE,"Y판매";#N/A,#N/A,TRUE,"Y총물량";#N/A,#N/A,TRUE,"Y능력";#N/A,#N/A,TRUE,"YKD"}</definedName>
    <definedName name="K115부품공급계획" hidden="1">{#N/A,#N/A,TRUE,"일정"}</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공장" hidden="1">{#N/A,#N/A,TRUE,"Y생산";#N/A,#N/A,TRUE,"Y판매";#N/A,#N/A,TRUE,"Y총물량";#N/A,#N/A,TRUE,"Y능력";#N/A,#N/A,TRUE,"YKD"}</definedName>
    <definedName name="k1공장_1" hidden="1">{#N/A,#N/A,TRUE,"Y생산";#N/A,#N/A,TRUE,"Y판매";#N/A,#N/A,TRUE,"Y총물량";#N/A,#N/A,TRUE,"Y능력";#N/A,#N/A,TRUE,"YKD"}</definedName>
    <definedName name="ka" hidden="1">{#N/A,#N/A,FALSE,"단축1";#N/A,#N/A,FALSE,"단축2";#N/A,#N/A,FALSE,"단축3";#N/A,#N/A,FALSE,"장축";#N/A,#N/A,FALSE,"4WD"}</definedName>
    <definedName name="ka_1" hidden="1">{#N/A,#N/A,FALSE,"단축1";#N/A,#N/A,FALSE,"단축2";#N/A,#N/A,FALSE,"단축3";#N/A,#N/A,FALSE,"장축";#N/A,#N/A,FALSE,"4WD"}</definedName>
    <definedName name="KANG" hidden="1">{#N/A,#N/A,FALSE,"인원";#N/A,#N/A,FALSE,"비용2";#N/A,#N/A,FALSE,"비용1";#N/A,#N/A,FALSE,"비용";#N/A,#N/A,FALSE,"보증2";#N/A,#N/A,FALSE,"보증1";#N/A,#N/A,FALSE,"보증";#N/A,#N/A,FALSE,"손익1";#N/A,#N/A,FALSE,"손익";#N/A,#N/A,FALSE,"부서별매출";#N/A,#N/A,FALSE,"매출"}</definedName>
    <definedName name="KBGGDFVN" hidden="1">{"'7-2지역별'!$A$1:$R$44"}</definedName>
    <definedName name="KBNM" hidden="1">{#N/A,#N/A,FALSE,"단축1";#N/A,#N/A,FALSE,"단축2";#N/A,#N/A,FALSE,"단축3";#N/A,#N/A,FALSE,"장축";#N/A,#N/A,FALSE,"4WD"}</definedName>
    <definedName name="KD" hidden="1">{#N/A,#N/A,FALSE,"인원";#N/A,#N/A,FALSE,"비용2";#N/A,#N/A,FALSE,"비용1";#N/A,#N/A,FALSE,"비용";#N/A,#N/A,FALSE,"보증2";#N/A,#N/A,FALSE,"보증1";#N/A,#N/A,FALSE,"보증";#N/A,#N/A,FALSE,"손익1";#N/A,#N/A,FALSE,"손익";#N/A,#N/A,FALSE,"부서별매출";#N/A,#N/A,FALSE,"매출"}</definedName>
    <definedName name="kdgfksdghkf" hidden="1">{"'7-2지역별'!$A$1:$R$44"}</definedName>
    <definedName name="KDH" hidden="1">{#N/A,#N/A,FALSE,"표지";#N/A,#N/A,FALSE,"전제";#N/A,#N/A,FALSE,"손익-자 (2)";#N/A,#N/A,FALSE,"손익-자";#N/A,#N/A,FALSE,"손익-마 (2)";#N/A,#N/A,FALSE,"손익-마";#N/A,#N/A,FALSE,"총손최종"}</definedName>
    <definedName name="KDJLK" hidden="1">{#N/A,#N/A,FALSE,"단축1";#N/A,#N/A,FALSE,"단축2";#N/A,#N/A,FALSE,"단축3";#N/A,#N/A,FALSE,"장축";#N/A,#N/A,FALSE,"4WD"}</definedName>
    <definedName name="KD금액" hidden="1">{#N/A,#N/A,FALSE,"신규dep";#N/A,#N/A,FALSE,"신규dep-금형상각후";#N/A,#N/A,FALSE,"신규dep-연구비상각후";#N/A,#N/A,FALSE,"신규dep-기계,공구상각후"}</definedName>
    <definedName name="kd포장2" hidden="1">{"'7-2지역별'!$A$1:$R$44"}</definedName>
    <definedName name="KETNT" hidden="1">{#N/A,#N/A,TRUE,"Y생산";#N/A,#N/A,TRUE,"Y판매";#N/A,#N/A,TRUE,"Y총물량";#N/A,#N/A,TRUE,"Y능력";#N/A,#N/A,TRUE,"YKD"}</definedName>
    <definedName name="key" hidden="1">#REF!</definedName>
    <definedName name="kf" hidden="1">{#N/A,#N/A,FALSE,"단축1";#N/A,#N/A,FALSE,"단축2";#N/A,#N/A,FALSE,"단축3";#N/A,#N/A,FALSE,"장축";#N/A,#N/A,FALSE,"4WD"}</definedName>
    <definedName name="KFD" hidden="1">{#N/A,#N/A,FALSE,"단축1";#N/A,#N/A,FALSE,"단축2";#N/A,#N/A,FALSE,"단축3";#N/A,#N/A,FALSE,"장축";#N/A,#N/A,FALSE,"4WD"}</definedName>
    <definedName name="KFD_1" hidden="1">{#N/A,#N/A,FALSE,"단축1";#N/A,#N/A,FALSE,"단축2";#N/A,#N/A,FALSE,"단축3";#N/A,#N/A,FALSE,"장축";#N/A,#N/A,FALSE,"4WD"}</definedName>
    <definedName name="KFDKJHGFDKHG" hidden="1">{"'7-2지역별'!$A$1:$R$44"}</definedName>
    <definedName name="KFK" hidden="1">{#N/A,#N/A,FALSE,"96 3월물량표";#N/A,#N/A,FALSE,"96 4월물량표";#N/A,#N/A,FALSE,"96 5월물량표"}</definedName>
    <definedName name="KFK_1" hidden="1">{#N/A,#N/A,FALSE,"96 3월물량표";#N/A,#N/A,FALSE,"96 4월물량표";#N/A,#N/A,FALSE,"96 5월물량표"}</definedName>
    <definedName name="KFKFK" hidden="1">{#N/A,#N/A,FALSE,"단축1";#N/A,#N/A,FALSE,"단축2";#N/A,#N/A,FALSE,"단축3";#N/A,#N/A,FALSE,"장축";#N/A,#N/A,FALSE,"4WD"}</definedName>
    <definedName name="KFKFK_1" hidden="1">{#N/A,#N/A,FALSE,"단축1";#N/A,#N/A,FALSE,"단축2";#N/A,#N/A,FALSE,"단축3";#N/A,#N/A,FALSE,"장축";#N/A,#N/A,FALSE,"4WD"}</definedName>
    <definedName name="KFKFK_2" hidden="1">{#N/A,#N/A,FALSE,"단축1";#N/A,#N/A,FALSE,"단축2";#N/A,#N/A,FALSE,"단축3";#N/A,#N/A,FALSE,"장축";#N/A,#N/A,FALSE,"4WD"}</definedName>
    <definedName name="KFKFKF" hidden="1">{#N/A,#N/A,FALSE,"단축1";#N/A,#N/A,FALSE,"단축2";#N/A,#N/A,FALSE,"단축3";#N/A,#N/A,FALSE,"장축";#N/A,#N/A,FALSE,"4WD"}</definedName>
    <definedName name="KGB" hidden="1">#REF!</definedName>
    <definedName name="kgfdjldf" hidden="1">{"'7-2지역별'!$A$1:$R$44"}</definedName>
    <definedName name="kgq" hidden="1">{"'7-2지역별'!$A$1:$R$44"}</definedName>
    <definedName name="KHFDHFDKHFDKHFDKLFDKLKLFDKLKLFDKL" hidden="1">{#N/A,#N/A,FALSE,"단축1";#N/A,#N/A,FALSE,"단축2";#N/A,#N/A,FALSE,"단축3";#N/A,#N/A,FALSE,"장축";#N/A,#N/A,FALSE,"4WD"}</definedName>
    <definedName name="khg" hidden="1">{#N/A,#N/A,FALSE,"단축1";#N/A,#N/A,FALSE,"단축2";#N/A,#N/A,FALSE,"단축3";#N/A,#N/A,FALSE,"장축";#N/A,#N/A,FALSE,"4WD"}</definedName>
    <definedName name="KHMFD" hidden="1">#REF!</definedName>
    <definedName name="KI" hidden="1">{0,0,0,0}</definedName>
    <definedName name="KIA" hidden="1">{#N/A,#N/A,FALSE,"단축1";#N/A,#N/A,FALSE,"단축2";#N/A,#N/A,FALSE,"단축3";#N/A,#N/A,FALSE,"장축";#N/A,#N/A,FALSE,"4WD"}</definedName>
    <definedName name="KIDKGJD" hidden="1">{#N/A,#N/A,FALSE,"단축1";#N/A,#N/A,FALSE,"단축2";#N/A,#N/A,FALSE,"단축3";#N/A,#N/A,FALSE,"장축";#N/A,#N/A,FALSE,"4WD"}</definedName>
    <definedName name="KIGFIK" hidden="1">{#N/A,#N/A,FALSE,"단축1";#N/A,#N/A,FALSE,"단축2";#N/A,#N/A,FALSE,"단축3";#N/A,#N/A,FALSE,"장축";#N/A,#N/A,FALSE,"4WD"}</definedName>
    <definedName name="KIGFIK_1" hidden="1">{#N/A,#N/A,FALSE,"단축1";#N/A,#N/A,FALSE,"단축2";#N/A,#N/A,FALSE,"단축3";#N/A,#N/A,FALSE,"장축";#N/A,#N/A,FALSE,"4WD"}</definedName>
    <definedName name="KIGFIK_2" hidden="1">{#N/A,#N/A,FALSE,"단축1";#N/A,#N/A,FALSE,"단축2";#N/A,#N/A,FALSE,"단축3";#N/A,#N/A,FALSE,"장축";#N/A,#N/A,FALSE,"4WD"}</definedName>
    <definedName name="KIGVKGI" hidden="1">{#N/A,#N/A,FALSE,"단축1";#N/A,#N/A,FALSE,"단축2";#N/A,#N/A,FALSE,"단축3";#N/A,#N/A,FALSE,"장축";#N/A,#N/A,FALSE,"4WD"}</definedName>
    <definedName name="KIGVKGI_1" hidden="1">{#N/A,#N/A,FALSE,"단축1";#N/A,#N/A,FALSE,"단축2";#N/A,#N/A,FALSE,"단축3";#N/A,#N/A,FALSE,"장축";#N/A,#N/A,FALSE,"4WD"}</definedName>
    <definedName name="KIGVKGI_2" hidden="1">{#N/A,#N/A,FALSE,"단축1";#N/A,#N/A,FALSE,"단축2";#N/A,#N/A,FALSE,"단축3";#N/A,#N/A,FALSE,"장축";#N/A,#N/A,FALSE,"4WD"}</definedName>
    <definedName name="kijhgh" hidden="1">{#N/A,#N/A,FALSE,"단축1";#N/A,#N/A,FALSE,"단축2";#N/A,#N/A,FALSE,"단축3";#N/A,#N/A,FALSE,"장축";#N/A,#N/A,FALSE,"4WD"}</definedName>
    <definedName name="kilp" hidden="1">{#N/A,#N/A,FALSE,"단축1";#N/A,#N/A,FALSE,"단축2";#N/A,#N/A,FALSE,"단축3";#N/A,#N/A,FALSE,"장축";#N/A,#N/A,FALSE,"4WD"}</definedName>
    <definedName name="KIM" hidden="1">{#N/A,#N/A,FALSE,"단축1";#N/A,#N/A,FALSE,"단축2";#N/A,#N/A,FALSE,"단축3";#N/A,#N/A,FALSE,"장축";#N/A,#N/A,FALSE,"4WD"}</definedName>
    <definedName name="KIM.XL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kiukukuku" hidden="1">{"'7-2지역별'!$A$1:$R$44"}</definedName>
    <definedName name="KJ" hidden="1">{#N/A,#N/A,FALSE,"단축1";#N/A,#N/A,FALSE,"단축2";#N/A,#N/A,FALSE,"단축3";#N/A,#N/A,FALSE,"장축";#N/A,#N/A,FALSE,"4WD"}</definedName>
    <definedName name="KJ_1" hidden="1">{#N/A,#N/A,FALSE,"단축1";#N/A,#N/A,FALSE,"단축2";#N/A,#N/A,FALSE,"단축3";#N/A,#N/A,FALSE,"장축";#N/A,#N/A,FALSE,"4WD"}</definedName>
    <definedName name="KJ_2" hidden="1">{#N/A,#N/A,FALSE,"단축1";#N/A,#N/A,FALSE,"단축2";#N/A,#N/A,FALSE,"단축3";#N/A,#N/A,FALSE,"장축";#N/A,#N/A,FALSE,"4WD"}</definedName>
    <definedName name="KJDJUEN" hidden="1">{#N/A,#N/A,FALSE,"단축1";#N/A,#N/A,FALSE,"단축2";#N/A,#N/A,FALSE,"단축3";#N/A,#N/A,FALSE,"장축";#N/A,#N/A,FALSE,"4WD"}</definedName>
    <definedName name="KJFGDFG" hidden="1">{#N/A,#N/A,FALSE,"단축1";#N/A,#N/A,FALSE,"단축2";#N/A,#N/A,FALSE,"단축3";#N/A,#N/A,FALSE,"장축";#N/A,#N/A,FALSE,"4WD"}</definedName>
    <definedName name="kjhbvv" hidden="1">{"'7-2지역별'!$A$1:$R$44"}</definedName>
    <definedName name="KJHDFKS" hidden="1">{"'OPEN'G압출'!$A$4:$P$34"}</definedName>
    <definedName name="kjhkjhl" hidden="1">#REF!</definedName>
    <definedName name="KJHM" hidden="1">{#N/A,#N/A,FALSE,"단축1";#N/A,#N/A,FALSE,"단축2";#N/A,#N/A,FALSE,"단축3";#N/A,#N/A,FALSE,"장축";#N/A,#N/A,FALSE,"4WD"}</definedName>
    <definedName name="KJJHJ" hidden="1">{#N/A,#N/A,FALSE,"단축1";#N/A,#N/A,FALSE,"단축2";#N/A,#N/A,FALSE,"단축3";#N/A,#N/A,FALSE,"장축";#N/A,#N/A,FALSE,"4WD"}</definedName>
    <definedName name="kjjukjuju" hidden="1">{"'7-2지역별'!$A$1:$R$44"}</definedName>
    <definedName name="kjk" hidden="1">{#N/A,#N/A,FALSE,"단축1";#N/A,#N/A,FALSE,"단축2";#N/A,#N/A,FALSE,"단축3";#N/A,#N/A,FALSE,"장축";#N/A,#N/A,FALSE,"4WD"}</definedName>
    <definedName name="kjkkjkjl" hidden="1">{#N/A,#N/A,FALSE,"단축1";#N/A,#N/A,FALSE,"단축2";#N/A,#N/A,FALSE,"단축3";#N/A,#N/A,FALSE,"장축";#N/A,#N/A,FALSE,"4WD"}</definedName>
    <definedName name="KJMFKJMGFKJM" hidden="1">{#N/A,#N/A,FALSE,"단축1";#N/A,#N/A,FALSE,"단축2";#N/A,#N/A,FALSE,"단축3";#N/A,#N/A,FALSE,"장축";#N/A,#N/A,FALSE,"4WD"}</definedName>
    <definedName name="KJMFKJMGFKJM_1" hidden="1">{#N/A,#N/A,FALSE,"단축1";#N/A,#N/A,FALSE,"단축2";#N/A,#N/A,FALSE,"단축3";#N/A,#N/A,FALSE,"장축";#N/A,#N/A,FALSE,"4WD"}</definedName>
    <definedName name="KJMFKJMGFKJM_2" hidden="1">{#N/A,#N/A,FALSE,"단축1";#N/A,#N/A,FALSE,"단축2";#N/A,#N/A,FALSE,"단축3";#N/A,#N/A,FALSE,"장축";#N/A,#N/A,FALSE,"4WD"}</definedName>
    <definedName name="KJYT" hidden="1">{#N/A,#N/A,FALSE,"단축1";#N/A,#N/A,FALSE,"단축2";#N/A,#N/A,FALSE,"단축3";#N/A,#N/A,FALSE,"장축";#N/A,#N/A,FALSE,"4WD"}</definedName>
    <definedName name="KK" hidden="1">{#N/A,#N/A,FALSE,"단축1";#N/A,#N/A,FALSE,"단축2";#N/A,#N/A,FALSE,"단축3";#N/A,#N/A,FALSE,"장축";#N/A,#N/A,FALSE,"4WD"}</definedName>
    <definedName name="KKI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GLGK" hidden="1">{#N/A,#N/A,FALSE,"단축1";#N/A,#N/A,FALSE,"단축2";#N/A,#N/A,FALSE,"단축3";#N/A,#N/A,FALSE,"장축";#N/A,#N/A,FALSE,"4WD"}</definedName>
    <definedName name="kkk" hidden="1">{#N/A,#N/A,FALSE,"KMC최종회의(7월) 자료"}</definedName>
    <definedName name="kkk_1" hidden="1">{#N/A,#N/A,FALSE,"KMC최종회의(7월) 자료"}</definedName>
    <definedName name="kkk_2" hidden="1">{#N/A,#N/A,FALSE,"단축1";#N/A,#N/A,FALSE,"단축2";#N/A,#N/A,FALSE,"단축3";#N/A,#N/A,FALSE,"장축";#N/A,#N/A,FALSE,"4WD"}</definedName>
    <definedName name="kkkj" hidden="1">{#N/A,#N/A,FALSE,"단축1";#N/A,#N/A,FALSE,"단축2";#N/A,#N/A,FALSE,"단축3";#N/A,#N/A,FALSE,"장축";#N/A,#N/A,FALSE,"4WD"}</definedName>
    <definedName name="KKKK" hidden="1">{#N/A,#N/A,FALSE,"96 3월물량표";#N/A,#N/A,FALSE,"96 4월물량표";#N/A,#N/A,FALSE,"96 5월물량표"}</definedName>
    <definedName name="KKKK_1" hidden="1">{#N/A,#N/A,FALSE,"96 3월물량표";#N/A,#N/A,FALSE,"96 4월물량표";#N/A,#N/A,FALSE,"96 5월물량표"}</definedName>
    <definedName name="kkkkk" hidden="1">#REF!</definedName>
    <definedName name="kkkkk_1" hidden="1">{#N/A,#N/A,FALSE,"단축1";#N/A,#N/A,FALSE,"단축2";#N/A,#N/A,FALSE,"단축3";#N/A,#N/A,FALSE,"장축";#N/A,#N/A,FALSE,"4WD"}</definedName>
    <definedName name="kkkkkjk" hidden="1">{"'7-2지역별'!$A$1:$R$44"}</definedName>
    <definedName name="KKKKKK" hidden="1">{#N/A,#N/A,FALSE,"단축1";#N/A,#N/A,FALSE,"단축2";#N/A,#N/A,FALSE,"단축3";#N/A,#N/A,FALSE,"장축";#N/A,#N/A,FALSE,"4WD"}</definedName>
    <definedName name="kkkkkk_1" hidden="1">{#N/A,#N/A,TRUE,"Y생산";#N/A,#N/A,TRUE,"Y판매";#N/A,#N/A,TRUE,"Y총물량";#N/A,#N/A,TRUE,"Y능력";#N/A,#N/A,TRUE,"YKD"}</definedName>
    <definedName name="kkkkkkk" hidden="1">{"'7-2지역별'!$A$1:$R$44"}</definedName>
    <definedName name="kkkkkkkk" hidden="1">{#N/A,#N/A,FALSE,"신규dep";#N/A,#N/A,FALSE,"신규dep-금형상각후";#N/A,#N/A,FALSE,"신규dep-연구비상각후";#N/A,#N/A,FALSE,"신규dep-기계,공구상각후"}</definedName>
    <definedName name="kkkkkkkkk" hidden="1">#REF!</definedName>
    <definedName name="kkkkkkkkkkk" hidden="1">{#N/A,#N/A,FALSE,"단축1";#N/A,#N/A,FALSE,"단축2";#N/A,#N/A,FALSE,"단축3";#N/A,#N/A,FALSE,"장축";#N/A,#N/A,FALSE,"4WD"}</definedName>
    <definedName name="kkkkkkkkkkk_1" hidden="1">{#N/A,#N/A,FALSE,"단축1";#N/A,#N/A,FALSE,"단축2";#N/A,#N/A,FALSE,"단축3";#N/A,#N/A,FALSE,"장축";#N/A,#N/A,FALSE,"4WD"}</definedName>
    <definedName name="kkkkkkkkkkk_2" hidden="1">{#N/A,#N/A,FALSE,"단축1";#N/A,#N/A,FALSE,"단축2";#N/A,#N/A,FALSE,"단축3";#N/A,#N/A,FALSE,"장축";#N/A,#N/A,FALSE,"4WD"}</definedName>
    <definedName name="kkkkkkkkkkkkkkkkk" hidden="1">{#N/A,#N/A,FALSE,"단축1";#N/A,#N/A,FALSE,"단축2";#N/A,#N/A,FALSE,"단축3";#N/A,#N/A,FALSE,"장축";#N/A,#N/A,FALSE,"4WD"}</definedName>
    <definedName name="kkkkkkkkkkkkkkkkk_1" hidden="1">{#N/A,#N/A,FALSE,"단축1";#N/A,#N/A,FALSE,"단축2";#N/A,#N/A,FALSE,"단축3";#N/A,#N/A,FALSE,"장축";#N/A,#N/A,FALSE,"4WD"}</definedName>
    <definedName name="kkkkkkkkkkkkkkkkk_2" hidden="1">{#N/A,#N/A,FALSE,"단축1";#N/A,#N/A,FALSE,"단축2";#N/A,#N/A,FALSE,"단축3";#N/A,#N/A,FALSE,"장축";#N/A,#N/A,FALSE,"4WD"}</definedName>
    <definedName name="KK노무비" hidden="1">{#N/A,#N/A,TRUE,"Y생산";#N/A,#N/A,TRUE,"Y판매";#N/A,#N/A,TRUE,"Y총물량";#N/A,#N/A,TRUE,"Y능력";#N/A,#N/A,TRUE,"YKD"}</definedName>
    <definedName name="kl" hidden="1">{#N/A,#N/A,FALSE,"기초1"}</definedName>
    <definedName name="KLDJL" hidden="1">{#N/A,#N/A,FALSE,"초도품";#N/A,#N/A,FALSE,"초도품 (2)";#N/A,#N/A,FALSE,"초도품 (3)";#N/A,#N/A,FALSE,"초도품 (4)";#N/A,#N/A,FALSE,"초도품 (5)";#N/A,#N/A,FALSE,"초도품 (6)"}</definedName>
    <definedName name="KLK" hidden="1">{#N/A,#N/A,FALSE,"단축1";#N/A,#N/A,FALSE,"단축2";#N/A,#N/A,FALSE,"단축3";#N/A,#N/A,FALSE,"장축";#N/A,#N/A,FALSE,"4WD"}</definedName>
    <definedName name="klkk" hidden="1">{#N/A,#N/A,FALSE,"단축1";#N/A,#N/A,FALSE,"단축2";#N/A,#N/A,FALSE,"단축3";#N/A,#N/A,FALSE,"장축";#N/A,#N/A,FALSE,"4WD"}</definedName>
    <definedName name="KLKL" hidden="1">{#N/A,#N/A,FALSE,"단축1";#N/A,#N/A,FALSE,"단축2";#N/A,#N/A,FALSE,"단축3";#N/A,#N/A,FALSE,"장축";#N/A,#N/A,FALSE,"4WD"}</definedName>
    <definedName name="KLKL_1" hidden="1">{#N/A,#N/A,FALSE,"단축1";#N/A,#N/A,FALSE,"단축2";#N/A,#N/A,FALSE,"단축3";#N/A,#N/A,FALSE,"장축";#N/A,#N/A,FALSE,"4WD"}</definedName>
    <definedName name="KLKL_2" hidden="1">{#N/A,#N/A,FALSE,"단축1";#N/A,#N/A,FALSE,"단축2";#N/A,#N/A,FALSE,"단축3";#N/A,#N/A,FALSE,"장축";#N/A,#N/A,FALSE,"4WD"}</definedName>
    <definedName name="KLLL" hidden="1">{#N/A,#N/A,FALSE,"PART-1234-8-12-9(41)";#N/A,#N/A,FALSE,"PARTS-2(3)";#N/A,#N/A,FALSE,"VAN SYSTEM";#N/A,#N/A,FALSE,"PARTS-10(26)";#N/A,#N/A,FALSE,"PART-5-6-7-11(14)";#N/A,#N/A,FALSE,"PARTS-4(3)";#N/A,#N/A,FALSE,"PCLASS"}</definedName>
    <definedName name="KLLL1" hidden="1">{#N/A,#N/A,FALSE,"단축1";#N/A,#N/A,FALSE,"단축2";#N/A,#N/A,FALSE,"단축3";#N/A,#N/A,FALSE,"장축";#N/A,#N/A,FALSE,"4WD"}</definedName>
    <definedName name="kllll" hidden="1">{#N/A,#N/A,FALSE,"PART-1234-8-12-9(41)";#N/A,#N/A,FALSE,"PARTS-2(3)";#N/A,#N/A,FALSE,"VAN SYSTEM";#N/A,#N/A,FALSE,"PARTS-10(26)";#N/A,#N/A,FALSE,"PART-5-6-7-11(14)";#N/A,#N/A,FALSE,"PARTS-4(3)";#N/A,#N/A,FALSE,"PCLASS"}</definedName>
    <definedName name="klo" hidden="1">{#N/A,#N/A,FALSE,"단축1";#N/A,#N/A,FALSE,"단축2";#N/A,#N/A,FALSE,"단축3";#N/A,#N/A,FALSE,"장축";#N/A,#N/A,FALSE,"4WD"}</definedName>
    <definedName name="km" hidden="1">#REF!</definedName>
    <definedName name="kmc매출" hidden="1">{#N/A,#N/A,FALSE,"ROW DATA"}</definedName>
    <definedName name="KMC매출1" hidden="1">{#N/A,#N/A,FALSE,"ROW DATA"}</definedName>
    <definedName name="KMC인원" hidden="1">{#N/A,#N/A,TRUE,"Y생산";#N/A,#N/A,TRUE,"Y판매";#N/A,#N/A,TRUE,"Y총물량";#N/A,#N/A,TRUE,"Y능력";#N/A,#N/A,TRUE,"YKD"}</definedName>
    <definedName name="koko" hidden="1">#REF!</definedName>
    <definedName name="KPC" hidden="1">{#N/A,#N/A,FALSE,"단축1";#N/A,#N/A,FALSE,"단축2";#N/A,#N/A,FALSE,"단축3";#N/A,#N/A,FALSE,"장축";#N/A,#N/A,FALSE,"4WD"}</definedName>
    <definedName name="KPC전개방향" hidden="1">{#N/A,#N/A,FALSE,"단축1";#N/A,#N/A,FALSE,"단축2";#N/A,#N/A,FALSE,"단축3";#N/A,#N/A,FALSE,"장축";#N/A,#N/A,FALSE,"4WD"}</definedName>
    <definedName name="KSJHGFD" hidden="1">{#N/A,#N/A,FALSE,"단축1";#N/A,#N/A,FALSE,"단축2";#N/A,#N/A,FALSE,"단축3";#N/A,#N/A,FALSE,"장축";#N/A,#N/A,FALSE,"4WD"}</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ks" hidden="1">{#N/A,#N/A,FALSE,"단축1";#N/A,#N/A,FALSE,"단축2";#N/A,#N/A,FALSE,"단축3";#N/A,#N/A,FALSE,"장축";#N/A,#N/A,FALSE,"4WD"}</definedName>
    <definedName name="KSW" hidden="1">{#N/A,#N/A,FALSE,"단축1";#N/A,#N/A,FALSE,"단축2";#N/A,#N/A,FALSE,"단축3";#N/A,#N/A,FALSE,"장축";#N/A,#N/A,FALSE,"4WD"}</definedName>
    <definedName name="ktf" hidden="1">{"'7-2지역별'!$A$1:$R$44"}</definedName>
    <definedName name="kthrsbth" hidden="1">{#N/A,#N/A,FALSE,"단축1";#N/A,#N/A,FALSE,"단축2";#N/A,#N/A,FALSE,"단축3";#N/A,#N/A,FALSE,"장축";#N/A,#N/A,FALSE,"4WD"}</definedName>
    <definedName name="KTMARK" hidden="1">{#N/A,#N/A,FALSE,"단축1";#N/A,#N/A,FALSE,"단축2";#N/A,#N/A,FALSE,"단축3";#N/A,#N/A,FALSE,"장축";#N/A,#N/A,FALSE,"4WD"}</definedName>
    <definedName name="KTY" hidden="1">{#N/A,#N/A,FALSE,"단축1";#N/A,#N/A,FALSE,"단축2";#N/A,#N/A,FALSE,"단축3";#N/A,#N/A,FALSE,"장축";#N/A,#N/A,FALSE,"4WD"}</definedName>
    <definedName name="KTY_1" hidden="1">{#N/A,#N/A,FALSE,"단축1";#N/A,#N/A,FALSE,"단축2";#N/A,#N/A,FALSE,"단축3";#N/A,#N/A,FALSE,"장축";#N/A,#N/A,FALSE,"4WD"}</definedName>
    <definedName name="KTY_2" hidden="1">{#N/A,#N/A,FALSE,"단축1";#N/A,#N/A,FALSE,"단축2";#N/A,#N/A,FALSE,"단축3";#N/A,#N/A,FALSE,"장축";#N/A,#N/A,FALSE,"4WD"}</definedName>
    <definedName name="KU" hidden="1">{#N/A,#N/A,TRUE,"Y생산";#N/A,#N/A,TRUE,"Y판매";#N/A,#N/A,TRUE,"Y총물량";#N/A,#N/A,TRUE,"Y능력";#N/A,#N/A,TRUE,"YKD"}</definedName>
    <definedName name="KU_1" hidden="1">{#N/A,#N/A,TRUE,"Y생산";#N/A,#N/A,TRUE,"Y판매";#N/A,#N/A,TRUE,"Y총물량";#N/A,#N/A,TRUE,"Y능력";#N/A,#N/A,TRUE,"YKD"}</definedName>
    <definedName name="kukuk" hidden="1">{"'7-2지역별'!$A$1:$R$44"}</definedName>
    <definedName name="kukukuk" hidden="1">{"'7-2지역별'!$A$1:$R$44"}</definedName>
    <definedName name="KW" hidden="1">#REF!</definedName>
    <definedName name="l" hidden="1">{#N/A,#N/A,TRUE,"Y생산";#N/A,#N/A,TRUE,"Y판매";#N/A,#N/A,TRUE,"Y총물량";#N/A,#N/A,TRUE,"Y능력";#N/A,#N/A,TRUE,"YKD"}</definedName>
    <definedName name="l_1" hidden="1">{#N/A,#N/A,TRUE,"Y생산";#N/A,#N/A,TRUE,"Y판매";#N/A,#N/A,TRUE,"Y총물량";#N/A,#N/A,TRUE,"Y능력";#N/A,#N/A,TRUE,"YKD"}</definedName>
    <definedName name="LANEGN" hidden="1">{#N/A,#N/A,FALSE,"단축1";#N/A,#N/A,FALSE,"단축2";#N/A,#N/A,FALSE,"단축3";#N/A,#N/A,FALSE,"장축";#N/A,#N/A,FALSE,"4WD"}</definedName>
    <definedName name="LARM문제대책" hidden="1">{#N/A,#N/A,FALSE,"단축1";#N/A,#N/A,FALSE,"단축2";#N/A,#N/A,FALSE,"단축3";#N/A,#N/A,FALSE,"장축";#N/A,#N/A,FALSE,"4WD"}</definedName>
    <definedName name="LAYOUT" hidden="1">{#N/A,#N/A,FALSE,"인원";#N/A,#N/A,FALSE,"비용2";#N/A,#N/A,FALSE,"비용1";#N/A,#N/A,FALSE,"비용";#N/A,#N/A,FALSE,"보증2";#N/A,#N/A,FALSE,"보증1";#N/A,#N/A,FALSE,"보증";#N/A,#N/A,FALSE,"손익1";#N/A,#N/A,FALSE,"손익";#N/A,#N/A,FALSE,"부서별매출";#N/A,#N/A,FALSE,"매출"}</definedName>
    <definedName name="LB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C" hidden="1">{#N/A,#N/A,FALSE,"단축1";#N/A,#N/A,FALSE,"단축2";#N/A,#N/A,FALSE,"단축3";#N/A,#N/A,FALSE,"장축";#N/A,#N/A,FALSE,"4WD"}</definedName>
    <definedName name="LCFL예산" hidden="1">{#N/A,#N/A,FALSE,"단축1";#N/A,#N/A,FALSE,"단축2";#N/A,#N/A,FALSE,"단축3";#N/A,#N/A,FALSE,"장축";#N/A,#N/A,FALSE,"4WD"}</definedName>
    <definedName name="ldkdkl" hidden="1">{#N/A,#N/A,FALSE,"단축1";#N/A,#N/A,FALSE,"단축2";#N/A,#N/A,FALSE,"단축3";#N/A,#N/A,FALSE,"장축";#N/A,#N/A,FALSE,"4WD"}</definedName>
    <definedName name="ldkdkl_1" hidden="1">{#N/A,#N/A,FALSE,"단축1";#N/A,#N/A,FALSE,"단축2";#N/A,#N/A,FALSE,"단축3";#N/A,#N/A,FALSE,"장축";#N/A,#N/A,FALSE,"4WD"}</definedName>
    <definedName name="LDKRSS나는나" hidden="1">{#N/A,#N/A,FALSE,"단축1";#N/A,#N/A,FALSE,"단축2";#N/A,#N/A,FALSE,"단축3";#N/A,#N/A,FALSE,"장축";#N/A,#N/A,FALSE,"4WD"}</definedName>
    <definedName name="LDSD" hidden="1">{#N/A,#N/A,FALSE,"단축1";#N/A,#N/A,FALSE,"단축2";#N/A,#N/A,FALSE,"단축3";#N/A,#N/A,FALSE,"장축";#N/A,#N/A,FALSE,"4WD"}</definedName>
    <definedName name="LE" hidden="1">{#N/A,#N/A,FALSE,"FR 계산내역";#N/A,#N/A,FALSE,"RR 계산내역";#N/A,#N/A,FALSE,"기계경비"}</definedName>
    <definedName name="lenne" hidden="1">{#N/A,#N/A,FALSE,"단축1";#N/A,#N/A,FALSE,"단축2";#N/A,#N/A,FALSE,"단축3";#N/A,#N/A,FALSE,"장축";#N/A,#N/A,FALSE,"4WD"}</definedName>
    <definedName name="LF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FKGLKJGLKG" hidden="1">{#N/A,#N/A,FALSE,"단축1";#N/A,#N/A,FALSE,"단축2";#N/A,#N/A,FALSE,"단축3";#N/A,#N/A,FALSE,"장축";#N/A,#N/A,FALSE,"4WD"}</definedName>
    <definedName name="lgeag" hidden="1">{#N/A,#N/A,FALSE,"FR 계산내역";#N/A,#N/A,FALSE,"RR 계산내역";#N/A,#N/A,FALSE,"기계경비"}</definedName>
    <definedName name="LGLGLGLGKLSDKJGLJJJ" hidden="1">{#N/A,#N/A,FALSE,"단축1";#N/A,#N/A,FALSE,"단축2";#N/A,#N/A,FALSE,"단축3";#N/A,#N/A,FALSE,"장축";#N/A,#N/A,FALSE,"4WD"}</definedName>
    <definedName name="LGLGLGLGKLSDKJGLJJJ_1" hidden="1">{#N/A,#N/A,FALSE,"단축1";#N/A,#N/A,FALSE,"단축2";#N/A,#N/A,FALSE,"단축3";#N/A,#N/A,FALSE,"장축";#N/A,#N/A,FALSE,"4WD"}</definedName>
    <definedName name="LGLGLGLGKLSDKJGLJJJ_2" hidden="1">{#N/A,#N/A,FALSE,"단축1";#N/A,#N/A,FALSE,"단축2";#N/A,#N/A,FALSE,"단축3";#N/A,#N/A,FALSE,"장축";#N/A,#N/A,FALSE,"4WD"}</definedName>
    <definedName name="LH" hidden="1">{"'7보유'!$A$1:$F$44"}</definedName>
    <definedName name="LHKJG" hidden="1">{#N/A,#N/A,FALSE,"단축1";#N/A,#N/A,FALSE,"단축2";#N/A,#N/A,FALSE,"단축3";#N/A,#N/A,FALSE,"장축";#N/A,#N/A,FALSE,"4WD"}</definedName>
    <definedName name="LHSDHSD" hidden="1">{#N/A,#N/A,TRUE,"일정"}</definedName>
    <definedName name="LHYi" hidden="1">{"'7보유'!$A$1:$F$44"}</definedName>
    <definedName name="liner12" hidden="1">{#N/A,#N/A,FALSE,"인원";#N/A,#N/A,FALSE,"비용2";#N/A,#N/A,FALSE,"비용1";#N/A,#N/A,FALSE,"비용";#N/A,#N/A,FALSE,"보증2";#N/A,#N/A,FALSE,"보증1";#N/A,#N/A,FALSE,"보증";#N/A,#N/A,FALSE,"손익1";#N/A,#N/A,FALSE,"손익";#N/A,#N/A,FALSE,"부서별매출";#N/A,#N/A,FALSE,"매출"}</definedName>
    <definedName name="liner5" hidden="1">{#N/A,#N/A,FALSE,"단축1";#N/A,#N/A,FALSE,"단축2";#N/A,#N/A,FALSE,"단축3";#N/A,#N/A,FALSE,"장축";#N/A,#N/A,FALSE,"4WD"}</definedName>
    <definedName name="LINE검토2" hidden="1">{#N/A,#N/A,TRUE,"Y생산";#N/A,#N/A,TRUE,"Y판매";#N/A,#N/A,TRUE,"Y총물량";#N/A,#N/A,TRUE,"Y능력";#N/A,#N/A,TRUE,"YKD"}</definedName>
    <definedName name="LINE검토2_1" hidden="1">{#N/A,#N/A,TRUE,"Y생산";#N/A,#N/A,TRUE,"Y판매";#N/A,#N/A,TRUE,"Y총물량";#N/A,#N/A,TRUE,"Y능력";#N/A,#N/A,TRUE,"YKD"}</definedName>
    <definedName name="LINE검토2_2" hidden="1">{#N/A,#N/A,TRUE,"Y생산";#N/A,#N/A,TRUE,"Y판매";#N/A,#N/A,TRUE,"Y총물량";#N/A,#N/A,TRUE,"Y능력";#N/A,#N/A,TRUE,"YKD"}</definedName>
    <definedName name="LINE검토2_2_1" hidden="1">{#N/A,#N/A,TRUE,"Y생산";#N/A,#N/A,TRUE,"Y판매";#N/A,#N/A,TRUE,"Y총물량";#N/A,#N/A,TRUE,"Y능력";#N/A,#N/A,TRUE,"YKD"}</definedName>
    <definedName name="LINE검토2_2_2" hidden="1">{#N/A,#N/A,TRUE,"Y생산";#N/A,#N/A,TRUE,"Y판매";#N/A,#N/A,TRUE,"Y총물량";#N/A,#N/A,TRUE,"Y능력";#N/A,#N/A,TRUE,"YKD"}</definedName>
    <definedName name="LINE검토2_2_3" hidden="1">{#N/A,#N/A,TRUE,"Y생산";#N/A,#N/A,TRUE,"Y판매";#N/A,#N/A,TRUE,"Y총물량";#N/A,#N/A,TRUE,"Y능력";#N/A,#N/A,TRUE,"YKD"}</definedName>
    <definedName name="LINE검토2_3" hidden="1">{#N/A,#N/A,TRUE,"Y생산";#N/A,#N/A,TRUE,"Y판매";#N/A,#N/A,TRUE,"Y총물량";#N/A,#N/A,TRUE,"Y능력";#N/A,#N/A,TRUE,"YKD"}</definedName>
    <definedName name="LINE검토2_3_1" hidden="1">{#N/A,#N/A,TRUE,"Y생산";#N/A,#N/A,TRUE,"Y판매";#N/A,#N/A,TRUE,"Y총물량";#N/A,#N/A,TRUE,"Y능력";#N/A,#N/A,TRUE,"YKD"}</definedName>
    <definedName name="LINE검토2_3_2" hidden="1">{#N/A,#N/A,TRUE,"Y생산";#N/A,#N/A,TRUE,"Y판매";#N/A,#N/A,TRUE,"Y총물량";#N/A,#N/A,TRUE,"Y능력";#N/A,#N/A,TRUE,"YKD"}</definedName>
    <definedName name="LINE검토2_3_3" hidden="1">{#N/A,#N/A,TRUE,"Y생산";#N/A,#N/A,TRUE,"Y판매";#N/A,#N/A,TRUE,"Y총물량";#N/A,#N/A,TRUE,"Y능력";#N/A,#N/A,TRUE,"YKD"}</definedName>
    <definedName name="LINE검토2_4" hidden="1">{#N/A,#N/A,TRUE,"Y생산";#N/A,#N/A,TRUE,"Y판매";#N/A,#N/A,TRUE,"Y총물량";#N/A,#N/A,TRUE,"Y능력";#N/A,#N/A,TRUE,"YKD"}</definedName>
    <definedName name="LINE검토2_5" hidden="1">{#N/A,#N/A,TRUE,"Y생산";#N/A,#N/A,TRUE,"Y판매";#N/A,#N/A,TRUE,"Y총물량";#N/A,#N/A,TRUE,"Y능력";#N/A,#N/A,TRUE,"YKD"}</definedName>
    <definedName name="LINE검토3" hidden="1">{#N/A,#N/A,TRUE,"Y생산";#N/A,#N/A,TRUE,"Y판매";#N/A,#N/A,TRUE,"Y총물량";#N/A,#N/A,TRUE,"Y능력";#N/A,#N/A,TRUE,"YKD"}</definedName>
    <definedName name="LIO" hidden="1">{#N/A,#N/A,FALSE,"단축1";#N/A,#N/A,FALSE,"단축2";#N/A,#N/A,FALSE,"단축3";#N/A,#N/A,FALSE,"장축";#N/A,#N/A,FALSE,"4WD"}</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JGF" hidden="1">{#N/A,#N/A,FALSE,"단축1";#N/A,#N/A,FALSE,"단축2";#N/A,#N/A,FALSE,"단축3";#N/A,#N/A,FALSE,"장축";#N/A,#N/A,FALSE,"4WD"}</definedName>
    <definedName name="ljk" hidden="1">{#N/A,#N/A,FALSE,"단축1";#N/A,#N/A,FALSE,"단축2";#N/A,#N/A,FALSE,"단축3";#N/A,#N/A,FALSE,"장축";#N/A,#N/A,FALSE,"4WD"}</definedName>
    <definedName name="LJKV" hidden="1">{#N/A,#N/A,FALSE,"단축1";#N/A,#N/A,FALSE,"단축2";#N/A,#N/A,FALSE,"단축3";#N/A,#N/A,FALSE,"장축";#N/A,#N/A,FALSE,"4WD"}</definedName>
    <definedName name="LK" hidden="1">{#N/A,#N/A,FALSE,"단축1";#N/A,#N/A,FALSE,"단축2";#N/A,#N/A,FALSE,"단축3";#N/A,#N/A,FALSE,"장축";#N/A,#N/A,FALSE,"4WD"}</definedName>
    <definedName name="lkdjsfl" hidden="1">{"'표지'!$B$5"}</definedName>
    <definedName name="LKGFLDKGF" hidden="1">{"'OPEN'G압출'!$A$4:$P$34"}</definedName>
    <definedName name="LKHGFDF" hidden="1">{#N/A,#N/A,TRUE,"Y생산";#N/A,#N/A,TRUE,"Y판매";#N/A,#N/A,TRUE,"Y총물량";#N/A,#N/A,TRUE,"Y능력";#N/A,#N/A,TRUE,"YKD"}</definedName>
    <definedName name="LKHGFDF_1" hidden="1">{#N/A,#N/A,TRUE,"Y생산";#N/A,#N/A,TRUE,"Y판매";#N/A,#N/A,TRUE,"Y총물량";#N/A,#N/A,TRUE,"Y능력";#N/A,#N/A,TRUE,"YKD"}</definedName>
    <definedName name="LKHGFDF_2" hidden="1">{#N/A,#N/A,TRUE,"Y생산";#N/A,#N/A,TRUE,"Y판매";#N/A,#N/A,TRUE,"Y총물량";#N/A,#N/A,TRUE,"Y능력";#N/A,#N/A,TRUE,"YKD"}</definedName>
    <definedName name="LKJ" hidden="1">{#N/A,#N/A,FALSE,"을지 (4)";#N/A,#N/A,FALSE,"을지 (5)";#N/A,#N/A,FALSE,"을지 (6)"}</definedName>
    <definedName name="LKLKLK" hidden="1">{"'OPEN'G압출'!$A$4:$P$34"}</definedName>
    <definedName name="LK기영이" hidden="1">{#N/A,#N/A,FALSE,"단축1";#N/A,#N/A,FALSE,"단축2";#N/A,#N/A,FALSE,"단축3";#N/A,#N/A,FALSE,"장축";#N/A,#N/A,FALSE,"4WD"}</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jjj" hidden="1">{#N/A,#N/A,FALSE,"신규dep";#N/A,#N/A,FALSE,"신규dep-금형상각후";#N/A,#N/A,FALSE,"신규dep-연구비상각후";#N/A,#N/A,FALSE,"신규dep-기계,공구상각후"}</definedName>
    <definedName name="lljklgfjklgflgf" hidden="1">{#VALUE!,#N/A,FALSE,0;#N/A,#N/A,FALSE,0;#N/A,#N/A,FALSE,0;#N/A,#N/A,FALSE,0;#N/A,#N/A,FALSE,0}</definedName>
    <definedName name="LLK" hidden="1">{#N/A,#N/A,FALSE,"단축1";#N/A,#N/A,FALSE,"단축2";#N/A,#N/A,FALSE,"단축3";#N/A,#N/A,FALSE,"장축";#N/A,#N/A,FALSE,"4WD"}</definedName>
    <definedName name="LLKKK" hidden="1">{#N/A,#N/A,FALSE,"단축1";#N/A,#N/A,FALSE,"단축2";#N/A,#N/A,FALSE,"단축3";#N/A,#N/A,FALSE,"장축";#N/A,#N/A,FALSE,"4WD"}</definedName>
    <definedName name="LLL" hidden="1">{#N/A,#N/A,FALSE,"KMC최종회의(7월) 자료"}</definedName>
    <definedName name="LLL_1" hidden="1">{#N/A,#N/A,FALSE,"KMC최종회의(7월) 자료"}</definedName>
    <definedName name="LLL_2" hidden="1">{#N/A,#N/A,FALSE,"KMC최종회의(7월) 자료"}</definedName>
    <definedName name="LLLL" hidden="1">{#N/A,#N/A,FALSE,"KMC최종회의(7월) 자료"}</definedName>
    <definedName name="LLLL_1" hidden="1">{#N/A,#N/A,FALSE,"KMC최종회의(7월) 자료"}</definedName>
    <definedName name="LLLL_2" hidden="1">{#N/A,#N/A,FALSE,"KMC최종회의(7월) 자료"}</definedName>
    <definedName name="LLLLD" hidden="1">{#N/A,#N/A,TRUE,"Y생산";#N/A,#N/A,TRUE,"Y판매";#N/A,#N/A,TRUE,"Y총물량";#N/A,#N/A,TRUE,"Y능력";#N/A,#N/A,TRUE,"YKD"}</definedName>
    <definedName name="LLLLL" hidden="1">{#N/A,#N/A,FALSE,"단축1";#N/A,#N/A,FALSE,"단축2";#N/A,#N/A,FALSE,"단축3";#N/A,#N/A,FALSE,"장축";#N/A,#N/A,FALSE,"4WD"}</definedName>
    <definedName name="LLLLLLLLLLLL" hidden="1">{#N/A,#N/A,FALSE,"신규dep";#N/A,#N/A,FALSE,"신규dep-금형상각후";#N/A,#N/A,FALSE,"신규dep-연구비상각후";#N/A,#N/A,FALSE,"신규dep-기계,공구상각후"}</definedName>
    <definedName name="lloa" hidden="1">{#N/A,#N/A,FALSE,"FR 계산내역";#N/A,#N/A,FALSE,"RR 계산내역";#N/A,#N/A,FALSE,"기계경비"}</definedName>
    <definedName name="LMG" hidden="1">{#N/A,#N/A,TRUE,"Y생산";#N/A,#N/A,TRUE,"Y판매";#N/A,#N/A,TRUE,"Y총물량";#N/A,#N/A,TRUE,"Y능력";#N/A,#N/A,TRUE,"YKD"}</definedName>
    <definedName name="LMG_1" hidden="1">{#N/A,#N/A,TRUE,"Y생산";#N/A,#N/A,TRUE,"Y판매";#N/A,#N/A,TRUE,"Y총물량";#N/A,#N/A,TRUE,"Y능력";#N/A,#N/A,TRUE,"YKD"}</definedName>
    <definedName name="LNG절감" hidden="1">{#N/A,#N/A,FALSE,"단축1";#N/A,#N/A,FALSE,"단축2";#N/A,#N/A,FALSE,"단축3";#N/A,#N/A,FALSE,"장축";#N/A,#N/A,FALSE,"4WD"}</definedName>
    <definedName name="lnm" hidden="1">{#N/A,#N/A,FALSE,"단축1";#N/A,#N/A,FALSE,"단축2";#N/A,#N/A,FALSE,"단축3";#N/A,#N/A,FALSE,"장축";#N/A,#N/A,FALSE,"4WD"}</definedName>
    <definedName name="LO" hidden="1">{0,0,0,0}</definedName>
    <definedName name="LOAD" hidden="1">{"'매출계획'!$D$2"}</definedName>
    <definedName name="LOAD1" hidden="1">{"'매출계획'!$D$2"}</definedName>
    <definedName name="LOAD11" hidden="1">{"'매출계획'!$D$2"}</definedName>
    <definedName name="LOAD2" hidden="1">{"'매출계획'!$D$2"}</definedName>
    <definedName name="LOAD3" hidden="1">{"'매출계획'!$D$2"}</definedName>
    <definedName name="LOADDD" hidden="1">{"'매출계획'!$D$2"}</definedName>
    <definedName name="loe" hidden="1">{"'5'!$A$1:$BB$147"}</definedName>
    <definedName name="lokil" hidden="1">{#N/A,#N/A,FALSE,"단축1";#N/A,#N/A,FALSE,"단축2";#N/A,#N/A,FALSE,"단축3";#N/A,#N/A,FALSE,"장축";#N/A,#N/A,FALSE,"4WD"}</definedName>
    <definedName name="lop" hidden="1">{#N/A,#N/A,FALSE,"정공"}</definedName>
    <definedName name="LOPM" hidden="1">{#N/A,#N/A,FALSE,"정공"}</definedName>
    <definedName name="LOSS" hidden="1">{#N/A,#N/A,FALSE,"KMC최종회의(7월) 자료"}</definedName>
    <definedName name="LP" hidden="1">{#N/A,#N/A,FALSE,"단축1";#N/A,#N/A,FALSE,"단축2";#N/A,#N/A,FALSE,"단축3";#N/A,#N/A,FALSE,"장축";#N/A,#N/A,FALSE,"4WD"}</definedName>
    <definedName name="LPPP" hidden="1">{#N/A,#N/A,FALSE,"KMC최종회의(7월) 자료"}</definedName>
    <definedName name="LPPP_1" hidden="1">{#N/A,#N/A,FALSE,"KMC최종회의(7월) 자료"}</definedName>
    <definedName name="lps" hidden="1">{#N/A,#N/A,FALSE,"단축1";#N/A,#N/A,FALSE,"단축2";#N/A,#N/A,FALSE,"단축3";#N/A,#N/A,FALSE,"장축";#N/A,#N/A,FALSE,"4WD"}</definedName>
    <definedName name="lps_1" hidden="1">{#N/A,#N/A,FALSE,"단축1";#N/A,#N/A,FALSE,"단축2";#N/A,#N/A,FALSE,"단축3";#N/A,#N/A,FALSE,"장축";#N/A,#N/A,FALSE,"4WD"}</definedName>
    <definedName name="lps_2" hidden="1">{#N/A,#N/A,FALSE,"단축1";#N/A,#N/A,FALSE,"단축2";#N/A,#N/A,FALSE,"단축3";#N/A,#N/A,FALSE,"장축";#N/A,#N/A,FALSE,"4WD"}</definedName>
    <definedName name="LP능력검토" hidden="1">{#N/A,#N/A,FALSE,"단축1";#N/A,#N/A,FALSE,"단축2";#N/A,#N/A,FALSE,"단축3";#N/A,#N/A,FALSE,"장축";#N/A,#N/A,FALSE,"4WD"}</definedName>
    <definedName name="LP능력검토_1" hidden="1">{#N/A,#N/A,FALSE,"단축1";#N/A,#N/A,FALSE,"단축2";#N/A,#N/A,FALSE,"단축3";#N/A,#N/A,FALSE,"장축";#N/A,#N/A,FALSE,"4WD"}</definedName>
    <definedName name="LP투자비" hidden="1">{#N/A,#N/A,FALSE,"단축1";#N/A,#N/A,FALSE,"단축2";#N/A,#N/A,FALSE,"단축3";#N/A,#N/A,FALSE,"장축";#N/A,#N/A,FALSE,"4WD"}</definedName>
    <definedName name="LP투자비_1" hidden="1">{#N/A,#N/A,FALSE,"단축1";#N/A,#N/A,FALSE,"단축2";#N/A,#N/A,FALSE,"단축3";#N/A,#N/A,FALSE,"장축";#N/A,#N/A,FALSE,"4WD"}</definedName>
    <definedName name="LT" hidden="1">{#N/A,#N/A,FALSE,"단축1";#N/A,#N/A,FALSE,"단축2";#N/A,#N/A,FALSE,"단축3";#N/A,#N/A,FALSE,"장축";#N/A,#N/A,FALSE,"4WD"}</definedName>
    <definedName name="LT_1" hidden="1">{#N/A,#N/A,FALSE,"단축1";#N/A,#N/A,FALSE,"단축2";#N/A,#N/A,FALSE,"단축3";#N/A,#N/A,FALSE,"장축";#N/A,#N/A,FALSE,"4WD"}</definedName>
    <definedName name="LUP" hidden="1">#REF!</definedName>
    <definedName name="LY" hidden="1">#REF!</definedName>
    <definedName name="M" hidden="1">{#N/A,#N/A,FALSE,"표지";#N/A,#N/A,FALSE,"전제";#N/A,#N/A,FALSE,"손익-자 (2)";#N/A,#N/A,FALSE,"손익-자";#N/A,#N/A,FALSE,"손익-마 (2)";#N/A,#N/A,FALSE,"손익-마";#N/A,#N/A,FALSE,"총손최종"}</definedName>
    <definedName name="M_FSW" hidden="1">{#N/A,#N/A,FALSE,"표지";#N/A,#N/A,FALSE,"전제";#N/A,#N/A,FALSE,"대당";#N/A,#N/A,FALSE,"가공비";#N/A,#N/A,FALSE,"재료비";#N/A,#N/A,FALSE,"손익"}</definedName>
    <definedName name="M1234444" hidden="1">{#N/A,#N/A,FALSE,"단축1";#N/A,#N/A,FALSE,"단축2";#N/A,#N/A,FALSE,"단축3";#N/A,#N/A,FALSE,"장축";#N/A,#N/A,FALSE,"4WD"}</definedName>
    <definedName name="M1243445455" hidden="1">{#N/A,#N/A,FALSE,"단축1";#N/A,#N/A,FALSE,"단축2";#N/A,#N/A,FALSE,"단축3";#N/A,#N/A,FALSE,"장축";#N/A,#N/A,FALSE,"4WD"}</definedName>
    <definedName name="M56665565" hidden="1">{#N/A,#N/A,FALSE,"단축1";#N/A,#N/A,FALSE,"단축2";#N/A,#N/A,FALSE,"단축3";#N/A,#N/A,FALSE,"장축";#N/A,#N/A,FALSE,"4WD"}</definedName>
    <definedName name="MACHININGSPEC" hidden="1">{#N/A,#N/A,FALSE,"전제";#N/A,#N/A,FALSE,"표지";#N/A,#N/A,FALSE,"6D16";#N/A,#N/A,FALSE,"6D22";#N/A,#N/A,FALSE,"6D22-T";#N/A,#N/A,FALSE,"Q-DEG";#N/A,#N/A,FALSE,"총손";#N/A,#N/A,FALSE,"대당";#N/A,#N/A,FALSE,"가공비"}</definedName>
    <definedName name="MAE" hidden="1">{#N/A,#N/A,FALSE,"단축1";#N/A,#N/A,FALSE,"단축2";#N/A,#N/A,FALSE,"단축3";#N/A,#N/A,FALSE,"장축";#N/A,#N/A,FALSE,"4WD"}</definedName>
    <definedName name="MAI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STER" hidden="1">{#N/A,#N/A,TRUE,"일정"}</definedName>
    <definedName name="MATRIX진행일정" hidden="1">{#N/A,#N/A,FALSE,"인원";#N/A,#N/A,FALSE,"비용2";#N/A,#N/A,FALSE,"비용1";#N/A,#N/A,FALSE,"비용";#N/A,#N/A,FALSE,"보증2";#N/A,#N/A,FALSE,"보증1";#N/A,#N/A,FALSE,"보증";#N/A,#N/A,FALSE,"손익1";#N/A,#N/A,FALSE,"손익";#N/A,#N/A,FALSE,"부서별매출";#N/A,#N/A,FALSE,"매출"}</definedName>
    <definedName name="mayreport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MBR" hidden="1">{#N/A,#N/A,FALSE,"단축1";#N/A,#N/A,FALSE,"단축2";#N/A,#N/A,FALSE,"단축3";#N/A,#N/A,FALSE,"장축";#N/A,#N/A,FALSE,"4WD"}</definedName>
    <definedName name="MBR문제점" hidden="1">{#N/A,#N/A,FALSE,"단축1";#N/A,#N/A,FALSE,"단축2";#N/A,#N/A,FALSE,"단축3";#N/A,#N/A,FALSE,"장축";#N/A,#N/A,FALSE,"4WD"}</definedName>
    <definedName name="metrix" hidden="1">{#N/A,#N/A,FALSE,"인원";#N/A,#N/A,FALSE,"비용2";#N/A,#N/A,FALSE,"비용1";#N/A,#N/A,FALSE,"비용";#N/A,#N/A,FALSE,"보증2";#N/A,#N/A,FALSE,"보증1";#N/A,#N/A,FALSE,"보증";#N/A,#N/A,FALSE,"손익1";#N/A,#N/A,FALSE,"손익";#N/A,#N/A,FALSE,"부서별매출";#N/A,#N/A,FALSE,"매출"}</definedName>
    <definedName name="mf" hidden="1">{#N/A,#N/A,FALSE,"단축1";#N/A,#N/A,FALSE,"단축2";#N/A,#N/A,FALSE,"단축3";#N/A,#N/A,FALSE,"장축";#N/A,#N/A,FALSE,"4WD"}</definedName>
    <definedName name="MFD" hidden="1">{#VALUE!,#N/A,FALSE,0;#N/A,#N/A,FALSE,0;#N/A,#N/A,FALSE,0;#N/A,#N/A,FALSE,0;#N/A,#N/A,FALSE,0}</definedName>
    <definedName name="MFSW" hidden="1">{#N/A,#N/A,FALSE,"전제";#N/A,#N/A,FALSE,"표지";#N/A,#N/A,FALSE,"6D16";#N/A,#N/A,FALSE,"6D22";#N/A,#N/A,FALSE,"6D22-T";#N/A,#N/A,FALSE,"Q-DEG";#N/A,#N/A,FALSE,"총손";#N/A,#N/A,FALSE,"대당";#N/A,#N/A,FALSE,"가공비"}</definedName>
    <definedName name="MH" hidden="1">{#N/A,#N/A,FALSE,"초도품";#N/A,#N/A,FALSE,"초도품 (2)";#N/A,#N/A,FALSE,"초도품 (3)";#N/A,#N/A,FALSE,"초도품 (4)";#N/A,#N/A,FALSE,"초도품 (5)";#N/A,#N/A,FALSE,"초도품 (6)"}</definedName>
    <definedName name="mhr" hidden="1">{#N/A,#N/A,FALSE,"협조전";#N/A,#N/A,FALSE,"원가절감계획 ";#N/A,#N/A,FALSE,"항목별원가절감계획"}</definedName>
    <definedName name="MH공수투자전" hidden="1">{#N/A,#N/A,TRUE,"매출진척-1";#N/A,#N/A,TRUE,"매출진척-2";#N/A,#N/A,TRUE,"제품실적";#N/A,#N/A,TRUE,"RAC";#N/A,#N/A,TRUE,"PAC ";#N/A,#N/A,TRUE,"재고현황";#N/A,#N/A,TRUE,"공지사항"}</definedName>
    <definedName name="MH향상" hidden="1">{#N/A,#N/A,TRUE,"Y생산";#N/A,#N/A,TRUE,"Y판매";#N/A,#N/A,TRUE,"Y총물량";#N/A,#N/A,TRUE,"Y능력";#N/A,#N/A,TRUE,"YKD"}</definedName>
    <definedName name="MH향상_1" hidden="1">{#N/A,#N/A,TRUE,"Y생산";#N/A,#N/A,TRUE,"Y판매";#N/A,#N/A,TRUE,"Y총물량";#N/A,#N/A,TRUE,"Y능력";#N/A,#N/A,TRUE,"YKD"}</definedName>
    <definedName name="MIGHTY" hidden="1">{#N/A,#N/A,FALSE,"단축1";#N/A,#N/A,FALSE,"단축2";#N/A,#N/A,FALSE,"단축3";#N/A,#N/A,FALSE,"장축";#N/A,#N/A,FALSE,"4WD"}</definedName>
    <definedName name="MIP능력검토" hidden="1">{#N/A,#N/A,FALSE,"단축1";#N/A,#N/A,FALSE,"단축2";#N/A,#N/A,FALSE,"단축3";#N/A,#N/A,FALSE,"장축";#N/A,#N/A,FALSE,"4WD"}</definedName>
    <definedName name="MIP능력검토_1" hidden="1">{#N/A,#N/A,FALSE,"단축1";#N/A,#N/A,FALSE,"단축2";#N/A,#N/A,FALSE,"단축3";#N/A,#N/A,FALSE,"장축";#N/A,#N/A,FALSE,"4WD"}</definedName>
    <definedName name="MIP동시투자" hidden="1">{#N/A,#N/A,FALSE,"단축1";#N/A,#N/A,FALSE,"단축2";#N/A,#N/A,FALSE,"단축3";#N/A,#N/A,FALSE,"장축";#N/A,#N/A,FALSE,"4WD"}</definedName>
    <definedName name="MIP동시투자_1" hidden="1">{#N/A,#N/A,FALSE,"단축1";#N/A,#N/A,FALSE,"단축2";#N/A,#N/A,FALSE,"단축3";#N/A,#N/A,FALSE,"장축";#N/A,#N/A,FALSE,"4WD"}</definedName>
    <definedName name="MIP정기점사" hidden="1">{#N/A,#N/A,FALSE,"단축1";#N/A,#N/A,FALSE,"단축2";#N/A,#N/A,FALSE,"단축3";#N/A,#N/A,FALSE,"장축";#N/A,#N/A,FALSE,"4WD"}</definedName>
    <definedName name="mjt" hidden="1">{"'7-2지역별'!$A$1:$R$44"}</definedName>
    <definedName name="mjyjhytj" hidden="1">{"'7-2지역별'!$A$1:$R$44"}</definedName>
    <definedName name="mk45자재" hidden="1">{#N/A,#N/A,FALSE,"도입품목"}</definedName>
    <definedName name="mm" hidden="1">{#N/A,#N/A,TRUE,"Y생산";#N/A,#N/A,TRUE,"Y판매";#N/A,#N/A,TRUE,"Y총물량";#N/A,#N/A,TRUE,"Y능력";#N/A,#N/A,TRUE,"YKD"}</definedName>
    <definedName name="mm_1" hidden="1">{#N/A,#N/A,FALSE,"단축1";#N/A,#N/A,FALSE,"단축2";#N/A,#N/A,FALSE,"단축3";#N/A,#N/A,FALSE,"장축";#N/A,#N/A,FALSE,"4WD"}</definedName>
    <definedName name="mmjmjj" hidden="1">{"'7-2지역별'!$A$1:$R$44"}</definedName>
    <definedName name="MMM" hidden="1">{#N/A,#N/A,FALSE,"단축1";#N/A,#N/A,FALSE,"단축2";#N/A,#N/A,FALSE,"단축3";#N/A,#N/A,FALSE,"장축";#N/A,#N/A,FALSE,"4WD"}</definedName>
    <definedName name="MMM_1" hidden="1">{#N/A,#N/A,FALSE,"단축1";#N/A,#N/A,FALSE,"단축2";#N/A,#N/A,FALSE,"단축3";#N/A,#N/A,FALSE,"장축";#N/A,#N/A,FALSE,"4WD"}</definedName>
    <definedName name="MMMM" hidden="1">{#N/A,#N/A,FALSE,"KMC최종회의(7월) 자료"}</definedName>
    <definedName name="mmmm_1" hidden="1">{#N/A,#N/A,FALSE,"KMC최종회의(7월) 자료"}</definedName>
    <definedName name="mmmm_2" hidden="1">{#N/A,#N/A,FALSE,"KMC최종회의(7월) 자료"}</definedName>
    <definedName name="MMMMM" hidden="1">{#N/A,#N/A,FALSE,"단축1";#N/A,#N/A,FALSE,"단축2";#N/A,#N/A,FALSE,"단축3";#N/A,#N/A,FALSE,"장축";#N/A,#N/A,FALSE,"4WD"}</definedName>
    <definedName name="MMMMMMMMMM" hidden="1">{#N/A,#N/A,FALSE,"단축1";#N/A,#N/A,FALSE,"단축2";#N/A,#N/A,FALSE,"단축3";#N/A,#N/A,FALSE,"장축";#N/A,#N/A,FALSE,"4WD"}</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n" hidden="1">{#N/A,#N/A,FALSE,"단축1";#N/A,#N/A,FALSE,"단축2";#N/A,#N/A,FALSE,"단축3";#N/A,#N/A,FALSE,"장축";#N/A,#N/A,FALSE,"4WD"}</definedName>
    <definedName name="MNHRH" hidden="1">{0,0,0,0}</definedName>
    <definedName name="mnhyhu" hidden="1">{"'7-2지역별'!$A$1:$R$44"}</definedName>
    <definedName name="MNVHGDG" hidden="1">{#N/A,#N/A,FALSE,"단축1";#N/A,#N/A,FALSE,"단축2";#N/A,#N/A,FALSE,"단축3";#N/A,#N/A,FALSE,"장축";#N/A,#N/A,FALSE,"4WD"}</definedName>
    <definedName name="monthl" hidden="1">{"'Monthly 1997'!$A$3:$S$89"}</definedName>
    <definedName name="Monthly" hidden="1">{"'Monthly 1997'!$A$3:$S$89"}</definedName>
    <definedName name="MOV" hidden="1">{#N/A,#N/A,FALSE,"단축1";#N/A,#N/A,FALSE,"단축2";#N/A,#N/A,FALSE,"단축3";#N/A,#N/A,FALSE,"장축";#N/A,#N/A,FALSE,"4WD"}</definedName>
    <definedName name="MSDB" hidden="1">{"'KET'!$A$1:$E$2423"}</definedName>
    <definedName name="MSL기계경비" hidden="1">{#N/A,#N/A,FALSE,"단축1";#N/A,#N/A,FALSE,"단축2";#N/A,#N/A,FALSE,"단축3";#N/A,#N/A,FALSE,"장축";#N/A,#N/A,FALSE,"4WD"}</definedName>
    <definedName name="MSW" hidden="1">{#N/A,#N/A,FALSE,"단축1";#N/A,#N/A,FALSE,"단축2";#N/A,#N/A,FALSE,"단축3";#N/A,#N/A,FALSE,"장축";#N/A,#N/A,FALSE,"4WD"}</definedName>
    <definedName name="MTG" hidden="1">{#N/A,#N/A,FALSE,"단축1";#N/A,#N/A,FALSE,"단축2";#N/A,#N/A,FALSE,"단축3";#N/A,#N/A,FALSE,"장축";#N/A,#N/A,FALSE,"4WD"}</definedName>
    <definedName name="MUDTEST" hidden="1">{#N/A,#N/A,FALSE,"단축1";#N/A,#N/A,FALSE,"단축2";#N/A,#N/A,FALSE,"단축3";#N/A,#N/A,FALSE,"장축";#N/A,#N/A,FALSE,"4WD"}</definedName>
    <definedName name="MV" hidden="1">{#N/A,#N/A,FALSE,"단축1";#N/A,#N/A,FALSE,"단축2";#N/A,#N/A,FALSE,"단축3";#N/A,#N/A,FALSE,"장축";#N/A,#N/A,FALSE,"4WD"}</definedName>
    <definedName name="MVCN" hidden="1">{#N/A,#N/A,FALSE,"단축1";#N/A,#N/A,FALSE,"단축2";#N/A,#N/A,FALSE,"단축3";#N/A,#N/A,FALSE,"장축";#N/A,#N/A,FALSE,"4WD"}</definedName>
    <definedName name="mx" hidden="1">{#N/A,#N/A,FALSE,"단축1";#N/A,#N/A,FALSE,"단축2";#N/A,#N/A,FALSE,"단축3";#N/A,#N/A,FALSE,"장축";#N/A,#N/A,FALSE,"4WD"}</definedName>
    <definedName name="MXFL투자" hidden="1">{#N/A,#N/A,FALSE,"단축1";#N/A,#N/A,FALSE,"단축2";#N/A,#N/A,FALSE,"단축3";#N/A,#N/A,FALSE,"장축";#N/A,#N/A,FALSE,"4WD"}</definedName>
    <definedName name="MXFL편성" hidden="1">{#N/A,#N/A,FALSE,"단축1";#N/A,#N/A,FALSE,"단축2";#N/A,#N/A,FALSE,"단축3";#N/A,#N/A,FALSE,"장축";#N/A,#N/A,FALSE,"4WD"}</definedName>
    <definedName name="MYM" hidden="1">{0,0,0,0}</definedName>
    <definedName name="MYMJ" hidden="1">{0,0,0,0}</definedName>
    <definedName name="NB" hidden="1">{0,0,0,0}</definedName>
    <definedName name="NBC" hidden="1">{#N/A,#N/A,FALSE,"단축1";#N/A,#N/A,FALSE,"단축2";#N/A,#N/A,FALSE,"단축3";#N/A,#N/A,FALSE,"장축";#N/A,#N/A,FALSE,"4WD"}</definedName>
    <definedName name="NBX" hidden="1">{#N/A,#N/A,FALSE,"을지 (4)";#N/A,#N/A,FALSE,"을지 (5)";#N/A,#N/A,FALSE,"을지 (6)"}</definedName>
    <definedName name="NBXC" hidden="1">#N/A</definedName>
    <definedName name="NCVCNV" hidden="1">{#N/A,#N/A,FALSE,"초도품";#N/A,#N/A,FALSE,"초도품 (2)";#N/A,#N/A,FALSE,"초도품 (3)";#N/A,#N/A,FALSE,"초도품 (4)";#N/A,#N/A,FALSE,"초도품 (5)";#N/A,#N/A,FALSE,"초도품 (6)"}</definedName>
    <definedName name="NDA" hidden="1">{#N/A,#N/A,FALSE,"단축1";#N/A,#N/A,FALSE,"단축2";#N/A,#N/A,FALSE,"단축3";#N/A,#N/A,FALSE,"장축";#N/A,#N/A,FALSE,"4WD"}</definedName>
    <definedName name="ndaz" hidden="1">{#N/A,#N/A,FALSE,"단축1";#N/A,#N/A,FALSE,"단축2";#N/A,#N/A,FALSE,"단축3";#N/A,#N/A,FALSE,"장축";#N/A,#N/A,FALSE,"4WD"}</definedName>
    <definedName name="NEW" hidden="1">{#N/A,#N/A,FALSE,"품의서";#N/A,#N/A,FALSE,"전제";#N/A,#N/A,FALSE,"총손";#N/A,#N/A,FALSE,"손익";#N/A,#N/A,FALSE,"대당";#N/A,#N/A,FALSE,"가공비";#N/A,#N/A,FALSE,"재료비";#N/A,#N/A,FALSE,"판비";#N/A,#N/A,FALSE,"가격"}</definedName>
    <definedName name="NF_COWL_TOP" hidden="1">{#N/A,#N/A,FALSE,"원가검토서"}</definedName>
    <definedName name="N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gfhf" hidden="1">{"'7-2지역별'!$A$1:$R$44"}</definedName>
    <definedName name="NGH" hidden="1">{#N/A,#N/A,TRUE,"Y생산";#N/A,#N/A,TRUE,"Y판매";#N/A,#N/A,TRUE,"Y총물량";#N/A,#N/A,TRUE,"Y능력";#N/A,#N/A,TRUE,"YKD"}</definedName>
    <definedName name="nh" hidden="1">{#VALUE!,#N/A,FALSE,0;#N/A,#N/A,FALSE,0;#N/A,#N/A,FALSE,0;#N/A,#N/A,FALSE,0;#N/A,#N/A,FALSE,0}</definedName>
    <definedName name="NHFXX" hidden="1">{#N/A,#N/A,FALSE,"단축1";#N/A,#N/A,FALSE,"단축2";#N/A,#N/A,FALSE,"단축3";#N/A,#N/A,FALSE,"장축";#N/A,#N/A,FALSE,"4WD"}</definedName>
    <definedName name="NHJ" hidden="1">{#N/A,#N/A,FALSE,"신규dep";#N/A,#N/A,FALSE,"신규dep-금형상각후";#N/A,#N/A,FALSE,"신규dep-연구비상각후";#N/A,#N/A,FALSE,"신규dep-기계,공구상각후"}</definedName>
    <definedName name="NKJEWKEWJEW" hidden="1">{#N/A,#N/A,FALSE,"단축1";#N/A,#N/A,FALSE,"단축2";#N/A,#N/A,FALSE,"단축3";#N/A,#N/A,FALSE,"장축";#N/A,#N/A,FALSE,"4WD"}</definedName>
    <definedName name="nkjnklm" hidden="1">{#N/A,#N/A,FALSE,"정공"}</definedName>
    <definedName name="NKU" hidden="1">{#N/A,#N/A,FALSE,"단축1";#N/A,#N/A,FALSE,"단축2";#N/A,#N/A,FALSE,"단축3";#N/A,#N/A,FALSE,"장축";#N/A,#N/A,FALSE,"4WD"}</definedName>
    <definedName name="nm" hidden="1">{#N/A,#N/A,TRUE,"Y생산";#N/A,#N/A,TRUE,"Y판매";#N/A,#N/A,TRUE,"Y총물량";#N/A,#N/A,TRUE,"Y능력";#N/A,#N/A,TRUE,"YKD"}</definedName>
    <definedName name="nm_1" hidden="1">{#N/A,#N/A,TRUE,"Y생산";#N/A,#N/A,TRUE,"Y판매";#N/A,#N/A,TRUE,"Y총물량";#N/A,#N/A,TRUE,"Y능력";#N/A,#N/A,TRUE,"YKD"}</definedName>
    <definedName name="NMBK" hidden="1">{#N/A,#N/A,FALSE,"단축1";#N/A,#N/A,FALSE,"단축2";#N/A,#N/A,FALSE,"단축3";#N/A,#N/A,FALSE,"장축";#N/A,#N/A,FALSE,"4WD"}</definedName>
    <definedName name="NMW" hidden="1">#REF!</definedName>
    <definedName name="nndn" hidden="1">{#VALUE!,#N/A,FALSE,0;#N/A,#N/A,FALSE,0;#N/A,#N/A,FALSE,0;#N/A,#N/A,FALSE,0;#N/A,#N/A,FALSE,0}</definedName>
    <definedName name="NNL" hidden="1">{#N/A,#N/A,FALSE,"단축1";#N/A,#N/A,FALSE,"단축2";#N/A,#N/A,FALSE,"단축3";#N/A,#N/A,FALSE,"장축";#N/A,#N/A,FALSE,"4WD"}</definedName>
    <definedName name="NNNN" hidden="1">{#N/A,#N/A,FALSE,"단축1";#N/A,#N/A,FALSE,"단축2";#N/A,#N/A,FALSE,"단축3";#N/A,#N/A,FALSE,"장축";#N/A,#N/A,FALSE,"4WD"}</definedName>
    <definedName name="nnnnn" hidden="1">{#N/A,#N/A,FALSE,"단축1";#N/A,#N/A,FALSE,"단축2";#N/A,#N/A,FALSE,"단축3";#N/A,#N/A,FALSE,"장축";#N/A,#N/A,FALSE,"4WD"}</definedName>
    <definedName name="NNNNNNN" hidden="1">{#N/A,#N/A,FALSE,"단축1";#N/A,#N/A,FALSE,"단축2";#N/A,#N/A,FALSE,"단축3";#N/A,#N/A,FALSE,"장축";#N/A,#N/A,FALSE,"4WD"}</definedName>
    <definedName name="NNNNNNN_1" hidden="1">{#N/A,#N/A,FALSE,"단축1";#N/A,#N/A,FALSE,"단축2";#N/A,#N/A,FALSE,"단축3";#N/A,#N/A,FALSE,"장축";#N/A,#N/A,FALSE,"4WD"}</definedName>
    <definedName name="NNNNNNN_2" hidden="1">{#N/A,#N/A,FALSE,"단축1";#N/A,#N/A,FALSE,"단축2";#N/A,#N/A,FALSE,"단축3";#N/A,#N/A,FALSE,"장축";#N/A,#N/A,FALSE,"4WD"}</definedName>
    <definedName name="nnnnnnnnnnnnnnn" hidden="1">{#N/A,#N/A,FALSE,"단축1";#N/A,#N/A,FALSE,"단축2";#N/A,#N/A,FALSE,"단축3";#N/A,#N/A,FALSE,"장축";#N/A,#N/A,FALSE,"4WD"}</definedName>
    <definedName name="nnnnnnnnnnnnnnnnnnnnnnnnnnnnnn" hidden="1">{#N/A,#N/A,FALSE,"단축1";#N/A,#N/A,FALSE,"단축2";#N/A,#N/A,FALSE,"단축3";#N/A,#N/A,FALSE,"장축";#N/A,#N/A,FALSE,"4WD"}</definedName>
    <definedName name="NO332323232" hidden="1">{#N/A,#N/A,FALSE,"단축1";#N/A,#N/A,FALSE,"단축2";#N/A,#N/A,FALSE,"단축3";#N/A,#N/A,FALSE,"장축";#N/A,#N/A,FALSE,"4WD"}</definedName>
    <definedName name="NOBOBOGOPGFO" hidden="1">{#N/A,#N/A,FALSE,"단축1";#N/A,#N/A,FALSE,"단축2";#N/A,#N/A,FALSE,"단축3";#N/A,#N/A,FALSE,"장축";#N/A,#N/A,FALSE,"4WD"}</definedName>
    <definedName name="NOEEWEWEW" hidden="1">{#N/A,#N/A,FALSE,"단축1";#N/A,#N/A,FALSE,"단축2";#N/A,#N/A,FALSE,"단축3";#N/A,#N/A,FALSE,"장축";#N/A,#N/A,FALSE,"4WD"}</definedName>
    <definedName name="NOTE" hidden="1">{#N/A,#N/A,FALSE,"단축1";#N/A,#N/A,FALSE,"단축2";#N/A,#N/A,FALSE,"단축3";#N/A,#N/A,FALSE,"장축";#N/A,#N/A,FALSE,"4WD"}</definedName>
    <definedName name="NR" hidden="1">{#N/A,#N/A,TRUE,"Y생산";#N/A,#N/A,TRUE,"Y판매";#N/A,#N/A,TRUE,"Y총물량";#N/A,#N/A,TRUE,"Y능력";#N/A,#N/A,TRUE,"YKD"}</definedName>
    <definedName name="NR_1" hidden="1">{#N/A,#N/A,TRUE,"Y생산";#N/A,#N/A,TRUE,"Y판매";#N/A,#N/A,TRUE,"Y총물량";#N/A,#N/A,TRUE,"Y능력";#N/A,#N/A,TRUE,"YKD"}</definedName>
    <definedName name="NT" hidden="1">{#N/A,#N/A,TRUE,"Y생산";#N/A,#N/A,TRUE,"Y판매";#N/A,#N/A,TRUE,"Y총물량";#N/A,#N/A,TRUE,"Y능력";#N/A,#N/A,TRUE,"YKD"}</definedName>
    <definedName name="NT_1" hidden="1">{#N/A,#N/A,FALSE,"단축1";#N/A,#N/A,FALSE,"단축2";#N/A,#N/A,FALSE,"단축3";#N/A,#N/A,FALSE,"장축";#N/A,#N/A,FALSE,"4WD"}</definedName>
    <definedName name="ntgbgfbg" hidden="1">{"'7-2지역별'!$A$1:$R$44"}</definedName>
    <definedName name="nthththt" hidden="1">{"'7-2지역별'!$A$1:$R$44"}</definedName>
    <definedName name="NTNTN" hidden="1">{#N/A,#N/A,TRUE,"Y생산";#N/A,#N/A,TRUE,"Y판매";#N/A,#N/A,TRUE,"Y총물량";#N/A,#N/A,TRUE,"Y능력";#N/A,#N/A,TRUE,"YKD"}</definedName>
    <definedName name="ntyntn" hidden="1">{"'7-2지역별'!$A$1:$R$44"}</definedName>
    <definedName name="NW" hidden="1">{#N/A,#N/A,FALSE,"단축1";#N/A,#N/A,FALSE,"단축2";#N/A,#N/A,FALSE,"단축3";#N/A,#N/A,FALSE,"장축";#N/A,#N/A,FALSE,"4WD"}</definedName>
    <definedName name="NX" hidden="1">{#N/A,#N/A,FALSE,"단축1";#N/A,#N/A,FALSE,"단축2";#N/A,#N/A,FALSE,"단축3";#N/A,#N/A,FALSE,"장축";#N/A,#N/A,FALSE,"4WD"}</definedName>
    <definedName name="NXC" hidden="1">{#N/A,#N/A,FALSE,"을지 (4)";#N/A,#N/A,FALSE,"을지 (5)";#N/A,#N/A,FALSE,"을지 (6)"}</definedName>
    <definedName name="NXCVX" hidden="1">{#N/A,#N/A,FALSE,"을지 (4)";#N/A,#N/A,FALSE,"을지 (5)";#N/A,#N/A,FALSE,"을지 (6)"}</definedName>
    <definedName name="NY" hidden="1">{0,0,0,0}</definedName>
    <definedName name="nyjythyyy" hidden="1">{"'7-2지역별'!$A$1:$R$44"}</definedName>
    <definedName name="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GFD" hidden="1">{#N/A,#N/A,FALSE,"단축1";#N/A,#N/A,FALSE,"단축2";#N/A,#N/A,FALSE,"단축3";#N/A,#N/A,FALSE,"장축";#N/A,#N/A,FALSE,"4WD"}</definedName>
    <definedName name="OHGBBB" hidden="1">{"'7-2지역별'!$A$1:$R$44"}</definedName>
    <definedName name="OHP" hidden="1">{#N/A,#N/A,FALSE,"인원";#N/A,#N/A,FALSE,"비용2";#N/A,#N/A,FALSE,"비용1";#N/A,#N/A,FALSE,"비용";#N/A,#N/A,FALSE,"보증2";#N/A,#N/A,FALSE,"보증1";#N/A,#N/A,FALSE,"보증";#N/A,#N/A,FALSE,"손익1";#N/A,#N/A,FALSE,"손익";#N/A,#N/A,FALSE,"부서별매출";#N/A,#N/A,FALSE,"매출"}</definedName>
    <definedName name="OIKO" hidden="1">{#N/A,#N/A,FALSE,"단축1";#N/A,#N/A,FALSE,"단축2";#N/A,#N/A,FALSE,"단축3";#N/A,#N/A,FALSE,"장축";#N/A,#N/A,FALSE,"4WD"}</definedName>
    <definedName name="oil도포" hidden="1">{#N/A,#N/A,FALSE,"단축1";#N/A,#N/A,FALSE,"단축2";#N/A,#N/A,FALSE,"단축3";#N/A,#N/A,FALSE,"장축";#N/A,#N/A,FALSE,"4WD"}</definedName>
    <definedName name="oiytgrf" hidden="1">{#N/A,#N/A,FALSE,"단축1";#N/A,#N/A,FALSE,"단축2";#N/A,#N/A,FALSE,"단축3";#N/A,#N/A,FALSE,"장축";#N/A,#N/A,FALSE,"4WD"}</definedName>
    <definedName name="OL" hidden="1">{#N/A,#N/A,FALSE,"단축1";#N/A,#N/A,FALSE,"단축2";#N/A,#N/A,FALSE,"단축3";#N/A,#N/A,FALSE,"장축";#N/A,#N/A,FALSE,"4WD"}</definedName>
    <definedName name="OLD" hidden="1">{#N/A,#N/A,FALSE,"단축1";#N/A,#N/A,FALSE,"단축2";#N/A,#N/A,FALSE,"단축3";#N/A,#N/A,FALSE,"장축";#N/A,#N/A,FALSE,"4WD"}</definedName>
    <definedName name="OO" hidden="1">{#N/A,#N/A,FALSE,"단축1";#N/A,#N/A,FALSE,"단축2";#N/A,#N/A,FALSE,"단축3";#N/A,#N/A,FALSE,"장축";#N/A,#N/A,FALSE,"4WD"}</definedName>
    <definedName name="ooeag" hidden="1">{#N/A,#N/A,FALSE,"FR 계산내역";#N/A,#N/A,FALSE,"RR 계산내역";#N/A,#N/A,FALSE,"기계경비"}</definedName>
    <definedName name="OOO" hidden="1">{#N/A,#N/A,FALSE,"KMC최종회의(7월) 자료"}</definedName>
    <definedName name="OOO_1" hidden="1">{#N/A,#N/A,FALSE,"KMC최종회의(7월) 자료"}</definedName>
    <definedName name="OOOL" hidden="1">{#N/A,#N/A,FALSE,"표지";#N/A,#N/A,FALSE,"전제";#N/A,#N/A,FALSE,"손익-자 (2)";#N/A,#N/A,FALSE,"손익-자";#N/A,#N/A,FALSE,"손익-마 (2)";#N/A,#N/A,FALSE,"손익-마";#N/A,#N/A,FALSE,"총손최종"}</definedName>
    <definedName name="oooo" hidden="1">{#N/A,#N/A,FALSE,"96 3월물량표";#N/A,#N/A,FALSE,"96 4월물량표";#N/A,#N/A,FALSE,"96 5월물량표"}</definedName>
    <definedName name="oooo_1" hidden="1">{#N/A,#N/A,FALSE,"96 3월물량표";#N/A,#N/A,FALSE,"96 4월물량표";#N/A,#N/A,FALSE,"96 5월물량표"}</definedName>
    <definedName name="OOOOO" hidden="1">{#N/A,#N/A,TRUE,"Y생산";#N/A,#N/A,TRUE,"Y판매";#N/A,#N/A,TRUE,"Y총물량";#N/A,#N/A,TRUE,"Y능력";#N/A,#N/A,TRUE,"YKD"}</definedName>
    <definedName name="OOOOO_1" hidden="1">{#N/A,#N/A,TRUE,"Y생산";#N/A,#N/A,TRUE,"Y판매";#N/A,#N/A,TRUE,"Y총물량";#N/A,#N/A,TRUE,"Y능력";#N/A,#N/A,TRUE,"YKD"}</definedName>
    <definedName name="oooooo" hidden="1">{#N/A,#N/A,FALSE,"단축1";#N/A,#N/A,FALSE,"단축2";#N/A,#N/A,FALSE,"단축3";#N/A,#N/A,FALSE,"장축";#N/A,#N/A,FALSE,"4WD"}</definedName>
    <definedName name="oop" hidden="1">{#N/A,#N/A,FALSE,"표지";#N/A,#N/A,FALSE,"전제";#N/A,#N/A,FALSE,"손익-자 (2)";#N/A,#N/A,FALSE,"손익-자";#N/A,#N/A,FALSE,"손익-마 (2)";#N/A,#N/A,FALSE,"손익-마";#N/A,#N/A,FALSE,"총손최종"}</definedName>
    <definedName name="OP" hidden="1">{#N/A,#N/A,FALSE,"단축1";#N/A,#N/A,FALSE,"단축2";#N/A,#N/A,FALSE,"단축3";#N/A,#N/A,FALSE,"장축";#N/A,#N/A,FALSE,"4WD"}</definedName>
    <definedName name="OPL" hidden="1">{#VALUE!,#N/A,FALSE,0;#N/A,#N/A,FALSE,0;#N/A,#N/A,FALSE,0;#N/A,#N/A,FALSE,0;#N/A,#N/A,FALSE,0}</definedName>
    <definedName name="OPUOYIOIYTTERGEWEWR" hidden="1">{#N/A,#N/A,FALSE,"단축1";#N/A,#N/A,FALSE,"단축2";#N/A,#N/A,FALSE,"단축3";#N/A,#N/A,FALSE,"장축";#N/A,#N/A,FALSE,"4WD"}</definedName>
    <definedName name="ORDER" hidden="1">{#N/A,#N/A,FALSE,"단축1";#N/A,#N/A,FALSE,"단축2";#N/A,#N/A,FALSE,"단축3";#N/A,#N/A,FALSE,"장축";#N/A,#N/A,FALSE,"4WD"}</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1용도" hidden="1">{#N/A,#N/A,FALSE,"단축1";#N/A,#N/A,FALSE,"단축2";#N/A,#N/A,FALSE,"단축3";#N/A,#N/A,FALSE,"장축";#N/A,#N/A,FALSE,"4WD"}</definedName>
    <definedName name="P1최종" hidden="1">{#N/A,#N/A,FALSE,"단축1";#N/A,#N/A,FALSE,"단축2";#N/A,#N/A,FALSE,"단축3";#N/A,#N/A,FALSE,"장축";#N/A,#N/A,FALSE,"4WD"}</definedName>
    <definedName name="P2예산" hidden="1">{#N/A,#N/A,FALSE,"단축1";#N/A,#N/A,FALSE,"단축2";#N/A,#N/A,FALSE,"단축3";#N/A,#N/A,FALSE,"장축";#N/A,#N/A,FALSE,"4WD"}</definedName>
    <definedName name="P3가공향상" hidden="1">{#N/A,#N/A,TRUE,"Y생산";#N/A,#N/A,TRUE,"Y판매";#N/A,#N/A,TRUE,"Y총물량";#N/A,#N/A,TRUE,"Y능력";#N/A,#N/A,TRUE,"YKD"}</definedName>
    <definedName name="P3가공향상_1" hidden="1">{#N/A,#N/A,TRUE,"Y생산";#N/A,#N/A,TRUE,"Y판매";#N/A,#N/A,TRUE,"Y총물량";#N/A,#N/A,TRUE,"Y능력";#N/A,#N/A,TRUE,"YKD"}</definedName>
    <definedName name="P4_01" hidden="1">{#N/A,#N/A,FALSE,"단축1";#N/A,#N/A,FALSE,"단축2";#N/A,#N/A,FALSE,"단축3";#N/A,#N/A,FALSE,"장축";#N/A,#N/A,FALSE,"4WD"}</definedName>
    <definedName name="P4_02" hidden="1">{#N/A,#N/A,FALSE,"단축1";#N/A,#N/A,FALSE,"단축2";#N/A,#N/A,FALSE,"단축3";#N/A,#N/A,FALSE,"장축";#N/A,#N/A,FALSE,"4WD"}</definedName>
    <definedName name="PA" hidden="1">#N/A</definedName>
    <definedName name="PACKAGE3" hidden="1">{#N/A,#N/A,FALSE,"단축1";#N/A,#N/A,FALSE,"단축2";#N/A,#N/A,FALSE,"단축3";#N/A,#N/A,FALSE,"장축";#N/A,#N/A,FALSE,"4WD"}</definedName>
    <definedName name="PAC중대형" hidden="1">{#N/A,#N/A,TRUE,"매출진척-1";#N/A,#N/A,TRUE,"매출진척-2";#N/A,#N/A,TRUE,"제품실적";#N/A,#N/A,TRUE,"RAC";#N/A,#N/A,TRUE,"PAC ";#N/A,#N/A,TRUE,"재고현황";#N/A,#N/A,TRUE,"공지사항"}</definedName>
    <definedName name="pado" hidden="1">{#N/A,#N/A,FALSE,"단축1";#N/A,#N/A,FALSE,"단축2";#N/A,#N/A,FALSE,"단축3";#N/A,#N/A,FALSE,"장축";#N/A,#N/A,FALSE,"4WD"}</definedName>
    <definedName name="PADWN" hidden="1">#REF!</definedName>
    <definedName name="PAGE4" hidden="1">{#N/A,#N/A,FALSE,"단축1";#N/A,#N/A,FALSE,"단축2";#N/A,#N/A,FALSE,"단축3";#N/A,#N/A,FALSE,"장축";#N/A,#N/A,FALSE,"4WD"}</definedName>
    <definedName name="PAGE4_1" hidden="1">{#N/A,#N/A,FALSE,"단축1";#N/A,#N/A,FALSE,"단축2";#N/A,#N/A,FALSE,"단축3";#N/A,#N/A,FALSE,"장축";#N/A,#N/A,FALSE,"4WD"}</definedName>
    <definedName name="PAGE4_2" hidden="1">{#N/A,#N/A,FALSE,"단축1";#N/A,#N/A,FALSE,"단축2";#N/A,#N/A,FALSE,"단축3";#N/A,#N/A,FALSE,"장축";#N/A,#N/A,FALSE,"4WD"}</definedName>
    <definedName name="PARK" hidden="1">{#N/A,#N/A,FALSE,"단축1";#N/A,#N/A,FALSE,"단축2";#N/A,#N/A,FALSE,"단축3";#N/A,#N/A,FALSE,"장축";#N/A,#N/A,FALSE,"4WD"}</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CV" hidden="1">{#N/A,#N/A,FALSE,"단축1";#N/A,#N/A,FALSE,"단축2";#N/A,#N/A,FALSE,"단축3";#N/A,#N/A,FALSE,"장축";#N/A,#N/A,FALSE,"4WD"}</definedName>
    <definedName name="per" hidden="1">{#N/A,#N/A,FALSE,"인원";#N/A,#N/A,FALSE,"비용2";#N/A,#N/A,FALSE,"비용1";#N/A,#N/A,FALSE,"비용";#N/A,#N/A,FALSE,"보증2";#N/A,#N/A,FALSE,"보증1";#N/A,#N/A,FALSE,"보증";#N/A,#N/A,FALSE,"손익1";#N/A,#N/A,FALSE,"손익";#N/A,#N/A,FALSE,"부서별매출";#N/A,#N/A,FALSE,"매출"}</definedName>
    <definedName name="PH단계별" hidden="1">{#N/A,#N/A,TRUE,"일정"}</definedName>
    <definedName name="PI" hidden="1">{#N/A,#N/A,TRUE,"Y생산";#N/A,#N/A,TRUE,"Y판매";#N/A,#N/A,TRUE,"Y총물량";#N/A,#N/A,TRUE,"Y능력";#N/A,#N/A,TRUE,"YKD"}</definedName>
    <definedName name="PI_1" hidden="1">{#N/A,#N/A,TRUE,"Y생산";#N/A,#N/A,TRUE,"Y판매";#N/A,#N/A,TRUE,"Y총물량";#N/A,#N/A,TRUE,"Y능력";#N/A,#N/A,TRUE,"YKD"}</definedName>
    <definedName name="PILOT" hidden="1">{#N/A,#N/A,FALSE,"단축1";#N/A,#N/A,FALSE,"단축2";#N/A,#N/A,FALSE,"단축3";#N/A,#N/A,FALSE,"장축";#N/A,#N/A,FALSE,"4WD"}</definedName>
    <definedName name="PILOT_1" hidden="1">{#N/A,#N/A,FALSE,"단축1";#N/A,#N/A,FALSE,"단축2";#N/A,#N/A,FALSE,"단축3";#N/A,#N/A,FALSE,"장축";#N/A,#N/A,FALSE,"4WD"}</definedName>
    <definedName name="Pilot1" hidden="1">{#N/A,#N/A,FALSE,"단축1";#N/A,#N/A,FALSE,"단축2";#N/A,#N/A,FALSE,"단축3";#N/A,#N/A,FALSE,"장축";#N/A,#N/A,FALSE,"4WD"}</definedName>
    <definedName name="Pilot2" hidden="1">{#N/A,#N/A,FALSE,"단축1";#N/A,#N/A,FALSE,"단축2";#N/A,#N/A,FALSE,"단축3";#N/A,#N/A,FALSE,"장축";#N/A,#N/A,FALSE,"4WD"}</definedName>
    <definedName name="Pilot2용도" hidden="1">{#N/A,#N/A,FALSE,"단축1";#N/A,#N/A,FALSE,"단축2";#N/A,#N/A,FALSE,"단축3";#N/A,#N/A,FALSE,"장축";#N/A,#N/A,FALSE,"4WD"}</definedName>
    <definedName name="PIR" hidden="1">{#N/A,#N/A,FALSE,"단축1";#N/A,#N/A,FALSE,"단축2";#N/A,#N/A,FALSE,"단축3";#N/A,#N/A,FALSE,"장축";#N/A,#N/A,FALSE,"4WD"}</definedName>
    <definedName name="pj" hidden="1">{#N/A,#N/A,FALSE,"단축1";#N/A,#N/A,FALSE,"단축2";#N/A,#N/A,FALSE,"단축3";#N/A,#N/A,FALSE,"장축";#N/A,#N/A,FALSE,"4WD"}</definedName>
    <definedName name="pjjfvhgb" hidden="1">{"'7-2지역별'!$A$1:$R$44"}</definedName>
    <definedName name="PJT" hidden="1">{#N/A,#N/A,FALSE,"인원";#N/A,#N/A,FALSE,"비용2";#N/A,#N/A,FALSE,"비용1";#N/A,#N/A,FALSE,"비용";#N/A,#N/A,FALSE,"보증2";#N/A,#N/A,FALSE,"보증1";#N/A,#N/A,FALSE,"보증";#N/A,#N/A,FALSE,"손익1";#N/A,#N/A,FALSE,"손익";#N/A,#N/A,FALSE,"부서별매출";#N/A,#N/A,FALSE,"매출"}</definedName>
    <definedName name="PKJJNNM" hidden="1">{"'7-2지역별'!$A$1:$R$44"}</definedName>
    <definedName name="PKK" hidden="1">{#N/A,#N/A,TRUE,"Y생산";#N/A,#N/A,TRUE,"Y판매";#N/A,#N/A,TRUE,"Y총물량";#N/A,#N/A,TRUE,"Y능력";#N/A,#N/A,TRUE,"YKD"}</definedName>
    <definedName name="PKK_1" hidden="1">{#N/A,#N/A,TRUE,"Y생산";#N/A,#N/A,TRUE,"Y판매";#N/A,#N/A,TRUE,"Y총물량";#N/A,#N/A,TRUE,"Y능력";#N/A,#N/A,TRUE,"YKD"}</definedName>
    <definedName name="PLATE" hidden="1">{#N/A,#N/A,FALSE,"단축1";#N/A,#N/A,FALSE,"단축2";#N/A,#N/A,FALSE,"단축3";#N/A,#N/A,FALSE,"장축";#N/A,#N/A,FALSE,"4WD"}</definedName>
    <definedName name="PLJG" hidden="1">{#N/A,#N/A,FALSE,"단축1";#N/A,#N/A,FALSE,"단축2";#N/A,#N/A,FALSE,"단축3";#N/A,#N/A,FALSE,"장축";#N/A,#N/A,FALSE,"4WD"}</definedName>
    <definedName name="PLPLPLPLPLPLPL" hidden="1">{#N/A,#N/A,FALSE,"단축1";#N/A,#N/A,FALSE,"단축2";#N/A,#N/A,FALSE,"단축3";#N/A,#N/A,FALSE,"장축";#N/A,#N/A,FALSE,"4WD"}</definedName>
    <definedName name="PLPLPLPLPLPLPL_1" hidden="1">{#N/A,#N/A,FALSE,"단축1";#N/A,#N/A,FALSE,"단축2";#N/A,#N/A,FALSE,"단축3";#N/A,#N/A,FALSE,"장축";#N/A,#N/A,FALSE,"4WD"}</definedName>
    <definedName name="PLPLPLPLPLPLPL_2" hidden="1">{#N/A,#N/A,FALSE,"단축1";#N/A,#N/A,FALSE,"단축2";#N/A,#N/A,FALSE,"단축3";#N/A,#N/A,FALSE,"장축";#N/A,#N/A,FALSE,"4WD"}</definedName>
    <definedName name="PLZ" hidden="1">{"Wire Charts",#N/A,TRUE,"Wires"}</definedName>
    <definedName name="pm"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 hidden="1">{#N/A,#N/A,FALSE,"단축1";#N/A,#N/A,FALSE,"단축2";#N/A,#N/A,FALSE,"단축3";#N/A,#N/A,FALSE,"장축";#N/A,#N/A,FALSE,"4WD"}</definedName>
    <definedName name="POIL" hidden="1">{#N/A,#N/A,FALSE,"단축1";#N/A,#N/A,FALSE,"단축2";#N/A,#N/A,FALSE,"단축3";#N/A,#N/A,FALSE,"장축";#N/A,#N/A,FALSE,"4WD"}</definedName>
    <definedName name="POIU" hidden="1">{#N/A,#N/A,FALSE,"단축1";#N/A,#N/A,FALSE,"단축2";#N/A,#N/A,FALSE,"단축3";#N/A,#N/A,FALSE,"장축";#N/A,#N/A,FALSE,"4WD"}</definedName>
    <definedName name="POPO" hidden="1">{#N/A,#N/A,FALSE,"단축1";#N/A,#N/A,FALSE,"단축2";#N/A,#N/A,FALSE,"단축3";#N/A,#N/A,FALSE,"장축";#N/A,#N/A,FALSE,"4WD"}</definedName>
    <definedName name="pp" hidden="1">#REF!</definedName>
    <definedName name="PPK" hidden="1">{#N/A,#N/A,FALSE,"96 3월물량표";#N/A,#N/A,FALSE,"96 4월물량표";#N/A,#N/A,FALSE,"96 5월물량표"}</definedName>
    <definedName name="PPK_1" hidden="1">{#N/A,#N/A,FALSE,"96 3월물량표";#N/A,#N/A,FALSE,"96 4월물량표";#N/A,#N/A,FALSE,"96 5월물량표"}</definedName>
    <definedName name="PPK_2" hidden="1">{#N/A,#N/A,FALSE,"96 3월물량표";#N/A,#N/A,FALSE,"96 4월물량표";#N/A,#N/A,FALSE,"96 5월물량표"}</definedName>
    <definedName name="PPK_2_1" hidden="1">{#N/A,#N/A,FALSE,"96 3월물량표";#N/A,#N/A,FALSE,"96 4월물량표";#N/A,#N/A,FALSE,"96 5월물량표"}</definedName>
    <definedName name="PPK_2_2" hidden="1">{#N/A,#N/A,FALSE,"96 3월물량표";#N/A,#N/A,FALSE,"96 4월물량표";#N/A,#N/A,FALSE,"96 5월물량표"}</definedName>
    <definedName name="PPK_2_3" hidden="1">{#N/A,#N/A,FALSE,"96 3월물량표";#N/A,#N/A,FALSE,"96 4월물량표";#N/A,#N/A,FALSE,"96 5월물량표"}</definedName>
    <definedName name="PPK_3" hidden="1">{#N/A,#N/A,FALSE,"96 3월물량표";#N/A,#N/A,FALSE,"96 4월물량표";#N/A,#N/A,FALSE,"96 5월물량표"}</definedName>
    <definedName name="PPK_3_1" hidden="1">{#N/A,#N/A,FALSE,"96 3월물량표";#N/A,#N/A,FALSE,"96 4월물량표";#N/A,#N/A,FALSE,"96 5월물량표"}</definedName>
    <definedName name="PPK_3_2" hidden="1">{#N/A,#N/A,FALSE,"96 3월물량표";#N/A,#N/A,FALSE,"96 4월물량표";#N/A,#N/A,FALSE,"96 5월물량표"}</definedName>
    <definedName name="PPK_3_3" hidden="1">{#N/A,#N/A,FALSE,"96 3월물량표";#N/A,#N/A,FALSE,"96 4월물량표";#N/A,#N/A,FALSE,"96 5월물량표"}</definedName>
    <definedName name="PPK_4" hidden="1">{#N/A,#N/A,FALSE,"96 3월물량표";#N/A,#N/A,FALSE,"96 4월물량표";#N/A,#N/A,FALSE,"96 5월물량표"}</definedName>
    <definedName name="PPK_5" hidden="1">{#N/A,#N/A,FALSE,"96 3월물량표";#N/A,#N/A,FALSE,"96 4월물량표";#N/A,#N/A,FALSE,"96 5월물량표"}</definedName>
    <definedName name="ppo" hidden="1">{#N/A,#N/A,FALSE,"단축1";#N/A,#N/A,FALSE,"단축2";#N/A,#N/A,FALSE,"단축3";#N/A,#N/A,FALSE,"장축";#N/A,#N/A,FALSE,"4WD"}</definedName>
    <definedName name="PPODA" hidden="1">{#N/A,#N/A,FALSE,"FR 계산내역";#N/A,#N/A,FALSE,"RR 계산내역";#N/A,#N/A,FALSE,"기계경비"}</definedName>
    <definedName name="ppp" hidden="1">{#N/A,#N/A,FALSE,"KMC최종회의(7월) 자료"}</definedName>
    <definedName name="ppp_1" hidden="1">{#N/A,#N/A,FALSE,"KMC최종회의(7월) 자료"}</definedName>
    <definedName name="PPPP" hidden="1">{#N/A,#N/A,FALSE,"KMC최종회의(7월) 자료"}</definedName>
    <definedName name="PPPP_1" hidden="1">{#N/A,#N/A,FALSE,"KMC최종회의(7월) 자료"}</definedName>
    <definedName name="PPPP_2" hidden="1">{#N/A,#N/A,FALSE,"KMC최종회의(7월) 자료"}</definedName>
    <definedName name="PPPPP" hidden="1">{#N/A,#N/A,TRUE,"Y생산";#N/A,#N/A,TRUE,"Y판매";#N/A,#N/A,TRUE,"Y총물량";#N/A,#N/A,TRUE,"Y능력";#N/A,#N/A,TRUE,"YKD"}</definedName>
    <definedName name="PPPPP_1" hidden="1">{#N/A,#N/A,TRUE,"Y생산";#N/A,#N/A,TRUE,"Y판매";#N/A,#N/A,TRUE,"Y총물량";#N/A,#N/A,TRUE,"Y능력";#N/A,#N/A,TRUE,"YKD"}</definedName>
    <definedName name="PP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p" hidden="1">{#N/A,#N/A,FALSE,"단축1";#N/A,#N/A,FALSE,"단축2";#N/A,#N/A,FALSE,"단축3";#N/A,#N/A,FALSE,"장축";#N/A,#N/A,FALSE,"4WD"}</definedName>
    <definedName name="ppppppppppp" hidden="1">{#N/A,#N/A,FALSE,"단축1";#N/A,#N/A,FALSE,"단축2";#N/A,#N/A,FALSE,"단축3";#N/A,#N/A,FALSE,"장축";#N/A,#N/A,FALSE,"4WD"}</definedName>
    <definedName name="pppppppppppppppp" hidden="1">{#N/A,#N/A,TRUE,"Y생산";#N/A,#N/A,TRUE,"Y판매";#N/A,#N/A,TRUE,"Y총물량";#N/A,#N/A,TRUE,"Y능력";#N/A,#N/A,TRUE,"YKD"}</definedName>
    <definedName name="pppppppppppppppp_1" hidden="1">{#N/A,#N/A,TRUE,"Y생산";#N/A,#N/A,TRUE,"Y판매";#N/A,#N/A,TRUE,"Y총물량";#N/A,#N/A,TRUE,"Y능력";#N/A,#N/A,TRUE,"YKD"}</definedName>
    <definedName name="PPPPPPPPPPPPPPPPPPPPPPP" hidden="1">{#N/A,#N/A,FALSE,"단축1";#N/A,#N/A,FALSE,"단축2";#N/A,#N/A,FALSE,"단축3";#N/A,#N/A,FALSE,"장축";#N/A,#N/A,FALSE,"4WD"}</definedName>
    <definedName name="pppu" hidden="1">{#N/A,#N/A,FALSE,"단축1";#N/A,#N/A,FALSE,"단축2";#N/A,#N/A,FALSE,"단축3";#N/A,#N/A,FALSE,"장축";#N/A,#N/A,FALSE,"4WD"}</definedName>
    <definedName name="_xlnm.Print_Area" hidden="1">#REF!</definedName>
    <definedName name="_xlnm.Print_Titles" hidden="1">#REF!</definedName>
    <definedName name="PRO" hidden="1">{#N/A,#N/A,TRUE,"일정"}</definedName>
    <definedName name="PROJEC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oj종합" hidden="1">{#N/A,#N/A,FALSE,"단축1";#N/A,#N/A,FALSE,"단축2";#N/A,#N/A,FALSE,"단축3";#N/A,#N/A,FALSE,"장축";#N/A,#N/A,FALSE,"4WD"}</definedName>
    <definedName name="PROTO2" hidden="1">{#N/A,#N/A,FALSE,"단축1";#N/A,#N/A,FALSE,"단축2";#N/A,#N/A,FALSE,"단축3";#N/A,#N/A,FALSE,"장축";#N/A,#N/A,FALSE,"4WD"}</definedName>
    <definedName name="PROTO2_1" hidden="1">{#N/A,#N/A,FALSE,"단축1";#N/A,#N/A,FALSE,"단축2";#N/A,#N/A,FALSE,"단축3";#N/A,#N/A,FALSE,"장축";#N/A,#N/A,FALSE,"4WD"}</definedName>
    <definedName name="PROTO3" hidden="1">{#N/A,#N/A,FALSE,"단축1";#N/A,#N/A,FALSE,"단축2";#N/A,#N/A,FALSE,"단축3";#N/A,#N/A,FALSE,"장축";#N/A,#N/A,FALSE,"4WD"}</definedName>
    <definedName name="PROTO3_1" hidden="1">{#N/A,#N/A,FALSE,"단축1";#N/A,#N/A,FALSE,"단축2";#N/A,#N/A,FALSE,"단축3";#N/A,#N/A,FALSE,"장축";#N/A,#N/A,FALSE,"4WD"}</definedName>
    <definedName name="Proto대수" hidden="1">{#N/A,#N/A,FALSE,"단축1";#N/A,#N/A,FALSE,"단축2";#N/A,#N/A,FALSE,"단축3";#N/A,#N/A,FALSE,"장축";#N/A,#N/A,FALSE,"4WD"}</definedName>
    <definedName name="Proto대수조정" hidden="1">{#N/A,#N/A,FALSE,"단축1";#N/A,#N/A,FALSE,"단축2";#N/A,#N/A,FALSE,"단축3";#N/A,#N/A,FALSE,"장축";#N/A,#N/A,FALSE,"4WD"}</definedName>
    <definedName name="Proto조정" hidden="1">{#N/A,#N/A,FALSE,"단축1";#N/A,#N/A,FALSE,"단축2";#N/A,#N/A,FALSE,"단축3";#N/A,#N/A,FALSE,"장축";#N/A,#N/A,FALSE,"4WD"}</definedName>
    <definedName name="PRTO" hidden="1">{#N/A,#N/A,FALSE,"단축1";#N/A,#N/A,FALSE,"단축2";#N/A,#N/A,FALSE,"단축3";#N/A,#N/A,FALSE,"장축";#N/A,#N/A,FALSE,"4WD"}</definedName>
    <definedName name="PT다추가" hidden="1">{#N/A,#N/A,TRUE,"Y생산";#N/A,#N/A,TRUE,"Y판매";#N/A,#N/A,TRUE,"Y총물량";#N/A,#N/A,TRUE,"Y능력";#N/A,#N/A,TRUE,"YKD"}</definedName>
    <definedName name="PU" hidden="1">{#N/A,#N/A,FALSE,"KMC최종회의(7월) 자료"}</definedName>
    <definedName name="puouo" hidden="1">{#N/A,#N/A,FALSE,"단축1";#N/A,#N/A,FALSE,"단축2";#N/A,#N/A,FALSE,"단축3";#N/A,#N/A,FALSE,"장축";#N/A,#N/A,FALSE,"4WD"}</definedName>
    <definedName name="PW" hidden="1">{#N/A,#N/A,FALSE,"단축1";#N/A,#N/A,FALSE,"단축2";#N/A,#N/A,FALSE,"단축3";#N/A,#N/A,FALSE,"장축";#N/A,#N/A,FALSE,"4WD"}</definedName>
    <definedName name="PW문제점대책" hidden="1">{#N/A,#N/A,FALSE,"단축1";#N/A,#N/A,FALSE,"단축2";#N/A,#N/A,FALSE,"단축3";#N/A,#N/A,FALSE,"장축";#N/A,#N/A,FALSE,"4WD"}</definedName>
    <definedName name="P사세" hidden="1">{#N/A,#N/A,FALSE,"단축1";#N/A,#N/A,FALSE,"단축2";#N/A,#N/A,FALSE,"단축3";#N/A,#N/A,FALSE,"장축";#N/A,#N/A,FALSE,"4WD"}</definedName>
    <definedName name="Q" hidden="1">{#N/A,#N/A,FALSE,"을지 (4)";#N/A,#N/A,FALSE,"을지 (5)";#N/A,#N/A,FALSE,"을지 (6)"}</definedName>
    <definedName name="Q0" hidden="1">{#N/A,#N/A,FALSE,"KMC최종회의(7월) 자료"}</definedName>
    <definedName name="Q0_1" hidden="1">{#N/A,#N/A,FALSE,"KMC최종회의(7월) 자료"}</definedName>
    <definedName name="Q0_2" hidden="1">{#N/A,#N/A,FALSE,"KMC최종회의(7월) 자료"}</definedName>
    <definedName name="QA" hidden="1">{#N/A,#N/A,FALSE,"단축1";#N/A,#N/A,FALSE,"단축2";#N/A,#N/A,FALSE,"단축3";#N/A,#N/A,FALSE,"장축";#N/A,#N/A,FALSE,"4WD"}</definedName>
    <definedName name="qaqaq" hidden="1">{#N/A,#N/A,FALSE,"단축1";#N/A,#N/A,FALSE,"단축2";#N/A,#N/A,FALSE,"단축3";#N/A,#N/A,FALSE,"장축";#N/A,#N/A,FALSE,"4WD"}</definedName>
    <definedName name="QAS" hidden="1">{#N/A,#N/A,FALSE,"단축1";#N/A,#N/A,FALSE,"단축2";#N/A,#N/A,FALSE,"단축3";#N/A,#N/A,FALSE,"장축";#N/A,#N/A,FALSE,"4WD"}</definedName>
    <definedName name="QAW" hidden="1">{#N/A,#N/A,FALSE,"을지 (4)";#N/A,#N/A,FALSE,"을지 (5)";#N/A,#N/A,FALSE,"을지 (6)"}</definedName>
    <definedName name="QAWVRXTHXFG" hidden="1">{#N/A,#N/A,FALSE,"단축1";#N/A,#N/A,FALSE,"단축2";#N/A,#N/A,FALSE,"단축3";#N/A,#N/A,FALSE,"장축";#N/A,#N/A,FALSE,"4WD"}</definedName>
    <definedName name="QAZ" hidden="1">{#N/A,#N/A,FALSE,"단축1";#N/A,#N/A,FALSE,"단축2";#N/A,#N/A,FALSE,"단축3";#N/A,#N/A,FALSE,"장축";#N/A,#N/A,FALSE,"4WD"}</definedName>
    <definedName name="QCOST" hidden="1">{#N/A,#N/A,FALSE,"KMC최종회의(7월) 자료"}</definedName>
    <definedName name="QCOST_1" hidden="1">{#N/A,#N/A,FALSE,"KMC최종회의(7월) 자료"}</definedName>
    <definedName name="QCOST_2" hidden="1">{#N/A,#N/A,FALSE,"KMC최종회의(7월) 자료"}</definedName>
    <definedName name="QD" hidden="1">{#N/A,#N/A,FALSE,"단축1";#N/A,#N/A,FALSE,"단축2";#N/A,#N/A,FALSE,"단축3";#N/A,#N/A,FALSE,"장축";#N/A,#N/A,FALSE,"4WD"}</definedName>
    <definedName name="QE" hidden="1">{#N/A,#N/A,FALSE,"초도품";#N/A,#N/A,FALSE,"초도품 (2)";#N/A,#N/A,FALSE,"초도품 (3)";#N/A,#N/A,FALSE,"초도품 (4)";#N/A,#N/A,FALSE,"초도품 (5)";#N/A,#N/A,FALSE,"초도품 (6)"}</definedName>
    <definedName name="QEEQQEFQFF" hidden="1">{#N/A,#N/A,FALSE,"단축1";#N/A,#N/A,FALSE,"단축2";#N/A,#N/A,FALSE,"단축3";#N/A,#N/A,FALSE,"장축";#N/A,#N/A,FALSE,"4WD"}</definedName>
    <definedName name="QEFEEEQ" hidden="1">{#N/A,#N/A,FALSE,"단축1";#N/A,#N/A,FALSE,"단축2";#N/A,#N/A,FALSE,"단축3";#N/A,#N/A,FALSE,"장축";#N/A,#N/A,FALSE,"4WD"}</definedName>
    <definedName name="QEQ" hidden="1">{#N/A,#N/A,FALSE,"KMC최종회의(7월) 자료"}</definedName>
    <definedName name="QEQ_1" hidden="1">{#N/A,#N/A,FALSE,"KMC최종회의(7월) 자료"}</definedName>
    <definedName name="QEQ_2" hidden="1">{#N/A,#N/A,FALSE,"KMC최종회의(7월) 자료"}</definedName>
    <definedName name="QEQEEQEQEQEQ" hidden="1">{#N/A,#N/A,FALSE,"단축1";#N/A,#N/A,FALSE,"단축2";#N/A,#N/A,FALSE,"단축3";#N/A,#N/A,FALSE,"장축";#N/A,#N/A,FALSE,"4WD"}</definedName>
    <definedName name="QEQEQEEQQE" hidden="1">{#N/A,#N/A,FALSE,"단축1";#N/A,#N/A,FALSE,"단축2";#N/A,#N/A,FALSE,"단축3";#N/A,#N/A,FALSE,"장축";#N/A,#N/A,FALSE,"4WD"}</definedName>
    <definedName name="qet" hidden="1">{#N/A,#N/A,TRUE,"Y생산";#N/A,#N/A,TRUE,"Y판매";#N/A,#N/A,TRUE,"Y총물량";#N/A,#N/A,TRUE,"Y능력";#N/A,#N/A,TRUE,"YKD"}</definedName>
    <definedName name="qet_1" hidden="1">{#N/A,#N/A,TRUE,"Y생산";#N/A,#N/A,TRUE,"Y판매";#N/A,#N/A,TRUE,"Y총물량";#N/A,#N/A,TRUE,"Y능력";#N/A,#N/A,TRUE,"YKD"}</definedName>
    <definedName name="QFG" hidden="1">{0,0,0,0}</definedName>
    <definedName name="qghjjnj" hidden="1">{"'7-2지역별'!$A$1:$R$44"}</definedName>
    <definedName name="qh" hidden="1">{#N/A,#N/A,FALSE,"KMC최종회의(7월) 자료"}</definedName>
    <definedName name="qh_1" hidden="1">{#N/A,#N/A,FALSE,"KMC최종회의(7월) 자료"}</definedName>
    <definedName name="qh_2" hidden="1">{#N/A,#N/A,FALSE,"KMC최종회의(7월) 자료"}</definedName>
    <definedName name="QJQH" hidden="1">{#N/A,#N/A,FALSE,"단축1";#N/A,#N/A,FALSE,"단축2";#N/A,#N/A,FALSE,"단축3";#N/A,#N/A,FALSE,"장축";#N/A,#N/A,FALSE,"4WD"}</definedName>
    <definedName name="qk" hidden="1">{#N/A,#N/A,TRUE,"Y생산";#N/A,#N/A,TRUE,"Y판매";#N/A,#N/A,TRUE,"Y총물량";#N/A,#N/A,TRUE,"Y능력";#N/A,#N/A,TRUE,"YKD"}</definedName>
    <definedName name="QKQHDI" hidden="1">{#N/A,#N/A,FALSE,"단축1";#N/A,#N/A,FALSE,"단축2";#N/A,#N/A,FALSE,"단축3";#N/A,#N/A,FALSE,"장축";#N/A,#N/A,FALSE,"4WD"}</definedName>
    <definedName name="QKR" hidden="1">{#N/A,#N/A,FALSE,"단축1";#N/A,#N/A,FALSE,"단축2";#N/A,#N/A,FALSE,"단축3";#N/A,#N/A,FALSE,"장축";#N/A,#N/A,FALSE,"4WD"}</definedName>
    <definedName name="qkrrmsghk" hidden="1">{#N/A,#N/A,FALSE,"단축1";#N/A,#N/A,FALSE,"단축2";#N/A,#N/A,FALSE,"단축3";#N/A,#N/A,FALSE,"장축";#N/A,#N/A,FALSE,"4WD"}</definedName>
    <definedName name="QKWL" hidden="1">{#N/A,#N/A,FALSE,"단축1";#N/A,#N/A,FALSE,"단축2";#N/A,#N/A,FALSE,"단축3";#N/A,#N/A,FALSE,"장축";#N/A,#N/A,FALSE,"4WD"}</definedName>
    <definedName name="QL" hidden="1">{#N/A,#N/A,FALSE,"단축1";#N/A,#N/A,FALSE,"단축2";#N/A,#N/A,FALSE,"단축3";#N/A,#N/A,FALSE,"장축";#N/A,#N/A,FALSE,"4WD"}</definedName>
    <definedName name="qltm" hidden="1">{#N/A,#N/A,TRUE,"Y생산";#N/A,#N/A,TRUE,"Y판매";#N/A,#N/A,TRUE,"Y총물량";#N/A,#N/A,TRUE,"Y능력";#N/A,#N/A,TRUE,"YKD"}</definedName>
    <definedName name="qltm_1" hidden="1">{#N/A,#N/A,TRUE,"Y생산";#N/A,#N/A,TRUE,"Y판매";#N/A,#N/A,TRUE,"Y총물량";#N/A,#N/A,TRUE,"Y능력";#N/A,#N/A,TRUE,"YKD"}</definedName>
    <definedName name="qltm_2" hidden="1">{#N/A,#N/A,TRUE,"Y생산";#N/A,#N/A,TRUE,"Y판매";#N/A,#N/A,TRUE,"Y총물량";#N/A,#N/A,TRUE,"Y능력";#N/A,#N/A,TRUE,"YKD"}</definedName>
    <definedName name="qlty" hidden="1">{#N/A,#N/A,TRUE,"Y생산";#N/A,#N/A,TRUE,"Y판매";#N/A,#N/A,TRUE,"Y총물량";#N/A,#N/A,TRUE,"Y능력";#N/A,#N/A,TRUE,"YKD"}</definedName>
    <definedName name="qlty_1" hidden="1">{#N/A,#N/A,TRUE,"Y생산";#N/A,#N/A,TRUE,"Y판매";#N/A,#N/A,TRUE,"Y총물량";#N/A,#N/A,TRUE,"Y능력";#N/A,#N/A,TRUE,"YKD"}</definedName>
    <definedName name="QN" hidden="1">{#N/A,#N/A,FALSE,"신규dep";#N/A,#N/A,FALSE,"신규dep-금형상각후";#N/A,#N/A,FALSE,"신규dep-연구비상각후";#N/A,#N/A,FALSE,"신규dep-기계,공구상각후"}</definedName>
    <definedName name="QNANS2" hidden="1">{#N/A,#N/A,FALSE,"단축1";#N/A,#N/A,FALSE,"단축2";#N/A,#N/A,FALSE,"단축3";#N/A,#N/A,FALSE,"장축";#N/A,#N/A,FALSE,"4WD"}</definedName>
    <definedName name="QPLE" hidden="1">#REF!</definedName>
    <definedName name="QQ" hidden="1">{#N/A,#N/A,FALSE,"단축1";#N/A,#N/A,FALSE,"단축2";#N/A,#N/A,FALSE,"단축3";#N/A,#N/A,FALSE,"장축";#N/A,#N/A,FALSE,"4WD"}</definedName>
    <definedName name="qq_1" hidden="1">{#N/A,#N/A,FALSE,"정공"}</definedName>
    <definedName name="qq_2" hidden="1">{#N/A,#N/A,FALSE,"단축1";#N/A,#N/A,FALSE,"단축2";#N/A,#N/A,FALSE,"단축3";#N/A,#N/A,FALSE,"장축";#N/A,#N/A,FALSE,"4WD"}</definedName>
    <definedName name="qq_2_1" hidden="1">{#N/A,#N/A,FALSE,"정공"}</definedName>
    <definedName name="qq_2_2" hidden="1">{#N/A,#N/A,FALSE,"정공"}</definedName>
    <definedName name="qq_2_3" hidden="1">{#N/A,#N/A,FALSE,"정공"}</definedName>
    <definedName name="qq_3" hidden="1">{#N/A,#N/A,FALSE,"정공"}</definedName>
    <definedName name="qq_3_1" hidden="1">{#N/A,#N/A,FALSE,"정공"}</definedName>
    <definedName name="qq_3_2" hidden="1">{#N/A,#N/A,FALSE,"정공"}</definedName>
    <definedName name="qq_3_3" hidden="1">{#N/A,#N/A,FALSE,"정공"}</definedName>
    <definedName name="qq_4" hidden="1">{#N/A,#N/A,FALSE,"정공"}</definedName>
    <definedName name="qq_5" hidden="1">{#N/A,#N/A,FALSE,"정공"}</definedName>
    <definedName name="QQEQEQEQEQE" hidden="1">{#N/A,#N/A,FALSE,"단축1";#N/A,#N/A,FALSE,"단축2";#N/A,#N/A,FALSE,"단축3";#N/A,#N/A,FALSE,"장축";#N/A,#N/A,FALSE,"4WD"}</definedName>
    <definedName name="QQEQFQFEFQE" hidden="1">{#N/A,#N/A,FALSE,"단축1";#N/A,#N/A,FALSE,"단축2";#N/A,#N/A,FALSE,"단축3";#N/A,#N/A,FALSE,"장축";#N/A,#N/A,FALSE,"4WD"}</definedName>
    <definedName name="QQEWD" hidden="1">{0,0,0,0}</definedName>
    <definedName name="QQGFQA" hidden="1">{#N/A,#N/A,FALSE,"단축1";#N/A,#N/A,FALSE,"단축2";#N/A,#N/A,FALSE,"단축3";#N/A,#N/A,FALSE,"장축";#N/A,#N/A,FALSE,"4WD"}</definedName>
    <definedName name="QQQ" hidden="1">{#N/A,#N/A,TRUE,"Y생산";#N/A,#N/A,TRUE,"Y판매";#N/A,#N/A,TRUE,"Y총물량";#N/A,#N/A,TRUE,"Y능력";#N/A,#N/A,TRUE,"YKD"}</definedName>
    <definedName name="QQQAAASSS" hidden="1">{#N/A,#N/A,TRUE,"Y생산";#N/A,#N/A,TRUE,"Y판매";#N/A,#N/A,TRUE,"Y총물량";#N/A,#N/A,TRUE,"Y능력";#N/A,#N/A,TRUE,"YKD"}</definedName>
    <definedName name="QQQAAASSS_1" hidden="1">{#N/A,#N/A,TRUE,"Y생산";#N/A,#N/A,TRUE,"Y판매";#N/A,#N/A,TRUE,"Y총물량";#N/A,#N/A,TRUE,"Y능력";#N/A,#N/A,TRUE,"YKD"}</definedName>
    <definedName name="QQQAAASSS_2" hidden="1">{#N/A,#N/A,TRUE,"Y생산";#N/A,#N/A,TRUE,"Y판매";#N/A,#N/A,TRUE,"Y총물량";#N/A,#N/A,TRUE,"Y능력";#N/A,#N/A,TRUE,"YKD"}</definedName>
    <definedName name="QQQQ" hidden="1">{#N/A,#N/A,FALSE,"단축1";#N/A,#N/A,FALSE,"단축2";#N/A,#N/A,FALSE,"단축3";#N/A,#N/A,FALSE,"장축";#N/A,#N/A,FALSE,"4WD"}</definedName>
    <definedName name="QQQQ_1" hidden="1">{#N/A,#N/A,FALSE,"단축1";#N/A,#N/A,FALSE,"단축2";#N/A,#N/A,FALSE,"단축3";#N/A,#N/A,FALSE,"장축";#N/A,#N/A,FALSE,"4WD"}</definedName>
    <definedName name="QQQQQ" hidden="1">{#N/A,#N/A,FALSE,"KMC최종회의(7월) 자료"}</definedName>
    <definedName name="QQQQQ_1" hidden="1">{#N/A,#N/A,FALSE,"96 3월물량표";#N/A,#N/A,FALSE,"96 4월물량표";#N/A,#N/A,FALSE,"96 5월물량표"}</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hidden="1">{#N/A,#N/A,TRUE,"Y생산";#N/A,#N/A,TRUE,"Y판매";#N/A,#N/A,TRUE,"Y총물량";#N/A,#N/A,TRUE,"Y능력";#N/A,#N/A,TRUE,"YKD"}</definedName>
    <definedName name="QQQQQQQ_1" hidden="1">{#N/A,#N/A,TRUE,"Y생산";#N/A,#N/A,TRUE,"Y판매";#N/A,#N/A,TRUE,"Y총물량";#N/A,#N/A,TRUE,"Y능력";#N/A,#N/A,TRUE,"YKD"}</definedName>
    <definedName name="QQQQQQQ_2" hidden="1">{#N/A,#N/A,TRUE,"Y생산";#N/A,#N/A,TRUE,"Y판매";#N/A,#N/A,TRUE,"Y총물량";#N/A,#N/A,TRUE,"Y능력";#N/A,#N/A,TRUE,"YKD"}</definedName>
    <definedName name="qqqqqqqq" hidden="1">{#N/A,#N/A,FALSE,"인원";#N/A,#N/A,FALSE,"비용2";#N/A,#N/A,FALSE,"비용1";#N/A,#N/A,FALSE,"비용";#N/A,#N/A,FALSE,"보증2";#N/A,#N/A,FALSE,"보증1";#N/A,#N/A,FALSE,"보증";#N/A,#N/A,FALSE,"손익1";#N/A,#N/A,FALSE,"손익";#N/A,#N/A,FALSE,"부서별매출";#N/A,#N/A,FALSE,"매출"}</definedName>
    <definedName name="qqqqqqqqq" hidden="1">{#N/A,#N/A,FALSE,"인원";#N/A,#N/A,FALSE,"비용2";#N/A,#N/A,FALSE,"비용1";#N/A,#N/A,FALSE,"비용";#N/A,#N/A,FALSE,"보증2";#N/A,#N/A,FALSE,"보증1";#N/A,#N/A,FALSE,"보증";#N/A,#N/A,FALSE,"손익1";#N/A,#N/A,FALSE,"손익";#N/A,#N/A,FALSE,"부서별매출";#N/A,#N/A,FALSE,"매출"}</definedName>
    <definedName name="qqqqqqqqqqq" hidden="1">{#N/A,#N/A,FALSE,"인원";#N/A,#N/A,FALSE,"비용2";#N/A,#N/A,FALSE,"비용1";#N/A,#N/A,FALSE,"비용";#N/A,#N/A,FALSE,"보증2";#N/A,#N/A,FALSE,"보증1";#N/A,#N/A,FALSE,"보증";#N/A,#N/A,FALSE,"손익1";#N/A,#N/A,FALSE,"손익";#N/A,#N/A,FALSE,"부서별매출";#N/A,#N/A,FALSE,"매출"}</definedName>
    <definedName name="QQQQQQQQQQQQ" hidden="1">{#N/A,#N/A,FALSE,"단축1";#N/A,#N/A,FALSE,"단축2";#N/A,#N/A,FALSE,"단축3";#N/A,#N/A,FALSE,"장축";#N/A,#N/A,FALSE,"4WD"}</definedName>
    <definedName name="QQQQQQQQQQQQQ" hidden="1">{#N/A,#N/A,FALSE,"KMC최종회의(7월) 자료"}</definedName>
    <definedName name="QQQQQQQQQQQQQ_1" hidden="1">{#N/A,#N/A,FALSE,"KMC최종회의(7월) 자료"}</definedName>
    <definedName name="QQQQQQQQQQQQQQQQQQQQQQQQQQ" hidden="1">{#N/A,#N/A,FALSE,"단축1";#N/A,#N/A,FALSE,"단축2";#N/A,#N/A,FALSE,"단축3";#N/A,#N/A,FALSE,"장축";#N/A,#N/A,FALSE,"4WD"}</definedName>
    <definedName name="qqqqqqqqqqqqqqqqqqqqqqqqqqqqqqqqqqqqqqqqqqqqqqqqqqqqqqqqqqqqqqqqqqqqqqqqqqqqqqqqqqq" hidden="1">{#VALUE!,#N/A,FALSE,0}</definedName>
    <definedName name="qqqsqs" hidden="1">{#N/A,#N/A,FALSE,"신규dep";#N/A,#N/A,FALSE,"신규dep-금형상각후";#N/A,#N/A,FALSE,"신규dep-연구비상각후";#N/A,#N/A,FALSE,"신규dep-기계,공구상각후"}</definedName>
    <definedName name="qqwe" hidden="1">{"'표지'!$B$5"}</definedName>
    <definedName name="QQWEWERQW" hidden="1">{#N/A,#N/A,FALSE,"단축1";#N/A,#N/A,FALSE,"단축2";#N/A,#N/A,FALSE,"단축3";#N/A,#N/A,FALSE,"장축";#N/A,#N/A,FALSE,"4WD"}</definedName>
    <definedName name="qqws" hidden="1">{#N/A,#N/A,FALSE,"단축1";#N/A,#N/A,FALSE,"단축2";#N/A,#N/A,FALSE,"단축3";#N/A,#N/A,FALSE,"장축";#N/A,#N/A,FALSE,"4WD"}</definedName>
    <definedName name="QR" hidden="1">{0,TRUE,0,0}</definedName>
    <definedName name="QS" hidden="1">{#N/A,#N/A,FALSE,"단축1";#N/A,#N/A,FALSE,"단축2";#N/A,#N/A,FALSE,"단축3";#N/A,#N/A,FALSE,"장축";#N/A,#N/A,FALSE,"4WD"}</definedName>
    <definedName name="QSDVNMJK" hidden="1">{"'7-2지역별'!$A$1:$R$44"}</definedName>
    <definedName name="QSQWS" hidden="1">{#N/A,#N/A,FALSE,"단축1";#N/A,#N/A,FALSE,"단축2";#N/A,#N/A,FALSE,"단축3";#N/A,#N/A,FALSE,"장축";#N/A,#N/A,FALSE,"4WD"}</definedName>
    <definedName name="qsqwsqw" hidden="1">{#N/A,#N/A,FALSE,"단축1";#N/A,#N/A,FALSE,"단축2";#N/A,#N/A,FALSE,"단축3";#N/A,#N/A,FALSE,"장축";#N/A,#N/A,FALSE,"4WD"}</definedName>
    <definedName name="QSS" hidden="1">{#N/A,#N/A,FALSE,"을지 (4)";#N/A,#N/A,FALSE,"을지 (5)";#N/A,#N/A,FALSE,"을지 (6)"}</definedName>
    <definedName name="QSSA" hidden="1">{#N/A,#N/A,FALSE,"단축1";#N/A,#N/A,FALSE,"단축2";#N/A,#N/A,FALSE,"단축3";#N/A,#N/A,FALSE,"장축";#N/A,#N/A,FALSE,"4WD"}</definedName>
    <definedName name="QSWD2" hidden="1">{#N/A,#N/A,FALSE,"정공"}</definedName>
    <definedName name="qufcjarmfnq2" hidden="1">{#N/A,#N/A,FALSE,"정공"}</definedName>
    <definedName name="qufcjarmfnq2_1" hidden="1">{#N/A,#N/A,FALSE,"정공"}</definedName>
    <definedName name="qufcjarmfnq2_2" hidden="1">{#N/A,#N/A,FALSE,"정공"}</definedName>
    <definedName name="QULIT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VWTDRDJHUG" hidden="1">{#N/A,#N/A,FALSE,"단축1";#N/A,#N/A,FALSE,"단축2";#N/A,#N/A,FALSE,"단축3";#N/A,#N/A,FALSE,"장축";#N/A,#N/A,FALSE,"4WD"}</definedName>
    <definedName name="QW" hidden="1">{#N/A,#N/A,FALSE,"을지 (4)";#N/A,#N/A,FALSE,"을지 (5)";#N/A,#N/A,FALSE,"을지 (6)"}</definedName>
    <definedName name="QWA" hidden="1">{#N/A,#N/A,FALSE,"을지 (4)";#N/A,#N/A,FALSE,"을지 (5)";#N/A,#N/A,FALSE,"을지 (6)"}</definedName>
    <definedName name="QWAVTGFHT" hidden="1">{#N/A,#N/A,FALSE,"단축1";#N/A,#N/A,FALSE,"단축2";#N/A,#N/A,FALSE,"단축3";#N/A,#N/A,FALSE,"장축";#N/A,#N/A,FALSE,"4WD"}</definedName>
    <definedName name="QWE" hidden="1">{#N/A,#N/A,FALSE,"을지 (4)";#N/A,#N/A,FALSE,"을지 (5)";#N/A,#N/A,FALSE,"을지 (6)"}</definedName>
    <definedName name="qwe_1" hidden="1">{#N/A,#N/A,TRUE,"Y생산";#N/A,#N/A,TRUE,"Y판매";#N/A,#N/A,TRUE,"Y총물량";#N/A,#N/A,TRUE,"Y능력";#N/A,#N/A,TRUE,"YKD"}</definedName>
    <definedName name="qweeeee" hidden="1">{#N/A,#N/A,FALSE,"단축1";#N/A,#N/A,FALSE,"단축2";#N/A,#N/A,FALSE,"단축3";#N/A,#N/A,FALSE,"장축";#N/A,#N/A,FALSE,"4WD"}</definedName>
    <definedName name="QWER" hidden="1">{#N/A,#N/A,FALSE,"단축1";#N/A,#N/A,FALSE,"단축2";#N/A,#N/A,FALSE,"단축3";#N/A,#N/A,FALSE,"장축";#N/A,#N/A,FALSE,"4WD"}</definedName>
    <definedName name="QWER_1" hidden="1">{#N/A,#N/A,FALSE,"단축1";#N/A,#N/A,FALSE,"단축2";#N/A,#N/A,FALSE,"단축3";#N/A,#N/A,FALSE,"장축";#N/A,#N/A,FALSE,"4WD"}</definedName>
    <definedName name="QWER_2" hidden="1">{#N/A,#N/A,FALSE,"단축1";#N/A,#N/A,FALSE,"단축2";#N/A,#N/A,FALSE,"단축3";#N/A,#N/A,FALSE,"장축";#N/A,#N/A,FALSE,"4WD"}</definedName>
    <definedName name="QWERT" hidden="1">{#N/A,#N/A,FALSE,"단축1";#N/A,#N/A,FALSE,"단축2";#N/A,#N/A,FALSE,"단축3";#N/A,#N/A,FALSE,"장축";#N/A,#N/A,FALSE,"4WD"}</definedName>
    <definedName name="qweryuio" hidden="1">{#N/A,#N/A,TRUE,"Y생산";#N/A,#N/A,TRUE,"Y판매";#N/A,#N/A,TRUE,"Y총물량";#N/A,#N/A,TRUE,"Y능력";#N/A,#N/A,TRUE,"YKD"}</definedName>
    <definedName name="qwet" hidden="1">{#N/A,#N/A,TRUE,"Y생산";#N/A,#N/A,TRUE,"Y판매";#N/A,#N/A,TRUE,"Y총물량";#N/A,#N/A,TRUE,"Y능력";#N/A,#N/A,TRUE,"YKD"}</definedName>
    <definedName name="qwet_1" hidden="1">{#N/A,#N/A,TRUE,"Y생산";#N/A,#N/A,TRUE,"Y판매";#N/A,#N/A,TRUE,"Y총물량";#N/A,#N/A,TRUE,"Y능력";#N/A,#N/A,TRUE,"YKD"}</definedName>
    <definedName name="QWETRF23T" hidden="1">{#N/A,#N/A,TRUE,"Y생산";#N/A,#N/A,TRUE,"Y판매";#N/A,#N/A,TRUE,"Y총물량";#N/A,#N/A,TRUE,"Y능력";#N/A,#N/A,TRUE,"YKD"}</definedName>
    <definedName name="QWETRF23T_1" hidden="1">{#N/A,#N/A,TRUE,"Y생산";#N/A,#N/A,TRUE,"Y판매";#N/A,#N/A,TRUE,"Y총물량";#N/A,#N/A,TRUE,"Y능력";#N/A,#N/A,TRUE,"YKD"}</definedName>
    <definedName name="QWQW" hidden="1">{#N/A,#N/A,FALSE,"단축1";#N/A,#N/A,FALSE,"단축2";#N/A,#N/A,FALSE,"단축3";#N/A,#N/A,FALSE,"장축";#N/A,#N/A,FALSE,"4WD"}</definedName>
    <definedName name="QWQWQRWQWRQWFRQW" hidden="1">{#N/A,#N/A,FALSE,"단축1";#N/A,#N/A,FALSE,"단축2";#N/A,#N/A,FALSE,"단축3";#N/A,#N/A,FALSE,"장축";#N/A,#N/A,FALSE,"4WD"}</definedName>
    <definedName name="qwqwqw" hidden="1">{#N/A,#N/A,TRUE,"Y생산";#N/A,#N/A,TRUE,"Y판매";#N/A,#N/A,TRUE,"Y총물량";#N/A,#N/A,TRUE,"Y능력";#N/A,#N/A,TRUE,"YKD"}</definedName>
    <definedName name="QWQWQWQQQWQWQW" hidden="1">{#N/A,#N/A,FALSE,"단축1";#N/A,#N/A,FALSE,"단축2";#N/A,#N/A,FALSE,"단축3";#N/A,#N/A,FALSE,"장축";#N/A,#N/A,FALSE,"4WD"}</definedName>
    <definedName name="qwr" hidden="1">{#N/A,#N/A,TRUE,"Y생산";#N/A,#N/A,TRUE,"Y판매";#N/A,#N/A,TRUE,"Y총물량";#N/A,#N/A,TRUE,"Y능력";#N/A,#N/A,TRUE,"YKD"}</definedName>
    <definedName name="qwr_1" hidden="1">{#N/A,#N/A,TRUE,"Y생산";#N/A,#N/A,TRUE,"Y판매";#N/A,#N/A,TRUE,"Y총물량";#N/A,#N/A,TRUE,"Y능력";#N/A,#N/A,TRUE,"YKD"}</definedName>
    <definedName name="qwrgfh" hidden="1">{#N/A,#N/A,FALSE,"96 3월물량표";#N/A,#N/A,FALSE,"96 4월물량표";#N/A,#N/A,FALSE,"96 5월물량표"}</definedName>
    <definedName name="qwrgfh_1" hidden="1">{#N/A,#N/A,FALSE,"96 3월물량표";#N/A,#N/A,FALSE,"96 4월물량표";#N/A,#N/A,FALSE,"96 5월물량표"}</definedName>
    <definedName name="QWRSTGDFTGF" hidden="1">{#N/A,#N/A,FALSE,"단축1";#N/A,#N/A,FALSE,"단축2";#N/A,#N/A,FALSE,"단축3";#N/A,#N/A,FALSE,"장축";#N/A,#N/A,FALSE,"4WD"}</definedName>
    <definedName name="QWS" hidden="1">{#N/A,#N/A,FALSE,"단축1";#N/A,#N/A,FALSE,"단축2";#N/A,#N/A,FALSE,"단축3";#N/A,#N/A,FALSE,"장축";#N/A,#N/A,FALSE,"4WD"}</definedName>
    <definedName name="QWSA" hidden="1">{#N/A,#N/A,FALSE,"단축1";#N/A,#N/A,FALSE,"단축2";#N/A,#N/A,FALSE,"단축3";#N/A,#N/A,FALSE,"장축";#N/A,#N/A,FALSE,"4WD"}</definedName>
    <definedName name="qwsdyfg" hidden="1">{#N/A,#N/A,FALSE,"단축1";#N/A,#N/A,FALSE,"단축2";#N/A,#N/A,FALSE,"단축3";#N/A,#N/A,FALSE,"장축";#N/A,#N/A,FALSE,"4WD"}</definedName>
    <definedName name="qwstdfre" hidden="1">{#N/A,#N/A,FALSE,"단축1";#N/A,#N/A,FALSE,"단축2";#N/A,#N/A,FALSE,"단축3";#N/A,#N/A,FALSE,"장축";#N/A,#N/A,FALSE,"4WD"}</definedName>
    <definedName name="QWVTEXC6" hidden="1">{#N/A,#N/A,FALSE,"단축1";#N/A,#N/A,FALSE,"단축2";#N/A,#N/A,FALSE,"단축3";#N/A,#N/A,FALSE,"장축";#N/A,#N/A,FALSE,"4WD"}</definedName>
    <definedName name="QWW" hidden="1">{#N/A,#N/A,FALSE,"단축1";#N/A,#N/A,FALSE,"단축2";#N/A,#N/A,FALSE,"단축3";#N/A,#N/A,FALSE,"장축";#N/A,#N/A,FALSE,"4WD"}</definedName>
    <definedName name="qwwe"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WWWWW" hidden="1">{#N/A,#N/A,FALSE,"단축1";#N/A,#N/A,FALSE,"단축2";#N/A,#N/A,FALSE,"단축3";#N/A,#N/A,FALSE,"장축";#N/A,#N/A,FALSE,"4WD"}</definedName>
    <definedName name="QWWWWWWWWWWWWWWW" hidden="1">{#N/A,#N/A,FALSE,"단축1";#N/A,#N/A,FALSE,"단축2";#N/A,#N/A,FALSE,"단축3";#N/A,#N/A,FALSE,"장축";#N/A,#N/A,FALSE,"4WD"}</definedName>
    <definedName name="QY" hidden="1">{0,0,0,0}</definedName>
    <definedName name="qㅇㅇ" hidden="1">{"'7-2지역별'!$A$1:$R$44"}</definedName>
    <definedName name="R_COVER" hidden="1">{#N/A,#N/A,FALSE,"단축1";#N/A,#N/A,FALSE,"단축2";#N/A,#N/A,FALSE,"단축3";#N/A,#N/A,FALSE,"장축";#N/A,#N/A,FALSE,"4WD"}</definedName>
    <definedName name="R_COVER_1" hidden="1">{#N/A,#N/A,FALSE,"단축1";#N/A,#N/A,FALSE,"단축2";#N/A,#N/A,FALSE,"단축3";#N/A,#N/A,FALSE,"장축";#N/A,#N/A,FALSE,"4WD"}</definedName>
    <definedName name="R_COVER_2" hidden="1">{#N/A,#N/A,FALSE,"단축1";#N/A,#N/A,FALSE,"단축2";#N/A,#N/A,FALSE,"단축3";#N/A,#N/A,FALSE,"장축";#N/A,#N/A,FALSE,"4WD"}</definedName>
    <definedName name="RATTLE" hidden="1">{#N/A,#N/A,FALSE,"단축1";#N/A,#N/A,FALSE,"단축2";#N/A,#N/A,FALSE,"단축3";#N/A,#N/A,FALSE,"장축";#N/A,#N/A,FALSE,"4WD"}</definedName>
    <definedName name="RB" hidden="1">{#N/A,#N/A,FALSE,"단축1";#N/A,#N/A,FALSE,"단축2";#N/A,#N/A,FALSE,"단축3";#N/A,#N/A,FALSE,"장축";#N/A,#N/A,FALSE,"4WD"}</definedName>
    <definedName name="rd" hidden="1">{"'7-2지역별'!$A$1:$R$44"}</definedName>
    <definedName name="RDFD" hidden="1">{#N/A,#N/A,FALSE,"단축1";#N/A,#N/A,FALSE,"단축2";#N/A,#N/A,FALSE,"단축3";#N/A,#N/A,FALSE,"장축";#N/A,#N/A,FALSE,"4WD"}</definedName>
    <definedName name="rdfdbbbdgbgbgfbgfbgfbgf" hidden="1">{#N/A,#N/A,FALSE,"KMC최종회의(7월) 자료"}</definedName>
    <definedName name="rdfdbbbdgbgbgfbgfbgfbgf_1" hidden="1">{#N/A,#N/A,FALSE,"KMC최종회의(7월) 자료"}</definedName>
    <definedName name="RDG" hidden="1">{#N/A,#N/A,FALSE,"단축1";#N/A,#N/A,FALSE,"단축2";#N/A,#N/A,FALSE,"단축3";#N/A,#N/A,FALSE,"장축";#N/A,#N/A,FALSE,"4WD"}</definedName>
    <definedName name="RDG_1" hidden="1">{#N/A,#N/A,FALSE,"단축1";#N/A,#N/A,FALSE,"단축2";#N/A,#N/A,FALSE,"단축3";#N/A,#N/A,FALSE,"장축";#N/A,#N/A,FALSE,"4WD"}</definedName>
    <definedName name="RE" hidden="1">{#N/A,#N/A,FALSE,"초도품";#N/A,#N/A,FALSE,"초도품 (2)";#N/A,#N/A,FALSE,"초도품 (3)";#N/A,#N/A,FALSE,"초도품 (4)";#N/A,#N/A,FALSE,"초도품 (5)";#N/A,#N/A,FALSE,"초도품 (6)"}</definedName>
    <definedName name="REAR" hidden="1">{#N/A,#N/A,FALSE,"단축1";#N/A,#N/A,FALSE,"단축2";#N/A,#N/A,FALSE,"단축3";#N/A,#N/A,FALSE,"장축";#N/A,#N/A,FALSE,"4WD"}</definedName>
    <definedName name="REAR_1" hidden="1">{#N/A,#N/A,FALSE,"단축1";#N/A,#N/A,FALSE,"단축2";#N/A,#N/A,FALSE,"단축3";#N/A,#N/A,FALSE,"장축";#N/A,#N/A,FALSE,"4WD"}</definedName>
    <definedName name="REAR_2" hidden="1">{#N/A,#N/A,FALSE,"단축1";#N/A,#N/A,FALSE,"단축2";#N/A,#N/A,FALSE,"단축3";#N/A,#N/A,FALSE,"장축";#N/A,#N/A,FALSE,"4WD"}</definedName>
    <definedName name="REGERGVERGERG" hidden="1">{"'7-2지역별'!$A$1:$R$44"}</definedName>
    <definedName name="REGFERGRE" hidden="1">{"'7-2지역별'!$A$1:$R$44"}</definedName>
    <definedName name="regre" hidden="1">{#N/A,#N/A,FALSE,"단축1";#N/A,#N/A,FALSE,"단축2";#N/A,#N/A,FALSE,"단축3";#N/A,#N/A,FALSE,"장축";#N/A,#N/A,FALSE,"4WD"}</definedName>
    <definedName name="REGRG" hidden="1">{"'7-2지역별'!$A$1:$R$44"}</definedName>
    <definedName name="REGTREGFDGFD" hidden="1">{"'7-2지역별'!$A$1:$R$44"}</definedName>
    <definedName name="rehagh" hidden="1">{#N/A,#N/A,FALSE,"96 3월물량표";#N/A,#N/A,FALSE,"96 4월물량표";#N/A,#N/A,FALSE,"96 5월물량표"}</definedName>
    <definedName name="rehagh_1" hidden="1">{#N/A,#N/A,FALSE,"96 3월물량표";#N/A,#N/A,FALSE,"96 4월물량표";#N/A,#N/A,FALSE,"96 5월물량표"}</definedName>
    <definedName name="rerere" hidden="1">{"'7-2지역별'!$A$1:$R$44"}</definedName>
    <definedName name="rergregerg" hidden="1">{"'7-2지역별'!$A$1:$R$44"}</definedName>
    <definedName name="RESISTOR" hidden="1">{#N/A,#N/A,FALSE,"단축1";#N/A,#N/A,FALSE,"단축2";#N/A,#N/A,FALSE,"단축3";#N/A,#N/A,FALSE,"장축";#N/A,#N/A,FALSE,"4WD"}</definedName>
    <definedName name="R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T" hidden="1">{#N/A,#N/A,FALSE,"을지 (4)";#N/A,#N/A,FALSE,"을지 (5)";#N/A,#N/A,FALSE,"을지 (6)"}</definedName>
    <definedName name="RETE54" hidden="1">{#N/A,#N/A,FALSE,"신규dep";#N/A,#N/A,FALSE,"신규dep-금형상각후";#N/A,#N/A,FALSE,"신규dep-연구비상각후";#N/A,#N/A,FALSE,"신규dep-기계,공구상각후"}</definedName>
    <definedName name="RETG" hidden="1">{#N/A,#N/A,FALSE,"단축1";#N/A,#N/A,FALSE,"단축2";#N/A,#N/A,FALSE,"단축3";#N/A,#N/A,FALSE,"장축";#N/A,#N/A,FALSE,"4WD"}</definedName>
    <definedName name="retgre" hidden="1">{"'7-2지역별'!$A$1:$R$44"}</definedName>
    <definedName name="retgsrrgtrrhnstawrchthrgtrw" hidden="1">{#N/A,#N/A,FALSE,"단축1";#N/A,#N/A,FALSE,"단축2";#N/A,#N/A,FALSE,"단축3";#N/A,#N/A,FALSE,"장축";#N/A,#N/A,FALSE,"4WD"}</definedName>
    <definedName name="RETH" hidden="1">{8.01655220408085E-65,0,0,0}</definedName>
    <definedName name="RETQER" hidden="1">{"'7-2지역별'!$A$1:$R$44"}</definedName>
    <definedName name="RETREQ" hidden="1">{#N/A,#N/A,TRUE,"Y생산";#N/A,#N/A,TRUE,"Y판매";#N/A,#N/A,TRUE,"Y총물량";#N/A,#N/A,TRUE,"Y능력";#N/A,#N/A,TRUE,"YKD"}</definedName>
    <definedName name="retreyryr" hidden="1">{#N/A,#N/A,FALSE,"단축1";#N/A,#N/A,FALSE,"단축2";#N/A,#N/A,FALSE,"단축3";#N/A,#N/A,FALSE,"장축";#N/A,#N/A,FALSE,"4WD"}</definedName>
    <definedName name="REWW" hidden="1">{#N/A,#N/A,FALSE,"단축1";#N/A,#N/A,FALSE,"단축2";#N/A,#N/A,FALSE,"단축3";#N/A,#N/A,FALSE,"장축";#N/A,#N/A,FALSE,"4WD"}</definedName>
    <definedName name="reyqy4" hidden="1">#REF!</definedName>
    <definedName name="reytrteyyu" hidden="1">#REF!</definedName>
    <definedName name="RFERFCS" hidden="1">{"'7-2지역별'!$A$1:$R$44"}</definedName>
    <definedName name="RFF" hidden="1">{0,0,0,0}</definedName>
    <definedName name="rfffffr" hidden="1">{"'7-2지역별'!$A$1:$R$44"}</definedName>
    <definedName name="RFRE" hidden="1">{"'7-2지역별'!$A$1:$R$44"}</definedName>
    <definedName name="rfrefergea" hidden="1">{#N/A,#N/A,FALSE,"을지 (4)";#N/A,#N/A,FALSE,"을지 (5)";#N/A,#N/A,FALSE,"을지 (6)"}</definedName>
    <definedName name="RFTYHJ" hidden="1">{#N/A,#N/A,FALSE,"단축1";#N/A,#N/A,FALSE,"단축2";#N/A,#N/A,FALSE,"단축3";#N/A,#N/A,FALSE,"장축";#N/A,#N/A,FALSE,"4WD"}</definedName>
    <definedName name="RFV" hidden="1">{#N/A,#N/A,FALSE,"표지";#N/A,#N/A,FALSE,"전제";#N/A,#N/A,FALSE,"손익-자 (2)";#N/A,#N/A,FALSE,"손익-자";#N/A,#N/A,FALSE,"손익-마 (2)";#N/A,#N/A,FALSE,"손익-마";#N/A,#N/A,FALSE,"총손최종"}</definedName>
    <definedName name="RFWEF" hidden="1">{"'7-2지역별'!$A$1:$R$44"}</definedName>
    <definedName name="rfwerqw" hidden="1">{#N/A,#N/A,TRUE,"Y생산";#N/A,#N/A,TRUE,"Y판매";#N/A,#N/A,TRUE,"Y총물량";#N/A,#N/A,TRUE,"Y능력";#N/A,#N/A,TRUE,"YKD"}</definedName>
    <definedName name="RG" hidden="1">{#N/A,#N/A,FALSE,"단축1";#N/A,#N/A,FALSE,"단축2";#N/A,#N/A,FALSE,"단축3";#N/A,#N/A,FALSE,"장축";#N/A,#N/A,FALSE,"4WD"}</definedName>
    <definedName name="RGD" hidden="1">{#N/A,#N/A,FALSE,"단축1";#N/A,#N/A,FALSE,"단축2";#N/A,#N/A,FALSE,"단축3";#N/A,#N/A,FALSE,"장축";#N/A,#N/A,FALSE,"4WD"}</definedName>
    <definedName name="RGDF" hidden="1">{#N/A,#N/A,FALSE,"단축1";#N/A,#N/A,FALSE,"단축2";#N/A,#N/A,FALSE,"단축3";#N/A,#N/A,FALSE,"장축";#N/A,#N/A,FALSE,"4WD"}</definedName>
    <definedName name="RGE" hidden="1">{#N/A,#N/A,FALSE,"단축1";#N/A,#N/A,FALSE,"단축2";#N/A,#N/A,FALSE,"단축3";#N/A,#N/A,FALSE,"장축";#N/A,#N/A,FALSE,"4WD"}</definedName>
    <definedName name="rggrtehnrter4thrtttrttt" hidden="1">{#N/A,#N/A,TRUE,"Y생산";#N/A,#N/A,TRUE,"Y판매";#N/A,#N/A,TRUE,"Y총물량";#N/A,#N/A,TRUE,"Y능력";#N/A,#N/A,TRUE,"YKD"}</definedName>
    <definedName name="rgheh" hidden="1">{#N/A,#N/A,FALSE,"단축1";#N/A,#N/A,FALSE,"단축2";#N/A,#N/A,FALSE,"단축3";#N/A,#N/A,FALSE,"장축";#N/A,#N/A,FALSE,"4WD"}</definedName>
    <definedName name="RGHH" hidden="1">{#N/A,#N/A,FALSE,"단축1";#N/A,#N/A,FALSE,"단축2";#N/A,#N/A,FALSE,"단축3";#N/A,#N/A,FALSE,"장축";#N/A,#N/A,FALSE,"4WD"}</definedName>
    <definedName name="RGSDG" hidden="1">{#N/A,#N/A,FALSE,"단축1";#N/A,#N/A,FALSE,"단축2";#N/A,#N/A,FALSE,"단축3";#N/A,#N/A,FALSE,"장축";#N/A,#N/A,FALSE,"4WD"}</definedName>
    <definedName name="rgthvfx" hidden="1">{"'7-2지역별'!$A$1:$R$44"}</definedName>
    <definedName name="rh" hidden="1">{#N/A,#N/A,FALSE,"KMC최종회의(7월) 자료"}</definedName>
    <definedName name="rh_1" hidden="1">{#N/A,#N/A,FALSE,"KMC최종회의(7월) 자료"}</definedName>
    <definedName name="rh_2" hidden="1">{#N/A,#N/A,FALSE,"KMC최종회의(7월) 자료"}</definedName>
    <definedName name="RHDDB" hidden="1">{#N/A,#N/A,FALSE,"KMC최종회의(7월) 자료"}</definedName>
    <definedName name="RHDDB_1" hidden="1">{#N/A,#N/A,FALSE,"KMC최종회의(7월) 자료"}</definedName>
    <definedName name="RHDKDKDKDK" hidden="1">{#N/A,#N/A,FALSE,"단축1";#N/A,#N/A,FALSE,"단축2";#N/A,#N/A,FALSE,"단축3";#N/A,#N/A,FALSE,"장축";#N/A,#N/A,FALSE,"4WD"}</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TN" hidden="1">{#N/A,#N/A,FALSE,"KMC최종회의(7월) 자료"}</definedName>
    <definedName name="RHDTN_1" hidden="1">{#N/A,#N/A,FALSE,"KMC최종회의(7월) 자료"}</definedName>
    <definedName name="RHDTN_2" hidden="1">{#N/A,#N/A,FALSE,"KMC최종회의(7월) 자료"}</definedName>
    <definedName name="RHJSJZN" hidden="1">{#N/A,#N/A,FALSE,"단축1";#N/A,#N/A,FALSE,"단축2";#N/A,#N/A,FALSE,"단축3";#N/A,#N/A,FALSE,"장축";#N/A,#N/A,FALSE,"4WD"}</definedName>
    <definedName name="rhql" hidden="1">{#N/A,#N/A,FALSE,"단축1";#N/A,#N/A,FALSE,"단축2";#N/A,#N/A,FALSE,"단축3";#N/A,#N/A,FALSE,"장축";#N/A,#N/A,FALSE,"4WD"}</definedName>
    <definedName name="RHR" hidden="1">{0,0,0,0}</definedName>
    <definedName name="RHRHRHRH" hidden="1">{"'7-2지역별'!$A$1:$R$44"}</definedName>
    <definedName name="RHTH" hidden="1">{#N/A,#N/A,FALSE,"신규dep";#N/A,#N/A,FALSE,"신규dep-금형상각후";#N/A,#N/A,FALSE,"신규dep-연구비상각후";#N/A,#N/A,FALSE,"신규dep-기계,공구상각후"}</definedName>
    <definedName name="RIOO2MY" hidden="1">{#N/A,#N/A,FALSE,"신규dep";#N/A,#N/A,FALSE,"신규dep-금형상각후";#N/A,#N/A,FALSE,"신규dep-연구비상각후";#N/A,#N/A,FALSE,"신규dep-기계,공구상각후"}</definedName>
    <definedName name="RIRMCO" hidden="1">{#N/A,#N/A,FALSE,"단축1";#N/A,#N/A,FALSE,"단축2";#N/A,#N/A,FALSE,"단축3";#N/A,#N/A,FALSE,"장축";#N/A,#N/A,FALSE,"4WD"}</definedName>
    <definedName name="RK" hidden="1">{#N/A,#N/A,TRUE,"Y생산";#N/A,#N/A,TRUE,"Y판매";#N/A,#N/A,TRUE,"Y총물량";#N/A,#N/A,TRUE,"Y능력";#N/A,#N/A,TRUE,"YKD"}</definedName>
    <definedName name="RK_1" hidden="1">{#N/A,#N/A,TRUE,"Y생산";#N/A,#N/A,TRUE,"Y판매";#N/A,#N/A,TRUE,"Y총물량";#N/A,#N/A,TRUE,"Y능력";#N/A,#N/A,TRUE,"YKD"}</definedName>
    <definedName name="RK_2" hidden="1">{#N/A,#N/A,TRUE,"Y생산";#N/A,#N/A,TRUE,"Y판매";#N/A,#N/A,TRUE,"Y총물량";#N/A,#N/A,TRUE,"Y능력";#N/A,#N/A,TRUE,"YKD"}</definedName>
    <definedName name="rkd" hidden="1">{#N/A,#N/A,FALSE,"단축1";#N/A,#N/A,FALSE,"단축2";#N/A,#N/A,FALSE,"단축3";#N/A,#N/A,FALSE,"장축";#N/A,#N/A,FALSE,"4WD"}</definedName>
    <definedName name="rkd_1" hidden="1">{#N/A,#N/A,FALSE,"단축1";#N/A,#N/A,FALSE,"단축2";#N/A,#N/A,FALSE,"단축3";#N/A,#N/A,FALSE,"장축";#N/A,#N/A,FALSE,"4WD"}</definedName>
    <definedName name="RKIII" hidden="1">{#N/A,#N/A,FALSE,"단축1";#N/A,#N/A,FALSE,"단축2";#N/A,#N/A,FALSE,"단축3";#N/A,#N/A,FALSE,"장축";#N/A,#N/A,FALSE,"4WD"}</definedName>
    <definedName name="RKJI" hidden="1">{#N/A,#N/A,FALSE,"단축1";#N/A,#N/A,FALSE,"단축2";#N/A,#N/A,FALSE,"단축3";#N/A,#N/A,FALSE,"장축";#N/A,#N/A,FALSE,"4WD"}</definedName>
    <definedName name="RKJI_1" hidden="1">{#N/A,#N/A,FALSE,"단축1";#N/A,#N/A,FALSE,"단축2";#N/A,#N/A,FALSE,"단축3";#N/A,#N/A,FALSE,"장축";#N/A,#N/A,FALSE,"4WD"}</definedName>
    <definedName name="RKJI_2" hidden="1">{#N/A,#N/A,FALSE,"단축1";#N/A,#N/A,FALSE,"단축2";#N/A,#N/A,FALSE,"단축3";#N/A,#N/A,FALSE,"장축";#N/A,#N/A,FALSE,"4WD"}</definedName>
    <definedName name="RKKKKKK" hidden="1">{#N/A,#N/A,FALSE,"단축1";#N/A,#N/A,FALSE,"단축2";#N/A,#N/A,FALSE,"단축3";#N/A,#N/A,FALSE,"장축";#N/A,#N/A,FALSE,"4WD"}</definedName>
    <definedName name="RKLLL" hidden="1">{#N/A,#N/A,FALSE,"단축1";#N/A,#N/A,FALSE,"단축2";#N/A,#N/A,FALSE,"단축3";#N/A,#N/A,FALSE,"장축";#N/A,#N/A,FALSE,"4WD"}</definedName>
    <definedName name="RKQHS" hidden="1">{#N/A,#N/A,TRUE,"Y생산";#N/A,#N/A,TRUE,"Y판매";#N/A,#N/A,TRUE,"Y총물량";#N/A,#N/A,TRUE,"Y능력";#N/A,#N/A,TRUE,"YKD"}</definedName>
    <definedName name="rkrjfk" hidden="1">{#N/A,#N/A,FALSE,"단축1";#N/A,#N/A,FALSE,"단축2";#N/A,#N/A,FALSE,"단축3";#N/A,#N/A,FALSE,"장축";#N/A,#N/A,FALSE,"4WD"}</definedName>
    <definedName name="rkrkrk" hidden="1">{#N/A,#N/A,FALSE,"신규dep";#N/A,#N/A,FALSE,"신규dep-금형상각후";#N/A,#N/A,FALSE,"신규dep-연구비상각후";#N/A,#N/A,FALSE,"신규dep-기계,공구상각후"}</definedName>
    <definedName name="RKRKRKRKKR" hidden="1">{#N/A,#N/A,FALSE,"단축1";#N/A,#N/A,FALSE,"단축2";#N/A,#N/A,FALSE,"단축3";#N/A,#N/A,FALSE,"장축";#N/A,#N/A,FALSE,"4WD"}</definedName>
    <definedName name="RKSK" hidden="1">#REF!</definedName>
    <definedName name="RKSKDKFLK" hidden="1">{#N/A,#N/A,FALSE,"단축1";#N/A,#N/A,FALSE,"단축2";#N/A,#N/A,FALSE,"단축3";#N/A,#N/A,FALSE,"장축";#N/A,#N/A,FALSE,"4WD"}</definedName>
    <definedName name="RKSKEKF" hidden="1">{#N/A,#N/A,FALSE,"단축1";#N/A,#N/A,FALSE,"단축2";#N/A,#N/A,FALSE,"단축3";#N/A,#N/A,FALSE,"장축";#N/A,#N/A,FALSE,"4WD"}</definedName>
    <definedName name="rkwk" hidden="1">{#N/A,#N/A,TRUE,"Y생산";#N/A,#N/A,TRUE,"Y판매";#N/A,#N/A,TRUE,"Y총물량";#N/A,#N/A,TRUE,"Y능력";#N/A,#N/A,TRUE,"YKD"}</definedName>
    <definedName name="rkwk_1" hidden="1">{#N/A,#N/A,TRUE,"Y생산";#N/A,#N/A,TRUE,"Y판매";#N/A,#N/A,TRUE,"Y총물량";#N/A,#N/A,TRUE,"Y능력";#N/A,#N/A,TRUE,"YKD"}</definedName>
    <definedName name="RLA" hidden="1">{#N/A,#N/A,TRUE,"Y생산";#N/A,#N/A,TRUE,"Y판매";#N/A,#N/A,TRUE,"Y총물량";#N/A,#N/A,TRUE,"Y능력";#N/A,#N/A,TRUE,"YKD"}</definedName>
    <definedName name="rlacl" hidden="1">{#N/A,#N/A,FALSE,"KMC최종회의(7월) 자료"}</definedName>
    <definedName name="rlacl_1" hidden="1">{#N/A,#N/A,FALSE,"KMC최종회의(7월) 자료"}</definedName>
    <definedName name="RLADYDWLS123" hidden="1">{#N/A,#N/A,FALSE,"정공"}</definedName>
    <definedName name="RLAMP01" hidden="1">{#N/A,#N/A,FALSE,"단축1";#N/A,#N/A,FALSE,"단축2";#N/A,#N/A,FALSE,"단축3";#N/A,#N/A,FALSE,"장축";#N/A,#N/A,FALSE,"4WD"}</definedName>
    <definedName name="RLATJDS" hidden="1">{#N/A,#N/A,FALSE,"단축1";#N/A,#N/A,FALSE,"단축2";#N/A,#N/A,FALSE,"단축3";#N/A,#N/A,FALSE,"장축";#N/A,#N/A,FALSE,"4WD"}</definedName>
    <definedName name="rlawkd" hidden="1">{#N/A,#N/A,FALSE,"업체선정";#N/A,#N/A,FALSE,"업체선정sheet";#N/A,#N/A,FALSE,"업체실태";#N/A,#N/A,FALSE,"업체실태(1)";#N/A,#N/A,FALSE,"종업원현황(2)";#N/A,#N/A,FALSE,"생산품목(3)";#N/A,#N/A,FALSE,"장비보유현황";#N/A,#N/A,FALSE,"차량및약도";#N/A,#N/A,FALSE,"금형LIST"}</definedName>
    <definedName name="RLDK" hidden="1">{#N/A,#N/A,FALSE,"정공"}</definedName>
    <definedName name="RM"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magh" hidden="1">{#N/A,#N/A,FALSE,"단축1";#N/A,#N/A,FALSE,"단축2";#N/A,#N/A,FALSE,"단축3";#N/A,#N/A,FALSE,"장축";#N/A,#N/A,FALSE,"4WD"}</definedName>
    <definedName name="rmagudtkwls" hidden="1">{#N/A,#N/A,FALSE,"단축1";#N/A,#N/A,FALSE,"단축2";#N/A,#N/A,FALSE,"단축3";#N/A,#N/A,FALSE,"장축";#N/A,#N/A,FALSE,"4WD"}</definedName>
    <definedName name="RMDKS" hidden="1">{#N/A,#N/A,FALSE,"단축1";#N/A,#N/A,FALSE,"단축2";#N/A,#N/A,FALSE,"단축3";#N/A,#N/A,FALSE,"장축";#N/A,#N/A,FALSE,"4WD"}</definedName>
    <definedName name="RMFLA" hidden="1">{#N/A,#N/A,FALSE,"단축1";#N/A,#N/A,FALSE,"단축2";#N/A,#N/A,FALSE,"단축3";#N/A,#N/A,FALSE,"장축";#N/A,#N/A,FALSE,"4WD"}</definedName>
    <definedName name="RNHYTRNHJYUTS" hidden="1">{#N/A,#N/A,FALSE,"단축1";#N/A,#N/A,FALSE,"단축2";#N/A,#N/A,FALSE,"단축3";#N/A,#N/A,FALSE,"장축";#N/A,#N/A,FALSE,"4WD"}</definedName>
    <definedName name="RNJS" hidden="1">{#N/A,#N/A,FALSE,"KMC최종회의(7월) 자료"}</definedName>
    <definedName name="RNJS_1" hidden="1">{#N/A,#N/A,FALSE,"KMC최종회의(7월) 자료"}</definedName>
    <definedName name="rnjsdudrkq" hidden="1">{#N/A,#N/A,FALSE,"KMC최종회의(7월) 자료"}</definedName>
    <definedName name="rnjsdudrkq_1" hidden="1">{#N/A,#N/A,FALSE,"KMC최종회의(7월) 자료"}</definedName>
    <definedName name="RNWJE" hidden="1">{#N/A,#N/A,FALSE,"단축1";#N/A,#N/A,FALSE,"단축2";#N/A,#N/A,FALSE,"단축3";#N/A,#N/A,FALSE,"장축";#N/A,#N/A,FALSE,"4WD"}</definedName>
    <definedName name="RO" hidden="1">{#N/A,#N/A,FALSE,"단축1";#N/A,#N/A,FALSE,"단축2";#N/A,#N/A,FALSE,"단축3";#N/A,#N/A,FALSE,"장축";#N/A,#N/A,FALSE,"4WD"}</definedName>
    <definedName name="ROB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LL" hidden="1">{#N/A,#N/A,FALSE,"정공"}</definedName>
    <definedName name="ROOF" hidden="1">{#N/A,#N/A,TRUE,"일정"}</definedName>
    <definedName name="ROOF잔여문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투자명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tjs" hidden="1">{#N/A,#N/A,FALSE,"96 3월물량표";#N/A,#N/A,FALSE,"96 4월물량표";#N/A,#N/A,FALSE,"96 5월물량표"}</definedName>
    <definedName name="ROTJSRHKWJD1" hidden="1">{#N/A,#N/A,FALSE,"단축1";#N/A,#N/A,FALSE,"단축2";#N/A,#N/A,FALSE,"단축3";#N/A,#N/A,FALSE,"장축";#N/A,#N/A,FALSE,"4WD"}</definedName>
    <definedName name="ROTJSRHKWJD1_1" hidden="1">{#N/A,#N/A,FALSE,"단축1";#N/A,#N/A,FALSE,"단축2";#N/A,#N/A,FALSE,"단축3";#N/A,#N/A,FALSE,"장축";#N/A,#N/A,FALSE,"4WD"}</definedName>
    <definedName name="RPRPR" hidden="1">{#N/A,#N/A,FALSE,"단축1";#N/A,#N/A,FALSE,"단축2";#N/A,#N/A,FALSE,"단축3";#N/A,#N/A,FALSE,"장축";#N/A,#N/A,FALSE,"4WD"}</definedName>
    <definedName name="RQWESDF" hidden="1">{#N/A,#N/A,TRUE,"Y생산";#N/A,#N/A,TRUE,"Y판매";#N/A,#N/A,TRUE,"Y총물량";#N/A,#N/A,TRUE,"Y능력";#N/A,#N/A,TRUE,"YKD"}</definedName>
    <definedName name="RR.BACK" hidden="1">{#N/A,#N/A,FALSE,"단축1";#N/A,#N/A,FALSE,"단축2";#N/A,#N/A,FALSE,"단축3";#N/A,#N/A,FALSE,"장축";#N/A,#N/A,FALSE,"4WD"}</definedName>
    <definedName name="RR.BRAKE" hidden="1">{#N/A,#N/A,FALSE,"단축1";#N/A,#N/A,FALSE,"단축2";#N/A,#N/A,FALSE,"단축3";#N/A,#N/A,FALSE,"장축";#N/A,#N/A,FALSE,"4WD"}</definedName>
    <definedName name="RR.BRAKE_1" hidden="1">{#N/A,#N/A,FALSE,"단축1";#N/A,#N/A,FALSE,"단축2";#N/A,#N/A,FALSE,"단축3";#N/A,#N/A,FALSE,"장축";#N/A,#N/A,FALSE,"4WD"}</definedName>
    <definedName name="RR.BRAKE_2" hidden="1">{#N/A,#N/A,FALSE,"단축1";#N/A,#N/A,FALSE,"단축2";#N/A,#N/A,FALSE,"단축3";#N/A,#N/A,FALSE,"장축";#N/A,#N/A,FALSE,"4WD"}</definedName>
    <definedName name="RR.BRK" hidden="1">{#N/A,#N/A,FALSE,"단축1";#N/A,#N/A,FALSE,"단축2";#N/A,#N/A,FALSE,"단축3";#N/A,#N/A,FALSE,"장축";#N/A,#N/A,FALSE,"4WD"}</definedName>
    <definedName name="RR.BRK_1" hidden="1">{#N/A,#N/A,FALSE,"단축1";#N/A,#N/A,FALSE,"단축2";#N/A,#N/A,FALSE,"단축3";#N/A,#N/A,FALSE,"장축";#N/A,#N/A,FALSE,"4WD"}</definedName>
    <definedName name="RR.BRK_2" hidden="1">{#N/A,#N/A,FALSE,"단축1";#N/A,#N/A,FALSE,"단축2";#N/A,#N/A,FALSE,"단축3";#N/A,#N/A,FALSE,"장축";#N/A,#N/A,FALSE,"4WD"}</definedName>
    <definedName name="RR_SEAT" hidden="1">{#N/A,#N/A,FALSE,"단축1";#N/A,#N/A,FALSE,"단축2";#N/A,#N/A,FALSE,"단축3";#N/A,#N/A,FALSE,"장축";#N/A,#N/A,FALSE,"4WD"}</definedName>
    <definedName name="RREBUJ" hidden="1">{#N/A,#N/A,FALSE,"KMC최종회의(7월) 자료"}</definedName>
    <definedName name="RREBUJ_1" hidden="1">{#N/A,#N/A,FALSE,"KMC최종회의(7월) 자료"}</definedName>
    <definedName name="RRGR" hidden="1">{#N/A,#N/A,FALSE,"단축1";#N/A,#N/A,FALSE,"단축2";#N/A,#N/A,FALSE,"단축3";#N/A,#N/A,FALSE,"장축";#N/A,#N/A,FALSE,"4WD"}</definedName>
    <definedName name="rrllrlrl" hidden="1">{#N/A,#N/A,FALSE,"단축1";#N/A,#N/A,FALSE,"단축2";#N/A,#N/A,FALSE,"단축3";#N/A,#N/A,FALSE,"장축";#N/A,#N/A,FALSE,"4WD"}</definedName>
    <definedName name="RRR" hidden="1">{#N/A,#N/A,FALSE,"단축1";#N/A,#N/A,FALSE,"단축2";#N/A,#N/A,FALSE,"단축3";#N/A,#N/A,FALSE,"장축";#N/A,#N/A,FALSE,"4WD"}</definedName>
    <definedName name="RRRR" hidden="1">{#N/A,#N/A,FALSE,"정공"}</definedName>
    <definedName name="RRRR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RRR" hidden="1">{#N/A,#N/A,FALSE,"단축1";#N/A,#N/A,FALSE,"단축2";#N/A,#N/A,FALSE,"단축3";#N/A,#N/A,FALSE,"장축";#N/A,#N/A,FALSE,"4WD"}</definedName>
    <definedName name="rrrrrrrg" hidden="1">{"'7-2지역별'!$A$1:$R$44"}</definedName>
    <definedName name="RRRRRRRR" hidden="1">#REF!</definedName>
    <definedName name="RRRRRRRRRRR" hidden="1">{#VALUE!,#N/A,FALSE,0}</definedName>
    <definedName name="RRRRRRRRRRRRRR" hidden="1">{#N/A,#N/A,TRUE,"Y생산";#N/A,#N/A,TRUE,"Y판매";#N/A,#N/A,TRUE,"Y총물량";#N/A,#N/A,TRUE,"Y능력";#N/A,#N/A,TRUE,"YKD"}</definedName>
    <definedName name="RRT" hidden="1">{#N/A,#N/A,FALSE,"표지";#N/A,#N/A,FALSE,"전제";#N/A,#N/A,FALSE,"손익-자 (2)";#N/A,#N/A,FALSE,"손익-자";#N/A,#N/A,FALSE,"손익-마 (2)";#N/A,#N/A,FALSE,"손익-마";#N/A,#N/A,FALSE,"총손최종"}</definedName>
    <definedName name="RRT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tyhy" hidden="1">{"'7-2지역별'!$A$1:$R$44"}</definedName>
    <definedName name="RR종합구상안" hidden="1">{#N/A,#N/A,FALSE,"단축1";#N/A,#N/A,FALSE,"단축2";#N/A,#N/A,FALSE,"단축3";#N/A,#N/A,FALSE,"장축";#N/A,#N/A,FALSE,"4WD"}</definedName>
    <definedName name="RS" hidden="1">{#N/A,#N/A,FALSE,"단축1";#N/A,#N/A,FALSE,"단축2";#N/A,#N/A,FALSE,"단축3";#N/A,#N/A,FALSE,"장축";#N/A,#N/A,FALSE,"4WD"}</definedName>
    <definedName name="RSDC" hidden="1">{#N/A,#N/A,FALSE,"단축1";#N/A,#N/A,FALSE,"단축2";#N/A,#N/A,FALSE,"단축3";#N/A,#N/A,FALSE,"장축";#N/A,#N/A,FALSE,"4WD"}</definedName>
    <definedName name="RSFL" hidden="1">{#N/A,#N/A,FALSE,"단축1";#N/A,#N/A,FALSE,"단축2";#N/A,#N/A,FALSE,"단축3";#N/A,#N/A,FALSE,"장축";#N/A,#N/A,FALSE,"4WD"}</definedName>
    <definedName name="RSFL용도차" hidden="1">{#N/A,#N/A,FALSE,"단축1";#N/A,#N/A,FALSE,"단축2";#N/A,#N/A,FALSE,"단축3";#N/A,#N/A,FALSE,"장축";#N/A,#N/A,FALSE,"4WD"}</definedName>
    <definedName name="RSGVDDD" hidden="1">{#N/A,#N/A,FALSE,"단축1";#N/A,#N/A,FALSE,"단축2";#N/A,#N/A,FALSE,"단축3";#N/A,#N/A,FALSE,"장축";#N/A,#N/A,FALSE,"4WD"}</definedName>
    <definedName name="rshj" hidden="1">{#N/A,#N/A,FALSE,"단축1";#N/A,#N/A,FALSE,"단축2";#N/A,#N/A,FALSE,"단축3";#N/A,#N/A,FALSE,"장축";#N/A,#N/A,FALSE,"4WD"}</definedName>
    <definedName name="rsty" hidden="1">{#N/A,#N/A,FALSE,"견적대비-2"}</definedName>
    <definedName name="RT" hidden="1">{#N/A,#N/A,FALSE,"단축1";#N/A,#N/A,FALSE,"단축2";#N/A,#N/A,FALSE,"단축3";#N/A,#N/A,FALSE,"장축";#N/A,#N/A,FALSE,"4WD"}</definedName>
    <definedName name="RTD" hidden="1">{#N/A,#N/A,FALSE,"단축1";#N/A,#N/A,FALSE,"단축2";#N/A,#N/A,FALSE,"단축3";#N/A,#N/A,FALSE,"장축";#N/A,#N/A,FALSE,"4WD"}</definedName>
    <definedName name="RTEE" hidden="1">{#N/A,#N/A,FALSE,"초도품";#N/A,#N/A,FALSE,"초도품 (2)";#N/A,#N/A,FALSE,"초도품 (3)";#N/A,#N/A,FALSE,"초도품 (4)";#N/A,#N/A,FALSE,"초도품 (5)";#N/A,#N/A,FALSE,"초도품 (6)"}</definedName>
    <definedName name="RTEJUT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ERT" hidden="1">{#N/A,#N/A,FALSE,"단축1";#N/A,#N/A,FALSE,"단축2";#N/A,#N/A,FALSE,"단축3";#N/A,#N/A,FALSE,"장축";#N/A,#N/A,FALSE,"4WD"}</definedName>
    <definedName name="RTFBVH" hidden="1">{#N/A,#N/A,FALSE,"KMC최종회의(7월) 자료"}</definedName>
    <definedName name="RTFBVH_1" hidden="1">{#N/A,#N/A,FALSE,"KMC최종회의(7월) 자료"}</definedName>
    <definedName name="rtfyrds" hidden="1">{#N/A,#N/A,FALSE,"단축1";#N/A,#N/A,FALSE,"단축2";#N/A,#N/A,FALSE,"단축3";#N/A,#N/A,FALSE,"장축";#N/A,#N/A,FALSE,"4WD"}</definedName>
    <definedName name="rth" hidden="1">{"'표지'!$B$5"}</definedName>
    <definedName name="RTJTYM" hidden="1">{#N/A,#N/A,FALSE,"96 3월물량표";#N/A,#N/A,FALSE,"96 4월물량표";#N/A,#N/A,FALSE,"96 5월물량표"}</definedName>
    <definedName name="RTJTYM_1" hidden="1">{#N/A,#N/A,FALSE,"96 3월물량표";#N/A,#N/A,FALSE,"96 4월물량표";#N/A,#N/A,FALSE,"96 5월물량표"}</definedName>
    <definedName name="rtrtrgfgvc" hidden="1">{"'7-2지역별'!$A$1:$R$44"}</definedName>
    <definedName name="RTRTWE" hidden="1">{#N/A,#N/A,FALSE,"단축1";#N/A,#N/A,FALSE,"단축2";#N/A,#N/A,FALSE,"단축3";#N/A,#N/A,FALSE,"장축";#N/A,#N/A,FALSE,"4WD"}</definedName>
    <definedName name="rtrwere" hidden="1">{"'7-2지역별'!$A$1:$R$44"}</definedName>
    <definedName name="RTRWT" hidden="1">{"'7-2지역별'!$A$1:$R$44"}</definedName>
    <definedName name="RTTDDX" hidden="1">{#N/A,#N/A,FALSE,"단축1";#N/A,#N/A,FALSE,"단축2";#N/A,#N/A,FALSE,"단축3";#N/A,#N/A,FALSE,"장축";#N/A,#N/A,FALSE,"4WD"}</definedName>
    <definedName name="RTTR" hidden="1">{#N/A,#N/A,FALSE,"단축1";#N/A,#N/A,FALSE,"단축2";#N/A,#N/A,FALSE,"단축3";#N/A,#N/A,FALSE,"장축";#N/A,#N/A,FALSE,"4WD"}</definedName>
    <definedName name="rttrwww" hidden="1">{"'7-2지역별'!$A$1:$R$44"}</definedName>
    <definedName name="rtu" hidden="1">{#N/A,#N/A,TRUE,"Y생산";#N/A,#N/A,TRUE,"Y판매";#N/A,#N/A,TRUE,"Y총물량";#N/A,#N/A,TRUE,"Y능력";#N/A,#N/A,TRUE,"YKD"}</definedName>
    <definedName name="rtu_1" hidden="1">{#N/A,#N/A,TRUE,"Y생산";#N/A,#N/A,TRUE,"Y판매";#N/A,#N/A,TRUE,"Y총물량";#N/A,#N/A,TRUE,"Y능력";#N/A,#N/A,TRUE,"YKD"}</definedName>
    <definedName name="RTYG" hidden="1">{#N/A,#N/A,FALSE,"단축1";#N/A,#N/A,FALSE,"단축2";#N/A,#N/A,FALSE,"단축3";#N/A,#N/A,FALSE,"장축";#N/A,#N/A,FALSE,"4WD"}</definedName>
    <definedName name="RTYG_1" hidden="1">{#N/A,#N/A,FALSE,"단축1";#N/A,#N/A,FALSE,"단축2";#N/A,#N/A,FALSE,"단축3";#N/A,#N/A,FALSE,"장축";#N/A,#N/A,FALSE,"4WD"}</definedName>
    <definedName name="RTYHJK" hidden="1">{#N/A,#N/A,FALSE,"단축1";#N/A,#N/A,FALSE,"단축2";#N/A,#N/A,FALSE,"단축3";#N/A,#N/A,FALSE,"장축";#N/A,#N/A,FALSE,"4WD"}</definedName>
    <definedName name="rtyt" hidden="1">{#N/A,#N/A,FALSE,"단축1";#N/A,#N/A,FALSE,"단축2";#N/A,#N/A,FALSE,"단축3";#N/A,#N/A,FALSE,"장축";#N/A,#N/A,FALSE,"4WD"}</definedName>
    <definedName name="RU" hidden="1">{#N/A,#N/A,FALSE,"단축1";#N/A,#N/A,FALSE,"단축2";#N/A,#N/A,FALSE,"단축3";#N/A,#N/A,FALSE,"장축";#N/A,#N/A,FALSE,"4WD"}</definedName>
    <definedName name="rud" hidden="1">{#N/A,#N/A,FALSE,"KMC최종회의(7월) 자료"}</definedName>
    <definedName name="RVR" hidden="1">{#N/A,#N/A,FALSE,"KMC최종회의(7월) 자료"}</definedName>
    <definedName name="RVR_1" hidden="1">{#N/A,#N/A,FALSE,"KMC최종회의(7월) 자료"}</definedName>
    <definedName name="RW" hidden="1">{#N/A,#N/A,FALSE,"을지 (4)";#N/A,#N/A,FALSE,"을지 (5)";#N/A,#N/A,FALSE,"을지 (6)"}</definedName>
    <definedName name="RWE" hidden="1">{#N/A,#N/A,FALSE,"단축1";#N/A,#N/A,FALSE,"단축2";#N/A,#N/A,FALSE,"단축3";#N/A,#N/A,FALSE,"장축";#N/A,#N/A,FALSE,"4WD"}</definedName>
    <definedName name="RWEWWW" hidden="1">{#N/A,#N/A,FALSE,"단축1";#N/A,#N/A,FALSE,"단축2";#N/A,#N/A,FALSE,"단축3";#N/A,#N/A,FALSE,"장축";#N/A,#N/A,FALSE,"4WD"}</definedName>
    <definedName name="rwretr" hidden="1">{"'7-2지역별'!$A$1:$R$44"}</definedName>
    <definedName name="RY" hidden="1">{#N/A,#N/A,FALSE,"단축1";#N/A,#N/A,FALSE,"단축2";#N/A,#N/A,FALSE,"단축3";#N/A,#N/A,FALSE,"장축";#N/A,#N/A,FALSE,"4WD"}</definedName>
    <definedName name="RYRYRY" hidden="1">{#N/A,#N/A,FALSE,"단축1";#N/A,#N/A,FALSE,"단축2";#N/A,#N/A,FALSE,"단축3";#N/A,#N/A,FALSE,"장축";#N/A,#N/A,FALSE,"4WD"}</definedName>
    <definedName name="RYTWY" hidden="1">{#N/A,#N/A,FALSE,"단축1";#N/A,#N/A,FALSE,"단축2";#N/A,#N/A,FALSE,"단축3";#N/A,#N/A,FALSE,"장축";#N/A,#N/A,FALSE,"4WD"}</definedName>
    <definedName name="R개선계획" hidden="1">{#N/A,#N/A,FALSE,"KMC최종회의(7월) 자료"}</definedName>
    <definedName name="rㅀㄱ" hidden="1">{#N/A,#N/A,FALSE,"업체선정";#N/A,#N/A,FALSE,"업체선정sheet";#N/A,#N/A,FALSE,"업체실태";#N/A,#N/A,FALSE,"업체실태(1)";#N/A,#N/A,FALSE,"종업원현황(2)";#N/A,#N/A,FALSE,"생산품목(3)";#N/A,#N/A,FALSE,"장비보유현황";#N/A,#N/A,FALSE,"차량및약도";#N/A,#N/A,FALSE,"금형LIST"}</definedName>
    <definedName name="S" hidden="1">{#N/A,#N/A,FALSE,"KMC최종회의(7월) 자료"}</definedName>
    <definedName name="s_1" hidden="1">{#N/A,#N/A,FALSE,"KMC최종회의(7월) 자료"}</definedName>
    <definedName name="s_2" hidden="1">{#N/A,#N/A,FALSE,"KMC최종회의(7월) 자료"}</definedName>
    <definedName name="S0" hidden="1">{#N/A,#N/A,FALSE,"KMC최종회의(7월) 자료"}</definedName>
    <definedName name="S0_1" hidden="1">{#N/A,#N/A,FALSE,"KMC최종회의(7월) 자료"}</definedName>
    <definedName name="S0_2" hidden="1">{#N/A,#N/A,FALSE,"KMC최종회의(7월) 자료"}</definedName>
    <definedName name="S111S" hidden="1">{#N/A,#N/A,FALSE,"을지 (4)";#N/A,#N/A,FALSE,"을지 (5)";#N/A,#N/A,FALSE,"을지 (6)"}</definedName>
    <definedName name="sa" hidden="1">{#N/A,#N/A,FALSE,"미판매분"}</definedName>
    <definedName name="saa" hidden="1">{#N/A,#N/A,FALSE,"미판매분"}</definedName>
    <definedName name="SAAA1" hidden="1">{#N/A,#N/A,FALSE,"단축1";#N/A,#N/A,FALSE,"단축2";#N/A,#N/A,FALSE,"단축3";#N/A,#N/A,FALSE,"장축";#N/A,#N/A,FALSE,"4WD"}</definedName>
    <definedName name="SAAS" hidden="1">{#N/A,#N/A,FALSE,"단축1";#N/A,#N/A,FALSE,"단축2";#N/A,#N/A,FALSE,"단축3";#N/A,#N/A,FALSE,"장축";#N/A,#N/A,FALSE,"4WD"}</definedName>
    <definedName name="SAASASSA" hidden="1">{#N/A,#N/A,FALSE,"단축1";#N/A,#N/A,FALSE,"단축2";#N/A,#N/A,FALSE,"단축3";#N/A,#N/A,FALSE,"장축";#N/A,#N/A,FALSE,"4WD"}</definedName>
    <definedName name="SAD" hidden="1">{#N/A,#N/A,FALSE,"단축1";#N/A,#N/A,FALSE,"단축2";#N/A,#N/A,FALSE,"단축3";#N/A,#N/A,FALSE,"장축";#N/A,#N/A,FALSE,"4WD"}</definedName>
    <definedName name="SADAD" hidden="1">{#N/A,#N/A,FALSE,"단축1";#N/A,#N/A,FALSE,"단축2";#N/A,#N/A,FALSE,"단축3";#N/A,#N/A,FALSE,"장축";#N/A,#N/A,FALSE,"4WD"}</definedName>
    <definedName name="sadd" hidden="1">{#N/A,#N/A,FALSE,"품의서";#N/A,#N/A,FALSE,"전제";#N/A,#N/A,FALSE,"총손";#N/A,#N/A,FALSE,"손익"}</definedName>
    <definedName name="SADF" hidden="1">{#N/A,#N/A,FALSE,"단축1";#N/A,#N/A,FALSE,"단축2";#N/A,#N/A,FALSE,"단축3";#N/A,#N/A,FALSE,"장축";#N/A,#N/A,FALSE,"4WD"}</definedName>
    <definedName name="SADFDSAF" hidden="1">{#N/A,#N/A,FALSE,"을지 (4)";#N/A,#N/A,FALSE,"을지 (5)";#N/A,#N/A,FALSE,"을지 (6)"}</definedName>
    <definedName name="SAF" hidden="1">{#N/A,#N/A,FALSE,"표지";#N/A,#N/A,FALSE,"을지1";#N/A,#N/A,FALSE,"일정1";#N/A,#N/A,FALSE,"일정2";#N/A,#N/A,FALSE,"11T-C";#N/A,#N/A,FALSE,"15T-D";#N/A,#N/A,FALSE,"판매현황";#N/A,#N/A,FALSE,"업무 FLOW"}</definedName>
    <definedName name="SAFD" hidden="1">{#N/A,#N/A,FALSE,"단축1";#N/A,#N/A,FALSE,"단축2";#N/A,#N/A,FALSE,"단축3";#N/A,#N/A,FALSE,"장축";#N/A,#N/A,FALSE,"4WD"}</definedName>
    <definedName name="saff" hidden="1">{#N/A,#N/A,FALSE,"KMC최종회의(7월) 자료"}</definedName>
    <definedName name="saff_1" hidden="1">{#N/A,#N/A,FALSE,"KMC최종회의(7월) 자료"}</definedName>
    <definedName name="SAGFSAFS" hidden="1">{#N/A,#N/A,FALSE,"단축1";#N/A,#N/A,FALSE,"단축2";#N/A,#N/A,FALSE,"단축3";#N/A,#N/A,FALSE,"장축";#N/A,#N/A,FALSE,"4WD"}</definedName>
    <definedName name="SAMPLE" hidden="1">{#N/A,#N/A,FALSE,"단축1";#N/A,#N/A,FALSE,"단축2";#N/A,#N/A,FALSE,"단축3";#N/A,#N/A,FALSE,"장축";#N/A,#N/A,FALSE,"4WD"}</definedName>
    <definedName name="SAS" hidden="1">{#N/A,#N/A,FALSE,"단축1";#N/A,#N/A,FALSE,"단축2";#N/A,#N/A,FALSE,"단축3";#N/A,#N/A,FALSE,"장축";#N/A,#N/A,FALSE,"4WD"}</definedName>
    <definedName name="SASA" hidden="1">{#N/A,#N/A,FALSE,"단축1";#N/A,#N/A,FALSE,"단축2";#N/A,#N/A,FALSE,"단축3";#N/A,#N/A,FALSE,"장축";#N/A,#N/A,FALSE,"4WD"}</definedName>
    <definedName name="sasadsaddsdas" hidden="1">{"'7-2지역별'!$A$1:$R$44"}</definedName>
    <definedName name="sasasda" hidden="1">{"'7-2지역별'!$A$1:$R$44"}</definedName>
    <definedName name="sasd" hidden="1">{#N/A,#N/A,FALSE,"KMC최종회의(7월) 자료"}</definedName>
    <definedName name="sasd_1" hidden="1">{#N/A,#N/A,FALSE,"KMC최종회의(7월) 자료"}</definedName>
    <definedName name="sasdf" hidden="1">{#N/A,#N/A,FALSE,"KMC최종회의(7월) 자료"}</definedName>
    <definedName name="sasdf_1" hidden="1">{#N/A,#N/A,FALSE,"KMC최종회의(7월) 자료"}</definedName>
    <definedName name="sasf" hidden="1">{#N/A,#N/A,FALSE,"KMC최종회의(7월) 자료"}</definedName>
    <definedName name="sasf_1" hidden="1">{#N/A,#N/A,FALSE,"KMC최종회의(7월) 자료"}</definedName>
    <definedName name="SASS" hidden="1">{#N/A,#N/A,FALSE,"개발계획표지";#N/A,#N/A,FALSE,"목차";#N/A,#N/A,FALSE,"개요"}</definedName>
    <definedName name="sawrhbAZ" hidden="1">{#N/A,#N/A,FALSE,"단축1";#N/A,#N/A,FALSE,"단축2";#N/A,#N/A,FALSE,"단축3";#N/A,#N/A,FALSE,"장축";#N/A,#N/A,FALSE,"4WD"}</definedName>
    <definedName name="SAXCASDADA" hidden="1">{#N/A,#N/A,FALSE,"단축1";#N/A,#N/A,FALSE,"단축2";#N/A,#N/A,FALSE,"단축3";#N/A,#N/A,FALSE,"장축";#N/A,#N/A,FALSE,"4WD"}</definedName>
    <definedName name="sayang" hidden="1">{#N/A,#N/A,FALSE,"단축1";#N/A,#N/A,FALSE,"단축2";#N/A,#N/A,FALSE,"단축3";#N/A,#N/A,FALSE,"장축";#N/A,#N/A,FALSE,"4WD"}</definedName>
    <definedName name="sayang_1" hidden="1">{#N/A,#N/A,FALSE,"단축1";#N/A,#N/A,FALSE,"단축2";#N/A,#N/A,FALSE,"단축3";#N/A,#N/A,FALSE,"장축";#N/A,#N/A,FALSE,"4WD"}</definedName>
    <definedName name="SA공수" hidden="1">{#N/A,#N/A,FALSE,"단축1";#N/A,#N/A,FALSE,"단축2";#N/A,#N/A,FALSE,"단축3";#N/A,#N/A,FALSE,"장축";#N/A,#N/A,FALSE,"4WD"}</definedName>
    <definedName name="SBV" hidden="1">{0,0,0,0}</definedName>
    <definedName name="SCINIC" hidden="1">{#N/A,#N/A,FALSE,"단축1";#N/A,#N/A,FALSE,"단축2";#N/A,#N/A,FALSE,"단축3";#N/A,#N/A,FALSE,"장축";#N/A,#N/A,FALSE,"4WD"}</definedName>
    <definedName name="SD" hidden="1">{#N/A,#N/A,FALSE,"KMC최종회의(7월) 자료"}</definedName>
    <definedName name="SD_1" hidden="1">{#N/A,#N/A,FALSE,"단축1";#N/A,#N/A,FALSE,"단축2";#N/A,#N/A,FALSE,"단축3";#N/A,#N/A,FALSE,"장축";#N/A,#N/A,FALSE,"4WD"}</definedName>
    <definedName name="SD_2" hidden="1">{#N/A,#N/A,FALSE,"단축1";#N/A,#N/A,FALSE,"단축2";#N/A,#N/A,FALSE,"단축3";#N/A,#N/A,FALSE,"장축";#N/A,#N/A,FALSE,"4WD"}</definedName>
    <definedName name="SDA" hidden="1">{#N/A,#N/A,FALSE,"KMC최종회의(7월) 자료"}</definedName>
    <definedName name="SDA_1" hidden="1">{#N/A,#N/A,FALSE,"KMC최종회의(7월) 자료"}</definedName>
    <definedName name="SDA_2" hidden="1">{#N/A,#N/A,FALSE,"KMC최종회의(7월) 자료"}</definedName>
    <definedName name="sdafadfafafaf" hidden="1">{#N/A,#N/A,TRUE,"Y생산";#N/A,#N/A,TRUE,"Y판매";#N/A,#N/A,TRUE,"Y총물량";#N/A,#N/A,TRUE,"Y능력";#N/A,#N/A,TRUE,"YKD"}</definedName>
    <definedName name="SDAFDF" hidden="1">{#N/A,#N/A,FALSE,"단축1";#N/A,#N/A,FALSE,"단축2";#N/A,#N/A,FALSE,"단축3";#N/A,#N/A,FALSE,"장축";#N/A,#N/A,FALSE,"4WD"}</definedName>
    <definedName name="sdagasdg" hidden="1">{#N/A,#N/A,FALSE,"96 3월물량표";#N/A,#N/A,FALSE,"96 4월물량표";#N/A,#N/A,FALSE,"96 5월물량표"}</definedName>
    <definedName name="sdagasdg_1" hidden="1">{#N/A,#N/A,FALSE,"96 3월물량표";#N/A,#N/A,FALSE,"96 4월물량표";#N/A,#N/A,FALSE,"96 5월물량표"}</definedName>
    <definedName name="SD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d" hidden="1">{#N/A,#N/A,FALSE,"단축1";#N/A,#N/A,FALSE,"단축2";#N/A,#N/A,FALSE,"단축3";#N/A,#N/A,FALSE,"장축";#N/A,#N/A,FALSE,"4WD"}</definedName>
    <definedName name="sdcs" hidden="1">{#N/A,#N/A,FALSE,"단축1";#N/A,#N/A,FALSE,"단축2";#N/A,#N/A,FALSE,"단축3";#N/A,#N/A,FALSE,"장축";#N/A,#N/A,FALSE,"4WD"}</definedName>
    <definedName name="SDCSDCSDC" hidden="1">{#N/A,#N/A,FALSE,"단축1";#N/A,#N/A,FALSE,"단축2";#N/A,#N/A,FALSE,"단축3";#N/A,#N/A,FALSE,"장축";#N/A,#N/A,FALSE,"4WD"}</definedName>
    <definedName name="sdd" hidden="1">{#N/A,#N/A,FALSE,"단축1";#N/A,#N/A,FALSE,"단축2";#N/A,#N/A,FALSE,"단축3";#N/A,#N/A,FALSE,"장축";#N/A,#N/A,FALSE,"4WD"}</definedName>
    <definedName name="SDDD" hidden="1">{#N/A,#N/A,FALSE,"단축1";#N/A,#N/A,FALSE,"단축2";#N/A,#N/A,FALSE,"단축3";#N/A,#N/A,FALSE,"장축";#N/A,#N/A,FALSE,"4WD"}</definedName>
    <definedName name="SDDSD" hidden="1">{#N/A,#N/A,FALSE,"단축1";#N/A,#N/A,FALSE,"단축2";#N/A,#N/A,FALSE,"단축3";#N/A,#N/A,FALSE,"장축";#N/A,#N/A,FALSE,"4WD"}</definedName>
    <definedName name="sddsdsds" hidden="1">{"'7-2지역별'!$A$1:$R$44"}</definedName>
    <definedName name="sdee" hidden="1">{#N/A,#N/A,FALSE,"FR 계산내역";#N/A,#N/A,FALSE,"RR 계산내역";#N/A,#N/A,FALSE,"기계경비"}</definedName>
    <definedName name="sdesd" hidden="1">{"'7-2지역별'!$A$1:$R$44"}</definedName>
    <definedName name="SDEWE" hidden="1">{"'7-2지역별'!$A$1:$R$44"}</definedName>
    <definedName name="SDF" hidden="1">{#N/A,#N/A,FALSE,"Status";#N/A,#N/A,FALSE,"Deckblatt 1";#N/A,#N/A,FALSE,"Deckblatt2"}</definedName>
    <definedName name="SDFA" hidden="1">{#N/A,#N/A,FALSE,"단축1";#N/A,#N/A,FALSE,"단축2";#N/A,#N/A,FALSE,"단축3";#N/A,#N/A,FALSE,"장축";#N/A,#N/A,FALSE,"4WD"}</definedName>
    <definedName name="sdfasd" hidden="1">{#N/A,#N/A,FALSE,"단축1";#N/A,#N/A,FALSE,"단축2";#N/A,#N/A,FALSE,"단축3";#N/A,#N/A,FALSE,"장축";#N/A,#N/A,FALSE,"4WD"}</definedName>
    <definedName name="SDFASDF" hidden="1">{#N/A,#N/A,FALSE,"단축1";#N/A,#N/A,FALSE,"단축2";#N/A,#N/A,FALSE,"단축3";#N/A,#N/A,FALSE,"장축";#N/A,#N/A,FALSE,"4WD"}</definedName>
    <definedName name="sdfds" hidden="1">{#N/A,#N/A,FALSE,"KMC최종회의(7월) 자료"}</definedName>
    <definedName name="sdfds_1" hidden="1">{#N/A,#N/A,FALSE,"KMC최종회의(7월) 자료"}</definedName>
    <definedName name="sdfdsfgdf" hidden="1">{"'7-2지역별'!$A$1:$R$44"}</definedName>
    <definedName name="sdfdstyrtyrgrtg" hidden="1">{#N/A,#N/A,FALSE,"단축1";#N/A,#N/A,FALSE,"단축2";#N/A,#N/A,FALSE,"단축3";#N/A,#N/A,FALSE,"장축";#N/A,#N/A,FALSE,"4WD"}</definedName>
    <definedName name="sdffa" hidden="1">#REF!</definedName>
    <definedName name="SDFFFGGGHHHJJJJ" hidden="1">{#N/A,#N/A,FALSE,"PART-1234-8-12-9(41)";#N/A,#N/A,FALSE,"PARTS-2(3)";#N/A,#N/A,FALSE,"VAN SYSTEM";#N/A,#N/A,FALSE,"PARTS-10(26)";#N/A,#N/A,FALSE,"PART-5-6-7-11(14)";#N/A,#N/A,FALSE,"PARTS-4(3)";#N/A,#N/A,FALSE,"PCLASS"}</definedName>
    <definedName name="SDFFFGHJKL" hidden="1">{#N/A,#N/A,FALSE,"PART-1234-8-12-9(41)";#N/A,#N/A,FALSE,"PARTS-2(3)";#N/A,#N/A,FALSE,"VAN SYSTEM";#N/A,#N/A,FALSE,"PARTS-10(26)";#N/A,#N/A,FALSE,"PART-5-6-7-11(14)";#N/A,#N/A,FALSE,"PARTS-4(3)";#N/A,#N/A,FALSE,"PCLASS"}</definedName>
    <definedName name="SDFFGHJK" hidden="1">{#N/A,#N/A,FALSE,"PART-1234-8-12-9(41)";#N/A,#N/A,FALSE,"PARTS-2(3)";#N/A,#N/A,FALSE,"VAN SYSTEM";#N/A,#N/A,FALSE,"PARTS-10(26)";#N/A,#N/A,FALSE,"PART-5-6-7-11(14)";#N/A,#N/A,FALSE,"PARTS-4(3)";#N/A,#N/A,FALSE,"PCLASS"}</definedName>
    <definedName name="SDFFSF" hidden="1">{"'7-2지역별'!$A$1:$R$44"}</definedName>
    <definedName name="SDFG" hidden="1">{#N/A,#N/A,FALSE,"단축1";#N/A,#N/A,FALSE,"단축2";#N/A,#N/A,FALSE,"단축3";#N/A,#N/A,FALSE,"장축";#N/A,#N/A,FALSE,"4WD"}</definedName>
    <definedName name="SDFGER" hidden="1">{"'7-2지역별'!$A$1:$R$44"}</definedName>
    <definedName name="SDFGGER" hidden="1">{#N/A,#N/A,FALSE,"단축1";#N/A,#N/A,FALSE,"단축2";#N/A,#N/A,FALSE,"단축3";#N/A,#N/A,FALSE,"장축";#N/A,#N/A,FALSE,"4WD"}</definedName>
    <definedName name="sdfgghjkl" hidden="1">{#N/A,#N/A,FALSE,"PART-1234-8-12-9(41)";#N/A,#N/A,FALSE,"PARTS-2(3)";#N/A,#N/A,FALSE,"VAN SYSTEM";#N/A,#N/A,FALSE,"PARTS-10(26)";#N/A,#N/A,FALSE,"PART-5-6-7-11(14)";#N/A,#N/A,FALSE,"PARTS-4(3)";#N/A,#N/A,FALSE,"PCLASS"}</definedName>
    <definedName name="SDFGH" hidden="1">{#N/A,#N/A,FALSE,"단축1";#N/A,#N/A,FALSE,"단축2";#N/A,#N/A,FALSE,"단축3";#N/A,#N/A,FALSE,"장축";#N/A,#N/A,FALSE,"4WD"}</definedName>
    <definedName name="SDFGH_1" hidden="1">{#N/A,#N/A,FALSE,"단축1";#N/A,#N/A,FALSE,"단축2";#N/A,#N/A,FALSE,"단축3";#N/A,#N/A,FALSE,"장축";#N/A,#N/A,FALSE,"4WD"}</definedName>
    <definedName name="SDFGH_2" hidden="1">{#N/A,#N/A,FALSE,"단축1";#N/A,#N/A,FALSE,"단축2";#N/A,#N/A,FALSE,"단축3";#N/A,#N/A,FALSE,"장축";#N/A,#N/A,FALSE,"4WD"}</definedName>
    <definedName name="sdfghsdfhjrgj" hidden="1">{#N/A,#N/A,FALSE,"단축1";#N/A,#N/A,FALSE,"단축2";#N/A,#N/A,FALSE,"단축3";#N/A,#N/A,FALSE,"장축";#N/A,#N/A,FALSE,"4WD"}</definedName>
    <definedName name="SDFGS" hidden="1">{#N/A,#N/A,FALSE,"을지 (4)";#N/A,#N/A,FALSE,"을지 (5)";#N/A,#N/A,FALSE,"을지 (6)"}</definedName>
    <definedName name="SDFGSER" hidden="1">{#N/A,#N/A,FALSE,"단축1";#N/A,#N/A,FALSE,"단축2";#N/A,#N/A,FALSE,"단축3";#N/A,#N/A,FALSE,"장축";#N/A,#N/A,FALSE,"4WD"}</definedName>
    <definedName name="SDFGSERTERG" hidden="1">{#N/A,#N/A,FALSE,"단축1";#N/A,#N/A,FALSE,"단축2";#N/A,#N/A,FALSE,"단축3";#N/A,#N/A,FALSE,"장축";#N/A,#N/A,FALSE,"4WD"}</definedName>
    <definedName name="sdfgsgd" hidden="1">{#N/A,#N/A,FALSE,"단축1";#N/A,#N/A,FALSE,"단축2";#N/A,#N/A,FALSE,"단축3";#N/A,#N/A,FALSE,"장축";#N/A,#N/A,FALSE,"4WD"}</definedName>
    <definedName name="SDFH" hidden="1">{#N/A,#N/A,FALSE,"단축1";#N/A,#N/A,FALSE,"단축2";#N/A,#N/A,FALSE,"단축3";#N/A,#N/A,FALSE,"장축";#N/A,#N/A,FALSE,"4WD"}</definedName>
    <definedName name="SDFH_1" hidden="1">{#N/A,#N/A,FALSE,"단축1";#N/A,#N/A,FALSE,"단축2";#N/A,#N/A,FALSE,"단축3";#N/A,#N/A,FALSE,"장축";#N/A,#N/A,FALSE,"4WD"}</definedName>
    <definedName name="SDFH_2" hidden="1">{#N/A,#N/A,FALSE,"단축1";#N/A,#N/A,FALSE,"단축2";#N/A,#N/A,FALSE,"단축3";#N/A,#N/A,FALSE,"장축";#N/A,#N/A,FALSE,"4WD"}</definedName>
    <definedName name="sdfhwery" hidden="1">{#N/A,#N/A,TRUE,"Y생산";#N/A,#N/A,TRUE,"Y판매";#N/A,#N/A,TRUE,"Y총물량";#N/A,#N/A,TRUE,"Y능력";#N/A,#N/A,TRUE,"YKD"}</definedName>
    <definedName name="sdfhwery_1" hidden="1">{#N/A,#N/A,TRUE,"Y생산";#N/A,#N/A,TRUE,"Y판매";#N/A,#N/A,TRUE,"Y총물량";#N/A,#N/A,TRUE,"Y능력";#N/A,#N/A,TRUE,"YKD"}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S_1" hidden="1">{#N/A,#N/A,FALSE,"단축1";#N/A,#N/A,FALSE,"단축2";#N/A,#N/A,FALSE,"단축3";#N/A,#N/A,FALSE,"장축";#N/A,#N/A,FALSE,"4WD"}</definedName>
    <definedName name="SDFS_2" hidden="1">{#N/A,#N/A,FALSE,"단축1";#N/A,#N/A,FALSE,"단축2";#N/A,#N/A,FALSE,"단축3";#N/A,#N/A,FALSE,"장축";#N/A,#N/A,FALSE,"4WD"}</definedName>
    <definedName name="sdfsa" hidden="1">{#N/A,#N/A,FALSE,"KMC최종회의(7월) 자료"}</definedName>
    <definedName name="sdfsa_1" hidden="1">{#N/A,#N/A,FALSE,"KMC최종회의(7월) 자료"}</definedName>
    <definedName name="SDFSDAF" hidden="1">{#N/A,#N/A,FALSE,"단축1";#N/A,#N/A,FALSE,"단축2";#N/A,#N/A,FALSE,"단축3";#N/A,#N/A,FALSE,"장축";#N/A,#N/A,FALSE,"4WD"}</definedName>
    <definedName name="SDFVDGAF" hidden="1">{#N/A,#N/A,FALSE,"단축1";#N/A,#N/A,FALSE,"단축2";#N/A,#N/A,FALSE,"단축3";#N/A,#N/A,FALSE,"장축";#N/A,#N/A,FALSE,"4WD"}</definedName>
    <definedName name="SDFWG" hidden="1">{#N/A,#N/A,FALSE,"단축1";#N/A,#N/A,FALSE,"단축2";#N/A,#N/A,FALSE,"단축3";#N/A,#N/A,FALSE,"장축";#N/A,#N/A,FALSE,"4WD"}</definedName>
    <definedName name="sdgdfh" hidden="1">{"'7-2지역별'!$A$1:$R$44"}</definedName>
    <definedName name="SDGFSD" hidden="1">{#N/A,#N/A,FALSE,"단축1";#N/A,#N/A,FALSE,"단축2";#N/A,#N/A,FALSE,"단축3";#N/A,#N/A,FALSE,"장축";#N/A,#N/A,FALSE,"4WD"}</definedName>
    <definedName name="SDGSDGDSSDSGDSDGSGD" hidden="1">{#N/A,#N/A,FALSE,"단축1";#N/A,#N/A,FALSE,"단축2";#N/A,#N/A,FALSE,"단축3";#N/A,#N/A,FALSE,"장축";#N/A,#N/A,FALSE,"4WD"}</definedName>
    <definedName name="SDGSDSGDSGDSGDSGDSDGSGD" hidden="1">{#N/A,#N/A,FALSE,"단축1";#N/A,#N/A,FALSE,"단축2";#N/A,#N/A,FALSE,"단축3";#N/A,#N/A,FALSE,"장축";#N/A,#N/A,FALSE,"4WD"}</definedName>
    <definedName name="sdgv" hidden="1">{#N/A,#N/A,FALSE,"단축1";#N/A,#N/A,FALSE,"단축2";#N/A,#N/A,FALSE,"단축3";#N/A,#N/A,FALSE,"장축";#N/A,#N/A,FALSE,"4WD"}</definedName>
    <definedName name="SDHFOSJ" hidden="1">{#N/A,#N/A,FALSE,"단축1";#N/A,#N/A,FALSE,"단축2";#N/A,#N/A,FALSE,"단축3";#N/A,#N/A,FALSE,"장축";#N/A,#N/A,FALSE,"4WD"}</definedName>
    <definedName name="SDHFS" hidden="1">{#N/A,#N/A,FALSE,"을지 (4)";#N/A,#N/A,FALSE,"을지 (5)";#N/A,#N/A,FALSE,"을지 (6)"}</definedName>
    <definedName name="SDHFSX" hidden="1">{#N/A,#N/A,FALSE,"을지 (4)";#N/A,#N/A,FALSE,"을지 (5)";#N/A,#N/A,FALSE,"을지 (6)"}</definedName>
    <definedName name="SDHGFGMGJ" hidden="1">{#N/A,#N/A,FALSE,"단축1";#N/A,#N/A,FALSE,"단축2";#N/A,#N/A,FALSE,"단축3";#N/A,#N/A,FALSE,"장축";#N/A,#N/A,FALSE,"4WD"}</definedName>
    <definedName name="SDHSD" hidden="1">{#N/A,#N/A,FALSE,"단축1";#N/A,#N/A,FALSE,"단축2";#N/A,#N/A,FALSE,"단축3";#N/A,#N/A,FALSE,"장축";#N/A,#N/A,FALSE,"4WD"}</definedName>
    <definedName name="SDK" hidden="1">{#N/A,#N/A,FALSE,"단축1";#N/A,#N/A,FALSE,"단축2";#N/A,#N/A,FALSE,"단축3";#N/A,#N/A,FALSE,"장축";#N/A,#N/A,FALSE,"4WD"}</definedName>
    <definedName name="sdlkmldsamlksa" hidden="1">{#N/A,#N/A,FALSE,"KMC최종회의(7월) 자료"}</definedName>
    <definedName name="sdoj" hidden="1">{0,0,0,0;0,0,0,0;0,0,0,0;0,0,0,0;0,0,0,0}</definedName>
    <definedName name="SDSD" hidden="1">{#N/A,#N/A,FALSE,"단축1";#N/A,#N/A,FALSE,"단축2";#N/A,#N/A,FALSE,"단축3";#N/A,#N/A,FALSE,"장축";#N/A,#N/A,FALSE,"4WD"}</definedName>
    <definedName name="SDSD_1" hidden="1">{#N/A,#N/A,FALSE,"단축1";#N/A,#N/A,FALSE,"단축2";#N/A,#N/A,FALSE,"단축3";#N/A,#N/A,FALSE,"장축";#N/A,#N/A,FALSE,"4WD"}</definedName>
    <definedName name="SDSD_2" hidden="1">{#N/A,#N/A,FALSE,"단축1";#N/A,#N/A,FALSE,"단축2";#N/A,#N/A,FALSE,"단축3";#N/A,#N/A,FALSE,"장축";#N/A,#N/A,FALSE,"4WD"}</definedName>
    <definedName name="SDSDSD" hidden="1">{#N/A,#N/A,FALSE,"단축1";#N/A,#N/A,FALSE,"단축2";#N/A,#N/A,FALSE,"단축3";#N/A,#N/A,FALSE,"장축";#N/A,#N/A,FALSE,"4WD"}</definedName>
    <definedName name="SDSDSDSDSDSD" hidden="1">{#N/A,#N/A,FALSE,"단축1";#N/A,#N/A,FALSE,"단축2";#N/A,#N/A,FALSE,"단축3";#N/A,#N/A,FALSE,"장축";#N/A,#N/A,FALSE,"4WD"}</definedName>
    <definedName name="SDSDSFDSDFSFD" hidden="1">{#N/A,#N/A,FALSE,"단축1";#N/A,#N/A,FALSE,"단축2";#N/A,#N/A,FALSE,"단축3";#N/A,#N/A,FALSE,"장축";#N/A,#N/A,FALSE,"4WD"}</definedName>
    <definedName name="SDSF" hidden="1">{#N/A,#N/A,FALSE,"신규dep";#N/A,#N/A,FALSE,"신규dep-금형상각후";#N/A,#N/A,FALSE,"신규dep-연구비상각후";#N/A,#N/A,FALSE,"신규dep-기계,공구상각후"}</definedName>
    <definedName name="SDSS" hidden="1">{#N/A,#N/A,FALSE,"단축1";#N/A,#N/A,FALSE,"단축2";#N/A,#N/A,FALSE,"단축3";#N/A,#N/A,FALSE,"장축";#N/A,#N/A,FALSE,"4WD"}</definedName>
    <definedName name="SDSS_1" hidden="1">{#N/A,#N/A,FALSE,"단축1";#N/A,#N/A,FALSE,"단축2";#N/A,#N/A,FALSE,"단축3";#N/A,#N/A,FALSE,"장축";#N/A,#N/A,FALSE,"4WD"}</definedName>
    <definedName name="SDSS_2" hidden="1">{#N/A,#N/A,FALSE,"단축1";#N/A,#N/A,FALSE,"단축2";#N/A,#N/A,FALSE,"단축3";#N/A,#N/A,FALSE,"장축";#N/A,#N/A,FALSE,"4WD"}</definedName>
    <definedName name="SDWER" hidden="1">{"'7-2지역별'!$A$1:$R$44"}</definedName>
    <definedName name="SEAL" hidden="1">{#N/A,#N/A,FALSE,"KMC최종회의(7월) 자료"}</definedName>
    <definedName name="seas" hidden="1">{#N/A,#N/A,TRUE,"Y생산";#N/A,#N/A,TRUE,"Y판매";#N/A,#N/A,TRUE,"Y총물량";#N/A,#N/A,TRUE,"Y능력";#N/A,#N/A,TRUE,"YKD"}</definedName>
    <definedName name="SEAT관련도" hidden="1">#REF!</definedName>
    <definedName name="SEGEB" hidden="1">{#N/A,#N/A,FALSE,"표지";#N/A,#N/A,FALSE,"전제";#N/A,#N/A,FALSE,"손익-자 (2)";#N/A,#N/A,FALSE,"손익-자";#N/A,#N/A,FALSE,"손익-마 (2)";#N/A,#N/A,FALSE,"손익-마";#N/A,#N/A,FALSE,"총손최종"}</definedName>
    <definedName name="SEGHRTH" hidden="1">{#N/A,#N/A,FALSE,"단축1";#N/A,#N/A,FALSE,"단축2";#N/A,#N/A,FALSE,"단축3";#N/A,#N/A,FALSE,"장축";#N/A,#N/A,FALSE,"4WD"}</definedName>
    <definedName name="SEJINBS" hidden="1">{#N/A,#N/A,FALSE,"정공"}</definedName>
    <definedName name="SEJINBS_1" hidden="1">{#N/A,#N/A,FALSE,"정공"}</definedName>
    <definedName name="SEJINBS_2" hidden="1">{#N/A,#N/A,FALSE,"정공"}</definedName>
    <definedName name="SEJINBS_2_1" hidden="1">{#N/A,#N/A,FALSE,"정공"}</definedName>
    <definedName name="SEJINBS_2_2" hidden="1">{#N/A,#N/A,FALSE,"정공"}</definedName>
    <definedName name="SEJINBS_2_3" hidden="1">{#N/A,#N/A,FALSE,"정공"}</definedName>
    <definedName name="SEJINBS_3" hidden="1">{#N/A,#N/A,FALSE,"정공"}</definedName>
    <definedName name="SEJINBS_3_1" hidden="1">{#N/A,#N/A,FALSE,"정공"}</definedName>
    <definedName name="SEJINBS_3_2" hidden="1">{#N/A,#N/A,FALSE,"정공"}</definedName>
    <definedName name="SEJINBS_3_3" hidden="1">{#N/A,#N/A,FALSE,"정공"}</definedName>
    <definedName name="SEJINBS_4" hidden="1">{#N/A,#N/A,FALSE,"정공"}</definedName>
    <definedName name="SEJINBS_5" hidden="1">{#N/A,#N/A,FALSE,"정공"}</definedName>
    <definedName name="sencount" hidden="1">1</definedName>
    <definedName name="senythgct" hidden="1">{#N/A,#N/A,FALSE,"단축1";#N/A,#N/A,FALSE,"단축2";#N/A,#N/A,FALSE,"단축3";#N/A,#N/A,FALSE,"장축";#N/A,#N/A,FALSE,"4WD"}</definedName>
    <definedName name="serh" hidden="1">{#N/A,#N/A,TRUE,"Y생산";#N/A,#N/A,TRUE,"Y판매";#N/A,#N/A,TRUE,"Y총물량";#N/A,#N/A,TRUE,"Y능력";#N/A,#N/A,TRUE,"YKD"}</definedName>
    <definedName name="serh_1" hidden="1">{#N/A,#N/A,TRUE,"Y생산";#N/A,#N/A,TRUE,"Y판매";#N/A,#N/A,TRUE,"Y총물량";#N/A,#N/A,TRUE,"Y능력";#N/A,#N/A,TRUE,"YKD"}</definedName>
    <definedName name="seryhj" hidden="1">{#N/A,#N/A,TRUE,"Y생산";#N/A,#N/A,TRUE,"Y판매";#N/A,#N/A,TRUE,"Y총물량";#N/A,#N/A,TRUE,"Y능력";#N/A,#N/A,TRUE,"YKD"}</definedName>
    <definedName name="seryhj_1" hidden="1">{#N/A,#N/A,TRUE,"Y생산";#N/A,#N/A,TRUE,"Y판매";#N/A,#N/A,TRUE,"Y총물량";#N/A,#N/A,TRUE,"Y능력";#N/A,#N/A,TRUE,"YKD"}</definedName>
    <definedName name="SES" hidden="1">#REF!</definedName>
    <definedName name="sew" hidden="1">{#N/A,#N/A,FALSE,"신규dep";#N/A,#N/A,FALSE,"신규dep-금형상각후";#N/A,#N/A,FALSE,"신규dep-연구비상각후";#N/A,#N/A,FALSE,"신규dep-기계,공구상각후"}</definedName>
    <definedName name="sewtwq" hidden="1">#REF!</definedName>
    <definedName name="sex" hidden="1">{#N/A,#N/A,FALSE,"단축1";#N/A,#N/A,FALSE,"단축2";#N/A,#N/A,FALSE,"단축3";#N/A,#N/A,FALSE,"장축";#N/A,#N/A,FALSE,"4WD"}</definedName>
    <definedName name="SF" hidden="1">{#N/A,#N/A,FALSE,"단축1";#N/A,#N/A,FALSE,"단축2";#N/A,#N/A,FALSE,"단축3";#N/A,#N/A,FALSE,"장축";#N/A,#N/A,FALSE,"4WD"}</definedName>
    <definedName name="SFA" hidden="1">{#N/A,#N/A,FALSE,"단축1";#N/A,#N/A,FALSE,"단축2";#N/A,#N/A,FALSE,"단축3";#N/A,#N/A,FALSE,"장축";#N/A,#N/A,FALSE,"4WD"}</definedName>
    <definedName name="SFD" hidden="1">{#N/A,#N/A,FALSE,"단축1";#N/A,#N/A,FALSE,"단축2";#N/A,#N/A,FALSE,"단축3";#N/A,#N/A,FALSE,"장축";#N/A,#N/A,FALSE,"4WD"}</definedName>
    <definedName name="SFD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GHG" hidden="1">{#N/A,#N/A,FALSE,"단축1";#N/A,#N/A,FALSE,"단축2";#N/A,#N/A,FALSE,"단축3";#N/A,#N/A,FALSE,"장축";#N/A,#N/A,FALSE,"4WD"}</definedName>
    <definedName name="SFDGHG_1" hidden="1">{#N/A,#N/A,FALSE,"단축1";#N/A,#N/A,FALSE,"단축2";#N/A,#N/A,FALSE,"단축3";#N/A,#N/A,FALSE,"장축";#N/A,#N/A,FALSE,"4WD"}</definedName>
    <definedName name="SFDGHG_2" hidden="1">{#N/A,#N/A,FALSE,"단축1";#N/A,#N/A,FALSE,"단축2";#N/A,#N/A,FALSE,"단축3";#N/A,#N/A,FALSE,"장축";#N/A,#N/A,FALSE,"4WD"}</definedName>
    <definedName name="SFDSFDSDSSSSS" hidden="1">{#N/A,#N/A,FALSE,"단축1";#N/A,#N/A,FALSE,"단축2";#N/A,#N/A,FALSE,"단축3";#N/A,#N/A,FALSE,"장축";#N/A,#N/A,FALSE,"4WD"}</definedName>
    <definedName name="SFG" hidden="1">{#N/A,#N/A,FALSE,"단축1";#N/A,#N/A,FALSE,"단축2";#N/A,#N/A,FALSE,"단축3";#N/A,#N/A,FALSE,"장축";#N/A,#N/A,FALSE,"4WD"}</definedName>
    <definedName name="SFGFDGS" hidden="1">{#N/A,#N/A,FALSE,"단축1";#N/A,#N/A,FALSE,"단축2";#N/A,#N/A,FALSE,"단축3";#N/A,#N/A,FALSE,"장축";#N/A,#N/A,FALSE,"4WD"}</definedName>
    <definedName name="SFGHJK" hidden="1">{#N/A,#N/A,FALSE,"단축1";#N/A,#N/A,FALSE,"단축2";#N/A,#N/A,FALSE,"단축3";#N/A,#N/A,FALSE,"장축";#N/A,#N/A,FALSE,"4WD"}</definedName>
    <definedName name="SFGHJK_1" hidden="1">{#N/A,#N/A,FALSE,"단축1";#N/A,#N/A,FALSE,"단축2";#N/A,#N/A,FALSE,"단축3";#N/A,#N/A,FALSE,"장축";#N/A,#N/A,FALSE,"4WD"}</definedName>
    <definedName name="SFGHJK_2" hidden="1">{#N/A,#N/A,FALSE,"단축1";#N/A,#N/A,FALSE,"단축2";#N/A,#N/A,FALSE,"단축3";#N/A,#N/A,FALSE,"장축";#N/A,#N/A,FALSE,"4WD"}</definedName>
    <definedName name="sfghsdfjfghkhgfjkdtjhsedthjsjketrijethj" hidden="1">{#N/A,#N/A,FALSE,"단축1";#N/A,#N/A,FALSE,"단축2";#N/A,#N/A,FALSE,"단축3";#N/A,#N/A,FALSE,"장축";#N/A,#N/A,FALSE,"4WD"}</definedName>
    <definedName name="sfgrsx" hidden="1">{#N/A,#N/A,FALSE,"단축1";#N/A,#N/A,FALSE,"단축2";#N/A,#N/A,FALSE,"단축3";#N/A,#N/A,FALSE,"장축";#N/A,#N/A,FALSE,"4WD"}</definedName>
    <definedName name="SFGSDG" hidden="1">{#N/A,#N/A,FALSE,"단축1";#N/A,#N/A,FALSE,"단축2";#N/A,#N/A,FALSE,"단축3";#N/A,#N/A,FALSE,"장축";#N/A,#N/A,FALSE,"4WD"}</definedName>
    <definedName name="SFHDSG" hidden="1">{#N/A,#N/A,FALSE,"단축1";#N/A,#N/A,FALSE,"단축2";#N/A,#N/A,FALSE,"단축3";#N/A,#N/A,FALSE,"장축";#N/A,#N/A,FALSE,"4WD"}</definedName>
    <definedName name="SFJGH" hidden="1">{#N/A,#N/A,FALSE,"단축1";#N/A,#N/A,FALSE,"단축2";#N/A,#N/A,FALSE,"단축3";#N/A,#N/A,FALSE,"장축";#N/A,#N/A,FALSE,"4WD"}</definedName>
    <definedName name="SFJGH_1" hidden="1">{#N/A,#N/A,FALSE,"단축1";#N/A,#N/A,FALSE,"단축2";#N/A,#N/A,FALSE,"단축3";#N/A,#N/A,FALSE,"장축";#N/A,#N/A,FALSE,"4WD"}</definedName>
    <definedName name="SFJGH_2" hidden="1">{#N/A,#N/A,FALSE,"단축1";#N/A,#N/A,FALSE,"단축2";#N/A,#N/A,FALSE,"단축3";#N/A,#N/A,FALSE,"장축";#N/A,#N/A,FALSE,"4WD"}</definedName>
    <definedName name="SFS" hidden="1">#REF!</definedName>
    <definedName name="SFSF" hidden="1">{#N/A,#N/A,TRUE,"일정"}</definedName>
    <definedName name="SFSFSF" hidden="1">{#N/A,#N/A,FALSE,"단축1";#N/A,#N/A,FALSE,"단축2";#N/A,#N/A,FALSE,"단축3";#N/A,#N/A,FALSE,"장축";#N/A,#N/A,FALSE,"4WD"}</definedName>
    <definedName name="SFSFSFS" hidden="1">{#N/A,#N/A,FALSE,"단축1";#N/A,#N/A,FALSE,"단축2";#N/A,#N/A,FALSE,"단축3";#N/A,#N/A,FALSE,"장축";#N/A,#N/A,FALSE,"4WD"}</definedName>
    <definedName name="SFSFSFS_1" hidden="1">{#N/A,#N/A,FALSE,"단축1";#N/A,#N/A,FALSE,"단축2";#N/A,#N/A,FALSE,"단축3";#N/A,#N/A,FALSE,"장축";#N/A,#N/A,FALSE,"4WD"}</definedName>
    <definedName name="SFSFSFS_2" hidden="1">{#N/A,#N/A,FALSE,"단축1";#N/A,#N/A,FALSE,"단축2";#N/A,#N/A,FALSE,"단축3";#N/A,#N/A,FALSE,"장축";#N/A,#N/A,FALSE,"4WD"}</definedName>
    <definedName name="SFSG" hidden="1">{#N/A,#N/A,FALSE,"단축1";#N/A,#N/A,FALSE,"단축2";#N/A,#N/A,FALSE,"단축3";#N/A,#N/A,FALSE,"장축";#N/A,#N/A,FALSE,"4WD"}</definedName>
    <definedName name="sfss" hidden="1">{#N/A,#N/A,FALSE,"KMC최종회의(7월) 자료"}</definedName>
    <definedName name="sfss_1" hidden="1">{#N/A,#N/A,FALSE,"KMC최종회의(7월) 자료"}</definedName>
    <definedName name="SFTGWS" hidden="1">{#N/A,#N/A,FALSE,"단축1";#N/A,#N/A,FALSE,"단축2";#N/A,#N/A,FALSE,"단축3";#N/A,#N/A,FALSE,"장축";#N/A,#N/A,FALSE,"4WD"}</definedName>
    <definedName name="SFTHSGFHFGGGGGGGGGGGGGGG" hidden="1">{#N/A,#N/A,FALSE,"단축1";#N/A,#N/A,FALSE,"단축2";#N/A,#N/A,FALSE,"단축3";#N/A,#N/A,FALSE,"장축";#N/A,#N/A,FALSE,"4WD"}</definedName>
    <definedName name="SFTHSGFHFGGGGGGGGGGGGGGG_1" hidden="1">{#N/A,#N/A,FALSE,"단축1";#N/A,#N/A,FALSE,"단축2";#N/A,#N/A,FALSE,"단축3";#N/A,#N/A,FALSE,"장축";#N/A,#N/A,FALSE,"4WD"}</definedName>
    <definedName name="SFTHSGFHFGGGGGGGGGGGGGGG_2" hidden="1">{#N/A,#N/A,FALSE,"단축1";#N/A,#N/A,FALSE,"단축2";#N/A,#N/A,FALSE,"단축3";#N/A,#N/A,FALSE,"장축";#N/A,#N/A,FALSE,"4WD"}</definedName>
    <definedName name="SFVSV" hidden="1">{#N/A,#N/A,FALSE,"단축1";#N/A,#N/A,FALSE,"단축2";#N/A,#N/A,FALSE,"단축3";#N/A,#N/A,FALSE,"장축";#N/A,#N/A,FALSE,"4WD"}</definedName>
    <definedName name="sg" hidden="1">{#N/A,#N/A,FALSE,"KMC최종회의(7월) 자료"}</definedName>
    <definedName name="sg_1" hidden="1">{#N/A,#N/A,FALSE,"KMC최종회의(7월) 자료"}</definedName>
    <definedName name="sg_2" hidden="1">{#N/A,#N/A,FALSE,"KMC최종회의(7월) 자료"}</definedName>
    <definedName name="SGD" hidden="1">{#N/A,#N/A,FALSE,"단축1";#N/A,#N/A,FALSE,"단축2";#N/A,#N/A,FALSE,"단축3";#N/A,#N/A,FALSE,"장축";#N/A,#N/A,FALSE,"4WD"}</definedName>
    <definedName name="SGDFFH" hidden="1">{#N/A,#N/A,FALSE,"단축1";#N/A,#N/A,FALSE,"단축2";#N/A,#N/A,FALSE,"단축3";#N/A,#N/A,FALSE,"장축";#N/A,#N/A,FALSE,"4WD"}</definedName>
    <definedName name="SGDFS" hidden="1">{#N/A,#N/A,FALSE,"단축1";#N/A,#N/A,FALSE,"단축2";#N/A,#N/A,FALSE,"단축3";#N/A,#N/A,FALSE,"장축";#N/A,#N/A,FALSE,"4WD"}</definedName>
    <definedName name="SGDSDGSGDSGDSGD" hidden="1">{#N/A,#N/A,FALSE,"단축1";#N/A,#N/A,FALSE,"단축2";#N/A,#N/A,FALSE,"단축3";#N/A,#N/A,FALSE,"장축";#N/A,#N/A,FALSE,"4WD"}</definedName>
    <definedName name="SGDSDKGSDG" hidden="1">{#N/A,#N/A,FALSE,"단축1";#N/A,#N/A,FALSE,"단축2";#N/A,#N/A,FALSE,"단축3";#N/A,#N/A,FALSE,"장축";#N/A,#N/A,FALSE,"4WD"}</definedName>
    <definedName name="SGDSGDSDGSGD" hidden="1">{#N/A,#N/A,FALSE,"단축1";#N/A,#N/A,FALSE,"단축2";#N/A,#N/A,FALSE,"단축3";#N/A,#N/A,FALSE,"장축";#N/A,#N/A,FALSE,"4WD"}</definedName>
    <definedName name="SGDSGDSGDSGD" hidden="1">{#N/A,#N/A,FALSE,"단축1";#N/A,#N/A,FALSE,"단축2";#N/A,#N/A,FALSE,"단축3";#N/A,#N/A,FALSE,"장축";#N/A,#N/A,FALSE,"4WD"}</definedName>
    <definedName name="SGDSGDSGDSGDSGD" hidden="1">{#N/A,#N/A,FALSE,"단축1";#N/A,#N/A,FALSE,"단축2";#N/A,#N/A,FALSE,"단축3";#N/A,#N/A,FALSE,"장축";#N/A,#N/A,FALSE,"4WD"}</definedName>
    <definedName name="SGDSGDSGDSGDSGDSDG" hidden="1">{#N/A,#N/A,FALSE,"단축1";#N/A,#N/A,FALSE,"단축2";#N/A,#N/A,FALSE,"단축3";#N/A,#N/A,FALSE,"장축";#N/A,#N/A,FALSE,"4WD"}</definedName>
    <definedName name="SGFA" hidden="1">{#N/A,#N/A,FALSE,"인원";#N/A,#N/A,FALSE,"비용2";#N/A,#N/A,FALSE,"비용1";#N/A,#N/A,FALSE,"비용";#N/A,#N/A,FALSE,"보증2";#N/A,#N/A,FALSE,"보증1";#N/A,#N/A,FALSE,"보증";#N/A,#N/A,FALSE,"손익1";#N/A,#N/A,FALSE,"손익";#N/A,#N/A,FALSE,"부서별매출";#N/A,#N/A,FALSE,"매출"}</definedName>
    <definedName name="SGFD" hidden="1">{#N/A,#N/A,FALSE,"을지 (4)";#N/A,#N/A,FALSE,"을지 (5)";#N/A,#N/A,FALSE,"을지 (6)"}</definedName>
    <definedName name="sgfs" hidden="1">{#N/A,#N/A,FALSE,"단축1";#N/A,#N/A,FALSE,"단축2";#N/A,#N/A,FALSE,"단축3";#N/A,#N/A,FALSE,"장축";#N/A,#N/A,FALSE,"4WD"}</definedName>
    <definedName name="sghdgfhgf" hidden="1">{#N/A,#N/A,FALSE,"단축1";#N/A,#N/A,FALSE,"단축2";#N/A,#N/A,FALSE,"단축3";#N/A,#N/A,FALSE,"장축";#N/A,#N/A,FALSE,"4WD"}</definedName>
    <definedName name="sgm" hidden="1">{"DOM",#N/A,FALSE,"A8CONTENT"}</definedName>
    <definedName name="sgretw" hidden="1">{#N/A,#N/A,FALSE,"단축1";#N/A,#N/A,FALSE,"단축2";#N/A,#N/A,FALSE,"단축3";#N/A,#N/A,FALSE,"장축";#N/A,#N/A,FALSE,"4WD"}</definedName>
    <definedName name="sgs" hidden="1">{#N/A,#N/A,FALSE,"단축1";#N/A,#N/A,FALSE,"단축2";#N/A,#N/A,FALSE,"단축3";#N/A,#N/A,FALSE,"장축";#N/A,#N/A,FALSE,"4WD"}</definedName>
    <definedName name="SGX" hidden="1">{#N/A,#N/A,FALSE,"단축1";#N/A,#N/A,FALSE,"단축2";#N/A,#N/A,FALSE,"단축3";#N/A,#N/A,FALSE,"장축";#N/A,#N/A,FALSE,"4WD"}</definedName>
    <definedName name="SH" hidden="1">{#N/A,#N/A,FALSE,"KMC최종회의(7월) 자료"}</definedName>
    <definedName name="SHANQL" hidden="1">{#N/A,#N/A,FALSE,"KMC최종회의(7월) 자료"}</definedName>
    <definedName name="SHEET1" hidden="1">{#N/A,#N/A,FALSE,"단축1";#N/A,#N/A,FALSE,"단축2";#N/A,#N/A,FALSE,"단축3";#N/A,#N/A,FALSE,"장축";#N/A,#N/A,FALSE,"4WD"}</definedName>
    <definedName name="SHEET10" hidden="1">{#N/A,#N/A,FALSE,"단축1";#N/A,#N/A,FALSE,"단축2";#N/A,#N/A,FALSE,"단축3";#N/A,#N/A,FALSE,"장축";#N/A,#N/A,FALSE,"4WD"}</definedName>
    <definedName name="SHEET2" hidden="1">{#N/A,#N/A,FALSE,"단축1";#N/A,#N/A,FALSE,"단축2";#N/A,#N/A,FALSE,"단축3";#N/A,#N/A,FALSE,"장축";#N/A,#N/A,FALSE,"4WD"}</definedName>
    <definedName name="sheet4" hidden="1">{#N/A,#N/A,FALSE,"단축1";#N/A,#N/A,FALSE,"단축2";#N/A,#N/A,FALSE,"단축3";#N/A,#N/A,FALSE,"장축";#N/A,#N/A,FALSE,"4WD"}</definedName>
    <definedName name="SHFO" hidden="1">{#N/A,#N/A,FALSE,"단축1";#N/A,#N/A,FALSE,"단축2";#N/A,#N/A,FALSE,"단축3";#N/A,#N/A,FALSE,"장축";#N/A,#N/A,FALSE,"4WD"}</definedName>
    <definedName name="SHGFFJ" hidden="1">{0,0,0,0}</definedName>
    <definedName name="SHGJJ" hidden="1">{0,0,0,0}</definedName>
    <definedName name="SHGSDF" hidden="1">{#N/A,#N/A,FALSE,"단축1";#N/A,#N/A,FALSE,"단축2";#N/A,#N/A,FALSE,"단축3";#N/A,#N/A,FALSE,"장축";#N/A,#N/A,FALSE,"4WD"}</definedName>
    <definedName name="shi" hidden="1">{#N/A,#N/A,FALSE,"단축1";#N/A,#N/A,FALSE,"단축2";#N/A,#N/A,FALSE,"단축3";#N/A,#N/A,FALSE,"장축";#N/A,#N/A,FALSE,"4WD"}</definedName>
    <definedName name="shi_1" hidden="1">{#N/A,#N/A,FALSE,"단축1";#N/A,#N/A,FALSE,"단축2";#N/A,#N/A,FALSE,"단축3";#N/A,#N/A,FALSE,"장축";#N/A,#N/A,FALSE,"4WD"}</definedName>
    <definedName name="shin" hidden="1">{#N/A,#N/A,FALSE,"단축1";#N/A,#N/A,FALSE,"단축2";#N/A,#N/A,FALSE,"단축3";#N/A,#N/A,FALSE,"장축";#N/A,#N/A,FALSE,"4WD"}</definedName>
    <definedName name="shin_1" hidden="1">{#N/A,#N/A,FALSE,"단축1";#N/A,#N/A,FALSE,"단축2";#N/A,#N/A,FALSE,"단축3";#N/A,#N/A,FALSE,"장축";#N/A,#N/A,FALSE,"4WD"}</definedName>
    <definedName name="shj" hidden="1">{#N/A,#N/A,TRUE,"Y생산";#N/A,#N/A,TRUE,"Y판매";#N/A,#N/A,TRUE,"Y총물량";#N/A,#N/A,TRUE,"Y능력";#N/A,#N/A,TRUE,"YKD"}</definedName>
    <definedName name="SHJJI유인철바보" hidden="1">{#N/A,#N/A,FALSE,"단축1";#N/A,#N/A,FALSE,"단축2";#N/A,#N/A,FALSE,"단축3";#N/A,#N/A,FALSE,"장축";#N/A,#N/A,FALSE,"4WD"}</definedName>
    <definedName name="SHJJK" hidden="1">{0,0,0,0}</definedName>
    <definedName name="SHS" hidden="1">{#N/A,#N/A,FALSE,"단축1";#N/A,#N/A,FALSE,"단축2";#N/A,#N/A,FALSE,"단축3";#N/A,#N/A,FALSE,"장축";#N/A,#N/A,FALSE,"4WD"}</definedName>
    <definedName name="SHSFS" hidden="1">{#N/A,#N/A,FALSE,"초도품";#N/A,#N/A,FALSE,"초도품 (2)";#N/A,#N/A,FALSE,"초도품 (3)";#N/A,#N/A,FALSE,"초도품 (4)";#N/A,#N/A,FALSE,"초도품 (5)";#N/A,#N/A,FALSE,"초도품 (6)"}</definedName>
    <definedName name="SHSH" hidden="1">{#N/A,#N/A,FALSE,"단축1";#N/A,#N/A,FALSE,"단축2";#N/A,#N/A,FALSE,"단축3";#N/A,#N/A,FALSE,"장축";#N/A,#N/A,FALSE,"4WD"}</definedName>
    <definedName name="shsssreywwet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T" hidden="1">{#N/A,#N/A,FALSE,"단축1";#N/A,#N/A,FALSE,"단축2";#N/A,#N/A,FALSE,"단축3";#N/A,#N/A,FALSE,"장축";#N/A,#N/A,FALSE,"4WD"}</definedName>
    <definedName name="SIDE" hidden="1">{#N/A,#N/A,FALSE,"단축1";#N/A,#N/A,FALSE,"단축2";#N/A,#N/A,FALSE,"단축3";#N/A,#N/A,FALSE,"장축";#N/A,#N/A,FALSE,"4WD"}</definedName>
    <definedName name="SIS" hidden="1">{#N/A,#N/A,FALSE,"업체선정";#N/A,#N/A,FALSE,"업체선정sheet";#N/A,#N/A,FALSE,"업체실태";#N/A,#N/A,FALSE,"업체실태(1)";#N/A,#N/A,FALSE,"종업원현황(2)";#N/A,#N/A,FALSE,"생산품목(3)";#N/A,#N/A,FALSE,"장비보유현황";#N/A,#N/A,FALSE,"차량및약도";#N/A,#N/A,FALSE,"금형LIST"}</definedName>
    <definedName name="Site" hidden="1">{#N/A,#N/A,FALSE,"단축1";#N/A,#N/A,FALSE,"단축2";#N/A,#N/A,FALSE,"단축3";#N/A,#N/A,FALSE,"장축";#N/A,#N/A,FALSE,"4WD"}</definedName>
    <definedName name="SJ6155170" hidden="1">{#N/A,#N/A,FALSE,"신규dep";#N/A,#N/A,FALSE,"신규dep-금형상각후";#N/A,#N/A,FALSE,"신규dep-연구비상각후";#N/A,#N/A,FALSE,"신규dep-기계,공구상각후"}</definedName>
    <definedName name="SJH" hidden="1">{#N/A,#N/A,FALSE,"을지 (4)";#N/A,#N/A,FALSE,"을지 (5)";#N/A,#N/A,FALSE,"을지 (6)"}</definedName>
    <definedName name="sjjf" hidden="1">{#N/A,#N/A,FALSE,"단축1";#N/A,#N/A,FALSE,"단축2";#N/A,#N/A,FALSE,"단축3";#N/A,#N/A,FALSE,"장축";#N/A,#N/A,FALSE,"4WD"}</definedName>
    <definedName name="sjjf_1" hidden="1">{#N/A,#N/A,FALSE,"단축1";#N/A,#N/A,FALSE,"단축2";#N/A,#N/A,FALSE,"단축3";#N/A,#N/A,FALSE,"장축";#N/A,#N/A,FALSE,"4WD"}</definedName>
    <definedName name="sjk" hidden="1">{#N/A,#N/A,FALSE,"단축1";#N/A,#N/A,FALSE,"단축2";#N/A,#N/A,FALSE,"단축3";#N/A,#N/A,FALSE,"장축";#N/A,#N/A,FALSE,"4WD"}</definedName>
    <definedName name="sjk_1" hidden="1">{#N/A,#N/A,FALSE,"단축1";#N/A,#N/A,FALSE,"단축2";#N/A,#N/A,FALSE,"단축3";#N/A,#N/A,FALSE,"장축";#N/A,#N/A,FALSE,"4WD"}</definedName>
    <definedName name="ŞK" hidden="1">{#N/A,#N/A,FALSE,"단축1";#N/A,#N/A,FALSE,"단축2";#N/A,#N/A,FALSE,"단축3";#N/A,#N/A,FALSE,"장축";#N/A,#N/A,FALSE,"4WD"}</definedName>
    <definedName name="SKE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KSK" hidden="1">{#N/A,#N/A,FALSE,"단축1";#N/A,#N/A,FALSE,"단축2";#N/A,#N/A,FALSE,"단축3";#N/A,#N/A,FALSE,"장축";#N/A,#N/A,FALSE,"4WD"}</definedName>
    <definedName name="SKSK_1" hidden="1">{#N/A,#N/A,FALSE,"단축1";#N/A,#N/A,FALSE,"단축2";#N/A,#N/A,FALSE,"단축3";#N/A,#N/A,FALSE,"장축";#N/A,#N/A,FALSE,"4WD"}</definedName>
    <definedName name="SKSK_2" hidden="1">{#N/A,#N/A,FALSE,"단축1";#N/A,#N/A,FALSE,"단축2";#N/A,#N/A,FALSE,"단축3";#N/A,#N/A,FALSE,"장축";#N/A,#N/A,FALSE,"4WD"}</definedName>
    <definedName name="sksksksksksksksksksksksksksksksksksksksksksksksksks" hidden="1">{#N/A,#N/A,FALSE,"KMC최종회의(7월) 자료"}</definedName>
    <definedName name="SLEEVE" hidden="1">{#N/A,#N/A,FALSE,"KMC최종회의(7월) 자료"}</definedName>
    <definedName name="SLL" hidden="1">{#N/A,#N/A,FALSE,"단축1";#N/A,#N/A,FALSE,"단축2";#N/A,#N/A,FALSE,"단축3";#N/A,#N/A,FALSE,"장축";#N/A,#N/A,FALSE,"4WD"}</definedName>
    <definedName name="SM" hidden="1">{#N/A,#N/A,FALSE,"단축1";#N/A,#N/A,FALSE,"단축2";#N/A,#N/A,FALSE,"단축3";#N/A,#N/A,FALSE,"장축";#N/A,#N/A,FALSE,"4WD"}</definedName>
    <definedName name="SMM" hidden="1">{#N/A,#N/A,FALSE,"을지 (4)";#N/A,#N/A,FALSE,"을지 (5)";#N/A,#N/A,FALSE,"을지 (6)"}</definedName>
    <definedName name="SMMPE" hidden="1">{"'7보유'!$A$1:$F$44"}</definedName>
    <definedName name="SMS" hidden="1">{#N/A,#N/A,FALSE,"단축1";#N/A,#N/A,FALSE,"단축2";#N/A,#N/A,FALSE,"단축3";#N/A,#N/A,FALSE,"장축";#N/A,#N/A,FALSE,"4WD"}</definedName>
    <definedName name="SMTM" hidden="1">{#N/A,#N/A,FALSE,"단축1";#N/A,#N/A,FALSE,"단축2";#N/A,#N/A,FALSE,"단축3";#N/A,#N/A,FALSE,"장축";#N/A,#N/A,FALSE,"4WD"}</definedName>
    <definedName name="SM부자재" hidden="1">{#N/A,#N/A,FALSE,"신규dep";#N/A,#N/A,FALSE,"신규dep-금형상각후";#N/A,#N/A,FALSE,"신규dep-연구비상각후";#N/A,#N/A,FALSE,"신규dep-기계,공구상각후"}</definedName>
    <definedName name="SNGFSHD" hidden="1">{#N/A,#N/A,FALSE,"단축1";#N/A,#N/A,FALSE,"단축2";#N/A,#N/A,FALSE,"단축3";#N/A,#N/A,FALSE,"장축";#N/A,#N/A,FALSE,"4WD"}</definedName>
    <definedName name="solver_lin" hidden="1">0</definedName>
    <definedName name="solver_num" hidden="1">0</definedName>
    <definedName name="solver_opt" hidden="1">#REF!</definedName>
    <definedName name="solver_typ" hidden="1">1</definedName>
    <definedName name="solver_val" hidden="1">0</definedName>
    <definedName name="SONATA"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hidden="1">{#N/A,#N/A,FALSE,"단축1";#N/A,#N/A,FALSE,"단축2";#N/A,#N/A,FALSE,"단축3";#N/A,#N/A,FALSE,"장축";#N/A,#N/A,FALSE,"4WD"}</definedName>
    <definedName name="song1" hidden="1">{#N/A,#N/A,FALSE,"단축1";#N/A,#N/A,FALSE,"단축2";#N/A,#N/A,FALSE,"단축3";#N/A,#N/A,FALSE,"장축";#N/A,#N/A,FALSE,"4WD"}</definedName>
    <definedName name="SOPHIA" hidden="1">{#N/A,#N/A,FALSE,"단축1";#N/A,#N/A,FALSE,"단축2";#N/A,#N/A,FALSE,"단축3";#N/A,#N/A,FALSE,"장축";#N/A,#N/A,FALSE,"4WD"}</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C표지" hidden="1">{#N/A,#N/A,FALSE,"단축1";#N/A,#N/A,FALSE,"단축2";#N/A,#N/A,FALSE,"단축3";#N/A,#N/A,FALSE,"장축";#N/A,#N/A,FALSE,"4WD"}</definedName>
    <definedName name="SPEC2" hidden="1">{#N/A,#N/A,FALSE,"단축1";#N/A,#N/A,FALSE,"단축2";#N/A,#N/A,FALSE,"단축3";#N/A,#N/A,FALSE,"장축";#N/A,#N/A,FALSE,"4WD"}</definedName>
    <definedName name="SPEC2_1" hidden="1">{#N/A,#N/A,FALSE,"단축1";#N/A,#N/A,FALSE,"단축2";#N/A,#N/A,FALSE,"단축3";#N/A,#N/A,FALSE,"장축";#N/A,#N/A,FALSE,"4WD"}</definedName>
    <definedName name="SPEC2_2" hidden="1">{#N/A,#N/A,FALSE,"단축1";#N/A,#N/A,FALSE,"단축2";#N/A,#N/A,FALSE,"단축3";#N/A,#N/A,FALSE,"장축";#N/A,#N/A,FALSE,"4WD"}</definedName>
    <definedName name="SPEC22" hidden="1">{#N/A,#N/A,FALSE,"단축1";#N/A,#N/A,FALSE,"단축2";#N/A,#N/A,FALSE,"단축3";#N/A,#N/A,FALSE,"장축";#N/A,#N/A,FALSE,"4WD"}</definedName>
    <definedName name="SPEC22_1" hidden="1">{#N/A,#N/A,FALSE,"단축1";#N/A,#N/A,FALSE,"단축2";#N/A,#N/A,FALSE,"단축3";#N/A,#N/A,FALSE,"장축";#N/A,#N/A,FALSE,"4WD"}</definedName>
    <definedName name="SPEC22_2" hidden="1">{#N/A,#N/A,FALSE,"단축1";#N/A,#N/A,FALSE,"단축2";#N/A,#N/A,FALSE,"단축3";#N/A,#N/A,FALSE,"장축";#N/A,#N/A,FALSE,"4WD"}</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LIT" hidden="1">{#N/A,#N/A,FALSE,"단축1";#N/A,#N/A,FALSE,"단축2";#N/A,#N/A,FALSE,"단축3";#N/A,#N/A,FALSE,"장축";#N/A,#N/A,FALSE,"4WD"}</definedName>
    <definedName nam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R" hidden="1">{#N/A,#N/A,TRUE,"Y생산";#N/A,#N/A,TRUE,"Y판매";#N/A,#N/A,TRUE,"Y총물량";#N/A,#N/A,TRUE,"Y능력";#N/A,#N/A,TRUE,"YKD"}</definedName>
    <definedName name="SR20AT" hidden="1">{#N/A,#N/A,FALSE,"FR 계산내역";#N/A,#N/A,FALSE,"RR 계산내역";#N/A,#N/A,FALSE,"기계경비"}</definedName>
    <definedName name="srhga" hidden="1">{#N/A,#N/A,FALSE,"96 3월물량표";#N/A,#N/A,FALSE,"96 4월물량표";#N/A,#N/A,FALSE,"96 5월물량표"}</definedName>
    <definedName name="srhga_1" hidden="1">{#N/A,#N/A,FALSE,"96 3월물량표";#N/A,#N/A,FALSE,"96 4월물량표";#N/A,#N/A,FALSE,"96 5월물량표"}</definedName>
    <definedName name="SRT" hidden="1">{#N/A,#N/A,TRUE,"Y생산";#N/A,#N/A,TRUE,"Y판매";#N/A,#N/A,TRUE,"Y총물량";#N/A,#N/A,TRUE,"Y능력";#N/A,#N/A,TRUE,"YKD"}</definedName>
    <definedName name="SRTDTRYFGT" hidden="1">{#N/A,#N/A,FALSE,"단축1";#N/A,#N/A,FALSE,"단축2";#N/A,#N/A,FALSE,"단축3";#N/A,#N/A,FALSE,"장축";#N/A,#N/A,FALSE,"4WD"}</definedName>
    <definedName name="SS" hidden="1">#REF!</definedName>
    <definedName name="ss_1" hidden="1">{#N/A,#N/A,FALSE,"단축1";#N/A,#N/A,FALSE,"단축2";#N/A,#N/A,FALSE,"단축3";#N/A,#N/A,FALSE,"장축";#N/A,#N/A,FALSE,"4WD"}</definedName>
    <definedName name="SSAR" hidden="1">{#N/A,#N/A,FALSE,"단축1";#N/A,#N/A,FALSE,"단축2";#N/A,#N/A,FALSE,"단축3";#N/A,#N/A,FALSE,"장축";#N/A,#N/A,FALSE,"4WD"}</definedName>
    <definedName name="ssasas" hidden="1">{"'7-2지역별'!$A$1:$R$44"}</definedName>
    <definedName name="SSD" hidden="1">{#N/A,#N/A,FALSE,"을지 (4)";#N/A,#N/A,FALSE,"을지 (5)";#N/A,#N/A,FALSE,"을지 (6)"}</definedName>
    <definedName name="SSDD" hidden="1">{#N/A,#N/A,FALSE,"단축1";#N/A,#N/A,FALSE,"단축2";#N/A,#N/A,FALSE,"단축3";#N/A,#N/A,FALSE,"장축";#N/A,#N/A,FALSE,"4WD"}</definedName>
    <definedName name="SSDE" hidden="1">{#N/A,#N/A,FALSE,"초도품";#N/A,#N/A,FALSE,"초도품 (2)";#N/A,#N/A,FALSE,"초도품 (3)";#N/A,#N/A,FALSE,"초도품 (4)";#N/A,#N/A,FALSE,"초도품 (5)";#N/A,#N/A,FALSE,"초도품 (6)"}</definedName>
    <definedName name="SSDFSD" hidden="1">{#N/A,#N/A,FALSE,"단축1";#N/A,#N/A,FALSE,"단축2";#N/A,#N/A,FALSE,"단축3";#N/A,#N/A,FALSE,"장축";#N/A,#N/A,FALSE,"4WD"}</definedName>
    <definedName name="SSF" hidden="1">{#N/A,#N/A,FALSE,"단축1";#N/A,#N/A,FALSE,"단축2";#N/A,#N/A,FALSE,"단축3";#N/A,#N/A,FALSE,"장축";#N/A,#N/A,FALSE,"4WD"}</definedName>
    <definedName name="ssfdass" hidden="1">{#N/A,#N/A,FALSE,"단축1";#N/A,#N/A,FALSE,"단축2";#N/A,#N/A,FALSE,"단축3";#N/A,#N/A,FALSE,"장축";#N/A,#N/A,FALSE,"4WD"}</definedName>
    <definedName name="SSLG" hidden="1">{#N/A,#N/A,FALSE,"단축1";#N/A,#N/A,FALSE,"단축2";#N/A,#N/A,FALSE,"단축3";#N/A,#N/A,FALSE,"장축";#N/A,#N/A,FALSE,"4WD"}</definedName>
    <definedName name="SSML" hidden="1">{#N/A,#N/A,FALSE,"단축1";#N/A,#N/A,FALSE,"단축2";#N/A,#N/A,FALSE,"단축3";#N/A,#N/A,FALSE,"장축";#N/A,#N/A,FALSE,"4WD"}</definedName>
    <definedName name="sss" hidden="1">{#N/A,#N/A,FALSE,"KMC최종회의(7월) 자료"}</definedName>
    <definedName name="sss_1" hidden="1">{#N/A,#N/A,FALSE,"KMC최종회의(7월) 자료"}</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huiohnugyugyunfyfytfyt" hidden="1">#REF!</definedName>
    <definedName name="SSSR2" hidden="1">{#N/A,#N/A,FALSE,"단축1";#N/A,#N/A,FALSE,"단축2";#N/A,#N/A,FALSE,"단축3";#N/A,#N/A,FALSE,"장축";#N/A,#N/A,FALSE,"4WD"}</definedName>
    <definedName name="SSSS" hidden="1">{#N/A,#N/A,TRUE,"Y생산";#N/A,#N/A,TRUE,"Y판매";#N/A,#N/A,TRUE,"Y총물량";#N/A,#N/A,TRUE,"Y능력";#N/A,#N/A,TRUE,"YKD"}</definedName>
    <definedName name="SSSS_1" hidden="1">{#N/A,#N/A,TRUE,"Y생산";#N/A,#N/A,TRUE,"Y판매";#N/A,#N/A,TRUE,"Y총물량";#N/A,#N/A,TRUE,"Y능력";#N/A,#N/A,TRUE,"YKD"}</definedName>
    <definedName name="SSSSS" hidden="1">{#N/A,#N/A,FALSE,"단축1";#N/A,#N/A,FALSE,"단축2";#N/A,#N/A,FALSE,"단축3";#N/A,#N/A,FALSE,"장축";#N/A,#N/A,FALSE,"4WD"}</definedName>
    <definedName name="SSSSSS" hidden="1">{#N/A,#N/A,FALSE,"단축1";#N/A,#N/A,FALSE,"단축2";#N/A,#N/A,FALSE,"단축3";#N/A,#N/A,FALSE,"장축";#N/A,#N/A,FALSE,"4WD"}</definedName>
    <definedName name="SSSSSSS" hidden="1">{#N/A,#N/A,TRUE,"Y생산";#N/A,#N/A,TRUE,"Y판매";#N/A,#N/A,TRUE,"Y총물량";#N/A,#N/A,TRUE,"Y능력";#N/A,#N/A,TRUE,"YKD"}</definedName>
    <definedName name="SSSSSSS_1" hidden="1">{#N/A,#N/A,TRUE,"Y생산";#N/A,#N/A,TRUE,"Y판매";#N/A,#N/A,TRUE,"Y총물량";#N/A,#N/A,TRUE,"Y능력";#N/A,#N/A,TRUE,"YKD"}</definedName>
    <definedName name="ssssssss" hidden="1">{#N/A,#N/A,FALSE,"단축1";#N/A,#N/A,FALSE,"단축2";#N/A,#N/A,FALSE,"단축3";#N/A,#N/A,FALSE,"장축";#N/A,#N/A,FALSE,"4WD"}</definedName>
    <definedName name="SSSSSSSSS" hidden="1">{#N/A,#N/A,FALSE,"초도품";#N/A,#N/A,FALSE,"초도품 (2)";#N/A,#N/A,FALSE,"초도품 (3)";#N/A,#N/A,FALSE,"초도품 (4)";#N/A,#N/A,FALSE,"초도품 (5)";#N/A,#N/A,FALSE,"초도품 (6)"}</definedName>
    <definedName name="SSSSSSSSSSSSSSSS" hidden="1">#REF!</definedName>
    <definedName name="sssssssssssssssss" hidden="1">{#N/A,#N/A,FALSE,"단축1";#N/A,#N/A,FALSE,"단축2";#N/A,#N/A,FALSE,"단축3";#N/A,#N/A,FALSE,"장축";#N/A,#N/A,FALSE,"4WD"}</definedName>
    <definedName name="sssssssssssssssssssssssssss" hidden="1">{#N/A,#N/A,FALSE,"단축1";#N/A,#N/A,FALSE,"단축2";#N/A,#N/A,FALSE,"단축3";#N/A,#N/A,FALSE,"장축";#N/A,#N/A,FALSE,"4WD"}</definedName>
    <definedName name="SSSTTG" hidden="1">{#N/A,#N/A,FALSE,"단축1";#N/A,#N/A,FALSE,"단축2";#N/A,#N/A,FALSE,"단축3";#N/A,#N/A,FALSE,"장축";#N/A,#N/A,FALSE,"4WD"}</definedName>
    <definedName name="SSSVBBBB" hidden="1">{#N/A,#N/A,FALSE,"단축1";#N/A,#N/A,FALSE,"단축2";#N/A,#N/A,FALSE,"단축3";#N/A,#N/A,FALSE,"장축";#N/A,#N/A,FALSE,"4WD"}</definedName>
    <definedName name="st" hidden="1">{#N/A,#N/A,FALSE,"KMC최종회의(7월) 자료"}</definedName>
    <definedName name="STDGTGF" hidden="1">{#N/A,#N/A,FALSE,"단축1";#N/A,#N/A,FALSE,"단축2";#N/A,#N/A,FALSE,"단축3";#N/A,#N/A,FALSE,"장축";#N/A,#N/A,FALSE,"4WD"}</definedName>
    <definedName name="STE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EP2" hidden="1">{#N/A,#N/A,FALSE,"단축1";#N/A,#N/A,FALSE,"단축2";#N/A,#N/A,FALSE,"단축3";#N/A,#N/A,FALSE,"장축";#N/A,#N/A,FALSE,"4WD"}</definedName>
    <definedName name="STEP3" hidden="1">{#N/A,#N/A,FALSE,"단축1";#N/A,#N/A,FALSE,"단축2";#N/A,#N/A,FALSE,"단축3";#N/A,#N/A,FALSE,"장축";#N/A,#N/A,FALSE,"4WD"}</definedName>
    <definedName name="STFD" hidden="1">{#N/A,#N/A,FALSE,"단축1";#N/A,#N/A,FALSE,"단축2";#N/A,#N/A,FALSE,"단축3";#N/A,#N/A,FALSE,"장축";#N/A,#N/A,FALSE,"4WD"}</definedName>
    <definedName name="STH" hidden="1">{#N/A,#N/A,FALSE,"단축1";#N/A,#N/A,FALSE,"단축2";#N/A,#N/A,FALSE,"단축3";#N/A,#N/A,FALSE,"장축";#N/A,#N/A,FALSE,"4WD"}</definedName>
    <definedName name="strh" hidden="1">{#N/A,#N/A,TRUE,"Y생산";#N/A,#N/A,TRUE,"Y판매";#N/A,#N/A,TRUE,"Y총물량";#N/A,#N/A,TRUE,"Y능력";#N/A,#N/A,TRUE,"YKD"}</definedName>
    <definedName name="strh_1" hidden="1">{#N/A,#N/A,TRUE,"Y생산";#N/A,#N/A,TRUE,"Y판매";#N/A,#N/A,TRUE,"Y총물량";#N/A,#N/A,TRUE,"Y능력";#N/A,#N/A,TRUE,"YKD"}</definedName>
    <definedName name="strhsrhrdgjhrtsrhsghgf" hidden="1">{#N/A,#N/A,FALSE,"초도품";#N/A,#N/A,FALSE,"초도품 (2)";#N/A,#N/A,FALSE,"초도품 (3)";#N/A,#N/A,FALSE,"초도품 (4)";#N/A,#N/A,FALSE,"초도품 (5)";#N/A,#N/A,FALSE,"초도품 (6)"}</definedName>
    <definedName name="SUB" hidden="1">{#N/A,#N/A,FALSE,"단축1";#N/A,#N/A,FALSE,"단축2";#N/A,#N/A,FALSE,"단축3";#N/A,#N/A,FALSE,"장축";#N/A,#N/A,FALSE,"4WD"}</definedName>
    <definedName name="SUJHSHG" hidden="1">{#N/A,#N/A,FALSE,"초도품";#N/A,#N/A,FALSE,"초도품 (2)";#N/A,#N/A,FALSE,"초도품 (3)";#N/A,#N/A,FALSE,"초도품 (4)";#N/A,#N/A,FALSE,"초도품 (5)";#N/A,#N/A,FALSE,"초도품 (6)"}</definedName>
    <definedName name="sung" hidden="1">{#N/A,#N/A,FALSE,"정공"}</definedName>
    <definedName name="sung_1" hidden="1">{#N/A,#N/A,FALSE,"정공"}</definedName>
    <definedName name="sung_2" hidden="1">{#N/A,#N/A,FALSE,"정공"}</definedName>
    <definedName name="sung2" hidden="1">{"'Monthly 1997'!$A$3:$S$89"}</definedName>
    <definedName name="SW" hidden="1">{#N/A,#N/A,FALSE,"단축1";#N/A,#N/A,FALSE,"단축2";#N/A,#N/A,FALSE,"단축3";#N/A,#N/A,FALSE,"장축";#N/A,#N/A,FALSE,"4WD"}</definedName>
    <definedName name="SWER" hidden="1">{#N/A,#N/A,FALSE,"단축1";#N/A,#N/A,FALSE,"단축2";#N/A,#N/A,FALSE,"단축3";#N/A,#N/A,FALSE,"장축";#N/A,#N/A,FALSE,"4WD"}</definedName>
    <definedName name="SWF" hidden="1">{#N/A,#N/A,FALSE,"단축1";#N/A,#N/A,FALSE,"단축2";#N/A,#N/A,FALSE,"단축3";#N/A,#N/A,FALSE,"장축";#N/A,#N/A,FALSE,"4WD"}</definedName>
    <definedName name="swfwef" hidden="1">{#N/A,#N/A,TRUE,"Y생산";#N/A,#N/A,TRUE,"Y판매";#N/A,#N/A,TRUE,"Y총물량";#N/A,#N/A,TRUE,"Y능력";#N/A,#N/A,TRUE,"YKD"}</definedName>
    <definedName name="swfwef_1" hidden="1">{#N/A,#N/A,TRUE,"Y생산";#N/A,#N/A,TRUE,"Y판매";#N/A,#N/A,TRUE,"Y총물량";#N/A,#N/A,TRUE,"Y능력";#N/A,#N/A,TRUE,"YKD"}</definedName>
    <definedName name="SWG" hidden="1">{#VALUE!,#N/A,FALSE,0;#N/A,#N/A,FALSE,0;#N/A,#N/A,FALSE,0;#N/A,#N/A,FALSE,0;#N/A,#N/A,FALSE,0}</definedName>
    <definedName name="swuw" hidden="1">{#N/A,#N/A,FALSE,"단축1";#N/A,#N/A,FALSE,"단축2";#N/A,#N/A,FALSE,"단축3";#N/A,#N/A,FALSE,"장축";#N/A,#N/A,FALSE,"4WD"}</definedName>
    <definedName name="Swvu.Komplett." hidden="1">#REF!</definedName>
    <definedName name="Swvu.Screen." hidden="1">#REF!</definedName>
    <definedName name="sx" hidden="1">{#N/A,#N/A,FALSE,"단축1";#N/A,#N/A,FALSE,"단축2";#N/A,#N/A,FALSE,"단축3";#N/A,#N/A,FALSE,"장축";#N/A,#N/A,FALSE,"4WD"}</definedName>
    <definedName name="sxdflsvjxdf" hidden="1">{#VALUE!,#N/A,FALSE,0;#N/A,#N/A,FALSE,0;#N/A,#N/A,FALSE,0;#N/A,#N/A,FALSE,0;#N/A,#N/A,FALSE,0}</definedName>
    <definedName name="sxjsa" hidden="1">{#N/A,#N/A,FALSE,"신규dep";#N/A,#N/A,FALSE,"신규dep-금형상각후";#N/A,#N/A,FALSE,"신규dep-연구비상각후";#N/A,#N/A,FALSE,"신규dep-기계,공구상각후"}</definedName>
    <definedName name="SZDSA" hidden="1">{#N/A,#N/A,FALSE,"단축1";#N/A,#N/A,FALSE,"단축2";#N/A,#N/A,FALSE,"단축3";#N/A,#N/A,FALSE,"장축";#N/A,#N/A,FALSE,"4WD"}</definedName>
    <definedName name="t" hidden="1">{#N/A,#N/A,FALSE,"KMC최종회의(7월) 자료"}</definedName>
    <definedName name="t.c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_1" hidden="1">{#N/A,#N/A,TRUE,"Y생산";#N/A,#N/A,TRUE,"Y판매";#N/A,#N/A,TRUE,"Y총물량";#N/A,#N/A,TRUE,"Y능력";#N/A,#N/A,TRUE,"YKD"}</definedName>
    <definedName name="t_2" hidden="1">{#N/A,#N/A,TRUE,"Y생산";#N/A,#N/A,TRUE,"Y판매";#N/A,#N/A,TRUE,"Y총물량";#N/A,#N/A,TRUE,"Y능력";#N/A,#N/A,TRUE,"YKD"}</definedName>
    <definedName name="T200개발계획B" hidden="1">{#N/A,#N/A,FALSE,"단축1";#N/A,#N/A,FALSE,"단축2";#N/A,#N/A,FALSE,"단축3";#N/A,#N/A,FALSE,"장축";#N/A,#N/A,FALSE,"4WD"}</definedName>
    <definedName name="t8d" hidden="1">{#N/A,#N/A,FALSE,"단축1";#N/A,#N/A,FALSE,"단축2";#N/A,#N/A,FALSE,"단축3";#N/A,#N/A,FALSE,"장축";#N/A,#N/A,FALSE,"4WD"}</definedName>
    <definedName name="T8D_ULEV1" hidden="1">{#N/A,#N/A,FALSE,"단축1";#N/A,#N/A,FALSE,"단축2";#N/A,#N/A,FALSE,"단축3";#N/A,#N/A,FALSE,"장축";#N/A,#N/A,FALSE,"4WD"}</definedName>
    <definedName name="TB" hidden="1">{#N/A,#N/A,FALSE,"단축1";#N/A,#N/A,FALSE,"단축2";#N/A,#N/A,FALSE,"단축3";#N/A,#N/A,FALSE,"장축";#N/A,#N/A,FALSE,"4WD"}</definedName>
    <definedName name="TB_1" hidden="1">{#N/A,#N/A,FALSE,"단축1";#N/A,#N/A,FALSE,"단축2";#N/A,#N/A,FALSE,"단축3";#N/A,#N/A,FALSE,"장축";#N/A,#N/A,FALSE,"4WD"}</definedName>
    <definedName name="TB_2" hidden="1">{#N/A,#N/A,FALSE,"단축1";#N/A,#N/A,FALSE,"단축2";#N/A,#N/A,FALSE,"단축3";#N/A,#N/A,FALSE,"장축";#N/A,#N/A,FALSE,"4WD"}</definedName>
    <definedName name="TB1.1FW" hidden="1">{#N/A,#N/A,FALSE,"단축1";#N/A,#N/A,FALSE,"단축2";#N/A,#N/A,FALSE,"단축3";#N/A,#N/A,FALSE,"장축";#N/A,#N/A,FALSE,"4WD"}</definedName>
    <definedName name="TB목차" hidden="1">{#N/A,#N/A,FALSE,"단축1";#N/A,#N/A,FALSE,"단축2";#N/A,#N/A,FALSE,"단축3";#N/A,#N/A,FALSE,"장축";#N/A,#N/A,FALSE,"4WD"}</definedName>
    <definedName name="TB표지" hidden="1">{#N/A,#N/A,FALSE,"단축1";#N/A,#N/A,FALSE,"단축2";#N/A,#N/A,FALSE,"단축3";#N/A,#N/A,FALSE,"장축";#N/A,#N/A,FALSE,"4WD"}</definedName>
    <definedName name="tc" hidden="1">{#N/A,#N/A,FALSE,"단축1";#N/A,#N/A,FALSE,"단축2";#N/A,#N/A,FALSE,"단축3";#N/A,#N/A,FALSE,"장축";#N/A,#N/A,FALSE,"4WD"}</definedName>
    <definedName name="tc_1" hidden="1">{#N/A,#N/A,FALSE,"단축1";#N/A,#N/A,FALSE,"단축2";#N/A,#N/A,FALSE,"단축3";#N/A,#N/A,FALSE,"장축";#N/A,#N/A,FALSE,"4WD"}</definedName>
    <definedName name="tci" hidden="1">{#N/A,#N/A,FALSE,"단축1";#N/A,#N/A,FALSE,"단축2";#N/A,#N/A,FALSE,"단축3";#N/A,#N/A,FALSE,"장축";#N/A,#N/A,FALSE,"4WD"}</definedName>
    <definedName name="tci_1" hidden="1">{#N/A,#N/A,FALSE,"단축1";#N/A,#N/A,FALSE,"단축2";#N/A,#N/A,FALSE,"단축3";#N/A,#N/A,FALSE,"장축";#N/A,#N/A,FALSE,"4WD"}</definedName>
    <definedName name="TD" hidden="1">{0,0,0,0}</definedName>
    <definedName name="TDHFJMHM" hidden="1">{#N/A,#N/A,FALSE,"단축1";#N/A,#N/A,FALSE,"단축2";#N/A,#N/A,FALSE,"단축3";#N/A,#N/A,FALSE,"장축";#N/A,#N/A,FALSE,"4WD"}</definedName>
    <definedName name="tefd" hidden="1">{#N/A,#N/A,FALSE,"단축1";#N/A,#N/A,FALSE,"단축2";#N/A,#N/A,FALSE,"단축3";#N/A,#N/A,FALSE,"장축";#N/A,#N/A,FALSE,"4WD"}</definedName>
    <definedName name="TEJDHDZ" hidden="1">{#N/A,#N/A,FALSE,"초도품";#N/A,#N/A,FALSE,"초도품 (2)";#N/A,#N/A,FALSE,"초도품 (3)";#N/A,#N/A,FALSE,"초도품 (4)";#N/A,#N/A,FALSE,"초도품 (5)";#N/A,#N/A,FALSE,"초도품 (6)"}</definedName>
    <definedName name="TEMP1" hidden="1">{#VALUE!,#N/A,FALSE,0;#N/A,#N/A,FALSE,0;#N/A,#N/A,FALSE,0;#N/A,#N/A,FALSE,0;#N/A,#N/A,FALSE,0}</definedName>
    <definedName name="TEST" hidden="1">{#N/A,#N/A,FALSE,"단축1";#N/A,#N/A,FALSE,"단축2";#N/A,#N/A,FALSE,"단축3";#N/A,#N/A,FALSE,"장축";#N/A,#N/A,FALSE,"4WD"}</definedName>
    <definedName name="tete" hidden="1">{#N/A,#N/A,FALSE,"신규dep";#N/A,#N/A,FALSE,"신규dep-금형상각후";#N/A,#N/A,FALSE,"신규dep-연구비상각후";#N/A,#N/A,FALSE,"신규dep-기계,공구상각후"}</definedName>
    <definedName name="tetet" hidden="1">{#N/A,#N/A,FALSE,"표지";#N/A,#N/A,FALSE,"전제";#N/A,#N/A,FALSE,"손익-자 (2)";#N/A,#N/A,FALSE,"손익-자";#N/A,#N/A,FALSE,"손익-마 (2)";#N/A,#N/A,FALSE,"손익-마";#N/A,#N/A,FALSE,"총손최종"}</definedName>
    <definedName name="tetete" hidden="1">{#N/A,#N/A,FALSE,"품의서";#N/A,#N/A,FALSE,"전제";#N/A,#N/A,FALSE,"총손";#N/A,#N/A,FALSE,"손익"}</definedName>
    <definedName name="TEWR" hidden="1">{#N/A,#N/A,TRUE,"Y생산";#N/A,#N/A,TRUE,"Y판매";#N/A,#N/A,TRUE,"Y총물량";#N/A,#N/A,TRUE,"Y능력";#N/A,#N/A,TRUE,"YKD"}</definedName>
    <definedName name="TEWR_1" hidden="1">{#N/A,#N/A,TRUE,"Y생산";#N/A,#N/A,TRUE,"Y판매";#N/A,#N/A,TRUE,"Y총물량";#N/A,#N/A,TRUE,"Y능력";#N/A,#N/A,TRUE,"YKD"}</definedName>
    <definedName name="TextRefCopyRangeCount" hidden="1">3</definedName>
    <definedName name="TFJM" hidden="1">{#N/A,#N/A,FALSE,"단축1";#N/A,#N/A,FALSE,"단축2";#N/A,#N/A,FALSE,"단축3";#N/A,#N/A,FALSE,"장축";#N/A,#N/A,FALSE,"4WD"}</definedName>
    <definedName name="TFJM_1" hidden="1">{#N/A,#N/A,FALSE,"단축1";#N/A,#N/A,FALSE,"단축2";#N/A,#N/A,FALSE,"단축3";#N/A,#N/A,FALSE,"장축";#N/A,#N/A,FALSE,"4WD"}</definedName>
    <definedName name="TFJM_2" hidden="1">{#N/A,#N/A,FALSE,"단축1";#N/A,#N/A,FALSE,"단축2";#N/A,#N/A,FALSE,"단축3";#N/A,#N/A,FALSE,"장축";#N/A,#N/A,FALSE,"4WD"}</definedName>
    <definedName name="TFK" hidden="1">{#N/A,#N/A,FALSE,"단축1";#N/A,#N/A,FALSE,"단축2";#N/A,#N/A,FALSE,"단축3";#N/A,#N/A,FALSE,"장축";#N/A,#N/A,FALSE,"4WD"}</definedName>
    <definedName name="TFK_1" hidden="1">{#N/A,#N/A,FALSE,"단축1";#N/A,#N/A,FALSE,"단축2";#N/A,#N/A,FALSE,"단축3";#N/A,#N/A,FALSE,"장축";#N/A,#N/A,FALSE,"4WD"}</definedName>
    <definedName name="TFK_2" hidden="1">{#N/A,#N/A,FALSE,"단축1";#N/A,#N/A,FALSE,"단축2";#N/A,#N/A,FALSE,"단축3";#N/A,#N/A,FALSE,"장축";#N/A,#N/A,FALSE,"4WD"}</definedName>
    <definedName name="TFRDFD" hidden="1">{#N/A,#N/A,FALSE,"단축1";#N/A,#N/A,FALSE,"단축2";#N/A,#N/A,FALSE,"단축3";#N/A,#N/A,FALSE,"장축";#N/A,#N/A,FALSE,"4WD"}</definedName>
    <definedName name="tfyjdfghfsdghfgdhfdghfdgh" hidden="1">{#N/A,#N/A,FALSE,"단축1";#N/A,#N/A,FALSE,"단축2";#N/A,#N/A,FALSE,"단축3";#N/A,#N/A,FALSE,"장축";#N/A,#N/A,FALSE,"4WD"}</definedName>
    <definedName name="tg" hidden="1">{#N/A,#N/A,FALSE,"KMC최종회의(7월) 자료"}</definedName>
    <definedName name="tg_1" hidden="1">{#N/A,#N/A,FALSE,"KMC최종회의(7월) 자료"}</definedName>
    <definedName name="tg_2" hidden="1">{#N/A,#N/A,FALSE,"KMC최종회의(7월) 자료"}</definedName>
    <definedName name="TGO" hidden="1">{#N/A,#N/A,FALSE,"단축1";#N/A,#N/A,FALSE,"단축2";#N/A,#N/A,FALSE,"단축3";#N/A,#N/A,FALSE,"장축";#N/A,#N/A,FALSE,"4WD"}</definedName>
    <definedName name="TGO_1" hidden="1">{#N/A,#N/A,FALSE,"단축1";#N/A,#N/A,FALSE,"단축2";#N/A,#N/A,FALSE,"단축3";#N/A,#N/A,FALSE,"장축";#N/A,#N/A,FALSE,"4WD"}</definedName>
    <definedName name="TGO_2" hidden="1">{#N/A,#N/A,FALSE,"단축1";#N/A,#N/A,FALSE,"단축2";#N/A,#N/A,FALSE,"단축3";#N/A,#N/A,FALSE,"장축";#N/A,#N/A,FALSE,"4WD"}</definedName>
    <definedName name="tgthtrht" hidden="1">{"'7-2지역별'!$A$1:$R$44"}</definedName>
    <definedName name="TGVHJ" hidden="1">{#N/A,#N/A,FALSE,"KMC최종회의(7월) 자료"}</definedName>
    <definedName name="TGVHJ_1" hidden="1">{#N/A,#N/A,FALSE,"KMC최종회의(7월) 자료"}</definedName>
    <definedName name="TH" hidden="1">{#N/A,#N/A,FALSE,"단축1";#N/A,#N/A,FALSE,"단축2";#N/A,#N/A,FALSE,"단축3";#N/A,#N/A,FALSE,"장축";#N/A,#N/A,FALSE,"4WD"}</definedName>
    <definedName name="the4w3t4h56eyt5yrgtetrt" hidden="1">{#N/A,#N/A,TRUE,"Y생산";#N/A,#N/A,TRUE,"Y판매";#N/A,#N/A,TRUE,"Y총물량";#N/A,#N/A,TRUE,"Y능력";#N/A,#N/A,TRUE,"YKD"}</definedName>
    <definedName name="THEME2" hidden="1">{#N/A,#N/A,FALSE,"96 3월물량표";#N/A,#N/A,FALSE,"96 4월물량표";#N/A,#N/A,FALSE,"96 5월물량표"}</definedName>
    <definedName name="THEME2_1" hidden="1">{#N/A,#N/A,FALSE,"96 3월물량표";#N/A,#N/A,FALSE,"96 4월물량표";#N/A,#N/A,FALSE,"96 5월물량표"}</definedName>
    <definedName name="THEME2_2" hidden="1">{#N/A,#N/A,FALSE,"96 3월물량표";#N/A,#N/A,FALSE,"96 4월물량표";#N/A,#N/A,FALSE,"96 5월물량표"}</definedName>
    <definedName name="THEME2_2_1" hidden="1">{#N/A,#N/A,FALSE,"96 3월물량표";#N/A,#N/A,FALSE,"96 4월물량표";#N/A,#N/A,FALSE,"96 5월물량표"}</definedName>
    <definedName name="THEME2_2_2" hidden="1">{#N/A,#N/A,FALSE,"96 3월물량표";#N/A,#N/A,FALSE,"96 4월물량표";#N/A,#N/A,FALSE,"96 5월물량표"}</definedName>
    <definedName name="THEME2_2_3" hidden="1">{#N/A,#N/A,FALSE,"96 3월물량표";#N/A,#N/A,FALSE,"96 4월물량표";#N/A,#N/A,FALSE,"96 5월물량표"}</definedName>
    <definedName name="THEME2_3" hidden="1">{#N/A,#N/A,FALSE,"96 3월물량표";#N/A,#N/A,FALSE,"96 4월물량표";#N/A,#N/A,FALSE,"96 5월물량표"}</definedName>
    <definedName name="THEME2_3_1" hidden="1">{#N/A,#N/A,FALSE,"96 3월물량표";#N/A,#N/A,FALSE,"96 4월물량표";#N/A,#N/A,FALSE,"96 5월물량표"}</definedName>
    <definedName name="THEME2_3_2" hidden="1">{#N/A,#N/A,FALSE,"96 3월물량표";#N/A,#N/A,FALSE,"96 4월물량표";#N/A,#N/A,FALSE,"96 5월물량표"}</definedName>
    <definedName name="THEME2_3_3" hidden="1">{#N/A,#N/A,FALSE,"96 3월물량표";#N/A,#N/A,FALSE,"96 4월물량표";#N/A,#N/A,FALSE,"96 5월물량표"}</definedName>
    <definedName name="THEME2_4" hidden="1">{#N/A,#N/A,FALSE,"96 3월물량표";#N/A,#N/A,FALSE,"96 4월물량표";#N/A,#N/A,FALSE,"96 5월물량표"}</definedName>
    <definedName name="THEME2_5" hidden="1">{#N/A,#N/A,FALSE,"96 3월물량표";#N/A,#N/A,FALSE,"96 4월물량표";#N/A,#N/A,FALSE,"96 5월물량표"}</definedName>
    <definedName name="THJFKGHI" hidden="1">{#N/A,#N/A,FALSE,"인원";#N/A,#N/A,FALSE,"비용2";#N/A,#N/A,FALSE,"비용1";#N/A,#N/A,FALSE,"비용";#N/A,#N/A,FALSE,"보증2";#N/A,#N/A,FALSE,"보증1";#N/A,#N/A,FALSE,"보증";#N/A,#N/A,FALSE,"손익1";#N/A,#N/A,FALSE,"손익";#N/A,#N/A,FALSE,"부서별매출";#N/A,#N/A,FALSE,"매출"}</definedName>
    <definedName name="thnytrweqwrtty54r53rytr5thngt" hidden="1">{#N/A,#N/A,FALSE,"단축1";#N/A,#N/A,FALSE,"단축2";#N/A,#N/A,FALSE,"단축3";#N/A,#N/A,FALSE,"장축";#N/A,#N/A,FALSE,"4WD"}</definedName>
    <definedName name="THRTH" hidden="1">{#N/A,#N/A,FALSE,"단축1";#N/A,#N/A,FALSE,"단축2";#N/A,#N/A,FALSE,"단축3";#N/A,#N/A,FALSE,"장축";#N/A,#N/A,FALSE,"4WD"}</definedName>
    <definedName name="THYJ" hidden="1">{#N/A,#N/A,FALSE,"단축1";#N/A,#N/A,FALSE,"단축2";#N/A,#N/A,FALSE,"단축3";#N/A,#N/A,FALSE,"장축";#N/A,#N/A,FALSE,"4WD"}</definedName>
    <definedName name="THYTRYTR" hidden="1">{#N/A,#N/A,FALSE,"단축1";#N/A,#N/A,FALSE,"단축2";#N/A,#N/A,FALSE,"단축3";#N/A,#N/A,FALSE,"장축";#N/A,#N/A,FALSE,"4WD"}</definedName>
    <definedName name="ti" hidden="1">{#N/A,#N/A,FALSE,"인원";#N/A,#N/A,FALSE,"비용2";#N/A,#N/A,FALSE,"비용1";#N/A,#N/A,FALSE,"비용";#N/A,#N/A,FALSE,"보증2";#N/A,#N/A,FALSE,"보증1";#N/A,#N/A,FALSE,"보증";#N/A,#N/A,FALSE,"손익1";#N/A,#N/A,FALSE,"손익";#N/A,#N/A,FALSE,"부서별매출";#N/A,#N/A,FALSE,"매출"}</definedName>
    <definedName name="TIBURON" hidden="1">{#N/A,#N/A,FALSE,"해외크레임";#N/A,#N/A,FALSE,"ACCENT현황";#N/A,#N/A,FALSE,"AVANTE";#N/A,#N/A,FALSE,"SONATA(3)";#N/A,#N/A,FALSE,"국내크레임"}</definedName>
    <definedName name="T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AUDLWS" hidden="1">{#N/A,#N/A,TRUE,"Y생산";#N/A,#N/A,TRUE,"Y판매";#N/A,#N/A,TRUE,"Y총물량";#N/A,#N/A,TRUE,"Y능력";#N/A,#N/A,TRUE,"YKD"}</definedName>
    <definedName name="TJAUDLWS_1" hidden="1">{#N/A,#N/A,TRUE,"Y생산";#N/A,#N/A,TRUE,"Y판매";#N/A,#N/A,TRUE,"Y총물량";#N/A,#N/A,TRUE,"Y능력";#N/A,#N/A,TRUE,"YKD"}</definedName>
    <definedName name="TJAUDLWS_2" hidden="1">{#N/A,#N/A,TRUE,"Y생산";#N/A,#N/A,TRUE,"Y판매";#N/A,#N/A,TRUE,"Y총물량";#N/A,#N/A,TRUE,"Y능력";#N/A,#N/A,TRUE,"YKD"}</definedName>
    <definedName name="TJFQUS32" hidden="1">{#N/A,#N/A,FALSE,"KMC최종회의(7월) 자료"}</definedName>
    <definedName name="tjt" hidden="1">{#N/A,#N/A,FALSE,"단축1";#N/A,#N/A,FALSE,"단축2";#N/A,#N/A,FALSE,"단축3";#N/A,#N/A,FALSE,"장축";#N/A,#N/A,FALSE,"4WD"}</definedName>
    <definedName name="TK" hidden="1">{#N/A,#N/A,FALSE,"단축1";#N/A,#N/A,FALSE,"단축2";#N/A,#N/A,FALSE,"단축3";#N/A,#N/A,FALSE,"장축";#N/A,#N/A,FALSE,"4WD"}</definedName>
    <definedName name="TKCNF" hidden="1">{#N/A,#N/A,FALSE,"산학연 합동연구";#N/A,#N/A,FALSE,"96업무계획";#N/A,#N/A,FALSE,"96기술개발계획";#N/A,#N/A,FALSE,"인력양성";#N/A,#N/A,FALSE,"7. 원가절감계획";#N/A,#N/A,FALSE,"노무";#N/A,#N/A,FALSE,"업무계획";#N/A,#N/A,FALSE,"제목"}</definedName>
    <definedName name="TKDRNR" hidden="1">{#N/A,#N/A,FALSE,"단축1";#N/A,#N/A,FALSE,"단축2";#N/A,#N/A,FALSE,"단축3";#N/A,#N/A,FALSE,"장축";#N/A,#N/A,FALSE,"4WD"}</definedName>
    <definedName name="TKFKF" hidden="1">{#N/A,#N/A,FALSE,"단축1";#N/A,#N/A,FALSE,"단축2";#N/A,#N/A,FALSE,"단축3";#N/A,#N/A,FALSE,"장축";#N/A,#N/A,FALSE,"4WD"}</definedName>
    <definedName name="TKQHS" hidden="1">{#N/A,#N/A,FALSE,"단축1";#N/A,#N/A,FALSE,"단축2";#N/A,#N/A,FALSE,"단축3";#N/A,#N/A,FALSE,"장축";#N/A,#N/A,FALSE,"4WD"}</definedName>
    <definedName name="TL" hidden="1">{#N/A,#N/A,TRUE,"Y생산";#N/A,#N/A,TRUE,"Y판매";#N/A,#N/A,TRUE,"Y총물량";#N/A,#N/A,TRUE,"Y능력";#N/A,#N/A,TRUE,"YKD"}</definedName>
    <definedName name="TL_1" hidden="1">{#N/A,#N/A,TRUE,"Y생산";#N/A,#N/A,TRUE,"Y판매";#N/A,#N/A,TRUE,"Y총물량";#N/A,#N/A,TRUE,"Y능력";#N/A,#N/A,TRUE,"YKD"}</definedName>
    <definedName name="TLS" hidden="1">{#N/A,#N/A,FALSE,"단축1";#N/A,#N/A,FALSE,"단축2";#N/A,#N/A,FALSE,"단축3";#N/A,#N/A,FALSE,"장축";#N/A,#N/A,FALSE,"4WD"}</definedName>
    <definedName name="TLSTLEL" hidden="1">#REF!</definedName>
    <definedName name="TM" hidden="1">{#N/A,#N/A,FALSE,"단축1";#N/A,#N/A,FALSE,"단축2";#N/A,#N/A,FALSE,"단축3";#N/A,#N/A,FALSE,"장축";#N/A,#N/A,FALSE,"4WD"}</definedName>
    <definedName name="TMAOR" hidden="1">{#N/A,#N/A,FALSE,"KMC최종회의(7월) 자료"}</definedName>
    <definedName name="TML" hidden="1">{"Wire Charts",#N/A,TRUE,"Wires"}</definedName>
    <definedName name="TM래틀음" hidden="1">{#N/A,#N/A,FALSE,"단축1";#N/A,#N/A,FALSE,"단축2";#N/A,#N/A,FALSE,"단축3";#N/A,#N/A,FALSE,"장축";#N/A,#N/A,FALSE,"4WD"}</definedName>
    <definedName name="TN" hidden="1">{#N/A,#N/A,TRUE,"Y생산";#N/A,#N/A,TRUE,"Y판매";#N/A,#N/A,TRUE,"Y총물량";#N/A,#N/A,TRUE,"Y능력";#N/A,#N/A,TRUE,"YKD"}</definedName>
    <definedName name="TODHFH" hidden="1">{#N/A,#N/A,FALSE,"단축1";#N/A,#N/A,FALSE,"단축2";#N/A,#N/A,FALSE,"단축3";#N/A,#N/A,FALSE,"장축";#N/A,#N/A,FALSE,"4WD"}</definedName>
    <definedName name="TODRL" hidden="1">{#N/A,#N/A,FALSE,"단축1";#N/A,#N/A,FALSE,"단축2";#N/A,#N/A,FALSE,"단축3";#N/A,#N/A,FALSE,"장축";#N/A,#N/A,FALSE,"4WD"}</definedName>
    <definedName name="TODTKS" hidden="1">{#N/A,#N/A,FALSE,"정공"}</definedName>
    <definedName name="Tools" hidden="1">{"EXPORT",#N/A,FALSE,"A8CONTENT"}</definedName>
    <definedName name="TORSION" hidden="1">{#N/A,#N/A,FALSE,"단축1";#N/A,#N/A,FALSE,"단축2";#N/A,#N/A,FALSE,"단축3";#N/A,#N/A,FALSE,"장축";#N/A,#N/A,FALSE,"4WD"}</definedName>
    <definedName name="TORSION_1" hidden="1">{#N/A,#N/A,FALSE,"단축1";#N/A,#N/A,FALSE,"단축2";#N/A,#N/A,FALSE,"단축3";#N/A,#N/A,FALSE,"장축";#N/A,#N/A,FALSE,"4WD"}</definedName>
    <definedName name="TORSION_2" hidden="1">{#N/A,#N/A,FALSE,"단축1";#N/A,#N/A,FALSE,"단축2";#N/A,#N/A,FALSE,"단축3";#N/A,#N/A,FALSE,"장축";#N/A,#N/A,FALSE,"4WD"}</definedName>
    <definedName name="TOTA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UG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WNER" hidden="1">{#N/A,#N/A,FALSE,"단축1";#N/A,#N/A,FALSE,"단축2";#N/A,#N/A,FALSE,"단축3";#N/A,#N/A,FALSE,"장축";#N/A,#N/A,FALSE,"4WD"}</definedName>
    <definedName name="TPDLFMA" hidden="1">{#N/A,#N/A,FALSE,"표지";#N/A,#N/A,FALSE,"전제";#N/A,#N/A,FALSE,"대당";#N/A,#N/A,FALSE,"가공비";#N/A,#N/A,FALSE,"재료비";#N/A,#N/A,FALSE,"손익"}</definedName>
    <definedName name="TR" hidden="1">{#N/A,#N/A,FALSE,"단축1";#N/A,#N/A,FALSE,"단축2";#N/A,#N/A,FALSE,"단축3";#N/A,#N/A,FALSE,"장축";#N/A,#N/A,FALSE,"4WD"}</definedName>
    <definedName name="TR1iplate030527" hidden="1">{#N/A,#N/A,FALSE,"단축1";#N/A,#N/A,FALSE,"단축2";#N/A,#N/A,FALSE,"단축3";#N/A,#N/A,FALSE,"장축";#N/A,#N/A,FALSE,"4WD"}</definedName>
    <definedName name="TRATA" hidden="1">{#N/A,#N/A,FALSE,"단축1";#N/A,#N/A,FALSE,"단축2";#N/A,#N/A,FALSE,"단축3";#N/A,#N/A,FALSE,"장축";#N/A,#N/A,FALSE,"4WD"}</definedName>
    <definedName name="TRETRETERWTF" hidden="1">{#N/A,#N/A,FALSE,"단축1";#N/A,#N/A,FALSE,"단축2";#N/A,#N/A,FALSE,"단축3";#N/A,#N/A,FALSE,"장축";#N/A,#N/A,FALSE,"4WD"}</definedName>
    <definedName name="TREWT" hidden="1">{#N/A,#N/A,FALSE,"단축1";#N/A,#N/A,FALSE,"단축2";#N/A,#N/A,FALSE,"단축3";#N/A,#N/A,FALSE,"장축";#N/A,#N/A,FALSE,"4WD"}</definedName>
    <definedName name="TRFK" hidden="1">{#N/A,#N/A,FALSE,"단축1";#N/A,#N/A,FALSE,"단축2";#N/A,#N/A,FALSE,"단축3";#N/A,#N/A,FALSE,"장축";#N/A,#N/A,FALSE,"4WD"}</definedName>
    <definedName name="TRFK_1" hidden="1">{#N/A,#N/A,FALSE,"단축1";#N/A,#N/A,FALSE,"단축2";#N/A,#N/A,FALSE,"단축3";#N/A,#N/A,FALSE,"장축";#N/A,#N/A,FALSE,"4WD"}</definedName>
    <definedName name="TRFK_2" hidden="1">{#N/A,#N/A,FALSE,"단축1";#N/A,#N/A,FALSE,"단축2";#N/A,#N/A,FALSE,"단축3";#N/A,#N/A,FALSE,"장축";#N/A,#N/A,FALSE,"4WD"}</definedName>
    <definedName name="TRFKL" hidden="1">{#N/A,#N/A,FALSE,"단축1";#N/A,#N/A,FALSE,"단축2";#N/A,#N/A,FALSE,"단축3";#N/A,#N/A,FALSE,"장축";#N/A,#N/A,FALSE,"4WD"}</definedName>
    <definedName name="TRFKL_1" hidden="1">{#N/A,#N/A,FALSE,"단축1";#N/A,#N/A,FALSE,"단축2";#N/A,#N/A,FALSE,"단축3";#N/A,#N/A,FALSE,"장축";#N/A,#N/A,FALSE,"4WD"}</definedName>
    <definedName name="TRFKL_2" hidden="1">{#N/A,#N/A,FALSE,"단축1";#N/A,#N/A,FALSE,"단축2";#N/A,#N/A,FALSE,"단축3";#N/A,#N/A,FALSE,"장축";#N/A,#N/A,FALSE,"4WD"}</definedName>
    <definedName name="trhgeweretnhsrewrertgrrrr" hidden="1">{#N/A,#N/A,TRUE,"Y생산";#N/A,#N/A,TRUE,"Y판매";#N/A,#N/A,TRUE,"Y총물량";#N/A,#N/A,TRUE,"Y능력";#N/A,#N/A,TRUE,"YKD"}</definedName>
    <definedName name="trhtrbf" hidden="1">{"'7-2지역별'!$A$1:$R$44"}</definedName>
    <definedName name="trhtrj" hidden="1">{#N/A,#N/A,FALSE,"단축1";#N/A,#N/A,FALSE,"단축2";#N/A,#N/A,FALSE,"단축3";#N/A,#N/A,FALSE,"장축";#N/A,#N/A,FALSE,"4WD"}</definedName>
    <definedName name="TRHTRNGNMHNM" hidden="1">{#N/A,#N/A,FALSE,"96 3월물량표";#N/A,#N/A,FALSE,"96 4월물량표";#N/A,#N/A,FALSE,"96 5월물량표"}</definedName>
    <definedName name="TRHTRNGNMHNM_1" hidden="1">{#N/A,#N/A,FALSE,"96 3월물량표";#N/A,#N/A,FALSE,"96 4월물량표";#N/A,#N/A,FALSE,"96 5월물량표"}</definedName>
    <definedName name="trhy" hidden="1">{#N/A,#N/A,TRUE,"Y생산";#N/A,#N/A,TRUE,"Y판매";#N/A,#N/A,TRUE,"Y총물량";#N/A,#N/A,TRUE,"Y능력";#N/A,#N/A,TRUE,"YKD"}</definedName>
    <definedName name="trhy_1" hidden="1">{#N/A,#N/A,TRUE,"Y생산";#N/A,#N/A,TRUE,"Y판매";#N/A,#N/A,TRUE,"Y총물량";#N/A,#N/A,TRUE,"Y능력";#N/A,#N/A,TRUE,"YKD"}</definedName>
    <definedName name="TRHYRT" hidden="1">{#N/A,#N/A,FALSE,"단축1";#N/A,#N/A,FALSE,"단축2";#N/A,#N/A,FALSE,"단축3";#N/A,#N/A,FALSE,"장축";#N/A,#N/A,FALSE,"4WD"}</definedName>
    <definedName name="trim" hidden="1">#REF!</definedName>
    <definedName name="trim1" hidden="1">#REF!</definedName>
    <definedName name="TRIM별COST2" hidden="1">{#N/A,#N/A,FALSE,"단축1";#N/A,#N/A,FALSE,"단축2";#N/A,#N/A,FALSE,"단축3";#N/A,#N/A,FALSE,"장축";#N/A,#N/A,FALSE,"4WD"}</definedName>
    <definedName name="TRIM별COST2_1" hidden="1">{#N/A,#N/A,FALSE,"단축1";#N/A,#N/A,FALSE,"단축2";#N/A,#N/A,FALSE,"단축3";#N/A,#N/A,FALSE,"장축";#N/A,#N/A,FALSE,"4WD"}</definedName>
    <definedName name="TRIPLE현상" hidden="1">{#N/A,#N/A,FALSE,"단축1";#N/A,#N/A,FALSE,"단축2";#N/A,#N/A,FALSE,"단축3";#N/A,#N/A,FALSE,"장축";#N/A,#N/A,FALSE,"4WD"}</definedName>
    <definedName name="trjhtrj" hidden="1">{#N/A,#N/A,FALSE,"단축1";#N/A,#N/A,FALSE,"단축2";#N/A,#N/A,FALSE,"단축3";#N/A,#N/A,FALSE,"장축";#N/A,#N/A,FALSE,"4WD"}</definedName>
    <definedName name="trjtrjh" hidden="1">{#N/A,#N/A,FALSE,"단축1";#N/A,#N/A,FALSE,"단축2";#N/A,#N/A,FALSE,"단축3";#N/A,#N/A,FALSE,"장축";#N/A,#N/A,FALSE,"4WD"}</definedName>
    <definedName name="trjue" hidden="1">{#N/A,#N/A,FALSE,"신규dep";#N/A,#N/A,FALSE,"신규dep-금형상각후";#N/A,#N/A,FALSE,"신규dep-연구비상각후";#N/A,#N/A,FALSE,"신규dep-기계,공구상각후"}</definedName>
    <definedName name="TRJYJ" hidden="1">{#N/A,#N/A,FALSE,"신규dep";#N/A,#N/A,FALSE,"신규dep-금형상각후";#N/A,#N/A,FALSE,"신규dep-연구비상각후";#N/A,#N/A,FALSE,"신규dep-기계,공구상각후"}</definedName>
    <definedName name="trrfdgfdg" hidden="1">{"'7-2지역별'!$A$1:$R$44"}</definedName>
    <definedName name="TRSS" hidden="1">{#N/A,#N/A,FALSE,"을지 (4)";#N/A,#N/A,FALSE,"을지 (5)";#N/A,#N/A,FALSE,"을지 (6)"}</definedName>
    <definedName name="TRT" hidden="1">{0,0,0,0}</definedName>
    <definedName name="trtrthwr" hidden="1">{"'7-2지역별'!$A$1:$R$44"}</definedName>
    <definedName name="trtrtrttrtrt" hidden="1">{"'7-2지역별'!$A$1:$R$44"}</definedName>
    <definedName name="trttytyty" hidden="1">{"'7-2지역별'!$A$1:$R$44"}</definedName>
    <definedName name="TRYU" hidden="1">{#N/A,#N/A,FALSE,"단축1";#N/A,#N/A,FALSE,"단축2";#N/A,#N/A,FALSE,"단축3";#N/A,#N/A,FALSE,"장축";#N/A,#N/A,FALSE,"4WD"}</definedName>
    <definedName name="TT" hidden="1">{#N/A,#N/A,FALSE,"단축1";#N/A,#N/A,FALSE,"단축2";#N/A,#N/A,FALSE,"단축3";#N/A,#N/A,FALSE,"장축";#N/A,#N/A,FALSE,"4WD"}</definedName>
    <definedName name="tt235445tertertsedgsdfg" hidden="1">{#N/A,#N/A,FALSE,"단축1";#N/A,#N/A,FALSE,"단축2";#N/A,#N/A,FALSE,"단축3";#N/A,#N/A,FALSE,"장축";#N/A,#N/A,FALSE,"4WD"}</definedName>
    <definedName name="TTGDFD" hidden="1">{#N/A,#N/A,FALSE,"단축1";#N/A,#N/A,FALSE,"단축2";#N/A,#N/A,FALSE,"단축3";#N/A,#N/A,FALSE,"장축";#N/A,#N/A,FALSE,"4WD"}</definedName>
    <definedName name="ttggdvc" hidden="1">{"'7-2지역별'!$A$1:$R$44"}</definedName>
    <definedName name="ttgw43te5tgbet4t535yhhtnt4" hidden="1">{#N/A,#N/A,TRUE,"Y생산";#N/A,#N/A,TRUE,"Y판매";#N/A,#N/A,TRUE,"Y총물량";#N/A,#N/A,TRUE,"Y능력";#N/A,#N/A,TRUE,"YKD"}</definedName>
    <definedName name="TTH" hidden="1">{#N/A,#N/A,FALSE,"신규dep";#N/A,#N/A,FALSE,"신규dep-금형상각후";#N/A,#N/A,FALSE,"신규dep-연구비상각후";#N/A,#N/A,FALSE,"신규dep-기계,공구상각후"}</definedName>
    <definedName name="TTI" hidden="1">{#N/A,#N/A,FALSE,"단축1";#N/A,#N/A,FALSE,"단축2";#N/A,#N/A,FALSE,"단축3";#N/A,#N/A,FALSE,"장축";#N/A,#N/A,FALSE,"4WD"}</definedName>
    <definedName name="TT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 hidden="1">{#N/A,#N/A,FALSE,"을지 (4)";#N/A,#N/A,FALSE,"을지 (5)";#N/A,#N/A,FALSE,"을지 (6)"}</definedName>
    <definedName name="TTTY" hidden="1">{#N/A,#N/A,FALSE,"단축1";#N/A,#N/A,FALSE,"단축2";#N/A,#N/A,FALSE,"단축3";#N/A,#N/A,FALSE,"장축";#N/A,#N/A,FALSE,"4WD"}</definedName>
    <definedName name="TTYY" hidden="1">{#N/A,#N/A,FALSE,"단축1";#N/A,#N/A,FALSE,"단축2";#N/A,#N/A,FALSE,"단축3";#N/A,#N/A,FALSE,"장축";#N/A,#N/A,FALSE,"4WD"}</definedName>
    <definedName name="ty" hidden="1">{#N/A,#N/A,FALSE,"단축1";#N/A,#N/A,FALSE,"단축2";#N/A,#N/A,FALSE,"단축3";#N/A,#N/A,FALSE,"장축";#N/A,#N/A,FALSE,"4WD"}</definedName>
    <definedName name="ty_1" hidden="1">{#N/A,#N/A,FALSE,"단축1";#N/A,#N/A,FALSE,"단축2";#N/A,#N/A,FALSE,"단축3";#N/A,#N/A,FALSE,"장축";#N/A,#N/A,FALSE,"4WD"}</definedName>
    <definedName name="ty_2" hidden="1">{#N/A,#N/A,FALSE,"단축1";#N/A,#N/A,FALSE,"단축2";#N/A,#N/A,FALSE,"단축3";#N/A,#N/A,FALSE,"장축";#N/A,#N/A,FALSE,"4WD"}</definedName>
    <definedName name="tyjk" hidden="1">{#N/A,#N/A,TRUE,"Y생산";#N/A,#N/A,TRUE,"Y판매";#N/A,#N/A,TRUE,"Y총물량";#N/A,#N/A,TRUE,"Y능력";#N/A,#N/A,TRUE,"YKD"}</definedName>
    <definedName name="tyjk_1" hidden="1">{#N/A,#N/A,TRUE,"Y생산";#N/A,#N/A,TRUE,"Y판매";#N/A,#N/A,TRUE,"Y총물량";#N/A,#N/A,TRUE,"Y능력";#N/A,#N/A,TRUE,"YKD"}</definedName>
    <definedName name="TYJTJTDYJTDJ" hidden="1">{#N/A,#N/A,FALSE,"표지";#N/A,#N/A,FALSE,"전제";#N/A,#N/A,FALSE,"손익-자 (2)";#N/A,#N/A,FALSE,"손익-자";#N/A,#N/A,FALSE,"손익-마 (2)";#N/A,#N/A,FALSE,"손익-마";#N/A,#N/A,FALSE,"총손최종"}</definedName>
    <definedName name="tynervwsgrte" hidden="1">{#N/A,#N/A,FALSE,"단축1";#N/A,#N/A,FALSE,"단축2";#N/A,#N/A,FALSE,"단축3";#N/A,#N/A,FALSE,"장축";#N/A,#N/A,FALSE,"4WD"}</definedName>
    <definedName name="TYRUI" hidden="1">{#N/A,#N/A,FALSE,"단축1";#N/A,#N/A,FALSE,"단축2";#N/A,#N/A,FALSE,"단축3";#N/A,#N/A,FALSE,"장축";#N/A,#N/A,FALSE,"4WD"}</definedName>
    <definedName name="TYRUI_1" hidden="1">{#N/A,#N/A,FALSE,"단축1";#N/A,#N/A,FALSE,"단축2";#N/A,#N/A,FALSE,"단축3";#N/A,#N/A,FALSE,"장축";#N/A,#N/A,FALSE,"4WD"}</definedName>
    <definedName name="TYRUI_2" hidden="1">{#N/A,#N/A,FALSE,"단축1";#N/A,#N/A,FALSE,"단축2";#N/A,#N/A,FALSE,"단축3";#N/A,#N/A,FALSE,"장축";#N/A,#N/A,FALSE,"4WD"}</definedName>
    <definedName name="TYTTTT" hidden="1">{#N/A,#N/A,FALSE,"단축1";#N/A,#N/A,FALSE,"단축2";#N/A,#N/A,FALSE,"단축3";#N/A,#N/A,FALSE,"장축";#N/A,#N/A,FALSE,"4WD"}</definedName>
    <definedName name="tyttyt" hidden="1">{"'7-2지역별'!$A$1:$R$44"}</definedName>
    <definedName name="tytyty" hidden="1">{"'7-2지역별'!$A$1:$R$44"}</definedName>
    <definedName name="TYTYTYTYTYT" hidden="1">{#N/A,#N/A,FALSE,"단축1";#N/A,#N/A,FALSE,"단축2";#N/A,#N/A,FALSE,"단축3";#N/A,#N/A,FALSE,"장축";#N/A,#N/A,FALSE,"4WD"}</definedName>
    <definedName name="TYUH" hidden="1">{#N/A,#N/A,FALSE,"KMC최종회의(7월) 자료"}</definedName>
    <definedName name="TYUH_1" hidden="1">{#N/A,#N/A,FALSE,"KMC최종회의(7월) 자료"}</definedName>
    <definedName name="TYYKLI" hidden="1">{#N/A,#N/A,FALSE,"인원";#N/A,#N/A,FALSE,"비용2";#N/A,#N/A,FALSE,"비용1";#N/A,#N/A,FALSE,"비용";#N/A,#N/A,FALSE,"보증2";#N/A,#N/A,FALSE,"보증1";#N/A,#N/A,FALSE,"보증";#N/A,#N/A,FALSE,"손익1";#N/A,#N/A,FALSE,"손익";#N/A,#N/A,FALSE,"부서별매출";#N/A,#N/A,FALSE,"매출"}</definedName>
    <definedName name="TYYY" hidden="1">{#N/A,#N/A,FALSE,"단축1";#N/A,#N/A,FALSE,"단축2";#N/A,#N/A,FALSE,"단축3";#N/A,#N/A,FALSE,"장축";#N/A,#N/A,FALSE,"4WD"}</definedName>
    <definedName name="TYYYY2" hidden="1">{#N/A,#N/A,FALSE,"단축1";#N/A,#N/A,FALSE,"단축2";#N/A,#N/A,FALSE,"단축3";#N/A,#N/A,FALSE,"장축";#N/A,#N/A,FALSE,"4WD"}</definedName>
    <definedName name="TYYYYY" hidden="1">{#N/A,#N/A,FALSE,"단축1";#N/A,#N/A,FALSE,"단축2";#N/A,#N/A,FALSE,"단축3";#N/A,#N/A,FALSE,"장축";#N/A,#N/A,FALSE,"4WD"}</definedName>
    <definedName name="t시트11" hidden="1">#REF!</definedName>
    <definedName name="U" hidden="1">{#N/A,#N/A,FALSE,"단축1";#N/A,#N/A,FALSE,"단축2";#N/A,#N/A,FALSE,"단축3";#N/A,#N/A,FALSE,"장축";#N/A,#N/A,FALSE,"4WD"}</definedName>
    <definedName name="UB" hidden="1">#REF!</definedName>
    <definedName name="ud절감1차" hidden="1">{#N/A,#N/A,FALSE,"전제";#N/A,#N/A,FALSE,"표지";#N/A,#N/A,FALSE,"6D16";#N/A,#N/A,FALSE,"6D22";#N/A,#N/A,FALSE,"6D22-T";#N/A,#N/A,FALSE,"Q-DEG";#N/A,#N/A,FALSE,"총손";#N/A,#N/A,FALSE,"대당";#N/A,#N/A,FALSE,"가공비"}</definedName>
    <definedName name="ud절감2차" hidden="1">{#N/A,#N/A,FALSE,"전제";#N/A,#N/A,FALSE,"표지";#N/A,#N/A,FALSE,"6D16";#N/A,#N/A,FALSE,"6D22";#N/A,#N/A,FALSE,"6D22-T";#N/A,#N/A,FALSE,"Q-DEG";#N/A,#N/A,FALSE,"총손";#N/A,#N/A,FALSE,"대당";#N/A,#N/A,FALSE,"가공비"}</definedName>
    <definedName name="UEDGBSESTGRSE" hidden="1">{#N/A,#N/A,FALSE,"단축1";#N/A,#N/A,FALSE,"단축2";#N/A,#N/A,FALSE,"단축3";#N/A,#N/A,FALSE,"장축";#N/A,#N/A,FALSE,"4WD"}</definedName>
    <definedName name="UIP" hidden="1">{#N/A,#N/A,FALSE,"단축1";#N/A,#N/A,FALSE,"단축2";#N/A,#N/A,FALSE,"단축3";#N/A,#N/A,FALSE,"장축";#N/A,#N/A,FALSE,"4WD"}</definedName>
    <definedName name="UIP_1" hidden="1">{#N/A,#N/A,FALSE,"단축1";#N/A,#N/A,FALSE,"단축2";#N/A,#N/A,FALSE,"단축3";#N/A,#N/A,FALSE,"장축";#N/A,#N/A,FALSE,"4WD"}</definedName>
    <definedName name="UIP_2" hidden="1">{#N/A,#N/A,FALSE,"단축1";#N/A,#N/A,FALSE,"단축2";#N/A,#N/A,FALSE,"단축3";#N/A,#N/A,FALSE,"장축";#N/A,#N/A,FALSE,"4WD"}</definedName>
    <definedName name="uisadlsfn" hidden="1">{"'7-2지역별'!$A$1:$R$44"}</definedName>
    <definedName name="ujik" hidden="1">{#N/A,#N/A,FALSE,"단축1";#N/A,#N/A,FALSE,"단축2";#N/A,#N/A,FALSE,"단축3";#N/A,#N/A,FALSE,"장축";#N/A,#N/A,FALSE,"4WD"}</definedName>
    <definedName name="ujjujyjujty" hidden="1">{"'7-2지역별'!$A$1:$R$44"}</definedName>
    <definedName name="UJKHMN" hidden="1">#REF!</definedName>
    <definedName name="UJYTM" hidden="1">{#N/A,#N/A,FALSE,"단축1";#N/A,#N/A,FALSE,"단축2";#N/A,#N/A,FALSE,"단축3";#N/A,#N/A,FALSE,"장축";#N/A,#N/A,FALSE,"4WD"}</definedName>
    <definedName name="ujyyy" hidden="1">{#N/A,#N/A,FALSE,"신규dep";#N/A,#N/A,FALSE,"신규dep-금형상각후";#N/A,#N/A,FALSE,"신규dep-연구비상각후";#N/A,#N/A,FALSE,"신규dep-기계,공구상각후"}</definedName>
    <definedName name="UKFL" hidden="1">{#N/A,#N/A,FALSE,"단축1";#N/A,#N/A,FALSE,"단축2";#N/A,#N/A,FALSE,"단축3";#N/A,#N/A,FALSE,"장축";#N/A,#N/A,FALSE,"4WD"}</definedName>
    <definedName name="UKLU" hidden="1">{#N/A,#N/A,FALSE,"단축1";#N/A,#N/A,FALSE,"단축2";#N/A,#N/A,FALSE,"단축3";#N/A,#N/A,FALSE,"장축";#N/A,#N/A,FALSE,"4WD"}</definedName>
    <definedName name="UKM" hidden="1">{#N/A,#N/A,FALSE,"단축1";#N/A,#N/A,FALSE,"단축2";#N/A,#N/A,FALSE,"단축3";#N/A,#N/A,FALSE,"장축";#N/A,#N/A,FALSE,"4WD"}</definedName>
    <definedName name="UKUDK" hidden="1">{#N/A,#N/A,FALSE,"단축1";#N/A,#N/A,FALSE,"단축2";#N/A,#N/A,FALSE,"단축3";#N/A,#N/A,FALSE,"장축";#N/A,#N/A,FALSE,"4WD"}</definedName>
    <definedName name="UNITMCC" hidden="1">{#N/A,#N/A,FALSE,"단축1";#N/A,#N/A,FALSE,"단축2";#N/A,#N/A,FALSE,"단축3";#N/A,#N/A,FALSE,"장축";#N/A,#N/A,FALSE,"4WD"}</definedName>
    <definedName name="uoooiohkhhhg" hidden="1">{#N/A,#N/A,FALSE,"단축1";#N/A,#N/A,FALSE,"단축2";#N/A,#N/A,FALSE,"단축3";#N/A,#N/A,FALSE,"장축";#N/A,#N/A,FALSE,"4WD"}</definedName>
    <definedName name="URTEU" hidden="1">{#N/A,#N/A,FALSE,"단축1";#N/A,#N/A,FALSE,"단축2";#N/A,#N/A,FALSE,"단축3";#N/A,#N/A,FALSE,"장축";#N/A,#N/A,FALSE,"4WD"}</definedName>
    <definedName name="URTY" hidden="1">{#N/A,#N/A,FALSE,"단축1";#N/A,#N/A,FALSE,"단축2";#N/A,#N/A,FALSE,"단축3";#N/A,#N/A,FALSE,"장축";#N/A,#N/A,FALSE,"4WD"}</definedName>
    <definedName name="util" hidden="1">{#N/A,#N/A,FALSE,"단축1";#N/A,#N/A,FALSE,"단축2";#N/A,#N/A,FALSE,"단축3";#N/A,#N/A,FALSE,"장축";#N/A,#N/A,FALSE,"4WD"}</definedName>
    <definedName name="uu" hidden="1">{#N/A,#N/A,FALSE,"96 3월물량표";#N/A,#N/A,FALSE,"96 4월물량표";#N/A,#N/A,FALSE,"96 5월물량표"}</definedName>
    <definedName name="UUU" hidden="1">{#N/A,#N/A,FALSE,"단축1";#N/A,#N/A,FALSE,"단축2";#N/A,#N/A,FALSE,"단축3";#N/A,#N/A,FALSE,"장축";#N/A,#N/A,FALSE,"4WD"}</definedName>
    <definedName name="UUU_1" hidden="1">{#N/A,#N/A,TRUE,"Y생산";#N/A,#N/A,TRUE,"Y판매";#N/A,#N/A,TRUE,"Y총물량";#N/A,#N/A,TRUE,"Y능력";#N/A,#N/A,TRUE,"YKD"}</definedName>
    <definedName name="UUU_2" hidden="1">{#N/A,#N/A,TRUE,"Y생산";#N/A,#N/A,TRUE,"Y판매";#N/A,#N/A,TRUE,"Y총물량";#N/A,#N/A,TRUE,"Y능력";#N/A,#N/A,TRUE,"YKD"}</definedName>
    <definedName name="UUUUUU" hidden="1">#REF!</definedName>
    <definedName name="UUUUUUU" hidden="1">{#N/A,#N/A,TRUE,"Y생산";#N/A,#N/A,TRUE,"Y판매";#N/A,#N/A,TRUE,"Y총물량";#N/A,#N/A,TRUE,"Y능력";#N/A,#N/A,TRUE,"YKD"}</definedName>
    <definedName name="UUUUUUU_1" hidden="1">{#N/A,#N/A,TRUE,"Y생산";#N/A,#N/A,TRUE,"Y판매";#N/A,#N/A,TRUE,"Y총물량";#N/A,#N/A,TRUE,"Y능력";#N/A,#N/A,TRUE,"YKD"}</definedName>
    <definedName name="uuuuuuuuu" hidden="1">{#N/A,#N/A,FALSE,"단축1";#N/A,#N/A,FALSE,"단축2";#N/A,#N/A,FALSE,"단축3";#N/A,#N/A,FALSE,"장축";#N/A,#N/A,FALSE,"4WD"}</definedName>
    <definedName name="uuuuuuuuu_1" hidden="1">{#N/A,#N/A,FALSE,"단축1";#N/A,#N/A,FALSE,"단축2";#N/A,#N/A,FALSE,"단축3";#N/A,#N/A,FALSE,"장축";#N/A,#N/A,FALSE,"4WD"}</definedName>
    <definedName name="uuuuuuuuu_2" hidden="1">{#N/A,#N/A,FALSE,"단축1";#N/A,#N/A,FALSE,"단축2";#N/A,#N/A,FALSE,"단축3";#N/A,#N/A,FALSE,"장축";#N/A,#N/A,FALSE,"4WD"}</definedName>
    <definedName name="UYGHFJ" hidden="1">{#N/A,#N/A,FALSE,"단축1";#N/A,#N/A,FALSE,"단축2";#N/A,#N/A,FALSE,"단축3";#N/A,#N/A,FALSE,"장축";#N/A,#N/A,FALSE,"4WD"}</definedName>
    <definedName name="UYKHJ" hidden="1">#REF!</definedName>
    <definedName name="uykl" hidden="1">{#N/A,#N/A,FALSE,"96 3월물량표";#N/A,#N/A,FALSE,"96 4월물량표";#N/A,#N/A,FALSE,"96 5월물량표"}</definedName>
    <definedName name="uykl_1" hidden="1">{#N/A,#N/A,FALSE,"96 3월물량표";#N/A,#N/A,FALSE,"96 4월물량표";#N/A,#N/A,FALSE,"96 5월물량표"}</definedName>
    <definedName name="UYL" hidden="1">{#N/A,#N/A,FALSE,"단축1";#N/A,#N/A,FALSE,"단축2";#N/A,#N/A,FALSE,"단축3";#N/A,#N/A,FALSE,"장축";#N/A,#N/A,FALSE,"4WD"}</definedName>
    <definedName name="UYR" hidden="1">{#N/A,#N/A,FALSE,"단축1";#N/A,#N/A,FALSE,"단축2";#N/A,#N/A,FALSE,"단축3";#N/A,#N/A,FALSE,"장축";#N/A,#N/A,FALSE,"4WD"}</definedName>
    <definedName name="UYTRC" hidden="1">{#N/A,#N/A,FALSE,"단축1";#N/A,#N/A,FALSE,"단축2";#N/A,#N/A,FALSE,"단축3";#N/A,#N/A,FALSE,"장축";#N/A,#N/A,FALSE,"4WD"}</definedName>
    <definedName name="v" hidden="1">{#N/A,#N/A,TRUE,"Y생산";#N/A,#N/A,TRUE,"Y판매";#N/A,#N/A,TRUE,"Y총물량";#N/A,#N/A,TRUE,"Y능력";#N/A,#N/A,TRUE,"YKD"}</definedName>
    <definedName name="v_1" hidden="1">{#N/A,#N/A,TRUE,"Y생산";#N/A,#N/A,TRUE,"Y판매";#N/A,#N/A,TRUE,"Y총물량";#N/A,#N/A,TRUE,"Y능력";#N/A,#N/A,TRUE,"YKD"}</definedName>
    <definedName name="v_2" hidden="1">{#N/A,#N/A,TRUE,"Y생산";#N/A,#N/A,TRUE,"Y판매";#N/A,#N/A,TRUE,"Y총물량";#N/A,#N/A,TRUE,"Y능력";#N/A,#N/A,TRUE,"YKD"}</definedName>
    <definedName name="V100ACU" hidden="1">{#N/A,#N/A,FALSE,"HOT RU TEM";#N/A,#N/A,FALSE,"HOT RU TEM";#N/A,#N/A,FALSE,"HOT RU TEM"}</definedName>
    <definedName name="VACCUM" hidden="1">{#N/A,#N/A,FALSE,"단축1";#N/A,#N/A,FALSE,"단축2";#N/A,#N/A,FALSE,"단축3";#N/A,#N/A,FALSE,"장축";#N/A,#N/A,FALSE,"4WD"}</definedName>
    <definedName name="VACUUM1" hidden="1">{#N/A,#N/A,FALSE,"단축1";#N/A,#N/A,FALSE,"단축2";#N/A,#N/A,FALSE,"단축3";#N/A,#N/A,FALSE,"장축";#N/A,#N/A,FALSE,"4WD"}</definedName>
    <definedName name="VB" hidden="1">{0,0,0,0}</definedName>
    <definedName name="VBBV" hidden="1">{#N/A,#N/A,FALSE,"단축1";#N/A,#N/A,FALSE,"단축2";#N/A,#N/A,FALSE,"단축3";#N/A,#N/A,FALSE,"장축";#N/A,#N/A,FALSE,"4WD"}</definedName>
    <definedName name="VBFGHJ" hidden="1">{#N/A,#N/A,FALSE,"단축1";#N/A,#N/A,FALSE,"단축2";#N/A,#N/A,FALSE,"단축3";#N/A,#N/A,FALSE,"장축";#N/A,#N/A,FALSE,"4WD"}</definedName>
    <definedName name="VBN" hidden="1">{#N/A,#N/A,FALSE,"표지";#N/A,#N/A,FALSE,"전제";#N/A,#N/A,FALSE,"손익-자 (2)";#N/A,#N/A,FALSE,"손익-자";#N/A,#N/A,FALSE,"손익-마 (2)";#N/A,#N/A,FALSE,"손익-마";#N/A,#N/A,FALSE,"총손최종"}</definedName>
    <definedName name="VBNSD" hidden="1">#REF!</definedName>
    <definedName name="VBNVB" hidden="1">{#N/A,#N/A,FALSE,"단축1";#N/A,#N/A,FALSE,"단축2";#N/A,#N/A,FALSE,"단축3";#N/A,#N/A,FALSE,"장축";#N/A,#N/A,FALSE,"4WD"}</definedName>
    <definedName name="VBV" hidden="1">{#N/A,#N/A,FALSE,"단축1";#N/A,#N/A,FALSE,"단축2";#N/A,#N/A,FALSE,"단축3";#N/A,#N/A,FALSE,"장축";#N/A,#N/A,FALSE,"4WD"}</definedName>
    <definedName name="VBVB" hidden="1">{#N/A,#N/A,FALSE,"단축1";#N/A,#N/A,FALSE,"단축2";#N/A,#N/A,FALSE,"단축3";#N/A,#N/A,FALSE,"장축";#N/A,#N/A,FALSE,"4WD"}</definedName>
    <definedName name="VC" hidden="1">{#N/A,#N/A,FALSE,"을지 (4)";#N/A,#N/A,FALSE,"을지 (5)";#N/A,#N/A,FALSE,"을지 (6)"}</definedName>
    <definedName name="VCBFGTSXZ" hidden="1">{#N/A,#N/A,FALSE,"단축1";#N/A,#N/A,FALSE,"단축2";#N/A,#N/A,FALSE,"단축3";#N/A,#N/A,FALSE,"장축";#N/A,#N/A,FALSE,"4WD"}</definedName>
    <definedName name="VCD" hidden="1">{#VALUE!,#N/A,FALSE,0;#N/A,#N/A,FALSE,0;#N/A,#N/A,FALSE,0;#N/A,#N/A,FALSE,0}</definedName>
    <definedName name="VCX" hidden="1">{#VALUE!,#N/A,FALSE,0;#N/A,#N/A,FALSE,0;#N/A,#N/A,FALSE,0;#N/A,#N/A,FALSE,0;#N/A,#N/A,FALSE,0}</definedName>
    <definedName name="vcxftgdfs" hidden="1">{"'7-2지역별'!$A$1:$R$44"}</definedName>
    <definedName name="vcxv" hidden="1">{#N/A,#N/A,FALSE,"단축1";#N/A,#N/A,FALSE,"단축2";#N/A,#N/A,FALSE,"단축3";#N/A,#N/A,FALSE,"장축";#N/A,#N/A,FALSE,"4WD"}</definedName>
    <definedName name="VCZ" hidden="1">{0,0,0,0}</definedName>
    <definedName name="VDSAG" hidden="1">{#N/A,#N/A,TRUE,"일정"}</definedName>
    <definedName name="vdw" hidden="1">{"'7-2지역별'!$A$1:$R$44"}</definedName>
    <definedName name="vfcxfgds" hidden="1">{"'7-2지역별'!$A$1:$R$44"}</definedName>
    <definedName name="VFDFDGFFDDDDDDG" hidden="1">{#N/A,#N/A,FALSE,"단축1";#N/A,#N/A,FALSE,"단축2";#N/A,#N/A,FALSE,"단축3";#N/A,#N/A,FALSE,"장축";#N/A,#N/A,FALSE,"4WD"}</definedName>
    <definedName name="VGFDFV" hidden="1">{#N/A,#N/A,FALSE,"단축1";#N/A,#N/A,FALSE,"단축2";#N/A,#N/A,FALSE,"단축3";#N/A,#N/A,FALSE,"장축";#N/A,#N/A,FALSE,"4WD"}</definedName>
    <definedName name="VGSWA" hidden="1">{#N/A,#N/A,FALSE,"단축1";#N/A,#N/A,FALSE,"단축2";#N/A,#N/A,FALSE,"단축3";#N/A,#N/A,FALSE,"장축";#N/A,#N/A,FALSE,"4WD"}</definedName>
    <definedName name="VHALD" hidden="1">{#N/A,#N/A,FALSE,"등록현황";#N/A,#N/A,FALSE,"등록현황"}</definedName>
    <definedName name="vhbknuyt" hidden="1">{#N/A,#N/A,FALSE,"단축1";#N/A,#N/A,FALSE,"단축2";#N/A,#N/A,FALSE,"단축3";#N/A,#N/A,FALSE,"장축";#N/A,#N/A,FALSE,"4WD"}</definedName>
    <definedName name="VHFGHFHBJGTU" hidden="1">{#N/A,#N/A,FALSE,"단축1";#N/A,#N/A,FALSE,"단축2";#N/A,#N/A,FALSE,"단축3";#N/A,#N/A,FALSE,"장축";#N/A,#N/A,FALSE,"4WD"}</definedName>
    <definedName name="VII.LAYOU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J" hidden="1">{#N/A,#N/A,FALSE,"단축1";#N/A,#N/A,FALSE,"단축2";#N/A,#N/A,FALSE,"단축3";#N/A,#N/A,FALSE,"장축";#N/A,#N/A,FALSE,"4WD"}</definedName>
    <definedName name="VJigTool" hidden="1">#REF!</definedName>
    <definedName name="VJUKH" hidden="1">{#VALUE!,#N/A,FALSE,0;#N/A,#N/A,FALSE,0;#N/A,#N/A,FALSE,0;#N/A,#N/A,FALSE,0;#N/A,#N/A,FALSE,0}</definedName>
    <definedName name="VKVKV" hidden="1">{#N/A,#N/A,FALSE,"단축1";#N/A,#N/A,FALSE,"단축2";#N/A,#N/A,FALSE,"단축3";#N/A,#N/A,FALSE,"장축";#N/A,#N/A,FALSE,"4WD"}</definedName>
    <definedName name="VNADNL" hidden="1">{#N/A,#N/A,FALSE,"단축1";#N/A,#N/A,FALSE,"단축2";#N/A,#N/A,FALSE,"단축3";#N/A,#N/A,FALSE,"장축";#N/A,#N/A,FALSE,"4WD"}</definedName>
    <definedName name="volume2" hidden="1">{"SUM GER",#N/A,FALSE,"SUM GER";"SUM FRA",#N/A,FALSE,"SUM FRA";"SUM ITA",#N/A,FALSE,"SUM ITA";"SUM SPA",#N/A,FALSE,"SUM SPA";"SUM EGB",#N/A,FALSE,"SUM EGB";"SUM IND",#N/A,FALSE,"SUM IND"}</definedName>
    <definedName name="VPDLSXM" hidden="1">{#N/A,#N/A,TRUE,"Y생산";#N/A,#N/A,TRUE,"Y판매";#N/A,#N/A,TRUE,"Y총물량";#N/A,#N/A,TRUE,"Y능력";#N/A,#N/A,TRUE,"YKD"}</definedName>
    <definedName name="VPDLSXM_1" hidden="1">{#N/A,#N/A,TRUE,"Y생산";#N/A,#N/A,TRUE,"Y판매";#N/A,#N/A,TRUE,"Y총물량";#N/A,#N/A,TRUE,"Y능력";#N/A,#N/A,TRUE,"YKD"}</definedName>
    <definedName name="vttdfvgf" hidden="1">{#N/A,#N/A,FALSE,"단축1";#N/A,#N/A,FALSE,"단축2";#N/A,#N/A,FALSE,"단축3";#N/A,#N/A,FALSE,"장축";#N/A,#N/A,FALSE,"4WD"}</definedName>
    <definedName name="VV" hidden="1">{#N/A,#N/A,TRUE,"일정"}</definedName>
    <definedName name="VVFFFE" hidden="1">{"'7-2지역별'!$A$1:$R$44"}</definedName>
    <definedName name="vvfvfvf" hidden="1">{"'7-2지역별'!$A$1:$R$44"}</definedName>
    <definedName name="VVV" hidden="1">{#N/A,#N/A,TRUE,"Y생산";#N/A,#N/A,TRUE,"Y판매";#N/A,#N/A,TRUE,"Y총물량";#N/A,#N/A,TRUE,"Y능력";#N/A,#N/A,TRUE,"YKD"}</definedName>
    <definedName name="vvvfffff" hidden="1">{"'7-2지역별'!$A$1:$R$44"}</definedName>
    <definedName name="vvvvv" hidden="1">{#N/A,#N/A,FALSE,"KMC최종회의(7월) 자료"}</definedName>
    <definedName name="vvvvv_1" hidden="1">{#N/A,#N/A,FALSE,"KMC최종회의(7월) 자료"}</definedName>
    <definedName name="vvvvvv" hidden="1">{#N/A,#N/A,FALSE,"KMC최종회의(7월) 자료"}</definedName>
    <definedName name="vvvvvvv" hidden="1">{#VALUE!,#N/A,FALSE,0}</definedName>
    <definedName name="VX" hidden="1">{0}</definedName>
    <definedName name="VYVY" hidden="1">{#N/A,#N/A,FALSE,"단축1";#N/A,#N/A,FALSE,"단축2";#N/A,#N/A,FALSE,"단축3";#N/A,#N/A,FALSE,"장축";#N/A,#N/A,FALSE,"4WD"}</definedName>
    <definedName name="vywl" hidden="1">{#N/A,#N/A,FALSE,"단축1";#N/A,#N/A,FALSE,"단축2";#N/A,#N/A,FALSE,"단축3";#N/A,#N/A,FALSE,"장축";#N/A,#N/A,FALSE,"4WD"}</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0" hidden="1">{#N/A,#N/A,FALSE,"KMC최종회의(7월) 자료"}</definedName>
    <definedName name="W0_1" hidden="1">{#N/A,#N/A,FALSE,"KMC최종회의(7월) 자료"}</definedName>
    <definedName name="W0_2" hidden="1">{#N/A,#N/A,FALSE,"KMC최종회의(7월) 자료"}</definedName>
    <definedName name="W2W2" hidden="1">{"'7-2지역별'!$A$1:$R$44"}</definedName>
    <definedName name="WA" hidden="1">{#N/A,#N/A,FALSE,"초도품";#N/A,#N/A,FALSE,"초도품 (2)";#N/A,#N/A,FALSE,"초도품 (3)";#N/A,#N/A,FALSE,"초도품 (4)";#N/A,#N/A,FALSE,"초도품 (5)";#N/A,#N/A,FALSE,"초도품 (6)"}</definedName>
    <definedName name="waethgh" hidden="1">{#N/A,#N/A,FALSE,"96 3월물량표";#N/A,#N/A,FALSE,"96 4월물량표";#N/A,#N/A,FALSE,"96 5월물량표"}</definedName>
    <definedName name="waethgh_1" hidden="1">{#N/A,#N/A,FALSE,"96 3월물량표";#N/A,#N/A,FALSE,"96 4월물량표";#N/A,#N/A,FALSE,"96 5월물량표"}</definedName>
    <definedName name="WAFTDCYH" hidden="1">{#N/A,#N/A,FALSE,"단축1";#N/A,#N/A,FALSE,"단축2";#N/A,#N/A,FALSE,"단축3";#N/A,#N/A,FALSE,"장축";#N/A,#N/A,FALSE,"4WD"}</definedName>
    <definedName name="walter2" hidden="1">{#N/A,#N/A,FALSE,"미판매분"}</definedName>
    <definedName name="walter2_1" hidden="1">{#N/A,#N/A,FALSE,"미판매분"}</definedName>
    <definedName name="WAQEFQ" hidden="1">{#N/A,#N/A,FALSE,"단축1";#N/A,#N/A,FALSE,"단축2";#N/A,#N/A,FALSE,"단축3";#N/A,#N/A,FALSE,"장축";#N/A,#N/A,FALSE,"4WD"}</definedName>
    <definedName name="WARRANTY" hidden="1">{#N/A,#N/A,FALSE,"삼진정공";#N/A,#N/A,FALSE,"영신금속";#N/A,#N/A,FALSE,"태양금속";#N/A,#N/A,FALSE,"진합정공";#N/A,#N/A,FALSE,"코리아";#N/A,#N/A,FALSE,"풍강금속";#N/A,#N/A,FALSE,"선일기계"}</definedName>
    <definedName name="WARRANTY0" hidden="1">{#N/A,#N/A,FALSE,"삼진정공";#N/A,#N/A,FALSE,"영신금속";#N/A,#N/A,FALSE,"태양금속";#N/A,#N/A,FALSE,"진합정공";#N/A,#N/A,FALSE,"코리아";#N/A,#N/A,FALSE,"풍강금속";#N/A,#N/A,FALSE,"선일기계"}</definedName>
    <definedName name="WARRANTY1" hidden="1">{#N/A,#N/A,FALSE,"삼진정공";#N/A,#N/A,FALSE,"영신금속";#N/A,#N/A,FALSE,"태양금속";#N/A,#N/A,FALSE,"진합정공";#N/A,#N/A,FALSE,"코리아";#N/A,#N/A,FALSE,"풍강금속";#N/A,#N/A,FALSE,"선일기계"}</definedName>
    <definedName name="wasd" hidden="1">{#N/A,#N/A,FALSE,"KMC최종회의(7월) 자료"}</definedName>
    <definedName name="wasd_1" hidden="1">{#N/A,#N/A,FALSE,"KMC최종회의(7월) 자료"}</definedName>
    <definedName name="wasdf" hidden="1">{#N/A,#N/A,FALSE,"KMC최종회의(7월) 자료"}</definedName>
    <definedName name="wasdf_1" hidden="1">{#N/A,#N/A,FALSE,"KMC최종회의(7월) 자료"}</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wsss" hidden="1">{#N/A,#N/A,FALSE,"KMC최종회의(7월) 자료"}</definedName>
    <definedName name="wawsss_1" hidden="1">{#N/A,#N/A,FALSE,"KMC최종회의(7월) 자료"}</definedName>
    <definedName name="wbs" hidden="1">{#N/A,#N/A,FALSE,"Aging Summary";#N/A,#N/A,FALSE,"Ratio Analysis";#N/A,#N/A,FALSE,"Test 120 Day Accts";#N/A,#N/A,FALSE,"Tickmarks"}</definedName>
    <definedName name="wd" hidden="1">{#N/A,#N/A,FALSE,"미판매분"}</definedName>
    <definedName name="wd_1" hidden="1">{#N/A,#N/A,FALSE,"미판매분"}</definedName>
    <definedName name="WDKWQ" hidden="1">{#N/A,#N/A,FALSE,"단축1";#N/A,#N/A,FALSE,"단축2";#N/A,#N/A,FALSE,"단축3";#N/A,#N/A,FALSE,"장축";#N/A,#N/A,FALSE,"4WD"}</definedName>
    <definedName name="wdq" hidden="1">{#N/A,#N/A,FALSE,"미판매분"}</definedName>
    <definedName name="wdq_1" hidden="1">{#N/A,#N/A,FALSE,"미판매분"}</definedName>
    <definedName name="WDS" hidden="1">{#N/A,#N/A,FALSE,"단축1";#N/A,#N/A,FALSE,"단축2";#N/A,#N/A,FALSE,"단축3";#N/A,#N/A,FALSE,"장축";#N/A,#N/A,FALSE,"4WD"}</definedName>
    <definedName name="WDXDWE" hidden="1">{#N/A,#N/A,FALSE,"단축1";#N/A,#N/A,FALSE,"단축2";#N/A,#N/A,FALSE,"단축3";#N/A,#N/A,FALSE,"장축";#N/A,#N/A,FALSE,"4WD"}</definedName>
    <definedName name="WE" hidden="1">{#N/A,#N/A,FALSE,"을지 (4)";#N/A,#N/A,FALSE,"을지 (5)";#N/A,#N/A,FALSE,"을지 (6)"}</definedName>
    <definedName name="WE4TGH" hidden="1">{#N/A,#N/A,TRUE,"Y생산";#N/A,#N/A,TRUE,"Y판매";#N/A,#N/A,TRUE,"Y총물량";#N/A,#N/A,TRUE,"Y능력";#N/A,#N/A,TRUE,"YKD"}</definedName>
    <definedName name="WE4TGH_1" hidden="1">{#N/A,#N/A,TRUE,"Y생산";#N/A,#N/A,TRUE,"Y판매";#N/A,#N/A,TRUE,"Y총물량";#N/A,#N/A,TRUE,"Y능력";#N/A,#N/A,TRUE,"YKD"}</definedName>
    <definedName name="WEAGTBG" hidden="1">{#N/A,#N/A,TRUE,"Y생산";#N/A,#N/A,TRUE,"Y판매";#N/A,#N/A,TRUE,"Y총물량";#N/A,#N/A,TRUE,"Y능력";#N/A,#N/A,TRUE,"YKD"}</definedName>
    <definedName name="WEAGTBG_1" hidden="1">{#N/A,#N/A,TRUE,"Y생산";#N/A,#N/A,TRUE,"Y판매";#N/A,#N/A,TRUE,"Y총물량";#N/A,#N/A,TRUE,"Y능력";#N/A,#N/A,TRUE,"YKD"}</definedName>
    <definedName name="WEARF" hidden="1">{#N/A,#N/A,TRUE,"Y생산";#N/A,#N/A,TRUE,"Y판매";#N/A,#N/A,TRUE,"Y총물량";#N/A,#N/A,TRUE,"Y능력";#N/A,#N/A,TRUE,"YKD"}</definedName>
    <definedName name="WEARF_1" hidden="1">{#N/A,#N/A,TRUE,"Y생산";#N/A,#N/A,TRUE,"Y판매";#N/A,#N/A,TRUE,"Y총물량";#N/A,#N/A,TRUE,"Y능력";#N/A,#N/A,TRUE,"YKD"}</definedName>
    <definedName name="WEARF_2" hidden="1">{#N/A,#N/A,TRUE,"Y생산";#N/A,#N/A,TRUE,"Y판매";#N/A,#N/A,TRUE,"Y총물량";#N/A,#N/A,TRUE,"Y능력";#N/A,#N/A,TRUE,"YKD"}</definedName>
    <definedName name="weas" hidden="1">{#N/A,#N/A,FALSE,"KMC최종회의(7월) 자료"}</definedName>
    <definedName name="weas_1" hidden="1">{#N/A,#N/A,FALSE,"KMC최종회의(7월) 자료"}</definedName>
    <definedName name="WED" hidden="1">{#N/A,#N/A,FALSE,"96자동차사 계획";#N/A,#N/A,FALSE,"96자동차사 계획"}</definedName>
    <definedName name="wedfghh" hidden="1">{#N/A,#N/A,FALSE,"단축1";#N/A,#N/A,FALSE,"단축2";#N/A,#N/A,FALSE,"단축3";#N/A,#N/A,FALSE,"장축";#N/A,#N/A,FALSE,"4WD"}</definedName>
    <definedName name="WEE" hidden="1">{#N/A,#N/A,FALSE,"신규dep";#N/A,#N/A,FALSE,"신규dep-금형상각후";#N/A,#N/A,FALSE,"신규dep-연구비상각후";#N/A,#N/A,FALSE,"신규dep-기계,공구상각후"}</definedName>
    <definedName name="weew3" hidden="1">{#N/A,#N/A,FALSE,"단축1";#N/A,#N/A,FALSE,"단축2";#N/A,#N/A,FALSE,"단축3";#N/A,#N/A,FALSE,"장축";#N/A,#N/A,FALSE,"4WD"}</definedName>
    <definedName name="WEFDS" hidden="1">{#N/A,#N/A,FALSE,"단축1";#N/A,#N/A,FALSE,"단축2";#N/A,#N/A,FALSE,"단축3";#N/A,#N/A,FALSE,"장축";#N/A,#N/A,FALSE,"4WD"}</definedName>
    <definedName name="WEFGRWG" hidden="1">{"'7-2지역별'!$A$1:$R$44"}</definedName>
    <definedName name="WEFRGFR" hidden="1">{"'7-2지역별'!$A$1:$R$44"}</definedName>
    <definedName name="WEFRWE" hidden="1">{#N/A,#N/A,FALSE,"단축1";#N/A,#N/A,FALSE,"단축2";#N/A,#N/A,FALSE,"단축3";#N/A,#N/A,FALSE,"장축";#N/A,#N/A,FALSE,"4WD"}</definedName>
    <definedName name="WEFRWE_1" hidden="1">{#N/A,#N/A,FALSE,"단축1";#N/A,#N/A,FALSE,"단축2";#N/A,#N/A,FALSE,"단축3";#N/A,#N/A,FALSE,"장축";#N/A,#N/A,FALSE,"4WD"}</definedName>
    <definedName name="WEFWEF" hidden="1">{"'7-2지역별'!$A$1:$R$44"}</definedName>
    <definedName name="WEG" hidden="1">{#N/A,#N/A,TRUE,"Y생산";#N/A,#N/A,TRUE,"Y판매";#N/A,#N/A,TRUE,"Y총물량";#N/A,#N/A,TRUE,"Y능력";#N/A,#N/A,TRUE,"YKD"}</definedName>
    <definedName name="WEG_1" hidden="1">{#N/A,#N/A,TRUE,"Y생산";#N/A,#N/A,TRUE,"Y판매";#N/A,#N/A,TRUE,"Y총물량";#N/A,#N/A,TRUE,"Y능력";#N/A,#N/A,TRUE,"YKD"}</definedName>
    <definedName name="WEGDFBV" hidden="1">{#N/A,#N/A,TRUE,"Y생산";#N/A,#N/A,TRUE,"Y판매";#N/A,#N/A,TRUE,"Y총물량";#N/A,#N/A,TRUE,"Y능력";#N/A,#N/A,TRUE,"YKD"}</definedName>
    <definedName name="WEGDFBV_1" hidden="1">{#N/A,#N/A,TRUE,"Y생산";#N/A,#N/A,TRUE,"Y판매";#N/A,#N/A,TRUE,"Y총물량";#N/A,#N/A,TRUE,"Y능력";#N/A,#N/A,TRUE,"YKD"}</definedName>
    <definedName name="WEGERHNT" hidden="1">{#N/A,#N/A,FALSE,"96 3월물량표";#N/A,#N/A,FALSE,"96 4월물량표";#N/A,#N/A,FALSE,"96 5월물량표"}</definedName>
    <definedName name="WEGERHNT_1" hidden="1">{#N/A,#N/A,FALSE,"96 3월물량표";#N/A,#N/A,FALSE,"96 4월물량표";#N/A,#N/A,FALSE,"96 5월물량표"}</definedName>
    <definedName name="wegtgb" hidden="1">{#N/A,#N/A,TRUE,"Y생산";#N/A,#N/A,TRUE,"Y판매";#N/A,#N/A,TRUE,"Y총물량";#N/A,#N/A,TRUE,"Y능력";#N/A,#N/A,TRUE,"YKD"}</definedName>
    <definedName name="wegtgb_1" hidden="1">{#N/A,#N/A,TRUE,"Y생산";#N/A,#N/A,TRUE,"Y판매";#N/A,#N/A,TRUE,"Y총물량";#N/A,#N/A,TRUE,"Y능력";#N/A,#N/A,TRUE,"YKD"}</definedName>
    <definedName name="WEGTHN" hidden="1">{#N/A,#N/A,TRUE,"Y생산";#N/A,#N/A,TRUE,"Y판매";#N/A,#N/A,TRUE,"Y총물량";#N/A,#N/A,TRUE,"Y능력";#N/A,#N/A,TRUE,"YKD"}</definedName>
    <definedName name="WEGTHN_1" hidden="1">{#N/A,#N/A,TRUE,"Y생산";#N/A,#N/A,TRUE,"Y판매";#N/A,#N/A,TRUE,"Y총물량";#N/A,#N/A,TRUE,"Y능력";#N/A,#N/A,TRUE,"YKD"}</definedName>
    <definedName name="wegvc" hidden="1">{#N/A,#N/A,TRUE,"Y생산";#N/A,#N/A,TRUE,"Y판매";#N/A,#N/A,TRUE,"Y총물량";#N/A,#N/A,TRUE,"Y능력";#N/A,#N/A,TRUE,"YKD"}</definedName>
    <definedName name="wegvc_1" hidden="1">{#N/A,#N/A,TRUE,"Y생산";#N/A,#N/A,TRUE,"Y판매";#N/A,#N/A,TRUE,"Y총물량";#N/A,#N/A,TRUE,"Y능력";#N/A,#N/A,TRUE,"YKD"}</definedName>
    <definedName name="WEHGG" hidden="1">{0,0,0,0}</definedName>
    <definedName name="wejdj" hidden="1">{#N/A,#N/A,FALSE,"단축1";#N/A,#N/A,FALSE,"단축2";#N/A,#N/A,FALSE,"단축3";#N/A,#N/A,FALSE,"장축";#N/A,#N/A,FALSE,"4WD"}</definedName>
    <definedName name="WEQ" hidden="1">{#N/A,#N/A,FALSE,"단축1";#N/A,#N/A,FALSE,"단축2";#N/A,#N/A,FALSE,"단축3";#N/A,#N/A,FALSE,"장축";#N/A,#N/A,FALSE,"4WD"}</definedName>
    <definedName name="WEQ_1" hidden="1">{#N/A,#N/A,FALSE,"단축1";#N/A,#N/A,FALSE,"단축2";#N/A,#N/A,FALSE,"단축3";#N/A,#N/A,FALSE,"장축";#N/A,#N/A,FALSE,"4WD"}</definedName>
    <definedName name="WEQ_2" hidden="1">{#N/A,#N/A,FALSE,"단축1";#N/A,#N/A,FALSE,"단축2";#N/A,#N/A,FALSE,"단축3";#N/A,#N/A,FALSE,"장축";#N/A,#N/A,FALSE,"4WD"}</definedName>
    <definedName name="WER" hidden="1">{0,0,0,0}</definedName>
    <definedName name="were" hidden="1">{#N/A,#N/A,FALSE,"KMC최종회의(7월) 자료"}</definedName>
    <definedName name="were_1" hidden="1">{#N/A,#N/A,FALSE,"KMC최종회의(7월) 자료"}</definedName>
    <definedName name="WEREWREWREWF" hidden="1">{#N/A,#N/A,FALSE,"단축1";#N/A,#N/A,FALSE,"단축2";#N/A,#N/A,FALSE,"단축3";#N/A,#N/A,FALSE,"장축";#N/A,#N/A,FALSE,"4WD"}</definedName>
    <definedName name="WEREWREWREWF_1" hidden="1">{#N/A,#N/A,FALSE,"단축1";#N/A,#N/A,FALSE,"단축2";#N/A,#N/A,FALSE,"단축3";#N/A,#N/A,FALSE,"장축";#N/A,#N/A,FALSE,"4WD"}</definedName>
    <definedName name="WEREWREWREWF_2" hidden="1">{#N/A,#N/A,FALSE,"단축1";#N/A,#N/A,FALSE,"단축2";#N/A,#N/A,FALSE,"단축3";#N/A,#N/A,FALSE,"장축";#N/A,#N/A,FALSE,"4WD"}</definedName>
    <definedName name="werfew" hidden="1">{#N/A,#N/A,FALSE,"96 3월물량표";#N/A,#N/A,FALSE,"96 4월물량표";#N/A,#N/A,FALSE,"96 5월물량표"}</definedName>
    <definedName name="werfew_1" hidden="1">{#N/A,#N/A,FALSE,"96 3월물량표";#N/A,#N/A,FALSE,"96 4월물량표";#N/A,#N/A,FALSE,"96 5월물량표"}</definedName>
    <definedName name="WERFWEFRW" hidden="1">{"'7-2지역별'!$A$1:$R$44"}</definedName>
    <definedName name="wert" hidden="1">{#N/A,#N/A,TRUE,"Y생산";#N/A,#N/A,TRUE,"Y판매";#N/A,#N/A,TRUE,"Y총물량";#N/A,#N/A,TRUE,"Y능력";#N/A,#N/A,TRUE,"YKD"}</definedName>
    <definedName name="wert_1" hidden="1">{#N/A,#N/A,TRUE,"Y생산";#N/A,#N/A,TRUE,"Y판매";#N/A,#N/A,TRUE,"Y총물량";#N/A,#N/A,TRUE,"Y능력";#N/A,#N/A,TRUE,"YKD"}</definedName>
    <definedName name="WERTY" hidden="1">{#N/A,#N/A,FALSE,"단축1";#N/A,#N/A,FALSE,"단축2";#N/A,#N/A,FALSE,"단축3";#N/A,#N/A,FALSE,"장축";#N/A,#N/A,FALSE,"4WD"}</definedName>
    <definedName name="WERTY_1" hidden="1">{#N/A,#N/A,FALSE,"단축1";#N/A,#N/A,FALSE,"단축2";#N/A,#N/A,FALSE,"단축3";#N/A,#N/A,FALSE,"장축";#N/A,#N/A,FALSE,"4WD"}</definedName>
    <definedName name="WERTY_2" hidden="1">{#N/A,#N/A,FALSE,"단축1";#N/A,#N/A,FALSE,"단축2";#N/A,#N/A,FALSE,"단축3";#N/A,#N/A,FALSE,"장축";#N/A,#N/A,FALSE,"4WD"}</definedName>
    <definedName name="weryh" hidden="1">{#N/A,#N/A,TRUE,"Y생산";#N/A,#N/A,TRUE,"Y판매";#N/A,#N/A,TRUE,"Y총물량";#N/A,#N/A,TRUE,"Y능력";#N/A,#N/A,TRUE,"YKD"}</definedName>
    <definedName name="weryh_1" hidden="1">{#N/A,#N/A,TRUE,"Y생산";#N/A,#N/A,TRUE,"Y판매";#N/A,#N/A,TRUE,"Y총물량";#N/A,#N/A,TRUE,"Y능력";#N/A,#N/A,TRUE,"YKD"}</definedName>
    <definedName name="wet" hidden="1">{#N/A,#N/A,FALSE,"96 3월물량표";#N/A,#N/A,FALSE,"96 4월물량표";#N/A,#N/A,FALSE,"96 5월물량표"}</definedName>
    <definedName name="wet_1" hidden="1">{#N/A,#N/A,FALSE,"96 3월물량표";#N/A,#N/A,FALSE,"96 4월물량표";#N/A,#N/A,FALSE,"96 5월물량표"}</definedName>
    <definedName name="WETDSRGSRF" hidden="1">{#N/A,#N/A,FALSE,"단축1";#N/A,#N/A,FALSE,"단축2";#N/A,#N/A,FALSE,"단축3";#N/A,#N/A,FALSE,"장축";#N/A,#N/A,FALSE,"4WD"}</definedName>
    <definedName name="WETTRHTRHJ" hidden="1">{#N/A,#N/A,TRUE,"Y생산";#N/A,#N/A,TRUE,"Y판매";#N/A,#N/A,TRUE,"Y총물량";#N/A,#N/A,TRUE,"Y능력";#N/A,#N/A,TRUE,"YKD"}</definedName>
    <definedName name="WETTRHTRHJ_1" hidden="1">{#N/A,#N/A,TRUE,"Y생산";#N/A,#N/A,TRUE,"Y판매";#N/A,#N/A,TRUE,"Y총물량";#N/A,#N/A,TRUE,"Y능력";#N/A,#N/A,TRUE,"YKD"}</definedName>
    <definedName name="WETY" hidden="1">{#N/A,#N/A,FALSE,"단축1";#N/A,#N/A,FALSE,"단축2";#N/A,#N/A,FALSE,"단축3";#N/A,#N/A,FALSE,"장축";#N/A,#N/A,FALSE,"4WD"}</definedName>
    <definedName name="WETY_1" hidden="1">{#N/A,#N/A,FALSE,"단축1";#N/A,#N/A,FALSE,"단축2";#N/A,#N/A,FALSE,"단축3";#N/A,#N/A,FALSE,"장축";#N/A,#N/A,FALSE,"4WD"}</definedName>
    <definedName name="WETY_2" hidden="1">{#N/A,#N/A,FALSE,"단축1";#N/A,#N/A,FALSE,"단축2";#N/A,#N/A,FALSE,"단축3";#N/A,#N/A,FALSE,"장축";#N/A,#N/A,FALSE,"4WD"}</definedName>
    <definedName name="WEWEW" hidden="1">{#N/A,#N/A,FALSE,"단축1";#N/A,#N/A,FALSE,"단축2";#N/A,#N/A,FALSE,"단축3";#N/A,#N/A,FALSE,"장축";#N/A,#N/A,FALSE,"4WD"}</definedName>
    <definedName name="weygtrhj" hidden="1">{#N/A,#N/A,FALSE,"96 3월물량표";#N/A,#N/A,FALSE,"96 4월물량표";#N/A,#N/A,FALSE,"96 5월물량표"}</definedName>
    <definedName name="weygtrhj_1" hidden="1">{#N/A,#N/A,FALSE,"96 3월물량표";#N/A,#N/A,FALSE,"96 4월물량표";#N/A,#N/A,FALSE,"96 5월물량표"}</definedName>
    <definedName name="WFDBKVD" hidden="1">{#N/A,#N/A,FALSE,"단축1";#N/A,#N/A,FALSE,"단축2";#N/A,#N/A,FALSE,"단축3";#N/A,#N/A,FALSE,"장축";#N/A,#N/A,FALSE,"4WD"}</definedName>
    <definedName name="WFGS" hidden="1">{#N/A,#N/A,FALSE,"단축1";#N/A,#N/A,FALSE,"단축2";#N/A,#N/A,FALSE,"단축3";#N/A,#N/A,FALSE,"장축";#N/A,#N/A,FALSE,"4WD"}</definedName>
    <definedName name="wg" hidden="1">{#N/A,#N/A,FALSE,"KMC최종회의(7월) 자료"}</definedName>
    <definedName name="wg_1" hidden="1">{#N/A,#N/A,FALSE,"KMC최종회의(7월) 자료"}</definedName>
    <definedName name="wg_2" hidden="1">{#N/A,#N/A,FALSE,"KMC최종회의(7월) 자료"}</definedName>
    <definedName name="WGB" hidden="1">{0,0,0,0}</definedName>
    <definedName name="wgea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G" hidden="1">{0,0,0,0}</definedName>
    <definedName name="wh" hidden="1">{#N/A,#N/A,FALSE,"단축1";#N/A,#N/A,FALSE,"단축2";#N/A,#N/A,FALSE,"단축3";#N/A,#N/A,FALSE,"장축";#N/A,#N/A,FALSE,"4WD"}</definedName>
    <definedName name="wh_1" hidden="1">{#N/A,#N/A,FALSE,"단축1";#N/A,#N/A,FALSE,"단축2";#N/A,#N/A,FALSE,"단축3";#N/A,#N/A,FALSE,"장축";#N/A,#N/A,FALSE,"4WD"}</definedName>
    <definedName name="WHDGK" hidden="1">{#N/A,#N/A,FALSE,"KMC최종회의(7월) 자료"}</definedName>
    <definedName name="WHDGK_1" hidden="1">{#N/A,#N/A,FALSE,"KMC최종회의(7월) 자료"}</definedName>
    <definedName name="WHDGK_2" hidden="1">{#N/A,#N/A,FALSE,"KMC최종회의(7월) 자료"}</definedName>
    <definedName name="WHRL" hidden="1">{#N/A,#N/A,FALSE,"단축1";#N/A,#N/A,FALSE,"단축2";#N/A,#N/A,FALSE,"단축3";#N/A,#N/A,FALSE,"장축";#N/A,#N/A,FALSE,"4WD"}</definedName>
    <definedName name="WIIWIW" hidden="1">{#N/A,#N/A,TRUE,"Y생산";#N/A,#N/A,TRUE,"Y판매";#N/A,#N/A,TRUE,"Y총물량";#N/A,#N/A,TRUE,"Y능력";#N/A,#N/A,TRUE,"YKD"}</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NER" hidden="1">{#N/A,#N/A,FALSE,"정공"}</definedName>
    <definedName name="Wire_Chart" hidden="1">{"Wire Charts",#N/A,TRUE,"Wires"}</definedName>
    <definedName name="WIRE_CHART1" hidden="1">{"Wire Charts",#N/A,TRUE,"Wires"}</definedName>
    <definedName name="WIWIWIWIW" hidden="1">{#N/A,#N/A,FALSE,"단축1";#N/A,#N/A,FALSE,"단축2";#N/A,#N/A,FALSE,"단축3";#N/A,#N/A,FALSE,"장축";#N/A,#N/A,FALSE,"4WD"}</definedName>
    <definedName name="WJD" hidden="1">{#N/A,#N/A,FALSE,"KMC최종회의(7월) 자료"}</definedName>
    <definedName name="wjdcjwj" hidden="1">{#N/A,#N/A,FALSE,"단축1";#N/A,#N/A,FALSE,"단축2";#N/A,#N/A,FALSE,"단축3";#N/A,#N/A,FALSE,"장축";#N/A,#N/A,FALSE,"4WD"}</definedName>
    <definedName name="wjdwlswlswlslwlsl" hidden="1">{#N/A,#N/A,TRUE,"Y생산";#N/A,#N/A,TRUE,"Y판매";#N/A,#N/A,TRUE,"Y총물량";#N/A,#N/A,TRUE,"Y능력";#N/A,#N/A,TRUE,"YKD"}</definedName>
    <definedName name="WJGLKGL" hidden="1">{#N/A,#N/A,FALSE,"단축1";#N/A,#N/A,FALSE,"단축2";#N/A,#N/A,FALSE,"단축3";#N/A,#N/A,FALSE,"장축";#N/A,#N/A,FALSE,"4WD"}</definedName>
    <definedName name="WJKK" hidden="1">{#N/A,#N/A,FALSE,"단축1";#N/A,#N/A,FALSE,"단축2";#N/A,#N/A,FALSE,"단축3";#N/A,#N/A,FALSE,"장축";#N/A,#N/A,FALSE,"4WD"}</definedName>
    <definedName name="WJSWKD" hidden="1">{#N/A,#N/A,FALSE,"단축1";#N/A,#N/A,FALSE,"단축2";#N/A,#N/A,FALSE,"단축3";#N/A,#N/A,FALSE,"장축";#N/A,#N/A,FALSE,"4WD"}</definedName>
    <definedName name="WJWJWJW" hidden="1">{#N/A,#N/A,FALSE,"단축1";#N/A,#N/A,FALSE,"단축2";#N/A,#N/A,FALSE,"단축3";#N/A,#N/A,FALSE,"장축";#N/A,#N/A,FALSE,"4WD"}</definedName>
    <definedName name="wjwjwjwjwj" hidden="1">{#N/A,#N/A,FALSE,"단축1";#N/A,#N/A,FALSE,"단축2";#N/A,#N/A,FALSE,"단축3";#N/A,#N/A,FALSE,"장축";#N/A,#N/A,FALSE,"4WD"}</definedName>
    <definedName name="wk" hidden="1">#REF!</definedName>
    <definedName name="wkf" hidden="1">{#N/A,#N/A,FALSE,"단축1";#N/A,#N/A,FALSE,"단축2";#N/A,#N/A,FALSE,"단축3";#N/A,#N/A,FALSE,"장축";#N/A,#N/A,FALSE,"4WD"}</definedName>
    <definedName name="WKFY11" hidden="1">{#N/A,#N/A,FALSE,"단축1";#N/A,#N/A,FALSE,"단축2";#N/A,#N/A,FALSE,"단축3";#N/A,#N/A,FALSE,"장축";#N/A,#N/A,FALSE,"4WD"}</definedName>
    <definedName name="wkswhs" hidden="1">{#N/A,#N/A,FALSE,"단축1";#N/A,#N/A,FALSE,"단축2";#N/A,#N/A,FALSE,"단축3";#N/A,#N/A,FALSE,"장축";#N/A,#N/A,FALSE,"4WD"}</definedName>
    <definedName name="wkworhgk" hidden="1">{#N/A,#N/A,TRUE,"Y생산";#N/A,#N/A,TRUE,"Y판매";#N/A,#N/A,TRUE,"Y총물량";#N/A,#N/A,TRUE,"Y능력";#N/A,#N/A,TRUE,"YKD"}</definedName>
    <definedName name="wkworhgk_1" hidden="1">{#N/A,#N/A,TRUE,"Y생산";#N/A,#N/A,TRUE,"Y판매";#N/A,#N/A,TRUE,"Y총물량";#N/A,#N/A,TRUE,"Y능력";#N/A,#N/A,TRUE,"YKD"}</definedName>
    <definedName name="WKWWOKNGKLN" hidden="1">{#N/A,#N/A,FALSE,"2월입도";#N/A,#N/A,FALSE,"1월입도";#N/A,#N/A,FALSE,"3월입도"}</definedName>
    <definedName name="WLPP" hidden="1">{#N/A,#N/A,FALSE,"인원";#N/A,#N/A,FALSE,"비용2";#N/A,#N/A,FALSE,"비용1";#N/A,#N/A,FALSE,"비용";#N/A,#N/A,FALSE,"보증2";#N/A,#N/A,FALSE,"보증1";#N/A,#N/A,FALSE,"보증";#N/A,#N/A,FALSE,"손익1";#N/A,#N/A,FALSE,"손익";#N/A,#N/A,FALSE,"부서별매출";#N/A,#N/A,FALSE,"매출"}</definedName>
    <definedName name="WLS" hidden="1">{#N/A,#N/A,FALSE,"단축1";#N/A,#N/A,FALSE,"단축2";#N/A,#N/A,FALSE,"단축3";#N/A,#N/A,FALSE,"장축";#N/A,#N/A,FALSE,"4WD"}</definedName>
    <definedName name="wnd" hidden="1">{#N/A,#N/A,TRUE,"Y생산";#N/A,#N/A,TRUE,"Y판매";#N/A,#N/A,TRUE,"Y총물량";#N/A,#N/A,TRUE,"Y능력";#N/A,#N/A,TRUE,"YKD"}</definedName>
    <definedName name="wnd_1" hidden="1">{#N/A,#N/A,TRUE,"Y생산";#N/A,#N/A,TRUE,"Y판매";#N/A,#N/A,TRUE,"Y총물량";#N/A,#N/A,TRUE,"Y능력";#N/A,#N/A,TRUE,"YKD"}</definedName>
    <definedName name="WNDY" hidden="1">{#N/A,#N/A,FALSE,"PART-1234-8-12-9(41)";#N/A,#N/A,FALSE,"PARTS-2(3)";#N/A,#N/A,FALSE,"VAN SYSTEM";#N/A,#N/A,FALSE,"PARTS-10(26)";#N/A,#N/A,FALSE,"PART-5-6-7-11(14)";#N/A,#N/A,FALSE,"PARTS-4(3)";#N/A,#N/A,FALSE,"PCLASS"}</definedName>
    <definedName name="woanrnwhrotjs" hidden="1">{#N/A,#N/A,FALSE,"정공"}</definedName>
    <definedName name="woanrnwhrotjs_1" hidden="1">{#N/A,#N/A,FALSE,"정공"}</definedName>
    <definedName name="work" hidden="1">{#N/A,#N/A,FALSE,"KMC최종회의(7월) 자료"}</definedName>
    <definedName name="work_1" hidden="1">{#N/A,#N/A,FALSE,"KMC최종회의(7월) 자료"}</definedName>
    <definedName name="work_2" hidden="1">{#N/A,#N/A,FALSE,"KMC최종회의(7월) 자료"}</definedName>
    <definedName name="wpwkrdlfwjd" hidden="1">{#N/A,#N/A,FALSE,"단축1";#N/A,#N/A,FALSE,"단축2";#N/A,#N/A,FALSE,"단축3";#N/A,#N/A,FALSE,"장축";#N/A,#N/A,FALSE,"4WD"}</definedName>
    <definedName name="WP제외시" hidden="1">{"'7-2지역별'!$A$1:$R$44"}</definedName>
    <definedName name="WP투자사업개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 hidden="1">{#N/A,#N/A,FALSE,"을지 (4)";#N/A,#N/A,FALSE,"을지 (5)";#N/A,#N/A,FALSE,"을지 (6)"}</definedName>
    <definedName name="wqasd" hidden="1">{#N/A,#N/A,FALSE,"KMC최종회의(7월) 자료"}</definedName>
    <definedName name="wqasd_1" hidden="1">{#N/A,#N/A,FALSE,"KMC최종회의(7월) 자료"}</definedName>
    <definedName name="WQBYHCJYBHUH" hidden="1">{#N/A,#N/A,FALSE,"단축1";#N/A,#N/A,FALSE,"단축2";#N/A,#N/A,FALSE,"단축3";#N/A,#N/A,FALSE,"장축";#N/A,#N/A,FALSE,"4WD"}</definedName>
    <definedName name="wqd" hidden="1">{#N/A,#N/A,FALSE,"미판매분"}</definedName>
    <definedName name="wqd_1" hidden="1">{#N/A,#N/A,FALSE,"미판매분"}</definedName>
    <definedName name="wqdqd" hidden="1">{#N/A,#N/A,FALSE,"미판매분"}</definedName>
    <definedName name="wqdqd_1" hidden="1">{#N/A,#N/A,FALSE,"미판매분"}</definedName>
    <definedName name="wqe" hidden="1">{#N/A,#N/A,FALSE,"견적대비-2"}</definedName>
    <definedName name="wqeweqeqw" hidden="1">{"'7-2지역별'!$A$1:$R$44"}</definedName>
    <definedName name="WQR" hidden="1">{#N/A,#N/A,FALSE,"신규dep";#N/A,#N/A,FALSE,"신규dep-금형상각후";#N/A,#N/A,FALSE,"신규dep-연구비상각후";#N/A,#N/A,FALSE,"신규dep-기계,공구상각후"}</definedName>
    <definedName name="wqsdsasrsacsd" hidden="1">{#N/A,#N/A,FALSE,"단축1";#N/A,#N/A,FALSE,"단축2";#N/A,#N/A,FALSE,"단축3";#N/A,#N/A,FALSE,"장축";#N/A,#N/A,FALSE,"4WD"}</definedName>
    <definedName name="WQTFGSDF" hidden="1">{#N/A,#N/A,FALSE,"단축1";#N/A,#N/A,FALSE,"단축2";#N/A,#N/A,FALSE,"단축3";#N/A,#N/A,FALSE,"장축";#N/A,#N/A,FALSE,"4WD"}</definedName>
    <definedName name="WQWQQW" hidden="1">{#N/A,#N/A,FALSE,"단축1";#N/A,#N/A,FALSE,"단축2";#N/A,#N/A,FALSE,"단축3";#N/A,#N/A,FALSE,"장축";#N/A,#N/A,FALSE,"4WD"}</definedName>
    <definedName name="WQWQQWQEQEE" hidden="1">{#N/A,#N/A,FALSE,"단축1";#N/A,#N/A,FALSE,"단축2";#N/A,#N/A,FALSE,"단축3";#N/A,#N/A,FALSE,"장축";#N/A,#N/A,FALSE,"4WD"}</definedName>
    <definedName name="wqwqw" hidden="1">{#N/A,#N/A,FALSE,"단축1";#N/A,#N/A,FALSE,"단축2";#N/A,#N/A,FALSE,"단축3";#N/A,#N/A,FALSE,"장축";#N/A,#N/A,FALSE,"4WD"}</definedName>
    <definedName name="WR" hidden="1">{#N/A,#N/A,FALSE,"단축1";#N/A,#N/A,FALSE,"단축2";#N/A,#N/A,FALSE,"단축3";#N/A,#N/A,FALSE,"장축";#N/A,#N/A,FALSE,"4WD"}</definedName>
    <definedName name="WR_3" hidden="1">{#N/A,#N/A,FALSE,"KMC최종회의(7월) 자료"}</definedName>
    <definedName name="wraeygfb" hidden="1">{#N/A,#N/A,FALSE,"96 3월물량표";#N/A,#N/A,FALSE,"96 4월물량표";#N/A,#N/A,FALSE,"96 5월물량표"}</definedName>
    <definedName name="wraeygfb_1" hidden="1">{#N/A,#N/A,FALSE,"96 3월물량표";#N/A,#N/A,FALSE,"96 4월물량표";#N/A,#N/A,FALSE,"96 5월물량표"}</definedName>
    <definedName name="WRE" hidden="1">{#N/A,#N/A,FALSE,"KMC최종회의(7월) 자료"}</definedName>
    <definedName name="WRE_1" hidden="1">{#N/A,#N/A,FALSE,"KMC최종회의(7월) 자료"}</definedName>
    <definedName name="WRE_2" hidden="1">{#N/A,#N/A,FALSE,"KMC최종회의(7월) 자료"}</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 hidden="1">{#N/A,#N/A,FALSE,"개발계획표지";#N/A,#N/A,FALSE,"목차";#N/A,#N/A,FALSE,"개요"}</definedName>
    <definedName name="wrn.1._.TODO." hidden="1">{"BL2000",#N/A,FALSE,"BL2000";"PL2000",#N/A,FALSE,"BL2000";"PT2000",#N/A,FALSE,"BL2000";"INCPRE2000",#N/A,FALSE,"BL2000";"COMNUS2000",#N/A,FALSE,"BL2000";"COMJPN2000",#N/A,FALSE,"BL2000";"B10-2000",#N/A,FALSE,"BL2000"}</definedName>
    <definedName name="wrn.100PPM._.개선사례._.바인더._.BOOK." hidden="1">{#N/A,#N/A,FALSE,"100PPM";#N/A,#N/A,FALSE,"3차원대책서";#N/A,#N/A,FALSE,"개선사례"}</definedName>
    <definedName name="wrn.11." hidden="1">{#N/A,#N/A,FALSE,"해외크레임";#N/A,#N/A,FALSE,"ACCENT현황";#N/A,#N/A,FALSE,"AVANTE";#N/A,#N/A,FALSE,"SONATA(3)";#N/A,#N/A,FALSE,"국내크레임"}</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2003년도._.기술연구소._.투자._.현황." hidden="1">{#N/A,#N/A,FALSE,"00년이후투자실적"}</definedName>
    <definedName name="wrn.345." hidden="1">{#N/A,#N/A,FALSE,"96 3월물량표";#N/A,#N/A,FALSE,"96 4월물량표";#N/A,#N/A,FALSE,"96 5월물량표"}</definedName>
    <definedName name="wrn.345._1" hidden="1">{#N/A,#N/A,FALSE,"96 3월물량표";#N/A,#N/A,FALSE,"96 4월물량표";#N/A,#N/A,FALSE,"96 5월물량표"}</definedName>
    <definedName name="wrn.345._2" hidden="1">{#N/A,#N/A,FALSE,"96 3월물량표";#N/A,#N/A,FALSE,"96 4월물량표";#N/A,#N/A,FALSE,"96 5월물량표"}</definedName>
    <definedName name="wrn.345._2_1" hidden="1">{#N/A,#N/A,FALSE,"96 3월물량표";#N/A,#N/A,FALSE,"96 4월물량표";#N/A,#N/A,FALSE,"96 5월물량표"}</definedName>
    <definedName name="wrn.345._2_2" hidden="1">{#N/A,#N/A,FALSE,"96 3월물량표";#N/A,#N/A,FALSE,"96 4월물량표";#N/A,#N/A,FALSE,"96 5월물량표"}</definedName>
    <definedName name="wrn.345._2_3" hidden="1">{#N/A,#N/A,FALSE,"96 3월물량표";#N/A,#N/A,FALSE,"96 4월물량표";#N/A,#N/A,FALSE,"96 5월물량표"}</definedName>
    <definedName name="wrn.345._3" hidden="1">{#N/A,#N/A,FALSE,"96 3월물량표";#N/A,#N/A,FALSE,"96 4월물량표";#N/A,#N/A,FALSE,"96 5월물량표"}</definedName>
    <definedName name="wrn.345._3_1" hidden="1">{#N/A,#N/A,FALSE,"96 3월물량표";#N/A,#N/A,FALSE,"96 4월물량표";#N/A,#N/A,FALSE,"96 5월물량표"}</definedName>
    <definedName name="wrn.345._3_2" hidden="1">{#N/A,#N/A,FALSE,"96 3월물량표";#N/A,#N/A,FALSE,"96 4월물량표";#N/A,#N/A,FALSE,"96 5월물량표"}</definedName>
    <definedName name="wrn.345._3_3" hidden="1">{#N/A,#N/A,FALSE,"96 3월물량표";#N/A,#N/A,FALSE,"96 4월물량표";#N/A,#N/A,FALSE,"96 5월물량표"}</definedName>
    <definedName name="wrn.345._4" hidden="1">{#N/A,#N/A,FALSE,"96 3월물량표";#N/A,#N/A,FALSE,"96 4월물량표";#N/A,#N/A,FALSE,"96 5월물량표"}</definedName>
    <definedName name="wrn.345._5" hidden="1">{#N/A,#N/A,FALSE,"96 3월물량표";#N/A,#N/A,FALSE,"96 4월물량표";#N/A,#N/A,FALSE,"96 5월물량표"}</definedName>
    <definedName name="wrn.96사업계획." hidden="1">{#N/A,#N/A,FALSE,"96자동차사 계획";#N/A,#N/A,FALSE,"96자동차사 계획"}</definedName>
    <definedName name="WRN.AAA." hidden="1">{#N/A,#N/A,FALSE,"단축1";#N/A,#N/A,FALSE,"단축2";#N/A,#N/A,FALSE,"단축3";#N/A,#N/A,FALSE,"장축";#N/A,#N/A,FALSE,"4WD"}</definedName>
    <definedName name="wrn.AAAA." hidden="1">{#N/A,#N/A,FALSE,"1.참가신청";#N/A,#N/A,FALSE,"2.개발성과";#N/A,#N/A,FALSE,"3.활용현황";#N/A,#N/A,FALSE,"4.상호명";#N/A,#N/A,FALSE,"5.포상신청";#N/A,#N/A,FALSE,"산업재산권";#N/A,#N/A,FALSE,"산출내역";#N/A,#N/A,FALSE,"인적사항"}</definedName>
    <definedName name="wrn.Acquisition_matrix." hidden="1">{"Acq_matrix",#N/A,FALSE,"Acquisition Matrix"}</definedName>
    <definedName name="wrn.ACUMULADOS." hidden="1">{"CTO ACUMULADO",#N/A,FALSE,"BASE ANEXOS";"VAR ACUMULADAS",#N/A,FALSE,"BASE ANEXOS"}</definedName>
    <definedName name="wrn.AG._.Kosten." hidden="1">{#N/A,#N/A,FALSE,"AG";#N/A,#N/A,FALSE,"GB-I";#N/A,#N/A,FALSE,"GB--SR_K";#N/A,#N/A,FALSE,"GB-SR_B";#N/A,#N/A,FALSE,"GB-KS";#N/A,#N/A,FALSE,"Kammerer";#N/A,#N/A,FALSE,"Kienzle"}</definedName>
    <definedName name="wrn.AG._.Kosten._1" hidden="1">{#N/A,#N/A,FALSE,"AG";#N/A,#N/A,FALSE,"GB-I";#N/A,#N/A,FALSE,"GB--SR_K";#N/A,#N/A,FALSE,"GB-SR_B";#N/A,#N/A,FALSE,"GB-KS";#N/A,#N/A,FALSE,"Kammerer";#N/A,#N/A,FALSE,"Kienzle"}</definedName>
    <definedName name="wrn.AG._.Kosten._2" hidden="1">{#N/A,#N/A,FALSE,"AG";#N/A,#N/A,FALSE,"GB-I";#N/A,#N/A,FALSE,"GB--SR_K";#N/A,#N/A,FALSE,"GB-SR_B";#N/A,#N/A,FALSE,"GB-KS";#N/A,#N/A,FALSE,"Kammerer";#N/A,#N/A,FALSE,"Kienzle"}</definedName>
    <definedName name="wrn.Aging._.and._.Trend._.Analysis." hidden="1">{#N/A,#N/A,FALSE,"Aging Summary";#N/A,#N/A,FALSE,"Ratio Analysis";#N/A,#N/A,FALSE,"Test 120 Day Accts";#N/A,#N/A,FALSE,"Tickmarks"}</definedName>
    <definedName name="wrn.Analisis._.Acumulado." hidden="1">{"Ana1",#N/A,FALSE,"AnalisisA";"Ana2",#N/A,FALSE,"AnalisisA";"Ana3",#N/A,FALSE,"AnalisisA"}</definedName>
    <definedName name="wrn.Analisis._.Mensual." hidden="1">{"AnaM1",#N/A,FALSE,"AnalisisM";"AnaM2",#N/A,FALSE,"AnalisisM";"AnaM3",#N/A,FALSE,"AnalisisM"}</definedName>
    <definedName name="wrn.AQUIROR._.DCF." hidden="1">{"AQUIRORDCF",#N/A,FALSE,"Merger consequences";"Acquirorassns",#N/A,FALSE,"Merger consequences"}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ºIAI¼a." hidden="1">{#N/A,#N/A,FALSE,"´UA";#N/A,#N/A,FALSE,"´UA";#N/A,#N/A,FALSE,"´UA";#N/A,#N/A,FALSE,"Aa";#N/A,#N/A,FALSE,"4WD"}</definedName>
    <definedName name="wrn.AuºIAI¼a._1" hidden="1">{#N/A,#N/A,FALSE,"´UA";#N/A,#N/A,FALSE,"´UA";#N/A,#N/A,FALSE,"´UA";#N/A,#N/A,FALSE,"Aa";#N/A,#N/A,FALSE,"4WD"}</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10." hidden="1">{"B10-2000",#N/A,FALSE,"BL2000"}</definedName>
    <definedName name="wrn.bbb." hidden="1">{#N/A,#N/A,FALSE,"단축1";#N/A,#N/A,FALSE,"단축2";#N/A,#N/A,FALSE,"단축3";#N/A,#N/A,FALSE,"장축";#N/A,#N/A,FALSE,"4WD"}</definedName>
    <definedName name="wrn.BBBB." hidden="1">{#N/A,#N/A,FALSE,"유첨1-1";#N/A,#N/A,FALSE,"1-2";#N/A,#N/A,FALSE,"1-3";#N/A,#N/A,FALSE,"1-4";#N/A,#N/A,FALSE,"1-5";#N/A,#N/A,FALSE,"1-6";#N/A,#N/A,FALSE,"1-7";#N/A,#N/A,FALSE,"1-8";#N/A,#N/A,FALSE,"1-9"}</definedName>
    <definedName name="wrn.BL." hidden="1">{"BL2000",#N/A,FALSE,"BL2000"}</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CCC." hidden="1">{#N/A,#N/A,FALSE,"유첨2-1";#N/A,#N/A,FALSE,"2-2";#N/A,#N/A,FALSE,"2-3";#N/A,#N/A,FALSE,"2-4";#N/A,#N/A,FALSE,"2-5";#N/A,#N/A,FALSE,"2-6";#N/A,#N/A,FALSE,"2-7";#N/A,#N/A,FALSE,"2-8";#N/A,#N/A,FALSE,"2-9"}</definedName>
    <definedName name="wrn.COMNUS." hidden="1">{"COMNUS2000",#N/A,FALSE,"BL2000"}</definedName>
    <definedName name="wrn.COMPARISON." hidden="1">{"COMPARISON",#N/A,FALSE,"Sheet1"}</definedName>
    <definedName name="wrn.COMPJPN." hidden="1">{"COMJPN2000",#N/A,FALSE,"BL2000"}</definedName>
    <definedName name="wrn.COSA._.FS._.국문."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tos." hidden="1">{"Costo1",#N/A,FALSE,"Costo Estimado";"Costo2",#N/A,FALSE,"Costo Estimado";"Costos3",#N/A,FALSE,"Costo Estimado";"Costo4",#N/A,FALSE,"Costo Estimado"}</definedName>
    <definedName name="wrn.DCF_Terminal_Value_qchm." hidden="1">{"qchm_dcf",#N/A,FALSE,"QCHMDCF2";"qchm_terminal",#N/A,FALSE,"QCHMDCF2"}</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D." hidden="1">{#N/A,#N/A,FALSE,"유첨3-1";#N/A,#N/A,FALSE,"3-2";#N/A,#N/A,FALSE,"3-3";#N/A,#N/A,FALSE,"3-4";#N/A,#N/A,FALSE,"3-5";#N/A,#N/A,FALSE,"3-6";#N/A,#N/A,FALSE,"3-7";#N/A,#N/A,FALSE,"3-8"}</definedName>
    <definedName name="wrn.DD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hidden="1">{#N/A,#N/A,FALSE,"Status";#N/A,#N/A,FALSE,"Deckblatt 1";#N/A,#N/A,FALSE,"Deckblatt2"}</definedName>
    <definedName name="wrn.Deckblatt._1" hidden="1">{#N/A,#N/A,FALSE,"Status";#N/A,#N/A,FALSE,"Deckblatt 1";#N/A,#N/A,FALSE,"Deckblatt2"}</definedName>
    <definedName name="wrn.Deckblatt._2" hidden="1">{#N/A,#N/A,FALSE,"Status";#N/A,#N/A,FALSE,"Deckblatt 1";#N/A,#N/A,FALSE,"Deckblatt2"}</definedName>
    <definedName name="wrn.DFDD." hidden="1">{#N/A,#N/A,FALSE,"도입품목"}</definedName>
    <definedName name="wrn.DOM." hidden="1">{"DOM",#N/A,FALSE,"A8CONTENT"}</definedName>
    <definedName name="wrn.DQ." hidden="1">{#N/A,#N/A,FALSE,"품의서";#N/A,#N/A,FALSE,"추진목적";#N/A,#N/A,FALSE,"활동내용";#N/A,#N/A,FALSE,"캠페인 전개방법";#N/A,#N/A,FALSE,"방송원고,뺏지"}</definedName>
    <definedName name="wrn.EEEE." hidden="1">{#N/A,#N/A,FALSE,"유첨4-1";#N/A,#N/A,FALSE,"4-2";#N/A,#N/A,FALSE,"4-3";#N/A,#N/A,FALSE,"4-4";#N/A,#N/A,FALSE,"4-5";#N/A,#N/A,FALSE,"4-6";#N/A,#N/A,FALSE,"4-7";#N/A,#N/A,FALSE,"4-8";#N/A,#N/A,FALSE,"4-9"}</definedName>
    <definedName name="wrn.EM." hidden="1">{#N/A,#N/A,FALSE,"전제";#N/A,#N/A,FALSE,"표지";#N/A,#N/A,FALSE,"6D16";#N/A,#N/A,FALSE,"6D22";#N/A,#N/A,FALSE,"6D22-T";#N/A,#N/A,FALSE,"Q-DEG";#N/A,#N/A,FALSE,"총손";#N/A,#N/A,FALSE,"대당";#N/A,#N/A,FALSE,"가공비"}</definedName>
    <definedName name="wrn.EM._1" hidden="1">{#N/A,#N/A,FALSE,"전제";#N/A,#N/A,FALSE,"표지";#N/A,#N/A,FALSE,"6D16";#N/A,#N/A,FALSE,"6D22";#N/A,#N/A,FALSE,"6D22-T";#N/A,#N/A,FALSE,"Q-DEG";#N/A,#N/A,FALSE,"총손";#N/A,#N/A,FALSE,"대당";#N/A,#N/A,FALSE,"가공비"}</definedName>
    <definedName name="wrn.EM._2" hidden="1">{#N/A,#N/A,FALSE,"전제";#N/A,#N/A,FALSE,"표지";#N/A,#N/A,FALSE,"6D16";#N/A,#N/A,FALSE,"6D22";#N/A,#N/A,FALSE,"6D22-T";#N/A,#N/A,FALSE,"Q-DEG";#N/A,#N/A,FALSE,"총손";#N/A,#N/A,FALSE,"대당";#N/A,#N/A,FALSE,"가공비"}</definedName>
    <definedName name="wrn.EXPORT." hidden="1">{"EXPORT",#N/A,FALSE,"A8CONTENT"}</definedName>
    <definedName name="wrn.FFFF." hidden="1">{#N/A,#N/A,FALSE,"유첨5-1";#N/A,#N/A,FALSE,"5-2";#N/A,#N/A,FALSE,"5-3";#N/A,#N/A,FALSE,"5-4";#N/A,#N/A,FALSE,"5-5";#N/A,#N/A,FALSE,"5-6";#N/A,#N/A,FALSE,"5-7";#N/A,#N/A,FALSE,"5-8"}</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S_USA." hidden="1">{"HS_USA",#N/A,FALSE,"Base"}</definedName>
    <definedName name="wrn.HWITEM." hidden="1">{#N/A,#N/A,FALSE,"삼진정공";#N/A,#N/A,FALSE,"영신금속";#N/A,#N/A,FALSE,"태양금속";#N/A,#N/A,FALSE,"진합정공";#N/A,#N/A,FALSE,"코리아";#N/A,#N/A,FALSE,"풍강금속";#N/A,#N/A,FALSE,"선일기계"}</definedName>
    <definedName name="wrn.INCPRE." hidden="1">{"INCPRE2000",#N/A,FALSE,"BL2000"}</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AG._1" hidden="1">{#N/A,#N/A,FALSE,"AG";#N/A,#N/A,FALSE,"UB-I";#N/A,#N/A,FALSE,"UB--SR_K";#N/A,#N/A,FALSE,"UB-SR_B";#N/A,#N/A,FALSE,"UB-KS";#N/A,#N/A,FALSE,"Kienzle"}</definedName>
    <definedName name="wrn.KosAG._2"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Kosten._1" hidden="1">{#N/A,#N/A,FALSE,"Australien";#N/A,#N/A,FALSE,"Birmingham";#N/A,#N/A,FALSE,"Brasilien";#N/A,#N/A,FALSE,"Prag";#N/A,#N/A,FALSE,"Spanien";#N/A,#N/A,FALSE,"Malaysia ( Com)";#N/A,#N/A,FALSE,"Malaysia (Instr)"}</definedName>
    <definedName name="wrn.Kosten._2" hidden="1">{#N/A,#N/A,FALSE,"Australien";#N/A,#N/A,FALSE,"Birmingham";#N/A,#N/A,FALSE,"Brasilien";#N/A,#N/A,FALSE,"Prag";#N/A,#N/A,FALSE,"Spanien";#N/A,#N/A,FALSE,"Malaysia ( Com)";#N/A,#N/A,FALSE,"Malaysia (Instr)"}</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PB양식." hidden="1">{#N/A,#N/A,TRUE,"Sheet1"}</definedName>
    <definedName name="wrn.manager." hidden="1">{#N/A,#N/A,FALSE,"PART-1234-8-12-9(41)";#N/A,#N/A,FALSE,"PARTS-2(3)";#N/A,#N/A,FALSE,"VAN SYSTEM";#N/A,#N/A,FALSE,"PARTS-10(26)";#N/A,#N/A,FALSE,"PART-5-6-7-11(14)";#N/A,#N/A,FALSE,"PARTS-4(3)";#N/A,#N/A,FALSE,"PCLASS"}</definedName>
    <definedName name="wrn.MEASURE." hidden="1">{#N/A,#N/A,FALSE,"A장";#N/A,#N/A,FALSE,"B장"}</definedName>
    <definedName name="wrn.MENSUALES." hidden="1">{"CTO MES ACTUAL",#N/A,FALSE,"BASE ANEXOS";"VAR MES ACT",#N/A,FALSE,"BASE ANEXOS"}</definedName>
    <definedName name="wrn.PL." hidden="1">{"PL2000",#N/A,FALSE,"BL2000"}</definedName>
    <definedName name="wrn.PRETENSIONER._.COMPARISON." hidden="1">{#N/A,#N/A,FALSE,"PT비교DATA"}</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T." hidden="1">{"PT2000",#N/A,FALSE,"BL2000"}</definedName>
    <definedName name="wrn.REPORT." hidden="1">{#N/A,#N/A,FALSE,"표지";#N/A,#N/A,FALSE,"목차";#N/A,#N/A,FALSE,"내용1";#N/A,#N/A,FALSE,"내용2";#N/A,#N/A,FALSE,"결론";#N/A,#N/A,FALSE,"첨부";#N/A,#N/A,FALSE,"진공도달시간";#N/A,#N/A,FALSE,"배가스속도"}</definedName>
    <definedName name="wrn.RESUMENES." hidden="1">{"RESUMEN",#N/A,FALSE,"BASE ANEXOS";"ANEXO 1",#N/A,FALSE,"BASE ANEXOS";"ANEXO 2",#N/A,FALSE,"BASE ANEXOS"}</definedName>
    <definedName name="wrn.REVISED." hidden="1">{"REVISED",#N/A,FALSE,"Sheet1"}</definedName>
    <definedName name="wrn.rndrep." hidden="1">{#N/A,#N/A,FALSE,"ROW DATA"}</definedName>
    <definedName name="wrn.RPT." hidden="1">{#N/A,#N/A,FALSE,"인원";#N/A,#N/A,FALSE,"비용2";#N/A,#N/A,FALSE,"비용1";#N/A,#N/A,FALSE,"비용";#N/A,#N/A,FALSE,"보증2";#N/A,#N/A,FALSE,"보증1";#N/A,#N/A,FALSE,"보증";#N/A,#N/A,FALSE,"손익1";#N/A,#N/A,FALSE,"손익";#N/A,#N/A,FALSE,"부서별매출";#N/A,#N/A,FALSE,"매출"}</definedName>
    <definedName name="wrn.SALVAGE." hidden="1">{"카메라",#N/A,FALSE,"일일현황"}</definedName>
    <definedName name="wrn.su." hidden="1">{#N/A,#N/A,FALSE,"표지";#N/A,#N/A,FALSE,"전제";#N/A,#N/A,FALSE,"손익-자 (2)";#N/A,#N/A,FALSE,"손익-자";#N/A,#N/A,FALSE,"손익-마 (2)";#N/A,#N/A,FALSE,"손익-마";#N/A,#N/A,FALSE,"총손최종"}</definedName>
    <definedName name="wrn.su._1" hidden="1">{#N/A,#N/A,FALSE,"표지";#N/A,#N/A,FALSE,"전제";#N/A,#N/A,FALSE,"손익-자 (2)";#N/A,#N/A,FALSE,"손익-자";#N/A,#N/A,FALSE,"손익-마 (2)";#N/A,#N/A,FALSE,"손익-마";#N/A,#N/A,FALSE,"총손최종"}</definedName>
    <definedName name="wrn.su._2" hidden="1">{#N/A,#N/A,FALSE,"표지";#N/A,#N/A,FALSE,"전제";#N/A,#N/A,FALSE,"손익-자 (2)";#N/A,#N/A,FALSE,"손익-자";#N/A,#N/A,FALSE,"손익-마 (2)";#N/A,#N/A,FALSE,"손익-마";#N/A,#N/A,FALSE,"총손최종"}</definedName>
    <definedName name="wrn.TARGET._.DCF." hidden="1">{"targetdcf",#N/A,FALSE,"Merger consequences";"TARGETASSU",#N/A,FALSE,"Merger consequences";"TERMINAL VALUE",#N/A,FALSE,"Merger consequences"}</definedName>
    <definedName name="wrn.tou구매." hidden="1">{#N/A,#N/A,FALSE,"견적대비-2"}</definedName>
    <definedName name="wrn.tou구매._1" hidden="1">{#N/A,#N/A,FALSE,"견적대비-2"}</definedName>
    <definedName name="wrn.Ü." hidden="1">{#N/A,#N/A,FALSE,"ITHALAT";#N/A,#N/A,FALSE,"ÜRETİM"}</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_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_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ll." hidden="1">{#N/A,#N/A,FALSE,"MY 2001 PT BY COMMODITY"}</definedName>
    <definedName name="wrn.Wire._.Chart._.Summary." hidden="1">{"Wire Charts",#N/A,TRUE,"Wires"}</definedName>
    <definedName name="wrn.www." hidden="1">{#N/A,#N/A,FALSE,"산학연 합동연구";#N/A,#N/A,FALSE,"96업무계획";#N/A,#N/A,FALSE,"96기술개발계획";#N/A,#N/A,FALSE,"인력양성";#N/A,#N/A,FALSE,"7. 원가절감계획";#N/A,#N/A,FALSE,"노무";#N/A,#N/A,FALSE,"업무계획";#N/A,#N/A,FALSE,"제목"}</definedName>
    <definedName name="wrn.Y차._.종합." hidden="1">{#N/A,#N/A,TRUE,"Y생산";#N/A,#N/A,TRUE,"Y판매";#N/A,#N/A,TRUE,"Y총물량";#N/A,#N/A,TRUE,"Y능력";#N/A,#N/A,TRUE,"YKD"}</definedName>
    <definedName name="wrn.Y차._.종합._1" hidden="1">{#N/A,#N/A,TRUE,"Y생산";#N/A,#N/A,TRUE,"Y판매";#N/A,#N/A,TRUE,"Y총물량";#N/A,#N/A,TRUE,"Y능력";#N/A,#N/A,TRUE,"YKD"}</definedName>
    <definedName name="wrn.Y차._.종합._2" hidden="1">{#N/A,#N/A,TRUE,"Y생산";#N/A,#N/A,TRUE,"Y판매";#N/A,#N/A,TRUE,"Y총물량";#N/A,#N/A,TRUE,"Y능력";#N/A,#N/A,TRUE,"YKD"}</definedName>
    <definedName name="wrn.Y차._.종합._2_1" hidden="1">{#N/A,#N/A,TRUE,"Y생산";#N/A,#N/A,TRUE,"Y판매";#N/A,#N/A,TRUE,"Y총물량";#N/A,#N/A,TRUE,"Y능력";#N/A,#N/A,TRUE,"YKD"}</definedName>
    <definedName name="wrn.Y차._.종합._2_2" hidden="1">{#N/A,#N/A,TRUE,"Y생산";#N/A,#N/A,TRUE,"Y판매";#N/A,#N/A,TRUE,"Y총물량";#N/A,#N/A,TRUE,"Y능력";#N/A,#N/A,TRUE,"YKD"}</definedName>
    <definedName name="wrn.Y차._.종합._2_3" hidden="1">{#N/A,#N/A,TRUE,"Y생산";#N/A,#N/A,TRUE,"Y판매";#N/A,#N/A,TRUE,"Y총물량";#N/A,#N/A,TRUE,"Y능력";#N/A,#N/A,TRUE,"YKD"}</definedName>
    <definedName name="wrn.Y차._.종합._3" hidden="1">{#N/A,#N/A,TRUE,"Y생산";#N/A,#N/A,TRUE,"Y판매";#N/A,#N/A,TRUE,"Y총물량";#N/A,#N/A,TRUE,"Y능력";#N/A,#N/A,TRUE,"YKD"}</definedName>
    <definedName name="wrn.Y차._.종합._3_1" hidden="1">{#N/A,#N/A,TRUE,"Y생산";#N/A,#N/A,TRUE,"Y판매";#N/A,#N/A,TRUE,"Y총물량";#N/A,#N/A,TRUE,"Y능력";#N/A,#N/A,TRUE,"YKD"}</definedName>
    <definedName name="wrn.Y차._.종합._3_2" hidden="1">{#N/A,#N/A,TRUE,"Y생산";#N/A,#N/A,TRUE,"Y판매";#N/A,#N/A,TRUE,"Y총물량";#N/A,#N/A,TRUE,"Y능력";#N/A,#N/A,TRUE,"YKD"}</definedName>
    <definedName name="wrn.Y차._.종합._3_3" hidden="1">{#N/A,#N/A,TRUE,"Y생산";#N/A,#N/A,TRUE,"Y판매";#N/A,#N/A,TRUE,"Y총물량";#N/A,#N/A,TRUE,"Y능력";#N/A,#N/A,TRUE,"YKD"}</definedName>
    <definedName name="wrn.Y차._.종합._4" hidden="1">{#N/A,#N/A,TRUE,"Y생산";#N/A,#N/A,TRUE,"Y판매";#N/A,#N/A,TRUE,"Y총물량";#N/A,#N/A,TRUE,"Y능력";#N/A,#N/A,TRUE,"YKD"}</definedName>
    <definedName name="wrn.Y차._.종합._5" hidden="1">{#N/A,#N/A,TRUE,"Y생산";#N/A,#N/A,TRUE,"Y판매";#N/A,#N/A,TRUE,"Y총물량";#N/A,#N/A,TRUE,"Y능력";#N/A,#N/A,TRUE,"YKD"}</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개대." hidden="1">{#N/A,#N/A,FALSE,"GRANDEUR";#N/A,#N/A,FALSE,"SONATA"}</definedName>
    <definedName name="wrn.고명석._.하반기._.업무보고." hidden="1">{#N/A,#N/A,FALSE,"검사-1";#N/A,#N/A,FALSE,"품질관리공정도";#N/A,#N/A,FALSE,"DR-1";#N/A,#N/A,FALSE,"DR-부적합";#N/A,#N/A,FALSE,"검사-부적합";#N/A,#N/A,FALSE,"검사기준서"}</definedName>
    <definedName name="wrn.교육보고서." hidden="1">{#N/A,#N/A,FALSE,"Sheet1"}</definedName>
    <definedName name="wrn.기초자료." hidden="1">{#N/A,#N/A,FALSE,"기초1"}</definedName>
    <definedName name="wrn.기초자료ㅡ종합ㅡ5매." hidden="1">{#N/A,#N/A,FALSE,"기초1";#N/A,#N/A,FALSE,"기초2"}</definedName>
    <definedName name="wrn.남재연._.하반기._.업무보고." hidden="1">{#N/A,#N/A,FALSE,"DR-부적합";#N/A,#N/A,FALSE,"DR-제조공정";#N/A,#N/A,FALSE,"검사-부적합";#N/A,#N/A,FALSE,"검사기준서";#N/A,#N/A,FALSE,"품질관리공정도";#N/A,#N/A,FALSE,"검사-1";#N/A,#N/A,FALSE,"DR-1"}</definedName>
    <definedName name="wrn.등록현황." hidden="1">{#N/A,#N/A,FALSE,"등록현황";#N/A,#N/A,FALSE,"등록현황"}</definedName>
    <definedName name="wrn.미판매." hidden="1">{#N/A,#N/A,FALSE,"미판매분"}</definedName>
    <definedName name="wrn.미판매._1" hidden="1">{#N/A,#N/A,FALSE,"미판매분"}</definedName>
    <definedName name="wrn.보호계전기." hidden="1">{#N/A,#N/A,FALSE,"ENG'G(보호계전기)"}</definedName>
    <definedName name="wrn.사업계획." hidden="1">{#N/A,#N/A,FALSE,"사업"}</definedName>
    <definedName name="WRN.삼성항공산업" hidden="1">{#N/A,#N/A,FALSE,"정공"}</definedName>
    <definedName name="wrn.생산계획ㅡㅡ10매." hidden="1">{#N/A,#N/A,FALSE,"종합";#N/A,#N/A,FALSE,"계획1";#N/A,#N/A,FALSE,"계획2";#N/A,#N/A,FALSE,"관리";#N/A,#N/A,FALSE,"시간";#N/A,#N/A,FALSE,"세부";#N/A,#N/A,FALSE,"산출";#N/A,#N/A,FALSE,"근거1";#N/A,#N/A,FALSE,"근거2";#N/A,#N/A,FALSE,"일정"}</definedName>
    <definedName name="wrn.선사." hidden="1">{#N/A,#N/A,FALSE,"품의서";#N/A,#N/A,FALSE,"전제";#N/A,#N/A,FALSE,"총손";#N/A,#N/A,FALSE,"손익"}</definedName>
    <definedName name="wrn.선사._1" hidden="1">{#N/A,#N/A,FALSE,"품의서";#N/A,#N/A,FALSE,"전제";#N/A,#N/A,FALSE,"총손";#N/A,#N/A,FALSE,"손익"}</definedName>
    <definedName name="wrn.선사._2" hidden="1">{#N/A,#N/A,FALSE,"품의서";#N/A,#N/A,FALSE,"전제";#N/A,#N/A,FALSE,"총손";#N/A,#N/A,FALSE,"손익"}</definedName>
    <definedName name="wrn.설변현황." hidden="1">{#N/A,#N/A,FALSE,"KMC최종회의(7월) 자료"}</definedName>
    <definedName name="wrn.설변현황._1" hidden="1">{#N/A,#N/A,FALSE,"KMC최종회의(7월) 자료"}</definedName>
    <definedName name="wrn.설변현황._2" hidden="1">{#N/A,#N/A,FALSE,"KMC최종회의(7월) 자료"}</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신규dep._.full._.set._1" hidden="1">{#N/A,#N/A,FALSE,"신규dep";#N/A,#N/A,FALSE,"신규dep-금형상각후";#N/A,#N/A,FALSE,"신규dep-연구비상각후";#N/A,#N/A,FALSE,"신규dep-기계,공구상각후"}</definedName>
    <definedName name="wrn.신규dep._.full._.set._2" hidden="1">{#N/A,#N/A,FALSE,"신규dep";#N/A,#N/A,FALSE,"신규dep-금형상각후";#N/A,#N/A,FALSE,"신규dep-연구비상각후";#N/A,#N/A,FALSE,"신규dep-기계,공구상각후"}</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온도관리용." hidden="1">{#N/A,#N/A,FALSE,"HOT RU TEM";#N/A,#N/A,FALSE,"HOT RU TEM";#N/A,#N/A,FALSE,"HOT RU TEM"}</definedName>
    <definedName name="wrn.원가." hidden="1">{#N/A,#N/A,FALSE,"FR 계산내역";#N/A,#N/A,FALSE,"RR 계산내역";#N/A,#N/A,FALSE,"기계경비"}</definedName>
    <definedName name="wrn.원가검토서." hidden="1">{#N/A,#N/A,FALSE,"원가검토서"}</definedName>
    <definedName name="wrn.원가절감실적." hidden="1">{#N/A,#N/A,FALSE,"협조전";#N/A,#N/A,FALSE,"원가절감계획 ";#N/A,#N/A,FALSE,"항목별원가절감계획"}</definedName>
    <definedName name="wrn.원가절감실적._1" hidden="1">{#N/A,#N/A,FALSE,"협조전";#N/A,#N/A,FALSE,"원가절감계획 ";#N/A,#N/A,FALSE,"항목별원가절감계획"}</definedName>
    <definedName name="wrn.윤원훈._.하반기._.보고." hidden="1">{#N/A,#N/A,FALSE,"검사-1";#N/A,#N/A,FALSE,"품질관리공정도";#N/A,#N/A,FALSE,"DR-1";#N/A,#N/A,FALSE,"검사-부적합";#N/A,#N/A,FALSE,"DR-부적합";#N/A,#N/A,FALSE,"검사기준서"}</definedName>
    <definedName name="wrn.이사님." hidden="1">{#N/A,#N/A,TRUE,"이사님";#N/A,#N/A,TRUE,"이사님"}</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일실적." hidden="1">{#N/A,#N/A,FALSE,"일별실적"}</definedName>
    <definedName name="wrn.일일생산현황." hidden="1">{#N/A,#N/A,FALSE,"10월"}</definedName>
    <definedName name="wrn.입도조정.XLS." hidden="1">{#N/A,#N/A,FALSE,"2월입도";#N/A,#N/A,FALSE,"1월입도";#N/A,#N/A,FALSE,"3월입도"}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고분석." hidden="1">{#N/A,#N/A,TRUE,"재고분석";#N/A,#N/A,TRUE,"입고현황"}</definedName>
    <definedName name="wrn.전부인쇄." hidden="1">{#N/A,#N/A,FALSE,"단축1";#N/A,#N/A,FALSE,"단축2";#N/A,#N/A,FALSE,"단축3";#N/A,#N/A,FALSE,"장축";#N/A,#N/A,FALSE,"4WD"}</definedName>
    <definedName name="wrn.전부인쇄._1" hidden="1">{#N/A,#N/A,FALSE,"단축1";#N/A,#N/A,FALSE,"단축2";#N/A,#N/A,FALSE,"단축3";#N/A,#N/A,FALSE,"장축";#N/A,#N/A,FALSE,"4WD"}</definedName>
    <definedName name="wrn.전부인쇄._2" hidden="1">{#N/A,#N/A,FALSE,"단축1";#N/A,#N/A,FALSE,"단축2";#N/A,#N/A,FALSE,"단축3";#N/A,#N/A,FALSE,"장축";#N/A,#N/A,FALSE,"4WD"}</definedName>
    <definedName name="wrn.전부인쇄1." hidden="1">{#N/A,#N/A,FALSE,"단축1";#N/A,#N/A,FALSE,"단축2";#N/A,#N/A,FALSE,"단축3";#N/A,#N/A,FALSE,"장축";#N/A,#N/A,FALSE,"4WD"}</definedName>
    <definedName name="wrn.주간._.보고." hidden="1">{#N/A,#N/A,TRUE,"일정"}</definedName>
    <definedName name="wrn.중국.XLS." hidden="1">{#N/A,#N/A,FALSE,"표지";#N/A,#N/A,FALSE,"을지1";#N/A,#N/A,FALSE,"일정1";#N/A,#N/A,FALSE,"일정2";#N/A,#N/A,FALSE,"11T-C";#N/A,#N/A,FALSE,"15T-D";#N/A,#N/A,FALSE,"판매현황";#N/A,#N/A,FALSE,"업무 FLOW"}</definedName>
    <definedName name="wrn.중장기._.사업계획."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wrn.직좌." hidden="1">{#N/A,#N/A,FALSE,"품의서";#N/A,#N/A,FALSE,"전제";#N/A,#N/A,FALSE,"총손";#N/A,#N/A,FALSE,"손익";#N/A,#N/A,FALSE,"대당";#N/A,#N/A,FALSE,"가공비";#N/A,#N/A,FALSE,"재료비";#N/A,#N/A,FALSE,"판비";#N/A,#N/A,FALSE,"가격"}</definedName>
    <definedName name="wrn.직좌._1" hidden="1">{#N/A,#N/A,FALSE,"품의서";#N/A,#N/A,FALSE,"전제";#N/A,#N/A,FALSE,"총손";#N/A,#N/A,FALSE,"손익";#N/A,#N/A,FALSE,"대당";#N/A,#N/A,FALSE,"가공비";#N/A,#N/A,FALSE,"재료비";#N/A,#N/A,FALSE,"판비";#N/A,#N/A,FALSE,"가격"}</definedName>
    <definedName name="wrn.직좌._2"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직중._1" hidden="1">{#N/A,#N/A,FALSE,"표지";#N/A,#N/A,FALSE,"전제";#N/A,#N/A,FALSE,"대당";#N/A,#N/A,FALSE,"가공비";#N/A,#N/A,FALSE,"재료비";#N/A,#N/A,FALSE,"손익"}</definedName>
    <definedName name="wrn.직중._2" hidden="1">{#N/A,#N/A,FALSE,"표지";#N/A,#N/A,FALSE,"전제";#N/A,#N/A,FALSE,"대당";#N/A,#N/A,FALSE,"가공비";#N/A,#N/A,FALSE,"재료비";#N/A,#N/A,FALSE,"손익"}</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허치환씨._.하반기._.자료." hidden="1">{#N/A,#N/A,FALSE,"검사-1";#N/A,#N/A,FALSE,"품질관리공정도";#N/A,#N/A,FALSE,"DR-1";#N/A,#N/A,FALSE,"DR-부적합";#N/A,#N/A,FALSE,"DR-제조공정";#N/A,#N/A,FALSE,"검사-부적합";#N/A,#N/A,FALSE,"검사기준서"}</definedName>
    <definedName name="wrn.현대정공구매현황." hidden="1">{#N/A,#N/A,FALSE,"정공"}</definedName>
    <definedName name="wrn.현대정공구매현황._1" hidden="1">{#N/A,#N/A,FALSE,"정공"}</definedName>
    <definedName name="wrn.현대정공구매현황._2" hidden="1">{#N/A,#N/A,FALSE,"정공"}</definedName>
    <definedName name="wrn.현대정공구매현황._2_1" hidden="1">{#N/A,#N/A,FALSE,"정공"}</definedName>
    <definedName name="wrn.현대정공구매현황._2_2" hidden="1">{#N/A,#N/A,FALSE,"정공"}</definedName>
    <definedName name="wrn.현대정공구매현황._2_3" hidden="1">{#N/A,#N/A,FALSE,"정공"}</definedName>
    <definedName name="wrn.현대정공구매현황._3" hidden="1">{#N/A,#N/A,FALSE,"정공"}</definedName>
    <definedName name="wrn.현대정공구매현황._3_1" hidden="1">{#N/A,#N/A,FALSE,"정공"}</definedName>
    <definedName name="wrn.현대정공구매현황._3_2" hidden="1">{#N/A,#N/A,FALSE,"정공"}</definedName>
    <definedName name="wrn.현대정공구매현황._3_3" hidden="1">{#N/A,#N/A,FALSE,"정공"}</definedName>
    <definedName name="wrn.현대정공구매현황._4" hidden="1">{#N/A,#N/A,FALSE,"정공"}</definedName>
    <definedName name="wrn.현대정공구매현황._5" hidden="1">{#N/A,#N/A,FALSE,"정공"}</definedName>
    <definedName name="wrn.회의0104.XLS." hidden="1">{#N/A,#N/A,TRUE,"매출진척-1";#N/A,#N/A,TRUE,"매출진척-2";#N/A,#N/A,TRUE,"제품실적";#N/A,#N/A,TRUE,"RAC";#N/A,#N/A,TRUE,"PAC ";#N/A,#N/A,TRUE,"재고현황";#N/A,#N/A,TRUE,"공지사항"}</definedName>
    <definedName name="wrn.ㅛY차보고" hidden="1">{#N/A,#N/A,TRUE,"Y생산";#N/A,#N/A,TRUE,"Y판매";#N/A,#N/A,TRUE,"Y총물량";#N/A,#N/A,TRUE,"Y능력";#N/A,#N/A,TRUE,"YKD"}</definedName>
    <definedName name="wrn.ㅛY차보고_1" hidden="1">{#N/A,#N/A,TRUE,"Y생산";#N/A,#N/A,TRUE,"Y판매";#N/A,#N/A,TRUE,"Y총물량";#N/A,#N/A,TRUE,"Y능력";#N/A,#N/A,TRUE,"YKD"}</definedName>
    <definedName name="WRT" hidden="1">{0,0,0,0}</definedName>
    <definedName name="WRTETDTRY" hidden="1">{#N/A,#N/A,FALSE,"단축1";#N/A,#N/A,FALSE,"단축2";#N/A,#N/A,FALSE,"단축3";#N/A,#N/A,FALSE,"장축";#N/A,#N/A,FALSE,"4WD"}</definedName>
    <definedName name="ws" hidden="1">{"'7-2지역별'!$A$1:$R$44"}</definedName>
    <definedName name="WS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SHWS" hidden="1">{#N/A,#N/A,FALSE,"단축1";#N/A,#N/A,FALSE,"단축2";#N/A,#N/A,FALSE,"단축3";#N/A,#N/A,FALSE,"장축";#N/A,#N/A,FALSE,"4WD"}</definedName>
    <definedName name="wsjw" hidden="1">{#N/A,#N/A,FALSE,"단축1";#N/A,#N/A,FALSE,"단축2";#N/A,#N/A,FALSE,"단축3";#N/A,#N/A,FALSE,"장축";#N/A,#N/A,FALSE,"4WD"}</definedName>
    <definedName name="wslee2" hidden="1">{#N/A,#N/A,FALSE,"미판매분"}</definedName>
    <definedName name="wslee2_1" hidden="1">{#N/A,#N/A,FALSE,"미판매분"}</definedName>
    <definedName name="WSQETFDTRGF" hidden="1">{#N/A,#N/A,FALSE,"단축1";#N/A,#N/A,FALSE,"단축2";#N/A,#N/A,FALSE,"단축3";#N/A,#N/A,FALSE,"장축";#N/A,#N/A,FALSE,"4WD"}</definedName>
    <definedName name="WSQSQ" hidden="1">{#N/A,#N/A,FALSE,"신규dep";#N/A,#N/A,FALSE,"신규dep-금형상각후";#N/A,#N/A,FALSE,"신규dep-연구비상각후";#N/A,#N/A,FALSE,"신규dep-기계,공구상각후"}</definedName>
    <definedName name="wsxwx" hidden="1">{#N/A,#N/A,FALSE,"단축1";#N/A,#N/A,FALSE,"단축2";#N/A,#N/A,FALSE,"단축3";#N/A,#N/A,FALSE,"장축";#N/A,#N/A,FALSE,"4WD"}</definedName>
    <definedName name="wtdrtfd" hidden="1">{#N/A,#N/A,FALSE,"단축1";#N/A,#N/A,FALSE,"단축2";#N/A,#N/A,FALSE,"단축3";#N/A,#N/A,FALSE,"장축";#N/A,#N/A,FALSE,"4WD"}</definedName>
    <definedName name="WTTTTERW" hidden="1">{#N/A,#N/A,FALSE,"단축1";#N/A,#N/A,FALSE,"단축2";#N/A,#N/A,FALSE,"단축3";#N/A,#N/A,FALSE,"장축";#N/A,#N/A,FALSE,"4WD"}</definedName>
    <definedName name="wujw" hidden="1">{#N/A,#N/A,FALSE,"단축1";#N/A,#N/A,FALSE,"단축2";#N/A,#N/A,FALSE,"단축3";#N/A,#N/A,FALSE,"장축";#N/A,#N/A,FALSE,"4WD"}</definedName>
    <definedName name="wvcv" hidden="1">#REF!</definedName>
    <definedName name="WVTYXG" hidden="1">{#N/A,#N/A,FALSE,"단축1";#N/A,#N/A,FALSE,"단축2";#N/A,#N/A,FALSE,"단축3";#N/A,#N/A,FALSE,"장축";#N/A,#N/A,FALSE,"4WD"}</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 hidden="1">{#N/A,#N/A,FALSE,"미판매분"}</definedName>
    <definedName name="WWE" hidden="1">{#N/A,#N/A,FALSE,"단축1";#N/A,#N/A,FALSE,"단축2";#N/A,#N/A,FALSE,"단축3";#N/A,#N/A,FALSE,"장축";#N/A,#N/A,FALSE,"4WD"}</definedName>
    <definedName name="WWEDDF" hidden="1">{#N/A,#N/A,FALSE,"단축1";#N/A,#N/A,FALSE,"단축2";#N/A,#N/A,FALSE,"단축3";#N/A,#N/A,FALSE,"장축";#N/A,#N/A,FALSE,"4WD"}</definedName>
    <definedName name="WWEWERE" hidden="1">{#N/A,#N/A,FALSE,"신규dep";#N/A,#N/A,FALSE,"신규dep-금형상각후";#N/A,#N/A,FALSE,"신규dep-연구비상각후";#N/A,#N/A,FALSE,"신규dep-기계,공구상각후"}</definedName>
    <definedName name="WWEWERE_1" hidden="1">{#N/A,#N/A,FALSE,"신규dep";#N/A,#N/A,FALSE,"신규dep-금형상각후";#N/A,#N/A,FALSE,"신규dep-연구비상각후";#N/A,#N/A,FALSE,"신규dep-기계,공구상각후"}</definedName>
    <definedName name="WWEWERE_2" hidden="1">{#N/A,#N/A,FALSE,"신규dep";#N/A,#N/A,FALSE,"신규dep-금형상각후";#N/A,#N/A,FALSE,"신규dep-연구비상각후";#N/A,#N/A,FALSE,"신규dep-기계,공구상각후"}</definedName>
    <definedName name="wwgg" hidden="1">{#N/A,#N/A,FALSE,"단축1";#N/A,#N/A,FALSE,"단축2";#N/A,#N/A,FALSE,"단축3";#N/A,#N/A,FALSE,"장축";#N/A,#N/A,FALSE,"4WD"}</definedName>
    <definedName name="WWK" hidden="1">{#N/A,#N/A,FALSE,"단축1";#N/A,#N/A,FALSE,"단축2";#N/A,#N/A,FALSE,"단축3";#N/A,#N/A,FALSE,"장축";#N/A,#N/A,FALSE,"4WD"}</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 hidden="1">{#N/A,#N/A,FALSE,"미판매분"}</definedName>
    <definedName name="WWWWWW" hidden="1">{#N/A,#N/A,FALSE,"표지";#N/A,#N/A,FALSE,"전제";#N/A,#N/A,FALSE,"대당";#N/A,#N/A,FALSE,"가공비";#N/A,#N/A,FALSE,"재료비";#N/A,#N/A,FALSE,"손익"}</definedName>
    <definedName name="WWWWWWW" hidden="1">{#N/A,#N/A,TRUE,"Y생산";#N/A,#N/A,TRUE,"Y판매";#N/A,#N/A,TRUE,"Y총물량";#N/A,#N/A,TRUE,"Y능력";#N/A,#N/A,TRUE,"YKD"}</definedName>
    <definedName name="WWWWWWW_1" hidden="1">{#N/A,#N/A,TRUE,"Y생산";#N/A,#N/A,TRUE,"Y판매";#N/A,#N/A,TRUE,"Y총물량";#N/A,#N/A,TRUE,"Y능력";#N/A,#N/A,TRUE,"YKD"}</definedName>
    <definedName name="wwwwwwwww" hidden="1">{"CTO MES ACTUAL",#N/A,FALSE,"BASE ANEXOS";"VAR MES ACT",#N/A,FALSE,"BASE ANEXOS"}</definedName>
    <definedName name="wwwwwwwwww" hidden="1">{"PL2000",#N/A,FALSE,"BL2000"}</definedName>
    <definedName name="WWWWWWWWWWW" hidden="1">{#VALUE!,#N/A,FALSE,0}</definedName>
    <definedName name="wxy" hidden="1">{#N/A,#N/A,FALSE,"단축1";#N/A,#N/A,FALSE,"단축2";#N/A,#N/A,FALSE,"단축3";#N/A,#N/A,FALSE,"장축";#N/A,#N/A,FALSE,"4WD"}</definedName>
    <definedName name="wyqwysy" hidden="1">{#N/A,#N/A,FALSE,"단축1";#N/A,#N/A,FALSE,"단축2";#N/A,#N/A,FALSE,"단축3";#N/A,#N/A,FALSE,"장축";#N/A,#N/A,FALSE,"4WD"}</definedName>
    <definedName name="WYT" hidden="1">{0,0,0,0}</definedName>
    <definedName name="WYU" hidden="1">{#N/A,#N/A,FALSE,"단축1";#N/A,#N/A,FALSE,"단축2";#N/A,#N/A,FALSE,"단축3";#N/A,#N/A,FALSE,"장축";#N/A,#N/A,FALSE,"4WD"}</definedName>
    <definedName name="WYU_1" hidden="1">{#N/A,#N/A,FALSE,"단축1";#N/A,#N/A,FALSE,"단축2";#N/A,#N/A,FALSE,"단축3";#N/A,#N/A,FALSE,"장축";#N/A,#N/A,FALSE,"4WD"}</definedName>
    <definedName name="WYU_2" hidden="1">{#N/A,#N/A,FALSE,"단축1";#N/A,#N/A,FALSE,"단축2";#N/A,#N/A,FALSE,"단축3";#N/A,#N/A,FALSE,"장축";#N/A,#N/A,FALSE,"4WD"}</definedName>
    <definedName name="wyws" hidden="1">{#N/A,#N/A,FALSE,"단축1";#N/A,#N/A,FALSE,"단축2";#N/A,#N/A,FALSE,"단축3";#N/A,#N/A,FALSE,"장축";#N/A,#N/A,FALSE,"4WD"}</definedName>
    <definedName name="w손익요약내용수정" hidden="1">{#N/A,#N/A,FALSE,"정공"}</definedName>
    <definedName name="w손익요약내용수정_1" hidden="1">{#N/A,#N/A,FALSE,"정공"}</definedName>
    <definedName name="w손익요약내용수정_2" hidden="1">{#N/A,#N/A,FALSE,"정공"}</definedName>
    <definedName name="X" hidden="1">{#N/A,#N/A,FALSE,"KMC최종회의(7월) 자료"}</definedName>
    <definedName name="X.DUC." hidden="1">{#N/A,#N/A,FALSE,"단축1";#N/A,#N/A,FALSE,"단축2";#N/A,#N/A,FALSE,"단축3";#N/A,#N/A,FALSE,"장축";#N/A,#N/A,FALSE,"4WD"}</definedName>
    <definedName name="X_1" hidden="1">{#N/A,#N/A,FALSE,"단축1";#N/A,#N/A,FALSE,"단축2";#N/A,#N/A,FALSE,"단축3";#N/A,#N/A,FALSE,"장축";#N/A,#N/A,FALSE,"4WD"}</definedName>
    <definedName name="X_2" hidden="1">{#N/A,#N/A,FALSE,"단축1";#N/A,#N/A,FALSE,"단축2";#N/A,#N/A,FALSE,"단축3";#N/A,#N/A,FALSE,"장축";#N/A,#N/A,FALSE,"4WD"}</definedName>
    <definedName name="XA" hidden="1">{#N/A,#N/A,FALSE,"단축1";#N/A,#N/A,FALSE,"단축2";#N/A,#N/A,FALSE,"단축3";#N/A,#N/A,FALSE,"장축";#N/A,#N/A,FALSE,"4WD"}</definedName>
    <definedName name="xasd" hidden="1">{#N/A,#N/A,FALSE,"KMC최종회의(7월) 자료"}</definedName>
    <definedName name="xasd_1" hidden="1">{#N/A,#N/A,FALSE,"KMC최종회의(7월) 자료"}</definedName>
    <definedName name="XBCBXC"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hidden="1">{#N/A,#N/A,FALSE,"을지 (4)";#N/A,#N/A,FALSE,"을지 (5)";#N/A,#N/A,FALSE,"을지 (6)"}</definedName>
    <definedName name="XBCXCB" hidden="1">{#N/A,#N/A,FALSE,"을지 (4)";#N/A,#N/A,FALSE,"을지 (5)";#N/A,#N/A,FALSE,"을지 (6)"}</definedName>
    <definedName name="XBGHHNDS" hidden="1">{#N/A,#N/A,FALSE,"단축1";#N/A,#N/A,FALSE,"단축2";#N/A,#N/A,FALSE,"단축3";#N/A,#N/A,FALSE,"장축";#N/A,#N/A,FALSE,"4WD"}</definedName>
    <definedName name="XBSDHF" hidden="1">{#N/A,#N/A,FALSE,"단축1";#N/A,#N/A,FALSE,"단축2";#N/A,#N/A,FALSE,"단축3";#N/A,#N/A,FALSE,"장축";#N/A,#N/A,FALSE,"4WD"}</definedName>
    <definedName name="XCDS" hidden="1">{"'7-2지역별'!$A$1:$R$44"}</definedName>
    <definedName name="XCSDD" hidden="1">{"'7-2지역별'!$A$1:$R$44"}</definedName>
    <definedName name="XCSDFEDW" hidden="1">{#N/A,#N/A,FALSE,"단축1";#N/A,#N/A,FALSE,"단축2";#N/A,#N/A,FALSE,"단축3";#N/A,#N/A,FALSE,"장축";#N/A,#N/A,FALSE,"4WD"}</definedName>
    <definedName name="xcvgfdhh" hidden="1">{"'7-2지역별'!$A$1:$R$44"}</definedName>
    <definedName name="XDK" hidden="1">{#N/A,#N/A,FALSE,"단축1";#N/A,#N/A,FALSE,"단축2";#N/A,#N/A,FALSE,"단축3";#N/A,#N/A,FALSE,"장축";#N/A,#N/A,FALSE,"4WD"}</definedName>
    <definedName name="XDS" hidden="1">{#N/A,#N/A,FALSE,"을지 (4)";#N/A,#N/A,FALSE,"을지 (5)";#N/A,#N/A,FALSE,"을지 (6)"}</definedName>
    <definedName name="XDTJF" hidden="1">{#N/A,#N/A,FALSE,"단축1";#N/A,#N/A,FALSE,"단축2";#N/A,#N/A,FALSE,"단축3";#N/A,#N/A,FALSE,"장축";#N/A,#N/A,FALSE,"4WD"}</definedName>
    <definedName name="XD개선" hidden="1">{#N/A,#N/A,FALSE,"단축1";#N/A,#N/A,FALSE,"단축2";#N/A,#N/A,FALSE,"단축3";#N/A,#N/A,FALSE,"장축";#N/A,#N/A,FALSE,"4WD"}</definedName>
    <definedName name="XD개선_1" hidden="1">{#N/A,#N/A,FALSE,"단축1";#N/A,#N/A,FALSE,"단축2";#N/A,#N/A,FALSE,"단축3";#N/A,#N/A,FALSE,"장축";#N/A,#N/A,FALSE,"4WD"}</definedName>
    <definedName name="XD개선_2" hidden="1">{#N/A,#N/A,FALSE,"단축1";#N/A,#N/A,FALSE,"단축2";#N/A,#N/A,FALSE,"단축3";#N/A,#N/A,FALSE,"장축";#N/A,#N/A,FALSE,"4WD"}</definedName>
    <definedName name="XD개선2" hidden="1">{#N/A,#N/A,FALSE,"단축1";#N/A,#N/A,FALSE,"단축2";#N/A,#N/A,FALSE,"단축3";#N/A,#N/A,FALSE,"장축";#N/A,#N/A,FALSE,"4WD"}</definedName>
    <definedName name="XD견적검토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설문" hidden="1">{#N/A,#N/A,FALSE,"단축1";#N/A,#N/A,FALSE,"단축2";#N/A,#N/A,FALSE,"단축3";#N/A,#N/A,FALSE,"장축";#N/A,#N/A,FALSE,"4WD"}</definedName>
    <definedName name="XD설문_1" hidden="1">{#N/A,#N/A,FALSE,"단축1";#N/A,#N/A,FALSE,"단축2";#N/A,#N/A,FALSE,"단축3";#N/A,#N/A,FALSE,"장축";#N/A,#N/A,FALSE,"4WD"}</definedName>
    <definedName name="XD설문_2" hidden="1">{#N/A,#N/A,FALSE,"단축1";#N/A,#N/A,FALSE,"단축2";#N/A,#N/A,FALSE,"단축3";#N/A,#N/A,FALSE,"장축";#N/A,#N/A,FALSE,"4WD"}</definedName>
    <definedName name="XD제안서" hidden="1">{#N/A,#N/A,FALSE,"단축1";#N/A,#N/A,FALSE,"단축2";#N/A,#N/A,FALSE,"단축3";#N/A,#N/A,FALSE,"장축";#N/A,#N/A,FALSE,"4WD"}</definedName>
    <definedName name="xd품확일정" hidden="1">{#N/A,#N/A,FALSE,"단축1";#N/A,#N/A,FALSE,"단축2";#N/A,#N/A,FALSE,"단축3";#N/A,#N/A,FALSE,"장축";#N/A,#N/A,FALSE,"4WD"}</definedName>
    <definedName name="xd품확일정_1" hidden="1">{#N/A,#N/A,FALSE,"단축1";#N/A,#N/A,FALSE,"단축2";#N/A,#N/A,FALSE,"단축3";#N/A,#N/A,FALSE,"장축";#N/A,#N/A,FALSE,"4WD"}</definedName>
    <definedName name="xd품확일정_2" hidden="1">{#N/A,#N/A,FALSE,"단축1";#N/A,#N/A,FALSE,"단축2";#N/A,#N/A,FALSE,"단축3";#N/A,#N/A,FALSE,"장축";#N/A,#N/A,FALSE,"4WD"}</definedName>
    <definedName name="XF" hidden="1">{#N/A,#N/A,FALSE,"단축1";#N/A,#N/A,FALSE,"단축2";#N/A,#N/A,FALSE,"단축3";#N/A,#N/A,FALSE,"장축";#N/A,#N/A,FALSE,"4WD"}</definedName>
    <definedName name="XFED" hidden="1">{#N/A,#N/A,FALSE,"단축1";#N/A,#N/A,FALSE,"단축2";#N/A,#N/A,FALSE,"단축3";#N/A,#N/A,FALSE,"장축";#N/A,#N/A,FALSE,"4WD"}</definedName>
    <definedName name="xg" hidden="1">{#N/A,#N/A,FALSE,"단축1";#N/A,#N/A,FALSE,"단축2";#N/A,#N/A,FALSE,"단축3";#N/A,#N/A,FALSE,"장축";#N/A,#N/A,FALSE,"4WD"}</definedName>
    <definedName name="xgfdgxv" hidden="1">{#N/A,#N/A,FALSE,"단축1";#N/A,#N/A,FALSE,"단축2";#N/A,#N/A,FALSE,"단축3";#N/A,#N/A,FALSE,"장축";#N/A,#N/A,FALSE,"4WD"}</definedName>
    <definedName name="xgfgdwaa" hidden="1">{#N/A,#N/A,FALSE,"단축1";#N/A,#N/A,FALSE,"단축2";#N/A,#N/A,FALSE,"단축3";#N/A,#N/A,FALSE,"장축";#N/A,#N/A,FALSE,"4WD"}</definedName>
    <definedName name="XGFGXZA" hidden="1">{#N/A,#N/A,FALSE,"단축1";#N/A,#N/A,FALSE,"단축2";#N/A,#N/A,FALSE,"단축3";#N/A,#N/A,FALSE,"장축";#N/A,#N/A,FALSE,"4WD"}</definedName>
    <definedName name="XGGGGG" hidden="1">{#N/A,#N/A,FALSE,"단축1";#N/A,#N/A,FALSE,"단축2";#N/A,#N/A,FALSE,"단축3";#N/A,#N/A,FALSE,"장축";#N/A,#N/A,FALSE,"4WD"}</definedName>
    <definedName name="XG개" hidden="1">{#N/A,#N/A,FALSE,"단축1";#N/A,#N/A,FALSE,"단축2";#N/A,#N/A,FALSE,"단축3";#N/A,#N/A,FALSE,"장축";#N/A,#N/A,FALSE,"4WD"}</definedName>
    <definedName name="XG개_1" hidden="1">{#N/A,#N/A,FALSE,"단축1";#N/A,#N/A,FALSE,"단축2";#N/A,#N/A,FALSE,"단축3";#N/A,#N/A,FALSE,"장축";#N/A,#N/A,FALSE,"4WD"}</definedName>
    <definedName name="XG개_2" hidden="1">{#N/A,#N/A,FALSE,"단축1";#N/A,#N/A,FALSE,"단축2";#N/A,#N/A,FALSE,"단축3";#N/A,#N/A,FALSE,"장축";#N/A,#N/A,FALSE,"4WD"}</definedName>
    <definedName name="XG개선" hidden="1">{#N/A,#N/A,FALSE,"단축1";#N/A,#N/A,FALSE,"단축2";#N/A,#N/A,FALSE,"단축3";#N/A,#N/A,FALSE,"장축";#N/A,#N/A,FALSE,"4WD"}</definedName>
    <definedName name="XG개선_1" hidden="1">{#N/A,#N/A,FALSE,"단축1";#N/A,#N/A,FALSE,"단축2";#N/A,#N/A,FALSE,"단축3";#N/A,#N/A,FALSE,"장축";#N/A,#N/A,FALSE,"4WD"}</definedName>
    <definedName name="XG개선_2" hidden="1">{#N/A,#N/A,FALSE,"단축1";#N/A,#N/A,FALSE,"단축2";#N/A,#N/A,FALSE,"단축3";#N/A,#N/A,FALSE,"장축";#N/A,#N/A,FALSE,"4WD"}</definedName>
    <definedName name="XHG" hidden="1">{#N/A,#N/A,FALSE,"을지 (4)";#N/A,#N/A,FALSE,"을지 (5)";#N/A,#N/A,FALSE,"을지 (6)"}</definedName>
    <definedName name="XLS" hidden="1">{#N/A,#N/A,FALSE,"을지 (4)";#N/A,#N/A,FALSE,"을지 (5)";#N/A,#N/A,FALSE,"을지 (6)"}</definedName>
    <definedName name="xnwkql" hidden="1">{#N/A,#N/A,FALSE,"단축1";#N/A,#N/A,FALSE,"단축2";#N/A,#N/A,FALSE,"단축3";#N/A,#N/A,FALSE,"장축";#N/A,#N/A,FALSE,"4WD"}</definedName>
    <definedName name="XNX" hidden="1">{#N/A,#N/A,FALSE,"을지 (4)";#N/A,#N/A,FALSE,"을지 (5)";#N/A,#N/A,FALSE,"을지 (6)"}</definedName>
    <definedName name="XNXNX" hidden="1">{#N/A,#N/A,TRUE,"Y생산";#N/A,#N/A,TRUE,"Y판매";#N/A,#N/A,TRUE,"Y총물량";#N/A,#N/A,TRUE,"Y능력";#N/A,#N/A,TRUE,"YKD"}</definedName>
    <definedName name="XREF_COLUMN_1" hidden="1">#REF!</definedName>
    <definedName name="XREF_COLUMN_2" hidden="1">#REF!</definedName>
    <definedName name="XREF_COLUMN_3" hidden="1">#REF!</definedName>
    <definedName name="XREF_COLUMN_4" hidden="1">#REF!</definedName>
    <definedName name="XREF_COLUMN_5"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Row" hidden="1">#REF!</definedName>
    <definedName name="XRefCopy12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definedName>
    <definedName name="XS" hidden="1">{#N/A,#N/A,FALSE,"을지 (4)";#N/A,#N/A,FALSE,"을지 (5)";#N/A,#N/A,FALSE,"을지 (6)"}</definedName>
    <definedName name="XSDDFASFAAF" hidden="1">{#N/A,#N/A,TRUE,"Y생산";#N/A,#N/A,TRUE,"Y판매";#N/A,#N/A,TRUE,"Y총물량";#N/A,#N/A,TRUE,"Y능력";#N/A,#N/A,TRUE,"YKD"}</definedName>
    <definedName name="XV" hidden="1">{#N/A,#N/A,FALSE,"단축1";#N/A,#N/A,FALSE,"단축2";#N/A,#N/A,FALSE,"단축3";#N/A,#N/A,FALSE,"장축";#N/A,#N/A,FALSE,"4WD"}</definedName>
    <definedName name="xvsfgs" hidden="1">{#N/A,#N/A,FALSE,"단축1";#N/A,#N/A,FALSE,"단축2";#N/A,#N/A,FALSE,"단축3";#N/A,#N/A,FALSE,"장축";#N/A,#N/A,FALSE,"4WD"}</definedName>
    <definedName name="XVX" hidden="1">{#N/A,#N/A,FALSE,"초도품";#N/A,#N/A,FALSE,"초도품 (2)";#N/A,#N/A,FALSE,"초도품 (3)";#N/A,#N/A,FALSE,"초도품 (4)";#N/A,#N/A,FALSE,"초도품 (5)";#N/A,#N/A,FALSE,"초도품 (6)"}</definedName>
    <definedName name="XWDSTGFTF" hidden="1">{#N/A,#N/A,FALSE,"단축1";#N/A,#N/A,FALSE,"단축2";#N/A,#N/A,FALSE,"단축3";#N/A,#N/A,FALSE,"장축";#N/A,#N/A,FALSE,"4WD"}</definedName>
    <definedName name="XX"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XNBX" hidden="1">{#N/A,#N/A,FALSE,"초도품";#N/A,#N/A,FALSE,"초도품 (2)";#N/A,#N/A,FALSE,"초도품 (3)";#N/A,#N/A,FALSE,"초도품 (4)";#N/A,#N/A,FALSE,"초도품 (5)";#N/A,#N/A,FALSE,"초도품 (6)"}</definedName>
    <definedName name="XXV" hidden="1">{#N/A,#N/A,FALSE,"단축1";#N/A,#N/A,FALSE,"단축2";#N/A,#N/A,FALSE,"단축3";#N/A,#N/A,FALSE,"장축";#N/A,#N/A,FALSE,"4WD"}</definedName>
    <definedName name="XXX" hidden="1">{#N/A,#N/A,FALSE,"단축1";#N/A,#N/A,FALSE,"단축2";#N/A,#N/A,FALSE,"단축3";#N/A,#N/A,FALSE,"장축";#N/A,#N/A,FALSE,"4WD"}</definedName>
    <definedName name="XXX_1" hidden="1">{#N/A,#N/A,TRUE,"Y생산";#N/A,#N/A,TRUE,"Y판매";#N/A,#N/A,TRUE,"Y총물량";#N/A,#N/A,TRUE,"Y능력";#N/A,#N/A,TRUE,"YKD"}</definedName>
    <definedName name="xxxx" hidden="1">{#N/A,#N/A,FALSE,"인원";#N/A,#N/A,FALSE,"비용2";#N/A,#N/A,FALSE,"비용1";#N/A,#N/A,FALSE,"비용";#N/A,#N/A,FALSE,"보증2";#N/A,#N/A,FALSE,"보증1";#N/A,#N/A,FALSE,"보증";#N/A,#N/A,FALSE,"손익1";#N/A,#N/A,FALSE,"손익";#N/A,#N/A,FALSE,"부서별매출";#N/A,#N/A,FALSE,"매출"}</definedName>
    <definedName name="XXXXX" hidden="1">{#N/A,#N/A,FALSE,"단축1";#N/A,#N/A,FALSE,"단축2";#N/A,#N/A,FALSE,"단축3";#N/A,#N/A,FALSE,"장축";#N/A,#N/A,FALSE,"4WD"}</definedName>
    <definedName name="xxxxx_1" hidden="1">{#N/A,#N/A,FALSE,"KMC최종회의(7월) 자료"}</definedName>
    <definedName name="xxxxxx" hidden="1">{"'7-2지역별'!$A$1:$R$44"}</definedName>
    <definedName name="xzcg" hidden="1">#REF!</definedName>
    <definedName name="xzzx" hidden="1">{"'7-2지역별'!$A$1:$R$44"}</definedName>
    <definedName name="YDF" hidden="1">{#N/A,#N/A,FALSE,"단축1";#N/A,#N/A,FALSE,"단축2";#N/A,#N/A,FALSE,"단축3";#N/A,#N/A,FALSE,"장축";#N/A,#N/A,FALSE,"4WD"}</definedName>
    <definedName name="YFA" hidden="1">{#N/A,#N/A,FALSE,"단축1";#N/A,#N/A,FALSE,"단축2";#N/A,#N/A,FALSE,"단축3";#N/A,#N/A,FALSE,"장축";#N/A,#N/A,FALSE,"4WD"}</definedName>
    <definedName name="YFA_1" hidden="1">{#N/A,#N/A,FALSE,"단축1";#N/A,#N/A,FALSE,"단축2";#N/A,#N/A,FALSE,"단축3";#N/A,#N/A,FALSE,"장축";#N/A,#N/A,FALSE,"4WD"}</definedName>
    <definedName name="YG" hidden="1">{"'KET'!$A$1:$E$2423"}</definedName>
    <definedName name="ygj" hidden="1">{#N/A,#N/A,TRUE,"Y생산";#N/A,#N/A,TRUE,"Y판매";#N/A,#N/A,TRUE,"Y총물량";#N/A,#N/A,TRUE,"Y능력";#N/A,#N/A,TRUE,"YKD"}</definedName>
    <definedName name="ygj_1" hidden="1">{#N/A,#N/A,TRUE,"Y생산";#N/A,#N/A,TRUE,"Y판매";#N/A,#N/A,TRUE,"Y총물량";#N/A,#N/A,TRUE,"Y능력";#N/A,#N/A,TRUE,"YKD"}</definedName>
    <definedName name="YGTYHNYYHGN" hidden="1">{#N/A,#N/A,FALSE,"단축1";#N/A,#N/A,FALSE,"단축2";#N/A,#N/A,FALSE,"단축3";#N/A,#N/A,FALSE,"장축";#N/A,#N/A,FALSE,"4WD"}</definedName>
    <definedName name="YH" hidden="1">{#N/A,#N/A,FALSE,"단축1";#N/A,#N/A,FALSE,"단축2";#N/A,#N/A,FALSE,"단축3";#N/A,#N/A,FALSE,"장축";#N/A,#N/A,FALSE,"4WD"}</definedName>
    <definedName name="YH_1" hidden="1">{#N/A,#N/A,FALSE,"단축1";#N/A,#N/A,FALSE,"단축2";#N/A,#N/A,FALSE,"단축3";#N/A,#N/A,FALSE,"장축";#N/A,#N/A,FALSE,"4WD"}</definedName>
    <definedName name="YH_2" hidden="1">{#N/A,#N/A,FALSE,"단축1";#N/A,#N/A,FALSE,"단축2";#N/A,#N/A,FALSE,"단축3";#N/A,#N/A,FALSE,"장축";#N/A,#N/A,FALSE,"4WD"}</definedName>
    <definedName name="YHHJNTHY6YHYT" hidden="1">{#N/A,#N/A,FALSE,"96 3월물량표";#N/A,#N/A,FALSE,"96 4월물량표";#N/A,#N/A,FALSE,"96 5월물량표"}</definedName>
    <definedName name="yhntynt" hidden="1">{#N/A,#N/A,FALSE,"단축1";#N/A,#N/A,FALSE,"단축2";#N/A,#N/A,FALSE,"단축3";#N/A,#N/A,FALSE,"장축";#N/A,#N/A,FALSE,"4WD"}</definedName>
    <definedName name="YHTJ" hidden="1">{#N/A,#N/A,FALSE,"단축1";#N/A,#N/A,FALSE,"단축2";#N/A,#N/A,FALSE,"단축3";#N/A,#N/A,FALSE,"장축";#N/A,#N/A,FALSE,"4WD"}</definedName>
    <definedName name="YHU" hidden="1">{#N/A,#N/A,FALSE,"단축1";#N/A,#N/A,FALSE,"단축2";#N/A,#N/A,FALSE,"단축3";#N/A,#N/A,FALSE,"장축";#N/A,#N/A,FALSE,"4WD"}</definedName>
    <definedName name="YHU_1" hidden="1">{#N/A,#N/A,FALSE,"단축1";#N/A,#N/A,FALSE,"단축2";#N/A,#N/A,FALSE,"단축3";#N/A,#N/A,FALSE,"장축";#N/A,#N/A,FALSE,"4WD"}</definedName>
    <definedName name="YHU_2" hidden="1">{#N/A,#N/A,FALSE,"단축1";#N/A,#N/A,FALSE,"단축2";#N/A,#N/A,FALSE,"단축3";#N/A,#N/A,FALSE,"장축";#N/A,#N/A,FALSE,"4WD"}</definedName>
    <definedName name="yhw" hidden="1">{#N/A,#N/A,FALSE,"단축1";#N/A,#N/A,FALSE,"단축2";#N/A,#N/A,FALSE,"단축3";#N/A,#N/A,FALSE,"장축";#N/A,#N/A,FALSE,"4WD"}</definedName>
    <definedName name="yhyhhyyhhy" hidden="1">{"'7-2지역별'!$A$1:$R$44"}</definedName>
    <definedName name="YJY" hidden="1">{#N/A,#N/A,FALSE,"단축1";#N/A,#N/A,FALSE,"단축2";#N/A,#N/A,FALSE,"단축3";#N/A,#N/A,FALSE,"장축";#N/A,#N/A,FALSE,"4WD"}</definedName>
    <definedName name="YJYJ"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yoitr" hidden="1">{#N/A,#N/A,FALSE,"단축1";#N/A,#N/A,FALSE,"단축2";#N/A,#N/A,FALSE,"단축3";#N/A,#N/A,FALSE,"장축";#N/A,#N/A,FALSE,"4WD"}</definedName>
    <definedName name="yr" hidden="1">{"'표지'!$B$5"}</definedName>
    <definedName name="yrju" hidden="1">{#N/A,#N/A,TRUE,"Y생산";#N/A,#N/A,TRUE,"Y판매";#N/A,#N/A,TRUE,"Y총물량";#N/A,#N/A,TRUE,"Y능력";#N/A,#N/A,TRUE,"YKD"}</definedName>
    <definedName name="yrju_1" hidden="1">{#N/A,#N/A,TRUE,"Y생산";#N/A,#N/A,TRUE,"Y판매";#N/A,#N/A,TRUE,"Y총물량";#N/A,#N/A,TRUE,"Y능력";#N/A,#N/A,TRUE,"YKD"}</definedName>
    <definedName name="ytfydts" hidden="1">{#N/A,#N/A,FALSE,"단축1";#N/A,#N/A,FALSE,"단축2";#N/A,#N/A,FALSE,"단축3";#N/A,#N/A,FALSE,"장축";#N/A,#N/A,FALSE,"4WD"}</definedName>
    <definedName name="ytjhg" hidden="1">{"'7-2지역별'!$A$1:$R$44"}</definedName>
    <definedName name="ytk" hidden="1">{#N/A,#N/A,FALSE,"96 3월물량표";#N/A,#N/A,FALSE,"96 4월물량표";#N/A,#N/A,FALSE,"96 5월물량표"}</definedName>
    <definedName name="ytk_1" hidden="1">{#N/A,#N/A,FALSE,"96 3월물량표";#N/A,#N/A,FALSE,"96 4월물량표";#N/A,#N/A,FALSE,"96 5월물량표"}</definedName>
    <definedName name="YTUJYTU" hidden="1">{#N/A,#N/A,FALSE,"단축1";#N/A,#N/A,FALSE,"단축2";#N/A,#N/A,FALSE,"단축3";#N/A,#N/A,FALSE,"장축";#N/A,#N/A,FALSE,"4WD"}</definedName>
    <definedName name="YTWE" hidden="1">{#N/A,#N/A,FALSE,"단축1";#N/A,#N/A,FALSE,"단축2";#N/A,#N/A,FALSE,"단축3";#N/A,#N/A,FALSE,"장축";#N/A,#N/A,FALSE,"4WD"}</definedName>
    <definedName name="YU_1" hidden="1">{#N/A,#N/A,FALSE,"단축1";#N/A,#N/A,FALSE,"단축2";#N/A,#N/A,FALSE,"단축3";#N/A,#N/A,FALSE,"장축";#N/A,#N/A,FALSE,"4WD"}</definedName>
    <definedName name="YU_2" hidden="1">{#N/A,#N/A,FALSE,"단축1";#N/A,#N/A,FALSE,"단축2";#N/A,#N/A,FALSE,"단축3";#N/A,#N/A,FALSE,"장축";#N/A,#N/A,FALSE,"4WD"}</definedName>
    <definedName name="YUGHUJ" hidden="1">{#N/A,#N/A,FALSE,"단축1";#N/A,#N/A,FALSE,"단축2";#N/A,#N/A,FALSE,"단축3";#N/A,#N/A,FALSE,"장축";#N/A,#N/A,FALSE,"4WD"}</definedName>
    <definedName name="YUKJJYTRTGYHGJHGHFG" hidden="1">{#N/A,#N/A,FALSE,"초도품";#N/A,#N/A,FALSE,"초도품 (2)";#N/A,#N/A,FALSE,"초도품 (3)";#N/A,#N/A,FALSE,"초도품 (4)";#N/A,#N/A,FALSE,"초도품 (5)";#N/A,#N/A,FALSE,"초도품 (6)"}</definedName>
    <definedName name="YY" hidden="1">{#N/A,#N/A,FALSE,"96 3월물량표";#N/A,#N/A,FALSE,"96 4월물량표";#N/A,#N/A,FALSE,"96 5월물량표"}</definedName>
    <definedName name="yygvvvv" hidden="1">{"'7-2지역별'!$A$1:$R$44"}</definedName>
    <definedName name="YYHY" hidden="1">{#N/A,#N/A,FALSE,"단축1";#N/A,#N/A,FALSE,"단축2";#N/A,#N/A,FALSE,"단축3";#N/A,#N/A,FALSE,"장축";#N/A,#N/A,FALSE,"4WD"}</definedName>
    <definedName name="YYUIYUI" hidden="1">{#N/A,#N/A,FALSE,"단축1";#N/A,#N/A,FALSE,"단축2";#N/A,#N/A,FALSE,"단축3";#N/A,#N/A,FALSE,"장축";#N/A,#N/A,FALSE,"4WD"}</definedName>
    <definedName name="YYY" hidden="1">{#N/A,#N/A,TRUE,"Y생산";#N/A,#N/A,TRUE,"Y판매";#N/A,#N/A,TRUE,"Y총물량";#N/A,#N/A,TRUE,"Y능력";#N/A,#N/A,TRUE,"YKD"}</definedName>
    <definedName name="YYY_1" hidden="1">{#N/A,#N/A,TRUE,"Y생산";#N/A,#N/A,TRUE,"Y판매";#N/A,#N/A,TRUE,"Y총물량";#N/A,#N/A,TRUE,"Y능력";#N/A,#N/A,TRUE,"YKD"}</definedName>
    <definedName name="YYYHHHHHK" hidden="1">{#N/A,#N/A,FALSE,"표지";#N/A,#N/A,FALSE,"전제";#N/A,#N/A,FALSE,"손익-자 (2)";#N/A,#N/A,FALSE,"손익-자";#N/A,#N/A,FALSE,"손익-마 (2)";#N/A,#N/A,FALSE,"손익-마";#N/A,#N/A,FALSE,"총손최종"}</definedName>
    <definedName name="yyyy" hidden="1">{#N/A,#N/A,FALSE,"단축1";#N/A,#N/A,FALSE,"단축2";#N/A,#N/A,FALSE,"단축3";#N/A,#N/A,FALSE,"장축";#N/A,#N/A,FALSE,"4WD"}</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_07079D02_EE42_11D6_91B9_000102FBE832_.wvu.Cols" hidden="1">#REF!,#REF!</definedName>
    <definedName name="Z_1202DC9B_9768_11D8_8D45_0050FC84FAB4_.wvu.Cols" hidden="1">#REF!</definedName>
    <definedName name="Z_1202DC9B_9768_11D8_8D45_0050FC84FAB4_.wvu.FilterData" hidden="1">#REF!</definedName>
    <definedName name="Z_1202DC9B_9768_11D8_8D45_0050FC84FAB4_.wvu.PrintTitles" hidden="1">#REF!</definedName>
    <definedName name="Z_1202DC9B_9768_11D8_8D45_0050FC84FAB4_.wvu.Rows" hidden="1">#REF!</definedName>
    <definedName name="Z_3D783072_E136_11D8_9440_000102FBE832_.wvu.Cols" hidden="1">#REF!</definedName>
    <definedName name="Z_3D783072_E136_11D8_9440_000102FBE832_.wvu.FilterData" hidden="1">#REF!</definedName>
    <definedName name="Z_3D783072_E136_11D8_9440_000102FBE832_.wvu.Rows" hidden="1">#REF!,#REF!,#REF!</definedName>
    <definedName name="Z_9E088746_552C_11D7_943F_000102FBE832_.wvu.Cols" hidden="1">#REF!</definedName>
    <definedName name="Z_9E088746_552C_11D7_943F_000102FBE832_.wvu.FilterData" hidden="1">#REF!</definedName>
    <definedName name="Z_9E088746_552C_11D7_943F_000102FBE832_.wvu.PrintTitles" hidden="1">#REF!</definedName>
    <definedName name="Z_9E088746_552C_11D7_943F_000102FBE832_.wvu.Rows" hidden="1">#REF!,#REF!,#REF!</definedName>
    <definedName name="Z_A5716FB3_058D_11D5_BFEC_0050BF418CB9_.wvu.FilterData" hidden="1">#REF!</definedName>
    <definedName name="Z_AEDA2F62_E789_11D8_9440_000102FBE832_.wvu.Cols" hidden="1">#REF!</definedName>
    <definedName name="Z_AFA96123_A975_11D7_B716_00001CDB7501_.wvu.Cols" hidden="1">#REF!,#REF!,#REF!,#REF!,#REF!,#REF!</definedName>
    <definedName name="Z_B07BEC82_F1D1_11D8_9440_000102FBE832_.wvu.Cols" hidden="1">#REF!</definedName>
    <definedName name="Z_B07BEC82_F1D1_11D8_9440_000102FBE832_.wvu.FilterData" hidden="1">#REF!</definedName>
    <definedName name="Z_B07BEC82_F1D1_11D8_9440_000102FBE832_.wvu.PrintTitles" hidden="1">#REF!</definedName>
    <definedName name="Z_B07BEC82_F1D1_11D8_9440_000102FBE832_.wvu.Rows" hidden="1">#REF!,#REF!,#REF!</definedName>
    <definedName name="Z_E8FEE9A5_163A_11D2_AED0_0000E81DA68C_.wvu.Rows" hidden="1">#REF!</definedName>
    <definedName name="Z0" hidden="1">{#N/A,#N/A,FALSE,"KMC최종회의(7월) 자료"}</definedName>
    <definedName name="Z0_1" hidden="1">{#N/A,#N/A,FALSE,"KMC최종회의(7월) 자료"}</definedName>
    <definedName name="Z0_2" hidden="1">{#N/A,#N/A,FALSE,"KMC최종회의(7월) 자료"}</definedName>
    <definedName name="zazz" hidden="1">{"'7-2지역별'!$A$1:$R$44"}</definedName>
    <definedName name="zb" hidden="1">{#N/A,#N/A,FALSE,"단축1";#N/A,#N/A,FALSE,"단축2";#N/A,#N/A,FALSE,"단축3";#N/A,#N/A,FALSE,"장축";#N/A,#N/A,FALSE,"4WD"}</definedName>
    <definedName name="ZBN" hidden="1">{#N/A,#N/A,FALSE,"단축1";#N/A,#N/A,FALSE,"단축2";#N/A,#N/A,FALSE,"단축3";#N/A,#N/A,FALSE,"장축";#N/A,#N/A,FALSE,"4WD"}</definedName>
    <definedName name="zBZ" hidden="1">{#N/A,#N/A,FALSE,"단축1";#N/A,#N/A,FALSE,"단축2";#N/A,#N/A,FALSE,"단축3";#N/A,#N/A,FALSE,"장축";#N/A,#N/A,FALSE,"4WD"}</definedName>
    <definedName name="ZC" hidden="1">{#N/A,#N/A,FALSE,"단축1";#N/A,#N/A,FALSE,"단축2";#N/A,#N/A,FALSE,"단축3";#N/A,#N/A,FALSE,"장축";#N/A,#N/A,FALSE,"4WD"}</definedName>
    <definedName name="ZCXB" hidden="1">{#N/A,#N/A,FALSE,"을지 (4)";#N/A,#N/A,FALSE,"을지 (5)";#N/A,#N/A,FALSE,"을지 (6)"}</definedName>
    <definedName name="ZD" hidden="1">{#N/A,#N/A,FALSE,"단축1";#N/A,#N/A,FALSE,"단축2";#N/A,#N/A,FALSE,"단축3";#N/A,#N/A,FALSE,"장축";#N/A,#N/A,FALSE,"4WD"}</definedName>
    <definedName name="ZDBFGNGF" hidden="1">{#N/A,#N/A,FALSE,"단축1";#N/A,#N/A,FALSE,"단축2";#N/A,#N/A,FALSE,"단축3";#N/A,#N/A,FALSE,"장축";#N/A,#N/A,FALSE,"4WD"}</definedName>
    <definedName name="zdf" hidden="1">#REF!</definedName>
    <definedName name="ZDHGKSDLG" hidden="1">{#N/A,#N/A,FALSE,"인원";#N/A,#N/A,FALSE,"비용2";#N/A,#N/A,FALSE,"비용1";#N/A,#N/A,FALSE,"비용";#N/A,#N/A,FALSE,"보증2";#N/A,#N/A,FALSE,"보증1";#N/A,#N/A,FALSE,"보증";#N/A,#N/A,FALSE,"손익1";#N/A,#N/A,FALSE,"손익";#N/A,#N/A,FALSE,"부서별매출";#N/A,#N/A,FALSE,"매출"}</definedName>
    <definedName name="ZJ" hidden="1">{#N/A,#N/A,FALSE,"단축1";#N/A,#N/A,FALSE,"단축2";#N/A,#N/A,FALSE,"단축3";#N/A,#N/A,FALSE,"장축";#N/A,#N/A,FALSE,"4WD"}</definedName>
    <definedName name="ZK" hidden="1">{0,0,0,0}</definedName>
    <definedName name="ZSD" hidden="1">{0,0,0,0}</definedName>
    <definedName name="zsdcas" hidden="1">{#N/A,#N/A,TRUE,"Y생산";#N/A,#N/A,TRUE,"Y판매";#N/A,#N/A,TRUE,"Y총물량";#N/A,#N/A,TRUE,"Y능력";#N/A,#N/A,TRUE,"YKD"}</definedName>
    <definedName name="zsdcas_1" hidden="1">{#N/A,#N/A,TRUE,"Y생산";#N/A,#N/A,TRUE,"Y판매";#N/A,#N/A,TRUE,"Y총물량";#N/A,#N/A,TRUE,"Y능력";#N/A,#N/A,TRUE,"YKD"}</definedName>
    <definedName name="ZSX" hidden="1">{0,0,0,0}</definedName>
    <definedName name="ZX" hidden="1">{#N/A,#N/A,FALSE,"초도품";#N/A,#N/A,FALSE,"초도품 (2)";#N/A,#N/A,FALSE,"초도품 (3)";#N/A,#N/A,FALSE,"초도품 (4)";#N/A,#N/A,FALSE,"초도품 (5)";#N/A,#N/A,FALSE,"초도품 (6)"}</definedName>
    <definedName name="ZXC" hidden="1">#REF!</definedName>
    <definedName name="zxcas" hidden="1">{#N/A,#N/A,FALSE,"KMC최종회의(7월) 자료"}</definedName>
    <definedName name="zxcas_1" hidden="1">{#N/A,#N/A,FALSE,"KMC최종회의(7월) 자료"}</definedName>
    <definedName name="ZXCBZB" hidden="1">{#N/A,#N/A,FALSE,"을지 (4)";#N/A,#N/A,FALSE,"을지 (5)";#N/A,#N/A,FALSE,"을지 (6)"}</definedName>
    <definedName name="ZXCN" hidden="1">{0,0,0,0}</definedName>
    <definedName name="ZXCZXC" hidden="1">#REF!</definedName>
    <definedName name="zxzxzxzx" hidden="1">{"'7-2지역별'!$A$1:$R$44"}</definedName>
    <definedName name="zzaz" hidden="1">{"'7-2지역별'!$A$1:$R$44"}</definedName>
    <definedName name="ZZB" hidden="1">{#N/A,#N/A,FALSE,"단축1";#N/A,#N/A,FALSE,"단축2";#N/A,#N/A,FALSE,"단축3";#N/A,#N/A,FALSE,"장축";#N/A,#N/A,FALSE,"4WD"}</definedName>
    <definedName name="zzv" hidden="1">{#N/A,#N/A,FALSE,"단축1";#N/A,#N/A,FALSE,"단축2";#N/A,#N/A,FALSE,"단축3";#N/A,#N/A,FALSE,"장축";#N/A,#N/A,FALSE,"4WD"}</definedName>
    <definedName name="zzz" hidden="1">{#N/A,#N/A,FALSE,"KMC최종회의(7월) 자료"}</definedName>
    <definedName name="zzz_1" hidden="1">{#N/A,#N/A,FALSE,"KMC최종회의(7월) 자료"}</definedName>
    <definedName name="zzz_2" hidden="1">{#N/A,#N/A,FALSE,"KMC최종회의(7월) 자료"}</definedName>
    <definedName name="zzza" hidden="1">{"'7-2지역별'!$A$1:$R$44"}</definedName>
    <definedName name="zzzas" hidden="1">{"'7-2지역별'!$A$1:$R$44"}</definedName>
    <definedName name="zzzs" hidden="1">{"'7-2지역별'!$A$1:$R$44"}</definedName>
    <definedName name="ZZZZ" hidden="1">{#VALUE!,#N/A,FALSE,0}</definedName>
    <definedName name="ZZZZ_1" hidden="1">{#VALUE!,#N/A,FALSE,0}</definedName>
    <definedName name="zzzzw" hidden="1">{"'7-2지역별'!$A$1:$R$44"}</definedName>
    <definedName name="zzzzz" hidden="1">{#N/A,#N/A,FALSE,"단축1";#N/A,#N/A,FALSE,"단축2";#N/A,#N/A,FALSE,"단축3";#N/A,#N/A,FALSE,"장축";#N/A,#N/A,FALSE,"4WD"}</definedName>
    <definedName name="zzzzzx" hidden="1">{#N/A,#N/A,TRUE,"Y생산";#N/A,#N/A,TRUE,"Y판매";#N/A,#N/A,TRUE,"Y총물량";#N/A,#N/A,TRUE,"Y능력";#N/A,#N/A,TRUE,"YKD"}</definedName>
    <definedName name="zzzzzx_1" hidden="1">{#N/A,#N/A,TRUE,"Y생산";#N/A,#N/A,TRUE,"Y판매";#N/A,#N/A,TRUE,"Y총물량";#N/A,#N/A,TRUE,"Y능력";#N/A,#N/A,TRUE,"YKD"}</definedName>
    <definedName name="zzzzzz" hidden="1">{#N/A,#N/A,TRUE,"Y생산";#N/A,#N/A,TRUE,"Y판매";#N/A,#N/A,TRUE,"Y총물량";#N/A,#N/A,TRUE,"Y능력";#N/A,#N/A,TRUE,"YKD"}</definedName>
    <definedName name="zzzzzz_1" hidden="1">{#N/A,#N/A,TRUE,"Y생산";#N/A,#N/A,TRUE,"Y판매";#N/A,#N/A,TRUE,"Y총물량";#N/A,#N/A,TRUE,"Y능력";#N/A,#N/A,TRUE,"YKD"}</definedName>
    <definedName name="ZZZZZZZ" hidden="1">{#N/A,#N/A,FALSE,"KMC최종회의(7월) 자료"}</definedName>
    <definedName name="zzzzzzzzz" hidden="1">{#N/A,#N/A,FALSE,"96 3월물량표";#N/A,#N/A,FALSE,"96 4월물량표";#N/A,#N/A,FALSE,"96 5월물량표"}</definedName>
    <definedName name="zzzzzzzzz_1" hidden="1">{#N/A,#N/A,FALSE,"96 3월물량표";#N/A,#N/A,FALSE,"96 4월물량표";#N/A,#N/A,FALSE,"96 5월물량표"}</definedName>
    <definedName name="β계획" hidden="1">{#N/A,#N/A,FALSE,"단축1";#N/A,#N/A,FALSE,"단축2";#N/A,#N/A,FALSE,"단축3";#N/A,#N/A,FALSE,"장축";#N/A,#N/A,FALSE,"4WD"}</definedName>
    <definedName name="θ" hidden="1">{#N/A,#N/A,FALSE,"신규dep";#N/A,#N/A,FALSE,"신규dep-금형상각후";#N/A,#N/A,FALSE,"신규dep-연구비상각후";#N/A,#N/A,FALSE,"신규dep-기계,공구상각후"}</definedName>
    <definedName name="あ" hidden="1">#REF!</definedName>
    <definedName name="んんんんんんんんんんんんんんんんんんんんんｎ" hidden="1">{"RES-2000",#N/A,FALSE,"BL2000";"A1-2000",#N/A,FALSE,"BL2000";"A2-2000",#N/A,FALSE,"BL2000"}</definedName>
    <definedName name="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_1" hidden="1">{#N/A,#N/A,FALSE,"단축1";#N/A,#N/A,FALSE,"단축2";#N/A,#N/A,FALSE,"단축3";#N/A,#N/A,FALSE,"장축";#N/A,#N/A,FALSE,"4WD"}</definedName>
    <definedName name="ㄱ_2" hidden="1">{#N/A,#N/A,FALSE,"단축1";#N/A,#N/A,FALSE,"단축2";#N/A,#N/A,FALSE,"단축3";#N/A,#N/A,FALSE,"장축";#N/A,#N/A,FALSE,"4WD"}</definedName>
    <definedName name="ㄱ2ㄷ2ㄷㄱ2" hidden="1">{#N/A,#N/A,FALSE,"단축1";#N/A,#N/A,FALSE,"단축2";#N/A,#N/A,FALSE,"단축3";#N/A,#N/A,FALSE,"장축";#N/A,#N/A,FALSE,"4WD"}</definedName>
    <definedName name="ㄱㄱ" hidden="1">{#N/A,#N/A,FALSE,"단축1";#N/A,#N/A,FALSE,"단축2";#N/A,#N/A,FALSE,"단축3";#N/A,#N/A,FALSE,"장축";#N/A,#N/A,FALSE,"4WD"}</definedName>
    <definedName name="ㄱㄱ_1" hidden="1">{#N/A,#N/A,FALSE,"KMC최종회의(7월) 자료"}</definedName>
    <definedName name="ㄱㄱ_2" hidden="1">{#N/A,#N/A,FALSE,"KMC최종회의(7월) 자료"}</definedName>
    <definedName name="ㄱㄱㄱ" hidden="1">{#N/A,#N/A,FALSE,"KMC최종회의(7월) 자료"}</definedName>
    <definedName name="ㄱㄱㄱㄱ" hidden="1">{#N/A,#N/A,FALSE,"KMC최종회의(7월) 자료"}</definedName>
    <definedName name="ㄱㄱㄱㄱㄱㄱ" hidden="1">{#N/A,#N/A,TRUE,"매출진척-1";#N/A,#N/A,TRUE,"매출진척-2";#N/A,#N/A,TRUE,"제품실적";#N/A,#N/A,TRUE,"RAC";#N/A,#N/A,TRUE,"PAC ";#N/A,#N/A,TRUE,"재고현황";#N/A,#N/A,TRUE,"공지사항"}</definedName>
    <definedName name="ㄱㄱㄱㄱㄱㄱㄱㄱㄱㄱㄱㄱ" hidden="1">{#N/A,#N/A,TRUE,"Y생산";#N/A,#N/A,TRUE,"Y판매";#N/A,#N/A,TRUE,"Y총물량";#N/A,#N/A,TRUE,"Y능력";#N/A,#N/A,TRUE,"YKD"}</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ㄱㄱㅇㅇㅇ" hidden="1">{#N/A,#N/A,FALSE,"단축1";#N/A,#N/A,FALSE,"단축2";#N/A,#N/A,FALSE,"단축3";#N/A,#N/A,FALSE,"장축";#N/A,#N/A,FALSE,"4WD"}</definedName>
    <definedName name="ㄱ가각" hidden="1">{#N/A,#N/A,FALSE,"단축1";#N/A,#N/A,FALSE,"단축2";#N/A,#N/A,FALSE,"단축3";#N/A,#N/A,FALSE,"장축";#N/A,#N/A,FALSE,"4WD"}</definedName>
    <definedName name="ㄱ곻곧교" hidden="1">{#N/A,#N/A,FALSE,"KMC최종회의(7월) 자료"}</definedName>
    <definedName name="ㄱㄴ" hidden="1">{#N/A,#N/A,FALSE,"KMC최종회의(7월) 자료"}</definedName>
    <definedName name="ㄱㄴ_1" hidden="1">{#N/A,#N/A,FALSE,"KMC최종회의(7월) 자료"}</definedName>
    <definedName name="ㄱㄷ" hidden="1">{#N/A,#N/A,FALSE,"단축1";#N/A,#N/A,FALSE,"단축2";#N/A,#N/A,FALSE,"단축3";#N/A,#N/A,FALSE,"장축";#N/A,#N/A,FALSE,"4WD"}</definedName>
    <definedName name="ㄱㄷㄱㄱ" hidden="1">{#N/A,#N/A,TRUE,"일정"}</definedName>
    <definedName name="ㄱㄷㄴㅅㅅㄱㄷㄱㄷㅅㅅ" hidden="1">{#N/A,#N/A,FALSE,"PART-1234-8-12-9(41)";#N/A,#N/A,FALSE,"PARTS-2(3)";#N/A,#N/A,FALSE,"VAN SYSTEM";#N/A,#N/A,FALSE,"PARTS-10(26)";#N/A,#N/A,FALSE,"PART-5-6-7-11(14)";#N/A,#N/A,FALSE,"PARTS-4(3)";#N/A,#N/A,FALSE,"PCLASS"}</definedName>
    <definedName name="ㄱㄷㄷㄱ"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ㄱㄷㅁㄱ" hidden="1">{#N/A,#N/A,FALSE,"단축1";#N/A,#N/A,FALSE,"단축2";#N/A,#N/A,FALSE,"단축3";#N/A,#N/A,FALSE,"장축";#N/A,#N/A,FALSE,"4WD"}</definedName>
    <definedName name="ㄱㄷㅁㄱ_1" hidden="1">{#N/A,#N/A,FALSE,"단축1";#N/A,#N/A,FALSE,"단축2";#N/A,#N/A,FALSE,"단축3";#N/A,#N/A,FALSE,"장축";#N/A,#N/A,FALSE,"4WD"}</definedName>
    <definedName name="ㄱㄷㅁㄱ_2" hidden="1">{#N/A,#N/A,FALSE,"단축1";#N/A,#N/A,FALSE,"단축2";#N/A,#N/A,FALSE,"단축3";#N/A,#N/A,FALSE,"장축";#N/A,#N/A,FALSE,"4WD"}</definedName>
    <definedName name="ㄱㄷㅁㄷㅈㅈㅈㅈ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ㄱㄷㅂㅁ" hidden="1">{#N/A,#N/A,FALSE,"단축1";#N/A,#N/A,FALSE,"단축2";#N/A,#N/A,FALSE,"단축3";#N/A,#N/A,FALSE,"장축";#N/A,#N/A,FALSE,"4WD"}</definedName>
    <definedName name="ㄱㄷㅈㄱㄷㅈㄷㄱㄷㅁ" hidden="1">{#N/A,#N/A,FALSE,"PART-1234-8-12-9(41)";#N/A,#N/A,FALSE,"PARTS-2(3)";#N/A,#N/A,FALSE,"VAN SYSTEM";#N/A,#N/A,FALSE,"PARTS-10(26)";#N/A,#N/A,FALSE,"PART-5-6-7-11(14)";#N/A,#N/A,FALSE,"PARTS-4(3)";#N/A,#N/A,FALSE,"PCLASS"}</definedName>
    <definedName name="ㄱㄹㄷ" hidden="1">{#N/A,#N/A,TRUE,"Y생산";#N/A,#N/A,TRUE,"Y판매";#N/A,#N/A,TRUE,"Y총물량";#N/A,#N/A,TRUE,"Y능력";#N/A,#N/A,TRUE,"YKD"}</definedName>
    <definedName name="ㄱㄹㄷ_1" hidden="1">{#N/A,#N/A,TRUE,"Y생산";#N/A,#N/A,TRUE,"Y판매";#N/A,#N/A,TRUE,"Y총물량";#N/A,#N/A,TRUE,"Y능력";#N/A,#N/A,TRUE,"YKD"}</definedName>
    <definedName name="ㄱㄹㄹ" hidden="1">{#N/A,#N/A,TRUE,"일정"}</definedName>
    <definedName name="ㄱㄹㅈㄱㄷㄹ" hidden="1">{#N/A,#N/A,FALSE,"단축1";#N/A,#N/A,FALSE,"단축2";#N/A,#N/A,FALSE,"단축3";#N/A,#N/A,FALSE,"장축";#N/A,#N/A,FALSE,"4WD"}</definedName>
    <definedName name="ㄱㅁㅁㄷㅁㄱㄷㄷㄱㅁㄱ" hidden="1">{#N/A,#N/A,FALSE,"PART-1234-8-12-9(41)";#N/A,#N/A,FALSE,"PARTS-2(3)";#N/A,#N/A,FALSE,"VAN SYSTEM";#N/A,#N/A,FALSE,"PARTS-10(26)";#N/A,#N/A,FALSE,"PART-5-6-7-11(14)";#N/A,#N/A,FALSE,"PARTS-4(3)";#N/A,#N/A,FALSE,"PCLASS"}</definedName>
    <definedName name="ㄱ쇼" hidden="1">{#N/A,#N/A,FALSE,"KMC최종회의(7월) 자료"}</definedName>
    <definedName name="ㄱ쇼_1" hidden="1">{#N/A,#N/A,FALSE,"KMC최종회의(7월) 자료"}</definedName>
    <definedName name="ㄱ쇼_2" hidden="1">{#N/A,#N/A,FALSE,"KMC최종회의(7월) 자료"}</definedName>
    <definedName name="ㄱ쇼1" hidden="1">{#N/A,#N/A,FALSE,"KMC최종회의(7월) 자료"}</definedName>
    <definedName name="ㄱ쇼ㅗㅕ7ㅑ" hidden="1">{#N/A,#N/A,FALSE,"신규dep";#N/A,#N/A,FALSE,"신규dep-금형상각후";#N/A,#N/A,FALSE,"신규dep-연구비상각후";#N/A,#N/A,FALSE,"신규dep-기계,공구상각후"}</definedName>
    <definedName name="ㄱㅇ" hidden="1">{#N/A,#N/A,FALSE,"단축1";#N/A,#N/A,FALSE,"단축2";#N/A,#N/A,FALSE,"단축3";#N/A,#N/A,FALSE,"장축";#N/A,#N/A,FALSE,"4WD"}</definedName>
    <definedName name="ㄱㅇ_1" hidden="1">{#N/A,#N/A,FALSE,"단축1";#N/A,#N/A,FALSE,"단축2";#N/A,#N/A,FALSE,"단축3";#N/A,#N/A,FALSE,"장축";#N/A,#N/A,FALSE,"4WD"}</definedName>
    <definedName name="ㄱㅇ_2" hidden="1">{#N/A,#N/A,FALSE,"단축1";#N/A,#N/A,FALSE,"단축2";#N/A,#N/A,FALSE,"단축3";#N/A,#N/A,FALSE,"장축";#N/A,#N/A,FALSE,"4WD"}</definedName>
    <definedName name="ㄱㅇㅇ" hidden="1">{#N/A,#N/A,FALSE,"단축1";#N/A,#N/A,FALSE,"단축2";#N/A,#N/A,FALSE,"단축3";#N/A,#N/A,FALSE,"장축";#N/A,#N/A,FALSE,"4WD"}</definedName>
    <definedName name="ㄱㅈㅊㅊㄱ" hidden="1">{#N/A,#N/A,FALSE,"단축1";#N/A,#N/A,FALSE,"단축2";#N/A,#N/A,FALSE,"단축3";#N/A,#N/A,FALSE,"장축";#N/A,#N/A,FALSE,"4WD"}</definedName>
    <definedName name="ㄱㅍ" hidden="1">{#N/A,#N/A,FALSE,"KMC최종회의(7월) 자료"}</definedName>
    <definedName name="ㄱㅍ_1" hidden="1">{#N/A,#N/A,FALSE,"KMC최종회의(7월) 자료"}</definedName>
    <definedName name="ㄱㅎㄱㅎ" hidden="1">{#N/A,#N/A,FALSE,"KMC최종회의(7월) 자료"}</definedName>
    <definedName name="ㄱㅎㅎ" hidden="1">{#N/A,#N/A,FALSE,"단축1";#N/A,#N/A,FALSE,"단축2";#N/A,#N/A,FALSE,"단축3";#N/A,#N/A,FALSE,"장축";#N/A,#N/A,FALSE,"4WD"}</definedName>
    <definedName name="가" hidden="1">{#N/A,#N/A,FALSE,"정공"}</definedName>
    <definedName name="가_1" hidden="1">{#N/A,#N/A,FALSE,"정공"}</definedName>
    <definedName name="가_2" hidden="1">{#N/A,#N/A,FALSE,"정공"}</definedName>
    <definedName name="가_2_1" hidden="1">{#N/A,#N/A,FALSE,"정공"}</definedName>
    <definedName name="가_2_2" hidden="1">{#N/A,#N/A,FALSE,"정공"}</definedName>
    <definedName name="가_2_3" hidden="1">{#N/A,#N/A,FALSE,"정공"}</definedName>
    <definedName name="가_3" hidden="1">{#N/A,#N/A,FALSE,"정공"}</definedName>
    <definedName name="가_3_1" hidden="1">{#N/A,#N/A,FALSE,"정공"}</definedName>
    <definedName name="가_3_2" hidden="1">{#N/A,#N/A,FALSE,"정공"}</definedName>
    <definedName name="가_3_3" hidden="1">{#N/A,#N/A,FALSE,"정공"}</definedName>
    <definedName name="가_4" hidden="1">{#N/A,#N/A,FALSE,"정공"}</definedName>
    <definedName name="가_5" hidden="1">{#N/A,#N/A,FALSE,"정공"}</definedName>
    <definedName name="가1" hidden="1">{#N/A,#N/A,TRUE,"Y생산";#N/A,#N/A,TRUE,"Y판매";#N/A,#N/A,TRUE,"Y총물량";#N/A,#N/A,TRUE,"Y능력";#N/A,#N/A,TRUE,"YKD"}</definedName>
    <definedName name="가1_1" hidden="1">{#N/A,#N/A,TRUE,"Y생산";#N/A,#N/A,TRUE,"Y판매";#N/A,#N/A,TRUE,"Y총물량";#N/A,#N/A,TRUE,"Y능력";#N/A,#N/A,TRUE,"YKD"}</definedName>
    <definedName name="가1_2" hidden="1">{#N/A,#N/A,TRUE,"Y생산";#N/A,#N/A,TRUE,"Y판매";#N/A,#N/A,TRUE,"Y총물량";#N/A,#N/A,TRUE,"Y능력";#N/A,#N/A,TRUE,"YKD"}</definedName>
    <definedName name="가1_2_1" hidden="1">{#N/A,#N/A,TRUE,"Y생산";#N/A,#N/A,TRUE,"Y판매";#N/A,#N/A,TRUE,"Y총물량";#N/A,#N/A,TRUE,"Y능력";#N/A,#N/A,TRUE,"YKD"}</definedName>
    <definedName name="가1_2_2" hidden="1">{#N/A,#N/A,TRUE,"Y생산";#N/A,#N/A,TRUE,"Y판매";#N/A,#N/A,TRUE,"Y총물량";#N/A,#N/A,TRUE,"Y능력";#N/A,#N/A,TRUE,"YKD"}</definedName>
    <definedName name="가1_2_3" hidden="1">{#N/A,#N/A,TRUE,"Y생산";#N/A,#N/A,TRUE,"Y판매";#N/A,#N/A,TRUE,"Y총물량";#N/A,#N/A,TRUE,"Y능력";#N/A,#N/A,TRUE,"YKD"}</definedName>
    <definedName name="가1_3" hidden="1">{#N/A,#N/A,TRUE,"Y생산";#N/A,#N/A,TRUE,"Y판매";#N/A,#N/A,TRUE,"Y총물량";#N/A,#N/A,TRUE,"Y능력";#N/A,#N/A,TRUE,"YKD"}</definedName>
    <definedName name="가1_3_1" hidden="1">{#N/A,#N/A,TRUE,"Y생산";#N/A,#N/A,TRUE,"Y판매";#N/A,#N/A,TRUE,"Y총물량";#N/A,#N/A,TRUE,"Y능력";#N/A,#N/A,TRUE,"YKD"}</definedName>
    <definedName name="가1_3_2" hidden="1">{#N/A,#N/A,TRUE,"Y생산";#N/A,#N/A,TRUE,"Y판매";#N/A,#N/A,TRUE,"Y총물량";#N/A,#N/A,TRUE,"Y능력";#N/A,#N/A,TRUE,"YKD"}</definedName>
    <definedName name="가1_3_3" hidden="1">{#N/A,#N/A,TRUE,"Y생산";#N/A,#N/A,TRUE,"Y판매";#N/A,#N/A,TRUE,"Y총물량";#N/A,#N/A,TRUE,"Y능력";#N/A,#N/A,TRUE,"YKD"}</definedName>
    <definedName name="가1_4" hidden="1">{#N/A,#N/A,TRUE,"Y생산";#N/A,#N/A,TRUE,"Y판매";#N/A,#N/A,TRUE,"Y총물량";#N/A,#N/A,TRUE,"Y능력";#N/A,#N/A,TRUE,"YKD"}</definedName>
    <definedName name="가1_5" hidden="1">{#N/A,#N/A,TRUE,"Y생산";#N/A,#N/A,TRUE,"Y판매";#N/A,#N/A,TRUE,"Y총물량";#N/A,#N/A,TRUE,"Y능력";#N/A,#N/A,TRUE,"YKD"}</definedName>
    <definedName name="가11" hidden="1">{#N/A,#N/A,FALSE,"단축1";#N/A,#N/A,FALSE,"단축2";#N/A,#N/A,FALSE,"단축3";#N/A,#N/A,FALSE,"장축";#N/A,#N/A,FALSE,"4WD"}</definedName>
    <definedName name="가12" hidden="1">{"'7-2지역별'!$A$1:$R$44"}</definedName>
    <definedName name="가2" hidden="1">#REF!</definedName>
    <definedName name="가2_1" hidden="1">{#N/A,#N/A,TRUE,"Y생산";#N/A,#N/A,TRUE,"Y판매";#N/A,#N/A,TRUE,"Y총물량";#N/A,#N/A,TRUE,"Y능력";#N/A,#N/A,TRUE,"YKD"}</definedName>
    <definedName name="가2_2" hidden="1">{#N/A,#N/A,TRUE,"Y생산";#N/A,#N/A,TRUE,"Y판매";#N/A,#N/A,TRUE,"Y총물량";#N/A,#N/A,TRUE,"Y능력";#N/A,#N/A,TRUE,"YKD"}</definedName>
    <definedName name="가가" hidden="1">{#N/A,#N/A,FALSE,"단축1";#N/A,#N/A,FALSE,"단축2";#N/A,#N/A,FALSE,"단축3";#N/A,#N/A,FALSE,"장축";#N/A,#N/A,FALSE,"4WD"}</definedName>
    <definedName name="가가_1" hidden="1">{#N/A,#N/A,FALSE,"단축1";#N/A,#N/A,FALSE,"단축2";#N/A,#N/A,FALSE,"단축3";#N/A,#N/A,FALSE,"장축";#N/A,#N/A,FALSE,"4WD"}</definedName>
    <definedName name="가가가가가" hidden="1">{#N/A,#N/A,FALSE,"KMC최종회의(7월) 자료"}</definedName>
    <definedName name="가격" hidden="1">{#N/A,#N/A,FALSE,"단축1";#N/A,#N/A,FALSE,"단축2";#N/A,#N/A,FALSE,"단축3";#N/A,#N/A,FALSE,"장축";#N/A,#N/A,FALSE,"4WD"}</definedName>
    <definedName name="가격조정" hidden="1">{#N/A,#N/A,FALSE,"단축1";#N/A,#N/A,FALSE,"단축2";#N/A,#N/A,FALSE,"단축3";#N/A,#N/A,FALSE,"장축";#N/A,#N/A,FALSE,"4WD"}</definedName>
    <definedName name="가격합의서" hidden="1">{#N/A,#N/A,FALSE,"단축1";#N/A,#N/A,FALSE,"단축2";#N/A,#N/A,FALSE,"단축3";#N/A,#N/A,FALSE,"장축";#N/A,#N/A,FALSE,"4WD"}</definedName>
    <definedName name="가고싶다" hidden="1">{#N/A,#N/A,FALSE,"단축1";#N/A,#N/A,FALSE,"단축2";#N/A,#N/A,FALSE,"단축3";#N/A,#N/A,FALSE,"장축";#N/A,#N/A,FALSE,"4WD"}</definedName>
    <definedName name="가공" hidden="1">{#N/A,#N/A,FALSE,"KMC최종회의(7월) 자료"}</definedName>
    <definedName name="가공_1" hidden="1">{#N/A,#N/A,FALSE,"단축1";#N/A,#N/A,FALSE,"단축2";#N/A,#N/A,FALSE,"단축3";#N/A,#N/A,FALSE,"장축";#N/A,#N/A,FALSE,"4WD"}</definedName>
    <definedName name="가공_2" hidden="1">{#N/A,#N/A,FALSE,"단축1";#N/A,#N/A,FALSE,"단축2";#N/A,#N/A,FALSE,"단축3";#N/A,#N/A,FALSE,"장축";#N/A,#N/A,FALSE,"4WD"}</definedName>
    <definedName name="가공1조업계획" hidden="1">{#N/A,#N/A,FALSE,"96 3월물량표";#N/A,#N/A,FALSE,"96 4월물량표";#N/A,#N/A,FALSE,"96 5월물량표"}</definedName>
    <definedName name="가공1조업계획_1" hidden="1">{#N/A,#N/A,FALSE,"96 3월물량표";#N/A,#N/A,FALSE,"96 4월물량표";#N/A,#N/A,FALSE,"96 5월물량표"}</definedName>
    <definedName name="가공공수" hidden="1">{"'KET'!$A$1:$E$2423"}</definedName>
    <definedName name="가공비1" hidden="1">{#N/A,#N/A,TRUE,"매출진척-1";#N/A,#N/A,TRUE,"매출진척-2";#N/A,#N/A,TRUE,"제품실적";#N/A,#N/A,TRUE,"RAC";#N/A,#N/A,TRUE,"PAC ";#N/A,#N/A,TRUE,"재고현황";#N/A,#N/A,TRUE,"공지사항"}</definedName>
    <definedName name="가공비2" hidden="1">{#N/A,#N/A,TRUE,"매출진척-1";#N/A,#N/A,TRUE,"매출진척-2";#N/A,#N/A,TRUE,"제품실적";#N/A,#N/A,TRUE,"RAC";#N/A,#N/A,TRUE,"PAC ";#N/A,#N/A,TRUE,"재고현황";#N/A,#N/A,TRUE,"공지사항"}</definedName>
    <definedName name="가공비LIST" hidden="1">{#N/A,#N/A,TRUE,"매출진척-1";#N/A,#N/A,TRUE,"매출진척-2";#N/A,#N/A,TRUE,"제품실적";#N/A,#N/A,TRUE,"RAC";#N/A,#N/A,TRUE,"PAC ";#N/A,#N/A,TRUE,"재고현황";#N/A,#N/A,TRUE,"공지사항"}</definedName>
    <definedName name="가공일정수정" hidden="1">{#N/A,#N/A,FALSE,"KMC최종회의(7월) 자료"}</definedName>
    <definedName name="가공조업계획" hidden="1">{#N/A,#N/A,TRUE,"Y생산";#N/A,#N/A,TRUE,"Y판매";#N/A,#N/A,TRUE,"Y총물량";#N/A,#N/A,TRUE,"Y능력";#N/A,#N/A,TRUE,"YKD"}</definedName>
    <definedName name="가공조업계획_1" hidden="1">{#N/A,#N/A,TRUE,"Y생산";#N/A,#N/A,TRUE,"Y판매";#N/A,#N/A,TRUE,"Y총물량";#N/A,#N/A,TRUE,"Y능력";#N/A,#N/A,TRUE,"YKD"}</definedName>
    <definedName name="가공조업실적" hidden="1">{#N/A,#N/A,TRUE,"Y생산";#N/A,#N/A,TRUE,"Y판매";#N/A,#N/A,TRUE,"Y총물량";#N/A,#N/A,TRUE,"Y능력";#N/A,#N/A,TRUE,"YKD"}</definedName>
    <definedName name="가공조업실적_1" hidden="1">{#N/A,#N/A,TRUE,"Y생산";#N/A,#N/A,TRUE,"Y판매";#N/A,#N/A,TRUE,"Y총물량";#N/A,#N/A,TRUE,"Y능력";#N/A,#N/A,TRUE,"YKD"}</definedName>
    <definedName name="가나" hidden="1">{#N/A,#N/A,FALSE,"단축1";#N/A,#N/A,FALSE,"단축2";#N/A,#N/A,FALSE,"단축3";#N/A,#N/A,FALSE,"장축";#N/A,#N/A,FALSE,"4WD"}</definedName>
    <definedName name="가나_1" hidden="1">{#N/A,#N/A,FALSE,"KMC최종회의(7월) 자료"}</definedName>
    <definedName name="가나_2" hidden="1">{#N/A,#N/A,TRUE,"Y생산";#N/A,#N/A,TRUE,"Y판매";#N/A,#N/A,TRUE,"Y총물량";#N/A,#N/A,TRUE,"Y능력";#N/A,#N/A,TRUE,"YKD"}</definedName>
    <definedName name="가나다" hidden="1">{"'5'!$A$1:$BB$147"}</definedName>
    <definedName name="가나다라" hidden="1">{#N/A,#N/A,FALSE,"단축1";#N/A,#N/A,FALSE,"단축2";#N/A,#N/A,FALSE,"단축3";#N/A,#N/A,FALSE,"장축";#N/A,#N/A,FALSE,"4WD"}</definedName>
    <definedName name="가나다라_1" hidden="1">{#N/A,#N/A,FALSE,"정공"}</definedName>
    <definedName name="가나다라마바사" hidden="1">{#N/A,#N/A,FALSE,"단축1";#N/A,#N/A,FALSE,"단축2";#N/A,#N/A,FALSE,"단축3";#N/A,#N/A,FALSE,"장축";#N/A,#N/A,FALSE,"4WD"}</definedName>
    <definedName name="가나다오" hidden="1">{#N/A,#N/A,FALSE,"정공"}</definedName>
    <definedName name="가나다오_1" hidden="1">{#N/A,#N/A,FALSE,"정공"}</definedName>
    <definedName name="가나다오_2" hidden="1">{#N/A,#N/A,FALSE,"정공"}</definedName>
    <definedName name="가다" hidden="1">{#N/A,#N/A,TRUE,"Y생산";#N/A,#N/A,TRUE,"Y판매";#N/A,#N/A,TRUE,"Y총물량";#N/A,#N/A,TRUE,"Y능력";#N/A,#N/A,TRUE,"YKD"}</definedName>
    <definedName name="가다라다라" hidden="1">{"'5'!$A$1:$BB$147"}</definedName>
    <definedName name="가다자자다" hidden="1">{"'5'!$A$1:$BB$147"}</definedName>
    <definedName name="가단가" hidden="1">{#N/A,#N/A,TRUE,"Y생산";#N/A,#N/A,TRUE,"Y판매";#N/A,#N/A,TRUE,"Y총물량";#N/A,#N/A,TRUE,"Y능력";#N/A,#N/A,TRUE,"YKD"}</definedName>
    <definedName name="가동" hidden="1">{#N/A,#N/A,TRUE,"Y생산";#N/A,#N/A,TRUE,"Y판매";#N/A,#N/A,TRUE,"Y총물량";#N/A,#N/A,TRUE,"Y능력";#N/A,#N/A,TRUE,"YKD"}</definedName>
    <definedName name="가동_1" hidden="1">{#N/A,#N/A,TRUE,"Y생산";#N/A,#N/A,TRUE,"Y판매";#N/A,#N/A,TRUE,"Y총물량";#N/A,#N/A,TRUE,"Y능력";#N/A,#N/A,TRUE,"YKD"}</definedName>
    <definedName name="가동2" hidden="1">{#N/A,#N/A,TRUE,"Y생산";#N/A,#N/A,TRUE,"Y판매";#N/A,#N/A,TRUE,"Y총물량";#N/A,#N/A,TRUE,"Y능력";#N/A,#N/A,TRUE,"YKD"}</definedName>
    <definedName name="가동2_1" hidden="1">{#N/A,#N/A,TRUE,"Y생산";#N/A,#N/A,TRUE,"Y판매";#N/A,#N/A,TRUE,"Y총물량";#N/A,#N/A,TRUE,"Y능력";#N/A,#N/A,TRUE,"YKD"}</definedName>
    <definedName name="가동비" hidden="1">#REF!</definedName>
    <definedName name="가동조건" hidden="1">{#N/A,#N/A,FALSE,"96 3월물량표";#N/A,#N/A,FALSE,"96 4월물량표";#N/A,#N/A,FALSE,"96 5월물량표"}</definedName>
    <definedName name="가동조건_1" hidden="1">{#N/A,#N/A,FALSE,"96 3월물량표";#N/A,#N/A,FALSE,"96 4월물량표";#N/A,#N/A,FALSE,"96 5월물량표"}</definedName>
    <definedName name="가라" hidden="1">{"'공작'!$A$2:$AH$17"}</definedName>
    <definedName name="가라성적서" hidden="1">{#N/A,#N/A,FALSE,"단축1";#N/A,#N/A,FALSE,"단축2";#N/A,#N/A,FALSE,"단축3";#N/A,#N/A,FALSE,"장축";#N/A,#N/A,FALSE,"4WD"}</definedName>
    <definedName name="가람" hidden="1">{#N/A,#N/A,TRUE,"Y생산";#N/A,#N/A,TRUE,"Y판매";#N/A,#N/A,TRUE,"Y총물량";#N/A,#N/A,TRUE,"Y능력";#N/A,#N/A,TRUE,"YKD"}</definedName>
    <definedName name="가람_1" hidden="1">{#N/A,#N/A,TRUE,"Y생산";#N/A,#N/A,TRUE,"Y판매";#N/A,#N/A,TRUE,"Y총물량";#N/A,#N/A,TRUE,"Y능력";#N/A,#N/A,TRUE,"YKD"}</definedName>
    <definedName name="가마" hidden="1">{#N/A,#N/A,TRUE,"Y생산";#N/A,#N/A,TRUE,"Y판매";#N/A,#N/A,TRUE,"Y총물량";#N/A,#N/A,TRUE,"Y능력";#N/A,#N/A,TRUE,"YKD"}</definedName>
    <definedName name="가아나" hidden="1">{#N/A,#N/A,TRUE,"Y생산";#N/A,#N/A,TRUE,"Y판매";#N/A,#N/A,TRUE,"Y총물량";#N/A,#N/A,TRUE,"Y능력";#N/A,#N/A,TRUE,"YKD"}</definedName>
    <definedName name="가아나_1" hidden="1">{#N/A,#N/A,TRUE,"Y생산";#N/A,#N/A,TRUE,"Y판매";#N/A,#N/A,TRUE,"Y총물량";#N/A,#N/A,TRUE,"Y능력";#N/A,#N/A,TRUE,"YKD"}</definedName>
    <definedName name="가을" hidden="1">{#N/A,#N/A,TRUE,"Y생산";#N/A,#N/A,TRUE,"Y판매";#N/A,#N/A,TRUE,"Y총물량";#N/A,#N/A,TRUE,"Y능력";#N/A,#N/A,TRUE,"YKD"}</definedName>
    <definedName name="가자" hidden="1">{#N/A,#N/A,FALSE,"KMC최종회의(7월) 자료"}</definedName>
    <definedName name="가자_1" hidden="1">{#N/A,#N/A,FALSE,"KMC최종회의(7월) 자료"}</definedName>
    <definedName name="가자_2" hidden="1">{#N/A,#N/A,FALSE,"KMC최종회의(7월) 자료"}</definedName>
    <definedName name="가자나다라" hidden="1">{"'5'!$A$1:$BB$147"}</definedName>
    <definedName name="가자자라다라" hidden="1">{"'5'!$A$1:$BB$147"}</definedName>
    <definedName name="가전.ㅣ" hidden="1">{"'7-2지역별'!$A$1:$R$44"}</definedName>
    <definedName name="가전3" hidden="1">{"'7-2지역별'!$A$1:$R$44"}</definedName>
    <definedName name="가전31" hidden="1">{"'7-2지역별'!$A$1:$R$44"}</definedName>
    <definedName name="가전32" hidden="1">{"'7-2지역별'!$A$1:$R$44"}</definedName>
    <definedName name="가전322" hidden="1">{"'7-2지역별'!$A$1:$R$44"}</definedName>
    <definedName name="가전4" hidden="1">{"'7-2지역별'!$A$1:$R$44"}</definedName>
    <definedName name="가전42" hidden="1">{"'7-2지역별'!$A$1:$R$44"}</definedName>
    <definedName name="가전5" hidden="1">{"'7-2지역별'!$A$1:$R$44"}</definedName>
    <definedName name="가전50" hidden="1">{"'7-2지역별'!$A$1:$R$44"}</definedName>
    <definedName name="가전52" hidden="1">{"'7-2지역별'!$A$1:$R$44"}</definedName>
    <definedName name="가전7890" hidden="1">{"'7-2지역별'!$A$1:$R$44"}</definedName>
    <definedName name="가타" hidden="1">{#N/A,#N/A,TRUE,"Y생산";#N/A,#N/A,TRUE,"Y판매";#N/A,#N/A,TRUE,"Y총물량";#N/A,#N/A,TRUE,"Y능력";#N/A,#N/A,TRUE,"YKD"}</definedName>
    <definedName name="각가가" hidden="1">{#N/A,#N/A,FALSE,"단축1";#N/A,#N/A,FALSE,"단축2";#N/A,#N/A,FALSE,"단축3";#N/A,#N/A,FALSE,"장축";#N/A,#N/A,FALSE,"4WD"}</definedName>
    <definedName name="각각" hidden="1">{#N/A,#N/A,FALSE,"KMC최종회의(7월) 자료"}</definedName>
    <definedName name="각방안" hidden="1">{#N/A,#N/A,FALSE,"단축1";#N/A,#N/A,FALSE,"단축2";#N/A,#N/A,FALSE,"단축3";#N/A,#N/A,FALSE,"장축";#N/A,#N/A,FALSE,"4WD"}</definedName>
    <definedName name="각방안_1" hidden="1">{#N/A,#N/A,FALSE,"단축1";#N/A,#N/A,FALSE,"단축2";#N/A,#N/A,FALSE,"단축3";#N/A,#N/A,FALSE,"장축";#N/A,#N/A,FALSE,"4WD"}</definedName>
    <definedName name="각방안_2" hidden="1">{#N/A,#N/A,FALSE,"단축1";#N/A,#N/A,FALSE,"단축2";#N/A,#N/A,FALSE,"단축3";#N/A,#N/A,FALSE,"장축";#N/A,#N/A,FALSE,"4WD"}</definedName>
    <definedName name="각자" hidden="1">{#N/A,#N/A,FALSE,"단축1";#N/A,#N/A,FALSE,"단축2";#N/A,#N/A,FALSE,"단축3";#N/A,#N/A,FALSE,"장축";#N/A,#N/A,FALSE,"4WD"}</definedName>
    <definedName name="간기능장애" hidden="1">{#N/A,#N/A,FALSE,"단축1";#N/A,#N/A,FALSE,"단축2";#N/A,#N/A,FALSE,"단축3";#N/A,#N/A,FALSE,"장축";#N/A,#N/A,FALSE,"4WD"}</definedName>
    <definedName name="간단" hidden="1">{#N/A,#N/A,FALSE,"단축1";#N/A,#N/A,FALSE,"단축2";#N/A,#N/A,FALSE,"단축3";#N/A,#N/A,FALSE,"장축";#N/A,#N/A,FALSE,"4WD"}</definedName>
    <definedName name="간섭" hidden="1">{#N/A,#N/A,FALSE,"단축1";#N/A,#N/A,FALSE,"단축2";#N/A,#N/A,FALSE,"단축3";#N/A,#N/A,FALSE,"장축";#N/A,#N/A,FALSE,"4WD"}</definedName>
    <definedName name="감" hidden="1">{"'표지'!$B$5"}</definedName>
    <definedName name="감가overall" hidden="1">{#N/A,#N/A,FALSE,"Aging Summary";#N/A,#N/A,FALSE,"Ratio Analysis";#N/A,#N/A,FALSE,"Test 120 Day Accts";#N/A,#N/A,FALSE,"Tickmarks"}</definedName>
    <definedName name="감사실시3" hidden="1">{#N/A,#N/A,FALSE,"단축1";#N/A,#N/A,FALSE,"단축2";#N/A,#N/A,FALSE,"단축3";#N/A,#N/A,FALSE,"장축";#N/A,#N/A,FALSE,"4WD"}</definedName>
    <definedName name="감자안이관" hidden="1">{#N/A,#N/A,FALSE,"정공"}</definedName>
    <definedName name="감자안이관_1" hidden="1">{#N/A,#N/A,FALSE,"정공"}</definedName>
    <definedName name="감지" hidden="1">{#N/A,#N/A,FALSE,"신규dep";#N/A,#N/A,FALSE,"신규dep-금형상각후";#N/A,#N/A,FALSE,"신규dep-연구비상각후";#N/A,#N/A,FALSE,"신규dep-기계,공구상각후"}</definedName>
    <definedName name="갑부" hidden="1">{#N/A,#N/A,FALSE,"인원";#N/A,#N/A,FALSE,"비용2";#N/A,#N/A,FALSE,"비용1";#N/A,#N/A,FALSE,"비용";#N/A,#N/A,FALSE,"보증2";#N/A,#N/A,FALSE,"보증1";#N/A,#N/A,FALSE,"보증";#N/A,#N/A,FALSE,"손익1";#N/A,#N/A,FALSE,"손익";#N/A,#N/A,FALSE,"부서별매출";#N/A,#N/A,FALSE,"매출"}</definedName>
    <definedName name="갑지1" hidden="1">{#N/A,#N/A,FALSE,"KMC최종회의(7월) 자료"}</definedName>
    <definedName name="강" hidden="1">{"'5'!$A$1:$BB$147"}</definedName>
    <definedName name="강_1" hidden="1">{#N/A,#N/A,FALSE,"단축1";#N/A,#N/A,FALSE,"단축2";#N/A,#N/A,FALSE,"단축3";#N/A,#N/A,FALSE,"장축";#N/A,#N/A,FALSE,"4WD"}</definedName>
    <definedName name="강각ㅇㅇㅇ" hidden="1">{#N/A,#N/A,FALSE,"단축1";#N/A,#N/A,FALSE,"단축2";#N/A,#N/A,FALSE,"단축3";#N/A,#N/A,FALSE,"장축";#N/A,#N/A,FALSE,"4WD"}</definedName>
    <definedName name="강강강" hidden="1">{#N/A,#N/A,TRUE,"Y생산";#N/A,#N/A,TRUE,"Y판매";#N/A,#N/A,TRUE,"Y총물량";#N/A,#N/A,TRUE,"Y능력";#N/A,#N/A,TRUE,"YKD"}</definedName>
    <definedName name="강강강_1" hidden="1">{#N/A,#N/A,TRUE,"Y생산";#N/A,#N/A,TRUE,"Y판매";#N/A,#N/A,TRUE,"Y총물량";#N/A,#N/A,TRUE,"Y능력";#N/A,#N/A,TRUE,"YKD"}</definedName>
    <definedName name="강강농" hidden="1">{#N/A,#N/A,FALSE,"단축1";#N/A,#N/A,FALSE,"단축2";#N/A,#N/A,FALSE,"단축3";#N/A,#N/A,FALSE,"장축";#N/A,#N/A,FALSE,"4WD"}</definedName>
    <definedName name="강계수" hidden="1">{#N/A,#N/A,FALSE,"단축1";#N/A,#N/A,FALSE,"단축2";#N/A,#N/A,FALSE,"단축3";#N/A,#N/A,FALSE,"장축";#N/A,#N/A,FALSE,"4WD"}</definedName>
    <definedName name="강계수1" hidden="1">{#N/A,#N/A,FALSE,"단축1";#N/A,#N/A,FALSE,"단축2";#N/A,#N/A,FALSE,"단축3";#N/A,#N/A,FALSE,"장축";#N/A,#N/A,FALSE,"4WD"}</definedName>
    <definedName name="강대천" hidden="1">{#N/A,#N/A,TRUE,"Y생산";#N/A,#N/A,TRUE,"Y판매";#N/A,#N/A,TRUE,"Y총물량";#N/A,#N/A,TRUE,"Y능력";#N/A,#N/A,TRUE,"YKD"}</definedName>
    <definedName name="강대천_1" hidden="1">{#N/A,#N/A,TRUE,"Y생산";#N/A,#N/A,TRUE,"Y판매";#N/A,#N/A,TRUE,"Y총물량";#N/A,#N/A,TRUE,"Y능력";#N/A,#N/A,TRUE,"YKD"}</definedName>
    <definedName name="강산에" hidden="1">{#N/A,#N/A,FALSE,"단축1";#N/A,#N/A,FALSE,"단축2";#N/A,#N/A,FALSE,"단축3";#N/A,#N/A,FALSE,"장축";#N/A,#N/A,FALSE,"4WD"}</definedName>
    <definedName name="강상구" hidden="1">{#N/A,#N/A,TRUE,"Y생산";#N/A,#N/A,TRUE,"Y판매";#N/A,#N/A,TRUE,"Y총물량";#N/A,#N/A,TRUE,"Y능력";#N/A,#N/A,TRUE,"YKD"}</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정진" hidden="1">{#N/A,#N/A,FALSE,"KMC최종회의(7월) 자료"}</definedName>
    <definedName name="강화시험" hidden="1">{#N/A,#N/A,FALSE,"단축1";#N/A,#N/A,FALSE,"단축2";#N/A,#N/A,FALSE,"단축3";#N/A,#N/A,FALSE,"장축";#N/A,#N/A,FALSE,"4WD"}</definedName>
    <definedName name="개" hidden="1">{#N/A,#N/A,TRUE,"Y생산";#N/A,#N/A,TRUE,"Y판매";#N/A,#N/A,TRUE,"Y총물량";#N/A,#N/A,TRUE,"Y능력";#N/A,#N/A,TRUE,"YKD"}</definedName>
    <definedName name="개_1" hidden="1">{#N/A,#N/A,TRUE,"Y생산";#N/A,#N/A,TRUE,"Y판매";#N/A,#N/A,TRUE,"Y총물량";#N/A,#N/A,TRUE,"Y능력";#N/A,#N/A,TRUE,"YKD"}</definedName>
    <definedName name="개구리" hidden="1">{#N/A,#N/A,TRUE,"Y생산";#N/A,#N/A,TRUE,"Y판매";#N/A,#N/A,TRUE,"Y총물량";#N/A,#N/A,TRUE,"Y능력";#N/A,#N/A,TRUE,"YKD"}</definedName>
    <definedName name="개념종합" hidden="1">{#N/A,#N/A,FALSE,"단축1";#N/A,#N/A,FALSE,"단축2";#N/A,#N/A,FALSE,"단축3";#N/A,#N/A,FALSE,"장축";#N/A,#N/A,FALSE,"4WD"}</definedName>
    <definedName name="개발" hidden="1">{#N/A,#N/A,FALSE,"단축1";#N/A,#N/A,FALSE,"단축2";#N/A,#N/A,FALSE,"단축3";#N/A,#N/A,FALSE,"장축";#N/A,#N/A,FALSE,"4WD"}</definedName>
    <definedName name="개발1" hidden="1">{#N/A,#N/A,FALSE,"KMC최종회의(7월) 자료"}</definedName>
    <definedName name="개발s" hidden="1">#REF!</definedName>
    <definedName name="개발관련" hidden="1">{#N/A,#N/A,FALSE,"96자동차사 계획";#N/A,#N/A,FALSE,"96자동차사 계획"}</definedName>
    <definedName name="개발매출02" hidden="1">#REF!</definedName>
    <definedName name="개발문제" hidden="1">{#N/A,#N/A,FALSE,"단축1";#N/A,#N/A,FALSE,"단축2";#N/A,#N/A,FALSE,"단축3";#N/A,#N/A,FALSE,"장축";#N/A,#N/A,FALSE,"4WD"}</definedName>
    <definedName name="개발문제범" hidden="1">{#N/A,#N/A,FALSE,"단축1";#N/A,#N/A,FALSE,"단축2";#N/A,#N/A,FALSE,"단축3";#N/A,#N/A,FALSE,"장축";#N/A,#N/A,FALSE,"4WD"}</definedName>
    <definedName name="개발문제범_1" hidden="1">{#N/A,#N/A,FALSE,"단축1";#N/A,#N/A,FALSE,"단축2";#N/A,#N/A,FALSE,"단축3";#N/A,#N/A,FALSE,"장축";#N/A,#N/A,FALSE,"4WD"}</definedName>
    <definedName name="개발문제범_2" hidden="1">{#N/A,#N/A,FALSE,"단축1";#N/A,#N/A,FALSE,"단축2";#N/A,#N/A,FALSE,"단축3";#N/A,#N/A,FALSE,"장축";#N/A,#N/A,FALSE,"4WD"}</definedName>
    <definedName name="개발방안" hidden="1">{#N/A,#N/A,FALSE,"단축1";#N/A,#N/A,FALSE,"단축2";#N/A,#N/A,FALSE,"단축3";#N/A,#N/A,FALSE,"장축";#N/A,#N/A,FALSE,"4WD"}</definedName>
    <definedName name="개발시험종합" hidden="1">#REF!</definedName>
    <definedName name="개발원단위" hidden="1">{#N/A,#N/A,FALSE,"단축1";#N/A,#N/A,FALSE,"단축2";#N/A,#N/A,FALSE,"단축3";#N/A,#N/A,FALSE,"장축";#N/A,#N/A,FALSE,"4WD"}</definedName>
    <definedName name="개발일정" hidden="1">{#N/A,#N/A,FALSE,"단축1";#N/A,#N/A,FALSE,"단축2";#N/A,#N/A,FALSE,"단축3";#N/A,#N/A,FALSE,"장축";#N/A,#N/A,FALSE,"4WD"}</definedName>
    <definedName name="개발일정_1" hidden="1">{#N/A,#N/A,FALSE,"단축1";#N/A,#N/A,FALSE,"단축2";#N/A,#N/A,FALSE,"단축3";#N/A,#N/A,FALSE,"장축";#N/A,#N/A,FALSE,"4WD"}</definedName>
    <definedName name="개발일정_2" hidden="1">{#N/A,#N/A,FALSE,"단축1";#N/A,#N/A,FALSE,"단축2";#N/A,#N/A,FALSE,"단축3";#N/A,#N/A,FALSE,"장축";#N/A,#N/A,FALSE,"4WD"}</definedName>
    <definedName name="개발일정수정" hidden="1">{#N/A,#N/A,FALSE,"단축1";#N/A,#N/A,FALSE,"단축2";#N/A,#N/A,FALSE,"단축3";#N/A,#N/A,FALSE,"장축";#N/A,#N/A,FALSE,"4WD"}</definedName>
    <definedName name="개발일정수정_1" hidden="1">{#N/A,#N/A,FALSE,"단축1";#N/A,#N/A,FALSE,"단축2";#N/A,#N/A,FALSE,"단축3";#N/A,#N/A,FALSE,"장축";#N/A,#N/A,FALSE,"4WD"}</definedName>
    <definedName name="개발일정수정_2" hidden="1">{#N/A,#N/A,FALSE,"단축1";#N/A,#N/A,FALSE,"단축2";#N/A,#N/A,FALSE,"단축3";#N/A,#N/A,FALSE,"장축";#N/A,#N/A,FALSE,"4WD"}</definedName>
    <definedName name="개발진척" hidden="1">{#N/A,#N/A,FALSE,"96자동차사 계획";#N/A,#N/A,FALSE,"96자동차사 계획"}</definedName>
    <definedName name="개발진척DSL" hidden="1">{#N/A,#N/A,FALSE,"96자동차사 계획";#N/A,#N/A,FALSE,"96자동차사 계획"}</definedName>
    <definedName name="개발품2" hidden="1">{#N/A,#N/A,TRUE,"Y생산";#N/A,#N/A,TRUE,"Y판매";#N/A,#N/A,TRUE,"Y총물량";#N/A,#N/A,TRUE,"Y능력";#N/A,#N/A,TRUE,"YKD"}</definedName>
    <definedName name="개발현황" hidden="1">#REF!</definedName>
    <definedName name="개발회의" hidden="1">{#N/A,#N/A,FALSE,"단축1";#N/A,#N/A,FALSE,"단축2";#N/A,#N/A,FALSE,"단축3";#N/A,#N/A,FALSE,"장축";#N/A,#N/A,FALSE,"4WD"}</definedName>
    <definedName name="개선" hidden="1">{#N/A,#N/A,FALSE,"단축1";#N/A,#N/A,FALSE,"단축2";#N/A,#N/A,FALSE,"단축3";#N/A,#N/A,FALSE,"장축";#N/A,#N/A,FALSE,"4WD"}</definedName>
    <definedName name="개선_1" hidden="1">{#N/A,#N/A,FALSE,"단축1";#N/A,#N/A,FALSE,"단축2";#N/A,#N/A,FALSE,"단축3";#N/A,#N/A,FALSE,"장축";#N/A,#N/A,FALSE,"4WD"}</definedName>
    <definedName name="개선_2" hidden="1">{#N/A,#N/A,FALSE,"단축1";#N/A,#N/A,FALSE,"단축2";#N/A,#N/A,FALSE,"단축3";#N/A,#N/A,FALSE,"장축";#N/A,#N/A,FALSE,"4WD"}</definedName>
    <definedName name="개선1" hidden="1">{#N/A,#N/A,FALSE,"신규dep";#N/A,#N/A,FALSE,"신규dep-금형상각후";#N/A,#N/A,FALSE,"신규dep-연구비상각후";#N/A,#N/A,FALSE,"신규dep-기계,공구상각후"}</definedName>
    <definedName name="개선6" hidden="1">{#N/A,#N/A,FALSE,"정공"}</definedName>
    <definedName name="개선계획1" hidden="1">{#N/A,#N/A,FALSE,"KMC최종회의(7월) 자료"}</definedName>
    <definedName name="개선과장1" hidden="1">{#N/A,#N/A,FALSE,"단축1";#N/A,#N/A,FALSE,"단축2";#N/A,#N/A,FALSE,"단축3";#N/A,#N/A,FALSE,"장축";#N/A,#N/A,FALSE,"4WD"}</definedName>
    <definedName name="개선과장1_1" hidden="1">{#N/A,#N/A,FALSE,"단축1";#N/A,#N/A,FALSE,"단축2";#N/A,#N/A,FALSE,"단축3";#N/A,#N/A,FALSE,"장축";#N/A,#N/A,FALSE,"4WD"}</definedName>
    <definedName name="개선과장2" hidden="1">{#N/A,#N/A,FALSE,"단축1";#N/A,#N/A,FALSE,"단축2";#N/A,#N/A,FALSE,"단축3";#N/A,#N/A,FALSE,"장축";#N/A,#N/A,FALSE,"4WD"}</definedName>
    <definedName name="개선과정" hidden="1">{#N/A,#N/A,FALSE,"단축1";#N/A,#N/A,FALSE,"단축2";#N/A,#N/A,FALSE,"단축3";#N/A,#N/A,FALSE,"장축";#N/A,#N/A,FALSE,"4WD"}</definedName>
    <definedName name="개선과정_1" hidden="1">{#N/A,#N/A,FALSE,"단축1";#N/A,#N/A,FALSE,"단축2";#N/A,#N/A,FALSE,"단축3";#N/A,#N/A,FALSE,"장축";#N/A,#N/A,FALSE,"4WD"}</definedName>
    <definedName name="개선과제1" hidden="1">{#N/A,#N/A,FALSE,"단축1";#N/A,#N/A,FALSE,"단축2";#N/A,#N/A,FALSE,"단축3";#N/A,#N/A,FALSE,"장축";#N/A,#N/A,FALSE,"4WD"}</definedName>
    <definedName name="개선과제1_1" hidden="1">{#N/A,#N/A,FALSE,"단축1";#N/A,#N/A,FALSE,"단축2";#N/A,#N/A,FALSE,"단축3";#N/A,#N/A,FALSE,"장축";#N/A,#N/A,FALSE,"4WD"}</definedName>
    <definedName name="개선내요" hidden="1">{#N/A,#N/A,TRUE,"Y생산";#N/A,#N/A,TRUE,"Y판매";#N/A,#N/A,TRUE,"Y총물량";#N/A,#N/A,TRUE,"Y능력";#N/A,#N/A,TRUE,"YKD"}</definedName>
    <definedName name="개선내용" hidden="1">{#N/A,#N/A,TRUE,"Y생산";#N/A,#N/A,TRUE,"Y판매";#N/A,#N/A,TRUE,"Y총물량";#N/A,#N/A,TRUE,"Y능력";#N/A,#N/A,TRUE,"YKD"}</definedName>
    <definedName name="개선내용_1" hidden="1">{#N/A,#N/A,TRUE,"Y생산";#N/A,#N/A,TRUE,"Y판매";#N/A,#N/A,TRUE,"Y총물량";#N/A,#N/A,TRUE,"Y능력";#N/A,#N/A,TRUE,"YKD"}</definedName>
    <definedName name="개선내용_2" hidden="1">{#N/A,#N/A,TRUE,"Y생산";#N/A,#N/A,TRUE,"Y판매";#N/A,#N/A,TRUE,"Y총물량";#N/A,#N/A,TRUE,"Y능력";#N/A,#N/A,TRUE,"YKD"}</definedName>
    <definedName name="개선실적" hidden="1">{#N/A,#N/A,TRUE,"Y생산";#N/A,#N/A,TRUE,"Y판매";#N/A,#N/A,TRUE,"Y총물량";#N/A,#N/A,TRUE,"Y능력";#N/A,#N/A,TRUE,"YKD"}</definedName>
    <definedName name="개선실적_1" hidden="1">{#N/A,#N/A,TRUE,"Y생산";#N/A,#N/A,TRUE,"Y판매";#N/A,#N/A,TRUE,"Y총물량";#N/A,#N/A,TRUE,"Y능력";#N/A,#N/A,TRUE,"YKD"}</definedName>
    <definedName name="개선실적_2" hidden="1">{#N/A,#N/A,TRUE,"Y생산";#N/A,#N/A,TRUE,"Y판매";#N/A,#N/A,TRUE,"Y총물량";#N/A,#N/A,TRUE,"Y능력";#N/A,#N/A,TRUE,"YKD"}</definedName>
    <definedName name="개선이력" hidden="1">{#N/A,#N/A,FALSE,"KMC최종회의(7월) 자료"}</definedName>
    <definedName name="개선이력_1" hidden="1">{#N/A,#N/A,FALSE,"KMC최종회의(7월) 자료"}</definedName>
    <definedName name="개선이력_2" hidden="1">{#N/A,#N/A,FALSE,"KMC최종회의(7월) 자료"}</definedName>
    <definedName name="개선전" hidden="1">{#N/A,#N/A,FALSE,"정공"}</definedName>
    <definedName name="개선전_1" hidden="1">{#N/A,#N/A,FALSE,"정공"}</definedName>
    <definedName name="개선전후사진" hidden="1">{#N/A,#N/A,FALSE,"KMC최종회의(7월) 자료"}</definedName>
    <definedName name="개선총괄" hidden="1">{#N/A,#N/A,FALSE,"정공"}</definedName>
    <definedName name="개선총괄_1" hidden="1">{#N/A,#N/A,FALSE,"정공"}</definedName>
    <definedName name="개선후손익" hidden="1">{#N/A,#N/A,TRUE,"Y생산";#N/A,#N/A,TRUE,"Y판매";#N/A,#N/A,TRUE,"Y총물량";#N/A,#N/A,TRUE,"Y능력";#N/A,#N/A,TRUE,"YKD"}</definedName>
    <definedName name="개선후손익_1" hidden="1">{#N/A,#N/A,TRUE,"Y생산";#N/A,#N/A,TRUE,"Y판매";#N/A,#N/A,TRUE,"Y총물량";#N/A,#N/A,TRUE,"Y능력";#N/A,#N/A,TRUE,"YKD"}</definedName>
    <definedName name="개요" hidden="1">{#N/A,#N/A,FALSE,"단축1";#N/A,#N/A,FALSE,"단축2";#N/A,#N/A,FALSE,"단축3";#N/A,#N/A,FALSE,"장축";#N/A,#N/A,FALSE,"4WD"}</definedName>
    <definedName name="개요_1" hidden="1">{#N/A,#N/A,FALSE,"단축1";#N/A,#N/A,FALSE,"단축2";#N/A,#N/A,FALSE,"단축3";#N/A,#N/A,FALSE,"장축";#N/A,#N/A,FALSE,"4WD"}</definedName>
    <definedName name="개요_2" hidden="1">{#N/A,#N/A,FALSE,"단축1";#N/A,#N/A,FALSE,"단축2";#N/A,#N/A,FALSE,"단축3";#N/A,#N/A,FALSE,"장축";#N/A,#N/A,FALSE,"4WD"}</definedName>
    <definedName name="개요1_첨부2" hidden="1">{#N/A,#N/A,FALSE,"단축1";#N/A,#N/A,FALSE,"단축2";#N/A,#N/A,FALSE,"단축3";#N/A,#N/A,FALSE,"장축";#N/A,#N/A,FALSE,"4WD"}</definedName>
    <definedName name="개요서" hidden="1">{#N/A,#N/A,TRUE,"일정"}</definedName>
    <definedName name="개조" hidden="1">{#N/A,#N/A,FALSE,"단축1";#N/A,#N/A,FALSE,"단축2";#N/A,#N/A,FALSE,"단축3";#N/A,#N/A,FALSE,"장축";#N/A,#N/A,FALSE,"4WD"}</definedName>
    <definedName name="개조전후CAPA비교" hidden="1">{#N/A,#N/A,FALSE,"KMC최종회의(7월) 자료"}</definedName>
    <definedName name="개조전후CAPA비교_1" hidden="1">{#N/A,#N/A,FALSE,"KMC최종회의(7월) 자료"}</definedName>
    <definedName name="개조전후CAPA비교_2" hidden="1">{#N/A,#N/A,FALSE,"KMC최종회의(7월) 자료"}</definedName>
    <definedName name="개ㅐㄹㅇ" hidden="1">{#N/A,#N/A,FALSE,"단축1";#N/A,#N/A,FALSE,"단축2";#N/A,#N/A,FALSE,"단축3";#N/A,#N/A,FALSE,"장축";#N/A,#N/A,FALSE,"4WD"}</definedName>
    <definedName name="객실원" hidden="1">#REF!</definedName>
    <definedName name="갤로" hidden="1">{#N/A,#N/A,FALSE,"정공"}</definedName>
    <definedName name="갤로_1" hidden="1">{#N/A,#N/A,FALSE,"정공"}</definedName>
    <definedName name="갤로_2" hidden="1">{#N/A,#N/A,FALSE,"정공"}</definedName>
    <definedName name="갤로_2_1" hidden="1">{#N/A,#N/A,FALSE,"정공"}</definedName>
    <definedName name="갤로_2_2" hidden="1">{#N/A,#N/A,FALSE,"정공"}</definedName>
    <definedName name="갤로_2_3" hidden="1">{#N/A,#N/A,FALSE,"정공"}</definedName>
    <definedName name="갤로_3" hidden="1">{#N/A,#N/A,FALSE,"정공"}</definedName>
    <definedName name="갤로_3_1" hidden="1">{#N/A,#N/A,FALSE,"정공"}</definedName>
    <definedName name="갤로_3_2" hidden="1">{#N/A,#N/A,FALSE,"정공"}</definedName>
    <definedName name="갤로_3_3" hidden="1">{#N/A,#N/A,FALSE,"정공"}</definedName>
    <definedName name="갤로_4" hidden="1">{#N/A,#N/A,FALSE,"정공"}</definedName>
    <definedName name="갤로_5" hidden="1">{#N/A,#N/A,FALSE,"정공"}</definedName>
    <definedName name="갸" hidden="1">{#N/A,#N/A,TRUE,"Y생산";#N/A,#N/A,TRUE,"Y판매";#N/A,#N/A,TRUE,"Y총물량";#N/A,#N/A,TRUE,"Y능력";#N/A,#N/A,TRUE,"YKD"}</definedName>
    <definedName name="갸_1" hidden="1">{#N/A,#N/A,TRUE,"Y생산";#N/A,#N/A,TRUE,"Y판매";#N/A,#N/A,TRUE,"Y총물량";#N/A,#N/A,TRUE,"Y능력";#N/A,#N/A,TRUE,"YKD"}</definedName>
    <definedName name="갸서2" hidden="1">{#N/A,#N/A,FALSE,"단축1";#N/A,#N/A,FALSE,"단축2";#N/A,#N/A,FALSE,"단축3";#N/A,#N/A,FALSE,"장축";#N/A,#N/A,FALSE,"4WD"}</definedName>
    <definedName name="걍" hidden="1">{#N/A,#N/A,FALSE,"단축1";#N/A,#N/A,FALSE,"단축2";#N/A,#N/A,FALSE,"단축3";#N/A,#N/A,FALSE,"장축";#N/A,#N/A,FALSE,"4WD"}</definedName>
    <definedName name="거" hidden="1">{#N/A,#N/A,FALSE,"단축1";#N/A,#N/A,FALSE,"단축2";#N/A,#N/A,FALSE,"단축3";#N/A,#N/A,FALSE,"장축";#N/A,#N/A,FALSE,"4WD"}</definedName>
    <definedName name="거거" hidden="1">{#N/A,#N/A,TRUE,"Y생산";#N/A,#N/A,TRUE,"Y판매";#N/A,#N/A,TRUE,"Y총물량";#N/A,#N/A,TRUE,"Y능력";#N/A,#N/A,TRUE,"YKD"}</definedName>
    <definedName name="거너" hidden="1">{#N/A,#N/A,FALSE,"단축1";#N/A,#N/A,FALSE,"단축2";#N/A,#N/A,FALSE,"단축3";#N/A,#N/A,FALSE,"장축";#N/A,#N/A,FALSE,"4WD"}</definedName>
    <definedName name="거아러" hidden="1">{#N/A,#N/A,FALSE,"단축1";#N/A,#N/A,FALSE,"단축2";#N/A,#N/A,FALSE,"단축3";#N/A,#N/A,FALSE,"장축";#N/A,#N/A,FALSE,"4WD"}</definedName>
    <definedName name="건설부동산" hidden="1">#REF!</definedName>
    <definedName name="건설트럭" hidden="1">{#N/A,#N/A,FALSE,"신규dep";#N/A,#N/A,FALSE,"신규dep-금형상각후";#N/A,#N/A,FALSE,"신규dep-연구비상각후";#N/A,#N/A,FALSE,"신규dep-기계,공구상각후"}</definedName>
    <definedName name="건열" hidden="1">{#N/A,#N/A,TRUE,"Y생산";#N/A,#N/A,TRUE,"Y판매";#N/A,#N/A,TRUE,"Y총물량";#N/A,#N/A,TRUE,"Y능력";#N/A,#N/A,TRUE,"YKD"}</definedName>
    <definedName name="건열_1" hidden="1">{#N/A,#N/A,TRUE,"Y생산";#N/A,#N/A,TRUE,"Y판매";#N/A,#N/A,TRUE,"Y총물량";#N/A,#N/A,TRUE,"Y능력";#N/A,#N/A,TRUE,"YKD"}</definedName>
    <definedName name="건조과" hidden="1">{"'매출계획'!$D$2"}</definedName>
    <definedName name="걸" hidden="1">{#N/A,#N/A,FALSE,"단축1";#N/A,#N/A,FALSE,"단축2";#N/A,#N/A,FALSE,"단축3";#N/A,#N/A,FALSE,"장축";#N/A,#N/A,FALSE,"4WD"}</definedName>
    <definedName name="걸껄" hidden="1">{#N/A,#N/A,TRUE,"Y생산";#N/A,#N/A,TRUE,"Y판매";#N/A,#N/A,TRUE,"Y총물량";#N/A,#N/A,TRUE,"Y능력";#N/A,#N/A,TRUE,"YKD"}</definedName>
    <definedName name="검사구투자비" hidden="1">{#N/A,#N/A,FALSE,"단축1";#N/A,#N/A,FALSE,"단축2";#N/A,#N/A,FALSE,"단축3";#N/A,#N/A,FALSE,"장축";#N/A,#N/A,FALSE,"4WD"}</definedName>
    <definedName name="검사기준서" hidden="1">{#N/A,#N/A,FALSE,"업체선정";#N/A,#N/A,FALSE,"업체선정sheet";#N/A,#N/A,FALSE,"업체실태";#N/A,#N/A,FALSE,"업체실태(1)";#N/A,#N/A,FALSE,"종업원현황(2)";#N/A,#N/A,FALSE,"생산품목(3)";#N/A,#N/A,FALSE,"장비보유현황";#N/A,#N/A,FALSE,"차량및약도";#N/A,#N/A,FALSE,"금형LIST"}</definedName>
    <definedName name="검사기준서3" hidden="1">{#N/A,#N/A,FALSE,"단축1";#N/A,#N/A,FALSE,"단축2";#N/A,#N/A,FALSE,"단축3";#N/A,#N/A,FALSE,"장축";#N/A,#N/A,FALSE,"4WD"}</definedName>
    <definedName name="검사기준서ASSY갑2" hidden="1">{#N/A,#N/A,FALSE,"단축1";#N/A,#N/A,FALSE,"단축2";#N/A,#N/A,FALSE,"단축3";#N/A,#N/A,FALSE,"장축";#N/A,#N/A,FALSE,"4WD"}</definedName>
    <definedName name="검사기준서하니웰" hidden="1">{#N/A,#N/A,FALSE,"단축1";#N/A,#N/A,FALSE,"단축2";#N/A,#N/A,FALSE,"단축3";#N/A,#N/A,FALSE,"장축";#N/A,#N/A,FALSE,"4WD"}</definedName>
    <definedName name="검사성적서2" hidden="1">{#N/A,#N/A,FALSE,"단축1";#N/A,#N/A,FALSE,"단축2";#N/A,#N/A,FALSE,"단축3";#N/A,#N/A,FALSE,"장축";#N/A,#N/A,FALSE,"4WD"}</definedName>
    <definedName name="검사을" hidden="1">{#N/A,#N/A,FALSE,"단축1";#N/A,#N/A,FALSE,"단축2";#N/A,#N/A,FALSE,"단축3";#N/A,#N/A,FALSE,"장축";#N/A,#N/A,FALSE,"4WD"}</definedName>
    <definedName name="검사혈" hidden="1">{#N/A,#N/A,FALSE,"단축1";#N/A,#N/A,FALSE,"단축2";#N/A,#N/A,FALSE,"단축3";#N/A,#N/A,FALSE,"장축";#N/A,#N/A,FALSE,"4WD"}</definedName>
    <definedName name="검토" hidden="1">{#N/A,#N/A,FALSE,"단축1";#N/A,#N/A,FALSE,"단축2";#N/A,#N/A,FALSE,"단축3";#N/A,#N/A,FALSE,"장축";#N/A,#N/A,FALSE,"4WD"}</definedName>
    <definedName name="검토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3" hidden="1">{#N/A,#N/A,FALSE,"단축1";#N/A,#N/A,FALSE,"단축2";#N/A,#N/A,FALSE,"단축3";#N/A,#N/A,FALSE,"장축";#N/A,#N/A,FALSE,"4WD"}</definedName>
    <definedName name="검토6학" hidden="1">{#N/A,#N/A,FALSE,"단축1";#N/A,#N/A,FALSE,"단축2";#N/A,#N/A,FALSE,"단축3";#N/A,#N/A,FALSE,"장축";#N/A,#N/A,FALSE,"4WD"}</definedName>
    <definedName name="검토보고" hidden="1">{#N/A,#N/A,TRUE,"Y생산";#N/A,#N/A,TRUE,"Y판매";#N/A,#N/A,TRUE,"Y총물량";#N/A,#N/A,TRUE,"Y능력";#N/A,#N/A,TRUE,"YKD"}</definedName>
    <definedName name="검토중Q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협갑지" hidden="1">#REF!</definedName>
    <definedName name="겉장" hidden="1">{#N/A,#N/A,FALSE,"단축1";#N/A,#N/A,FALSE,"단축2";#N/A,#N/A,FALSE,"단축3";#N/A,#N/A,FALSE,"장축";#N/A,#N/A,FALSE,"4WD"}</definedName>
    <definedName name="겉장_1" hidden="1">{#N/A,#N/A,FALSE,"단축1";#N/A,#N/A,FALSE,"단축2";#N/A,#N/A,FALSE,"단축3";#N/A,#N/A,FALSE,"장축";#N/A,#N/A,FALSE,"4WD"}</definedName>
    <definedName name="겉장_2" hidden="1">{#N/A,#N/A,FALSE,"단축1";#N/A,#N/A,FALSE,"단축2";#N/A,#N/A,FALSE,"단축3";#N/A,#N/A,FALSE,"장축";#N/A,#N/A,FALSE,"4WD"}</definedName>
    <definedName name="겉장1" hidden="1">{#N/A,#N/A,FALSE,"단축1";#N/A,#N/A,FALSE,"단축2";#N/A,#N/A,FALSE,"단축3";#N/A,#N/A,FALSE,"장축";#N/A,#N/A,FALSE,"4WD"}</definedName>
    <definedName name="겉장1_1" hidden="1">{#N/A,#N/A,FALSE,"단축1";#N/A,#N/A,FALSE,"단축2";#N/A,#N/A,FALSE,"단축3";#N/A,#N/A,FALSE,"장축";#N/A,#N/A,FALSE,"4WD"}</definedName>
    <definedName name="겉장1_2" hidden="1">{#N/A,#N/A,FALSE,"단축1";#N/A,#N/A,FALSE,"단축2";#N/A,#N/A,FALSE,"단축3";#N/A,#N/A,FALSE,"장축";#N/A,#N/A,FALSE,"4WD"}</definedName>
    <definedName name="겉지" hidden="1">{#N/A,#N/A,FALSE,"단축1";#N/A,#N/A,FALSE,"단축2";#N/A,#N/A,FALSE,"단축3";#N/A,#N/A,FALSE,"장축";#N/A,#N/A,FALSE,"4WD"}</definedName>
    <definedName name="겉지_1" hidden="1">{#N/A,#N/A,FALSE,"단축1";#N/A,#N/A,FALSE,"단축2";#N/A,#N/A,FALSE,"단축3";#N/A,#N/A,FALSE,"장축";#N/A,#N/A,FALSE,"4WD"}</definedName>
    <definedName name="겉지_2" hidden="1">{#N/A,#N/A,FALSE,"단축1";#N/A,#N/A,FALSE,"단축2";#N/A,#N/A,FALSE,"단축3";#N/A,#N/A,FALSE,"장축";#N/A,#N/A,FALSE,"4WD"}</definedName>
    <definedName name="게" hidden="1">{#N/A,#N/A,FALSE,"단축1";#N/A,#N/A,FALSE,"단축2";#N/A,#N/A,FALSE,"단축3";#N/A,#N/A,FALSE,"장축";#N/A,#N/A,FALSE,"4WD"}</definedName>
    <definedName name="겨겨겨겨겨겨겨겨겨겨겨겨겨겨샤샤샤샤샤샤샤샤샤샤샤샤샤샤샤샷" hidden="1">{#N/A,#N/A,FALSE,"KMC최종회의(7월) 자료"}</definedName>
    <definedName name="겨교ㅕ교ㅕㄱ" hidden="1">{#N/A,#N/A,FALSE,"KMC최종회의(7월) 자료"}</definedName>
    <definedName name="견적" hidden="1">{#N/A,#N/A,FALSE,"단축1";#N/A,#N/A,FALSE,"단축2";#N/A,#N/A,FALSE,"단축3";#N/A,#N/A,FALSE,"장축";#N/A,#N/A,FALSE,"4WD"}</definedName>
    <definedName name="견적1" hidden="1">{#N/A,#N/A,TRUE,"매출진척-1";#N/A,#N/A,TRUE,"매출진척-2";#N/A,#N/A,TRUE,"제품실적";#N/A,#N/A,TRUE,"RAC";#N/A,#N/A,TRUE,"PAC ";#N/A,#N/A,TRUE,"재고현황";#N/A,#N/A,TRUE,"공지사항"}</definedName>
    <definedName name="견적123" hidden="1">{#N/A,#N/A,FALSE,"단축1";#N/A,#N/A,FALSE,"단축2";#N/A,#N/A,FALSE,"단축3";#N/A,#N/A,FALSE,"장축";#N/A,#N/A,FALSE,"4WD"}</definedName>
    <definedName name="견적2" hidden="1">{#N/A,#N/A,FALSE,"단축1";#N/A,#N/A,FALSE,"단축2";#N/A,#N/A,FALSE,"단축3";#N/A,#N/A,FALSE,"장축";#N/A,#N/A,FALSE,"4WD"}</definedName>
    <definedName name="견적list3" hidden="1">{#N/A,#N/A,FALSE,"단축1";#N/A,#N/A,FALSE,"단축2";#N/A,#N/A,FALSE,"단축3";#N/A,#N/A,FALSE,"장축";#N/A,#N/A,FALSE,"4WD"}</definedName>
    <definedName name="견적서" hidden="1">{#N/A,#N/A,TRUE,"Y생산";#N/A,#N/A,TRUE,"Y판매";#N/A,#N/A,TRUE,"Y총물량";#N/A,#N/A,TRUE,"Y능력";#N/A,#N/A,TRUE,"YKD"}</definedName>
    <definedName name="견적양식" hidden="1">{#N/A,#N/A,FALSE,"단축1";#N/A,#N/A,FALSE,"단축2";#N/A,#N/A,FALSE,"단축3";#N/A,#N/A,FALSE,"장축";#N/A,#N/A,FALSE,"4WD"}</definedName>
    <definedName name="견적양식1" hidden="1">{#N/A,#N/A,TRUE,"Y생산";#N/A,#N/A,TRUE,"Y판매";#N/A,#N/A,TRUE,"Y총물량";#N/A,#N/A,TRUE,"Y능력";#N/A,#N/A,TRUE,"YKD"}</definedName>
    <definedName name="견적용약" hidden="1">{"'TS-A'!$A$1:$K$155","'견적서'!$A$1:$H$161"}</definedName>
    <definedName name="견적차이" hidden="1">{#N/A,#N/A,FALSE,"단축1";#N/A,#N/A,FALSE,"단축2";#N/A,#N/A,FALSE,"단축3";#N/A,#N/A,FALSE,"장축";#N/A,#N/A,FALSE,"4WD"}</definedName>
    <definedName name="견적차이1" hidden="1">{#N/A,#N/A,FALSE,"단축1";#N/A,#N/A,FALSE,"단축2";#N/A,#N/A,FALSE,"단축3";#N/A,#N/A,FALSE,"장축";#N/A,#N/A,FALSE,"4WD"}</definedName>
    <definedName name="견적투자비" hidden="1">{#N/A,#N/A,FALSE,"단축1";#N/A,#N/A,FALSE,"단축2";#N/A,#N/A,FALSE,"단축3";#N/A,#N/A,FALSE,"장축";#N/A,#N/A,FALSE,"4WD"}</definedName>
    <definedName name="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결재용" hidden="1">{#N/A,#N/A,FALSE,"단축1";#N/A,#N/A,FALSE,"단축2";#N/A,#N/A,FALSE,"단축3";#N/A,#N/A,FALSE,"장축";#N/A,#N/A,FALSE,"4WD"}</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5" hidden="1">{#N/A,#N/A,FALSE,"단축1";#N/A,#N/A,FALSE,"단축2";#N/A,#N/A,FALSE,"단축3";#N/A,#N/A,FALSE,"장축";#N/A,#N/A,FALSE,"4WD"}</definedName>
    <definedName name="경DJ" hidden="1">{#N/A,#N/A,FALSE,"단축1";#N/A,#N/A,FALSE,"단축2";#N/A,#N/A,FALSE,"단축3";#N/A,#N/A,FALSE,"장축";#N/A,#N/A,FALSE,"4WD"}</definedName>
    <definedName name="경련" hidden="1">{"'KET'!$A$1:$E$2423"}</definedName>
    <definedName name="경로" hidden="1">{#N/A,#N/A,TRUE,"Y생산";#N/A,#N/A,TRUE,"Y판매";#N/A,#N/A,TRUE,"Y총물량";#N/A,#N/A,TRUE,"Y능력";#N/A,#N/A,TRUE,"YKD"}</definedName>
    <definedName name="경로_1" hidden="1">{#N/A,#N/A,TRUE,"Y생산";#N/A,#N/A,TRUE,"Y판매";#N/A,#N/A,TRUE,"Y총물량";#N/A,#N/A,TRUE,"Y능력";#N/A,#N/A,TRUE,"YKD"}</definedName>
    <definedName name="경로도" hidden="1">{"'7-2지역별'!$A$1:$R$44"}</definedName>
    <definedName name="경로별" hidden="1">{"'5'!$A$1:$BB$147"}</definedName>
    <definedName name="경리손익" hidden="1">{#N/A,#N/A,FALSE,"정공"}</definedName>
    <definedName name="경리손익_1" hidden="1">{#N/A,#N/A,FALSE,"정공"}</definedName>
    <definedName name="경리손익_2" hidden="1">{#N/A,#N/A,FALSE,"정공"}</definedName>
    <definedName name="경미" hidden="1">{"'7-2지역별'!$A$1:$R$44"}</definedName>
    <definedName name="경미1" hidden="1">{"'7-2지역별'!$A$1:$R$44"}</definedName>
    <definedName name="경민" hidden="1">{#N/A,#N/A,FALSE,"단축1";#N/A,#N/A,FALSE,"단축2";#N/A,#N/A,FALSE,"단축3";#N/A,#N/A,FALSE,"장축";#N/A,#N/A,FALSE,"4WD"}</definedName>
    <definedName name="경민_1" hidden="1">{#N/A,#N/A,FALSE,"단축1";#N/A,#N/A,FALSE,"단축2";#N/A,#N/A,FALSE,"단축3";#N/A,#N/A,FALSE,"장축";#N/A,#N/A,FALSE,"4WD"}</definedName>
    <definedName name="경비" hidden="1">{#N/A,#N/A,FALSE,"KMC최종회의(7월) 자료"}</definedName>
    <definedName name="경비_1" hidden="1">{#N/A,#N/A,FALSE,"KMC최종회의(7월) 자료"}</definedName>
    <definedName name="경비_2" hidden="1">{#N/A,#N/A,FALSE,"KMC최종회의(7월) 자료"}</definedName>
    <definedName name="경비3" hidden="1">{#N/A,#N/A,FALSE,"KMC최종회의(7월) 자료"}</definedName>
    <definedName name="경비3차" hidden="1">{#N/A,#N/A,FALSE,"정공"}</definedName>
    <definedName name="경비3차_1" hidden="1">{#N/A,#N/A,FALSE,"정공"}</definedName>
    <definedName name="경비3차_2" hidden="1">{#N/A,#N/A,FALSE,"정공"}</definedName>
    <definedName name="경비관리비" hidden="1">{#N/A,#N/A,FALSE,"단축1";#N/A,#N/A,FALSE,"단축2";#N/A,#N/A,FALSE,"단축3";#N/A,#N/A,FALSE,"장축";#N/A,#N/A,FALSE,"4WD"}</definedName>
    <definedName name="경비래요" hidden="1">{#N/A,#N/A,FALSE,"정공"}</definedName>
    <definedName name="경비래요_1" hidden="1">{#N/A,#N/A,FALSE,"정공"}</definedName>
    <definedName name="경비래요_2" hidden="1">{#N/A,#N/A,FALSE,"정공"}</definedName>
    <definedName name="경비신" hidden="1">{#N/A,#N/A,FALSE,"단축1";#N/A,#N/A,FALSE,"단축2";#N/A,#N/A,FALSE,"단축3";#N/A,#N/A,FALSE,"장축";#N/A,#N/A,FALSE,"4WD"}</definedName>
    <definedName name="경비실적" hidden="1">{#N/A,#N/A,FALSE,"정공"}</definedName>
    <definedName name="경비실적_1" hidden="1">{#N/A,#N/A,FALSE,"정공"}</definedName>
    <definedName name="경비실적_2" hidden="1">{#N/A,#N/A,FALSE,"정공"}</definedName>
    <definedName name="경비실적_2_1" hidden="1">{#N/A,#N/A,FALSE,"정공"}</definedName>
    <definedName name="경비실적_2_2" hidden="1">{#N/A,#N/A,FALSE,"정공"}</definedName>
    <definedName name="경비실적_2_3" hidden="1">{#N/A,#N/A,FALSE,"정공"}</definedName>
    <definedName name="경비실적_3" hidden="1">{#N/A,#N/A,FALSE,"정공"}</definedName>
    <definedName name="경비실적_3_1" hidden="1">{#N/A,#N/A,FALSE,"정공"}</definedName>
    <definedName name="경비실적_3_2" hidden="1">{#N/A,#N/A,FALSE,"정공"}</definedName>
    <definedName name="경비실적_3_3" hidden="1">{#N/A,#N/A,FALSE,"정공"}</definedName>
    <definedName name="경비실적_4" hidden="1">{#N/A,#N/A,FALSE,"정공"}</definedName>
    <definedName name="경비실적_5" hidden="1">{#N/A,#N/A,FALSE,"정공"}</definedName>
    <definedName name="경비예산" hidden="1">{#N/A,#N/A,FALSE,"단축1";#N/A,#N/A,FALSE,"단축2";#N/A,#N/A,FALSE,"단축3";#N/A,#N/A,FALSE,"장축";#N/A,#N/A,FALSE,"4WD"}</definedName>
    <definedName name="경비확인" hidden="1">{#N/A,#N/A,FALSE,"단축1";#N/A,#N/A,FALSE,"단축2";#N/A,#N/A,FALSE,"단축3";#N/A,#N/A,FALSE,"장축";#N/A,#N/A,FALSE,"4WD"}</definedName>
    <definedName name="경상비8월" hidden="1">{#N/A,#N/A,FALSE,"단축1";#N/A,#N/A,FALSE,"단축2";#N/A,#N/A,FALSE,"단축3";#N/A,#N/A,FALSE,"장축";#N/A,#N/A,FALSE,"4WD"}</definedName>
    <definedName name="경상비8월_1" hidden="1">{#N/A,#N/A,FALSE,"단축1";#N/A,#N/A,FALSE,"단축2";#N/A,#N/A,FALSE,"단축3";#N/A,#N/A,FALSE,"장축";#N/A,#N/A,FALSE,"4WD"}</definedName>
    <definedName name="경상이동" hidden="1">{#N/A,#N/A,FALSE,"정공"}</definedName>
    <definedName name="경상이익" hidden="1">{#N/A,#N/A,FALSE,"정공"}</definedName>
    <definedName name="경영" hidden="1">{#N/A,#N/A,FALSE,"KMC최종회의(7월) 자료"}</definedName>
    <definedName name="경영_1" hidden="1">{#N/A,#N/A,FALSE,"KMC최종회의(7월) 자료"}</definedName>
    <definedName name="경영_2" hidden="1">{#N/A,#N/A,FALSE,"KMC최종회의(7월) 자료"}</definedName>
    <definedName name="경영1" hidden="1">{#N/A,#N/A,FALSE,"KMC최종회의(7월) 자료"}</definedName>
    <definedName name="경영계획MT" hidden="1">{#N/A,#N/A,FALSE,"정공"}</definedName>
    <definedName name="경영계획MT_1" hidden="1">{#N/A,#N/A,FALSE,"정공"}</definedName>
    <definedName name="경인모듈" hidden="1">{#N/A,#N/A,FALSE,"KMC최종회의(7월) 자료"}</definedName>
    <definedName name="경자" hidden="1">{#N/A,#N/A,TRUE,"Y생산";#N/A,#N/A,TRUE,"Y판매";#N/A,#N/A,TRUE,"Y총물량";#N/A,#N/A,TRUE,"Y능력";#N/A,#N/A,TRUE,"YKD"}</definedName>
    <definedName name="경쟁사동향" hidden="1">{#N/A,#N/A,FALSE,"KMC최종회의(7월) 자료"}</definedName>
    <definedName name="경주경주" hidden="1">{#N/A,#N/A,FALSE,"KMC최종회의(7월) 자료"}</definedName>
    <definedName name="경주경주_1" hidden="1">{#N/A,#N/A,FALSE,"KMC최종회의(7월) 자료"}</definedName>
    <definedName name="경주경주_2" hidden="1">{#N/A,#N/A,FALSE,"KMC최종회의(7월) 자료"}</definedName>
    <definedName name="경주기록" hidden="1">{#N/A,#N/A,FALSE,"KMC최종회의(7월) 자료"}</definedName>
    <definedName name="경주기록_1" hidden="1">{#N/A,#N/A,FALSE,"KMC최종회의(7월) 자료"}</definedName>
    <definedName name="경주기록_2" hidden="1">{#N/A,#N/A,FALSE,"KMC최종회의(7월) 자료"}</definedName>
    <definedName name="경차" hidden="1">{#N/A,#N/A,TRUE,"Y생산";#N/A,#N/A,TRUE,"Y판매";#N/A,#N/A,TRUE,"Y총물량";#N/A,#N/A,TRUE,"Y능력";#N/A,#N/A,TRUE,"YKD"}</definedName>
    <definedName name="경차_1" hidden="1">{#N/A,#N/A,TRUE,"Y생산";#N/A,#N/A,TRUE,"Y판매";#N/A,#N/A,TRUE,"Y총물량";#N/A,#N/A,TRUE,"Y능력";#N/A,#N/A,TRUE,"YKD"}</definedName>
    <definedName name="경차_2" hidden="1">{#N/A,#N/A,TRUE,"Y생산";#N/A,#N/A,TRUE,"Y판매";#N/A,#N/A,TRUE,"Y총물량";#N/A,#N/A,TRUE,"Y능력";#N/A,#N/A,TRUE,"YKD"}</definedName>
    <definedName name="경합금2과운연계획" hidden="1">{#N/A,#N/A,TRUE,"Y생산";#N/A,#N/A,TRUE,"Y판매";#N/A,#N/A,TRUE,"Y총물량";#N/A,#N/A,TRUE,"Y능력";#N/A,#N/A,TRUE,"YKD"}</definedName>
    <definedName name="경합금2과운연계획_1" hidden="1">{#N/A,#N/A,TRUE,"Y생산";#N/A,#N/A,TRUE,"Y판매";#N/A,#N/A,TRUE,"Y총물량";#N/A,#N/A,TRUE,"Y능력";#N/A,#N/A,TRUE,"YKD"}</definedName>
    <definedName name="계" hidden="1">{#N/A,#N/A,FALSE,"단축1";#N/A,#N/A,FALSE,"단축2";#N/A,#N/A,FALSE,"단축3";#N/A,#N/A,FALSE,"장축";#N/A,#N/A,FALSE,"4WD"}</definedName>
    <definedName name="계1" hidden="1">{#N/A,#N/A,FALSE,"단축1";#N/A,#N/A,FALSE,"단축2";#N/A,#N/A,FALSE,"단축3";#N/A,#N/A,FALSE,"장축";#N/A,#N/A,FALSE,"4WD"}</definedName>
    <definedName name="계1소형" hidden="1">{#N/A,#N/A,TRUE,"Y생산";#N/A,#N/A,TRUE,"Y판매";#N/A,#N/A,TRUE,"Y총물량";#N/A,#N/A,TRUE,"Y능력";#N/A,#N/A,TRUE,"YKD"}</definedName>
    <definedName name="계1소형_1" hidden="1">{#N/A,#N/A,TRUE,"Y생산";#N/A,#N/A,TRUE,"Y판매";#N/A,#N/A,TRUE,"Y총물량";#N/A,#N/A,TRUE,"Y능력";#N/A,#N/A,TRUE,"YKD"}</definedName>
    <definedName name="계산근거용" hidden="1">{#N/A,#N/A,FALSE,"KMC최종회의(7월) 자료"}</definedName>
    <definedName name="계산근거용_1" hidden="1">{#N/A,#N/A,FALSE,"KMC최종회의(7월) 자료"}</definedName>
    <definedName name="계산서1" hidden="1">{#N/A,#N/A,TRUE,"Y생산";#N/A,#N/A,TRUE,"Y판매";#N/A,#N/A,TRUE,"Y총물량";#N/A,#N/A,TRUE,"Y능력";#N/A,#N/A,TRUE,"YKD"}</definedName>
    <definedName name="계산요약표" hidden="1">{#N/A,#N/A,FALSE,"정공"}</definedName>
    <definedName name="계산요약표_1" hidden="1">{#N/A,#N/A,FALSE,"정공"}</definedName>
    <definedName name="계선계획1" hidden="1">{#N/A,#N/A,FALSE,"KMC최종회의(7월) 자료"}</definedName>
    <definedName name="계정별투자총괄" hidden="1">{#N/A,#N/A,FALSE,"단축1";#N/A,#N/A,FALSE,"단축2";#N/A,#N/A,FALSE,"단축3";#N/A,#N/A,FALSE,"장축";#N/A,#N/A,FALSE,"4WD"}</definedName>
    <definedName name="계정별투자총괄_1" hidden="1">{#N/A,#N/A,FALSE,"단축1";#N/A,#N/A,FALSE,"단축2";#N/A,#N/A,FALSE,"단축3";#N/A,#N/A,FALSE,"장축";#N/A,#N/A,FALSE,"4WD"}</definedName>
    <definedName name="계정종합표" hidden="1">{#N/A,#N/A,TRUE,"Y생산";#N/A,#N/A,TRUE,"Y판매";#N/A,#N/A,TRUE,"Y총물량";#N/A,#N/A,TRUE,"Y능력";#N/A,#N/A,TRUE,"YKD"}</definedName>
    <definedName name="계정종합표_1" hidden="1">{#N/A,#N/A,TRUE,"Y생산";#N/A,#N/A,TRUE,"Y판매";#N/A,#N/A,TRUE,"Y총물량";#N/A,#N/A,TRUE,"Y능력";#N/A,#N/A,TRUE,"YKD"}</definedName>
    <definedName name="계측기" hidden="1">{#N/A,#N/A,FALSE,"단축1";#N/A,#N/A,FALSE,"단축2";#N/A,#N/A,FALSE,"단축3";#N/A,#N/A,FALSE,"장축";#N/A,#N/A,FALSE,"4WD"}</definedName>
    <definedName name="계획" hidden="1">{#N/A,#N/A,FALSE,"정공"}</definedName>
    <definedName name="계획.1" hidden="1">{#N/A,#N/A,FALSE,"단축1";#N/A,#N/A,FALSE,"단축2";#N/A,#N/A,FALSE,"단축3";#N/A,#N/A,FALSE,"장축";#N/A,#N/A,FALSE,"4WD"}</definedName>
    <definedName name="계획.1_1" hidden="1">{#N/A,#N/A,FALSE,"단축1";#N/A,#N/A,FALSE,"단축2";#N/A,#N/A,FALSE,"단축3";#N/A,#N/A,FALSE,"장축";#N/A,#N/A,FALSE,"4WD"}</definedName>
    <definedName name="계획_1" hidden="1">{#N/A,#N/A,FALSE,"정공"}</definedName>
    <definedName name="계획_2" hidden="1">{#N/A,#N/A,FALSE,"정공"}</definedName>
    <definedName name="계획1" hidden="1">{#N/A,#N/A,FALSE,"단축1";#N/A,#N/A,FALSE,"단축2";#N/A,#N/A,FALSE,"단축3";#N/A,#N/A,FALSE,"장축";#N/A,#N/A,FALSE,"4WD"}</definedName>
    <definedName name="계획1_1" hidden="1">{#N/A,#N/A,FALSE,"단축1";#N/A,#N/A,FALSE,"단축2";#N/A,#N/A,FALSE,"단축3";#N/A,#N/A,FALSE,"장축";#N/A,#N/A,FALSE,"4WD"}</definedName>
    <definedName name="계획2" hidden="1">{#N/A,#N/A,FALSE,"정공"}</definedName>
    <definedName name="계획2_1" hidden="1">{#N/A,#N/A,FALSE,"정공"}</definedName>
    <definedName name="계획2_2" hidden="1">{#N/A,#N/A,FALSE,"정공"}</definedName>
    <definedName name="계획2_2_1" hidden="1">{#N/A,#N/A,FALSE,"정공"}</definedName>
    <definedName name="계획2_2_2" hidden="1">{#N/A,#N/A,FALSE,"정공"}</definedName>
    <definedName name="계획2_2_3" hidden="1">{#N/A,#N/A,FALSE,"정공"}</definedName>
    <definedName name="계획2_3" hidden="1">{#N/A,#N/A,FALSE,"정공"}</definedName>
    <definedName name="계획2_3_1" hidden="1">{#N/A,#N/A,FALSE,"정공"}</definedName>
    <definedName name="계획2_3_2" hidden="1">{#N/A,#N/A,FALSE,"정공"}</definedName>
    <definedName name="계획2_3_3" hidden="1">{#N/A,#N/A,FALSE,"정공"}</definedName>
    <definedName name="계획2_4" hidden="1">{#N/A,#N/A,FALSE,"정공"}</definedName>
    <definedName name="계획2_5" hidden="1">{#N/A,#N/A,FALSE,"정공"}</definedName>
    <definedName name="계획3" hidden="1">{#N/A,#N/A,FALSE,"KMC최종회의(7월) 자료"}</definedName>
    <definedName name="계획대비실적" hidden="1">{#N/A,#N/A,TRUE,"Y생산";#N/A,#N/A,TRUE,"Y판매";#N/A,#N/A,TRUE,"Y총물량";#N/A,#N/A,TRUE,"Y능력";#N/A,#N/A,TRUE,"YKD"}</definedName>
    <definedName name="계획대비실적_1" hidden="1">{#N/A,#N/A,TRUE,"Y생산";#N/A,#N/A,TRUE,"Y판매";#N/A,#N/A,TRUE,"Y총물량";#N/A,#N/A,TRUE,"Y능력";#N/A,#N/A,TRUE,"YKD"}</definedName>
    <definedName name="계획대실적" hidden="1">{#N/A,#N/A,FALSE,"KMC최종회의(7월) 자료"}</definedName>
    <definedName name="계획대실적_1" hidden="1">{#N/A,#N/A,FALSE,"KMC최종회의(7월) 자료"}</definedName>
    <definedName name="계획대실적_2" hidden="1">{#N/A,#N/A,FALSE,"KMC최종회의(7월) 자료"}</definedName>
    <definedName name="계획수정" hidden="1">{#N/A,#N/A,FALSE,"KMC최종회의(7월) 자료"}</definedName>
    <definedName name="계획수정_1" hidden="1">{#N/A,#N/A,FALSE,"KMC최종회의(7월) 자료"}</definedName>
    <definedName name="계획표지" hidden="1">{#N/A,#N/A,FALSE,"단축1";#N/A,#N/A,FALSE,"단축2";#N/A,#N/A,FALSE,"단축3";#N/A,#N/A,FALSE,"장축";#N/A,#N/A,FALSE,"4WD"}</definedName>
    <definedName name="계횟" hidden="1">{#N/A,#N/A,TRUE,"Y생산";#N/A,#N/A,TRUE,"Y판매";#N/A,#N/A,TRUE,"Y총물량";#N/A,#N/A,TRUE,"Y능력";#N/A,#N/A,TRUE,"YKD"}</definedName>
    <definedName name="계횟_1" hidden="1">{#N/A,#N/A,TRUE,"Y생산";#N/A,#N/A,TRUE,"Y판매";#N/A,#N/A,TRUE,"Y총물량";#N/A,#N/A,TRUE,"Y능력";#N/A,#N/A,TRUE,"YKD"}</definedName>
    <definedName name="고" hidden="1">{#N/A,#N/A,FALSE,"KMC최종회의(7월) 자료"}</definedName>
    <definedName name="고_1" hidden="1">{#N/A,#N/A,FALSE,"KMC최종회의(7월) 자료"}</definedName>
    <definedName name="고1" hidden="1">{#N/A,#N/A,FALSE,"KMC최종회의(7월) 자료"}</definedName>
    <definedName name="고1_1" hidden="1">{#N/A,#N/A,FALSE,"KMC최종회의(7월) 자료"}</definedName>
    <definedName name="고1_2" hidden="1">{#N/A,#N/A,FALSE,"KMC최종회의(7월) 자료"}</definedName>
    <definedName name="고2" hidden="1">{#N/A,#N/A,FALSE,"KMC최종회의(7월) 자료"}</definedName>
    <definedName name="고8" hidden="1">{#N/A,#N/A,FALSE,"KMC최종회의(7월) 자료"}</definedName>
    <definedName name="고가5개년"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고객거부" hidden="1">{#N/A,#N/A,FALSE,"단축1";#N/A,#N/A,FALSE,"단축2";#N/A,#N/A,FALSE,"단축3";#N/A,#N/A,FALSE,"장축";#N/A,#N/A,FALSE,"4WD"}</definedName>
    <definedName name="고객인수1" hidden="1">{#N/A,#N/A,FALSE,"단축1";#N/A,#N/A,FALSE,"단축2";#N/A,#N/A,FALSE,"단축3";#N/A,#N/A,FALSE,"장축";#N/A,#N/A,FALSE,"4WD"}</definedName>
    <definedName name="고객인수거부" hidden="1">{#N/A,#N/A,FALSE,"단축1";#N/A,#N/A,FALSE,"단축2";#N/A,#N/A,FALSE,"단축3";#N/A,#N/A,FALSE,"장축";#N/A,#N/A,FALSE,"4WD"}</definedName>
    <definedName name="고래심줄" hidden="1">{#N/A,#N/A,FALSE,"96자동차사 계획";#N/A,#N/A,FALSE,"96자동차사 계획"}</definedName>
    <definedName name="고비" hidden="1">{#N/A,#N/A,FALSE,"단축1";#N/A,#N/A,FALSE,"단축2";#N/A,#N/A,FALSE,"단축3";#N/A,#N/A,FALSE,"장축";#N/A,#N/A,FALSE,"4WD"}</definedName>
    <definedName name="고잉닝" hidden="1">{#N/A,#N/A,FALSE,"단축1";#N/A,#N/A,FALSE,"단축2";#N/A,#N/A,FALSE,"단축3";#N/A,#N/A,FALSE,"장축";#N/A,#N/A,FALSE,"4WD"}</definedName>
    <definedName name="고ㅗ고ㅗ교ㅛ" hidden="1">{#N/A,#N/A,FALSE,"KMC최종회의(7월) 자료"}</definedName>
    <definedName name="고ㅗ고ㅗ교ㅛ_1" hidden="1">{#N/A,#N/A,FALSE,"KMC최종회의(7월) 자료"}</definedName>
    <definedName name="고ㅗ효ㅛㄱ" hidden="1">#REF!</definedName>
    <definedName name="골" hidden="1">{#N/A,#N/A,FALSE,"단축1";#N/A,#N/A,FALSE,"단축2";#N/A,#N/A,FALSE,"단축3";#N/A,#N/A,FALSE,"장축";#N/A,#N/A,FALSE,"4WD"}</definedName>
    <definedName name="공" hidden="1">{#N/A,#N/A,FALSE,"KMC최종회의(7월) 자료"}</definedName>
    <definedName name="공_1" hidden="1">{#N/A,#N/A,FALSE,"KMC최종회의(7월) 자료"}</definedName>
    <definedName name="공_2" hidden="1">{#N/A,#N/A,FALSE,"KMC최종회의(7월) 자료"}</definedName>
    <definedName name="공개입찰" hidden="1">{#N/A,#N/A,FALSE,"정공"}</definedName>
    <definedName name="공개입찰_1" hidden="1">{#N/A,#N/A,FALSE,"정공"}</definedName>
    <definedName name="공개입찰_2" hidden="1">{#N/A,#N/A,FALSE,"정공"}</definedName>
    <definedName name="공공" hidden="1">{#N/A,#N/A,FALSE,"단축1";#N/A,#N/A,FALSE,"단축2";#N/A,#N/A,FALSE,"단축3";#N/A,#N/A,FALSE,"장축";#N/A,#N/A,FALSE,"4WD"}</definedName>
    <definedName name="공공공" hidden="1">{#N/A,#N/A,FALSE,"정공"}</definedName>
    <definedName name="공공공_1" hidden="1">{#N/A,#N/A,FALSE,"정공"}</definedName>
    <definedName name="공공공_2" hidden="1">{#N/A,#N/A,FALSE,"정공"}</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구4월" hidden="1">{#N/A,#N/A,FALSE,"단축1";#N/A,#N/A,FALSE,"단축2";#N/A,#N/A,FALSE,"단축3";#N/A,#N/A,FALSE,"장축";#N/A,#N/A,FALSE,"4WD"}</definedName>
    <definedName name="공구관리4월" hidden="1">{#N/A,#N/A,FALSE,"단축1";#N/A,#N/A,FALSE,"단축2";#N/A,#N/A,FALSE,"단축3";#N/A,#N/A,FALSE,"장축";#N/A,#N/A,FALSE,"4WD"}</definedName>
    <definedName name="공구관리대장4월" hidden="1">{#N/A,#N/A,FALSE,"단축1";#N/A,#N/A,FALSE,"단축2";#N/A,#N/A,FALSE,"단축3";#N/A,#N/A,FALSE,"장축";#N/A,#N/A,FALSE,"4WD"}</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설비사양2" hidden="1">{#N/A,#N/A,FALSE,"ENG'G(보호계전기)"}</definedName>
    <definedName name="공급자" hidden="1">#REF!</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법계획서2" hidden="1">{#N/A,#N/A,FALSE,"단축1";#N/A,#N/A,FALSE,"단축2";#N/A,#N/A,FALSE,"단축3";#N/A,#N/A,FALSE,"장축";#N/A,#N/A,FALSE,"4WD"}</definedName>
    <definedName name="공법계획서21" hidden="1">{#N/A,#N/A,FALSE,"단축1";#N/A,#N/A,FALSE,"단축2";#N/A,#N/A,FALSE,"단축3";#N/A,#N/A,FALSE,"장축";#N/A,#N/A,FALSE,"4WD"}</definedName>
    <definedName name="공법계획서3" hidden="1">{#N/A,#N/A,FALSE,"단축1";#N/A,#N/A,FALSE,"단축2";#N/A,#N/A,FALSE,"단축3";#N/A,#N/A,FALSE,"장축";#N/A,#N/A,FALSE,"4WD"}</definedName>
    <definedName name="공법뒤그라스" hidden="1">{#N/A,#N/A,FALSE,"단축1";#N/A,#N/A,FALSE,"단축2";#N/A,#N/A,FALSE,"단축3";#N/A,#N/A,FALSE,"장축";#N/A,#N/A,FALSE,"4WD"}</definedName>
    <definedName name="공성환" hidden="1">{#N/A,#N/A,FALSE,"단축1";#N/A,#N/A,FALSE,"단축2";#N/A,#N/A,FALSE,"단축3";#N/A,#N/A,FALSE,"장축";#N/A,#N/A,FALSE,"4WD"}</definedName>
    <definedName name="공성환_1" hidden="1">{#N/A,#N/A,FALSE,"단축1";#N/A,#N/A,FALSE,"단축2";#N/A,#N/A,FALSE,"단축3";#N/A,#N/A,FALSE,"장축";#N/A,#N/A,FALSE,"4WD"}</definedName>
    <definedName name="공성환_2" hidden="1">{#N/A,#N/A,FALSE,"단축1";#N/A,#N/A,FALSE,"단축2";#N/A,#N/A,FALSE,"단축3";#N/A,#N/A,FALSE,"장축";#N/A,#N/A,FALSE,"4WD"}</definedName>
    <definedName name="공수" hidden="1">{#N/A,#N/A,FALSE,"KMC최종회의(7월) 자료"}</definedName>
    <definedName name="공수_1" hidden="1">{#N/A,#N/A,FALSE,"KMC최종회의(7월) 자료"}</definedName>
    <definedName name="공수_2" hidden="1">{#N/A,#N/A,FALSE,"KMC최종회의(7월) 자료"}</definedName>
    <definedName name="공수관리하청" hidden="1">{#N/A,#N/A,FALSE,"KMC최종회의(7월) 자료"}</definedName>
    <definedName name="공수관리하청_1" hidden="1">{#N/A,#N/A,FALSE,"KMC최종회의(7월) 자료"}</definedName>
    <definedName name="공수투입" hidden="1">{#N/A,#N/A,FALSE,"정공"}</definedName>
    <definedName name="공수투입_1" hidden="1">{#N/A,#N/A,FALSE,"정공"}</definedName>
    <definedName name="공수투입_2" hidden="1">{#N/A,#N/A,FALSE,"정공"}</definedName>
    <definedName name="공수투입_2_1" hidden="1">{#N/A,#N/A,FALSE,"정공"}</definedName>
    <definedName name="공수투입_2_2" hidden="1">{#N/A,#N/A,FALSE,"정공"}</definedName>
    <definedName name="공수투입_2_3" hidden="1">{#N/A,#N/A,FALSE,"정공"}</definedName>
    <definedName name="공수투입_3" hidden="1">{#N/A,#N/A,FALSE,"정공"}</definedName>
    <definedName name="공수투입_3_1" hidden="1">{#N/A,#N/A,FALSE,"정공"}</definedName>
    <definedName name="공수투입_3_2" hidden="1">{#N/A,#N/A,FALSE,"정공"}</definedName>
    <definedName name="공수투입_3_3" hidden="1">{#N/A,#N/A,FALSE,"정공"}</definedName>
    <definedName name="공수투입_4" hidden="1">{#N/A,#N/A,FALSE,"정공"}</definedName>
    <definedName name="공수투입_5" hidden="1">{#N/A,#N/A,FALSE,"정공"}</definedName>
    <definedName name="공우석" hidden="1">{#N/A,#N/A,FALSE,"KMC최종회의(7월) 자료"}</definedName>
    <definedName name="공우석_1" hidden="1">{#N/A,#N/A,FALSE,"KMC최종회의(7월) 자료"}</definedName>
    <definedName name="공우석_2" hidden="1">{#N/A,#N/A,FALSE,"KMC최종회의(7월) 자료"}</definedName>
    <definedName name="공우석aa" hidden="1">{#N/A,#N/A,FALSE,"KMC최종회의(7월) 자료"}</definedName>
    <definedName name="공우석aa_1" hidden="1">{#N/A,#N/A,FALSE,"KMC최종회의(7월) 자료"}</definedName>
    <definedName name="공우석aa_2" hidden="1">{#N/A,#N/A,FALSE,"KMC최종회의(7월) 자료"}</definedName>
    <definedName name="공우석AAA" hidden="1">{#N/A,#N/A,FALSE,"KMC최종회의(7월) 자료"}</definedName>
    <definedName name="공우석AAA_1" hidden="1">{#N/A,#N/A,FALSE,"KMC최종회의(7월) 자료"}</definedName>
    <definedName name="공우석AAA_2" hidden="1">{#N/A,#N/A,FALSE,"KMC최종회의(7월) 자료"}</definedName>
    <definedName name="공유" hidden="1">{#N/A,#N/A,FALSE,"KMC최종회의(7월) 자료"}</definedName>
    <definedName name="공유_1" hidden="1">{#N/A,#N/A,FALSE,"KMC최종회의(7월) 자료"}</definedName>
    <definedName name="공유철" hidden="1">{#N/A,#N/A,FALSE,"단축1";#N/A,#N/A,FALSE,"단축2";#N/A,#N/A,FALSE,"단축3";#N/A,#N/A,FALSE,"장축";#N/A,#N/A,FALSE,"4WD"}</definedName>
    <definedName name="공작" hidden="1">{#N/A,#N/A,FALSE,"KMC최종회의(7월) 자료"}</definedName>
    <definedName name="공작_1" hidden="1">{#N/A,#N/A,FALSE,"KMC최종회의(7월) 자료"}</definedName>
    <definedName name="공작_2" hidden="1">{#N/A,#N/A,FALSE,"KMC최종회의(7월) 자료"}</definedName>
    <definedName name="공작1" hidden="1">{#N/A,#N/A,FALSE,"KMC최종회의(7월) 자료"}</definedName>
    <definedName name="공작1_1" hidden="1">{#N/A,#N/A,FALSE,"KMC최종회의(7월) 자료"}</definedName>
    <definedName name="공작1_2" hidden="1">{#N/A,#N/A,FALSE,"KMC최종회의(7월) 자료"}</definedName>
    <definedName name="공작2" hidden="1">{#N/A,#N/A,FALSE,"KMC최종회의(7월) 자료"}</definedName>
    <definedName name="공작2월종합" hidden="1">{#N/A,#N/A,FALSE,"KMC최종회의(7월) 자료"}</definedName>
    <definedName name="공작기계" hidden="1">{#N/A,#N/A,FALSE,"KMC최종회의(7월) 자료"}</definedName>
    <definedName name="공작기계_1" hidden="1">{#N/A,#N/A,FALSE,"KMC최종회의(7월) 자료"}</definedName>
    <definedName name="공작부문2" hidden="1">{#N/A,#N/A,FALSE,"KMC최종회의(7월) 자료"}</definedName>
    <definedName name="공작부문2_1" hidden="1">{#N/A,#N/A,FALSE,"KMC최종회의(7월) 자료"}</definedName>
    <definedName name="공작부문2_2" hidden="1">{#N/A,#N/A,FALSE,"KMC최종회의(7월) 자료"}</definedName>
    <definedName name="공작절감" hidden="1">{#N/A,#N/A,FALSE,"KMC최종회의(7월) 자료"}</definedName>
    <definedName name="공장" hidden="1">{#N/A,#N/A,FALSE,"단축1";#N/A,#N/A,FALSE,"단축2";#N/A,#N/A,FALSE,"단축3";#N/A,#N/A,FALSE,"장축";#N/A,#N/A,FALSE,"4WD"}</definedName>
    <definedName name="공장별분석" hidden="1">{#N/A,#N/A,FALSE,"단축1";#N/A,#N/A,FALSE,"단축2";#N/A,#N/A,FALSE,"단축3";#N/A,#N/A,FALSE,"장축";#N/A,#N/A,FALSE,"4WD"}</definedName>
    <definedName name="공장보완" hidden="1">{#N/A,#N/A,TRUE,"Y생산";#N/A,#N/A,TRUE,"Y판매";#N/A,#N/A,TRUE,"Y총물량";#N/A,#N/A,TRUE,"Y능력";#N/A,#N/A,TRUE,"YKD"}</definedName>
    <definedName name="공장보완_1" hidden="1">{#N/A,#N/A,TRUE,"Y생산";#N/A,#N/A,TRUE,"Y판매";#N/A,#N/A,TRUE,"Y총물량";#N/A,#N/A,TRUE,"Y능력";#N/A,#N/A,TRUE,"YKD"}</definedName>
    <definedName name="공장장보고2" hidden="1">{#N/A,#N/A,FALSE,"정공"}</definedName>
    <definedName name="공장현황" hidden="1">{#N/A,#N/A,TRUE,"Y생산";#N/A,#N/A,TRUE,"Y판매";#N/A,#N/A,TRUE,"Y총물량";#N/A,#N/A,TRUE,"Y능력";#N/A,#N/A,TRUE,"YKD"}</definedName>
    <definedName name="공정" hidden="1">{#N/A,#N/A,FALSE,"KMC최종회의(7월) 자료"}</definedName>
    <definedName name="공정FMEA1" hidden="1">{#N/A,#N/A,FALSE,"단축1";#N/A,#N/A,FALSE,"단축2";#N/A,#N/A,FALSE,"단축3";#N/A,#N/A,FALSE,"장축";#N/A,#N/A,FALSE,"4WD"}</definedName>
    <definedName name="공정계획" hidden="1">{#N/A,#N/A,FALSE,"단축1";#N/A,#N/A,FALSE,"단축2";#N/A,#N/A,FALSE,"단축3";#N/A,#N/A,FALSE,"장축";#N/A,#N/A,FALSE,"4WD"}</definedName>
    <definedName name="공정기술안" hidden="1">{#N/A,#N/A,FALSE,"단축1";#N/A,#N/A,FALSE,"단축2";#N/A,#N/A,FALSE,"단축3";#N/A,#N/A,FALSE,"장축";#N/A,#N/A,FALSE,"4WD"}</definedName>
    <definedName name="공정능력" hidden="1">{#N/A,#N/A,FALSE,"단축1";#N/A,#N/A,FALSE,"단축2";#N/A,#N/A,FALSE,"단축3";#N/A,#N/A,FALSE,"장축";#N/A,#N/A,FALSE,"4WD"}</definedName>
    <definedName name="공정실사" hidden="1">{#N/A,#N/A,FALSE,"단축1";#N/A,#N/A,FALSE,"단축2";#N/A,#N/A,FALSE,"단축3";#N/A,#N/A,FALSE,"장축";#N/A,#N/A,FALSE,"4WD"}</definedName>
    <definedName name="공정실태" hidden="1">{#N/A,#N/A,FALSE,"삼진정공";#N/A,#N/A,FALSE,"영신금속";#N/A,#N/A,FALSE,"태양금속";#N/A,#N/A,FALSE,"진합정공";#N/A,#N/A,FALSE,"코리아";#N/A,#N/A,FALSE,"풍강금속";#N/A,#N/A,FALSE,"선일기계"}</definedName>
    <definedName name="공정진도율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추가" hidden="1">{#N/A,#N/A,FALSE,"단축1";#N/A,#N/A,FALSE,"단축2";#N/A,#N/A,FALSE,"단축3";#N/A,#N/A,FALSE,"장축";#N/A,#N/A,FALSE,"4WD"}</definedName>
    <definedName name="공칭지수" hidden="1">{#N/A,#N/A,FALSE,"KMC최종회의(7월) 자료"}</definedName>
    <definedName name="공ㅌ오" hidden="1">{#N/A,#N/A,TRUE,"Y생산";#N/A,#N/A,TRUE,"Y판매";#N/A,#N/A,TRUE,"Y총물량";#N/A,#N/A,TRUE,"Y능력";#N/A,#N/A,TRUE,"YKD"}</definedName>
    <definedName name="공ㅌ오_1" hidden="1">{#N/A,#N/A,TRUE,"Y생산";#N/A,#N/A,TRUE,"Y판매";#N/A,#N/A,TRUE,"Y총물량";#N/A,#N/A,TRUE,"Y능력";#N/A,#N/A,TRUE,"YKD"}</definedName>
    <definedName name="공통_1" hidden="1">{#N/A,#N/A,FALSE,"단축1";#N/A,#N/A,FALSE,"단축2";#N/A,#N/A,FALSE,"단축3";#N/A,#N/A,FALSE,"장축";#N/A,#N/A,FALSE,"4WD"}</definedName>
    <definedName name="공통_2" hidden="1">{#N/A,#N/A,FALSE,"단축1";#N/A,#N/A,FALSE,"단축2";#N/A,#N/A,FALSE,"단축3";#N/A,#N/A,FALSE,"장축";#N/A,#N/A,FALSE,"4WD"}</definedName>
    <definedName name="과거" hidden="1">#REF!</definedName>
    <definedName name="과거문제1" hidden="1">{#N/A,#N/A,FALSE,"신규dep";#N/A,#N/A,FALSE,"신규dep-금형상각후";#N/A,#N/A,FALSE,"신규dep-연구비상각후";#N/A,#N/A,FALSE,"신규dep-기계,공구상각후"}</definedName>
    <definedName name="과거실적" hidden="1">{#N/A,#N/A,FALSE,"단축1";#N/A,#N/A,FALSE,"단축2";#N/A,#N/A,FALSE,"단축3";#N/A,#N/A,FALSE,"장축";#N/A,#N/A,FALSE,"4WD"}</definedName>
    <definedName name="과거차" hidden="1">{#N/A,#N/A,FALSE,"단축1";#N/A,#N/A,FALSE,"단축2";#N/A,#N/A,FALSE,"단축3";#N/A,#N/A,FALSE,"장축";#N/A,#N/A,FALSE,"4WD"}</definedName>
    <definedName name="과거차_01" hidden="1">{#N/A,#N/A,FALSE,"단축1";#N/A,#N/A,FALSE,"단축2";#N/A,#N/A,FALSE,"단축3";#N/A,#N/A,FALSE,"장축";#N/A,#N/A,FALSE,"4WD"}</definedName>
    <definedName name="과거차_1" hidden="1">{#N/A,#N/A,FALSE,"단축1";#N/A,#N/A,FALSE,"단축2";#N/A,#N/A,FALSE,"단축3";#N/A,#N/A,FALSE,"장축";#N/A,#N/A,FALSE,"4WD"}</definedName>
    <definedName name="과거차_2" hidden="1">{#N/A,#N/A,FALSE,"단축1";#N/A,#N/A,FALSE,"단축2";#N/A,#N/A,FALSE,"단축3";#N/A,#N/A,FALSE,"장축";#N/A,#N/A,FALSE,"4WD"}</definedName>
    <definedName name="과거차06" hidden="1">{#N/A,#N/A,FALSE,"단축1";#N/A,#N/A,FALSE,"단축2";#N/A,#N/A,FALSE,"단축3";#N/A,#N/A,FALSE,"장축";#N/A,#N/A,FALSE,"4WD"}</definedName>
    <definedName name="과거차07" hidden="1">{#N/A,#N/A,FALSE,"단축1";#N/A,#N/A,FALSE,"단축2";#N/A,#N/A,FALSE,"단축3";#N/A,#N/A,FALSE,"장축";#N/A,#N/A,FALSE,"4WD"}</definedName>
    <definedName name="과거차문제1" hidden="1">{#N/A,#N/A,FALSE,"단축1";#N/A,#N/A,FALSE,"단축2";#N/A,#N/A,FALSE,"단축3";#N/A,#N/A,FALSE,"장축";#N/A,#N/A,FALSE,"4WD"}</definedName>
    <definedName name="과거차문제1_1" hidden="1">{#N/A,#N/A,FALSE,"단축1";#N/A,#N/A,FALSE,"단축2";#N/A,#N/A,FALSE,"단축3";#N/A,#N/A,FALSE,"장축";#N/A,#N/A,FALSE,"4WD"}</definedName>
    <definedName name="과거차문제1_2" hidden="1">{#N/A,#N/A,FALSE,"단축1";#N/A,#N/A,FALSE,"단축2";#N/A,#N/A,FALSE,"단축3";#N/A,#N/A,FALSE,"장축";#N/A,#N/A,FALSE,"4WD"}</definedName>
    <definedName name="과거차문제11" hidden="1">{#N/A,#N/A,FALSE,"단축1";#N/A,#N/A,FALSE,"단축2";#N/A,#N/A,FALSE,"단축3";#N/A,#N/A,FALSE,"장축";#N/A,#N/A,FALSE,"4WD"}</definedName>
    <definedName name="과거차문제11_1" hidden="1">{#N/A,#N/A,FALSE,"단축1";#N/A,#N/A,FALSE,"단축2";#N/A,#N/A,FALSE,"단축3";#N/A,#N/A,FALSE,"장축";#N/A,#N/A,FALSE,"4WD"}</definedName>
    <definedName name="과거차문제11_2" hidden="1">{#N/A,#N/A,FALSE,"단축1";#N/A,#N/A,FALSE,"단축2";#N/A,#N/A,FALSE,"단축3";#N/A,#N/A,FALSE,"장축";#N/A,#N/A,FALSE,"4WD"}</definedName>
    <definedName name="과거차문제점3" hidden="1">{#N/A,#N/A,FALSE,"단축1";#N/A,#N/A,FALSE,"단축2";#N/A,#N/A,FALSE,"단축3";#N/A,#N/A,FALSE,"장축";#N/A,#N/A,FALSE,"4WD"}</definedName>
    <definedName name="과거차문제점검토" hidden="1">{#N/A,#N/A,FALSE,"단축1";#N/A,#N/A,FALSE,"단축2";#N/A,#N/A,FALSE,"단축3";#N/A,#N/A,FALSE,"장축";#N/A,#N/A,FALSE,"4WD"}</definedName>
    <definedName name="과거차문제점검토및반영계획3" hidden="1">{#N/A,#N/A,FALSE,"단축1";#N/A,#N/A,FALSE,"단축2";#N/A,#N/A,FALSE,"단축3";#N/A,#N/A,FALSE,"장축";#N/A,#N/A,FALSE,"4WD"}</definedName>
    <definedName name="과목세목현황" hidden="1">{#N/A,#N/A,TRUE,"Y생산";#N/A,#N/A,TRUE,"Y판매";#N/A,#N/A,TRUE,"Y총물량";#N/A,#N/A,TRUE,"Y능력";#N/A,#N/A,TRUE,"YKD"}</definedName>
    <definedName name="과목세목현황_1" hidden="1">{#N/A,#N/A,TRUE,"Y생산";#N/A,#N/A,TRUE,"Y판매";#N/A,#N/A,TRUE,"Y총물량";#N/A,#N/A,TRUE,"Y능력";#N/A,#N/A,TRUE,"YKD"}</definedName>
    <definedName name="관련" hidden="1">{#N/A,#N/A,FALSE,"KMC최종회의(7월) 자료"}</definedName>
    <definedName name="관련사" hidden="1">{#N/A,#N/A,FALSE,"KMC최종회의(7월) 자료"}</definedName>
    <definedName name="関連表" hidden="1">#REF!</definedName>
    <definedName name="관리" hidden="1">{#N/A,#N/A,FALSE,"단축1";#N/A,#N/A,FALSE,"단축2";#N/A,#N/A,FALSE,"단축3";#N/A,#N/A,FALSE,"장축";#N/A,#N/A,FALSE,"4WD"}</definedName>
    <definedName name="관리갑" hidden="1">{#N/A,#N/A,FALSE,"단축1";#N/A,#N/A,FALSE,"단축2";#N/A,#N/A,FALSE,"단축3";#N/A,#N/A,FALSE,"장축";#N/A,#N/A,FALSE,"4WD"}</definedName>
    <definedName name="관리계" hidden="1">{#N/A,#N/A,FALSE,"단축1";#N/A,#N/A,FALSE,"단축2";#N/A,#N/A,FALSE,"단축3";#N/A,#N/A,FALSE,"장축";#N/A,#N/A,FALSE,"4WD"}</definedName>
    <definedName name="관리계획21" hidden="1">{#N/A,#N/A,FALSE,"신규dep";#N/A,#N/A,FALSE,"신규dep-금형상각후";#N/A,#N/A,FALSE,"신규dep-연구비상각후";#N/A,#N/A,FALSE,"신규dep-기계,공구상각후"}</definedName>
    <definedName name="관리계획서" hidden="1">{#N/A,#N/A,FALSE,"AG";#N/A,#N/A,FALSE,"UB-I";#N/A,#N/A,FALSE,"UB--SR_K";#N/A,#N/A,FALSE,"UB-SR_B";#N/A,#N/A,FALSE,"UB-KS";#N/A,#N/A,FALSE,"Kienzle"}</definedName>
    <definedName name="관리계획서10" hidden="1">{#N/A,#N/A,FALSE,"단축1";#N/A,#N/A,FALSE,"단축2";#N/A,#N/A,FALSE,"단축3";#N/A,#N/A,FALSE,"장축";#N/A,#N/A,FALSE,"4WD"}</definedName>
    <definedName name="관리계획서3" hidden="1">{#N/A,#N/A,FALSE,"단축1";#N/A,#N/A,FALSE,"단축2";#N/A,#N/A,FALSE,"단축3";#N/A,#N/A,FALSE,"장축";#N/A,#N/A,FALSE,"4WD"}</definedName>
    <definedName name="관리계획서병" hidden="1">{#N/A,#N/A,FALSE,"단축1";#N/A,#N/A,FALSE,"단축2";#N/A,#N/A,FALSE,"단축3";#N/A,#N/A,FALSE,"장축";#N/A,#N/A,FALSE,"4WD"}</definedName>
    <definedName name="관리계획서병지" hidden="1">{#N/A,#N/A,FALSE,"단축1";#N/A,#N/A,FALSE,"단축2";#N/A,#N/A,FALSE,"단축3";#N/A,#N/A,FALSE,"장축";#N/A,#N/A,FALSE,"4WD"}</definedName>
    <definedName name="관리계획서을3" hidden="1">{#N/A,#N/A,FALSE,"단축1";#N/A,#N/A,FALSE,"단축2";#N/A,#N/A,FALSE,"단축3";#N/A,#N/A,FALSE,"장축";#N/A,#N/A,FALSE,"4WD"}</definedName>
    <definedName name="관리계획서을지" hidden="1">{#N/A,#N/A,FALSE,"단축1";#N/A,#N/A,FALSE,"단축2";#N/A,#N/A,FALSE,"단축3";#N/A,#N/A,FALSE,"장축";#N/A,#N/A,FALSE,"4WD"}</definedName>
    <definedName name="관리계획서정" hidden="1">{#N/A,#N/A,FALSE,"단축1";#N/A,#N/A,FALSE,"단축2";#N/A,#N/A,FALSE,"단축3";#N/A,#N/A,FALSE,"장축";#N/A,#N/A,FALSE,"4WD"}</definedName>
    <definedName name="관리계획서표지" hidden="1">{#N/A,#N/A,FALSE,"단축1";#N/A,#N/A,FALSE,"단축2";#N/A,#N/A,FALSE,"단축3";#N/A,#N/A,FALSE,"장축";#N/A,#N/A,FALSE,"4WD"}</definedName>
    <definedName name="관리을" hidden="1">{#N/A,#N/A,FALSE,"단축1";#N/A,#N/A,FALSE,"단축2";#N/A,#N/A,FALSE,"단축3";#N/A,#N/A,FALSE,"장축";#N/A,#N/A,FALSE,"4WD"}</definedName>
    <definedName name="관리지표2" hidden="1">{#N/A,#N/A,TRUE,"Y생산";#N/A,#N/A,TRUE,"Y판매";#N/A,#N/A,TRUE,"Y총물량";#N/A,#N/A,TRUE,"Y능력";#N/A,#N/A,TRUE,"YKD"}</definedName>
    <definedName name="관리지표2_1" hidden="1">{#N/A,#N/A,TRUE,"Y생산";#N/A,#N/A,TRUE,"Y판매";#N/A,#N/A,TRUE,"Y총물량";#N/A,#N/A,TRUE,"Y능력";#N/A,#N/A,TRUE,"YKD"}</definedName>
    <definedName name="광" hidden="1">{#N/A,#N/A,FALSE,"단축1";#N/A,#N/A,FALSE,"단축2";#N/A,#N/A,FALSE,"단축3";#N/A,#N/A,FALSE,"장축";#N/A,#N/A,FALSE,"4WD"}</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주" hidden="1">{"'5'!$A$1:$BB$147"}</definedName>
    <definedName name="광주추진" hidden="1">{"'5'!$A$1:$BB$147"}</definedName>
    <definedName name="광호" hidden="1">{#N/A,#N/A,FALSE,"단축1";#N/A,#N/A,FALSE,"단축2";#N/A,#N/A,FALSE,"단축3";#N/A,#N/A,FALSE,"장축";#N/A,#N/A,FALSE,"4WD"}</definedName>
    <definedName name="교" hidden="1">{#N/A,#N/A,FALSE,"단축1";#N/A,#N/A,FALSE,"단축2";#N/A,#N/A,FALSE,"단축3";#N/A,#N/A,FALSE,"장축";#N/A,#N/A,FALSE,"4WD"}</definedName>
    <definedName name="교3" hidden="1">{"'개발추진검토서'!$W$1"}</definedName>
    <definedName name="교육" hidden="1">{#N/A,#N/A,TRUE,"Y생산";#N/A,#N/A,TRUE,"Y판매";#N/A,#N/A,TRUE,"Y총물량";#N/A,#N/A,TRUE,"Y능력";#N/A,#N/A,TRUE,"YKD"}</definedName>
    <definedName name="교육.0217" hidden="1">{#N/A,#N/A,FALSE,"단축1";#N/A,#N/A,FALSE,"단축2";#N/A,#N/A,FALSE,"단축3";#N/A,#N/A,FALSE,"장축";#N/A,#N/A,FALSE,"4WD"}</definedName>
    <definedName name="교육_1" hidden="1">{#N/A,#N/A,TRUE,"Y생산";#N/A,#N/A,TRUE,"Y판매";#N/A,#N/A,TRUE,"Y총물량";#N/A,#N/A,TRUE,"Y능력";#N/A,#N/A,TRUE,"YKD"}</definedName>
    <definedName name="교육1" hidden="1">{#N/A,#N/A,FALSE,"96 3월물량표";#N/A,#N/A,FALSE,"96 4월물량표";#N/A,#N/A,FALSE,"96 5월물량표"}</definedName>
    <definedName name="교육1_1" hidden="1">{#N/A,#N/A,FALSE,"96 3월물량표";#N/A,#N/A,FALSE,"96 4월물량표";#N/A,#N/A,FALSE,"96 5월물량표"}</definedName>
    <definedName name="교육계" hidden="1">{#N/A,#N/A,FALSE,"KMC최종회의(7월) 자료"}</definedName>
    <definedName name="교육실적" hidden="1">{#N/A,#N/A,FALSE,"정공"}</definedName>
    <definedName name="교육실적_1" hidden="1">{#N/A,#N/A,FALSE,"정공"}</definedName>
    <definedName name="교육실적_2" hidden="1">{#N/A,#N/A,FALSE,"정공"}</definedName>
    <definedName name="교ㅕ교ㅕ교" hidden="1">{#N/A,#N/A,FALSE,"KMC최종회의(7월) 자료"}</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구구" hidden="1">{#N/A,#N/A,FALSE,"단축1";#N/A,#N/A,FALSE,"단축2";#N/A,#N/A,FALSE,"단축3";#N/A,#N/A,FALSE,"장축";#N/A,#N/A,FALSE,"4WD"}</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국구ㅜ구국" hidden="1">{#N/A,#N/A,FALSE,"단축1";#N/A,#N/A,FALSE,"단축2";#N/A,#N/A,FALSE,"단축3";#N/A,#N/A,FALSE,"장축";#N/A,#N/A,FALSE,"4WD"}</definedName>
    <definedName name="구도연" hidden="1">{#N/A,#N/A,FALSE,"표지";#N/A,#N/A,FALSE,"전제";#N/A,#N/A,FALSE,"대당";#N/A,#N/A,FALSE,"가공비";#N/A,#N/A,FALSE,"재료비";#N/A,#N/A,FALSE,"손익"}</definedName>
    <definedName name="구동2" hidden="1">{#N/A,#N/A,FALSE,"단축1";#N/A,#N/A,FALSE,"단축2";#N/A,#N/A,FALSE,"단축3";#N/A,#N/A,FALSE,"장축";#N/A,#N/A,FALSE,"4WD"}</definedName>
    <definedName name="구래" hidden="1">{"'표지'!$B$5"}</definedName>
    <definedName name="구매" hidden="1">{#N/A,#N/A,FALSE,"KMC최종회의(7월) 자료"}</definedName>
    <definedName name="구매절차서1" hidden="1">{#N/A,#N/A,FALSE,"신규dep";#N/A,#N/A,FALSE,"신규dep-금형상각후";#N/A,#N/A,FALSE,"신규dep-연구비상각후";#N/A,#N/A,FALSE,"신규dep-기계,공구상각후"}</definedName>
    <definedName name="구매절차서1_1" hidden="1">{#N/A,#N/A,FALSE,"신규dep";#N/A,#N/A,FALSE,"신규dep-금형상각후";#N/A,#N/A,FALSE,"신규dep-연구비상각후";#N/A,#N/A,FALSE,"신규dep-기계,공구상각후"}</definedName>
    <definedName name="구매품목" hidden="1">{#N/A,#N/A,FALSE,"단축1";#N/A,#N/A,FALSE,"단축2";#N/A,#N/A,FALSE,"단축3";#N/A,#N/A,FALSE,"장축";#N/A,#N/A,FALSE,"4WD"}</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월평균" hidden="1">{#N/A,#N/A,FALSE,"정공"}</definedName>
    <definedName name="구분2월평균_1" hidden="1">{#N/A,#N/A,FALSE,"정공"}</definedName>
    <definedName name="구분2월평균_2" hidden="1">{#N/A,#N/A,FALSE,"정공"}</definedName>
    <definedName name="구분하소" hidden="1">{#N/A,#N/A,FALSE,"정공"}</definedName>
    <definedName name="구분하소_1" hidden="1">{#N/A,#N/A,FALSE,"정공"}</definedName>
    <definedName name="구분하소_2" hidden="1">{#N/A,#N/A,FALSE,"정공"}</definedName>
    <definedName name="구상" hidden="1">{#N/A,#N/A,FALSE,"단축1";#N/A,#N/A,FALSE,"단축2";#N/A,#N/A,FALSE,"단축3";#N/A,#N/A,FALSE,"장축";#N/A,#N/A,FALSE,"4WD"}</definedName>
    <definedName name="구상1" hidden="1">{#N/A,#N/A,FALSE,"단축1";#N/A,#N/A,FALSE,"단축2";#N/A,#N/A,FALSE,"단축3";#N/A,#N/A,FALSE,"장축";#N/A,#N/A,FALSE,"4WD"}</definedName>
    <definedName name="구상서1" hidden="1">{#N/A,#N/A,FALSE,"단축1";#N/A,#N/A,FALSE,"단축2";#N/A,#N/A,FALSE,"단축3";#N/A,#N/A,FALSE,"장축";#N/A,#N/A,FALSE,"4WD"}</definedName>
    <definedName name="구상안" hidden="1">#REF!</definedName>
    <definedName name="구성매출" hidden="1">{#N/A,#N/A,FALSE,"단축1";#N/A,#N/A,FALSE,"단축2";#N/A,#N/A,FALSE,"단축3";#N/A,#N/A,FALSE,"장축";#N/A,#N/A,FALSE,"4WD"}</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동화1" hidden="1">{#N/A,#N/A,FALSE,"산학연 합동연구";#N/A,#N/A,FALSE,"96업무계획";#N/A,#N/A,FALSE,"96기술개발계획";#N/A,#N/A,FALSE,"인력양성";#N/A,#N/A,FALSE,"7. 원가절감계획";#N/A,#N/A,FALSE,"노무";#N/A,#N/A,FALSE,"업무계획";#N/A,#N/A,FALSE,"제목"}</definedName>
    <definedName name="구자봉" hidden="1">{#N/A,#N/A,FALSE,"정공"}</definedName>
    <definedName name="구자봉_1" hidden="1">{#N/A,#N/A,FALSE,"KMC최종회의(7월) 자료"}</definedName>
    <definedName name="구정" hidden="1">{#N/A,#N/A,FALSE,"정공"}</definedName>
    <definedName name="구축" hidden="1">{#N/A,#N/A,FALSE,"KMC최종회의(7월) 자료"}</definedName>
    <definedName name="국" hidden="1">{#N/A,#N/A,FALSE,"단축1";#N/A,#N/A,FALSE,"단축2";#N/A,#N/A,FALSE,"단축3";#N/A,#N/A,FALSE,"장축";#N/A,#N/A,FALSE,"4WD"}</definedName>
    <definedName name="국가별일반현황" hidden="1">{#N/A,#N/A,FALSE,"단축1";#N/A,#N/A,FALSE,"단축2";#N/A,#N/A,FALSE,"단축3";#N/A,#N/A,FALSE,"장축";#N/A,#N/A,FALSE,"4WD"}</definedName>
    <definedName name="국구구" hidden="1">{#N/A,#N/A,FALSE,"단축1";#N/A,#N/A,FALSE,"단축2";#N/A,#N/A,FALSE,"단축3";#N/A,#N/A,FALSE,"장축";#N/A,#N/A,FALSE,"4WD"}</definedName>
    <definedName name="국내" hidden="1">{0,0,0,0}</definedName>
    <definedName name="국내시험최종" hidden="1">{#N/A,#N/A,FALSE,"단축1";#N/A,#N/A,FALSE,"단축2";#N/A,#N/A,FALSE,"단축3";#N/A,#N/A,FALSE,"장축";#N/A,#N/A,FALSE,"4WD"}</definedName>
    <definedName name="국내출장2" hidden="1">{#N/A,#N/A,TRUE,"Y생산";#N/A,#N/A,TRUE,"Y판매";#N/A,#N/A,TRUE,"Y총물량";#N/A,#N/A,TRUE,"Y능력";#N/A,#N/A,TRUE,"YKD"}</definedName>
    <definedName name="국민" hidden="1">{#N/A,#N/A,FALSE,"KMC최종회의(7월) 자료"}</definedName>
    <definedName name="국민_1" hidden="1">{#N/A,#N/A,FALSE,"KMC최종회의(7월) 자료"}</definedName>
    <definedName name="국정화" hidden="1">{#N/A,#N/A,TRUE,"Y생산";#N/A,#N/A,TRUE,"Y판매";#N/A,#N/A,TRUE,"Y총물량";#N/A,#N/A,TRUE,"Y능력";#N/A,#N/A,TRUE,"YKD"}</definedName>
    <definedName name="권" hidden="1">{#N/A,#N/A,FALSE,"KMC최종회의(7월) 자료"}</definedName>
    <definedName name="권_1" hidden="1">{#N/A,#N/A,FALSE,"KMC최종회의(7월) 자료"}</definedName>
    <definedName name="권ㅇ" hidden="1">{#N/A,#N/A,FALSE,"KMC최종회의(7월) 자료"}</definedName>
    <definedName name="권ㅇ_1" hidden="1">{#N/A,#N/A,FALSE,"KMC최종회의(7월) 자료"}</definedName>
    <definedName name="권영갑" hidden="1">{#N/A,#N/A,FALSE,"KMC최종회의(7월) 자료"}</definedName>
    <definedName name="권영갑_1" hidden="1">{#N/A,#N/A,FALSE,"KMC최종회의(7월) 자료"}</definedName>
    <definedName name="권오종" hidden="1">{#N/A,#N/A,FALSE,"단축1";#N/A,#N/A,FALSE,"단축2";#N/A,#N/A,FALSE,"단축3";#N/A,#N/A,FALSE,"장축";#N/A,#N/A,FALSE,"4WD"}</definedName>
    <definedName name="권오종_1" hidden="1">{#N/A,#N/A,FALSE,"단축1";#N/A,#N/A,FALSE,"단축2";#N/A,#N/A,FALSE,"단축3";#N/A,#N/A,FALSE,"장축";#N/A,#N/A,FALSE,"4WD"}</definedName>
    <definedName name="권오종_2" hidden="1">{#N/A,#N/A,FALSE,"단축1";#N/A,#N/A,FALSE,"단축2";#N/A,#N/A,FALSE,"단축3";#N/A,#N/A,FALSE,"장축";#N/A,#N/A,FALSE,"4WD"}</definedName>
    <definedName name="규" hidden="1">{#N/A,#N/A,FALSE,"KMC최종회의(7월) 자료"}</definedName>
    <definedName name="규_1" hidden="1">{#N/A,#N/A,FALSE,"KMC최종회의(7월) 자료"}</definedName>
    <definedName name="규_2" hidden="1">{#N/A,#N/A,FALSE,"KMC최종회의(7월) 자료"}</definedName>
    <definedName name="규제" hidden="1">{#N/A,#N/A,FALSE,"단축1";#N/A,#N/A,FALSE,"단축2";#N/A,#N/A,FALSE,"단축3";#N/A,#N/A,FALSE,"장축";#N/A,#N/A,FALSE,"4WD"}</definedName>
    <definedName name="그" hidden="1">{#N/A,#N/A,FALSE,"단축1";#N/A,#N/A,FALSE,"단축2";#N/A,#N/A,FALSE,"단축3";#N/A,#N/A,FALSE,"장축";#N/A,#N/A,FALSE,"4WD"}</definedName>
    <definedName name="그그르" hidden="1">{#N/A,#N/A,FALSE,"단축1";#N/A,#N/A,FALSE,"단축2";#N/A,#N/A,FALSE,"단축3";#N/A,#N/A,FALSE,"장축";#N/A,#N/A,FALSE,"4WD"}</definedName>
    <definedName name="그그르_1" hidden="1">{#N/A,#N/A,FALSE,"단축1";#N/A,#N/A,FALSE,"단축2";#N/A,#N/A,FALSE,"단축3";#N/A,#N/A,FALSE,"장축";#N/A,#N/A,FALSE,"4WD"}</definedName>
    <definedName name="그냥" hidden="1">{#N/A,#N/A,FALSE,"단축1";#N/A,#N/A,FALSE,"단축2";#N/A,#N/A,FALSE,"단축3";#N/A,#N/A,FALSE,"장축";#N/A,#N/A,FALSE,"4WD"}</definedName>
    <definedName name="그냥해" hidden="1">{#N/A,#N/A,FALSE,"단축1";#N/A,#N/A,FALSE,"단축2";#N/A,#N/A,FALSE,"단축3";#N/A,#N/A,FALSE,"장축";#N/A,#N/A,FALSE,"4WD"}</definedName>
    <definedName name="그래서" hidden="1">{#N/A,#N/A,FALSE,"KMC최종회의(7월) 자료"}</definedName>
    <definedName name="그래서_1" hidden="1">{#N/A,#N/A,FALSE,"KMC최종회의(7월) 자료"}</definedName>
    <definedName name="그래서_2" hidden="1">{#N/A,#N/A,FALSE,"KMC최종회의(7월) 자료"}</definedName>
    <definedName name="그러니" hidden="1">{#N/A,#N/A,FALSE,"KMC최종회의(7월) 자료"}</definedName>
    <definedName name="그러니_1" hidden="1">{#N/A,#N/A,FALSE,"KMC최종회의(7월) 자료"}</definedName>
    <definedName name="그러니_2" hidden="1">{#N/A,#N/A,FALSE,"KMC최종회의(7월) 자료"}</definedName>
    <definedName name="그럼" hidden="1">{#N/A,#N/A,FALSE,"KMC최종회의(7월) 자료"}</definedName>
    <definedName name="그럼_1" hidden="1">{#N/A,#N/A,FALSE,"KMC최종회의(7월) 자료"}</definedName>
    <definedName name="그럼_2" hidden="1">{#N/A,#N/A,FALSE,"KMC최종회의(7월) 자료"}</definedName>
    <definedName name="그레이스2" hidden="1">{#N/A,#N/A,FALSE,"단축1";#N/A,#N/A,FALSE,"단축2";#N/A,#N/A,FALSE,"단축3";#N/A,#N/A,FALSE,"장축";#N/A,#N/A,FALSE,"4WD"}</definedName>
    <definedName name="그로벌커버" hidden="1">{#N/A,#N/A,FALSE,"단축1";#N/A,#N/A,FALSE,"단축2";#N/A,#N/A,FALSE,"단축3";#N/A,#N/A,FALSE,"장축";#N/A,#N/A,FALSE,"4WD"}</definedName>
    <definedName name="그룹나눈" hidden="1">{#N/A,#N/A,FALSE,"단축1";#N/A,#N/A,FALSE,"단축2";#N/A,#N/A,FALSE,"단축3";#N/A,#N/A,FALSE,"장축";#N/A,#N/A,FALSE,"4WD"}</definedName>
    <definedName name="그룹나눈_1" hidden="1">{#N/A,#N/A,FALSE,"단축1";#N/A,#N/A,FALSE,"단축2";#N/A,#N/A,FALSE,"단축3";#N/A,#N/A,FALSE,"장축";#N/A,#N/A,FALSE,"4WD"}</definedName>
    <definedName name="그룹나눈_2" hidden="1">{#N/A,#N/A,FALSE,"단축1";#N/A,#N/A,FALSE,"단축2";#N/A,#N/A,FALSE,"단축3";#N/A,#N/A,FALSE,"장축";#N/A,#N/A,FALSE,"4WD"}</definedName>
    <definedName name="그림1" hidden="1">{#N/A,#N/A,FALSE,"을지 (4)";#N/A,#N/A,FALSE,"을지 (5)";#N/A,#N/A,FALSE,"을지 (6)"}</definedName>
    <definedName name="극동" hidden="1">{#N/A,#N/A,FALSE,"KMC최종회의(7월) 자료"}</definedName>
    <definedName name="근" hidden="1">{#N/A,#N/A,FALSE,"KMC최종회의(7월) 자료"}</definedName>
    <definedName name="近" hidden="1">{#N/A,#N/A,FALSE,"단축1";#N/A,#N/A,FALSE,"단축2";#N/A,#N/A,FALSE,"단축3";#N/A,#N/A,FALSE,"장축";#N/A,#N/A,FALSE,"4WD"}</definedName>
    <definedName name="근_1" hidden="1">{#N/A,#N/A,FALSE,"KMC최종회의(7월) 자료"}</definedName>
    <definedName name="근_2" hidden="1">{#N/A,#N/A,FALSE,"KMC최종회의(7월) 자료"}</definedName>
    <definedName name="근거1" hidden="1">{#N/A,#N/A,FALSE,"단축1";#N/A,#N/A,FALSE,"단축2";#N/A,#N/A,FALSE,"단축3";#N/A,#N/A,FALSE,"장축";#N/A,#N/A,FALSE,"4WD"}</definedName>
    <definedName name="근거1_1" hidden="1">{#N/A,#N/A,FALSE,"단축1";#N/A,#N/A,FALSE,"단축2";#N/A,#N/A,FALSE,"단축3";#N/A,#N/A,FALSE,"장축";#N/A,#N/A,FALSE,"4WD"}</definedName>
    <definedName name="근거2" hidden="1">{#N/A,#N/A,FALSE,"단축1";#N/A,#N/A,FALSE,"단축2";#N/A,#N/A,FALSE,"단축3";#N/A,#N/A,FALSE,"장축";#N/A,#N/A,FALSE,"4WD"}</definedName>
    <definedName name="근거2_1" hidden="1">{#N/A,#N/A,FALSE,"단축1";#N/A,#N/A,FALSE,"단축2";#N/A,#N/A,FALSE,"단축3";#N/A,#N/A,FALSE,"장축";#N/A,#N/A,FALSE,"4WD"}</definedName>
    <definedName name="근거2_2" hidden="1">{#N/A,#N/A,FALSE,"단축1";#N/A,#N/A,FALSE,"단축2";#N/A,#N/A,FALSE,"단축3";#N/A,#N/A,FALSE,"장축";#N/A,#N/A,FALSE,"4WD"}</definedName>
    <definedName name="근거3" hidden="1">{#N/A,#N/A,FALSE,"단축1";#N/A,#N/A,FALSE,"단축2";#N/A,#N/A,FALSE,"단축3";#N/A,#N/A,FALSE,"장축";#N/A,#N/A,FALSE,"4WD"}</definedName>
    <definedName name="근태" hidden="1">{#N/A,#N/A,FALSE,"KMC최종회의(7월) 자료"}</definedName>
    <definedName name="근태_1" hidden="1">{#N/A,#N/A,FALSE,"KMC최종회의(7월) 자료"}</definedName>
    <definedName name="근태_2" hidden="1">{#N/A,#N/A,FALSE,"KMC최종회의(7월) 자료"}</definedName>
    <definedName name="근태관" hidden="1">{#N/A,#N/A,FALSE,"KMC최종회의(7월) 자료"}</definedName>
    <definedName name="근태관_1" hidden="1">{#N/A,#N/A,FALSE,"KMC최종회의(7월) 자료"}</definedName>
    <definedName name="근태관_2" hidden="1">{#N/A,#N/A,FALSE,"KMC최종회의(7월) 자료"}</definedName>
    <definedName name="글세" hidden="1">{#N/A,#N/A,FALSE,"KMC최종회의(7월) 자료"}</definedName>
    <definedName name="글세_1" hidden="1">{#N/A,#N/A,FALSE,"KMC최종회의(7월) 자료"}</definedName>
    <definedName name="글세_2" hidden="1">{#N/A,#N/A,FALSE,"KMC최종회의(7월) 자료"}</definedName>
    <definedName name="금" hidden="1">{#N/A,#N/A,FALSE,"정공"}</definedName>
    <definedName name="금ㄴㅇ." hidden="1">#REF!</definedName>
    <definedName name="금월" hidden="1">{#N/A,#N/A,TRUE,"Y생산";#N/A,#N/A,TRUE,"Y판매";#N/A,#N/A,TRUE,"Y총물량";#N/A,#N/A,TRUE,"Y능력";#N/A,#N/A,TRUE,"YKD"}</definedName>
    <definedName name="금월_1" hidden="1">{#N/A,#N/A,TRUE,"Y생산";#N/A,#N/A,TRUE,"Y판매";#N/A,#N/A,TRUE,"Y총물량";#N/A,#N/A,TRUE,"Y능력";#N/A,#N/A,TRUE,"YKD"}</definedName>
    <definedName name="금월_2" hidden="1">{#N/A,#N/A,TRUE,"Y생산";#N/A,#N/A,TRUE,"Y판매";#N/A,#N/A,TRUE,"Y총물량";#N/A,#N/A,TRUE,"Y능력";#N/A,#N/A,TRUE,"YKD"}</definedName>
    <definedName name="금월_2_1" hidden="1">{#N/A,#N/A,TRUE,"Y생산";#N/A,#N/A,TRUE,"Y판매";#N/A,#N/A,TRUE,"Y총물량";#N/A,#N/A,TRUE,"Y능력";#N/A,#N/A,TRUE,"YKD"}</definedName>
    <definedName name="금월_2_2" hidden="1">{#N/A,#N/A,TRUE,"Y생산";#N/A,#N/A,TRUE,"Y판매";#N/A,#N/A,TRUE,"Y총물량";#N/A,#N/A,TRUE,"Y능력";#N/A,#N/A,TRUE,"YKD"}</definedName>
    <definedName name="금월_2_3" hidden="1">{#N/A,#N/A,TRUE,"Y생산";#N/A,#N/A,TRUE,"Y판매";#N/A,#N/A,TRUE,"Y총물량";#N/A,#N/A,TRUE,"Y능력";#N/A,#N/A,TRUE,"YKD"}</definedName>
    <definedName name="금월_3" hidden="1">{#N/A,#N/A,TRUE,"Y생산";#N/A,#N/A,TRUE,"Y판매";#N/A,#N/A,TRUE,"Y총물량";#N/A,#N/A,TRUE,"Y능력";#N/A,#N/A,TRUE,"YKD"}</definedName>
    <definedName name="금월_3_1" hidden="1">{#N/A,#N/A,TRUE,"Y생산";#N/A,#N/A,TRUE,"Y판매";#N/A,#N/A,TRUE,"Y총물량";#N/A,#N/A,TRUE,"Y능력";#N/A,#N/A,TRUE,"YKD"}</definedName>
    <definedName name="금월_3_2" hidden="1">{#N/A,#N/A,TRUE,"Y생산";#N/A,#N/A,TRUE,"Y판매";#N/A,#N/A,TRUE,"Y총물량";#N/A,#N/A,TRUE,"Y능력";#N/A,#N/A,TRUE,"YKD"}</definedName>
    <definedName name="금월_3_3" hidden="1">{#N/A,#N/A,TRUE,"Y생산";#N/A,#N/A,TRUE,"Y판매";#N/A,#N/A,TRUE,"Y총물량";#N/A,#N/A,TRUE,"Y능력";#N/A,#N/A,TRUE,"YKD"}</definedName>
    <definedName name="금월_4" hidden="1">{#N/A,#N/A,TRUE,"Y생산";#N/A,#N/A,TRUE,"Y판매";#N/A,#N/A,TRUE,"Y총물량";#N/A,#N/A,TRUE,"Y능력";#N/A,#N/A,TRUE,"YKD"}</definedName>
    <definedName name="금월_5" hidden="1">{#N/A,#N/A,TRUE,"Y생산";#N/A,#N/A,TRUE,"Y판매";#N/A,#N/A,TRUE,"Y총물량";#N/A,#N/A,TRUE,"Y능력";#N/A,#N/A,TRUE,"YKD"}</definedName>
    <definedName name="금주" hidden="1">{#N/A,#N/A,FALSE,"96자동차사 계획";#N/A,#N/A,FALSE,"96자동차사 계획"}</definedName>
    <definedName name="금투" hidden="1">{#N/A,#N/A,FALSE,"신규dep";#N/A,#N/A,FALSE,"신규dep-금형상각후";#N/A,#N/A,FALSE,"신규dep-연구비상각후";#N/A,#N/A,FALSE,"신규dep-기계,공구상각후"}</definedName>
    <definedName name="금형" hidden="1">{#N/A,#N/A,FALSE,"단축1";#N/A,#N/A,FALSE,"단축2";#N/A,#N/A,FALSE,"단축3";#N/A,#N/A,FALSE,"장축";#N/A,#N/A,FALSE,"4WD"}</definedName>
    <definedName name="금형_1" hidden="1">{#N/A,#N/A,FALSE,"단축1";#N/A,#N/A,FALSE,"단축2";#N/A,#N/A,FALSE,"단축3";#N/A,#N/A,FALSE,"장축";#N/A,#N/A,FALSE,"4WD"}</definedName>
    <definedName name="금형_2" hidden="1">{#N/A,#N/A,FALSE,"단축1";#N/A,#N/A,FALSE,"단축2";#N/A,#N/A,FALSE,"단축3";#N/A,#N/A,FALSE,"장축";#N/A,#N/A,FALSE,"4WD"}</definedName>
    <definedName name="금형1" hidden="1">{#N/A,#N/A,FALSE,"KMC최종회의(7월) 자료"}</definedName>
    <definedName name="금형114" hidden="1">{#N/A,#N/A,FALSE,"단축1";#N/A,#N/A,FALSE,"단축2";#N/A,#N/A,FALSE,"단축3";#N/A,#N/A,FALSE,"장축";#N/A,#N/A,FALSE,"4WD"}</definedName>
    <definedName name="금형2" hidden="1">{#N/A,#N/A,FALSE,"KMC최종회의(7월) 자료"}</definedName>
    <definedName name="금형3" hidden="1">{#N/A,#N/A,FALSE,"KMC최종회의(7월) 자료"}</definedName>
    <definedName name="금형33" hidden="1">{#N/A,#N/A,FALSE,"KMC최종회의(7월) 자료"}</definedName>
    <definedName name="금형4" hidden="1">{#N/A,#N/A,FALSE,"KMC최종회의(7월) 자료"}</definedName>
    <definedName name="금형5" hidden="1">{#N/A,#N/A,FALSE,"KMC최종회의(7월) 자료"}</definedName>
    <definedName name="금형90" hidden="1">{#N/A,#N/A,FALSE,"을지 (4)";#N/A,#N/A,FALSE,"을지 (5)";#N/A,#N/A,FALSE,"을지 (6)"}</definedName>
    <definedName name="금형HEs" hidden="1">{#N/A,#N/A,FALSE,"을지 (4)";#N/A,#N/A,FALSE,"을지 (5)";#N/A,#N/A,FALSE,"을지 (6)"}</definedName>
    <definedName name="금형공장" hidden="1">{#N/A,#N/A,FALSE,"협조전";#N/A,#N/A,FALSE,"원가절감계획 ";#N/A,#N/A,FALSE,"항목별원가절감계획"}</definedName>
    <definedName name="금형비2" hidden="1">{#N/A,#N/A,TRUE,"Y생산";#N/A,#N/A,TRUE,"Y판매";#N/A,#N/A,TRUE,"Y총물량";#N/A,#N/A,TRUE,"Y능력";#N/A,#N/A,TRUE,"YKD"}</definedName>
    <definedName name="금형비집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금형사진" hidden="1">{#N/A,#N/A,FALSE,"단축1";#N/A,#N/A,FALSE,"단축2";#N/A,#N/A,FALSE,"단축3";#N/A,#N/A,FALSE,"장축";#N/A,#N/A,FALSE,"4WD"}</definedName>
    <definedName name="금형사진1" hidden="1">{#N/A,#N/A,FALSE,"단축1";#N/A,#N/A,FALSE,"단축2";#N/A,#N/A,FALSE,"단축3";#N/A,#N/A,FALSE,"장축";#N/A,#N/A,FALSE,"4WD"}</definedName>
    <definedName name="금형사진2" hidden="1">{#N/A,#N/A,FALSE,"단축1";#N/A,#N/A,FALSE,"단축2";#N/A,#N/A,FALSE,"단축3";#N/A,#N/A,FALSE,"장축";#N/A,#N/A,FALSE,"4WD"}</definedName>
    <definedName name="금형사진3" hidden="1">{#N/A,#N/A,FALSE,"을지 (4)";#N/A,#N/A,FALSE,"을지 (5)";#N/A,#N/A,FALSE,"을지 (6)"}</definedName>
    <definedName name="금형사진임다" hidden="1">{#N/A,#N/A,FALSE,"단축1";#N/A,#N/A,FALSE,"단축2";#N/A,#N/A,FALSE,"단축3";#N/A,#N/A,FALSE,"장축";#N/A,#N/A,FALSE,"4WD"}</definedName>
    <definedName name="금형선급조정" hidden="1">{#N/A,#N/A,FALSE,"정공"}</definedName>
    <definedName name="금형선급조정_1" hidden="1">{#N/A,#N/A,FALSE,"정공"}</definedName>
    <definedName name="금형선급조정_2" hidden="1">{#N/A,#N/A,FALSE,"정공"}</definedName>
    <definedName name="금형승인양식1" hidden="1">{#N/A,#N/A,FALSE,"단축1";#N/A,#N/A,FALSE,"단축2";#N/A,#N/A,FALSE,"단축3";#N/A,#N/A,FALSE,"장축";#N/A,#N/A,FALSE,"4WD"}</definedName>
    <definedName name="금형예상비_2" hidden="1">{#N/A,#N/A,FALSE,"단축1";#N/A,#N/A,FALSE,"단축2";#N/A,#N/A,FALSE,"단축3";#N/A,#N/A,FALSE,"장축";#N/A,#N/A,FALSE,"4WD"}</definedName>
    <definedName name="금형원가계산서2" hidden="1">{#N/A,#N/A,FALSE,"단축1";#N/A,#N/A,FALSE,"단축2";#N/A,#N/A,FALSE,"단축3";#N/A,#N/A,FALSE,"장축";#N/A,#N/A,FALSE,"4WD"}</definedName>
    <definedName name="금형제작2" hidden="1">#REF!</definedName>
    <definedName name="금형제작일정" hidden="1">{#N/A,#N/A,FALSE,"단축1";#N/A,#N/A,FALSE,"단축2";#N/A,#N/A,FALSE,"단축3";#N/A,#N/A,FALSE,"장축";#N/A,#N/A,FALSE,"4WD"}</definedName>
    <definedName name="금형편성표" hidden="1">{#N/A,#N/A,FALSE,"단축1";#N/A,#N/A,FALSE,"단축2";#N/A,#N/A,FALSE,"단축3";#N/A,#N/A,FALSE,"장축";#N/A,#N/A,FALSE,"4WD"}</definedName>
    <definedName name="금형편성표_1" hidden="1">{#N/A,#N/A,FALSE,"단축1";#N/A,#N/A,FALSE,"단축2";#N/A,#N/A,FALSE,"단축3";#N/A,#N/A,FALSE,"장축";#N/A,#N/A,FALSE,"4WD"}</definedName>
    <definedName name="금형편성표_2" hidden="1">{#N/A,#N/A,FALSE,"단축1";#N/A,#N/A,FALSE,"단축2";#N/A,#N/A,FALSE,"단축3";#N/A,#N/A,FALSE,"장축";#N/A,#N/A,FALSE,"4WD"}</definedName>
    <definedName name="금형편성표표" hidden="1">{#N/A,#N/A,FALSE,"단축1";#N/A,#N/A,FALSE,"단축2";#N/A,#N/A,FALSE,"단축3";#N/A,#N/A,FALSE,"장축";#N/A,#N/A,FALSE,"4WD"}</definedName>
    <definedName name="긑내" hidden="1">{#N/A,#N/A,FALSE,"KMC최종회의(7월) 자료"}</definedName>
    <definedName name="긑내_1" hidden="1">{#N/A,#N/A,FALSE,"KMC최종회의(7월) 자료"}</definedName>
    <definedName name="긑내_2" hidden="1">{#N/A,#N/A,FALSE,"KMC최종회의(7월) 자료"}</definedName>
    <definedName name="기" hidden="1">{#N/A,#N/A,TRUE,"Y생산";#N/A,#N/A,TRUE,"Y판매";#N/A,#N/A,TRUE,"Y총물량";#N/A,#N/A,TRUE,"Y능력";#N/A,#N/A,TRUE,"YKD"}</definedName>
    <definedName name="기_1" hidden="1">{#N/A,#N/A,FALSE,"단축1";#N/A,#N/A,FALSE,"단축2";#N/A,#N/A,FALSE,"단축3";#N/A,#N/A,FALSE,"장축";#N/A,#N/A,FALSE,"4WD"}</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hidden="1">{#N/A,#N/A,FALSE,"단축1";#N/A,#N/A,FALSE,"단축2";#N/A,#N/A,FALSE,"단축3";#N/A,#N/A,FALSE,"장축";#N/A,#N/A,FALSE,"4WD"}</definedName>
    <definedName name="기계경비" hidden="1">{#N/A,#N/A,FALSE,"KMC최종회의(7월) 자료"}</definedName>
    <definedName name="기계경비_Fob" hidden="1">{#N/A,#N/A,FALSE,"단축1";#N/A,#N/A,FALSE,"단축2";#N/A,#N/A,FALSE,"단축3";#N/A,#N/A,FALSE,"장축";#N/A,#N/A,FALSE,"4WD"}</definedName>
    <definedName name="기관" hidden="1">{#N/A,#N/A,FALSE,"단축1";#N/A,#N/A,FALSE,"단축2";#N/A,#N/A,FALSE,"단축3";#N/A,#N/A,FALSE,"장축";#N/A,#N/A,FALSE,"4WD"}</definedName>
    <definedName name="기관예산" hidden="1">{#N/A,#N/A,FALSE,"단축1";#N/A,#N/A,FALSE,"단축2";#N/A,#N/A,FALSE,"단축3";#N/A,#N/A,FALSE,"장축";#N/A,#N/A,FALSE,"4WD"}</definedName>
    <definedName name="기기기" hidden="1">{#N/A,#N/A,FALSE,"단축1";#N/A,#N/A,FALSE,"단축2";#N/A,#N/A,FALSE,"단축3";#N/A,#N/A,FALSE,"장축";#N/A,#N/A,FALSE,"4WD"}</definedName>
    <definedName name="기능" hidden="1">{#N/A,#N/A,FALSE,"단축1";#N/A,#N/A,FALSE,"단축2";#N/A,#N/A,FALSE,"단축3";#N/A,#N/A,FALSE,"장축";#N/A,#N/A,FALSE,"4WD"}</definedName>
    <definedName name="기능부품" hidden="1">{#N/A,#N/A,FALSE,"단축1";#N/A,#N/A,FALSE,"단축2";#N/A,#N/A,FALSE,"단축3";#N/A,#N/A,FALSE,"장축";#N/A,#N/A,FALSE,"4WD"}</definedName>
    <definedName name="기능시험" hidden="1">{#N/A,#N/A,FALSE,"단축1";#N/A,#N/A,FALSE,"단축2";#N/A,#N/A,FALSE,"단축3";#N/A,#N/A,FALSE,"장축";#N/A,#N/A,FALSE,"4WD"}</definedName>
    <definedName name="기능시험3팀집예편" hidden="1">{#N/A,#N/A,FALSE,"단축1";#N/A,#N/A,FALSE,"단축2";#N/A,#N/A,FALSE,"단축3";#N/A,#N/A,FALSE,"장축";#N/A,#N/A,FALSE,"4WD"}</definedName>
    <definedName name="기단" hidden="1">{#N/A,#N/A,TRUE,"Y생산";#N/A,#N/A,TRUE,"Y판매";#N/A,#N/A,TRUE,"Y총물량";#N/A,#N/A,TRUE,"Y능력";#N/A,#N/A,TRUE,"YKD"}</definedName>
    <definedName name="기록" hidden="1">{#N/A,#N/A,FALSE,"KMC최종회의(7월) 자료"}</definedName>
    <definedName name="기록_1" hidden="1">{#N/A,#N/A,FALSE,"KMC최종회의(7월) 자료"}</definedName>
    <definedName name="기록_2" hidden="1">{#N/A,#N/A,FALSE,"KMC최종회의(7월) 자료"}</definedName>
    <definedName name="기르는" hidden="1">{#N/A,#N/A,FALSE,"단축1";#N/A,#N/A,FALSE,"단축2";#N/A,#N/A,FALSE,"단축3";#N/A,#N/A,FALSE,"장축";#N/A,#N/A,FALSE,"4WD"}</definedName>
    <definedName name="기른" hidden="1">{#N/A,#N/A,FALSE,"단축1";#N/A,#N/A,FALSE,"단축2";#N/A,#N/A,FALSE,"단축3";#N/A,#N/A,FALSE,"장축";#N/A,#N/A,FALSE,"4WD"}</definedName>
    <definedName name="기를다" hidden="1">{#N/A,#N/A,FALSE,"단축1";#N/A,#N/A,FALSE,"단축2";#N/A,#N/A,FALSE,"단축3";#N/A,#N/A,FALSE,"장축";#N/A,#N/A,FALSE,"4WD"}</definedName>
    <definedName name="기름" hidden="1">{#N/A,#N/A,FALSE,"단축1";#N/A,#N/A,FALSE,"단축2";#N/A,#N/A,FALSE,"단축3";#N/A,#N/A,FALSE,"장축";#N/A,#N/A,FALSE,"4WD"}</definedName>
    <definedName name="기름걸레" hidden="1">{#N/A,#N/A,FALSE,"단축1";#N/A,#N/A,FALSE,"단축2";#N/A,#N/A,FALSE,"단축3";#N/A,#N/A,FALSE,"장축";#N/A,#N/A,FALSE,"4WD"}</definedName>
    <definedName name="기미" hidden="1">{#N/A,#N/A,FALSE,"인원";#N/A,#N/A,FALSE,"비용2";#N/A,#N/A,FALSE,"비용1";#N/A,#N/A,FALSE,"비용";#N/A,#N/A,FALSE,"보증2";#N/A,#N/A,FALSE,"보증1";#N/A,#N/A,FALSE,"보증";#N/A,#N/A,FALSE,"손익1";#N/A,#N/A,FALSE,"손익";#N/A,#N/A,FALSE,"부서별매출";#N/A,#N/A,FALSE,"매출"}</definedName>
    <definedName name="기본" hidden="1">{#N/A,#N/A,FALSE,"단축1";#N/A,#N/A,FALSE,"단축2";#N/A,#N/A,FALSE,"단축3";#N/A,#N/A,FALSE,"장축";#N/A,#N/A,FALSE,"4WD"}</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방향" hidden="1">{#N/A,#N/A,FALSE,"인원";#N/A,#N/A,FALSE,"비용2";#N/A,#N/A,FALSE,"비용1";#N/A,#N/A,FALSE,"비용";#N/A,#N/A,FALSE,"보증2";#N/A,#N/A,FALSE,"보증1";#N/A,#N/A,FALSE,"보증";#N/A,#N/A,FALSE,"손익1";#N/A,#N/A,FALSE,"손익";#N/A,#N/A,FALSE,"부서별매출";#N/A,#N/A,FALSE,"매출"}</definedName>
    <definedName name="기사등" hidden="1">{#N/A,#N/A,FALSE,"KMC최종회의(7월) 자료"}</definedName>
    <definedName name="기사등_1" hidden="1">{#N/A,#N/A,FALSE,"KMC최종회의(7월) 자료"}</definedName>
    <definedName name="기상" hidden="1">{#N/A,#N/A,FALSE,"단축1";#N/A,#N/A,FALSE,"단축2";#N/A,#N/A,FALSE,"단축3";#N/A,#N/A,FALSE,"장축";#N/A,#N/A,FALSE,"4WD"}</definedName>
    <definedName name="기수" hidden="1">{#N/A,#N/A,FALSE,"단축1";#N/A,#N/A,FALSE,"단축2";#N/A,#N/A,FALSE,"단축3";#N/A,#N/A,FALSE,"장축";#N/A,#N/A,FALSE,"4WD"}</definedName>
    <definedName name="기술용역" hidden="1">{#N/A,#N/A,FALSE,"단축1";#N/A,#N/A,FALSE,"단축2";#N/A,#N/A,FALSE,"단축3";#N/A,#N/A,FALSE,"장축";#N/A,#N/A,FALSE,"4WD"}</definedName>
    <definedName name="기아" hidden="1">{#N/A,#N/A,FALSE,"단축1";#N/A,#N/A,FALSE,"단축2";#N/A,#N/A,FALSE,"단축3";#N/A,#N/A,FALSE,"장축";#N/A,#N/A,FALSE,"4WD"}</definedName>
    <definedName name="기아_1" hidden="1">{#N/A,#N/A,FALSE,"단축1";#N/A,#N/A,FALSE,"단축2";#N/A,#N/A,FALSE,"단축3";#N/A,#N/A,FALSE,"장축";#N/A,#N/A,FALSE,"4WD"}</definedName>
    <definedName name="기아_2" hidden="1">{#N/A,#N/A,FALSE,"단축1";#N/A,#N/A,FALSE,"단축2";#N/A,#N/A,FALSE,"단축3";#N/A,#N/A,FALSE,"장축";#N/A,#N/A,FALSE,"4WD"}</definedName>
    <definedName name="기아매출" hidden="1">{#N/A,#N/A,FALSE,"ROW DATA"}</definedName>
    <definedName name="기아모텍" hidden="1">{#N/A,#N/A,FALSE,"정공"}</definedName>
    <definedName name="기아모텍_1" hidden="1">{#N/A,#N/A,FALSE,"정공"}</definedName>
    <definedName name="기아모텍_2" hidden="1">{#N/A,#N/A,FALSE,"정공"}</definedName>
    <definedName name="기아모텍_2_1" hidden="1">{#N/A,#N/A,FALSE,"정공"}</definedName>
    <definedName name="기아모텍_2_2" hidden="1">{#N/A,#N/A,FALSE,"정공"}</definedName>
    <definedName name="기아모텍_2_3" hidden="1">{#N/A,#N/A,FALSE,"정공"}</definedName>
    <definedName name="기아모텍_3" hidden="1">{#N/A,#N/A,FALSE,"정공"}</definedName>
    <definedName name="기아모텍_3_1" hidden="1">{#N/A,#N/A,FALSE,"정공"}</definedName>
    <definedName name="기아모텍_3_2" hidden="1">{#N/A,#N/A,FALSE,"정공"}</definedName>
    <definedName name="기아모텍_3_3" hidden="1">{#N/A,#N/A,FALSE,"정공"}</definedName>
    <definedName name="기아모텍_4" hidden="1">{#N/A,#N/A,FALSE,"정공"}</definedName>
    <definedName name="기아모텍_5" hidden="1">{#N/A,#N/A,FALSE,"정공"}</definedName>
    <definedName name="기아자동차" hidden="1">{#N/A,#N/A,TRUE,"Y생산";#N/A,#N/A,TRUE,"Y판매";#N/A,#N/A,TRUE,"Y총물량";#N/A,#N/A,TRUE,"Y능력";#N/A,#N/A,TRUE,"YKD"}</definedName>
    <definedName name="기아자동차_1" hidden="1">{#N/A,#N/A,TRUE,"Y생산";#N/A,#N/A,TRUE,"Y판매";#N/A,#N/A,TRUE,"Y총물량";#N/A,#N/A,TRUE,"Y능력";#N/A,#N/A,TRUE,"YKD"}</definedName>
    <definedName name="기아전자" hidden="1">{#N/A,#N/A,FALSE,"정공"}</definedName>
    <definedName name="기아전자_1" hidden="1">{#N/A,#N/A,FALSE,"정공"}</definedName>
    <definedName name="기아전자_2" hidden="1">{#N/A,#N/A,FALSE,"정공"}</definedName>
    <definedName name="기아전자_2_1" hidden="1">{#N/A,#N/A,FALSE,"정공"}</definedName>
    <definedName name="기아전자_2_2" hidden="1">{#N/A,#N/A,FALSE,"정공"}</definedName>
    <definedName name="기아전자_2_3" hidden="1">{#N/A,#N/A,FALSE,"정공"}</definedName>
    <definedName name="기아전자_3" hidden="1">{#N/A,#N/A,FALSE,"정공"}</definedName>
    <definedName name="기아전자_3_1" hidden="1">{#N/A,#N/A,FALSE,"정공"}</definedName>
    <definedName name="기아전자_3_2" hidden="1">{#N/A,#N/A,FALSE,"정공"}</definedName>
    <definedName name="기아전자_3_3" hidden="1">{#N/A,#N/A,FALSE,"정공"}</definedName>
    <definedName name="기아전자_4" hidden="1">{#N/A,#N/A,FALSE,"정공"}</definedName>
    <definedName name="기아전자_5" hidden="1">{#N/A,#N/A,FALSE,"정공"}</definedName>
    <definedName name="기아차" hidden="1">{#N/A,#N/A,FALSE,"산학연 합동연구";#N/A,#N/A,FALSE,"96업무계획";#N/A,#N/A,FALSE,"96기술개발계획";#N/A,#N/A,FALSE,"인력양성";#N/A,#N/A,FALSE,"7. 원가절감계획";#N/A,#N/A,FALSE,"노무";#N/A,#N/A,FALSE,"업무계획";#N/A,#N/A,FALSE,"제목"}</definedName>
    <definedName name="기어2" hidden="1">{#N/A,#N/A,FALSE,"단축1";#N/A,#N/A,FALSE,"단축2";#N/A,#N/A,FALSE,"단축3";#N/A,#N/A,FALSE,"장축";#N/A,#N/A,FALSE,"4WD"}</definedName>
    <definedName name="기어단독" hidden="1">{#N/A,#N/A,FALSE,"단축1";#N/A,#N/A,FALSE,"단축2";#N/A,#N/A,FALSE,"단축3";#N/A,#N/A,FALSE,"장축";#N/A,#N/A,FALSE,"4WD"}</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존LAYOUT" hidden="1">{#N/A,#N/A,TRUE,"일정"}</definedName>
    <definedName name="기존안비교" hidden="1">{#N/A,#N/A,FALSE,"단축1";#N/A,#N/A,FALSE,"단축2";#N/A,#N/A,FALSE,"단축3";#N/A,#N/A,FALSE,"장축";#N/A,#N/A,FALSE,"4WD"}</definedName>
    <definedName name="기존차" hidden="1">{#N/A,#N/A,FALSE,"협조전";#N/A,#N/A,FALSE,"원가절감계획 ";#N/A,#N/A,FALSE,"항목별원가절감계획"}</definedName>
    <definedName name="기존차_1" hidden="1">{#N/A,#N/A,FALSE,"협조전";#N/A,#N/A,FALSE,"원가절감계획 ";#N/A,#N/A,FALSE,"항목별원가절감계획"}</definedName>
    <definedName name="기존차1" hidden="1">{#N/A,#N/A,FALSE,"협조전";#N/A,#N/A,FALSE,"원가절감계획 ";#N/A,#N/A,FALSE,"항목별원가절감계획"}</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서3" hidden="1">{#N/A,#N/A,FALSE,"단축1";#N/A,#N/A,FALSE,"단축2";#N/A,#N/A,FALSE,"단축3";#N/A,#N/A,FALSE,"장축";#N/A,#N/A,FALSE,"4WD"}</definedName>
    <definedName name="기타리스트" hidden="1">{#N/A,#N/A,FALSE,"단축1";#N/A,#N/A,FALSE,"단축2";#N/A,#N/A,FALSE,"단축3";#N/A,#N/A,FALSE,"장축";#N/A,#N/A,FALSE,"4WD"}</definedName>
    <definedName name="기타사항" hidden="1">{#N/A,#N/A,FALSE,"단축1";#N/A,#N/A,FALSE,"단축2";#N/A,#N/A,FALSE,"단축3";#N/A,#N/A,FALSE,"장축";#N/A,#N/A,FALSE,"4WD"}</definedName>
    <definedName name="기획대비" hidden="1">{#N/A,#N/A,FALSE,"신규dep";#N/A,#N/A,FALSE,"신규dep-금형상각후";#N/A,#N/A,FALSE,"신규dep-연구비상각후";#N/A,#N/A,FALSE,"신규dep-기계,공구상각후"}</definedName>
    <definedName name="기획통보경비" hidden="1">{#N/A,#N/A,FALSE,"단축1";#N/A,#N/A,FALSE,"단축2";#N/A,#N/A,FALSE,"단축3";#N/A,#N/A,FALSE,"장축";#N/A,#N/A,FALSE,"4WD"}</definedName>
    <definedName name="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긴급추진설비" hidden="1">{#N/A,#N/A,FALSE,"단축1";#N/A,#N/A,FALSE,"단축2";#N/A,#N/A,FALSE,"단축3";#N/A,#N/A,FALSE,"장축";#N/A,#N/A,FALSE,"4WD"}</definedName>
    <definedName name="김" hidden="1">{#N/A,#N/A,TRUE,"Y생산";#N/A,#N/A,TRUE,"Y판매";#N/A,#N/A,TRUE,"Y총물량";#N/A,#N/A,TRUE,"Y능력";#N/A,#N/A,TRUE,"YKD"}</definedName>
    <definedName name="김_1" hidden="1">{#N/A,#N/A,FALSE,"KMC최종회의(7월) 자료"}</definedName>
    <definedName name="김경일" hidden="1">{#N/A,#N/A,FALSE,"업체선정";#N/A,#N/A,FALSE,"업체선정sheet";#N/A,#N/A,FALSE,"업체실태";#N/A,#N/A,FALSE,"업체실태(1)";#N/A,#N/A,FALSE,"종업원현황(2)";#N/A,#N/A,FALSE,"생산품목(3)";#N/A,#N/A,FALSE,"장비보유현황";#N/A,#N/A,FALSE,"차량및약도";#N/A,#N/A,FALSE,"금형LIST"}</definedName>
    <definedName name="김경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광태" hidden="1">{#N/A,#N/A,FALSE,"단축1";#N/A,#N/A,FALSE,"단축2";#N/A,#N/A,FALSE,"단축3";#N/A,#N/A,FALSE,"장축";#N/A,#N/A,FALSE,"4WD"}</definedName>
    <definedName name="김광현" hidden="1">{#N/A,#N/A,FALSE,"KMC최종회의(7월) 자료"}</definedName>
    <definedName name="김덕수" hidden="1">{#N/A,#N/A,FALSE,"단축1";#N/A,#N/A,FALSE,"단축2";#N/A,#N/A,FALSE,"단축3";#N/A,#N/A,FALSE,"장축";#N/A,#N/A,FALSE,"4WD"}</definedName>
    <definedName name="김도완" hidden="1">{#N/A,#N/A,FALSE,"96자동차사 계획";#N/A,#N/A,FALSE,"96자동차사 계획"}</definedName>
    <definedName name="김도윤" hidden="1">{#N/A,#N/A,TRUE,"Y생산";#N/A,#N/A,TRUE,"Y판매";#N/A,#N/A,TRUE,"Y총물량";#N/A,#N/A,TRUE,"Y능력";#N/A,#N/A,TRUE,"YKD"}</definedName>
    <definedName name="김도윤_1" hidden="1">{#N/A,#N/A,TRUE,"Y생산";#N/A,#N/A,TRUE,"Y판매";#N/A,#N/A,TRUE,"Y총물량";#N/A,#N/A,TRUE,"Y능력";#N/A,#N/A,TRUE,"YKD"}</definedName>
    <definedName name="김돌" hidden="1">{#N/A,#N/A,TRUE,"Y생산";#N/A,#N/A,TRUE,"Y판매";#N/A,#N/A,TRUE,"Y총물량";#N/A,#N/A,TRUE,"Y능력";#N/A,#N/A,TRUE,"YKD"}</definedName>
    <definedName name="김동탁" hidden="1">{#N/A,#N/A,FALSE,"단축1";#N/A,#N/A,FALSE,"단축2";#N/A,#N/A,FALSE,"단축3";#N/A,#N/A,FALSE,"장축";#N/A,#N/A,FALSE,"4WD"}</definedName>
    <definedName name="김동탁_1" hidden="1">{#N/A,#N/A,FALSE,"단축1";#N/A,#N/A,FALSE,"단축2";#N/A,#N/A,FALSE,"단축3";#N/A,#N/A,FALSE,"장축";#N/A,#N/A,FALSE,"4WD"}</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만수" hidden="1">{#N/A,#N/A,FALSE,"정공"}</definedName>
    <definedName name="김명철" hidden="1">{#N/A,#N/A,FALSE,"협조전";#N/A,#N/A,FALSE,"원가절감계획 ";#N/A,#N/A,FALSE,"항목별원가절감계획"}</definedName>
    <definedName name="김베" hidden="1">{#N/A,#N/A,FALSE,"단축1";#N/A,#N/A,FALSE,"단축2";#N/A,#N/A,FALSE,"단축3";#N/A,#N/A,FALSE,"장축";#N/A,#N/A,FALSE,"4WD"}</definedName>
    <definedName name="김베_1" hidden="1">{#N/A,#N/A,FALSE,"단축1";#N/A,#N/A,FALSE,"단축2";#N/A,#N/A,FALSE,"단축3";#N/A,#N/A,FALSE,"장축";#N/A,#N/A,FALSE,"4WD"}</definedName>
    <definedName name="김사" hidden="1">{#N/A,#N/A,FALSE,"KMC최종회의(7월) 자료"}</definedName>
    <definedName name="김사_1" hidden="1">{#N/A,#N/A,FALSE,"KMC최종회의(7월) 자료"}</definedName>
    <definedName name="김삼주" hidden="1">{#N/A,#N/A,FALSE,"KMC최종회의(7월) 자료"}</definedName>
    <definedName name="김삼주_1" hidden="1">{#N/A,#N/A,FALSE,"KMC최종회의(7월) 자료"}</definedName>
    <definedName name="김상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석빈" hidden="1">{#N/A,#N/A,FALSE,"단축1";#N/A,#N/A,FALSE,"단축2";#N/A,#N/A,FALSE,"단축3";#N/A,#N/A,FALSE,"장축";#N/A,#N/A,FALSE,"4WD"}</definedName>
    <definedName name="김석빈_1" hidden="1">{#N/A,#N/A,FALSE,"단축1";#N/A,#N/A,FALSE,"단축2";#N/A,#N/A,FALSE,"단축3";#N/A,#N/A,FALSE,"장축";#N/A,#N/A,FALSE,"4WD"}</definedName>
    <definedName name="김성냔" hidden="1">{#N/A,#N/A,FALSE,"단축1";#N/A,#N/A,FALSE,"단축2";#N/A,#N/A,FALSE,"단축3";#N/A,#N/A,FALSE,"장축";#N/A,#N/A,FALSE,"4WD"}</definedName>
    <definedName name="김세" hidden="1">{#N/A,#N/A,FALSE,"단축1";#N/A,#N/A,FALSE,"단축2";#N/A,#N/A,FALSE,"단축3";#N/A,#N/A,FALSE,"장축";#N/A,#N/A,FALSE,"4WD"}</definedName>
    <definedName name="김세환" hidden="1">{#N/A,#N/A,FALSE,"단축1";#N/A,#N/A,FALSE,"단축2";#N/A,#N/A,FALSE,"단축3";#N/A,#N/A,FALSE,"장축";#N/A,#N/A,FALSE,"4WD"}</definedName>
    <definedName name="김심" hidden="1">{#N/A,#N/A,FALSE,"단축1";#N/A,#N/A,FALSE,"단축2";#N/A,#N/A,FALSE,"단축3";#N/A,#N/A,FALSE,"장축";#N/A,#N/A,FALSE,"4WD"}</definedName>
    <definedName name="김연재" hidden="1">{#N/A,#N/A,FALSE,"단축1";#N/A,#N/A,FALSE,"단축2";#N/A,#N/A,FALSE,"단축3";#N/A,#N/A,FALSE,"장축";#N/A,#N/A,FALSE,"4WD"}</definedName>
    <definedName name="김영" hidden="1">{#N/A,#N/A,FALSE,"단축1";#N/A,#N/A,FALSE,"단축2";#N/A,#N/A,FALSE,"단축3";#N/A,#N/A,FALSE,"장축";#N/A,#N/A,FALSE,"4WD"}</definedName>
    <definedName name="김영_1" hidden="1">{#N/A,#N/A,FALSE,"단축1";#N/A,#N/A,FALSE,"단축2";#N/A,#N/A,FALSE,"단축3";#N/A,#N/A,FALSE,"장축";#N/A,#N/A,FALSE,"4WD"}</definedName>
    <definedName name="김영진_1" hidden="1">{#N/A,#N/A,FALSE,"KMC최종회의(7월) 자료"}</definedName>
    <definedName name="김용진123" hidden="1">{#N/A,#N/A,FALSE,"정공"}</definedName>
    <definedName name="김윤기" hidden="1">{#N/A,#N/A,FALSE,"단축1";#N/A,#N/A,FALSE,"단축2";#N/A,#N/A,FALSE,"단축3";#N/A,#N/A,FALSE,"장축";#N/A,#N/A,FALSE,"4WD"}</definedName>
    <definedName name="김은정" hidden="1">{#N/A,#N/A,FALSE,"PART-1234-8-12-9(41)";#N/A,#N/A,FALSE,"PARTS-2(3)";#N/A,#N/A,FALSE,"VAN SYSTEM";#N/A,#N/A,FALSE,"PARTS-10(26)";#N/A,#N/A,FALSE,"PART-5-6-7-11(14)";#N/A,#N/A,FALSE,"PARTS-4(3)";#N/A,#N/A,FALSE,"PCLASS"}</definedName>
    <definedName name="김인섭" hidden="1">{"'5'!$A$1:$BB$147"}</definedName>
    <definedName name="김인호" hidden="1">{#N/A,#N/A,FALSE,"해외크레임";#N/A,#N/A,FALSE,"ACCENT현황";#N/A,#N/A,FALSE,"AVANTE";#N/A,#N/A,FALSE,"SONATA(3)";#N/A,#N/A,FALSE,"국내크레임"}</definedName>
    <definedName name="김정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정희" hidden="1">{"'5'!$A$1:$BB$147"}</definedName>
    <definedName name="김제신" hidden="1">{#N/A,#N/A,FALSE,"단축1";#N/A,#N/A,FALSE,"단축2";#N/A,#N/A,FALSE,"단축3";#N/A,#N/A,FALSE,"장축";#N/A,#N/A,FALSE,"4WD"}</definedName>
    <definedName name="김종경" hidden="1">{#N/A,#N/A,FALSE,"단축1";#N/A,#N/A,FALSE,"단축2";#N/A,#N/A,FALSE,"단축3";#N/A,#N/A,FALSE,"장축";#N/A,#N/A,FALSE,"4WD"}</definedName>
    <definedName name="김종완" hidden="1">{#N/A,#N/A,FALSE,"KMC최종회의(7월) 자료"}</definedName>
    <definedName name="김종완_1" hidden="1">{#N/A,#N/A,FALSE,"KMC최종회의(7월) 자료"}</definedName>
    <definedName name="김종은" hidden="1">{#N/A,#N/A,TRUE,"Y생산";#N/A,#N/A,TRUE,"Y판매";#N/A,#N/A,TRUE,"Y총물량";#N/A,#N/A,TRUE,"Y능력";#N/A,#N/A,TRUE,"YKD"}</definedName>
    <definedName name="김종은_1" hidden="1">{#N/A,#N/A,TRUE,"Y생산";#N/A,#N/A,TRUE,"Y판매";#N/A,#N/A,TRUE,"Y총물량";#N/A,#N/A,TRUE,"Y능력";#N/A,#N/A,TRUE,"YKD"}</definedName>
    <definedName name="김차" hidden="1">{#N/A,#N/A,FALSE,"단축1";#N/A,#N/A,FALSE,"단축2";#N/A,#N/A,FALSE,"단축3";#N/A,#N/A,FALSE,"장축";#N/A,#N/A,FALSE,"4WD"}</definedName>
    <definedName name="김차_1" hidden="1">{#N/A,#N/A,FALSE,"단축1";#N/A,#N/A,FALSE,"단축2";#N/A,#N/A,FALSE,"단축3";#N/A,#N/A,FALSE,"장축";#N/A,#N/A,FALSE,"4WD"}</definedName>
    <definedName name="김치" hidden="1">{#N/A,#N/A,FALSE,"KMC최종회의(7월) 자료"}</definedName>
    <definedName name="김치_1" hidden="1">{#N/A,#N/A,FALSE,"KMC최종회의(7월) 자료"}</definedName>
    <definedName name="김태헌" hidden="1">{"'5'!$A$1:$BB$147"}</definedName>
    <definedName name="김학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ㄲ" hidden="1">{#N/A,#N/A,FALSE,"KMC최종회의(7월) 자료"}</definedName>
    <definedName name="끝" hidden="1">{#N/A,#N/A,FALSE,"단축1";#N/A,#N/A,FALSE,"단축2";#N/A,#N/A,FALSE,"단축3";#N/A,#N/A,FALSE,"장축";#N/A,#N/A,FALSE,"4WD"}</definedName>
    <definedName name="ㄳ" hidden="1">{#N/A,#N/A,FALSE,"단축1";#N/A,#N/A,FALSE,"단축2";#N/A,#N/A,FALSE,"단축3";#N/A,#N/A,FALSE,"장축";#N/A,#N/A,FALSE,"4WD"}</definedName>
    <definedName name="ㄳㄳㅅㄱ" hidden="1">{#N/A,#N/A,FALSE,"단축1";#N/A,#N/A,FALSE,"단축2";#N/A,#N/A,FALSE,"단축3";#N/A,#N/A,FALSE,"장축";#N/A,#N/A,FALSE,"4WD"}</definedName>
    <definedName name="ㄳㄷㄳ" hidden="1">{#N/A,#N/A,FALSE,"단축1";#N/A,#N/A,FALSE,"단축2";#N/A,#N/A,FALSE,"단축3";#N/A,#N/A,FALSE,"장축";#N/A,#N/A,FALSE,"4WD"}</definedName>
    <definedName name="ㄳㄷㅅㄷㄱㅈ" hidden="1">{"'5'!$A$1:$BB$147"}</definedName>
    <definedName name="ㄳㅁㄴ" hidden="1">{#N/A,#N/A,FALSE,"단축1";#N/A,#N/A,FALSE,"단축2";#N/A,#N/A,FALSE,"단축3";#N/A,#N/A,FALSE,"장축";#N/A,#N/A,FALSE,"4WD"}</definedName>
    <definedName name="ㄳㅅ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ㅎ5ㄱ" hidden="1">{#N/A,#N/A,FALSE,"정공"}</definedName>
    <definedName name="ㄳㅎㅅ호ㅛ" hidden="1">{#N/A,#N/A,FALSE,"KMC최종회의(7월) 자료"}</definedName>
    <definedName name="ㄳㅎㅅ호ㅛ_1" hidden="1">{#N/A,#N/A,FALSE,"KMC최종회의(7월) 자료"}</definedName>
    <definedName name="ㄴ" hidden="1">{#N/A,#N/A,FALSE,"KMC최종회의(7월) 자료"}</definedName>
    <definedName name="ㄴ_1" hidden="1">{#N/A,#N/A,FALSE,"KMC최종회의(7월) 자료"}</definedName>
    <definedName name="ㄴ1" hidden="1">{#N/A,#N/A,FALSE,"KMC최종회의(7월) 자료"}</definedName>
    <definedName name="ㄴ1_1" hidden="1">{#N/A,#N/A,FALSE,"KMC최종회의(7월) 자료"}</definedName>
    <definedName name="ㄴ1_2" hidden="1">{#N/A,#N/A,FALSE,"KMC최종회의(7월) 자료"}</definedName>
    <definedName name="ㄴ2" hidden="1">#REF!</definedName>
    <definedName name="ㄴ22" hidden="1">#REF!</definedName>
    <definedName name="ㄴ32ㄷ" hidden="1">{#N/A,#N/A,FALSE,"단축1";#N/A,#N/A,FALSE,"단축2";#N/A,#N/A,FALSE,"단축3";#N/A,#N/A,FALSE,"장축";#N/A,#N/A,FALSE,"4WD"}</definedName>
    <definedName name="ㄴ4" hidden="1">{"'7-2지역별'!$A$1:$R$44"}</definedName>
    <definedName name="ㄴ555" hidden="1">{"'7-2지역별'!$A$1:$R$44"}</definedName>
    <definedName name="ㄴ6" hidden="1">{"'7-2지역별'!$A$1:$R$44"}</definedName>
    <definedName name="ㄴ8" hidden="1">#REF!</definedName>
    <definedName name="ㄴㄱ" hidden="1">{#N/A,#N/A,FALSE,"단축1";#N/A,#N/A,FALSE,"단축2";#N/A,#N/A,FALSE,"단축3";#N/A,#N/A,FALSE,"장축";#N/A,#N/A,FALSE,"4WD"}</definedName>
    <definedName name="ㄴㄴ" hidden="1">{#N/A,#N/A,FALSE,"KMC최종회의(7월) 자료"}</definedName>
    <definedName name="ㄴㄴ_1" hidden="1">{#N/A,#N/A,FALSE,"정공"}</definedName>
    <definedName name="ㄴㄴ_2" hidden="1">{#N/A,#N/A,FALSE,"정공"}</definedName>
    <definedName name="ㄴㄴㄴ" hidden="1">{#N/A,#N/A,FALSE,"KMC최종회의(7월) 자료"}</definedName>
    <definedName name="ㄴㄴㄴ_1" hidden="1">{#N/A,#N/A,FALSE,"KMC최종회의(7월) 자료"}</definedName>
    <definedName name="ㄴㄴㄴ_2" hidden="1">{#N/A,#N/A,FALSE,"단축1";#N/A,#N/A,FALSE,"단축2";#N/A,#N/A,FALSE,"단축3";#N/A,#N/A,FALSE,"장축";#N/A,#N/A,FALSE,"4WD"}</definedName>
    <definedName name="ㄴㄴㄴㄳㄷㄷㅀ" hidden="1">{#N/A,#N/A,FALSE,"PART-1234-8-12-9(41)";#N/A,#N/A,FALSE,"PARTS-2(3)";#N/A,#N/A,FALSE,"VAN SYSTEM";#N/A,#N/A,FALSE,"PARTS-10(26)";#N/A,#N/A,FALSE,"PART-5-6-7-11(14)";#N/A,#N/A,FALSE,"PARTS-4(3)";#N/A,#N/A,FALSE,"PCLASS"}</definedName>
    <definedName name="ㄴㄴㄴㄴ" hidden="1">{#N/A,#N/A,TRUE,"Y생산";#N/A,#N/A,TRUE,"Y판매";#N/A,#N/A,TRUE,"Y총물량";#N/A,#N/A,TRUE,"Y능력";#N/A,#N/A,TRUE,"YKD"}</definedName>
    <definedName name="ㄴㄴㄴㄴ_1" hidden="1">{#N/A,#N/A,FALSE,"단축1";#N/A,#N/A,FALSE,"단축2";#N/A,#N/A,FALSE,"단축3";#N/A,#N/A,FALSE,"장축";#N/A,#N/A,FALSE,"4WD"}</definedName>
    <definedName name="ㄴㄴㄴㄴㄴㄴ" hidden="1">{#N/A,#N/A,FALSE,"KMC최종회의(7월) 자료"}</definedName>
    <definedName name="ㄴㄴㄴㄴㄴㄴㄴㄴㄴㄴㄴㄴㄴㄴㄴㄴㄴㄴㄴㄴㅇ" hidden="1">{#N/A,#N/A,FALSE,"KMC최종회의(7월) 자료"}</definedName>
    <definedName name="ㄴㄴㄴㄶㄹㅇㅅㅅㅅ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ㄴㄴㄹㄴㄹㅇ" hidden="1">{#N/A,#N/A,FALSE,"PART-1234-8-12-9(41)";#N/A,#N/A,FALSE,"PARTS-2(3)";#N/A,#N/A,FALSE,"VAN SYSTEM";#N/A,#N/A,FALSE,"PARTS-10(26)";#N/A,#N/A,FALSE,"PART-5-6-7-11(14)";#N/A,#N/A,FALSE,"PARTS-4(3)";#N/A,#N/A,FALSE,"PCLASS"}</definedName>
    <definedName name="ㄴㄴㄴㄹ호ㅗ" hidden="1">{#N/A,#N/A,FALSE,"단축1";#N/A,#N/A,FALSE,"단축2";#N/A,#N/A,FALSE,"단축3";#N/A,#N/A,FALSE,"장축";#N/A,#N/A,FALSE,"4WD"}</definedName>
    <definedName name="ㄴㄴㄴㅁㅁㄴ" hidden="1">{#N/A,#N/A,FALSE,"표지";#N/A,#N/A,FALSE,"전제";#N/A,#N/A,FALSE,"대당";#N/A,#N/A,FALSE,"가공비";#N/A,#N/A,FALSE,"재료비";#N/A,#N/A,FALSE,"손익"}</definedName>
    <definedName name="ㄴㄴㄴㅇ" hidden="1">{#N/A,#N/A,FALSE,"단축1";#N/A,#N/A,FALSE,"단축2";#N/A,#N/A,FALSE,"단축3";#N/A,#N/A,FALSE,"장축";#N/A,#N/A,FALSE,"4WD"}</definedName>
    <definedName name="ㄴㄴㄹ" hidden="1">{#N/A,#N/A,FALSE,"단축1";#N/A,#N/A,FALSE,"단축2";#N/A,#N/A,FALSE,"단축3";#N/A,#N/A,FALSE,"장축";#N/A,#N/A,FALSE,"4WD"}</definedName>
    <definedName name="ㄴㄴㄹㅇㅇㅎㅎㄴㅇ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ㄴㅁ" hidden="1">#REF!</definedName>
    <definedName name="ㄴㄴㅇㅇㄹㅇ" hidden="1">{"'7-2지역별'!$A$1:$R$44"}</definedName>
    <definedName name="ㄴ내역" hidden="1">{#N/A,#N/A,FALSE,"단축1";#N/A,#N/A,FALSE,"단축2";#N/A,#N/A,FALSE,"단축3";#N/A,#N/A,FALSE,"장축";#N/A,#N/A,FALSE,"4WD"}</definedName>
    <definedName name="ㄴㄷ더" hidden="1">{#N/A,#N/A,FALSE,"단축1";#N/A,#N/A,FALSE,"단축2";#N/A,#N/A,FALSE,"단축3";#N/A,#N/A,FALSE,"장축";#N/A,#N/A,FALSE,"4WD"}</definedName>
    <definedName name="ㄴㄷ더_1" hidden="1">{#N/A,#N/A,FALSE,"단축1";#N/A,#N/A,FALSE,"단축2";#N/A,#N/A,FALSE,"단축3";#N/A,#N/A,FALSE,"장축";#N/A,#N/A,FALSE,"4WD"}</definedName>
    <definedName name="ㄴㄷㄹ" hidden="1">{"'매출계획'!$D$2"}</definedName>
    <definedName name="ㄴㄷㅇㄹ" hidden="1">{#N/A,#N/A,FALSE,"표지";#N/A,#N/A,FALSE,"전제";#N/A,#N/A,FALSE,"손익-자 (2)";#N/A,#N/A,FALSE,"손익-자";#N/A,#N/A,FALSE,"손익-마 (2)";#N/A,#N/A,FALSE,"손익-마";#N/A,#N/A,FALSE,"총손최종"}</definedName>
    <definedName name="ㄴㄹ" hidden="1">{#N/A,#N/A,FALSE,"KMC최종회의(7월) 자료"}</definedName>
    <definedName name="ㄴㄹ_1" hidden="1">{#N/A,#N/A,FALSE,"KMC최종회의(7월) 자료"}</definedName>
    <definedName name="ㄴㄹ_2" hidden="1">{#N/A,#N/A,FALSE,"KMC최종회의(7월) 자료"}</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ㅇㄹ" hidden="1">{#N/A,#N/A,FALSE,"단축1";#N/A,#N/A,FALSE,"단축2";#N/A,#N/A,FALSE,"단축3";#N/A,#N/A,FALSE,"장축";#N/A,#N/A,FALSE,"4WD"}</definedName>
    <definedName name="ㄴㄹ워ㅏ" hidden="1">{#N/A,#N/A,FALSE,"단축1";#N/A,#N/A,FALSE,"단축2";#N/A,#N/A,FALSE,"단축3";#N/A,#N/A,FALSE,"장축";#N/A,#N/A,FALSE,"4WD"}</definedName>
    <definedName name="ㄴㄻㄴ" hidden="1">{#N/A,#N/A,FALSE,"AG";#N/A,#N/A,FALSE,"GB-I";#N/A,#N/A,FALSE,"GB--SR_K";#N/A,#N/A,FALSE,"GB-SR_B";#N/A,#N/A,FALSE,"GB-KS";#N/A,#N/A,FALSE,"Kammerer";#N/A,#N/A,FALSE,"Kienzle"}</definedName>
    <definedName name="ㄴㄻㄴ_1" hidden="1">{#N/A,#N/A,FALSE,"AG";#N/A,#N/A,FALSE,"GB-I";#N/A,#N/A,FALSE,"GB--SR_K";#N/A,#N/A,FALSE,"GB-SR_B";#N/A,#N/A,FALSE,"GB-KS";#N/A,#N/A,FALSE,"Kammerer";#N/A,#N/A,FALSE,"Kienzle"}</definedName>
    <definedName name="ㄴㄻㄴ_2" hidden="1">{#N/A,#N/A,FALSE,"AG";#N/A,#N/A,FALSE,"GB-I";#N/A,#N/A,FALSE,"GB--SR_K";#N/A,#N/A,FALSE,"GB-SR_B";#N/A,#N/A,FALSE,"GB-KS";#N/A,#N/A,FALSE,"Kammerer";#N/A,#N/A,FALSE,"Kienzle"}</definedName>
    <definedName name="ㄴㄻㄷㅈㄹㅈㄷㄹ" hidden="1">{#N/A,#N/A,TRUE,"Y생산";#N/A,#N/A,TRUE,"Y판매";#N/A,#N/A,TRUE,"Y총물량";#N/A,#N/A,TRUE,"Y능력";#N/A,#N/A,TRUE,"YKD"}</definedName>
    <definedName name="ㄴㄼ" hidden="1">{#N/A,#N/A,FALSE,"을지 (4)";#N/A,#N/A,FALSE,"을지 (5)";#N/A,#N/A,FALSE,"을지 (6)"}</definedName>
    <definedName name="ㄴㄼㅁ" hidden="1">#REF!</definedName>
    <definedName name="ㄴㅀ" hidden="1">{"'매출계획'!$D$2"}</definedName>
    <definedName name="ㄴㅁ" hidden="1">{#N/A,#N/A,FALSE,"단축1";#N/A,#N/A,FALSE,"단축2";#N/A,#N/A,FALSE,"단축3";#N/A,#N/A,FALSE,"장축";#N/A,#N/A,FALSE,"4WD"}</definedName>
    <definedName name="ㄴㅁㄱㄹㄷㅈㅎㅅㄷㄱㅄㅎ" hidden="1">{#N/A,#N/A,FALSE,"단축1";#N/A,#N/A,FALSE,"단축2";#N/A,#N/A,FALSE,"단축3";#N/A,#N/A,FALSE,"장축";#N/A,#N/A,FALSE,"4WD"}</definedName>
    <definedName name="ㄴㅁㄷ" hidden="1">{#N/A,#N/A,FALSE,"단축1";#N/A,#N/A,FALSE,"단축2";#N/A,#N/A,FALSE,"단축3";#N/A,#N/A,FALSE,"장축";#N/A,#N/A,FALSE,"4WD"}</definedName>
    <definedName name="ㄴㅁㄹ" hidden="1">{#N/A,#N/A,FALSE,"단축1";#N/A,#N/A,FALSE,"단축2";#N/A,#N/A,FALSE,"단축3";#N/A,#N/A,FALSE,"장축";#N/A,#N/A,FALSE,"4WD"}</definedName>
    <definedName name="ㄴㅁㄹ_1" hidden="1">{#N/A,#N/A,FALSE,"단축1";#N/A,#N/A,FALSE,"단축2";#N/A,#N/A,FALSE,"단축3";#N/A,#N/A,FALSE,"장축";#N/A,#N/A,FALSE,"4WD"}</definedName>
    <definedName name="ㄴㅁㄹ_2" hidden="1">{#N/A,#N/A,FALSE,"단축1";#N/A,#N/A,FALSE,"단축2";#N/A,#N/A,FALSE,"단축3";#N/A,#N/A,FALSE,"장축";#N/A,#N/A,FALSE,"4WD"}</definedName>
    <definedName name="ㄴㅁㄹㅊㅇ" hidden="1">{#N/A,#N/A,FALSE,"단축1";#N/A,#N/A,FALSE,"단축2";#N/A,#N/A,FALSE,"단축3";#N/A,#N/A,FALSE,"장축";#N/A,#N/A,FALSE,"4WD"}</definedName>
    <definedName name="ㄴㅁㄻㄹ" hidden="1">{#N/A,#N/A,FALSE,"정공"}</definedName>
    <definedName name="ㄴㅁㄻㄹ_1" hidden="1">{#N/A,#N/A,FALSE,"정공"}</definedName>
    <definedName name="ㄴㅁㄻㄹ_2" hidden="1">{#N/A,#N/A,FALSE,"정공"}</definedName>
    <definedName name="ㄴㅁㅁㅁ" hidden="1">{#N/A,#N/A,FALSE,"단축1";#N/A,#N/A,FALSE,"단축2";#N/A,#N/A,FALSE,"단축3";#N/A,#N/A,FALSE,"장축";#N/A,#N/A,FALSE,"4WD"}</definedName>
    <definedName name="ㄴㅁㅅㅎㄹㅇ놀허ㅗㅎ" hidden="1">{#N/A,#N/A,FALSE,"단축1";#N/A,#N/A,FALSE,"단축2";#N/A,#N/A,FALSE,"단축3";#N/A,#N/A,FALSE,"장축";#N/A,#N/A,FALSE,"4WD"}</definedName>
    <definedName name="ㄴㅁㅇㄹ" hidden="1">{#N/A,#N/A,FALSE,"미판매분"}</definedName>
    <definedName name="ㄴㅁㅇㅇ" hidden="1">{#N/A,#N/A,FALSE,"단축1";#N/A,#N/A,FALSE,"단축2";#N/A,#N/A,FALSE,"단축3";#N/A,#N/A,FALSE,"장축";#N/A,#N/A,FALSE,"4WD"}</definedName>
    <definedName name="ㄴㅁㅇㅎㅇ롱로" hidden="1">#REF!</definedName>
    <definedName name="ㄴㅁ표ㅕㅓㅗ올ㅇ" hidden="1">{#N/A,#N/A,FALSE,"단축1";#N/A,#N/A,FALSE,"단축2";#N/A,#N/A,FALSE,"단축3";#N/A,#N/A,FALSE,"장축";#N/A,#N/A,FALSE,"4WD"}</definedName>
    <definedName name="ㄴㅁㅎ" hidden="1">{#N/A,#N/A,FALSE,"단축1";#N/A,#N/A,FALSE,"단축2";#N/A,#N/A,FALSE,"단축3";#N/A,#N/A,FALSE,"장축";#N/A,#N/A,FALSE,"4WD"}</definedName>
    <definedName name="ㄴㅂ" hidden="1">{#N/A,#N/A,FALSE,"미판매분"}</definedName>
    <definedName name="ㄴㅅㄱㄷㅅㄱㄷㅅㄱㄷ4" hidden="1">{#N/A,#N/A,FALSE,"PART-1234-8-12-9(41)";#N/A,#N/A,FALSE,"PARTS-2(3)";#N/A,#N/A,FALSE,"VAN SYSTEM";#N/A,#N/A,FALSE,"PARTS-10(26)";#N/A,#N/A,FALSE,"PART-5-6-7-11(14)";#N/A,#N/A,FALSE,"PARTS-4(3)";#N/A,#N/A,FALSE,"PCLASS"}</definedName>
    <definedName name="ㄴㅅㄱㄷㅅㄷㄱㄱㄱㄱㄱㄱㅇ" hidden="1">{#N/A,#N/A,FALSE,"PART-1234-8-12-9(41)";#N/A,#N/A,FALSE,"PARTS-2(3)";#N/A,#N/A,FALSE,"VAN SYSTEM";#N/A,#N/A,FALSE,"PARTS-10(26)";#N/A,#N/A,FALSE,"PART-5-6-7-11(14)";#N/A,#N/A,FALSE,"PARTS-4(3)";#N/A,#N/A,FALSE,"PCLASS"}</definedName>
    <definedName name="ㄴㅅㄱㄷㅅㄷㄷㅅㄳㄱㄷㅅㄱㄷㄴㄱ" hidden="1">{#N/A,#N/A,FALSE,"PART-1234-8-12-9(41)";#N/A,#N/A,FALSE,"PARTS-2(3)";#N/A,#N/A,FALSE,"VAN SYSTEM";#N/A,#N/A,FALSE,"PARTS-10(26)";#N/A,#N/A,FALSE,"PART-5-6-7-11(14)";#N/A,#N/A,FALSE,"PARTS-4(3)";#N/A,#N/A,FALSE,"PCLASS"}</definedName>
    <definedName name="ㄴㅅ고" hidden="1">{#N/A,#N/A,TRUE,"Y생산";#N/A,#N/A,TRUE,"Y판매";#N/A,#N/A,TRUE,"Y총물량";#N/A,#N/A,TRUE,"Y능력";#N/A,#N/A,TRUE,"YKD"}</definedName>
    <definedName name="ㄴㅅ고_1" hidden="1">{#N/A,#N/A,TRUE,"Y생산";#N/A,#N/A,TRUE,"Y판매";#N/A,#N/A,TRUE,"Y총물량";#N/A,#N/A,TRUE,"Y능력";#N/A,#N/A,TRUE,"YKD"}</definedName>
    <definedName name="ㄴㅅㄷㄳㄴㄱㄷㅅㄱㄷ" hidden="1">{#N/A,#N/A,FALSE,"PART-1234-8-12-9(41)";#N/A,#N/A,FALSE,"PARTS-2(3)";#N/A,#N/A,FALSE,"VAN SYSTEM";#N/A,#N/A,FALSE,"PARTS-10(26)";#N/A,#N/A,FALSE,"PART-5-6-7-11(14)";#N/A,#N/A,FALSE,"PARTS-4(3)";#N/A,#N/A,FALSE,"PCLASS"}</definedName>
    <definedName name="ㄴㅅㄹ흁ㅇ" hidden="1">{#N/A,#N/A,FALSE,"단축1";#N/A,#N/A,FALSE,"단축2";#N/A,#N/A,FALSE,"단축3";#N/A,#N/A,FALSE,"장축";#N/A,#N/A,FALSE,"4WD"}</definedName>
    <definedName name="ㄴㅅㅅㄱㄷㄴㄳ"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ㅇ" hidden="1">{#N/A,#N/A,TRUE,"Y생산";#N/A,#N/A,TRUE,"Y판매";#N/A,#N/A,TRUE,"Y총물량";#N/A,#N/A,TRUE,"Y능력";#N/A,#N/A,TRUE,"YKD"}</definedName>
    <definedName name="ㄴㅇ_1" hidden="1">{#N/A,#N/A,TRUE,"Y생산";#N/A,#N/A,TRUE,"Y판매";#N/A,#N/A,TRUE,"Y총물량";#N/A,#N/A,TRUE,"Y능력";#N/A,#N/A,TRUE,"YKD"}</definedName>
    <definedName name="ㄴㅇ_2" hidden="1">{#N/A,#N/A,TRUE,"Y생산";#N/A,#N/A,TRUE,"Y판매";#N/A,#N/A,TRUE,"Y총물량";#N/A,#N/A,TRUE,"Y능력";#N/A,#N/A,TRUE,"YKD"}</definedName>
    <definedName name="ㄴㅇㄱㅎㄴㅇㅀㅇ로" hidden="1">{#N/A,#N/A,FALSE,"단축1";#N/A,#N/A,FALSE,"단축2";#N/A,#N/A,FALSE,"단축3";#N/A,#N/A,FALSE,"장축";#N/A,#N/A,FALSE,"4WD"}</definedName>
    <definedName name="ㄴㅇㄴ" hidden="1">{#N/A,#N/A,FALSE,"KMC최종회의(7월) 자료"}</definedName>
    <definedName name="ㄴㅇㄴ_1" hidden="1">{#N/A,#N/A,FALSE,"단축1";#N/A,#N/A,FALSE,"단축2";#N/A,#N/A,FALSE,"단축3";#N/A,#N/A,FALSE,"장축";#N/A,#N/A,FALSE,"4WD"}</definedName>
    <definedName name="ㄴㅇㄴㅁㅇㅁ" hidden="1">{#N/A,#N/A,FALSE,"KMC최종회의(7월) 자료"}</definedName>
    <definedName name="ㄴㅇㄴㅁㅇㅁ_1" hidden="1">{#N/A,#N/A,FALSE,"KMC최종회의(7월) 자료"}</definedName>
    <definedName name="ㄴㅇㄴㅇ" hidden="1">{#N/A,#N/A,FALSE,"단축1";#N/A,#N/A,FALSE,"단축2";#N/A,#N/A,FALSE,"단축3";#N/A,#N/A,FALSE,"장축";#N/A,#N/A,FALSE,"4WD"}</definedName>
    <definedName name="ㄴㅇㄴㅇㄴ" hidden="1">{#N/A,#N/A,FALSE,"단축1";#N/A,#N/A,FALSE,"단축2";#N/A,#N/A,FALSE,"단축3";#N/A,#N/A,FALSE,"장축";#N/A,#N/A,FALSE,"4WD"}</definedName>
    <definedName name="ㄴㅇㄴㅇㄴ_1" hidden="1">{#N/A,#N/A,FALSE,"단축1";#N/A,#N/A,FALSE,"단축2";#N/A,#N/A,FALSE,"단축3";#N/A,#N/A,FALSE,"장축";#N/A,#N/A,FALSE,"4WD"}</definedName>
    <definedName name="ㄴㅇㄴㅇㄴㅇ" hidden="1">{#N/A,#N/A,FALSE,"단축1";#N/A,#N/A,FALSE,"단축2";#N/A,#N/A,FALSE,"단축3";#N/A,#N/A,FALSE,"장축";#N/A,#N/A,FALSE,"4WD"}</definedName>
    <definedName name="ㄴㅇㄴㅇㄴㅇ_1"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{#N/A,#N/A,FALSE,"단축1";#N/A,#N/A,FALSE,"단축2";#N/A,#N/A,FALSE,"단축3";#N/A,#N/A,FALSE,"장축";#N/A,#N/A,FALSE,"4WD"}</definedName>
    <definedName name="ㄴㅇㄹ_1" hidden="1">{#N/A,#N/A,TRUE,"Y생산";#N/A,#N/A,TRUE,"Y판매";#N/A,#N/A,TRUE,"Y총물량";#N/A,#N/A,TRUE,"Y능력";#N/A,#N/A,TRUE,"YKD"}</definedName>
    <definedName name="ㄴㅇㄹ1" hidden="1">{#N/A,#N/A,FALSE,"단축1";#N/A,#N/A,FALSE,"단축2";#N/A,#N/A,FALSE,"단축3";#N/A,#N/A,FALSE,"장축";#N/A,#N/A,FALSE,"4WD"}</definedName>
    <definedName name="ㄴㅇㄹㄴ" hidden="1">{#N/A,#N/A,FALSE,"단축1";#N/A,#N/A,FALSE,"단축2";#N/A,#N/A,FALSE,"단축3";#N/A,#N/A,FALSE,"장축";#N/A,#N/A,FALSE,"4WD"}</definedName>
    <definedName name="ㄴㅇㄹㄴㄹㄴㅇㄹㄴㅇ" hidden="1">{#N/A,#N/A,FALSE,"단축1";#N/A,#N/A,FALSE,"단축2";#N/A,#N/A,FALSE,"단축3";#N/A,#N/A,FALSE,"장축";#N/A,#N/A,FALSE,"4WD"}</definedName>
    <definedName name="ㄴㅇㄹㄴㅁ" hidden="1">{#N/A,#N/A,FALSE,"단축1";#N/A,#N/A,FALSE,"단축2";#N/A,#N/A,FALSE,"단축3";#N/A,#N/A,FALSE,"장축";#N/A,#N/A,FALSE,"4WD"}</definedName>
    <definedName name="ㄴㅇㄹㄴㅇ" hidden="1">{#N/A,#N/A,FALSE,"단축1";#N/A,#N/A,FALSE,"단축2";#N/A,#N/A,FALSE,"단축3";#N/A,#N/A,FALSE,"장축";#N/A,#N/A,FALSE,"4WD"}</definedName>
    <definedName name="ㄴㅇㄹㄴㅇㄹ" hidden="1">{#N/A,#N/A,FALSE,"단축1";#N/A,#N/A,FALSE,"단축2";#N/A,#N/A,FALSE,"단축3";#N/A,#N/A,FALSE,"장축";#N/A,#N/A,FALSE,"4WD"}</definedName>
    <definedName name="ㄴㅇㄹㄴㅇㄹㄴㅇㄹ" hidden="1">{#N/A,#N/A,FALSE,"신규dep";#N/A,#N/A,FALSE,"신규dep-금형상각후";#N/A,#N/A,FALSE,"신규dep-연구비상각후";#N/A,#N/A,FALSE,"신규dep-기계,공구상각후"}</definedName>
    <definedName name="ㄴㅇㄹㄴㅇㅀㅎ" hidden="1">{#N/A,#N/A,FALSE,"KMC최종회의(7월) 자료"}</definedName>
    <definedName name="ㄴㅇㄹㄴㅇㅀㅎ_1" hidden="1">{#N/A,#N/A,FALSE,"KMC최종회의(7월) 자료"}</definedName>
    <definedName name="ㄴㅇㄹㄹ" hidden="1">{#N/A,#N/A,FALSE,"단축1";#N/A,#N/A,FALSE,"단축2";#N/A,#N/A,FALSE,"단축3";#N/A,#N/A,FALSE,"장축";#N/A,#N/A,FALSE,"4WD"}</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 hidden="1">{#N/A,#N/A,TRUE,"Y생산";#N/A,#N/A,TRUE,"Y판매";#N/A,#N/A,TRUE,"Y총물량";#N/A,#N/A,TRUE,"Y능력";#N/A,#N/A,TRUE,"YKD"}</definedName>
    <definedName name="ㄴㅇㄹㅇㄴ" hidden="1">{"'매출계획'!$D$2"}</definedName>
    <definedName name="ㄴㅇㄹㅇㄴㄹ" hidden="1">{#N/A,#N/A,FALSE,"단축1";#N/A,#N/A,FALSE,"단축2";#N/A,#N/A,FALSE,"단축3";#N/A,#N/A,FALSE,"장축";#N/A,#N/A,FALSE,"4WD"}</definedName>
    <definedName name="ㄴㅇ로ㅓㅎ롷롫ㅇ" hidden="1">{#N/A,#N/A,FALSE,"단축1";#N/A,#N/A,FALSE,"단축2";#N/A,#N/A,FALSE,"단축3";#N/A,#N/A,FALSE,"장축";#N/A,#N/A,FALSE,"4WD"}</definedName>
    <definedName name="ㄴㅇ류" hidden="1">{#N/A,#N/A,FALSE,"96 3월물량표";#N/A,#N/A,FALSE,"96 4월물량표";#N/A,#N/A,FALSE,"96 5월물량표"}</definedName>
    <definedName name="ㄴㅇ류_1" hidden="1">{#N/A,#N/A,FALSE,"96 3월물량표";#N/A,#N/A,FALSE,"96 4월물량표";#N/A,#N/A,FALSE,"96 5월물량표"}</definedName>
    <definedName name="ㄴㅇㄻㄴ" hidden="1">{#N/A,#N/A,FALSE,"Status";#N/A,#N/A,FALSE,"Deckblatt 1";#N/A,#N/A,FALSE,"Deckblatt2"}</definedName>
    <definedName name="ㄴㅇㄻㄴ_1" hidden="1">{#N/A,#N/A,FALSE,"Status";#N/A,#N/A,FALSE,"Deckblatt 1";#N/A,#N/A,FALSE,"Deckblatt2"}</definedName>
    <definedName name="ㄴㅇㄻㄴ_2" hidden="1">{#N/A,#N/A,FALSE,"Status";#N/A,#N/A,FALSE,"Deckblatt 1";#N/A,#N/A,FALSE,"Deckblatt2"}</definedName>
    <definedName name="ㄴㅇㄻㄴㅇㄹㄴㅇㄹ" hidden="1">#REF!</definedName>
    <definedName name="ㄴㅇㄻㄴㅇㄹㄴㅇㄹㄴㅇㄹ" hidden="1">#REF!</definedName>
    <definedName name="ㄴㅇㄻㄴㅇㄻㅇㄻ" hidden="1">{#N/A,#N/A,FALSE,"단축1";#N/A,#N/A,FALSE,"단축2";#N/A,#N/A,FALSE,"단축3";#N/A,#N/A,FALSE,"장축";#N/A,#N/A,FALSE,"4WD"}</definedName>
    <definedName name="ㄴㅇㄻㄹ" hidden="1">{#N/A,#N/A,TRUE,"Y생산";#N/A,#N/A,TRUE,"Y판매";#N/A,#N/A,TRUE,"Y총물량";#N/A,#N/A,TRUE,"Y능력";#N/A,#N/A,TRUE,"YKD"}</definedName>
    <definedName name="ㄴㅇㄻㅇㄴ" hidden="1">{#N/A,#N/A,FALSE,"단축1";#N/A,#N/A,FALSE,"단축2";#N/A,#N/A,FALSE,"단축3";#N/A,#N/A,FALSE,"장축";#N/A,#N/A,FALSE,"4WD"}</definedName>
    <definedName name="ㄴㅇㅀ" hidden="1">{#N/A,#N/A,FALSE,"96 3월물량표";#N/A,#N/A,FALSE,"96 4월물량표";#N/A,#N/A,FALSE,"96 5월물량표"}</definedName>
    <definedName name="ㄴㅇㅀ_1" hidden="1">{#N/A,#N/A,FALSE,"96 3월물량표";#N/A,#N/A,FALSE,"96 4월물량표";#N/A,#N/A,FALSE,"96 5월물량표"}</definedName>
    <definedName name="ㄴㅇㅀㅁㅇㅎㄴㅇㅁㅀㅇㅀㄴㅇㅀ" hidden="1">{#N/A,#N/A,FALSE,"정공"}</definedName>
    <definedName name="ㄴㅇㅀㅁㅇㅎㄴㅇㅁㅀㅇㅀㄴㅇㅀ_1" hidden="1">{#N/A,#N/A,FALSE,"정공"}</definedName>
    <definedName name="ㄴㅇㅀㅁㅇㅎㄴㅇㅁㅀㅇㅀㄴㅇㅀ_2" hidden="1">{#N/A,#N/A,FALSE,"정공"}</definedName>
    <definedName name="ㄴㅇㅀㅎ" hidden="1">{#N/A,#N/A,FALSE,"단축1";#N/A,#N/A,FALSE,"단축2";#N/A,#N/A,FALSE,"단축3";#N/A,#N/A,FALSE,"장축";#N/A,#N/A,FALSE,"4WD"}</definedName>
    <definedName name="ㄴㅇㅁㄹ" hidden="1">{#N/A,#N/A,FALSE,"미판매분"}</definedName>
    <definedName name="ㄴㅇㅁㄻㄴㅇㄻㅀ먕놀ㄴㅁ아ㅣㄹㅇㄴ" hidden="1">#REF!</definedName>
    <definedName name="ㄴㅇㅁㅀㅎㄹㄴㅇㅎ" hidden="1">{#N/A,#N/A,FALSE,"KMC최종회의(7월) 자료"}</definedName>
    <definedName name="ㄴㅇㅁㅀㅎㄹㄴㅇㅎ_1" hidden="1">{#N/A,#N/A,FALSE,"KMC최종회의(7월) 자료"}</definedName>
    <definedName name="ㄴㅇ먀ㅓ랑나ㅣㅎㅇㄴㅁ" hidden="1">{#N/A,#N/A,FALSE,"단축1";#N/A,#N/A,FALSE,"단축2";#N/A,#N/A,FALSE,"단축3";#N/A,#N/A,FALSE,"장축";#N/A,#N/A,FALSE,"4WD"}</definedName>
    <definedName name="ㄴㅇㅇㅇ" hidden="1">{#N/A,#N/A,FALSE,"단축1";#N/A,#N/A,FALSE,"단축2";#N/A,#N/A,FALSE,"단축3";#N/A,#N/A,FALSE,"장축";#N/A,#N/A,FALSE,"4WD"}</definedName>
    <definedName name="ㄴㅇㅇㅇㅇ" hidden="1">{#N/A,#N/A,FALSE,"정공"}</definedName>
    <definedName name="ㄴㅇㅇㅇㅇ_1" hidden="1">{#N/A,#N/A,FALSE,"정공"}</definedName>
    <definedName name="ㄴㅇㅇㅇㅇ_2" hidden="1">{#N/A,#N/A,FALSE,"정공"}</definedName>
    <definedName name="ㄴㅇㅊㄹㄴㅇㄹ" hidden="1">{#N/A,#N/A,FALSE,"단축1";#N/A,#N/A,FALSE,"단축2";#N/A,#N/A,FALSE,"단축3";#N/A,#N/A,FALSE,"장축";#N/A,#N/A,FALSE,"4WD"}</definedName>
    <definedName name="ㄴㅇㅍㄴㅇㅍㄴㅇㅍ" hidden="1">{#N/A,#N/A,FALSE,"단축1";#N/A,#N/A,FALSE,"단축2";#N/A,#N/A,FALSE,"단축3";#N/A,#N/A,FALSE,"장축";#N/A,#N/A,FALSE,"4WD"}</definedName>
    <definedName name="ㄴㅇㅍㅇㅀ호" hidden="1">{#N/A,#N/A,FALSE,"KMC최종회의(7월) 자료"}</definedName>
    <definedName name="ㄴㅇㅍㅇㅀ호_1" hidden="1">{#N/A,#N/A,FALSE,"KMC최종회의(7월) 자료"}</definedName>
    <definedName name="ㄴㅇㅎㄹㄴㅇㄹㅇㅋㅌㄹㅈ" hidden="1">{#N/A,#N/A,FALSE,"KMC최종회의(7월) 자료"}</definedName>
    <definedName name="ㄴㅇ허ㅔㅇ" hidden="1">{#N/A,#N/A,FALSE,"KMC최종회의(7월) 자료"}</definedName>
    <definedName name="ㄴㅇ허ㅔㅇ_1" hidden="1">{#N/A,#N/A,FALSE,"KMC최종회의(7월) 자료"}</definedName>
    <definedName name="ㄴㅇ허ㅔㅇ_2" hidden="1">{#N/A,#N/A,FALSE,"KMC최종회의(7월) 자료"}</definedName>
    <definedName name="ㄴㅋ" hidden="1">{#N/A,#N/A,FALSE,"단축1";#N/A,#N/A,FALSE,"단축2";#N/A,#N/A,FALSE,"단축3";#N/A,#N/A,FALSE,"장축";#N/A,#N/A,FALSE,"4WD"}</definedName>
    <definedName name="ㄴㅋ_1" hidden="1">{#N/A,#N/A,FALSE,"단축1";#N/A,#N/A,FALSE,"단축2";#N/A,#N/A,FALSE,"단축3";#N/A,#N/A,FALSE,"장축";#N/A,#N/A,FALSE,"4WD"}</definedName>
    <definedName name="ㄴㅋ_2" hidden="1">{#N/A,#N/A,FALSE,"단축1";#N/A,#N/A,FALSE,"단축2";#N/A,#N/A,FALSE,"단축3";#N/A,#N/A,FALSE,"장축";#N/A,#N/A,FALSE,"4WD"}</definedName>
    <definedName name="ㄴㅌㄴ" hidden="1">{#N/A,#N/A,FALSE,"단축1";#N/A,#N/A,FALSE,"단축2";#N/A,#N/A,FALSE,"단축3";#N/A,#N/A,FALSE,"장축";#N/A,#N/A,FALSE,"4WD"}</definedName>
    <definedName name="ㄴㅍㅇㅁ" hidden="1">{#N/A,#N/A,FALSE,"미판매분"}</definedName>
    <definedName name="ㄴ퓰ㅇㅍㄴㅅㅇ" hidden="1">{#N/A,#N/A,FALSE,"단축1";#N/A,#N/A,FALSE,"단축2";#N/A,#N/A,FALSE,"단축3";#N/A,#N/A,FALSE,"장축";#N/A,#N/A,FALSE,"4WD"}</definedName>
    <definedName name="ㄴ호ㅓㅕㅅ" hidden="1">{#N/A,#N/A,FALSE,"단축1";#N/A,#N/A,FALSE,"단축2";#N/A,#N/A,FALSE,"단축3";#N/A,#N/A,FALSE,"장축";#N/A,#N/A,FALSE,"4WD"}</definedName>
    <definedName name="나" hidden="1">{#N/A,#N/A,FALSE,"정공"}</definedName>
    <definedName name="나_1" hidden="1">{#N/A,#N/A,FALSE,"정공"}</definedName>
    <definedName name="나_2" hidden="1">{#N/A,#N/A,FALSE,"정공"}</definedName>
    <definedName name="나_2_1" hidden="1">{#N/A,#N/A,FALSE,"정공"}</definedName>
    <definedName name="나_2_2" hidden="1">{#N/A,#N/A,FALSE,"정공"}</definedName>
    <definedName name="나_2_3" hidden="1">{#N/A,#N/A,FALSE,"정공"}</definedName>
    <definedName name="나_3" hidden="1">{#N/A,#N/A,FALSE,"정공"}</definedName>
    <definedName name="나_3_1" hidden="1">{#N/A,#N/A,FALSE,"정공"}</definedName>
    <definedName name="나_3_2" hidden="1">{#N/A,#N/A,FALSE,"정공"}</definedName>
    <definedName name="나_3_3" hidden="1">{#N/A,#N/A,FALSE,"정공"}</definedName>
    <definedName name="나_4" hidden="1">{#N/A,#N/A,FALSE,"정공"}</definedName>
    <definedName name="나_5" hidden="1">{#N/A,#N/A,FALSE,"정공"}</definedName>
    <definedName name="나1" hidden="1">{#N/A,#N/A,FALSE,"단축1";#N/A,#N/A,FALSE,"단축2";#N/A,#N/A,FALSE,"단축3";#N/A,#N/A,FALSE,"장축";#N/A,#N/A,FALSE,"4WD"}</definedName>
    <definedName name="나11" hidden="1">{#N/A,#N/A,FALSE,"단축1";#N/A,#N/A,FALSE,"단축2";#N/A,#N/A,FALSE,"단축3";#N/A,#N/A,FALSE,"장축";#N/A,#N/A,FALSE,"4WD"}</definedName>
    <definedName name="나111" hidden="1">{#N/A,#N/A,FALSE,"단축1";#N/A,#N/A,FALSE,"단축2";#N/A,#N/A,FALSE,"단축3";#N/A,#N/A,FALSE,"장축";#N/A,#N/A,FALSE,"4WD"}</definedName>
    <definedName name="나1111" hidden="1">{#N/A,#N/A,FALSE,"단축1";#N/A,#N/A,FALSE,"단축2";#N/A,#N/A,FALSE,"단축3";#N/A,#N/A,FALSE,"장축";#N/A,#N/A,FALSE,"4WD"}</definedName>
    <definedName name="나11111" hidden="1">{#N/A,#N/A,FALSE,"단축1";#N/A,#N/A,FALSE,"단축2";#N/A,#N/A,FALSE,"단축3";#N/A,#N/A,FALSE,"장축";#N/A,#N/A,FALSE,"4WD"}</definedName>
    <definedName name="나111111" hidden="1">{#N/A,#N/A,FALSE,"단축1";#N/A,#N/A,FALSE,"단축2";#N/A,#N/A,FALSE,"단축3";#N/A,#N/A,FALSE,"장축";#N/A,#N/A,FALSE,"4WD"}</definedName>
    <definedName name="나1111111" hidden="1">{#N/A,#N/A,FALSE,"단축1";#N/A,#N/A,FALSE,"단축2";#N/A,#N/A,FALSE,"단축3";#N/A,#N/A,FALSE,"장축";#N/A,#N/A,FALSE,"4WD"}</definedName>
    <definedName name="나11111111" hidden="1">{#N/A,#N/A,FALSE,"단축1";#N/A,#N/A,FALSE,"단축2";#N/A,#N/A,FALSE,"단축3";#N/A,#N/A,FALSE,"장축";#N/A,#N/A,FALSE,"4WD"}</definedName>
    <definedName name="나111111111" hidden="1">{#N/A,#N/A,FALSE,"단축1";#N/A,#N/A,FALSE,"단축2";#N/A,#N/A,FALSE,"단축3";#N/A,#N/A,FALSE,"장축";#N/A,#N/A,FALSE,"4WD"}</definedName>
    <definedName name="나11111111111" hidden="1">{#N/A,#N/A,FALSE,"단축1";#N/A,#N/A,FALSE,"단축2";#N/A,#N/A,FALSE,"단축3";#N/A,#N/A,FALSE,"장축";#N/A,#N/A,FALSE,"4WD"}</definedName>
    <definedName name="나가" hidden="1">{#N/A,#N/A,TRUE,"Y생산";#N/A,#N/A,TRUE,"Y판매";#N/A,#N/A,TRUE,"Y총물량";#N/A,#N/A,TRUE,"Y능력";#N/A,#N/A,TRUE,"YKD"}</definedName>
    <definedName name="나가_1" hidden="1">{#N/A,#N/A,TRUE,"Y생산";#N/A,#N/A,TRUE,"Y판매";#N/A,#N/A,TRUE,"Y총물량";#N/A,#N/A,TRUE,"Y능력";#N/A,#N/A,TRUE,"YKD"}</definedName>
    <definedName name="나가라" hidden="1">{#N/A,#N/A,TRUE,"Y생산";#N/A,#N/A,TRUE,"Y판매";#N/A,#N/A,TRUE,"Y총물량";#N/A,#N/A,TRUE,"Y능력";#N/A,#N/A,TRUE,"YKD"}</definedName>
    <definedName name="나가라_1" hidden="1">{#N/A,#N/A,TRUE,"Y생산";#N/A,#N/A,TRUE,"Y판매";#N/A,#N/A,TRUE,"Y총물량";#N/A,#N/A,TRUE,"Y능력";#N/A,#N/A,TRUE,"YKD"}</definedName>
    <definedName name="나나" hidden="1">{#N/A,#N/A,FALSE,"단축1";#N/A,#N/A,FALSE,"단축2";#N/A,#N/A,FALSE,"단축3";#N/A,#N/A,FALSE,"장축";#N/A,#N/A,FALSE,"4WD"}</definedName>
    <definedName name="나나_1" hidden="1">{#N/A,#N/A,FALSE,"단축1";#N/A,#N/A,FALSE,"단축2";#N/A,#N/A,FALSE,"단축3";#N/A,#N/A,FALSE,"장축";#N/A,#N/A,FALSE,"4WD"}</definedName>
    <definedName name="나나나" hidden="1">#REF!</definedName>
    <definedName name="나나나나나나나나나나" hidden="1">{#N/A,#N/A,FALSE,"KMC최종회의(7월) 자료"}</definedName>
    <definedName name="나나나나난나" hidden="1">{#N/A,#N/A,FALSE,"KMC최종회의(7월) 자료"}</definedName>
    <definedName name="나나나ㅏ난" hidden="1">{"'5'!$A$1:$BB$147"}</definedName>
    <definedName name="나나난" hidden="1">{#N/A,#N/A,FALSE,"단축1";#N/A,#N/A,FALSE,"단축2";#N/A,#N/A,FALSE,"단축3";#N/A,#N/A,FALSE,"장축";#N/A,#N/A,FALSE,"4WD"}</definedName>
    <definedName name="나나아아" hidden="1">{#N/A,#N/A,FALSE,"단축1";#N/A,#N/A,FALSE,"단축2";#N/A,#N/A,FALSE,"단축3";#N/A,#N/A,FALSE,"장축";#N/A,#N/A,FALSE,"4WD"}</definedName>
    <definedName name="나나아ㅓㅇㅇ" hidden="1">{#N/A,#N/A,FALSE,"정공"}</definedName>
    <definedName name="나나아ㅓㅇㅇ_1" hidden="1">{#N/A,#N/A,FALSE,"정공"}</definedName>
    <definedName name="나나아ㅓㅇㅇ_2" hidden="1">{#N/A,#N/A,FALSE,"정공"}</definedName>
    <definedName name="나난" hidden="1">{#N/A,#N/A,FALSE,"단축1";#N/A,#N/A,FALSE,"단축2";#N/A,#N/A,FALSE,"단축3";#N/A,#N/A,FALSE,"장축";#N/A,#N/A,FALSE,"4WD"}</definedName>
    <definedName name="나는" hidden="1">#REF!</definedName>
    <definedName name="나라사랑" hidden="1">{#N/A,#N/A,FALSE,"정공"}</definedName>
    <definedName name="나라사랑_1" hidden="1">{#N/A,#N/A,FALSE,"정공"}</definedName>
    <definedName name="나라사랑_2" hidden="1">{#N/A,#N/A,FALSE,"정공"}</definedName>
    <definedName name="나마" hidden="1">{#N/A,#N/A,TRUE,"Y생산";#N/A,#N/A,TRUE,"Y판매";#N/A,#N/A,TRUE,"Y총물량";#N/A,#N/A,TRUE,"Y능력";#N/A,#N/A,TRUE,"YKD"}</definedName>
    <definedName name="나무라오" hidden="1">{#N/A,#N/A,FALSE,"정공"}</definedName>
    <definedName name="나무라오_1" hidden="1">{#N/A,#N/A,FALSE,"정공"}</definedName>
    <definedName name="나무라오_2" hidden="1">{#N/A,#N/A,FALSE,"정공"}</definedName>
    <definedName name="나오너라" hidden="1">{#N/A,#N/A,FALSE,"정공"}</definedName>
    <definedName name="나오너라_1" hidden="1">{#N/A,#N/A,FALSE,"정공"}</definedName>
    <definedName name="나오너라_2" hidden="1">{#N/A,#N/A,FALSE,"정공"}</definedName>
    <definedName name="나오아" hidden="1">{#N/A,#N/A,FALSE,"정공"}</definedName>
    <definedName name="나오아_1" hidden="1">{#N/A,#N/A,FALSE,"정공"}</definedName>
    <definedName name="나오아_2" hidden="1">{#N/A,#N/A,FALSE,"정공"}</definedName>
    <definedName name="나의사랑" hidden="1">{#N/A,#N/A,FALSE,"단축1";#N/A,#N/A,FALSE,"단축2";#N/A,#N/A,FALSE,"단축3";#N/A,#N/A,FALSE,"장축";#N/A,#N/A,FALSE,"4WD"}</definedName>
    <definedName name="나ㅓ응" hidden="1">{#N/A,#N/A,FALSE,"KMC최종회의(7월) 자료"}</definedName>
    <definedName name="낙규" hidden="1">{"'5'!$A$1:$BB$147"}</definedName>
    <definedName name="난" hidden="1">{#N/A,#N/A,FALSE,"단축1";#N/A,#N/A,FALSE,"단축2";#N/A,#N/A,FALSE,"단축3";#N/A,#N/A,FALSE,"장축";#N/A,#N/A,FALSE,"4WD"}</definedName>
    <definedName name="남원철" hidden="1">{#N/A,#N/A,TRUE,"Y생산";#N/A,#N/A,TRUE,"Y판매";#N/A,#N/A,TRUE,"Y총물량";#N/A,#N/A,TRUE,"Y능력";#N/A,#N/A,TRUE,"YKD"}</definedName>
    <definedName name="남의나라" hidden="1">{#N/A,#N/A,FALSE,"정공"}</definedName>
    <definedName name="남의나라_1" hidden="1">{#N/A,#N/A,FALSE,"정공"}</definedName>
    <definedName name="남의나라_2" hidden="1">{#N/A,#N/A,FALSE,"정공"}</definedName>
    <definedName name="남희경" hidden="1">{#N/A,#N/A,TRUE,"Y생산";#N/A,#N/A,TRUE,"Y판매";#N/A,#N/A,TRUE,"Y총물량";#N/A,#N/A,TRUE,"Y능력";#N/A,#N/A,TRUE,"YKD"}</definedName>
    <definedName name="납품현황" hidden="1">{#N/A,#N/A,FALSE,"단축1";#N/A,#N/A,FALSE,"단축2";#N/A,#N/A,FALSE,"단축3";#N/A,#N/A,FALSE,"장축";#N/A,#N/A,FALSE,"4WD"}</definedName>
    <definedName name="납품현황_1" hidden="1">{#N/A,#N/A,FALSE,"단축1";#N/A,#N/A,FALSE,"단축2";#N/A,#N/A,FALSE,"단축3";#N/A,#N/A,FALSE,"장축";#N/A,#N/A,FALSE,"4WD"}</definedName>
    <definedName name="납품현황_2" hidden="1">{#N/A,#N/A,FALSE,"단축1";#N/A,#N/A,FALSE,"단축2";#N/A,#N/A,FALSE,"단축3";#N/A,#N/A,FALSE,"장축";#N/A,#N/A,FALSE,"4WD"}</definedName>
    <definedName name="내구재" hidden="1">{"'5'!$A$1:$BB$147"}</definedName>
    <definedName name="내역분석" hidden="1">{#N/A,#N/A,FALSE,"을지 (4)";#N/A,#N/A,FALSE,"을지 (5)";#N/A,#N/A,FALSE,"을지 (6)"}</definedName>
    <definedName name="내외" hidden="1">{#N/A,#N/A,FALSE,"단축1";#N/A,#N/A,FALSE,"단축2";#N/A,#N/A,FALSE,"단축3";#N/A,#N/A,FALSE,"장축";#N/A,#N/A,FALSE,"4WD"}</definedName>
    <definedName name="내외작구분현황" hidden="1">{#N/A,#N/A,FALSE,"단축1";#N/A,#N/A,FALSE,"단축2";#N/A,#N/A,FALSE,"단축3";#N/A,#N/A,FALSE,"장축";#N/A,#N/A,FALSE,"4WD"}</definedName>
    <definedName name="내용11" hidden="1">{#N/A,#N/A,FALSE,"단축1";#N/A,#N/A,FALSE,"단축2";#N/A,#N/A,FALSE,"단축3";#N/A,#N/A,FALSE,"장축";#N/A,#N/A,FALSE,"4WD"}</definedName>
    <definedName name="내용3" hidden="1">{#N/A,#N/A,FALSE,"KMC최종회의(7월) 자료"}</definedName>
    <definedName name="내용4" hidden="1">{#N/A,#N/A,FALSE,"해외크레임";#N/A,#N/A,FALSE,"ACCENT현황";#N/A,#N/A,FALSE,"AVANTE";#N/A,#N/A,FALSE,"SONATA(3)";#N/A,#N/A,FALSE,"국내크레임"}</definedName>
    <definedName name="내장" hidden="1">{#N/A,#N/A,FALSE,"단축1";#N/A,#N/A,FALSE,"단축2";#N/A,#N/A,FALSE,"단축3";#N/A,#N/A,FALSE,"장축";#N/A,#N/A,FALSE,"4WD"}</definedName>
    <definedName name="내장3" hidden="1">{#N/A,#N/A,FALSE,"단축1";#N/A,#N/A,FALSE,"단축2";#N/A,#N/A,FALSE,"단축3";#N/A,#N/A,FALSE,"장축";#N/A,#N/A,FALSE,"4WD"}</definedName>
    <definedName name="내장변경" hidden="1">{#N/A,#N/A,FALSE,"단축1";#N/A,#N/A,FALSE,"단축2";#N/A,#N/A,FALSE,"단축3";#N/A,#N/A,FALSE,"장축";#N/A,#N/A,FALSE,"4WD"}</definedName>
    <definedName name="내ㅜㅁㅅㅁ" hidden="1">{#N/A,#N/A,FALSE,"해외크레임";#N/A,#N/A,FALSE,"ACCENT현황";#N/A,#N/A,FALSE,"AVANTE";#N/A,#N/A,FALSE,"SONATA(3)";#N/A,#N/A,FALSE,"국내크레임"}</definedName>
    <definedName name="낸내니니" hidden="1">{#N/A,#N/A,FALSE,"협조전";#N/A,#N/A,FALSE,"원가절감계획 ";#N/A,#N/A,FALSE,"항목별원가절감계획"}</definedName>
    <definedName name="냄ㄹ" hidden="1">{#N/A,#N/A,TRUE,"매출진척-1";#N/A,#N/A,TRUE,"매출진척-2";#N/A,#N/A,TRUE,"제품실적";#N/A,#N/A,TRUE,"RAC";#N/A,#N/A,TRUE,"PAC ";#N/A,#N/A,TRUE,"재고현황";#N/A,#N/A,TRUE,"공지사항"}</definedName>
    <definedName name="냉각" hidden="1">{#N/A,#N/A,FALSE,"단축1";#N/A,#N/A,FALSE,"단축2";#N/A,#N/A,FALSE,"단축3";#N/A,#N/A,FALSE,"장축";#N/A,#N/A,FALSE,"4WD"}</definedName>
    <definedName name="냉간" hidden="1">{#N/A,#N/A,FALSE,"KMC최종회의(7월) 자료"}</definedName>
    <definedName name="냉간단조" hidden="1">{#N/A,#N/A,FALSE,"KMC최종회의(7월) 자료"}</definedName>
    <definedName name="너" hidden="1">{#N/A,#N/A,TRUE,"Y생산";#N/A,#N/A,TRUE,"Y판매";#N/A,#N/A,TRUE,"Y총물량";#N/A,#N/A,TRUE,"Y능력";#N/A,#N/A,TRUE,"YKD"}</definedName>
    <definedName name="너_1" hidden="1">{#N/A,#N/A,TRUE,"Y생산";#N/A,#N/A,TRUE,"Y판매";#N/A,#N/A,TRUE,"Y총물량";#N/A,#N/A,TRUE,"Y능력";#N/A,#N/A,TRUE,"YKD"}</definedName>
    <definedName name="넌뭐니" hidden="1">{#N/A,#N/A,FALSE,"인원";#N/A,#N/A,FALSE,"비용2";#N/A,#N/A,FALSE,"비용1";#N/A,#N/A,FALSE,"비용";#N/A,#N/A,FALSE,"보증2";#N/A,#N/A,FALSE,"보증1";#N/A,#N/A,FALSE,"보증";#N/A,#N/A,FALSE,"손익1";#N/A,#N/A,FALSE,"손익";#N/A,#N/A,FALSE,"부서별매출";#N/A,#N/A,FALSE,"매출"}</definedName>
    <definedName name="네번" hidden="1">{#N/A,#N/A,FALSE,"단축1";#N/A,#N/A,FALSE,"단축2";#N/A,#N/A,FALSE,"단축3";#N/A,#N/A,FALSE,"장축";#N/A,#N/A,FALSE,"4WD"}</definedName>
    <definedName name="년간전망" hidden="1">{#N/A,#N/A,FALSE,"KMC최종회의(7월) 자료"}</definedName>
    <definedName name="년간전망_1" hidden="1">{#N/A,#N/A,FALSE,"KMC최종회의(7월) 자료"}</definedName>
    <definedName name="년간전망_2" hidden="1">{#N/A,#N/A,FALSE,"KMC최종회의(7월) 자료"}</definedName>
    <definedName name="년간종합2" hidden="1">{#N/A,#N/A,FALSE,"KMC최종회의(7월) 자료"}</definedName>
    <definedName name="년간종합2_1" hidden="1">{#N/A,#N/A,FALSE,"KMC최종회의(7월) 자료"}</definedName>
    <definedName name="년간종합2_2" hidden="1">{#N/A,#N/A,FALSE,"KMC최종회의(7월) 자료"}</definedName>
    <definedName name="년도" hidden="1">{#N/A,#N/A,TRUE,"Y생산";#N/A,#N/A,TRUE,"Y판매";#N/A,#N/A,TRUE,"Y총물량";#N/A,#N/A,TRUE,"Y능력";#N/A,#N/A,TRUE,"YKD"}</definedName>
    <definedName name="년도별손익" hidden="1">{#N/A,#N/A,FALSE,"PART-1234-8-12-9(41)";#N/A,#N/A,FALSE,"PARTS-2(3)";#N/A,#N/A,FALSE,"VAN SYSTEM";#N/A,#N/A,FALSE,"PARTS-10(26)";#N/A,#N/A,FALSE,"PART-5-6-7-11(14)";#N/A,#N/A,FALSE,"PARTS-4(3)";#N/A,#N/A,FALSE,"PCLASS"}</definedName>
    <definedName name="년도별출고" hidden="1">{#N/A,#N/A,FALSE,"2월입도";#N/A,#N/A,FALSE,"1월입도";#N/A,#N/A,FALSE,"3월입도"}</definedName>
    <definedName name="년도별판매목표" hidden="1">{#N/A,#N/A,FALSE,"정공"}</definedName>
    <definedName name="년말수정" hidden="1">{#N/A,#N/A,TRUE,"Y생산";#N/A,#N/A,TRUE,"Y판매";#N/A,#N/A,TRUE,"Y총물량";#N/A,#N/A,TRUE,"Y능력";#N/A,#N/A,TRUE,"YKD"}</definedName>
    <definedName name="노" hidden="1">{#N/A,#N/A,FALSE,"KMC최종회의(7월) 자료"}</definedName>
    <definedName name="노_1" hidden="1">{#N/A,#N/A,FALSE,"KMC최종회의(7월) 자료"}</definedName>
    <definedName name="노_2" hidden="1">{#N/A,#N/A,FALSE,"KMC최종회의(7월) 자료"}</definedName>
    <definedName name="노1" hidden="1">{#N/A,#N/A,FALSE,"KMC최종회의(7월) 자료"}</definedName>
    <definedName name="노1_1" hidden="1">{#N/A,#N/A,FALSE,"KMC최종회의(7월) 자료"}</definedName>
    <definedName name="노1_2" hidden="1">{#N/A,#N/A,FALSE,"KMC최종회의(7월) 자료"}</definedName>
    <definedName name="노래" hidden="1">{#N/A,#N/A,FALSE,"KMC최종회의(7월) 자료"}</definedName>
    <definedName name="노무" hidden="1">{#N/A,#N/A,FALSE,"KMC최종회의(7월) 자료"}</definedName>
    <definedName name="노무비" hidden="1">{#N/A,#N/A,FALSE,"KMC최종회의(7월) 자료"}</definedName>
    <definedName name="노무비_1" hidden="1">{#N/A,#N/A,FALSE,"KMC최종회의(7월) 자료"}</definedName>
    <definedName name="노무비_2" hidden="1">{#N/A,#N/A,FALSE,"KMC최종회의(7월) 자료"}</definedName>
    <definedName name="노무비1" hidden="1">{#N/A,#N/A,FALSE,"KMC최종회의(7월) 자료"}</definedName>
    <definedName name="노무비100" hidden="1">{#N/A,#N/A,FALSE,"KMC최종회의(7월) 자료"}</definedName>
    <definedName name="노무비2" hidden="1">{#N/A,#N/A,FALSE,"KMC최종회의(7월) 자료"}</definedName>
    <definedName name="노무비3" hidden="1">{#N/A,#N/A,FALSE,"KMC최종회의(7월) 자료"}</definedName>
    <definedName name="노무비300" hidden="1">{#N/A,#N/A,FALSE,"KMC최종회의(7월) 자료"}</definedName>
    <definedName name="노무비월" hidden="1">{#N/A,#N/A,FALSE,"KMC최종회의(7월) 자료"}</definedName>
    <definedName name="노무비월_1" hidden="1">{#N/A,#N/A,FALSE,"KMC최종회의(7월) 자료"}</definedName>
    <definedName name="노무비월_2" hidden="1">{#N/A,#N/A,FALSE,"KMC최종회의(7월) 자료"}</definedName>
    <definedName name="노조" hidden="1">{#N/A,#N/A,FALSE,"인원";#N/A,#N/A,FALSE,"비용2";#N/A,#N/A,FALSE,"비용1";#N/A,#N/A,FALSE,"비용";#N/A,#N/A,FALSE,"보증2";#N/A,#N/A,FALSE,"보증1";#N/A,#N/A,FALSE,"보증";#N/A,#N/A,FALSE,"손익1";#N/A,#N/A,FALSE,"손익";#N/A,#N/A,FALSE,"부서별매출";#N/A,#N/A,FALSE,"매출"}</definedName>
    <definedName name="논문제출계획서_박용정" hidden="1">{#N/A,#N/A,FALSE,"인원";#N/A,#N/A,FALSE,"비용2";#N/A,#N/A,FALSE,"비용1";#N/A,#N/A,FALSE,"비용";#N/A,#N/A,FALSE,"보증2";#N/A,#N/A,FALSE,"보증1";#N/A,#N/A,FALSE,"보증";#N/A,#N/A,FALSE,"손익1";#N/A,#N/A,FALSE,"손익";#N/A,#N/A,FALSE,"부서별매출";#N/A,#N/A,FALSE,"매출"}</definedName>
    <definedName name="녿대" hidden="1">{#N/A,#N/A,FALSE,"단축1";#N/A,#N/A,FALSE,"단축2";#N/A,#N/A,FALSE,"단축3";#N/A,#N/A,FALSE,"장축";#N/A,#N/A,FALSE,"4WD"}</definedName>
    <definedName name="녿대_1" hidden="1">{#N/A,#N/A,FALSE,"단축1";#N/A,#N/A,FALSE,"단축2";#N/A,#N/A,FALSE,"단축3";#N/A,#N/A,FALSE,"장축";#N/A,#N/A,FALSE,"4WD"}</definedName>
    <definedName name="녿대_2" hidden="1">{#N/A,#N/A,FALSE,"단축1";#N/A,#N/A,FALSE,"단축2";#N/A,#N/A,FALSE,"단축3";#N/A,#N/A,FALSE,"장축";#N/A,#N/A,FALSE,"4WD"}</definedName>
    <definedName name="녿댈" hidden="1">{#N/A,#N/A,FALSE,"단축1";#N/A,#N/A,FALSE,"단축2";#N/A,#N/A,FALSE,"단축3";#N/A,#N/A,FALSE,"장축";#N/A,#N/A,FALSE,"4WD"}</definedName>
    <definedName name="뇨뇨죠" hidden="1">{#N/A,#N/A,FALSE,"KMC최종회의(7월) 자료"}</definedName>
    <definedName name="뇩ㄷㄱㄷㅅㄱㄷㅅㄱㄷ"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누계" hidden="1">{#N/A,#N/A,TRUE,"Y생산";#N/A,#N/A,TRUE,"Y판매";#N/A,#N/A,TRUE,"Y총물량";#N/A,#N/A,TRUE,"Y능력";#N/A,#N/A,TRUE,"YKD"}</definedName>
    <definedName name="누계_1" hidden="1">{#N/A,#N/A,TRUE,"Y생산";#N/A,#N/A,TRUE,"Y판매";#N/A,#N/A,TRUE,"Y총물량";#N/A,#N/A,TRUE,"Y능력";#N/A,#N/A,TRUE,"YKD"}</definedName>
    <definedName name="누계목표" hidden="1">{#N/A,#N/A,FALSE,"정공"}</definedName>
    <definedName name="누계목표_1" hidden="1">{#N/A,#N/A,FALSE,"정공"}</definedName>
    <definedName name="누계목표_2" hidden="1">{#N/A,#N/A,FALSE,"정공"}</definedName>
    <definedName name="누계카피" hidden="1">{#N/A,#N/A,FALSE,"정공"}</definedName>
    <definedName name="누계카피_1" hidden="1">{#N/A,#N/A,FALSE,"정공"}</definedName>
    <definedName name="누계카피_2" hidden="1">{#N/A,#N/A,FALSE,"정공"}</definedName>
    <definedName name="누리" hidden="1">{#N/A,#N/A,TRUE,"Y생산";#N/A,#N/A,TRUE,"Y판매";#N/A,#N/A,TRUE,"Y총물량";#N/A,#N/A,TRUE,"Y능력";#N/A,#N/A,TRUE,"YKD"}</definedName>
    <definedName name="누우" hidden="1">{#N/A,#N/A,FALSE,"단축1";#N/A,#N/A,FALSE,"단축2";#N/A,#N/A,FALSE,"단축3";#N/A,#N/A,FALSE,"장축";#N/A,#N/A,FALSE,"4WD"}</definedName>
    <definedName name="뉴스" hidden="1">{#N/A,#N/A,FALSE,"KMC최종회의(7월) 자료"}</definedName>
    <definedName name="뉴스_1" hidden="1">{#N/A,#N/A,FALSE,"KMC최종회의(7월) 자료"}</definedName>
    <definedName name="뉴스_2" hidden="1">{#N/A,#N/A,FALSE,"KMC최종회의(7월) 자료"}</definedName>
    <definedName name="느김" hidden="1">{#N/A,#N/A,TRUE,"Y생산";#N/A,#N/A,TRUE,"Y판매";#N/A,#N/A,TRUE,"Y총물량";#N/A,#N/A,TRUE,"Y능력";#N/A,#N/A,TRUE,"YKD"}</definedName>
    <definedName name="느김_1" hidden="1">{#N/A,#N/A,TRUE,"Y생산";#N/A,#N/A,TRUE,"Y판매";#N/A,#N/A,TRUE,"Y총물량";#N/A,#N/A,TRUE,"Y능력";#N/A,#N/A,TRUE,"YKD"}</definedName>
    <definedName name="느는" hidden="1">{#N/A,#N/A,FALSE,"KMC최종회의(7월) 자료"}</definedName>
    <definedName name="느는_1" hidden="1">{#N/A,#N/A,FALSE,"KMC최종회의(7월) 자료"}</definedName>
    <definedName name="느는_2" hidden="1">{#N/A,#N/A,FALSE,"KMC최종회의(7월) 자료"}</definedName>
    <definedName name="능력" hidden="1">{#N/A,#N/A,FALSE,"단축1";#N/A,#N/A,FALSE,"단축2";#N/A,#N/A,FALSE,"단축3";#N/A,#N/A,FALSE,"장축";#N/A,#N/A,FALSE,"4WD"}</definedName>
    <definedName name="능력2" hidden="1">{#N/A,#N/A,FALSE,"단축1";#N/A,#N/A,FALSE,"단축2";#N/A,#N/A,FALSE,"단축3";#N/A,#N/A,FALSE,"장축";#N/A,#N/A,FALSE,"4WD"}</definedName>
    <definedName name="능력확인표" hidden="1">{#N/A,#N/A,FALSE,"단축1";#N/A,#N/A,FALSE,"단축2";#N/A,#N/A,FALSE,"단축3";#N/A,#N/A,FALSE,"장축";#N/A,#N/A,FALSE,"4WD"}</definedName>
    <definedName name="니기미" hidden="1">{#N/A,#N/A,TRUE,"Y생산";#N/A,#N/A,TRUE,"Y판매";#N/A,#N/A,TRUE,"Y총물량";#N/A,#N/A,TRUE,"Y능력";#N/A,#N/A,TRUE,"YKD"}</definedName>
    <definedName name="니기미_1" hidden="1">{#N/A,#N/A,TRUE,"Y생산";#N/A,#N/A,TRUE,"Y판매";#N/A,#N/A,TRUE,"Y총물량";#N/A,#N/A,TRUE,"Y능력";#N/A,#N/A,TRUE,"YKD"}</definedName>
    <definedName name="니니" hidden="1">{#N/A,#N/A,FALSE,"신규dep";#N/A,#N/A,FALSE,"신규dep-금형상각후";#N/A,#N/A,FALSE,"신규dep-연구비상각후";#N/A,#N/A,FALSE,"신규dep-기계,공구상각후"}</definedName>
    <definedName name="니니_1" hidden="1">{#N/A,#N/A,FALSE,"신규dep";#N/A,#N/A,FALSE,"신규dep-금형상각후";#N/A,#N/A,FALSE,"신규dep-연구비상각후";#N/A,#N/A,FALSE,"신규dep-기계,공구상각후"}</definedName>
    <definedName name="니니_2" hidden="1">{#N/A,#N/A,FALSE,"신규dep";#N/A,#N/A,FALSE,"신규dep-금형상각후";#N/A,#N/A,FALSE,"신규dep-연구비상각후";#N/A,#N/A,FALSE,"신규dep-기계,공구상각후"}</definedName>
    <definedName name="你好" hidden="1">{#N/A,#N/A,FALSE,"KMC최종회의(7월) 자료"}</definedName>
    <definedName name="님" hidden="1">{#N/A,#N/A,FALSE,"단축1";#N/A,#N/A,FALSE,"단축2";#N/A,#N/A,FALSE,"단축3";#N/A,#N/A,FALSE,"장축";#N/A,#N/A,FALSE,"4WD"}</definedName>
    <definedName name="닝니" hidden="1">{#N/A,#N/A,FALSE,"´UA";#N/A,#N/A,FALSE,"´UA";#N/A,#N/A,FALSE,"´UA";#N/A,#N/A,FALSE,"Aa";#N/A,#N/A,FALSE,"4WD"}</definedName>
    <definedName name="닝니_1" hidden="1">{#N/A,#N/A,FALSE,"´UA";#N/A,#N/A,FALSE,"´UA";#N/A,#N/A,FALSE,"´UA";#N/A,#N/A,FALSE,"Aa";#N/A,#N/A,FALSE,"4WD"}</definedName>
    <definedName name="닝잉" hidden="1">{#N/A,#N/A,TRUE,"Y생산";#N/A,#N/A,TRUE,"Y판매";#N/A,#N/A,TRUE,"Y총물량";#N/A,#N/A,TRUE,"Y능력";#N/A,#N/A,TRUE,"YKD"}</definedName>
    <definedName name="닝잉_1" hidden="1">{#N/A,#N/A,TRUE,"Y생산";#N/A,#N/A,TRUE,"Y판매";#N/A,#N/A,TRUE,"Y총물량";#N/A,#N/A,TRUE,"Y능력";#N/A,#N/A,TRUE,"YKD"}</definedName>
    <definedName name="ㄵ" hidden="1">{#N/A,#N/A,FALSE,"정공"}</definedName>
    <definedName name="ㄵㄴ" hidden="1">{#N/A,#N/A,FALSE,"미판매분"}</definedName>
    <definedName name="ㄵㄴ_1" hidden="1">{#N/A,#N/A,FALSE,"미판매분"}</definedName>
    <definedName name="ㄵㄷㄹ" hidden="1">{#N/A,#N/A,FALSE,"표지";#N/A,#N/A,FALSE,"전제";#N/A,#N/A,FALSE,"손익-자 (2)";#N/A,#N/A,FALSE,"손익-자";#N/A,#N/A,FALSE,"손익-마 (2)";#N/A,#N/A,FALSE,"손익-마";#N/A,#N/A,FALSE,"총손최종"}</definedName>
    <definedName name="ㄶㄱㅍㄱㅎㄱㅍ" hidden="1">{#N/A,#N/A,FALSE,"단축1";#N/A,#N/A,FALSE,"단축2";#N/A,#N/A,FALSE,"단축3";#N/A,#N/A,FALSE,"장축";#N/A,#N/A,FALSE,"4WD"}</definedName>
    <definedName name="ㄶㅇㅅㄷㄷ" hidden="1">{#N/A,#N/A,FALSE,"PART-1234-8-12-9(41)";#N/A,#N/A,FALSE,"PARTS-2(3)";#N/A,#N/A,FALSE,"VAN SYSTEM";#N/A,#N/A,FALSE,"PARTS-10(26)";#N/A,#N/A,FALSE,"PART-5-6-7-11(14)";#N/A,#N/A,FALSE,"PARTS-4(3)";#N/A,#N/A,FALSE,"PCLASS"}</definedName>
    <definedName name="ㄶㅇㅇㅎㅎ" hidden="1">{#N/A,#N/A,FALSE,"PART-1234-8-12-9(41)";#N/A,#N/A,FALSE,"PARTS-2(3)";#N/A,#N/A,FALSE,"VAN SYSTEM";#N/A,#N/A,FALSE,"PARTS-10(26)";#N/A,#N/A,FALSE,"PART-5-6-7-11(14)";#N/A,#N/A,FALSE,"PARTS-4(3)";#N/A,#N/A,FALSE,"PCLASS"}</definedName>
    <definedName name="ㄶㅎㄺㄷㄷㄷ"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ㄶㅎㄺㅅㅎㄴ" hidden="1">{#N/A,#N/A,FALSE,"PART-1234-8-12-9(41)";#N/A,#N/A,FALSE,"PARTS-2(3)";#N/A,#N/A,FALSE,"VAN SYSTEM";#N/A,#N/A,FALSE,"PARTS-10(26)";#N/A,#N/A,FALSE,"PART-5-6-7-11(14)";#N/A,#N/A,FALSE,"PARTS-4(3)";#N/A,#N/A,FALSE,"PCLASS"}</definedName>
    <definedName name="ㄶㅎㅎㅎㄴㄹ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_1" hidden="1">{#N/A,#N/A,FALSE,"단축1";#N/A,#N/A,FALSE,"단축2";#N/A,#N/A,FALSE,"단축3";#N/A,#N/A,FALSE,"장축";#N/A,#N/A,FALSE,"4WD"}</definedName>
    <definedName name="ㄷㄱ" hidden="1">{#N/A,#N/A,FALSE,"Australien";#N/A,#N/A,FALSE,"Birmingham";#N/A,#N/A,FALSE,"Brasilien";#N/A,#N/A,FALSE,"Prag";#N/A,#N/A,FALSE,"Spanien";#N/A,#N/A,FALSE,"Malaysia ( Com)";#N/A,#N/A,FALSE,"Malaysia (Instr)"}</definedName>
    <definedName name="ㄷㄱ_1" hidden="1">{#N/A,#N/A,FALSE,"Australien";#N/A,#N/A,FALSE,"Birmingham";#N/A,#N/A,FALSE,"Brasilien";#N/A,#N/A,FALSE,"Prag";#N/A,#N/A,FALSE,"Spanien";#N/A,#N/A,FALSE,"Malaysia ( Com)";#N/A,#N/A,FALSE,"Malaysia (Instr)"}</definedName>
    <definedName name="ㄷㄱ_2" hidden="1">{#N/A,#N/A,FALSE,"Australien";#N/A,#N/A,FALSE,"Birmingham";#N/A,#N/A,FALSE,"Brasilien";#N/A,#N/A,FALSE,"Prag";#N/A,#N/A,FALSE,"Spanien";#N/A,#N/A,FALSE,"Malaysia ( Com)";#N/A,#N/A,FALSE,"Malaysia (Instr)"}</definedName>
    <definedName name="ㄷㄱㄱ" hidden="1">{"'매출계획'!$D$2"}</definedName>
    <definedName name="ㄷㄱ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ㄱ" hidden="1">{#N/A,#N/A,FALSE,"단축1";#N/A,#N/A,FALSE,"단축2";#N/A,#N/A,FALSE,"단축3";#N/A,#N/A,FALSE,"장축";#N/A,#N/A,FALSE,"4WD"}</definedName>
    <definedName name="ㄷㄱㄷㄱ소" hidden="1">{#N/A,#N/A,TRUE,"Y생산";#N/A,#N/A,TRUE,"Y판매";#N/A,#N/A,TRUE,"Y총물량";#N/A,#N/A,TRUE,"Y능력";#N/A,#N/A,TRUE,"YKD"}</definedName>
    <definedName name="ㄷㄱㄷㄱ소_1" hidden="1">{#N/A,#N/A,TRUE,"Y생산";#N/A,#N/A,TRUE,"Y판매";#N/A,#N/A,TRUE,"Y총물량";#N/A,#N/A,TRUE,"Y능력";#N/A,#N/A,TRUE,"YKD"}</definedName>
    <definedName name="ㄷㄱㄷㄱㅎ" hidden="1">{#N/A,#N/A,FALSE,"96 3월물량표";#N/A,#N/A,FALSE,"96 4월물량표";#N/A,#N/A,FALSE,"96 5월물량표"}</definedName>
    <definedName name="ㄷㄱㄷㄱㅎ_1" hidden="1">{#N/A,#N/A,FALSE,"96 3월물량표";#N/A,#N/A,FALSE,"96 4월물량표";#N/A,#N/A,FALSE,"96 5월물량표"}</definedName>
    <definedName name="ㄷㄱㄷㅁㄱ" hidden="1">{#N/A,#N/A,FALSE,"단축1";#N/A,#N/A,FALSE,"단축2";#N/A,#N/A,FALSE,"단축3";#N/A,#N/A,FALSE,"장축";#N/A,#N/A,FALSE,"4WD"}</definedName>
    <definedName name="ㄷㄱㄷ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ㄹ" hidden="1">{#N/A,#N/A,FALSE,"단축1";#N/A,#N/A,FALSE,"단축2";#N/A,#N/A,FALSE,"단축3";#N/A,#N/A,FALSE,"장축";#N/A,#N/A,FALSE,"4WD"}</definedName>
    <definedName name="ㄷㄱㄹㄷ"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ㄷㄱㄹㅇㄹ" hidden="1">{#N/A,#N/A,FALSE,"정공"}</definedName>
    <definedName name="ㄷㄱㄹㅇㄹ_1" hidden="1">{#N/A,#N/A,FALSE,"정공"}</definedName>
    <definedName name="ㄷㄱㄹㅇㄹ_2" hidden="1">{#N/A,#N/A,FALSE,"정공"}</definedName>
    <definedName name="ㄷㄱㅁㄱㄷㄷㄱ" hidden="1">{#N/A,#N/A,FALSE,"단축1";#N/A,#N/A,FALSE,"단축2";#N/A,#N/A,FALSE,"단축3";#N/A,#N/A,FALSE,"장축";#N/A,#N/A,FALSE,"4WD"}</definedName>
    <definedName name="ㄷㄱㅎ" hidden="1">{"Wire Charts",#N/A,TRUE,"Wires"}</definedName>
    <definedName name="ㄷ고" hidden="1">{#N/A,#N/A,FALSE,"96 3월물량표";#N/A,#N/A,FALSE,"96 4월물량표";#N/A,#N/A,FALSE,"96 5월물량표"}</definedName>
    <definedName name="ㄷ고_1" hidden="1">{#N/A,#N/A,FALSE,"96 3월물량표";#N/A,#N/A,FALSE,"96 4월물량표";#N/A,#N/A,FALSE,"96 5월물량표"}</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곳고" hidden="1">{#N/A,#N/A,TRUE,"Y생산";#N/A,#N/A,TRUE,"Y판매";#N/A,#N/A,TRUE,"Y총물량";#N/A,#N/A,TRUE,"Y능력";#N/A,#N/A,TRUE,"YKD"}</definedName>
    <definedName name="ㄷㄳ곳고_1" hidden="1">{#N/A,#N/A,TRUE,"Y생산";#N/A,#N/A,TRUE,"Y판매";#N/A,#N/A,TRUE,"Y총물량";#N/A,#N/A,TRUE,"Y능력";#N/A,#N/A,TRUE,"YKD"}</definedName>
    <definedName name="ㄷㄳ곻" hidden="1">{#N/A,#N/A,TRUE,"Y생산";#N/A,#N/A,TRUE,"Y판매";#N/A,#N/A,TRUE,"Y총물량";#N/A,#N/A,TRUE,"Y능력";#N/A,#N/A,TRUE,"YKD"}</definedName>
    <definedName name="ㄷㄳ곻_1" hidden="1">{#N/A,#N/A,TRUE,"Y생산";#N/A,#N/A,TRUE,"Y판매";#N/A,#N/A,TRUE,"Y총물량";#N/A,#N/A,TRUE,"Y능력";#N/A,#N/A,TRUE,"YKD"}</definedName>
    <definedName name="ㄷㄳㅅ" hidden="1">{#N/A,#N/A,FALSE,"KMC최종회의(7월) 자료"}</definedName>
    <definedName name="ㄷㄴㅁㅅㅎㅀ" hidden="1">{#N/A,#N/A,FALSE,"단축1";#N/A,#N/A,FALSE,"단축2";#N/A,#N/A,FALSE,"단축3";#N/A,#N/A,FALSE,"장축";#N/A,#N/A,FALSE,"4WD"}</definedName>
    <definedName name="ㄷㄴㅊ투ㅠ" hidden="1">{#N/A,#N/A,FALSE,"96 3월물량표";#N/A,#N/A,FALSE,"96 4월물량표";#N/A,#N/A,FALSE,"96 5월물량표"}</definedName>
    <definedName name="ㄷㄷ" hidden="1">{#N/A,#N/A,FALSE,"단축1";#N/A,#N/A,FALSE,"단축2";#N/A,#N/A,FALSE,"단축3";#N/A,#N/A,FALSE,"장축";#N/A,#N/A,FALSE,"4WD"}</definedName>
    <definedName name="ㄷㄷ_1" hidden="1">{#N/A,#N/A,FALSE,"단축1";#N/A,#N/A,FALSE,"단축2";#N/A,#N/A,FALSE,"단축3";#N/A,#N/A,FALSE,"장축";#N/A,#N/A,FALSE,"4WD"}</definedName>
    <definedName name="ㄷㄷ_2" hidden="1">{#N/A,#N/A,FALSE,"단축1";#N/A,#N/A,FALSE,"단축2";#N/A,#N/A,FALSE,"단축3";#N/A,#N/A,FALSE,"장축";#N/A,#N/A,FALSE,"4WD"}</definedName>
    <definedName name="ㄷㄷEEE" hidden="1">{#N/A,#N/A,FALSE,"단축1";#N/A,#N/A,FALSE,"단축2";#N/A,#N/A,FALSE,"단축3";#N/A,#N/A,FALSE,"장축";#N/A,#N/A,FALSE,"4WD"}</definedName>
    <definedName name="ㄷㄷㄳㅅㅅㅅ" hidden="1">{#N/A,#N/A,FALSE,"단축1";#N/A,#N/A,FALSE,"단축2";#N/A,#N/A,FALSE,"단축3";#N/A,#N/A,FALSE,"장축";#N/A,#N/A,FALSE,"4WD"}</definedName>
    <definedName name="ㄷㄷㄷ" hidden="1">{"'표지'!$B$5"}</definedName>
    <definedName name="ㄷㄷㄷ3" hidden="1">{#N/A,#N/A,FALSE,"표지";#N/A,#N/A,FALSE,"전제";#N/A,#N/A,FALSE,"손익-자 (2)";#N/A,#N/A,FALSE,"손익-자";#N/A,#N/A,FALSE,"손익-마 (2)";#N/A,#N/A,FALSE,"손익-마";#N/A,#N/A,FALSE,"총손최종"}</definedName>
    <definedName name="ㄷㄷㄷㅎㅅ규" hidden="1">{#N/A,#N/A,TRUE,"Y생산";#N/A,#N/A,TRUE,"Y판매";#N/A,#N/A,TRUE,"Y총물량";#N/A,#N/A,TRUE,"Y능력";#N/A,#N/A,TRUE,"YKD"}</definedName>
    <definedName name="ㄷㄷㅅ" hidden="1">{#N/A,#N/A,FALSE,"단축1";#N/A,#N/A,FALSE,"단축2";#N/A,#N/A,FALSE,"단축3";#N/A,#N/A,FALSE,"장축";#N/A,#N/A,FALSE,"4WD"}</definedName>
    <definedName name="ㄷㄹㄷㅈㅎ" hidden="1">{#N/A,#N/A,FALSE,"신규dep";#N/A,#N/A,FALSE,"신규dep-금형상각후";#N/A,#N/A,FALSE,"신규dep-연구비상각후";#N/A,#N/A,FALSE,"신규dep-기계,공구상각후"}</definedName>
    <definedName name="ㄷㅁㄱ" hidden="1">{#N/A,#N/A,FALSE,"단축1";#N/A,#N/A,FALSE,"단축2";#N/A,#N/A,FALSE,"단축3";#N/A,#N/A,FALSE,"장축";#N/A,#N/A,FALSE,"4WD"}</definedName>
    <definedName name="ㄷㅂ" hidden="1">{#N/A,#N/A,FALSE,"단축1";#N/A,#N/A,FALSE,"단축2";#N/A,#N/A,FALSE,"단축3";#N/A,#N/A,FALSE,"장축";#N/A,#N/A,FALSE,"4WD"}</definedName>
    <definedName name="ㄷㅂㅈㄷ" hidden="1">#REF!</definedName>
    <definedName name="ㄷㅅㄱ" hidden="1">{#N/A,#N/A,FALSE,"단축1";#N/A,#N/A,FALSE,"단축2";#N/A,#N/A,FALSE,"단축3";#N/A,#N/A,FALSE,"장축";#N/A,#N/A,FALSE,"4WD"}</definedName>
    <definedName name="ㄷㅅㄱ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ㅇ" hidden="1">{#N/A,#N/A,TRUE,"Y생산";#N/A,#N/A,TRUE,"Y판매";#N/A,#N/A,TRUE,"Y총물량";#N/A,#N/A,TRUE,"Y능력";#N/A,#N/A,TRUE,"YKD"}</definedName>
    <definedName name="ㄷㅇ_1" hidden="1">{#N/A,#N/A,TRUE,"Y생산";#N/A,#N/A,TRUE,"Y판매";#N/A,#N/A,TRUE,"Y총물량";#N/A,#N/A,TRUE,"Y능력";#N/A,#N/A,TRUE,"YKD"}</definedName>
    <definedName name="ㄷㅇ_2" hidden="1">{#N/A,#N/A,TRUE,"Y생산";#N/A,#N/A,TRUE,"Y판매";#N/A,#N/A,TRUE,"Y총물량";#N/A,#N/A,TRUE,"Y능력";#N/A,#N/A,TRUE,"YKD"}</definedName>
    <definedName name="ㄷㅇㄷㅇ" hidden="1">{#N/A,#N/A,FALSE,"단축1";#N/A,#N/A,FALSE,"단축2";#N/A,#N/A,FALSE,"단축3";#N/A,#N/A,FALSE,"장축";#N/A,#N/A,FALSE,"4WD"}</definedName>
    <definedName name="ㄷㅇㄹ" hidden="1">{#N/A,#N/A,FALSE,"KMC최종회의(7월) 자료"}</definedName>
    <definedName name="ㄷㅇㄹㅈ" hidden="1">{#N/A,#N/A,FALSE,"단축1";#N/A,#N/A,FALSE,"단축2";#N/A,#N/A,FALSE,"단축3";#N/A,#N/A,FALSE,"장축";#N/A,#N/A,FALSE,"4WD"}</definedName>
    <definedName name="ㄷㅇㅍ" hidden="1">{#N/A,#N/A,FALSE,"단축1";#N/A,#N/A,FALSE,"단축2";#N/A,#N/A,FALSE,"단축3";#N/A,#N/A,FALSE,"장축";#N/A,#N/A,FALSE,"4WD"}</definedName>
    <definedName name="ㄷ야ㅗㅔㅐㄹㅈ대ㅈㄷㅈㄷㄱ" hidden="1">#REF!</definedName>
    <definedName name="ㄷㅈ" hidden="1">{#N/A,#N/A,FALSE,"KMC최종회의(7월) 자료"}</definedName>
    <definedName name="ㄷㅈㄱ" hidden="1">{#N/A,#N/A,FALSE,"단축1";#N/A,#N/A,FALSE,"단축2";#N/A,#N/A,FALSE,"단축3";#N/A,#N/A,FALSE,"장축";#N/A,#N/A,FALSE,"4WD"}</definedName>
    <definedName name="ㄷㅈㄷㅈ" hidden="1">{#N/A,#N/A,FALSE,"단축1";#N/A,#N/A,FALSE,"단축2";#N/A,#N/A,FALSE,"단축3";#N/A,#N/A,FALSE,"장축";#N/A,#N/A,FALSE,"4WD"}</definedName>
    <definedName name="ㄷㅈㄷㅈㄷㅈㄷ" hidden="1">{#N/A,#N/A,FALSE,"단축1";#N/A,#N/A,FALSE,"단축2";#N/A,#N/A,FALSE,"단축3";#N/A,#N/A,FALSE,"장축";#N/A,#N/A,FALSE,"4WD"}</definedName>
    <definedName name="ㄷㅈㄹ" hidden="1">{#N/A,#N/A,FALSE,"단축1";#N/A,#N/A,FALSE,"단축2";#N/A,#N/A,FALSE,"단축3";#N/A,#N/A,FALSE,"장축";#N/A,#N/A,FALSE,"4WD"}</definedName>
    <definedName name="ㄷㅈㅂ" hidden="1">{#N/A,#N/A,FALSE,"표지";#N/A,#N/A,FALSE,"전제";#N/A,#N/A,FALSE,"손익-자 (2)";#N/A,#N/A,FALSE,"손익-자";#N/A,#N/A,FALSE,"손익-마 (2)";#N/A,#N/A,FALSE,"손익-마";#N/A,#N/A,FALSE,"총손최종"}</definedName>
    <definedName name="ㄷ춋ㅇㅍ" hidden="1">{#N/A,#N/A,FALSE,"단축1";#N/A,#N/A,FALSE,"단축2";#N/A,#N/A,FALSE,"단축3";#N/A,#N/A,FALSE,"장축";#N/A,#N/A,FALSE,"4WD"}</definedName>
    <definedName name="ㄷㅎㅅ흇ㄱ" hidden="1">{#N/A,#N/A,FALSE,"KMC최종회의(7월) 자료"}</definedName>
    <definedName name="ㄷㅎㅅ흇ㄱ_1" hidden="1">{#N/A,#N/A,FALSE,"KMC최종회의(7월) 자료"}</definedName>
    <definedName name="다" hidden="1">{#N/A,#N/A,FALSE,"정공"}</definedName>
    <definedName name="다_1" hidden="1">{#N/A,#N/A,FALSE,"정공"}</definedName>
    <definedName name="다_2" hidden="1">{#N/A,#N/A,FALSE,"정공"}</definedName>
    <definedName name="다_2_1" hidden="1">{#N/A,#N/A,FALSE,"정공"}</definedName>
    <definedName name="다_2_2" hidden="1">{#N/A,#N/A,FALSE,"정공"}</definedName>
    <definedName name="다_2_3" hidden="1">{#N/A,#N/A,FALSE,"정공"}</definedName>
    <definedName name="다_3" hidden="1">{#N/A,#N/A,FALSE,"정공"}</definedName>
    <definedName name="다_3_1" hidden="1">{#N/A,#N/A,FALSE,"정공"}</definedName>
    <definedName name="다_3_2" hidden="1">{#N/A,#N/A,FALSE,"정공"}</definedName>
    <definedName name="다_3_3" hidden="1">{#N/A,#N/A,FALSE,"정공"}</definedName>
    <definedName name="다_4" hidden="1">{#N/A,#N/A,FALSE,"정공"}</definedName>
    <definedName name="다_5" hidden="1">{#N/A,#N/A,FALSE,"정공"}</definedName>
    <definedName name="다나가라" hidden="1">{#N/A,#N/A,FALSE,"정공"}</definedName>
    <definedName name="다나가라_1" hidden="1">{#N/A,#N/A,FALSE,"정공"}</definedName>
    <definedName name="다나가라_2" hidden="1">{#N/A,#N/A,FALSE,"정공"}</definedName>
    <definedName name="다다" hidden="1">{#N/A,#N/A,FALSE,"정공"}</definedName>
    <definedName name="다다_1" hidden="1">{#N/A,#N/A,FALSE,"정공"}</definedName>
    <definedName name="다다_2" hidden="1">{#N/A,#N/A,FALSE,"정공"}</definedName>
    <definedName name="다다다다" hidden="1">{#N/A,#N/A,FALSE,"협조전";#N/A,#N/A,FALSE,"원가절감계획 ";#N/A,#N/A,FALSE,"항목별원가절감계획"}</definedName>
    <definedName name="다다다다다다다다다다" hidden="1">{#N/A,#N/A,FALSE,"KMC최종회의(7월) 자료"}</definedName>
    <definedName name="다다다다다다다다다다다다닫" hidden="1">{#N/A,#N/A,FALSE,"KMC최종회의(7월) 자료"}</definedName>
    <definedName name="다다다다다닫" hidden="1">{#N/A,#N/A,FALSE,"KMC최종회의(7월) 자료"}</definedName>
    <definedName name="다다라라다라" hidden="1">{"'5'!$A$1:$BB$147"}</definedName>
    <definedName name="다다익선" hidden="1">{#N/A,#N/A,FALSE,"정공"}</definedName>
    <definedName name="다다익선_1" hidden="1">{#N/A,#N/A,FALSE,"정공"}</definedName>
    <definedName name="다다익선_2" hidden="1">{#N/A,#N/A,FALSE,"정공"}</definedName>
    <definedName name="다다익선_2_1" hidden="1">{#N/A,#N/A,FALSE,"정공"}</definedName>
    <definedName name="다다익선_2_2" hidden="1">{#N/A,#N/A,FALSE,"정공"}</definedName>
    <definedName name="다다익선_2_3" hidden="1">{#N/A,#N/A,FALSE,"정공"}</definedName>
    <definedName name="다다익선_3" hidden="1">{#N/A,#N/A,FALSE,"정공"}</definedName>
    <definedName name="다다익선_3_1" hidden="1">{#N/A,#N/A,FALSE,"정공"}</definedName>
    <definedName name="다다익선_3_2" hidden="1">{#N/A,#N/A,FALSE,"정공"}</definedName>
    <definedName name="다다익선_3_3" hidden="1">{#N/A,#N/A,FALSE,"정공"}</definedName>
    <definedName name="다다익선_4" hidden="1">{#N/A,#N/A,FALSE,"정공"}</definedName>
    <definedName name="다다익선_5" hidden="1">{#N/A,#N/A,FALSE,"정공"}</definedName>
    <definedName name="다닫" hidden="1">{#N/A,#N/A,TRUE,"Y생산";#N/A,#N/A,TRUE,"Y판매";#N/A,#N/A,TRUE,"Y총물량";#N/A,#N/A,TRUE,"Y능력";#N/A,#N/A,TRUE,"YKD"}</definedName>
    <definedName name="다달이" hidden="1">{#N/A,#N/A,FALSE,"정공"}</definedName>
    <definedName name="다달이_1" hidden="1">{#N/A,#N/A,FALSE,"정공"}</definedName>
    <definedName name="다달이_2" hidden="1">{#N/A,#N/A,FALSE,"정공"}</definedName>
    <definedName name="다달이_2_1" hidden="1">{#N/A,#N/A,FALSE,"정공"}</definedName>
    <definedName name="다달이_2_2" hidden="1">{#N/A,#N/A,FALSE,"정공"}</definedName>
    <definedName name="다달이_2_3" hidden="1">{#N/A,#N/A,FALSE,"정공"}</definedName>
    <definedName name="다달이_3" hidden="1">{#N/A,#N/A,FALSE,"정공"}</definedName>
    <definedName name="다달이_3_1" hidden="1">{#N/A,#N/A,FALSE,"정공"}</definedName>
    <definedName name="다달이_3_2" hidden="1">{#N/A,#N/A,FALSE,"정공"}</definedName>
    <definedName name="다달이_3_3" hidden="1">{#N/A,#N/A,FALSE,"정공"}</definedName>
    <definedName name="다달이_4" hidden="1">{#N/A,#N/A,FALSE,"정공"}</definedName>
    <definedName name="다달이_5" hidden="1">{#N/A,#N/A,FALSE,"정공"}</definedName>
    <definedName name="다라" hidden="1">{#N/A,#N/A,FALSE,"단축1";#N/A,#N/A,FALSE,"단축2";#N/A,#N/A,FALSE,"단축3";#N/A,#N/A,FALSE,"장축";#N/A,#N/A,FALSE,"4WD"}</definedName>
    <definedName name="다라니경" hidden="1">{#N/A,#N/A,FALSE,"정공"}</definedName>
    <definedName name="다라니경_1" hidden="1">{#N/A,#N/A,FALSE,"정공"}</definedName>
    <definedName name="다라니경_2" hidden="1">{#N/A,#N/A,FALSE,"정공"}</definedName>
    <definedName name="다라니경_2_1" hidden="1">{#N/A,#N/A,FALSE,"정공"}</definedName>
    <definedName name="다라니경_2_2" hidden="1">{#N/A,#N/A,FALSE,"정공"}</definedName>
    <definedName name="다라니경_2_3" hidden="1">{#N/A,#N/A,FALSE,"정공"}</definedName>
    <definedName name="다라니경_3" hidden="1">{#N/A,#N/A,FALSE,"정공"}</definedName>
    <definedName name="다라니경_3_1" hidden="1">{#N/A,#N/A,FALSE,"정공"}</definedName>
    <definedName name="다라니경_3_2" hidden="1">{#N/A,#N/A,FALSE,"정공"}</definedName>
    <definedName name="다라니경_3_3" hidden="1">{#N/A,#N/A,FALSE,"정공"}</definedName>
    <definedName name="다라니경_4" hidden="1">{#N/A,#N/A,FALSE,"정공"}</definedName>
    <definedName name="다라니경_5" hidden="1">{#N/A,#N/A,FALSE,"정공"}</definedName>
    <definedName name="다라니경을피우자" hidden="1">{#N/A,#N/A,FALSE,"정공"}</definedName>
    <definedName name="다라니경을피우자_1" hidden="1">{#N/A,#N/A,FALSE,"정공"}</definedName>
    <definedName name="다라니경을피우자_2" hidden="1">{#N/A,#N/A,FALSE,"정공"}</definedName>
    <definedName name="다라니경을피우자_2_1" hidden="1">{#N/A,#N/A,FALSE,"정공"}</definedName>
    <definedName name="다라니경을피우자_2_2" hidden="1">{#N/A,#N/A,FALSE,"정공"}</definedName>
    <definedName name="다라니경을피우자_2_3" hidden="1">{#N/A,#N/A,FALSE,"정공"}</definedName>
    <definedName name="다라니경을피우자_3" hidden="1">{#N/A,#N/A,FALSE,"정공"}</definedName>
    <definedName name="다라니경을피우자_3_1" hidden="1">{#N/A,#N/A,FALSE,"정공"}</definedName>
    <definedName name="다라니경을피우자_3_2" hidden="1">{#N/A,#N/A,FALSE,"정공"}</definedName>
    <definedName name="다라니경을피우자_3_3" hidden="1">{#N/A,#N/A,FALSE,"정공"}</definedName>
    <definedName name="다라니경을피우자_4" hidden="1">{#N/A,#N/A,FALSE,"정공"}</definedName>
    <definedName name="다라니경을피우자_5" hidden="1">{#N/A,#N/A,FALSE,"정공"}</definedName>
    <definedName name="다라다라라" hidden="1">{"'5'!$A$1:$BB$147"}</definedName>
    <definedName name="다라라" hidden="1">{"'5'!$A$1:$BB$147"}</definedName>
    <definedName name="다라자라" hidden="1">{"'5'!$A$1:$BB$147"}</definedName>
    <definedName name="다라자라파" hidden="1">{"'5'!$A$1:$BB$147"}</definedName>
    <definedName name="다른거" hidden="1">{#N/A,#N/A,TRUE,"매출진척-1";#N/A,#N/A,TRUE,"매출진척-2";#N/A,#N/A,TRUE,"제품실적";#N/A,#N/A,TRUE,"RAC";#N/A,#N/A,TRUE,"PAC ";#N/A,#N/A,TRUE,"재고현황";#N/A,#N/A,TRUE,"공지사항"}</definedName>
    <definedName name="다마" hidden="1">{#N/A,#N/A,TRUE,"Y생산";#N/A,#N/A,TRUE,"Y판매";#N/A,#N/A,TRUE,"Y총물량";#N/A,#N/A,TRUE,"Y능력";#N/A,#N/A,TRUE,"YKD"}</definedName>
    <definedName name="다시" hidden="1">{#N/A,#N/A,FALSE,"KMC최종회의(7월) 자료"}</definedName>
    <definedName name="다시_1" hidden="1">{#N/A,#N/A,FALSE,"KMC최종회의(7월) 자료"}</definedName>
    <definedName name="다시_2" hidden="1">{#N/A,#N/A,FALSE,"KMC최종회의(7월) 자료"}</definedName>
    <definedName name="다시사" hidden="1">{#N/A,#N/A,TRUE,"Y생산";#N/A,#N/A,TRUE,"Y판매";#N/A,#N/A,TRUE,"Y총물량";#N/A,#N/A,TRUE,"Y능력";#N/A,#N/A,TRUE,"YKD"}</definedName>
    <definedName name="다음" hidden="1">{#N/A,#N/A,FALSE,"단축1";#N/A,#N/A,FALSE,"단축2";#N/A,#N/A,FALSE,"단축3";#N/A,#N/A,FALSE,"장축";#N/A,#N/A,FALSE,"4WD"}</definedName>
    <definedName name="다임" hidden="1">{#N/A,#N/A,FALSE,"단축1";#N/A,#N/A,FALSE,"단축2";#N/A,#N/A,FALSE,"단축3";#N/A,#N/A,FALSE,"장축";#N/A,#N/A,FALSE,"4WD"}</definedName>
    <definedName name="단" hidden="1">{"'5'!$A$1:$BB$147"}</definedName>
    <definedName name="단가기준" hidden="1">{#N/A,#N/A,TRUE,"Y생산";#N/A,#N/A,TRUE,"Y판매";#N/A,#N/A,TRUE,"Y총물량";#N/A,#N/A,TRUE,"Y능력";#N/A,#N/A,TRUE,"YKD"}</definedName>
    <definedName name="단가기준_1" hidden="1">{#N/A,#N/A,TRUE,"Y생산";#N/A,#N/A,TRUE,"Y판매";#N/A,#N/A,TRUE,"Y총물량";#N/A,#N/A,TRUE,"Y능력";#N/A,#N/A,TRUE,"YKD"}</definedName>
    <definedName name="단가기준_2" hidden="1">{#N/A,#N/A,TRUE,"Y생산";#N/A,#N/A,TRUE,"Y판매";#N/A,#N/A,TRUE,"Y총물량";#N/A,#N/A,TRUE,"Y능력";#N/A,#N/A,TRUE,"YKD"}</definedName>
    <definedName name="단가기준1" hidden="1">{#N/A,#N/A,TRUE,"Y생산";#N/A,#N/A,TRUE,"Y판매";#N/A,#N/A,TRUE,"Y총물량";#N/A,#N/A,TRUE,"Y능력";#N/A,#N/A,TRUE,"YKD"}</definedName>
    <definedName name="단가기준1_1" hidden="1">{#N/A,#N/A,TRUE,"Y생산";#N/A,#N/A,TRUE,"Y판매";#N/A,#N/A,TRUE,"Y총물량";#N/A,#N/A,TRUE,"Y능력";#N/A,#N/A,TRUE,"YKD"}</definedName>
    <definedName name="단가테이블" hidden="1">{#N/A,#N/A,FALSE,"KMC최종회의(7월) 자료"}</definedName>
    <definedName name="단가테이블_1" hidden="1">{#N/A,#N/A,FALSE,"KMC최종회의(7월) 자료"}</definedName>
    <definedName name="단가테이블_2" hidden="1">{#N/A,#N/A,FALSE,"KMC최종회의(7월) 자료"}</definedName>
    <definedName name="단계별검토계획" hidden="1">{"Wire Charts",#N/A,TRUE,"Wires"}</definedName>
    <definedName name="단기" hidden="1">{#N/A,#N/A,TRUE,"Y생산";#N/A,#N/A,TRUE,"Y판매";#N/A,#N/A,TRUE,"Y총물량";#N/A,#N/A,TRUE,"Y능력";#N/A,#N/A,TRUE,"YKD"}</definedName>
    <definedName name="단기_1" hidden="1">{#N/A,#N/A,TRUE,"Y생산";#N/A,#N/A,TRUE,"Y판매";#N/A,#N/A,TRUE,"Y총물량";#N/A,#N/A,TRUE,"Y능력";#N/A,#N/A,TRUE,"YKD"}</definedName>
    <definedName name="단기_2" hidden="1">{#N/A,#N/A,TRUE,"Y생산";#N/A,#N/A,TRUE,"Y판매";#N/A,#N/A,TRUE,"Y총물량";#N/A,#N/A,TRUE,"Y능력";#N/A,#N/A,TRUE,"YKD"}</definedName>
    <definedName name="단기금융2" hidden="1">{#N/A,#N/A,FALSE,"정공"}</definedName>
    <definedName name="단기대여금" hidden="1">{#N/A,#N/A,TRUE,"Y생산";#N/A,#N/A,TRUE,"Y판매";#N/A,#N/A,TRUE,"Y총물량";#N/A,#N/A,TRUE,"Y능력";#N/A,#N/A,TRUE,"YKD"}</definedName>
    <definedName name="단기대여금_1" hidden="1">{#N/A,#N/A,TRUE,"Y생산";#N/A,#N/A,TRUE,"Y판매";#N/A,#N/A,TRUE,"Y총물량";#N/A,#N/A,TRUE,"Y능력";#N/A,#N/A,TRUE,"YKD"}</definedName>
    <definedName name="단말기" hidden="1">{#N/A,#N/A,FALSE,"정공"}</definedName>
    <definedName name="단말기_1" hidden="1">{#N/A,#N/A,FALSE,"정공"}</definedName>
    <definedName name="단말기_2" hidden="1">{#N/A,#N/A,FALSE,"정공"}</definedName>
    <definedName name="단말기_2_1" hidden="1">{#N/A,#N/A,FALSE,"정공"}</definedName>
    <definedName name="단말기_2_2" hidden="1">{#N/A,#N/A,FALSE,"정공"}</definedName>
    <definedName name="단말기_2_3" hidden="1">{#N/A,#N/A,FALSE,"정공"}</definedName>
    <definedName name="단말기_3" hidden="1">{#N/A,#N/A,FALSE,"정공"}</definedName>
    <definedName name="단말기_3_1" hidden="1">{#N/A,#N/A,FALSE,"정공"}</definedName>
    <definedName name="단말기_3_2" hidden="1">{#N/A,#N/A,FALSE,"정공"}</definedName>
    <definedName name="단말기_3_3" hidden="1">{#N/A,#N/A,FALSE,"정공"}</definedName>
    <definedName name="단말기_4" hidden="1">{#N/A,#N/A,FALSE,"정공"}</definedName>
    <definedName name="단말기_5" hidden="1">{#N/A,#N/A,FALSE,"정공"}</definedName>
    <definedName name="단말기번호" hidden="1">{#N/A,#N/A,FALSE,"정공"}</definedName>
    <definedName name="단말기번호_1" hidden="1">{#N/A,#N/A,FALSE,"정공"}</definedName>
    <definedName name="단말기번호_2" hidden="1">{#N/A,#N/A,FALSE,"정공"}</definedName>
    <definedName name="단말기번호_2_1" hidden="1">{#N/A,#N/A,FALSE,"정공"}</definedName>
    <definedName name="단말기번호_2_2" hidden="1">{#N/A,#N/A,FALSE,"정공"}</definedName>
    <definedName name="단말기번호_2_3" hidden="1">{#N/A,#N/A,FALSE,"정공"}</definedName>
    <definedName name="단말기번호_3" hidden="1">{#N/A,#N/A,FALSE,"정공"}</definedName>
    <definedName name="단말기번호_3_1" hidden="1">{#N/A,#N/A,FALSE,"정공"}</definedName>
    <definedName name="단말기번호_3_2" hidden="1">{#N/A,#N/A,FALSE,"정공"}</definedName>
    <definedName name="단말기번호_3_3" hidden="1">{#N/A,#N/A,FALSE,"정공"}</definedName>
    <definedName name="단말기번호_4" hidden="1">{#N/A,#N/A,FALSE,"정공"}</definedName>
    <definedName name="단말기번호_5" hidden="1">{#N/A,#N/A,FALSE,"정공"}</definedName>
    <definedName name="단알기" hidden="1">{#N/A,#N/A,FALSE,"정공"}</definedName>
    <definedName name="단알기_1" hidden="1">{#N/A,#N/A,FALSE,"정공"}</definedName>
    <definedName name="단알기_2" hidden="1">{#N/A,#N/A,FALSE,"정공"}</definedName>
    <definedName name="단알기_2_1" hidden="1">{#N/A,#N/A,FALSE,"정공"}</definedName>
    <definedName name="단알기_2_2" hidden="1">{#N/A,#N/A,FALSE,"정공"}</definedName>
    <definedName name="단알기_2_3" hidden="1">{#N/A,#N/A,FALSE,"정공"}</definedName>
    <definedName name="단알기_3" hidden="1">{#N/A,#N/A,FALSE,"정공"}</definedName>
    <definedName name="단알기_3_1" hidden="1">{#N/A,#N/A,FALSE,"정공"}</definedName>
    <definedName name="단알기_3_2" hidden="1">{#N/A,#N/A,FALSE,"정공"}</definedName>
    <definedName name="단알기_3_3" hidden="1">{#N/A,#N/A,FALSE,"정공"}</definedName>
    <definedName name="단알기_4" hidden="1">{#N/A,#N/A,FALSE,"정공"}</definedName>
    <definedName name="단알기_5" hidden="1">{#N/A,#N/A,FALSE,"정공"}</definedName>
    <definedName name="단자" hidden="1">{#N/A,#N/A,FALSE,"단축1";#N/A,#N/A,FALSE,"단축2";#N/A,#N/A,FALSE,"단축3";#N/A,#N/A,FALSE,"장축";#N/A,#N/A,FALSE,"4WD"}</definedName>
    <definedName name="단자1" hidden="1">{#N/A,#N/A,FALSE,"단축1";#N/A,#N/A,FALSE,"단축2";#N/A,#N/A,FALSE,"단축3";#N/A,#N/A,FALSE,"장축";#N/A,#N/A,FALSE,"4WD"}</definedName>
    <definedName name="단자10" hidden="1">{#N/A,#N/A,FALSE,"단축1";#N/A,#N/A,FALSE,"단축2";#N/A,#N/A,FALSE,"단축3";#N/A,#N/A,FALSE,"장축";#N/A,#N/A,FALSE,"4WD"}</definedName>
    <definedName name="단자11" hidden="1">{#N/A,#N/A,FALSE,"단축1";#N/A,#N/A,FALSE,"단축2";#N/A,#N/A,FALSE,"단축3";#N/A,#N/A,FALSE,"장축";#N/A,#N/A,FALSE,"4WD"}</definedName>
    <definedName name="단자3" hidden="1">{#N/A,#N/A,FALSE,"단축1";#N/A,#N/A,FALSE,"단축2";#N/A,#N/A,FALSE,"단축3";#N/A,#N/A,FALSE,"장축";#N/A,#N/A,FALSE,"4WD"}</definedName>
    <definedName name="단자4" hidden="1">{#N/A,#N/A,FALSE,"단축1";#N/A,#N/A,FALSE,"단축2";#N/A,#N/A,FALSE,"단축3";#N/A,#N/A,FALSE,"장축";#N/A,#N/A,FALSE,"4WD"}</definedName>
    <definedName name="단자5" hidden="1">{#N/A,#N/A,FALSE,"단축1";#N/A,#N/A,FALSE,"단축2";#N/A,#N/A,FALSE,"단축3";#N/A,#N/A,FALSE,"장축";#N/A,#N/A,FALSE,"4WD"}</definedName>
    <definedName name="단자6" hidden="1">{#N/A,#N/A,FALSE,"단축1";#N/A,#N/A,FALSE,"단축2";#N/A,#N/A,FALSE,"단축3";#N/A,#N/A,FALSE,"장축";#N/A,#N/A,FALSE,"4WD"}</definedName>
    <definedName name="단자7" hidden="1">{#N/A,#N/A,FALSE,"단축1";#N/A,#N/A,FALSE,"단축2";#N/A,#N/A,FALSE,"단축3";#N/A,#N/A,FALSE,"장축";#N/A,#N/A,FALSE,"4WD"}</definedName>
    <definedName name="단자8" hidden="1">{#N/A,#N/A,FALSE,"단축1";#N/A,#N/A,FALSE,"단축2";#N/A,#N/A,FALSE,"단축3";#N/A,#N/A,FALSE,"장축";#N/A,#N/A,FALSE,"4WD"}</definedName>
    <definedName name="단자9" hidden="1">{#N/A,#N/A,FALSE,"단축1";#N/A,#N/A,FALSE,"단축2";#N/A,#N/A,FALSE,"단축3";#N/A,#N/A,FALSE,"장축";#N/A,#N/A,FALSE,"4WD"}</definedName>
    <definedName name="단조편성표" hidden="1">{#N/A,#N/A,FALSE,"단축1";#N/A,#N/A,FALSE,"단축2";#N/A,#N/A,FALSE,"단축3";#N/A,#N/A,FALSE,"장축";#N/A,#N/A,FALSE,"4WD"}</definedName>
    <definedName name="단조편성표_1" hidden="1">{#N/A,#N/A,FALSE,"단축1";#N/A,#N/A,FALSE,"단축2";#N/A,#N/A,FALSE,"단축3";#N/A,#N/A,FALSE,"장축";#N/A,#N/A,FALSE,"4WD"}</definedName>
    <definedName name="단조편성표_2" hidden="1">{#N/A,#N/A,FALSE,"단축1";#N/A,#N/A,FALSE,"단축2";#N/A,#N/A,FALSE,"단축3";#N/A,#N/A,FALSE,"장축";#N/A,#N/A,FALSE,"4WD"}</definedName>
    <definedName name="단차_유첨" hidden="1">{"'7-2지역별'!$A$1:$R$44"}</definedName>
    <definedName name="단차_유첨2" hidden="1">{"'7-2지역별'!$A$1:$R$44"}</definedName>
    <definedName name="단차_유첨22" hidden="1">{"'7-2지역별'!$A$1:$R$44"}</definedName>
    <definedName name="단차_유첨222" hidden="1">{"'7-2지역별'!$A$1:$R$44"}</definedName>
    <definedName name="단차_유첨4" hidden="1">{"'7-2지역별'!$A$1:$R$44"}</definedName>
    <definedName name="단차_유첨42" hidden="1">{"'7-2지역별'!$A$1:$R$44"}</definedName>
    <definedName name="단차_유첨5" hidden="1">{"'7-2지역별'!$A$1:$R$44"}</definedName>
    <definedName name="단차_유첨52" hidden="1">{"'7-2지역별'!$A$1:$R$44"}</definedName>
    <definedName name="단품계산" hidden="1">{#N/A,#N/A,FALSE,"단축1";#N/A,#N/A,FALSE,"단축2";#N/A,#N/A,FALSE,"단축3";#N/A,#N/A,FALSE,"장축";#N/A,#N/A,FALSE,"4WD"}</definedName>
    <definedName name="달성방안최신" hidden="1">{#N/A,#N/A,FALSE,"KMC최종회의(7월) 자료"}</definedName>
    <definedName name="달성방안최신_1" hidden="1">{#N/A,#N/A,FALSE,"KMC최종회의(7월) 자료"}</definedName>
    <definedName name="담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담당1" hidden="1">{#N/A,#N/A,TRUE,"일정"}</definedName>
    <definedName name="담당별조정" hidden="1">{#N/A,#N/A,FALSE,"신규dep";#N/A,#N/A,FALSE,"신규dep-금형상각후";#N/A,#N/A,FALSE,"신규dep-연구비상각후";#N/A,#N/A,FALSE,"신규dep-기계,공구상각후"}</definedName>
    <definedName name="담당별조정_1" hidden="1">{#N/A,#N/A,FALSE,"신규dep";#N/A,#N/A,FALSE,"신규dep-금형상각후";#N/A,#N/A,FALSE,"신규dep-연구비상각후";#N/A,#N/A,FALSE,"신규dep-기계,공구상각후"}</definedName>
    <definedName name="당" hidden="1">{#N/A,#N/A,FALSE,"단축1";#N/A,#N/A,FALSE,"단축2";#N/A,#N/A,FALSE,"단축3";#N/A,#N/A,FALSE,"장축";#N/A,#N/A,FALSE,"4WD"}</definedName>
    <definedName name="당러버" hidden="1">{#N/A,#N/A,FALSE,"단축1";#N/A,#N/A,FALSE,"단축2";#N/A,#N/A,FALSE,"단축3";#N/A,#N/A,FALSE,"장축";#N/A,#N/A,FALSE,"4WD"}</definedName>
    <definedName name="당분석" hidden="1">{#N/A,#N/A,FALSE,"KMC최종회의(7월) 자료"}</definedName>
    <definedName name="당분석_1" hidden="1">{#N/A,#N/A,FALSE,"KMC최종회의(7월) 자료"}</definedName>
    <definedName name="당분석_2" hidden="1">{#N/A,#N/A,FALSE,"KMC최종회의(7월) 자료"}</definedName>
    <definedName name="당초기준손이" hidden="1">{#N/A,#N/A,FALSE,"정공"}</definedName>
    <definedName name="당초기준손이_1" hidden="1">{#N/A,#N/A,FALSE,"정공"}</definedName>
    <definedName name="당초기준손이_2" hidden="1">{#N/A,#N/A,FALSE,"정공"}</definedName>
    <definedName name="당초대비비교표" hidden="1">{#N/A,#N/A,FALSE,"정공"}</definedName>
    <definedName name="당초대비비교표_1" hidden="1">{#N/A,#N/A,FALSE,"정공"}</definedName>
    <definedName name="당초대비비교표_2" hidden="1">{#N/A,#N/A,FALSE,"정공"}</definedName>
    <definedName name="당초손익표" hidden="1">{#N/A,#N/A,FALSE,"정공"}</definedName>
    <definedName name="당초손익표_1" hidden="1">{#N/A,#N/A,FALSE,"정공"}</definedName>
    <definedName name="당초손익표_2" hidden="1">{#N/A,#N/A,FALSE,"정공"}</definedName>
    <definedName name="대" hidden="1">{#N/A,#N/A,FALSE,"정공"}</definedName>
    <definedName name="대동" hidden="1">{#N/A,#N/A,FALSE,"단축1";#N/A,#N/A,FALSE,"단축2";#N/A,#N/A,FALSE,"단축3";#N/A,#N/A,FALSE,"장축";#N/A,#N/A,FALSE,"4WD"}</definedName>
    <definedName name="대리님" hidden="1">{#N/A,#N/A,FALSE,"정공"}</definedName>
    <definedName name="대리님_1" hidden="1">{#N/A,#N/A,FALSE,"정공"}</definedName>
    <definedName name="대리님_2" hidden="1">{#N/A,#N/A,FALSE,"정공"}</definedName>
    <definedName name="대리님_2_1" hidden="1">{#N/A,#N/A,FALSE,"정공"}</definedName>
    <definedName name="대리님_2_2" hidden="1">{#N/A,#N/A,FALSE,"정공"}</definedName>
    <definedName name="대리님_2_3" hidden="1">{#N/A,#N/A,FALSE,"정공"}</definedName>
    <definedName name="대리님_3" hidden="1">{#N/A,#N/A,FALSE,"정공"}</definedName>
    <definedName name="대리님_3_1" hidden="1">{#N/A,#N/A,FALSE,"정공"}</definedName>
    <definedName name="대리님_3_2" hidden="1">{#N/A,#N/A,FALSE,"정공"}</definedName>
    <definedName name="대리님_3_3" hidden="1">{#N/A,#N/A,FALSE,"정공"}</definedName>
    <definedName name="대리님_4" hidden="1">{#N/A,#N/A,FALSE,"정공"}</definedName>
    <definedName name="대리님_5" hidden="1">{#N/A,#N/A,FALSE,"정공"}</definedName>
    <definedName name="대무" hidden="1">{#N/A,#N/A,FALSE,"단축1";#N/A,#N/A,FALSE,"단축2";#N/A,#N/A,FALSE,"단축3";#N/A,#N/A,FALSE,"장축";#N/A,#N/A,FALSE,"4WD"}</definedName>
    <definedName name="대방총괄" hidden="1">{#N/A,#N/A,FALSE,"단축1";#N/A,#N/A,FALSE,"단축2";#N/A,#N/A,FALSE,"단축3";#N/A,#N/A,FALSE,"장축";#N/A,#N/A,FALSE,"4WD"}</definedName>
    <definedName name="대방총괄_1" hidden="1">{#N/A,#N/A,FALSE,"단축1";#N/A,#N/A,FALSE,"단축2";#N/A,#N/A,FALSE,"단축3";#N/A,#N/A,FALSE,"장축";#N/A,#N/A,FALSE,"4WD"}</definedName>
    <definedName name="대방총괄_2" hidden="1">{#N/A,#N/A,FALSE,"단축1";#N/A,#N/A,FALSE,"단축2";#N/A,#N/A,FALSE,"단축3";#N/A,#N/A,FALSE,"장축";#N/A,#N/A,FALSE,"4WD"}</definedName>
    <definedName name="대부" hidden="1">{#N/A,#N/A,FALSE,"단축1";#N/A,#N/A,FALSE,"단축2";#N/A,#N/A,FALSE,"단축3";#N/A,#N/A,FALSE,"장축";#N/A,#N/A,FALSE,"4WD"}</definedName>
    <definedName name="대부_1" hidden="1">{#N/A,#N/A,FALSE,"단축1";#N/A,#N/A,FALSE,"단축2";#N/A,#N/A,FALSE,"단축3";#N/A,#N/A,FALSE,"장축";#N/A,#N/A,FALSE,"4WD"}</definedName>
    <definedName name="대부_2" hidden="1">{#N/A,#N/A,FALSE,"단축1";#N/A,#N/A,FALSE,"단축2";#N/A,#N/A,FALSE,"단축3";#N/A,#N/A,FALSE,"장축";#N/A,#N/A,FALSE,"4WD"}</definedName>
    <definedName name="대부배" hidden="1">{#N/A,#N/A,FALSE,"단축1";#N/A,#N/A,FALSE,"단축2";#N/A,#N/A,FALSE,"단축3";#N/A,#N/A,FALSE,"장축";#N/A,#N/A,FALSE,"4WD"}</definedName>
    <definedName name="대상시트" hidden="1">{#N/A,#N/A,FALSE,"정공"}</definedName>
    <definedName name="대상시트_1" hidden="1">{#N/A,#N/A,FALSE,"정공"}</definedName>
    <definedName name="대상시트_2" hidden="1">{#N/A,#N/A,FALSE,"정공"}</definedName>
    <definedName name="대상시트_2_1" hidden="1">{#N/A,#N/A,FALSE,"정공"}</definedName>
    <definedName name="대상시트_2_2" hidden="1">{#N/A,#N/A,FALSE,"정공"}</definedName>
    <definedName name="대상시트_2_3" hidden="1">{#N/A,#N/A,FALSE,"정공"}</definedName>
    <definedName name="대상시트_3" hidden="1">{#N/A,#N/A,FALSE,"정공"}</definedName>
    <definedName name="대상시트_3_1" hidden="1">{#N/A,#N/A,FALSE,"정공"}</definedName>
    <definedName name="대상시트_3_2" hidden="1">{#N/A,#N/A,FALSE,"정공"}</definedName>
    <definedName name="대상시트_3_3" hidden="1">{#N/A,#N/A,FALSE,"정공"}</definedName>
    <definedName name="대상시트_4" hidden="1">{#N/A,#N/A,FALSE,"정공"}</definedName>
    <definedName name="대상시트_5" hidden="1">{#N/A,#N/A,FALSE,"정공"}</definedName>
    <definedName name="대상차종" hidden="1">{#N/A,#N/A,TRUE,"Y생산";#N/A,#N/A,TRUE,"Y판매";#N/A,#N/A,TRUE,"Y총물량";#N/A,#N/A,TRUE,"Y능력";#N/A,#N/A,TRUE,"YKD"}</definedName>
    <definedName name="대상차종_1" hidden="1">{#N/A,#N/A,TRUE,"Y생산";#N/A,#N/A,TRUE,"Y판매";#N/A,#N/A,TRUE,"Y총물량";#N/A,#N/A,TRUE,"Y능력";#N/A,#N/A,TRUE,"YKD"}</definedName>
    <definedName name="대상현황" hidden="1">{#N/A,#N/A,FALSE,"단축1";#N/A,#N/A,FALSE,"단축2";#N/A,#N/A,FALSE,"단축3";#N/A,#N/A,FALSE,"장축";#N/A,#N/A,FALSE,"4WD"}</definedName>
    <definedName name="대승" hidden="1">{#N/A,#N/A,FALSE,"KMC최종회의(7월) 자료"}</definedName>
    <definedName name="대우" hidden="1">{#N/A,#N/A,FALSE,"정공"}</definedName>
    <definedName name="대우_1" hidden="1">{#N/A,#N/A,FALSE,"정공"}</definedName>
    <definedName name="대우_2" hidden="1">{#N/A,#N/A,FALSE,"정공"}</definedName>
    <definedName name="대우하세요" hidden="1">{#N/A,#N/A,FALSE,"정공"}</definedName>
    <definedName name="대우하세요_1" hidden="1">{#N/A,#N/A,FALSE,"정공"}</definedName>
    <definedName name="대우하세요_2" hidden="1">{#N/A,#N/A,FALSE,"정공"}</definedName>
    <definedName name="대원" hidden="1">#REF!</definedName>
    <definedName name="대원3" hidden="1">#REF!</definedName>
    <definedName name="대원4" hidden="1">#REF!</definedName>
    <definedName name="대웘3" hidden="1">#REF!</definedName>
    <definedName name="대일공업" hidden="1">{#N/A,#N/A,FALSE,"KMC최종회의(7월) 자료"}</definedName>
    <definedName name="대책서" hidden="1">{#N/A,#N/A,FALSE,"단축1";#N/A,#N/A,FALSE,"단축2";#N/A,#N/A,FALSE,"단축3";#N/A,#N/A,FALSE,"장축";#N/A,#N/A,FALSE,"4WD"}</definedName>
    <definedName name="대책서_1" hidden="1">{#N/A,#N/A,FALSE,"단축1";#N/A,#N/A,FALSE,"단축2";#N/A,#N/A,FALSE,"단축3";#N/A,#N/A,FALSE,"장축";#N/A,#N/A,FALSE,"4WD"}</definedName>
    <definedName name="대책서_2" hidden="1">{#N/A,#N/A,FALSE,"단축1";#N/A,#N/A,FALSE,"단축2";#N/A,#N/A,FALSE,"단축3";#N/A,#N/A,FALSE,"장축";#N/A,#N/A,FALSE,"4WD"}</definedName>
    <definedName name="대책서1" hidden="1">{#N/A,#N/A,FALSE,"해외크레임";#N/A,#N/A,FALSE,"ACCENT현황";#N/A,#N/A,FALSE,"AVANTE";#N/A,#N/A,FALSE,"SONATA(3)";#N/A,#N/A,FALSE,"국내크레임"}</definedName>
    <definedName name="대책서2" hidden="1">{#N/A,#N/A,FALSE,"단축1";#N/A,#N/A,FALSE,"단축2";#N/A,#N/A,FALSE,"단축3";#N/A,#N/A,FALSE,"장축";#N/A,#N/A,FALSE,"4WD"}</definedName>
    <definedName name="대책서3" hidden="1">{#N/A,#N/A,FALSE,"단축1";#N/A,#N/A,FALSE,"단축2";#N/A,#N/A,FALSE,"단축3";#N/A,#N/A,FALSE,"장축";#N/A,#N/A,FALSE,"4WD"}</definedName>
    <definedName name="대책양식" hidden="1">{#N/A,#N/A,FALSE,"단축1";#N/A,#N/A,FALSE,"단축2";#N/A,#N/A,FALSE,"단축3";#N/A,#N/A,FALSE,"장축";#N/A,#N/A,FALSE,"4WD"}</definedName>
    <definedName name="대폭절감시" hidden="1">{#N/A,#N/A,FALSE,"단축1";#N/A,#N/A,FALSE,"단축2";#N/A,#N/A,FALSE,"단축3";#N/A,#N/A,FALSE,"장축";#N/A,#N/A,FALSE,"4WD"}</definedName>
    <definedName name="대현" hidden="1">{#N/A,#N/A,FALSE,"단축1";#N/A,#N/A,FALSE,"단축2";#N/A,#N/A,FALSE,"단축3";#N/A,#N/A,FALSE,"장축";#N/A,#N/A,FALSE,"4WD"}</definedName>
    <definedName name="대화" hidden="1">{#N/A,#N/A,FALSE,"단축1";#N/A,#N/A,FALSE,"단축2";#N/A,#N/A,FALSE,"단축3";#N/A,#N/A,FALSE,"장축";#N/A,#N/A,FALSE,"4WD"}</definedName>
    <definedName name="대화상자" hidden="1">{#N/A,#N/A,FALSE,"정공"}</definedName>
    <definedName name="대화상자_1" hidden="1">{#N/A,#N/A,FALSE,"정공"}</definedName>
    <definedName name="대화상자_2" hidden="1">{#N/A,#N/A,FALSE,"정공"}</definedName>
    <definedName name="대흥" hidden="1">{#N/A,#N/A,FALSE,"단축1";#N/A,#N/A,FALSE,"단축2";#N/A,#N/A,FALSE,"단축3";#N/A,#N/A,FALSE,"장축";#N/A,#N/A,FALSE,"4WD"}</definedName>
    <definedName name="댜댜" hidden="1">{#N/A,#N/A,FALSE,"표지";#N/A,#N/A,FALSE,"전제";#N/A,#N/A,FALSE,"손익-자 (2)";#N/A,#N/A,FALSE,"손익-자";#N/A,#N/A,FALSE,"손익-마 (2)";#N/A,#N/A,FALSE,"손익-마";#N/A,#N/A,FALSE,"총손최종"}</definedName>
    <definedName name="더" hidden="1">{#N/A,#N/A,TRUE,"Y생산";#N/A,#N/A,TRUE,"Y판매";#N/A,#N/A,TRUE,"Y총물량";#N/A,#N/A,TRUE,"Y능력";#N/A,#N/A,TRUE,"YKD"}</definedName>
    <definedName name="더_1" hidden="1">{#N/A,#N/A,TRUE,"Y생산";#N/A,#N/A,TRUE,"Y판매";#N/A,#N/A,TRUE,"Y총물량";#N/A,#N/A,TRUE,"Y능력";#N/A,#N/A,TRUE,"YKD"}</definedName>
    <definedName name="더나앙ㄹ랑ㄹ" hidden="1">{#N/A,#N/A,FALSE,"단축1";#N/A,#N/A,FALSE,"단축2";#N/A,#N/A,FALSE,"단축3";#N/A,#N/A,FALSE,"장축";#N/A,#N/A,FALSE,"4WD"}</definedName>
    <definedName name="더나앙ㄹ랑ㄹ_1" hidden="1">{#N/A,#N/A,FALSE,"단축1";#N/A,#N/A,FALSE,"단축2";#N/A,#N/A,FALSE,"단축3";#N/A,#N/A,FALSE,"장축";#N/A,#N/A,FALSE,"4WD"}</definedName>
    <definedName name="뎌768" hidden="1">{#N/A,#N/A,FALSE,"단축1";#N/A,#N/A,FALSE,"단축2";#N/A,#N/A,FALSE,"단축3";#N/A,#N/A,FALSE,"장축";#N/A,#N/A,FALSE,"4WD"}</definedName>
    <definedName name="뎌ㅑ색ㅅ" hidden="1">{#N/A,#N/A,TRUE,"일정"}</definedName>
    <definedName name="도" hidden="1">{#N/A,#N/A,FALSE,"KMC최종회의(7월) 자료"}</definedName>
    <definedName name="도_1" hidden="1">{#N/A,#N/A,FALSE,"KMC최종회의(7월) 자료"}</definedName>
    <definedName name="도_2" hidden="1">{#N/A,#N/A,FALSE,"KMC최종회의(7월) 자료"}</definedName>
    <definedName name="도금산출" hidden="1">{#N/A,#N/A,TRUE,"Y생산";#N/A,#N/A,TRUE,"Y판매";#N/A,#N/A,TRUE,"Y총물량";#N/A,#N/A,TRUE,"Y능력";#N/A,#N/A,TRUE,"YKD"}</definedName>
    <definedName name="도금산출_1" hidden="1">{#N/A,#N/A,TRUE,"Y생산";#N/A,#N/A,TRUE,"Y판매";#N/A,#N/A,TRUE,"Y총물량";#N/A,#N/A,TRUE,"Y능력";#N/A,#N/A,TRUE,"YKD"}</definedName>
    <definedName name="도면검토" hidden="1">{#N/A,#N/A,FALSE,"신규dep";#N/A,#N/A,FALSE,"신규dep-금형상각후";#N/A,#N/A,FALSE,"신규dep-연구비상각후";#N/A,#N/A,FALSE,"신규dep-기계,공구상각후"}</definedName>
    <definedName name="도면검토내용" hidden="1">{#N/A,#N/A,FALSE,"단축1";#N/A,#N/A,FALSE,"단축2";#N/A,#N/A,FALSE,"단축3";#N/A,#N/A,FALSE,"장축";#N/A,#N/A,FALSE,"4WD"}</definedName>
    <definedName name="도면반영3" hidden="1">{#N/A,#N/A,FALSE,"단축1";#N/A,#N/A,FALSE,"단축2";#N/A,#N/A,FALSE,"단축3";#N/A,#N/A,FALSE,"장축";#N/A,#N/A,FALSE,"4WD"}</definedName>
    <definedName name="도어" hidden="1">#REF!</definedName>
    <definedName name="도어1" hidden="1">#REF!</definedName>
    <definedName name="도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장151" hidden="1">{"'매출계획'!$D$2"}</definedName>
    <definedName name="도장신" hidden="1">{"'매출계획'!$D$2"}</definedName>
    <definedName name="도장팀" hidden="1">{#N/A,#N/A,FALSE,"KMC최종회의(7월) 자료"}</definedName>
    <definedName name="도착시점" hidden="1">{#N/A,#N/A,FALSE,"협조전";#N/A,#N/A,FALSE,"원가절감계획 ";#N/A,#N/A,FALSE,"항목별원가절감계획"}</definedName>
    <definedName name="도현" hidden="1">{#N/A,#N/A,FALSE,"단축1";#N/A,#N/A,FALSE,"단축2";#N/A,#N/A,FALSE,"단축3";#N/A,#N/A,FALSE,"장축";#N/A,#N/A,FALSE,"4WD"}</definedName>
    <definedName name="돌" hidden="1">{#N/A,#N/A,FALSE,"KMC최종회의(7월) 자료"}</definedName>
    <definedName name="돌_1" hidden="1">{#N/A,#N/A,FALSE,"KMC최종회의(7월) 자료"}</definedName>
    <definedName name="돌_2" hidden="1">{#N/A,#N/A,FALSE,"KMC최종회의(7월) 자료"}</definedName>
    <definedName name="돌1" hidden="1">{#N/A,#N/A,FALSE,"KMC최종회의(7월) 자료"}</definedName>
    <definedName name="돌1_1" hidden="1">{#N/A,#N/A,FALSE,"KMC최종회의(7월) 자료"}</definedName>
    <definedName name="돌돌" hidden="1">{#N/A,#N/A,FALSE,"표지";#N/A,#N/A,FALSE,"전제";#N/A,#N/A,FALSE,"대당";#N/A,#N/A,FALSE,"가공비";#N/A,#N/A,FALSE,"재료비";#N/A,#N/A,FALSE,"손익"}</definedName>
    <definedName name="돌리기" hidden="1">#REF!</definedName>
    <definedName name="동10" hidden="1">{#N/A,#N/A,FALSE,"KMC최종회의(7월) 자료"}</definedName>
    <definedName name="동10_1" hidden="1">{#N/A,#N/A,FALSE,"KMC최종회의(7월) 자료"}</definedName>
    <definedName name="동10_2" hidden="1">{#N/A,#N/A,FALSE,"KMC최종회의(7월) 자료"}</definedName>
    <definedName name="동12" hidden="1">{#N/A,#N/A,FALSE,"KMC최종회의(7월) 자료"}</definedName>
    <definedName name="동3" hidden="1">{#N/A,#N/A,FALSE,"KMC최종회의(7월) 자료"}</definedName>
    <definedName name="동3_1" hidden="1">{#N/A,#N/A,FALSE,"KMC최종회의(7월) 자료"}</definedName>
    <definedName name="동3_2" hidden="1">{#N/A,#N/A,FALSE,"KMC최종회의(7월) 자료"}</definedName>
    <definedName name="동4" hidden="1">{#N/A,#N/A,FALSE,"KMC최종회의(7월) 자료"}</definedName>
    <definedName name="동4_1" hidden="1">{#N/A,#N/A,FALSE,"KMC최종회의(7월) 자료"}</definedName>
    <definedName name="동4_2" hidden="1">{#N/A,#N/A,FALSE,"KMC최종회의(7월) 자료"}</definedName>
    <definedName name="동45" hidden="1">{#N/A,#N/A,FALSE,"KMC최종회의(7월) 자료"}</definedName>
    <definedName name="동6" hidden="1">{#N/A,#N/A,FALSE,"KMC최종회의(7월) 자료"}</definedName>
    <definedName name="동6_1" hidden="1">{#N/A,#N/A,FALSE,"KMC최종회의(7월) 자료"}</definedName>
    <definedName name="동6_2" hidden="1">{#N/A,#N/A,FALSE,"KMC최종회의(7월) 자료"}</definedName>
    <definedName name="동국" hidden="1">{#N/A,#N/A,FALSE,"해외크레임";#N/A,#N/A,FALSE,"ACCENT현황";#N/A,#N/A,FALSE,"AVANTE";#N/A,#N/A,FALSE,"SONATA(3)";#N/A,#N/A,FALSE,"국내크레임"}</definedName>
    <definedName name="동국2" hidden="1">{#N/A,#N/A,FALSE,"해외크레임";#N/A,#N/A,FALSE,"ACCENT현황";#N/A,#N/A,FALSE,"AVANTE";#N/A,#N/A,FALSE,"SONATA(3)";#N/A,#N/A,FALSE,"국내크레임"}</definedName>
    <definedName name="동동" hidden="1">{#N/A,#N/A,FALSE,"KMC최종회의(7월) 자료"}</definedName>
    <definedName name="동력" hidden="1">{#N/A,#N/A,FALSE,"표지";#N/A,#N/A,FALSE,"전제";#N/A,#N/A,FALSE,"손익-자 (2)";#N/A,#N/A,FALSE,"손익-자";#N/A,#N/A,FALSE,"손익-마 (2)";#N/A,#N/A,FALSE,"손익-마";#N/A,#N/A,FALSE,"총손최종"}</definedName>
    <definedName name="동력성능" hidden="1">{#N/A,#N/A,FALSE,"단축1";#N/A,#N/A,FALSE,"단축2";#N/A,#N/A,FALSE,"단축3";#N/A,#N/A,FALSE,"장축";#N/A,#N/A,FALSE,"4WD"}</definedName>
    <definedName name="동력성능1" hidden="1">{#N/A,#N/A,FALSE,"단축1";#N/A,#N/A,FALSE,"단축2";#N/A,#N/A,FALSE,"단축3";#N/A,#N/A,FALSE,"장축";#N/A,#N/A,FALSE,"4WD"}</definedName>
    <definedName name="동부판매" hidden="1">{#N/A,#N/A,FALSE,"KMC최종회의(7월) 자료"}</definedName>
    <definedName name="동시" hidden="1">{#N/A,#N/A,FALSE,"단축1";#N/A,#N/A,FALSE,"단축2";#N/A,#N/A,FALSE,"단축3";#N/A,#N/A,FALSE,"장축";#N/A,#N/A,FALSE,"4WD"}</definedName>
    <definedName name="동시_1" hidden="1">{#N/A,#N/A,FALSE,"단축1";#N/A,#N/A,FALSE,"단축2";#N/A,#N/A,FALSE,"단축3";#N/A,#N/A,FALSE,"장축";#N/A,#N/A,FALSE,"4WD"}</definedName>
    <definedName name="동시투자" hidden="1">{#N/A,#N/A,FALSE,"단축1";#N/A,#N/A,FALSE,"단축2";#N/A,#N/A,FALSE,"단축3";#N/A,#N/A,FALSE,"장축";#N/A,#N/A,FALSE,"4WD"}</definedName>
    <definedName name="동시투자_1" hidden="1">{#N/A,#N/A,FALSE,"단축1";#N/A,#N/A,FALSE,"단축2";#N/A,#N/A,FALSE,"단축3";#N/A,#N/A,FALSE,"장축";#N/A,#N/A,FALSE,"4WD"}</definedName>
    <definedName name="동시투자MIP" hidden="1">{#N/A,#N/A,FALSE,"단축1";#N/A,#N/A,FALSE,"단축2";#N/A,#N/A,FALSE,"단축3";#N/A,#N/A,FALSE,"장축";#N/A,#N/A,FALSE,"4WD"}</definedName>
    <definedName name="동시투자MIP_1" hidden="1">{#N/A,#N/A,FALSE,"단축1";#N/A,#N/A,FALSE,"단축2";#N/A,#N/A,FALSE,"단축3";#N/A,#N/A,FALSE,"장축";#N/A,#N/A,FALSE,"4WD"}</definedName>
    <definedName name="동시투자투자비" hidden="1">{#N/A,#N/A,FALSE,"단축1";#N/A,#N/A,FALSE,"단축2";#N/A,#N/A,FALSE,"단축3";#N/A,#N/A,FALSE,"장축";#N/A,#N/A,FALSE,"4WD"}</definedName>
    <definedName name="동시투자투자비_1" hidden="1">{#N/A,#N/A,FALSE,"단축1";#N/A,#N/A,FALSE,"단축2";#N/A,#N/A,FALSE,"단축3";#N/A,#N/A,FALSE,"장축";#N/A,#N/A,FALSE,"4WD"}</definedName>
    <definedName name="동아" hidden="1">{#N/A,#N/A,FALSE,"단축1";#N/A,#N/A,FALSE,"단축2";#N/A,#N/A,FALSE,"단축3";#N/A,#N/A,FALSE,"장축";#N/A,#N/A,FALSE,"4WD"}</definedName>
    <definedName name="동작분석" hidden="1">{#N/A,#N/A,FALSE,"단축1";#N/A,#N/A,FALSE,"단축2";#N/A,#N/A,FALSE,"단축3";#N/A,#N/A,FALSE,"장축";#N/A,#N/A,FALSE,"4WD"}</definedName>
    <definedName name="동철" hidden="1">{#N/A,#N/A,FALSE,"단축1";#N/A,#N/A,FALSE,"단축2";#N/A,#N/A,FALSE,"단축3";#N/A,#N/A,FALSE,"장축";#N/A,#N/A,FALSE,"4WD"}</definedName>
    <definedName name="동치미" hidden="1">{#N/A,#N/A,FALSE,"단축1";#N/A,#N/A,FALSE,"단축2";#N/A,#N/A,FALSE,"단축3";#N/A,#N/A,FALSE,"장축";#N/A,#N/A,FALSE,"4WD"}</definedName>
    <definedName name="동향10"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두ㄷ" hidden="1">{#N/A,#N/A,FALSE,"단축1";#N/A,#N/A,FALSE,"단축2";#N/A,#N/A,FALSE,"단축3";#N/A,#N/A,FALSE,"장축";#N/A,#N/A,FALSE,"4WD"}</definedName>
    <definedName name="두번" hidden="1">{#N/A,#N/A,FALSE,"단축1";#N/A,#N/A,FALSE,"단축2";#N/A,#N/A,FALSE,"단축3";#N/A,#N/A,FALSE,"장축";#N/A,#N/A,FALSE,"4WD"}</definedName>
    <definedName name="두번째" hidden="1">{#N/A,#N/A,FALSE,"정공"}</definedName>
    <definedName name="두번째_1" hidden="1">{#N/A,#N/A,FALSE,"정공"}</definedName>
    <definedName name="두번째_2" hidden="1">{#N/A,#N/A,FALSE,"정공"}</definedName>
    <definedName name="두번째_2_1" hidden="1">{#N/A,#N/A,FALSE,"정공"}</definedName>
    <definedName name="두번째_2_2" hidden="1">{#N/A,#N/A,FALSE,"정공"}</definedName>
    <definedName name="두번째_2_3" hidden="1">{#N/A,#N/A,FALSE,"정공"}</definedName>
    <definedName name="두번째_3" hidden="1">{#N/A,#N/A,FALSE,"정공"}</definedName>
    <definedName name="두번째_3_1" hidden="1">{#N/A,#N/A,FALSE,"정공"}</definedName>
    <definedName name="두번째_3_2" hidden="1">{#N/A,#N/A,FALSE,"정공"}</definedName>
    <definedName name="두번째_3_3" hidden="1">{#N/A,#N/A,FALSE,"정공"}</definedName>
    <definedName name="두번째_4" hidden="1">{#N/A,#N/A,FALSE,"정공"}</definedName>
    <definedName name="두번째_5" hidden="1">{#N/A,#N/A,FALSE,"정공"}</definedName>
    <definedName name="두산" hidden="1">{#N/A,#N/A,FALSE,"KMC최종회의(7월) 자료"}</definedName>
    <definedName name="두산연체3회" hidden="1">{#N/A,#N/A,FALSE,"KMC최종회의(7월) 자료"}</definedName>
    <definedName name="듛ㅎ로ㅛ고" hidden="1">{#N/A,#N/A,FALSE,"KMC최종회의(7월) 자료"}</definedName>
    <definedName name="듛ㅎ로ㅛ고_1" hidden="1">{#N/A,#N/A,FALSE,"KMC최종회의(7월) 자료"}</definedName>
    <definedName name="등록" hidden="1">{#N/A,#N/A,FALSE,"단축1";#N/A,#N/A,FALSE,"단축2";#N/A,#N/A,FALSE,"단축3";#N/A,#N/A,FALSE,"장축";#N/A,#N/A,FALSE,"4WD"}</definedName>
    <definedName name="등록0501" hidden="1">{#N/A,#N/A,FALSE,"단축1";#N/A,#N/A,FALSE,"단축2";#N/A,#N/A,FALSE,"단축3";#N/A,#N/A,FALSE,"장축";#N/A,#N/A,FALSE,"4WD"}</definedName>
    <definedName name="등속" hidden="1">{#N/A,#N/A,FALSE,"KMC최종회의(7월) 자료"}</definedName>
    <definedName name="등속1" hidden="1">{#N/A,#N/A,FALSE,"KMC최종회의(7월) 자료"}</definedName>
    <definedName name="등속1_1" hidden="1">{#N/A,#N/A,FALSE,"KMC최종회의(7월) 자료"}</definedName>
    <definedName name="등속1_2" hidden="1">{#N/A,#N/A,FALSE,"KMC최종회의(7월) 자료"}</definedName>
    <definedName name="디" hidden="1">{#N/A,#N/A,FALSE,"미판매분"}</definedName>
    <definedName name="디디디디디디이이이이이이이이이이이티티티티타타타타타타타타타타타타타타타타타타타타타타타타타타타타타타타타타타타타타타타타타타타타타타탙" hidden="1">{#N/A,#N/A,FALSE,"KMC최종회의(7월) 자료"}</definedName>
    <definedName name="디디디디디디이이이이이이이이이이이티티티티타타타타타타타타타타타타타타타타타타타타타타타타타타타타타타타타타타타타타타타타타타타타타타탙_1" hidden="1">{#N/A,#N/A,FALSE,"KMC최종회의(7월) 자료"}</definedName>
    <definedName name="디디딛다다다다다다다다다다다다다다다다다다다다다다다다닫다" hidden="1">{#N/A,#N/A,FALSE,"KMC최종회의(7월) 자료"}</definedName>
    <definedName name="디디딛다다다다다다다다다다다다다다다다다다다다다다다다닫다_1" hidden="1">{#N/A,#N/A,FALSE,"KMC최종회의(7월) 자료"}</definedName>
    <definedName name="디젤" hidden="1">{#N/A,#N/A,FALSE,"단축1";#N/A,#N/A,FALSE,"단축2";#N/A,#N/A,FALSE,"단축3";#N/A,#N/A,FALSE,"장축";#N/A,#N/A,FALSE,"4WD"}</definedName>
    <definedName name="디젤1" hidden="1">{#N/A,#N/A,FALSE,"단축1";#N/A,#N/A,FALSE,"단축2";#N/A,#N/A,FALSE,"단축3";#N/A,#N/A,FALSE,"장축";#N/A,#N/A,FALSE,"4WD"}</definedName>
    <definedName name="디젤1_1" hidden="1">{#N/A,#N/A,FALSE,"단축1";#N/A,#N/A,FALSE,"단축2";#N/A,#N/A,FALSE,"단축3";#N/A,#N/A,FALSE,"장축";#N/A,#N/A,FALSE,"4WD"}</definedName>
    <definedName name="디젤2" hidden="1">{#N/A,#N/A,FALSE,"단축1";#N/A,#N/A,FALSE,"단축2";#N/A,#N/A,FALSE,"단축3";#N/A,#N/A,FALSE,"장축";#N/A,#N/A,FALSE,"4WD"}</definedName>
    <definedName name="디ㅣ낭" hidden="1">{#N/A,#N/A,TRUE,"Y생산";#N/A,#N/A,TRUE,"Y판매";#N/A,#N/A,TRUE,"Y총물량";#N/A,#N/A,TRUE,"Y능력";#N/A,#N/A,TRUE,"YKD"}</definedName>
    <definedName name="딕딕딕" hidden="1">{#N/A,#N/A,FALSE,"협조전";#N/A,#N/A,FALSE,"원가절감계획 ";#N/A,#N/A,FALSE,"항목별원가절감계획"}</definedName>
    <definedName name="딜" hidden="1">{#N/A,#N/A,FALSE,"미판매분"}</definedName>
    <definedName name="딜러" hidden="1">{#N/A,#N/A,FALSE,"미판매분"}</definedName>
    <definedName name="딜러의" hidden="1">{#N/A,#N/A,FALSE,"미판매분"}</definedName>
    <definedName name="딜러전시" hidden="1">{#N/A,#N/A,FALSE,"미판매분"}</definedName>
    <definedName name="딤채실파매" hidden="1">{#N/A,#N/A,FALSE,"2월입도";#N/A,#N/A,FALSE,"1월입도";#N/A,#N/A,FALSE,"3월입도"}</definedName>
    <definedName name="ㄸ" hidden="1">{#N/A,#N/A,FALSE,"단축1";#N/A,#N/A,FALSE,"단축2";#N/A,#N/A,FALSE,"단축3";#N/A,#N/A,FALSE,"장축";#N/A,#N/A,FALSE,"4WD"}</definedName>
    <definedName name="ㄸㄱ구믇044933855" hidden="1">{0,0,0,0}</definedName>
    <definedName name="ㄸㄱ구믇080691337" hidden="1">{0,3.8938792523876E-308,0,0}</definedName>
    <definedName name="ㄸㄱ구믇114623308" hidden="1">{#VALUE!,#N/A,FALSE,0}</definedName>
    <definedName name="ㄸㄱ구믇149245738" hidden="1">{0,0,TRUE,0}</definedName>
    <definedName name="ㄸㄱ구믇219409107" hidden="1">{0,0,0,0}</definedName>
    <definedName name="ㄸㄱ구믇226866006" hidden="1">#REF!</definedName>
    <definedName name="ㄸㄱ구믇235282242" hidden="1">{#VALUE!,#N/A,FALSE,0}</definedName>
    <definedName name="ㄸㄱ구믇254601895" hidden="1">{0,3.8938792523876E-308,0,0}</definedName>
    <definedName name="ㄸㄱ구믇279342055" hidden="1">#REF!</definedName>
    <definedName name="ㄸㄱ구믇331016897" hidden="1">{0,0,0,0}</definedName>
    <definedName name="ㄸㄱ구믇345391630" hidden="1">{0,0,TRUE,0}</definedName>
    <definedName name="ㄸㄱ구믇406421303" hidden="1">{0,0,TRUE,0}</definedName>
    <definedName name="ㄸㄱ구믇410036682" hidden="1">{0,0,0,0}</definedName>
    <definedName name="ㄸㄱ구믇620209574" hidden="1">{#VALUE!,#N/A,FALSE,0}</definedName>
    <definedName name="ㄸㄱ구믇754908322" hidden="1">{0,0,0,0}</definedName>
    <definedName name="ㄸㄱ구믇824602126" hidden="1">#REF!</definedName>
    <definedName name="ㄸㄱ구믇826225518" hidden="1">{0,0,TRUE,0}</definedName>
    <definedName name="ㄸㄱ구믇864534496" hidden="1">{0,0,0,0}</definedName>
    <definedName name="ㄸㄱ구믇922954558" hidden="1">{0,0,0,0}</definedName>
    <definedName name="ㄸㄱ구믇986093162" hidden="1">#REF!</definedName>
    <definedName name="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 hidden="1">#REF!</definedName>
    <definedName name="딱" hidden="1">{#N/A,#N/A,FALSE,"단축1";#N/A,#N/A,FALSE,"단축2";#N/A,#N/A,FALSE,"단축3";#N/A,#N/A,FALSE,"장축";#N/A,#N/A,FALSE,"4WD"}</definedName>
    <definedName name="또" hidden="1">{#N/A,#N/A,FALSE,"인원";#N/A,#N/A,FALSE,"비용2";#N/A,#N/A,FALSE,"비용1";#N/A,#N/A,FALSE,"비용";#N/A,#N/A,FALSE,"보증2";#N/A,#N/A,FALSE,"보증1";#N/A,#N/A,FALSE,"보증";#N/A,#N/A,FALSE,"손익1";#N/A,#N/A,FALSE,"손익";#N/A,#N/A,FALSE,"부서별매출";#N/A,#N/A,FALSE,"매출"}</definedName>
    <definedName name="또1" hidden="1">{#N/A,#N/A,FALSE,"신규dep";#N/A,#N/A,FALSE,"신규dep-금형상각후";#N/A,#N/A,FALSE,"신규dep-연구비상각후";#N/A,#N/A,FALSE,"신규dep-기계,공구상각후"}</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또뭐지" hidden="1">{#N/A,#N/A,FALSE,"정공"}</definedName>
    <definedName name="똥" hidden="1">{"'5'!$A$1:$BB$147"}</definedName>
    <definedName name="똥1" hidden="1">{"'5'!$A$1:$BB$147"}</definedName>
    <definedName name="ㄹ" hidden="1">{#N/A,#N/A,FALSE,"KMC최종회의(7월) 자료"}</definedName>
    <definedName name="ㄹ_1" hidden="1">{#N/A,#N/A,FALSE,"KMC최종회의(7월) 자료"}</definedName>
    <definedName name="ㄹ_2" hidden="1">{#N/A,#N/A,FALSE,"KMC최종회의(7월) 자료"}</definedName>
    <definedName name="ㄹ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ㄴ" hidden="1">{#N/A,#N/A,FALSE,"KMC최종회의(7월) 자료"}</definedName>
    <definedName name="ㄹㄴ_1" hidden="1">{#VALUE!,#N/A,FALSE,0}</definedName>
    <definedName name="ㄹㄴ_2" hidden="1">{#VALUE!,#N/A,FALSE,0}</definedName>
    <definedName name="ㄹㄴㄸ" hidden="1">{#N/A,#N/A,FALSE,"단축1";#N/A,#N/A,FALSE,"단축2";#N/A,#N/A,FALSE,"단축3";#N/A,#N/A,FALSE,"장축";#N/A,#N/A,FALSE,"4WD"}</definedName>
    <definedName name="ㄹㄴㄹ" hidden="1">{#N/A,#N/A,TRUE,"Y생산";#N/A,#N/A,TRUE,"Y판매";#N/A,#N/A,TRUE,"Y총물량";#N/A,#N/A,TRUE,"Y능력";#N/A,#N/A,TRUE,"YKD"}</definedName>
    <definedName name="ㄹㄴㄹ_1" hidden="1">{#N/A,#N/A,TRUE,"Y생산";#N/A,#N/A,TRUE,"Y판매";#N/A,#N/A,TRUE,"Y총물량";#N/A,#N/A,TRUE,"Y능력";#N/A,#N/A,TRUE,"YKD"}</definedName>
    <definedName name="ㄹㄴㅁㅇㄻㅇㄴ" hidden="1">{#N/A,#N/A,FALSE,"단축1";#N/A,#N/A,FALSE,"단축2";#N/A,#N/A,FALSE,"단축3";#N/A,#N/A,FALSE,"장축";#N/A,#N/A,FALSE,"4WD"}</definedName>
    <definedName name="ㄹㄴㅇ" hidden="1">{#N/A,#N/A,FALSE,"KMC최종회의(7월) 자료"}</definedName>
    <definedName name="ㄹㄴㅇ러ㅏ" hidden="1">{#N/A,#N/A,FALSE,"단축1";#N/A,#N/A,FALSE,"단축2";#N/A,#N/A,FALSE,"단축3";#N/A,#N/A,FALSE,"장축";#N/A,#N/A,FALSE,"4WD"}</definedName>
    <definedName name="ㄹㄴㅇㅁ" hidden="1">{#N/A,#N/A,FALSE,"단축1";#N/A,#N/A,FALSE,"단축2";#N/A,#N/A,FALSE,"단축3";#N/A,#N/A,FALSE,"장축";#N/A,#N/A,FALSE,"4WD"}</definedName>
    <definedName name="ㄹㄴㅇㅁㄹㄴ"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ㄹㄴㅇㅁㄹㄴㅇㅎ" hidden="1">{#N/A,#N/A,FALSE,"KMC최종회의(7월) 자료"}</definedName>
    <definedName name="ㄹㄴㅇㅇㄴㄹ" hidden="1">{#N/A,#N/A,FALSE,"단축1";#N/A,#N/A,FALSE,"단축2";#N/A,#N/A,FALSE,"단축3";#N/A,#N/A,FALSE,"장축";#N/A,#N/A,FALSE,"4WD"}</definedName>
    <definedName name="ㄹㄷㄱㄷㅈㄴㅇㄹㅇㄴㄹ"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ㄹ도자ㅗ" hidden="1">{#N/A,#N/A,FALSE,"초도품";#N/A,#N/A,FALSE,"초도품 (2)";#N/A,#N/A,FALSE,"초도품 (3)";#N/A,#N/A,FALSE,"초도품 (4)";#N/A,#N/A,FALSE,"초도품 (5)";#N/A,#N/A,FALSE,"초도품 (6)"}</definedName>
    <definedName name="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ㄴ" hidden="1">{#N/A,#N/A,FALSE,"단축1";#N/A,#N/A,FALSE,"단축2";#N/A,#N/A,FALSE,"단축3";#N/A,#N/A,FALSE,"장축";#N/A,#N/A,FALSE,"4WD"}</definedName>
    <definedName name="ㄹㄹㄴ_1" hidden="1">{#N/A,#N/A,FALSE,"단축1";#N/A,#N/A,FALSE,"단축2";#N/A,#N/A,FALSE,"단축3";#N/A,#N/A,FALSE,"장축";#N/A,#N/A,FALSE,"4WD"}</definedName>
    <definedName name="ㄹㄹㄹ" hidden="1">{#N/A,#N/A,FALSE,"KMC최종회의(7월) 자료"}</definedName>
    <definedName name="ㄹㄹㄹ." hidden="1">{#N/A,#N/A,FALSE,"단축1";#N/A,#N/A,FALSE,"단축2";#N/A,#N/A,FALSE,"단축3";#N/A,#N/A,FALSE,"장축";#N/A,#N/A,FALSE,"4WD"}</definedName>
    <definedName name="ㄹㄹㄹ._1" hidden="1">{#N/A,#N/A,FALSE,"단축1";#N/A,#N/A,FALSE,"단축2";#N/A,#N/A,FALSE,"단축3";#N/A,#N/A,FALSE,"장축";#N/A,#N/A,FALSE,"4WD"}</definedName>
    <definedName name="ㄹㄹㄹ._2" hidden="1">{#N/A,#N/A,FALSE,"단축1";#N/A,#N/A,FALSE,"단축2";#N/A,#N/A,FALSE,"단축3";#N/A,#N/A,FALSE,"장축";#N/A,#N/A,FALSE,"4WD"}</definedName>
    <definedName name="ㄹㄹㄹ_1" hidden="1">{#N/A,#N/A,FALSE,"KMC최종회의(7월) 자료"}</definedName>
    <definedName name="ㄹㄹㄹ_2" hidden="1">{#N/A,#N/A,FALSE,"KMC최종회의(7월) 자료"}</definedName>
    <definedName name="ㄹㄹㄹㄴㅇㅁㄹㄴㄴㄹㅇ" hidden="1">{#N/A,#N/A,FALSE,"PART-1234-8-12-9(41)";#N/A,#N/A,FALSE,"PARTS-2(3)";#N/A,#N/A,FALSE,"VAN SYSTEM";#N/A,#N/A,FALSE,"PARTS-10(26)";#N/A,#N/A,FALSE,"PART-5-6-7-11(14)";#N/A,#N/A,FALSE,"PARTS-4(3)";#N/A,#N/A,FALSE,"PCLASS"}</definedName>
    <definedName name="ㄹㄹㄹㄹ" hidden="1">{#N/A,#N/A,FALSE,"단축1";#N/A,#N/A,FALSE,"단축2";#N/A,#N/A,FALSE,"단축3";#N/A,#N/A,FALSE,"장축";#N/A,#N/A,FALSE,"4WD"}</definedName>
    <definedName name="ㄹㄹㄹㄹㄹ" hidden="1">{#N/A,#N/A,FALSE,"단축1";#N/A,#N/A,FALSE,"단축2";#N/A,#N/A,FALSE,"단축3";#N/A,#N/A,FALSE,"장축";#N/A,#N/A,FALSE,"4WD"}</definedName>
    <definedName name="ㄹㄹㄹㄹㄹㄹ" hidden="1">{#N/A,#N/A,FALSE,"단축1";#N/A,#N/A,FALSE,"단축2";#N/A,#N/A,FALSE,"단축3";#N/A,#N/A,FALSE,"장축";#N/A,#N/A,FALSE,"4WD"}</definedName>
    <definedName name="ㄹㄹㄹㄹㄹㄹㄹㄹㄹㄹ" hidden="1">{"'7-2지역별'!$A$1:$R$44"}</definedName>
    <definedName name="ㄹㄹㄹㄹㄹㄹㄹㄹㄹㄹㄹ" hidden="1">{"'7-2지역별'!$A$1:$R$44"}</definedName>
    <definedName name="ㄹㄹㄹㄹㄺㄹㄹ" hidden="1">{#N/A,#N/A,FALSE,"단축1";#N/A,#N/A,FALSE,"단축2";#N/A,#N/A,FALSE,"단축3";#N/A,#N/A,FALSE,"장축";#N/A,#N/A,FALSE,"4WD"}</definedName>
    <definedName name="ㄹㄹㄽ" hidden="1">{#N/A,#N/A,FALSE,"유첨2-1";#N/A,#N/A,FALSE,"2-2";#N/A,#N/A,FALSE,"2-3";#N/A,#N/A,FALSE,"2-4";#N/A,#N/A,FALSE,"2-5";#N/A,#N/A,FALSE,"2-6";#N/A,#N/A,FALSE,"2-7";#N/A,#N/A,FALSE,"2-8";#N/A,#N/A,FALSE,"2-9"}</definedName>
    <definedName name="ㄹㄹㅇ" hidden="1">{#N/A,#N/A,FALSE,"단축1";#N/A,#N/A,FALSE,"단축2";#N/A,#N/A,FALSE,"단축3";#N/A,#N/A,FALSE,"장축";#N/A,#N/A,FALSE,"4WD"}</definedName>
    <definedName name="ㄹㄹㅇㄴㄹ" hidden="1">{#N/A,#N/A,FALSE,"PART-1234-8-12-9(41)";#N/A,#N/A,FALSE,"PARTS-2(3)";#N/A,#N/A,FALSE,"VAN SYSTEM";#N/A,#N/A,FALSE,"PARTS-10(26)";#N/A,#N/A,FALSE,"PART-5-6-7-11(14)";#N/A,#N/A,FALSE,"PARTS-4(3)";#N/A,#N/A,FALSE,"PCLASS"}</definedName>
    <definedName name="ㄹㄹ호ㅗ" hidden="1">{#N/A,#N/A,FALSE,"단축1";#N/A,#N/A,FALSE,"단축2";#N/A,#N/A,FALSE,"단축3";#N/A,#N/A,FALSE,"장축";#N/A,#N/A,FALSE,"4WD"}</definedName>
    <definedName name="ㄹ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로러" hidden="1">{#N/A,#N/A,FALSE,"단축1";#N/A,#N/A,FALSE,"단축2";#N/A,#N/A,FALSE,"단축3";#N/A,#N/A,FALSE,"장축";#N/A,#N/A,FALSE,"4WD"}</definedName>
    <definedName name="ㄹ류ㅠㅠ" hidden="1">{#N/A,#N/A,FALSE,"단축1";#N/A,#N/A,FALSE,"단축2";#N/A,#N/A,FALSE,"단축3";#N/A,#N/A,FALSE,"장축";#N/A,#N/A,FALSE,"4WD"}</definedName>
    <definedName name="ㄹㄿㅇ" hidden="1">{#N/A,#N/A,FALSE,"단축1";#N/A,#N/A,FALSE,"단축2";#N/A,#N/A,FALSE,"단축3";#N/A,#N/A,FALSE,"장축";#N/A,#N/A,FALSE,"4WD"}</definedName>
    <definedName name="ㄹㅀ" hidden="1">{#N/A,#N/A,FALSE,"단축1";#N/A,#N/A,FALSE,"단축2";#N/A,#N/A,FALSE,"단축3";#N/A,#N/A,FALSE,"장축";#N/A,#N/A,FALSE,"4WD"}</definedName>
    <definedName name="ㄹㅀㅎ" hidden="1">{"'5'!$A$1:$BB$147"}</definedName>
    <definedName name="ㄹ먀ㅐㅕㅓㅣ" hidden="1">{#N/A,#N/A,FALSE,"단축1";#N/A,#N/A,FALSE,"단축2";#N/A,#N/A,FALSE,"단축3";#N/A,#N/A,FALSE,"장축";#N/A,#N/A,FALSE,"4WD"}</definedName>
    <definedName name="ㄹㅇ" hidden="1">{#N/A,#N/A,TRUE,"Y생산";#N/A,#N/A,TRUE,"Y판매";#N/A,#N/A,TRUE,"Y총물량";#N/A,#N/A,TRUE,"Y능력";#N/A,#N/A,TRUE,"YKD"}</definedName>
    <definedName name="ㄹㅇ_1" hidden="1">{#N/A,#N/A,TRUE,"Y생산";#N/A,#N/A,TRUE,"Y판매";#N/A,#N/A,TRUE,"Y총물량";#N/A,#N/A,TRUE,"Y능력";#N/A,#N/A,TRUE,"YKD"}</definedName>
    <definedName name="ㄹㅇㄴㄹㄴㅇ" hidden="1">{#N/A,#N/A,FALSE,"정공"}</definedName>
    <definedName name="ㄹㅇㄴㄹㄴㅇㄹ" hidden="1">{#N/A,#N/A,FALSE,"단축1";#N/A,#N/A,FALSE,"단축2";#N/A,#N/A,FALSE,"단축3";#N/A,#N/A,FALSE,"장축";#N/A,#N/A,FALSE,"4WD"}</definedName>
    <definedName name="ㄹㅇㄶㄴ" hidden="1">#REF!</definedName>
    <definedName name="ㄹㅇㄷ" hidden="1">{#N/A,#N/A,FALSE,"단축1";#N/A,#N/A,FALSE,"단축2";#N/A,#N/A,FALSE,"단축3";#N/A,#N/A,FALSE,"장축";#N/A,#N/A,FALSE,"4WD"}</definedName>
    <definedName name="ㄹㅇㄹ" hidden="1">{#N/A,#N/A,FALSE,"KMC최종회의(7월) 자료"}</definedName>
    <definedName name="ㄹㅇㄹ_1" hidden="1">{#VALUE!,#N/A,FALSE,0}</definedName>
    <definedName name="ㄹㅇㄹㄴㅇㅁ" hidden="1">{#N/A,#N/A,FALSE,"단축1";#N/A,#N/A,FALSE,"단축2";#N/A,#N/A,FALSE,"단축3";#N/A,#N/A,FALSE,"장축";#N/A,#N/A,FALSE,"4WD"}</definedName>
    <definedName name="ㄹㅇㄹㄹㄹㄹ" hidden="1">{#N/A,#N/A,FALSE,"정공"}</definedName>
    <definedName name="ㄹㅇㄹㄹㄹㄹ_1" hidden="1">{#N/A,#N/A,FALSE,"정공"}</definedName>
    <definedName name="ㄹㅇㄹㄹㄹㄹ_2" hidden="1">{#N/A,#N/A,FALSE,"정공"}</definedName>
    <definedName name="ㄹㅇㄹㅇㄹ" hidden="1">{#N/A,#N/A,FALSE,"품의서";#N/A,#N/A,FALSE,"전제";#N/A,#N/A,FALSE,"총손";#N/A,#N/A,FALSE,"손익";#N/A,#N/A,FALSE,"대당";#N/A,#N/A,FALSE,"가공비";#N/A,#N/A,FALSE,"재료비";#N/A,#N/A,FALSE,"판비";#N/A,#N/A,FALSE,"가격"}</definedName>
    <definedName name="ㄹㅇㄹㅋ" hidden="1">{#N/A,#N/A,FALSE,"KMC최종회의(7월) 자료"}</definedName>
    <definedName name="ㄹㅇㄹㅋ_1" hidden="1">{#N/A,#N/A,FALSE,"KMC최종회의(7월) 자료"}</definedName>
    <definedName name="ㄹㅇㅀ" hidden="1">{#N/A,#N/A,FALSE,"단축1";#N/A,#N/A,FALSE,"단축2";#N/A,#N/A,FALSE,"단축3";#N/A,#N/A,FALSE,"장축";#N/A,#N/A,FALSE,"4WD"}</definedName>
    <definedName name="ㄹㅇㅀ_1" hidden="1">{#N/A,#N/A,FALSE,"단축1";#N/A,#N/A,FALSE,"단축2";#N/A,#N/A,FALSE,"단축3";#N/A,#N/A,FALSE,"장축";#N/A,#N/A,FALSE,"4WD"}</definedName>
    <definedName name="ㄹㅇㅀ_2" hidden="1">{#N/A,#N/A,FALSE,"단축1";#N/A,#N/A,FALSE,"단축2";#N/A,#N/A,FALSE,"단축3";#N/A,#N/A,FALSE,"장축";#N/A,#N/A,FALSE,"4WD"}</definedName>
    <definedName name="ㄹㅇㅁㄴㄹ" hidden="1">{#N/A,#N/A,FALSE,"단축1";#N/A,#N/A,FALSE,"단축2";#N/A,#N/A,FALSE,"단축3";#N/A,#N/A,FALSE,"장축";#N/A,#N/A,FALSE,"4WD"}</definedName>
    <definedName name="ㄹㅇㅇㄹ" hidden="1">{#N/A,#N/A,FALSE,"단축1";#N/A,#N/A,FALSE,"단축2";#N/A,#N/A,FALSE,"단축3";#N/A,#N/A,FALSE,"장축";#N/A,#N/A,FALSE,"4WD"}</definedName>
    <definedName name="ㄹㅇㅇㄹ_1" hidden="1">{#N/A,#N/A,FALSE,"단축1";#N/A,#N/A,FALSE,"단축2";#N/A,#N/A,FALSE,"단축3";#N/A,#N/A,FALSE,"장축";#N/A,#N/A,FALSE,"4WD"}</definedName>
    <definedName name="ㄹㅇㅇㄹ_2" hidden="1">{#N/A,#N/A,FALSE,"단축1";#N/A,#N/A,FALSE,"단축2";#N/A,#N/A,FALSE,"단축3";#N/A,#N/A,FALSE,"장축";#N/A,#N/A,FALSE,"4WD"}</definedName>
    <definedName name="ㄹㅇ유" hidden="1">{#N/A,#N/A,FALSE,"단축1";#N/A,#N/A,FALSE,"단축2";#N/A,#N/A,FALSE,"단축3";#N/A,#N/A,FALSE,"장축";#N/A,#N/A,FALSE,"4WD"}</definedName>
    <definedName name="ㄹㅇㅋㄴ류ㅗㅌ르" hidden="1">{#N/A,#N/A,FALSE,"초도품";#N/A,#N/A,FALSE,"초도품 (2)";#N/A,#N/A,FALSE,"초도품 (3)";#N/A,#N/A,FALSE,"초도품 (4)";#N/A,#N/A,FALSE,"초도품 (5)";#N/A,#N/A,FALSE,"초도품 (6)"}</definedName>
    <definedName name="ㄹㅇㅎ" hidden="1">{#N/A,#N/A,FALSE,"KMC최종회의(7월) 자료"}</definedName>
    <definedName name="ㄹㅇㅎㄷㅀㄴㄷ" hidden="1">{#N/A,#N/A,FALSE,"단축1";#N/A,#N/A,FALSE,"단축2";#N/A,#N/A,FALSE,"단축3";#N/A,#N/A,FALSE,"장축";#N/A,#N/A,FALSE,"4WD"}</definedName>
    <definedName name="ㄹㅇㅎㅅ" hidden="1">{#N/A,#N/A,FALSE,"단축1";#N/A,#N/A,FALSE,"단축2";#N/A,#N/A,FALSE,"단축3";#N/A,#N/A,FALSE,"장축";#N/A,#N/A,FALSE,"4WD"}</definedName>
    <definedName name="ㄹㅇㅎㅇㅀㄹㅇㅀㅇㅎ" hidden="1">{#N/A,#N/A,FALSE,"단축1";#N/A,#N/A,FALSE,"단축2";#N/A,#N/A,FALSE,"단축3";#N/A,#N/A,FALSE,"장축";#N/A,#N/A,FALSE,"4WD"}</definedName>
    <definedName name="ㄹㅇㅎㅇㅀㅇ" hidden="1">{#N/A,#N/A,FALSE,"단축1";#N/A,#N/A,FALSE,"단축2";#N/A,#N/A,FALSE,"단축3";#N/A,#N/A,FALSE,"장축";#N/A,#N/A,FALSE,"4WD"}</definedName>
    <definedName name="ㄹ어ㅓ럴" hidden="1">{#N/A,#N/A,FALSE,"단축1";#N/A,#N/A,FALSE,"단축2";#N/A,#N/A,FALSE,"단축3";#N/A,#N/A,FALSE,"장축";#N/A,#N/A,FALSE,"4WD"}</definedName>
    <definedName name="ㄹㅊㅌ" hidden="1">{#N/A,#N/A,FALSE,"단축1";#N/A,#N/A,FALSE,"단축2";#N/A,#N/A,FALSE,"단축3";#N/A,#N/A,FALSE,"장축";#N/A,#N/A,FALSE,"4WD"}</definedName>
    <definedName name="ㄹㅎ" hidden="1">{#N/A,#N/A,TRUE,"Y생산";#N/A,#N/A,TRUE,"Y판매";#N/A,#N/A,TRUE,"Y총물량";#N/A,#N/A,TRUE,"Y능력";#N/A,#N/A,TRUE,"YKD"}</definedName>
    <definedName name="ㄹ허ㅣ" hidden="1">{#N/A,#N/A,FALSE,"단축1";#N/A,#N/A,FALSE,"단축2";#N/A,#N/A,FALSE,"단축3";#N/A,#N/A,FALSE,"장축";#N/A,#N/A,FALSE,"4WD"}</definedName>
    <definedName name="ㄹ헝ㅀㅇㄹ" hidden="1">{"'5'!$A$1:$BB$147"}</definedName>
    <definedName name="ㄹ헣러화ㅏㅓㅘㅓ" hidden="1">{#N/A,#N/A,FALSE,"신규dep";#N/A,#N/A,FALSE,"신규dep-금형상각후";#N/A,#N/A,FALSE,"신규dep-연구비상각후";#N/A,#N/A,FALSE,"신규dep-기계,공구상각후"}</definedName>
    <definedName name="ㄹ호" hidden="1">{#N/A,#N/A,FALSE,"단축1";#N/A,#N/A,FALSE,"단축2";#N/A,#N/A,FALSE,"단축3";#N/A,#N/A,FALSE,"장축";#N/A,#N/A,FALSE,"4WD"}</definedName>
    <definedName name="ㄹ호ㅓ" hidden="1">{#N/A,#N/A,FALSE,"단축1";#N/A,#N/A,FALSE,"단축2";#N/A,#N/A,FALSE,"단축3";#N/A,#N/A,FALSE,"장축";#N/A,#N/A,FALSE,"4WD"}</definedName>
    <definedName name="ㄹ호ㅓ루" hidden="1">{#N/A,#N/A,FALSE,"KMC최종회의(7월) 자료"}</definedName>
    <definedName name="ㄹ호ㅓ루_1" hidden="1">{#N/A,#N/A,FALSE,"KMC최종회의(7월) 자료"}</definedName>
    <definedName name="ㄹ호ㅓㅓ" hidden="1">{#N/A,#N/A,FALSE,"단축1";#N/A,#N/A,FALSE,"단축2";#N/A,#N/A,FALSE,"단축3";#N/A,#N/A,FALSE,"장축";#N/A,#N/A,FALSE,"4WD"}</definedName>
    <definedName name="ㄹ호ㅛㄱㄷㄴ고" hidden="1">{#N/A,#N/A,FALSE,"KMC최종회의(7월) 자료"}</definedName>
    <definedName name="ㄹ호ㅛㄱㄷㄴ고_1" hidden="1">{#N/A,#N/A,FALSE,"KMC최종회의(7월) 자료"}</definedName>
    <definedName name="ㄹ후후룷훌후" hidden="1">{#N/A,#N/A,FALSE,"KMC최종회의(7월) 자료"}</definedName>
    <definedName name="ㄹ후후룷훌후_1" hidden="1">{#N/A,#N/A,FALSE,"KMC최종회의(7월) 자료"}</definedName>
    <definedName name="ㄹ히" hidden="1">{#N/A,#N/A,TRUE,"Y생산";#N/A,#N/A,TRUE,"Y판매";#N/A,#N/A,TRUE,"Y총물량";#N/A,#N/A,TRUE,"Y능력";#N/A,#N/A,TRUE,"YKD"}</definedName>
    <definedName name="ㄹ히_1" hidden="1">{#N/A,#N/A,TRUE,"Y생산";#N/A,#N/A,TRUE,"Y판매";#N/A,#N/A,TRUE,"Y총물량";#N/A,#N/A,TRUE,"Y능력";#N/A,#N/A,TRUE,"YKD"}</definedName>
    <definedName name="라나라" hidden="1">{"'5'!$A$1:$BB$147"}</definedName>
    <definedName name="라라라라라" hidden="1">{"'5'!$A$1:$BB$147"}</definedName>
    <definedName name="라랑" hidden="1">{"'5'!$A$1:$BB$147"}</definedName>
    <definedName name="라머라ㅣ" hidden="1">{#N/A,#N/A,TRUE,"Y생산";#N/A,#N/A,TRUE,"Y판매";#N/A,#N/A,TRUE,"Y총물량";#N/A,#N/A,TRUE,"Y능력";#N/A,#N/A,TRUE,"YKD"}</definedName>
    <definedName name="라이ㅣㅇ" hidden="1">{#N/A,#N/A,FALSE,"단축1";#N/A,#N/A,FALSE,"단축2";#N/A,#N/A,FALSE,"단축3";#N/A,#N/A,FALSE,"장축";#N/A,#N/A,FALSE,"4WD"}</definedName>
    <definedName name="라인" hidden="1">{#N/A,#N/A,FALSE,"KMC최종회의(7월) 자료"}</definedName>
    <definedName name="라인별평가" hidden="1">{#N/A,#N/A,FALSE,"정공"}</definedName>
    <definedName name="라인별평가_1" hidden="1">{#N/A,#N/A,FALSE,"정공"}</definedName>
    <definedName name="라인지원소요" hidden="1">{#N/A,#N/A,FALSE,"신규dep";#N/A,#N/A,FALSE,"신규dep-금형상각후";#N/A,#N/A,FALSE,"신규dep-연구비상각후";#N/A,#N/A,FALSE,"신규dep-기계,공구상각후"}</definedName>
    <definedName name="라ㅓㄴㄹㅎ" hidden="1">{#N/A,#N/A,FALSE,"단축1";#N/A,#N/A,FALSE,"단축2";#N/A,#N/A,FALSE,"단축3";#N/A,#N/A,FALSE,"장축";#N/A,#N/A,FALSE,"4WD"}</definedName>
    <definedName name="란다리아" hidden="1">{#N/A,#N/A,FALSE,"정공"}</definedName>
    <definedName name="란다리아_1" hidden="1">{#N/A,#N/A,FALSE,"정공"}</definedName>
    <definedName name="란다리아_2" hidden="1">{#N/A,#N/A,FALSE,"정공"}</definedName>
    <definedName name="란다리아_2_1" hidden="1">{#N/A,#N/A,FALSE,"정공"}</definedName>
    <definedName name="란다리아_2_2" hidden="1">{#N/A,#N/A,FALSE,"정공"}</definedName>
    <definedName name="란다리아_2_3" hidden="1">{#N/A,#N/A,FALSE,"정공"}</definedName>
    <definedName name="란다리아_3" hidden="1">{#N/A,#N/A,FALSE,"정공"}</definedName>
    <definedName name="란다리아_3_1" hidden="1">{#N/A,#N/A,FALSE,"정공"}</definedName>
    <definedName name="란다리아_3_2" hidden="1">{#N/A,#N/A,FALSE,"정공"}</definedName>
    <definedName name="란다리아_3_3" hidden="1">{#N/A,#N/A,FALSE,"정공"}</definedName>
    <definedName name="란다리아_4" hidden="1">{#N/A,#N/A,FALSE,"정공"}</definedName>
    <definedName name="란다리아_5" hidden="1">{#N/A,#N/A,FALSE,"정공"}</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아라라" hidden="1">{#N/A,#N/A,FALSE,"단축1";#N/A,#N/A,FALSE,"단축2";#N/A,#N/A,FALSE,"단축3";#N/A,#N/A,FALSE,"장축";#N/A,#N/A,FALSE,"4WD"}</definedName>
    <definedName name="람다가공" hidden="1">{#N/A,#N/A,FALSE,"전제";#N/A,#N/A,FALSE,"표지";#N/A,#N/A,FALSE,"6D16";#N/A,#N/A,FALSE,"6D22";#N/A,#N/A,FALSE,"6D22-T";#N/A,#N/A,FALSE,"Q-DEG";#N/A,#N/A,FALSE,"총손";#N/A,#N/A,FALSE,"대당";#N/A,#N/A,FALSE,"가공비"}</definedName>
    <definedName name="람다조립" hidden="1">{#N/A,#N/A,FALSE,"표지";#N/A,#N/A,FALSE,"전제";#N/A,#N/A,FALSE,"손익-자 (2)";#N/A,#N/A,FALSE,"손익-자";#N/A,#N/A,FALSE,"손익-마 (2)";#N/A,#N/A,FALSE,"손익-마";#N/A,#N/A,FALSE,"총손최종"}</definedName>
    <definedName name="랑해" hidden="1">#REF!</definedName>
    <definedName name="러" hidden="1">{#N/A,#N/A,FALSE,"신규dep";#N/A,#N/A,FALSE,"신규dep-금형상각후";#N/A,#N/A,FALSE,"신규dep-연구비상각후";#N/A,#N/A,FALSE,"신규dep-기계,공구상각후"}</definedName>
    <definedName name="러러너너" hidden="1">{#N/A,#N/A,FALSE,"단축1";#N/A,#N/A,FALSE,"단축2";#N/A,#N/A,FALSE,"단축3";#N/A,#N/A,FALSE,"장축";#N/A,#N/A,FALSE,"4WD"}</definedName>
    <definedName name="러러러러러러러러러러러러러하하ㅏ하하핳" hidden="1">{#N/A,#N/A,FALSE,"KMC최종회의(7월) 자료"}</definedName>
    <definedName name="러러러러러러러러러러러러러하하ㅏ하하핳_1" hidden="1">{#N/A,#N/A,FALSE,"KMC최종회의(7월) 자료"}</definedName>
    <definedName name="러렁라" hidden="1">{#N/A,#N/A,FALSE,"단축1";#N/A,#N/A,FALSE,"단축2";#N/A,#N/A,FALSE,"단축3";#N/A,#N/A,FALSE,"장축";#N/A,#N/A,FALSE,"4WD"}</definedName>
    <definedName name="러렁라_1" hidden="1">{#N/A,#N/A,FALSE,"단축1";#N/A,#N/A,FALSE,"단축2";#N/A,#N/A,FALSE,"단축3";#N/A,#N/A,FALSE,"장축";#N/A,#N/A,FALSE,"4WD"}</definedName>
    <definedName name="러시" hidden="1">{#N/A,#N/A,FALSE,"단축1";#N/A,#N/A,FALSE,"단축2";#N/A,#N/A,FALSE,"단축3";#N/A,#N/A,FALSE,"장축";#N/A,#N/A,FALSE,"4WD"}</definedName>
    <definedName name="러시아" hidden="1">{#N/A,#N/A,FALSE,"단축1";#N/A,#N/A,FALSE,"단축2";#N/A,#N/A,FALSE,"단축3";#N/A,#N/A,FALSE,"장축";#N/A,#N/A,FALSE,"4WD"}</definedName>
    <definedName name="러시아_1" hidden="1">{#N/A,#N/A,FALSE,"단축1";#N/A,#N/A,FALSE,"단축2";#N/A,#N/A,FALSE,"단축3";#N/A,#N/A,FALSE,"장축";#N/A,#N/A,FALSE,"4WD"}</definedName>
    <definedName name="러시아_2" hidden="1">{#N/A,#N/A,FALSE,"단축1";#N/A,#N/A,FALSE,"단축2";#N/A,#N/A,FALSE,"단축3";#N/A,#N/A,FALSE,"장축";#N/A,#N/A,FALSE,"4WD"}</definedName>
    <definedName name="러ㅕㅕㄴㄴ" hidden="1">{#N/A,#N/A,FALSE,"단축1";#N/A,#N/A,FALSE,"단축2";#N/A,#N/A,FALSE,"단축3";#N/A,#N/A,FALSE,"장축";#N/A,#N/A,FALSE,"4WD"}</definedName>
    <definedName name="러ㅗㅀ" hidden="1">{#N/A,#N/A,FALSE,"단축1";#N/A,#N/A,FALSE,"단축2";#N/A,#N/A,FALSE,"단축3";#N/A,#N/A,FALSE,"장축";#N/A,#N/A,FALSE,"4WD"}</definedName>
    <definedName name="렁ㄹ" hidden="1">{#N/A,#N/A,FALSE,"단축1";#N/A,#N/A,FALSE,"단축2";#N/A,#N/A,FALSE,"단축3";#N/A,#N/A,FALSE,"장축";#N/A,#N/A,FALSE,"4WD"}</definedName>
    <definedName name="렁리아" hidden="1">{#N/A,#N/A,TRUE,"Y생산";#N/A,#N/A,TRUE,"Y판매";#N/A,#N/A,TRUE,"Y총물량";#N/A,#N/A,TRUE,"Y능력";#N/A,#N/A,TRUE,"YKD"}</definedName>
    <definedName name="레이아웃" hidden="1">{#N/A,#N/A,FALSE,"단축1";#N/A,#N/A,FALSE,"단축2";#N/A,#N/A,FALSE,"단축3";#N/A,#N/A,FALSE,"장축";#N/A,#N/A,FALSE,"4WD"}</definedName>
    <definedName name="렐살바돌" hidden="1">{#N/A,#N/A,FALSE,"단축1";#N/A,#N/A,FALSE,"단축2";#N/A,#N/A,FALSE,"단축3";#N/A,#N/A,FALSE,"장축";#N/A,#N/A,FALSE,"4WD"}</definedName>
    <definedName name="로" hidden="1">{#N/A,#N/A,FALSE,"KMC최종회의(7월) 자료"}</definedName>
    <definedName name="로_1" hidden="1">{#N/A,#N/A,FALSE,"KMC최종회의(7월) 자료"}</definedName>
    <definedName name="로_2" hidden="1">{#N/A,#N/A,FALSE,"KMC최종회의(7월) 자료"}</definedName>
    <definedName name="로고" hidden="1">{#N/A,#N/A,FALSE,"단축1";#N/A,#N/A,FALSE,"단축2";#N/A,#N/A,FALSE,"단축3";#N/A,#N/A,FALSE,"장축";#N/A,#N/A,FALSE,"4WD"}</definedName>
    <definedName name="로놓ㄹ" hidden="1">{#N/A,#N/A,FALSE,"PART-1234-8-12-9(41)";#N/A,#N/A,FALSE,"PARTS-2(3)";#N/A,#N/A,FALSE,"VAN SYSTEM";#N/A,#N/A,FALSE,"PARTS-10(26)";#N/A,#N/A,FALSE,"PART-5-6-7-11(14)";#N/A,#N/A,FALSE,"PARTS-4(3)";#N/A,#N/A,FALSE,"PCLASS"}</definedName>
    <definedName name="로로" hidden="1">{#N/A,#N/A,FALSE,"단축1";#N/A,#N/A,FALSE,"단축2";#N/A,#N/A,FALSE,"단축3";#N/A,#N/A,FALSE,"장축";#N/A,#N/A,FALSE,"4WD"}</definedName>
    <definedName name="로마2" hidden="1">{#N/A,#N/A,FALSE,"단축1";#N/A,#N/A,FALSE,"단축2";#N/A,#N/A,FALSE,"단축3";#N/A,#N/A,FALSE,"장축";#N/A,#N/A,FALSE,"4WD"}</definedName>
    <definedName name="로마2_1" hidden="1">{#N/A,#N/A,FALSE,"단축1";#N/A,#N/A,FALSE,"단축2";#N/A,#N/A,FALSE,"단축3";#N/A,#N/A,FALSE,"장축";#N/A,#N/A,FALSE,"4WD"}</definedName>
    <definedName name="로머모" hidden="1">{#N/A,#N/A,FALSE,"단축1";#N/A,#N/A,FALSE,"단축2";#N/A,#N/A,FALSE,"단축3";#N/A,#N/A,FALSE,"장축";#N/A,#N/A,FALSE,"4WD"}</definedName>
    <definedName name="로보트비용추가" hidden="1">{#N/A,#N/A,FALSE,"신규dep";#N/A,#N/A,FALSE,"신규dep-금형상각후";#N/A,#N/A,FALSE,"신규dep-연구비상각후";#N/A,#N/A,FALSE,"신규dep-기계,공구상각후"}</definedName>
    <definedName name="로커망러ㅏ" hidden="1">{#N/A,#N/A,FALSE,"단축1";#N/A,#N/A,FALSE,"단축2";#N/A,#N/A,FALSE,"단축3";#N/A,#N/A,FALSE,"장축";#N/A,#N/A,FALSE,"4WD"}</definedName>
    <definedName name="로커커버" hidden="1">{#N/A,#N/A,FALSE,"단축1";#N/A,#N/A,FALSE,"단축2";#N/A,#N/A,FALSE,"단축3";#N/A,#N/A,FALSE,"장축";#N/A,#N/A,FALSE,"4WD"}</definedName>
    <definedName name="로커커버_1" hidden="1">{#N/A,#N/A,FALSE,"단축1";#N/A,#N/A,FALSE,"단축2";#N/A,#N/A,FALSE,"단축3";#N/A,#N/A,FALSE,"장축";#N/A,#N/A,FALSE,"4WD"}</definedName>
    <definedName name="로커커버_2" hidden="1">{#N/A,#N/A,FALSE,"단축1";#N/A,#N/A,FALSE,"단축2";#N/A,#N/A,FALSE,"단축3";#N/A,#N/A,FALSE,"장축";#N/A,#N/A,FALSE,"4WD"}</definedName>
    <definedName name="로軤커버" hidden="1">{#N/A,#N/A,FALSE,"단축1";#N/A,#N/A,FALSE,"단축2";#N/A,#N/A,FALSE,"단축3";#N/A,#N/A,FALSE,"장축";#N/A,#N/A,FALSE,"4WD"}</definedName>
    <definedName name="로ㅓ로허로" hidden="1">{#N/A,#N/A,FALSE,"KMC최종회의(7월) 자료"}</definedName>
    <definedName name="로ㅛ쇼숏" hidden="1">{#N/A,#N/A,FALSE,"단축1";#N/A,#N/A,FALSE,"단축2";#N/A,#N/A,FALSE,"단축3";#N/A,#N/A,FALSE,"장축";#N/A,#N/A,FALSE,"4WD"}</definedName>
    <definedName name="론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롤설계1" hidden="1">{"'표지'!$B$5"}</definedName>
    <definedName name="롱" hidden="1">{#N/A,#N/A,FALSE,"단축1";#N/A,#N/A,FALSE,"단축2";#N/A,#N/A,FALSE,"단축3";#N/A,#N/A,FALSE,"장축";#N/A,#N/A,FALSE,"4WD"}</definedName>
    <definedName name="롱이" hidden="1">{#N/A,#N/A,FALSE,"단축1";#N/A,#N/A,FALSE,"단축2";#N/A,#N/A,FALSE,"단축3";#N/A,#N/A,FALSE,"장축";#N/A,#N/A,FALSE,"4WD"}</definedName>
    <definedName name="롷ㄹ훟ㄹ" hidden="1">{#N/A,#N/A,FALSE,"KMC최종회의(7월) 자료"}</definedName>
    <definedName name="롷ㄹ훟ㄹ_1" hidden="1">{#N/A,#N/A,FALSE,"KMC최종회의(7월) 자료"}</definedName>
    <definedName name="롸ㅡㅗ" hidden="1">{#N/A,#N/A,FALSE,"단축1";#N/A,#N/A,FALSE,"단축2";#N/A,#N/A,FALSE,"단축3";#N/A,#N/A,FALSE,"장축";#N/A,#N/A,FALSE,"4WD"}</definedName>
    <definedName name="료료료료료료료료료료료료료료료료료료" hidden="1">{#N/A,#N/A,FALSE,"KMC최종회의(7월) 자료"}</definedName>
    <definedName name="료어ㅓ" hidden="1">{#N/A,#N/A,FALSE,"신규dep";#N/A,#N/A,FALSE,"신규dep-금형상각후";#N/A,#N/A,FALSE,"신규dep-연구비상각후";#N/A,#N/A,FALSE,"신규dep-기계,공구상각후"}</definedName>
    <definedName name="료ㅕㅐㅑ" hidden="1">{#N/A,#N/A,FALSE,"단축1";#N/A,#N/A,FALSE,"단축2";#N/A,#N/A,FALSE,"단축3";#N/A,#N/A,FALSE,"장축";#N/A,#N/A,FALSE,"4WD"}</definedName>
    <definedName name="루" hidden="1">{#N/A,#N/A,FALSE,"KMC최종회의(7월) 자료"}</definedName>
    <definedName name="루_1" hidden="1">{#N/A,#N/A,FALSE,"KMC최종회의(7월) 자료"}</definedName>
    <definedName name="루_2" hidden="1">{#N/A,#N/A,FALSE,"KMC최종회의(7월) 자료"}</definedName>
    <definedName name="루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류" hidden="1">{#N/A,#N/A,TRUE,"Y생산";#N/A,#N/A,TRUE,"Y판매";#N/A,#N/A,TRUE,"Y총물량";#N/A,#N/A,TRUE,"Y능력";#N/A,#N/A,TRUE,"YKD"}</definedName>
    <definedName name="류후" hidden="1">{#N/A,#N/A,FALSE,"신규dep";#N/A,#N/A,FALSE,"신규dep-금형상각후";#N/A,#N/A,FALSE,"신규dep-연구비상각후";#N/A,#N/A,FALSE,"신규dep-기계,공구상각후"}</definedName>
    <definedName name="르망" hidden="1">{#N/A,#N/A,FALSE,"96자동차사 계획";#N/A,#N/A,FALSE,"96자동차사 계획"}</definedName>
    <definedName name="리_1" hidden="1">{#N/A,#N/A,TRUE,"Y생산";#N/A,#N/A,TRUE,"Y판매";#N/A,#N/A,TRUE,"Y총물량";#N/A,#N/A,TRUE,"Y능력";#N/A,#N/A,TRUE,"YKD"}</definedName>
    <definedName name="리베로" hidden="1">{#N/A,#N/A,FALSE,"단축1";#N/A,#N/A,FALSE,"단축2";#N/A,#N/A,FALSE,"단축3";#N/A,#N/A,FALSE,"장축";#N/A,#N/A,FALSE,"4WD"}</definedName>
    <definedName name="리베로_1" hidden="1">{#N/A,#N/A,FALSE,"단축1";#N/A,#N/A,FALSE,"단축2";#N/A,#N/A,FALSE,"단축3";#N/A,#N/A,FALSE,"장축";#N/A,#N/A,FALSE,"4WD"}</definedName>
    <definedName name="리베로01MY재료비" hidden="1">{#N/A,#N/A,FALSE,"단축1";#N/A,#N/A,FALSE,"단축2";#N/A,#N/A,FALSE,"단축3";#N/A,#N/A,FALSE,"장축";#N/A,#N/A,FALSE,"4WD"}</definedName>
    <definedName name="리베로재료비" hidden="1">{#N/A,#N/A,FALSE,"단축1";#N/A,#N/A,FALSE,"단축2";#N/A,#N/A,FALSE,"단축3";#N/A,#N/A,FALSE,"장축";#N/A,#N/A,FALSE,"4WD"}</definedName>
    <definedName name="리비" hidden="1">#REF!</definedName>
    <definedName name="리비아" hidden="1">#REF!</definedName>
    <definedName name="리비아아" hidden="1">#REF!</definedName>
    <definedName name="리어1" hidden="1">{#N/A,#N/A,FALSE,"단축1";#N/A,#N/A,FALSE,"단축2";#N/A,#N/A,FALSE,"단축3";#N/A,#N/A,FALSE,"장축";#N/A,#N/A,FALSE,"4WD"}</definedName>
    <definedName name="리프트" hidden="1">{#N/A,#N/A,FALSE,"96자동차사 계획";#N/A,#N/A,FALSE,"96자동차사 계획"}</definedName>
    <definedName name="리ㅎㄹ" hidden="1">{#N/A,#N/A,TRUE,"일정"}</definedName>
    <definedName name="링오" hidden="1">{#N/A,#N/A,FALSE,"단축1";#N/A,#N/A,FALSE,"단축2";#N/A,#N/A,FALSE,"단축3";#N/A,#N/A,FALSE,"장축";#N/A,#N/A,FALSE,"4WD"}</definedName>
    <definedName name="ㄺㅅ" hidden="1">{#N/A,#N/A,FALSE,"단축1";#N/A,#N/A,FALSE,"단축2";#N/A,#N/A,FALSE,"단축3";#N/A,#N/A,FALSE,"장축";#N/A,#N/A,FALSE,"4WD"}</definedName>
    <definedName name="ㄻ" hidden="1">#REF!</definedName>
    <definedName name="ㄻㄴ" hidden="1">{#N/A,#N/A,FALSE,"단축1";#N/A,#N/A,FALSE,"단축2";#N/A,#N/A,FALSE,"단축3";#N/A,#N/A,FALSE,"장축";#N/A,#N/A,FALSE,"4WD"}</definedName>
    <definedName name="ㄻㄴㄹㅁㄴ" hidden="1">{#N/A,#N/A,FALSE,"인원";#N/A,#N/A,FALSE,"비용2";#N/A,#N/A,FALSE,"비용1";#N/A,#N/A,FALSE,"비용";#N/A,#N/A,FALSE,"보증2";#N/A,#N/A,FALSE,"보증1";#N/A,#N/A,FALSE,"보증";#N/A,#N/A,FALSE,"손익1";#N/A,#N/A,FALSE,"손익";#N/A,#N/A,FALSE,"부서별매출";#N/A,#N/A,FALSE,"매출"}</definedName>
    <definedName name="ㄻㄴㅇ" hidden="1">{#N/A,#N/A,FALSE,"단축1";#N/A,#N/A,FALSE,"단축2";#N/A,#N/A,FALSE,"단축3";#N/A,#N/A,FALSE,"장축";#N/A,#N/A,FALSE,"4WD"}</definedName>
    <definedName name="ㄻㄴㅇㄻ" hidden="1">{#N/A,#N/A,FALSE,"단축1";#N/A,#N/A,FALSE,"단축2";#N/A,#N/A,FALSE,"단축3";#N/A,#N/A,FALSE,"장축";#N/A,#N/A,FALSE,"4WD"}</definedName>
    <definedName name="ㄻㄻㄴㄻㄴㄹㄴㅁㄹ" hidden="1">{#N/A,#N/A,FALSE,"단축1";#N/A,#N/A,FALSE,"단축2";#N/A,#N/A,FALSE,"단축3";#N/A,#N/A,FALSE,"장축";#N/A,#N/A,FALSE,"4WD"}</definedName>
    <definedName name="ㄻㅌ" hidden="1">{#N/A,#N/A,FALSE,"인원";#N/A,#N/A,FALSE,"비용2";#N/A,#N/A,FALSE,"비용1";#N/A,#N/A,FALSE,"비용";#N/A,#N/A,FALSE,"보증2";#N/A,#N/A,FALSE,"보증1";#N/A,#N/A,FALSE,"보증";#N/A,#N/A,FALSE,"손익1";#N/A,#N/A,FALSE,"손익";#N/A,#N/A,FALSE,"부서별매출";#N/A,#N/A,FALSE,"매출"}</definedName>
    <definedName name="ㄻㅎ" hidden="1">{#N/A,#N/A,FALSE,"단축1";#N/A,#N/A,FALSE,"단축2";#N/A,#N/A,FALSE,"단축3";#N/A,#N/A,FALSE,"장축";#N/A,#N/A,FALSE,"4WD"}</definedName>
    <definedName name="ㄿㅁㅁㅁ" hidden="1">{#N/A,#N/A,FALSE,"단축1";#N/A,#N/A,FALSE,"단축2";#N/A,#N/A,FALSE,"단축3";#N/A,#N/A,FALSE,"장축";#N/A,#N/A,FALSE,"4WD"}</definedName>
    <definedName name="ㄿㅍㄷㄿ" hidden="1">{#N/A,#N/A,FALSE,"KMC최종회의(7월) 자료"}</definedName>
    <definedName name="ㄿㅍㄷㄿ_1" hidden="1">{#N/A,#N/A,FALSE,"KMC최종회의(7월) 자료"}</definedName>
    <definedName name="ㅀ" hidden="1">{#N/A,#N/A,FALSE,"단축1";#N/A,#N/A,FALSE,"단축2";#N/A,#N/A,FALSE,"단축3";#N/A,#N/A,FALSE,"장축";#N/A,#N/A,FALSE,"4WD"}</definedName>
    <definedName name="ㅀㄱㄷㅎ" hidden="1">{#N/A,#N/A,FALSE,"단축1";#N/A,#N/A,FALSE,"단축2";#N/A,#N/A,FALSE,"단축3";#N/A,#N/A,FALSE,"장축";#N/A,#N/A,FALSE,"4WD"}</definedName>
    <definedName name="ㅀㄹ" hidden="1">{#N/A,#N/A,FALSE,"단축1";#N/A,#N/A,FALSE,"단축2";#N/A,#N/A,FALSE,"단축3";#N/A,#N/A,FALSE,"장축";#N/A,#N/A,FALSE,"4WD"}</definedName>
    <definedName name="ㅀ령러" hidden="1">{#N/A,#N/A,FALSE,"단축1";#N/A,#N/A,FALSE,"단축2";#N/A,#N/A,FALSE,"단축3";#N/A,#N/A,FALSE,"장축";#N/A,#N/A,FALSE,"4WD"}</definedName>
    <definedName name="ㅀㅀ" hidden="1">{#N/A,#N/A,TRUE,"Y생산";#N/A,#N/A,TRUE,"Y판매";#N/A,#N/A,TRUE,"Y총물량";#N/A,#N/A,TRUE,"Y능력";#N/A,#N/A,TRUE,"YKD"}</definedName>
    <definedName name="ㅀㅀㅀ" hidden="1">{#N/A,#N/A,FALSE,"정공"}</definedName>
    <definedName name="ㅀ미리밀ㅎ밈림" hidden="1">{#N/A,#N/A,FALSE,"을지 (4)";#N/A,#N/A,FALSE,"을지 (5)";#N/A,#N/A,FALSE,"을지 (6)"}</definedName>
    <definedName name="ㅀ소ㅓ쇼ㅓㅏ쇼ㅏ" hidden="1">{#N/A,#N/A,FALSE,"표지";#N/A,#N/A,FALSE,"전제";#N/A,#N/A,FALSE,"손익-자 (2)";#N/A,#N/A,FALSE,"손익-자";#N/A,#N/A,FALSE,"손익-마 (2)";#N/A,#N/A,FALSE,"손익-마";#N/A,#N/A,FALSE,"총손최종"}</definedName>
    <definedName name="ㅀㅇ" hidden="1">#REF!</definedName>
    <definedName name="ㅀㅇㄴ" hidden="1">{#N/A,#N/A,FALSE,"A장";#N/A,#N/A,FALSE,"B장"}</definedName>
    <definedName name="ㅀㅇㅀㄴㅇㅀㅁㄴ" hidden="1">{#N/A,#N/A,FALSE,"단축1";#N/A,#N/A,FALSE,"단축2";#N/A,#N/A,FALSE,"단축3";#N/A,#N/A,FALSE,"장축";#N/A,#N/A,FALSE,"4WD"}</definedName>
    <definedName name="ㅀㅇㅎㄹㅇㅀㅇㄹ" hidden="1">{#N/A,#N/A,FALSE,"단축1";#N/A,#N/A,FALSE,"단축2";#N/A,#N/A,FALSE,"단축3";#N/A,#N/A,FALSE,"장축";#N/A,#N/A,FALSE,"4WD"}</definedName>
    <definedName name="ㅀㅍㄱㅎ" hidden="1">{#N/A,#N/A,FALSE,"신규dep";#N/A,#N/A,FALSE,"신규dep-금형상각후";#N/A,#N/A,FALSE,"신규dep-연구비상각후";#N/A,#N/A,FALSE,"신규dep-기계,공구상각후"}</definedName>
    <definedName name="ㅀㅎ" hidden="1">{#N/A,#N/A,FALSE,"단축1";#N/A,#N/A,FALSE,"단축2";#N/A,#N/A,FALSE,"단축3";#N/A,#N/A,FALSE,"장축";#N/A,#N/A,FALSE,"4WD"}</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ㅎ" hidden="1">{#N/A,#N/A,FALSE,"KMC최종회의(7월) 자료"}</definedName>
    <definedName name="ㅁ" hidden="1">{#N/A,#N/A,FALSE,"KMC최종회의(7월) 자료"}</definedName>
    <definedName name="ㅁ12" hidden="1">{#N/A,#N/A,FALSE,"KMC최종회의(7월) 자료"}</definedName>
    <definedName name="ㅁ123" hidden="1">{"'7-2지역별'!$A$1:$R$44"}</definedName>
    <definedName name="ㅁ12345" hidden="1">{"'7-2지역별'!$A$1:$R$44"}</definedName>
    <definedName name="ㅁ1256789" hidden="1">{"'7-2지역별'!$A$1:$R$44"}</definedName>
    <definedName name="ㅁ21" hidden="1">{"'7-2지역별'!$A$1:$R$44"}</definedName>
    <definedName name="ㅁ232" hidden="1">{"'7-2지역별'!$A$1:$R$44"}</definedName>
    <definedName name="ㅁ2321" hidden="1">{"'7-2지역별'!$A$1:$R$44"}</definedName>
    <definedName name="ㅁ2365" hidden="1">{"'7-2지역별'!$A$1:$R$44"}</definedName>
    <definedName name="ㅁ32" hidden="1">{"'7-2지역별'!$A$1:$R$44"}</definedName>
    <definedName name="ㅁ321" hidden="1">{"'7-2지역별'!$A$1:$R$44"}</definedName>
    <definedName name="ㅁ3212" hidden="1">{"'7-2지역별'!$A$1:$R$44"}</definedName>
    <definedName name="ㅁ3214" hidden="1">{"'7-2지역별'!$A$1:$R$44"}</definedName>
    <definedName name="ㅁ32141" hidden="1">{"'7-2지역별'!$A$1:$R$44"}</definedName>
    <definedName name="ㅁ3241" hidden="1">{"'7-2지역별'!$A$1:$R$44"}</definedName>
    <definedName name="ㅁ34" hidden="1">{"'7-2지역별'!$A$1:$R$44"}</definedName>
    <definedName name="ㅁ3443" hidden="1">{"'7-2지역별'!$A$1:$R$44"}</definedName>
    <definedName name="ㅁ4" hidden="1">{#N/A,#N/A,FALSE,"단축1";#N/A,#N/A,FALSE,"단축2";#N/A,#N/A,FALSE,"단축3";#N/A,#N/A,FALSE,"장축";#N/A,#N/A,FALSE,"4WD"}</definedName>
    <definedName name="ㅁ423" hidden="1">{"'7-2지역별'!$A$1:$R$44"}</definedName>
    <definedName name="ㅁ4233" hidden="1">{"'7-2지역별'!$A$1:$R$44"}</definedName>
    <definedName name="ㅁ43" hidden="1">{"'7-2지역별'!$A$1:$R$44"}</definedName>
    <definedName name="ㅁ432" hidden="1">{"'7-2지역별'!$A$1:$R$44"}</definedName>
    <definedName name="ㅁ4321" hidden="1">{"'7-2지역별'!$A$1:$R$44"}</definedName>
    <definedName name="ㅁ4322" hidden="1">{"'7-2지역별'!$A$1:$R$44"}</definedName>
    <definedName name="ㅁ43221" hidden="1">{"'7-2지역별'!$A$1:$R$44"}</definedName>
    <definedName name="ㅁ43224" hidden="1">{"'7-2지역별'!$A$1:$R$44"}</definedName>
    <definedName name="ㅁ43232" hidden="1">{"'7-2지역별'!$A$1:$R$44"}</definedName>
    <definedName name="ㅁ4354" hidden="1">{"'7-2지역별'!$A$1:$R$44"}</definedName>
    <definedName name="ㅁ453" hidden="1">{"'7-2지역별'!$A$1:$R$44"}</definedName>
    <definedName name="ㅁ45432" hidden="1">{"'7-2지역별'!$A$1:$R$44"}</definedName>
    <definedName name="ㅁ456ㅁ" hidden="1">{"'7-2지역별'!$A$1:$R$44"}</definedName>
    <definedName name="ㅁ523" hidden="1">{"'7-2지역별'!$A$1:$R$44"}</definedName>
    <definedName name="ㅁ5343" hidden="1">{"'7-2지역별'!$A$1:$R$44"}</definedName>
    <definedName name="ㅁ543" hidden="1">{"'7-2지역별'!$A$1:$R$44"}</definedName>
    <definedName name="ㅁ5431" hidden="1">{"'7-2지역별'!$A$1:$R$44"}</definedName>
    <definedName name="ㅁ5679" hidden="1">{"'7-2지역별'!$A$1:$R$44"}</definedName>
    <definedName name="ㅁ65354" hidden="1">{"'7-2지역별'!$A$1:$R$44"}</definedName>
    <definedName name="ㅁ656" hidden="1">{"'7-2지역별'!$A$1:$R$44"}</definedName>
    <definedName name="ㅁ67" hidden="1">{"'7-2지역별'!$A$1:$R$44"}</definedName>
    <definedName name="ㅁ876" hidden="1">{"'7-2지역별'!$A$1:$R$44"}</definedName>
    <definedName name="ㅁ8766" hidden="1">{"'7-2지역별'!$A$1:$R$44"}</definedName>
    <definedName name="ㅁ97" hidden="1">{"'7-2지역별'!$A$1:$R$44"}</definedName>
    <definedName name="ㅁㄱㄷㄷㄱㄷㄱ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ㅁㄴ" hidden="1">{#N/A,#N/A,TRUE,"Y생산";#N/A,#N/A,TRUE,"Y판매";#N/A,#N/A,TRUE,"Y총물량";#N/A,#N/A,TRUE,"Y능력";#N/A,#N/A,TRUE,"YKD"}</definedName>
    <definedName name="ㅁㄴ_1" hidden="1">{#N/A,#N/A,FALSE,"정공"}</definedName>
    <definedName name="ㅁㄴ_2" hidden="1">{#N/A,#N/A,TRUE,"Y생산";#N/A,#N/A,TRUE,"Y판매";#N/A,#N/A,TRUE,"Y총물량";#N/A,#N/A,TRUE,"Y능력";#N/A,#N/A,TRUE,"YKD"}</definedName>
    <definedName name="ㅁㄴ꽁" hidden="1">{#N/A,#N/A,FALSE,"단축1";#N/A,#N/A,FALSE,"단축2";#N/A,#N/A,FALSE,"단축3";#N/A,#N/A,FALSE,"장축";#N/A,#N/A,FALSE,"4WD"}</definedName>
    <definedName name="ㅁㄴㄴㅁ" hidden="1">{#N/A,#N/A,FALSE,"단축1";#N/A,#N/A,FALSE,"단축2";#N/A,#N/A,FALSE,"단축3";#N/A,#N/A,FALSE,"장축";#N/A,#N/A,FALSE,"4WD"}</definedName>
    <definedName name="ㅁㄴㄴㅁㄴㅇㅁㄴㅇ" hidden="1">{#N/A,#N/A,FALSE,"단축1";#N/A,#N/A,FALSE,"단축2";#N/A,#N/A,FALSE,"단축3";#N/A,#N/A,FALSE,"장축";#N/A,#N/A,FALSE,"4WD"}</definedName>
    <definedName name="ㅁㄴㄴㅌ" hidden="1">{#N/A,#N/A,FALSE,"KMC최종회의(7월) 자료"}</definedName>
    <definedName name="ㅁㄴㄴㅌ_1" hidden="1">{#N/A,#N/A,FALSE,"KMC최종회의(7월) 자료"}</definedName>
    <definedName name="ㅁㄴㄷㄱㄱㄹ" hidden="1">{#N/A,#N/A,FALSE,"미판매분"}</definedName>
    <definedName name="ㅁㄴㄷㄱ호" hidden="1">{#N/A,#N/A,TRUE,"Y생산";#N/A,#N/A,TRUE,"Y판매";#N/A,#N/A,TRUE,"Y총물량";#N/A,#N/A,TRUE,"Y능력";#N/A,#N/A,TRUE,"YKD"}</definedName>
    <definedName name="ㅁㄴㄷㄱ호_1" hidden="1">{#N/A,#N/A,TRUE,"Y생산";#N/A,#N/A,TRUE,"Y판매";#N/A,#N/A,TRUE,"Y총물량";#N/A,#N/A,TRUE,"Y능력";#N/A,#N/A,TRUE,"YKD"}</definedName>
    <definedName name="ㅁㄴㄷㄷㄹ어로냐ㅐㅇ"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ㅁㄴ" hidden="1">{#N/A,#N/A,FALSE,"KMC최종회의(7월) 자료"}</definedName>
    <definedName name="ㅁㄴㄼㄹ로ㅛ" hidden="1">{#N/A,#N/A,FALSE,"단축1";#N/A,#N/A,FALSE,"단축2";#N/A,#N/A,FALSE,"단축3";#N/A,#N/A,FALSE,"장축";#N/A,#N/A,FALSE,"4WD"}</definedName>
    <definedName name="ㅁㄴㅁ" hidden="1">{#N/A,#N/A,TRUE,"Y생산";#N/A,#N/A,TRUE,"Y판매";#N/A,#N/A,TRUE,"Y총물량";#N/A,#N/A,TRUE,"Y능력";#N/A,#N/A,TRUE,"YKD"}</definedName>
    <definedName name="ㅁㄴㅁ_1" hidden="1">{#N/A,#N/A,TRUE,"Y생산";#N/A,#N/A,TRUE,"Y판매";#N/A,#N/A,TRUE,"Y총물량";#N/A,#N/A,TRUE,"Y능력";#N/A,#N/A,TRUE,"YKD"}</definedName>
    <definedName name="ㅁㄴㅁㄴ" hidden="1">{#N/A,#N/A,FALSE,"정공"}</definedName>
    <definedName name="ㅁㄴㅁㄴ_1" hidden="1">{#N/A,#N/A,FALSE,"정공"}</definedName>
    <definedName name="ㅁㄴㅁㄴ_2" hidden="1">{#N/A,#N/A,FALSE,"정공"}</definedName>
    <definedName name="ㅁㄴㅁㄴㅁㄴㅁㄴ" hidden="1">{#N/A,#N/A,FALSE,"KMC최종회의(7월) 자료"}</definedName>
    <definedName name="ㅁㄴㅁㄻ" hidden="1">{#N/A,#N/A,FALSE,"단축1";#N/A,#N/A,FALSE,"단축2";#N/A,#N/A,FALSE,"단축3";#N/A,#N/A,FALSE,"장축";#N/A,#N/A,FALSE,"4WD"}</definedName>
    <definedName name="ㅁㄴㅁㅁㅁㅁㅁㅁ" hidden="1">{#N/A,#N/A,FALSE,"단축1";#N/A,#N/A,FALSE,"단축2";#N/A,#N/A,FALSE,"단축3";#N/A,#N/A,FALSE,"장축";#N/A,#N/A,FALSE,"4WD"}</definedName>
    <definedName name="ㅁㄴㅇ" hidden="1">{#N/A,#N/A,FALSE,"단축1";#N/A,#N/A,FALSE,"단축2";#N/A,#N/A,FALSE,"단축3";#N/A,#N/A,FALSE,"장축";#N/A,#N/A,FALSE,"4WD"}</definedName>
    <definedName name="ㅁㄴㅇ_1" hidden="1">{#N/A,#N/A,FALSE,"단축1";#N/A,#N/A,FALSE,"단축2";#N/A,#N/A,FALSE,"단축3";#N/A,#N/A,FALSE,"장축";#N/A,#N/A,FALSE,"4WD"}</definedName>
    <definedName name="ㅁㄴㅇ_2" hidden="1">{#N/A,#N/A,FALSE,"단축1";#N/A,#N/A,FALSE,"단축2";#N/A,#N/A,FALSE,"단축3";#N/A,#N/A,FALSE,"장축";#N/A,#N/A,FALSE,"4WD"}</definedName>
    <definedName name="ㅁㄴㅇㄴ" hidden="1">{#N/A,#N/A,FALSE,"정공"}</definedName>
    <definedName name="ㅁㄴㅇㄴ_1" hidden="1">{#N/A,#N/A,FALSE,"정공"}</definedName>
    <definedName name="ㅁㄴㅇㄴ_2" hidden="1">{#N/A,#N/A,FALSE,"정공"}</definedName>
    <definedName name="ㅁㄴㅇㄴㅇㄹㄴㅇ" hidden="1">{#N/A,#N/A,FALSE,"단축1";#N/A,#N/A,FALSE,"단축2";#N/A,#N/A,FALSE,"단축3";#N/A,#N/A,FALSE,"장축";#N/A,#N/A,FALSE,"4WD"}</definedName>
    <definedName name="ㅁㄴㅇㄴㅇㄹㄴㅇ_1" hidden="1">{#N/A,#N/A,FALSE,"단축1";#N/A,#N/A,FALSE,"단축2";#N/A,#N/A,FALSE,"단축3";#N/A,#N/A,FALSE,"장축";#N/A,#N/A,FALSE,"4WD"}</definedName>
    <definedName name="ㅁㄴㅇㄹ" hidden="1">{#N/A,#N/A,FALSE,"단축1";#N/A,#N/A,FALSE,"단축2";#N/A,#N/A,FALSE,"단축3";#N/A,#N/A,FALSE,"장축";#N/A,#N/A,FALSE,"4WD"}</definedName>
    <definedName name="ㅁㄴㅇㄹ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ㄴㅁㄹ" hidden="1">{#N/A,#N/A,FALSE,"단축1";#N/A,#N/A,FALSE,"단축2";#N/A,#N/A,FALSE,"단축3";#N/A,#N/A,FALSE,"장축";#N/A,#N/A,FALSE,"4WD"}</definedName>
    <definedName name="ㅁㄴㅇㄹㄴㅁㄹ_1" hidden="1">{#N/A,#N/A,FALSE,"단축1";#N/A,#N/A,FALSE,"단축2";#N/A,#N/A,FALSE,"단축3";#N/A,#N/A,FALSE,"장축";#N/A,#N/A,FALSE,"4WD"}</definedName>
    <definedName name="ㅁㄴㅇㄹㄴㅁㄹ_2" hidden="1">{#N/A,#N/A,FALSE,"단축1";#N/A,#N/A,FALSE,"단축2";#N/A,#N/A,FALSE,"단축3";#N/A,#N/A,FALSE,"장축";#N/A,#N/A,FALSE,"4WD"}</definedName>
    <definedName name="ㅁㄴㅇㄹㄴㅇㄹㄴ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ㄹㄴㅇㅁ_1" hidden="1">{#N/A,#N/A,FALSE,"Australien";#N/A,#N/A,FALSE,"Birmingham";#N/A,#N/A,FALSE,"Brasilien";#N/A,#N/A,FALSE,"Prag";#N/A,#N/A,FALSE,"Spanien";#N/A,#N/A,FALSE,"Malaysia ( Com)";#N/A,#N/A,FALSE,"Malaysia (Instr)"}</definedName>
    <definedName name="ㅁㄴㅇㄹㄴㅇㅁ_2" hidden="1">{#N/A,#N/A,FALSE,"Australien";#N/A,#N/A,FALSE,"Birmingham";#N/A,#N/A,FALSE,"Brasilien";#N/A,#N/A,FALSE,"Prag";#N/A,#N/A,FALSE,"Spanien";#N/A,#N/A,FALSE,"Malaysia ( Com)";#N/A,#N/A,FALSE,"Malaysia (Instr)"}</definedName>
    <definedName name="ㅁㄴㅇㄹㅁ" hidden="1">{#N/A,#N/A,FALSE,"인원";#N/A,#N/A,FALSE,"비용2";#N/A,#N/A,FALSE,"비용1";#N/A,#N/A,FALSE,"비용";#N/A,#N/A,FALSE,"보증2";#N/A,#N/A,FALSE,"보증1";#N/A,#N/A,FALSE,"보증";#N/A,#N/A,FALSE,"손익1";#N/A,#N/A,FALSE,"손익";#N/A,#N/A,FALSE,"부서별매출";#N/A,#N/A,FALSE,"매출"}</definedName>
    <definedName name="ㅁㄴㅇㄹㅇㅁㄴㄹ" hidden="1">{#N/A,#N/A,FALSE,"단축1";#N/A,#N/A,FALSE,"단축2";#N/A,#N/A,FALSE,"단축3";#N/A,#N/A,FALSE,"장축";#N/A,#N/A,FALSE,"4WD"}</definedName>
    <definedName name="ㅁㄴㅇㄻ" hidden="1">{#N/A,#N/A,FALSE,"단축1";#N/A,#N/A,FALSE,"단축2";#N/A,#N/A,FALSE,"단축3";#N/A,#N/A,FALSE,"장축";#N/A,#N/A,FALSE,"4WD"}</definedName>
    <definedName name="ㅁㄴㅇㄻㄴ" hidden="1">{#N/A,#N/A,FALSE,"Australien";#N/A,#N/A,FALSE,"Birmingham";#N/A,#N/A,FALSE,"Brasilien";#N/A,#N/A,FALSE,"Prag";#N/A,#N/A,FALSE,"Spanien";#N/A,#N/A,FALSE,"Malaysia ( Com)";#N/A,#N/A,FALSE,"Malaysia (Instr)"}</definedName>
    <definedName name="ㅁㄴㅇㄻㄴ_1" hidden="1">{#N/A,#N/A,FALSE,"Australien";#N/A,#N/A,FALSE,"Birmingham";#N/A,#N/A,FALSE,"Brasilien";#N/A,#N/A,FALSE,"Prag";#N/A,#N/A,FALSE,"Spanien";#N/A,#N/A,FALSE,"Malaysia ( Com)";#N/A,#N/A,FALSE,"Malaysia (Instr)"}</definedName>
    <definedName name="ㅁㄴㅇㄻㄴ_2" hidden="1">{#N/A,#N/A,FALSE,"Australien";#N/A,#N/A,FALSE,"Birmingham";#N/A,#N/A,FALSE,"Brasilien";#N/A,#N/A,FALSE,"Prag";#N/A,#N/A,FALSE,"Spanien";#N/A,#N/A,FALSE,"Malaysia ( Com)";#N/A,#N/A,FALSE,"Malaysia (Instr)"}</definedName>
    <definedName name="ㅁㄴㅇㄻㄴㅇㄻㄴㅇㄹ" hidden="1">{#N/A,#N/A,FALSE,"단축1";#N/A,#N/A,FALSE,"단축2";#N/A,#N/A,FALSE,"단축3";#N/A,#N/A,FALSE,"장축";#N/A,#N/A,FALSE,"4WD"}</definedName>
    <definedName name="ㅁㄴㅇㅀ" hidden="1">{#N/A,#N/A,TRUE,"Y생산";#N/A,#N/A,TRUE,"Y판매";#N/A,#N/A,TRUE,"Y총물량";#N/A,#N/A,TRUE,"Y능력";#N/A,#N/A,TRUE,"YKD"}</definedName>
    <definedName name="ㅁㄴㅇㅁ" hidden="1">{#N/A,#N/A,FALSE,"정공"}</definedName>
    <definedName name="ㅁㄴㅇㅁ_1" hidden="1">{#N/A,#N/A,FALSE,"정공"}</definedName>
    <definedName name="ㅁㄴㅇㅁ_2" hidden="1">{#N/A,#N/A,FALSE,"정공"}</definedName>
    <definedName name="ㅁㄴㅇㅁㄴ" hidden="1">{#N/A,#N/A,FALSE,"단축1";#N/A,#N/A,FALSE,"단축2";#N/A,#N/A,FALSE,"단축3";#N/A,#N/A,FALSE,"장축";#N/A,#N/A,FALSE,"4WD"}</definedName>
    <definedName name="ㅁㄴㅇㅁㄴㅇ" hidden="1">{#N/A,#N/A,FALSE,"단축1";#N/A,#N/A,FALSE,"단축2";#N/A,#N/A,FALSE,"단축3";#N/A,#N/A,FALSE,"장축";#N/A,#N/A,FALSE,"4WD"}</definedName>
    <definedName name="ㅁㄴㅇㅁㄴㅇㅁㄴㅇ" hidden="1">{#N/A,#N/A,FALSE,"KMC최종회의(7월) 자료"}</definedName>
    <definedName name="ㅁㄴㅇㅁㄴㅇㅁㅇㅁㄴㅇㅁ" hidden="1">{#N/A,#N/A,FALSE,"KMC최종회의(7월) 자료"}</definedName>
    <definedName name="ㅁㄴㅇㅍㅁㄴㅍㅇ" hidden="1">{#N/A,#N/A,FALSE,"단축1";#N/A,#N/A,FALSE,"단축2";#N/A,#N/A,FALSE,"단축3";#N/A,#N/A,FALSE,"장축";#N/A,#N/A,FALSE,"4WD"}</definedName>
    <definedName name="ㅁ넝러호곃퓶" hidden="1">{#N/A,#N/A,FALSE,"단축1";#N/A,#N/A,FALSE,"단축2";#N/A,#N/A,FALSE,"단축3";#N/A,#N/A,FALSE,"장축";#N/A,#N/A,FALSE,"4WD"}</definedName>
    <definedName name="ㅁㄷ" hidden="1">{#N/A,#N/A,FALSE,"단축1";#N/A,#N/A,FALSE,"단축2";#N/A,#N/A,FALSE,"단축3";#N/A,#N/A,FALSE,"장축";#N/A,#N/A,FALSE,"4WD"}</definedName>
    <definedName name="ㅁㄷㄴㄹ" hidden="1">{#N/A,#N/A,TRUE,"Y생산";#N/A,#N/A,TRUE,"Y판매";#N/A,#N/A,TRUE,"Y총물량";#N/A,#N/A,TRUE,"Y능력";#N/A,#N/A,TRUE,"YKD"}</definedName>
    <definedName name="ㅁㄷㄴㄹ_1" hidden="1">{#N/A,#N/A,TRUE,"Y생산";#N/A,#N/A,TRUE,"Y판매";#N/A,#N/A,TRUE,"Y총물량";#N/A,#N/A,TRUE,"Y능력";#N/A,#N/A,TRUE,"YKD"}</definedName>
    <definedName name="ㅁㄷㄻㅈㄷ" hidden="1">{#N/A,#N/A,FALSE,"KMC최종회의(7월) 자료"}</definedName>
    <definedName name="ㅁㄹ" hidden="1">{#N/A,#N/A,FALSE,"단축1";#N/A,#N/A,FALSE,"단축2";#N/A,#N/A,FALSE,"단축3";#N/A,#N/A,FALSE,"장축";#N/A,#N/A,FALSE,"4WD"}</definedName>
    <definedName name="ㅁㄹ_1" hidden="1">{#N/A,#N/A,FALSE,"단축1";#N/A,#N/A,FALSE,"단축2";#N/A,#N/A,FALSE,"단축3";#N/A,#N/A,FALSE,"장축";#N/A,#N/A,FALSE,"4WD"}</definedName>
    <definedName name="ㅁㄹ_2" hidden="1">{#N/A,#N/A,FALSE,"단축1";#N/A,#N/A,FALSE,"단축2";#N/A,#N/A,FALSE,"단축3";#N/A,#N/A,FALSE,"장축";#N/A,#N/A,FALSE,"4WD"}</definedName>
    <definedName name="ㅁㄹㄴㅇ" hidden="1">{#N/A,#N/A,TRUE,"일정"}</definedName>
    <definedName name="ㅁㄹㄻㅈㄹ" hidden="1">{#N/A,#N/A,FALSE,"신규dep";#N/A,#N/A,FALSE,"신규dep-금형상각후";#N/A,#N/A,FALSE,"신규dep-연구비상각후";#N/A,#N/A,FALSE,"신규dep-기계,공구상각후"}</definedName>
    <definedName name="ㅁㄹㅇ" hidden="1">{#N/A,#N/A,FALSE,"단축1";#N/A,#N/A,FALSE,"단축2";#N/A,#N/A,FALSE,"단축3";#N/A,#N/A,FALSE,"장축";#N/A,#N/A,FALSE,"4WD"}</definedName>
    <definedName name="ㅁㄹㅇ_1" hidden="1">{#N/A,#N/A,FALSE,"단축1";#N/A,#N/A,FALSE,"단축2";#N/A,#N/A,FALSE,"단축3";#N/A,#N/A,FALSE,"장축";#N/A,#N/A,FALSE,"4WD"}</definedName>
    <definedName name="ㅁㄹㅇ_2" hidden="1">{#N/A,#N/A,FALSE,"단축1";#N/A,#N/A,FALSE,"단축2";#N/A,#N/A,FALSE,"단축3";#N/A,#N/A,FALSE,"장축";#N/A,#N/A,FALSE,"4WD"}</definedName>
    <definedName name="ㅁㄹㅇㄴ" hidden="1">{#N/A,#N/A,FALSE,"표지";#N/A,#N/A,FALSE,"전제";#N/A,#N/A,FALSE,"손익-자 (2)";#N/A,#N/A,FALSE,"손익-자";#N/A,#N/A,FALSE,"손익-마 (2)";#N/A,#N/A,FALSE,"손익-마";#N/A,#N/A,FALSE,"총손최종"}</definedName>
    <definedName name="ㅁㄹㅇㄹ" hidden="1">{#VALUE!,#N/A,FALSE,0}</definedName>
    <definedName name="ㅁㄹㅇㄹ_1" hidden="1">{#VALUE!,#N/A,FALSE,0}</definedName>
    <definedName name="ㅁㄹㅇㅁㄹㅇㅁㄷㅈ" hidden="1">{#N/A,#N/A,FALSE,"KMC최종회의(7월) 자료"}</definedName>
    <definedName name="ㅁㄻㄻㄻ" hidden="1">{#N/A,#N/A,FALSE,"KMC최종회의(7월) 자료"}</definedName>
    <definedName name="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_1" hidden="1">{#N/A,#N/A,FALSE,"KMC최종회의(7월) 자료"}</definedName>
    <definedName name="ㅁㅁ_2" hidden="1">{#N/A,#N/A,FALSE,"KMC최종회의(7월) 자료"}</definedName>
    <definedName name="ㅁㅁㅁ" hidden="1">{#N/A,#N/A,FALSE,"단축1";#N/A,#N/A,FALSE,"단축2";#N/A,#N/A,FALSE,"단축3";#N/A,#N/A,FALSE,"장축";#N/A,#N/A,FALSE,"4WD"}</definedName>
    <definedName name="ㅁㅁㅁ_1" hidden="1">{#N/A,#N/A,FALSE,"KMC최종회의(7월) 자료"}</definedName>
    <definedName name="ㅁㅁㅁㅁ" hidden="1">{#N/A,#N/A,FALSE,"KMC최종회의(7월) 자료"}</definedName>
    <definedName name="ㅁㅁㅁㅁ_1" hidden="1">{#N/A,#N/A,FALSE,"KMC최종회의(7월) 자료"}</definedName>
    <definedName name="ㅁㅁㅁㅁㅁㅁ" hidden="1">{"'5'!$A$1:$BB$147"}</definedName>
    <definedName name="ㅁㅁㅁㅁㅁㅁ_1" hidden="1">{#N/A,#N/A,TRUE,"Y생산";#N/A,#N/A,TRUE,"Y판매";#N/A,#N/A,TRUE,"Y총물량";#N/A,#N/A,TRUE,"Y능력";#N/A,#N/A,TRUE,"YKD"}</definedName>
    <definedName name="ㅁㅁㅁㅁㅁㅁㅁ" hidden="1">{#N/A,#N/A,FALSE,"정공"}</definedName>
    <definedName name="ㅁㅁㅁㅁㅁㅁㅁㅁ" hidden="1">{#N/A,#N/A,TRUE,"Y생산";#N/A,#N/A,TRUE,"Y판매";#N/A,#N/A,TRUE,"Y총물량";#N/A,#N/A,TRUE,"Y능력";#N/A,#N/A,TRUE,"YKD"}</definedName>
    <definedName name="ㅁㅁㅁㅁㅁㅁㅁㅁ_1" hidden="1">{#N/A,#N/A,TRUE,"Y생산";#N/A,#N/A,TRUE,"Y판매";#N/A,#N/A,TRUE,"Y총물량";#N/A,#N/A,TRUE,"Y능력";#N/A,#N/A,TRUE,"YKD"}</definedName>
    <definedName name="ㅁㅁㅁㅁㅁㅁㅁㅁㅁ" hidden="1">{#N/A,#N/A,FALSE,"단축1";#N/A,#N/A,FALSE,"단축2";#N/A,#N/A,FALSE,"단축3";#N/A,#N/A,FALSE,"장축";#N/A,#N/A,FALSE,"4WD"}</definedName>
    <definedName name="ㅁㅁㅁㅁㅁㅁㅁㅁㅁㅁㅁㅁ" hidden="1">{#N/A,#N/A,FALSE,"KMC최종회의(7월) 자료"}</definedName>
    <definedName name="ㅁㅁㅁㅁㅁㅁㅁㅁㅁㅁㅁㅁㅁㅁ" hidden="1">{#N/A,#N/A,FALSE,"단축1";#N/A,#N/A,FALSE,"단축2";#N/A,#N/A,FALSE,"단축3";#N/A,#N/A,FALSE,"장축";#N/A,#N/A,FALSE,"4WD"}</definedName>
    <definedName name="ㅁㅁㅁㅁㅁㅁㅁㅁㅁㅁㅁㅁㅁㅁ_1" hidden="1">{#N/A,#N/A,FALSE,"단축1";#N/A,#N/A,FALSE,"단축2";#N/A,#N/A,FALSE,"단축3";#N/A,#N/A,FALSE,"장축";#N/A,#N/A,FALSE,"4WD"}</definedName>
    <definedName name="ㅁㅁㅁㅁㅁㅁㅁㅁㅁㅁㅁㅁㅁㅁㅁㅁㅁㅁㅁㅁㅁㅁㅁㅁㅁㅁㅁㅁㅁㅁㅁㅁㅁㅁ" hidden="1">{#N/A,#N/A,FALSE,"단축1";#N/A,#N/A,FALSE,"단축2";#N/A,#N/A,FALSE,"단축3";#N/A,#N/A,FALSE,"장축";#N/A,#N/A,FALSE,"4WD"}</definedName>
    <definedName name="ㅁㅁㅁㅁㅁㅂㅂㅂㅂ" hidden="1">{#N/A,#N/A,FALSE,"단축1";#N/A,#N/A,FALSE,"단축2";#N/A,#N/A,FALSE,"단축3";#N/A,#N/A,FALSE,"장축";#N/A,#N/A,FALSE,"4WD"}</definedName>
    <definedName name="ㅁㅁㅁㅁㅂ" hidden="1">{#N/A,#N/A,FALSE,"단축1";#N/A,#N/A,FALSE,"단축2";#N/A,#N/A,FALSE,"단축3";#N/A,#N/A,FALSE,"장축";#N/A,#N/A,FALSE,"4WD"}</definedName>
    <definedName name="ㅁㅁㅁㅇ" hidden="1">{#N/A,#N/A,FALSE,"단축1";#N/A,#N/A,FALSE,"단축2";#N/A,#N/A,FALSE,"단축3";#N/A,#N/A,FALSE,"장축";#N/A,#N/A,FALSE,"4WD"}</definedName>
    <definedName name="ㅁㅁㅁㅇ_1" hidden="1">{#N/A,#N/A,FALSE,"단축1";#N/A,#N/A,FALSE,"단축2";#N/A,#N/A,FALSE,"단축3";#N/A,#N/A,FALSE,"장축";#N/A,#N/A,FALSE,"4WD"}</definedName>
    <definedName name="ㅁㅁㅁㅇㄴ" hidden="1">{"'7-2지역별'!$A$1:$R$44"}</definedName>
    <definedName name="ㅁㅁㅂ" hidden="1">{#N/A,#N/A,FALSE,"표지";#N/A,#N/A,FALSE,"전제";#N/A,#N/A,FALSE,"손익-자 (2)";#N/A,#N/A,FALSE,"손익-자";#N/A,#N/A,FALSE,"손익-마 (2)";#N/A,#N/A,FALSE,"손익-마";#N/A,#N/A,FALSE,"총손최종"}</definedName>
    <definedName name="ㅁㅁㅇ" hidden="1">{#N/A,#N/A,FALSE,"KMC최종회의(7월) 자료"}</definedName>
    <definedName name="ㅁㅁㅇ_1" hidden="1">{#N/A,#N/A,FALSE,"KMC최종회의(7월) 자료"}</definedName>
    <definedName name="ㅁㅁㅈㅇ" hidden="1">{#N/A,#N/A,TRUE,"Y생산";#N/A,#N/A,TRUE,"Y판매";#N/A,#N/A,TRUE,"Y총물량";#N/A,#N/A,TRUE,"Y능력";#N/A,#N/A,TRUE,"YKD"}</definedName>
    <definedName name="ㅁㅂ" hidden="1">{#N/A,#N/A,FALSE,"단축1";#N/A,#N/A,FALSE,"단축2";#N/A,#N/A,FALSE,"단축3";#N/A,#N/A,FALSE,"장축";#N/A,#N/A,FALSE,"4WD"}</definedName>
    <definedName name="ㅁㅂㅂ" hidden="1">{"'7-2지역별'!$A$1:$R$44"}</definedName>
    <definedName name="ㅁㅅㅎㄴㅀㄹ" hidden="1">{#N/A,#N/A,FALSE,"단축1";#N/A,#N/A,FALSE,"단축2";#N/A,#N/A,FALSE,"단축3";#N/A,#N/A,FALSE,"장축";#N/A,#N/A,FALSE,"4WD"}</definedName>
    <definedName name="ㅁㅇ" hidden="1">{#N/A,#N/A,TRUE,"Y생산";#N/A,#N/A,TRUE,"Y판매";#N/A,#N/A,TRUE,"Y총물량";#N/A,#N/A,TRUE,"Y능력";#N/A,#N/A,TRUE,"YKD"}</definedName>
    <definedName name="ㅁㅇ_1" hidden="1">{#N/A,#N/A,TRUE,"Y생산";#N/A,#N/A,TRUE,"Y판매";#N/A,#N/A,TRUE,"Y총물량";#N/A,#N/A,TRUE,"Y능력";#N/A,#N/A,TRUE,"YKD"}</definedName>
    <definedName name="ㅁㅇㄱㅎ" hidden="1">{#N/A,#N/A,FALSE,"단축1";#N/A,#N/A,FALSE,"단축2";#N/A,#N/A,FALSE,"단축3";#N/A,#N/A,FALSE,"장축";#N/A,#N/A,FALSE,"4WD"}</definedName>
    <definedName name="ㅁㅇㄱㅎ_1" hidden="1">{#N/A,#N/A,FALSE,"단축1";#N/A,#N/A,FALSE,"단축2";#N/A,#N/A,FALSE,"단축3";#N/A,#N/A,FALSE,"장축";#N/A,#N/A,FALSE,"4WD"}</definedName>
    <definedName name="ㅁㅇㄱㅎ_2" hidden="1">{#N/A,#N/A,FALSE,"단축1";#N/A,#N/A,FALSE,"단축2";#N/A,#N/A,FALSE,"단축3";#N/A,#N/A,FALSE,"장축";#N/A,#N/A,FALSE,"4WD"}</definedName>
    <definedName name="ㅁㅇㄴ" hidden="1">{#N/A,#N/A,FALSE,"단축1";#N/A,#N/A,FALSE,"단축2";#N/A,#N/A,FALSE,"단축3";#N/A,#N/A,FALSE,"장축";#N/A,#N/A,FALSE,"4WD"}</definedName>
    <definedName name="ㅁㅇㄹ" hidden="1">{#N/A,#N/A,FALSE,"단축1";#N/A,#N/A,FALSE,"단축2";#N/A,#N/A,FALSE,"단축3";#N/A,#N/A,FALSE,"장축";#N/A,#N/A,FALSE,"4WD"}</definedName>
    <definedName name="ㅁㅇㄹ_1" hidden="1">{#N/A,#N/A,FALSE,"단축1";#N/A,#N/A,FALSE,"단축2";#N/A,#N/A,FALSE,"단축3";#N/A,#N/A,FALSE,"장축";#N/A,#N/A,FALSE,"4WD"}</definedName>
    <definedName name="ㅁㅇㄹ_2" hidden="1">{#N/A,#N/A,FALSE,"단축1";#N/A,#N/A,FALSE,"단축2";#N/A,#N/A,FALSE,"단축3";#N/A,#N/A,FALSE,"장축";#N/A,#N/A,FALSE,"4WD"}</definedName>
    <definedName name="ㅁㅇㄹㄹㄼㅂㅈㄷ113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ㅂㅈㄷㄹㅇ" hidden="1">{#N/A,#N/A,FALSE,"단축1";#N/A,#N/A,FALSE,"단축2";#N/A,#N/A,FALSE,"단축3";#N/A,#N/A,FALSE,"장축";#N/A,#N/A,FALSE,"4WD"}</definedName>
    <definedName name="ㅁㅇㅂㅈㄷㄹㅇ_1" hidden="1">{#N/A,#N/A,FALSE,"단축1";#N/A,#N/A,FALSE,"단축2";#N/A,#N/A,FALSE,"단축3";#N/A,#N/A,FALSE,"장축";#N/A,#N/A,FALSE,"4WD"}</definedName>
    <definedName name="ㅁㅇㅂㅈㄷㄹㅇ_2" hidden="1">{#N/A,#N/A,FALSE,"단축1";#N/A,#N/A,FALSE,"단축2";#N/A,#N/A,FALSE,"단축3";#N/A,#N/A,FALSE,"장축";#N/A,#N/A,FALSE,"4WD"}</definedName>
    <definedName name="ㅁㅇ이" hidden="1">{#N/A,#N/A,FALSE,"단축1";#N/A,#N/A,FALSE,"단축2";#N/A,#N/A,FALSE,"단축3";#N/A,#N/A,FALSE,"장축";#N/A,#N/A,FALSE,"4WD"}</definedName>
    <definedName name="ㅁㅇ이_1" hidden="1">{#N/A,#N/A,FALSE,"단축1";#N/A,#N/A,FALSE,"단축2";#N/A,#N/A,FALSE,"단축3";#N/A,#N/A,FALSE,"장축";#N/A,#N/A,FALSE,"4WD"}</definedName>
    <definedName name="ㅁㅇㅊㅁㄴㅇㄹ" hidden="1">{#N/A,#N/A,FALSE,"단축1";#N/A,#N/A,FALSE,"단축2";#N/A,#N/A,FALSE,"단축3";#N/A,#N/A,FALSE,"장축";#N/A,#N/A,FALSE,"4WD"}</definedName>
    <definedName name="ㅁ이ㅇㅇㄴ" hidden="1">{#N/A,#N/A,FALSE,"단축1";#N/A,#N/A,FALSE,"단축2";#N/A,#N/A,FALSE,"단축3";#N/A,#N/A,FALSE,"장축";#N/A,#N/A,FALSE,"4WD"}</definedName>
    <definedName name="ㅁㅈㄴㄱㅇ횰솧" hidden="1">{#N/A,#N/A,FALSE,"단축1";#N/A,#N/A,FALSE,"단축2";#N/A,#N/A,FALSE,"단축3";#N/A,#N/A,FALSE,"장축";#N/A,#N/A,FALSE,"4WD"}</definedName>
    <definedName name="ㅁㅈㄷ4교ㅓㅓㅛ" hidden="1">{#N/A,#N/A,FALSE,"96 3월물량표";#N/A,#N/A,FALSE,"96 4월물량표";#N/A,#N/A,FALSE,"96 5월물량표"}</definedName>
    <definedName name="ㅁㅈㄷ4교ㅓㅓㅛ_1" hidden="1">{#N/A,#N/A,FALSE,"96 3월물량표";#N/A,#N/A,FALSE,"96 4월물량표";#N/A,#N/A,FALSE,"96 5월물량표"}</definedName>
    <definedName name="ㅁㅈㄹㄴ우ㅛ슉ㄴ" hidden="1">{#N/A,#N/A,FALSE,"단축1";#N/A,#N/A,FALSE,"단축2";#N/A,#N/A,FALSE,"단축3";#N/A,#N/A,FALSE,"장축";#N/A,#N/A,FALSE,"4WD"}</definedName>
    <definedName name="ㅁㅈㅂ" hidden="1">{#N/A,#N/A,FALSE,"A장";#N/A,#N/A,FALSE,"B장"}</definedName>
    <definedName name="ㅁㅈㅂ1" hidden="1">{"'7-2지역별'!$A$1:$R$44"}</definedName>
    <definedName name="ㅁㅈㅂㄴ" hidden="1">{#N/A,#N/A,FALSE,"단축1";#N/A,#N/A,FALSE,"단축2";#N/A,#N/A,FALSE,"단축3";#N/A,#N/A,FALSE,"장축";#N/A,#N/A,FALSE,"4WD"}</definedName>
    <definedName name="ㅁㅈㅂㅈㅂ" hidden="1">#REF!</definedName>
    <definedName name="ㅁㅈㅈㄷㅈㅁㄷㅈ" hidden="1">{#N/A,#N/A,FALSE,"단축1";#N/A,#N/A,FALSE,"단축2";#N/A,#N/A,FALSE,"단축3";#N/A,#N/A,FALSE,"장축";#N/A,#N/A,FALSE,"4WD"}</definedName>
    <definedName name="ㅁ좀ㄹㅇㅎ" hidden="1">{#N/A,#N/A,FALSE,"단축1";#N/A,#N/A,FALSE,"단축2";#N/A,#N/A,FALSE,"단축3";#N/A,#N/A,FALSE,"장축";#N/A,#N/A,FALSE,"4WD"}</definedName>
    <definedName name="ㅁㅊㄷㄴㄳ" hidden="1">{#N/A,#N/A,FALSE,"단축1";#N/A,#N/A,FALSE,"단축2";#N/A,#N/A,FALSE,"단축3";#N/A,#N/A,FALSE,"장축";#N/A,#N/A,FALSE,"4WD"}</definedName>
    <definedName name="ㅁㅊㅅㄳㅎㄴㄹ" hidden="1">{#N/A,#N/A,FALSE,"단축1";#N/A,#N/A,FALSE,"단축2";#N/A,#N/A,FALSE,"단축3";#N/A,#N/A,FALSE,"장축";#N/A,#N/A,FALSE,"4WD"}</definedName>
    <definedName name="ㅁㅊㅇㄹㄶ류" hidden="1">{#N/A,#N/A,FALSE,"단축1";#N/A,#N/A,FALSE,"단축2";#N/A,#N/A,FALSE,"단축3";#N/A,#N/A,FALSE,"장축";#N/A,#N/A,FALSE,"4WD"}</definedName>
    <definedName name="ㅁㅊㅍㅇㄷ" hidden="1">{#N/A,#N/A,FALSE,"단축1";#N/A,#N/A,FALSE,"단축2";#N/A,#N/A,FALSE,"단축3";#N/A,#N/A,FALSE,"장축";#N/A,#N/A,FALSE,"4WD"}</definedName>
    <definedName name="ㅁㅍㅅㄴㅇㅁㄹㅇㄹ" hidden="1">{#N/A,#N/A,FALSE,"단축1";#N/A,#N/A,FALSE,"단축2";#N/A,#N/A,FALSE,"단축3";#N/A,#N/A,FALSE,"장축";#N/A,#N/A,FALSE,"4WD"}</definedName>
    <definedName name="ㅁㅎ" hidden="1">#REF!</definedName>
    <definedName name="ㅁㅎㄴㅀ" hidden="1">{#N/A,#N/A,FALSE,"미판매분"}</definedName>
    <definedName name="ㅁㅎㄴㅇㄹㄴ" hidden="1">{#N/A,#N/A,FALSE,"을지 (4)";#N/A,#N/A,FALSE,"을지 (5)";#N/A,#N/A,FALSE,"을지 (6)"}</definedName>
    <definedName name="마" hidden="1">{"'5'!$A$1:$BB$147"}</definedName>
    <definedName name="마11111" hidden="1">{#N/A,#N/A,TRUE,"Y생산";#N/A,#N/A,TRUE,"Y판매";#N/A,#N/A,TRUE,"Y총물량";#N/A,#N/A,TRUE,"Y능력";#N/A,#N/A,TRUE,"YKD"}</definedName>
    <definedName name="마11111_1" hidden="1">{#N/A,#N/A,TRUE,"Y생산";#N/A,#N/A,TRUE,"Y판매";#N/A,#N/A,TRUE,"Y총물량";#N/A,#N/A,TRUE,"Y능력";#N/A,#N/A,TRUE,"YKD"}</definedName>
    <definedName name="마감" hidden="1">{#N/A,#N/A,TRUE,"Y생산";#N/A,#N/A,TRUE,"Y판매";#N/A,#N/A,TRUE,"Y총물량";#N/A,#N/A,TRUE,"Y능력";#N/A,#N/A,TRUE,"YKD"}</definedName>
    <definedName name="마감_1" hidden="1">{#N/A,#N/A,TRUE,"Y생산";#N/A,#N/A,TRUE,"Y판매";#N/A,#N/A,TRUE,"Y총물량";#N/A,#N/A,TRUE,"Y능력";#N/A,#N/A,TRUE,"YKD"}</definedName>
    <definedName name="마감12" hidden="1">{#N/A,#N/A,TRUE,"Y생산";#N/A,#N/A,TRUE,"Y판매";#N/A,#N/A,TRUE,"Y총물량";#N/A,#N/A,TRUE,"Y능력";#N/A,#N/A,TRUE,"YKD"}</definedName>
    <definedName name="마감12_1" hidden="1">{#N/A,#N/A,TRUE,"Y생산";#N/A,#N/A,TRUE,"Y판매";#N/A,#N/A,TRUE,"Y총물량";#N/A,#N/A,TRUE,"Y능력";#N/A,#N/A,TRUE,"YKD"}</definedName>
    <definedName name="마감123" hidden="1">{#N/A,#N/A,FALSE,"96 3월물량표";#N/A,#N/A,FALSE,"96 4월물량표";#N/A,#N/A,FALSE,"96 5월물량표"}</definedName>
    <definedName name="마감123_1" hidden="1">{#N/A,#N/A,FALSE,"96 3월물량표";#N/A,#N/A,FALSE,"96 4월물량표";#N/A,#N/A,FALSE,"96 5월물량표"}</definedName>
    <definedName name="마감13" hidden="1">{#N/A,#N/A,TRUE,"Y생산";#N/A,#N/A,TRUE,"Y판매";#N/A,#N/A,TRUE,"Y총물량";#N/A,#N/A,TRUE,"Y능력";#N/A,#N/A,TRUE,"YKD"}</definedName>
    <definedName name="마감2" hidden="1">{#N/A,#N/A,TRUE,"Y생산";#N/A,#N/A,TRUE,"Y판매";#N/A,#N/A,TRUE,"Y총물량";#N/A,#N/A,TRUE,"Y능력";#N/A,#N/A,TRUE,"YKD"}</definedName>
    <definedName name="마감2_1" hidden="1">{#N/A,#N/A,TRUE,"Y생산";#N/A,#N/A,TRUE,"Y판매";#N/A,#N/A,TRUE,"Y총물량";#N/A,#N/A,TRUE,"Y능력";#N/A,#N/A,TRUE,"YKD"}</definedName>
    <definedName name="마감830" hidden="1">{#N/A,#N/A,TRUE,"Y생산";#N/A,#N/A,TRUE,"Y판매";#N/A,#N/A,TRUE,"Y총물량";#N/A,#N/A,TRUE,"Y능력";#N/A,#N/A,TRUE,"YKD"}</definedName>
    <definedName name="마감830_1" hidden="1">{#N/A,#N/A,TRUE,"Y생산";#N/A,#N/A,TRUE,"Y판매";#N/A,#N/A,TRUE,"Y총물량";#N/A,#N/A,TRUE,"Y능력";#N/A,#N/A,TRUE,"YKD"}</definedName>
    <definedName name="마감831" hidden="1">{#N/A,#N/A,FALSE,"96 3월물량표";#N/A,#N/A,FALSE,"96 4월물량표";#N/A,#N/A,FALSE,"96 5월물량표"}</definedName>
    <definedName name="마감831_1" hidden="1">{#N/A,#N/A,FALSE,"96 3월물량표";#N/A,#N/A,FALSE,"96 4월물량표";#N/A,#N/A,FALSE,"96 5월물량표"}</definedName>
    <definedName name="마라톤" hidden="1">{#N/A,#N/A,FALSE,"KMC최종회의(7월) 자료"}</definedName>
    <definedName name="마마" hidden="1">{#N/A,#N/A,FALSE,"표지";#N/A,#N/A,FALSE,"전제";#N/A,#N/A,FALSE,"손익-자 (2)";#N/A,#N/A,FALSE,"손익-자";#N/A,#N/A,FALSE,"손익-마 (2)";#N/A,#N/A,FALSE,"손익-마";#N/A,#N/A,FALSE,"총손최종"}</definedName>
    <definedName name="마마니" hidden="1">{#N/A,#N/A,FALSE,"단축1";#N/A,#N/A,FALSE,"단축2";#N/A,#N/A,FALSE,"단축3";#N/A,#N/A,FALSE,"장축";#N/A,#N/A,FALSE,"4WD"}</definedName>
    <definedName name="마마보이" hidden="1">{#N/A,#N/A,FALSE,"정공"}</definedName>
    <definedName name="마마보이_1" hidden="1">{#N/A,#N/A,FALSE,"정공"}</definedName>
    <definedName name="마마보이_2" hidden="1">{#N/A,#N/A,FALSE,"정공"}</definedName>
    <definedName name="마맘" hidden="1">{#N/A,#N/A,FALSE,"KMC최종회의(7월) 자료"}</definedName>
    <definedName name="마맘_1" hidden="1">{#N/A,#N/A,FALSE,"KMC최종회의(7월) 자료"}</definedName>
    <definedName name="마맘_2" hidden="1">{#N/A,#N/A,FALSE,"KMC최종회의(7월) 자료"}</definedName>
    <definedName name="마스타스케쥴" hidden="1">{#N/A,#N/A,FALSE,"단축1";#N/A,#N/A,FALSE,"단축2";#N/A,#N/A,FALSE,"단축3";#N/A,#N/A,FALSE,"장축";#N/A,#N/A,FALSE,"4WD"}</definedName>
    <definedName name="마음" hidden="1">{#N/A,#N/A,FALSE,"단축1";#N/A,#N/A,FALSE,"단축2";#N/A,#N/A,FALSE,"단축3";#N/A,#N/A,FALSE,"장축";#N/A,#N/A,FALSE,"4WD"}</definedName>
    <definedName name="마지막" hidden="1">{#N/A,#N/A,FALSE,"단축1";#N/A,#N/A,FALSE,"단축2";#N/A,#N/A,FALSE,"단축3";#N/A,#N/A,FALSE,"장축";#N/A,#N/A,FALSE,"4WD"}</definedName>
    <definedName name="마지막예산" hidden="1">{#N/A,#N/A,FALSE,"단축1";#N/A,#N/A,FALSE,"단축2";#N/A,#N/A,FALSE,"단축3";#N/A,#N/A,FALSE,"장축";#N/A,#N/A,FALSE,"4WD"}</definedName>
    <definedName name="만" hidden="1">{#N/A,#N/A,FALSE,"견적대비-2"}</definedName>
    <definedName name="만_1" hidden="1">{#N/A,#N/A,FALSE,"견적대비-2"}</definedName>
    <definedName name="만국어" hidden="1">{#N/A,#N/A,FALSE,"정공"}</definedName>
    <definedName name="만국어_1" hidden="1">{#N/A,#N/A,FALSE,"정공"}</definedName>
    <definedName name="만국어_2" hidden="1">{#N/A,#N/A,FALSE,"정공"}</definedName>
    <definedName name="만다라어" hidden="1">{#N/A,#N/A,FALSE,"정공"}</definedName>
    <definedName name="만다라어_1" hidden="1">{#N/A,#N/A,FALSE,"정공"}</definedName>
    <definedName name="만다라어_2" hidden="1">{#N/A,#N/A,FALSE,"정공"}</definedName>
    <definedName name="만다라어빈국" hidden="1">{#N/A,#N/A,FALSE,"정공"}</definedName>
    <definedName name="만다라어빈국_1" hidden="1">{#N/A,#N/A,FALSE,"정공"}</definedName>
    <definedName name="만다라어빈국_2" hidden="1">{#N/A,#N/A,FALSE,"정공"}</definedName>
    <definedName name="말" hidden="1">{#N/A,#N/A,TRUE,"Y생산";#N/A,#N/A,TRUE,"Y판매";#N/A,#N/A,TRUE,"Y총물량";#N/A,#N/A,TRUE,"Y능력";#N/A,#N/A,TRUE,"YKD"}</definedName>
    <definedName name="말_1" hidden="1">{#N/A,#N/A,TRUE,"Y생산";#N/A,#N/A,TRUE,"Y판매";#N/A,#N/A,TRUE,"Y총물량";#N/A,#N/A,TRUE,"Y능력";#N/A,#N/A,TRUE,"YKD"}</definedName>
    <definedName name="말라" hidden="1">{#N/A,#N/A,FALSE,"단축1";#N/A,#N/A,FALSE,"단축2";#N/A,#N/A,FALSE,"단축3";#N/A,#N/A,FALSE,"장축";#N/A,#N/A,FALSE,"4WD"}</definedName>
    <definedName name="말라_1" hidden="1">{#N/A,#N/A,FALSE,"단축1";#N/A,#N/A,FALSE,"단축2";#N/A,#N/A,FALSE,"단축3";#N/A,#N/A,FALSE,"장축";#N/A,#N/A,FALSE,"4WD"}</definedName>
    <definedName name="말자" hidden="1">{#N/A,#N/A,FALSE,"단축1";#N/A,#N/A,FALSE,"단축2";#N/A,#N/A,FALSE,"단축3";#N/A,#N/A,FALSE,"장축";#N/A,#N/A,FALSE,"4WD"}</definedName>
    <definedName name="말타" hidden="1">{#N/A,#N/A,FALSE,"단축1";#N/A,#N/A,FALSE,"단축2";#N/A,#N/A,FALSE,"단축3";#N/A,#N/A,FALSE,"장축";#N/A,#N/A,FALSE,"4WD"}</definedName>
    <definedName name="말타_1" hidden="1">{#N/A,#N/A,FALSE,"단축1";#N/A,#N/A,FALSE,"단축2";#N/A,#N/A,FALSE,"단축3";#N/A,#N/A,FALSE,"장축";#N/A,#N/A,FALSE,"4WD"}</definedName>
    <definedName name="망망" hidden="1">{#N/A,#N/A,FALSE,"KMC최종회의(7월) 자료"}</definedName>
    <definedName name="망망_1" hidden="1">{#N/A,#N/A,FALSE,"KMC최종회의(7월) 자료"}</definedName>
    <definedName name="망망_2" hidden="1">{#N/A,#N/A,FALSE,"KMC최종회의(7월) 자료"}</definedName>
    <definedName name="매출" hidden="1">{#N/A,#N/A,FALSE,"단축1";#N/A,#N/A,FALSE,"단축2";#N/A,#N/A,FALSE,"단축3";#N/A,#N/A,FALSE,"장축";#N/A,#N/A,FALSE,"4WD"}</definedName>
    <definedName name="매출기준" hidden="1">{#N/A,#N/A,FALSE,"정공"}</definedName>
    <definedName name="매출기준_1" hidden="1">{#N/A,#N/A,FALSE,"정공"}</definedName>
    <definedName name="매출기준_2" hidden="1">{#N/A,#N/A,FALSE,"정공"}</definedName>
    <definedName name="매출손익" hidden="1">{#N/A,#N/A,FALSE,"정공"}</definedName>
    <definedName name="매출손익_1" hidden="1">{#N/A,#N/A,FALSE,"정공"}</definedName>
    <definedName name="매출손익_2" hidden="1">{#N/A,#N/A,FALSE,"정공"}</definedName>
    <definedName name="매출원가" hidden="1">{#N/A,#N/A,FALSE,"Aging Summary";#N/A,#N/A,FALSE,"Ratio Analysis";#N/A,#N/A,FALSE,"Test 120 Day Accts";#N/A,#N/A,FALSE,"Tickmarks"}</definedName>
    <definedName name="매출장기계획" hidden="1">#REF!</definedName>
    <definedName name="매출장기계획101" hidden="1">#REF!</definedName>
    <definedName name="매출장기계획2" hidden="1">#REF!</definedName>
    <definedName name="매출장기계획5" hidden="1">#REF!</definedName>
    <definedName name="매출전환손익" hidden="1">{#N/A,#N/A,FALSE,"정공"}</definedName>
    <definedName name="매출전환손익_1" hidden="1">{#N/A,#N/A,FALSE,"정공"}</definedName>
    <definedName name="매출전환손익_2" hidden="1">{#N/A,#N/A,FALSE,"정공"}</definedName>
    <definedName name="매출추1" hidden="1">{#N/A,#N/A,FALSE,"정공"}</definedName>
    <definedName name="매출추1_1" hidden="1">{#N/A,#N/A,FALSE,"정공"}</definedName>
    <definedName name="매출추1_2" hidden="1">{#N/A,#N/A,FALSE,"정공"}</definedName>
    <definedName name="매출추1_2_1" hidden="1">{#N/A,#N/A,FALSE,"정공"}</definedName>
    <definedName name="매출추1_2_2" hidden="1">{#N/A,#N/A,FALSE,"정공"}</definedName>
    <definedName name="매출추1_2_3" hidden="1">{#N/A,#N/A,FALSE,"정공"}</definedName>
    <definedName name="매출추1_3" hidden="1">{#N/A,#N/A,FALSE,"정공"}</definedName>
    <definedName name="매출추1_3_1" hidden="1">{#N/A,#N/A,FALSE,"정공"}</definedName>
    <definedName name="매출추1_3_2" hidden="1">{#N/A,#N/A,FALSE,"정공"}</definedName>
    <definedName name="매출추1_3_3" hidden="1">{#N/A,#N/A,FALSE,"정공"}</definedName>
    <definedName name="매출추1_4" hidden="1">{#N/A,#N/A,FALSE,"정공"}</definedName>
    <definedName name="매출추1_5" hidden="1">{#N/A,#N/A,FALSE,"정공"}</definedName>
    <definedName name="매출추정" hidden="1">{#N/A,#N/A,FALSE,"정공"}</definedName>
    <definedName name="매출추정_1" hidden="1">{#N/A,#N/A,FALSE,"정공"}</definedName>
    <definedName name="매출추정_2" hidden="1">{#N/A,#N/A,FALSE,"정공"}</definedName>
    <definedName name="매출추정_2_1" hidden="1">{#N/A,#N/A,FALSE,"정공"}</definedName>
    <definedName name="매출추정_2_2" hidden="1">{#N/A,#N/A,FALSE,"정공"}</definedName>
    <definedName name="매출추정_2_3" hidden="1">{#N/A,#N/A,FALSE,"정공"}</definedName>
    <definedName name="매출추정_3" hidden="1">{#N/A,#N/A,FALSE,"정공"}</definedName>
    <definedName name="매출추정_3_1" hidden="1">{#N/A,#N/A,FALSE,"정공"}</definedName>
    <definedName name="매출추정_3_2" hidden="1">{#N/A,#N/A,FALSE,"정공"}</definedName>
    <definedName name="매출추정_3_3" hidden="1">{#N/A,#N/A,FALSE,"정공"}</definedName>
    <definedName name="매출추정_4" hidden="1">{#N/A,#N/A,FALSE,"정공"}</definedName>
    <definedName name="매출추정_5" hidden="1">{#N/A,#N/A,FALSE,"정공"}</definedName>
    <definedName name="맹구" hidden="1">{#N/A,#N/A,FALSE,"KMC최종회의(7월) 자료"}</definedName>
    <definedName name="맹구_1" hidden="1">{#N/A,#N/A,FALSE,"KMC최종회의(7월) 자료"}</definedName>
    <definedName name="머" hidden="1">{#N/A,#N/A,FALSE,"단축1";#N/A,#N/A,FALSE,"단축2";#N/A,#N/A,FALSE,"단축3";#N/A,#N/A,FALSE,"장축";#N/A,#N/A,FALSE,"4WD"}</definedName>
    <definedName name="머꼬" hidden="1">{#N/A,#N/A,FALSE,"HOT RU TEM";#N/A,#N/A,FALSE,"HOT RU TEM";#N/A,#N/A,FALSE,"HOT RU TEM"}</definedName>
    <definedName name="머냐" hidden="1">{#N/A,#N/A,TRUE,"Y생산";#N/A,#N/A,TRUE,"Y판매";#N/A,#N/A,TRUE,"Y총물량";#N/A,#N/A,TRUE,"Y능력";#N/A,#N/A,TRUE,"YKD"}</definedName>
    <definedName name="머냐_1" hidden="1">{#N/A,#N/A,TRUE,"Y생산";#N/A,#N/A,TRUE,"Y판매";#N/A,#N/A,TRUE,"Y총물량";#N/A,#N/A,TRUE,"Y능력";#N/A,#N/A,TRUE,"YKD"}</definedName>
    <definedName name="머징" hidden="1">{"'Sheet1'!$A$211:$M$235"}</definedName>
    <definedName name="머ㅣ거ㅏㅏ" hidden="1">{#N/A,#N/A,FALSE,"단축1";#N/A,#N/A,FALSE,"단축2";#N/A,#N/A,FALSE,"단축3";#N/A,#N/A,FALSE,"장축";#N/A,#N/A,FALSE,"4WD"}</definedName>
    <definedName name="멍" hidden="1">{#N/A,#N/A,TRUE,"일정"}</definedName>
    <definedName name="메로" hidden="1">{#N/A,#N/A,FALSE,"단축1";#N/A,#N/A,FALSE,"단축2";#N/A,#N/A,FALSE,"단축3";#N/A,#N/A,FALSE,"장축";#N/A,#N/A,FALSE,"4WD"}</definedName>
    <definedName name="메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면적현황" hidden="1">{#N/A,#N/A,FALSE,"단축1";#N/A,#N/A,FALSE,"단축2";#N/A,#N/A,FALSE,"단축3";#N/A,#N/A,FALSE,"장축";#N/A,#N/A,FALSE,"4WD"}</definedName>
    <definedName name="모" hidden="1">{#N/A,#N/A,FALSE,"KMC최종회의(7월) 자료"}</definedName>
    <definedName name="모_1" hidden="1">{#N/A,#N/A,FALSE,"KMC최종회의(7월) 자료"}</definedName>
    <definedName name="모나" hidden="1">{#N/A,#N/A,FALSE,"단축1";#N/A,#N/A,FALSE,"단축2";#N/A,#N/A,FALSE,"단축3";#N/A,#N/A,FALSE,"장축";#N/A,#N/A,FALSE,"4WD"}</definedName>
    <definedName name="모나리자아" hidden="1">{#N/A,#N/A,FALSE,"정공"}</definedName>
    <definedName name="모나리자아_1" hidden="1">{#N/A,#N/A,FALSE,"정공"}</definedName>
    <definedName name="모나리자아_2" hidden="1">{#N/A,#N/A,FALSE,"정공"}</definedName>
    <definedName name="모델별" hidden="1">{#N/A,#N/A,FALSE,"단축1";#N/A,#N/A,FALSE,"단축2";#N/A,#N/A,FALSE,"단축3";#N/A,#N/A,FALSE,"장축";#N/A,#N/A,FALSE,"4WD"}</definedName>
    <definedName name="모델별_1" hidden="1">{#N/A,#N/A,FALSE,"단축1";#N/A,#N/A,FALSE,"단축2";#N/A,#N/A,FALSE,"단축3";#N/A,#N/A,FALSE,"장축";#N/A,#N/A,FALSE,"4WD"}</definedName>
    <definedName name="모듈" hidden="1">{#N/A,#N/A,FALSE,"단축1";#N/A,#N/A,FALSE,"단축2";#N/A,#N/A,FALSE,"단축3";#N/A,#N/A,FALSE,"장축";#N/A,#N/A,FALSE,"4WD"}</definedName>
    <definedName name="모듈10" hidden="1">{#N/A,#N/A,FALSE,"단축1";#N/A,#N/A,FALSE,"단축2";#N/A,#N/A,FALSE,"단축3";#N/A,#N/A,FALSE,"장축";#N/A,#N/A,FALSE,"4WD"}</definedName>
    <definedName name="모듈2" hidden="1">{#N/A,#N/A,FALSE,"단축1";#N/A,#N/A,FALSE,"단축2";#N/A,#N/A,FALSE,"단축3";#N/A,#N/A,FALSE,"장축";#N/A,#N/A,FALSE,"4WD"}</definedName>
    <definedName name="모듈4" hidden="1">{#N/A,#N/A,FALSE,"단축1";#N/A,#N/A,FALSE,"단축2";#N/A,#N/A,FALSE,"단축3";#N/A,#N/A,FALSE,"장축";#N/A,#N/A,FALSE,"4WD"}</definedName>
    <definedName name="모듈5" hidden="1">{#N/A,#N/A,FALSE,"단축1";#N/A,#N/A,FALSE,"단축2";#N/A,#N/A,FALSE,"단축3";#N/A,#N/A,FALSE,"장축";#N/A,#N/A,FALSE,"4WD"}</definedName>
    <definedName name="모듈7" hidden="1">{#N/A,#N/A,FALSE,"단축1";#N/A,#N/A,FALSE,"단축2";#N/A,#N/A,FALSE,"단축3";#N/A,#N/A,FALSE,"장축";#N/A,#N/A,FALSE,"4WD"}</definedName>
    <definedName name="모듈설계2" hidden="1">{#N/A,#N/A,FALSE,"단축1";#N/A,#N/A,FALSE,"단축2";#N/A,#N/A,FALSE,"단축3";#N/A,#N/A,FALSE,"장축";#N/A,#N/A,FALSE,"4WD"}</definedName>
    <definedName name="모듈화" hidden="1">{#N/A,#N/A,FALSE,"단축1";#N/A,#N/A,FALSE,"단축2";#N/A,#N/A,FALSE,"단축3";#N/A,#N/A,FALSE,"장축";#N/A,#N/A,FALSE,"4WD"}</definedName>
    <definedName name="모듈화2" hidden="1">{#N/A,#N/A,FALSE,"단축1";#N/A,#N/A,FALSE,"단축2";#N/A,#N/A,FALSE,"단축3";#N/A,#N/A,FALSE,"장축";#N/A,#N/A,FALSE,"4WD"}</definedName>
    <definedName name="모듈화3" hidden="1">{#N/A,#N/A,FALSE,"단축1";#N/A,#N/A,FALSE,"단축2";#N/A,#N/A,FALSE,"단축3";#N/A,#N/A,FALSE,"장축";#N/A,#N/A,FALSE,"4WD"}</definedName>
    <definedName name="모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모비스" hidden="1">{#N/A,#N/A,FALSE,"단축1";#N/A,#N/A,FALSE,"단축2";#N/A,#N/A,FALSE,"단축3";#N/A,#N/A,FALSE,"장축";#N/A,#N/A,FALSE,"4WD"}</definedName>
    <definedName name="모씨" hidden="1">{#N/A,#N/A,FALSE,"KMC최종회의(7월) 자료"}</definedName>
    <definedName name="목" hidden="1">{#N/A,#N/A,FALSE,"단축1";#N/A,#N/A,FALSE,"단축2";#N/A,#N/A,FALSE,"단축3";#N/A,#N/A,FALSE,"장축";#N/A,#N/A,FALSE,"4WD"}</definedName>
    <definedName name="목목" hidden="1">{#N/A,#N/A,FALSE,"단축1";#N/A,#N/A,FALSE,"단축2";#N/A,#N/A,FALSE,"단축3";#N/A,#N/A,FALSE,"장축";#N/A,#N/A,FALSE,"4WD"}</definedName>
    <definedName name="목차" hidden="1">{#N/A,#N/A,FALSE,"단축1";#N/A,#N/A,FALSE,"단축2";#N/A,#N/A,FALSE,"단축3";#N/A,#N/A,FALSE,"장축";#N/A,#N/A,FALSE,"4WD"}</definedName>
    <definedName name="목차_1" hidden="1">{#N/A,#N/A,FALSE,"단축1";#N/A,#N/A,FALSE,"단축2";#N/A,#N/A,FALSE,"단축3";#N/A,#N/A,FALSE,"장축";#N/A,#N/A,FALSE,"4WD"}</definedName>
    <definedName name="목차_2" hidden="1">{#N/A,#N/A,FALSE,"단축1";#N/A,#N/A,FALSE,"단축2";#N/A,#N/A,FALSE,"단축3";#N/A,#N/A,FALSE,"장축";#N/A,#N/A,FALSE,"4WD"}</definedName>
    <definedName name="목차1" hidden="1">{#N/A,#N/A,TRUE,"Y생산";#N/A,#N/A,TRUE,"Y판매";#N/A,#N/A,TRUE,"Y총물량";#N/A,#N/A,TRUE,"Y능력";#N/A,#N/A,TRUE,"YKD"}</definedName>
    <definedName name="목차1_1" hidden="1">{#N/A,#N/A,TRUE,"Y생산";#N/A,#N/A,TRUE,"Y판매";#N/A,#N/A,TRUE,"Y총물량";#N/A,#N/A,TRUE,"Y능력";#N/A,#N/A,TRUE,"YKD"}</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_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3" hidden="1">{#N/A,#N/A,FALSE,"KMC최종회의(7월) 자료"}</definedName>
    <definedName name="목차도" hidden="1">{#N/A,#N/A,FALSE,"정공"}</definedName>
    <definedName name="목차도_1" hidden="1">{#N/A,#N/A,FALSE,"정공"}</definedName>
    <definedName name="목차도_2" hidden="1">{#N/A,#N/A,FALSE,"정공"}</definedName>
    <definedName name="목차삽입" hidden="1">{#N/A,#N/A,FALSE,"정공"}</definedName>
    <definedName name="목차삽입_1" hidden="1">{#N/A,#N/A,FALSE,"정공"}</definedName>
    <definedName name="목차삽입_2" hidden="1">{#N/A,#N/A,FALSE,"정공"}</definedName>
    <definedName name="목차차" hidden="1">{#N/A,#N/A,FALSE,"단축1";#N/A,#N/A,FALSE,"단축2";#N/A,#N/A,FALSE,"단축3";#N/A,#N/A,FALSE,"장축";#N/A,#N/A,FALSE,"4WD"}</definedName>
    <definedName name="목표3" hidden="1">{#N/A,#N/A,FALSE,"인원";#N/A,#N/A,FALSE,"비용2";#N/A,#N/A,FALSE,"비용1";#N/A,#N/A,FALSE,"비용";#N/A,#N/A,FALSE,"보증2";#N/A,#N/A,FALSE,"보증1";#N/A,#N/A,FALSE,"보증";#N/A,#N/A,FALSE,"손익1";#N/A,#N/A,FALSE,"손익";#N/A,#N/A,FALSE,"부서별매출";#N/A,#N/A,FALSE,"매출"}</definedName>
    <definedName name="목표관리" hidden="1">{"'5'!$A$1:$BB$147"}</definedName>
    <definedName name="목표손익" hidden="1">{#N/A,#N/A,FALSE,"단축1";#N/A,#N/A,FALSE,"단축2";#N/A,#N/A,FALSE,"단축3";#N/A,#N/A,FALSE,"장축";#N/A,#N/A,FALSE,"4WD"}</definedName>
    <definedName name="목표예산참조" hidden="1">{#N/A,#N/A,FALSE,"인원";#N/A,#N/A,FALSE,"비용2";#N/A,#N/A,FALSE,"비용1";#N/A,#N/A,FALSE,"비용";#N/A,#N/A,FALSE,"보증2";#N/A,#N/A,FALSE,"보증1";#N/A,#N/A,FALSE,"보증";#N/A,#N/A,FALSE,"손익1";#N/A,#N/A,FALSE,"손익";#N/A,#N/A,FALSE,"부서별매출";#N/A,#N/A,FALSE,"매출"}</definedName>
    <definedName name="목표치" hidden="1">{#N/A,#N/A,FALSE,"신규dep";#N/A,#N/A,FALSE,"신규dep-금형상각후";#N/A,#N/A,FALSE,"신규dep-연구비상각후";#N/A,#N/A,FALSE,"신규dep-기계,공구상각후"}</definedName>
    <definedName name="목표품질" hidden="1">{#N/A,#N/A,FALSE,"단축1";#N/A,#N/A,FALSE,"단축2";#N/A,#N/A,FALSE,"단축3";#N/A,#N/A,FALSE,"장축";#N/A,#N/A,FALSE,"4WD"}</definedName>
    <definedName name="몰" hidden="1">{#N/A,#N/A,TRUE,"Y생산";#N/A,#N/A,TRUE,"Y판매";#N/A,#N/A,TRUE,"Y총물량";#N/A,#N/A,TRUE,"Y능력";#N/A,#N/A,TRUE,"YKD"}</definedName>
    <definedName name="몰라" hidden="1">{#N/A,#N/A,FALSE,"정공"}</definedName>
    <definedName name="몰라_1" hidden="1">{#N/A,#N/A,FALSE,"정공"}</definedName>
    <definedName name="몰라_2" hidden="1">{#N/A,#N/A,FALSE,"정공"}</definedName>
    <definedName name="몰라_2_1" hidden="1">{#N/A,#N/A,FALSE,"정공"}</definedName>
    <definedName name="몰라_2_2" hidden="1">{#N/A,#N/A,FALSE,"정공"}</definedName>
    <definedName name="몰라_2_3" hidden="1">{#N/A,#N/A,FALSE,"정공"}</definedName>
    <definedName name="몰라_3" hidden="1">{#N/A,#N/A,FALSE,"정공"}</definedName>
    <definedName name="몰라_3_1" hidden="1">{#N/A,#N/A,FALSE,"정공"}</definedName>
    <definedName name="몰라_3_2" hidden="1">{#N/A,#N/A,FALSE,"정공"}</definedName>
    <definedName name="몰라_3_3" hidden="1">{#N/A,#N/A,FALSE,"정공"}</definedName>
    <definedName name="몰라_4" hidden="1">{#N/A,#N/A,FALSE,"정공"}</definedName>
    <definedName name="몰라_5" hidden="1">{#N/A,#N/A,FALSE,"정공"}</definedName>
    <definedName name="몰라요" hidden="1">#REF!</definedName>
    <definedName name="몰타" hidden="1">{#N/A,#N/A,FALSE,"단축1";#N/A,#N/A,FALSE,"단축2";#N/A,#N/A,FALSE,"단축3";#N/A,#N/A,FALSE,"장축";#N/A,#N/A,FALSE,"4WD"}</definedName>
    <definedName name="몰타_1" hidden="1">{#N/A,#N/A,FALSE,"단축1";#N/A,#N/A,FALSE,"단축2";#N/A,#N/A,FALSE,"단축3";#N/A,#N/A,FALSE,"장축";#N/A,#N/A,FALSE,"4WD"}</definedName>
    <definedName name="무" hidden="1">{#N/A,#N/A,TRUE,"Y생산";#N/A,#N/A,TRUE,"Y판매";#N/A,#N/A,TRUE,"Y총물량";#N/A,#N/A,TRUE,"Y능력";#N/A,#N/A,TRUE,"YKD"}</definedName>
    <definedName name="무_1" hidden="1">{#N/A,#N/A,TRUE,"Y생산";#N/A,#N/A,TRUE,"Y판매";#N/A,#N/A,TRUE,"Y총물량";#N/A,#N/A,TRUE,"Y능력";#N/A,#N/A,TRUE,"YKD"}</definedName>
    <definedName name="무빙로보트현황" hidden="1">{#N/A,#N/A,FALSE,"단축1";#N/A,#N/A,FALSE,"단축2";#N/A,#N/A,FALSE,"단축3";#N/A,#N/A,FALSE,"장축";#N/A,#N/A,FALSE,"4WD"}</definedName>
    <definedName name="무쏘인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무영" hidden="1">#REF!</definedName>
    <definedName name="문" hidden="1">{"'5'!$A$1:$BB$147"}</definedName>
    <definedName name="문1" hidden="1">{#N/A,#N/A,FALSE,"단축1";#N/A,#N/A,FALSE,"단축2";#N/A,#N/A,FALSE,"단축3";#N/A,#N/A,FALSE,"장축";#N/A,#N/A,FALSE,"4WD"}</definedName>
    <definedName name="문길원" hidden="1">{"'5'!$A$1:$BB$147"}</definedName>
    <definedName name="문서처리" hidden="1">{#N/A,#N/A,FALSE,"단축1";#N/A,#N/A,FALSE,"단축2";#N/A,#N/A,FALSE,"단축3";#N/A,#N/A,FALSE,"장축";#N/A,#N/A,FALSE,"4WD"}</definedName>
    <definedName name="문제" hidden="1">{#N/A,#N/A,FALSE,"단축1";#N/A,#N/A,FALSE,"단축2";#N/A,#N/A,FALSE,"단축3";#N/A,#N/A,FALSE,"장축";#N/A,#N/A,FALSE,"4WD"}</definedName>
    <definedName name="문제3" hidden="1">{#N/A,#N/A,FALSE,"단축1";#N/A,#N/A,FALSE,"단축2";#N/A,#N/A,FALSE,"단축3";#N/A,#N/A,FALSE,"장축";#N/A,#N/A,FALSE,"4WD"}</definedName>
    <definedName name="문제3_1" hidden="1">{#N/A,#N/A,FALSE,"단축1";#N/A,#N/A,FALSE,"단축2";#N/A,#N/A,FALSE,"단축3";#N/A,#N/A,FALSE,"장축";#N/A,#N/A,FALSE,"4WD"}</definedName>
    <definedName name="문제점" hidden="1">{#N/A,#N/A,FALSE,"단축1";#N/A,#N/A,FALSE,"단축2";#N/A,#N/A,FALSE,"단축3";#N/A,#N/A,FALSE,"장축";#N/A,#N/A,FALSE,"4WD"}</definedName>
    <definedName name="문제점1" hidden="1">{#N/A,#N/A,FALSE,"단축1";#N/A,#N/A,FALSE,"단축2";#N/A,#N/A,FALSE,"단축3";#N/A,#N/A,FALSE,"장축";#N/A,#N/A,FALSE,"4WD"}</definedName>
    <definedName name="문제점HADS3" hidden="1">{#N/A,#N/A,FALSE,"단축1";#N/A,#N/A,FALSE,"단축2";#N/A,#N/A,FALSE,"단축3";#N/A,#N/A,FALSE,"장축";#N/A,#N/A,FALSE,"4WD"}</definedName>
    <definedName name="문제점HADS4" hidden="1">{#N/A,#N/A,FALSE,"단축1";#N/A,#N/A,FALSE,"단축2";#N/A,#N/A,FALSE,"단축3";#N/A,#N/A,FALSE,"장축";#N/A,#N/A,FALSE,"4WD"}</definedName>
    <definedName name="문제점HADS5" hidden="1">{#N/A,#N/A,FALSE,"단축1";#N/A,#N/A,FALSE,"단축2";#N/A,#N/A,FALSE,"단축3";#N/A,#N/A,FALSE,"장축";#N/A,#N/A,FALSE,"4WD"}</definedName>
    <definedName name="문제점대채서" hidden="1">{#N/A,#N/A,FALSE,"단축1";#N/A,#N/A,FALSE,"단축2";#N/A,#N/A,FALSE,"단축3";#N/A,#N/A,FALSE,"장축";#N/A,#N/A,FALSE,"4WD"}</definedName>
    <definedName name="물" hidden="1">{#N/A,#N/A,FALSE,"단축1";#N/A,#N/A,FALSE,"단축2";#N/A,#N/A,FALSE,"단축3";#N/A,#N/A,FALSE,"장축";#N/A,#N/A,FALSE,"4WD"}</definedName>
    <definedName name="물라자" hidden="1">{#N/A,#N/A,TRUE,"Y생산";#N/A,#N/A,TRUE,"Y판매";#N/A,#N/A,TRUE,"Y총물량";#N/A,#N/A,TRUE,"Y능력";#N/A,#N/A,TRUE,"YKD"}</definedName>
    <definedName name="물라자_1" hidden="1">{#N/A,#N/A,TRUE,"Y생산";#N/A,#N/A,TRUE,"Y판매";#N/A,#N/A,TRUE,"Y총물량";#N/A,#N/A,TRUE,"Y능력";#N/A,#N/A,TRUE,"YKD"}</definedName>
    <definedName name="물랴자" hidden="1">{#N/A,#N/A,TRUE,"Y생산";#N/A,#N/A,TRUE,"Y판매";#N/A,#N/A,TRUE,"Y총물량";#N/A,#N/A,TRUE,"Y능력";#N/A,#N/A,TRUE,"YKD"}</definedName>
    <definedName name="물랴자_1" hidden="1">{#N/A,#N/A,TRUE,"Y생산";#N/A,#N/A,TRUE,"Y판매";#N/A,#N/A,TRUE,"Y총물량";#N/A,#N/A,TRUE,"Y능력";#N/A,#N/A,TRUE,"YKD"}</definedName>
    <definedName name="물랴자_2" hidden="1">{#N/A,#N/A,TRUE,"Y생산";#N/A,#N/A,TRUE,"Y판매";#N/A,#N/A,TRUE,"Y총물량";#N/A,#N/A,TRUE,"Y능력";#N/A,#N/A,TRUE,"YKD"}</definedName>
    <definedName name="물량" hidden="1">{#N/A,#N/A,FALSE,"KMC최종회의(7월) 자료"}</definedName>
    <definedName name="물량_1" hidden="1">{#N/A,#N/A,FALSE,"KMC최종회의(7월) 자료"}</definedName>
    <definedName name="물량_2" hidden="1">{#N/A,#N/A,FALSE,"KMC최종회의(7월) 자료"}</definedName>
    <definedName name="물량수" hidden="1">{#N/A,#N/A,TRUE,"Y생산";#N/A,#N/A,TRUE,"Y판매";#N/A,#N/A,TRUE,"Y총물량";#N/A,#N/A,TRUE,"Y능력";#N/A,#N/A,TRUE,"YKD"}</definedName>
    <definedName name="물량수_1" hidden="1">{#N/A,#N/A,TRUE,"Y생산";#N/A,#N/A,TRUE,"Y판매";#N/A,#N/A,TRUE,"Y총물량";#N/A,#N/A,TRUE,"Y능력";#N/A,#N/A,TRUE,"YKD"}</definedName>
    <definedName name="물량수_2" hidden="1">{#N/A,#N/A,TRUE,"Y생산";#N/A,#N/A,TRUE,"Y판매";#N/A,#N/A,TRUE,"Y총물량";#N/A,#N/A,TRUE,"Y능력";#N/A,#N/A,TRUE,"YKD"}</definedName>
    <definedName name="물량수전ㅇ" hidden="1">{#N/A,#N/A,TRUE,"Y생산";#N/A,#N/A,TRUE,"Y판매";#N/A,#N/A,TRUE,"Y총물량";#N/A,#N/A,TRUE,"Y능력";#N/A,#N/A,TRUE,"YKD"}</definedName>
    <definedName name="물량수전ㅇ_1" hidden="1">{#N/A,#N/A,TRUE,"Y생산";#N/A,#N/A,TRUE,"Y판매";#N/A,#N/A,TRUE,"Y총물량";#N/A,#N/A,TRUE,"Y능력";#N/A,#N/A,TRUE,"YKD"}</definedName>
    <definedName name="물량수정" hidden="1">{#N/A,#N/A,TRUE,"Y생산";#N/A,#N/A,TRUE,"Y판매";#N/A,#N/A,TRUE,"Y총물량";#N/A,#N/A,TRUE,"Y능력";#N/A,#N/A,TRUE,"YKD"}</definedName>
    <definedName name="물량수정_1" hidden="1">{#N/A,#N/A,TRUE,"Y생산";#N/A,#N/A,TRUE,"Y판매";#N/A,#N/A,TRUE,"Y총물량";#N/A,#N/A,TRUE,"Y능력";#N/A,#N/A,TRUE,"YKD"}</definedName>
    <definedName name="물량수정_2" hidden="1">{#N/A,#N/A,TRUE,"Y생산";#N/A,#N/A,TRUE,"Y판매";#N/A,#N/A,TRUE,"Y총물량";#N/A,#N/A,TRUE,"Y능력";#N/A,#N/A,TRUE,"YKD"}</definedName>
    <definedName name="물량수정1" hidden="1">{#N/A,#N/A,TRUE,"Y생산";#N/A,#N/A,TRUE,"Y판매";#N/A,#N/A,TRUE,"Y총물량";#N/A,#N/A,TRUE,"Y능력";#N/A,#N/A,TRUE,"YKD"}</definedName>
    <definedName name="물량수정1_1" hidden="1">{#N/A,#N/A,TRUE,"Y생산";#N/A,#N/A,TRUE,"Y판매";#N/A,#N/A,TRUE,"Y총물량";#N/A,#N/A,TRUE,"Y능력";#N/A,#N/A,TRUE,"YKD"}</definedName>
    <definedName name="물량수정1_2" hidden="1">{#N/A,#N/A,TRUE,"Y생산";#N/A,#N/A,TRUE,"Y판매";#N/A,#N/A,TRUE,"Y총물량";#N/A,#N/A,TRUE,"Y능력";#N/A,#N/A,TRUE,"YKD"}</definedName>
    <definedName name="물량수정2" hidden="1">{#N/A,#N/A,TRUE,"Y생산";#N/A,#N/A,TRUE,"Y판매";#N/A,#N/A,TRUE,"Y총물량";#N/A,#N/A,TRUE,"Y능력";#N/A,#N/A,TRUE,"YKD"}</definedName>
    <definedName name="물량수정2_1" hidden="1">{#N/A,#N/A,TRUE,"Y생산";#N/A,#N/A,TRUE,"Y판매";#N/A,#N/A,TRUE,"Y총물량";#N/A,#N/A,TRUE,"Y능력";#N/A,#N/A,TRUE,"YKD"}</definedName>
    <definedName name="물량수정2_2" hidden="1">{#N/A,#N/A,TRUE,"Y생산";#N/A,#N/A,TRUE,"Y판매";#N/A,#N/A,TRUE,"Y총물량";#N/A,#N/A,TRUE,"Y능력";#N/A,#N/A,TRUE,"YKD"}</definedName>
    <definedName name="물량수정3" hidden="1">{#N/A,#N/A,TRUE,"Y생산";#N/A,#N/A,TRUE,"Y판매";#N/A,#N/A,TRUE,"Y총물량";#N/A,#N/A,TRUE,"Y능력";#N/A,#N/A,TRUE,"YKD"}</definedName>
    <definedName name="물량수정4" hidden="1">{#N/A,#N/A,TRUE,"Y생산";#N/A,#N/A,TRUE,"Y판매";#N/A,#N/A,TRUE,"Y총물량";#N/A,#N/A,TRUE,"Y능력";#N/A,#N/A,TRUE,"YKD"}</definedName>
    <definedName name="물량정" hidden="1">{#N/A,#N/A,TRUE,"Y생산";#N/A,#N/A,TRUE,"Y판매";#N/A,#N/A,TRUE,"Y총물량";#N/A,#N/A,TRUE,"Y능력";#N/A,#N/A,TRUE,"YKD"}</definedName>
    <definedName name="물량정_1" hidden="1">{#N/A,#N/A,TRUE,"Y생산";#N/A,#N/A,TRUE,"Y판매";#N/A,#N/A,TRUE,"Y총물량";#N/A,#N/A,TRUE,"Y능력";#N/A,#N/A,TRUE,"YKD"}</definedName>
    <definedName name="물량정_2" hidden="1">{#N/A,#N/A,TRUE,"Y생산";#N/A,#N/A,TRUE,"Y판매";#N/A,#N/A,TRUE,"Y총물량";#N/A,#N/A,TRUE,"Y능력";#N/A,#N/A,TRUE,"YKD"}</definedName>
    <definedName name="물량정1" hidden="1">{#N/A,#N/A,TRUE,"Y생산";#N/A,#N/A,TRUE,"Y판매";#N/A,#N/A,TRUE,"Y총물량";#N/A,#N/A,TRUE,"Y능력";#N/A,#N/A,TRUE,"YKD"}</definedName>
    <definedName name="물량조정" hidden="1">{#N/A,#N/A,TRUE,"Y생산";#N/A,#N/A,TRUE,"Y판매";#N/A,#N/A,TRUE,"Y총물량";#N/A,#N/A,TRUE,"Y능력";#N/A,#N/A,TRUE,"YKD"}</definedName>
    <definedName name="물량조정_1" hidden="1">{#N/A,#N/A,TRUE,"Y생산";#N/A,#N/A,TRUE,"Y판매";#N/A,#N/A,TRUE,"Y총물량";#N/A,#N/A,TRUE,"Y능력";#N/A,#N/A,TRUE,"YKD"}</definedName>
    <definedName name="물량조정_2" hidden="1">{#N/A,#N/A,TRUE,"Y생산";#N/A,#N/A,TRUE,"Y판매";#N/A,#N/A,TRUE,"Y총물량";#N/A,#N/A,TRUE,"Y능력";#N/A,#N/A,TRUE,"YKD"}</definedName>
    <definedName name="물량조정3" hidden="1">{#N/A,#N/A,TRUE,"Y생산";#N/A,#N/A,TRUE,"Y판매";#N/A,#N/A,TRUE,"Y총물량";#N/A,#N/A,TRUE,"Y능력";#N/A,#N/A,TRUE,"YKD"}</definedName>
    <definedName name="물류" hidden="1">{#N/A,#N/A,FALSE,"단축1";#N/A,#N/A,FALSE,"단축2";#N/A,#N/A,FALSE,"단축3";#N/A,#N/A,FALSE,"장축";#N/A,#N/A,FALSE,"4WD"}</definedName>
    <definedName name="물류_1" hidden="1">{#N/A,#N/A,FALSE,"단축1";#N/A,#N/A,FALSE,"단축2";#N/A,#N/A,FALSE,"단축3";#N/A,#N/A,FALSE,"장축";#N/A,#N/A,FALSE,"4WD"}</definedName>
    <definedName name="물류비검토" hidden="1">{#N/A,#N/A,FALSE,"단축1";#N/A,#N/A,FALSE,"단축2";#N/A,#N/A,FALSE,"단축3";#N/A,#N/A,FALSE,"장축";#N/A,#N/A,FALSE,"4WD"}</definedName>
    <definedName name="물류비검토_1" hidden="1">{#N/A,#N/A,FALSE,"단축1";#N/A,#N/A,FALSE,"단축2";#N/A,#N/A,FALSE,"단축3";#N/A,#N/A,FALSE,"장축";#N/A,#N/A,FALSE,"4WD"}</definedName>
    <definedName name="물류비현황" hidden="1">{#N/A,#N/A,FALSE,"단축1";#N/A,#N/A,FALSE,"단축2";#N/A,#N/A,FALSE,"단축3";#N/A,#N/A,FALSE,"장축";#N/A,#N/A,FALSE,"4WD"}</definedName>
    <definedName name="물류합리화" hidden="1">{#N/A,#N/A,TRUE,"Y생산";#N/A,#N/A,TRUE,"Y판매";#N/A,#N/A,TRUE,"Y총물량";#N/A,#N/A,TRUE,"Y능력";#N/A,#N/A,TRUE,"YKD"}</definedName>
    <definedName name="물류합리화_1" hidden="1">{#N/A,#N/A,TRUE,"Y생산";#N/A,#N/A,TRUE,"Y판매";#N/A,#N/A,TRUE,"Y총물량";#N/A,#N/A,TRUE,"Y능력";#N/A,#N/A,TRUE,"YKD"}</definedName>
    <definedName name="물리자" hidden="1">{#N/A,#N/A,TRUE,"Y생산";#N/A,#N/A,TRUE,"Y판매";#N/A,#N/A,TRUE,"Y총물량";#N/A,#N/A,TRUE,"Y능력";#N/A,#N/A,TRUE,"YKD"}</definedName>
    <definedName name="물리자_1" hidden="1">{#N/A,#N/A,TRUE,"Y생산";#N/A,#N/A,TRUE,"Y판매";#N/A,#N/A,TRUE,"Y총물량";#N/A,#N/A,TRUE,"Y능력";#N/A,#N/A,TRUE,"YKD"}</definedName>
    <definedName name="물수" hidden="1">{#N/A,#N/A,TRUE,"Y생산";#N/A,#N/A,TRUE,"Y판매";#N/A,#N/A,TRUE,"Y총물량";#N/A,#N/A,TRUE,"Y능력";#N/A,#N/A,TRUE,"YKD"}</definedName>
    <definedName name="물수_1" hidden="1">{#N/A,#N/A,TRUE,"Y생산";#N/A,#N/A,TRUE,"Y판매";#N/A,#N/A,TRUE,"Y총물량";#N/A,#N/A,TRUE,"Y능력";#N/A,#N/A,TRUE,"YKD"}</definedName>
    <definedName name="물수_2" hidden="1">{#N/A,#N/A,TRUE,"Y생산";#N/A,#N/A,TRUE,"Y판매";#N/A,#N/A,TRUE,"Y총물량";#N/A,#N/A,TRUE,"Y능력";#N/A,#N/A,TRUE,"YKD"}</definedName>
    <definedName name="뭐야" hidden="1">{#N/A,#N/A,FALSE,"KMC최종회의(7월) 자료"}</definedName>
    <definedName name="뭐야_1" hidden="1">{#N/A,#N/A,FALSE,"KMC최종회의(7월) 자료"}</definedName>
    <definedName name="뭐야_2" hidden="1">{#N/A,#N/A,FALSE,"KMC최종회의(7월) 자료"}</definedName>
    <definedName name="뭐지" hidden="1">{#N/A,#N/A,FALSE,"정공"}</definedName>
    <definedName name="뮬" hidden="1">{#N/A,#N/A,FALSE,"단축1";#N/A,#N/A,FALSE,"단축2";#N/A,#N/A,FALSE,"단축3";#N/A,#N/A,FALSE,"장축";#N/A,#N/A,FALSE,"4WD"}</definedName>
    <definedName name="미" hidden="1">{#N/A,#N/A,FALSE,"미판매분"}</definedName>
    <definedName name="미_1" hidden="1">{#N/A,#N/A,FALSE,"미판매분"}</definedName>
    <definedName name="미_2" hidden="1">{#N/A,#N/A,TRUE,"Y생산";#N/A,#N/A,TRUE,"Y판매";#N/A,#N/A,TRUE,"Y총물량";#N/A,#N/A,TRUE,"Y능력";#N/A,#N/A,TRUE,"YKD"}</definedName>
    <definedName name="미계획" hidden="1">{#N/A,#N/A,FALSE,"단축1";#N/A,#N/A,FALSE,"단축2";#N/A,#N/A,FALSE,"단축3";#N/A,#N/A,FALSE,"장축";#N/A,#N/A,FALSE,"4WD"}</definedName>
    <definedName name="미국조정가2" hidden="1">{#N/A,#N/A,FALSE,"정공"}</definedName>
    <definedName name="미기록지" hidden="1">{#N/A,#N/A,FALSE,"KMC최종회의(7월) 자료"}</definedName>
    <definedName name="미기록지_1" hidden="1">{#N/A,#N/A,FALSE,"KMC최종회의(7월) 자료"}</definedName>
    <definedName name="미기록지_2" hidden="1">{#N/A,#N/A,FALSE,"KMC최종회의(7월) 자료"}</definedName>
    <definedName name="미러ㅣ머" hidden="1">{#N/A,#N/A,FALSE,"단축1";#N/A,#N/A,FALSE,"단축2";#N/A,#N/A,FALSE,"단축3";#N/A,#N/A,FALSE,"장축";#N/A,#N/A,FALSE,"4WD"}</definedName>
    <definedName name="미머ㅣㄹ" hidden="1">{#N/A,#N/A,FALSE,"단축1";#N/A,#N/A,FALSE,"단축2";#N/A,#N/A,FALSE,"단축3";#N/A,#N/A,FALSE,"장축";#N/A,#N/A,FALSE,"4WD"}</definedName>
    <definedName name="미미마마마마맘마미미마마마마마마마마마마마마마마마마마마마마마마마마마마마마맘" hidden="1">{#N/A,#N/A,FALSE,"KMC최종회의(7월) 자료"}</definedName>
    <definedName name="미미마마마마맘마미미마마마마마마마마마마마마마마마마마마마마마마마마마마마마맘_1" hidden="1">{#N/A,#N/A,FALSE,"KMC최종회의(7월) 자료"}</definedName>
    <definedName name="미미미" hidden="1">{#N/A,#N/A,FALSE,"단축1";#N/A,#N/A,FALSE,"단축2";#N/A,#N/A,FALSE,"단축3";#N/A,#N/A,FALSE,"장축";#N/A,#N/A,FALSE,"4WD"}</definedName>
    <definedName name="미미미미미미미미미미미미미미미미미미미미미미미밈" hidden="1">{#N/A,#N/A,FALSE,"KMC최종회의(7월) 자료"}</definedName>
    <definedName name="미미미아" hidden="1">{#N/A,#N/A,FALSE,"정공"}</definedName>
    <definedName name="미미미아_1" hidden="1">{#N/A,#N/A,FALSE,"정공"}</definedName>
    <definedName name="미미미아_2" hidden="1">{#N/A,#N/A,FALSE,"정공"}</definedName>
    <definedName name="미미미아_2_1" hidden="1">{#N/A,#N/A,FALSE,"정공"}</definedName>
    <definedName name="미미미아_2_2" hidden="1">{#N/A,#N/A,FALSE,"정공"}</definedName>
    <definedName name="미미미아_2_3" hidden="1">{#N/A,#N/A,FALSE,"정공"}</definedName>
    <definedName name="미미미아_3" hidden="1">{#N/A,#N/A,FALSE,"정공"}</definedName>
    <definedName name="미미미아_3_1" hidden="1">{#N/A,#N/A,FALSE,"정공"}</definedName>
    <definedName name="미미미아_3_2" hidden="1">{#N/A,#N/A,FALSE,"정공"}</definedName>
    <definedName name="미미미아_3_3" hidden="1">{#N/A,#N/A,FALSE,"정공"}</definedName>
    <definedName name="미미미아_4" hidden="1">{#N/A,#N/A,FALSE,"정공"}</definedName>
    <definedName name="미미미아_5" hidden="1">{#N/A,#N/A,FALSE,"정공"}</definedName>
    <definedName name="미미미ㅣ" hidden="1">{#N/A,#N/A,FALSE,"단축1";#N/A,#N/A,FALSE,"단축2";#N/A,#N/A,FALSE,"단축3";#N/A,#N/A,FALSE,"장축";#N/A,#N/A,FALSE,"4WD"}</definedName>
    <definedName name="미밀" hidden="1">{#N/A,#N/A,FALSE,"단축1";#N/A,#N/A,FALSE,"단축2";#N/A,#N/A,FALSE,"단축3";#N/A,#N/A,FALSE,"장축";#N/A,#N/A,FALSE,"4WD"}</definedName>
    <definedName name="미석" hidden="1">{#N/A,#N/A,FALSE,"정공"}</definedName>
    <definedName name="미석_1" hidden="1">{#N/A,#N/A,FALSE,"정공"}</definedName>
    <definedName name="미석_2" hidden="1">{#N/A,#N/A,FALSE,"정공"}</definedName>
    <definedName name="미석_2_1" hidden="1">{#N/A,#N/A,FALSE,"정공"}</definedName>
    <definedName name="미석_2_2" hidden="1">{#N/A,#N/A,FALSE,"정공"}</definedName>
    <definedName name="미석_2_3" hidden="1">{#N/A,#N/A,FALSE,"정공"}</definedName>
    <definedName name="미석_3" hidden="1">{#N/A,#N/A,FALSE,"정공"}</definedName>
    <definedName name="미석_3_1" hidden="1">{#N/A,#N/A,FALSE,"정공"}</definedName>
    <definedName name="미석_3_2" hidden="1">{#N/A,#N/A,FALSE,"정공"}</definedName>
    <definedName name="미석_3_3" hidden="1">{#N/A,#N/A,FALSE,"정공"}</definedName>
    <definedName name="미석_4" hidden="1">{#N/A,#N/A,FALSE,"정공"}</definedName>
    <definedName name="미석_5" hidden="1">{#N/A,#N/A,FALSE,"정공"}</definedName>
    <definedName name="미숑" hidden="1">{#N/A,#N/A,FALSE,"단축1";#N/A,#N/A,FALSE,"단축2";#N/A,#N/A,FALSE,"단축3";#N/A,#N/A,FALSE,"장축";#N/A,#N/A,FALSE,"4WD"}</definedName>
    <definedName name="미수금" hidden="1">{#N/A,#N/A,FALSE,"미판매분"}</definedName>
    <definedName name="미수금_1" hidden="1">{#N/A,#N/A,FALSE,"미판매분"}</definedName>
    <definedName name="미수수익계상이" hidden="1">#REF!</definedName>
    <definedName name="미수종합" hidden="1">{#N/A,#N/A,FALSE,"미판매분"}</definedName>
    <definedName name="미수종합_1" hidden="1">{#N/A,#N/A,FALSE,"미판매분"}</definedName>
    <definedName name="미수채권" hidden="1">{"'공작'!$A$2:$AH$17"}</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안해용" hidden="1">#REF!</definedName>
    <definedName name="미접수" hidden="1">{#N/A,#N/A,FALSE,"해외크레임";#N/A,#N/A,FALSE,"ACCENT현황";#N/A,#N/A,FALSE,"AVANTE";#N/A,#N/A,FALSE,"SONATA(3)";#N/A,#N/A,FALSE,"국내크레임"}</definedName>
    <definedName name="미지급" hidden="1">#REF!</definedName>
    <definedName name="미치겠네" hidden="1">{#N/A,#N/A,FALSE,"100PPM";#N/A,#N/A,FALSE,"3차원대책서";#N/A,#N/A,FALSE,"개선사례"}</definedName>
    <definedName name="미ㅓㅁ" hidden="1">{#N/A,#N/A,FALSE,"단축1";#N/A,#N/A,FALSE,"단축2";#N/A,#N/A,FALSE,"단축3";#N/A,#N/A,FALSE,"장축";#N/A,#N/A,FALSE,"4WD"}</definedName>
    <definedName name="미ㅓㅣ멀" hidden="1">{#N/A,#N/A,FALSE,"단축1";#N/A,#N/A,FALSE,"단축2";#N/A,#N/A,FALSE,"단축3";#N/A,#N/A,FALSE,"장축";#N/A,#N/A,FALSE,"4WD"}</definedName>
    <definedName name="미ㅣ미" hidden="1">{#N/A,#N/A,FALSE,"단축1";#N/A,#N/A,FALSE,"단축2";#N/A,#N/A,FALSE,"단축3";#N/A,#N/A,FALSE,"장축";#N/A,#N/A,FALSE,"4WD"}</definedName>
    <definedName name="민총2" hidden="1">{#N/A,#N/A,FALSE,"을지 (4)";#N/A,#N/A,FALSE,"을지 (5)";#N/A,#N/A,FALSE,"을지 (6)"}</definedName>
    <definedName name="밈" hidden="1">{#N/A,#N/A,FALSE,"표지";#N/A,#N/A,FALSE,"전제";#N/A,#N/A,FALSE,"손익-자 (2)";#N/A,#N/A,FALSE,"손익-자";#N/A,#N/A,FALSE,"손익-마 (2)";#N/A,#N/A,FALSE,"손익-마";#N/A,#N/A,FALSE,"총손최종"}</definedName>
    <definedName name="밑그림" hidden="1">{#N/A,#N/A,FALSE,"단축1";#N/A,#N/A,FALSE,"단축2";#N/A,#N/A,FALSE,"단축3";#N/A,#N/A,FALSE,"장축";#N/A,#N/A,FALSE,"4WD"}</definedName>
    <definedName name="ㅂ" hidden="1">{#N/A,#N/A,FALSE,"KMC최종회의(7월) 자료"}</definedName>
    <definedName name="ㅂ_1" hidden="1">{#N/A,#N/A,TRUE,"Y생산";#N/A,#N/A,TRUE,"Y판매";#N/A,#N/A,TRUE,"Y총물량";#N/A,#N/A,TRUE,"Y능력";#N/A,#N/A,TRUE,"YKD"}</definedName>
    <definedName name="ㅂ_2" hidden="1">{#N/A,#N/A,FALSE,"단축1";#N/A,#N/A,FALSE,"단축2";#N/A,#N/A,FALSE,"단축3";#N/A,#N/A,FALSE,"장축";#N/A,#N/A,FALSE,"4WD"}</definedName>
    <definedName name="ㅂ_2_1" hidden="1">{#N/A,#N/A,TRUE,"Y생산";#N/A,#N/A,TRUE,"Y판매";#N/A,#N/A,TRUE,"Y총물량";#N/A,#N/A,TRUE,"Y능력";#N/A,#N/A,TRUE,"YKD"}</definedName>
    <definedName name="ㅂ_2_2" hidden="1">{#N/A,#N/A,TRUE,"Y생산";#N/A,#N/A,TRUE,"Y판매";#N/A,#N/A,TRUE,"Y총물량";#N/A,#N/A,TRUE,"Y능력";#N/A,#N/A,TRUE,"YKD"}</definedName>
    <definedName name="ㅂ_2_3" hidden="1">{#N/A,#N/A,TRUE,"Y생산";#N/A,#N/A,TRUE,"Y판매";#N/A,#N/A,TRUE,"Y총물량";#N/A,#N/A,TRUE,"Y능력";#N/A,#N/A,TRUE,"YKD"}</definedName>
    <definedName name="ㅂ_3" hidden="1">{#N/A,#N/A,TRUE,"Y생산";#N/A,#N/A,TRUE,"Y판매";#N/A,#N/A,TRUE,"Y총물량";#N/A,#N/A,TRUE,"Y능력";#N/A,#N/A,TRUE,"YKD"}</definedName>
    <definedName name="ㅂ_3_1" hidden="1">{#N/A,#N/A,TRUE,"Y생산";#N/A,#N/A,TRUE,"Y판매";#N/A,#N/A,TRUE,"Y총물량";#N/A,#N/A,TRUE,"Y능력";#N/A,#N/A,TRUE,"YKD"}</definedName>
    <definedName name="ㅂ_3_2" hidden="1">{#N/A,#N/A,TRUE,"Y생산";#N/A,#N/A,TRUE,"Y판매";#N/A,#N/A,TRUE,"Y총물량";#N/A,#N/A,TRUE,"Y능력";#N/A,#N/A,TRUE,"YKD"}</definedName>
    <definedName name="ㅂ_3_3" hidden="1">{#N/A,#N/A,TRUE,"Y생산";#N/A,#N/A,TRUE,"Y판매";#N/A,#N/A,TRUE,"Y총물량";#N/A,#N/A,TRUE,"Y능력";#N/A,#N/A,TRUE,"YKD"}</definedName>
    <definedName name="ㅂ_4" hidden="1">{#N/A,#N/A,TRUE,"Y생산";#N/A,#N/A,TRUE,"Y판매";#N/A,#N/A,TRUE,"Y총물량";#N/A,#N/A,TRUE,"Y능력";#N/A,#N/A,TRUE,"YKD"}</definedName>
    <definedName name="ㅂ_5" hidden="1">{#N/A,#N/A,TRUE,"Y생산";#N/A,#N/A,TRUE,"Y판매";#N/A,#N/A,TRUE,"Y총물량";#N/A,#N/A,TRUE,"Y능력";#N/A,#N/A,TRUE,"YKD"}</definedName>
    <definedName name="ㅂ12" hidden="1">{"'7-2지역별'!$A$1:$R$44"}</definedName>
    <definedName name="ㅂ123" hidden="1">{"'7-2지역별'!$A$1:$R$44"}</definedName>
    <definedName name="ㅂ1234" hidden="1">{"'7-2지역별'!$A$1:$R$44"}</definedName>
    <definedName name="ㅂ12345" hidden="1">{"'7-2지역별'!$A$1:$R$44"}</definedName>
    <definedName name="ㅂ123ㅁ" hidden="1">{"'7-2지역별'!$A$1:$R$44"}</definedName>
    <definedName name="ㅂ21" hidden="1">{"'7-2지역별'!$A$1:$R$44"}</definedName>
    <definedName name="ㅂ22" hidden="1">{"'7-2지역별'!$A$1:$R$44"}</definedName>
    <definedName name="ㅂ23" hidden="1">{"'7-2지역별'!$A$1:$R$44"}</definedName>
    <definedName name="ㅂ234" hidden="1">{"'7-2지역별'!$A$1:$R$44"}</definedName>
    <definedName name="ㅂ2345" hidden="1">{"'7-2지역별'!$A$1:$R$44"}</definedName>
    <definedName name="ㅂ34" hidden="1">{"'7-2지역별'!$A$1:$R$44"}</definedName>
    <definedName name="ㅂ45" hidden="1">{"'7-2지역별'!$A$1:$R$44"}</definedName>
    <definedName name="ㅂ56" hidden="1">{"'7-2지역별'!$A$1:$R$44"}</definedName>
    <definedName name="ㅂ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ㄴㅁㅋ" hidden="1">{#N/A,#N/A,FALSE,"단축1";#N/A,#N/A,FALSE,"단축2";#N/A,#N/A,FALSE,"단축3";#N/A,#N/A,FALSE,"장축";#N/A,#N/A,FALSE,"4WD"}</definedName>
    <definedName name="ㅂㄴㅂㅈㅂ" hidden="1">{#N/A,#N/A,FALSE,"단축1";#N/A,#N/A,FALSE,"단축2";#N/A,#N/A,FALSE,"단축3";#N/A,#N/A,FALSE,"장축";#N/A,#N/A,FALSE,"4WD"}</definedName>
    <definedName name="ㅂㄴㅌ" hidden="1">{#N/A,#N/A,FALSE,"KMC최종회의(7월) 자료"}</definedName>
    <definedName name="ㅂㄴㅌ_1" hidden="1">{#N/A,#N/A,FALSE,"KMC최종회의(7월) 자료"}</definedName>
    <definedName name="ㅂㄵㄷㅅㄱㄹㅇㅅㅎㅅㅎㄹ" hidden="1">{#N/A,#N/A,FALSE,"단축1";#N/A,#N/A,FALSE,"단축2";#N/A,#N/A,FALSE,"단축3";#N/A,#N/A,FALSE,"장축";#N/A,#N/A,FALSE,"4WD"}</definedName>
    <definedName name="ㅂㄷㄱ" hidden="1">{#N/A,#N/A,FALSE,"PART-1234-8-12-9(41)";#N/A,#N/A,FALSE,"PARTS-2(3)";#N/A,#N/A,FALSE,"VAN SYSTEM";#N/A,#N/A,FALSE,"PARTS-10(26)";#N/A,#N/A,FALSE,"PART-5-6-7-11(14)";#N/A,#N/A,FALSE,"PARTS-4(3)";#N/A,#N/A,FALSE,"PCLASS"}</definedName>
    <definedName name="ㅂㄷㅂ" hidden="1">{#N/A,#N/A,TRUE,"Y생산";#N/A,#N/A,TRUE,"Y판매";#N/A,#N/A,TRUE,"Y총물량";#N/A,#N/A,TRUE,"Y능력";#N/A,#N/A,TRUE,"YKD"}</definedName>
    <definedName name="ㅂㄷㅂ_1" hidden="1">{#N/A,#N/A,TRUE,"Y생산";#N/A,#N/A,TRUE,"Y판매";#N/A,#N/A,TRUE,"Y총물량";#N/A,#N/A,TRUE,"Y능력";#N/A,#N/A,TRUE,"YKD"}</definedName>
    <definedName name="ㅂㄷㅂㅈㄷ" hidden="1">{#N/A,#N/A,FALSE,"KMC최종회의(7월) 자료"}</definedName>
    <definedName name="ㅂㄷ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ㅂㅁ" hidden="1">{#N/A,#N/A,FALSE,"KMC최종회의(7월) 자료"}</definedName>
    <definedName name="ㅂㅁ_1" hidden="1">{#N/A,#N/A,FALSE,"KMC최종회의(7월) 자료"}</definedName>
    <definedName name="ㅂㅁ_2" hidden="1">{#N/A,#N/A,FALSE,"KMC최종회의(7월) 자료"}</definedName>
    <definedName name="ㅂㅁ43" hidden="1">{"'7-2지역별'!$A$1:$R$44"}</definedName>
    <definedName name="ㅂㅁㅁ" hidden="1">{#N/A,#N/A,FALSE,"정공"}</definedName>
    <definedName name="ㅂㅁㅇㄹ" hidden="1">{#N/A,#N/A,FALSE,"인원";#N/A,#N/A,FALSE,"비용2";#N/A,#N/A,FALSE,"비용1";#N/A,#N/A,FALSE,"비용";#N/A,#N/A,FALSE,"보증2";#N/A,#N/A,FALSE,"보증1";#N/A,#N/A,FALSE,"보증";#N/A,#N/A,FALSE,"손익1";#N/A,#N/A,FALSE,"손익";#N/A,#N/A,FALSE,"부서별매출";#N/A,#N/A,FALSE,"매출"}</definedName>
    <definedName name="ㅂㅂ" hidden="1">{#N/A,#N/A,FALSE,"단축1";#N/A,#N/A,FALSE,"단축2";#N/A,#N/A,FALSE,"단축3";#N/A,#N/A,FALSE,"장축";#N/A,#N/A,FALSE,"4WD"}</definedName>
    <definedName name="ㅂㅂ_1" hidden="1">{#N/A,#N/A,FALSE,"단축1";#N/A,#N/A,FALSE,"단축2";#N/A,#N/A,FALSE,"단축3";#N/A,#N/A,FALSE,"장축";#N/A,#N/A,FALSE,"4WD"}</definedName>
    <definedName name="ㅂ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ㅂ" hidden="1">{#N/A,#N/A,FALSE,"KMC최종회의(7월) 자료"}</definedName>
    <definedName name="ㅂㅂㅂㅂ_1" hidden="1">{#N/A,#N/A,FALSE,"단축1";#N/A,#N/A,FALSE,"단축2";#N/A,#N/A,FALSE,"단축3";#N/A,#N/A,FALSE,"장축";#N/A,#N/A,FALSE,"4WD"}</definedName>
    <definedName name="ㅂㅂㅂㅂㅂ" hidden="1">{#N/A,#N/A,FALSE,"KMC최종회의(7월) 자료"}</definedName>
    <definedName name="ㅂㅂㅂㅂㅂㅂㅂ" hidden="1">{#N/A,#N/A,FALSE,"KMC최종회의(7월) 자료"}</definedName>
    <definedName name="ㅂㅂㅂㅂㅂㅂㅂㅂ" hidden="1">{#N/A,#N/A,FALSE,"단축1";#N/A,#N/A,FALSE,"단축2";#N/A,#N/A,FALSE,"단축3";#N/A,#N/A,FALSE,"장축";#N/A,#N/A,FALSE,"4WD"}</definedName>
    <definedName name="ㅂㅂㅂㅂㅂㅂㅂㅂ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ㅂㅂㅂㅂㅂㅂㅂㅂㅂㅂㅂㅂㅂㅂㅂㅂㅂㅂㅂㅂㅂㅂㅂㅂㅂㅂㅂㅂㅂㅂㅂ_1" hidden="1">{#N/A,#N/A,FALSE,"단축1";#N/A,#N/A,FALSE,"단축2";#N/A,#N/A,FALSE,"단축3";#N/A,#N/A,FALSE,"장축";#N/A,#N/A,FALSE,"4WD"}</definedName>
    <definedName name="ㅂㅂㅈㅈㄷ" hidden="1">{#N/A,#N/A,FALSE,"KMC최종회의(7월) 자료"}</definedName>
    <definedName name="ㅂ버" hidden="1">{#N/A,#N/A,FALSE,"신규dep";#N/A,#N/A,FALSE,"신규dep-금형상각후";#N/A,#N/A,FALSE,"신규dep-연구비상각후";#N/A,#N/A,FALSE,"신규dep-기계,공구상각후"}</definedName>
    <definedName name="ㅂㅈ" hidden="1">{#N/A,#N/A,FALSE,"KMC최종회의(7월) 자료"}</definedName>
    <definedName name="ㅂㅈ_1" hidden="1">{#N/A,#N/A,FALSE,"KMC최종회의(7월) 자료"}</definedName>
    <definedName name="ㅂㅈ_2" hidden="1">{#N/A,#N/A,FALSE,"KMC최종회의(7월) 자료"}</definedName>
    <definedName name="ㅂㅈㄱㄷ" hidden="1">{#N/A,#N/A,FALSE,"KMC최종회의(7월) 자료"}</definedName>
    <definedName name="ㅂㅈㄱㄷ_1" hidden="1">{#N/A,#N/A,FALSE,"KMC최종회의(7월) 자료"}</definedName>
    <definedName name="ㅂㅈㄴㅁ" hidden="1">{#N/A,#N/A,FALSE,"정공"}</definedName>
    <definedName name="ㅂㅈㄴㅁ_1" hidden="1">{#N/A,#N/A,FALSE,"정공"}</definedName>
    <definedName name="ㅂㅈㄴㅁ_2" hidden="1">{#N/A,#N/A,FALSE,"정공"}</definedName>
    <definedName name="ㅂㅈㄷ" hidden="1">{"'총괄'!$A$1"}</definedName>
    <definedName name="ㅂㅈㄷ2ㄷ21ㄷ" hidden="1">#REF!</definedName>
    <definedName name="ㅂㅈㄷㄱ" hidden="1">{#N/A,#N/A,FALSE,"단축1";#N/A,#N/A,FALSE,"단축2";#N/A,#N/A,FALSE,"단축3";#N/A,#N/A,FALSE,"장축";#N/A,#N/A,FALSE,"4WD"}</definedName>
    <definedName name="ㅂㅈㄷㄱㄷㅈ" hidden="1">{#N/A,#N/A,FALSE,"단축1";#N/A,#N/A,FALSE,"단축2";#N/A,#N/A,FALSE,"단축3";#N/A,#N/A,FALSE,"장축";#N/A,#N/A,FALSE,"4WD"}</definedName>
    <definedName name="ㅂㅈㄷㄱㅂㄷㄱ" hidden="1">{#N/A,#N/A,FALSE,"단축1";#N/A,#N/A,FALSE,"단축2";#N/A,#N/A,FALSE,"단축3";#N/A,#N/A,FALSE,"장축";#N/A,#N/A,FALSE,"4WD"}</definedName>
    <definedName name="ㅂㅈㄷㄱㅂㄷㄱ_1" hidden="1">{#N/A,#N/A,FALSE,"단축1";#N/A,#N/A,FALSE,"단축2";#N/A,#N/A,FALSE,"단축3";#N/A,#N/A,FALSE,"장축";#N/A,#N/A,FALSE,"4WD"}</definedName>
    <definedName name="ㅂㅈㄷㄱㅂㄷㄱ_2" hidden="1">{#N/A,#N/A,FALSE,"단축1";#N/A,#N/A,FALSE,"단축2";#N/A,#N/A,FALSE,"단축3";#N/A,#N/A,FALSE,"장축";#N/A,#N/A,FALSE,"4WD"}</definedName>
    <definedName name="ㅂㅈㄷㄳ" hidden="1">{#N/A,#N/A,FALSE,"단축1";#N/A,#N/A,FALSE,"단축2";#N/A,#N/A,FALSE,"단축3";#N/A,#N/A,FALSE,"장축";#N/A,#N/A,FALSE,"4WD"}</definedName>
    <definedName name="ㅂㅈㄷㅂ" hidden="1">{#N/A,#N/A,FALSE,"96 3월물량표";#N/A,#N/A,FALSE,"96 4월물량표";#N/A,#N/A,FALSE,"96 5월물량표"}</definedName>
    <definedName name="ㅂㅈㄷㅂ_1" hidden="1">{#N/A,#N/A,FALSE,"96 3월물량표";#N/A,#N/A,FALSE,"96 4월물량표";#N/A,#N/A,FALSE,"96 5월물량표"}</definedName>
    <definedName name="ㅂㅈㄷㅈㄷ" hidden="1">{#N/A,#N/A,FALSE,"단축1";#N/A,#N/A,FALSE,"단축2";#N/A,#N/A,FALSE,"단축3";#N/A,#N/A,FALSE,"장축";#N/A,#N/A,FALSE,"4WD"}</definedName>
    <definedName name="ㅂㅈㅂ" hidden="1">{#N/A,#N/A,FALSE,"단축1";#N/A,#N/A,FALSE,"단축2";#N/A,#N/A,FALSE,"단축3";#N/A,#N/A,FALSE,"장축";#N/A,#N/A,FALSE,"4WD"}</definedName>
    <definedName name="ㅂㅈㅂㄷ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ㅂㅈㅂㅂㅌㅈㅇㅌ" hidden="1">{#N/A,#N/A,TRUE,"Y생산";#N/A,#N/A,TRUE,"Y판매";#N/A,#N/A,TRUE,"Y총물량";#N/A,#N/A,TRUE,"Y능력";#N/A,#N/A,TRUE,"YKD"}</definedName>
    <definedName name="ㅂㅈㅇㅇ" hidden="1">{#N/A,#N/A,FALSE,"단축1";#N/A,#N/A,FALSE,"단축2";#N/A,#N/A,FALSE,"단축3";#N/A,#N/A,FALSE,"장축";#N/A,#N/A,FALSE,"4WD"}</definedName>
    <definedName name="ㅂㅈㅈ" hidden="1">#REF!</definedName>
    <definedName name="ㅂㅈㅈㅂㅈ" hidden="1">{#N/A,#N/A,FALSE,"단축1";#N/A,#N/A,FALSE,"단축2";#N/A,#N/A,FALSE,"단축3";#N/A,#N/A,FALSE,"장축";#N/A,#N/A,FALSE,"4WD"}</definedName>
    <definedName name="ㅂㅍㅅ4ㄷㅅㄴ" hidden="1">{#N/A,#N/A,FALSE,"단축1";#N/A,#N/A,FALSE,"단축2";#N/A,#N/A,FALSE,"단축3";#N/A,#N/A,FALSE,"장축";#N/A,#N/A,FALSE,"4WD"}</definedName>
    <definedName name="바" hidden="1">{#N/A,#N/A,FALSE,"정공"}</definedName>
    <definedName name="바_1" hidden="1">{#N/A,#N/A,FALSE,"정공"}</definedName>
    <definedName name="바_2" hidden="1">{#N/A,#N/A,FALSE,"정공"}</definedName>
    <definedName name="바다" hidden="1">{#N/A,#N/A,FALSE,"단축1";#N/A,#N/A,FALSE,"단축2";#N/A,#N/A,FALSE,"단축3";#N/A,#N/A,FALSE,"장축";#N/A,#N/A,FALSE,"4WD"}</definedName>
    <definedName name="바도" hidden="1">{#N/A,#N/A,FALSE,"단축1";#N/A,#N/A,FALSE,"단축2";#N/A,#N/A,FALSE,"단축3";#N/A,#N/A,FALSE,"장축";#N/A,#N/A,FALSE,"4WD"}</definedName>
    <definedName name="바둑이" hidden="1">{#N/A,#N/A,TRUE,"Y생산";#N/A,#N/A,TRUE,"Y판매";#N/A,#N/A,TRUE,"Y총물량";#N/A,#N/A,TRUE,"Y능력";#N/A,#N/A,TRUE,"YKD"}</definedName>
    <definedName name="바람" hidden="1">{#N/A,#N/A,FALSE,"Australien";#N/A,#N/A,FALSE,"Birmingham";#N/A,#N/A,FALSE,"Brasilien";#N/A,#N/A,FALSE,"Prag";#N/A,#N/A,FALSE,"Spanien";#N/A,#N/A,FALSE,"Malaysia ( Com)";#N/A,#N/A,FALSE,"Malaysia (Instr)"}</definedName>
    <definedName name="바랑라" hidden="1">{#N/A,#N/A,FALSE,"정공"}</definedName>
    <definedName name="바랑라_1" hidden="1">{#N/A,#N/A,FALSE,"정공"}</definedName>
    <definedName name="바랑라_2" hidden="1">{#N/A,#N/A,FALSE,"정공"}</definedName>
    <definedName name="바랑라_2_1" hidden="1">{#N/A,#N/A,FALSE,"정공"}</definedName>
    <definedName name="바랑라_2_2" hidden="1">{#N/A,#N/A,FALSE,"정공"}</definedName>
    <definedName name="바랑라_2_3" hidden="1">{#N/A,#N/A,FALSE,"정공"}</definedName>
    <definedName name="바랑라_3" hidden="1">{#N/A,#N/A,FALSE,"정공"}</definedName>
    <definedName name="바랑라_3_1" hidden="1">{#N/A,#N/A,FALSE,"정공"}</definedName>
    <definedName name="바랑라_3_2" hidden="1">{#N/A,#N/A,FALSE,"정공"}</definedName>
    <definedName name="바랑라_3_3" hidden="1">{#N/A,#N/A,FALSE,"정공"}</definedName>
    <definedName name="바랑라_4" hidden="1">{#N/A,#N/A,FALSE,"정공"}</definedName>
    <definedName name="바랑라_5" hidden="1">{#N/A,#N/A,FALSE,"정공"}</definedName>
    <definedName name="바러ㅏ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로가기" hidden="1">{#N/A,#N/A,FALSE,"단축1";#N/A,#N/A,FALSE,"단축2";#N/A,#N/A,FALSE,"단축3";#N/A,#N/A,FALSE,"장축";#N/A,#N/A,FALSE,"4WD"}</definedName>
    <definedName name="바로가기_1" hidden="1">{#N/A,#N/A,FALSE,"단축1";#N/A,#N/A,FALSE,"단축2";#N/A,#N/A,FALSE,"단축3";#N/A,#N/A,FALSE,"장축";#N/A,#N/A,FALSE,"4WD"}</definedName>
    <definedName name="바로가기_2" hidden="1">{#N/A,#N/A,FALSE,"단축1";#N/A,#N/A,FALSE,"단축2";#N/A,#N/A,FALSE,"단축3";#N/A,#N/A,FALSE,"장축";#N/A,#N/A,FALSE,"4WD"}</definedName>
    <definedName name="바로가기1" hidden="1">{#N/A,#N/A,FALSE,"단축1";#N/A,#N/A,FALSE,"단축2";#N/A,#N/A,FALSE,"단축3";#N/A,#N/A,FALSE,"장축";#N/A,#N/A,FALSE,"4WD"}</definedName>
    <definedName name="바바라" hidden="1">{#N/A,#N/A,TRUE,"Y생산";#N/A,#N/A,TRUE,"Y판매";#N/A,#N/A,TRUE,"Y총물량";#N/A,#N/A,TRUE,"Y능력";#N/A,#N/A,TRUE,"YKD"}</definedName>
    <definedName name="바바라_1" hidden="1">{#N/A,#N/A,TRUE,"Y생산";#N/A,#N/A,TRUE,"Y판매";#N/A,#N/A,TRUE,"Y총물량";#N/A,#N/A,TRUE,"Y능력";#N/A,#N/A,TRUE,"YKD"}</definedName>
    <definedName name="바바라_2" hidden="1">{#N/A,#N/A,TRUE,"Y생산";#N/A,#N/A,TRUE,"Y판매";#N/A,#N/A,TRUE,"Y총물량";#N/A,#N/A,TRUE,"Y능력";#N/A,#N/A,TRUE,"YKD"}</definedName>
    <definedName name="바바라2" hidden="1">{#N/A,#N/A,TRUE,"Y생산";#N/A,#N/A,TRUE,"Y판매";#N/A,#N/A,TRUE,"Y총물량";#N/A,#N/A,TRUE,"Y능력";#N/A,#N/A,TRUE,"YKD"}</definedName>
    <definedName name="바바바" hidden="1">{#N/A,#N/A,FALSE,"단축1";#N/A,#N/A,FALSE,"단축2";#N/A,#N/A,FALSE,"단축3";#N/A,#N/A,FALSE,"장축";#N/A,#N/A,FALSE,"4WD"}</definedName>
    <definedName name="바바바밥바바바바" hidden="1">{"'5'!$A$1:$BB$147"}</definedName>
    <definedName name="바바밥" hidden="1">{#N/A,#N/A,FALSE,"단축1";#N/A,#N/A,FALSE,"단축2";#N/A,#N/A,FALSE,"단축3";#N/A,#N/A,FALSE,"장축";#N/A,#N/A,FALSE,"4WD"}</definedName>
    <definedName name="바바조" hidden="1">{#N/A,#N/A,FALSE,"단축1";#N/A,#N/A,FALSE,"단축2";#N/A,#N/A,FALSE,"단축3";#N/A,#N/A,FALSE,"장축";#N/A,#N/A,FALSE,"4WD"}</definedName>
    <definedName name="바밥" hidden="1">{"'5'!$A$1:$BB$147"}</definedName>
    <definedName name="바밥바" hidden="1">{"'5'!$A$1:$BB$147"}</definedName>
    <definedName name="바보" hidden="1">{#N/A,#N/A,FALSE,"정공"}</definedName>
    <definedName name="바보_1" hidden="1">{#N/A,#N/A,FALSE,"정공"}</definedName>
    <definedName name="바보_2" hidden="1">{#N/A,#N/A,FALSE,"정공"}</definedName>
    <definedName name="바보_2_1" hidden="1">{#N/A,#N/A,FALSE,"정공"}</definedName>
    <definedName name="바보_2_2" hidden="1">{#N/A,#N/A,FALSE,"정공"}</definedName>
    <definedName name="바보_2_3" hidden="1">{#N/A,#N/A,FALSE,"정공"}</definedName>
    <definedName name="바보_3" hidden="1">{#N/A,#N/A,FALSE,"정공"}</definedName>
    <definedName name="바보_3_1" hidden="1">{#N/A,#N/A,FALSE,"정공"}</definedName>
    <definedName name="바보_3_2" hidden="1">{#N/A,#N/A,FALSE,"정공"}</definedName>
    <definedName name="바보_3_3" hidden="1">{#N/A,#N/A,FALSE,"정공"}</definedName>
    <definedName name="바보_4" hidden="1">{#N/A,#N/A,FALSE,"정공"}</definedName>
    <definedName name="바보_5" hidden="1">{#N/A,#N/A,FALSE,"정공"}</definedName>
    <definedName name="바보1" hidden="1">{#N/A,#N/A,FALSE,"인원";#N/A,#N/A,FALSE,"비용2";#N/A,#N/A,FALSE,"비용1";#N/A,#N/A,FALSE,"비용";#N/A,#N/A,FALSE,"보증2";#N/A,#N/A,FALSE,"보증1";#N/A,#N/A,FALSE,"보증";#N/A,#N/A,FALSE,"손익1";#N/A,#N/A,FALSE,"손익";#N/A,#N/A,FALSE,"부서별매출";#N/A,#N/A,FALSE,"매출"}</definedName>
    <definedName name="바보2" hidden="1">{#N/A,#N/A,FALSE,"인원";#N/A,#N/A,FALSE,"비용2";#N/A,#N/A,FALSE,"비용1";#N/A,#N/A,FALSE,"비용";#N/A,#N/A,FALSE,"보증2";#N/A,#N/A,FALSE,"보증1";#N/A,#N/A,FALSE,"보증";#N/A,#N/A,FALSE,"손익1";#N/A,#N/A,FALSE,"손익";#N/A,#N/A,FALSE,"부서별매출";#N/A,#N/A,FALSE,"매출"}</definedName>
    <definedName name="바보3" hidden="1">{#N/A,#N/A,FALSE,"인원";#N/A,#N/A,FALSE,"비용2";#N/A,#N/A,FALSE,"비용1";#N/A,#N/A,FALSE,"비용";#N/A,#N/A,FALSE,"보증2";#N/A,#N/A,FALSE,"보증1";#N/A,#N/A,FALSE,"보증";#N/A,#N/A,FALSE,"손익1";#N/A,#N/A,FALSE,"손익";#N/A,#N/A,FALSE,"부서별매출";#N/A,#N/A,FALSE,"매출"}</definedName>
    <definedName name="바보4" hidden="1">{#N/A,#N/A,FALSE,"인원";#N/A,#N/A,FALSE,"비용2";#N/A,#N/A,FALSE,"비용1";#N/A,#N/A,FALSE,"비용";#N/A,#N/A,FALSE,"보증2";#N/A,#N/A,FALSE,"보증1";#N/A,#N/A,FALSE,"보증";#N/A,#N/A,FALSE,"손익1";#N/A,#N/A,FALSE,"손익";#N/A,#N/A,FALSE,"부서별매출";#N/A,#N/A,FALSE,"매출"}</definedName>
    <definedName name="바보5" hidden="1">{#N/A,#N/A,FALSE,"인원";#N/A,#N/A,FALSE,"비용2";#N/A,#N/A,FALSE,"비용1";#N/A,#N/A,FALSE,"비용";#N/A,#N/A,FALSE,"보증2";#N/A,#N/A,FALSE,"보증1";#N/A,#N/A,FALSE,"보증";#N/A,#N/A,FALSE,"손익1";#N/A,#N/A,FALSE,"손익";#N/A,#N/A,FALSE,"부서별매출";#N/A,#N/A,FALSE,"매출"}</definedName>
    <definedName name="바보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바보7" hidden="1">{#N/A,#N/A,FALSE,"인원";#N/A,#N/A,FALSE,"비용2";#N/A,#N/A,FALSE,"비용1";#N/A,#N/A,FALSE,"비용";#N/A,#N/A,FALSE,"보증2";#N/A,#N/A,FALSE,"보증1";#N/A,#N/A,FALSE,"보증";#N/A,#N/A,FALSE,"손익1";#N/A,#N/A,FALSE,"손익";#N/A,#N/A,FALSE,"부서별매출";#N/A,#N/A,FALSE,"매출"}</definedName>
    <definedName name="바보다" hidden="1">{#N/A,#N/A,FALSE,"단축1";#N/A,#N/A,FALSE,"단축2";#N/A,#N/A,FALSE,"단축3";#N/A,#N/A,FALSE,"장축";#N/A,#N/A,FALSE,"4WD"}</definedName>
    <definedName name="바보상자" hidden="1">{#N/A,#N/A,FALSE,"정공"}</definedName>
    <definedName name="바보상자_1" hidden="1">{#N/A,#N/A,FALSE,"정공"}</definedName>
    <definedName name="바보상자_2" hidden="1">{#N/A,#N/A,FALSE,"정공"}</definedName>
    <definedName name="바보상자_2_1" hidden="1">{#N/A,#N/A,FALSE,"정공"}</definedName>
    <definedName name="바보상자_2_2" hidden="1">{#N/A,#N/A,FALSE,"정공"}</definedName>
    <definedName name="바보상자_2_3" hidden="1">{#N/A,#N/A,FALSE,"정공"}</definedName>
    <definedName name="바보상자_3" hidden="1">{#N/A,#N/A,FALSE,"정공"}</definedName>
    <definedName name="바보상자_3_1" hidden="1">{#N/A,#N/A,FALSE,"정공"}</definedName>
    <definedName name="바보상자_3_2" hidden="1">{#N/A,#N/A,FALSE,"정공"}</definedName>
    <definedName name="바보상자_3_3" hidden="1">{#N/A,#N/A,FALSE,"정공"}</definedName>
    <definedName name="바보상자_4" hidden="1">{#N/A,#N/A,FALSE,"정공"}</definedName>
    <definedName name="바보상자_5" hidden="1">{#N/A,#N/A,FALSE,"정공"}</definedName>
    <definedName name="바보야" hidden="1">{#N/A,#N/A,TRUE,"Y생산";#N/A,#N/A,TRUE,"Y판매";#N/A,#N/A,TRUE,"Y총물량";#N/A,#N/A,TRUE,"Y능력";#N/A,#N/A,TRUE,"YKD"}</definedName>
    <definedName name="바보야_1" hidden="1">{#N/A,#N/A,TRUE,"Y생산";#N/A,#N/A,TRUE,"Y판매";#N/A,#N/A,TRUE,"Y총물량";#N/A,#N/A,TRUE,"Y능력";#N/A,#N/A,TRUE,"YKD"}</definedName>
    <definedName name="바보ㅗ옹아아러ㅏ" hidden="1">{"'5'!$A$1:$BB$147"}</definedName>
    <definedName name="바이러스" hidden="1">{#N/A,#N/A,TRUE,"Y생산";#N/A,#N/A,TRUE,"Y판매";#N/A,#N/A,TRUE,"Y총물량";#N/A,#N/A,TRUE,"Y능력";#N/A,#N/A,TRUE,"YKD"}</definedName>
    <definedName name="바지락" hidden="1">{#N/A,#N/A,FALSE,"단축1";#N/A,#N/A,FALSE,"단축2";#N/A,#N/A,FALSE,"단축3";#N/A,#N/A,FALSE,"장축";#N/A,#N/A,FALSE,"4WD"}</definedName>
    <definedName name="바ㅏㅏ" hidden="1">{#N/A,#N/A,FALSE,"단축1";#N/A,#N/A,FALSE,"단축2";#N/A,#N/A,FALSE,"단축3";#N/A,#N/A,FALSE,"장축";#N/A,#N/A,FALSE,"4WD"}</definedName>
    <definedName name="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가" hidden="1">{#N/A,#N/A,FALSE,"단축1";#N/A,#N/A,FALSE,"단축2";#N/A,#N/A,FALSE,"단축3";#N/A,#N/A,FALSE,"장축";#N/A,#N/A,FALSE,"4WD"}</definedName>
    <definedName name="박가_1" hidden="1">{#N/A,#N/A,FALSE,"단축1";#N/A,#N/A,FALSE,"단축2";#N/A,#N/A,FALSE,"단축3";#N/A,#N/A,FALSE,"장축";#N/A,#N/A,FALSE,"4WD"}</definedName>
    <definedName name="박금형" hidden="1">{#N/A,#N/A,FALSE,"단축1";#N/A,#N/A,FALSE,"단축2";#N/A,#N/A,FALSE,"단축3";#N/A,#N/A,FALSE,"장축";#N/A,#N/A,FALSE,"4WD"}</definedName>
    <definedName name="박기현" hidden="1">{#N/A,#N/A,TRUE,"Y생산";#N/A,#N/A,TRUE,"Y판매";#N/A,#N/A,TRUE,"Y총물량";#N/A,#N/A,TRUE,"Y능력";#N/A,#N/A,TRUE,"YKD"}</definedName>
    <definedName name="박명용" hidden="1">{#N/A,#N/A,TRUE,"Y생산";#N/A,#N/A,TRUE,"Y판매";#N/A,#N/A,TRUE,"Y총물량";#N/A,#N/A,TRUE,"Y능력";#N/A,#N/A,TRUE,"YKD"}</definedName>
    <definedName name="박명용_1" hidden="1">{#N/A,#N/A,TRUE,"Y생산";#N/A,#N/A,TRUE,"Y판매";#N/A,#N/A,TRUE,"Y총물량";#N/A,#N/A,TRUE,"Y능력";#N/A,#N/A,TRUE,"YKD"}</definedName>
    <definedName name="박상현" hidden="1">{#N/A,#N/A,FALSE,"단축1";#N/A,#N/A,FALSE,"단축2";#N/A,#N/A,FALSE,"단축3";#N/A,#N/A,FALSE,"장축";#N/A,#N/A,FALSE,"4WD"}</definedName>
    <definedName name="박수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어쟈루" hidden="1">#REF!</definedName>
    <definedName name="박영하" hidden="1">{#N/A,#N/A,FALSE,"단축1";#N/A,#N/A,FALSE,"단축2";#N/A,#N/A,FALSE,"단축3";#N/A,#N/A,FALSE,"장축";#N/A,#N/A,FALSE,"4WD"}</definedName>
    <definedName name="박정" hidden="1">{#N/A,#N/A,TRUE,"일정"}</definedName>
    <definedName name="박종균" hidden="1">{#N/A,#N/A,FALSE,"인원";#N/A,#N/A,FALSE,"비용2";#N/A,#N/A,FALSE,"비용1";#N/A,#N/A,FALSE,"비용";#N/A,#N/A,FALSE,"보증2";#N/A,#N/A,FALSE,"보증1";#N/A,#N/A,FALSE,"보증";#N/A,#N/A,FALSE,"손익1";#N/A,#N/A,FALSE,"손익";#N/A,#N/A,FALSE,"부서별매출";#N/A,#N/A,FALSE,"매출"}</definedName>
    <definedName name="박지호" hidden="1">{#N/A,#N/A,FALSE,"단축1";#N/A,#N/A,FALSE,"단축2";#N/A,#N/A,FALSE,"단축3";#N/A,#N/A,FALSE,"장축";#N/A,#N/A,FALSE,"4WD"}</definedName>
    <definedName name="박지호_1" hidden="1">{#N/A,#N/A,FALSE,"단축1";#N/A,#N/A,FALSE,"단축2";#N/A,#N/A,FALSE,"단축3";#N/A,#N/A,FALSE,"장축";#N/A,#N/A,FALSE,"4WD"}</definedName>
    <definedName name="박지호_2" hidden="1">{#N/A,#N/A,FALSE,"단축1";#N/A,#N/A,FALSE,"단축2";#N/A,#N/A,FALSE,"단축3";#N/A,#N/A,FALSE,"장축";#N/A,#N/A,FALSE,"4WD"}</definedName>
    <definedName name="반기별" hidden="1">{#N/A,#N/A,FALSE,"KMC최종회의(7월) 자료"}</definedName>
    <definedName name="반기별공구비" hidden="1">{#N/A,#N/A,FALSE,"KMC최종회의(7월) 자료"}</definedName>
    <definedName name="반납3" hidden="1">{#N/A,#N/A,FALSE,"단축1";#N/A,#N/A,FALSE,"단축2";#N/A,#N/A,FALSE,"단축3";#N/A,#N/A,FALSE,"장축";#N/A,#N/A,FALSE,"4WD"}</definedName>
    <definedName name="반대" hidden="1">{#N/A,#N/A,FALSE,"단축1";#N/A,#N/A,FALSE,"단축2";#N/A,#N/A,FALSE,"단축3";#N/A,#N/A,FALSE,"장축";#N/A,#N/A,FALSE,"4WD"}</definedName>
    <definedName name="반송컨베어평가" hidden="1">{#N/A,#N/A,FALSE,"단축1";#N/A,#N/A,FALSE,"단축2";#N/A,#N/A,FALSE,"단축3";#N/A,#N/A,FALSE,"장축";#N/A,#N/A,FALSE,"4WD"}</definedName>
    <definedName name="반송평가" hidden="1">{#N/A,#N/A,FALSE,"단축1";#N/A,#N/A,FALSE,"단축2";#N/A,#N/A,FALSE,"단축3";#N/A,#N/A,FALSE,"장축";#N/A,#N/A,FALSE,"4WD"}</definedName>
    <definedName name="받" hidden="1">{#N/A,#N/A,TRUE,"Y생산";#N/A,#N/A,TRUE,"Y판매";#N/A,#N/A,TRUE,"Y총물량";#N/A,#N/A,TRUE,"Y능력";#N/A,#N/A,TRUE,"YKD"}</definedName>
    <definedName name="받_1" hidden="1">{#N/A,#N/A,TRUE,"Y생산";#N/A,#N/A,TRUE,"Y판매";#N/A,#N/A,TRUE,"Y총물량";#N/A,#N/A,TRUE,"Y능력";#N/A,#N/A,TRUE,"YKD"}</definedName>
    <definedName name="발안요약123" hidden="1">{#N/A,#N/A,FALSE,"정공"}</definedName>
    <definedName name="발안요약123_1" hidden="1">{#N/A,#N/A,FALSE,"정공"}</definedName>
    <definedName name="발안요약123_2" hidden="1">{#N/A,#N/A,FALSE,"정공"}</definedName>
    <definedName name="발주" hidden="1">{#N/A,#N/A,FALSE,"인원";#N/A,#N/A,FALSE,"비용2";#N/A,#N/A,FALSE,"비용1";#N/A,#N/A,FALSE,"비용";#N/A,#N/A,FALSE,"보증2";#N/A,#N/A,FALSE,"보증1";#N/A,#N/A,FALSE,"보증";#N/A,#N/A,FALSE,"손익1";#N/A,#N/A,FALSE,"손익";#N/A,#N/A,FALSE,"부서별매출";#N/A,#N/A,FALSE,"매출"}</definedName>
    <definedName name="발표" hidden="1">{#N/A,#N/A,FALSE,"96자동차사 계획";#N/A,#N/A,FALSE,"96자동차사 계획"}</definedName>
    <definedName name="발표양식" hidden="1">{#N/A,#N/A,FALSE,"을지 (4)";#N/A,#N/A,FALSE,"을지 (5)";#N/A,#N/A,FALSE,"을지 (6)"}</definedName>
    <definedName name="발표양식2" hidden="1">{#N/A,#N/A,FALSE,"단축1";#N/A,#N/A,FALSE,"단축2";#N/A,#N/A,FALSE,"단축3";#N/A,#N/A,FALSE,"장축";#N/A,#N/A,FALSE,"4WD"}</definedName>
    <definedName name="밥바" hidden="1">{"'5'!$A$1:$BB$147"}</definedName>
    <definedName name="밥바자" hidden="1">{"'5'!$A$1:$BB$147"}</definedName>
    <definedName name="방규성" hidden="1">{#N/A,#N/A,TRUE,"매출진척-1";#N/A,#N/A,TRUE,"매출진척-2";#N/A,#N/A,TRUE,"제품실적";#N/A,#N/A,TRUE,"RAC";#N/A,#N/A,TRUE,"PAC ";#N/A,#N/A,TRUE,"재고현황";#N/A,#N/A,TRUE,"공지사항"}</definedName>
    <definedName name="방안" hidden="1">{#N/A,#N/A,FALSE,"단축1";#N/A,#N/A,FALSE,"단축2";#N/A,#N/A,FALSE,"단축3";#N/A,#N/A,FALSE,"장축";#N/A,#N/A,FALSE,"4WD"}</definedName>
    <definedName name="방안_1" hidden="1">{#N/A,#N/A,FALSE,"단축1";#N/A,#N/A,FALSE,"단축2";#N/A,#N/A,FALSE,"단축3";#N/A,#N/A,FALSE,"장축";#N/A,#N/A,FALSE,"4WD"}</definedName>
    <definedName name="방이사" hidden="1">{#N/A,#N/A,FALSE,"KMC최종회의(7월) 자료"}</definedName>
    <definedName name="방진고무" hidden="1">{#N/A,#N/A,FALSE,"단축1";#N/A,#N/A,FALSE,"단축2";#N/A,#N/A,FALSE,"단축3";#N/A,#N/A,FALSE,"장축";#N/A,#N/A,FALSE,"4WD"}</definedName>
    <definedName name="방침" hidden="1">{#N/A,#N/A,FALSE,"단축1";#N/A,#N/A,FALSE,"단축2";#N/A,#N/A,FALSE,"단축3";#N/A,#N/A,FALSE,"장축";#N/A,#N/A,FALSE,"4WD"}</definedName>
    <definedName name="배가아파" hidden="1">{#N/A,#N/A,FALSE,"표지";#N/A,#N/A,FALSE,"전제";#N/A,#N/A,FALSE,"손익-자 (2)";#N/A,#N/A,FALSE,"손익-자";#N/A,#N/A,FALSE,"손익-마 (2)";#N/A,#N/A,FALSE,"손익-마";#N/A,#N/A,FALSE,"총손최종"}</definedName>
    <definedName name="배부2" hidden="1">{#N/A,#N/A,FALSE,"단축1";#N/A,#N/A,FALSE,"단축2";#N/A,#N/A,FALSE,"단축3";#N/A,#N/A,FALSE,"장축";#N/A,#N/A,FALSE,"4WD"}</definedName>
    <definedName name="배부2222" hidden="1">{#N/A,#N/A,FALSE,"단축1";#N/A,#N/A,FALSE,"단축2";#N/A,#N/A,FALSE,"단축3";#N/A,#N/A,FALSE,"장축";#N/A,#N/A,FALSE,"4WD"}</definedName>
    <definedName name="배부기준첨부" hidden="1">{#N/A,#N/A,FALSE,"정공"}</definedName>
    <definedName name="배부기준첨부_1" hidden="1">{#N/A,#N/A,FALSE,"정공"}</definedName>
    <definedName name="배부기준첨부_2" hidden="1">{#N/A,#N/A,FALSE,"정공"}</definedName>
    <definedName name="배부기준첨부하오" hidden="1">{#N/A,#N/A,FALSE,"정공"}</definedName>
    <definedName name="배부기준첨부하오_1" hidden="1">{#N/A,#N/A,FALSE,"정공"}</definedName>
    <definedName name="배부기준첨부하오_2" hidden="1">{#N/A,#N/A,FALSE,"정공"}</definedName>
    <definedName name="배찬식" hidden="1">{#N/A,#N/A,FALSE,"정공"}</definedName>
    <definedName name="배찬식_1" hidden="1">{#N/A,#N/A,FALSE,"정공"}</definedName>
    <definedName name="배찬식_2" hidden="1">{#N/A,#N/A,FALSE,"정공"}</definedName>
    <definedName name="배찬식_2_1" hidden="1">{#N/A,#N/A,FALSE,"정공"}</definedName>
    <definedName name="배찬식_2_2" hidden="1">{#N/A,#N/A,FALSE,"정공"}</definedName>
    <definedName name="배찬식_2_3" hidden="1">{#N/A,#N/A,FALSE,"정공"}</definedName>
    <definedName name="배찬식_3" hidden="1">{#N/A,#N/A,FALSE,"정공"}</definedName>
    <definedName name="배찬식_3_1" hidden="1">{#N/A,#N/A,FALSE,"정공"}</definedName>
    <definedName name="배찬식_3_2" hidden="1">{#N/A,#N/A,FALSE,"정공"}</definedName>
    <definedName name="배찬식_3_3" hidden="1">{#N/A,#N/A,FALSE,"정공"}</definedName>
    <definedName name="배찬식_4" hidden="1">{#N/A,#N/A,FALSE,"정공"}</definedName>
    <definedName name="배찬식_5" hidden="1">{#N/A,#N/A,FALSE,"정공"}</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 hidden="1">{#N/A,#N/A,FALSE,"단축1";#N/A,#N/A,FALSE,"단축2";#N/A,#N/A,FALSE,"단축3";#N/A,#N/A,FALSE,"장축";#N/A,#N/A,FALSE,"4WD"}</definedName>
    <definedName name="버" hidden="1">{#N/A,#N/A,FALSE,"단축1";#N/A,#N/A,FALSE,"단축2";#N/A,#N/A,FALSE,"단축3";#N/A,#N/A,FALSE,"장축";#N/A,#N/A,FALSE,"4WD"}</definedName>
    <definedName name="버가" hidden="1">{#N/A,#N/A,FALSE,"96 3월물량표";#N/A,#N/A,FALSE,"96 4월물량표";#N/A,#N/A,FALSE,"96 5월물량표"}</definedName>
    <definedName name="버가_1" hidden="1">{#N/A,#N/A,FALSE,"96 3월물량표";#N/A,#N/A,FALSE,"96 4월물량표";#N/A,#N/A,FALSE,"96 5월물량표"}</definedName>
    <definedName name="버바바" hidden="1">{#N/A,#N/A,FALSE,"정공"}</definedName>
    <definedName name="버바바_1" hidden="1">{#N/A,#N/A,FALSE,"정공"}</definedName>
    <definedName name="버바바_2" hidden="1">{#N/A,#N/A,FALSE,"정공"}</definedName>
    <definedName name="버스" hidden="1">{#N/A,#N/A,FALSE,"단축1";#N/A,#N/A,FALSE,"단축2";#N/A,#N/A,FALSE,"단축3";#N/A,#N/A,FALSE,"장축";#N/A,#N/A,FALSE,"4WD"}</definedName>
    <definedName name="버스2002"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버스고침" hidden="1">{#N/A,#N/A,FALSE,"품의서";#N/A,#N/A,FALSE,"전제";#N/A,#N/A,FALSE,"총손";#N/A,#N/A,FALSE,"손익"}</definedName>
    <definedName name="버스도장4..1" hidden="1">{#N/A,#N/A,FALSE,"신규dep";#N/A,#N/A,FALSE,"신규dep-금형상각후";#N/A,#N/A,FALSE,"신규dep-연구비상각후";#N/A,#N/A,FALSE,"신규dep-기계,공구상각후"}</definedName>
    <definedName name="베르" hidden="1">{#N/A,#N/A,FALSE,"96자동차사 계획";#N/A,#N/A,FALSE,"96자동차사 계획"}</definedName>
    <definedName name="베르나" hidden="1">{#N/A,#N/A,FALSE,"96자동차사 계획";#N/A,#N/A,FALSE,"96자동차사 계획"}</definedName>
    <definedName name="베어링3" hidden="1">{#N/A,#N/A,FALSE,"단축1";#N/A,#N/A,FALSE,"단축2";#N/A,#N/A,FALSE,"단축3";#N/A,#N/A,FALSE,"장축";#N/A,#N/A,FALSE,"4WD"}</definedName>
    <definedName name="베타" hidden="1">{#N/A,#N/A,FALSE,"단축1";#N/A,#N/A,FALSE,"단축2";#N/A,#N/A,FALSE,"단축3";#N/A,#N/A,FALSE,"장축";#N/A,#N/A,FALSE,"4WD"}</definedName>
    <definedName name="베타3" hidden="1">{#N/A,#N/A,FALSE,"단축1";#N/A,#N/A,FALSE,"단축2";#N/A,#N/A,FALSE,"단축3";#N/A,#N/A,FALSE,"장축";#N/A,#N/A,FALSE,"4WD"}</definedName>
    <definedName name="베타오일팬초기유동품검사성적서" hidden="1">{#N/A,#N/A,FALSE,"단축1";#N/A,#N/A,FALSE,"단축2";#N/A,#N/A,FALSE,"단축3";#N/A,#N/A,FALSE,"장축";#N/A,#N/A,FALSE,"4WD"}</definedName>
    <definedName name="베타타" hidden="1">{#N/A,#N/A,FALSE,"단축1";#N/A,#N/A,FALSE,"단축2";#N/A,#N/A,FALSE,"단축3";#N/A,#N/A,FALSE,"장축";#N/A,#N/A,FALSE,"4WD"}</definedName>
    <definedName name="베탈" hidden="1">{#N/A,#N/A,FALSE,"단축1";#N/A,#N/A,FALSE,"단축2";#N/A,#N/A,FALSE,"단축3";#N/A,#N/A,FALSE,"장축";#N/A,#N/A,FALSE,"4WD"}</definedName>
    <definedName name="벨트" hidden="1">#REF!</definedName>
    <definedName name="벼ㅈㅈㄱㄷ" hidden="1">{#N/A,#N/A,FALSE,"단축1";#N/A,#N/A,FALSE,"단축2";#N/A,#N/A,FALSE,"단축3";#N/A,#N/A,FALSE,"장축";#N/A,#N/A,FALSE,"4WD"}</definedName>
    <definedName name="변" hidden="1">{#N/A,#N/A,FALSE,"KMC최종회의(7월) 자료"}</definedName>
    <definedName name="변.내" hidden="1">{#N/A,#N/A,FALSE,"단축1";#N/A,#N/A,FALSE,"단축2";#N/A,#N/A,FALSE,"단축3";#N/A,#N/A,FALSE,"장축";#N/A,#N/A,FALSE,"4WD"}</definedName>
    <definedName name="변_1" hidden="1">{#N/A,#N/A,FALSE,"KMC최종회의(7월) 자료"}</definedName>
    <definedName name="변_2" hidden="1">{#N/A,#N/A,FALSE,"KMC최종회의(7월) 자료"}</definedName>
    <definedName name="변경2" hidden="1">{#N/A,#N/A,FALSE,"단축1";#N/A,#N/A,FALSE,"단축2";#N/A,#N/A,FALSE,"단축3";#N/A,#N/A,FALSE,"장축";#N/A,#N/A,FALSE,"4WD"}</definedName>
    <definedName name="변경목차" hidden="1">{#N/A,#N/A,FALSE,"단축1";#N/A,#N/A,FALSE,"단축2";#N/A,#N/A,FALSE,"단축3";#N/A,#N/A,FALSE,"장축";#N/A,#N/A,FALSE,"4WD"}</definedName>
    <definedName name="변경목차_1" hidden="1">{#N/A,#N/A,FALSE,"단축1";#N/A,#N/A,FALSE,"단축2";#N/A,#N/A,FALSE,"단축3";#N/A,#N/A,FALSE,"장축";#N/A,#N/A,FALSE,"4WD"}</definedName>
    <definedName name="변경목차_2" hidden="1">{#N/A,#N/A,FALSE,"단축1";#N/A,#N/A,FALSE,"단축2";#N/A,#N/A,FALSE,"단축3";#N/A,#N/A,FALSE,"장축";#N/A,#N/A,FALSE,"4WD"}</definedName>
    <definedName name="변경범위" hidden="1">{#N/A,#N/A,FALSE,"표지";#N/A,#N/A,FALSE,"전제";#N/A,#N/A,FALSE,"손익-자 (2)";#N/A,#N/A,FALSE,"손익-자";#N/A,#N/A,FALSE,"손익-마 (2)";#N/A,#N/A,FALSE,"손익-마";#N/A,#N/A,FALSE,"총손최종"}</definedName>
    <definedName name="변경범위2" hidden="1">{#N/A,#N/A,FALSE,"단축1";#N/A,#N/A,FALSE,"단축2";#N/A,#N/A,FALSE,"단축3";#N/A,#N/A,FALSE,"장축";#N/A,#N/A,FALSE,"4WD"}</definedName>
    <definedName name="변경전" hidden="1">{#N/A,#N/A,FALSE,"단축1";#N/A,#N/A,FALSE,"단축2";#N/A,#N/A,FALSE,"단축3";#N/A,#N/A,FALSE,"장축";#N/A,#N/A,FALSE,"4WD"}</definedName>
    <definedName name="변경전후수정" hidden="1">{#N/A,#N/A,FALSE,"단축1";#N/A,#N/A,FALSE,"단축2";#N/A,#N/A,FALSE,"단축3";#N/A,#N/A,FALSE,"장축";#N/A,#N/A,FALSE,"4WD"}</definedName>
    <definedName name="변경후" hidden="1">{#N/A,#N/A,FALSE,"단축1";#N/A,#N/A,FALSE,"단축2";#N/A,#N/A,FALSE,"단축3";#N/A,#N/A,FALSE,"장축";#N/A,#N/A,FALSE,"4WD"}</definedName>
    <definedName name="변경후_1" hidden="1">{#N/A,#N/A,FALSE,"단축1";#N/A,#N/A,FALSE,"단축2";#N/A,#N/A,FALSE,"단축3";#N/A,#N/A,FALSE,"장축";#N/A,#N/A,FALSE,"4WD"}</definedName>
    <definedName name="변동" hidden="1">{#N/A,#N/A,FALSE,"단축1";#N/A,#N/A,FALSE,"단축2";#N/A,#N/A,FALSE,"단축3";#N/A,#N/A,FALSE,"장축";#N/A,#N/A,FALSE,"4WD"}</definedName>
    <definedName name="변동_1" hidden="1">{#N/A,#N/A,FALSE,"단축1";#N/A,#N/A,FALSE,"단축2";#N/A,#N/A,FALSE,"단축3";#N/A,#N/A,FALSE,"장축";#N/A,#N/A,FALSE,"4WD"}</definedName>
    <definedName name="변동_2" hidden="1">{#N/A,#N/A,FALSE,"단축1";#N/A,#N/A,FALSE,"단축2";#N/A,#N/A,FALSE,"단축3";#N/A,#N/A,FALSE,"장축";#N/A,#N/A,FALSE,"4WD"}</definedName>
    <definedName name="변동내역" hidden="1">{#N/A,#N/A,TRUE,"Y생산";#N/A,#N/A,TRUE,"Y판매";#N/A,#N/A,TRUE,"Y총물량";#N/A,#N/A,TRUE,"Y능력";#N/A,#N/A,TRUE,"YKD"}</definedName>
    <definedName name="변동내용" hidden="1">{#N/A,#N/A,FALSE,"단축1";#N/A,#N/A,FALSE,"단축2";#N/A,#N/A,FALSE,"단축3";#N/A,#N/A,FALSE,"장축";#N/A,#N/A,FALSE,"4WD"}</definedName>
    <definedName name="변동내용_1" hidden="1">{#N/A,#N/A,FALSE,"단축1";#N/A,#N/A,FALSE,"단축2";#N/A,#N/A,FALSE,"단축3";#N/A,#N/A,FALSE,"장축";#N/A,#N/A,FALSE,"4WD"}</definedName>
    <definedName name="변동내용_2" hidden="1">{#N/A,#N/A,FALSE,"단축1";#N/A,#N/A,FALSE,"단축2";#N/A,#N/A,FALSE,"단축3";#N/A,#N/A,FALSE,"장축";#N/A,#N/A,FALSE,"4WD"}</definedName>
    <definedName name="변동누계" hidden="1">{#N/A,#N/A,FALSE,"신규dep";#N/A,#N/A,FALSE,"신규dep-금형상각후";#N/A,#N/A,FALSE,"신규dep-연구비상각후";#N/A,#N/A,FALSE,"신규dep-기계,공구상각후"}</definedName>
    <definedName name="변동재료비2" hidden="1">{#N/A,#N/A,FALSE,"단축1";#N/A,#N/A,FALSE,"단축2";#N/A,#N/A,FALSE,"단축3";#N/A,#N/A,FALSE,"장축";#N/A,#N/A,FALSE,"4WD"}</definedName>
    <definedName name="변속" hidden="1">{#N/A,#N/A,FALSE,"KMC최종회의(7월) 자료"}</definedName>
    <definedName name="변속_1" hidden="1">{#N/A,#N/A,FALSE,"KMC최종회의(7월) 자료"}</definedName>
    <definedName name="변속_2" hidden="1">{#N/A,#N/A,FALSE,"KMC최종회의(7월) 자료"}</definedName>
    <definedName name="변속1" hidden="1">{#N/A,#N/A,FALSE,"KMC최종회의(7월) 자료"}</definedName>
    <definedName name="변속1_1" hidden="1">{#N/A,#N/A,FALSE,"KMC최종회의(7월) 자료"}</definedName>
    <definedName name="변속1_2" hidden="1">{#N/A,#N/A,FALSE,"KMC최종회의(7월) 자료"}</definedName>
    <definedName name="변속2" hidden="1">{#N/A,#N/A,FALSE,"KMC최종회의(7월) 자료"}</definedName>
    <definedName name="변속2_1" hidden="1">{#N/A,#N/A,FALSE,"KMC최종회의(7월) 자료"}</definedName>
    <definedName name="변속2_2" hidden="1">{#N/A,#N/A,FALSE,"KMC최종회의(7월) 자료"}</definedName>
    <definedName name="변속3" hidden="1">{#N/A,#N/A,FALSE,"KMC최종회의(7월) 자료"}</definedName>
    <definedName name="변속3_1" hidden="1">{#N/A,#N/A,FALSE,"KMC최종회의(7월) 자료"}</definedName>
    <definedName name="변속3_2" hidden="1">{#N/A,#N/A,FALSE,"KMC최종회의(7월) 자료"}</definedName>
    <definedName name="변속4" hidden="1">{#N/A,#N/A,FALSE,"KMC최종회의(7월) 자료"}</definedName>
    <definedName name="변속4_1" hidden="1">{#N/A,#N/A,FALSE,"KMC최종회의(7월) 자료"}</definedName>
    <definedName name="변속4_2" hidden="1">{#N/A,#N/A,FALSE,"KMC최종회의(7월) 자료"}</definedName>
    <definedName name="변속기시험팀" hidden="1">{#N/A,#N/A,FALSE,"단축1";#N/A,#N/A,FALSE,"단축2";#N/A,#N/A,FALSE,"단축3";#N/A,#N/A,FALSE,"장축";#N/A,#N/A,FALSE,"4WD"}</definedName>
    <definedName name="변형" hidden="1">{#N/A,#N/A,FALSE,"단축1";#N/A,#N/A,FALSE,"단축2";#N/A,#N/A,FALSE,"단축3";#N/A,#N/A,FALSE,"장축";#N/A,#N/A,FALSE,"4WD"}</definedName>
    <definedName name="별도공장기준CYLBLOCK" hidden="1">{#N/A,#N/A,FALSE,"단축1";#N/A,#N/A,FALSE,"단축2";#N/A,#N/A,FALSE,"단축3";#N/A,#N/A,FALSE,"장축";#N/A,#N/A,FALSE,"4WD"}</definedName>
    <definedName name="별도공장기준CYLBLOCK_1" hidden="1">{#N/A,#N/A,FALSE,"단축1";#N/A,#N/A,FALSE,"단축2";#N/A,#N/A,FALSE,"단축3";#N/A,#N/A,FALSE,"장축";#N/A,#N/A,FALSE,"4WD"}</definedName>
    <definedName name="별도투자비" hidden="1">{#N/A,#N/A,FALSE,"단축1";#N/A,#N/A,FALSE,"단축2";#N/A,#N/A,FALSE,"단축3";#N/A,#N/A,FALSE,"장축";#N/A,#N/A,FALSE,"4WD"}</definedName>
    <definedName name="별도투자비_1" hidden="1">{#N/A,#N/A,FALSE,"단축1";#N/A,#N/A,FALSE,"단축2";#N/A,#N/A,FALSE,"단축3";#N/A,#N/A,FALSE,"장축";#N/A,#N/A,FALSE,"4WD"}</definedName>
    <definedName name="별첨3" hidden="1">{#N/A,#N/A,FALSE,"정공"}</definedName>
    <definedName name="별첨3_1" hidden="1">{#N/A,#N/A,FALSE,"정공"}</definedName>
    <definedName name="별첨4" hidden="1">#REF!</definedName>
    <definedName name="별첨그룹3" hidden="1">{#N/A,#N/A,FALSE,"정공"}</definedName>
    <definedName name="별첨그룹3_1" hidden="1">{#N/A,#N/A,FALSE,"정공"}</definedName>
    <definedName name="별첨그룹3_2" hidden="1">{#N/A,#N/A,FALSE,"정공"}</definedName>
    <definedName name="별첨추가표" hidden="1">{#N/A,#N/A,FALSE,"정공"}</definedName>
    <definedName name="별첨추가표_1" hidden="1">{#N/A,#N/A,FALSE,"정공"}</definedName>
    <definedName name="별첨추가표_2" hidden="1">{#N/A,#N/A,FALSE,"정공"}</definedName>
    <definedName name="병" hidden="1">{#N/A,#N/A,FALSE,"단축1";#N/A,#N/A,FALSE,"단축2";#N/A,#N/A,FALSE,"단축3";#N/A,#N/A,FALSE,"장축";#N/A,#N/A,FALSE,"4WD"}</definedName>
    <definedName name="병_1" hidden="1">{#N/A,#N/A,FALSE,"단축1";#N/A,#N/A,FALSE,"단축2";#N/A,#N/A,FALSE,"단축3";#N/A,#N/A,FALSE,"장축";#N/A,#N/A,FALSE,"4WD"}</definedName>
    <definedName name="병_2" hidden="1">{#N/A,#N/A,FALSE,"단축1";#N/A,#N/A,FALSE,"단축2";#N/A,#N/A,FALSE,"단축3";#N/A,#N/A,FALSE,"장축";#N/A,#N/A,FALSE,"4WD"}</definedName>
    <definedName name="보2002" hidden="1">{#N/A,#N/A,FALSE,"단축1";#N/A,#N/A,FALSE,"단축2";#N/A,#N/A,FALSE,"단축3";#N/A,#N/A,FALSE,"장축";#N/A,#N/A,FALSE,"4WD"}</definedName>
    <definedName name="보고" hidden="1">{#N/A,#N/A,FALSE,"단축1";#N/A,#N/A,FALSE,"단축2";#N/A,#N/A,FALSE,"단축3";#N/A,#N/A,FALSE,"장축";#N/A,#N/A,FALSE,"4WD"}</definedName>
    <definedName name="보고_1" hidden="1">{#N/A,#N/A,FALSE,"단축1";#N/A,#N/A,FALSE,"단축2";#N/A,#N/A,FALSE,"단축3";#N/A,#N/A,FALSE,"장축";#N/A,#N/A,FALSE,"4WD"}</definedName>
    <definedName name="보고_2" hidden="1">{#N/A,#N/A,FALSE,"단축1";#N/A,#N/A,FALSE,"단축2";#N/A,#N/A,FALSE,"단축3";#N/A,#N/A,FALSE,"장축";#N/A,#N/A,FALSE,"4WD"}</definedName>
    <definedName name="보고1" hidden="1">{#N/A,#N/A,FALSE,"단축1";#N/A,#N/A,FALSE,"단축2";#N/A,#N/A,FALSE,"단축3";#N/A,#N/A,FALSE,"장축";#N/A,#N/A,FALSE,"4WD"}</definedName>
    <definedName name="보고222" hidden="1">{#N/A,#N/A,FALSE,"KMC최종회의(7월) 자료"}</definedName>
    <definedName name="보고222_1" hidden="1">{#N/A,#N/A,FALSE,"KMC최종회의(7월) 자료"}</definedName>
    <definedName name="보고222_2" hidden="1">{#N/A,#N/A,FALSE,"KMC최종회의(7월) 자료"}</definedName>
    <definedName name="보고3" hidden="1">{#N/A,#N/A,FALSE,"단축1";#N/A,#N/A,FALSE,"단축2";#N/A,#N/A,FALSE,"단축3";#N/A,#N/A,FALSE,"장축";#N/A,#N/A,FALSE,"4WD"}</definedName>
    <definedName name="보고4" hidden="1">{#N/A,#N/A,FALSE,"품의서";#N/A,#N/A,FALSE,"전제";#N/A,#N/A,FALSE,"총손";#N/A,#N/A,FALSE,"손익"}</definedName>
    <definedName name="보고서1" hidden="1">{#N/A,#N/A,FALSE,"단축1";#N/A,#N/A,FALSE,"단축2";#N/A,#N/A,FALSE,"단축3";#N/A,#N/A,FALSE,"장축";#N/A,#N/A,FALSE,"4WD"}</definedName>
    <definedName name="보고서1_1" hidden="1">{#N/A,#N/A,FALSE,"단축1";#N/A,#N/A,FALSE,"단축2";#N/A,#N/A,FALSE,"단축3";#N/A,#N/A,FALSE,"장축";#N/A,#N/A,FALSE,"4WD"}</definedName>
    <definedName name="보고서111" hidden="1">{#N/A,#N/A,FALSE,"KMC최종회의(7월) 자료"}</definedName>
    <definedName name="보고서111_1" hidden="1">{#N/A,#N/A,FALSE,"KMC최종회의(7월) 자료"}</definedName>
    <definedName name="보고서111_2" hidden="1">{#N/A,#N/A,FALSE,"KMC최종회의(7월) 자료"}</definedName>
    <definedName name="보곤" hidden="1">{#N/A,#N/A,FALSE,"인원";#N/A,#N/A,FALSE,"비용2";#N/A,#N/A,FALSE,"비용1";#N/A,#N/A,FALSE,"비용";#N/A,#N/A,FALSE,"보증2";#N/A,#N/A,FALSE,"보증1";#N/A,#N/A,FALSE,"보증";#N/A,#N/A,FALSE,"손익1";#N/A,#N/A,FALSE,"손익";#N/A,#N/A,FALSE,"부서별매출";#N/A,#N/A,FALSE,"매출"}</definedName>
    <definedName name="보미" hidden="1">{#N/A,#N/A,FALSE,"단축1";#N/A,#N/A,FALSE,"단축2";#N/A,#N/A,FALSE,"단축3";#N/A,#N/A,FALSE,"장축";#N/A,#N/A,FALSE,"4WD"}</definedName>
    <definedName name="보사" hidden="1">{"'7-2지역별'!$A$1:$R$44"}</definedName>
    <definedName name="보사용1" hidden="1">{#N/A,#N/A,FALSE,"정공"}</definedName>
    <definedName name="보온로" hidden="1">{#N/A,#N/A,FALSE,"단축1";#N/A,#N/A,FALSE,"단축2";#N/A,#N/A,FALSE,"단축3";#N/A,#N/A,FALSE,"장축";#N/A,#N/A,FALSE,"4WD"}</definedName>
    <definedName name="보전" hidden="1">{#N/A,#N/A,FALSE,"KMC최종회의(7월) 자료"}</definedName>
    <definedName name="보전_1" hidden="1">{#N/A,#N/A,FALSE,"KMC최종회의(7월) 자료"}</definedName>
    <definedName name="보전_2" hidden="1">{#N/A,#N/A,FALSE,"KMC최종회의(7월) 자료"}</definedName>
    <definedName name="보전1" hidden="1">{#N/A,#N/A,FALSE,"단축1";#N/A,#N/A,FALSE,"단축2";#N/A,#N/A,FALSE,"단축3";#N/A,#N/A,FALSE,"장축";#N/A,#N/A,FALSE,"4WD"}</definedName>
    <definedName name="보전기획2" hidden="1">{#N/A,#N/A,FALSE,"ROW DATA"}</definedName>
    <definedName name="보전예산" hidden="1">{#N/A,#N/A,FALSE,"표지";#N/A,#N/A,FALSE,"전제";#N/A,#N/A,FALSE,"손익-자 (2)";#N/A,#N/A,FALSE,"손익-자";#N/A,#N/A,FALSE,"손익-마 (2)";#N/A,#N/A,FALSE,"손익-마";#N/A,#N/A,FALSE,"총손최종"}</definedName>
    <definedName name="보증" hidden="1">{#N/A,#N/A,TRUE,"Y생산";#N/A,#N/A,TRUE,"Y판매";#N/A,#N/A,TRUE,"Y총물량";#N/A,#N/A,TRUE,"Y능력";#N/A,#N/A,TRUE,"YKD"}</definedName>
    <definedName name="보지" hidden="1">{"'5'!$A$1:$BB$147"}</definedName>
    <definedName name="보호" hidden="1">{#N/A,#N/A,FALSE,"ENG'G(보호계전기)"}</definedName>
    <definedName name="보홀" hidden="1">{#N/A,#N/A,FALSE,"단축1";#N/A,#N/A,FALSE,"단축2";#N/A,#N/A,FALSE,"단축3";#N/A,#N/A,FALSE,"장축";#N/A,#N/A,FALSE,"4WD"}</definedName>
    <definedName name="복사" hidden="1">{#N/A,#N/A,FALSE,"단축1";#N/A,#N/A,FALSE,"단축2";#N/A,#N/A,FALSE,"단축3";#N/A,#N/A,FALSE,"장축";#N/A,#N/A,FALSE,"4WD"}</definedName>
    <definedName name="복사본" hidden="1">{"'7-2지역별'!$A$1:$R$44"}</definedName>
    <definedName name="복사용" hidden="1">{#N/A,#N/A,FALSE,"KMC최종회의(7월) 자료"}</definedName>
    <definedName name="복합진동" hidden="1">{#N/A,#N/A,FALSE,"단축1";#N/A,#N/A,FALSE,"단축2";#N/A,#N/A,FALSE,"단축3";#N/A,#N/A,FALSE,"장축";#N/A,#N/A,FALSE,"4WD"}</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문" hidden="1">{#N/A,#N/A,FALSE,"단축1";#N/A,#N/A,FALSE,"단축2";#N/A,#N/A,FALSE,"단축3";#N/A,#N/A,FALSE,"장축";#N/A,#N/A,FALSE,"4WD"}</definedName>
    <definedName name="본부" hidden="1">{"'5'!$A$1:$BB$147"}</definedName>
    <definedName name="본부장" hidden="1">{#N/A,#N/A,FALSE,"KMC최종회의(7월) 자료"}</definedName>
    <definedName name="본사" hidden="1">{#N/A,#N/A,FALSE,"표지";#N/A,#N/A,FALSE,"을지1";#N/A,#N/A,FALSE,"일정1";#N/A,#N/A,FALSE,"일정2";#N/A,#N/A,FALSE,"11T-C";#N/A,#N/A,FALSE,"15T-D";#N/A,#N/A,FALSE,"판매현황";#N/A,#N/A,FALSE,"업무 FLOW"}</definedName>
    <definedName name="본사배포" hidden="1">{#N/A,#N/A,FALSE,"표지";#N/A,#N/A,FALSE,"전제";#N/A,#N/A,FALSE,"손익-자 (2)";#N/A,#N/A,FALSE,"손익-자";#N/A,#N/A,FALSE,"손익-마 (2)";#N/A,#N/A,FALSE,"손익-마";#N/A,#N/A,FALSE,"총손최종"}</definedName>
    <definedName name="볼트수정" hidden="1">{#N/A,#N/A,FALSE,"단축1";#N/A,#N/A,FALSE,"단축2";#N/A,#N/A,FALSE,"단축3";#N/A,#N/A,FALSE,"장축";#N/A,#N/A,FALSE,"4WD"}</definedName>
    <definedName name="볼트수정_1" hidden="1">{#N/A,#N/A,FALSE,"단축1";#N/A,#N/A,FALSE,"단축2";#N/A,#N/A,FALSE,"단축3";#N/A,#N/A,FALSE,"장축";#N/A,#N/A,FALSE,"4WD"}</definedName>
    <definedName name="볼트수정_2" hidden="1">{#N/A,#N/A,FALSE,"단축1";#N/A,#N/A,FALSE,"단축2";#N/A,#N/A,FALSE,"단축3";#N/A,#N/A,FALSE,"장축";#N/A,#N/A,FALSE,"4WD"}</definedName>
    <definedName name="볼트수정23" hidden="1">{#N/A,#N/A,FALSE,"단축1";#N/A,#N/A,FALSE,"단축2";#N/A,#N/A,FALSE,"단축3";#N/A,#N/A,FALSE,"장축";#N/A,#N/A,FALSE,"4WD"}</definedName>
    <definedName name="봉ㅇㄹ" hidden="1">{#N/A,#N/A,FALSE,"초도품";#N/A,#N/A,FALSE,"초도품 (2)";#N/A,#N/A,FALSE,"초도품 (3)";#N/A,#N/A,FALSE,"초도품 (4)";#N/A,#N/A,FALSE,"초도품 (5)";#N/A,#N/A,FALSE,"초도품 (6)"}</definedName>
    <definedName name="부" hidden="1">{#N/A,#N/A,FALSE,"단축1";#N/A,#N/A,FALSE,"단축2";#N/A,#N/A,FALSE,"단축3";#N/A,#N/A,FALSE,"장축";#N/A,#N/A,FALSE,"4WD"}</definedName>
    <definedName name="부개팀2" hidden="1">{#N/A,#N/A,FALSE,"단축1";#N/A,#N/A,FALSE,"단축2";#N/A,#N/A,FALSE,"단축3";#N/A,#N/A,FALSE,"장축";#N/A,#N/A,FALSE,"4WD"}</definedName>
    <definedName name="부과list" hidden="1">{#N/A,#N/A,TRUE,"Y생산";#N/A,#N/A,TRUE,"Y판매";#N/A,#N/A,TRUE,"Y총물량";#N/A,#N/A,TRUE,"Y능력";#N/A,#N/A,TRUE,"YKD"}</definedName>
    <definedName name="부라보단가테이블" hidden="1">{#N/A,#N/A,FALSE,"KMC최종회의(7월) 자료"}</definedName>
    <definedName name="부라보단가테이블_1" hidden="1">{#N/A,#N/A,FALSE,"KMC최종회의(7월) 자료"}</definedName>
    <definedName name="부라보단가테이블_2" hidden="1">{#N/A,#N/A,FALSE,"KMC최종회의(7월) 자료"}</definedName>
    <definedName name="부라보자료" hidden="1">{#N/A,#N/A,FALSE,"KMC최종회의(7월) 자료"}</definedName>
    <definedName name="부라보자료_1" hidden="1">{#N/A,#N/A,FALSE,"KMC최종회의(7월) 자료"}</definedName>
    <definedName name="부라보자료_2" hidden="1">{#N/A,#N/A,FALSE,"KMC최종회의(7월) 자료"}</definedName>
    <definedName name="부문명단" hidden="1">{#N/A,#N/A,FALSE,"단축1";#N/A,#N/A,FALSE,"단축2";#N/A,#N/A,FALSE,"단축3";#N/A,#N/A,FALSE,"장축";#N/A,#N/A,FALSE,"4WD"}</definedName>
    <definedName name="부산물매각" hidden="1">{#N/A,#N/A,FALSE,"단축1";#N/A,#N/A,FALSE,"단축2";#N/A,#N/A,FALSE,"단축3";#N/A,#N/A,FALSE,"장축";#N/A,#N/A,FALSE,"4WD"}</definedName>
    <definedName name="부서" hidden="1">{#N/A,#N/A,FALSE,"인원";#N/A,#N/A,FALSE,"비용2";#N/A,#N/A,FALSE,"비용1";#N/A,#N/A,FALSE,"비용";#N/A,#N/A,FALSE,"보증2";#N/A,#N/A,FALSE,"보증1";#N/A,#N/A,FALSE,"보증";#N/A,#N/A,FALSE,"손익1";#N/A,#N/A,FALSE,"손익";#N/A,#N/A,FALSE,"부서별매출";#N/A,#N/A,FALSE,"매출"}</definedName>
    <definedName name="부서절감계획" hidden="1">{#N/A,#N/A,FALSE,"정공"}</definedName>
    <definedName name="부서절감계획_1" hidden="1">{#N/A,#N/A,FALSE,"정공"}</definedName>
    <definedName name="부서절감계획_2" hidden="1">{#N/A,#N/A,FALSE,"정공"}</definedName>
    <definedName name="부서절감계획2" hidden="1">{#N/A,#N/A,FALSE,"정공"}</definedName>
    <definedName name="부서절감계획2_1" hidden="1">{#N/A,#N/A,FALSE,"정공"}</definedName>
    <definedName name="부서절감계획2_2" hidden="1">{#N/A,#N/A,FALSE,"정공"}</definedName>
    <definedName name="부서종합" hidden="1">{#N/A,#N/A,FALSE,"KMC최종회의(7월) 자료"}</definedName>
    <definedName name="부서종합_1" hidden="1">{#N/A,#N/A,FALSE,"KMC최종회의(7월) 자료"}</definedName>
    <definedName name="부서종합_2" hidden="1">{#N/A,#N/A,FALSE,"KMC최종회의(7월) 자료"}</definedName>
    <definedName name="부서종합장" hidden="1">{#N/A,#N/A,FALSE,"KMC최종회의(7월) 자료"}</definedName>
    <definedName name="부서지역" hidden="1">{#N/A,#N/A,FALSE,"단축1";#N/A,#N/A,FALSE,"단축2";#N/A,#N/A,FALSE,"단축3";#N/A,#N/A,FALSE,"장축";#N/A,#N/A,FALSE,"4WD"}</definedName>
    <definedName name="부석" hidden="1">{#N/A,#N/A,FALSE,"단축1";#N/A,#N/A,FALSE,"단축2";#N/A,#N/A,FALSE,"단축3";#N/A,#N/A,FALSE,"장축";#N/A,#N/A,FALSE,"4WD"}</definedName>
    <definedName name="부쉬" hidden="1">{#N/A,#N/A,FALSE,"단축1";#N/A,#N/A,FALSE,"단축2";#N/A,#N/A,FALSE,"단축3";#N/A,#N/A,FALSE,"장축";#N/A,#N/A,FALSE,"4WD"}</definedName>
    <definedName name="부자1" hidden="1">{#N/A,#N/A,FALSE,"단축1";#N/A,#N/A,FALSE,"단축2";#N/A,#N/A,FALSE,"단축3";#N/A,#N/A,FALSE,"장축";#N/A,#N/A,FALSE,"4WD"}</definedName>
    <definedName name="부조" hidden="1">{#N/A,#N/A,FALSE,"단축1";#N/A,#N/A,FALSE,"단축2";#N/A,#N/A,FALSE,"단축3";#N/A,#N/A,FALSE,"장축";#N/A,#N/A,FALSE,"4WD"}</definedName>
    <definedName name="부품" hidden="1">{#N/A,#N/A,FALSE,"표지";#N/A,#N/A,FALSE,"전제";#N/A,#N/A,FALSE,"손익-자 (2)";#N/A,#N/A,FALSE,"손익-자";#N/A,#N/A,FALSE,"손익-마 (2)";#N/A,#N/A,FALSE,"손익-마";#N/A,#N/A,FALSE,"총손최종"}</definedName>
    <definedName name="부품1" hidden="1">{#N/A,#N/A,FALSE,"해외크레임";#N/A,#N/A,FALSE,"ACCENT현황";#N/A,#N/A,FALSE,"AVANTE";#N/A,#N/A,FALSE,"SONATA(3)";#N/A,#N/A,FALSE,"국내크레임"}</definedName>
    <definedName name="부품2" hidden="1">{#N/A,#N/A,FALSE,"신규dep";#N/A,#N/A,FALSE,"신규dep-금형상각후";#N/A,#N/A,FALSE,"신규dep-연구비상각후";#N/A,#N/A,FALSE,"신규dep-기계,공구상각후"}</definedName>
    <definedName name="부품SOURCE_DSL_개발팀" hidden="1">{#N/A,#N/A,FALSE,"단축1";#N/A,#N/A,FALSE,"단축2";#N/A,#N/A,FALSE,"단축3";#N/A,#N/A,FALSE,"장축";#N/A,#N/A,FALSE,"4WD"}</definedName>
    <definedName name="부품문제" hidden="1">{#N/A,#N/A,FALSE,"단축1";#N/A,#N/A,FALSE,"단축2";#N/A,#N/A,FALSE,"단축3";#N/A,#N/A,FALSE,"장축";#N/A,#N/A,FALSE,"4WD"}</definedName>
    <definedName name="부품별" hidden="1">{#N/A,#N/A,FALSE,"KMC최종회의(7월) 자료"}</definedName>
    <definedName name="부품별_1" hidden="1">{#N/A,#N/A,FALSE,"KMC최종회의(7월) 자료"}</definedName>
    <definedName name="부품별_2" hidden="1">{#N/A,#N/A,FALSE,"KMC최종회의(7월) 자료"}</definedName>
    <definedName name="부품이력대장을" hidden="1">{#N/A,#N/A,FALSE,"단축1";#N/A,#N/A,FALSE,"단축2";#N/A,#N/A,FALSE,"단축3";#N/A,#N/A,FALSE,"장축";#N/A,#N/A,FALSE,"4WD"}</definedName>
    <definedName name="부품특성2" hidden="1">{#N/A,#N/A,FALSE,"단축1";#N/A,#N/A,FALSE,"단축2";#N/A,#N/A,FALSE,"단축3";#N/A,#N/A,FALSE,"장축";#N/A,#N/A,FALSE,"4WD"}</definedName>
    <definedName name="부품특성3" hidden="1">{#N/A,#N/A,FALSE,"단축1";#N/A,#N/A,FALSE,"단축2";#N/A,#N/A,FALSE,"단축3";#N/A,#N/A,FALSE,"장축";#N/A,#N/A,FALSE,"4WD"}</definedName>
    <definedName name="부품현황" hidden="1">{#N/A,#N/A,FALSE,"단축1";#N/A,#N/A,FALSE,"단축2";#N/A,#N/A,FALSE,"단축3";#N/A,#N/A,FALSE,"장축";#N/A,#N/A,FALSE,"4WD"}</definedName>
    <definedName name="북미대책" hidden="1">{#N/A,#N/A,FALSE,"단축1";#N/A,#N/A,FALSE,"단축2";#N/A,#N/A,FALSE,"단축3";#N/A,#N/A,FALSE,"장축";#N/A,#N/A,FALSE,"4WD"}</definedName>
    <definedName name="분" hidden="1">{#N/A,#N/A,FALSE,"단축1";#N/A,#N/A,FALSE,"단축2";#N/A,#N/A,FALSE,"단축3";#N/A,#N/A,FALSE,"장축";#N/A,#N/A,FALSE,"4WD"}</definedName>
    <definedName name="분_1" hidden="1">{#N/A,#N/A,FALSE,"단축1";#N/A,#N/A,FALSE,"단축2";#N/A,#N/A,FALSE,"단축3";#N/A,#N/A,FALSE,"장축";#N/A,#N/A,FALSE,"4WD"}</definedName>
    <definedName name="분_2" hidden="1">{#N/A,#N/A,FALSE,"단축1";#N/A,#N/A,FALSE,"단축2";#N/A,#N/A,FALSE,"단축3";#N/A,#N/A,FALSE,"장축";#N/A,#N/A,FALSE,"4WD"}</definedName>
    <definedName name="분기별" hidden="1">{#N/A,#N/A,TRUE,"Y생산";#N/A,#N/A,TRUE,"Y판매";#N/A,#N/A,TRUE,"Y총물량";#N/A,#N/A,TRUE,"Y능력";#N/A,#N/A,TRUE,"YKD"}</definedName>
    <definedName name="분기별_1" hidden="1">{#N/A,#N/A,TRUE,"Y생산";#N/A,#N/A,TRUE,"Y판매";#N/A,#N/A,TRUE,"Y총물량";#N/A,#N/A,TRUE,"Y능력";#N/A,#N/A,TRUE,"YKD"}</definedName>
    <definedName name="분기별_2" hidden="1">{#N/A,#N/A,TRUE,"Y생산";#N/A,#N/A,TRUE,"Y판매";#N/A,#N/A,TRUE,"Y총물량";#N/A,#N/A,TRUE,"Y능력";#N/A,#N/A,TRUE,"YKD"}</definedName>
    <definedName name="분석" hidden="1">{#N/A,#N/A,FALSE,"KMC최종회의(7월) 자료"}</definedName>
    <definedName name="분석_1" hidden="1">{#N/A,#N/A,FALSE,"KMC최종회의(7월) 자료"}</definedName>
    <definedName name="분석_2" hidden="1">{#N/A,#N/A,FALSE,"KMC최종회의(7월) 자료"}</definedName>
    <definedName name="분석1" hidden="1">{#N/A,#N/A,FALSE,"KMC최종회의(7월) 자료"}</definedName>
    <definedName name="분석1_1" hidden="1">{#N/A,#N/A,FALSE,"KMC최종회의(7월) 자료"}</definedName>
    <definedName name="분석1_2" hidden="1">{#N/A,#N/A,FALSE,"KMC최종회의(7월) 자료"}</definedName>
    <definedName name="분석자로" hidden="1">{"'7-2지역별'!$A$1:$R$44"}</definedName>
    <definedName name="분석자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불량분석" hidden="1">{#N/A,#N/A,FALSE,"협조전";#N/A,#N/A,FALSE,"원가절감계획 ";#N/A,#N/A,FALSE,"항목별원가절감계획"}</definedName>
    <definedName name="불량재고경비실적" hidden="1">{#N/A,#N/A,TRUE,"Y생산";#N/A,#N/A,TRUE,"Y판매";#N/A,#N/A,TRUE,"Y총물량";#N/A,#N/A,TRUE,"Y능력";#N/A,#N/A,TRUE,"YKD"}</definedName>
    <definedName name="불량재고경비실적_1" hidden="1">{#N/A,#N/A,TRUE,"Y생산";#N/A,#N/A,TRUE,"Y판매";#N/A,#N/A,TRUE,"Y총물량";#N/A,#N/A,TRUE,"Y능력";#N/A,#N/A,TRUE,"YKD"}</definedName>
    <definedName name="불량향상" hidden="1">{#N/A,#N/A,FALSE,"신규dep";#N/A,#N/A,FALSE,"신규dep-금형상각후";#N/A,#N/A,FALSE,"신규dep-연구비상각후";#N/A,#N/A,FALSE,"신규dep-기계,공구상각후"}</definedName>
    <definedName name="불출.D" hidden="1">{#N/A,#N/A,FALSE,"신규dep";#N/A,#N/A,FALSE,"신규dep-금형상각후";#N/A,#N/A,FALSE,"신규dep-연구비상각후";#N/A,#N/A,FALSE,"신규dep-기계,공구상각후"}</definedName>
    <definedName name="불출2" hidden="1">{#N/A,#N/A,FALSE,"표지";#N/A,#N/A,FALSE,"전제";#N/A,#N/A,FALSE,"손익-자 (2)";#N/A,#N/A,FALSE,"손익-자";#N/A,#N/A,FALSE,"손익-마 (2)";#N/A,#N/A,FALSE,"손익-마";#N/A,#N/A,FALSE,"총손최종"}</definedName>
    <definedName name="불출3" hidden="1">{#N/A,#N/A,FALSE,"신규dep";#N/A,#N/A,FALSE,"신규dep-금형상각후";#N/A,#N/A,FALSE,"신규dep-연구비상각후";#N/A,#N/A,FALSE,"신규dep-기계,공구상각후"}</definedName>
    <definedName name="불출5" hidden="1">{#N/A,#N/A,FALSE,"표지";#N/A,#N/A,FALSE,"전제";#N/A,#N/A,FALSE,"손익-자 (2)";#N/A,#N/A,FALSE,"손익-자";#N/A,#N/A,FALSE,"손익-마 (2)";#N/A,#N/A,FALSE,"손익-마";#N/A,#N/A,FALSE,"총손최종"}</definedName>
    <definedName name="불춞WHWJD" hidden="1">{#N/A,#N/A,FALSE,"신규dep";#N/A,#N/A,FALSE,"신규dep-금형상각후";#N/A,#N/A,FALSE,"신규dep-연구비상각후";#N/A,#N/A,FALSE,"신규dep-기계,공구상각후"}</definedName>
    <definedName name="불호" hidden="1">{#N/A,#N/A,FALSE,"단축1";#N/A,#N/A,FALSE,"단축2";#N/A,#N/A,FALSE,"단축3";#N/A,#N/A,FALSE,"장축";#N/A,#N/A,FALSE,"4WD"}</definedName>
    <definedName name="브로치"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비" hidden="1">{#N/A,#N/A,FALSE,"KMC최종회의(7월) 자료"}</definedName>
    <definedName name="비교" hidden="1">{#N/A,#N/A,FALSE,"KMC최종회의(7월) 자료"}</definedName>
    <definedName name="비교_1" hidden="1">{#N/A,#N/A,FALSE,"KMC최종회의(7월) 자료"}</definedName>
    <definedName name="비교손익당초" hidden="1">{#N/A,#N/A,FALSE,"정공"}</definedName>
    <definedName name="비교손익당초_1" hidden="1">{#N/A,#N/A,FALSE,"정공"}</definedName>
    <definedName name="비교손익당초_2" hidden="1">{#N/A,#N/A,FALSE,"정공"}</definedName>
    <definedName name="비교차1" hidden="1">{#N/A,#N/A,FALSE,"단축1";#N/A,#N/A,FALSE,"단축2";#N/A,#N/A,FALSE,"단축3";#N/A,#N/A,FALSE,"장축";#N/A,#N/A,FALSE,"4WD"}</definedName>
    <definedName name="비교차종" hidden="1">{#N/A,#N/A,FALSE,"단축1";#N/A,#N/A,FALSE,"단축2";#N/A,#N/A,FALSE,"단축3";#N/A,#N/A,FALSE,"장축";#N/A,#N/A,FALSE,"4WD"}</definedName>
    <definedName name="비비" hidden="1">{#N/A,#N/A,FALSE,"단축1";#N/A,#N/A,FALSE,"단축2";#N/A,#N/A,FALSE,"단축3";#N/A,#N/A,FALSE,"장축";#N/A,#N/A,FALSE,"4WD"}</definedName>
    <definedName name="비상" hidden="1">{#N/A,#N/A,FALSE,"단축1";#N/A,#N/A,FALSE,"단축2";#N/A,#N/A,FALSE,"단축3";#N/A,#N/A,FALSE,"장축";#N/A,#N/A,FALSE,"4WD"}</definedName>
    <definedName name="비스피엘" hidden="1">{#N/A,#N/A,FALSE,"정공"}</definedName>
    <definedName name="비스피엘_1" hidden="1">{#N/A,#N/A,FALSE,"정공"}</definedName>
    <definedName name="비용" hidden="1">{#N/A,#N/A,FALSE,"HOT RU TEM";#N/A,#N/A,FALSE,"HOT RU TEM";#N/A,#N/A,FALSE,"HOT RU TEM"}</definedName>
    <definedName name="비용3" hidden="1">{#N/A,#N/A,FALSE,"HOT RU TEM";#N/A,#N/A,FALSE,"HOT RU TEM";#N/A,#N/A,FALSE,"HOT RU TEM"}</definedName>
    <definedName name="비용분해2" hidden="1">{#N/A,#N/A,FALSE,"정공"}</definedName>
    <definedName name="비용분해2_1" hidden="1">{#N/A,#N/A,FALSE,"정공"}</definedName>
    <definedName name="비용분해2_2" hidden="1">{#N/A,#N/A,FALSE,"정공"}</definedName>
    <definedName name="비용산출" hidden="1">{#N/A,#N/A,FALSE,"정공"}</definedName>
    <definedName name="비이피" hidden="1">#REF!</definedName>
    <definedName name="비이피01년" hidden="1">#REF!</definedName>
    <definedName name="비이피22" hidden="1">{#N/A,#N/A,FALSE,"정공"}</definedName>
    <definedName name="비이피22_1" hidden="1">{#N/A,#N/A,FALSE,"정공"}</definedName>
    <definedName name="비이피22_2" hidden="1">{#N/A,#N/A,FALSE,"정공"}</definedName>
    <definedName name="비ㅣ벚" hidden="1">{#N/A,#N/A,FALSE,"표지";#N/A,#N/A,FALSE,"전제";#N/A,#N/A,FALSE,"손익-자 (2)";#N/A,#N/A,FALSE,"손익-자";#N/A,#N/A,FALSE,"손익-마 (2)";#N/A,#N/A,FALSE,"손익-마";#N/A,#N/A,FALSE,"총손최종"}</definedName>
    <definedName name="빈" hidden="1">{#N/A,#N/A,FALSE,"단축1";#N/A,#N/A,FALSE,"단축2";#N/A,#N/A,FALSE,"단축3";#N/A,#N/A,FALSE,"장축";#N/A,#N/A,FALSE,"4WD"}</definedName>
    <definedName name="빈_1" hidden="1">{#N/A,#N/A,FALSE,"단축1";#N/A,#N/A,FALSE,"단축2";#N/A,#N/A,FALSE,"단축3";#N/A,#N/A,FALSE,"장축";#N/A,#N/A,FALSE,"4WD"}</definedName>
    <definedName name="ㅃ" hidden="1">{#N/A,#N/A,FALSE,"단축1";#N/A,#N/A,FALSE,"단축2";#N/A,#N/A,FALSE,"단축3";#N/A,#N/A,FALSE,"장축";#N/A,#N/A,FALSE,"4WD"}</definedName>
    <definedName name="ㅄㅄㅄㅂㄷㄷㄷ" hidden="1">{#N/A,#N/A,FALSE,"KMC최종회의(7월) 자료"}</definedName>
    <definedName name="ㅅ" hidden="1">{#N/A,#N/A,TRUE,"Y생산";#N/A,#N/A,TRUE,"Y판매";#N/A,#N/A,TRUE,"Y총물량";#N/A,#N/A,TRUE,"Y능력";#N/A,#N/A,TRUE,"YKD"}</definedName>
    <definedName name="ㅅ_1" hidden="1">{#N/A,#N/A,TRUE,"Y생산";#N/A,#N/A,TRUE,"Y판매";#N/A,#N/A,TRUE,"Y총물량";#N/A,#N/A,TRUE,"Y능력";#N/A,#N/A,TRUE,"YKD"}</definedName>
    <definedName name="ㅅ1" hidden="1">{#N/A,#N/A,FALSE,"단축1";#N/A,#N/A,FALSE,"단축2";#N/A,#N/A,FALSE,"단축3";#N/A,#N/A,FALSE,"장축";#N/A,#N/A,FALSE,"4WD"}</definedName>
    <definedName name="ㅅ4" hidden="1">{#N/A,#N/A,FALSE,"단축1";#N/A,#N/A,FALSE,"단축2";#N/A,#N/A,FALSE,"단축3";#N/A,#N/A,FALSE,"장축";#N/A,#N/A,FALSE,"4WD"}</definedName>
    <definedName name="ㅅ4ㅎㅅㄱㅎㅅ" hidden="1">{#N/A,#N/A,FALSE,"KMC최종회의(7월) 자료"}</definedName>
    <definedName name="ㅅ4ㅎㅅㄱㅎㅅ_1" hidden="1">{#N/A,#N/A,FALSE,"KMC최종회의(7월) 자료"}</definedName>
    <definedName name="ㅅ567" hidden="1">{"'7-2지역별'!$A$1:$R$44"}</definedName>
    <definedName name="ㅅㄱ" hidden="1">{#N/A,#N/A,TRUE,"Y생산";#N/A,#N/A,TRUE,"Y판매";#N/A,#N/A,TRUE,"Y총물량";#N/A,#N/A,TRUE,"Y능력";#N/A,#N/A,TRUE,"YKD"}</definedName>
    <definedName name="ㅅㄱ_1" hidden="1">{#N/A,#N/A,TRUE,"Y생산";#N/A,#N/A,TRUE,"Y판매";#N/A,#N/A,TRUE,"Y총물량";#N/A,#N/A,TRUE,"Y능력";#N/A,#N/A,TRUE,"YKD"}</definedName>
    <definedName name="ㅅㄱㄷ" hidden="1">{#N/A,#N/A,FALSE,"단축1";#N/A,#N/A,FALSE,"단축2";#N/A,#N/A,FALSE,"단축3";#N/A,#N/A,FALSE,"장축";#N/A,#N/A,FALSE,"4WD"}</definedName>
    <definedName name="ㅅㄱㄷㄴㅅㄱㄷㅅㄱㄷㅅㄱㄷㅅㄱ"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ㅅㄱㄷㅅㄱㄱㄷㅅㄷㄷㅅ" hidden="1">{#N/A,#N/A,FALSE,"PART-1234-8-12-9(41)";#N/A,#N/A,FALSE,"PARTS-2(3)";#N/A,#N/A,FALSE,"VAN SYSTEM";#N/A,#N/A,FALSE,"PARTS-10(26)";#N/A,#N/A,FALSE,"PART-5-6-7-11(14)";#N/A,#N/A,FALSE,"PARTS-4(3)";#N/A,#N/A,FALSE,"PCLASS"}</definedName>
    <definedName name="ㅅㄱㄽㄱㄳㄱ" hidden="1">{#N/A,#N/A,FALSE,"KMC최종회의(7월) 자료"}</definedName>
    <definedName name="ㅅㄱㄽㄱㄳㄱ_1" hidden="1">{#N/A,#N/A,FALSE,"KMC최종회의(7월) 자료"}</definedName>
    <definedName name="ㅅ거ㅏ" hidden="1">{#N/A,#N/A,TRUE,"Y생산";#N/A,#N/A,TRUE,"Y판매";#N/A,#N/A,TRUE,"Y총물량";#N/A,#N/A,TRUE,"Y능력";#N/A,#N/A,TRUE,"YKD"}</definedName>
    <definedName name="ㅅ거ㅏ_1" hidden="1">{#N/A,#N/A,TRUE,"Y생산";#N/A,#N/A,TRUE,"Y판매";#N/A,#N/A,TRUE,"Y총물량";#N/A,#N/A,TRUE,"Y능력";#N/A,#N/A,TRUE,"YKD"}</definedName>
    <definedName name="ㅅ거ㅛㅕㅣㅏ" hidden="1">{#N/A,#N/A,FALSE,"96 3월물량표";#N/A,#N/A,FALSE,"96 4월물량표";#N/A,#N/A,FALSE,"96 5월물량표"}</definedName>
    <definedName name="ㅅ거ㅛㅕㅣㅏ_1" hidden="1">{#N/A,#N/A,FALSE,"96 3월물량표";#N/A,#N/A,FALSE,"96 4월물량표";#N/A,#N/A,FALSE,"96 5월물량표"}</definedName>
    <definedName name="ㅅㄳ" hidden="1">{#N/A,#N/A,FALSE,"정공"}</definedName>
    <definedName name="ㅅㄷㄱㄷㄱ" hidden="1">{#N/A,#N/A,FALSE,"단축1";#N/A,#N/A,FALSE,"단축2";#N/A,#N/A,FALSE,"단축3";#N/A,#N/A,FALSE,"장축";#N/A,#N/A,FALSE,"4WD"}</definedName>
    <definedName name="ㅅㄷㅈㅈㅈㅈ" hidden="1">{#N/A,#N/A,FALSE,"신규dep";#N/A,#N/A,FALSE,"신규dep-금형상각후";#N/A,#N/A,FALSE,"신규dep-연구비상각후";#N/A,#N/A,FALSE,"신규dep-기계,공구상각후"}</definedName>
    <definedName name="ㅅㄹ녀ㅛㅅ누ㅛㅅㄴ구ㅛㅅㄱ누" hidden="1">{#N/A,#N/A,TRUE,"일정"}</definedName>
    <definedName name="ㅅㅅ" hidden="1">{#N/A,#N/A,FALSE,"KMC최종회의(7월) 자료"}</definedName>
    <definedName name="ㅅㅅ_1" hidden="1">{#N/A,#N/A,FALSE,"KMC최종회의(7월) 자료"}</definedName>
    <definedName name="ㅅㅅ_2" hidden="1">{#N/A,#N/A,FALSE,"KMC최종회의(7월) 자료"}</definedName>
    <definedName name="ㅅㅅㅅ" hidden="1">{#N/A,#N/A,FALSE,"KMC최종회의(7월) 자료"}</definedName>
    <definedName name="ㅅㅅㅅ_1" hidden="1">{#N/A,#N/A,FALSE,"KMC최종회의(7월) 자료"}</definedName>
    <definedName name="ㅅㅅㅅㅅ" hidden="1">{#N/A,#N/A,FALSE,"단축1";#N/A,#N/A,FALSE,"단축2";#N/A,#N/A,FALSE,"단축3";#N/A,#N/A,FALSE,"장축";#N/A,#N/A,FALSE,"4WD"}</definedName>
    <definedName name="ㅅㅅㅅㅅㅅ" hidden="1">{#N/A,#N/A,FALSE,"단축1";#N/A,#N/A,FALSE,"단축2";#N/A,#N/A,FALSE,"단축3";#N/A,#N/A,FALSE,"장축";#N/A,#N/A,FALSE,"4WD"}</definedName>
    <definedName name="ㅅㅇ너ㅗ자" hidden="1">{#N/A,#N/A,FALSE,"단축1";#N/A,#N/A,FALSE,"단축2";#N/A,#N/A,FALSE,"단축3";#N/A,#N/A,FALSE,"장축";#N/A,#N/A,FALSE,"4WD"}</definedName>
    <definedName name="ㅅㅎ" hidden="1">{#N/A,#N/A,FALSE,"단축1";#N/A,#N/A,FALSE,"단축2";#N/A,#N/A,FALSE,"단축3";#N/A,#N/A,FALSE,"장축";#N/A,#N/A,FALSE,"4WD"}</definedName>
    <definedName name="ㅅㅎ1" hidden="1">{#N/A,#N/A,FALSE,"단축1";#N/A,#N/A,FALSE,"단축2";#N/A,#N/A,FALSE,"단축3";#N/A,#N/A,FALSE,"장축";#N/A,#N/A,FALSE,"4WD"}</definedName>
    <definedName name="ㅅㅎㅁㄹㅊㅍㄴㅁ" hidden="1">{#N/A,#N/A,FALSE,"단축1";#N/A,#N/A,FALSE,"단축2";#N/A,#N/A,FALSE,"단축3";#N/A,#N/A,FALSE,"장축";#N/A,#N/A,FALSE,"4WD"}</definedName>
    <definedName name="ㅅㅎㅅㅅㅎㅅ" hidden="1">{#N/A,#N/A,FALSE,"KMC최종회의(7월) 자료"}</definedName>
    <definedName name="ㅅㅎㅅㅅㅎㅅ_1" hidden="1">{#N/A,#N/A,FALSE,"KMC최종회의(7월) 자료"}</definedName>
    <definedName name="ㅅ홀ㅎ" hidden="1">{#N/A,#N/A,FALSE,"단축1";#N/A,#N/A,FALSE,"단축2";#N/A,#N/A,FALSE,"단축3";#N/A,#N/A,FALSE,"장축";#N/A,#N/A,FALSE,"4WD"}</definedName>
    <definedName name="사" hidden="1">{#N/A,#N/A,FALSE,"KMC최종회의(7월) 자료"}</definedName>
    <definedName name="사_1" hidden="1">{#N/A,#N/A,FALSE,"KMC최종회의(7월) 자료"}</definedName>
    <definedName name="사_2" hidden="1">{#N/A,#N/A,FALSE,"KMC최종회의(7월) 자료"}</definedName>
    <definedName name="사1" hidden="1">{#N/A,#N/A,FALSE,"단축1";#N/A,#N/A,FALSE,"단축2";#N/A,#N/A,FALSE,"단축3";#N/A,#N/A,FALSE,"장축";#N/A,#N/A,FALSE,"4WD"}</definedName>
    <definedName name="사고뭉치" hidden="1">{#N/A,#N/A,FALSE,"96 3월물량표";#N/A,#N/A,FALSE,"96 4월물량표";#N/A,#N/A,FALSE,"96 5월물량표"}</definedName>
    <definedName name="사고뭉치_1" hidden="1">{#N/A,#N/A,FALSE,"96 3월물량표";#N/A,#N/A,FALSE,"96 4월물량표";#N/A,#N/A,FALSE,"96 5월물량표"}</definedName>
    <definedName name="사관1" hidden="1">{#N/A,#N/A,FALSE,"KMC최종회의(7월) 자료"}</definedName>
    <definedName name="사내" hidden="1">{"'5'!$A$1:$BB$147"}</definedName>
    <definedName name="사내공문1" hidden="1">{#N/A,#N/A,FALSE,"단축1";#N/A,#N/A,FALSE,"단축2";#N/A,#N/A,FALSE,"단축3";#N/A,#N/A,FALSE,"장축";#N/A,#N/A,FALSE,"4WD"}</definedName>
    <definedName name="사내공문3" hidden="1">{#N/A,#N/A,FALSE,"단축1";#N/A,#N/A,FALSE,"단축2";#N/A,#N/A,FALSE,"단축3";#N/A,#N/A,FALSE,"장축";#N/A,#N/A,FALSE,"4WD"}</definedName>
    <definedName name="사내추가" hidden="1">{"'매출계획'!$D$2"}</definedName>
    <definedName name="사다라다라" hidden="1">{"'5'!$A$1:$BB$147"}</definedName>
    <definedName name="사다함이" hidden="1">{#N/A,#N/A,FALSE,"정공"}</definedName>
    <definedName name="사다함이_1" hidden="1">{#N/A,#N/A,FALSE,"정공"}</definedName>
    <definedName name="사다함이_2" hidden="1">{#N/A,#N/A,FALSE,"정공"}</definedName>
    <definedName name="사다함이_2_1" hidden="1">{#N/A,#N/A,FALSE,"정공"}</definedName>
    <definedName name="사다함이_2_2" hidden="1">{#N/A,#N/A,FALSE,"정공"}</definedName>
    <definedName name="사다함이_2_3" hidden="1">{#N/A,#N/A,FALSE,"정공"}</definedName>
    <definedName name="사다함이_3" hidden="1">{#N/A,#N/A,FALSE,"정공"}</definedName>
    <definedName name="사다함이_3_1" hidden="1">{#N/A,#N/A,FALSE,"정공"}</definedName>
    <definedName name="사다함이_3_2" hidden="1">{#N/A,#N/A,FALSE,"정공"}</definedName>
    <definedName name="사다함이_3_3" hidden="1">{#N/A,#N/A,FALSE,"정공"}</definedName>
    <definedName name="사다함이_4" hidden="1">{#N/A,#N/A,FALSE,"정공"}</definedName>
    <definedName name="사다함이_5" hidden="1">{#N/A,#N/A,FALSE,"정공"}</definedName>
    <definedName name="사라다라사" hidden="1">{"'5'!$A$1:$BB$147"}</definedName>
    <definedName name="사람" hidden="1">{#N/A,#N/A,FALSE,"표지";#N/A,#N/A,FALSE,"을지1";#N/A,#N/A,FALSE,"일정1";#N/A,#N/A,FALSE,"일정2";#N/A,#N/A,FALSE,"11T-C";#N/A,#N/A,FALSE,"15T-D";#N/A,#N/A,FALSE,"판매현황";#N/A,#N/A,FALSE,"업무 FLOW"}</definedName>
    <definedName name="사람이야" hidden="1">{#N/A,#N/A,FALSE,"정공"}</definedName>
    <definedName name="사람이야_1" hidden="1">{#N/A,#N/A,FALSE,"정공"}</definedName>
    <definedName name="사람이야_2" hidden="1">{#N/A,#N/A,FALSE,"정공"}</definedName>
    <definedName name="사랑" hidden="1">{"'5'!$A$1:$BB$147"}</definedName>
    <definedName name="사랑2" hidden="1">{"'5'!$A$1:$BB$147"}</definedName>
    <definedName name="사랑3" hidden="1">{"'5'!$A$1:$BB$147"}</definedName>
    <definedName name="사랑하오" hidden="1">{#N/A,#N/A,FALSE,"정공"}</definedName>
    <definedName name="사랑하오_1" hidden="1">{#N/A,#N/A,FALSE,"정공"}</definedName>
    <definedName name="사랑하오_2" hidden="1">{#N/A,#N/A,FALSE,"정공"}</definedName>
    <definedName name="사랙" hidden="1">{#N/A,#N/A,FALSE,"단축1";#N/A,#N/A,FALSE,"단축2";#N/A,#N/A,FALSE,"단축3";#N/A,#N/A,FALSE,"장축";#N/A,#N/A,FALSE,"4WD"}</definedName>
    <definedName name="사랭" hidden="1">{#N/A,#N/A,FALSE,"단축1";#N/A,#N/A,FALSE,"단축2";#N/A,#N/A,FALSE,"단축3";#N/A,#N/A,FALSE,"장축";#N/A,#N/A,FALSE,"4WD"}</definedName>
    <definedName name="사무" hidden="1">{#N/A,#N/A,TRUE,"Y생산";#N/A,#N/A,TRUE,"Y판매";#N/A,#N/A,TRUE,"Y총물량";#N/A,#N/A,TRUE,"Y능력";#N/A,#N/A,TRUE,"YKD"}</definedName>
    <definedName name="사무_1" hidden="1">{#N/A,#N/A,TRUE,"Y생산";#N/A,#N/A,TRUE,"Y판매";#N/A,#N/A,TRUE,"Y총물량";#N/A,#N/A,TRUE,"Y능력";#N/A,#N/A,TRUE,"YKD"}</definedName>
    <definedName name="사무소운영비상해" hidden="1">{#N/A,#N/A,FALSE,"KMC최종회의(7월) 자료"}</definedName>
    <definedName name="사본" hidden="1">{#N/A,#N/A,FALSE,"정공"}</definedName>
    <definedName name="사본_1" hidden="1">{#N/A,#N/A,FALSE,"정공"}</definedName>
    <definedName name="사본_2" hidden="1">{#N/A,#N/A,FALSE,"정공"}</definedName>
    <definedName name="사부" hidden="1">{#N/A,#N/A,FALSE,"단축1";#N/A,#N/A,FALSE,"단축2";#N/A,#N/A,FALSE,"단축3";#N/A,#N/A,FALSE,"장축";#N/A,#N/A,FALSE,"4WD"}</definedName>
    <definedName name="사서" hidden="1">{#N/A,#N/A,FALSE,"단축1";#N/A,#N/A,FALSE,"단축2";#N/A,#N/A,FALSE,"단축3";#N/A,#N/A,FALSE,"장축";#N/A,#N/A,FALSE,"4WD"}</definedName>
    <definedName name="사양" hidden="1">{#N/A,#N/A,FALSE,"신규dep";#N/A,#N/A,FALSE,"신규dep-금형상각후";#N/A,#N/A,FALSE,"신규dep-연구비상각후";#N/A,#N/A,FALSE,"신규dep-기계,공구상각후"}</definedName>
    <definedName name="사양_1" hidden="1">{#N/A,#N/A,FALSE,"신규dep";#N/A,#N/A,FALSE,"신규dep-금형상각후";#N/A,#N/A,FALSE,"신규dep-연구비상각후";#N/A,#N/A,FALSE,"신규dep-기계,공구상각후"}</definedName>
    <definedName name="사양_2" hidden="1">{#N/A,#N/A,FALSE,"신규dep";#N/A,#N/A,FALSE,"신규dep-금형상각후";#N/A,#N/A,FALSE,"신규dep-연구비상각후";#N/A,#N/A,FALSE,"신규dep-기계,공구상각후"}</definedName>
    <definedName name="사양변경내용2" hidden="1">{#N/A,#N/A,FALSE,"단축1";#N/A,#N/A,FALSE,"단축2";#N/A,#N/A,FALSE,"단축3";#N/A,#N/A,FALSE,"장축";#N/A,#N/A,FALSE,"4WD"}</definedName>
    <definedName name="사양변위서" hidden="1">{#N/A,#N/A,FALSE,"단축1";#N/A,#N/A,FALSE,"단축2";#N/A,#N/A,FALSE,"단축3";#N/A,#N/A,FALSE,"장축";#N/A,#N/A,FALSE,"4WD"}</definedName>
    <definedName name="사양비교" hidden="1">{#N/A,#N/A,FALSE,"단축1";#N/A,#N/A,FALSE,"단축2";#N/A,#N/A,FALSE,"단축3";#N/A,#N/A,FALSE,"장축";#N/A,#N/A,FALSE,"4WD"}</definedName>
    <definedName name="사양비교_NF" hidden="1">{#N/A,#N/A,FALSE,"단축1";#N/A,#N/A,FALSE,"단축2";#N/A,#N/A,FALSE,"단축3";#N/A,#N/A,FALSE,"장축";#N/A,#N/A,FALSE,"4WD"}</definedName>
    <definedName name="사양비교1" hidden="1">{#N/A,#N/A,FALSE,"단축1";#N/A,#N/A,FALSE,"단축2";#N/A,#N/A,FALSE,"단축3";#N/A,#N/A,FALSE,"장축";#N/A,#N/A,FALSE,"4WD"}</definedName>
    <definedName name="사양안" hidden="1">{#N/A,#N/A,FALSE,"단축1";#N/A,#N/A,FALSE,"단축2";#N/A,#N/A,FALSE,"단축3";#N/A,#N/A,FALSE,"장축";#N/A,#N/A,FALSE,"4WD"}</definedName>
    <definedName name="사양안_1" hidden="1">{#N/A,#N/A,FALSE,"단축1";#N/A,#N/A,FALSE,"단축2";#N/A,#N/A,FALSE,"단축3";#N/A,#N/A,FALSE,"장축";#N/A,#N/A,FALSE,"4WD"}</definedName>
    <definedName name="사양접수" hidden="1">{#N/A,#N/A,TRUE,"일정"}</definedName>
    <definedName name="사양접수2" hidden="1">{#N/A,#N/A,TRUE,"일정"}</definedName>
    <definedName name="사업" hidden="1">{#N/A,#N/A,FALSE,"사업"}</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 hidden="1">{#N/A,#N/A,TRUE,"Y생산";#N/A,#N/A,TRUE,"Y판매";#N/A,#N/A,TRUE,"Y총물량";#N/A,#N/A,TRUE,"Y능력";#N/A,#N/A,TRUE,"YKD"}</definedName>
    <definedName name="사업계획_1" hidden="1">{#N/A,#N/A,TRUE,"Y생산";#N/A,#N/A,TRUE,"Y판매";#N/A,#N/A,TRUE,"Y총물량";#N/A,#N/A,TRUE,"Y능력";#N/A,#N/A,TRUE,"YKD"}</definedName>
    <definedName name="사업계획2" hidden="1">{#N/A,#N/A,FALSE,"정공"}</definedName>
    <definedName name="사업계획2_1" hidden="1">{#N/A,#N/A,FALSE,"정공"}</definedName>
    <definedName name="사업계획2_2" hidden="1">{#N/A,#N/A,FALSE,"정공"}</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달성방안" hidden="1">{#N/A,#N/A,FALSE,"KMC최종회의(7월) 자료"}</definedName>
    <definedName name="사업달성방안_1" hidden="1">{#N/A,#N/A,FALSE,"KMC최종회의(7월) 자료"}</definedName>
    <definedName name="사업비교표" hidden="1">{#N/A,#N/A,FALSE,"정공"}</definedName>
    <definedName name="사업비교표_1" hidden="1">{#N/A,#N/A,FALSE,"정공"}</definedName>
    <definedName name="사업비교표_2" hidden="1">{#N/A,#N/A,FALSE,"정공"}</definedName>
    <definedName name="사업추진" hidden="1">{#N/A,#N/A,FALSE,"정공"}</definedName>
    <definedName name="사업추진_1" hidden="1">{#N/A,#N/A,FALSE,"정공"}</definedName>
    <definedName name="사업추진_2" hidden="1">{#N/A,#N/A,FALSE,"정공"}</definedName>
    <definedName name="사업추진_2_1" hidden="1">{#N/A,#N/A,FALSE,"정공"}</definedName>
    <definedName name="사업추진_2_2" hidden="1">{#N/A,#N/A,FALSE,"정공"}</definedName>
    <definedName name="사업추진_2_3" hidden="1">{#N/A,#N/A,FALSE,"정공"}</definedName>
    <definedName name="사업추진_3" hidden="1">{#N/A,#N/A,FALSE,"정공"}</definedName>
    <definedName name="사업추진_3_1" hidden="1">{#N/A,#N/A,FALSE,"정공"}</definedName>
    <definedName name="사업추진_3_2" hidden="1">{#N/A,#N/A,FALSE,"정공"}</definedName>
    <definedName name="사업추진_3_3" hidden="1">{#N/A,#N/A,FALSE,"정공"}</definedName>
    <definedName name="사업추진_4" hidden="1">{#N/A,#N/A,FALSE,"정공"}</definedName>
    <definedName name="사업추진_5" hidden="1">{#N/A,#N/A,FALSE,"정공"}</definedName>
    <definedName name="사이드" hidden="1">{#N/A,#N/A,FALSE,"단축1";#N/A,#N/A,FALSE,"단축2";#N/A,#N/A,FALSE,"단축3";#N/A,#N/A,FALSE,"장축";#N/A,#N/A,FALSE,"4WD"}</definedName>
    <definedName name="사이로" hidden="1">{#N/A,#N/A,FALSE,"단축1";#N/A,#N/A,FALSE,"단축2";#N/A,#N/A,FALSE,"단축3";#N/A,#N/A,FALSE,"장축";#N/A,#N/A,FALSE,"4WD"}</definedName>
    <definedName name="사자" hidden="1">{#N/A,#N/A,FALSE,"단축1";#N/A,#N/A,FALSE,"단축2";#N/A,#N/A,FALSE,"단축3";#N/A,#N/A,FALSE,"장축";#N/A,#N/A,FALSE,"4WD"}</definedName>
    <definedName name="사전제품" hidden="1">{#N/A,#N/A,FALSE,"단축1";#N/A,#N/A,FALSE,"단축2";#N/A,#N/A,FALSE,"단축3";#N/A,#N/A,FALSE,"장축";#N/A,#N/A,FALSE,"4WD"}</definedName>
    <definedName name="사진" hidden="1">{#N/A,#N/A,FALSE,"KMC최종회의(7월) 자료"}</definedName>
    <definedName name="사진_1" hidden="1">{#N/A,#N/A,FALSE,"단축1";#N/A,#N/A,FALSE,"단축2";#N/A,#N/A,FALSE,"단축3";#N/A,#N/A,FALSE,"장축";#N/A,#N/A,FALSE,"4WD"}</definedName>
    <definedName name="사진_2" hidden="1">{#N/A,#N/A,FALSE,"단축1";#N/A,#N/A,FALSE,"단축2";#N/A,#N/A,FALSE,"단축3";#N/A,#N/A,FALSE,"장축";#N/A,#N/A,FALSE,"4WD"}</definedName>
    <definedName name="사진1" hidden="1">{#N/A,#N/A,FALSE,"단축1";#N/A,#N/A,FALSE,"단축2";#N/A,#N/A,FALSE,"단축3";#N/A,#N/A,FALSE,"장축";#N/A,#N/A,FALSE,"4WD"}</definedName>
    <definedName name="사진1_1" hidden="1">{#N/A,#N/A,FALSE,"단축1";#N/A,#N/A,FALSE,"단축2";#N/A,#N/A,FALSE,"단축3";#N/A,#N/A,FALSE,"장축";#N/A,#N/A,FALSE,"4WD"}</definedName>
    <definedName name="사진2" hidden="1">{#N/A,#N/A,FALSE,"단축1";#N/A,#N/A,FALSE,"단축2";#N/A,#N/A,FALSE,"단축3";#N/A,#N/A,FALSE,"장축";#N/A,#N/A,FALSE,"4WD"}</definedName>
    <definedName name="사진2_1" hidden="1">{#N/A,#N/A,FALSE,"단축1";#N/A,#N/A,FALSE,"단축2";#N/A,#N/A,FALSE,"단축3";#N/A,#N/A,FALSE,"장축";#N/A,#N/A,FALSE,"4WD"}</definedName>
    <definedName name="사진데이터" hidden="1">{#N/A,#N/A,FALSE,"단축1";#N/A,#N/A,FALSE,"단축2";#N/A,#N/A,FALSE,"단축3";#N/A,#N/A,FALSE,"장축";#N/A,#N/A,FALSE,"4WD"}</definedName>
    <definedName name="사진복사2" hidden="1">{#N/A,#N/A,TRUE,"Y생산";#N/A,#N/A,TRUE,"Y판매";#N/A,#N/A,TRUE,"Y총물량";#N/A,#N/A,TRUE,"Y능력";#N/A,#N/A,TRUE,"YKD"}</definedName>
    <definedName name="사진복사2_1" hidden="1">{#N/A,#N/A,TRUE,"Y생산";#N/A,#N/A,TRUE,"Y판매";#N/A,#N/A,TRUE,"Y총물량";#N/A,#N/A,TRUE,"Y능력";#N/A,#N/A,TRUE,"YKD"}</definedName>
    <definedName name="사진복사2_2" hidden="1">{#N/A,#N/A,TRUE,"Y생산";#N/A,#N/A,TRUE,"Y판매";#N/A,#N/A,TRUE,"Y총물량";#N/A,#N/A,TRUE,"Y능력";#N/A,#N/A,TRUE,"YKD"}</definedName>
    <definedName name="사진이" hidden="1">{#N/A,#N/A,FALSE,"단축1";#N/A,#N/A,FALSE,"단축2";#N/A,#N/A,FALSE,"단축3";#N/A,#N/A,FALSE,"장축";#N/A,#N/A,FALSE,"4WD"}</definedName>
    <definedName name="산" hidden="1">{#N/A,#N/A,FALSE,"KMC최종회의(7월) 자료"}</definedName>
    <definedName name="산_1" hidden="1">{#N/A,#N/A,FALSE,"KMC최종회의(7월) 자료"}</definedName>
    <definedName name="산_2" hidden="1">{#N/A,#N/A,FALSE,"KMC최종회의(7월) 자료"}</definedName>
    <definedName name="산기3팀" hidden="1">{#N/A,#N/A,FALSE,"KMC최종회의(7월) 자료"}</definedName>
    <definedName name="산기3팀_1" hidden="1">{#N/A,#N/A,FALSE,"KMC최종회의(7월) 자료"}</definedName>
    <definedName name="산업수요2" hidden="1">{#N/A,#N/A,FALSE,"단축1";#N/A,#N/A,FALSE,"단축2";#N/A,#N/A,FALSE,"단축3";#N/A,#N/A,FALSE,"장축";#N/A,#N/A,FALSE,"4WD"}</definedName>
    <definedName name="산업수요2_1" hidden="1">{#N/A,#N/A,FALSE,"단축1";#N/A,#N/A,FALSE,"단축2";#N/A,#N/A,FALSE,"단축3";#N/A,#N/A,FALSE,"장축";#N/A,#N/A,FALSE,"4WD"}</definedName>
    <definedName name="산출기준" hidden="1">{#N/A,#N/A,FALSE,"단축1";#N/A,#N/A,FALSE,"단축2";#N/A,#N/A,FALSE,"단축3";#N/A,#N/A,FALSE,"장축";#N/A,#N/A,FALSE,"4WD"}</definedName>
    <definedName name="삼" hidden="1">{#N/A,#N/A,FALSE,"KMC최종회의(7월) 자료"}</definedName>
    <definedName name="삼_1" hidden="1">{#N/A,#N/A,FALSE,"KMC최종회의(7월) 자료"}</definedName>
    <definedName name="삼성" hidden="1">{#N/A,#N/A,FALSE,"정공"}</definedName>
    <definedName name="삼성_1" hidden="1">{#N/A,#N/A,FALSE,"정공"}</definedName>
    <definedName name="삼성_2" hidden="1">{#N/A,#N/A,FALSE,"정공"}</definedName>
    <definedName name="삼성_2_1" hidden="1">{#N/A,#N/A,FALSE,"정공"}</definedName>
    <definedName name="삼성_2_2" hidden="1">{#N/A,#N/A,FALSE,"정공"}</definedName>
    <definedName name="삼성_2_3" hidden="1">{#N/A,#N/A,FALSE,"정공"}</definedName>
    <definedName name="삼성_3" hidden="1">{#N/A,#N/A,FALSE,"정공"}</definedName>
    <definedName name="삼성_3_1" hidden="1">{#N/A,#N/A,FALSE,"정공"}</definedName>
    <definedName name="삼성_3_2" hidden="1">{#N/A,#N/A,FALSE,"정공"}</definedName>
    <definedName name="삼성_3_3" hidden="1">{#N/A,#N/A,FALSE,"정공"}</definedName>
    <definedName name="삼성_4" hidden="1">{#N/A,#N/A,FALSE,"정공"}</definedName>
    <definedName name="삼성_5" hidden="1">{#N/A,#N/A,FALSE,"정공"}</definedName>
    <definedName name="삼성2" hidden="1">{#N/A,#N/A,FALSE,"정공"}</definedName>
    <definedName name="삼성2_1" hidden="1">{#N/A,#N/A,FALSE,"정공"}</definedName>
    <definedName name="삼성2_2" hidden="1">{#N/A,#N/A,FALSE,"정공"}</definedName>
    <definedName name="삼성2_2_1" hidden="1">{#N/A,#N/A,FALSE,"정공"}</definedName>
    <definedName name="삼성2_2_2" hidden="1">{#N/A,#N/A,FALSE,"정공"}</definedName>
    <definedName name="삼성2_2_3" hidden="1">{#N/A,#N/A,FALSE,"정공"}</definedName>
    <definedName name="삼성2_3" hidden="1">{#N/A,#N/A,FALSE,"정공"}</definedName>
    <definedName name="삼성2_3_1" hidden="1">{#N/A,#N/A,FALSE,"정공"}</definedName>
    <definedName name="삼성2_3_2" hidden="1">{#N/A,#N/A,FALSE,"정공"}</definedName>
    <definedName name="삼성2_3_3" hidden="1">{#N/A,#N/A,FALSE,"정공"}</definedName>
    <definedName name="삼성2_4" hidden="1">{#N/A,#N/A,FALSE,"정공"}</definedName>
    <definedName name="삼성2_5" hidden="1">{#N/A,#N/A,FALSE,"정공"}</definedName>
    <definedName name="삼성수나" hidden="1">{#N/A,#N/A,FALSE,"정공"}</definedName>
    <definedName name="삽입" hidden="1">{#N/A,#N/A,FALSE,"단축1";#N/A,#N/A,FALSE,"단축2";#N/A,#N/A,FALSE,"단축3";#N/A,#N/A,FALSE,"장축";#N/A,#N/A,FALSE,"4WD"}</definedName>
    <definedName name="삽입추가2" hidden="1">{#N/A,#N/A,FALSE,"정공"}</definedName>
    <definedName name="삽입추가2_1" hidden="1">{#N/A,#N/A,FALSE,"정공"}</definedName>
    <definedName name="삽입추가2_2" hidden="1">{#N/A,#N/A,FALSE,"정공"}</definedName>
    <definedName name="상" hidden="1">{#N/A,#N/A,FALSE,"KMC최종회의(7월) 자료"}</definedName>
    <definedName name="상_1" hidden="1">{#N/A,#N/A,FALSE,"KMC최종회의(7월) 자료"}</definedName>
    <definedName name="상_2" hidden="1">{#N/A,#N/A,FALSE,"KMC최종회의(7월) 자료"}</definedName>
    <definedName name="상각" hidden="1">{#N/A,#N/A,FALSE,"단축1";#N/A,#N/A,FALSE,"단축2";#N/A,#N/A,FALSE,"단축3";#N/A,#N/A,FALSE,"장축";#N/A,#N/A,FALSE,"4WD"}</definedName>
    <definedName name="상국기" hidden="1">{#N/A,#N/A,FALSE,"단축1";#N/A,#N/A,FALSE,"단축2";#N/A,#N/A,FALSE,"단축3";#N/A,#N/A,FALSE,"장축";#N/A,#N/A,FALSE,"4WD"}</definedName>
    <definedName name="상당5" hidden="1">{#N/A,#N/A,FALSE,"단축1";#N/A,#N/A,FALSE,"단축2";#N/A,#N/A,FALSE,"단축3";#N/A,#N/A,FALSE,"장축";#N/A,#N/A,FALSE,"4WD"}</definedName>
    <definedName name="상당6" hidden="1">{#N/A,#N/A,FALSE,"단축1";#N/A,#N/A,FALSE,"단축2";#N/A,#N/A,FALSE,"단축3";#N/A,#N/A,FALSE,"장축";#N/A,#N/A,FALSE,"4WD"}</definedName>
    <definedName name="상당7" hidden="1">{#N/A,#N/A,FALSE,"단축1";#N/A,#N/A,FALSE,"단축2";#N/A,#N/A,FALSE,"단축3";#N/A,#N/A,FALSE,"장축";#N/A,#N/A,FALSE,"4WD"}</definedName>
    <definedName name="상당8" hidden="1">{#N/A,#N/A,FALSE,"단축1";#N/A,#N/A,FALSE,"단축2";#N/A,#N/A,FALSE,"단축3";#N/A,#N/A,FALSE,"장축";#N/A,#N/A,FALSE,"4WD"}</definedName>
    <definedName name="상당9" hidden="1">{#N/A,#N/A,FALSE,"신규dep";#N/A,#N/A,FALSE,"신규dep-금형상각후";#N/A,#N/A,FALSE,"신규dep-연구비상각후";#N/A,#N/A,FALSE,"신규dep-기계,공구상각후"}</definedName>
    <definedName name="상도2" hidden="1">{#N/A,#N/A,FALSE,"단축1";#N/A,#N/A,FALSE,"단축2";#N/A,#N/A,FALSE,"단축3";#N/A,#N/A,FALSE,"장축";#N/A,#N/A,FALSE,"4WD"}</definedName>
    <definedName name="상로허호" hidden="1">{#N/A,#N/A,FALSE,"정공"}</definedName>
    <definedName name="상로허호_1" hidden="1">{#N/A,#N/A,FALSE,"정공"}</definedName>
    <definedName name="상로허호_2" hidden="1">{#N/A,#N/A,FALSE,"정공"}</definedName>
    <definedName name="상로허호_2_1" hidden="1">{#N/A,#N/A,FALSE,"정공"}</definedName>
    <definedName name="상로허호_2_2" hidden="1">{#N/A,#N/A,FALSE,"정공"}</definedName>
    <definedName name="상로허호_2_3" hidden="1">{#N/A,#N/A,FALSE,"정공"}</definedName>
    <definedName name="상로허호_3" hidden="1">{#N/A,#N/A,FALSE,"정공"}</definedName>
    <definedName name="상로허호_3_1" hidden="1">{#N/A,#N/A,FALSE,"정공"}</definedName>
    <definedName name="상로허호_3_2" hidden="1">{#N/A,#N/A,FALSE,"정공"}</definedName>
    <definedName name="상로허호_3_3" hidden="1">{#N/A,#N/A,FALSE,"정공"}</definedName>
    <definedName name="상로허호_4" hidden="1">{#N/A,#N/A,FALSE,"정공"}</definedName>
    <definedName name="상로허호_5" hidden="1">{#N/A,#N/A,FALSE,"정공"}</definedName>
    <definedName name="상목" hidden="1">{#N/A,#N/A,TRUE,"Y생산";#N/A,#N/A,TRUE,"Y판매";#N/A,#N/A,TRUE,"Y총물량";#N/A,#N/A,TRUE,"Y능력";#N/A,#N/A,TRUE,"YKD"}</definedName>
    <definedName name="상목_1" hidden="1">{#N/A,#N/A,TRUE,"Y생산";#N/A,#N/A,TRUE,"Y판매";#N/A,#N/A,TRUE,"Y총물량";#N/A,#N/A,TRUE,"Y능력";#N/A,#N/A,TRUE,"YKD"}</definedName>
    <definedName name="상밈" hidden="1">{#N/A,#N/A,FALSE,"단축1";#N/A,#N/A,FALSE,"단축2";#N/A,#N/A,FALSE,"단축3";#N/A,#N/A,FALSE,"장축";#N/A,#N/A,FALSE,"4WD"}</definedName>
    <definedName name="상반기" hidden="1">{#N/A,#N/A,FALSE,"단축1";#N/A,#N/A,FALSE,"단축2";#N/A,#N/A,FALSE,"단축3";#N/A,#N/A,FALSE,"장축";#N/A,#N/A,FALSE,"4WD"}</definedName>
    <definedName name="상반기_1" hidden="1">{#N/A,#N/A,FALSE,"단축1";#N/A,#N/A,FALSE,"단축2";#N/A,#N/A,FALSE,"단축3";#N/A,#N/A,FALSE,"장축";#N/A,#N/A,FALSE,"4WD"}</definedName>
    <definedName name="상반기실적" hidden="1">{#N/A,#N/A,FALSE,"KMC최종회의(7월) 자료"}</definedName>
    <definedName name="상반기실적_1" hidden="1">{#N/A,#N/A,FALSE,"KMC최종회의(7월) 자료"}</definedName>
    <definedName name="상반기실적_2" hidden="1">{#N/A,#N/A,FALSE,"KMC최종회의(7월) 자료"}</definedName>
    <definedName name="상반기예상실적" hidden="1">{#N/A,#N/A,FALSE,"단축1";#N/A,#N/A,FALSE,"단축2";#N/A,#N/A,FALSE,"단축3";#N/A,#N/A,FALSE,"장축";#N/A,#N/A,FALSE,"4WD"}</definedName>
    <definedName name="상반기예상실적_1" hidden="1">{#N/A,#N/A,FALSE,"단축1";#N/A,#N/A,FALSE,"단축2";#N/A,#N/A,FALSE,"단축3";#N/A,#N/A,FALSE,"장축";#N/A,#N/A,FALSE,"4WD"}</definedName>
    <definedName name="상반실분석" hidden="1">#N/A</definedName>
    <definedName name="상반요인편집" hidden="1">{#N/A,#N/A,FALSE,"정공"}</definedName>
    <definedName name="상반요인편집_1" hidden="1">{#N/A,#N/A,FALSE,"정공"}</definedName>
    <definedName name="상세" hidden="1">{#N/A,#N/A,FALSE,"KMC최종회의(7월) 자료"}</definedName>
    <definedName name="상세_1" hidden="1">{#N/A,#N/A,FALSE,"KMC최종회의(7월) 자료"}</definedName>
    <definedName name="상세_2" hidden="1">{#N/A,#N/A,FALSE,"KMC최종회의(7월) 자료"}</definedName>
    <definedName name="상세List" hidden="1">{#N/A,#N/A,FALSE,"단축1";#N/A,#N/A,FALSE,"단축2";#N/A,#N/A,FALSE,"단축3";#N/A,#N/A,FALSE,"장축";#N/A,#N/A,FALSE,"4WD"}</definedName>
    <definedName name="상세분류" hidden="1">{#N/A,#N/A,FALSE,"단축1";#N/A,#N/A,FALSE,"단축2";#N/A,#N/A,FALSE,"단축3";#N/A,#N/A,FALSE,"장축";#N/A,#N/A,FALSE,"4WD"}</definedName>
    <definedName name="상품" hidden="1">{"'5'!$A$1:$BB$147"}</definedName>
    <definedName name="상품별" hidden="1">{"'5'!$A$1:$BB$147"}</definedName>
    <definedName name="상품별연체율추이" hidden="1">{"'5'!$A$1:$BB$147"}</definedName>
    <definedName name="상품성1" hidden="1">{#N/A,#N/A,FALSE,"단축1";#N/A,#N/A,FALSE,"단축2";#N/A,#N/A,FALSE,"단축3";#N/A,#N/A,FALSE,"장축";#N/A,#N/A,FALSE,"4WD"}</definedName>
    <definedName name="상품성1_1" hidden="1">{#N/A,#N/A,FALSE,"단축1";#N/A,#N/A,FALSE,"단축2";#N/A,#N/A,FALSE,"단축3";#N/A,#N/A,FALSE,"장축";#N/A,#N/A,FALSE,"4WD"}</definedName>
    <definedName name="상품성1_2" hidden="1">{#N/A,#N/A,FALSE,"단축1";#N/A,#N/A,FALSE,"단축2";#N/A,#N/A,FALSE,"단축3";#N/A,#N/A,FALSE,"장축";#N/A,#N/A,FALSE,"4WD"}</definedName>
    <definedName name="상품성3" hidden="1">{#N/A,#N/A,FALSE,"단축1";#N/A,#N/A,FALSE,"단축2";#N/A,#N/A,FALSE,"단축3";#N/A,#N/A,FALSE,"장축";#N/A,#N/A,FALSE,"4WD"}</definedName>
    <definedName name="상품성보고" hidden="1">#REF!</definedName>
    <definedName name="새" hidden="1">{#N/A,#N/A,FALSE,"단축1";#N/A,#N/A,FALSE,"단축2";#N/A,#N/A,FALSE,"단축3";#N/A,#N/A,FALSE,"장축";#N/A,#N/A,FALSE,"4WD"}</definedName>
    <definedName name="새거" hidden="1">#REF!</definedName>
    <definedName name="새로" hidden="1">{#N/A,#N/A,FALSE,"KMC최종회의(7월) 자료"}</definedName>
    <definedName name="새로_1" hidden="1">{#N/A,#N/A,FALSE,"KMC최종회의(7월) 자료"}</definedName>
    <definedName name="새로_2" hidden="1">{#N/A,#N/A,FALSE,"KMC최종회의(7월) 자료"}</definedName>
    <definedName name="새로운" hidden="1">{#N/A,#N/A,FALSE,"단축1";#N/A,#N/A,FALSE,"단축2";#N/A,#N/A,FALSE,"단축3";#N/A,#N/A,FALSE,"장축";#N/A,#N/A,FALSE,"4WD"}</definedName>
    <definedName name="새로운_1" hidden="1">{#N/A,#N/A,FALSE,"단축1";#N/A,#N/A,FALSE,"단축2";#N/A,#N/A,FALSE,"단축3";#N/A,#N/A,FALSE,"장축";#N/A,#N/A,FALSE,"4WD"}</definedName>
    <definedName name="새롬" hidden="1">{#N/A,#N/A,TRUE,"Y생산";#N/A,#N/A,TRUE,"Y판매";#N/A,#N/A,TRUE,"Y총물량";#N/A,#N/A,TRUE,"Y능력";#N/A,#N/A,TRUE,"YKD"}</definedName>
    <definedName name="새벽0118" hidden="1">{#N/A,#N/A,FALSE,"단축1";#N/A,#N/A,FALSE,"단축2";#N/A,#N/A,FALSE,"단축3";#N/A,#N/A,FALSE,"장축";#N/A,#N/A,FALSE,"4WD"}</definedName>
    <definedName name="새벽시장발표" hidden="1">{#N/A,#N/A,FALSE,"단축1";#N/A,#N/A,FALSE,"단축2";#N/A,#N/A,FALSE,"단축3";#N/A,#N/A,FALSE,"장축";#N/A,#N/A,FALSE,"4WD"}</definedName>
    <definedName name="새벽시장발표11" hidden="1">{#N/A,#N/A,FALSE,"단축1";#N/A,#N/A,FALSE,"단축2";#N/A,#N/A,FALSE,"단축3";#N/A,#N/A,FALSE,"장축";#N/A,#N/A,FALSE,"4WD"}</definedName>
    <definedName name="새벽시장발표111" hidden="1">{#N/A,#N/A,FALSE,"단축1";#N/A,#N/A,FALSE,"단축2";#N/A,#N/A,FALSE,"단축3";#N/A,#N/A,FALSE,"장축";#N/A,#N/A,FALSE,"4WD"}</definedName>
    <definedName name="새벽시장발표양식" hidden="1">{#N/A,#N/A,FALSE,"단축1";#N/A,#N/A,FALSE,"단축2";#N/A,#N/A,FALSE,"단축3";#N/A,#N/A,FALSE,"장축";#N/A,#N/A,FALSE,"4WD"}</definedName>
    <definedName name="새벽시장발표양식.1" hidden="1">{#N/A,#N/A,FALSE,"단축1";#N/A,#N/A,FALSE,"단축2";#N/A,#N/A,FALSE,"단축3";#N/A,#N/A,FALSE,"장축";#N/A,#N/A,FALSE,"4WD"}</definedName>
    <definedName name="새부" hidden="1">{#N/A,#N/A,TRUE,"Y생산";#N/A,#N/A,TRUE,"Y판매";#N/A,#N/A,TRUE,"Y총물량";#N/A,#N/A,TRUE,"Y능력";#N/A,#N/A,TRUE,"YKD"}</definedName>
    <definedName name="새세" hidden="1">{#N/A,#N/A,FALSE,"단축1";#N/A,#N/A,FALSE,"단축2";#N/A,#N/A,FALSE,"단축3";#N/A,#N/A,FALSE,"장축";#N/A,#N/A,FALSE,"4WD"}</definedName>
    <definedName name="새세_1" hidden="1">{#N/A,#N/A,FALSE,"단축1";#N/A,#N/A,FALSE,"단축2";#N/A,#N/A,FALSE,"단축3";#N/A,#N/A,FALSE,"장축";#N/A,#N/A,FALSE,"4WD"}</definedName>
    <definedName name="새세_2" hidden="1">{#N/A,#N/A,FALSE,"단축1";#N/A,#N/A,FALSE,"단축2";#N/A,#N/A,FALSE,"단축3";#N/A,#N/A,FALSE,"장축";#N/A,#N/A,FALSE,"4WD"}</definedName>
    <definedName name="새양깃" hidden="1">{#N/A,#N/A,FALSE,"정공"}</definedName>
    <definedName name="새이름" hidden="1">{#N/A,#N/A,FALSE,"단축1";#N/A,#N/A,FALSE,"단축2";#N/A,#N/A,FALSE,"단축3";#N/A,#N/A,FALSE,"장축";#N/A,#N/A,FALSE,"4WD"}</definedName>
    <definedName name="새이픔" hidden="1">{#N/A,#N/A,FALSE,"단축1";#N/A,#N/A,FALSE,"단축2";#N/A,#N/A,FALSE,"단축3";#N/A,#N/A,FALSE,"장축";#N/A,#N/A,FALSE,"4WD"}</definedName>
    <definedName name="새조일정" hidden="1">{#N/A,#N/A,FALSE,"단축1";#N/A,#N/A,FALSE,"단축2";#N/A,#N/A,FALSE,"단축3";#N/A,#N/A,FALSE,"장축";#N/A,#N/A,FALSE,"4WD"}</definedName>
    <definedName name="새천년" hidden="1">{#N/A,#N/A,TRUE,"Y생산";#N/A,#N/A,TRUE,"Y판매";#N/A,#N/A,TRUE,"Y총물량";#N/A,#N/A,TRUE,"Y능력";#N/A,#N/A,TRUE,"YKD"}</definedName>
    <definedName name="새천년_1" hidden="1">{#N/A,#N/A,TRUE,"Y생산";#N/A,#N/A,TRUE,"Y판매";#N/A,#N/A,TRUE,"Y총물량";#N/A,#N/A,TRUE,"Y능력";#N/A,#N/A,TRUE,"YKD"}</definedName>
    <definedName name="새파일" hidden="1">{#N/A,#N/A,FALSE,"정공"}</definedName>
    <definedName name="새파일편집" hidden="1">{#N/A,#N/A,FALSE,"정공"}</definedName>
    <definedName name="새파일편집_1" hidden="1">{#N/A,#N/A,FALSE,"정공"}</definedName>
    <definedName name="새파일편집_2" hidden="1">{#N/A,#N/A,FALSE,"정공"}</definedName>
    <definedName name="새파일편집_2_1" hidden="1">{#N/A,#N/A,FALSE,"정공"}</definedName>
    <definedName name="새파일편집_2_2" hidden="1">{#N/A,#N/A,FALSE,"정공"}</definedName>
    <definedName name="새파일편집_2_3" hidden="1">{#N/A,#N/A,FALSE,"정공"}</definedName>
    <definedName name="새파일편집_3" hidden="1">{#N/A,#N/A,FALSE,"정공"}</definedName>
    <definedName name="새파일편집_3_1" hidden="1">{#N/A,#N/A,FALSE,"정공"}</definedName>
    <definedName name="새파일편집_3_2" hidden="1">{#N/A,#N/A,FALSE,"정공"}</definedName>
    <definedName name="새파일편집_3_3" hidden="1">{#N/A,#N/A,FALSE,"정공"}</definedName>
    <definedName name="새파일편집_4" hidden="1">{#N/A,#N/A,FALSE,"정공"}</definedName>
    <definedName name="새파일편집_5" hidden="1">{#N/A,#N/A,FALSE,"정공"}</definedName>
    <definedName name="샘" hidden="1">{#N/A,#N/A,FALSE,"단축1";#N/A,#N/A,FALSE,"단축2";#N/A,#N/A,FALSE,"단축3";#N/A,#N/A,FALSE,"장축";#N/A,#N/A,FALSE,"4WD"}</definedName>
    <definedName name="샘플카" hidden="1">{#N/A,#N/A,FALSE,"단축1";#N/A,#N/A,FALSE,"단축2";#N/A,#N/A,FALSE,"단축3";#N/A,#N/A,FALSE,"장축";#N/A,#N/A,FALSE,"4WD"}</definedName>
    <definedName name="생기" hidden="1">{#N/A,#N/A,FALSE,"KMC최종회의(7월) 자료"}</definedName>
    <definedName name="생기_1" hidden="1">{#N/A,#N/A,FALSE,"KMC최종회의(7월) 자료"}</definedName>
    <definedName name="생기_2" hidden="1">{#N/A,#N/A,FALSE,"KMC최종회의(7월) 자료"}</definedName>
    <definedName name="생기부" hidden="1">{#N/A,#N/A,FALSE,"96자동차사 계획";#N/A,#N/A,FALSE,"96자동차사 계획"}</definedName>
    <definedName name="생기수정" hidden="1">{#N/A,#N/A,FALSE,"KMC최종회의(7월) 자료"}</definedName>
    <definedName name="생기수정_1" hidden="1">{#N/A,#N/A,FALSE,"KMC최종회의(7월) 자료"}</definedName>
    <definedName name="생기수정_2" hidden="1">{#N/A,#N/A,FALSE,"KMC최종회의(7월) 자료"}</definedName>
    <definedName name="생기양식" hidden="1">{#N/A,#N/A,TRUE,"Y생산";#N/A,#N/A,TRUE,"Y판매";#N/A,#N/A,TRUE,"Y총물량";#N/A,#N/A,TRUE,"Y능력";#N/A,#N/A,TRUE,"YKD"}</definedName>
    <definedName name="생기요건1" hidden="1">{#N/A,#N/A,FALSE,"단축1";#N/A,#N/A,FALSE,"단축2";#N/A,#N/A,FALSE,"단축3";#N/A,#N/A,FALSE,"장축";#N/A,#N/A,FALSE,"4WD"}</definedName>
    <definedName name="생기일정표" hidden="1">{#N/A,#N/A,FALSE,"단축1";#N/A,#N/A,FALSE,"단축2";#N/A,#N/A,FALSE,"단축3";#N/A,#N/A,FALSE,"장축";#N/A,#N/A,FALSE,"4WD"}</definedName>
    <definedName name="생기종합수정MH" hidden="1">{#N/A,#N/A,FALSE,"KMC최종회의(7월) 자료"}</definedName>
    <definedName name="생기종합수정MH_1" hidden="1">{#N/A,#N/A,FALSE,"KMC최종회의(7월) 자료"}</definedName>
    <definedName name="생기종합수정MH_2" hidden="1">{#N/A,#N/A,FALSE,"KMC최종회의(7월) 자료"}</definedName>
    <definedName name="생기파일" hidden="1">{"'7-2지역별'!$A$1:$R$44"}</definedName>
    <definedName name="생산" hidden="1">{#N/A,#N/A,FALSE,"단축1";#N/A,#N/A,FALSE,"단축2";#N/A,#N/A,FALSE,"단축3";#N/A,#N/A,FALSE,"장축";#N/A,#N/A,FALSE,"4WD"}</definedName>
    <definedName name="생산_1" hidden="1">{#N/A,#N/A,TRUE,"Y생산";#N/A,#N/A,TRUE,"Y판매";#N/A,#N/A,TRUE,"Y총물량";#N/A,#N/A,TRUE,"Y능력";#N/A,#N/A,TRUE,"YKD"}</definedName>
    <definedName name="생산TON" hidden="1">{#N/A,#N/A,TRUE,"Y생산";#N/A,#N/A,TRUE,"Y판매";#N/A,#N/A,TRUE,"Y총물량";#N/A,#N/A,TRUE,"Y능력";#N/A,#N/A,TRUE,"YKD"}</definedName>
    <definedName name="생산TON_1" hidden="1">{#N/A,#N/A,TRUE,"Y생산";#N/A,#N/A,TRUE,"Y판매";#N/A,#N/A,TRUE,"Y총물량";#N/A,#N/A,TRUE,"Y능력";#N/A,#N/A,TRUE,"YKD"}</definedName>
    <definedName name="생산견적서" hidden="1">{#N/A,#N/A,FALSE,"단축1";#N/A,#N/A,FALSE,"단축2";#N/A,#N/A,FALSE,"단축3";#N/A,#N/A,FALSE,"장축";#N/A,#N/A,FALSE,"4WD"}</definedName>
    <definedName name="생산계획" hidden="1">{#N/A,#N/A,TRUE,"Y생산";#N/A,#N/A,TRUE,"Y판매";#N/A,#N/A,TRUE,"Y총물량";#N/A,#N/A,TRUE,"Y능력";#N/A,#N/A,TRUE,"YKD"}</definedName>
    <definedName name="생산관리" hidden="1">{#N/A,#N/A,FALSE,"단축1";#N/A,#N/A,FALSE,"단축2";#N/A,#N/A,FALSE,"단축3";#N/A,#N/A,FALSE,"장축";#N/A,#N/A,FALSE,"4WD"}</definedName>
    <definedName name="생산관리부" hidden="1">{#N/A,#N/A,FALSE,"단축1";#N/A,#N/A,FALSE,"단축2";#N/A,#N/A,FALSE,"단축3";#N/A,#N/A,FALSE,"장축";#N/A,#N/A,FALSE,"4WD"}</definedName>
    <definedName name="생산능력" hidden="1">{#N/A,#N/A,FALSE,"정공"}</definedName>
    <definedName name="생산능력_1" hidden="1">{#N/A,#N/A,FALSE,"정공"}</definedName>
    <definedName name="생산능력_2" hidden="1">{#N/A,#N/A,FALSE,"정공"}</definedName>
    <definedName name="생산문제점" hidden="1">{#N/A,#N/A,FALSE,"정공"}</definedName>
    <definedName name="생산설비일정" hidden="1">{#N/A,#N/A,FALSE,"단축1";#N/A,#N/A,FALSE,"단축2";#N/A,#N/A,FALSE,"단축3";#N/A,#N/A,FALSE,"장축";#N/A,#N/A,FALSE,"4WD"}</definedName>
    <definedName name="생산성" hidden="1">{#N/A,#N/A,FALSE,"KMC최종회의(7월) 자료"}</definedName>
    <definedName name="생산성_1" hidden="1">{#N/A,#N/A,FALSE,"KMC최종회의(7월) 자료"}</definedName>
    <definedName name="생산성_2" hidden="1">{#N/A,#N/A,FALSE,"KMC최종회의(7월) 자료"}</definedName>
    <definedName name="생산성향상" hidden="1">{#N/A,#N/A,TRUE,"Y생산";#N/A,#N/A,TRUE,"Y판매";#N/A,#N/A,TRUE,"Y총물량";#N/A,#N/A,TRUE,"Y능력";#N/A,#N/A,TRUE,"YKD"}</definedName>
    <definedName name="생산성향상_1" hidden="1">{#N/A,#N/A,TRUE,"Y생산";#N/A,#N/A,TRUE,"Y판매";#N/A,#N/A,TRUE,"Y총물량";#N/A,#N/A,TRUE,"Y능력";#N/A,#N/A,TRUE,"YKD"}</definedName>
    <definedName name="생산손익" hidden="1">{#N/A,#N/A,FALSE,"정공"}</definedName>
    <definedName name="생산손익_1" hidden="1">{#N/A,#N/A,FALSE,"정공"}</definedName>
    <definedName name="생산손익_2" hidden="1">{#N/A,#N/A,FALSE,"정공"}</definedName>
    <definedName name="생산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전체일정" hidden="1">{#N/A,#N/A,FALSE,"단축1";#N/A,#N/A,FALSE,"단축2";#N/A,#N/A,FALSE,"단축3";#N/A,#N/A,FALSE,"장축";#N/A,#N/A,FALSE,"4WD"}</definedName>
    <definedName name="생산준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직실적" hidden="1">{#N/A,#N/A,FALSE,"KMC최종회의(7월) 자료"}</definedName>
    <definedName name="생산직실적_1" hidden="1">{#N/A,#N/A,FALSE,"KMC최종회의(7월) 자료"}</definedName>
    <definedName name="생산직실적_2" hidden="1">{#N/A,#N/A,FALSE,"KMC최종회의(7월) 자료"}</definedName>
    <definedName name="생산특장2" hidden="1">{#N/A,#N/A,TRUE,"Y생산";#N/A,#N/A,TRUE,"Y판매";#N/A,#N/A,TRUE,"Y총물량";#N/A,#N/A,TRUE,"Y능력";#N/A,#N/A,TRUE,"YKD"}</definedName>
    <definedName name="생산특장2_1" hidden="1">{#N/A,#N/A,TRUE,"Y생산";#N/A,#N/A,TRUE,"Y판매";#N/A,#N/A,TRUE,"Y총물량";#N/A,#N/A,TRUE,"Y능력";#N/A,#N/A,TRUE,"YKD"}</definedName>
    <definedName name="생산품목" hidden="1">{#N/A,#N/A,FALSE,"정공"}</definedName>
    <definedName name="생산품목_1" hidden="1">{#N/A,#N/A,FALSE,"정공"}</definedName>
    <definedName name="생산품목_2" hidden="1">{#N/A,#N/A,FALSE,"정공"}</definedName>
    <definedName name="생산합격" hidden="1">{#N/A,#N/A,TRUE,"Y생산";#N/A,#N/A,TRUE,"Y판매";#N/A,#N/A,TRUE,"Y총물량";#N/A,#N/A,TRUE,"Y능력";#N/A,#N/A,TRUE,"YKD"}</definedName>
    <definedName name="생산합격_1" hidden="1">{#N/A,#N/A,TRUE,"Y생산";#N/A,#N/A,TRUE,"Y판매";#N/A,#N/A,TRUE,"Y총물량";#N/A,#N/A,TRUE,"Y능력";#N/A,#N/A,TRUE,"YKD"}</definedName>
    <definedName name="생산혁신가공업무분장" hidden="1">{#N/A,#N/A,FALSE,"단축1";#N/A,#N/A,FALSE,"단축2";#N/A,#N/A,FALSE,"단축3";#N/A,#N/A,FALSE,"장축";#N/A,#N/A,FALSE,"4WD"}</definedName>
    <definedName name="생산현황" hidden="1">{#N/A,#N/A,TRUE,"Y생산";#N/A,#N/A,TRUE,"Y판매";#N/A,#N/A,TRUE,"Y총물량";#N/A,#N/A,TRUE,"Y능력";#N/A,#N/A,TRUE,"YKD"}</definedName>
    <definedName name="생산현황_1" hidden="1">{#N/A,#N/A,TRUE,"Y생산";#N/A,#N/A,TRUE,"Y판매";#N/A,#N/A,TRUE,"Y총물량";#N/A,#N/A,TRUE,"Y능력";#N/A,#N/A,TRUE,"YKD"}</definedName>
    <definedName name="생요서4" hidden="1">{#N/A,#N/A,FALSE,"단축1";#N/A,#N/A,FALSE,"단축2";#N/A,#N/A,FALSE,"단축3";#N/A,#N/A,FALSE,"장축";#N/A,#N/A,FALSE,"4WD"}</definedName>
    <definedName name="생철2" hidden="1">{#N/A,#N/A,TRUE,"Y생산";#N/A,#N/A,TRUE,"Y판매";#N/A,#N/A,TRUE,"Y총물량";#N/A,#N/A,TRUE,"Y능력";#N/A,#N/A,TRUE,"YKD"}</definedName>
    <definedName name="생판" hidden="1">{#N/A,#N/A,FALSE,"신규dep";#N/A,#N/A,FALSE,"신규dep-금형상각후";#N/A,#N/A,FALSE,"신규dep-연구비상각후";#N/A,#N/A,FALSE,"신규dep-기계,공구상각후"}</definedName>
    <definedName name="샤시" hidden="1">{#N/A,#N/A,FALSE,"단축1";#N/A,#N/A,FALSE,"단축2";#N/A,#N/A,FALSE,"단축3";#N/A,#N/A,FALSE,"장축";#N/A,#N/A,FALSE,"4WD"}</definedName>
    <definedName name="샤시1" hidden="1">{#N/A,#N/A,FALSE,"단축1";#N/A,#N/A,FALSE,"단축2";#N/A,#N/A,FALSE,"단축3";#N/A,#N/A,FALSE,"장축";#N/A,#N/A,FALSE,"4WD"}</definedName>
    <definedName name="샤시2" hidden="1">{#N/A,#N/A,FALSE,"단축1";#N/A,#N/A,FALSE,"단축2";#N/A,#N/A,FALSE,"단축3";#N/A,#N/A,FALSE,"장축";#N/A,#N/A,FALSE,"4WD"}</definedName>
    <definedName name="샤시품예" hidden="1">{#N/A,#N/A,FALSE,"단축1";#N/A,#N/A,FALSE,"단축2";#N/A,#N/A,FALSE,"단축3";#N/A,#N/A,FALSE,"장축";#N/A,#N/A,FALSE,"4WD"}</definedName>
    <definedName name="샤시품예_1" hidden="1">{#N/A,#N/A,FALSE,"단축1";#N/A,#N/A,FALSE,"단축2";#N/A,#N/A,FALSE,"단축3";#N/A,#N/A,FALSE,"장축";#N/A,#N/A,FALSE,"4WD"}</definedName>
    <definedName name="서" hidden="1">{#N/A,#N/A,FALSE,"KMC최종회의(7월) 자료"}</definedName>
    <definedName name="서_1" hidden="1">{#N/A,#N/A,FALSE,"KMC최종회의(7월) 자료"}</definedName>
    <definedName name="서_2" hidden="1">{#N/A,#N/A,FALSE,"KMC최종회의(7월) 자료"}</definedName>
    <definedName name="서광" hidden="1">{"'5'!$A$1:$BB$147"}</definedName>
    <definedName name="서교원" hidden="1">{#N/A,#N/A,TRUE,"Y생산";#N/A,#N/A,TRUE,"Y판매";#N/A,#N/A,TRUE,"Y총물량";#N/A,#N/A,TRUE,"Y능력";#N/A,#N/A,TRUE,"YKD"}</definedName>
    <definedName name="서교원_1" hidden="1">{#N/A,#N/A,TRUE,"Y생산";#N/A,#N/A,TRUE,"Y판매";#N/A,#N/A,TRUE,"Y총물량";#N/A,#N/A,TRUE,"Y능력";#N/A,#N/A,TRUE,"YKD"}</definedName>
    <definedName name="서대원" hidden="1">{"'5'!$A$1:$BB$147"}</definedName>
    <definedName name="서류전형합격분석" hidden="1">{#N/A,#N/A,FALSE,"단축1";#N/A,#N/A,FALSE,"단축2";#N/A,#N/A,FALSE,"단축3";#N/A,#N/A,FALSE,"장축";#N/A,#N/A,FALSE,"4WD"}</definedName>
    <definedName name="서미선" hidden="1">{"'5'!$A$1:$BB$147"}</definedName>
    <definedName name="서미선1" hidden="1">{"'5'!$A$1:$BB$147"}</definedName>
    <definedName name="서미선10" hidden="1">{"'5'!$A$1:$BB$147"}</definedName>
    <definedName name="서미선2" hidden="1">{"'5'!$A$1:$BB$147"}</definedName>
    <definedName name="서미선3" hidden="1">{"'5'!$A$1:$BB$147"}</definedName>
    <definedName name="서미선4" hidden="1">{"'5'!$A$1:$BB$147"}</definedName>
    <definedName name="서미선5" hidden="1">{"'5'!$A$1:$BB$147"}</definedName>
    <definedName name="서미선6" hidden="1">{"'5'!$A$1:$BB$147"}</definedName>
    <definedName name="서미선서미선" hidden="1">{"'5'!$A$1:$BB$147"}</definedName>
    <definedName name="서비스" hidden="1">{#N/A,#N/A,FALSE,"인원";#N/A,#N/A,FALSE,"비용2";#N/A,#N/A,FALSE,"비용1";#N/A,#N/A,FALSE,"비용";#N/A,#N/A,FALSE,"보증2";#N/A,#N/A,FALSE,"보증1";#N/A,#N/A,FALSE,"보증";#N/A,#N/A,FALSE,"손익1";#N/A,#N/A,FALSE,"손익";#N/A,#N/A,FALSE,"부서별매출";#N/A,#N/A,FALSE,"매출"}</definedName>
    <definedName name="서산" hidden="1">#REF!</definedName>
    <definedName name="서서" hidden="1">{#N/A,#N/A,FALSE,"단축1";#N/A,#N/A,FALSE,"단축2";#N/A,#N/A,FALSE,"단축3";#N/A,#N/A,FALSE,"장축";#N/A,#N/A,FALSE,"4WD"}</definedName>
    <definedName name="서성ㅎ" hidden="1">{#N/A,#N/A,FALSE,"KMC최종회의(7월) 자료"}</definedName>
    <definedName name="서술요약" hidden="1">{#N/A,#N/A,FALSE,"정공"}</definedName>
    <definedName name="서술요약_1" hidden="1">{#N/A,#N/A,FALSE,"정공"}</definedName>
    <definedName name="서술요약_2" hidden="1">{#N/A,#N/A,FALSE,"정공"}</definedName>
    <definedName name="서승수" hidden="1">{#N/A,#N/A,TRUE,"Y생산";#N/A,#N/A,TRUE,"Y판매";#N/A,#N/A,TRUE,"Y총물량";#N/A,#N/A,TRUE,"Y능력";#N/A,#N/A,TRUE,"YKD"}</definedName>
    <definedName name="서승수_1" hidden="1">{#N/A,#N/A,TRUE,"Y생산";#N/A,#N/A,TRUE,"Y판매";#N/A,#N/A,TRUE,"Y총물량";#N/A,#N/A,TRUE,"Y능력";#N/A,#N/A,TRUE,"YKD"}</definedName>
    <definedName name="서열" hidden="1">{#N/A,#N/A,FALSE,"단축1";#N/A,#N/A,FALSE,"단축2";#N/A,#N/A,FALSE,"단축3";#N/A,#N/A,FALSE,"장축";#N/A,#N/A,FALSE,"4WD"}</definedName>
    <definedName name="서열비" hidden="1">{#N/A,#N/A,FALSE,"단축1";#N/A,#N/A,FALSE,"단축2";#N/A,#N/A,FALSE,"단축3";#N/A,#N/A,FALSE,"장축";#N/A,#N/A,FALSE,"4WD"}</definedName>
    <definedName name="서울표지" hidden="1">#REF!</definedName>
    <definedName name="석빈" hidden="1">{#N/A,#N/A,FALSE,"단축1";#N/A,#N/A,FALSE,"단축2";#N/A,#N/A,FALSE,"단축3";#N/A,#N/A,FALSE,"장축";#N/A,#N/A,FALSE,"4WD"}</definedName>
    <definedName name="석빈_1" hidden="1">{#N/A,#N/A,FALSE,"단축1";#N/A,#N/A,FALSE,"단축2";#N/A,#N/A,FALSE,"단축3";#N/A,#N/A,FALSE,"장축";#N/A,#N/A,FALSE,"4WD"}</definedName>
    <definedName name="선급비용" hidden="1">{#N/A,#N/A,FALSE,"KMC최종회의(7월) 자료"}</definedName>
    <definedName name="선급비용_1" hidden="1">{#N/A,#N/A,FALSE,"KMC최종회의(7월) 자료"}</definedName>
    <definedName name="선정기준2" hidden="1">#REF!</definedName>
    <definedName name="선정사유" hidden="1">{#N/A,#N/A,FALSE,"단축1";#N/A,#N/A,FALSE,"단축2";#N/A,#N/A,FALSE,"단축3";#N/A,#N/A,FALSE,"장축";#N/A,#N/A,FALSE,"4WD"}</definedName>
    <definedName name="선행11" hidden="1">{#N/A,#N/A,FALSE,"산학연 합동연구";#N/A,#N/A,FALSE,"96업무계획";#N/A,#N/A,FALSE,"96기술개발계획";#N/A,#N/A,FALSE,"인력양성";#N/A,#N/A,FALSE,"7. 원가절감계획";#N/A,#N/A,FALSE,"노무";#N/A,#N/A,FALSE,"업무계획";#N/A,#N/A,FALSE,"제목"}</definedName>
    <definedName name="선행기술" hidden="1">{#N/A,#N/A,FALSE,"산학연 합동연구";#N/A,#N/A,FALSE,"96업무계획";#N/A,#N/A,FALSE,"96기술개발계획";#N/A,#N/A,FALSE,"인력양성";#N/A,#N/A,FALSE,"7. 원가절감계획";#N/A,#N/A,FALSE,"노무";#N/A,#N/A,FALSE,"업무계획";#N/A,#N/A,FALSE,"제목"}</definedName>
    <definedName name="설" hidden="1">{#N/A,#N/A,FALSE,"KMC최종회의(7월) 자료"}</definedName>
    <definedName name="설_1" hidden="1">{#N/A,#N/A,FALSE,"KMC최종회의(7월) 자료"}</definedName>
    <definedName name="설_2" hidden="1">{#N/A,#N/A,FALSE,"KMC최종회의(7월) 자료"}</definedName>
    <definedName name="설계" hidden="1">{#N/A,#N/A,FALSE,"단축1";#N/A,#N/A,FALSE,"단축2";#N/A,#N/A,FALSE,"단축3";#N/A,#N/A,FALSE,"장축";#N/A,#N/A,FALSE,"4WD"}</definedName>
    <definedName name="설계2" hidden="1">#REF!</definedName>
    <definedName name="설계8" hidden="1">{#N/A,#N/A,FALSE,"단축1";#N/A,#N/A,FALSE,"단축2";#N/A,#N/A,FALSE,"단축3";#N/A,#N/A,FALSE,"장축";#N/A,#N/A,FALSE,"4WD"}</definedName>
    <definedName name="설계FMEA" hidden="1">{#N/A,#N/A,FALSE,"단축1";#N/A,#N/A,FALSE,"단축2";#N/A,#N/A,FALSE,"단축3";#N/A,#N/A,FALSE,"장축";#N/A,#N/A,FALSE,"4WD"}</definedName>
    <definedName name="설계FMEA_1" hidden="1">{#N/A,#N/A,FALSE,"단축1";#N/A,#N/A,FALSE,"단축2";#N/A,#N/A,FALSE,"단축3";#N/A,#N/A,FALSE,"장축";#N/A,#N/A,FALSE,"4WD"}</definedName>
    <definedName name="설계FMEA_2" hidden="1">{#N/A,#N/A,FALSE,"단축1";#N/A,#N/A,FALSE,"단축2";#N/A,#N/A,FALSE,"단축3";#N/A,#N/A,FALSE,"장축";#N/A,#N/A,FALSE,"4WD"}</definedName>
    <definedName name="설계지침수정중" hidden="1">{#N/A,#N/A,FALSE,"단축1";#N/A,#N/A,FALSE,"단축2";#N/A,#N/A,FALSE,"단축3";#N/A,#N/A,FALSE,"장축";#N/A,#N/A,FALSE,"4WD"}</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문지" hidden="1">#REF!</definedName>
    <definedName name="설변" hidden="1">{#N/A,#N/A,FALSE,"KMC최종회의(7월) 자료"}</definedName>
    <definedName name="설변_1" hidden="1">{#N/A,#N/A,FALSE,"KMC최종회의(7월) 자료"}</definedName>
    <definedName name="설변_2" hidden="1">{#N/A,#N/A,FALSE,"KMC최종회의(7월) 자료"}</definedName>
    <definedName name="설변1" hidden="1">{#N/A,#N/A,FALSE,"KMC최종회의(7월) 자료"}</definedName>
    <definedName name="설변1_1" hidden="1">{#N/A,#N/A,FALSE,"KMC최종회의(7월) 자료"}</definedName>
    <definedName name="설변1_2" hidden="1">{#N/A,#N/A,FALSE,"KMC최종회의(7월) 자료"}</definedName>
    <definedName name="설변요청" hidden="1">{#N/A,#N/A,FALSE,"단축1";#N/A,#N/A,FALSE,"단축2";#N/A,#N/A,FALSE,"단축3";#N/A,#N/A,FALSE,"장축";#N/A,#N/A,FALSE,"4WD"}</definedName>
    <definedName name="설변중구" hidden="1">{#N/A,#N/A,FALSE,"단축1";#N/A,#N/A,FALSE,"단축2";#N/A,#N/A,FALSE,"단축3";#N/A,#N/A,FALSE,"장축";#N/A,#N/A,FALSE,"4WD"}</definedName>
    <definedName name="설변중구_1" hidden="1">{#N/A,#N/A,FALSE,"단축1";#N/A,#N/A,FALSE,"단축2";#N/A,#N/A,FALSE,"단축3";#N/A,#N/A,FALSE,"장축";#N/A,#N/A,FALSE,"4WD"}</definedName>
    <definedName name="설변중구2" hidden="1">{#N/A,#N/A,FALSE,"단축1";#N/A,#N/A,FALSE,"단축2";#N/A,#N/A,FALSE,"단축3";#N/A,#N/A,FALSE,"장축";#N/A,#N/A,FALSE,"4WD"}</definedName>
    <definedName name="설변중구2_1" hidden="1">{#N/A,#N/A,FALSE,"단축1";#N/A,#N/A,FALSE,"단축2";#N/A,#N/A,FALSE,"단축3";#N/A,#N/A,FALSE,"장축";#N/A,#N/A,FALSE,"4WD"}</definedName>
    <definedName name="설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1" hidden="1">{#N/A,#N/A,FALSE,"단축1";#N/A,#N/A,FALSE,"단축2";#N/A,#N/A,FALSE,"단축3";#N/A,#N/A,FALSE,"장축";#N/A,#N/A,FALSE,"4WD"}</definedName>
    <definedName name="설비2" hidden="1">{#N/A,#N/A,FALSE,"단축1";#N/A,#N/A,FALSE,"단축2";#N/A,#N/A,FALSE,"단축3";#N/A,#N/A,FALSE,"장축";#N/A,#N/A,FALSE,"4WD"}</definedName>
    <definedName name="설비가동율계획" hidden="1">{#N/A,#N/A,FALSE,"KMC최종회의(7월) 자료"}</definedName>
    <definedName name="설비가동율계획_1" hidden="1">{#N/A,#N/A,FALSE,"KMC최종회의(7월) 자료"}</definedName>
    <definedName name="설비가동율계획_2" hidden="1">{#N/A,#N/A,FALSE,"KMC최종회의(7월) 자료"}</definedName>
    <definedName name="설비절감방안" hidden="1">{#N/A,#N/A,FALSE,"단축1";#N/A,#N/A,FALSE,"단축2";#N/A,#N/A,FALSE,"단축3";#N/A,#N/A,FALSE,"장축";#N/A,#N/A,FALSE,"4WD"}</definedName>
    <definedName name="설비절감방안_1" hidden="1">{#N/A,#N/A,FALSE,"단축1";#N/A,#N/A,FALSE,"단축2";#N/A,#N/A,FALSE,"단축3";#N/A,#N/A,FALSE,"장축";#N/A,#N/A,FALSE,"4WD"}</definedName>
    <definedName name="설비지그" hidden="1">{#N/A,#N/A,FALSE,"AG";#N/A,#N/A,FALSE,"UB-I";#N/A,#N/A,FALSE,"UB--SR_K";#N/A,#N/A,FALSE,"UB-SR_B";#N/A,#N/A,FALSE,"UB-KS";#N/A,#N/A,FALSE,"Kienzle"}</definedName>
    <definedName name="설비투자" hidden="1">{#N/A,#N/A,FALSE,"정공"}</definedName>
    <definedName name="설비투자_1" hidden="1">{#N/A,#N/A,FALSE,"정공"}</definedName>
    <definedName name="설비투자_2" hidden="1">{#N/A,#N/A,FALSE,"정공"}</definedName>
    <definedName name="설비투자_2_1" hidden="1">{#N/A,#N/A,FALSE,"정공"}</definedName>
    <definedName name="설비투자_2_2" hidden="1">{#N/A,#N/A,FALSE,"정공"}</definedName>
    <definedName name="설비투자_2_3" hidden="1">{#N/A,#N/A,FALSE,"정공"}</definedName>
    <definedName name="설비투자_3" hidden="1">{#N/A,#N/A,FALSE,"정공"}</definedName>
    <definedName name="설비투자_3_1" hidden="1">{#N/A,#N/A,FALSE,"정공"}</definedName>
    <definedName name="설비투자_3_2" hidden="1">{#N/A,#N/A,FALSE,"정공"}</definedName>
    <definedName name="설비투자_3_3" hidden="1">{#N/A,#N/A,FALSE,"정공"}</definedName>
    <definedName name="설비투자_4" hidden="1">{#N/A,#N/A,FALSE,"정공"}</definedName>
    <definedName name="설비투자_5" hidden="1">{#N/A,#N/A,FALSE,"정공"}</definedName>
    <definedName name="설비투자2" hidden="1">{#N/A,#N/A,FALSE,"단축1";#N/A,#N/A,FALSE,"단축2";#N/A,#N/A,FALSE,"단축3";#N/A,#N/A,FALSE,"장축";#N/A,#N/A,FALSE,"4WD"}</definedName>
    <definedName name="설설" hidden="1">{#N/A,#N/A,FALSE,"단축1";#N/A,#N/A,FALSE,"단축2";#N/A,#N/A,FALSE,"단축3";#N/A,#N/A,FALSE,"장축";#N/A,#N/A,FALSE,"4WD"}</definedName>
    <definedName name="설원전장집행" hidden="1">{#N/A,#N/A,FALSE,"신규dep";#N/A,#N/A,FALSE,"신규dep-금형상각후";#N/A,#N/A,FALSE,"신규dep-연구비상각후";#N/A,#N/A,FALSE,"신규dep-기계,공구상각후"}</definedName>
    <definedName name="설원전장집행_1" hidden="1">{#N/A,#N/A,FALSE,"신규dep";#N/A,#N/A,FALSE,"신규dep-금형상각후";#N/A,#N/A,FALSE,"신규dep-연구비상각후";#N/A,#N/A,FALSE,"신규dep-기계,공구상각후"}</definedName>
    <definedName name="설원투자양식" hidden="1">{#N/A,#N/A,FALSE,"단축1";#N/A,#N/A,FALSE,"단축2";#N/A,#N/A,FALSE,"단축3";#N/A,#N/A,FALSE,"장축";#N/A,#N/A,FALSE,"4WD"}</definedName>
    <definedName name="설원투자양식_1" hidden="1">{#N/A,#N/A,FALSE,"단축1";#N/A,#N/A,FALSE,"단축2";#N/A,#N/A,FALSE,"단축3";#N/A,#N/A,FALSE,"장축";#N/A,#N/A,FALSE,"4WD"}</definedName>
    <definedName name="설치일정" hidden="1">{#N/A,#N/A,FALSE,"단축1";#N/A,#N/A,FALSE,"단축2";#N/A,#N/A,FALSE,"단축3";#N/A,#N/A,FALSE,"장축";#N/A,#N/A,FALSE,"4WD"}</definedName>
    <definedName name="성" hidden="1">{"'5'!$A$1:$BB$147"}</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구" hidden="1">{#N/A,#N/A,FALSE,"단축1";#N/A,#N/A,FALSE,"단축2";#N/A,#N/A,FALSE,"단축3";#N/A,#N/A,FALSE,"장축";#N/A,#N/A,FALSE,"4WD"}</definedName>
    <definedName name="성능" hidden="1">{#N/A,#N/A,FALSE,"단축1";#N/A,#N/A,FALSE,"단축2";#N/A,#N/A,FALSE,"단축3";#N/A,#N/A,FALSE,"장축";#N/A,#N/A,FALSE,"4WD"}</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시험2" hidden="1">{#N/A,#N/A,FALSE,"단축1";#N/A,#N/A,FALSE,"단축2";#N/A,#N/A,FALSE,"단축3";#N/A,#N/A,FALSE,"장축";#N/A,#N/A,FALSE,"4WD"}</definedName>
    <definedName name="성능시험2_1" hidden="1">{#N/A,#N/A,FALSE,"단축1";#N/A,#N/A,FALSE,"단축2";#N/A,#N/A,FALSE,"단축3";#N/A,#N/A,FALSE,"장축";#N/A,#N/A,FALSE,"4WD"}</definedName>
    <definedName name="성우" hidden="1">{#N/A,#N/A,FALSE,"단축1";#N/A,#N/A,FALSE,"단축2";#N/A,#N/A,FALSE,"단축3";#N/A,#N/A,FALSE,"장축";#N/A,#N/A,FALSE,"4WD"}</definedName>
    <definedName name="성은" hidden="1">{#N/A,#N/A,FALSE,"업체선정";#N/A,#N/A,FALSE,"업체선정sheet";#N/A,#N/A,FALSE,"업체실태";#N/A,#N/A,FALSE,"업체실태(1)";#N/A,#N/A,FALSE,"종업원현황(2)";#N/A,#N/A,FALSE,"생산품목(3)";#N/A,#N/A,FALSE,"장비보유현황";#N/A,#N/A,FALSE,"차량및약도";#N/A,#N/A,FALSE,"금형LIST"}</definedName>
    <definedName name="성일" hidden="1">{#N/A,#N/A,FALSE,"신규dep";#N/A,#N/A,FALSE,"신규dep-금형상각후";#N/A,#N/A,FALSE,"신규dep-연구비상각후";#N/A,#N/A,FALSE,"신규dep-기계,공구상각후"}</definedName>
    <definedName name="성적2" hidden="1">{#N/A,#N/A,FALSE,"KMC최종회의(7월) 자료"}</definedName>
    <definedName name="성적3" hidden="1">{#N/A,#N/A,FALSE,"KMC최종회의(7월) 자료"}</definedName>
    <definedName name="성적서1" hidden="1">{#N/A,#N/A,FALSE,"KMC최종회의(7월) 자료"}</definedName>
    <definedName name="성적서2" hidden="1">{#N/A,#N/A,FALSE,"KMC최종회의(7월) 자료"}</definedName>
    <definedName name="세번" hidden="1">{#N/A,#N/A,FALSE,"단축1";#N/A,#N/A,FALSE,"단축2";#N/A,#N/A,FALSE,"단축3";#N/A,#N/A,FALSE,"장축";#N/A,#N/A,FALSE,"4WD"}</definedName>
    <definedName name="세부" hidden="1">{#N/A,#N/A,FALSE,"단축1";#N/A,#N/A,FALSE,"단축2";#N/A,#N/A,FALSE,"단축3";#N/A,#N/A,FALSE,"장축";#N/A,#N/A,FALSE,"4WD"}</definedName>
    <definedName name="세부1" hidden="1">{#N/A,#N/A,FALSE,"96자동차사 계획";#N/A,#N/A,FALSE,"96자동차사 계획"}</definedName>
    <definedName name="세부2" hidden="1">{#N/A,#N/A,FALSE,"96자동차사 계획";#N/A,#N/A,FALSE,"96자동차사 계획"}</definedName>
    <definedName name="세부3" hidden="1">{#N/A,#N/A,FALSE,"96자동차사 계획";#N/A,#N/A,FALSE,"96자동차사 계획"}</definedName>
    <definedName name="세부4" hidden="1">{#N/A,#N/A,FALSE,"96자동차사 계획";#N/A,#N/A,FALSE,"96자동차사 계획"}</definedName>
    <definedName name="세부5" hidden="1">{#N/A,#N/A,FALSE,"96자동차사 계획";#N/A,#N/A,FALSE,"96자동차사 계획"}</definedName>
    <definedName name="세부6" hidden="1">{#N/A,#N/A,FALSE,"96자동차사 계획";#N/A,#N/A,FALSE,"96자동차사 계획"}</definedName>
    <definedName name="세부6월" hidden="1">{#N/A,#N/A,FALSE,"단축1";#N/A,#N/A,FALSE,"단축2";#N/A,#N/A,FALSE,"단축3";#N/A,#N/A,FALSE,"장축";#N/A,#N/A,FALSE,"4WD"}</definedName>
    <definedName name="세부6월_1" hidden="1">{#N/A,#N/A,FALSE,"단축1";#N/A,#N/A,FALSE,"단축2";#N/A,#N/A,FALSE,"단축3";#N/A,#N/A,FALSE,"장축";#N/A,#N/A,FALSE,"4WD"}</definedName>
    <definedName name="세부7" hidden="1">{#N/A,#N/A,FALSE,"96자동차사 계획";#N/A,#N/A,FALSE,"96자동차사 계획"}</definedName>
    <definedName name="세부LIST2" hidden="1">{#N/A,#N/A,FALSE,"단축1";#N/A,#N/A,FALSE,"단축2";#N/A,#N/A,FALSE,"단축3";#N/A,#N/A,FALSE,"장축";#N/A,#N/A,FALSE,"4WD"}</definedName>
    <definedName name="세부LIST2_1" hidden="1">{#N/A,#N/A,FALSE,"단축1";#N/A,#N/A,FALSE,"단축2";#N/A,#N/A,FALSE,"단축3";#N/A,#N/A,FALSE,"장축";#N/A,#N/A,FALSE,"4WD"}</definedName>
    <definedName name="세부계획" hidden="1">{#N/A,#N/A,FALSE,"96자동차사 계획";#N/A,#N/A,FALSE,"96자동차사 계획"}</definedName>
    <definedName name="세부계획a" hidden="1">{#N/A,#N/A,FALSE,"96자동차사 계획";#N/A,#N/A,FALSE,"96자동차사 계획"}</definedName>
    <definedName name="세부계획b" hidden="1">{#N/A,#N/A,FALSE,"96자동차사 계획";#N/A,#N/A,FALSE,"96자동차사 계획"}</definedName>
    <definedName name="세부계획C" hidden="1">{#N/A,#N/A,FALSE,"96자동차사 계획";#N/A,#N/A,FALSE,"96자동차사 계획"}</definedName>
    <definedName name="세부계획D" hidden="1">{#N/A,#N/A,FALSE,"96자동차사 계획";#N/A,#N/A,FALSE,"96자동차사 계획"}</definedName>
    <definedName name="세부내역2" hidden="1">{#N/A,#N/A,FALSE,"단축1";#N/A,#N/A,FALSE,"단축2";#N/A,#N/A,FALSE,"단축3";#N/A,#N/A,FALSE,"장축";#N/A,#N/A,FALSE,"4WD"}</definedName>
    <definedName name="세부내역3" hidden="1">{#N/A,#N/A,TRUE,"Y생산";#N/A,#N/A,TRUE,"Y판매";#N/A,#N/A,TRUE,"Y총물량";#N/A,#N/A,TRUE,"Y능력";#N/A,#N/A,TRUE,"YKD"}</definedName>
    <definedName name="세부분석3" hidden="1">{#N/A,#N/A,FALSE,"KMC최종회의(7월) 자료"}</definedName>
    <definedName name="세부분석3_1" hidden="1">{#N/A,#N/A,FALSE,"KMC최종회의(7월) 자료"}</definedName>
    <definedName name="세부생산계획" hidden="1">{#N/A,#N/A,TRUE,"Y생산";#N/A,#N/A,TRUE,"Y판매";#N/A,#N/A,TRUE,"Y총물량";#N/A,#N/A,TRUE,"Y능력";#N/A,#N/A,TRUE,"YKD"}</definedName>
    <definedName name="세부생산계획_1" hidden="1">{#N/A,#N/A,TRUE,"Y생산";#N/A,#N/A,TRUE,"Y판매";#N/A,#N/A,TRUE,"Y총물량";#N/A,#N/A,TRUE,"Y능력";#N/A,#N/A,TRUE,"YKD"}</definedName>
    <definedName name="세부실행2" hidden="1">{#N/A,#N/A,TRUE,"일정"}</definedName>
    <definedName name="세부월별" hidden="1">{#N/A,#N/A,FALSE,"정공"}</definedName>
    <definedName name="세부월별_1" hidden="1">{#N/A,#N/A,FALSE,"정공"}</definedName>
    <definedName name="세부일정" hidden="1">{#N/A,#N/A,FALSE,"단축1";#N/A,#N/A,FALSE,"단축2";#N/A,#N/A,FALSE,"단축3";#N/A,#N/A,FALSE,"장축";#N/A,#N/A,FALSE,"4WD"}</definedName>
    <definedName name="세부일정.1" hidden="1">{#N/A,#N/A,FALSE,"단축1";#N/A,#N/A,FALSE,"단축2";#N/A,#N/A,FALSE,"단축3";#N/A,#N/A,FALSE,"장축";#N/A,#N/A,FALSE,"4WD"}</definedName>
    <definedName name="세부일정.1_1" hidden="1">{#N/A,#N/A,FALSE,"단축1";#N/A,#N/A,FALSE,"단축2";#N/A,#N/A,FALSE,"단축3";#N/A,#N/A,FALSE,"장축";#N/A,#N/A,FALSE,"4WD"}</definedName>
    <definedName name="세부일정.1_2" hidden="1">{#N/A,#N/A,FALSE,"단축1";#N/A,#N/A,FALSE,"단축2";#N/A,#N/A,FALSE,"단축3";#N/A,#N/A,FALSE,"장축";#N/A,#N/A,FALSE,"4WD"}</definedName>
    <definedName name="세부일정_1" hidden="1">{#N/A,#N/A,FALSE,"단축1";#N/A,#N/A,FALSE,"단축2";#N/A,#N/A,FALSE,"단축3";#N/A,#N/A,FALSE,"장축";#N/A,#N/A,FALSE,"4WD"}</definedName>
    <definedName name="세부일정_2" hidden="1">{#N/A,#N/A,FALSE,"단축1";#N/A,#N/A,FALSE,"단축2";#N/A,#N/A,FALSE,"단축3";#N/A,#N/A,FALSE,"장축";#N/A,#N/A,FALSE,"4WD"}</definedName>
    <definedName name="세부절감명세서" hidden="1">{#N/A,#N/A,FALSE,"정공"}</definedName>
    <definedName name="세부절감명세서_1" hidden="1">{#N/A,#N/A,FALSE,"정공"}</definedName>
    <definedName name="세부절감명세서_2" hidden="1">{#N/A,#N/A,FALSE,"정공"}</definedName>
    <definedName name="세부추진" hidden="1">{#N/A,#N/A,FALSE,"정공"}</definedName>
    <definedName name="세부추진_1" hidden="1">{#N/A,#N/A,FALSE,"정공"}</definedName>
    <definedName name="세부추진_2" hidden="1">{#N/A,#N/A,FALSE,"정공"}</definedName>
    <definedName name="세부현황" hidden="1">{#N/A,#N/A,TRUE,"Y생산";#N/A,#N/A,TRUE,"Y판매";#N/A,#N/A,TRUE,"Y총물량";#N/A,#N/A,TRUE,"Y능력";#N/A,#N/A,TRUE,"YKD"}</definedName>
    <definedName name="세부현황수정" hidden="1">{#N/A,#N/A,FALSE,"단축1";#N/A,#N/A,FALSE,"단축2";#N/A,#N/A,FALSE,"단축3";#N/A,#N/A,FALSE,"장축";#N/A,#N/A,FALSE,"4WD"}</definedName>
    <definedName name="세불" hidden="1">{#N/A,#N/A,FALSE,"96자동차사 계획";#N/A,#N/A,FALSE,"96자동차사 계획"}</definedName>
    <definedName name="세왕123" hidden="1">{#N/A,#N/A,FALSE,"단축1";#N/A,#N/A,FALSE,"단축2";#N/A,#N/A,FALSE,"단축3";#N/A,#N/A,FALSE,"장축";#N/A,#N/A,FALSE,"4WD"}</definedName>
    <definedName name="세타" hidden="1">{#N/A,#N/A,FALSE,"단축1";#N/A,#N/A,FALSE,"단축2";#N/A,#N/A,FALSE,"단축3";#N/A,#N/A,FALSE,"장축";#N/A,#N/A,FALSE,"4WD"}</definedName>
    <definedName name="세타변전" hidden="1">{#N/A,#N/A,FALSE,"단축1";#N/A,#N/A,FALSE,"단축2";#N/A,#N/A,FALSE,"단축3";#N/A,#N/A,FALSE,"장축";#N/A,#N/A,FALSE,"4WD"}</definedName>
    <definedName name="세피아축소" hidden="1">{#N/A,#N/A,TRUE,"Y생산";#N/A,#N/A,TRUE,"Y판매";#N/A,#N/A,TRUE,"Y총물량";#N/A,#N/A,TRUE,"Y능력";#N/A,#N/A,TRUE,"YKD"}</definedName>
    <definedName name="세피아축소_1" hidden="1">{#N/A,#N/A,TRUE,"Y생산";#N/A,#N/A,TRUE,"Y판매";#N/A,#N/A,TRUE,"Y총물량";#N/A,#N/A,TRUE,"Y능력";#N/A,#N/A,TRUE,"YKD"}</definedName>
    <definedName name="센서내장" hidden="1">{#N/A,#N/A,FALSE,"단축1";#N/A,#N/A,FALSE,"단축2";#N/A,#N/A,FALSE,"단축3";#N/A,#N/A,FALSE,"장축";#N/A,#N/A,FALSE,"4WD"}</definedName>
    <definedName name="센타" hidden="1">{#N/A,#N/A,FALSE,"단축1";#N/A,#N/A,FALSE,"단축2";#N/A,#N/A,FALSE,"단축3";#N/A,#N/A,FALSE,"장축";#N/A,#N/A,FALSE,"4WD"}</definedName>
    <definedName name="셀렉" hidden="1">{#N/A,#N/A,FALSE,"KMC최종회의(7월) 자료"}</definedName>
    <definedName name="셀렉트" hidden="1">{#N/A,#N/A,FALSE,"단축1";#N/A,#N/A,FALSE,"단축2";#N/A,#N/A,FALSE,"단축3";#N/A,#N/A,FALSE,"장축";#N/A,#N/A,FALSE,"4WD"}</definedName>
    <definedName name="셀리카" hidden="1">#REF!</definedName>
    <definedName name="소" hidden="1">{#N/A,#N/A,FALSE,"KMC최종회의(7월) 자료"}</definedName>
    <definedName name="소_1" hidden="1">{#N/A,#N/A,FALSE,"KMC최종회의(7월) 자료"}</definedName>
    <definedName name="소_2" hidden="1">{#N/A,#N/A,FALSE,"KMC최종회의(7월) 자료"}</definedName>
    <definedName name="소나타" hidden="1">{#N/A,#N/A,FALSE,"100PPM";#N/A,#N/A,FALSE,"3차원대책서";#N/A,#N/A,FALSE,"개선사례"}</definedName>
    <definedName name="소로" hidden="1">{#N/A,#N/A,FALSE,"단축1";#N/A,#N/A,FALSE,"단축2";#N/A,#N/A,FALSE,"단축3";#N/A,#N/A,FALSE,"장축";#N/A,#N/A,FALSE,"4WD"}</definedName>
    <definedName name="소모품" hidden="1">{#N/A,#N/A,TRUE,"Y생산";#N/A,#N/A,TRUE,"Y판매";#N/A,#N/A,TRUE,"Y총물량";#N/A,#N/A,TRUE,"Y능력";#N/A,#N/A,TRUE,"YKD"}</definedName>
    <definedName name="소모품_1" hidden="1">{#N/A,#N/A,TRUE,"Y생산";#N/A,#N/A,TRUE,"Y판매";#N/A,#N/A,TRUE,"Y총물량";#N/A,#N/A,TRUE,"Y능력";#N/A,#N/A,TRUE,"YKD"}</definedName>
    <definedName name="소무" hidden="1">{#N/A,#N/A,FALSE,"단축1";#N/A,#N/A,FALSE,"단축2";#N/A,#N/A,FALSE,"단축3";#N/A,#N/A,FALSE,"장축";#N/A,#N/A,FALSE,"4WD"}</definedName>
    <definedName name="소뮨" hidden="1">{#N/A,#N/A,FALSE,"단축1";#N/A,#N/A,FALSE,"단축2";#N/A,#N/A,FALSE,"단축3";#N/A,#N/A,FALSE,"장축";#N/A,#N/A,FALSE,"4WD"}</definedName>
    <definedName name="소뮨_1" hidden="1">{#N/A,#N/A,FALSE,"단축1";#N/A,#N/A,FALSE,"단축2";#N/A,#N/A,FALSE,"단축3";#N/A,#N/A,FALSE,"장축";#N/A,#N/A,FALSE,"4WD"}</definedName>
    <definedName name="소뮨_2" hidden="1">{#N/A,#N/A,FALSE,"단축1";#N/A,#N/A,FALSE,"단축2";#N/A,#N/A,FALSE,"단축3";#N/A,#N/A,FALSE,"장축";#N/A,#N/A,FALSE,"4WD"}</definedName>
    <definedName name="소분1" hidden="1">{#N/A,#N/A,FALSE,"단축1";#N/A,#N/A,FALSE,"단축2";#N/A,#N/A,FALSE,"단축3";#N/A,#N/A,FALSE,"장축";#N/A,#N/A,FALSE,"4WD"}</definedName>
    <definedName name="소요금액" hidden="1">{#N/A,#N/A,FALSE,"단축1";#N/A,#N/A,FALSE,"단축2";#N/A,#N/A,FALSE,"단축3";#N/A,#N/A,FALSE,"장축";#N/A,#N/A,FALSE,"4WD"}</definedName>
    <definedName name="소요금액_1" hidden="1">{#N/A,#N/A,FALSE,"단축1";#N/A,#N/A,FALSE,"단축2";#N/A,#N/A,FALSE,"단축3";#N/A,#N/A,FALSE,"장축";#N/A,#N/A,FALSE,"4WD"}</definedName>
    <definedName name="소요기간" hidden="1">{#N/A,#N/A,FALSE,"정공"}</definedName>
    <definedName name="소요기간_1" hidden="1">{#N/A,#N/A,FALSE,"정공"}</definedName>
    <definedName name="소요기간_2" hidden="1">{#N/A,#N/A,FALSE,"정공"}</definedName>
    <definedName name="소요기간_2_1" hidden="1">{#N/A,#N/A,FALSE,"정공"}</definedName>
    <definedName name="소요기간_2_2" hidden="1">{#N/A,#N/A,FALSE,"정공"}</definedName>
    <definedName name="소요기간_2_3" hidden="1">{#N/A,#N/A,FALSE,"정공"}</definedName>
    <definedName name="소요기간_3" hidden="1">{#N/A,#N/A,FALSE,"정공"}</definedName>
    <definedName name="소요기간_3_1" hidden="1">{#N/A,#N/A,FALSE,"정공"}</definedName>
    <definedName name="소요기간_3_2" hidden="1">{#N/A,#N/A,FALSE,"정공"}</definedName>
    <definedName name="소요기간_3_3" hidden="1">{#N/A,#N/A,FALSE,"정공"}</definedName>
    <definedName name="소요기간_4" hidden="1">{#N/A,#N/A,FALSE,"정공"}</definedName>
    <definedName name="소요기간_5" hidden="1">{#N/A,#N/A,FALSE,"정공"}</definedName>
    <definedName name="소요량" hidden="1">{#N/A,#N/A,FALSE,"단축1";#N/A,#N/A,FALSE,"단축2";#N/A,#N/A,FALSE,"단축3";#N/A,#N/A,FALSE,"장축";#N/A,#N/A,FALSE,"4WD"}</definedName>
    <definedName name="소요비용" hidden="1">{#N/A,#N/A,TRUE,"매출진척-1";#N/A,#N/A,TRUE,"매출진척-2";#N/A,#N/A,TRUE,"제품실적";#N/A,#N/A,TRUE,"RAC";#N/A,#N/A,TRUE,"PAC ";#N/A,#N/A,TRUE,"재고현황";#N/A,#N/A,TRUE,"공지사항"}</definedName>
    <definedName name="소요예산" hidden="1">{#N/A,#N/A,FALSE,"KMC최종회의(7월) 자료"}</definedName>
    <definedName name="소재2" hidden="1">{#N/A,#N/A,FALSE,"단축1";#N/A,#N/A,FALSE,"단축2";#N/A,#N/A,FALSE,"단축3";#N/A,#N/A,FALSE,"장축";#N/A,#N/A,FALSE,"4WD"}</definedName>
    <definedName name="소재불량2" hidden="1">{#N/A,#N/A,FALSE,"단축1";#N/A,#N/A,FALSE,"단축2";#N/A,#N/A,FALSE,"단축3";#N/A,#N/A,FALSE,"장축";#N/A,#N/A,FALSE,"4WD"}</definedName>
    <definedName name="소재원가" hidden="1">{#N/A,#N/A,FALSE,"단축1";#N/A,#N/A,FALSE,"단축2";#N/A,#N/A,FALSE,"단축3";#N/A,#N/A,FALSE,"장축";#N/A,#N/A,FALSE,"4WD"}</definedName>
    <definedName name="소표지" hidden="1">{#N/A,#N/A,FALSE,"단축1";#N/A,#N/A,FALSE,"단축2";#N/A,#N/A,FALSE,"단축3";#N/A,#N/A,FALSE,"장축";#N/A,#N/A,FALSE,"4WD"}</definedName>
    <definedName name="소하" hidden="1">{#N/A,#N/A,FALSE,"단축1";#N/A,#N/A,FALSE,"단축2";#N/A,#N/A,FALSE,"단축3";#N/A,#N/A,FALSE,"장축";#N/A,#N/A,FALSE,"4WD"}</definedName>
    <definedName name="소하리" hidden="1">{#N/A,#N/A,TRUE,"Y생산";#N/A,#N/A,TRUE,"Y판매";#N/A,#N/A,TRUE,"Y총물량";#N/A,#N/A,TRUE,"Y능력";#N/A,#N/A,TRUE,"YKD"}</definedName>
    <definedName name="소하리공사내용" hidden="1">{#N/A,#N/A,TRUE,"Y생산";#N/A,#N/A,TRUE,"Y판매";#N/A,#N/A,TRUE,"Y총물량";#N/A,#N/A,TRUE,"Y능력";#N/A,#N/A,TRUE,"YKD"}</definedName>
    <definedName name="소하리공장" hidden="1">{#N/A,#N/A,FALSE,"단축1";#N/A,#N/A,FALSE,"단축2";#N/A,#N/A,FALSE,"단축3";#N/A,#N/A,FALSE,"장축";#N/A,#N/A,FALSE,"4WD"}</definedName>
    <definedName name="소하리공장_1" hidden="1">{#N/A,#N/A,FALSE,"단축1";#N/A,#N/A,FALSE,"단축2";#N/A,#N/A,FALSE,"단축3";#N/A,#N/A,FALSE,"장축";#N/A,#N/A,FALSE,"4WD"}</definedName>
    <definedName name="소하프로젝트" hidden="1">{#N/A,#N/A,FALSE,"단축1";#N/A,#N/A,FALSE,"단축2";#N/A,#N/A,FALSE,"단축3";#N/A,#N/A,FALSE,"장축";#N/A,#N/A,FALSE,"4WD"}</definedName>
    <definedName name="소하프로젝트_1" hidden="1">{#N/A,#N/A,FALSE,"단축1";#N/A,#N/A,FALSE,"단축2";#N/A,#N/A,FALSE,"단축3";#N/A,#N/A,FALSE,"장축";#N/A,#N/A,FALSE,"4WD"}</definedName>
    <definedName name="소하프로젝트_2" hidden="1">{#N/A,#N/A,FALSE,"단축1";#N/A,#N/A,FALSE,"단축2";#N/A,#N/A,FALSE,"단축3";#N/A,#N/A,FALSE,"장축";#N/A,#N/A,FALSE,"4WD"}</definedName>
    <definedName name="소형" hidden="1">#REF!</definedName>
    <definedName name="소형엔진구동" hidden="1">{#N/A,#N/A,TRUE,"Y생산";#N/A,#N/A,TRUE,"Y판매";#N/A,#N/A,TRUE,"Y총물량";#N/A,#N/A,TRUE,"Y능력";#N/A,#N/A,TRUE,"YKD"}</definedName>
    <definedName name="소형엔진구동_1" hidden="1">{#N/A,#N/A,TRUE,"Y생산";#N/A,#N/A,TRUE,"Y판매";#N/A,#N/A,TRUE,"Y총물량";#N/A,#N/A,TRUE,"Y능력";#N/A,#N/A,TRUE,"YKD"}</definedName>
    <definedName name="소형엔진부조부" hidden="1">{#N/A,#N/A,TRUE,"Y생산";#N/A,#N/A,TRUE,"Y판매";#N/A,#N/A,TRUE,"Y총물량";#N/A,#N/A,TRUE,"Y능력";#N/A,#N/A,TRUE,"YKD"}</definedName>
    <definedName name="소화주철장판" hidden="1">{#N/A,#N/A,FALSE,"단축1";#N/A,#N/A,FALSE,"단축2";#N/A,#N/A,FALSE,"단축3";#N/A,#N/A,FALSE,"장축";#N/A,#N/A,FALSE,"4WD"}</definedName>
    <definedName name="소화주철장판_1" hidden="1">{#N/A,#N/A,FALSE,"단축1";#N/A,#N/A,FALSE,"단축2";#N/A,#N/A,FALSE,"단축3";#N/A,#N/A,FALSE,"장축";#N/A,#N/A,FALSE,"4WD"}</definedName>
    <definedName name="소ㅓ" hidden="1">{#N/A,#N/A,FALSE,"KMC최종회의(7월) 자료"}</definedName>
    <definedName name="소ㅓ_1" hidden="1">{#N/A,#N/A,FALSE,"KMC최종회의(7월) 자료"}</definedName>
    <definedName name="소ㅓ_2" hidden="1">{#N/A,#N/A,FALSE,"KMC최종회의(7월) 자료"}</definedName>
    <definedName name="소ㅜㅛㅕㅓㅓㅕ" hidden="1">{#N/A,#N/A,FALSE,"KMC최종회의(7월) 자료"}</definedName>
    <definedName name="소ㅜㅛㅕㅓㅓㅕ_1" hidden="1">{#N/A,#N/A,FALSE,"KMC최종회의(7월) 자료"}</definedName>
    <definedName name="손익" hidden="1">{#N/A,#N/A,TRUE,"Y생산";#N/A,#N/A,TRUE,"Y판매";#N/A,#N/A,TRUE,"Y총물량";#N/A,#N/A,TRUE,"Y능력";#N/A,#N/A,TRUE,"YKD"}</definedName>
    <definedName name="손익_1" hidden="1">{#N/A,#N/A,TRUE,"Y생산";#N/A,#N/A,TRUE,"Y판매";#N/A,#N/A,TRUE,"Y총물량";#N/A,#N/A,TRUE,"Y능력";#N/A,#N/A,TRUE,"YKD"}</definedName>
    <definedName name="손익1" hidden="1">{#N/A,#N/A,FALSE,"정공"}</definedName>
    <definedName name="손익1_1" hidden="1">{#N/A,#N/A,FALSE,"정공"}</definedName>
    <definedName name="손익1250원" hidden="1">{#N/A,#N/A,FALSE,"단축1";#N/A,#N/A,FALSE,"단축2";#N/A,#N/A,FALSE,"단축3";#N/A,#N/A,FALSE,"장축";#N/A,#N/A,FALSE,"4WD"}</definedName>
    <definedName name="손익계산" hidden="1">{#N/A,#N/A,FALSE,"정공"}</definedName>
    <definedName name="손익계산_1" hidden="1">{#N/A,#N/A,FALSE,"정공"}</definedName>
    <definedName name="손익계산_2" hidden="1">{#N/A,#N/A,FALSE,"정공"}</definedName>
    <definedName name="손익계산_2_1" hidden="1">{#N/A,#N/A,FALSE,"정공"}</definedName>
    <definedName name="손익계산_2_2" hidden="1">{#N/A,#N/A,FALSE,"정공"}</definedName>
    <definedName name="손익계산_2_3" hidden="1">{#N/A,#N/A,FALSE,"정공"}</definedName>
    <definedName name="손익계산_3" hidden="1">{#N/A,#N/A,FALSE,"정공"}</definedName>
    <definedName name="손익계산_3_1" hidden="1">{#N/A,#N/A,FALSE,"정공"}</definedName>
    <definedName name="손익계산_3_2" hidden="1">{#N/A,#N/A,FALSE,"정공"}</definedName>
    <definedName name="손익계산_3_3" hidden="1">{#N/A,#N/A,FALSE,"정공"}</definedName>
    <definedName name="손익계산_4" hidden="1">{#N/A,#N/A,FALSE,"정공"}</definedName>
    <definedName name="손익계산_5" hidden="1">{#N/A,#N/A,FALSE,"정공"}</definedName>
    <definedName name="손익계산서" hidden="1">{#N/A,#N/A,FALSE,"정공"}</definedName>
    <definedName name="손익관리2" hidden="1">{#N/A,#N/A,FALSE,"정공"}</definedName>
    <definedName name="손익관리2_1" hidden="1">{#N/A,#N/A,FALSE,"정공"}</definedName>
    <definedName name="손익관리2_2" hidden="1">{#N/A,#N/A,FALSE,"정공"}</definedName>
    <definedName name="손익구분" hidden="1">#REF!</definedName>
    <definedName name="손익분기점" hidden="1">#REF!</definedName>
    <definedName name="손익비교22" hidden="1">{#N/A,#N/A,FALSE,"정공"}</definedName>
    <definedName name="손익비교22_1" hidden="1">{#N/A,#N/A,FALSE,"정공"}</definedName>
    <definedName name="손익비교22_2" hidden="1">{#N/A,#N/A,FALSE,"정공"}</definedName>
    <definedName name="손익비교표b" hidden="1">{#N/A,#N/A,FALSE,"정공"}</definedName>
    <definedName name="손익비교표b_1" hidden="1">{#N/A,#N/A,FALSE,"정공"}</definedName>
    <definedName name="손익비교표b_2" hidden="1">{#N/A,#N/A,FALSE,"정공"}</definedName>
    <definedName name="손익수정" hidden="1">{#N/A,#N/A,FALSE,"단축1";#N/A,#N/A,FALSE,"단축2";#N/A,#N/A,FALSE,"단축3";#N/A,#N/A,FALSE,"장축";#N/A,#N/A,FALSE,"4WD"}</definedName>
    <definedName name="손익양식0903" hidden="1">{#N/A,#N/A,FALSE,"정공"}</definedName>
    <definedName name="손익양식0903_1" hidden="1">{#N/A,#N/A,FALSE,"정공"}</definedName>
    <definedName name="손익양식0903_2" hidden="1">{#N/A,#N/A,FALSE,"정공"}</definedName>
    <definedName name="손익종합2" hidden="1">{#N/A,#N/A,FALSE,"정공"}</definedName>
    <definedName name="손익종합2_1" hidden="1">{#N/A,#N/A,FALSE,"정공"}</definedName>
    <definedName name="손익종합2_2" hidden="1">{#N/A,#N/A,FALSE,"정공"}</definedName>
    <definedName name="솔" hidden="1">{#N/A,#N/A,FALSE,"KMC최종회의(7월) 자료"}</definedName>
    <definedName name="솔_1" hidden="1">{#N/A,#N/A,FALSE,"KMC최종회의(7월) 자료"}</definedName>
    <definedName name="솔_2" hidden="1">{#N/A,#N/A,FALSE,"KMC최종회의(7월) 자료"}</definedName>
    <definedName name="송" hidden="1">{#N/A,#N/A,TRUE,"Y생산";#N/A,#N/A,TRUE,"Y판매";#N/A,#N/A,TRUE,"Y총물량";#N/A,#N/A,TRUE,"Y능력";#N/A,#N/A,TRUE,"YKD"}</definedName>
    <definedName name="송_1" hidden="1">{#N/A,#N/A,TRUE,"Y생산";#N/A,#N/A,TRUE,"Y판매";#N/A,#N/A,TRUE,"Y총물량";#N/A,#N/A,TRUE,"Y능력";#N/A,#N/A,TRUE,"YKD"}</definedName>
    <definedName name="송_2" hidden="1">{#N/A,#N/A,TRUE,"Y생산";#N/A,#N/A,TRUE,"Y판매";#N/A,#N/A,TRUE,"Y총물량";#N/A,#N/A,TRUE,"Y능력";#N/A,#N/A,TRUE,"YKD"}</definedName>
    <definedName name="송_2_1" hidden="1">{#N/A,#N/A,TRUE,"Y생산";#N/A,#N/A,TRUE,"Y판매";#N/A,#N/A,TRUE,"Y총물량";#N/A,#N/A,TRUE,"Y능력";#N/A,#N/A,TRUE,"YKD"}</definedName>
    <definedName name="송_2_2" hidden="1">{#N/A,#N/A,TRUE,"Y생산";#N/A,#N/A,TRUE,"Y판매";#N/A,#N/A,TRUE,"Y총물량";#N/A,#N/A,TRUE,"Y능력";#N/A,#N/A,TRUE,"YKD"}</definedName>
    <definedName name="송_2_3" hidden="1">{#N/A,#N/A,TRUE,"Y생산";#N/A,#N/A,TRUE,"Y판매";#N/A,#N/A,TRUE,"Y총물량";#N/A,#N/A,TRUE,"Y능력";#N/A,#N/A,TRUE,"YKD"}</definedName>
    <definedName name="송_3" hidden="1">{#N/A,#N/A,TRUE,"Y생산";#N/A,#N/A,TRUE,"Y판매";#N/A,#N/A,TRUE,"Y총물량";#N/A,#N/A,TRUE,"Y능력";#N/A,#N/A,TRUE,"YKD"}</definedName>
    <definedName name="송_3_1" hidden="1">{#N/A,#N/A,TRUE,"Y생산";#N/A,#N/A,TRUE,"Y판매";#N/A,#N/A,TRUE,"Y총물량";#N/A,#N/A,TRUE,"Y능력";#N/A,#N/A,TRUE,"YKD"}</definedName>
    <definedName name="송_3_2" hidden="1">{#N/A,#N/A,TRUE,"Y생산";#N/A,#N/A,TRUE,"Y판매";#N/A,#N/A,TRUE,"Y총물량";#N/A,#N/A,TRUE,"Y능력";#N/A,#N/A,TRUE,"YKD"}</definedName>
    <definedName name="송_3_3" hidden="1">{#N/A,#N/A,TRUE,"Y생산";#N/A,#N/A,TRUE,"Y판매";#N/A,#N/A,TRUE,"Y총물량";#N/A,#N/A,TRUE,"Y능력";#N/A,#N/A,TRUE,"YKD"}</definedName>
    <definedName name="송_4" hidden="1">{#N/A,#N/A,TRUE,"Y생산";#N/A,#N/A,TRUE,"Y판매";#N/A,#N/A,TRUE,"Y총물량";#N/A,#N/A,TRUE,"Y능력";#N/A,#N/A,TRUE,"YKD"}</definedName>
    <definedName name="송_5" hidden="1">{#N/A,#N/A,TRUE,"Y생산";#N/A,#N/A,TRUE,"Y판매";#N/A,#N/A,TRUE,"Y총물량";#N/A,#N/A,TRUE,"Y능력";#N/A,#N/A,TRUE,"YKD"}</definedName>
    <definedName name="송기갑" hidden="1">{#N/A,#N/A,FALSE,"단축1";#N/A,#N/A,FALSE,"단축2";#N/A,#N/A,FALSE,"단축3";#N/A,#N/A,FALSE,"장축";#N/A,#N/A,FALSE,"4WD"}</definedName>
    <definedName name="송만춘" hidden="1">{#N/A,#N/A,FALSE,"단축1";#N/A,#N/A,FALSE,"단축2";#N/A,#N/A,FALSE,"단축3";#N/A,#N/A,FALSE,"장축";#N/A,#N/A,FALSE,"4WD"}</definedName>
    <definedName name="송부자료" hidden="1">{#N/A,#N/A,FALSE,"단축1";#N/A,#N/A,FALSE,"단축2";#N/A,#N/A,FALSE,"단축3";#N/A,#N/A,FALSE,"장축";#N/A,#N/A,FALSE,"4WD"}</definedName>
    <definedName name="송익" hidden="1">{#N/A,#N/A,FALSE,"정공"}</definedName>
    <definedName name="송익_1" hidden="1">{#N/A,#N/A,FALSE,"정공"}</definedName>
    <definedName name="송익_2" hidden="1">{#N/A,#N/A,FALSE,"정공"}</definedName>
    <definedName name="송익_2_1" hidden="1">{#N/A,#N/A,FALSE,"정공"}</definedName>
    <definedName name="송익_2_2" hidden="1">{#N/A,#N/A,FALSE,"정공"}</definedName>
    <definedName name="송익_2_3" hidden="1">{#N/A,#N/A,FALSE,"정공"}</definedName>
    <definedName name="송익_3" hidden="1">{#N/A,#N/A,FALSE,"정공"}</definedName>
    <definedName name="송익_3_1" hidden="1">{#N/A,#N/A,FALSE,"정공"}</definedName>
    <definedName name="송익_3_2" hidden="1">{#N/A,#N/A,FALSE,"정공"}</definedName>
    <definedName name="송익_3_3" hidden="1">{#N/A,#N/A,FALSE,"정공"}</definedName>
    <definedName name="송익_4" hidden="1">{#N/A,#N/A,FALSE,"정공"}</definedName>
    <definedName name="송익_5" hidden="1">{#N/A,#N/A,FALSE,"정공"}</definedName>
    <definedName name="송창기" hidden="1">{#N/A,#N/A,TRUE,"Y생산";#N/A,#N/A,TRUE,"Y판매";#N/A,#N/A,TRUE,"Y총물량";#N/A,#N/A,TRUE,"Y능력";#N/A,#N/A,TRUE,"YKD"}</definedName>
    <definedName name="송창기_1" hidden="1">{#N/A,#N/A,TRUE,"Y생산";#N/A,#N/A,TRUE,"Y판매";#N/A,#N/A,TRUE,"Y총물량";#N/A,#N/A,TRUE,"Y능력";#N/A,#N/A,TRUE,"YKD"}</definedName>
    <definedName name="송창기_2" hidden="1">{#N/A,#N/A,TRUE,"Y생산";#N/A,#N/A,TRUE,"Y판매";#N/A,#N/A,TRUE,"Y총물량";#N/A,#N/A,TRUE,"Y능력";#N/A,#N/A,TRUE,"YKD"}</definedName>
    <definedName name="송창기_2_1" hidden="1">{#N/A,#N/A,TRUE,"Y생산";#N/A,#N/A,TRUE,"Y판매";#N/A,#N/A,TRUE,"Y총물량";#N/A,#N/A,TRUE,"Y능력";#N/A,#N/A,TRUE,"YKD"}</definedName>
    <definedName name="송창기_2_2" hidden="1">{#N/A,#N/A,TRUE,"Y생산";#N/A,#N/A,TRUE,"Y판매";#N/A,#N/A,TRUE,"Y총물량";#N/A,#N/A,TRUE,"Y능력";#N/A,#N/A,TRUE,"YKD"}</definedName>
    <definedName name="송창기_2_3" hidden="1">{#N/A,#N/A,TRUE,"Y생산";#N/A,#N/A,TRUE,"Y판매";#N/A,#N/A,TRUE,"Y총물량";#N/A,#N/A,TRUE,"Y능력";#N/A,#N/A,TRUE,"YKD"}</definedName>
    <definedName name="송창기_3" hidden="1">{#N/A,#N/A,TRUE,"Y생산";#N/A,#N/A,TRUE,"Y판매";#N/A,#N/A,TRUE,"Y총물량";#N/A,#N/A,TRUE,"Y능력";#N/A,#N/A,TRUE,"YKD"}</definedName>
    <definedName name="송창기_3_1" hidden="1">{#N/A,#N/A,TRUE,"Y생산";#N/A,#N/A,TRUE,"Y판매";#N/A,#N/A,TRUE,"Y총물량";#N/A,#N/A,TRUE,"Y능력";#N/A,#N/A,TRUE,"YKD"}</definedName>
    <definedName name="송창기_3_2" hidden="1">{#N/A,#N/A,TRUE,"Y생산";#N/A,#N/A,TRUE,"Y판매";#N/A,#N/A,TRUE,"Y총물량";#N/A,#N/A,TRUE,"Y능력";#N/A,#N/A,TRUE,"YKD"}</definedName>
    <definedName name="송창기_3_3" hidden="1">{#N/A,#N/A,TRUE,"Y생산";#N/A,#N/A,TRUE,"Y판매";#N/A,#N/A,TRUE,"Y총물량";#N/A,#N/A,TRUE,"Y능력";#N/A,#N/A,TRUE,"YKD"}</definedName>
    <definedName name="송창기_4" hidden="1">{#N/A,#N/A,TRUE,"Y생산";#N/A,#N/A,TRUE,"Y판매";#N/A,#N/A,TRUE,"Y총물량";#N/A,#N/A,TRUE,"Y능력";#N/A,#N/A,TRUE,"YKD"}</definedName>
    <definedName name="송창기_5" hidden="1">{#N/A,#N/A,TRUE,"Y생산";#N/A,#N/A,TRUE,"Y판매";#N/A,#N/A,TRUE,"Y총물량";#N/A,#N/A,TRUE,"Y능력";#N/A,#N/A,TRUE,"YKD"}</definedName>
    <definedName name="쇄" hidden="1">{#N/A,#N/A,FALSE,"단축1";#N/A,#N/A,FALSE,"단축2";#N/A,#N/A,FALSE,"단축3";#N/A,#N/A,FALSE,"장축";#N/A,#N/A,FALSE,"4WD"}</definedName>
    <definedName name="쇼" hidden="1">{#N/A,#N/A,TRUE,"Y생산";#N/A,#N/A,TRUE,"Y판매";#N/A,#N/A,TRUE,"Y총물량";#N/A,#N/A,TRUE,"Y능력";#N/A,#N/A,TRUE,"YKD"}</definedName>
    <definedName name="쇼_1" hidden="1">{#N/A,#N/A,TRUE,"Y생산";#N/A,#N/A,TRUE,"Y판매";#N/A,#N/A,TRUE,"Y총물량";#N/A,#N/A,TRUE,"Y능력";#N/A,#N/A,TRUE,"YKD"}</definedName>
    <definedName name="쇼바2" hidden="1">{#N/A,#N/A,FALSE,"단축1";#N/A,#N/A,FALSE,"단축2";#N/A,#N/A,FALSE,"단축3";#N/A,#N/A,FALSE,"장축";#N/A,#N/A,FALSE,"4WD"}</definedName>
    <definedName name="쇼바2_1" hidden="1">{#N/A,#N/A,FALSE,"단축1";#N/A,#N/A,FALSE,"단축2";#N/A,#N/A,FALSE,"단축3";#N/A,#N/A,FALSE,"장축";#N/A,#N/A,FALSE,"4WD"}</definedName>
    <definedName name="쇼바2_2" hidden="1">{#N/A,#N/A,FALSE,"단축1";#N/A,#N/A,FALSE,"단축2";#N/A,#N/A,FALSE,"단축3";#N/A,#N/A,FALSE,"장축";#N/A,#N/A,FALSE,"4WD"}</definedName>
    <definedName name="쇼바3" hidden="1">{#N/A,#N/A,FALSE,"단축1";#N/A,#N/A,FALSE,"단축2";#N/A,#N/A,FALSE,"단축3";#N/A,#N/A,FALSE,"장축";#N/A,#N/A,FALSE,"4WD"}</definedName>
    <definedName name="쇼쇼쇼" hidden="1">{#N/A,#N/A,FALSE,"단축1";#N/A,#N/A,FALSE,"단축2";#N/A,#N/A,FALSE,"단축3";#N/A,#N/A,FALSE,"장축";#N/A,#N/A,FALSE,"4WD"}</definedName>
    <definedName name="쇼쇼쇼쇼쇼쇼쇼쇼쇼쇼" hidden="1">{#N/A,#N/A,FALSE,"단축1";#N/A,#N/A,FALSE,"단축2";#N/A,#N/A,FALSE,"단축3";#N/A,#N/A,FALSE,"장축";#N/A,#N/A,FALSE,"4WD"}</definedName>
    <definedName name="쇼트" hidden="1">#REF!</definedName>
    <definedName name="쇼ㅏㅓㅘㅡ" hidden="1">{#N/A,#N/A,TRUE,"Y생산";#N/A,#N/A,TRUE,"Y판매";#N/A,#N/A,TRUE,"Y총물량";#N/A,#N/A,TRUE,"Y능력";#N/A,#N/A,TRUE,"YKD"}</definedName>
    <definedName name="쇼ㅏㅓㅘㅡ_1" hidden="1">{#N/A,#N/A,TRUE,"Y생산";#N/A,#N/A,TRUE,"Y판매";#N/A,#N/A,TRUE,"Y총물량";#N/A,#N/A,TRUE,"Y능력";#N/A,#N/A,TRUE,"YKD"}</definedName>
    <definedName name="쇼ㅓ" hidden="1">{#N/A,#N/A,FALSE,"96 3월물량표";#N/A,#N/A,FALSE,"96 4월물량표";#N/A,#N/A,FALSE,"96 5월물량표"}</definedName>
    <definedName name="쇼ㅓ_1" hidden="1">{#N/A,#N/A,FALSE,"96 3월물량표";#N/A,#N/A,FALSE,"96 4월물량표";#N/A,#N/A,FALSE,"96 5월물량표"}</definedName>
    <definedName name="쇼ㅓㅑㅛㅕㅏㅣ" hidden="1">{#N/A,#N/A,TRUE,"Y생산";#N/A,#N/A,TRUE,"Y판매";#N/A,#N/A,TRUE,"Y총물량";#N/A,#N/A,TRUE,"Y능력";#N/A,#N/A,TRUE,"YKD"}</definedName>
    <definedName name="쇼ㅓㅑㅛㅕㅏㅣ_1" hidden="1">{#N/A,#N/A,TRUE,"Y생산";#N/A,#N/A,TRUE,"Y판매";#N/A,#N/A,TRUE,"Y총물량";#N/A,#N/A,TRUE,"Y능력";#N/A,#N/A,TRUE,"YKD"}</definedName>
    <definedName name="쇼ㅓㅡㅜ" hidden="1">{#N/A,#N/A,TRUE,"Y생산";#N/A,#N/A,TRUE,"Y판매";#N/A,#N/A,TRUE,"Y총물량";#N/A,#N/A,TRUE,"Y능력";#N/A,#N/A,TRUE,"YKD"}</definedName>
    <definedName name="쇼ㅓㅡㅜ_1" hidden="1">{#N/A,#N/A,TRUE,"Y생산";#N/A,#N/A,TRUE,"Y판매";#N/A,#N/A,TRUE,"Y총물량";#N/A,#N/A,TRUE,"Y능력";#N/A,#N/A,TRUE,"YKD"}</definedName>
    <definedName name="쇼ㅛ" hidden="1">{#N/A,#N/A,FALSE,"단축1";#N/A,#N/A,FALSE,"단축2";#N/A,#N/A,FALSE,"단축3";#N/A,#N/A,FALSE,"장축";#N/A,#N/A,FALSE,"4WD"}</definedName>
    <definedName name="쇼ㅛㄱ" hidden="1">{#N/A,#N/A,FALSE,"단축1";#N/A,#N/A,FALSE,"단축2";#N/A,#N/A,FALSE,"단축3";#N/A,#N/A,FALSE,"장축";#N/A,#N/A,FALSE,"4WD"}</definedName>
    <definedName name="쇼ㅛㅕㅓㅛ" hidden="1">{#N/A,#N/A,FALSE,"KMC최종회의(7월) 자료"}</definedName>
    <definedName name="쇼ㅛㅕㅓㅛ_1" hidden="1">{#N/A,#N/A,FALSE,"KMC최종회의(7월) 자료"}</definedName>
    <definedName name="쇽더ㅓㅕ6ㅛ" hidden="1">{#N/A,#N/A,FALSE,"KMC최종회의(7월) 자료"}</definedName>
    <definedName name="쇽더ㅓㅕ6ㅛ_1" hidden="1">{#N/A,#N/A,FALSE,"KMC최종회의(7월) 자료"}</definedName>
    <definedName name="수고" hidden="1">{#N/A,#N/A,FALSE,"기초2"}</definedName>
    <definedName name="수금양식" hidden="1">{#N/A,#N/A,FALSE,"KMC최종회의(7월) 자료"}</definedName>
    <definedName name="수금양식_1" hidden="1">{#N/A,#N/A,FALSE,"KMC최종회의(7월) 자료"}</definedName>
    <definedName name="수량물" hidden="1">{#N/A,#N/A,TRUE,"Y생산";#N/A,#N/A,TRUE,"Y판매";#N/A,#N/A,TRUE,"Y총물량";#N/A,#N/A,TRUE,"Y능력";#N/A,#N/A,TRUE,"YKD"}</definedName>
    <definedName name="수량추정" hidden="1">{#N/A,#N/A,FALSE,"정공"}</definedName>
    <definedName name="수량추정_1" hidden="1">{#N/A,#N/A,FALSE,"정공"}</definedName>
    <definedName name="수량추정_2" hidden="1">{#N/A,#N/A,FALSE,"정공"}</definedName>
    <definedName name="수량추정_2_1" hidden="1">{#N/A,#N/A,FALSE,"정공"}</definedName>
    <definedName name="수량추정_2_2" hidden="1">{#N/A,#N/A,FALSE,"정공"}</definedName>
    <definedName name="수량추정_2_3" hidden="1">{#N/A,#N/A,FALSE,"정공"}</definedName>
    <definedName name="수량추정_3" hidden="1">{#N/A,#N/A,FALSE,"정공"}</definedName>
    <definedName name="수량추정_3_1" hidden="1">{#N/A,#N/A,FALSE,"정공"}</definedName>
    <definedName name="수량추정_3_2" hidden="1">{#N/A,#N/A,FALSE,"정공"}</definedName>
    <definedName name="수량추정_3_3" hidden="1">{#N/A,#N/A,FALSE,"정공"}</definedName>
    <definedName name="수량추정_4" hidden="1">{#N/A,#N/A,FALSE,"정공"}</definedName>
    <definedName name="수량추정_5" hidden="1">{#N/A,#N/A,FALSE,"정공"}</definedName>
    <definedName name="수불현황" hidden="1">{#N/A,#N/A,FALSE,"정공"}</definedName>
    <definedName name="수선비세부" hidden="1">#REF!</definedName>
    <definedName name="수수수수수숫" hidden="1">{#N/A,#N/A,FALSE,"KMC최종회의(7월) 자료"}</definedName>
    <definedName name="수수수수수숫_1" hidden="1">{#N/A,#N/A,FALSE,"KMC최종회의(7월) 자료"}</definedName>
    <definedName name="수요검토" hidden="1">{#N/A,#N/A,FALSE,"단축1";#N/A,#N/A,FALSE,"단축2";#N/A,#N/A,FALSE,"단축3";#N/A,#N/A,FALSE,"장축";#N/A,#N/A,FALSE,"4WD"}</definedName>
    <definedName name="수요전망" hidden="1">{#N/A,#N/A,FALSE,"신규dep";#N/A,#N/A,FALSE,"신규dep-금형상각후";#N/A,#N/A,FALSE,"신규dep-연구비상각후";#N/A,#N/A,FALSE,"신규dep-기계,공구상각후"}</definedName>
    <definedName name="수익4속" hidden="1">{#N/A,#N/A,FALSE,"단축1";#N/A,#N/A,FALSE,"단축2";#N/A,#N/A,FALSE,"단축3";#N/A,#N/A,FALSE,"장축";#N/A,#N/A,FALSE,"4WD"}</definedName>
    <definedName name="수익4속_1" hidden="1">{#N/A,#N/A,FALSE,"단축1";#N/A,#N/A,FALSE,"단축2";#N/A,#N/A,FALSE,"단축3";#N/A,#N/A,FALSE,"장축";#N/A,#N/A,FALSE,"4WD"}</definedName>
    <definedName name="수익4속_2" hidden="1">{#N/A,#N/A,FALSE,"단축1";#N/A,#N/A,FALSE,"단축2";#N/A,#N/A,FALSE,"단축3";#N/A,#N/A,FALSE,"장축";#N/A,#N/A,FALSE,"4WD"}</definedName>
    <definedName name="수익성30" hidden="1">{#N/A,#N/A,TRUE,"Y생산";#N/A,#N/A,TRUE,"Y판매";#N/A,#N/A,TRUE,"Y총물량";#N/A,#N/A,TRUE,"Y능력";#N/A,#N/A,TRUE,"YKD"}</definedName>
    <definedName name="수익성검토" hidden="1">#REF!</definedName>
    <definedName name="수입검사" hidden="1">{#N/A,#N/A,FALSE,"삼진정공";#N/A,#N/A,FALSE,"영신금속";#N/A,#N/A,FALSE,"태양금속";#N/A,#N/A,FALSE,"진합정공";#N/A,#N/A,FALSE,"코리아";#N/A,#N/A,FALSE,"풍강금속";#N/A,#N/A,FALSE,"선일기계"}</definedName>
    <definedName name="수재상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정" hidden="1">{#N/A,#N/A,FALSE,"KMC최종회의(7월) 자료"}</definedName>
    <definedName name="수정_1" hidden="1">{#N/A,#N/A,FALSE,"KMC최종회의(7월) 자료"}</definedName>
    <definedName name="수정_2" hidden="1">{#N/A,#N/A,FALSE,"KMC최종회의(7월) 자료"}</definedName>
    <definedName name="수정1" hidden="1">{#N/A,#N/A,FALSE,"단축1";#N/A,#N/A,FALSE,"단축2";#N/A,#N/A,FALSE,"단축3";#N/A,#N/A,FALSE,"장축";#N/A,#N/A,FALSE,"4WD"}</definedName>
    <definedName name="수정15변속기MH" hidden="1">{#N/A,#N/A,FALSE,"KMC최종회의(7월) 자료"}</definedName>
    <definedName name="수정15변속기MH_1" hidden="1">{#N/A,#N/A,FALSE,"KMC최종회의(7월) 자료"}</definedName>
    <definedName name="수정15변속기MH_2" hidden="1">{#N/A,#N/A,FALSE,"KMC최종회의(7월) 자료"}</definedName>
    <definedName name="수정2" hidden="1">{#N/A,#N/A,FALSE,"KMC최종회의(7월) 자료"}</definedName>
    <definedName name="수정3" hidden="1">{#N/A,#N/A,FALSE,"단축1";#N/A,#N/A,FALSE,"단축2";#N/A,#N/A,FALSE,"단축3";#N/A,#N/A,FALSE,"장축";#N/A,#N/A,FALSE,"4WD"}</definedName>
    <definedName name="수정GH" hidden="1">{#N/A,#N/A,TRUE,"Y생산";#N/A,#N/A,TRUE,"Y판매";#N/A,#N/A,TRUE,"Y총물량";#N/A,#N/A,TRUE,"Y능력";#N/A,#N/A,TRUE,"YKD"}</definedName>
    <definedName name="수정GRAPH" hidden="1">{#N/A,#N/A,TRUE,"Y생산";#N/A,#N/A,TRUE,"Y판매";#N/A,#N/A,TRUE,"Y총물량";#N/A,#N/A,TRUE,"Y능력";#N/A,#N/A,TRUE,"YKD"}</definedName>
    <definedName name="수정내판매" hidden="1">{#N/A,#N/A,TRUE,"매출진척-1";#N/A,#N/A,TRUE,"매출진척-2";#N/A,#N/A,TRUE,"제품실적";#N/A,#N/A,TRUE,"RAC";#N/A,#N/A,TRUE,"PAC ";#N/A,#N/A,TRUE,"재고현황";#N/A,#N/A,TRUE,"공지사항"}</definedName>
    <definedName name="수정물량" hidden="1">{#N/A,#N/A,TRUE,"Y생산";#N/A,#N/A,TRUE,"Y판매";#N/A,#N/A,TRUE,"Y총물량";#N/A,#N/A,TRUE,"Y능력";#N/A,#N/A,TRUE,"YKD"}</definedName>
    <definedName name="수정물량_1" hidden="1">{#N/A,#N/A,TRUE,"Y생산";#N/A,#N/A,TRUE,"Y판매";#N/A,#N/A,TRUE,"Y총물량";#N/A,#N/A,TRUE,"Y능력";#N/A,#N/A,TRUE,"YKD"}</definedName>
    <definedName name="수정물량_2" hidden="1">{#N/A,#N/A,TRUE,"Y생산";#N/A,#N/A,TRUE,"Y판매";#N/A,#N/A,TRUE,"Y총물량";#N/A,#N/A,TRUE,"Y능력";#N/A,#N/A,TRUE,"YKD"}</definedName>
    <definedName name="수정본" hidden="1">{#N/A,#N/A,TRUE,"일정"}</definedName>
    <definedName name="수정본_1" hidden="1">{#N/A,#N/A,FALSE,"단축1";#N/A,#N/A,FALSE,"단축2";#N/A,#N/A,FALSE,"단축3";#N/A,#N/A,FALSE,"장축";#N/A,#N/A,FALSE,"4WD"}</definedName>
    <definedName name="수정사업달성방안" hidden="1">{#N/A,#N/A,FALSE,"KMC최종회의(7월) 자료"}</definedName>
    <definedName name="수정사업달성방안_1" hidden="1">{#N/A,#N/A,FALSE,"KMC최종회의(7월) 자료"}</definedName>
    <definedName name="수정사항" hidden="1">{#N/A,#N/A,FALSE,"KMC최종회의(7월) 자료"}</definedName>
    <definedName name="수정사항_1" hidden="1">{#N/A,#N/A,FALSE,"KMC최종회의(7월) 자료"}</definedName>
    <definedName name="수정손익" hidden="1">{#N/A,#N/A,FALSE,"정공"}</definedName>
    <definedName name="수정손익_1" hidden="1">{#N/A,#N/A,FALSE,"정공"}</definedName>
    <definedName name="수정손익_2" hidden="1">{#N/A,#N/A,FALSE,"정공"}</definedName>
    <definedName name="수정칼라GRAPH" hidden="1">{#N/A,#N/A,TRUE,"Y생산";#N/A,#N/A,TRUE,"Y판매";#N/A,#N/A,TRUE,"Y총물량";#N/A,#N/A,TRUE,"Y능력";#N/A,#N/A,TRUE,"YKD"}</definedName>
    <definedName name="수주" hidden="1">{#N/A,#N/A,FALSE,"KMC최종회의(7월) 자료"}</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_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_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P2지원" hidden="1">{#N/A,#N/A,FALSE,"단축1";#N/A,#N/A,FALSE,"단축2";#N/A,#N/A,FALSE,"단축3";#N/A,#N/A,FALSE,"장축";#N/A,#N/A,FALSE,"4WD"}</definedName>
    <definedName name="수출P2지원_1" hidden="1">{#N/A,#N/A,FALSE,"단축1";#N/A,#N/A,FALSE,"단축2";#N/A,#N/A,FALSE,"단축3";#N/A,#N/A,FALSE,"장축";#N/A,#N/A,FALSE,"4WD"}</definedName>
    <definedName name="수출P2지원_2" hidden="1">{#N/A,#N/A,FALSE,"단축1";#N/A,#N/A,FALSE,"단축2";#N/A,#N/A,FALSE,"단축3";#N/A,#N/A,FALSE,"장축";#N/A,#N/A,FALSE,"4WD"}</definedName>
    <definedName name="수출오더현황12월" hidden="1">{#N/A,#N/A,TRUE,"Y생산";#N/A,#N/A,TRUE,"Y판매";#N/A,#N/A,TRUE,"Y총물량";#N/A,#N/A,TRUE,"Y능력";#N/A,#N/A,TRUE,"YKD"}</definedName>
    <definedName name="수출오더현황12월_1" hidden="1">{#N/A,#N/A,TRUE,"Y생산";#N/A,#N/A,TRUE,"Y판매";#N/A,#N/A,TRUE,"Y총물량";#N/A,#N/A,TRUE,"Y능력";#N/A,#N/A,TRUE,"YKD"}</definedName>
    <definedName name="수출판촉비총괄" hidden="1">#N/A</definedName>
    <definedName name="수통" hidden="1">{#N/A,#N/A,FALSE,"단축1";#N/A,#N/A,FALSE,"단축2";#N/A,#N/A,FALSE,"단축3";#N/A,#N/A,FALSE,"장축";#N/A,#N/A,FALSE,"4WD"}</definedName>
    <definedName name="숙" hidden="1">{#N/A,#N/A,FALSE,"단축1";#N/A,#N/A,FALSE,"단축2";#N/A,#N/A,FALSE,"단축3";#N/A,#N/A,FALSE,"장축";#N/A,#N/A,FALSE,"4WD"}</definedName>
    <definedName name="슈퓨퓨ㅠ" hidden="1">{#N/A,#N/A,FALSE,"KMC최종회의(7월) 자료"}</definedName>
    <definedName name="슈퓨퓨ㅠ_1" hidden="1">{#N/A,#N/A,FALSE,"KMC최종회의(7월) 자료"}</definedName>
    <definedName name="슈ㅗㅗㅜ" hidden="1">{#N/A,#N/A,FALSE,"KMC최종회의(7월) 자료"}</definedName>
    <definedName name="슈ㅗㅗㅜ_1" hidden="1">{#N/A,#N/A,FALSE,"KMC최종회의(7월) 자료"}</definedName>
    <definedName name="스케" hidden="1">{#N/A,#N/A,FALSE,"신규dep";#N/A,#N/A,FALSE,"신규dep-금형상각후";#N/A,#N/A,FALSE,"신규dep-연구비상각후";#N/A,#N/A,FALSE,"신규dep-기계,공구상각후"}</definedName>
    <definedName name="스타렉스" hidden="1">{#N/A,#N/A,FALSE,"단축1";#N/A,#N/A,FALSE,"단축2";#N/A,#N/A,FALSE,"단축3";#N/A,#N/A,FALSE,"장축";#N/A,#N/A,FALSE,"4WD"}</definedName>
    <definedName name="스타렉스_1" hidden="1">{#N/A,#N/A,FALSE,"단축1";#N/A,#N/A,FALSE,"단축2";#N/A,#N/A,FALSE,"단축3";#N/A,#N/A,FALSE,"장축";#N/A,#N/A,FALSE,"4WD"}</definedName>
    <definedName name="스타렉스2" hidden="1">{#N/A,#N/A,FALSE,"단축1";#N/A,#N/A,FALSE,"단축2";#N/A,#N/A,FALSE,"단축3";#N/A,#N/A,FALSE,"장축";#N/A,#N/A,FALSE,"4WD"}</definedName>
    <definedName name="승민" hidden="1">{#N/A,#N/A,FALSE,"KMC최종회의(7월) 자료"}</definedName>
    <definedName name="승민_1" hidden="1">{#N/A,#N/A,FALSE,"KMC최종회의(7월) 자료"}</definedName>
    <definedName name="승민_2" hidden="1">{#N/A,#N/A,FALSE,"KMC최종회의(7월) 자료"}</definedName>
    <definedName name="승원" hidden="1">{#N/A,#N/A,FALSE,"품의서";#N/A,#N/A,FALSE,"전제";#N/A,#N/A,FALSE,"총손";#N/A,#N/A,FALSE,"손익";#N/A,#N/A,FALSE,"대당";#N/A,#N/A,FALSE,"가공비";#N/A,#N/A,FALSE,"재료비";#N/A,#N/A,FALSE,"판비";#N/A,#N/A,FALSE,"가격"}</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권한2" hidden="1">{#N/A,#N/A,FALSE,"단축1";#N/A,#N/A,FALSE,"단축2";#N/A,#N/A,FALSE,"단축3";#N/A,#N/A,FALSE,"장축";#N/A,#N/A,FALSE,"4WD"}</definedName>
    <definedName name="승인서" hidden="1">{#N/A,#N/A,FALSE,"단축1";#N/A,#N/A,FALSE,"단축2";#N/A,#N/A,FALSE,"단축3";#N/A,#N/A,FALSE,"장축";#N/A,#N/A,FALSE,"4WD"}</definedName>
    <definedName name="시" hidden="1">{#N/A,#N/A,FALSE,"KMC최종회의(7월) 자료"}</definedName>
    <definedName name="시_1" hidden="1">{#N/A,#N/A,FALSE,"KMC최종회의(7월) 자료"}</definedName>
    <definedName name="시_2" hidden="1">{#N/A,#N/A,FALSE,"KMC최종회의(7월) 자료"}</definedName>
    <definedName name="시1" hidden="1">{#N/A,#N/A,FALSE,"KMC최종회의(7월) 자료"}</definedName>
    <definedName name="시1_1" hidden="1">{#N/A,#N/A,FALSE,"KMC최종회의(7월) 자료"}</definedName>
    <definedName name="시1_2" hidden="1">{#N/A,#N/A,FALSE,"KMC최종회의(7월) 자료"}</definedName>
    <definedName name="시간" hidden="1">{#N/A,#N/A,TRUE,"Y생산";#N/A,#N/A,TRUE,"Y판매";#N/A,#N/A,TRUE,"Y총물량";#N/A,#N/A,TRUE,"Y능력";#N/A,#N/A,TRUE,"YKD"}</definedName>
    <definedName name="시간_1" hidden="1">{#N/A,#N/A,TRUE,"Y생산";#N/A,#N/A,TRUE,"Y판매";#N/A,#N/A,TRUE,"Y총물량";#N/A,#N/A,TRUE,"Y능력";#N/A,#N/A,TRUE,"YKD"}</definedName>
    <definedName name="시간표" hidden="1">{#N/A,#N/A,FALSE,"단축1";#N/A,#N/A,FALSE,"단축2";#N/A,#N/A,FALSE,"단축3";#N/A,#N/A,FALSE,"장축";#N/A,#N/A,FALSE,"4WD"}</definedName>
    <definedName name="시경편" hidden="1">{#N/A,#N/A,FALSE,"단축1";#N/A,#N/A,FALSE,"단축2";#N/A,#N/A,FALSE,"단축3";#N/A,#N/A,FALSE,"장축";#N/A,#N/A,FALSE,"4WD"}</definedName>
    <definedName name="시공계획"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조직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그마1" hidden="1">{#N/A,#N/A,FALSE,"단축1";#N/A,#N/A,FALSE,"단축2";#N/A,#N/A,FALSE,"단축3";#N/A,#N/A,FALSE,"장축";#N/A,#N/A,FALSE,"4WD"}</definedName>
    <definedName name="시기조정" hidden="1">{#N/A,#N/A,FALSE,"인원";#N/A,#N/A,FALSE,"비용2";#N/A,#N/A,FALSE,"비용1";#N/A,#N/A,FALSE,"비용";#N/A,#N/A,FALSE,"보증2";#N/A,#N/A,FALSE,"보증1";#N/A,#N/A,FALSE,"보증";#N/A,#N/A,FALSE,"손익1";#N/A,#N/A,FALSE,"손익";#N/A,#N/A,FALSE,"부서별매출";#N/A,#N/A,FALSE,"매출"}</definedName>
    <definedName name="시리즈" hidden="1">{#N/A,#N/A,FALSE,"단축1";#N/A,#N/A,FALSE,"단축2";#N/A,#N/A,FALSE,"단축3";#N/A,#N/A,FALSE,"장축";#N/A,#N/A,FALSE,"4WD"}</definedName>
    <definedName name="시발" hidden="1">{#N/A,#N/A,FALSE,"단축1";#N/A,#N/A,FALSE,"단축2";#N/A,#N/A,FALSE,"단축3";#N/A,#N/A,FALSE,"장축";#N/A,#N/A,FALSE,"4WD"}</definedName>
    <definedName name="시산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시월삼십일" hidden="1">{#N/A,#N/A,FALSE,"KMC최종회의(7월) 자료"}</definedName>
    <definedName name="시작계획" hidden="1">{#N/A,#N/A,FALSE,"단축1";#N/A,#N/A,FALSE,"단축2";#N/A,#N/A,FALSE,"단축3";#N/A,#N/A,FALSE,"장축";#N/A,#N/A,FALSE,"4WD"}</definedName>
    <definedName name="시작계획_1" hidden="1">{#N/A,#N/A,FALSE,"단축1";#N/A,#N/A,FALSE,"단축2";#N/A,#N/A,FALSE,"단축3";#N/A,#N/A,FALSE,"장축";#N/A,#N/A,FALSE,"4WD"}</definedName>
    <definedName name="시작팀" hidden="1">{#N/A,#N/A,FALSE,"단축1";#N/A,#N/A,FALSE,"단축2";#N/A,#N/A,FALSE,"단축3";#N/A,#N/A,FALSE,"장축";#N/A,#N/A,FALSE,"4WD"}</definedName>
    <definedName name="시작품의서독촉MTG" hidden="1">{#N/A,#N/A,FALSE,"단축1";#N/A,#N/A,FALSE,"단축2";#N/A,#N/A,FALSE,"단축3";#N/A,#N/A,FALSE,"장축";#N/A,#N/A,FALSE,"4WD"}</definedName>
    <definedName name="시장규모_" hidden="1">{#N/A,#N/A,TRUE,"매출진척-1";#N/A,#N/A,TRUE,"매출진척-2";#N/A,#N/A,TRUE,"제품실적";#N/A,#N/A,TRUE,"RAC";#N/A,#N/A,TRUE,"PAC ";#N/A,#N/A,TRUE,"재고현황";#N/A,#N/A,TRUE,"공지사항"}</definedName>
    <definedName name="시장동향" hidden="1">{#N/A,#N/A,TRUE,"Y생산";#N/A,#N/A,TRUE,"Y판매";#N/A,#N/A,TRUE,"Y총물량";#N/A,#N/A,TRUE,"Y능력";#N/A,#N/A,TRUE,"YKD"}</definedName>
    <definedName name="시장동향_1" hidden="1">{#N/A,#N/A,TRUE,"Y생산";#N/A,#N/A,TRUE,"Y판매";#N/A,#N/A,TRUE,"Y총물량";#N/A,#N/A,TRUE,"Y능력";#N/A,#N/A,TRUE,"YKD"}</definedName>
    <definedName name="시장특성" hidden="1">{#N/A,#N/A,FALSE,"KMC최종회의(7월) 자료"}</definedName>
    <definedName name="시트" hidden="1">{#N/A,#N/A,FALSE,"단축1";#N/A,#N/A,FALSE,"단축2";#N/A,#N/A,FALSE,"단축3";#N/A,#N/A,FALSE,"장축";#N/A,#N/A,FALSE,"4WD"}</definedName>
    <definedName name="시편" hidden="1">{#N/A,#N/A,FALSE,"정공"}</definedName>
    <definedName name="시험비처리내역" hidden="1">{#N/A,#N/A,TRUE,"Y생산";#N/A,#N/A,TRUE,"Y판매";#N/A,#N/A,TRUE,"Y총물량";#N/A,#N/A,TRUE,"Y능력";#N/A,#N/A,TRUE,"YKD"}</definedName>
    <definedName name="시험비처리내역_1" hidden="1">{#N/A,#N/A,TRUE,"Y생산";#N/A,#N/A,TRUE,"Y판매";#N/A,#N/A,TRUE,"Y총물량";#N/A,#N/A,TRUE,"Y능력";#N/A,#N/A,TRUE,"YKD"}</definedName>
    <definedName name="시험일정p2" hidden="1">{#N/A,#N/A,FALSE,"단축1";#N/A,#N/A,FALSE,"단축2";#N/A,#N/A,FALSE,"단축3";#N/A,#N/A,FALSE,"장축";#N/A,#N/A,FALSE,"4WD"}</definedName>
    <definedName name="시험현황3" hidden="1">{#N/A,#N/A,FALSE,"단축1";#N/A,#N/A,FALSE,"단축2";#N/A,#N/A,FALSE,"단축3";#N/A,#N/A,FALSE,"장축";#N/A,#N/A,FALSE,"4WD"}</definedName>
    <definedName name="신" hidden="1">{"'표지'!$B$5"}</definedName>
    <definedName name="신AT종합" hidden="1">{#N/A,#N/A,FALSE,"단축1";#N/A,#N/A,FALSE,"단축2";#N/A,#N/A,FALSE,"단축3";#N/A,#N/A,FALSE,"장축";#N/A,#N/A,FALSE,"4WD"}</definedName>
    <definedName name="신AT종합_1" hidden="1">{#N/A,#N/A,FALSE,"단축1";#N/A,#N/A,FALSE,"단축2";#N/A,#N/A,FALSE,"단축3";#N/A,#N/A,FALSE,"장축";#N/A,#N/A,FALSE,"4WD"}</definedName>
    <definedName name="신개선" hidden="1">{#N/A,#N/A,TRUE,"Y생산";#N/A,#N/A,TRUE,"Y판매";#N/A,#N/A,TRUE,"Y총물량";#N/A,#N/A,TRUE,"Y능력";#N/A,#N/A,TRUE,"YKD"}</definedName>
    <definedName name="신개선_1" hidden="1">{#N/A,#N/A,TRUE,"Y생산";#N/A,#N/A,TRUE,"Y판매";#N/A,#N/A,TRUE,"Y총물량";#N/A,#N/A,TRUE,"Y능력";#N/A,#N/A,TRUE,"YKD"}</definedName>
    <definedName name="신개선실적" hidden="1">{#N/A,#N/A,TRUE,"Y생산";#N/A,#N/A,TRUE,"Y판매";#N/A,#N/A,TRUE,"Y총물량";#N/A,#N/A,TRUE,"Y능력";#N/A,#N/A,TRUE,"YKD"}</definedName>
    <definedName name="신개선실적_1" hidden="1">{#N/A,#N/A,TRUE,"Y생산";#N/A,#N/A,TRUE,"Y판매";#N/A,#N/A,TRUE,"Y총물량";#N/A,#N/A,TRUE,"Y능력";#N/A,#N/A,TRUE,"YKD"}</definedName>
    <definedName name="신규" hidden="1">{#N/A,#N/A,FALSE,"신규dep";#N/A,#N/A,FALSE,"신규dep-금형상각후";#N/A,#N/A,FALSE,"신규dep-연구비상각후";#N/A,#N/A,FALSE,"신규dep-기계,공구상각후"}</definedName>
    <definedName name="신규부품현황" hidden="1">{"Wire Charts",#N/A,TRUE,"Wires"}</definedName>
    <definedName name="신기술_신공법" hidden="1">{#N/A,#N/A,FALSE,"단축1";#N/A,#N/A,FALSE,"단축2";#N/A,#N/A,FALSE,"단축3";#N/A,#N/A,FALSE,"장축";#N/A,#N/A,FALSE,"4WD"}</definedName>
    <definedName name="신기술_신공법_1" hidden="1">{#N/A,#N/A,FALSE,"단축1";#N/A,#N/A,FALSE,"단축2";#N/A,#N/A,FALSE,"단축3";#N/A,#N/A,FALSE,"장축";#N/A,#N/A,FALSE,"4WD"}</definedName>
    <definedName name="신기술_신공법_2" hidden="1">{#N/A,#N/A,FALSE,"단축1";#N/A,#N/A,FALSE,"단축2";#N/A,#N/A,FALSE,"단축3";#N/A,#N/A,FALSE,"장축";#N/A,#N/A,FALSE,"4WD"}</definedName>
    <definedName name="신기술1" hidden="1">{#N/A,#N/A,FALSE,"단축1";#N/A,#N/A,FALSE,"단축2";#N/A,#N/A,FALSE,"단축3";#N/A,#N/A,FALSE,"장축";#N/A,#N/A,FALSE,"4WD"}</definedName>
    <definedName name="신기술2" hidden="1">{#N/A,#N/A,FALSE,"단축1";#N/A,#N/A,FALSE,"단축2";#N/A,#N/A,FALSE,"단축3";#N/A,#N/A,FALSE,"장축";#N/A,#N/A,FALSE,"4WD"}</definedName>
    <definedName name="신기술2_1" hidden="1">{#N/A,#N/A,FALSE,"단축1";#N/A,#N/A,FALSE,"단축2";#N/A,#N/A,FALSE,"단축3";#N/A,#N/A,FALSE,"장축";#N/A,#N/A,FALSE,"4WD"}</definedName>
    <definedName name="신기술2_2" hidden="1">{#N/A,#N/A,FALSE,"단축1";#N/A,#N/A,FALSE,"단축2";#N/A,#N/A,FALSE,"단축3";#N/A,#N/A,FALSE,"장축";#N/A,#N/A,FALSE,"4WD"}</definedName>
    <definedName name="신동" hidden="1">{#N/A,#N/A,FALSE,"신규dep";#N/A,#N/A,FALSE,"신규dep-금형상각후";#N/A,#N/A,FALSE,"신규dep-연구비상각후";#N/A,#N/A,FALSE,"신규dep-기계,공구상각후"}</definedName>
    <definedName name="신동_1"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조_1"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동좁_1" hidden="1">{#N/A,#N/A,FALSE,"단축1";#N/A,#N/A,FALSE,"단축2";#N/A,#N/A,FALSE,"단축3";#N/A,#N/A,FALSE,"장축";#N/A,#N/A,FALSE,"4WD"}</definedName>
    <definedName name="신뢰" hidden="1">{#N/A,#N/A,FALSE,"KMC최종회의(7월) 자료"}</definedName>
    <definedName name="신뢰_1" hidden="1">{#N/A,#N/A,FALSE,"KMC최종회의(7월) 자료"}</definedName>
    <definedName name="신뢰3" hidden="1">{#N/A,#N/A,FALSE,"단축1";#N/A,#N/A,FALSE,"단축2";#N/A,#N/A,FALSE,"단축3";#N/A,#N/A,FALSE,"장축";#N/A,#N/A,FALSE,"4WD"}</definedName>
    <definedName name="신뢰4" hidden="1">{#N/A,#N/A,FALSE,"단축1";#N/A,#N/A,FALSE,"단축2";#N/A,#N/A,FALSE,"단축3";#N/A,#N/A,FALSE,"장축";#N/A,#N/A,FALSE,"4WD"}</definedName>
    <definedName name="신뢰성계획1" hidden="1">{#N/A,#N/A,FALSE,"단축1";#N/A,#N/A,FALSE,"단축2";#N/A,#N/A,FALSE,"단축3";#N/A,#N/A,FALSE,"장축";#N/A,#N/A,FALSE,"4WD"}</definedName>
    <definedName name="신세대종합" hidden="1">{#N/A,#N/A,FALSE,"단축1";#N/A,#N/A,FALSE,"단축2";#N/A,#N/A,FALSE,"단축3";#N/A,#N/A,FALSE,"장축";#N/A,#N/A,FALSE,"4WD"}</definedName>
    <definedName name="신세대종합_1" hidden="1">{#N/A,#N/A,FALSE,"단축1";#N/A,#N/A,FALSE,"단축2";#N/A,#N/A,FALSE,"단축3";#N/A,#N/A,FALSE,"장축";#N/A,#N/A,FALSE,"4WD"}</definedName>
    <definedName name="신송자" hidden="1">{#N/A,#N/A,FALSE,"전제";#N/A,#N/A,FALSE,"표지";#N/A,#N/A,FALSE,"6D16";#N/A,#N/A,FALSE,"6D22";#N/A,#N/A,FALSE,"6D22-T";#N/A,#N/A,FALSE,"Q-DEG";#N/A,#N/A,FALSE,"총손";#N/A,#N/A,FALSE,"대당";#N/A,#N/A,FALSE,"가공비"}</definedName>
    <definedName name="신영"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입시론" hidden="1">{#N/A,#N/A,FALSE,"단축1";#N/A,#N/A,FALSE,"단축2";#N/A,#N/A,FALSE,"단축3";#N/A,#N/A,FALSE,"장축";#N/A,#N/A,FALSE,"4WD"}</definedName>
    <definedName name="신지" hidden="1">{#N/A,#N/A,FALSE,"단축1";#N/A,#N/A,FALSE,"단축2";#N/A,#N/A,FALSE,"단축3";#N/A,#N/A,FALSE,"장축";#N/A,#N/A,FALSE,"4WD"}</definedName>
    <definedName name="신차개발" hidden="1">{#N/A,#N/A,FALSE,"단축1";#N/A,#N/A,FALSE,"단축2";#N/A,#N/A,FALSE,"단축3";#N/A,#N/A,FALSE,"장축";#N/A,#N/A,FALSE,"4WD"}</definedName>
    <definedName name="신차생산준비기간단축3" hidden="1">{#N/A,#N/A,FALSE,"협조전";#N/A,#N/A,FALSE,"원가절감계획 ";#N/A,#N/A,FALSE,"항목별원가절감계획"}</definedName>
    <definedName name="신차일정5" hidden="1">{#N/A,#N/A,FALSE,"단축1";#N/A,#N/A,FALSE,"단축2";#N/A,#N/A,FALSE,"단축3";#N/A,#N/A,FALSE,"장축";#N/A,#N/A,FALSE,"4WD"}</definedName>
    <definedName name="신차품질일정" hidden="1">{#N/A,#N/A,FALSE,"단축1";#N/A,#N/A,FALSE,"단축2";#N/A,#N/A,FALSE,"단축3";#N/A,#N/A,FALSE,"장축";#N/A,#N/A,FALSE,"4WD"}</definedName>
    <definedName name="신차품질일정_1" hidden="1">{#N/A,#N/A,FALSE,"단축1";#N/A,#N/A,FALSE,"단축2";#N/A,#N/A,FALSE,"단축3";#N/A,#N/A,FALSE,"장축";#N/A,#N/A,FALSE,"4WD"}</definedName>
    <definedName name="신차품질일정_2" hidden="1">{#N/A,#N/A,FALSE,"단축1";#N/A,#N/A,FALSE,"단축2";#N/A,#N/A,FALSE,"단축3";#N/A,#N/A,FALSE,"장축";#N/A,#N/A,FALSE,"4WD"}</definedName>
    <definedName name="신청" hidden="1">{#N/A,#N/A,FALSE,"단축1";#N/A,#N/A,FALSE,"단축2";#N/A,#N/A,FALSE,"단축3";#N/A,#N/A,FALSE,"장축";#N/A,#N/A,FALSE,"4WD"}</definedName>
    <definedName name="신추진사업" hidden="1">{#N/A,#N/A,TRUE,"Y생산";#N/A,#N/A,TRUE,"Y판매";#N/A,#N/A,TRUE,"Y총물량";#N/A,#N/A,TRUE,"Y능력";#N/A,#N/A,TRUE,"YKD"}</definedName>
    <definedName name="신추진사업_1" hidden="1">{#N/A,#N/A,TRUE,"Y생산";#N/A,#N/A,TRUE,"Y판매";#N/A,#N/A,TRUE,"Y총물량";#N/A,#N/A,TRUE,"Y능력";#N/A,#N/A,TRUE,"YKD"}</definedName>
    <definedName name="신품질개선" hidden="1">{#N/A,#N/A,TRUE,"Y생산";#N/A,#N/A,TRUE,"Y판매";#N/A,#N/A,TRUE,"Y총물량";#N/A,#N/A,TRUE,"Y능력";#N/A,#N/A,TRUE,"YKD"}</definedName>
    <definedName name="신품질개선_1" hidden="1">{#N/A,#N/A,TRUE,"Y생산";#N/A,#N/A,TRUE,"Y판매";#N/A,#N/A,TRUE,"Y총물량";#N/A,#N/A,TRUE,"Y능력";#N/A,#N/A,TRUE,"YKD"}</definedName>
    <definedName name="신품질개선3" hidden="1">{#N/A,#N/A,TRUE,"Y생산";#N/A,#N/A,TRUE,"Y판매";#N/A,#N/A,TRUE,"Y총물량";#N/A,#N/A,TRUE,"Y능력";#N/A,#N/A,TRUE,"YKD"}</definedName>
    <definedName name="신품질개선3_1" hidden="1">{#N/A,#N/A,TRUE,"Y생산";#N/A,#N/A,TRUE,"Y판매";#N/A,#N/A,TRUE,"Y총물량";#N/A,#N/A,TRUE,"Y능력";#N/A,#N/A,TRUE,"YKD"}</definedName>
    <definedName name="신현식"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신형" hidden="1">{#N/A,#N/A,FALSE,"단축1";#N/A,#N/A,FALSE,"단축2";#N/A,#N/A,FALSE,"단축3";#N/A,#N/A,FALSE,"장축";#N/A,#N/A,FALSE,"4WD"}</definedName>
    <definedName name="신형1" hidden="1">{#N/A,#N/A,FALSE,"단축1";#N/A,#N/A,FALSE,"단축2";#N/A,#N/A,FALSE,"단축3";#N/A,#N/A,FALSE,"장축";#N/A,#N/A,FALSE,"4WD"}</definedName>
    <definedName name="실" hidden="1">{#N/A,#N/A,FALSE,"2월입도";#N/A,#N/A,FALSE,"1월입도";#N/A,#N/A,FALSE,"3월입도"}</definedName>
    <definedName name="실사" hidden="1">{#N/A,#N/A,FALSE,"KMC최종회의(7월) 자료"}</definedName>
    <definedName name="실사4" hidden="1">{#N/A,#N/A,FALSE,"단축1";#N/A,#N/A,FALSE,"단축2";#N/A,#N/A,FALSE,"단축3";#N/A,#N/A,FALSE,"장축";#N/A,#N/A,FALSE,"4WD"}</definedName>
    <definedName name="실시" hidden="1">{#N/A,#N/A,FALSE,"단축1";#N/A,#N/A,FALSE,"단축2";#N/A,#N/A,FALSE,"단축3";#N/A,#N/A,FALSE,"장축";#N/A,#N/A,FALSE,"4WD"}</definedName>
    <definedName name="실시_1" hidden="1">{#N/A,#N/A,FALSE,"단축1";#N/A,#N/A,FALSE,"단축2";#N/A,#N/A,FALSE,"단축3";#N/A,#N/A,FALSE,"장축";#N/A,#N/A,FALSE,"4WD"}</definedName>
    <definedName name="실시자" hidden="1">{#N/A,#N/A,FALSE,"단축1";#N/A,#N/A,FALSE,"단축2";#N/A,#N/A,FALSE,"단축3";#N/A,#N/A,FALSE,"장축";#N/A,#N/A,FALSE,"4WD"}</definedName>
    <definedName name="실적" hidden="1">{#N/A,#N/A,FALSE,"단축1";#N/A,#N/A,FALSE,"단축2";#N/A,#N/A,FALSE,"단축3";#N/A,#N/A,FALSE,"장축";#N/A,#N/A,FALSE,"4WD"}</definedName>
    <definedName name="실적_1" hidden="1">{#N/A,#N/A,FALSE,"단축1";#N/A,#N/A,FALSE,"단축2";#N/A,#N/A,FALSE,"단축3";#N/A,#N/A,FALSE,"장축";#N/A,#N/A,FALSE,"4WD"}</definedName>
    <definedName name="실적4" hidden="1">{#N/A,#N/A,FALSE,"단축1";#N/A,#N/A,FALSE,"단축2";#N/A,#N/A,FALSE,"단축3";#N/A,#N/A,FALSE,"장축";#N/A,#N/A,FALSE,"4WD"}</definedName>
    <definedName name="실적요약" hidden="1">{#N/A,#N/A,FALSE,"단축1";#N/A,#N/A,FALSE,"단축2";#N/A,#N/A,FALSE,"단축3";#N/A,#N/A,FALSE,"장축";#N/A,#N/A,FALSE,"4WD"}</definedName>
    <definedName name="실적요약_1" hidden="1">{#N/A,#N/A,FALSE,"단축1";#N/A,#N/A,FALSE,"단축2";#N/A,#N/A,FALSE,"단축3";#N/A,#N/A,FALSE,"장축";#N/A,#N/A,FALSE,"4WD"}</definedName>
    <definedName name="실적원" hidden="1">{#N/A,#N/A,TRUE,"Y생산";#N/A,#N/A,TRUE,"Y판매";#N/A,#N/A,TRUE,"Y총물량";#N/A,#N/A,TRUE,"Y능력";#N/A,#N/A,TRUE,"YKD"}</definedName>
    <definedName name="실적종합" hidden="1">{#N/A,#N/A,FALSE,"KMC최종회의(7월) 자료"}</definedName>
    <definedName name="실적종합_1" hidden="1">{#N/A,#N/A,FALSE,"KMC최종회의(7월) 자료"}</definedName>
    <definedName name="실적지볘3" hidden="1">{#N/A,#N/A,FALSE,"단축1";#N/A,#N/A,FALSE,"단축2";#N/A,#N/A,FALSE,"단축3";#N/A,#N/A,FALSE,"장축";#N/A,#N/A,FALSE,"4WD"}</definedName>
    <definedName name="실적집계" hidden="1">{#N/A,#N/A,FALSE,"단축1";#N/A,#N/A,FALSE,"단축2";#N/A,#N/A,FALSE,"단축3";#N/A,#N/A,FALSE,"장축";#N/A,#N/A,FALSE,"4WD"}</definedName>
    <definedName name="실적집계_1" hidden="1">{#N/A,#N/A,FALSE,"단축1";#N/A,#N/A,FALSE,"단축2";#N/A,#N/A,FALSE,"단축3";#N/A,#N/A,FALSE,"장축";#N/A,#N/A,FALSE,"4WD"}</definedName>
    <definedName name="실적집계_2" hidden="1">{#N/A,#N/A,FALSE,"단축1";#N/A,#N/A,FALSE,"단축2";#N/A,#N/A,FALSE,"단축3";#N/A,#N/A,FALSE,"장축";#N/A,#N/A,FALSE,"4WD"}</definedName>
    <definedName name="심상묵" hidden="1">{#N/A,#N/A,TRUE,"Y생산";#N/A,#N/A,TRUE,"Y판매";#N/A,#N/A,TRUE,"Y총물량";#N/A,#N/A,TRUE,"Y능력";#N/A,#N/A,TRUE,"YKD"}</definedName>
    <definedName name="심안속이" hidden="1">{#N/A,#N/A,FALSE,"KMC최종회의(7월) 자료"}</definedName>
    <definedName name="심의보고단기종합" hidden="1">{#N/A,#N/A,FALSE,"단축1";#N/A,#N/A,FALSE,"단축2";#N/A,#N/A,FALSE,"단축3";#N/A,#N/A,FALSE,"장축";#N/A,#N/A,FALSE,"4WD"}</definedName>
    <definedName name="十二月" hidden="1">#REF!</definedName>
    <definedName name="ㅆ" hidden="1">{#N/A,#N/A,FALSE,"KMC최종회의(7월) 자료"}</definedName>
    <definedName name="쎄스코2" hidden="1">{#N/A,#N/A,TRUE,"Y생산";#N/A,#N/A,TRUE,"Y판매";#N/A,#N/A,TRUE,"Y총물량";#N/A,#N/A,TRUE,"Y능력";#N/A,#N/A,TRUE,"YKD"}</definedName>
    <definedName name="쏘나타" hidden="1">{#N/A,#N/A,FALSE,"96자동차사 계획";#N/A,#N/A,FALSE,"96자동차사 계획"}</definedName>
    <definedName name="ㅇ" hidden="1">{#N/A,#N/A,FALSE,"96 3월물량표";#N/A,#N/A,FALSE,"96 4월물량표";#N/A,#N/A,FALSE,"96 5월물량표"}</definedName>
    <definedName name="ㅇ_1" hidden="1">{#N/A,#N/A,FALSE,"96 3월물량표";#N/A,#N/A,FALSE,"96 4월물량표";#N/A,#N/A,FALSE,"96 5월물량표"}</definedName>
    <definedName name="ㅇ1" hidden="1">{"'7-2지역별'!$A$1:$R$44"}</definedName>
    <definedName name="ㅇ11" hidden="1">{"'7-2지역별'!$A$1:$R$44"}</definedName>
    <definedName name="ㅇ12" hidden="1">{"'7-2지역별'!$A$1:$R$44"}</definedName>
    <definedName name="ㅇ13" hidden="1">{"'7-2지역별'!$A$1:$R$44"}</definedName>
    <definedName name="ㅇ14" hidden="1">{"'7-2지역별'!$A$1:$R$44"}</definedName>
    <definedName name="ㅇ15" hidden="1">{"'7-2지역별'!$A$1:$R$44"}</definedName>
    <definedName name="ㅇ16" hidden="1">{"'7-2지역별'!$A$1:$R$44"}</definedName>
    <definedName name="ㅇ17" hidden="1">{"'7-2지역별'!$A$1:$R$44"}</definedName>
    <definedName name="ㅇ18" hidden="1">{"'7-2지역별'!$A$1:$R$44"}</definedName>
    <definedName name="ㅇ19" hidden="1">{"'7-2지역별'!$A$1:$R$44"}</definedName>
    <definedName name="ㅇ2" hidden="1">{"'7-2지역별'!$A$1:$R$44"}</definedName>
    <definedName name="ㅇ21" hidden="1">{"'7-2지역별'!$A$1:$R$44"}</definedName>
    <definedName name="ㅇ22" hidden="1">{"'7-2지역별'!$A$1:$R$44"}</definedName>
    <definedName name="ㅇ23" hidden="1">{"'7-2지역별'!$A$1:$R$44"}</definedName>
    <definedName name="ㅇ24" hidden="1">{"'7-2지역별'!$A$1:$R$44"}</definedName>
    <definedName name="ㅇ25" hidden="1">{"'7-2지역별'!$A$1:$R$44"}</definedName>
    <definedName name="ㅇ26" hidden="1">{"'7-2지역별'!$A$1:$R$44"}</definedName>
    <definedName name="ㅇ3" hidden="1">{"'7-2지역별'!$A$1:$R$44"}</definedName>
    <definedName name="ㅇ4" hidden="1">{"'7-2지역별'!$A$1:$R$44"}</definedName>
    <definedName name="ㅇ5" hidden="1">{"'7-2지역별'!$A$1:$R$44"}</definedName>
    <definedName name="ㅇ6" hidden="1">{"'7-2지역별'!$A$1:$R$44"}</definedName>
    <definedName name="ㅇ7" hidden="1">{"'7-2지역별'!$A$1:$R$44"}</definedName>
    <definedName name="ㅇ8" hidden="1">{"'7-2지역별'!$A$1:$R$44"}</definedName>
    <definedName name="ㅇ9" hidden="1">{0}</definedName>
    <definedName name="ㅇGFGFH" hidden="1">{#N/A,#N/A,FALSE,"96 3월물량표";#N/A,#N/A,FALSE,"96 4월물량표";#N/A,#N/A,FALSE,"96 5월물량표"}</definedName>
    <definedName name="ㅇㄱㄹ" hidden="1">{#N/A,#N/A,FALSE,"단축1";#N/A,#N/A,FALSE,"단축2";#N/A,#N/A,FALSE,"단축3";#N/A,#N/A,FALSE,"장축";#N/A,#N/A,FALSE,"4WD"}</definedName>
    <definedName name="ㅇㄴ" hidden="1">{#N/A,#N/A,FALSE,"인원";#N/A,#N/A,FALSE,"비용2";#N/A,#N/A,FALSE,"비용1";#N/A,#N/A,FALSE,"비용";#N/A,#N/A,FALSE,"보증2";#N/A,#N/A,FALSE,"보증1";#N/A,#N/A,FALSE,"보증";#N/A,#N/A,FALSE,"손익1";#N/A,#N/A,FALSE,"손익";#N/A,#N/A,FALSE,"부서별매출";#N/A,#N/A,FALSE,"매출"}</definedName>
    <definedName name="ㅇㄴ_1" hidden="1">{#N/A,#N/A,TRUE,"Y생산";#N/A,#N/A,TRUE,"Y판매";#N/A,#N/A,TRUE,"Y총물량";#N/A,#N/A,TRUE,"Y능력";#N/A,#N/A,TRUE,"YKD"}</definedName>
    <definedName name="ㅇㄴㄱㄹㅈㄷㄳ" hidden="1">{"'운영시간'!$A$1:$J$16","'업무흐름도'!$A$1:$J$35","'팀현황판표준화'!$A$1:$U$19","'칸활동지침'!$A$1:$I$15"}</definedName>
    <definedName name="ㅇㄴㄴㅁㅇ" hidden="1">{#N/A,#N/A,FALSE,"단축1";#N/A,#N/A,FALSE,"단축2";#N/A,#N/A,FALSE,"단축3";#N/A,#N/A,FALSE,"장축";#N/A,#N/A,FALSE,"4WD"}</definedName>
    <definedName name="ㅇㄴㄷ" hidden="1">{#N/A,#N/A,FALSE,"단축1";#N/A,#N/A,FALSE,"단축2";#N/A,#N/A,FALSE,"단축3";#N/A,#N/A,FALSE,"장축";#N/A,#N/A,FALSE,"4WD"}</definedName>
    <definedName name="ㅇㄴㄹ" hidden="1">{#N/A,#N/A,FALSE,"단축1";#N/A,#N/A,FALSE,"단축2";#N/A,#N/A,FALSE,"단축3";#N/A,#N/A,FALSE,"장축";#N/A,#N/A,FALSE,"4WD"}</definedName>
    <definedName name="ㅇㄴㄹㄴㄹ" hidden="1">{#N/A,#N/A,FALSE,"단축1";#N/A,#N/A,FALSE,"단축2";#N/A,#N/A,FALSE,"단축3";#N/A,#N/A,FALSE,"장축";#N/A,#N/A,FALSE,"4WD"}</definedName>
    <definedName name="ㅇㄴㄹㅇㄴㄹ" hidden="1">{#N/A,#N/A,TRUE,"Y생산";#N/A,#N/A,TRUE,"Y판매";#N/A,#N/A,TRUE,"Y총물량";#N/A,#N/A,TRUE,"Y능력";#N/A,#N/A,TRUE,"YKD"}</definedName>
    <definedName name="ㅇㄴㄹㅇㄴㄹ_1" hidden="1">{#N/A,#N/A,TRUE,"Y생산";#N/A,#N/A,TRUE,"Y판매";#N/A,#N/A,TRUE,"Y총물량";#N/A,#N/A,TRUE,"Y능력";#N/A,#N/A,TRUE,"YKD"}</definedName>
    <definedName name="ㅇㄴㅀㅇ" hidden="1">{#N/A,#N/A,FALSE,"단축1";#N/A,#N/A,FALSE,"단축2";#N/A,#N/A,FALSE,"단축3";#N/A,#N/A,FALSE,"장축";#N/A,#N/A,FALSE,"4WD"}</definedName>
    <definedName name="ㅇㄴㅀㅇㅀㅇㅎㅇㅎㅇㄹ" hidden="1">{#N/A,#N/A,FALSE,"단축1";#N/A,#N/A,FALSE,"단축2";#N/A,#N/A,FALSE,"단축3";#N/A,#N/A,FALSE,"장축";#N/A,#N/A,FALSE,"4WD"}</definedName>
    <definedName name="ㅇㄴㅁㄹㅇㄴㅁ" hidden="1">{#N/A,#N/A,FALSE,"단축1";#N/A,#N/A,FALSE,"단축2";#N/A,#N/A,FALSE,"단축3";#N/A,#N/A,FALSE,"장축";#N/A,#N/A,FALSE,"4WD"}</definedName>
    <definedName name="ㅇㄴㅁㄹㅈㅇ" hidden="1">{#N/A,#N/A,FALSE,"단축1";#N/A,#N/A,FALSE,"단축2";#N/A,#N/A,FALSE,"단축3";#N/A,#N/A,FALSE,"장축";#N/A,#N/A,FALSE,"4WD"}</definedName>
    <definedName name="ㅇㄴㅁㅅㅇㅅㅎㅇㅁㅎㄱㅁ" hidden="1">{#N/A,#N/A,FALSE,"KMC최종회의(7월) 자료"}</definedName>
    <definedName name="ㅇㄴㅁㅇ" hidden="1">{#N/A,#N/A,FALSE,"미판매분"}</definedName>
    <definedName name="ㅇㄴㅁㅇ_1" hidden="1">{#N/A,#N/A,FALSE,"미판매분"}</definedName>
    <definedName name="ㅇㄴㅇ" hidden="1">{#N/A,#N/A,FALSE,"단축1";#N/A,#N/A,FALSE,"단축2";#N/A,#N/A,FALSE,"단축3";#N/A,#N/A,FALSE,"장축";#N/A,#N/A,FALSE,"4WD"}</definedName>
    <definedName name="ㅇㄴㅇㄹㄴ" hidden="1">{#N/A,#N/A,FALSE,"단축1";#N/A,#N/A,FALSE,"단축2";#N/A,#N/A,FALSE,"단축3";#N/A,#N/A,FALSE,"장축";#N/A,#N/A,FALSE,"4WD"}</definedName>
    <definedName name="ㅇㄴㅇㄹㄴㅁㅎㄴㅇㅎㅁㅁㅁㅎㅁㅇㄴㄹㄹㅇㄴㅁㅎㅇㄶㅁㅁㅇㄴㅀㄴㅇㅁ" hidden="1">#REF!</definedName>
    <definedName name="ㅇㄴㅇㅀㄴㅇ" hidden="1">{#N/A,#N/A,FALSE,"KMC최종회의(7월) 자료"}</definedName>
    <definedName name="ㅇㄴㅇㅁ" hidden="1">{#N/A,#N/A,FALSE,"단축1";#N/A,#N/A,FALSE,"단축2";#N/A,#N/A,FALSE,"단축3";#N/A,#N/A,FALSE,"장축";#N/A,#N/A,FALSE,"4WD"}</definedName>
    <definedName name="ㅇㄴ푝ㅈㄷㄱ" hidden="1">{#N/A,#N/A,FALSE,"단축1";#N/A,#N/A,FALSE,"단축2";#N/A,#N/A,FALSE,"단축3";#N/A,#N/A,FALSE,"장축";#N/A,#N/A,FALSE,"4WD"}</definedName>
    <definedName name="ㅇㄴ호셧" hidden="1">#REF!</definedName>
    <definedName name="ㅇ누어졸" hidden="1">{#N/A,#N/A,FALSE,"단축1";#N/A,#N/A,FALSE,"단축2";#N/A,#N/A,FALSE,"단축3";#N/A,#N/A,FALSE,"장축";#N/A,#N/A,FALSE,"4WD"}</definedName>
    <definedName name="ㅇㄶ" hidden="1">{#N/A,#N/A,FALSE,"단축1";#N/A,#N/A,FALSE,"단축2";#N/A,#N/A,FALSE,"단축3";#N/A,#N/A,FALSE,"장축";#N/A,#N/A,FALSE,"4WD"}</definedName>
    <definedName name="ㅇㄷ" hidden="1">{#N/A,#N/A,FALSE,"신규dep";#N/A,#N/A,FALSE,"신규dep-금형상각후";#N/A,#N/A,FALSE,"신규dep-연구비상각후";#N/A,#N/A,FALSE,"신규dep-기계,공구상각후"}</definedName>
    <definedName name="ㅇㄷㄷ" hidden="1">{#N/A,#N/A,TRUE,"Y생산";#N/A,#N/A,TRUE,"Y판매";#N/A,#N/A,TRUE,"Y총물량";#N/A,#N/A,TRUE,"Y능력";#N/A,#N/A,TRUE,"YKD"}</definedName>
    <definedName name="ㅇㄷㄷ_1" hidden="1">{#N/A,#N/A,TRUE,"Y생산";#N/A,#N/A,TRUE,"Y판매";#N/A,#N/A,TRUE,"Y총물량";#N/A,#N/A,TRUE,"Y능력";#N/A,#N/A,TRUE,"YKD"}</definedName>
    <definedName name="ㅇㄹ" hidden="1">{"'5'!$A$1:$BB$147"}</definedName>
    <definedName name="ㅇㄹ_1" hidden="1">{#N/A,#N/A,FALSE,"단축1";#N/A,#N/A,FALSE,"단축2";#N/A,#N/A,FALSE,"단축3";#N/A,#N/A,FALSE,"장축";#N/A,#N/A,FALSE,"4WD"}</definedName>
    <definedName name="ㅇㄹ_2" hidden="1">{#N/A,#N/A,FALSE,"단축1";#N/A,#N/A,FALSE,"단축2";#N/A,#N/A,FALSE,"단축3";#N/A,#N/A,FALSE,"장축";#N/A,#N/A,FALSE,"4WD"}</definedName>
    <definedName name="ㅇㄹㄴ" hidden="1">{#N/A,#N/A,FALSE,"단축1";#N/A,#N/A,FALSE,"단축2";#N/A,#N/A,FALSE,"단축3";#N/A,#N/A,FALSE,"장축";#N/A,#N/A,FALSE,"4WD"}</definedName>
    <definedName name="ㅇㄹㄴ_1" hidden="1">{#N/A,#N/A,FALSE,"단축1";#N/A,#N/A,FALSE,"단축2";#N/A,#N/A,FALSE,"단축3";#N/A,#N/A,FALSE,"장축";#N/A,#N/A,FALSE,"4WD"}</definedName>
    <definedName name="ㅇㄹㄴ_2" hidden="1">{#N/A,#N/A,FALSE,"단축1";#N/A,#N/A,FALSE,"단축2";#N/A,#N/A,FALSE,"단축3";#N/A,#N/A,FALSE,"장축";#N/A,#N/A,FALSE,"4WD"}</definedName>
    <definedName name="ㅇㄹㄴㄷㄱㅈ" hidden="1">#REF!</definedName>
    <definedName name="ㅇㄹㄴㄹㅇㄴㅇㄹㄴㅇㄹㄹ" hidden="1">{#N/A,#N/A,FALSE,"단축1";#N/A,#N/A,FALSE,"단축2";#N/A,#N/A,FALSE,"단축3";#N/A,#N/A,FALSE,"장축";#N/A,#N/A,FALSE,"4WD"}</definedName>
    <definedName name="ㅇㄹㄴㄻ" hidden="1">{#N/A,#N/A,FALSE,"인원";#N/A,#N/A,FALSE,"비용2";#N/A,#N/A,FALSE,"비용1";#N/A,#N/A,FALSE,"비용";#N/A,#N/A,FALSE,"보증2";#N/A,#N/A,FALSE,"보증1";#N/A,#N/A,FALSE,"보증";#N/A,#N/A,FALSE,"손익1";#N/A,#N/A,FALSE,"손익";#N/A,#N/A,FALSE,"부서별매출";#N/A,#N/A,FALSE,"매출"}</definedName>
    <definedName name="ㅇㄹㄴㄻㄴㄹㄴㅇㄹㄴㅇ" hidden="1">{#N/A,#N/A,FALSE,"단축1";#N/A,#N/A,FALSE,"단축2";#N/A,#N/A,FALSE,"단축3";#N/A,#N/A,FALSE,"장축";#N/A,#N/A,FALSE,"4WD"}</definedName>
    <definedName name="ㅇㄹㄴㅇ" hidden="1">{#N/A,#N/A,FALSE,"단축1";#N/A,#N/A,FALSE,"단축2";#N/A,#N/A,FALSE,"단축3";#N/A,#N/A,FALSE,"장축";#N/A,#N/A,FALSE,"4WD"}</definedName>
    <definedName name="ㅇㄹㄴㅇㄹㄴ" hidden="1">{#N/A,#N/A,FALSE,"단축1";#N/A,#N/A,FALSE,"단축2";#N/A,#N/A,FALSE,"단축3";#N/A,#N/A,FALSE,"장축";#N/A,#N/A,FALSE,"4WD"}</definedName>
    <definedName name="ㅇㄹㄴㅇㄹㄴㄹㄴㄴ" hidden="1">{#N/A,#N/A,FALSE,"단축1";#N/A,#N/A,FALSE,"단축2";#N/A,#N/A,FALSE,"단축3";#N/A,#N/A,FALSE,"장축";#N/A,#N/A,FALSE,"4WD"}</definedName>
    <definedName name="ㅇㄹㄴㅇㄹㄴㄹㅈㅈ" hidden="1">{#N/A,#N/A,FALSE,"단축1";#N/A,#N/A,FALSE,"단축2";#N/A,#N/A,FALSE,"단축3";#N/A,#N/A,FALSE,"장축";#N/A,#N/A,FALSE,"4WD"}</definedName>
    <definedName name="ㅇㄹㄴㅇㄹㄴㅇㄹㄴㄹ" hidden="1">{#N/A,#N/A,FALSE,"단축1";#N/A,#N/A,FALSE,"단축2";#N/A,#N/A,FALSE,"단축3";#N/A,#N/A,FALSE,"장축";#N/A,#N/A,FALSE,"4WD"}</definedName>
    <definedName name="ㅇㄹㄴㅇㄹㄴㅇㄹㄴㅇ" hidden="1">{#N/A,#N/A,FALSE,"단축1";#N/A,#N/A,FALSE,"단축2";#N/A,#N/A,FALSE,"단축3";#N/A,#N/A,FALSE,"장축";#N/A,#N/A,FALSE,"4WD"}</definedName>
    <definedName name="ㅇㄹㄴㅇㄹㅇㄹㄴㅇㄴ" hidden="1">{#N/A,#N/A,FALSE,"단축1";#N/A,#N/A,FALSE,"단축2";#N/A,#N/A,FALSE,"단축3";#N/A,#N/A,FALSE,"장축";#N/A,#N/A,FALSE,"4WD"}</definedName>
    <definedName name="ㅇㄹㄴㅇㅁㅇㄹ" hidden="1">{#N/A,#N/A,FALSE,"단축1";#N/A,#N/A,FALSE,"단축2";#N/A,#N/A,FALSE,"단축3";#N/A,#N/A,FALSE,"장축";#N/A,#N/A,FALSE,"4WD"}</definedName>
    <definedName name="ㅇㄹㄴㅇㅇ" hidden="1">{#N/A,#N/A,FALSE,"단축1";#N/A,#N/A,FALSE,"단축2";#N/A,#N/A,FALSE,"단축3";#N/A,#N/A,FALSE,"장축";#N/A,#N/A,FALSE,"4WD"}</definedName>
    <definedName name="ㅇㄹㄴㅇㅎㅇ롷러ㅚㅐㅕ6" hidden="1">{"'7-2지역별'!$A$1:$R$44"}</definedName>
    <definedName name="ㅇㄹㄵㅇ" hidden="1">{#N/A,#N/A,FALSE,"단축1";#N/A,#N/A,FALSE,"단축2";#N/A,#N/A,FALSE,"단축3";#N/A,#N/A,FALSE,"장축";#N/A,#N/A,FALSE,"4WD"}</definedName>
    <definedName name="ㅇㄹㄶㅀㅀㄴㅇ" hidden="1">{#N/A,#N/A,FALSE,"단축1";#N/A,#N/A,FALSE,"단축2";#N/A,#N/A,FALSE,"단축3";#N/A,#N/A,FALSE,"장축";#N/A,#N/A,FALSE,"4WD"}</definedName>
    <definedName name="ㅇㄹㄷㄱ" hidden="1">{#N/A,#N/A,FALSE,"단축1";#N/A,#N/A,FALSE,"단축2";#N/A,#N/A,FALSE,"단축3";#N/A,#N/A,FALSE,"장축";#N/A,#N/A,FALSE,"4WD"}</definedName>
    <definedName name="ㅇㄹㄹㄹㄴㄹ" hidden="1">{#N/A,#N/A,FALSE,"단축1";#N/A,#N/A,FALSE,"단축2";#N/A,#N/A,FALSE,"단축3";#N/A,#N/A,FALSE,"장축";#N/A,#N/A,FALSE,"4WD"}</definedName>
    <definedName name="ㅇㄹㄹㄹㄴㄹ_1" hidden="1">{#N/A,#N/A,FALSE,"단축1";#N/A,#N/A,FALSE,"단축2";#N/A,#N/A,FALSE,"단축3";#N/A,#N/A,FALSE,"장축";#N/A,#N/A,FALSE,"4WD"}</definedName>
    <definedName name="ㅇㄹㄹㄹㄹ" hidden="1">{#N/A,#N/A,FALSE,"정공"}</definedName>
    <definedName name="ㅇㄹㄹㄹㄹ_1" hidden="1">{#N/A,#N/A,FALSE,"정공"}</definedName>
    <definedName name="ㅇㄹㄹㄹㄹ_2" hidden="1">{#N/A,#N/A,FALSE,"정공"}</definedName>
    <definedName name="ㅇㄹㄹㄹㅇㄴ" hidden="1">{#N/A,#N/A,FALSE,"KMC최종회의(7월) 자료"}</definedName>
    <definedName name="ㅇㄹㄹㅇㅇㄹ" hidden="1">{#N/A,#N/A,TRUE,"Y생산";#N/A,#N/A,TRUE,"Y판매";#N/A,#N/A,TRUE,"Y총물량";#N/A,#N/A,TRUE,"Y능력";#N/A,#N/A,TRUE,"YKD"}</definedName>
    <definedName name="ㅇㄹㄹㅇㅇㄹ_1" hidden="1">{#N/A,#N/A,TRUE,"Y생산";#N/A,#N/A,TRUE,"Y판매";#N/A,#N/A,TRUE,"Y총물량";#N/A,#N/A,TRUE,"Y능력";#N/A,#N/A,TRUE,"YKD"}</definedName>
    <definedName name="ㅇㄹ뮤ㅠㄹ" hidden="1">{#N/A,#N/A,FALSE,"KMC최종회의(7월) 자료"}</definedName>
    <definedName name="ㅇㄹ뮤ㅠㄹ_1" hidden="1">{#N/A,#N/A,FALSE,"KMC최종회의(7월) 자료"}</definedName>
    <definedName name="ㅇㄹㅇ" hidden="1">{#N/A,#N/A,FALSE,"정공"}</definedName>
    <definedName name="ㅇㄹㅇㄹㄹㅇ" hidden="1">{#N/A,#N/A,FALSE,"단축1";#N/A,#N/A,FALSE,"단축2";#N/A,#N/A,FALSE,"단축3";#N/A,#N/A,FALSE,"장축";#N/A,#N/A,FALSE,"4WD"}</definedName>
    <definedName name="ㅇㄹㅇㄹㅇ" hidden="1">{#N/A,#N/A,FALSE,"정공"}</definedName>
    <definedName name="ㅇㄹㅇㄹㅇ_1" hidden="1">{#N/A,#N/A,FALSE,"정공"}</definedName>
    <definedName name="ㅇㄹㅇㄹㅇ_2" hidden="1">{#N/A,#N/A,FALSE,"정공"}</definedName>
    <definedName name="ㅇㄹㅇㄹㅇ_2_1" hidden="1">{#N/A,#N/A,FALSE,"정공"}</definedName>
    <definedName name="ㅇㄹㅇㄹㅇ_2_2" hidden="1">{#N/A,#N/A,FALSE,"정공"}</definedName>
    <definedName name="ㅇㄹㅇㄹㅇ_2_3" hidden="1">{#N/A,#N/A,FALSE,"정공"}</definedName>
    <definedName name="ㅇㄹㅇㄹㅇ_3" hidden="1">{#N/A,#N/A,FALSE,"정공"}</definedName>
    <definedName name="ㅇㄹㅇㄹㅇ_3_1" hidden="1">{#N/A,#N/A,FALSE,"정공"}</definedName>
    <definedName name="ㅇㄹㅇㄹㅇ_3_2" hidden="1">{#N/A,#N/A,FALSE,"정공"}</definedName>
    <definedName name="ㅇㄹㅇㄹㅇ_3_3" hidden="1">{#N/A,#N/A,FALSE,"정공"}</definedName>
    <definedName name="ㅇㄹㅇㄹㅇ_4" hidden="1">{#N/A,#N/A,FALSE,"정공"}</definedName>
    <definedName name="ㅇㄹㅇㄹㅇ_5" hidden="1">{#N/A,#N/A,FALSE,"정공"}</definedName>
    <definedName name="ㅇㄹㅇㄹㅇㄹㅇㄹㅇㄹ" hidden="1">{#N/A,#N/A,FALSE,"96 3월물량표";#N/A,#N/A,FALSE,"96 4월물량표";#N/A,#N/A,FALSE,"96 5월물량표"}</definedName>
    <definedName name="ㅇㄹㅇ륭로ㅠ" hidden="1">{#N/A,#N/A,FALSE,"KMC최종회의(7월) 자료"}</definedName>
    <definedName name="ㅇㄹㅇ륭로ㅠ_1" hidden="1">{#N/A,#N/A,FALSE,"KMC최종회의(7월) 자료"}</definedName>
    <definedName name="ㅇㄹ호" hidden="1">{#N/A,#N/A,FALSE,"단축1";#N/A,#N/A,FALSE,"단축2";#N/A,#N/A,FALSE,"단축3";#N/A,#N/A,FALSE,"장축";#N/A,#N/A,FALSE,"4WD"}</definedName>
    <definedName name="ㅇㄹ훌후ㅜ" hidden="1">{#N/A,#N/A,FALSE,"KMC최종회의(7월) 자료"}</definedName>
    <definedName name="ㅇㄹ훌후ㅜ_1" hidden="1">{#N/A,#N/A,FALSE,"KMC최종회의(7월) 자료"}</definedName>
    <definedName name="ㅇㄹ흏ㅎ" hidden="1">{#N/A,#N/A,FALSE,"KMC최종회의(7월) 자료"}</definedName>
    <definedName name="ㅇㄹ흏ㅎ_1" hidden="1">{#N/A,#N/A,FALSE,"KMC최종회의(7월) 자료"}</definedName>
    <definedName name="ㅇ랑" hidden="1">{#N/A,#N/A,FALSE,"단축1";#N/A,#N/A,FALSE,"단축2";#N/A,#N/A,FALSE,"단축3";#N/A,#N/A,FALSE,"장축";#N/A,#N/A,FALSE,"4WD"}</definedName>
    <definedName name="ㅇ로노ㅗㅗ" hidden="1">{#N/A,#N/A,FALSE,"신규dep";#N/A,#N/A,FALSE,"신규dep-금형상각후";#N/A,#N/A,FALSE,"신규dep-연구비상각후";#N/A,#N/A,FALSE,"신규dep-기계,공구상각후"}</definedName>
    <definedName name="ㅇ롱" hidden="1">{#N/A,#N/A,FALSE,"단축1";#N/A,#N/A,FALSE,"단축2";#N/A,#N/A,FALSE,"단축3";#N/A,#N/A,FALSE,"장축";#N/A,#N/A,FALSE,"4WD"}</definedName>
    <definedName name="ㅇ롱_1" hidden="1">{#N/A,#N/A,FALSE,"단축1";#N/A,#N/A,FALSE,"단축2";#N/A,#N/A,FALSE,"단축3";#N/A,#N/A,FALSE,"장축";#N/A,#N/A,FALSE,"4WD"}</definedName>
    <definedName name="ㅇ롱_2" hidden="1">{#N/A,#N/A,FALSE,"단축1";#N/A,#N/A,FALSE,"단축2";#N/A,#N/A,FALSE,"단축3";#N/A,#N/A,FALSE,"장축";#N/A,#N/A,FALSE,"4WD"}</definedName>
    <definedName name="ㅇ롷롤" hidden="1">{#N/A,#N/A,FALSE,"단축1";#N/A,#N/A,FALSE,"단축2";#N/A,#N/A,FALSE,"단축3";#N/A,#N/A,FALSE,"장축";#N/A,#N/A,FALSE,"4WD"}</definedName>
    <definedName name="ㅇ류" hidden="1">{#N/A,#N/A,FALSE,"단축1";#N/A,#N/A,FALSE,"단축2";#N/A,#N/A,FALSE,"단축3";#N/A,#N/A,FALSE,"장축";#N/A,#N/A,FALSE,"4WD"}</definedName>
    <definedName name="ㅇ류_1" hidden="1">{#N/A,#N/A,FALSE,"단축1";#N/A,#N/A,FALSE,"단축2";#N/A,#N/A,FALSE,"단축3";#N/A,#N/A,FALSE,"장축";#N/A,#N/A,FALSE,"4WD"}</definedName>
    <definedName name="ㅇ류_2" hidden="1">{#N/A,#N/A,FALSE,"단축1";#N/A,#N/A,FALSE,"단축2";#N/A,#N/A,FALSE,"단축3";#N/A,#N/A,FALSE,"장축";#N/A,#N/A,FALSE,"4WD"}</definedName>
    <definedName name="ㅇ류류ㅗㅠ" hidden="1">{#N/A,#N/A,FALSE,"KMC최종회의(7월) 자료"}</definedName>
    <definedName name="ㅇ류류ㅗㅠ_1" hidden="1">{#N/A,#N/A,FALSE,"KMC최종회의(7월) 자료"}</definedName>
    <definedName name="ㅇ류뮤" hidden="1">{#N/A,#N/A,FALSE,"KMC최종회의(7월) 자료"}</definedName>
    <definedName name="ㅇ류뮤_1" hidden="1">{#N/A,#N/A,FALSE,"KMC최종회의(7월) 자료"}</definedName>
    <definedName name="ㅇ륭" hidden="1">{#N/A,#N/A,FALSE,"단축1";#N/A,#N/A,FALSE,"단축2";#N/A,#N/A,FALSE,"단축3";#N/A,#N/A,FALSE,"장축";#N/A,#N/A,FALSE,"4WD"}</definedName>
    <definedName name="ㅇ륭_1" hidden="1">{#N/A,#N/A,FALSE,"단축1";#N/A,#N/A,FALSE,"단축2";#N/A,#N/A,FALSE,"단축3";#N/A,#N/A,FALSE,"장축";#N/A,#N/A,FALSE,"4WD"}</definedName>
    <definedName name="ㅇ륭_2" hidden="1">{#N/A,#N/A,FALSE,"단축1";#N/A,#N/A,FALSE,"단축2";#N/A,#N/A,FALSE,"단축3";#N/A,#N/A,FALSE,"장축";#N/A,#N/A,FALSE,"4WD"}</definedName>
    <definedName name="ㅇ륭ㅎㄴ모" hidden="1">{#N/A,#N/A,FALSE,"KMC최종회의(7월) 자료"}</definedName>
    <definedName name="ㅇ륭ㅎㄴ모_1" hidden="1">{#N/A,#N/A,FALSE,"KMC최종회의(7월) 자료"}</definedName>
    <definedName name="ㅇ륳ㄹㅇ" hidden="1">{#N/A,#N/A,FALSE,"단축1";#N/A,#N/A,FALSE,"단축2";#N/A,#N/A,FALSE,"단축3";#N/A,#N/A,FALSE,"장축";#N/A,#N/A,FALSE,"4WD"}</definedName>
    <definedName name="ㅇㄺㄷㅎㄱㅎ" hidden="1">{#N/A,#N/A,FALSE,"단축1";#N/A,#N/A,FALSE,"단축2";#N/A,#N/A,FALSE,"단축3";#N/A,#N/A,FALSE,"장축";#N/A,#N/A,FALSE,"4WD"}</definedName>
    <definedName name="ㅇㄺㅇ" hidden="1">{#N/A,#N/A,FALSE,"KMC최종회의(7월) 자료"}</definedName>
    <definedName name="ㅇㄻㄴㅇ" hidden="1">{#N/A,#N/A,FALSE,"단축1";#N/A,#N/A,FALSE,"단축2";#N/A,#N/A,FALSE,"단축3";#N/A,#N/A,FALSE,"장축";#N/A,#N/A,FALSE,"4WD"}</definedName>
    <definedName name="ㅇㄻㄴㅇ롸ㅣ" hidden="1">{#N/A,#N/A,FALSE,"단축1";#N/A,#N/A,FALSE,"단축2";#N/A,#N/A,FALSE,"단축3";#N/A,#N/A,FALSE,"장축";#N/A,#N/A,FALSE,"4WD"}</definedName>
    <definedName name="ㅇㄻㄴㅇ롸ㅣ_1" hidden="1">{#N/A,#N/A,FALSE,"단축1";#N/A,#N/A,FALSE,"단축2";#N/A,#N/A,FALSE,"단축3";#N/A,#N/A,FALSE,"장축";#N/A,#N/A,FALSE,"4WD"}</definedName>
    <definedName name="ㅇㄻㄴㅇ롸ㅣ_2" hidden="1">{#N/A,#N/A,FALSE,"단축1";#N/A,#N/A,FALSE,"단축2";#N/A,#N/A,FALSE,"단축3";#N/A,#N/A,FALSE,"장축";#N/A,#N/A,FALSE,"4WD"}</definedName>
    <definedName name="ㅇㄻㄴㅇㄻㅇㄻ" hidden="1">{#N/A,#N/A,FALSE,"KMC최종회의(7월) 자료"}</definedName>
    <definedName name="ㅇㄿ" hidden="1">{#N/A,#N/A,FALSE,"단축1";#N/A,#N/A,FALSE,"단축2";#N/A,#N/A,FALSE,"단축3";#N/A,#N/A,FALSE,"장축";#N/A,#N/A,FALSE,"4WD"}</definedName>
    <definedName name="ㅇㅀㄷㄱ" hidden="1">{#N/A,#N/A,FALSE,"신규dep";#N/A,#N/A,FALSE,"신규dep-금형상각후";#N/A,#N/A,FALSE,"신규dep-연구비상각후";#N/A,#N/A,FALSE,"신규dep-기계,공구상각후"}</definedName>
    <definedName name="ㅇㅀㄹ옿러ㅗㅎ라ㅓ" hidden="1">{#N/A,#N/A,FALSE,"단축1";#N/A,#N/A,FALSE,"단축2";#N/A,#N/A,FALSE,"단축3";#N/A,#N/A,FALSE,"장축";#N/A,#N/A,FALSE,"4WD"}</definedName>
    <definedName name="ㅇㅀㅇㅀㅇㅀ" hidden="1">{#N/A,#N/A,FALSE,"단축1";#N/A,#N/A,FALSE,"단축2";#N/A,#N/A,FALSE,"단축3";#N/A,#N/A,FALSE,"장축";#N/A,#N/A,FALSE,"4WD"}</definedName>
    <definedName name="ㅇㅀㅇㅀㅇㅎ" hidden="1">{#N/A,#N/A,FALSE,"신규dep";#N/A,#N/A,FALSE,"신규dep-금형상각후";#N/A,#N/A,FALSE,"신규dep-연구비상각후";#N/A,#N/A,FALSE,"신규dep-기계,공구상각후"}</definedName>
    <definedName name="ㅇㅀㅇㅀㅇㅎㅇㅎㅇ" hidden="1">{#N/A,#N/A,FALSE,"단축1";#N/A,#N/A,FALSE,"단축2";#N/A,#N/A,FALSE,"단축3";#N/A,#N/A,FALSE,"장축";#N/A,#N/A,FALSE,"4WD"}</definedName>
    <definedName name="ㅇㅀㅇㅎㄹㅇㅀㅇㅀㅇㄹ" hidden="1">{#N/A,#N/A,FALSE,"단축1";#N/A,#N/A,FALSE,"단축2";#N/A,#N/A,FALSE,"단축3";#N/A,#N/A,FALSE,"장축";#N/A,#N/A,FALSE,"4WD"}</definedName>
    <definedName name="ㅇㅀㅇㅎㅇㅀㅇㅀㅇㅀ" hidden="1">{#N/A,#N/A,FALSE,"단축1";#N/A,#N/A,FALSE,"단축2";#N/A,#N/A,FALSE,"단축3";#N/A,#N/A,FALSE,"장축";#N/A,#N/A,FALSE,"4WD"}</definedName>
    <definedName name="ㅇㅀㅋㅇㄹ" hidden="1">{#N/A,#N/A,FALSE,"신규dep";#N/A,#N/A,FALSE,"신규dep-금형상각후";#N/A,#N/A,FALSE,"신규dep-연구비상각후";#N/A,#N/A,FALSE,"신규dep-기계,공구상각후"}</definedName>
    <definedName name="ㅇㅀㅎ" hidden="1">{#N/A,#N/A,FALSE,"정공"}</definedName>
    <definedName name="ㅇㅀㅎ_1" hidden="1">{#N/A,#N/A,FALSE,"정공"}</definedName>
    <definedName name="ㅇㅀㅎ_2" hidden="1">{#N/A,#N/A,FALSE,"정공"}</definedName>
    <definedName name="ㅇㅀ호" hidden="1">{#N/A,#N/A,FALSE,"단축1";#N/A,#N/A,FALSE,"단축2";#N/A,#N/A,FALSE,"단축3";#N/A,#N/A,FALSE,"장축";#N/A,#N/A,FALSE,"4WD"}</definedName>
    <definedName name="ㅇㅀ호_1" hidden="1">{#N/A,#N/A,FALSE,"단축1";#N/A,#N/A,FALSE,"단축2";#N/A,#N/A,FALSE,"단축3";#N/A,#N/A,FALSE,"장축";#N/A,#N/A,FALSE,"4WD"}</definedName>
    <definedName name="ㅇㅀ호_2" hidden="1">{#N/A,#N/A,FALSE,"단축1";#N/A,#N/A,FALSE,"단축2";#N/A,#N/A,FALSE,"단축3";#N/A,#N/A,FALSE,"장축";#N/A,#N/A,FALSE,"4WD"}</definedName>
    <definedName name="ㅇㅁ" hidden="1">{#N/A,#N/A,FALSE,"KMC최종회의(7월) 자료"}</definedName>
    <definedName name="ㅇㅁㄴㅇ" hidden="1">{#N/A,#N/A,FALSE,"단축1";#N/A,#N/A,FALSE,"단축2";#N/A,#N/A,FALSE,"단축3";#N/A,#N/A,FALSE,"장축";#N/A,#N/A,FALSE,"4WD"}</definedName>
    <definedName name="ㅇㅁㄴㅇ_1" hidden="1">{#N/A,#N/A,FALSE,"단축1";#N/A,#N/A,FALSE,"단축2";#N/A,#N/A,FALSE,"단축3";#N/A,#N/A,FALSE,"장축";#N/A,#N/A,FALSE,"4WD"}</definedName>
    <definedName name="ㅇㅁㄶㅎ" hidden="1">{#N/A,#N/A,FALSE,"미판매분"}</definedName>
    <definedName name="ㅇㅁㄹ" hidden="1">{#N/A,#N/A,FALSE,"단축1";#N/A,#N/A,FALSE,"단축2";#N/A,#N/A,FALSE,"단축3";#N/A,#N/A,FALSE,"장축";#N/A,#N/A,FALSE,"4WD"}</definedName>
    <definedName name="ㅇㅁ류ㅠㅁ유" hidden="1">{#N/A,#N/A,FALSE,"KMC최종회의(7월) 자료"}</definedName>
    <definedName name="ㅇㅁ류ㅠㅁ유_1" hidden="1">{#N/A,#N/A,FALSE,"KMC최종회의(7월) 자료"}</definedName>
    <definedName name="ㅇㅁㅁ" hidden="1">#REF!</definedName>
    <definedName name="ㅇㅁㅇㄴㅁㅇㅇㅇㅇㄴㄴㅇㅁㅇㅁㅇㅇ" hidden="1">{#N/A,#N/A,FALSE,"단축1";#N/A,#N/A,FALSE,"단축2";#N/A,#N/A,FALSE,"단축3";#N/A,#N/A,FALSE,"장축";#N/A,#N/A,FALSE,"4WD"}</definedName>
    <definedName name="ㅇ멀듈마룯겻먀1" hidden="1">{#N/A,#N/A,FALSE,"단축1";#N/A,#N/A,FALSE,"단축2";#N/A,#N/A,FALSE,"단축3";#N/A,#N/A,FALSE,"장축";#N/A,#N/A,FALSE,"4WD"}</definedName>
    <definedName name="ㅇㅅㅎㄹ" hidden="1">{#N/A,#N/A,FALSE,"단축1";#N/A,#N/A,FALSE,"단축2";#N/A,#N/A,FALSE,"단축3";#N/A,#N/A,FALSE,"장축";#N/A,#N/A,FALSE,"4WD"}</definedName>
    <definedName name="ㅇ소롸ㅏ" hidden="1">{#N/A,#N/A,FALSE,"단축1";#N/A,#N/A,FALSE,"단축2";#N/A,#N/A,FALSE,"단축3";#N/A,#N/A,FALSE,"장축";#N/A,#N/A,FALSE,"4WD"}</definedName>
    <definedName name="ㅇㅇ" hidden="1">{#N/A,#N/A,FALSE,"KMC최종회의(7월) 자료"}</definedName>
    <definedName name="ㅇㅇ_1" hidden="1">{#N/A,#N/A,TRUE,"Y생산";#N/A,#N/A,TRUE,"Y판매";#N/A,#N/A,TRUE,"Y총물량";#N/A,#N/A,TRUE,"Y능력";#N/A,#N/A,TRUE,"YKD"}</definedName>
    <definedName name="ㅇㅇ_2" hidden="1">{#N/A,#N/A,TRUE,"Y생산";#N/A,#N/A,TRUE,"Y판매";#N/A,#N/A,TRUE,"Y총물량";#N/A,#N/A,TRUE,"Y능력";#N/A,#N/A,TRUE,"YKD"}</definedName>
    <definedName name="ㅇㅇ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ㄴ" hidden="1">#REF!</definedName>
    <definedName name="ㅇㅇㄴㅇㄴ" hidden="1">{#N/A,#N/A,FALSE,"정공"}</definedName>
    <definedName name="ㅇㅇㄴㅇㄴ_1" hidden="1">{#N/A,#N/A,FALSE,"정공"}</definedName>
    <definedName name="ㅇㅇㄴㅇㄴ_2" hidden="1">{#N/A,#N/A,FALSE,"정공"}</definedName>
    <definedName name="ㅇㅇㄹ" hidden="1">{#N/A,#N/A,FALSE,"신규dep";#N/A,#N/A,FALSE,"신규dep-금형상각후";#N/A,#N/A,FALSE,"신규dep-연구비상각후";#N/A,#N/A,FALSE,"신규dep-기계,공구상각후"}</definedName>
    <definedName name="ㅇㅇㄹㄹ" hidden="1">{#N/A,#N/A,FALSE,"표지";#N/A,#N/A,FALSE,"전제";#N/A,#N/A,FALSE,"손익-자 (2)";#N/A,#N/A,FALSE,"손익-자";#N/A,#N/A,FALSE,"손익-마 (2)";#N/A,#N/A,FALSE,"손익-마";#N/A,#N/A,FALSE,"총손최종"}</definedName>
    <definedName name="ㅇㅇㄹㄹ_1" hidden="1">{#N/A,#N/A,FALSE,"표지";#N/A,#N/A,FALSE,"전제";#N/A,#N/A,FALSE,"손익-자 (2)";#N/A,#N/A,FALSE,"손익-자";#N/A,#N/A,FALSE,"손익-마 (2)";#N/A,#N/A,FALSE,"손익-마";#N/A,#N/A,FALSE,"총손최종"}</definedName>
    <definedName name="ㅇㅇㄹㅇㅇㅇ" hidden="1">{#N/A,#N/A,FALSE,"단축1";#N/A,#N/A,FALSE,"단축2";#N/A,#N/A,FALSE,"단축3";#N/A,#N/A,FALSE,"장축";#N/A,#N/A,FALSE,"4WD"}</definedName>
    <definedName name="ㅇㅇㅇ" hidden="1">{#N/A,#N/A,FALSE,"정공"}</definedName>
    <definedName name="ㅇㅇㅇ_1" hidden="1">{#N/A,#N/A,FALSE,"정공"}</definedName>
    <definedName name="ㅇㅇㅇ_2" hidden="1">{#N/A,#N/A,FALSE,"정공"}</definedName>
    <definedName name="ㅇㅇㅇ_2_1" hidden="1">{#N/A,#N/A,FALSE,"정공"}</definedName>
    <definedName name="ㅇㅇㅇ_2_2" hidden="1">{#N/A,#N/A,FALSE,"정공"}</definedName>
    <definedName name="ㅇㅇㅇ_2_3" hidden="1">{#N/A,#N/A,FALSE,"정공"}</definedName>
    <definedName name="ㅇㅇㅇ_3" hidden="1">{#N/A,#N/A,FALSE,"정공"}</definedName>
    <definedName name="ㅇㅇㅇ_3_1" hidden="1">{#N/A,#N/A,FALSE,"정공"}</definedName>
    <definedName name="ㅇㅇㅇ_3_2" hidden="1">{#N/A,#N/A,FALSE,"정공"}</definedName>
    <definedName name="ㅇㅇㅇ_3_3" hidden="1">{#N/A,#N/A,FALSE,"정공"}</definedName>
    <definedName name="ㅇㅇㅇ_4" hidden="1">{#N/A,#N/A,FALSE,"정공"}</definedName>
    <definedName name="ㅇㅇㅇ_5" hidden="1">{#N/A,#N/A,FALSE,"정공"}</definedName>
    <definedName name="ㅇㅇㅇㄴㄴ" hidden="1">{#N/A,#N/A,FALSE,"정공"}</definedName>
    <definedName name="ㅇㅇㅇㄴㄴ_1" hidden="1">{#N/A,#N/A,FALSE,"정공"}</definedName>
    <definedName name="ㅇㅇㅇㄴㄴ_2" hidden="1">{#N/A,#N/A,FALSE,"정공"}</definedName>
    <definedName name="ㅇㅇㅇㅇ" hidden="1">{#N/A,#N/A,FALSE,"KMC최종회의(7월) 자료"}</definedName>
    <definedName name="ㅇㅇㅇㅇ_1" hidden="1">{#N/A,#N/A,FALSE,"KMC최종회의(7월) 자료"}</definedName>
    <definedName name="ㅇㅇㅇㅇ_2" hidden="1">{#N/A,#N/A,FALSE,"KMC최종회의(7월) 자료"}</definedName>
    <definedName name="ㅇㅇㅇㅇㄹㅇㅇ" hidden="1">{#N/A,#N/A,FALSE,"KMC최종회의(7월) 자료"}</definedName>
    <definedName name="ㅇㅇㅇㅇㅇ" hidden="1">#REF!</definedName>
    <definedName name="ㅇㅇㅇㅇㅇ_1" hidden="1">{#N/A,#N/A,FALSE,"정공"}</definedName>
    <definedName name="ㅇㅇㅇㅇㅇ_2" hidden="1">{#N/A,#N/A,FALSE,"정공"}</definedName>
    <definedName name="ㅇㅇㅇㅇㅇㅇ" hidden="1">{#N/A,#N/A,FALSE,"정공"}</definedName>
    <definedName name="ㅇㅇㅇㅇㅇㅇ_1" hidden="1">{#N/A,#N/A,FALSE,"정공"}</definedName>
    <definedName name="ㅇㅇㅇㅇㅇㅇ_2" hidden="1">{#N/A,#N/A,FALSE,"정공"}</definedName>
    <definedName name="ㅇㅇㅇㅇㅇ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 hidden="1">#REF!</definedName>
    <definedName name="ㅇㅇㅇㅇㅇㅇㅇㅇㅇ" hidden="1">{#N/A,#N/A,FALSE,"단축1";#N/A,#N/A,FALSE,"단축2";#N/A,#N/A,FALSE,"단축3";#N/A,#N/A,FALSE,"장축";#N/A,#N/A,FALSE,"4WD"}</definedName>
    <definedName name="ㅇㅇㅇㅇㅇㅇㅇㅇㅇㅇㅇㅇㅇㅇㅇㅇ" hidden="1">{#VALUE!,#N/A,FALSE,0}</definedName>
    <definedName name="ㅇㅇㅇㅇㅇㅇㅇㅇㅇㅇㅇㅇㅇㅇㅇㅇ_1" hidden="1">{#VALUE!,#N/A,FALSE,0}</definedName>
    <definedName name="ㅇㅇㅇㅇㅎㄱ" hidden="1">{#N/A,#N/A,FALSE,"유첨1-1";#N/A,#N/A,FALSE,"1-2";#N/A,#N/A,FALSE,"1-3";#N/A,#N/A,FALSE,"1-4";#N/A,#N/A,FALSE,"1-5";#N/A,#N/A,FALSE,"1-6";#N/A,#N/A,FALSE,"1-7";#N/A,#N/A,FALSE,"1-8";#N/A,#N/A,FALSE,"1-9"}</definedName>
    <definedName name="ㅇㅇㅇㅇㅐ" hidden="1">{#N/A,#N/A,FALSE,"KMC최종회의(7월) 자료"}</definedName>
    <definedName name="ㅇ아아ㅏ앙" hidden="1">{#N/A,#N/A,TRUE,"Y생산";#N/A,#N/A,TRUE,"Y판매";#N/A,#N/A,TRUE,"Y총물량";#N/A,#N/A,TRUE,"Y능력";#N/A,#N/A,TRUE,"YKD"}</definedName>
    <definedName name="ㅇ아아ㅏ앙_1" hidden="1">{#N/A,#N/A,TRUE,"Y생산";#N/A,#N/A,TRUE,"Y판매";#N/A,#N/A,TRUE,"Y총물량";#N/A,#N/A,TRUE,"Y능력";#N/A,#N/A,TRUE,"YKD"}</definedName>
    <definedName name="ㅇ이" hidden="1">{#N/A,#N/A,FALSE,"단축1";#N/A,#N/A,FALSE,"단축2";#N/A,#N/A,FALSE,"단축3";#N/A,#N/A,FALSE,"장축";#N/A,#N/A,FALSE,"4WD"}</definedName>
    <definedName name="ㅇㅊㅇㄴ" hidden="1">{#N/A,#N/A,FALSE,"단축1";#N/A,#N/A,FALSE,"단축2";#N/A,#N/A,FALSE,"단축3";#N/A,#N/A,FALSE,"장축";#N/A,#N/A,FALSE,"4WD"}</definedName>
    <definedName name="ㅇㅍㄿㄹ" hidden="1">{#N/A,#N/A,FALSE,"단축1";#N/A,#N/A,FALSE,"단축2";#N/A,#N/A,FALSE,"단축3";#N/A,#N/A,FALSE,"장축";#N/A,#N/A,FALSE,"4WD"}</definedName>
    <definedName name="ㅇ퓨" hidden="1">{#N/A,#N/A,FALSE,"단축1";#N/A,#N/A,FALSE,"단축2";#N/A,#N/A,FALSE,"단축3";#N/A,#N/A,FALSE,"장축";#N/A,#N/A,FALSE,"4WD"}</definedName>
    <definedName name="ㅇㅎ" hidden="1">{#N/A,#N/A,FALSE,"단축1";#N/A,#N/A,FALSE,"단축2";#N/A,#N/A,FALSE,"단축3";#N/A,#N/A,FALSE,"장축";#N/A,#N/A,FALSE,"4WD"}</definedName>
    <definedName name="ㅇㅎ_1" hidden="1">{#N/A,#N/A,FALSE,"단축1";#N/A,#N/A,FALSE,"단축2";#N/A,#N/A,FALSE,"단축3";#N/A,#N/A,FALSE,"장축";#N/A,#N/A,FALSE,"4WD"}</definedName>
    <definedName name="ㅇㅎㄴㅇㅎㄴㄹ" hidden="1">{#N/A,#N/A,FALSE,"KMC최종회의(7월) 자료"}</definedName>
    <definedName name="ㅇㅎㄹ" hidden="1">{#N/A,#N/A,FALSE,"단축1";#N/A,#N/A,FALSE,"단축2";#N/A,#N/A,FALSE,"단축3";#N/A,#N/A,FALSE,"장축";#N/A,#N/A,FALSE,"4WD"}</definedName>
    <definedName name="ㅇㅎㄹ_1" hidden="1">{#N/A,#N/A,FALSE,"단축1";#N/A,#N/A,FALSE,"단축2";#N/A,#N/A,FALSE,"단축3";#N/A,#N/A,FALSE,"장축";#N/A,#N/A,FALSE,"4WD"}</definedName>
    <definedName name="ㅇㅎㄹ_2" hidden="1">{#N/A,#N/A,FALSE,"단축1";#N/A,#N/A,FALSE,"단축2";#N/A,#N/A,FALSE,"단축3";#N/A,#N/A,FALSE,"장축";#N/A,#N/A,FALSE,"4WD"}</definedName>
    <definedName name="ㅇㅎㄹㅀ" hidden="1">{#N/A,#N/A,FALSE,"단축1";#N/A,#N/A,FALSE,"단축2";#N/A,#N/A,FALSE,"단축3";#N/A,#N/A,FALSE,"장축";#N/A,#N/A,FALSE,"4WD"}</definedName>
    <definedName name="ㅇㅎㅇㄹ" hidden="1">{#N/A,#N/A,FALSE,"단축1";#N/A,#N/A,FALSE,"단축2";#N/A,#N/A,FALSE,"단축3";#N/A,#N/A,FALSE,"장축";#N/A,#N/A,FALSE,"4WD"}</definedName>
    <definedName name="ㅇㅎㅇㅎㅇㅎ" hidden="1">{#N/A,#N/A,FALSE,"단축1";#N/A,#N/A,FALSE,"단축2";#N/A,#N/A,FALSE,"단축3";#N/A,#N/A,FALSE,"장축";#N/A,#N/A,FALSE,"4WD"}</definedName>
    <definedName name="ㅇㅎ오" hidden="1">{#N/A,#N/A,FALSE,"단축1";#N/A,#N/A,FALSE,"단축2";#N/A,#N/A,FALSE,"단축3";#N/A,#N/A,FALSE,"장축";#N/A,#N/A,FALSE,"4WD"}</definedName>
    <definedName name="ㅇ홍" hidden="1">{#N/A,#N/A,FALSE,"단축1";#N/A,#N/A,FALSE,"단축2";#N/A,#N/A,FALSE,"단축3";#N/A,#N/A,FALSE,"장축";#N/A,#N/A,FALSE,"4WD"}</definedName>
    <definedName name="ㅇㅏ" hidden="1">{#N/A,#N/A,FALSE,"단축1";#N/A,#N/A,FALSE,"단축2";#N/A,#N/A,FALSE,"단축3";#N/A,#N/A,FALSE,"장축";#N/A,#N/A,FALSE,"4WD"}</definedName>
    <definedName name="아" hidden="1">{"'5'!$A$1:$BB$147"}</definedName>
    <definedName name="아_1" hidden="1">{#N/A,#N/A,TRUE,"Y생산";#N/A,#N/A,TRUE,"Y판매";#N/A,#N/A,TRUE,"Y총물량";#N/A,#N/A,TRUE,"Y능력";#N/A,#N/A,TRUE,"YKD"}</definedName>
    <definedName name="아_2" hidden="1">{#N/A,#N/A,TRUE,"Y생산";#N/A,#N/A,TRUE,"Y판매";#N/A,#N/A,TRUE,"Y총물량";#N/A,#N/A,TRUE,"Y능력";#N/A,#N/A,TRUE,"YKD"}</definedName>
    <definedName name="아나나" hidden="1">{#N/A,#N/A,FALSE,"정공"}</definedName>
    <definedName name="아나나_1" hidden="1">{#N/A,#N/A,FALSE,"정공"}</definedName>
    <definedName name="아나나_2" hidden="1">{#N/A,#N/A,FALSE,"정공"}</definedName>
    <definedName name="아나마오" hidden="1">{#N/A,#N/A,FALSE,"정공"}</definedName>
    <definedName name="아나마오_1" hidden="1">{#N/A,#N/A,FALSE,"정공"}</definedName>
    <definedName name="아나마오_2" hidden="1">{#N/A,#N/A,FALSE,"정공"}</definedName>
    <definedName name="아니" hidden="1">{#N/A,#N/A,FALSE,"단축1";#N/A,#N/A,FALSE,"단축2";#N/A,#N/A,FALSE,"단축3";#N/A,#N/A,FALSE,"장축";#N/A,#N/A,FALSE,"4WD"}</definedName>
    <definedName name="아니1" hidden="1">{#N/A,#N/A,FALSE,"단축1";#N/A,#N/A,FALSE,"단축2";#N/A,#N/A,FALSE,"단축3";#N/A,#N/A,FALSE,"장축";#N/A,#N/A,FALSE,"4WD"}</definedName>
    <definedName name="아니래요" hidden="1">{#N/A,#N/A,FALSE,"정공"}</definedName>
    <definedName name="아니래요_1" hidden="1">{#N/A,#N/A,FALSE,"정공"}</definedName>
    <definedName name="아니래요_2" hidden="1">{#N/A,#N/A,FALSE,"정공"}</definedName>
    <definedName name="아니면말고" hidden="1">{#N/A,#N/A,FALSE,"정공"}</definedName>
    <definedName name="아니면말고_1" hidden="1">{#N/A,#N/A,FALSE,"정공"}</definedName>
    <definedName name="아니면말고_2" hidden="1">{#N/A,#N/A,FALSE,"정공"}</definedName>
    <definedName name="아니면말고_2_1" hidden="1">{#N/A,#N/A,FALSE,"정공"}</definedName>
    <definedName name="아니면말고_2_2" hidden="1">{#N/A,#N/A,FALSE,"정공"}</definedName>
    <definedName name="아니면말고_2_3" hidden="1">{#N/A,#N/A,FALSE,"정공"}</definedName>
    <definedName name="아니면말고_3" hidden="1">{#N/A,#N/A,FALSE,"정공"}</definedName>
    <definedName name="아니면말고_3_1" hidden="1">{#N/A,#N/A,FALSE,"정공"}</definedName>
    <definedName name="아니면말고_3_2" hidden="1">{#N/A,#N/A,FALSE,"정공"}</definedName>
    <definedName name="아니면말고_3_3" hidden="1">{#N/A,#N/A,FALSE,"정공"}</definedName>
    <definedName name="아니면말고_4" hidden="1">{#N/A,#N/A,FALSE,"정공"}</definedName>
    <definedName name="아니면말고_5" hidden="1">{#N/A,#N/A,FALSE,"정공"}</definedName>
    <definedName name="아니오" hidden="1">{#N/A,#N/A,FALSE,"정공"}</definedName>
    <definedName name="아니오_1" hidden="1">{#N/A,#N/A,FALSE,"정공"}</definedName>
    <definedName name="아니오_2" hidden="1">{#N/A,#N/A,FALSE,"정공"}</definedName>
    <definedName name="아니오_2_1" hidden="1">{#N/A,#N/A,FALSE,"정공"}</definedName>
    <definedName name="아니오_2_2" hidden="1">{#N/A,#N/A,FALSE,"정공"}</definedName>
    <definedName name="아니오_2_3" hidden="1">{#N/A,#N/A,FALSE,"정공"}</definedName>
    <definedName name="아니오_3" hidden="1">{#N/A,#N/A,FALSE,"정공"}</definedName>
    <definedName name="아니오_3_1" hidden="1">{#N/A,#N/A,FALSE,"정공"}</definedName>
    <definedName name="아니오_3_2" hidden="1">{#N/A,#N/A,FALSE,"정공"}</definedName>
    <definedName name="아니오_3_3" hidden="1">{#N/A,#N/A,FALSE,"정공"}</definedName>
    <definedName name="아니오_4" hidden="1">{#N/A,#N/A,FALSE,"정공"}</definedName>
    <definedName name="아니오_5" hidden="1">{#N/A,#N/A,FALSE,"정공"}</definedName>
    <definedName name="아니오아" hidden="1">{#N/A,#N/A,FALSE,"KMC최종회의(7월) 자료"}</definedName>
    <definedName name="아니오아_1" hidden="1">{#N/A,#N/A,FALSE,"KMC최종회의(7월) 자료"}</definedName>
    <definedName name="아니오옹" hidden="1">{#N/A,#N/A,FALSE,"정공"}</definedName>
    <definedName name="아니오옹_1" hidden="1">{#N/A,#N/A,FALSE,"정공"}</definedName>
    <definedName name="아니오옹_2" hidden="1">{#N/A,#N/A,FALSE,"정공"}</definedName>
    <definedName name="아니요표지" hidden="1">{#N/A,#N/A,FALSE,"정공"}</definedName>
    <definedName name="아니요표지_1" hidden="1">{#N/A,#N/A,FALSE,"정공"}</definedName>
    <definedName name="아닙니다" hidden="1">{#N/A,#N/A,FALSE,"정공"}</definedName>
    <definedName name="아닙니다_1" hidden="1">{#N/A,#N/A,FALSE,"정공"}</definedName>
    <definedName name="아닙니다_2" hidden="1">{#N/A,#N/A,FALSE,"정공"}</definedName>
    <definedName name="아라" hidden="1">{"'5'!$A$1:$BB$147"}</definedName>
    <definedName name="아래" hidden="1">{#N/A,#N/A,FALSE,"신규dep";#N/A,#N/A,FALSE,"신규dep-금형상각후";#N/A,#N/A,FALSE,"신규dep-연구비상각후";#N/A,#N/A,FALSE,"신규dep-기계,공구상각후"}</definedName>
    <definedName name="아리랑" hidden="1">{#N/A,#N/A,FALSE,"정공"}</definedName>
    <definedName name="아리랑_1" hidden="1">{#N/A,#N/A,FALSE,"정공"}</definedName>
    <definedName name="아리랑_2" hidden="1">{#N/A,#N/A,FALSE,"정공"}</definedName>
    <definedName name="아리랑동동" hidden="1">{#N/A,#N/A,FALSE,"정공"}</definedName>
    <definedName name="아리랑동동_1" hidden="1">{#N/A,#N/A,FALSE,"정공"}</definedName>
    <definedName name="아리랑동동_2" hidden="1">{#N/A,#N/A,FALSE,"정공"}</definedName>
    <definedName name="아버비" hidden="1">{#N/A,#N/A,FALSE,"단축1";#N/A,#N/A,FALSE,"단축2";#N/A,#N/A,FALSE,"단축3";#N/A,#N/A,FALSE,"장축";#N/A,#N/A,FALSE,"4WD"}</definedName>
    <definedName name="아산" hidden="1">{#N/A,#N/A,FALSE,"업체선정";#N/A,#N/A,FALSE,"업체선정sheet";#N/A,#N/A,FALSE,"업체실태";#N/A,#N/A,FALSE,"업체실태(1)";#N/A,#N/A,FALSE,"종업원현황(2)";#N/A,#N/A,FALSE,"생산품목(3)";#N/A,#N/A,FALSE,"장비보유현황";#N/A,#N/A,FALSE,"차량및약도";#N/A,#N/A,FALSE,"금형LIST"}</definedName>
    <definedName name="아산차체22" hidden="1">{#N/A,#N/A,FALSE,"협조전";#N/A,#N/A,FALSE,"원가절감계획 ";#N/A,#N/A,FALSE,"항목별원가절감계획"}</definedName>
    <definedName name="아시아2" hidden="1">{#N/A,#N/A,FALSE,"KMC최종회의(7월) 자료"}</definedName>
    <definedName name="아아" hidden="1">{#N/A,#N/A,FALSE,"단축1";#N/A,#N/A,FALSE,"단축2";#N/A,#N/A,FALSE,"단축3";#N/A,#N/A,FALSE,"장축";#N/A,#N/A,FALSE,"4WD"}</definedName>
    <definedName name="아아아아아아아" hidden="1">{#N/A,#N/A,FALSE,"초도품";#N/A,#N/A,FALSE,"초도품 (2)";#N/A,#N/A,FALSE,"초도품 (3)";#N/A,#N/A,FALSE,"초도품 (4)";#N/A,#N/A,FALSE,"초도품 (5)";#N/A,#N/A,FALSE,"초도품 (6)"}</definedName>
    <definedName name="아아아아아아아아아아아아아아아아아아아아아아아아아아아아아아아아아아아아아아아아아아아아아아앙" hidden="1">{#N/A,#N/A,FALSE,"KMC최종회의(7월) 자료"}</definedName>
    <definedName name="아아아아아아아아아아아아아아아아아아아아아앙" hidden="1">{#N/A,#N/A,FALSE,"KMC최종회의(7월) 자료"}</definedName>
    <definedName name="아아아아아아아앙" hidden="1">{#N/A,#N/A,FALSE,"신규dep";#N/A,#N/A,FALSE,"신규dep-금형상각후";#N/A,#N/A,FALSE,"신규dep-연구비상각후";#N/A,#N/A,FALSE,"신규dep-기계,공구상각후"}</definedName>
    <definedName name="아아야댜댜댜댜" hidden="1">{#N/A,#N/A,FALSE,"개발계획표지";#N/A,#N/A,FALSE,"목차";#N/A,#N/A,FALSE,"개요"}</definedName>
    <definedName name="아아ㅏ야아" hidden="1">{#N/A,#N/A,FALSE,"개발계획표지";#N/A,#N/A,FALSE,"목차";#N/A,#N/A,FALSE,"개요"}</definedName>
    <definedName name="아알" hidden="1">{"'5'!$A$1:$BB$147"}</definedName>
    <definedName name="아앙" hidden="1">{#N/A,#N/A,FALSE,"KMC최종회의(7월) 자료"}</definedName>
    <definedName name="아앙_1" hidden="1">{#N/A,#N/A,FALSE,"KMC최종회의(7월) 자료"}</definedName>
    <definedName name="아앙_2" hidden="1">{#N/A,#N/A,FALSE,"KMC최종회의(7월) 자료"}</definedName>
    <definedName name="아이" hidden="1">{#N/A,#N/A,FALSE,"정공"}</definedName>
    <definedName name="아이_1" hidden="1">{#N/A,#N/A,FALSE,"정공"}</definedName>
    <definedName name="아이_2" hidden="1">{#N/A,#N/A,FALSE,"정공"}</definedName>
    <definedName name="아이다" hidden="1">{#N/A,#N/A,TRUE,"Y생산";#N/A,#N/A,TRUE,"Y판매";#N/A,#N/A,TRUE,"Y총물량";#N/A,#N/A,TRUE,"Y능력";#N/A,#N/A,TRUE,"YKD"}</definedName>
    <definedName name="아이므" hidden="1">{#N/A,#N/A,FALSE,"단축1";#N/A,#N/A,FALSE,"단축2";#N/A,#N/A,FALSE,"단축3";#N/A,#N/A,FALSE,"장축";#N/A,#N/A,FALSE,"4WD"}</definedName>
    <definedName name="아자" hidden="1">{"'5'!$A$1:$BB$147"}</definedName>
    <definedName name="아폴로" hidden="1">{#N/A,#N/A,FALSE,"해외크레임";#N/A,#N/A,FALSE,"ACCENT현황";#N/A,#N/A,FALSE,"AVANTE";#N/A,#N/A,FALSE,"SONATA(3)";#N/A,#N/A,FALSE,"국내크레임"}</definedName>
    <definedName name="아ㅓ너ㅏ" hidden="1">{#N/A,#N/A,FALSE,"KMC최종회의(7월) 자료"}</definedName>
    <definedName name="아ㅓㅏㅓ" hidden="1">{#N/A,#N/A,FALSE,"단축1";#N/A,#N/A,FALSE,"단축2";#N/A,#N/A,FALSE,"단축3";#N/A,#N/A,FALSE,"장축";#N/A,#N/A,FALSE,"4WD"}</definedName>
    <definedName name="아ㅓㅣ니" hidden="1">{#N/A,#N/A,TRUE,"Y생산";#N/A,#N/A,TRUE,"Y판매";#N/A,#N/A,TRUE,"Y총물량";#N/A,#N/A,TRUE,"Y능력";#N/A,#N/A,TRUE,"YKD"}</definedName>
    <definedName name="아ㅣㅇ" hidden="1">{#N/A,#N/A,FALSE,"신규dep";#N/A,#N/A,FALSE,"신규dep-금형상각후";#N/A,#N/A,FALSE,"신규dep-연구비상각후";#N/A,#N/A,FALSE,"신규dep-기계,공구상각후"}</definedName>
    <definedName name="안" hidden="1">{#N/A,#N/A,FALSE,"단축1";#N/A,#N/A,FALSE,"단축2";#N/A,#N/A,FALSE,"단축3";#N/A,#N/A,FALSE,"장축";#N/A,#N/A,FALSE,"4WD"}</definedName>
    <definedName name="안2" hidden="1">{#N/A,#N/A,FALSE,"신규dep";#N/A,#N/A,FALSE,"신규dep-금형상각후";#N/A,#N/A,FALSE,"신규dep-연구비상각후";#N/A,#N/A,FALSE,"신규dep-기계,공구상각후"}</definedName>
    <definedName name="안녕" hidden="1">{"'5'!$A$1:$BB$147"}</definedName>
    <definedName name="안녕이지요" hidden="1">#REF!</definedName>
    <definedName name="안별비교" hidden="1">{#N/A,#N/A,FALSE,"단축1";#N/A,#N/A,FALSE,"단축2";#N/A,#N/A,FALSE,"단축3";#N/A,#N/A,FALSE,"장축";#N/A,#N/A,FALSE,"4WD"}</definedName>
    <definedName name="안학규" hidden="1">{#N/A,#N/A,FALSE,"단축1";#N/A,#N/A,FALSE,"단축2";#N/A,#N/A,FALSE,"단축3";#N/A,#N/A,FALSE,"장축";#N/A,#N/A,FALSE,"4WD"}</definedName>
    <definedName name="안현모" hidden="1">{#N/A,#N/A,FALSE,"단축1";#N/A,#N/A,FALSE,"단축2";#N/A,#N/A,FALSE,"단축3";#N/A,#N/A,FALSE,"장축";#N/A,#N/A,FALSE,"4WD"}</definedName>
    <definedName name="안현모_1" hidden="1">{#N/A,#N/A,FALSE,"단축1";#N/A,#N/A,FALSE,"단축2";#N/A,#N/A,FALSE,"단축3";#N/A,#N/A,FALSE,"장축";#N/A,#N/A,FALSE,"4WD"}</definedName>
    <definedName name="안현모_2" hidden="1">{#N/A,#N/A,FALSE,"단축1";#N/A,#N/A,FALSE,"단축2";#N/A,#N/A,FALSE,"단축3";#N/A,#N/A,FALSE,"장축";#N/A,#N/A,FALSE,"4WD"}</definedName>
    <definedName name="알" hidden="1">{#N/A,#N/A,FALSE,"96자동차사 계획";#N/A,#N/A,FALSE,"96자동차사 계획"}</definedName>
    <definedName name="알아서" hidden="1">{#N/A,#N/A,FALSE,"단축1";#N/A,#N/A,FALSE,"단축2";#N/A,#N/A,FALSE,"단축3";#N/A,#N/A,FALSE,"장축";#N/A,#N/A,FALSE,"4WD"}</definedName>
    <definedName name="알파Ⅰ" hidden="1">{#N/A,#N/A,FALSE,"단축1";#N/A,#N/A,FALSE,"단축2";#N/A,#N/A,FALSE,"단축3";#N/A,#N/A,FALSE,"장축";#N/A,#N/A,FALSE,"4WD"}</definedName>
    <definedName name="암마" hidden="1">{#N/A,#N/A,FALSE,"단축1";#N/A,#N/A,FALSE,"단축2";#N/A,#N/A,FALSE,"단축3";#N/A,#N/A,FALSE,"장축";#N/A,#N/A,FALSE,"4WD"}</definedName>
    <definedName name="압입기비교" hidden="1">{#N/A,#N/A,FALSE,"단축1";#N/A,#N/A,FALSE,"단축2";#N/A,#N/A,FALSE,"단축3";#N/A,#N/A,FALSE,"장축";#N/A,#N/A,FALSE,"4WD"}</definedName>
    <definedName name="앗서" hidden="1">{#N/A,#N/A,FALSE,"정공"}</definedName>
    <definedName name="앗서_1" hidden="1">{#N/A,#N/A,FALSE,"정공"}</definedName>
    <definedName name="앗서_2" hidden="1">{#N/A,#N/A,FALSE,"정공"}</definedName>
    <definedName name="앗서_2_1" hidden="1">{#N/A,#N/A,FALSE,"정공"}</definedName>
    <definedName name="앗서_2_2" hidden="1">{#N/A,#N/A,FALSE,"정공"}</definedName>
    <definedName name="앗서_2_3" hidden="1">{#N/A,#N/A,FALSE,"정공"}</definedName>
    <definedName name="앗서_3" hidden="1">{#N/A,#N/A,FALSE,"정공"}</definedName>
    <definedName name="앗서_3_1" hidden="1">{#N/A,#N/A,FALSE,"정공"}</definedName>
    <definedName name="앗서_3_2" hidden="1">{#N/A,#N/A,FALSE,"정공"}</definedName>
    <definedName name="앗서_3_3" hidden="1">{#N/A,#N/A,FALSE,"정공"}</definedName>
    <definedName name="앗서_4" hidden="1">{#N/A,#N/A,FALSE,"정공"}</definedName>
    <definedName name="앗서_5" hidden="1">{#N/A,#N/A,FALSE,"정공"}</definedName>
    <definedName name="았사" hidden="1">{#N/A,#N/A,FALSE,"단축1";#N/A,#N/A,FALSE,"단축2";#N/A,#N/A,FALSE,"단축3";#N/A,#N/A,FALSE,"장축";#N/A,#N/A,FALSE,"4WD"}</definedName>
    <definedName name="앙럼" hidden="1">{#N/A,#N/A,FALSE,"해외크레임";#N/A,#N/A,FALSE,"ACCENT현황";#N/A,#N/A,FALSE,"AVANTE";#N/A,#N/A,FALSE,"SONATA(3)";#N/A,#N/A,FALSE,"국내크레임"}</definedName>
    <definedName name="앙아" hidden="1">{#N/A,#N/A,FALSE,"KMC최종회의(7월) 자료"}</definedName>
    <definedName name="앞장"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앞표지" hidden="1">{#N/A,#N/A,FALSE,"인원";#N/A,#N/A,FALSE,"비용2";#N/A,#N/A,FALSE,"비용1";#N/A,#N/A,FALSE,"비용";#N/A,#N/A,FALSE,"보증2";#N/A,#N/A,FALSE,"보증1";#N/A,#N/A,FALSE,"보증";#N/A,#N/A,FALSE,"손익1";#N/A,#N/A,FALSE,"손익";#N/A,#N/A,FALSE,"부서별매출";#N/A,#N/A,FALSE,"매출"}</definedName>
    <definedName name="액슬" hidden="1">{#N/A,#N/A,FALSE,"단축1";#N/A,#N/A,FALSE,"단축2";#N/A,#N/A,FALSE,"단축3";#N/A,#N/A,FALSE,"장축";#N/A,#N/A,FALSE,"4WD"}</definedName>
    <definedName name="야" hidden="1">{#N/A,#N/A,TRUE,"Y생산";#N/A,#N/A,TRUE,"Y판매";#N/A,#N/A,TRUE,"Y총물량";#N/A,#N/A,TRUE,"Y능력";#N/A,#N/A,TRUE,"YKD"}</definedName>
    <definedName name="야_1" hidden="1">{#N/A,#N/A,TRUE,"Y생산";#N/A,#N/A,TRUE,"Y판매";#N/A,#N/A,TRUE,"Y총물량";#N/A,#N/A,TRUE,"Y능력";#N/A,#N/A,TRUE,"YKD"}</definedName>
    <definedName name="야ㅜㄱ" hidden="1">{#N/A,#N/A,FALSE,"원가검토서"}</definedName>
    <definedName name="약식손익" hidden="1">{#N/A,#N/A,FALSE,"정공"}</definedName>
    <definedName name="약식손익_1" hidden="1">{#N/A,#N/A,FALSE,"정공"}</definedName>
    <definedName name="약식손익_2" hidden="1">{#N/A,#N/A,FALSE,"정공"}</definedName>
    <definedName name="약어" hidden="1">{#N/A,#N/A,FALSE,"단축1";#N/A,#N/A,FALSE,"단축2";#N/A,#N/A,FALSE,"단축3";#N/A,#N/A,FALSE,"장축";#N/A,#N/A,FALSE,"4WD"}</definedName>
    <definedName name="약정상환2" hidden="1">{#N/A,#N/A,FALSE,"KMC최종회의(7월) 자료"}</definedName>
    <definedName name="약정상환2_1" hidden="1">{#N/A,#N/A,FALSE,"KMC최종회의(7월) 자료"}</definedName>
    <definedName name="약정상환2_2" hidden="1">{#N/A,#N/A,FALSE,"KMC최종회의(7월) 자료"}</definedName>
    <definedName name="약정잉자" hidden="1">{#N/A,#N/A,FALSE,"정공"}</definedName>
    <definedName name="약정잉자_1" hidden="1">{#N/A,#N/A,FALSE,"정공"}</definedName>
    <definedName name="약정잉자_2" hidden="1">{#N/A,#N/A,FALSE,"정공"}</definedName>
    <definedName name="약정잉자_2_1" hidden="1">{#N/A,#N/A,FALSE,"정공"}</definedName>
    <definedName name="약정잉자_2_2" hidden="1">{#N/A,#N/A,FALSE,"정공"}</definedName>
    <definedName name="약정잉자_2_3" hidden="1">{#N/A,#N/A,FALSE,"정공"}</definedName>
    <definedName name="약정잉자_3" hidden="1">{#N/A,#N/A,FALSE,"정공"}</definedName>
    <definedName name="약정잉자_3_1" hidden="1">{#N/A,#N/A,FALSE,"정공"}</definedName>
    <definedName name="약정잉자_3_2" hidden="1">{#N/A,#N/A,FALSE,"정공"}</definedName>
    <definedName name="약정잉자_3_3" hidden="1">{#N/A,#N/A,FALSE,"정공"}</definedName>
    <definedName name="약정잉자_4" hidden="1">{#N/A,#N/A,FALSE,"정공"}</definedName>
    <definedName name="약정잉자_5" hidden="1">{#N/A,#N/A,FALSE,"정공"}</definedName>
    <definedName name="얀"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양" hidden="1">#REF!</definedName>
    <definedName name="양대호" hidden="1">{#N/A,#N/A,FALSE,"단축1";#N/A,#N/A,FALSE,"단축2";#N/A,#N/A,FALSE,"단축3";#N/A,#N/A,FALSE,"장축";#N/A,#N/A,FALSE,"4WD"}</definedName>
    <definedName name="양산개발현황" hidden="1">{#N/A,#N/A,FALSE,"96자동차사 계획";#N/A,#N/A,FALSE,"96자동차사 계획"}</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품질1" hidden="1">{#N/A,#N/A,FALSE,"KMC최종회의(7월) 자료"}</definedName>
    <definedName name="양산품질1_1" hidden="1">{#N/A,#N/A,FALSE,"KMC최종회의(7월) 자료"}</definedName>
    <definedName name="양산품질1_2" hidden="1">{#N/A,#N/A,FALSE,"KMC최종회의(7월) 자료"}</definedName>
    <definedName name="양식" hidden="1">{#N/A,#N/A,TRUE,"일정"}</definedName>
    <definedName name="양식_1" hidden="1">{#N/A,#N/A,FALSE,"단축1";#N/A,#N/A,FALSE,"단축2";#N/A,#N/A,FALSE,"단축3";#N/A,#N/A,FALSE,"장축";#N/A,#N/A,FALSE,"4WD"}</definedName>
    <definedName name="양식_2" hidden="1">{#N/A,#N/A,FALSE,"단축1";#N/A,#N/A,FALSE,"단축2";#N/A,#N/A,FALSE,"단축3";#N/A,#N/A,FALSE,"장축";#N/A,#N/A,FALSE,"4WD"}</definedName>
    <definedName name="양식1" hidden="1">{#N/A,#N/A,FALSE,"단축1";#N/A,#N/A,FALSE,"단축2";#N/A,#N/A,FALSE,"단축3";#N/A,#N/A,FALSE,"장축";#N/A,#N/A,FALSE,"4WD"}</definedName>
    <definedName name="양식100" hidden="1">#REF!</definedName>
    <definedName name="양식2" hidden="1">{#N/A,#N/A,FALSE,"단축1";#N/A,#N/A,FALSE,"단축2";#N/A,#N/A,FALSE,"단축3";#N/A,#N/A,FALSE,"장축";#N/A,#N/A,FALSE,"4WD"}</definedName>
    <definedName name="양식3" hidden="1">{#N/A,#N/A,FALSE,"단축1";#N/A,#N/A,FALSE,"단축2";#N/A,#N/A,FALSE,"단축3";#N/A,#N/A,FALSE,"장축";#N/A,#N/A,FALSE,"4WD"}</definedName>
    <definedName name="양식3_1" hidden="1">{#N/A,#N/A,FALSE,"KMC최종회의(7월) 자료"}</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8" hidden="1">{#N/A,#N/A,FALSE,"단축1";#N/A,#N/A,FALSE,"단축2";#N/A,#N/A,FALSE,"단축3";#N/A,#N/A,FALSE,"장축";#N/A,#N/A,FALSE,"4WD"}</definedName>
    <definedName name="양식변경1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우석" hidden="1">{#N/A,#N/A,FALSE,"단축1";#N/A,#N/A,FALSE,"단축2";#N/A,#N/A,FALSE,"단축3";#N/A,#N/A,FALSE,"장축";#N/A,#N/A,FALSE,"4WD"}</definedName>
    <definedName name="얘" hidden="1">{#N/A,#N/A,FALSE,"KMC최종회의(7월) 자료"}</definedName>
    <definedName name="얘_1" hidden="1">{#N/A,#N/A,FALSE,"KMC최종회의(7월) 자료"}</definedName>
    <definedName name="얘_2" hidden="1">{#N/A,#N/A,FALSE,"KMC최종회의(7월) 자료"}</definedName>
    <definedName name="어" hidden="1">{#N/A,#N/A,FALSE,"단축1";#N/A,#N/A,FALSE,"단축2";#N/A,#N/A,FALSE,"단축3";#N/A,#N/A,FALSE,"장축";#N/A,#N/A,FALSE,"4WD"}</definedName>
    <definedName name="어뉴" hidden="1">{#N/A,#N/A,TRUE,"Y생산";#N/A,#N/A,TRUE,"Y판매";#N/A,#N/A,TRUE,"Y총물량";#N/A,#N/A,TRUE,"Y능력";#N/A,#N/A,TRUE,"YKD"}</definedName>
    <definedName name="어라" hidden="1">{#N/A,#N/A,FALSE,"KMC최종회의(7월) 자료"}</definedName>
    <definedName name="어어너ㅓㅏㅣ" hidden="1">{#N/A,#N/A,FALSE,"단축1";#N/A,#N/A,FALSE,"단축2";#N/A,#N/A,FALSE,"단축3";#N/A,#N/A,FALSE,"장축";#N/A,#N/A,FALSE,"4WD"}</definedName>
    <definedName name="어ㅓㅇ" hidden="1">{#N/A,#N/A,FALSE,"단축1";#N/A,#N/A,FALSE,"단축2";#N/A,#N/A,FALSE,"단축3";#N/A,#N/A,FALSE,"장축";#N/A,#N/A,FALSE,"4WD"}</definedName>
    <definedName name="어ㅣㅏㄷ" hidden="1">{#N/A,#N/A,FALSE,"단축1";#N/A,#N/A,FALSE,"단축2";#N/A,#N/A,FALSE,"단축3";#N/A,#N/A,FALSE,"장축";#N/A,#N/A,FALSE,"4WD"}</definedName>
    <definedName name="언" hidden="1">{#N/A,#N/A,FALSE,"단축1";#N/A,#N/A,FALSE,"단축2";#N/A,#N/A,FALSE,"단축3";#N/A,#N/A,FALSE,"장축";#N/A,#N/A,FALSE,"4WD"}</definedName>
    <definedName name="엄마" hidden="1">{#N/A,#N/A,FALSE,"단축1";#N/A,#N/A,FALSE,"단축2";#N/A,#N/A,FALSE,"단축3";#N/A,#N/A,FALSE,"장축";#N/A,#N/A,FALSE,"4WD"}</definedName>
    <definedName name="업무계획" hidden="1">{#N/A,#N/A,FALSE,"KMC최종회의(7월) 자료"}</definedName>
    <definedName name="업무계획_1" hidden="1">{#N/A,#N/A,FALSE,"KMC최종회의(7월) 자료"}</definedName>
    <definedName name="업무계획_2" hidden="1">{#N/A,#N/A,FALSE,"KMC최종회의(7월) 자료"}</definedName>
    <definedName name="업무계획101" hidden="1">#REF!</definedName>
    <definedName name="업무계획2" hidden="1">#REF!</definedName>
    <definedName name="업무계획5" hidden="1">#REF!</definedName>
    <definedName name="업무구분" hidden="1">{#N/A,#N/A,FALSE,"단축1";#N/A,#N/A,FALSE,"단축2";#N/A,#N/A,FALSE,"단축3";#N/A,#N/A,FALSE,"장축";#N/A,#N/A,FALSE,"4WD"}</definedName>
    <definedName name="업무보고2002" hidden="1">{#N/A,#N/A,TRUE,"Y생산";#N/A,#N/A,TRUE,"Y판매";#N/A,#N/A,TRUE,"Y총물량";#N/A,#N/A,TRUE,"Y능력";#N/A,#N/A,TRUE,"YKD"}</definedName>
    <definedName name="업무보고2002_1" hidden="1">{#N/A,#N/A,TRUE,"Y생산";#N/A,#N/A,TRUE,"Y판매";#N/A,#N/A,TRUE,"Y총물량";#N/A,#N/A,TRUE,"Y능력";#N/A,#N/A,TRUE,"YKD"}</definedName>
    <definedName name="업무보고2002_2" hidden="1">{#N/A,#N/A,TRUE,"Y생산";#N/A,#N/A,TRUE,"Y판매";#N/A,#N/A,TRUE,"Y총물량";#N/A,#N/A,TRUE,"Y능력";#N/A,#N/A,TRUE,"YKD"}</definedName>
    <definedName name="업무보고용" hidden="1">{#N/A,#N/A,FALSE,"정공"}</definedName>
    <definedName name="업무보고용_1" hidden="1">{#N/A,#N/A,FALSE,"정공"}</definedName>
    <definedName name="업무보고용_2" hidden="1">{#N/A,#N/A,FALSE,"정공"}</definedName>
    <definedName name="업무분석표지" hidden="1">{#N/A,#N/A,FALSE,"협조전";#N/A,#N/A,FALSE,"원가절감계획 ";#N/A,#N/A,FALSE,"항목별원가절감계획"}</definedName>
    <definedName name="업무실적4" hidden="1">{#N/A,#N/A,FALSE,"단축1";#N/A,#N/A,FALSE,"단축2";#N/A,#N/A,FALSE,"단축3";#N/A,#N/A,FALSE,"장축";#N/A,#N/A,FALSE,"4WD"}</definedName>
    <definedName name="업무실적aaa" hidden="1">{#N/A,#N/A,FALSE,"단축1";#N/A,#N/A,FALSE,"단축2";#N/A,#N/A,FALSE,"단축3";#N/A,#N/A,FALSE,"장축";#N/A,#N/A,FALSE,"4WD"}</definedName>
    <definedName name="업무추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업체" hidden="1">{#N/A,#N/A,FALSE,"단축1";#N/A,#N/A,FALSE,"단축2";#N/A,#N/A,FALSE,"단축3";#N/A,#N/A,FALSE,"장축";#N/A,#N/A,FALSE,"4WD"}</definedName>
    <definedName name="업체1" hidden="1">{#N/A,#N/A,FALSE,"견적대비-2"}</definedName>
    <definedName name="업체방문" hidden="1">{#N/A,#N/A,FALSE,"단축1";#N/A,#N/A,FALSE,"단축2";#N/A,#N/A,FALSE,"단축3";#N/A,#N/A,FALSE,"장축";#N/A,#N/A,FALSE,"4WD"}</definedName>
    <definedName name="업체별" hidden="1">{#N/A,#N/A,FALSE,"단축1";#N/A,#N/A,FALSE,"단축2";#N/A,#N/A,FALSE,"단축3";#N/A,#N/A,FALSE,"장축";#N/A,#N/A,FALSE,"4WD"}</definedName>
    <definedName name="업체제안요약" hidden="1">{#N/A,#N/A,FALSE,"단축1";#N/A,#N/A,FALSE,"단축2";#N/A,#N/A,FALSE,"단축3";#N/A,#N/A,FALSE,"장축";#N/A,#N/A,FALSE,"4WD"}</definedName>
    <definedName name="업체카파" hidden="1">{#N/A,#N/A,FALSE,"단축1";#N/A,#N/A,FALSE,"단축2";#N/A,#N/A,FALSE,"단축3";#N/A,#N/A,FALSE,"장축";#N/A,#N/A,FALSE,"4WD"}</definedName>
    <definedName name="업체카파_1" hidden="1">{#N/A,#N/A,FALSE,"단축1";#N/A,#N/A,FALSE,"단축2";#N/A,#N/A,FALSE,"단축3";#N/A,#N/A,FALSE,"장축";#N/A,#N/A,FALSE,"4WD"}</definedName>
    <definedName name="업체카파_2" hidden="1">{#N/A,#N/A,FALSE,"단축1";#N/A,#N/A,FALSE,"단축2";#N/A,#N/A,FALSE,"단축3";#N/A,#N/A,FALSE,"장축";#N/A,#N/A,FALSE,"4WD"}</definedName>
    <definedName name="업체평가폐사" hidden="1">{#N/A,#N/A,FALSE,"단축1";#N/A,#N/A,FALSE,"단축2";#N/A,#N/A,FALSE,"단축3";#N/A,#N/A,FALSE,"장축";#N/A,#N/A,FALSE,"4WD"}</definedName>
    <definedName name="없음" hidden="1">{#N/A,#N/A,FALSE,"KMC최종회의(7월) 자료"}</definedName>
    <definedName name="없음_1" hidden="1">{#N/A,#N/A,FALSE,"KMC최종회의(7월) 자료"}</definedName>
    <definedName name="없음_2" hidden="1">{#N/A,#N/A,FALSE,"KMC최종회의(7월) 자료"}</definedName>
    <definedName name="에상대수" hidden="1">{#N/A,#N/A,FALSE,"단축1";#N/A,#N/A,FALSE,"단축2";#N/A,#N/A,FALSE,"단축3";#N/A,#N/A,FALSE,"장축";#N/A,#N/A,FALSE,"4WD"}</definedName>
    <definedName name="에스케이에스" hidden="1">{#N/A,#N/A,TRUE,"Y생산";#N/A,#N/A,TRUE,"Y판매";#N/A,#N/A,TRUE,"Y총물량";#N/A,#N/A,TRUE,"Y능력";#N/A,#N/A,TRUE,"YKD"}</definedName>
    <definedName name="에어벤트" hidden="1">{#N/A,#N/A,FALSE,"단축1";#N/A,#N/A,FALSE,"단축2";#N/A,#N/A,FALSE,"단축3";#N/A,#N/A,FALSE,"장축";#N/A,#N/A,FALSE,"4WD"}</definedName>
    <definedName name="에이" hidden="1">{#N/A,#N/A,TRUE,"Y생산";#N/A,#N/A,TRUE,"Y판매";#N/A,#N/A,TRUE,"Y총물량";#N/A,#N/A,TRUE,"Y능력";#N/A,#N/A,TRUE,"YKD"}</definedName>
    <definedName name="에이_1" hidden="1">{#N/A,#N/A,TRUE,"Y생산";#N/A,#N/A,TRUE,"Y판매";#N/A,#N/A,TRUE,"Y총물량";#N/A,#N/A,TRUE,"Y능력";#N/A,#N/A,TRUE,"YKD"}</definedName>
    <definedName name="에쿠스" hidden="1">{#N/A,#N/A,FALSE,"견적대비-2"}</definedName>
    <definedName name="엔에프" hidden="1">{#N/A,#N/A,FALSE,"단축1";#N/A,#N/A,FALSE,"단축2";#N/A,#N/A,FALSE,"단축3";#N/A,#N/A,FALSE,"장축";#N/A,#N/A,FALSE,"4WD"}</definedName>
    <definedName name="엔진" hidden="1">{#N/A,#N/A,FALSE,"단축1";#N/A,#N/A,FALSE,"단축2";#N/A,#N/A,FALSE,"단축3";#N/A,#N/A,FALSE,"장축";#N/A,#N/A,FALSE,"4WD"}</definedName>
    <definedName name="엔진_1" hidden="1">{#N/A,#N/A,FALSE,"단축1";#N/A,#N/A,FALSE,"단축2";#N/A,#N/A,FALSE,"단축3";#N/A,#N/A,FALSE,"장축";#N/A,#N/A,FALSE,"4WD"}</definedName>
    <definedName name="엔진1" hidden="1">{#N/A,#N/A,FALSE,"단축1";#N/A,#N/A,FALSE,"단축2";#N/A,#N/A,FALSE,"단축3";#N/A,#N/A,FALSE,"장축";#N/A,#N/A,FALSE,"4WD"}</definedName>
    <definedName name="엔진1_1" hidden="1">{#N/A,#N/A,FALSE,"단축1";#N/A,#N/A,FALSE,"단축2";#N/A,#N/A,FALSE,"단축3";#N/A,#N/A,FALSE,"장축";#N/A,#N/A,FALSE,"4WD"}</definedName>
    <definedName name="엔진2" hidden="1">{#N/A,#N/A,FALSE,"단축1";#N/A,#N/A,FALSE,"단축2";#N/A,#N/A,FALSE,"단축3";#N/A,#N/A,FALSE,"장축";#N/A,#N/A,FALSE,"4WD"}</definedName>
    <definedName name="엔진2_1" hidden="1">{#N/A,#N/A,FALSE,"단축1";#N/A,#N/A,FALSE,"단축2";#N/A,#N/A,FALSE,"단축3";#N/A,#N/A,FALSE,"장축";#N/A,#N/A,FALSE,"4WD"}</definedName>
    <definedName name="엔진대책" hidden="1">{#N/A,#N/A,FALSE,"단축1";#N/A,#N/A,FALSE,"단축2";#N/A,#N/A,FALSE,"단축3";#N/A,#N/A,FALSE,"장축";#N/A,#N/A,FALSE,"4WD"}</definedName>
    <definedName name="엔진마운트" hidden="1">{#N/A,#N/A,FALSE,"표지";#N/A,#N/A,FALSE,"전제";#N/A,#N/A,FALSE,"손익-자 (2)";#N/A,#N/A,FALSE,"손익-자";#N/A,#N/A,FALSE,"손익-마 (2)";#N/A,#N/A,FALSE,"손익-마";#N/A,#N/A,FALSE,"총손최종"}</definedName>
    <definedName name="엔진별" hidden="1">{#N/A,#N/A,FALSE,"품의서";#N/A,#N/A,FALSE,"전제";#N/A,#N/A,FALSE,"총손";#N/A,#N/A,FALSE,"손익"}</definedName>
    <definedName name="엔진운영" hidden="1">{#N/A,#N/A,FALSE,"단축1";#N/A,#N/A,FALSE,"단축2";#N/A,#N/A,FALSE,"단축3";#N/A,#N/A,FALSE,"장축";#N/A,#N/A,FALSE,"4WD"}</definedName>
    <definedName name="엔진일정1" hidden="1">{#N/A,#N/A,FALSE,"단축1";#N/A,#N/A,FALSE,"단축2";#N/A,#N/A,FALSE,"단축3";#N/A,#N/A,FALSE,"장축";#N/A,#N/A,FALSE,"4WD"}</definedName>
    <definedName name="엔진일정1_1" hidden="1">{#N/A,#N/A,FALSE,"단축1";#N/A,#N/A,FALSE,"단축2";#N/A,#N/A,FALSE,"단축3";#N/A,#N/A,FALSE,"장축";#N/A,#N/A,FALSE,"4WD"}</definedName>
    <definedName name="엔진표지" hidden="1">{#N/A,#N/A,FALSE,"단축1";#N/A,#N/A,FALSE,"단축2";#N/A,#N/A,FALSE,"단축3";#N/A,#N/A,FALSE,"장축";#N/A,#N/A,FALSE,"4WD"}</definedName>
    <definedName name="엔진표지_1" hidden="1">{#N/A,#N/A,FALSE,"단축1";#N/A,#N/A,FALSE,"단축2";#N/A,#N/A,FALSE,"단축3";#N/A,#N/A,FALSE,"장축";#N/A,#N/A,FALSE,"4WD"}</definedName>
    <definedName name="엔터" hidden="1">{#N/A,#N/A,FALSE,"신규dep";#N/A,#N/A,FALSE,"신규dep-금형상각후";#N/A,#N/A,FALSE,"신규dep-연구비상각후";#N/A,#N/A,FALSE,"신규dep-기계,공구상각후"}</definedName>
    <definedName name="엘지하우시스뿅뿅" hidden="1">{#N/A,#N/A,FALSE,"KMC최종회의(7월) 자료"}</definedName>
    <definedName name="엠스" hidden="1">{#N/A,#N/A,FALSE,"단축1";#N/A,#N/A,FALSE,"단축2";#N/A,#N/A,FALSE,"단축3";#N/A,#N/A,FALSE,"장축";#N/A,#N/A,FALSE,"4WD"}</definedName>
    <definedName name="여력" hidden="1">{#N/A,#N/A,TRUE,"Y생산";#N/A,#N/A,TRUE,"Y판매";#N/A,#N/A,TRUE,"Y총물량";#N/A,#N/A,TRUE,"Y능력";#N/A,#N/A,TRUE,"YKD"}</definedName>
    <definedName name="여력_1" hidden="1">{#N/A,#N/A,TRUE,"Y생산";#N/A,#N/A,TRUE,"Y판매";#N/A,#N/A,TRUE,"Y총물량";#N/A,#N/A,TRUE,"Y능력";#N/A,#N/A,TRUE,"YKD"}</definedName>
    <definedName name="여력인원" hidden="1">{#N/A,#N/A,FALSE,"96 3월물량표";#N/A,#N/A,FALSE,"96 4월물량표";#N/A,#N/A,FALSE,"96 5월물량표"}</definedName>
    <definedName name="여력인원_1" hidden="1">{#N/A,#N/A,FALSE,"96 3월물량표";#N/A,#N/A,FALSE,"96 4월물량표";#N/A,#N/A,FALSE,"96 5월물량표"}</definedName>
    <definedName name="여신" hidden="1">{"'5'!$A$1:$BB$147"}</definedName>
    <definedName name="역전경주" hidden="1">{#N/A,#N/A,FALSE,"KMC최종회의(7월) 자료"}</definedName>
    <definedName name="역전경주_1" hidden="1">{#N/A,#N/A,FALSE,"KMC최종회의(7월) 자료"}</definedName>
    <definedName name="역전경주_2" hidden="1">{#N/A,#N/A,FALSE,"KMC최종회의(7월) 자료"}</definedName>
    <definedName name="연간손익추" hidden="1">{#N/A,#N/A,FALSE,"정공"}</definedName>
    <definedName name="연간손익추_1" hidden="1">{#N/A,#N/A,FALSE,"정공"}</definedName>
    <definedName name="연간손익추_2" hidden="1">{#N/A,#N/A,FALSE,"정공"}</definedName>
    <definedName name="연결" hidden="1">{#N/A,#N/A,FALSE,"단축1";#N/A,#N/A,FALSE,"단축2";#N/A,#N/A,FALSE,"단축3";#N/A,#N/A,FALSE,"장축";#N/A,#N/A,FALSE,"4WD"}</definedName>
    <definedName name="연구소" hidden="1">{#N/A,#N/A,FALSE,"96자동차사 계획";#N/A,#N/A,FALSE,"96자동차사 계획"}</definedName>
    <definedName name="연ㄷ구소" hidden="1">#REF!</definedName>
    <definedName name="연도추정내수" hidden="1">{#N/A,#N/A,FALSE,"단축1";#N/A,#N/A,FALSE,"단축2";#N/A,#N/A,FALSE,"단축3";#N/A,#N/A,FALSE,"장축";#N/A,#N/A,FALSE,"4WD"}</definedName>
    <definedName name="연도추정유럽" hidden="1">{#N/A,#N/A,TRUE,"Y생산";#N/A,#N/A,TRUE,"Y판매";#N/A,#N/A,TRUE,"Y총물량";#N/A,#N/A,TRUE,"Y능력";#N/A,#N/A,TRUE,"YKD"}</definedName>
    <definedName name="연도추정일반" hidden="1">{#N/A,#N/A,FALSE,"단축1";#N/A,#N/A,FALSE,"단축2";#N/A,#N/A,FALSE,"단축3";#N/A,#N/A,FALSE,"장축";#N/A,#N/A,FALSE,"4WD"}</definedName>
    <definedName name="연료2" hidden="1">{#N/A,#N/A,FALSE,"단축1";#N/A,#N/A,FALSE,"단축2";#N/A,#N/A,FALSE,"단축3";#N/A,#N/A,FALSE,"장축";#N/A,#N/A,FALSE,"4WD"}</definedName>
    <definedName name="연료탱크" hidden="1">{#N/A,#N/A,FALSE,"단축1";#N/A,#N/A,FALSE,"단축2";#N/A,#N/A,FALSE,"단축3";#N/A,#N/A,FALSE,"장축";#N/A,#N/A,FALSE,"4WD"}</definedName>
    <definedName name="연료탱크3" hidden="1">{#N/A,#N/A,FALSE,"단축1";#N/A,#N/A,FALSE,"단축2";#N/A,#N/A,FALSE,"단축3";#N/A,#N/A,FALSE,"장축";#N/A,#N/A,FALSE,"4WD"}</definedName>
    <definedName name="연료펌프" hidden="1">#REF!</definedName>
    <definedName name="연월차" hidden="1">{#N/A,#N/A,TRUE,"Y생산";#N/A,#N/A,TRUE,"Y판매";#N/A,#N/A,TRUE,"Y총물량";#N/A,#N/A,TRUE,"Y능력";#N/A,#N/A,TRUE,"YKD"}</definedName>
    <definedName name="연월차_1" hidden="1">{#N/A,#N/A,TRUE,"Y생산";#N/A,#N/A,TRUE,"Y판매";#N/A,#N/A,TRUE,"Y총물량";#N/A,#N/A,TRUE,"Y능력";#N/A,#N/A,TRUE,"YKD"}</definedName>
    <definedName name="연주얀" hidden="1">{#N/A,#N/A,FALSE,"정공"}</definedName>
    <definedName name="연주얀_1" hidden="1">{#N/A,#N/A,FALSE,"정공"}</definedName>
    <definedName name="연주얀_2" hidden="1">{#N/A,#N/A,FALSE,"정공"}</definedName>
    <definedName name="연주얀_2_1" hidden="1">{#N/A,#N/A,FALSE,"정공"}</definedName>
    <definedName name="연주얀_2_2" hidden="1">{#N/A,#N/A,FALSE,"정공"}</definedName>
    <definedName name="연주얀_2_3" hidden="1">{#N/A,#N/A,FALSE,"정공"}</definedName>
    <definedName name="연주얀_3" hidden="1">{#N/A,#N/A,FALSE,"정공"}</definedName>
    <definedName name="연주얀_3_1" hidden="1">{#N/A,#N/A,FALSE,"정공"}</definedName>
    <definedName name="연주얀_3_2" hidden="1">{#N/A,#N/A,FALSE,"정공"}</definedName>
    <definedName name="연주얀_3_3" hidden="1">{#N/A,#N/A,FALSE,"정공"}</definedName>
    <definedName name="연주얀_4" hidden="1">{#N/A,#N/A,FALSE,"정공"}</definedName>
    <definedName name="연주얀_5" hidden="1">{#N/A,#N/A,FALSE,"정공"}</definedName>
    <definedName name="연체" hidden="1">{"'5'!$A$1:$BB$147"}</definedName>
    <definedName name="연체이자탕감" hidden="1">{#N/A,#N/A,FALSE,"KMC최종회의(7월) 자료"}</definedName>
    <definedName name="연체이자탕감_1" hidden="1">{#N/A,#N/A,FALSE,"KMC최종회의(7월) 자료"}</definedName>
    <definedName name="열처리" hidden="1">{#N/A,#N/A,FALSE,"단축1";#N/A,#N/A,FALSE,"단축2";#N/A,#N/A,FALSE,"단축3";#N/A,#N/A,FALSE,"장축";#N/A,#N/A,FALSE,"4WD"}</definedName>
    <definedName name="열처리_1" hidden="1">{#N/A,#N/A,FALSE,"단축1";#N/A,#N/A,FALSE,"단축2";#N/A,#N/A,FALSE,"단축3";#N/A,#N/A,FALSE,"장축";#N/A,#N/A,FALSE,"4WD"}</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복" hidden="1">{#N/A,#N/A,FALSE,"단축1";#N/A,#N/A,FALSE,"단축2";#N/A,#N/A,FALSE,"단축3";#N/A,#N/A,FALSE,"장축";#N/A,#N/A,FALSE,"4WD"}</definedName>
    <definedName name="영업" hidden="1">#REF!</definedName>
    <definedName name="영업일" hidden="1">{#N/A,#N/A,FALSE,"KMC최종회의(7월) 자료"}</definedName>
    <definedName name="영업일_1" hidden="1">{#N/A,#N/A,FALSE,"KMC최종회의(7월) 자료"}</definedName>
    <definedName name="영업일_2" hidden="1">{#N/A,#N/A,FALSE,"KMC최종회의(7월) 자료"}</definedName>
    <definedName name="영파" hidden="1">{#N/A,#N/A,FALSE,"KMC최종회의(7월) 자료"}</definedName>
    <definedName name="영파종합" hidden="1">{#N/A,#N/A,FALSE,"KMC최종회의(7월) 자료"}</definedName>
    <definedName name="영희" hidden="1">{"'5'!$A$1:$BB$147"}</definedName>
    <definedName name="예1" hidden="1">{#N/A,#N/A,FALSE,"정공"}</definedName>
    <definedName name="예1_1" hidden="1">{#N/A,#N/A,FALSE,"정공"}</definedName>
    <definedName name="예1_2" hidden="1">{#N/A,#N/A,FALSE,"정공"}</definedName>
    <definedName name="예2" hidden="1">{#N/A,#N/A,FALSE,"정공"}</definedName>
    <definedName name="예2_1" hidden="1">{#N/A,#N/A,FALSE,"정공"}</definedName>
    <definedName name="예2_2" hidden="1">{#N/A,#N/A,FALSE,"정공"}</definedName>
    <definedName name="예3" hidden="1">{#N/A,#N/A,FALSE,"정공"}</definedName>
    <definedName name="예3_1" hidden="1">{#N/A,#N/A,FALSE,"정공"}</definedName>
    <definedName name="예3_2" hidden="1">{#N/A,#N/A,FALSE,"정공"}</definedName>
    <definedName name="예산" hidden="1">{#N/A,#N/A,FALSE,"단축1";#N/A,#N/A,FALSE,"단축2";#N/A,#N/A,FALSE,"단축3";#N/A,#N/A,FALSE,"장축";#N/A,#N/A,FALSE,"4WD"}</definedName>
    <definedName name="예산_1" hidden="1">{#N/A,#N/A,FALSE,"단축1";#N/A,#N/A,FALSE,"단축2";#N/A,#N/A,FALSE,"단축3";#N/A,#N/A,FALSE,"장축";#N/A,#N/A,FALSE,"4WD"}</definedName>
    <definedName name="예산_2" hidden="1">{#N/A,#N/A,FALSE,"단축1";#N/A,#N/A,FALSE,"단축2";#N/A,#N/A,FALSE,"단축3";#N/A,#N/A,FALSE,"장축";#N/A,#N/A,FALSE,"4WD"}</definedName>
    <definedName name="예산2" hidden="1">{#N/A,#N/A,FALSE,"단축1";#N/A,#N/A,FALSE,"단축2";#N/A,#N/A,FALSE,"단축3";#N/A,#N/A,FALSE,"장축";#N/A,#N/A,FALSE,"4WD"}</definedName>
    <definedName name="예산4" hidden="1">{#N/A,#N/A,TRUE,"Y생산";#N/A,#N/A,TRUE,"Y판매";#N/A,#N/A,TRUE,"Y총물량";#N/A,#N/A,TRUE,"Y능력";#N/A,#N/A,TRUE,"YKD"}</definedName>
    <definedName name="예산4_1" hidden="1">{#N/A,#N/A,TRUE,"Y생산";#N/A,#N/A,TRUE,"Y판매";#N/A,#N/A,TRUE,"Y총물량";#N/A,#N/A,TRUE,"Y능력";#N/A,#N/A,TRUE,"YKD"}</definedName>
    <definedName name="예산계획1" hidden="1">{#N/A,#N/A,FALSE,"단축1";#N/A,#N/A,FALSE,"단축2";#N/A,#N/A,FALSE,"단축3";#N/A,#N/A,FALSE,"장축";#N/A,#N/A,FALSE,"4WD"}</definedName>
    <definedName name="예산비교1" hidden="1">{#N/A,#N/A,FALSE,"단축1";#N/A,#N/A,FALSE,"단축2";#N/A,#N/A,FALSE,"단축3";#N/A,#N/A,FALSE,"장축";#N/A,#N/A,FALSE,"4WD"}</definedName>
    <definedName name="예산산출" hidden="1">{#N/A,#N/A,FALSE,"단축1";#N/A,#N/A,FALSE,"단축2";#N/A,#N/A,FALSE,"단축3";#N/A,#N/A,FALSE,"장축";#N/A,#N/A,FALSE,"4WD"}</definedName>
    <definedName name="예산수정" hidden="1">{#N/A,#N/A,TRUE,"Y생산";#N/A,#N/A,TRUE,"Y판매";#N/A,#N/A,TRUE,"Y총물량";#N/A,#N/A,TRUE,"Y능력";#N/A,#N/A,TRUE,"YKD"}</definedName>
    <definedName name="예산수정_1" hidden="1">{#N/A,#N/A,TRUE,"Y생산";#N/A,#N/A,TRUE,"Y판매";#N/A,#N/A,TRUE,"Y총물량";#N/A,#N/A,TRUE,"Y능력";#N/A,#N/A,TRUE,"YKD"}</definedName>
    <definedName name="예산이원화포함" hidden="1">{#N/A,#N/A,FALSE,"단축1";#N/A,#N/A,FALSE,"단축2";#N/A,#N/A,FALSE,"단축3";#N/A,#N/A,FALSE,"장축";#N/A,#N/A,FALSE,"4WD"}</definedName>
    <definedName name="예산임" hidden="1">{#N/A,#N/A,FALSE,"단축1";#N/A,#N/A,FALSE,"단축2";#N/A,#N/A,FALSE,"단축3";#N/A,#N/A,FALSE,"장축";#N/A,#N/A,FALSE,"4WD"}</definedName>
    <definedName name="예상수주원가" hidden="1">{#N/A,#N/A,FALSE,"정공"}</definedName>
    <definedName name="예스" hidden="1">{#N/A,#N/A,FALSE,"KMC최종회의(7월) 자료"}</definedName>
    <definedName name="예스_1" hidden="1">{#N/A,#N/A,FALSE,"KMC최종회의(7월) 자료"}</definedName>
    <definedName name="예스_2" hidden="1">{#N/A,#N/A,FALSE,"KMC최종회의(7월) 자료"}</definedName>
    <definedName name="오" hidden="1">{#N/A,#N/A,FALSE,"KMC최종회의(7월) 자료"}</definedName>
    <definedName name="오_1" hidden="1">{#N/A,#N/A,FALSE,"KMC최종회의(7월) 자료"}</definedName>
    <definedName name="오_2" hidden="1">{#N/A,#N/A,FALSE,"KMC최종회의(7월) 자료"}</definedName>
    <definedName name="오고" hidden="1">{#N/A,#N/A,FALSE,"단축1";#N/A,#N/A,FALSE,"단축2";#N/A,#N/A,FALSE,"단축3";#N/A,#N/A,FALSE,"장축";#N/A,#N/A,FALSE,"4WD"}</definedName>
    <definedName name="오늘" hidden="1">{#N/A,#N/A,TRUE,"Y생산";#N/A,#N/A,TRUE,"Y판매";#N/A,#N/A,TRUE,"Y총물량";#N/A,#N/A,TRUE,"Y능력";#N/A,#N/A,TRUE,"YKD"}</definedName>
    <definedName name="오늘_1" hidden="1">{#N/A,#N/A,TRUE,"Y생산";#N/A,#N/A,TRUE,"Y판매";#N/A,#N/A,TRUE,"Y총물량";#N/A,#N/A,TRUE,"Y능력";#N/A,#N/A,TRUE,"YKD"}</definedName>
    <definedName name="오디트" hidden="1">{#N/A,#N/A,FALSE,"단축1";#N/A,#N/A,FALSE,"단축2";#N/A,#N/A,FALSE,"단축3";#N/A,#N/A,FALSE,"장축";#N/A,#N/A,FALSE,"4WD"}</definedName>
    <definedName name="오디트문제점" hidden="1">{#N/A,#N/A,FALSE,"단축1";#N/A,#N/A,FALSE,"단축2";#N/A,#N/A,FALSE,"단축3";#N/A,#N/A,FALSE,"장축";#N/A,#N/A,FALSE,"4WD"}</definedName>
    <definedName name="오로1" hidden="1">{#N/A,#N/A,FALSE,"단축1";#N/A,#N/A,FALSE,"단축2";#N/A,#N/A,FALSE,"단축3";#N/A,#N/A,FALSE,"장축";#N/A,#N/A,FALSE,"4WD"}</definedName>
    <definedName name="오성협" hidden="1">{#N/A,#N/A,TRUE,"Y생산";#N/A,#N/A,TRUE,"Y판매";#N/A,#N/A,TRUE,"Y총물량";#N/A,#N/A,TRUE,"Y능력";#N/A,#N/A,TRUE,"YKD"}</definedName>
    <definedName name="오성협_1" hidden="1">{#N/A,#N/A,TRUE,"Y생산";#N/A,#N/A,TRUE,"Y판매";#N/A,#N/A,TRUE,"Y총물량";#N/A,#N/A,TRUE,"Y능력";#N/A,#N/A,TRUE,"YKD"}</definedName>
    <definedName name="오성협_2" hidden="1">{#N/A,#N/A,TRUE,"Y생산";#N/A,#N/A,TRUE,"Y판매";#N/A,#N/A,TRUE,"Y총물량";#N/A,#N/A,TRUE,"Y능력";#N/A,#N/A,TRUE,"YKD"}</definedName>
    <definedName name="오성협_2_1" hidden="1">{#N/A,#N/A,TRUE,"Y생산";#N/A,#N/A,TRUE,"Y판매";#N/A,#N/A,TRUE,"Y총물량";#N/A,#N/A,TRUE,"Y능력";#N/A,#N/A,TRUE,"YKD"}</definedName>
    <definedName name="오성협_2_2" hidden="1">{#N/A,#N/A,TRUE,"Y생산";#N/A,#N/A,TRUE,"Y판매";#N/A,#N/A,TRUE,"Y총물량";#N/A,#N/A,TRUE,"Y능력";#N/A,#N/A,TRUE,"YKD"}</definedName>
    <definedName name="오성협_2_3" hidden="1">{#N/A,#N/A,TRUE,"Y생산";#N/A,#N/A,TRUE,"Y판매";#N/A,#N/A,TRUE,"Y총물량";#N/A,#N/A,TRUE,"Y능력";#N/A,#N/A,TRUE,"YKD"}</definedName>
    <definedName name="오성협_3" hidden="1">{#N/A,#N/A,TRUE,"Y생산";#N/A,#N/A,TRUE,"Y판매";#N/A,#N/A,TRUE,"Y총물량";#N/A,#N/A,TRUE,"Y능력";#N/A,#N/A,TRUE,"YKD"}</definedName>
    <definedName name="오성협_3_1" hidden="1">{#N/A,#N/A,TRUE,"Y생산";#N/A,#N/A,TRUE,"Y판매";#N/A,#N/A,TRUE,"Y총물량";#N/A,#N/A,TRUE,"Y능력";#N/A,#N/A,TRUE,"YKD"}</definedName>
    <definedName name="오성협_3_2" hidden="1">{#N/A,#N/A,TRUE,"Y생산";#N/A,#N/A,TRUE,"Y판매";#N/A,#N/A,TRUE,"Y총물량";#N/A,#N/A,TRUE,"Y능력";#N/A,#N/A,TRUE,"YKD"}</definedName>
    <definedName name="오성협_3_3" hidden="1">{#N/A,#N/A,TRUE,"Y생산";#N/A,#N/A,TRUE,"Y판매";#N/A,#N/A,TRUE,"Y총물량";#N/A,#N/A,TRUE,"Y능력";#N/A,#N/A,TRUE,"YKD"}</definedName>
    <definedName name="오성협_4" hidden="1">{#N/A,#N/A,TRUE,"Y생산";#N/A,#N/A,TRUE,"Y판매";#N/A,#N/A,TRUE,"Y총물량";#N/A,#N/A,TRUE,"Y능력";#N/A,#N/A,TRUE,"YKD"}</definedName>
    <definedName name="오성협_5" hidden="1">{#N/A,#N/A,TRUE,"Y생산";#N/A,#N/A,TRUE,"Y판매";#N/A,#N/A,TRUE,"Y총물량";#N/A,#N/A,TRUE,"Y능력";#N/A,#N/A,TRUE,"YKD"}</definedName>
    <definedName name="오성히" hidden="1">{#N/A,#N/A,TRUE,"Y생산";#N/A,#N/A,TRUE,"Y판매";#N/A,#N/A,TRUE,"Y총물량";#N/A,#N/A,TRUE,"Y능력";#N/A,#N/A,TRUE,"YKD"}</definedName>
    <definedName name="오성히_1" hidden="1">{#N/A,#N/A,TRUE,"Y생산";#N/A,#N/A,TRUE,"Y판매";#N/A,#N/A,TRUE,"Y총물량";#N/A,#N/A,TRUE,"Y능력";#N/A,#N/A,TRUE,"YKD"}</definedName>
    <definedName name="오어나" hidden="1">{#N/A,#N/A,FALSE,"단축1";#N/A,#N/A,FALSE,"단축2";#N/A,#N/A,FALSE,"단축3";#N/A,#N/A,FALSE,"장축";#N/A,#N/A,FALSE,"4WD"}</definedName>
    <definedName name="오이" hidden="1">{#N/A,#N/A,FALSE,"단축1";#N/A,#N/A,FALSE,"단축2";#N/A,#N/A,FALSE,"단축3";#N/A,#N/A,FALSE,"장축";#N/A,#N/A,FALSE,"4WD"}</definedName>
    <definedName name="오익환" hidden="1">{#N/A,#N/A,FALSE,"단축1";#N/A,#N/A,FALSE,"단축2";#N/A,#N/A,FALSE,"단축3";#N/A,#N/A,FALSE,"장축";#N/A,#N/A,FALSE,"4WD"}</definedName>
    <definedName name="오익환_1" hidden="1">{#N/A,#N/A,FALSE,"단축1";#N/A,#N/A,FALSE,"단축2";#N/A,#N/A,FALSE,"단축3";#N/A,#N/A,FALSE,"장축";#N/A,#N/A,FALSE,"4WD"}</definedName>
    <definedName name="오일건" hidden="1">{#N/A,#N/A,FALSE,"단축1";#N/A,#N/A,FALSE,"단축2";#N/A,#N/A,FALSE,"단축3";#N/A,#N/A,FALSE,"장축";#N/A,#N/A,FALSE,"4WD"}</definedName>
    <definedName name="오일건_1" hidden="1">{#N/A,#N/A,FALSE,"단축1";#N/A,#N/A,FALSE,"단축2";#N/A,#N/A,FALSE,"단축3";#N/A,#N/A,FALSE,"장축";#N/A,#N/A,FALSE,"4WD"}</definedName>
    <definedName name="오일건_2" hidden="1">{#N/A,#N/A,FALSE,"단축1";#N/A,#N/A,FALSE,"단축2";#N/A,#N/A,FALSE,"단축3";#N/A,#N/A,FALSE,"장축";#N/A,#N/A,FALSE,"4WD"}</definedName>
    <definedName name="오일도포" hidden="1">{#N/A,#N/A,FALSE,"단축1";#N/A,#N/A,FALSE,"단축2";#N/A,#N/A,FALSE,"단축3";#N/A,#N/A,FALSE,"장축";#N/A,#N/A,FALSE,"4WD"}</definedName>
    <definedName name="오정진" hidden="1">{#N/A,#N/A,FALSE,"96 3월물량표";#N/A,#N/A,FALSE,"96 4월물량표";#N/A,#N/A,FALSE,"96 5월물량표"}</definedName>
    <definedName name="오주3" hidden="1">{#N/A,#N/A,FALSE,"KMC최종회의(7월) 자료"}</definedName>
    <definedName name="오주3_1" hidden="1">{#N/A,#N/A,FALSE,"KMC최종회의(7월) 자료"}</definedName>
    <definedName name="오주3_2" hidden="1">{#N/A,#N/A,FALSE,"KMC최종회의(7월) 자료"}</definedName>
    <definedName name="오창" hidden="1">{"'표지'!$B$5"}</definedName>
    <definedName name="오토" hidden="1">{"'5'!$A$1:$BB$147"}</definedName>
    <definedName name="오토리스" hidden="1">{"'5'!$A$1:$BB$147"}</definedName>
    <definedName name="오토리스1" hidden="1">{"'5'!$A$1:$BB$147"}</definedName>
    <definedName name="오토리스실적" hidden="1">{"'5'!$A$1:$BB$147"}</definedName>
    <definedName name="오토바이" hidden="1">{#N/A,#N/A,FALSE,"96자동차사 계획";#N/A,#N/A,FALSE,"96자동차사 계획"}</definedName>
    <definedName name="오토본부" hidden="1">{"'5'!$A$1:$BB$147"}</definedName>
    <definedName name="오토토" hidden="1">{"'5'!$A$1:$BB$147"}</definedName>
    <definedName name="오포" hidden="1">{"'5'!$A$1:$BB$147"}</definedName>
    <definedName name="오ㅓㄱ" hidden="1">#REF!</definedName>
    <definedName name="옥자" hidden="1">{#N/A,#N/A,FALSE,"단축1";#N/A,#N/A,FALSE,"단축2";#N/A,#N/A,FALSE,"단축3";#N/A,#N/A,FALSE,"장축";#N/A,#N/A,FALSE,"4WD"}</definedName>
    <definedName name="온마허" hidden="1">{#N/A,#N/A,FALSE,"정공"}</definedName>
    <definedName name="와" hidden="1">{#N/A,#N/A,FALSE,"단축1";#N/A,#N/A,FALSE,"단축2";#N/A,#N/A,FALSE,"단축3";#N/A,#N/A,FALSE,"장축";#N/A,#N/A,FALSE,"4WD"}</definedName>
    <definedName name="와이어" hidden="1">{#N/A,#N/A,FALSE,"단축1";#N/A,#N/A,FALSE,"단축2";#N/A,#N/A,FALSE,"단축3";#N/A,#N/A,FALSE,"장축";#N/A,#N/A,FALSE,"4WD"}</definedName>
    <definedName name="와이퍼일" hidden="1">{#N/A,#N/A,FALSE,"단축1";#N/A,#N/A,FALSE,"단축2";#N/A,#N/A,FALSE,"단축3";#N/A,#N/A,FALSE,"장축";#N/A,#N/A,FALSE,"4WD"}</definedName>
    <definedName name="왜" hidden="1">{#N/A,#N/A,FALSE,"정공"}</definedName>
    <definedName name="외" hidden="1">{#N/A,#N/A,FALSE,"단축1";#N/A,#N/A,FALSE,"단축2";#N/A,#N/A,FALSE,"단축3";#N/A,#N/A,FALSE,"장축";#N/A,#N/A,FALSE,"4WD"}</definedName>
    <definedName name="외부소음영향" hidden="1">{#N/A,#N/A,FALSE,"단축1";#N/A,#N/A,FALSE,"단축2";#N/A,#N/A,FALSE,"단축3";#N/A,#N/A,FALSE,"장축";#N/A,#N/A,FALSE,"4WD"}</definedName>
    <definedName name="외자"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그룹핑" hidden="1">{#N/A,#N/A,FALSE,"단축1";#N/A,#N/A,FALSE,"단축2";#N/A,#N/A,FALSE,"단축3";#N/A,#N/A,FALSE,"장축";#N/A,#N/A,FALSE,"4WD"}</definedName>
    <definedName name="외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종합" hidden="1">{#N/A,#N/A,FALSE,"단축1";#N/A,#N/A,FALSE,"단축2";#N/A,#N/A,FALSE,"단축3";#N/A,#N/A,FALSE,"장축";#N/A,#N/A,FALSE,"4WD"}</definedName>
    <definedName name="외작기획실" hidden="1">{"'매출계획'!$D$2"}</definedName>
    <definedName name="외장" hidden="1">{#N/A,#N/A,FALSE,"단축1";#N/A,#N/A,FALSE,"단축2";#N/A,#N/A,FALSE,"단축3";#N/A,#N/A,FALSE,"장축";#N/A,#N/A,FALSE,"4WD"}</definedName>
    <definedName name="외주4" hidden="1">{#N/A,#N/A,FALSE,"KMC최종회의(7월) 자료"}</definedName>
    <definedName name="외주4_1" hidden="1">{#N/A,#N/A,FALSE,"KMC최종회의(7월) 자료"}</definedName>
    <definedName name="외주4_2" hidden="1">{#N/A,#N/A,FALSE,"KMC최종회의(7월) 자료"}</definedName>
    <definedName name="외주계획" hidden="1">{#N/A,#N/A,TRUE,"Y생산";#N/A,#N/A,TRUE,"Y판매";#N/A,#N/A,TRUE,"Y총물량";#N/A,#N/A,TRUE,"Y능력";#N/A,#N/A,TRUE,"YKD"}</definedName>
    <definedName name="외주계획_1" hidden="1">{#N/A,#N/A,TRUE,"Y생산";#N/A,#N/A,TRUE,"Y판매";#N/A,#N/A,TRUE,"Y총물량";#N/A,#N/A,TRUE,"Y능력";#N/A,#N/A,TRUE,"YKD"}</definedName>
    <definedName name="외주업체" hidden="1">{#N/A,#N/A,FALSE,"단축1";#N/A,#N/A,FALSE,"단축2";#N/A,#N/A,FALSE,"단축3";#N/A,#N/A,FALSE,"장축";#N/A,#N/A,FALSE,"4WD"}</definedName>
    <definedName name="외형분석" hidden="1">{#N/A,#N/A,FALSE,"정공"}</definedName>
    <definedName name="외형분석_1" hidden="1">{#N/A,#N/A,FALSE,"정공"}</definedName>
    <definedName name="외형분석_2" hidden="1">{#N/A,#N/A,FALSE,"정공"}</definedName>
    <definedName name="외형비교표" hidden="1">{#N/A,#N/A,FALSE,"정공"}</definedName>
    <definedName name="외형비교표_1" hidden="1">{#N/A,#N/A,FALSE,"정공"}</definedName>
    <definedName name="외형비교표_2" hidden="1">{#N/A,#N/A,FALSE,"정공"}</definedName>
    <definedName name="외형종합표" hidden="1">{#N/A,#N/A,FALSE,"정공"}</definedName>
    <definedName name="외형종합표_1" hidden="1">{#N/A,#N/A,FALSE,"정공"}</definedName>
    <definedName name="외화환차" hidden="1">{#N/A,#N/A,FALSE,"정공"}</definedName>
    <definedName name="외화환차1" hidden="1">{#N/A,#N/A,FALSE,"정공"}</definedName>
    <definedName name="요건_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약" hidden="1">{#N/A,#N/A,FALSE,"정공"}</definedName>
    <definedName name="요약_1" hidden="1">{#N/A,#N/A,FALSE,"정공"}</definedName>
    <definedName name="요약_2" hidden="1">{#N/A,#N/A,FALSE,"정공"}</definedName>
    <definedName name="요약_2_1" hidden="1">{#N/A,#N/A,FALSE,"정공"}</definedName>
    <definedName name="요약_2_2" hidden="1">{#N/A,#N/A,FALSE,"정공"}</definedName>
    <definedName name="요약_2_3" hidden="1">{#N/A,#N/A,FALSE,"정공"}</definedName>
    <definedName name="요약_3" hidden="1">{#N/A,#N/A,FALSE,"정공"}</definedName>
    <definedName name="요약_3_1" hidden="1">{#N/A,#N/A,FALSE,"정공"}</definedName>
    <definedName name="요약_3_2" hidden="1">{#N/A,#N/A,FALSE,"정공"}</definedName>
    <definedName name="요약_3_3" hidden="1">{#N/A,#N/A,FALSE,"정공"}</definedName>
    <definedName name="요약_4" hidden="1">{#N/A,#N/A,FALSE,"정공"}</definedName>
    <definedName name="요약_5" hidden="1">{#N/A,#N/A,FALSE,"정공"}</definedName>
    <definedName name="요약2" hidden="1">{#N/A,#N/A,FALSE,"단축1";#N/A,#N/A,FALSE,"단축2";#N/A,#N/A,FALSE,"단축3";#N/A,#N/A,FALSE,"장축";#N/A,#N/A,FALSE,"4WD"}</definedName>
    <definedName name="요약3" hidden="1">{#N/A,#N/A,FALSE,"정공"}</definedName>
    <definedName name="요약3_1" hidden="1">{#N/A,#N/A,FALSE,"정공"}</definedName>
    <definedName name="요약3_2" hidden="1">{#N/A,#N/A,FALSE,"정공"}</definedName>
    <definedName name="요약3_2_1" hidden="1">{#N/A,#N/A,FALSE,"정공"}</definedName>
    <definedName name="요약3_2_2" hidden="1">{#N/A,#N/A,FALSE,"정공"}</definedName>
    <definedName name="요약3_2_3" hidden="1">{#N/A,#N/A,FALSE,"정공"}</definedName>
    <definedName name="요약3_3" hidden="1">{#N/A,#N/A,FALSE,"정공"}</definedName>
    <definedName name="요약3_3_1" hidden="1">{#N/A,#N/A,FALSE,"정공"}</definedName>
    <definedName name="요약3_3_2" hidden="1">{#N/A,#N/A,FALSE,"정공"}</definedName>
    <definedName name="요약3_3_3" hidden="1">{#N/A,#N/A,FALSE,"정공"}</definedName>
    <definedName name="요약3_4" hidden="1">{#N/A,#N/A,FALSE,"정공"}</definedName>
    <definedName name="요약3_5" hidden="1">{#N/A,#N/A,FALSE,"정공"}</definedName>
    <definedName name="요약5" hidden="1">{#N/A,#N/A,FALSE,"정공"}</definedName>
    <definedName name="요약5_1" hidden="1">{#N/A,#N/A,FALSE,"정공"}</definedName>
    <definedName name="요약5_2" hidden="1">{#N/A,#N/A,FALSE,"정공"}</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총괄" hidden="1">{#N/A,#N/A,FALSE,"정공"}</definedName>
    <definedName name="요약총괄_1" hidden="1">{#N/A,#N/A,FALSE,"정공"}</definedName>
    <definedName name="요약총괄_2" hidden="1">{#N/A,#N/A,FALSE,"정공"}</definedName>
    <definedName name="요약표2" hidden="1">{#N/A,#N/A,FALSE,"정공"}</definedName>
    <definedName name="요약표2_1" hidden="1">{#N/A,#N/A,FALSE,"정공"}</definedName>
    <definedName name="요약표2_2" hidden="1">{#N/A,#N/A,FALSE,"정공"}</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욕ㅎ묘" hidden="1">{#N/A,#N/A,FALSE,"을지 (4)";#N/A,#N/A,FALSE,"을지 (5)";#N/A,#N/A,FALSE,"을지 (6)"}</definedName>
    <definedName name="용기" hidden="1">{#N/A,#N/A,FALSE,"단축1";#N/A,#N/A,FALSE,"단축2";#N/A,#N/A,FALSE,"단축3";#N/A,#N/A,FALSE,"장축";#N/A,#N/A,FALSE,"4WD"}</definedName>
    <definedName name="용기_1" hidden="1">{#N/A,#N/A,FALSE,"단축1";#N/A,#N/A,FALSE,"단축2";#N/A,#N/A,FALSE,"단축3";#N/A,#N/A,FALSE,"장축";#N/A,#N/A,FALSE,"4WD"}</definedName>
    <definedName name="용도" hidden="1">{#N/A,#N/A,FALSE,"단축1";#N/A,#N/A,FALSE,"단축2";#N/A,#N/A,FALSE,"단축3";#N/A,#N/A,FALSE,"장축";#N/A,#N/A,FALSE,"4WD"}</definedName>
    <definedName name="용도차" hidden="1">{#N/A,#N/A,FALSE,"단축1";#N/A,#N/A,FALSE,"단축2";#N/A,#N/A,FALSE,"단축3";#N/A,#N/A,FALSE,"장축";#N/A,#N/A,FALSE,"4WD"}</definedName>
    <definedName name="용도차_1" hidden="1">{#N/A,#N/A,FALSE,"단축1";#N/A,#N/A,FALSE,"단축2";#N/A,#N/A,FALSE,"단축3";#N/A,#N/A,FALSE,"장축";#N/A,#N/A,FALSE,"4WD"}</definedName>
    <definedName name="용도차_2" hidden="1">{#N/A,#N/A,FALSE,"단축1";#N/A,#N/A,FALSE,"단축2";#N/A,#N/A,FALSE,"단축3";#N/A,#N/A,FALSE,"장축";#N/A,#N/A,FALSE,"4WD"}</definedName>
    <definedName name="용돌차" hidden="1">{#N/A,#N/A,FALSE,"단축1";#N/A,#N/A,FALSE,"단축2";#N/A,#N/A,FALSE,"단축3";#N/A,#N/A,FALSE,"장축";#N/A,#N/A,FALSE,"4WD"}</definedName>
    <definedName name="용역" hidden="1">{#N/A,#N/A,TRUE,"Y생산";#N/A,#N/A,TRUE,"Y판매";#N/A,#N/A,TRUE,"Y총물량";#N/A,#N/A,TRUE,"Y능력";#N/A,#N/A,TRUE,"YKD"}</definedName>
    <definedName name="용역_1" hidden="1">{#N/A,#N/A,TRUE,"Y생산";#N/A,#N/A,TRUE,"Y판매";#N/A,#N/A,TRUE,"Y총물량";#N/A,#N/A,TRUE,"Y능력";#N/A,#N/A,TRUE,"YKD"}</definedName>
    <definedName name="우" hidden="1">{#N/A,#N/A,FALSE,"단축1";#N/A,#N/A,FALSE,"단축2";#N/A,#N/A,FALSE,"단축3";#N/A,#N/A,FALSE,"장축";#N/A,#N/A,FALSE,"4WD"}</definedName>
    <definedName name="우라" hidden="1">{#N/A,#N/A,FALSE,"KMC최종회의(7월) 자료"}</definedName>
    <definedName name="우라_1" hidden="1">{#N/A,#N/A,FALSE,"KMC최종회의(7월) 자료"}</definedName>
    <definedName name="우라가있징ㅛ" hidden="1">#REF!</definedName>
    <definedName name="우리" hidden="1">{#N/A,#N/A,FALSE,"KMC최종회의(7월) 자료"}</definedName>
    <definedName name="우리_1" hidden="1">{#N/A,#N/A,FALSE,"KMC최종회의(7월) 자료"}</definedName>
    <definedName name="우리가" hidden="1">{#N/A,#N/A,TRUE,"Y생산";#N/A,#N/A,TRUE,"Y판매";#N/A,#N/A,TRUE,"Y총물량";#N/A,#N/A,TRUE,"Y능력";#N/A,#N/A,TRUE,"YKD"}</definedName>
    <definedName name="우리나라" hidden="1">{#N/A,#N/A,FALSE,"KMC최종회의(7월) 자료"}</definedName>
    <definedName name="우리나라_1" hidden="1">{#N/A,#N/A,TRUE,"Y생산";#N/A,#N/A,TRUE,"Y판매";#N/A,#N/A,TRUE,"Y총물량";#N/A,#N/A,TRUE,"Y능력";#N/A,#N/A,TRUE,"YKD"}</definedName>
    <definedName name="우리난라" hidden="1">{#N/A,#N/A,FALSE,"KMC최종회의(7월) 자료"}</definedName>
    <definedName name="우리난라_1" hidden="1">{#N/A,#N/A,FALSE,"KMC최종회의(7월) 자료"}</definedName>
    <definedName name="우리는" hidden="1">{#N/A,#N/A,FALSE,"KMC최종회의(7월) 자료"}</definedName>
    <definedName name="우린ㄴㄴㄴㄴ나" hidden="1">{"'표지'!$B$5"}</definedName>
    <definedName name="우신" hidden="1">{#N/A,#N/A,FALSE,"단축1";#N/A,#N/A,FALSE,"단축2";#N/A,#N/A,FALSE,"단축3";#N/A,#N/A,FALSE,"장축";#N/A,#N/A,FALSE,"4WD"}</definedName>
    <definedName name="우신기계" hidden="1">{#N/A,#N/A,FALSE,"단축1";#N/A,#N/A,FALSE,"단축2";#N/A,#N/A,FALSE,"단축3";#N/A,#N/A,FALSE,"장축";#N/A,#N/A,FALSE,"4WD"}</definedName>
    <definedName name="우정훈" hidden="1">{#N/A,#N/A,TRUE,"Y생산";#N/A,#N/A,TRUE,"Y판매";#N/A,#N/A,TRUE,"Y총물량";#N/A,#N/A,TRUE,"Y능력";#N/A,#N/A,TRUE,"YKD"}</definedName>
    <definedName name="우호성" hidden="1">{#N/A,#N/A,TRUE,"Y생산";#N/A,#N/A,TRUE,"Y판매";#N/A,#N/A,TRUE,"Y총물량";#N/A,#N/A,TRUE,"Y능력";#N/A,#N/A,TRUE,"YKD"}</definedName>
    <definedName name="운동기구대" hidden="1">{#N/A,#N/A,FALSE,"정공"}</definedName>
    <definedName name="운송"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영" hidden="1">{#N/A,#N/A,FALSE,"KMC최종회의(7월) 자료"}</definedName>
    <definedName name="운영_1" hidden="1">{#N/A,#N/A,FALSE,"KMC최종회의(7월) 자료"}</definedName>
    <definedName name="운영_2" hidden="1">{#N/A,#N/A,FALSE,"KMC최종회의(7월) 자료"}</definedName>
    <definedName name="운영1" hidden="1">{#N/A,#N/A,FALSE,"단축1";#N/A,#N/A,FALSE,"단축2";#N/A,#N/A,FALSE,"단축3";#N/A,#N/A,FALSE,"장축";#N/A,#N/A,FALSE,"4WD"}</definedName>
    <definedName name="운영구도2" hidden="1">{#N/A,#N/A,FALSE,"단축1";#N/A,#N/A,FALSE,"단축2";#N/A,#N/A,FALSE,"단축3";#N/A,#N/A,FALSE,"장축";#N/A,#N/A,FALSE,"4WD"}</definedName>
    <definedName name="운영구도2_1" hidden="1">{#N/A,#N/A,FALSE,"단축1";#N/A,#N/A,FALSE,"단축2";#N/A,#N/A,FALSE,"단축3";#N/A,#N/A,FALSE,"장축";#N/A,#N/A,FALSE,"4WD"}</definedName>
    <definedName name="운영구도2_2" hidden="1">{#N/A,#N/A,FALSE,"단축1";#N/A,#N/A,FALSE,"단축2";#N/A,#N/A,FALSE,"단축3";#N/A,#N/A,FALSE,"장축";#N/A,#N/A,FALSE,"4WD"}</definedName>
    <definedName name="운영구도3" hidden="1">{#N/A,#N/A,FALSE,"단축1";#N/A,#N/A,FALSE,"단축2";#N/A,#N/A,FALSE,"단축3";#N/A,#N/A,FALSE,"장축";#N/A,#N/A,FALSE,"4WD"}</definedName>
    <definedName name="운영구도3_1" hidden="1">{#N/A,#N/A,FALSE,"단축1";#N/A,#N/A,FALSE,"단축2";#N/A,#N/A,FALSE,"단축3";#N/A,#N/A,FALSE,"장축";#N/A,#N/A,FALSE,"4WD"}</definedName>
    <definedName name="운영구도3_2" hidden="1">{#N/A,#N/A,FALSE,"단축1";#N/A,#N/A,FALSE,"단축2";#N/A,#N/A,FALSE,"단축3";#N/A,#N/A,FALSE,"장축";#N/A,#N/A,FALSE,"4WD"}</definedName>
    <definedName name="운영방안" hidden="1">{#N/A,#N/A,FALSE,"단축1";#N/A,#N/A,FALSE,"단축2";#N/A,#N/A,FALSE,"단축3";#N/A,#N/A,FALSE,"장축";#N/A,#N/A,FALSE,"4WD"}</definedName>
    <definedName name="운영방안_1" hidden="1">{#N/A,#N/A,FALSE,"단축1";#N/A,#N/A,FALSE,"단축2";#N/A,#N/A,FALSE,"단축3";#N/A,#N/A,FALSE,"장축";#N/A,#N/A,FALSE,"4WD"}</definedName>
    <definedName name="운영방침" hidden="1">{#N/A,#N/A,TRUE,"Y생산";#N/A,#N/A,TRUE,"Y판매";#N/A,#N/A,TRUE,"Y총물량";#N/A,#N/A,TRUE,"Y능력";#N/A,#N/A,TRUE,"YKD"}</definedName>
    <definedName name="운영방침1" hidden="1">{#N/A,#N/A,FALSE,"협조전";#N/A,#N/A,FALSE,"원가절감계획 ";#N/A,#N/A,FALSE,"항목별원가절감계획"}</definedName>
    <definedName name="운영방침1_1" hidden="1">{#N/A,#N/A,FALSE,"협조전";#N/A,#N/A,FALSE,"원가절감계획 ";#N/A,#N/A,FALSE,"항목별원가절감계획"}</definedName>
    <definedName name="운영분석" hidden="1">{#N/A,#N/A,FALSE,"KMC최종회의(7월) 자료"}</definedName>
    <definedName name="운영안" hidden="1">{#N/A,#N/A,FALSE,"단축1";#N/A,#N/A,FALSE,"단축2";#N/A,#N/A,FALSE,"단축3";#N/A,#N/A,FALSE,"장축";#N/A,#N/A,FALSE,"4WD"}</definedName>
    <definedName name="운영안신" hidden="1">{#N/A,#N/A,FALSE,"단축1";#N/A,#N/A,FALSE,"단축2";#N/A,#N/A,FALSE,"단축3";#N/A,#N/A,FALSE,"장축";#N/A,#N/A,FALSE,"4WD"}</definedName>
    <definedName name="운영회의5월" hidden="1">#REF!</definedName>
    <definedName name="울랄라" hidden="1">{"'5'!$A$1:$BB$147"}</definedName>
    <definedName name="울산공장" hidden="1">{#N/A,#N/A,FALSE,"단축1";#N/A,#N/A,FALSE,"단축2";#N/A,#N/A,FALSE,"단축3";#N/A,#N/A,FALSE,"장축";#N/A,#N/A,FALSE,"4WD"}</definedName>
    <definedName name="울산공장만" hidden="1">{#N/A,#N/A,FALSE,"단축1";#N/A,#N/A,FALSE,"단축2";#N/A,#N/A,FALSE,"단축3";#N/A,#N/A,FALSE,"장축";#N/A,#N/A,FALSE,"4WD"}</definedName>
    <definedName name="울산중역1" hidden="1">#REF!</definedName>
    <definedName name="움퍄" hidden="1">{#N/A,#N/A,FALSE,"KMC최종회의(7월) 자료"}</definedName>
    <definedName name="움퍄_1" hidden="1">{#N/A,#N/A,FALSE,"KMC최종회의(7월) 자료"}</definedName>
    <definedName name="원_" hidden="1">{#N/A,#N/A,FALSE,"단축1";#N/A,#N/A,FALSE,"단축2";#N/A,#N/A,FALSE,"단축3";#N/A,#N/A,FALSE,"장축";#N/A,#N/A,FALSE,"4WD"}</definedName>
    <definedName name="원_목차" hidden="1">{#N/A,#N/A,FALSE,"단축1";#N/A,#N/A,FALSE,"단축2";#N/A,#N/A,FALSE,"단축3";#N/A,#N/A,FALSE,"장축";#N/A,#N/A,FALSE,"4WD"}</definedName>
    <definedName name="원가" hidden="1">{#N/A,#N/A,FALSE,"KMC최종회의(7월) 자료"}</definedName>
    <definedName name="원가_1" hidden="1">{#N/A,#N/A,FALSE,"KMC최종회의(7월) 자료"}</definedName>
    <definedName name="원가_2" hidden="1">{#N/A,#N/A,FALSE,"KMC최종회의(7월) 자료"}</definedName>
    <definedName name="원가2" hidden="1">{#N/A,#N/A,FALSE,"KMC최종회의(7월) 자료"}</definedName>
    <definedName name="원가3" hidden="1">{#N/A,#N/A,FALSE,"KMC최종회의(7월) 자료"}</definedName>
    <definedName name="원가견적" hidden="1">{#N/A,#N/A,TRUE,"Y생산";#N/A,#N/A,TRUE,"Y판매";#N/A,#N/A,TRUE,"Y총물량";#N/A,#N/A,TRUE,"Y능력";#N/A,#N/A,TRUE,"YKD"}</definedName>
    <definedName name="원가계산" hidden="1">{#N/A,#N/A,FALSE,"KMC최종회의(7월) 자료"}</definedName>
    <definedName name="원가계산1" hidden="1">{#N/A,#N/A,FALSE,"KMC최종회의(7월) 자료"}</definedName>
    <definedName name="원가계산서양식2" hidden="1">{#N/A,#N/A,FALSE,"단축1";#N/A,#N/A,FALSE,"단축2";#N/A,#N/A,FALSE,"단축3";#N/A,#N/A,FALSE,"장축";#N/A,#N/A,FALSE,"4WD"}</definedName>
    <definedName name="원가관리라" hidden="1">{#N/A,#N/A,FALSE,"정공"}</definedName>
    <definedName name="원가관리라_1" hidden="1">{#N/A,#N/A,FALSE,"정공"}</definedName>
    <definedName name="원가관리라_2" hidden="1">{#N/A,#N/A,FALSE,"정공"}</definedName>
    <definedName name="원가관리라_2_1" hidden="1">{#N/A,#N/A,FALSE,"정공"}</definedName>
    <definedName name="원가관리라_2_2" hidden="1">{#N/A,#N/A,FALSE,"정공"}</definedName>
    <definedName name="원가관리라_2_3" hidden="1">{#N/A,#N/A,FALSE,"정공"}</definedName>
    <definedName name="원가관리라_3" hidden="1">{#N/A,#N/A,FALSE,"정공"}</definedName>
    <definedName name="원가관리라_3_1" hidden="1">{#N/A,#N/A,FALSE,"정공"}</definedName>
    <definedName name="원가관리라_3_2" hidden="1">{#N/A,#N/A,FALSE,"정공"}</definedName>
    <definedName name="원가관리라_3_3" hidden="1">{#N/A,#N/A,FALSE,"정공"}</definedName>
    <definedName name="원가관리라_4" hidden="1">{#N/A,#N/A,FALSE,"정공"}</definedName>
    <definedName name="원가관리라_5" hidden="1">{#N/A,#N/A,FALSE,"정공"}</definedName>
    <definedName name="원가분석표" hidden="1">{#N/A,#N/A,TRUE,"Y생산";#N/A,#N/A,TRUE,"Y판매";#N/A,#N/A,TRUE,"Y총물량";#N/A,#N/A,TRUE,"Y능력";#N/A,#N/A,TRUE,"YKD"}</definedName>
    <definedName name="원가이름" hidden="1">{#N/A,#N/A,FALSE,"인원";#N/A,#N/A,FALSE,"비용2";#N/A,#N/A,FALSE,"비용1";#N/A,#N/A,FALSE,"비용";#N/A,#N/A,FALSE,"보증2";#N/A,#N/A,FALSE,"보증1";#N/A,#N/A,FALSE,"보증";#N/A,#N/A,FALSE,"손익1";#N/A,#N/A,FALSE,"손익";#N/A,#N/A,FALSE,"부서별매출";#N/A,#N/A,FALSE,"매출"}</definedName>
    <definedName name="원가적용" hidden="1">{#N/A,#N/A,FALSE,"정공"}</definedName>
    <definedName name="원가적용_1" hidden="1">{#N/A,#N/A,FALSE,"정공"}</definedName>
    <definedName name="원가적용_2" hidden="1">{#N/A,#N/A,FALSE,"정공"}</definedName>
    <definedName name="원가적용_2_1" hidden="1">{#N/A,#N/A,FALSE,"정공"}</definedName>
    <definedName name="원가적용_2_2" hidden="1">{#N/A,#N/A,FALSE,"정공"}</definedName>
    <definedName name="원가적용_2_3" hidden="1">{#N/A,#N/A,FALSE,"정공"}</definedName>
    <definedName name="원가적용_3" hidden="1">{#N/A,#N/A,FALSE,"정공"}</definedName>
    <definedName name="원가적용_3_1" hidden="1">{#N/A,#N/A,FALSE,"정공"}</definedName>
    <definedName name="원가적용_3_2" hidden="1">{#N/A,#N/A,FALSE,"정공"}</definedName>
    <definedName name="원가적용_3_3" hidden="1">{#N/A,#N/A,FALSE,"정공"}</definedName>
    <definedName name="원가적용_4" hidden="1">{#N/A,#N/A,FALSE,"정공"}</definedName>
    <definedName name="원가적용_5" hidden="1">{#N/A,#N/A,FALSE,"정공"}</definedName>
    <definedName name="원가절감" hidden="1">#REF!</definedName>
    <definedName name="원가절감2" hidden="1">{#N/A,#N/A,FALSE,"정공"}</definedName>
    <definedName name="원가절감2_1" hidden="1">{#N/A,#N/A,FALSE,"정공"}</definedName>
    <definedName name="원가절감2_2" hidden="1">{#N/A,#N/A,FALSE,"정공"}</definedName>
    <definedName name="원가절감22" hidden="1">{#N/A,#N/A,FALSE,"정공"}</definedName>
    <definedName name="원가절감22_1" hidden="1">{#N/A,#N/A,FALSE,"정공"}</definedName>
    <definedName name="원가절감22_2" hidden="1">{#N/A,#N/A,FALSE,"정공"}</definedName>
    <definedName name="원가절감반영후" hidden="1">{#N/A,#N/A,FALSE,"정공"}</definedName>
    <definedName name="원가절감반영후_1" hidden="1">{#N/A,#N/A,FALSE,"정공"}</definedName>
    <definedName name="원가절감반영후_2" hidden="1">{#N/A,#N/A,FALSE,"정공"}</definedName>
    <definedName name="원가절감싯트" hidden="1">{#N/A,#N/A,FALSE,"정공"}</definedName>
    <definedName name="원가절감싯트_1" hidden="1">{#N/A,#N/A,FALSE,"정공"}</definedName>
    <definedName name="원가절감싯트_2" hidden="1">{#N/A,#N/A,FALSE,"정공"}</definedName>
    <definedName name="원가절감양식" hidden="1">{#N/A,#N/A,TRUE,"Y생산";#N/A,#N/A,TRUE,"Y판매";#N/A,#N/A,TRUE,"Y총물량";#N/A,#N/A,TRUE,"Y능력";#N/A,#N/A,TRUE,"YKD"}</definedName>
    <definedName name="원가절감양식_1" hidden="1">{#N/A,#N/A,TRUE,"Y생산";#N/A,#N/A,TRUE,"Y판매";#N/A,#N/A,TRUE,"Y총물량";#N/A,#N/A,TRUE,"Y능력";#N/A,#N/A,TRUE,"YKD"}</definedName>
    <definedName name="원가차이710K" hidden="1">{#N/A,#N/A,FALSE,"단축1";#N/A,#N/A,FALSE,"단축2";#N/A,#N/A,FALSE,"단축3";#N/A,#N/A,FALSE,"장축";#N/A,#N/A,FALSE,"4WD"}</definedName>
    <definedName name="원가투" hidden="1">{#N/A,#N/A,FALSE,"단축1";#N/A,#N/A,FALSE,"단축2";#N/A,#N/A,FALSE,"단축3";#N/A,#N/A,FALSE,"장축";#N/A,#N/A,FALSE,"4WD"}</definedName>
    <definedName name="원가화" hidden="1">{#N/A,#N/A,TRUE,"Y생산";#N/A,#N/A,TRUE,"Y판매";#N/A,#N/A,TRUE,"Y총물량";#N/A,#N/A,TRUE,"Y능력";#N/A,#N/A,TRUE,"YKD"}</definedName>
    <definedName name="원단" hidden="1">{#N/A,#N/A,TRUE,"Y생산";#N/A,#N/A,TRUE,"Y판매";#N/A,#N/A,TRUE,"Y총물량";#N/A,#N/A,TRUE,"Y능력";#N/A,#N/A,TRUE,"YKD"}</definedName>
    <definedName name="원단_1" hidden="1">{#N/A,#N/A,TRUE,"Y생산";#N/A,#N/A,TRUE,"Y판매";#N/A,#N/A,TRUE,"Y총물량";#N/A,#N/A,TRUE,"Y능력";#N/A,#N/A,TRUE,"YKD"}</definedName>
    <definedName name="원단운영안" hidden="1">{#N/A,#N/A,FALSE,"단축1";#N/A,#N/A,FALSE,"단축2";#N/A,#N/A,FALSE,"단축3";#N/A,#N/A,FALSE,"장축";#N/A,#N/A,FALSE,"4WD"}</definedName>
    <definedName name="원단운영안_1" hidden="1">{#N/A,#N/A,FALSE,"단축1";#N/A,#N/A,FALSE,"단축2";#N/A,#N/A,FALSE,"단축3";#N/A,#N/A,FALSE,"장축";#N/A,#N/A,FALSE,"4WD"}</definedName>
    <definedName name="원단운영안_2" hidden="1">{#N/A,#N/A,FALSE,"단축1";#N/A,#N/A,FALSE,"단축2";#N/A,#N/A,FALSE,"단축3";#N/A,#N/A,FALSE,"장축";#N/A,#N/A,FALSE,"4WD"}</definedName>
    <definedName name="원단위k3c10035" hidden="1">{"'KET'!$A$1:$E$2423"}</definedName>
    <definedName name="원단위테라칸" hidden="1">{#N/A,#N/A,FALSE,"정공"}</definedName>
    <definedName name="원단위테라칸_1" hidden="1">{#N/A,#N/A,FALSE,"정공"}</definedName>
    <definedName name="원단위테라칸_2" hidden="1">{#N/A,#N/A,FALSE,"정공"}</definedName>
    <definedName name="원단위표" hidden="1">{#N/A,#N/A,FALSE,"정공"}</definedName>
    <definedName name="원단위표_1" hidden="1">{#N/A,#N/A,FALSE,"정공"}</definedName>
    <definedName name="원단위표_2" hidden="1">{#N/A,#N/A,FALSE,"정공"}</definedName>
    <definedName name="원단위현황" hidden="1">{"'KET'!$A$1:$E$2423"}</definedName>
    <definedName name="원본_목차" hidden="1">{#N/A,#N/A,FALSE,"신규dep";#N/A,#N/A,FALSE,"신규dep-금형상각후";#N/A,#N/A,FALSE,"신규dep-연구비상각후";#N/A,#N/A,FALSE,"신규dep-기계,공구상각후"}</definedName>
    <definedName name="원숭이" hidden="1">{#N/A,#N/A,FALSE,"단축1";#N/A,#N/A,FALSE,"단축2";#N/A,#N/A,FALSE,"단축3";#N/A,#N/A,FALSE,"장축";#N/A,#N/A,FALSE,"4WD"}</definedName>
    <definedName name="원자재종합" hidden="1">{#N/A,#N/A,FALSE,"단축1";#N/A,#N/A,FALSE,"단축2";#N/A,#N/A,FALSE,"단축3";#N/A,#N/A,FALSE,"장축";#N/A,#N/A,FALSE,"4WD"}</definedName>
    <definedName name="원자재종합2" hidden="1">{#N/A,#N/A,FALSE,"단축1";#N/A,#N/A,FALSE,"단축2";#N/A,#N/A,FALSE,"단축3";#N/A,#N/A,FALSE,"장축";#N/A,#N/A,FALSE,"4WD"}</definedName>
    <definedName name="원절감" hidden="1">{#N/A,#N/A,FALSE,"정공"}</definedName>
    <definedName name="원주" hidden="1">{#N/A,#N/A,FALSE,"인원";#N/A,#N/A,FALSE,"비용2";#N/A,#N/A,FALSE,"비용1";#N/A,#N/A,FALSE,"비용";#N/A,#N/A,FALSE,"보증2";#N/A,#N/A,FALSE,"보증1";#N/A,#N/A,FALSE,"보증";#N/A,#N/A,FALSE,"손익1";#N/A,#N/A,FALSE,"손익";#N/A,#N/A,FALSE,"부서별매출";#N/A,#N/A,FALSE,"매출"}</definedName>
    <definedName name="원화" hidden="1">{#N/A,#N/A,FALSE,"인원";#N/A,#N/A,FALSE,"비용2";#N/A,#N/A,FALSE,"비용1";#N/A,#N/A,FALSE,"비용";#N/A,#N/A,FALSE,"보증2";#N/A,#N/A,FALSE,"보증1";#N/A,#N/A,FALSE,"보증";#N/A,#N/A,FALSE,"손익1";#N/A,#N/A,FALSE,"손익";#N/A,#N/A,FALSE,"부서별매출";#N/A,#N/A,FALSE,"매출"}</definedName>
    <definedName name="월노무비절1" hidden="1">{#N/A,#N/A,FALSE,"KMC최종회의(7월) 자료"}</definedName>
    <definedName name="월노무비절1_1" hidden="1">{#N/A,#N/A,FALSE,"KMC최종회의(7월) 자료"}</definedName>
    <definedName name="월노무비절1_2" hidden="1">{#N/A,#N/A,FALSE,"KMC최종회의(7월) 자료"}</definedName>
    <definedName name="월별LOSS공수감축" hidden="1">{#N/A,#N/A,FALSE,"정공"}</definedName>
    <definedName name="월별원가절감상세" hidden="1">{#N/A,#N/A,FALSE,"정공"}</definedName>
    <definedName name="월별원가절감상세_1" hidden="1">{#N/A,#N/A,FALSE,"정공"}</definedName>
    <definedName name="월별원가절감상세_2" hidden="1">{#N/A,#N/A,FALSE,"정공"}</definedName>
    <definedName name="월별재경" hidden="1">{#N/A,#N/A,TRUE,"Y생산";#N/A,#N/A,TRUE,"Y판매";#N/A,#N/A,TRUE,"Y총물량";#N/A,#N/A,TRUE,"Y능력";#N/A,#N/A,TRUE,"YKD"}</definedName>
    <definedName name="월별재경_1" hidden="1">{#N/A,#N/A,TRUE,"Y생산";#N/A,#N/A,TRUE,"Y판매";#N/A,#N/A,TRUE,"Y총물량";#N/A,#N/A,TRUE,"Y능력";#N/A,#N/A,TRUE,"YKD"}</definedName>
    <definedName name="월별재경안" hidden="1">{#N/A,#N/A,TRUE,"Y생산";#N/A,#N/A,TRUE,"Y판매";#N/A,#N/A,TRUE,"Y총물량";#N/A,#N/A,TRUE,"Y능력";#N/A,#N/A,TRUE,"YKD"}</definedName>
    <definedName name="월별재경안_1" hidden="1">{#N/A,#N/A,TRUE,"Y생산";#N/A,#N/A,TRUE,"Y판매";#N/A,#N/A,TRUE,"Y총물량";#N/A,#N/A,TRUE,"Y능력";#N/A,#N/A,TRUE,"YKD"}</definedName>
    <definedName name="월비교" hidden="1">{"'매출계획'!$D$2"}</definedName>
    <definedName name="위스코생산부" hidden="1">{#N/A,#N/A,TRUE,"Y생산";#N/A,#N/A,TRUE,"Y판매";#N/A,#N/A,TRUE,"Y총물량";#N/A,#N/A,TRUE,"Y능력";#N/A,#N/A,TRUE,"YKD"}</definedName>
    <definedName name="윙" hidden="1">{#N/A,#N/A,TRUE,"Y생산";#N/A,#N/A,TRUE,"Y판매";#N/A,#N/A,TRUE,"Y총물량";#N/A,#N/A,TRUE,"Y능력";#N/A,#N/A,TRUE,"YKD"}</definedName>
    <definedName name="유" hidden="1">{#N/A,#N/A,FALSE,"KMC최종회의(7월) 자료"}</definedName>
    <definedName name="유가증권99" hidden="1">#REF!</definedName>
    <definedName name="유가증권평가test" hidden="1">{#N/A,#N/A,FALSE,"Aging Summary";#N/A,#N/A,FALSE,"Ratio Analysis";#N/A,#N/A,FALSE,"Test 120 Day Accts";#N/A,#N/A,FALSE,"Tickmarks"}</definedName>
    <definedName name="유경" hidden="1">{#N/A,#N/A,FALSE,"단축1";#N/A,#N/A,FALSE,"단축2";#N/A,#N/A,FALSE,"단축3";#N/A,#N/A,FALSE,"장축";#N/A,#N/A,FALSE,"4WD"}</definedName>
    <definedName name="유기철" hidden="1">{#N/A,#N/A,FALSE,"단축1";#N/A,#N/A,FALSE,"단축2";#N/A,#N/A,FALSE,"단축3";#N/A,#N/A,FALSE,"장축";#N/A,#N/A,FALSE,"4WD"}</definedName>
    <definedName name="유니버스1" hidden="1">{#N/A,#N/A,FALSE,"표지";#N/A,#N/A,FALSE,"전제";#N/A,#N/A,FALSE,"손익-자 (2)";#N/A,#N/A,FALSE,"손익-자";#N/A,#N/A,FALSE,"손익-마 (2)";#N/A,#N/A,FALSE,"손익-마";#N/A,#N/A,FALSE,"총손최종"}</definedName>
    <definedName name="유니버스신규" hidden="1">{#N/A,#N/A,FALSE,"단축1";#N/A,#N/A,FALSE,"단축2";#N/A,#N/A,FALSE,"단축3";#N/A,#N/A,FALSE,"장축";#N/A,#N/A,FALSE,"4WD"}</definedName>
    <definedName name="유럽" hidden="1">{#N/A,#N/A,FALSE,"단축1";#N/A,#N/A,FALSE,"단축2";#N/A,#N/A,FALSE,"단축3";#N/A,#N/A,FALSE,"장축";#N/A,#N/A,FALSE,"4WD"}</definedName>
    <definedName name="유럽_1" hidden="1">{#N/A,#N/A,FALSE,"미판매분"}</definedName>
    <definedName name="유럽_2" hidden="1">{#N/A,#N/A,FALSE,"단축1";#N/A,#N/A,FALSE,"단축2";#N/A,#N/A,FALSE,"단축3";#N/A,#N/A,FALSE,"장축";#N/A,#N/A,FALSE,"4WD"}</definedName>
    <definedName name="유럽별도" hidden="1">{#N/A,#N/A,FALSE,"단축1";#N/A,#N/A,FALSE,"단축2";#N/A,#N/A,FALSE,"단축3";#N/A,#N/A,FALSE,"장축";#N/A,#N/A,FALSE,"4WD"}</definedName>
    <definedName name="유리" hidden="1">{#N/A,#N/A,FALSE,"단축1";#N/A,#N/A,FALSE,"단축2";#N/A,#N/A,FALSE,"단축3";#N/A,#N/A,FALSE,"장축";#N/A,#N/A,FALSE,"4WD"}</definedName>
    <definedName name="유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차" hidden="1">{#N/A,#N/A,FALSE,"신규dep";#N/A,#N/A,FALSE,"신규dep-금형상각후";#N/A,#N/A,FALSE,"신규dep-연구비상각후";#N/A,#N/A,FALSE,"신규dep-기계,공구상각후"}</definedName>
    <definedName name="유사차_1" hidden="1">{#N/A,#N/A,FALSE,"신규dep";#N/A,#N/A,FALSE,"신규dep-금형상각후";#N/A,#N/A,FALSE,"신규dep-연구비상각후";#N/A,#N/A,FALSE,"신규dep-기계,공구상각후"}</definedName>
    <definedName name="유사차_2" hidden="1">{#N/A,#N/A,FALSE,"신규dep";#N/A,#N/A,FALSE,"신규dep-금형상각후";#N/A,#N/A,FALSE,"신규dep-연구비상각후";#N/A,#N/A,FALSE,"신규dep-기계,공구상각후"}</definedName>
    <definedName name="유성국45" hidden="1">{#N/A,#N/A,FALSE,"KMC최종회의(7월) 자료"}</definedName>
    <definedName name="유유" hidden="1">{#N/A,#N/A,FALSE,"KMC최종회의(7월) 자료"}</definedName>
    <definedName name="유유_1" hidden="1">{#N/A,#N/A,FALSE,"KMC최종회의(7월) 자료"}</definedName>
    <definedName name="유첨" hidden="1">{#N/A,#N/A,FALSE,"단축1";#N/A,#N/A,FALSE,"단축2";#N/A,#N/A,FALSE,"단축3";#N/A,#N/A,FALSE,"장축";#N/A,#N/A,FALSE,"4WD"}</definedName>
    <definedName name="유첨.투자비2" hidden="1">{#N/A,#N/A,FALSE,"단축1";#N/A,#N/A,FALSE,"단축2";#N/A,#N/A,FALSE,"단축3";#N/A,#N/A,FALSE,"장축";#N/A,#N/A,FALSE,"4WD"}</definedName>
    <definedName name="유첨_3_2" hidden="1">{#N/A,#N/A,FALSE,"단축1";#N/A,#N/A,FALSE,"단축2";#N/A,#N/A,FALSE,"단축3";#N/A,#N/A,FALSE,"장축";#N/A,#N/A,FALSE,"4WD"}</definedName>
    <definedName name="유첨4가동및인원계획" hidden="1">{#N/A,#N/A,FALSE,"96 3월물량표";#N/A,#N/A,FALSE,"96 4월물량표";#N/A,#N/A,FALSE,"96 5월물량표"}</definedName>
    <definedName name="유첨4가동및인원계획_1" hidden="1">{#N/A,#N/A,FALSE,"96 3월물량표";#N/A,#N/A,FALSE,"96 4월물량표";#N/A,#N/A,FALSE,"96 5월물량표"}</definedName>
    <definedName name="유첨7" hidden="1">{#N/A,#N/A,FALSE,"해외크레임";#N/A,#N/A,FALSE,"ACCENT현황";#N/A,#N/A,FALSE,"AVANTE";#N/A,#N/A,FALSE,"SONATA(3)";#N/A,#N/A,FALSE,"국내크레임"}</definedName>
    <definedName name="유첨71" hidden="1">{#N/A,#N/A,FALSE,"단축1";#N/A,#N/A,FALSE,"단축2";#N/A,#N/A,FALSE,"단축3";#N/A,#N/A,FALSE,"장축";#N/A,#N/A,FALSE,"4WD"}</definedName>
    <definedName name="유형" hidden="1">{#N/A,#N/A,TRUE,"Y생산";#N/A,#N/A,TRUE,"Y판매";#N/A,#N/A,TRUE,"Y총물량";#N/A,#N/A,TRUE,"Y능력";#N/A,#N/A,TRUE,"YKD"}</definedName>
    <definedName name="유ㅕㄴ됵ㄷ" hidden="1">{#N/A,#N/A,FALSE,"단축1";#N/A,#N/A,FALSE,"단축2";#N/A,#N/A,FALSE,"단축3";#N/A,#N/A,FALSE,"장축";#N/A,#N/A,FALSE,"4WD"}</definedName>
    <definedName name="윤" hidden="1">{"'5'!$A$1:$BB$147"}</definedName>
    <definedName name="윤성문" hidden="1">{#N/A,#N/A,FALSE,"초도품";#N/A,#N/A,FALSE,"초도품 (2)";#N/A,#N/A,FALSE,"초도품 (3)";#N/A,#N/A,FALSE,"초도품 (4)";#N/A,#N/A,FALSE,"초도품 (5)";#N/A,#N/A,FALSE,"초도품 (6)"}</definedName>
    <definedName name="윤성식바보" hidden="1">{#N/A,#N/A,FALSE,"단축1";#N/A,#N/A,FALSE,"단축2";#N/A,#N/A,FALSE,"단축3";#N/A,#N/A,FALSE,"장축";#N/A,#N/A,FALSE,"4WD"}</definedName>
    <definedName name="윤성식바보진짜" hidden="1">{#N/A,#N/A,FALSE,"단축1";#N/A,#N/A,FALSE,"단축2";#N/A,#N/A,FALSE,"단축3";#N/A,#N/A,FALSE,"장축";#N/A,#N/A,FALSE,"4WD"}</definedName>
    <definedName name="윤장성" hidden="1">{#N/A,#N/A,TRUE,"Y생산";#N/A,#N/A,TRUE,"Y판매";#N/A,#N/A,TRUE,"Y총물량";#N/A,#N/A,TRUE,"Y능력";#N/A,#N/A,TRUE,"YKD"}</definedName>
    <definedName name="융ㅎㅀ류" hidden="1">{#N/A,#N/A,FALSE,"KMC최종회의(7월) 자료"}</definedName>
    <definedName name="융ㅎㅀ류_1" hidden="1">{#N/A,#N/A,FALSE,"KMC최종회의(7월) 자료"}</definedName>
    <definedName name="으" hidden="1">{#N/A,#N/A,TRUE,"Y생산";#N/A,#N/A,TRUE,"Y판매";#N/A,#N/A,TRUE,"Y총물량";#N/A,#N/A,TRUE,"Y능력";#N/A,#N/A,TRUE,"YKD"}</definedName>
    <definedName name="으_1" hidden="1">{#N/A,#N/A,TRUE,"Y생산";#N/A,#N/A,TRUE,"Y판매";#N/A,#N/A,TRUE,"Y총물량";#N/A,#N/A,TRUE,"Y능력";#N/A,#N/A,TRUE,"YKD"}</definedName>
    <definedName name="으ㅏㄴ" hidden="1">{#N/A,#N/A,FALSE,"단축1";#N/A,#N/A,FALSE,"단축2";#N/A,#N/A,FALSE,"단축3";#N/A,#N/A,FALSE,"장축";#N/A,#N/A,FALSE,"4WD"}</definedName>
    <definedName name="은정" hidden="1">{#N/A,#N/A,FALSE,"PART-1234-8-12-9(41)";#N/A,#N/A,FALSE,"PARTS-2(3)";#N/A,#N/A,FALSE,"VAN SYSTEM";#N/A,#N/A,FALSE,"PARTS-10(26)";#N/A,#N/A,FALSE,"PART-5-6-7-11(14)";#N/A,#N/A,FALSE,"PARTS-4(3)";#N/A,#N/A,FALSE,"PCLASS"}</definedName>
    <definedName name="은정1" hidden="1">{#N/A,#N/A,FALSE,"PART-1234-8-12-9(41)";#N/A,#N/A,FALSE,"PARTS-2(3)";#N/A,#N/A,FALSE,"VAN SYSTEM";#N/A,#N/A,FALSE,"PARTS-10(26)";#N/A,#N/A,FALSE,"PART-5-6-7-11(14)";#N/A,#N/A,FALSE,"PARTS-4(3)";#N/A,#N/A,FALSE,"PCLASS"}</definedName>
    <definedName name="은정2" hidden="1">{#N/A,#N/A,FALSE,"PART-1234-8-12-9(41)";#N/A,#N/A,FALSE,"PARTS-2(3)";#N/A,#N/A,FALSE,"VAN SYSTEM";#N/A,#N/A,FALSE,"PARTS-10(26)";#N/A,#N/A,FALSE,"PART-5-6-7-11(14)";#N/A,#N/A,FALSE,"PARTS-4(3)";#N/A,#N/A,FALSE,"PCLASS"}</definedName>
    <definedName name="은정이" hidden="1">{#N/A,#N/A,FALSE,"PART-1234-8-12-9(41)";#N/A,#N/A,FALSE,"PARTS-2(3)";#N/A,#N/A,FALSE,"VAN SYSTEM";#N/A,#N/A,FALSE,"PARTS-10(26)";#N/A,#N/A,FALSE,"PART-5-6-7-11(14)";#N/A,#N/A,FALSE,"PARTS-4(3)";#N/A,#N/A,FALSE,"PCLASS"}</definedName>
    <definedName name="은진" hidden="1">{"'7-2지역별'!$A$1:$R$44"}</definedName>
    <definedName name="을" hidden="1">{#N/A,#N/A,FALSE,"단축1";#N/A,#N/A,FALSE,"단축2";#N/A,#N/A,FALSE,"단축3";#N/A,#N/A,FALSE,"장축";#N/A,#N/A,FALSE,"4WD"}</definedName>
    <definedName name="을_1" hidden="1">{#N/A,#N/A,FALSE,"단축1";#N/A,#N/A,FALSE,"단축2";#N/A,#N/A,FALSE,"단축3";#N/A,#N/A,FALSE,"장축";#N/A,#N/A,FALSE,"4WD"}</definedName>
    <definedName name="을지" hidden="1">{#N/A,#N/A,FALSE,"단축1";#N/A,#N/A,FALSE,"단축2";#N/A,#N/A,FALSE,"단축3";#N/A,#N/A,FALSE,"장축";#N/A,#N/A,FALSE,"4WD"}</definedName>
    <definedName name="을지3" hidden="1">{#N/A,#N/A,FALSE,"단축1";#N/A,#N/A,FALSE,"단축2";#N/A,#N/A,FALSE,"단축3";#N/A,#N/A,FALSE,"장축";#N/A,#N/A,FALSE,"4WD"}</definedName>
    <definedName name="의장" hidden="1">{#N/A,#N/A,FALSE,"신규dep";#N/A,#N/A,FALSE,"신규dep-금형상각후";#N/A,#N/A,FALSE,"신규dep-연구비상각후";#N/A,#N/A,FALSE,"신규dep-기계,공구상각후"}</definedName>
    <definedName name="의장_1" hidden="1">{#N/A,#N/A,FALSE,"신규dep";#N/A,#N/A,FALSE,"신규dep-금형상각후";#N/A,#N/A,FALSE,"신규dep-연구비상각후";#N/A,#N/A,FALSE,"신규dep-기계,공구상각후"}</definedName>
    <definedName name="이" hidden="1">{#N/A,#N/A,FALSE,"96 3월물량표";#N/A,#N/A,FALSE,"96 4월물량표";#N/A,#N/A,FALSE,"96 5월물량표"}</definedName>
    <definedName name="이1" hidden="1">{#N/A,#N/A,FALSE,"단축1";#N/A,#N/A,FALSE,"단축2";#N/A,#N/A,FALSE,"단축3";#N/A,#N/A,FALSE,"장축";#N/A,#N/A,FALSE,"4WD"}</definedName>
    <definedName name="이건형" hidden="1">{#N/A,#N/A,FALSE,"단축1";#N/A,#N/A,FALSE,"단축2";#N/A,#N/A,FALSE,"단축3";#N/A,#N/A,FALSE,"장축";#N/A,#N/A,FALSE,"4WD"}</definedName>
    <definedName name="이겅ㄴ" hidden="1">{#N/A,#N/A,FALSE,"단축1";#N/A,#N/A,FALSE,"단축2";#N/A,#N/A,FALSE,"단축3";#N/A,#N/A,FALSE,"장축";#N/A,#N/A,FALSE,"4WD"}</definedName>
    <definedName name="이경재2" hidden="1">{#N/A,#N/A,FALSE,"품의서";#N/A,#N/A,FALSE,"전제";#N/A,#N/A,FALSE,"총손";#N/A,#N/A,FALSE,"손익"}</definedName>
    <definedName name="이국" hidden="1">{#N/A,#N/A,FALSE,"단축1";#N/A,#N/A,FALSE,"단축2";#N/A,#N/A,FALSE,"단축3";#N/A,#N/A,FALSE,"장축";#N/A,#N/A,FALSE,"4WD"}</definedName>
    <definedName name="이근" hidden="1">{#N/A,#N/A,FALSE,"단축1";#N/A,#N/A,FALSE,"단축2";#N/A,#N/A,FALSE,"단축3";#N/A,#N/A,FALSE,"장축";#N/A,#N/A,FALSE,"4WD"}</definedName>
    <definedName name="이근_1" hidden="1">{#N/A,#N/A,FALSE,"단축1";#N/A,#N/A,FALSE,"단축2";#N/A,#N/A,FALSE,"단축3";#N/A,#N/A,FALSE,"장축";#N/A,#N/A,FALSE,"4WD"}</definedName>
    <definedName name="이근이" hidden="1">{#N/A,#N/A,FALSE,"단축1";#N/A,#N/A,FALSE,"단축2";#N/A,#N/A,FALSE,"단축3";#N/A,#N/A,FALSE,"장축";#N/A,#N/A,FALSE,"4WD"}</definedName>
    <definedName name="이근한" hidden="1">{#N/A,#N/A,FALSE,"단축1";#N/A,#N/A,FALSE,"단축2";#N/A,#N/A,FALSE,"단축3";#N/A,#N/A,FALSE,"장축";#N/A,#N/A,FALSE,"4WD"}</definedName>
    <definedName name="이근한_1" hidden="1">{#N/A,#N/A,FALSE,"단축1";#N/A,#N/A,FALSE,"단축2";#N/A,#N/A,FALSE,"단축3";#N/A,#N/A,FALSE,"장축";#N/A,#N/A,FALSE,"4WD"}</definedName>
    <definedName name="이근한_2" hidden="1">{#N/A,#N/A,FALSE,"단축1";#N/A,#N/A,FALSE,"단축2";#N/A,#N/A,FALSE,"단축3";#N/A,#N/A,FALSE,"장축";#N/A,#N/A,FALSE,"4WD"}</definedName>
    <definedName name="이금" hidden="1">{#N/A,#N/A,FALSE,"단축1";#N/A,#N/A,FALSE,"단축2";#N/A,#N/A,FALSE,"단축3";#N/A,#N/A,FALSE,"장축";#N/A,#N/A,FALSE,"4WD"}</definedName>
    <definedName name="이기" hidden="1">{#N/A,#N/A,FALSE,"단축1";#N/A,#N/A,FALSE,"단축2";#N/A,#N/A,FALSE,"단축3";#N/A,#N/A,FALSE,"장축";#N/A,#N/A,FALSE,"4WD"}</definedName>
    <definedName name="이기성" hidden="1">{"'5'!$A$1:$BB$147"}</definedName>
    <definedName name="이기원" hidden="1">{#N/A,#N/A,FALSE,"단축1";#N/A,#N/A,FALSE,"단축2";#N/A,#N/A,FALSE,"단축3";#N/A,#N/A,FALSE,"장축";#N/A,#N/A,FALSE,"4WD"}</definedName>
    <definedName name="이긴링" hidden="1">{#N/A,#N/A,FALSE,"신규dep";#N/A,#N/A,FALSE,"신규dep-금형상각후";#N/A,#N/A,FALSE,"신규dep-연구비상각후";#N/A,#N/A,FALSE,"신규dep-기계,공구상각후"}</definedName>
    <definedName name="이니오" hidden="1">{#N/A,#N/A,FALSE,"정공"}</definedName>
    <definedName name="이동GJ요구" hidden="1">{#N/A,#N/A,FALSE,"단축1";#N/A,#N/A,FALSE,"단축2";#N/A,#N/A,FALSE,"단축3";#N/A,#N/A,FALSE,"장축";#N/A,#N/A,FALSE,"4WD"}</definedName>
    <definedName name="이동현황" hidden="1">{#N/A,#N/A,FALSE,"단축1";#N/A,#N/A,FALSE,"단축2";#N/A,#N/A,FALSE,"단축3";#N/A,#N/A,FALSE,"장축";#N/A,#N/A,FALSE,"4WD"}</definedName>
    <definedName name="이란" hidden="1">{#N/A,#N/A,FALSE,"단축1";#N/A,#N/A,FALSE,"단축2";#N/A,#N/A,FALSE,"단축3";#N/A,#N/A,FALSE,"장축";#N/A,#N/A,FALSE,"4WD"}</definedName>
    <definedName name="이러지마ㅜㅜㅜㅜㅜㅜㅜ" hidden="1">{#N/A,#N/A,FALSE,"KMC최종회의(7월) 자료"}</definedName>
    <definedName name="이룸"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이를충돌" hidden="1">{#N/A,#N/A,TRUE,"Y생산";#N/A,#N/A,TRUE,"Y판매";#N/A,#N/A,TRUE,"Y총물량";#N/A,#N/A,TRUE,"Y능력";#N/A,#N/A,TRUE,"YKD"}</definedName>
    <definedName name="이름" hidden="1">{#N/A,#N/A,FALSE,"KMC최종회의(7월) 자료"}</definedName>
    <definedName name="이름_1" hidden="1">{#N/A,#N/A,FALSE,"KMC최종회의(7월) 자료"}</definedName>
    <definedName name="이름_2" hidden="1">{#N/A,#N/A,FALSE,"KMC최종회의(7월) 자료"}</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충돌" hidden="1">{#N/A,#N/A,FALSE,"표지";#N/A,#N/A,FALSE,"전제";#N/A,#N/A,FALSE,"대당";#N/A,#N/A,FALSE,"가공비";#N/A,#N/A,FALSE,"재료비";#N/A,#N/A,FALSE,"손익"}</definedName>
    <definedName name="이름충돌\" hidden="1">{#N/A,#N/A,TRUE,"Y생산";#N/A,#N/A,TRUE,"Y판매";#N/A,#N/A,TRUE,"Y총물량";#N/A,#N/A,TRUE,"Y능력";#N/A,#N/A,TRUE,"YKD"}</definedName>
    <definedName name="이름충돌\_1" hidden="1">{#N/A,#N/A,TRUE,"Y생산";#N/A,#N/A,TRUE,"Y판매";#N/A,#N/A,TRUE,"Y총물량";#N/A,#N/A,TRUE,"Y능력";#N/A,#N/A,TRUE,"YKD"}</definedName>
    <definedName name="이릉" hidden="1">{#N/A,#N/A,FALSE,"단축1";#N/A,#N/A,FALSE,"단축2";#N/A,#N/A,FALSE,"단축3";#N/A,#N/A,FALSE,"장축";#N/A,#N/A,FALSE,"4WD"}</definedName>
    <definedName name="이리니다" hidden="1">{#N/A,#N/A,FALSE,"단축1";#N/A,#N/A,FALSE,"단축2";#N/A,#N/A,FALSE,"단축3";#N/A,#N/A,FALSE,"장축";#N/A,#N/A,FALSE,"4WD"}</definedName>
    <definedName name="이명철" hidden="1">{#N/A,#N/A,FALSE,"인원";#N/A,#N/A,FALSE,"비용2";#N/A,#N/A,FALSE,"비용1";#N/A,#N/A,FALSE,"비용";#N/A,#N/A,FALSE,"보증2";#N/A,#N/A,FALSE,"보증1";#N/A,#N/A,FALSE,"보증";#N/A,#N/A,FALSE,"손익1";#N/A,#N/A,FALSE,"손익";#N/A,#N/A,FALSE,"부서별매출";#N/A,#N/A,FALSE,"매출"}</definedName>
    <definedName name="이문진" hidden="1">{#N/A,#N/A,FALSE,"단축1";#N/A,#N/A,FALSE,"단축2";#N/A,#N/A,FALSE,"단축3";#N/A,#N/A,FALSE,"장축";#N/A,#N/A,FALSE,"4WD"}</definedName>
    <definedName name="이믈" hidden="1">{#N/A,#N/A,FALSE,"96자동차사 계획";#N/A,#N/A,FALSE,"96자동차사 계획"}</definedName>
    <definedName name="이미" hidden="1">{#N/A,#N/A,FALSE,"KMC최종회의(7월) 자료"}</definedName>
    <definedName name="이법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석" hidden="1">{"'5'!$A$1:$BB$147"}</definedName>
    <definedName name="이상" hidden="1">{#N/A,#N/A,TRUE,"Y생산";#N/A,#N/A,TRUE,"Y판매";#N/A,#N/A,TRUE,"Y총물량";#N/A,#N/A,TRUE,"Y능력";#N/A,#N/A,TRUE,"YKD"}</definedName>
    <definedName name="이상_1" hidden="1">{#N/A,#N/A,TRUE,"Y생산";#N/A,#N/A,TRUE,"Y판매";#N/A,#N/A,TRUE,"Y총물량";#N/A,#N/A,TRUE,"Y능력";#N/A,#N/A,TRUE,"YKD"}</definedName>
    <definedName name="이상국리" hidden="1">{#N/A,#N/A,FALSE,"단축1";#N/A,#N/A,FALSE,"단축2";#N/A,#N/A,FALSE,"단축3";#N/A,#N/A,FALSE,"장축";#N/A,#N/A,FALSE,"4WD"}</definedName>
    <definedName name="이상근" hidden="1">{#N/A,#N/A,TRUE,"Y생산";#N/A,#N/A,TRUE,"Y판매";#N/A,#N/A,TRUE,"Y총물량";#N/A,#N/A,TRUE,"Y능력";#N/A,#N/A,TRUE,"YKD"}</definedName>
    <definedName name="이상근_1" hidden="1">{#N/A,#N/A,TRUE,"Y생산";#N/A,#N/A,TRUE,"Y판매";#N/A,#N/A,TRUE,"Y총물량";#N/A,#N/A,TRUE,"Y능력";#N/A,#N/A,TRUE,"YKD"}</definedName>
    <definedName name="이상기" hidden="1">{#N/A,#N/A,FALSE,"단축1";#N/A,#N/A,FALSE,"단축2";#N/A,#N/A,FALSE,"단축3";#N/A,#N/A,FALSE,"장축";#N/A,#N/A,FALSE,"4WD"}</definedName>
    <definedName name="이상기_1" hidden="1">{#N/A,#N/A,FALSE,"단축1";#N/A,#N/A,FALSE,"단축2";#N/A,#N/A,FALSE,"단축3";#N/A,#N/A,FALSE,"장축";#N/A,#N/A,FALSE,"4WD"}</definedName>
    <definedName name="이상기군" hidden="1">{#N/A,#N/A,FALSE,"단축1";#N/A,#N/A,FALSE,"단축2";#N/A,#N/A,FALSE,"단축3";#N/A,#N/A,FALSE,"장축";#N/A,#N/A,FALSE,"4WD"}</definedName>
    <definedName name="이상기군_1" hidden="1">{#N/A,#N/A,FALSE,"단축1";#N/A,#N/A,FALSE,"단축2";#N/A,#N/A,FALSE,"단축3";#N/A,#N/A,FALSE,"장축";#N/A,#N/A,FALSE,"4WD"}</definedName>
    <definedName name="이상목" hidden="1">{#N/A,#N/A,FALSE,"단축1";#N/A,#N/A,FALSE,"단축2";#N/A,#N/A,FALSE,"단축3";#N/A,#N/A,FALSE,"장축";#N/A,#N/A,FALSE,"4WD"}</definedName>
    <definedName name="이상목_1" hidden="1">{#N/A,#N/A,FALSE,"단축1";#N/A,#N/A,FALSE,"단축2";#N/A,#N/A,FALSE,"단축3";#N/A,#N/A,FALSE,"장축";#N/A,#N/A,FALSE,"4WD"}</definedName>
    <definedName name="이상민" hidden="1">{#N/A,#N/A,FALSE,"단축1";#N/A,#N/A,FALSE,"단축2";#N/A,#N/A,FALSE,"단축3";#N/A,#N/A,FALSE,"장축";#N/A,#N/A,FALSE,"4WD"}</definedName>
    <definedName name="이상현" hidden="1">{#N/A,#N/A,TRUE,"Y생산";#N/A,#N/A,TRUE,"Y판매";#N/A,#N/A,TRUE,"Y총물량";#N/A,#N/A,TRUE,"Y능력";#N/A,#N/A,TRUE,"YKD"}</definedName>
    <definedName name="이상현_1" hidden="1">{#N/A,#N/A,TRUE,"Y생산";#N/A,#N/A,TRUE,"Y판매";#N/A,#N/A,TRUE,"Y총물량";#N/A,#N/A,TRUE,"Y능력";#N/A,#N/A,TRUE,"YKD"}</definedName>
    <definedName name="이석홍" hidden="1">{#N/A,#N/A,TRUE,"Y생산";#N/A,#N/A,TRUE,"Y판매";#N/A,#N/A,TRUE,"Y총물량";#N/A,#N/A,TRUE,"Y능력";#N/A,#N/A,TRUE,"YKD"}</definedName>
    <definedName name="이석홍_1" hidden="1">{#N/A,#N/A,TRUE,"Y생산";#N/A,#N/A,TRUE,"Y판매";#N/A,#N/A,TRUE,"Y총물량";#N/A,#N/A,TRUE,"Y능력";#N/A,#N/A,TRUE,"YKD"}</definedName>
    <definedName name="이시혁" hidden="1">{#N/A,#N/A,FALSE,"단축1";#N/A,#N/A,FALSE,"단축2";#N/A,#N/A,FALSE,"단축3";#N/A,#N/A,FALSE,"장축";#N/A,#N/A,FALSE,"4WD"}</definedName>
    <definedName name="이시혁_1" hidden="1">{#N/A,#N/A,FALSE,"단축1";#N/A,#N/A,FALSE,"단축2";#N/A,#N/A,FALSE,"단축3";#N/A,#N/A,FALSE,"장축";#N/A,#N/A,FALSE,"4WD"}</definedName>
    <definedName name="이에프" hidden="1">{#N/A,#N/A,FALSE,"단축1";#N/A,#N/A,FALSE,"단축2";#N/A,#N/A,FALSE,"단축3";#N/A,#N/A,FALSE,"장축";#N/A,#N/A,FALSE,"4WD"}</definedName>
    <definedName name="이영란" hidden="1">{#N/A,#N/A,FALSE,"단축1";#N/A,#N/A,FALSE,"단축2";#N/A,#N/A,FALSE,"단축3";#N/A,#N/A,FALSE,"장축";#N/A,#N/A,FALSE,"4WD"}</definedName>
    <definedName name="이영보" hidden="1">{#N/A,#N/A,FALSE,"신규dep";#N/A,#N/A,FALSE,"신규dep-금형상각후";#N/A,#N/A,FALSE,"신규dep-연구비상각후";#N/A,#N/A,FALSE,"신규dep-기계,공구상각후"}</definedName>
    <definedName name="이용욱" hidden="1">{#N/A,#N/A,FALSE,"KMC최종회의(7월) 자료"}</definedName>
    <definedName name="이원배" hidden="1">{#N/A,#N/A,FALSE,"단축1";#N/A,#N/A,FALSE,"단축2";#N/A,#N/A,FALSE,"단축3";#N/A,#N/A,FALSE,"장축";#N/A,#N/A,FALSE,"4WD"}</definedName>
    <definedName name="이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이음" hidden="1">{#N/A,#N/A,FALSE,"단축1";#N/A,#N/A,FALSE,"단축2";#N/A,#N/A,FALSE,"단축3";#N/A,#N/A,FALSE,"장축";#N/A,#N/A,FALSE,"4WD"}</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이" hidden="1">{#N/A,#N/A,FALSE,"단축1";#N/A,#N/A,FALSE,"단축2";#N/A,#N/A,FALSE,"단축3";#N/A,#N/A,FALSE,"장축";#N/A,#N/A,FALSE,"4WD"}</definedName>
    <definedName name="이이이잉" hidden="1">{#N/A,#N/A,FALSE,"단축1";#N/A,#N/A,FALSE,"단축2";#N/A,#N/A,FALSE,"단축3";#N/A,#N/A,FALSE,"장축";#N/A,#N/A,FALSE,"4WD"}</definedName>
    <definedName name="이이ㅣㅇ" hidden="1">{#N/A,#N/A,FALSE,"단축1";#N/A,#N/A,FALSE,"단축2";#N/A,#N/A,FALSE,"단축3";#N/A,#N/A,FALSE,"장축";#N/A,#N/A,FALSE,"4WD"}</definedName>
    <definedName name="이익잉여금" hidden="1">{#N/A,#N/A,FALSE,"Aging Summary";#N/A,#N/A,FALSE,"Ratio Analysis";#N/A,#N/A,FALSE,"Test 120 Day Accts";#N/A,#N/A,FALSE,"Tickmarks"}</definedName>
    <definedName name="이잉" hidden="1">{#N/A,#N/A,FALSE,"단축1";#N/A,#N/A,FALSE,"단축2";#N/A,#N/A,FALSE,"단축3";#N/A,#N/A,FALSE,"장축";#N/A,#N/A,FALSE,"4WD"}</definedName>
    <definedName name="이자" hidden="1">{#N/A,#N/A,FALSE,"정공"}</definedName>
    <definedName name="이자_1" hidden="1">{#N/A,#N/A,FALSE,"정공"}</definedName>
    <definedName name="이자_2" hidden="1">{#N/A,#N/A,FALSE,"정공"}</definedName>
    <definedName name="이자계산" hidden="1">{#N/A,#N/A,FALSE,"KMC최종회의(7월) 자료"}</definedName>
    <definedName name="이자계산_1" hidden="1">{#N/A,#N/A,FALSE,"KMC최종회의(7월) 자료"}</definedName>
    <definedName name="이자계산내역" hidden="1">{#N/A,#N/A,FALSE,"KMC최종회의(7월) 자료"}</definedName>
    <definedName name="이자계산내역_1" hidden="1">{#N/A,#N/A,FALSE,"KMC최종회의(7월) 자료"}</definedName>
    <definedName name="이자이" hidden="1">{#N/A,#N/A,FALSE,"정공"}</definedName>
    <definedName name="이자이_1" hidden="1">{#N/A,#N/A,FALSE,"정공"}</definedName>
    <definedName name="이장계산" hidden="1">{#N/A,#N/A,FALSE,"KMC최종회의(7월) 자료"}</definedName>
    <definedName name="이장계산_1" hidden="1">{#N/A,#N/A,FALSE,"KMC최종회의(7월) 자료"}</definedName>
    <definedName name="이전" hidden="1">{#N/A,#N/A,FALSE,"단축1";#N/A,#N/A,FALSE,"단축2";#N/A,#N/A,FALSE,"단축3";#N/A,#N/A,FALSE,"장축";#N/A,#N/A,FALSE,"4WD"}</definedName>
    <definedName name="이정례" hidden="1">{#N/A,#N/A,TRUE,"Y생산";#N/A,#N/A,TRUE,"Y판매";#N/A,#N/A,TRUE,"Y총물량";#N/A,#N/A,TRUE,"Y능력";#N/A,#N/A,TRUE,"YKD"}</definedName>
    <definedName name="이정례_1" hidden="1">{#N/A,#N/A,TRUE,"Y생산";#N/A,#N/A,TRUE,"Y판매";#N/A,#N/A,TRUE,"Y총물량";#N/A,#N/A,TRUE,"Y능력";#N/A,#N/A,TRUE,"YKD"}</definedName>
    <definedName name="이정욱1" hidden="1">{#N/A,#N/A,FALSE,"단축1";#N/A,#N/A,FALSE,"단축2";#N/A,#N/A,FALSE,"단축3";#N/A,#N/A,FALSE,"장축";#N/A,#N/A,FALSE,"4WD"}</definedName>
    <definedName name="이정희" hidden="1">{#N/A,#N/A,TRUE,"Y생산";#N/A,#N/A,TRUE,"Y판매";#N/A,#N/A,TRUE,"Y총물량";#N/A,#N/A,TRUE,"Y능력";#N/A,#N/A,TRUE,"YKD"}</definedName>
    <definedName name="이정희_1" hidden="1">{#N/A,#N/A,TRUE,"Y생산";#N/A,#N/A,TRUE,"Y판매";#N/A,#N/A,TRUE,"Y총물량";#N/A,#N/A,TRUE,"Y능력";#N/A,#N/A,TRUE,"YKD"}</definedName>
    <definedName name="이조욱" hidden="1">{#N/A,#N/A,TRUE,"Y생산";#N/A,#N/A,TRUE,"Y판매";#N/A,#N/A,TRUE,"Y총물량";#N/A,#N/A,TRUE,"Y능력";#N/A,#N/A,TRUE,"YKD"}</definedName>
    <definedName name="이종방지자재랙" hidden="1">{#N/A,#N/A,FALSE,"단축1";#N/A,#N/A,FALSE,"단축2";#N/A,#N/A,FALSE,"단축3";#N/A,#N/A,FALSE,"장축";#N/A,#N/A,FALSE,"4WD"}</definedName>
    <definedName name="이지수" hidden="1">{#N/A,#N/A,FALSE,"정공"}</definedName>
    <definedName name="이철우" hidden="1">{#N/A,#N/A,FALSE,"정공"}</definedName>
    <definedName name="이충원" hidden="1">{#N/A,#N/A,FALSE,"단축1";#N/A,#N/A,FALSE,"단축2";#N/A,#N/A,FALSE,"단축3";#N/A,#N/A,FALSE,"장축";#N/A,#N/A,FALSE,"4WD"}</definedName>
    <definedName name="이태리리" hidden="1">{#N/A,#N/A,FALSE,"신규dep";#N/A,#N/A,FALSE,"신규dep-금형상각후";#N/A,#N/A,FALSE,"신규dep-연구비상각후";#N/A,#N/A,FALSE,"신규dep-기계,공구상각후"}</definedName>
    <definedName name="이태리리_1" hidden="1">{#N/A,#N/A,FALSE,"신규dep";#N/A,#N/A,FALSE,"신규dep-금형상각후";#N/A,#N/A,FALSE,"신규dep-연구비상각후";#N/A,#N/A,FALSE,"신규dep-기계,공구상각후"}</definedName>
    <definedName name="이혁준" hidden="1">{#N/A,#N/A,FALSE,"단축1";#N/A,#N/A,FALSE,"단축2";#N/A,#N/A,FALSE,"단축3";#N/A,#N/A,FALSE,"장축";#N/A,#N/A,FALSE,"4WD"}</definedName>
    <definedName name="이혁준_1" hidden="1">{#N/A,#N/A,FALSE,"단축1";#N/A,#N/A,FALSE,"단축2";#N/A,#N/A,FALSE,"단축3";#N/A,#N/A,FALSE,"장축";#N/A,#N/A,FALSE,"4WD"}</definedName>
    <definedName name="이혁준_2" hidden="1">{#N/A,#N/A,FALSE,"단축1";#N/A,#N/A,FALSE,"단축2";#N/A,#N/A,FALSE,"단축3";#N/A,#N/A,FALSE,"장축";#N/A,#N/A,FALSE,"4WD"}</definedName>
    <definedName name="이현주님니미니ㅣ미닝닝ㄹ" hidden="1">{#N/A,#N/A,TRUE,"Y생산";#N/A,#N/A,TRUE,"Y판매";#N/A,#N/A,TRUE,"Y총물량";#N/A,#N/A,TRUE,"Y능력";#N/A,#N/A,TRUE,"YKD"}</definedName>
    <definedName name="이현주님니미니ㅣ미닝닝ㄹ_1" hidden="1">{#N/A,#N/A,TRUE,"Y생산";#N/A,#N/A,TRUE,"Y판매";#N/A,#N/A,TRUE,"Y총물량";#N/A,#N/A,TRUE,"Y능력";#N/A,#N/A,TRUE,"YKD"}</definedName>
    <definedName name="이환욱" hidden="1">{#N/A,#N/A,TRUE,"Y생산";#N/A,#N/A,TRUE,"Y판매";#N/A,#N/A,TRUE,"Y총물량";#N/A,#N/A,TRUE,"Y능력";#N/A,#N/A,TRUE,"YKD"}</definedName>
    <definedName name="이환욱_1" hidden="1">{#N/A,#N/A,TRUE,"Y생산";#N/A,#N/A,TRUE,"Y판매";#N/A,#N/A,TRUE,"Y총물량";#N/A,#N/A,TRUE,"Y능력";#N/A,#N/A,TRUE,"YKD"}</definedName>
    <definedName name="이ㅣㄴ" hidden="1">{#N/A,#N/A,FALSE,"단축1";#N/A,#N/A,FALSE,"단축2";#N/A,#N/A,FALSE,"단축3";#N/A,#N/A,FALSE,"장축";#N/A,#N/A,FALSE,"4WD"}</definedName>
    <definedName name="인" hidden="1">{"'5'!$A$1:$BB$147"}</definedName>
    <definedName name="인건" hidden="1">{#N/A,#N/A,FALSE,"인원";#N/A,#N/A,FALSE,"비용2";#N/A,#N/A,FALSE,"비용1";#N/A,#N/A,FALSE,"비용";#N/A,#N/A,FALSE,"보증2";#N/A,#N/A,FALSE,"보증1";#N/A,#N/A,FALSE,"보증";#N/A,#N/A,FALSE,"손익1";#N/A,#N/A,FALSE,"손익";#N/A,#N/A,FALSE,"부서별매출";#N/A,#N/A,FALSE,"매출"}</definedName>
    <definedName name="인건비1" hidden="1">{#N/A,#N/A,FALSE,"정공"}</definedName>
    <definedName name="인건비2" hidden="1">{#N/A,#N/A,FALSE,"정공"}</definedName>
    <definedName name="인건비집계" hidden="1">{#N/A,#N/A,FALSE,"단축1";#N/A,#N/A,FALSE,"단축2";#N/A,#N/A,FALSE,"단축3";#N/A,#N/A,FALSE,"장축";#N/A,#N/A,FALSE,"4WD"}</definedName>
    <definedName name="인계" hidden="1">{#N/A,#N/A,TRUE,"Y생산";#N/A,#N/A,TRUE,"Y판매";#N/A,#N/A,TRUE,"Y총물량";#N/A,#N/A,TRUE,"Y능력";#N/A,#N/A,TRUE,"YKD"}</definedName>
    <definedName name="인계_1" hidden="1">{#N/A,#N/A,TRUE,"Y생산";#N/A,#N/A,TRUE,"Y판매";#N/A,#N/A,TRUE,"Y총물량";#N/A,#N/A,TRUE,"Y능력";#N/A,#N/A,TRUE,"YKD"}</definedName>
    <definedName name="인계획" hidden="1">{#N/A,#N/A,TRUE,"Y생산";#N/A,#N/A,TRUE,"Y판매";#N/A,#N/A,TRUE,"Y총물량";#N/A,#N/A,TRUE,"Y능력";#N/A,#N/A,TRUE,"YKD"}</definedName>
    <definedName name="인계획_1" hidden="1">{#N/A,#N/A,TRUE,"Y생산";#N/A,#N/A,TRUE,"Y판매";#N/A,#N/A,TRUE,"Y총물량";#N/A,#N/A,TRUE,"Y능력";#N/A,#N/A,TRUE,"YKD"}</definedName>
    <definedName name="인동초" hidden="1">{#N/A,#N/A,TRUE,"Y생산";#N/A,#N/A,TRUE,"Y판매";#N/A,#N/A,TRUE,"Y총물량";#N/A,#N/A,TRUE,"Y능력";#N/A,#N/A,TRUE,"YKD"}</definedName>
    <definedName name="인동초_1" hidden="1">{#N/A,#N/A,TRUE,"Y생산";#N/A,#N/A,TRUE,"Y판매";#N/A,#N/A,TRUE,"Y총물량";#N/A,#N/A,TRUE,"Y능력";#N/A,#N/A,TRUE,"YKD"}</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조정" hidden="1">{#N/A,#N/A,FALSE,"정공"}</definedName>
    <definedName name="인력조정_1" hidden="1">{#N/A,#N/A,FALSE,"정공"}</definedName>
    <definedName name="인력조정_2" hidden="1">{#N/A,#N/A,FALSE,"정공"}</definedName>
    <definedName name="인몰드2" hidden="1">{#N/A,#N/A,FALSE,"단축1";#N/A,#N/A,FALSE,"단축2";#N/A,#N/A,FALSE,"단축3";#N/A,#N/A,FALSE,"장축";#N/A,#N/A,FALSE,"4WD"}</definedName>
    <definedName name="인몰드성형" hidden="1">{#N/A,#N/A,FALSE,"단축1";#N/A,#N/A,FALSE,"단축2";#N/A,#N/A,FALSE,"단축3";#N/A,#N/A,FALSE,"장축";#N/A,#N/A,FALSE,"4WD"}</definedName>
    <definedName name="인상1안" hidden="1">{#N/A,#N/A,FALSE,"단축1";#N/A,#N/A,FALSE,"단축2";#N/A,#N/A,FALSE,"단축3";#N/A,#N/A,FALSE,"장축";#N/A,#N/A,FALSE,"4WD"}</definedName>
    <definedName name="인상1안_1" hidden="1">{#N/A,#N/A,FALSE,"단축1";#N/A,#N/A,FALSE,"단축2";#N/A,#N/A,FALSE,"단축3";#N/A,#N/A,FALSE,"장축";#N/A,#N/A,FALSE,"4WD"}</definedName>
    <definedName name="인수" hidden="1">{"'5'!$A$1:$BB$147"}</definedName>
    <definedName name="인수보고" hidden="1">{"'5'!$A$1:$BB$147"}</definedName>
    <definedName name="인수보고종합" hidden="1">{"'5'!$A$1:$BB$147"}</definedName>
    <definedName name="인숭" hidden="1">{"'5'!$A$1:$BB$147"}</definedName>
    <definedName name="인원" hidden="1">{#N/A,#N/A,FALSE,"KMC최종회의(7월) 자료"}</definedName>
    <definedName name="인원_1" hidden="1">{#N/A,#N/A,FALSE,"정공"}</definedName>
    <definedName name="인원_2" hidden="1">{#N/A,#N/A,FALSE,"정공"}</definedName>
    <definedName name="인원개선" hidden="1">{#N/A,#N/A,FALSE,"KMC최종회의(7월) 자료"}</definedName>
    <definedName name="인원계획" hidden="1">{#N/A,#N/A,TRUE,"Y생산";#N/A,#N/A,TRUE,"Y판매";#N/A,#N/A,TRUE,"Y총물량";#N/A,#N/A,TRUE,"Y능력";#N/A,#N/A,TRUE,"YKD"}</definedName>
    <definedName name="인원계획_1" hidden="1">{#N/A,#N/A,TRUE,"Y생산";#N/A,#N/A,TRUE,"Y판매";#N/A,#N/A,TRUE,"Y총물량";#N/A,#N/A,TRUE,"Y능력";#N/A,#N/A,TRUE,"YKD"}</definedName>
    <definedName name="인원세부" hidden="1">{#N/A,#N/A,TRUE,"Y생산";#N/A,#N/A,TRUE,"Y판매";#N/A,#N/A,TRUE,"Y총물량";#N/A,#N/A,TRUE,"Y능력";#N/A,#N/A,TRUE,"YKD"}</definedName>
    <definedName name="인원세부_1" hidden="1">{#N/A,#N/A,TRUE,"Y생산";#N/A,#N/A,TRUE,"Y판매";#N/A,#N/A,TRUE,"Y총물량";#N/A,#N/A,TRUE,"Y능력";#N/A,#N/A,TRUE,"YKD"}</definedName>
    <definedName name="인원수정" hidden="1">{#N/A,#N/A,FALSE,"KMC최종회의(7월) 자료"}</definedName>
    <definedName name="인원수정_1" hidden="1">{#N/A,#N/A,FALSE,"KMC최종회의(7월) 자료"}</definedName>
    <definedName name="인원운영계획2" hidden="1">{#N/A,#N/A,FALSE,"단축1";#N/A,#N/A,FALSE,"단축2";#N/A,#N/A,FALSE,"단축3";#N/A,#N/A,FALSE,"장축";#N/A,#N/A,FALSE,"4WD"}</definedName>
    <definedName name="인원조정2" hidden="1">{#N/A,#N/A,FALSE,"정공"}</definedName>
    <definedName name="인원조정2_1" hidden="1">{#N/A,#N/A,FALSE,"정공"}</definedName>
    <definedName name="인원조정2_2" hidden="1">{#N/A,#N/A,FALSE,"정공"}</definedName>
    <definedName name="인원증감" hidden="1">{#N/A,#N/A,FALSE,"KMC최종회의(7월) 자료"}</definedName>
    <definedName name="인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허가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동" hidden="1">{#N/A,#N/A,TRUE,"Y생산";#N/A,#N/A,TRUE,"Y판매";#N/A,#N/A,TRUE,"Y총물량";#N/A,#N/A,TRUE,"Y능력";#N/A,#N/A,TRUE,"YKD"}</definedName>
    <definedName name="일동_1" hidden="1">{#N/A,#N/A,TRUE,"Y생산";#N/A,#N/A,TRUE,"Y판매";#N/A,#N/A,TRUE,"Y총물량";#N/A,#N/A,TRUE,"Y능력";#N/A,#N/A,TRUE,"YKD"}</definedName>
    <definedName name="일동성" hidden="1">{#N/A,#N/A,TRUE,"Y생산";#N/A,#N/A,TRUE,"Y판매";#N/A,#N/A,TRUE,"Y총물량";#N/A,#N/A,TRUE,"Y능력";#N/A,#N/A,TRUE,"YKD"}</definedName>
    <definedName name="일동성_1" hidden="1">{#N/A,#N/A,TRUE,"Y생산";#N/A,#N/A,TRUE,"Y판매";#N/A,#N/A,TRUE,"Y총물량";#N/A,#N/A,TRUE,"Y능력";#N/A,#N/A,TRUE,"YKD"}</definedName>
    <definedName name="일르낟" hidden="1">{#N/A,#N/A,FALSE,"단축1";#N/A,#N/A,FALSE,"단축2";#N/A,#N/A,FALSE,"단축3";#N/A,#N/A,FALSE,"장축";#N/A,#N/A,FALSE,"4WD"}</definedName>
    <definedName name="일면" hidden="1">{#N/A,#N/A,FALSE,"96 3월물량표";#N/A,#N/A,FALSE,"96 4월물량표";#N/A,#N/A,FALSE,"96 5월물량표"}</definedName>
    <definedName name="일면_1" hidden="1">{#N/A,#N/A,FALSE,"96 3월물량표";#N/A,#N/A,FALSE,"96 4월물량표";#N/A,#N/A,FALSE,"96 5월물량표"}</definedName>
    <definedName name="일반" hidden="1">{#N/A,#N/A,FALSE,"종합";#N/A,#N/A,FALSE,"계획1";#N/A,#N/A,FALSE,"계획2";#N/A,#N/A,FALSE,"관리";#N/A,#N/A,FALSE,"시간";#N/A,#N/A,FALSE,"세부";#N/A,#N/A,FALSE,"산출";#N/A,#N/A,FALSE,"근거1";#N/A,#N/A,FALSE,"근거2";#N/A,#N/A,FALSE,"일정"}</definedName>
    <definedName name="일반제조경비" hidden="1">{#N/A,#N/A,FALSE,"단축1";#N/A,#N/A,FALSE,"단축2";#N/A,#N/A,FALSE,"단축3";#N/A,#N/A,FALSE,"장축";#N/A,#N/A,FALSE,"4WD"}</definedName>
    <definedName name="일상점검표1" hidden="1">#REF!</definedName>
    <definedName name="일성" hidden="1">{#N/A,#N/A,FALSE,"단축1";#N/A,#N/A,FALSE,"단축2";#N/A,#N/A,FALSE,"단축3";#N/A,#N/A,FALSE,"장축";#N/A,#N/A,FALSE,"4WD"}</definedName>
    <definedName name="일이삼" hidden="1">{#N/A,#N/A,FALSE,"단축1";#N/A,#N/A,FALSE,"단축2";#N/A,#N/A,FALSE,"단축3";#N/A,#N/A,FALSE,"장축";#N/A,#N/A,FALSE,"4WD"}</definedName>
    <definedName name="일이일" hidden="1">{#N/A,#N/A,FALSE,"현대기술상추천서(2-1)";#N/A,#N/A,FALSE,"2-2";#N/A,#N/A,FALSE,"2-3";#N/A,#N/A,FALSE,"서식2-4";#N/A,#N/A,FALSE,"(2-5)";#N/A,#N/A,FALSE,"(2-6)";#N/A,#N/A,FALSE,"(2-7)"}</definedName>
    <definedName name="일이ㅏㄹ" hidden="1">{#N/A,#N/A,FALSE,"단축1";#N/A,#N/A,FALSE,"단축2";#N/A,#N/A,FALSE,"단축3";#N/A,#N/A,FALSE,"장축";#N/A,#N/A,FALSE,"4WD"}</definedName>
    <definedName name="일이ㅏㄹ_1" hidden="1">{#N/A,#N/A,FALSE,"단축1";#N/A,#N/A,FALSE,"단축2";#N/A,#N/A,FALSE,"단축3";#N/A,#N/A,FALSE,"장축";#N/A,#N/A,FALSE,"4WD"}</definedName>
    <definedName name="일일" hidden="1">{#N/A,#N/A,FALSE,"KMC최종회의(7월) 자료"}</definedName>
    <definedName name="일일_1" hidden="1">{#N/A,#N/A,FALSE,"KMC최종회의(7월) 자료"}</definedName>
    <definedName name="일일_2" hidden="1">{#N/A,#N/A,FALSE,"KMC최종회의(7월) 자료"}</definedName>
    <definedName name="일일자재결산2월" hidden="1">#REF!</definedName>
    <definedName name="일자별" hidden="1">{#N/A,#N/A,TRUE,"Y생산";#N/A,#N/A,TRUE,"Y판매";#N/A,#N/A,TRUE,"Y총물량";#N/A,#N/A,TRUE,"Y능력";#N/A,#N/A,TRUE,"YKD"}</definedName>
    <definedName name="일자별_1" hidden="1">{#N/A,#N/A,TRUE,"Y생산";#N/A,#N/A,TRUE,"Y판매";#N/A,#N/A,TRUE,"Y총물량";#N/A,#N/A,TRUE,"Y능력";#N/A,#N/A,TRUE,"YKD"}</definedName>
    <definedName name="일자별현황" hidden="1">{"'5'!$A$1:$BB$147"}</definedName>
    <definedName name="일전" hidden="1">{#N/A,#N/A,TRUE,"Y생산";#N/A,#N/A,TRUE,"Y판매";#N/A,#N/A,TRUE,"Y총물량";#N/A,#N/A,TRUE,"Y능력";#N/A,#N/A,TRUE,"YKD"}</definedName>
    <definedName name="일전_1" hidden="1">{#N/A,#N/A,TRUE,"Y생산";#N/A,#N/A,TRUE,"Y판매";#N/A,#N/A,TRUE,"Y총물량";#N/A,#N/A,TRUE,"Y능력";#N/A,#N/A,TRUE,"YKD"}</definedName>
    <definedName name="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_1" hidden="1">{#N/A,#N/A,FALSE,"단축1";#N/A,#N/A,FALSE,"단축2";#N/A,#N/A,FALSE,"단축3";#N/A,#N/A,FALSE,"장축";#N/A,#N/A,FALSE,"4WD"}</definedName>
    <definedName name="일정_2" hidden="1">{#N/A,#N/A,FALSE,"단축1";#N/A,#N/A,FALSE,"단축2";#N/A,#N/A,FALSE,"단축3";#N/A,#N/A,FALSE,"장축";#N/A,#N/A,FALSE,"4WD"}</definedName>
    <definedName name="일정1" hidden="1">{#N/A,#N/A,FALSE,"단축1";#N/A,#N/A,FALSE,"단축2";#N/A,#N/A,FALSE,"단축3";#N/A,#N/A,FALSE,"장축";#N/A,#N/A,FALSE,"4WD"}</definedName>
    <definedName name="일정2" hidden="1">{#N/A,#N/A,FALSE,"단축1";#N/A,#N/A,FALSE,"단축2";#N/A,#N/A,FALSE,"단축3";#N/A,#N/A,FALSE,"장축";#N/A,#N/A,FALSE,"4WD"}</definedName>
    <definedName name="일정3" hidden="1">{#N/A,#N/A,FALSE,"단축1";#N/A,#N/A,FALSE,"단축2";#N/A,#N/A,FALSE,"단축3";#N/A,#N/A,FALSE,"장축";#N/A,#N/A,FALSE,"4WD"}</definedName>
    <definedName name="일정97" hidden="1">#REF!</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표02년" hidden="1">{#N/A,#N/A,FALSE,"정공"}</definedName>
    <definedName name="일정표02년_1" hidden="1">{#N/A,#N/A,FALSE,"정공"}</definedName>
    <definedName name="일정표02년_2" hidden="1">{#N/A,#N/A,FALSE,"정공"}</definedName>
    <definedName name="일총" hidden="1">{#N/A,#N/A,TRUE,"Y생산";#N/A,#N/A,TRUE,"Y판매";#N/A,#N/A,TRUE,"Y총물량";#N/A,#N/A,TRUE,"Y능력";#N/A,#N/A,TRUE,"YKD"}</definedName>
    <definedName name="일총_1" hidden="1">{#N/A,#N/A,TRUE,"Y생산";#N/A,#N/A,TRUE,"Y판매";#N/A,#N/A,TRUE,"Y총물량";#N/A,#N/A,TRUE,"Y능력";#N/A,#N/A,TRUE,"YKD"}</definedName>
    <definedName name="임" hidden="1">{#N/A,#N/A,FALSE,"단축1";#N/A,#N/A,FALSE,"단축2";#N/A,#N/A,FALSE,"단축3";#N/A,#N/A,FALSE,"장축";#N/A,#N/A,FALSE,"4WD"}</definedName>
    <definedName name="임동원" hidden="1">{#N/A,#N/A,FALSE,"정공"}</definedName>
    <definedName name="임동원_1" hidden="1">{#N/A,#N/A,FALSE,"정공"}</definedName>
    <definedName name="임동원_2" hidden="1">{#N/A,#N/A,FALSE,"정공"}</definedName>
    <definedName name="임동원_2_1" hidden="1">{#N/A,#N/A,FALSE,"정공"}</definedName>
    <definedName name="임동원_2_2" hidden="1">{#N/A,#N/A,FALSE,"정공"}</definedName>
    <definedName name="임동원_2_3" hidden="1">{#N/A,#N/A,FALSE,"정공"}</definedName>
    <definedName name="임동원_3" hidden="1">{#N/A,#N/A,FALSE,"정공"}</definedName>
    <definedName name="임동원_3_1" hidden="1">{#N/A,#N/A,FALSE,"정공"}</definedName>
    <definedName name="임동원_3_2" hidden="1">{#N/A,#N/A,FALSE,"정공"}</definedName>
    <definedName name="임동원_3_3" hidden="1">{#N/A,#N/A,FALSE,"정공"}</definedName>
    <definedName name="임동원_4" hidden="1">{#N/A,#N/A,FALSE,"정공"}</definedName>
    <definedName name="임동원_5" hidden="1">{#N/A,#N/A,FALSE,"정공"}</definedName>
    <definedName name="임마" hidden="1">{#N/A,#N/A,FALSE,"KMC최종회의(7월) 자료"}</definedName>
    <definedName name="임마_1" hidden="1">{#N/A,#N/A,FALSE,"KMC최종회의(7월) 자료"}</definedName>
    <definedName name="임마_2" hidden="1">{#N/A,#N/A,FALSE,"KMC최종회의(7월) 자료"}</definedName>
    <definedName name="임병길" hidden="1">{#N/A,#N/A,FALSE,"단축1";#N/A,#N/A,FALSE,"단축2";#N/A,#N/A,FALSE,"단축3";#N/A,#N/A,FALSE,"장축";#N/A,#N/A,FALSE,"4WD"}</definedName>
    <definedName name="임시" hidden="1">{#N/A,#N/A,TRUE,"Y생산";#N/A,#N/A,TRUE,"Y판매";#N/A,#N/A,TRUE,"Y총물량";#N/A,#N/A,TRUE,"Y능력";#N/A,#N/A,TRUE,"YKD"}</definedName>
    <definedName name="임시_1" hidden="1">{#N/A,#N/A,TRUE,"Y생산";#N/A,#N/A,TRUE,"Y판매";#N/A,#N/A,TRUE,"Y총물량";#N/A,#N/A,TRUE,"Y능력";#N/A,#N/A,TRUE,"YKD"}</definedName>
    <definedName name="임시2" hidden="1">{#N/A,#N/A,FALSE,"단축1";#N/A,#N/A,FALSE,"단축2";#N/A,#N/A,FALSE,"단축3";#N/A,#N/A,FALSE,"장축";#N/A,#N/A,FALSE,"4WD"}</definedName>
    <definedName name="임시2_1" hidden="1">{#N/A,#N/A,FALSE,"단축1";#N/A,#N/A,FALSE,"단축2";#N/A,#N/A,FALSE,"단축3";#N/A,#N/A,FALSE,"장축";#N/A,#N/A,FALSE,"4WD"}</definedName>
    <definedName name="입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_1" hidden="1">{#N/A,#N/A,TRUE,"Y생산";#N/A,#N/A,TRUE,"Y판매";#N/A,#N/A,TRUE,"Y총물량";#N/A,#N/A,TRUE,"Y능력";#N/A,#N/A,TRUE,"YKD"}</definedName>
    <definedName name="ㅈ0" hidden="1">{"'7-2지역별'!$A$1:$R$44"}</definedName>
    <definedName name="ㅈ1" hidden="1">{"'7-2지역별'!$A$1:$R$44"}</definedName>
    <definedName name="ㅈ234" hidden="1">{"'7-2지역별'!$A$1:$R$44"}</definedName>
    <definedName name="ㅈ3" hidden="1">{"'7-2지역별'!$A$1:$R$44"}</definedName>
    <definedName name="ㅈ3234" hidden="1">{"'7-2지역별'!$A$1:$R$44"}</definedName>
    <definedName name="ㅈ33" hidden="1">{"'7-2지역별'!$A$1:$R$44"}</definedName>
    <definedName name="ㅈ3333334" hidden="1">{"'7-2지역별'!$A$1:$R$44"}</definedName>
    <definedName name="ㅈ34" hidden="1">{"'7-2지역별'!$A$1:$R$44"}</definedName>
    <definedName name="ㅈ342" hidden="1">{"'7-2지역별'!$A$1:$R$44"}</definedName>
    <definedName name="ㅈ35454345" hidden="1">{#N/A,#N/A,FALSE,"PART-1234-8-12-9(41)";#N/A,#N/A,FALSE,"PARTS-2(3)";#N/A,#N/A,FALSE,"VAN SYSTEM";#N/A,#N/A,FALSE,"PARTS-10(26)";#N/A,#N/A,FALSE,"PART-5-6-7-11(14)";#N/A,#N/A,FALSE,"PARTS-4(3)";#N/A,#N/A,FALSE,"PCLASS"}</definedName>
    <definedName name="ㅈ3ㄱㄷ" hidden="1">{#N/A,#N/A,FALSE,"단축1";#N/A,#N/A,FALSE,"단축2";#N/A,#N/A,FALSE,"단축3";#N/A,#N/A,FALSE,"장축";#N/A,#N/A,FALSE,"4WD"}</definedName>
    <definedName name="ㅈ4" hidden="1">{"'7-2지역별'!$A$1:$R$44"}</definedName>
    <definedName name="ㅈ435" hidden="1">{"'7-2지역별'!$A$1:$R$44"}</definedName>
    <definedName name="ㅈ45" hidden="1">{"'7-2지역별'!$A$1:$R$44"}</definedName>
    <definedName name="ㅈ54" hidden="1">{"'7-2지역별'!$A$1:$R$44"}</definedName>
    <definedName name="ㅈWIIWIW" hidden="1">{#N/A,#N/A,FALSE,"96 3월물량표";#N/A,#N/A,FALSE,"96 4월물량표";#N/A,#N/A,FALSE,"96 5월물량표"}</definedName>
    <definedName name="ㅈㄱ" hidden="1">{#N/A,#N/A,FALSE,"신규dep";#N/A,#N/A,FALSE,"신규dep-금형상각후";#N/A,#N/A,FALSE,"신규dep-연구비상각후";#N/A,#N/A,FALSE,"신규dep-기계,공구상각후"}</definedName>
    <definedName name="ㅈㄱㄷ" hidden="1">{#N/A,#N/A,FALSE,"단축1";#N/A,#N/A,FALSE,"단축2";#N/A,#N/A,FALSE,"단축3";#N/A,#N/A,FALSE,"장축";#N/A,#N/A,FALSE,"4WD"}</definedName>
    <definedName name="ㅈㄱㄹ" hidden="1">{#N/A,#N/A,FALSE,"단축1";#N/A,#N/A,FALSE,"단축2";#N/A,#N/A,FALSE,"단축3";#N/A,#N/A,FALSE,"장축";#N/A,#N/A,FALSE,"4WD"}</definedName>
    <definedName name="ㅈㄱㅈㅂ" hidden="1">{#N/A,#N/A,FALSE,"단축1";#N/A,#N/A,FALSE,"단축2";#N/A,#N/A,FALSE,"단축3";#N/A,#N/A,FALSE,"장축";#N/A,#N/A,FALSE,"4WD"}</definedName>
    <definedName name="ㅈ고모" hidden="1">{#N/A,#N/A,FALSE,"단축1";#N/A,#N/A,FALSE,"단축2";#N/A,#N/A,FALSE,"단축3";#N/A,#N/A,FALSE,"장축";#N/A,#N/A,FALSE,"4WD"}</definedName>
    <definedName name="ㅈ구" hidden="1">{#N/A,#N/A,FALSE,"단축1";#N/A,#N/A,FALSE,"단축2";#N/A,#N/A,FALSE,"단축3";#N/A,#N/A,FALSE,"장축";#N/A,#N/A,FALSE,"4WD"}</definedName>
    <definedName name="ㅈㄴ" hidden="1">{#N/A,#N/A,FALSE,"정공"}</definedName>
    <definedName name="ㅈㄴ56" hidden="1">{"'7-2지역별'!$A$1:$R$44"}</definedName>
    <definedName name="ㅈㄴㄴ" hidden="1">{#N/A,#N/A,FALSE,"단축1";#N/A,#N/A,FALSE,"단축2";#N/A,#N/A,FALSE,"단축3";#N/A,#N/A,FALSE,"장축";#N/A,#N/A,FALSE,"4WD"}</definedName>
    <definedName name="ㅈㄴㄴ_1" hidden="1">{#N/A,#N/A,FALSE,"단축1";#N/A,#N/A,FALSE,"단축2";#N/A,#N/A,FALSE,"단축3";#N/A,#N/A,FALSE,"장축";#N/A,#N/A,FALSE,"4WD"}</definedName>
    <definedName name="ㅈㄴㄴ_2" hidden="1">{#N/A,#N/A,FALSE,"단축1";#N/A,#N/A,FALSE,"단축2";#N/A,#N/A,FALSE,"단축3";#N/A,#N/A,FALSE,"장축";#N/A,#N/A,FALSE,"4WD"}</definedName>
    <definedName name="ㅈㄴㅇ" hidden="1">{#N/A,#N/A,FALSE,"KMC최종회의(7월) 자료"}</definedName>
    <definedName name="ㅈㄴㅇㄹㅊㅁ" hidden="1">{#N/A,#N/A,FALSE,"단축1";#N/A,#N/A,FALSE,"단축2";#N/A,#N/A,FALSE,"단축3";#N/A,#N/A,FALSE,"장축";#N/A,#N/A,FALSE,"4WD"}</definedName>
    <definedName name="ㅈㄵ" hidden="1">{#N/A,#N/A,FALSE,"미판매분"}</definedName>
    <definedName name="ㅈㄵ_1" hidden="1">{#N/A,#N/A,FALSE,"미판매분"}</definedName>
    <definedName name="ㅈㄷ" hidden="1">{#N/A,#N/A,FALSE,"KMC최종회의(7월) 자료"}</definedName>
    <definedName name="ㅈㄷ_1" hidden="1">{#N/A,#N/A,FALSE,"KMC최종회의(7월) 자료"}</definedName>
    <definedName name="ㅈㄷ_2" hidden="1">{#N/A,#N/A,FALSE,"KMC최종회의(7월) 자료"}</definedName>
    <definedName name="ㅈㄷㄱㄷㄳ쇼" hidden="1">{#N/A,#N/A,FALSE,"단축1";#N/A,#N/A,FALSE,"단축2";#N/A,#N/A,FALSE,"단축3";#N/A,#N/A,FALSE,"장축";#N/A,#N/A,FALSE,"4WD"}</definedName>
    <definedName name="ㅈㄷㄱ쇼ㅗㅎㄹㅇ" hidden="1">{#N/A,#N/A,FALSE,"단축1";#N/A,#N/A,FALSE,"단축2";#N/A,#N/A,FALSE,"단축3";#N/A,#N/A,FALSE,"장축";#N/A,#N/A,FALSE,"4WD"}</definedName>
    <definedName name="ㅈㄷㄱㅈㅁㄷㅅ" hidden="1">{#N/A,#N/A,FALSE,"인원";#N/A,#N/A,FALSE,"비용2";#N/A,#N/A,FALSE,"비용1";#N/A,#N/A,FALSE,"비용";#N/A,#N/A,FALSE,"보증2";#N/A,#N/A,FALSE,"보증1";#N/A,#N/A,FALSE,"보증";#N/A,#N/A,FALSE,"손익1";#N/A,#N/A,FALSE,"손익";#N/A,#N/A,FALSE,"부서별매출";#N/A,#N/A,FALSE,"매출"}</definedName>
    <definedName name="ㅈㄷㄳ" hidden="1">{#N/A,#N/A,FALSE,"신규dep";#N/A,#N/A,FALSE,"신규dep-금형상각후";#N/A,#N/A,FALSE,"신규dep-연구비상각후";#N/A,#N/A,FALSE,"신규dep-기계,공구상각후"}</definedName>
    <definedName name="ㅈㄷㄳ_1" hidden="1">{#N/A,#N/A,FALSE,"신규dep";#N/A,#N/A,FALSE,"신규dep-금형상각후";#N/A,#N/A,FALSE,"신규dep-연구비상각후";#N/A,#N/A,FALSE,"신규dep-기계,공구상각후"}</definedName>
    <definedName name="ㅈㄷㄳㅈㄱㄷㅅ" hidden="1">{#N/A,#N/A,TRUE,"Y생산";#N/A,#N/A,TRUE,"Y판매";#N/A,#N/A,TRUE,"Y총물량";#N/A,#N/A,TRUE,"Y능력";#N/A,#N/A,TRUE,"YKD"}</definedName>
    <definedName name="ㅈㄷㄴ" hidden="1">{#N/A,#N/A,FALSE,"단축1";#N/A,#N/A,FALSE,"단축2";#N/A,#N/A,FALSE,"단축3";#N/A,#N/A,FALSE,"장축";#N/A,#N/A,FALSE,"4WD"}</definedName>
    <definedName name="ㅈㄷㄹㅈㄷㅎ" hidden="1">{#N/A,#N/A,TRUE,"Y생산";#N/A,#N/A,TRUE,"Y판매";#N/A,#N/A,TRUE,"Y총물량";#N/A,#N/A,TRUE,"Y능력";#N/A,#N/A,TRUE,"YKD"}</definedName>
    <definedName name="ㅈㄷㄹㅈㄷㅎ_1" hidden="1">{#N/A,#N/A,TRUE,"Y생산";#N/A,#N/A,TRUE,"Y판매";#N/A,#N/A,TRUE,"Y총물량";#N/A,#N/A,TRUE,"Y능력";#N/A,#N/A,TRUE,"YKD"}</definedName>
    <definedName name="ㅈㄷ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ㄷㅈㄷㄱㄷ" hidden="1">#REF!</definedName>
    <definedName name="ㅈㄷㅈㅂㄱ" hidden="1">{#N/A,#N/A,FALSE,"단축1";#N/A,#N/A,FALSE,"단축2";#N/A,#N/A,FALSE,"단축3";#N/A,#N/A,FALSE,"장축";#N/A,#N/A,FALSE,"4WD"}</definedName>
    <definedName name="ㅈㄷㅈㅂㄱ_1" hidden="1">{#N/A,#N/A,FALSE,"단축1";#N/A,#N/A,FALSE,"단축2";#N/A,#N/A,FALSE,"단축3";#N/A,#N/A,FALSE,"장축";#N/A,#N/A,FALSE,"4WD"}</definedName>
    <definedName name="ㅈㄷㅎㅇ륲" hidden="1">{#N/A,#N/A,TRUE,"Y생산";#N/A,#N/A,TRUE,"Y판매";#N/A,#N/A,TRUE,"Y총물량";#N/A,#N/A,TRUE,"Y능력";#N/A,#N/A,TRUE,"YKD"}</definedName>
    <definedName name="ㅈㄷㅎㅇ륲_1" hidden="1">{#N/A,#N/A,TRUE,"Y생산";#N/A,#N/A,TRUE,"Y판매";#N/A,#N/A,TRUE,"Y총물량";#N/A,#N/A,TRUE,"Y능력";#N/A,#N/A,TRUE,"YKD"}</definedName>
    <definedName name="ㅈㄹ" hidden="1">{#N/A,#N/A,FALSE,"KMC최종회의(7월) 자료"}</definedName>
    <definedName name="ㅈㄹ_1" hidden="1">{#N/A,#N/A,FALSE,"KMC최종회의(7월) 자료"}</definedName>
    <definedName name="ㅈㄹ_2" hidden="1">{#N/A,#N/A,FALSE,"KMC최종회의(7월) 자료"}</definedName>
    <definedName name="ㅈㄹㅇ" hidden="1">{#N/A,#N/A,FALSE,"정공"}</definedName>
    <definedName name="ㅈㅁㅇㄴ" hidden="1">{#N/A,#N/A,FALSE,"단축1";#N/A,#N/A,FALSE,"단축2";#N/A,#N/A,FALSE,"단축3";#N/A,#N/A,FALSE,"장축";#N/A,#N/A,FALSE,"4WD"}</definedName>
    <definedName name="ㅈㅂ" hidden="1">{#N/A,#N/A,FALSE,"단축1";#N/A,#N/A,FALSE,"단축2";#N/A,#N/A,FALSE,"단축3";#N/A,#N/A,FALSE,"장축";#N/A,#N/A,FALSE,"4WD"}</definedName>
    <definedName name="ㅈㅂㄴㅅ5ㅛㅇㄱㄷ" hidden="1">{#N/A,#N/A,FALSE,"단축1";#N/A,#N/A,FALSE,"단축2";#N/A,#N/A,FALSE,"단축3";#N/A,#N/A,FALSE,"장축";#N/A,#N/A,FALSE,"4WD"}</definedName>
    <definedName name="ㅈㅂㅈㄹㄴㅁ" hidden="1">{#N/A,#N/A,FALSE,"KMC최종회의(7월) 자료"}</definedName>
    <definedName name="ㅈㅂ젿" hidden="1">{#N/A,#N/A,FALSE,"KMC최종회의(7월) 자료"}</definedName>
    <definedName name="ㅈㅂㅎㄹㅈㄷㅎ" hidden="1">{"'5'!$A$1:$BB$147"}</definedName>
    <definedName name="ㅈ뵫군ㄴㄱㄷ묘" hidden="1">{#N/A,#N/A,FALSE,"단축1";#N/A,#N/A,FALSE,"단축2";#N/A,#N/A,FALSE,"단축3";#N/A,#N/A,FALSE,"장축";#N/A,#N/A,FALSE,"4WD"}</definedName>
    <definedName name="ㅈㅅㄱㅈㅅㅂㅂㅈㅂㄷㄱ" hidden="1">{#N/A,#N/A,FALSE,"KMC최종회의(7월) 자료"}</definedName>
    <definedName name="ㅈㅅㅈㄱㄷㅅㅈㄳ" hidden="1">{#N/A,#N/A,FALSE,"단축1";#N/A,#N/A,FALSE,"단축2";#N/A,#N/A,FALSE,"단축3";#N/A,#N/A,FALSE,"장축";#N/A,#N/A,FALSE,"4WD"}</definedName>
    <definedName name="ㅈㅅㅈㄳㅈㄳ" hidden="1">{#N/A,#N/A,TRUE,"Y생산";#N/A,#N/A,TRUE,"Y판매";#N/A,#N/A,TRUE,"Y총물량";#N/A,#N/A,TRUE,"Y능력";#N/A,#N/A,TRUE,"YKD"}</definedName>
    <definedName name="ㅈㅅㅎㄷㄱㅀ" hidden="1">{#N/A,#N/A,FALSE,"단축1";#N/A,#N/A,FALSE,"단축2";#N/A,#N/A,FALSE,"단축3";#N/A,#N/A,FALSE,"장축";#N/A,#N/A,FALSE,"4WD"}</definedName>
    <definedName name="ㅈㅇㅈ" hidden="1">{#N/A,#N/A,FALSE,"미판매분"}</definedName>
    <definedName name="ㅈㅇㅈ_1" hidden="1">{#N/A,#N/A,FALSE,"미판매분"}</definedName>
    <definedName name="ㅈㅈ" hidden="1">{#N/A,#N/A,FALSE,"96 3월물량표";#N/A,#N/A,FALSE,"96 4월물량표";#N/A,#N/A,FALSE,"96 5월물량표"}</definedName>
    <definedName name="ㅈㅈ_1" hidden="1">{#N/A,#N/A,FALSE,"96 3월물량표";#N/A,#N/A,FALSE,"96 4월물량표";#N/A,#N/A,FALSE,"96 5월물량표"}</definedName>
    <definedName name="ㅈㅈㄱ" hidden="1">{#N/A,#N/A,FALSE,"정공"}</definedName>
    <definedName name="ㅈㅈㄱ_1" hidden="1">{#N/A,#N/A,FALSE,"정공"}</definedName>
    <definedName name="ㅈㅈㄱ_2" hidden="1">{#N/A,#N/A,FALSE,"정공"}</definedName>
    <definedName name="ㅈㅈㅂㅈㄷ" hidden="1">{#N/A,#N/A,FALSE,"단축1";#N/A,#N/A,FALSE,"단축2";#N/A,#N/A,FALSE,"단축3";#N/A,#N/A,FALSE,"장축";#N/A,#N/A,FALSE,"4WD"}</definedName>
    <definedName name="ㅈㅈㅂㅈㄷ_1" hidden="1">{#N/A,#N/A,FALSE,"단축1";#N/A,#N/A,FALSE,"단축2";#N/A,#N/A,FALSE,"단축3";#N/A,#N/A,FALSE,"장축";#N/A,#N/A,FALSE,"4WD"}</definedName>
    <definedName name="ㅈㅈㅂㅈㄷ_2" hidden="1">{#N/A,#N/A,FALSE,"단축1";#N/A,#N/A,FALSE,"단축2";#N/A,#N/A,FALSE,"단축3";#N/A,#N/A,FALSE,"장축";#N/A,#N/A,FALSE,"4WD"}</definedName>
    <definedName name="ㅈㅈㅈ" hidden="1">{#N/A,#N/A,FALSE,"KMC최종회의(7월) 자료"}</definedName>
    <definedName name="ㅈㅈㅈㅈ" hidden="1">{#N/A,#N/A,TRUE,"Y생산";#N/A,#N/A,TRUE,"Y판매";#N/A,#N/A,TRUE,"Y총물량";#N/A,#N/A,TRUE,"Y능력";#N/A,#N/A,TRUE,"YKD"}</definedName>
    <definedName name="ㅈㅈㅈㅈㅈㄷㅈㄷ" hidden="1">{#N/A,#N/A,FALSE,"단축1";#N/A,#N/A,FALSE,"단축2";#N/A,#N/A,FALSE,"단축3";#N/A,#N/A,FALSE,"장축";#N/A,#N/A,FALSE,"4WD"}</definedName>
    <definedName name="ㅈㅈㅈㅈㅈㅈ" hidden="1">{#N/A,#N/A,FALSE,"전제";#N/A,#N/A,FALSE,"표지";#N/A,#N/A,FALSE,"6D16";#N/A,#N/A,FALSE,"6D22";#N/A,#N/A,FALSE,"6D22-T";#N/A,#N/A,FALSE,"Q-DEG";#N/A,#N/A,FALSE,"총손";#N/A,#N/A,FALSE,"대당";#N/A,#N/A,FALSE,"가공비"}</definedName>
    <definedName name="ㅈㅈㅈㅈㅈㅈㅈ" hidden="1">{#N/A,#N/A,FALSE,"단축1";#N/A,#N/A,FALSE,"단축2";#N/A,#N/A,FALSE,"단축3";#N/A,#N/A,FALSE,"장축";#N/A,#N/A,FALSE,"4WD"}</definedName>
    <definedName name="ㅈㅎㅅ1" hidden="1">{"'7-2지역별'!$A$1:$R$44"}</definedName>
    <definedName name="자가" hidden="1">#REF!</definedName>
    <definedName name="자금계획" hidden="1">{#N/A,#N/A,FALSE,"정공"}</definedName>
    <definedName name="자금계획_1" hidden="1">{#N/A,#N/A,FALSE,"정공"}</definedName>
    <definedName name="자금계획_2" hidden="1">{#N/A,#N/A,FALSE,"정공"}</definedName>
    <definedName name="자금수지" hidden="1">{#N/A,#N/A,FALSE,"정공"}</definedName>
    <definedName name="자금수지_1" hidden="1">{#N/A,#N/A,FALSE,"정공"}</definedName>
    <definedName name="자금총" hidden="1">{#N/A,#N/A,FALSE,"정공"}</definedName>
    <definedName name="자금총_1" hidden="1">{#N/A,#N/A,FALSE,"정공"}</definedName>
    <definedName name="자기" hidden="1">{#N/A,#N/A,FALSE,"단축1";#N/A,#N/A,FALSE,"단축2";#N/A,#N/A,FALSE,"단축3";#N/A,#N/A,FALSE,"장축";#N/A,#N/A,FALSE,"4WD"}</definedName>
    <definedName name="자나" hidden="1">{"'5'!$A$1:$BB$147"}</definedName>
    <definedName name="자나나나기" hidden="1">{#N/A,#N/A,FALSE,"단축1";#N/A,#N/A,FALSE,"단축2";#N/A,#N/A,FALSE,"단축3";#N/A,#N/A,FALSE,"장축";#N/A,#N/A,FALSE,"4WD"}</definedName>
    <definedName name="자나다다라" hidden="1">{"'5'!$A$1:$BB$147"}</definedName>
    <definedName name="자다라다" hidden="1">{"'5'!$A$1:$BB$147"}</definedName>
    <definedName name="자다라다가라" hidden="1">{"'5'!$A$1:$BB$147"}</definedName>
    <definedName name="자다라다라다라" hidden="1">{"'5'!$A$1:$BB$147"}</definedName>
    <definedName name="자동" hidden="1">{#N/A,#N/A,FALSE,"단축1";#N/A,#N/A,FALSE,"단축2";#N/A,#N/A,FALSE,"단축3";#N/A,#N/A,FALSE,"장축";#N/A,#N/A,FALSE,"4WD"}</definedName>
    <definedName name="자동수정" hidden="1">{#N/A,#N/A,FALSE,"단축1";#N/A,#N/A,FALSE,"단축2";#N/A,#N/A,FALSE,"단축3";#N/A,#N/A,FALSE,"장축";#N/A,#N/A,FALSE,"4WD"}</definedName>
    <definedName name="자동차" hidden="1">{#N/A,#N/A,FALSE,"96자동차사 계획";#N/A,#N/A,FALSE,"96자동차사 계획"}</definedName>
    <definedName name="자라" hidden="1">{#N/A,#N/A,FALSE,"단축1";#N/A,#N/A,FALSE,"단축2";#N/A,#N/A,FALSE,"단축3";#N/A,#N/A,FALSE,"장축";#N/A,#N/A,FALSE,"4WD"}</definedName>
    <definedName name="자랴물" hidden="1">{#N/A,#N/A,TRUE,"Y생산";#N/A,#N/A,TRUE,"Y판매";#N/A,#N/A,TRUE,"Y총물량";#N/A,#N/A,TRUE,"Y능력";#N/A,#N/A,TRUE,"YKD"}</definedName>
    <definedName name="자료" hidden="1">{#N/A,#N/A,FALSE,"KMC최종회의(7월) 자료"}</definedName>
    <definedName name="자료_1" hidden="1">{#N/A,#N/A,FALSE,"KMC최종회의(7월) 자료"}</definedName>
    <definedName name="자료_2" hidden="1">{#N/A,#N/A,FALSE,"KMC최종회의(7월) 자료"}</definedName>
    <definedName name="자료3" hidden="1">{#N/A,#N/A,FALSE,"KMC최종회의(7월) 자료"}</definedName>
    <definedName name="자료정리" hidden="1">{#N/A,#N/A,FALSE,"단축1";#N/A,#N/A,FALSE,"단축2";#N/A,#N/A,FALSE,"단축3";#N/A,#N/A,FALSE,"장축";#N/A,#N/A,FALSE,"4WD"}</definedName>
    <definedName name="자본금" hidden="1">{#N/A,#N/A,FALSE,"정공"}</definedName>
    <definedName name="자본금_1" hidden="1">{#N/A,#N/A,FALSE,"정공"}</definedName>
    <definedName name="자본금_2" hidden="1">{#N/A,#N/A,FALSE,"정공"}</definedName>
    <definedName name="자본금_2_1" hidden="1">{#N/A,#N/A,FALSE,"정공"}</definedName>
    <definedName name="자본금_2_2" hidden="1">{#N/A,#N/A,FALSE,"정공"}</definedName>
    <definedName name="자본금_2_3" hidden="1">{#N/A,#N/A,FALSE,"정공"}</definedName>
    <definedName name="자본금_3" hidden="1">{#N/A,#N/A,FALSE,"정공"}</definedName>
    <definedName name="자본금_3_1" hidden="1">{#N/A,#N/A,FALSE,"정공"}</definedName>
    <definedName name="자본금_3_2" hidden="1">{#N/A,#N/A,FALSE,"정공"}</definedName>
    <definedName name="자본금_3_3" hidden="1">{#N/A,#N/A,FALSE,"정공"}</definedName>
    <definedName name="자본금_4" hidden="1">{#N/A,#N/A,FALSE,"정공"}</definedName>
    <definedName name="자본금_5" hidden="1">{#N/A,#N/A,FALSE,"정공"}</definedName>
    <definedName name="자사아다" hidden="1">{"'5'!$A$1:$BB$147"}</definedName>
    <definedName name="자자자자자나나나나나나나나나나나나나나나나난나" hidden="1">{#N/A,#N/A,FALSE,"KMC최종회의(7월) 자료"}</definedName>
    <definedName name="자자자자자나나나나나나나나나나나나나나나나난나_1" hidden="1">{#N/A,#N/A,FALSE,"KMC최종회의(7월) 자료"}</definedName>
    <definedName name="자자자자자자자자자" hidden="1">{#N/A,#N/A,FALSE,"KMC최종회의(7월) 자료"}</definedName>
    <definedName name="자자자자자자자자잦" hidden="1">{#N/A,#N/A,FALSE,"KMC최종회의(7월) 자료"}</definedName>
    <definedName name="자자자잦" hidden="1">{#N/A,#N/A,FALSE,"정공"}</definedName>
    <definedName name="자자자잦_1" hidden="1">{#N/A,#N/A,FALSE,"정공"}</definedName>
    <definedName name="자자자잦_2" hidden="1">{#N/A,#N/A,FALSE,"정공"}</definedName>
    <definedName name="자작1" hidden="1">{#N/A,#N/A,FALSE,"KMC최종회의(7월) 자료"}</definedName>
    <definedName name="자작1_1" hidden="1">{#N/A,#N/A,FALSE,"KMC최종회의(7월) 자료"}</definedName>
    <definedName name="자작1_2" hidden="1">{#N/A,#N/A,FALSE,"KMC최종회의(7월) 자료"}</definedName>
    <definedName name="자잦" hidden="1">{#N/A,#N/A,FALSE,"단축1";#N/A,#N/A,FALSE,"단축2";#N/A,#N/A,FALSE,"단축3";#N/A,#N/A,FALSE,"장축";#N/A,#N/A,FALSE,"4WD"}</definedName>
    <definedName name="자재" hidden="1">{#N/A,#N/A,TRUE,"Y생산";#N/A,#N/A,TRUE,"Y판매";#N/A,#N/A,TRUE,"Y총물량";#N/A,#N/A,TRUE,"Y능력";#N/A,#N/A,TRUE,"YKD"}</definedName>
    <definedName name="자재_1" hidden="1">{#N/A,#N/A,TRUE,"Y생산";#N/A,#N/A,TRUE,"Y판매";#N/A,#N/A,TRUE,"Y총물량";#N/A,#N/A,TRUE,"Y능력";#N/A,#N/A,TRUE,"YKD"}</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BOM" hidden="1">{#N/A,#N/A,TRUE,"매출진척-1";#N/A,#N/A,TRUE,"매출진척-2";#N/A,#N/A,TRUE,"제품실적";#N/A,#N/A,TRUE,"RAC";#N/A,#N/A,TRUE,"PAC ";#N/A,#N/A,TRUE,"재고현황";#N/A,#N/A,TRUE,"공지사항"}</definedName>
    <definedName name="자재기준" hidden="1">{#N/A,#N/A,TRUE,"Y생산";#N/A,#N/A,TRUE,"Y판매";#N/A,#N/A,TRUE,"Y총물량";#N/A,#N/A,TRUE,"Y능력";#N/A,#N/A,TRUE,"YKD"}</definedName>
    <definedName name="자재기준_1" hidden="1">{#N/A,#N/A,TRUE,"Y생산";#N/A,#N/A,TRUE,"Y판매";#N/A,#N/A,TRUE,"Y총물량";#N/A,#N/A,TRUE,"Y능력";#N/A,#N/A,TRUE,"YKD"}</definedName>
    <definedName name="자재비구분" hidden="1">{#N/A,#N/A,FALSE,"단축1";#N/A,#N/A,FALSE,"단축2";#N/A,#N/A,FALSE,"단축3";#N/A,#N/A,FALSE,"장축";#N/A,#N/A,FALSE,"4WD"}</definedName>
    <definedName name="자지" hidden="1">{"'5'!$A$1:$BB$147"}</definedName>
    <definedName name="작성123" hidden="1">{#N/A,#N/A,FALSE,"단축1";#N/A,#N/A,FALSE,"단축2";#N/A,#N/A,FALSE,"단축3";#N/A,#N/A,FALSE,"장축";#N/A,#N/A,FALSE,"4WD"}</definedName>
    <definedName name="작성2" hidden="1">{#N/A,#N/A,FALSE,"단축1";#N/A,#N/A,FALSE,"단축2";#N/A,#N/A,FALSE,"단축3";#N/A,#N/A,FALSE,"장축";#N/A,#N/A,FALSE,"4WD"}</definedName>
    <definedName name="작성기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작성기준올리기" hidden="1">{#N/A,#N/A,FALSE,"정공"}</definedName>
    <definedName name="작성기준올리기_1" hidden="1">{#N/A,#N/A,FALSE,"정공"}</definedName>
    <definedName name="작성기준올리기_2" hidden="1">{#N/A,#N/A,FALSE,"정공"}</definedName>
    <definedName name="작업2" hidden="1">{"'표지'!$B$5"}</definedName>
    <definedName name="작업장" hidden="1">{"'표지'!$B$5"}</definedName>
    <definedName name="작업환경개선서" hidden="1">{#N/A,#N/A,FALSE,"KMC최종회의(7월) 자료"}</definedName>
    <definedName name="작업환경개선서_1" hidden="1">{#N/A,#N/A,FALSE,"KMC최종회의(7월) 자료"}</definedName>
    <definedName name="작업환경개선서_2" hidden="1">{#N/A,#N/A,FALSE,"KMC최종회의(7월) 자료"}</definedName>
    <definedName name="잔" hidden="1">{#N/A,#N/A,FALSE,"단축1";#N/A,#N/A,FALSE,"단축2";#N/A,#N/A,FALSE,"단축3";#N/A,#N/A,FALSE,"장축";#N/A,#N/A,FALSE,"4WD"}</definedName>
    <definedName name="잔다르크" hidden="1">{#N/A,#N/A,FALSE,"정공"}</definedName>
    <definedName name="잔다르크_1" hidden="1">{#N/A,#N/A,FALSE,"정공"}</definedName>
    <definedName name="잔다르크_2" hidden="1">{#N/A,#N/A,FALSE,"정공"}</definedName>
    <definedName name="잔다르크_2_1" hidden="1">{#N/A,#N/A,FALSE,"정공"}</definedName>
    <definedName name="잔다르크_2_2" hidden="1">{#N/A,#N/A,FALSE,"정공"}</definedName>
    <definedName name="잔다르크_2_3" hidden="1">{#N/A,#N/A,FALSE,"정공"}</definedName>
    <definedName name="잔다르크_3" hidden="1">{#N/A,#N/A,FALSE,"정공"}</definedName>
    <definedName name="잔다르크_3_1" hidden="1">{#N/A,#N/A,FALSE,"정공"}</definedName>
    <definedName name="잔다르크_3_2" hidden="1">{#N/A,#N/A,FALSE,"정공"}</definedName>
    <definedName name="잔다르크_3_3" hidden="1">{#N/A,#N/A,FALSE,"정공"}</definedName>
    <definedName name="잔다르크_4" hidden="1">{#N/A,#N/A,FALSE,"정공"}</definedName>
    <definedName name="잔다르크_5" hidden="1">{#N/A,#N/A,FALSE,"정공"}</definedName>
    <definedName name="잔업집게5" hidden="1">{#N/A,#N/A,TRUE,"Y생산";#N/A,#N/A,TRUE,"Y판매";#N/A,#N/A,TRUE,"Y총물량";#N/A,#N/A,TRUE,"Y능력";#N/A,#N/A,TRUE,"YKD"}</definedName>
    <definedName name="잔업집게5_1" hidden="1">{#N/A,#N/A,TRUE,"Y생산";#N/A,#N/A,TRUE,"Y판매";#N/A,#N/A,TRUE,"Y총물량";#N/A,#N/A,TRUE,"Y능력";#N/A,#N/A,TRUE,"YKD"}</definedName>
    <definedName name="잔존문제점.2" hidden="1">{#N/A,#N/A,FALSE,"단축1";#N/A,#N/A,FALSE,"단축2";#N/A,#N/A,FALSE,"단축3";#N/A,#N/A,FALSE,"장축";#N/A,#N/A,FALSE,"4WD"}</definedName>
    <definedName name="잡봉가" hidden="1">{#N/A,#N/A,FALSE,"단축1";#N/A,#N/A,FALSE,"단축2";#N/A,#N/A,FALSE,"단축3";#N/A,#N/A,FALSE,"장축";#N/A,#N/A,FALSE,"4WD"}</definedName>
    <definedName name="장" hidden="1">{#N/A,#N/A,FALSE,"단축1";#N/A,#N/A,FALSE,"단축2";#N/A,#N/A,FALSE,"단축3";#N/A,#N/A,FALSE,"장축";#N/A,#N/A,FALSE,"4WD"}</definedName>
    <definedName name="장난" hidden="1">{#N/A,#N/A,FALSE,"단축1";#N/A,#N/A,FALSE,"단축2";#N/A,#N/A,FALSE,"단축3";#N/A,#N/A,FALSE,"장축";#N/A,#N/A,FALSE,"4WD"}</definedName>
    <definedName name="장민ㄹ" hidden="1">{#N/A,#N/A,FALSE,"단축1";#N/A,#N/A,FALSE,"단축2";#N/A,#N/A,FALSE,"단축3";#N/A,#N/A,FALSE,"장축";#N/A,#N/A,FALSE,"4WD"}</definedName>
    <definedName name="장민호" hidden="1">{#N/A,#N/A,FALSE,"초도품";#N/A,#N/A,FALSE,"초도품 (2)";#N/A,#N/A,FALSE,"초도품 (3)";#N/A,#N/A,FALSE,"초도품 (4)";#N/A,#N/A,FALSE,"초도품 (5)";#N/A,#N/A,FALSE,"초도품 (6)"}</definedName>
    <definedName name="장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장치" hidden="1">{#N/A,#N/A,FALSE,"단축1";#N/A,#N/A,FALSE,"단축2";#N/A,#N/A,FALSE,"단축3";#N/A,#N/A,FALSE,"장축";#N/A,#N/A,FALSE,"4WD"}</definedName>
    <definedName name="장판계" hidden="1">{#N/A,#N/A,FALSE,"단축1";#N/A,#N/A,FALSE,"단축2";#N/A,#N/A,FALSE,"단축3";#N/A,#N/A,FALSE,"장축";#N/A,#N/A,FALSE,"4WD"}</definedName>
    <definedName name="장호대" hidden="1">{#N/A,#N/A,FALSE,"단축1";#N/A,#N/A,FALSE,"단축2";#N/A,#N/A,FALSE,"단축3";#N/A,#N/A,FALSE,"장축";#N/A,#N/A,FALSE,"4WD"}</definedName>
    <definedName name="장호철" hidden="1">{#N/A,#N/A,FALSE,"PART-1234-8-12-9(41)";#N/A,#N/A,FALSE,"PARTS-2(3)";#N/A,#N/A,FALSE,"VAN SYSTEM";#N/A,#N/A,FALSE,"PARTS-10(26)";#N/A,#N/A,FALSE,"PART-5-6-7-11(14)";#N/A,#N/A,FALSE,"PARTS-4(3)";#N/A,#N/A,FALSE,"PCLASS"}</definedName>
    <definedName name="장호철1" hidden="1">{#N/A,#N/A,FALSE,"PART-1234-8-12-9(41)";#N/A,#N/A,FALSE,"PARTS-2(3)";#N/A,#N/A,FALSE,"VAN SYSTEM";#N/A,#N/A,FALSE,"PARTS-10(26)";#N/A,#N/A,FALSE,"PART-5-6-7-11(14)";#N/A,#N/A,FALSE,"PARTS-4(3)";#N/A,#N/A,FALSE,"PCLASS"}</definedName>
    <definedName name="재" hidden="1">{#N/A,#N/A,FALSE,"KMC최종회의(7월) 자료"}</definedName>
    <definedName name="재_1" hidden="1">{#N/A,#N/A,FALSE,"KMC최종회의(7월) 자료"}</definedName>
    <definedName name="재_2" hidden="1">{#N/A,#N/A,FALSE,"KMC최종회의(7월) 자료"}</definedName>
    <definedName name="재경팀장" hidden="1">{#N/A,#N/A,FALSE,"정공"}</definedName>
    <definedName name="재경팀장_1" hidden="1">{#N/A,#N/A,FALSE,"정공"}</definedName>
    <definedName name="재경팀장_2" hidden="1">{#N/A,#N/A,FALSE,"정공"}</definedName>
    <definedName name="재고" hidden="1">{#N/A,#N/A,FALSE,"KMC최종회의(7월) 자료"}</definedName>
    <definedName name="재고관리" hidden="1">{#N/A,#N/A,TRUE,"Y생산";#N/A,#N/A,TRUE,"Y판매";#N/A,#N/A,TRUE,"Y총물량";#N/A,#N/A,TRUE,"Y능력";#N/A,#N/A,TRUE,"YKD"}</definedName>
    <definedName name="재고관리형태" hidden="1">{#N/A,#N/A,FALSE,"단축1";#N/A,#N/A,FALSE,"단축2";#N/A,#N/A,FALSE,"단축3";#N/A,#N/A,FALSE,"장축";#N/A,#N/A,FALSE,"4WD"}</definedName>
    <definedName name="재고분석" hidden="1">{#N/A,#N/A,FALSE,"신규dep";#N/A,#N/A,FALSE,"신규dep-금형상각후";#N/A,#N/A,FALSE,"신규dep-연구비상각후";#N/A,#N/A,FALSE,"신규dep-기계,공구상각후"}</definedName>
    <definedName name="재고붐서에" hidden="1">{#N/A,#N/A,FALSE,"품의서";#N/A,#N/A,FALSE,"전제";#N/A,#N/A,FALSE,"총손";#N/A,#N/A,FALSE,"손익";#N/A,#N/A,FALSE,"대당";#N/A,#N/A,FALSE,"가공비";#N/A,#N/A,FALSE,"재료비";#N/A,#N/A,FALSE,"판비";#N/A,#N/A,FALSE,"가격"}</definedName>
    <definedName name="재고상세5" hidden="1">#REF!</definedName>
    <definedName name="재노경" hidden="1">{#N/A,#N/A,FALSE,"KMC최종회의(7월) 자료"}</definedName>
    <definedName name="재노경_1" hidden="1">{#N/A,#N/A,FALSE,"KMC최종회의(7월) 자료"}</definedName>
    <definedName name="재노경_2" hidden="1">{#N/A,#N/A,FALSE,"KMC최종회의(7월) 자료"}</definedName>
    <definedName name="재노경1" hidden="1">{#N/A,#N/A,FALSE,"KMC최종회의(7월) 자료"}</definedName>
    <definedName name="재노경1_1" hidden="1">{#N/A,#N/A,FALSE,"KMC최종회의(7월) 자료"}</definedName>
    <definedName name="재노경1_2" hidden="1">{#N/A,#N/A,FALSE,"KMC최종회의(7월) 자료"}</definedName>
    <definedName name="재노경종합2" hidden="1">{#N/A,#N/A,FALSE,"KMC최종회의(7월) 자료"}</definedName>
    <definedName name="재노경종합2_1" hidden="1">{#N/A,#N/A,FALSE,"KMC최종회의(7월) 자료"}</definedName>
    <definedName name="재노경종합2_2" hidden="1">{#N/A,#N/A,FALSE,"KMC최종회의(7월) 자료"}</definedName>
    <definedName name="재노경종합A" hidden="1">{#N/A,#N/A,FALSE,"KMC최종회의(7월) 자료"}</definedName>
    <definedName name="재노경종합A_1" hidden="1">{#N/A,#N/A,FALSE,"KMC최종회의(7월) 자료"}</definedName>
    <definedName name="재노경종합A_2" hidden="1">{#N/A,#N/A,FALSE,"KMC최종회의(7월) 자료"}</definedName>
    <definedName name="재노종" hidden="1">{#N/A,#N/A,FALSE,"KMC최종회의(7월) 자료"}</definedName>
    <definedName name="재노종_1" hidden="1">{#N/A,#N/A,FALSE,"KMC최종회의(7월) 자료"}</definedName>
    <definedName name="재노종_2" hidden="1">{#N/A,#N/A,FALSE,"KMC최종회의(7월) 자료"}</definedName>
    <definedName name="재령" hidden="1">{"'Sheet1'!$A$211:$M$235"}</definedName>
    <definedName name="재료" hidden="1">{#N/A,#N/A,FALSE,"단축1";#N/A,#N/A,FALSE,"단축2";#N/A,#N/A,FALSE,"단축3";#N/A,#N/A,FALSE,"장축";#N/A,#N/A,FALSE,"4WD"}</definedName>
    <definedName name="재료_1" hidden="1">{#N/A,#N/A,FALSE,"단축1";#N/A,#N/A,FALSE,"단축2";#N/A,#N/A,FALSE,"단축3";#N/A,#N/A,FALSE,"장축";#N/A,#N/A,FALSE,"4WD"}</definedName>
    <definedName name="재료_2" hidden="1">{#N/A,#N/A,FALSE,"단축1";#N/A,#N/A,FALSE,"단축2";#N/A,#N/A,FALSE,"단축3";#N/A,#N/A,FALSE,"장축";#N/A,#N/A,FALSE,"4WD"}</definedName>
    <definedName name="재료비RS" hidden="1">{#N/A,#N/A,FALSE,"단축1";#N/A,#N/A,FALSE,"단축2";#N/A,#N/A,FALSE,"단축3";#N/A,#N/A,FALSE,"장축";#N/A,#N/A,FALSE,"4WD"}</definedName>
    <definedName name="재료예산" hidden="1">{#N/A,#N/A,FALSE,"단축1";#N/A,#N/A,FALSE,"단축2";#N/A,#N/A,FALSE,"단축3";#N/A,#N/A,FALSE,"장축";#N/A,#N/A,FALSE,"4WD"}</definedName>
    <definedName name="재무구조개선" hidden="1">{#N/A,#N/A,FALSE,"단축1";#N/A,#N/A,FALSE,"단축2";#N/A,#N/A,FALSE,"단축3";#N/A,#N/A,FALSE,"장축";#N/A,#N/A,FALSE,"4WD"}</definedName>
    <definedName name="재무구조개선_1" hidden="1">{#N/A,#N/A,FALSE,"단축1";#N/A,#N/A,FALSE,"단축2";#N/A,#N/A,FALSE,"단축3";#N/A,#N/A,FALSE,"장축";#N/A,#N/A,FALSE,"4WD"}</definedName>
    <definedName name="재민" hidden="1">{"'5'!$A$1:$BB$147"}</definedName>
    <definedName name="재작성" hidden="1">{#N/A,#N/A,FALSE,"ROW DATA"}</definedName>
    <definedName name="잯" hidden="1">{#N/A,#N/A,FALSE,"단축1";#N/A,#N/A,FALSE,"단축2";#N/A,#N/A,FALSE,"단축3";#N/A,#N/A,FALSE,"장축";#N/A,#N/A,FALSE,"4WD"}</definedName>
    <definedName name="쟈" hidden="1">{#N/A,#N/A,FALSE,"KMC최종회의(7월) 자료"}</definedName>
    <definedName name="쟈_1" hidden="1">{#N/A,#N/A,FALSE,"KMC최종회의(7월) 자료"}</definedName>
    <definedName name="쟈_2" hidden="1">{#N/A,#N/A,FALSE,"KMC최종회의(7월) 자료"}</definedName>
    <definedName name="쟈겯ㅈ" hidden="1">{#N/A,#N/A,FALSE,"단축1";#N/A,#N/A,FALSE,"단축2";#N/A,#N/A,FALSE,"단축3";#N/A,#N/A,FALSE,"장축";#N/A,#N/A,FALSE,"4WD"}</definedName>
    <definedName name="쟈ㅜ" hidden="1">{#N/A,#N/A,FALSE,"신규dep";#N/A,#N/A,FALSE,"신규dep-금형상각후";#N/A,#N/A,FALSE,"신규dep-연구비상각후";#N/A,#N/A,FALSE,"신규dep-기계,공구상각후"}</definedName>
    <definedName name="쟈ㅜ_1" hidden="1">{#N/A,#N/A,FALSE,"신규dep";#N/A,#N/A,FALSE,"신규dep-금형상각후";#N/A,#N/A,FALSE,"신규dep-연구비상각후";#N/A,#N/A,FALSE,"신규dep-기계,공구상각후"}</definedName>
    <definedName name="쟈ㅜ_2" hidden="1">{#N/A,#N/A,FALSE,"신규dep";#N/A,#N/A,FALSE,"신규dep-금형상각후";#N/A,#N/A,FALSE,"신규dep-연구비상각후";#N/A,#N/A,FALSE,"신규dep-기계,공구상각후"}</definedName>
    <definedName name="저" hidden="1">{#N/A,#N/A,FALSE,"KMC최종회의(7월) 자료"}</definedName>
    <definedName name="저_1" hidden="1">{#N/A,#N/A,FALSE,"KMC최종회의(7월) 자료"}</definedName>
    <definedName name="저_2" hidden="1">{#N/A,#N/A,FALSE,"KMC최종회의(7월) 자료"}</definedName>
    <definedName name="저1" hidden="1">{#N/A,#N/A,FALSE,"KMC최종회의(7월) 자료"}</definedName>
    <definedName name="저1_1" hidden="1">{#N/A,#N/A,FALSE,"KMC최종회의(7월) 자료"}</definedName>
    <definedName name="저1_2" hidden="1">{#N/A,#N/A,FALSE,"정공"}</definedName>
    <definedName name="저2" hidden="1">{#N/A,#N/A,FALSE,"정공"}</definedName>
    <definedName name="저2_1" hidden="1">{#N/A,#N/A,FALSE,"정공"}</definedName>
    <definedName name="저2_2" hidden="1">{#N/A,#N/A,FALSE,"정공"}</definedName>
    <definedName name="저라" hidden="1">{#N/A,#N/A,FALSE,"단축1";#N/A,#N/A,FALSE,"단축2";#N/A,#N/A,FALSE,"단축3";#N/A,#N/A,FALSE,"장축";#N/A,#N/A,FALSE,"4WD"}</definedName>
    <definedName name="저라_1" hidden="1">{#N/A,#N/A,FALSE,"단축1";#N/A,#N/A,FALSE,"단축2";#N/A,#N/A,FALSE,"단축3";#N/A,#N/A,FALSE,"장축";#N/A,#N/A,FALSE,"4WD"}</definedName>
    <definedName name="저으아ㅓ어어엉렁러어어" hidden="1">{#N/A,#N/A,FALSE,"단축1";#N/A,#N/A,FALSE,"단축2";#N/A,#N/A,FALSE,"단축3";#N/A,#N/A,FALSE,"장축";#N/A,#N/A,FALSE,"4WD"}</definedName>
    <definedName name="전" hidden="1">{#N/A,#N/A,FALSE,"KMC최종회의(7월) 자료"}</definedName>
    <definedName name="전_1" hidden="1">{#N/A,#N/A,FALSE,"KMC최종회의(7월) 자료"}</definedName>
    <definedName name="전2" hidden="1">{#N/A,#N/A,FALSE,"KMC최종회의(7월) 자료"}</definedName>
    <definedName name="전2_1" hidden="1">{#N/A,#N/A,FALSE,"정공"}</definedName>
    <definedName name="전2_2" hidden="1">{#N/A,#N/A,FALSE,"정공"}</definedName>
    <definedName name="전2_2_1" hidden="1">{#N/A,#N/A,FALSE,"정공"}</definedName>
    <definedName name="전2_2_2" hidden="1">{#N/A,#N/A,FALSE,"정공"}</definedName>
    <definedName name="전2_2_3" hidden="1">{#N/A,#N/A,FALSE,"정공"}</definedName>
    <definedName name="전2_3" hidden="1">{#N/A,#N/A,FALSE,"정공"}</definedName>
    <definedName name="전2_3_1" hidden="1">{#N/A,#N/A,FALSE,"정공"}</definedName>
    <definedName name="전2_3_2" hidden="1">{#N/A,#N/A,FALSE,"정공"}</definedName>
    <definedName name="전2_3_3" hidden="1">{#N/A,#N/A,FALSE,"정공"}</definedName>
    <definedName name="전2_4" hidden="1">{#N/A,#N/A,FALSE,"정공"}</definedName>
    <definedName name="전2_5" hidden="1">{#N/A,#N/A,FALSE,"정공"}</definedName>
    <definedName name="전개계획" hidden="1">{#N/A,#N/A,FALSE,"단축1";#N/A,#N/A,FALSE,"단축2";#N/A,#N/A,FALSE,"단축3";#N/A,#N/A,FALSE,"장축";#N/A,#N/A,FALSE,"4WD"}</definedName>
    <definedName name="전개계획_1" hidden="1">{#N/A,#N/A,FALSE,"단축1";#N/A,#N/A,FALSE,"단축2";#N/A,#N/A,FALSE,"단축3";#N/A,#N/A,FALSE,"장축";#N/A,#N/A,FALSE,"4WD"}</definedName>
    <definedName name="전개방안10" hidden="1">{#N/A,#N/A,FALSE,"단축1";#N/A,#N/A,FALSE,"단축2";#N/A,#N/A,FALSE,"단축3";#N/A,#N/A,FALSE,"장축";#N/A,#N/A,FALSE,"4WD"}</definedName>
    <definedName name="전개방안12" hidden="1">{#N/A,#N/A,FALSE,"단축1";#N/A,#N/A,FALSE,"단축2";#N/A,#N/A,FALSE,"단축3";#N/A,#N/A,FALSE,"장축";#N/A,#N/A,FALSE,"4WD"}</definedName>
    <definedName name="전개방안2" hidden="1">{#N/A,#N/A,FALSE,"단축1";#N/A,#N/A,FALSE,"단축2";#N/A,#N/A,FALSE,"단축3";#N/A,#N/A,FALSE,"장축";#N/A,#N/A,FALSE,"4WD"}</definedName>
    <definedName name="전개방안2_1" hidden="1">{#N/A,#N/A,FALSE,"단축1";#N/A,#N/A,FALSE,"단축2";#N/A,#N/A,FALSE,"단축3";#N/A,#N/A,FALSE,"장축";#N/A,#N/A,FALSE,"4WD"}</definedName>
    <definedName name="전개방안3" hidden="1">{#N/A,#N/A,FALSE,"단축1";#N/A,#N/A,FALSE,"단축2";#N/A,#N/A,FALSE,"단축3";#N/A,#N/A,FALSE,"장축";#N/A,#N/A,FALSE,"4WD"}</definedName>
    <definedName name="전개방안3_1" hidden="1">{#N/A,#N/A,FALSE,"단축1";#N/A,#N/A,FALSE,"단축2";#N/A,#N/A,FALSE,"단축3";#N/A,#N/A,FALSE,"장축";#N/A,#N/A,FALSE,"4WD"}</definedName>
    <definedName name="전개방안4" hidden="1">{#N/A,#N/A,FALSE,"단축1";#N/A,#N/A,FALSE,"단축2";#N/A,#N/A,FALSE,"단축3";#N/A,#N/A,FALSE,"장축";#N/A,#N/A,FALSE,"4WD"}</definedName>
    <definedName name="전개방안4_1" hidden="1">{#N/A,#N/A,FALSE,"단축1";#N/A,#N/A,FALSE,"단축2";#N/A,#N/A,FALSE,"단축3";#N/A,#N/A,FALSE,"장축";#N/A,#N/A,FALSE,"4WD"}</definedName>
    <definedName name="전공장간접" hidden="1">{#N/A,#N/A,TRUE,"Y생산";#N/A,#N/A,TRUE,"Y판매";#N/A,#N/A,TRUE,"Y총물량";#N/A,#N/A,TRUE,"Y능력";#N/A,#N/A,TRUE,"YKD"}</definedName>
    <definedName name="전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ㄴ부" hidden="1">{#N/A,#N/A,FALSE,"단축1";#N/A,#N/A,FALSE,"단축2";#N/A,#N/A,FALSE,"단축3";#N/A,#N/A,FALSE,"장축";#N/A,#N/A,FALSE,"4WD"}</definedName>
    <definedName name="전략" hidden="1">{#N/A,#N/A,FALSE,"정공"}</definedName>
    <definedName name="전략_1" hidden="1">{#N/A,#N/A,FALSE,"정공"}</definedName>
    <definedName name="전략_2" hidden="1">{#N/A,#N/A,FALSE,"정공"}</definedName>
    <definedName name="전략_2_1" hidden="1">{#N/A,#N/A,FALSE,"정공"}</definedName>
    <definedName name="전략_2_2" hidden="1">{#N/A,#N/A,FALSE,"정공"}</definedName>
    <definedName name="전략_2_3" hidden="1">{#N/A,#N/A,FALSE,"정공"}</definedName>
    <definedName name="전략_3" hidden="1">{#N/A,#N/A,FALSE,"정공"}</definedName>
    <definedName name="전략_3_1" hidden="1">{#N/A,#N/A,FALSE,"정공"}</definedName>
    <definedName name="전략_3_2" hidden="1">{#N/A,#N/A,FALSE,"정공"}</definedName>
    <definedName name="전략_3_3" hidden="1">{#N/A,#N/A,FALSE,"정공"}</definedName>
    <definedName name="전략_4" hidden="1">{#N/A,#N/A,FALSE,"정공"}</definedName>
    <definedName name="전략_5" hidden="1">{#N/A,#N/A,FALSE,"정공"}</definedName>
    <definedName name="전략2" hidden="1">{#N/A,#N/A,FALSE,"정공"}</definedName>
    <definedName name="전략2_1" hidden="1">{#N/A,#N/A,FALSE,"정공"}</definedName>
    <definedName name="전략2_2" hidden="1">{#N/A,#N/A,FALSE,"정공"}</definedName>
    <definedName name="전략2_2_1" hidden="1">{#N/A,#N/A,FALSE,"정공"}</definedName>
    <definedName name="전략2_2_2" hidden="1">{#N/A,#N/A,FALSE,"정공"}</definedName>
    <definedName name="전략2_2_3" hidden="1">{#N/A,#N/A,FALSE,"정공"}</definedName>
    <definedName name="전략2_3" hidden="1">{#N/A,#N/A,FALSE,"정공"}</definedName>
    <definedName name="전략2_3_1" hidden="1">{#N/A,#N/A,FALSE,"정공"}</definedName>
    <definedName name="전략2_3_2" hidden="1">{#N/A,#N/A,FALSE,"정공"}</definedName>
    <definedName name="전략2_3_3" hidden="1">{#N/A,#N/A,FALSE,"정공"}</definedName>
    <definedName name="전략2_4" hidden="1">{#N/A,#N/A,FALSE,"정공"}</definedName>
    <definedName name="전략2_5" hidden="1">{#N/A,#N/A,FALSE,"정공"}</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략투" hidden="1">{#N/A,#N/A,FALSE,"정공"}</definedName>
    <definedName name="전략투_1" hidden="1">{#N/A,#N/A,FALSE,"정공"}</definedName>
    <definedName name="전략투_2" hidden="1">{#N/A,#N/A,FALSE,"정공"}</definedName>
    <definedName name="전략투_2_1" hidden="1">{#N/A,#N/A,FALSE,"정공"}</definedName>
    <definedName name="전략투_2_2" hidden="1">{#N/A,#N/A,FALSE,"정공"}</definedName>
    <definedName name="전략투_2_3" hidden="1">{#N/A,#N/A,FALSE,"정공"}</definedName>
    <definedName name="전략투_3" hidden="1">{#N/A,#N/A,FALSE,"정공"}</definedName>
    <definedName name="전략투_3_1" hidden="1">{#N/A,#N/A,FALSE,"정공"}</definedName>
    <definedName name="전략투_3_2" hidden="1">{#N/A,#N/A,FALSE,"정공"}</definedName>
    <definedName name="전략투_3_3" hidden="1">{#N/A,#N/A,FALSE,"정공"}</definedName>
    <definedName name="전략투_4" hidden="1">{#N/A,#N/A,FALSE,"정공"}</definedName>
    <definedName name="전략투_5" hidden="1">{#N/A,#N/A,FALSE,"정공"}</definedName>
    <definedName name="전력계" hidden="1">{#N/A,#N/A,FALSE,"정공"}</definedName>
    <definedName name="전력수정" hidden="1">{#N/A,#N/A,FALSE,"KMC최종회의(7월) 자료"}</definedName>
    <definedName name="전망" hidden="1">{#N/A,#N/A,FALSE,"KMC최종회의(7월) 자료"}</definedName>
    <definedName name="전망_1" hidden="1">{#N/A,#N/A,FALSE,"KMC최종회의(7월) 자료"}</definedName>
    <definedName name="전망_2" hidden="1">{#N/A,#N/A,FALSE,"KMC최종회의(7월) 자료"}</definedName>
    <definedName name="전망환산" hidden="1">{#N/A,#N/A,FALSE,"KMC최종회의(7월) 자료"}</definedName>
    <definedName name="전망환산_1" hidden="1">{#N/A,#N/A,FALSE,"KMC최종회의(7월) 자료"}</definedName>
    <definedName name="전망환산_2" hidden="1">{#N/A,#N/A,FALSE,"KMC최종회의(7월) 자료"}</definedName>
    <definedName name="전부" hidden="1">{#N/A,#N/A,FALSE,"단축1";#N/A,#N/A,FALSE,"단축2";#N/A,#N/A,FALSE,"단축3";#N/A,#N/A,FALSE,"장축";#N/A,#N/A,FALSE,"4WD"}</definedName>
    <definedName name="전부_1" hidden="1">{#N/A,#N/A,FALSE,"단축1";#N/A,#N/A,FALSE,"단축2";#N/A,#N/A,FALSE,"단축3";#N/A,#N/A,FALSE,"장축";#N/A,#N/A,FALSE,"4WD"}</definedName>
    <definedName name="전부인쇄" hidden="1">{#N/A,#N/A,FALSE,"단축1";#N/A,#N/A,FALSE,"단축2";#N/A,#N/A,FALSE,"단축3";#N/A,#N/A,FALSE,"장축";#N/A,#N/A,FALSE,"4WD"}</definedName>
    <definedName name="전시" hidden="1">{#N/A,#N/A,FALSE,"미판매분"}</definedName>
    <definedName name="전시장운영" hidden="1">{#N/A,#N/A,FALSE,"정공"}</definedName>
    <definedName name="전용지수관리" hidden="1">{#N/A,#N/A,FALSE,"KMC최종회의(7월) 자료"}</definedName>
    <definedName name="전월대비" hidden="1">{#N/A,#N/A,FALSE,"단축1";#N/A,#N/A,FALSE,"단축2";#N/A,#N/A,FALSE,"단축3";#N/A,#N/A,FALSE,"장축";#N/A,#N/A,FALSE,"4WD"}</definedName>
    <definedName name="전자" hidden="1">{#N/A,#N/A,FALSE,"단축1";#N/A,#N/A,FALSE,"단축2";#N/A,#N/A,FALSE,"단축3";#N/A,#N/A,FALSE,"장축";#N/A,#N/A,FALSE,"4WD"}</definedName>
    <definedName name="전자_1" hidden="1">{#N/A,#N/A,FALSE,"단축1";#N/A,#N/A,FALSE,"단축2";#N/A,#N/A,FALSE,"단축3";#N/A,#N/A,FALSE,"장축";#N/A,#N/A,FALSE,"4WD"}</definedName>
    <definedName name="전자평가" hidden="1">{#N/A,#N/A,FALSE,"단축1";#N/A,#N/A,FALSE,"단축2";#N/A,#N/A,FALSE,"단축3";#N/A,#N/A,FALSE,"장축";#N/A,#N/A,FALSE,"4WD"}</definedName>
    <definedName name="전자평가_1" hidden="1">{#N/A,#N/A,FALSE,"단축1";#N/A,#N/A,FALSE,"단축2";#N/A,#N/A,FALSE,"단축3";#N/A,#N/A,FALSE,"장축";#N/A,#N/A,FALSE,"4WD"}</definedName>
    <definedName name="전장" hidden="1">{#N/A,#N/A,FALSE,"단축1";#N/A,#N/A,FALSE,"단축2";#N/A,#N/A,FALSE,"단축3";#N/A,#N/A,FALSE,"장축";#N/A,#N/A,FALSE,"4WD"}</definedName>
    <definedName name="전장1" hidden="1">{#N/A,#N/A,FALSE,"단축1";#N/A,#N/A,FALSE,"단축2";#N/A,#N/A,FALSE,"단축3";#N/A,#N/A,FALSE,"장축";#N/A,#N/A,FALSE,"4WD"}</definedName>
    <definedName name="전제2" hidden="1">#REF!</definedName>
    <definedName name="전차종" hidden="1">{#N/A,#N/A,FALSE,"표지";#N/A,#N/A,FALSE,"전제";#N/A,#N/A,FALSE,"대당";#N/A,#N/A,FALSE,"가공비";#N/A,#N/A,FALSE,"재료비";#N/A,#N/A,FALSE,"손익"}</definedName>
    <definedName name="전차종_1" hidden="1">{#N/A,#N/A,FALSE,"표지";#N/A,#N/A,FALSE,"전제";#N/A,#N/A,FALSE,"대당";#N/A,#N/A,FALSE,"가공비";#N/A,#N/A,FALSE,"재료비";#N/A,#N/A,FALSE,"손익"}</definedName>
    <definedName name="전차종_2" hidden="1">{#N/A,#N/A,FALSE,"표지";#N/A,#N/A,FALSE,"전제";#N/A,#N/A,FALSE,"대당";#N/A,#N/A,FALSE,"가공비";#N/A,#N/A,FALSE,"재료비";#N/A,#N/A,FALSE,"손익"}</definedName>
    <definedName name="전착도장성적서" hidden="1">{#N/A,#N/A,FALSE,"AG";#N/A,#N/A,FALSE,"UB-I";#N/A,#N/A,FALSE,"UB--SR_K";#N/A,#N/A,FALSE,"UB-SR_B";#N/A,#N/A,FALSE,"UB-KS";#N/A,#N/A,FALSE,"Kienzle"}</definedName>
    <definedName name="전체1" hidden="1">{#N/A,#N/A,FALSE,"단축1";#N/A,#N/A,FALSE,"단축2";#N/A,#N/A,FALSE,"단축3";#N/A,#N/A,FALSE,"장축";#N/A,#N/A,FALSE,"4WD"}</definedName>
    <definedName name="전체1_1" hidden="1">{#N/A,#N/A,FALSE,"단축1";#N/A,#N/A,FALSE,"단축2";#N/A,#N/A,FALSE,"단축3";#N/A,#N/A,FALSE,"장축";#N/A,#N/A,FALSE,"4WD"}</definedName>
    <definedName name="전체1_2" hidden="1">{#N/A,#N/A,FALSE,"단축1";#N/A,#N/A,FALSE,"단축2";#N/A,#N/A,FALSE,"단축3";#N/A,#N/A,FALSE,"장축";#N/A,#N/A,FALSE,"4WD"}</definedName>
    <definedName name="전체2" hidden="1">{#N/A,#N/A,FALSE,"단축1";#N/A,#N/A,FALSE,"단축2";#N/A,#N/A,FALSE,"단축3";#N/A,#N/A,FALSE,"장축";#N/A,#N/A,FALSE,"4WD"}</definedName>
    <definedName name="전체2_1" hidden="1">{#N/A,#N/A,FALSE,"단축1";#N/A,#N/A,FALSE,"단축2";#N/A,#N/A,FALSE,"단축3";#N/A,#N/A,FALSE,"장축";#N/A,#N/A,FALSE,"4WD"}</definedName>
    <definedName name="전체2_2" hidden="1">{#N/A,#N/A,FALSE,"단축1";#N/A,#N/A,FALSE,"단축2";#N/A,#N/A,FALSE,"단축3";#N/A,#N/A,FALSE,"장축";#N/A,#N/A,FALSE,"4WD"}</definedName>
    <definedName name="전체3" hidden="1">{#N/A,#N/A,FALSE,"단축1";#N/A,#N/A,FALSE,"단축2";#N/A,#N/A,FALSE,"단축3";#N/A,#N/A,FALSE,"장축";#N/A,#N/A,FALSE,"4WD"}</definedName>
    <definedName name="전체비용요약" hidden="1">{#N/A,#N/A,FALSE,"단축1";#N/A,#N/A,FALSE,"단축2";#N/A,#N/A,FALSE,"단축3";#N/A,#N/A,FALSE,"장축";#N/A,#N/A,FALSE,"4WD"}</definedName>
    <definedName name="전체종합" hidden="1">{#N/A,#N/A,FALSE,"단축1";#N/A,#N/A,FALSE,"단축2";#N/A,#N/A,FALSE,"단축3";#N/A,#N/A,FALSE,"장축";#N/A,#N/A,FALSE,"4WD"}</definedName>
    <definedName name="전체종합2" hidden="1">{#N/A,#N/A,FALSE,"단축1";#N/A,#N/A,FALSE,"단축2";#N/A,#N/A,FALSE,"단축3";#N/A,#N/A,FALSE,"장축";#N/A,#N/A,FALSE,"4WD"}</definedName>
    <definedName name="전체종합2_1" hidden="1">{#N/A,#N/A,FALSE,"단축1";#N/A,#N/A,FALSE,"단축2";#N/A,#N/A,FALSE,"단축3";#N/A,#N/A,FALSE,"장축";#N/A,#N/A,FALSE,"4WD"}</definedName>
    <definedName name="전체현황" hidden="1">{#N/A,#N/A,FALSE,"단축1";#N/A,#N/A,FALSE,"단축2";#N/A,#N/A,FALSE,"단축3";#N/A,#N/A,FALSE,"장축";#N/A,#N/A,FALSE,"4WD"}</definedName>
    <definedName name="전체현황_1" hidden="1">{#N/A,#N/A,FALSE,"단축1";#N/A,#N/A,FALSE,"단축2";#N/A,#N/A,FALSE,"단축3";#N/A,#N/A,FALSE,"장축";#N/A,#N/A,FALSE,"4WD"}</definedName>
    <definedName name="전체현황_2" hidden="1">{#N/A,#N/A,FALSE,"단축1";#N/A,#N/A,FALSE,"단축2";#N/A,#N/A,FALSE,"단축3";#N/A,#N/A,FALSE,"장축";#N/A,#N/A,FALSE,"4WD"}</definedName>
    <definedName name="전통" hidden="1">{#N/A,#N/A,FALSE,"신규dep";#N/A,#N/A,FALSE,"신규dep-금형상각후";#N/A,#N/A,FALSE,"신규dep-연구비상각후";#N/A,#N/A,FALSE,"신규dep-기계,공구상각후"}</definedName>
    <definedName name="전화가입권" hidden="1">{#N/A,#N/A,FALSE,"정공"}</definedName>
    <definedName name="전후" hidden="1">{#N/A,#N/A,FALSE,"단축1";#N/A,#N/A,FALSE,"단축2";#N/A,#N/A,FALSE,"단축3";#N/A,#N/A,FALSE,"장축";#N/A,#N/A,FALSE,"4WD"}</definedName>
    <definedName name="전후분석" hidden="1">{#N/A,#N/A,FALSE,"단축1";#N/A,#N/A,FALSE,"단축2";#N/A,#N/A,FALSE,"단축3";#N/A,#N/A,FALSE,"장축";#N/A,#N/A,FALSE,"4WD"}</definedName>
    <definedName name="전후분석2" hidden="1">{#N/A,#N/A,FALSE,"단축1";#N/A,#N/A,FALSE,"단축2";#N/A,#N/A,FALSE,"단축3";#N/A,#N/A,FALSE,"장축";#N/A,#N/A,FALSE,"4WD"}</definedName>
    <definedName name="전후분석을" hidden="1">{#N/A,#N/A,FALSE,"단축1";#N/A,#N/A,FALSE,"단축2";#N/A,#N/A,FALSE,"단축3";#N/A,#N/A,FALSE,"장축";#N/A,#N/A,FALSE,"4WD"}</definedName>
    <definedName name="전후비교표" hidden="1">{#N/A,#N/A,FALSE,"KMC최종회의(7월) 자료"}</definedName>
    <definedName name="전후비교표_1" hidden="1">{#N/A,#N/A,FALSE,"KMC최종회의(7월) 자료"}</definedName>
    <definedName name="전후비교표_2" hidden="1">{#N/A,#N/A,FALSE,"KMC최종회의(7월) 자료"}</definedName>
    <definedName name="절감" hidden="1">{#N/A,#N/A,FALSE,"단축1";#N/A,#N/A,FALSE,"단축2";#N/A,#N/A,FALSE,"단축3";#N/A,#N/A,FALSE,"장축";#N/A,#N/A,FALSE,"4WD"}</definedName>
    <definedName name="절감3" hidden="1">{#N/A,#N/A,FALSE,"정공"}</definedName>
    <definedName name="절감계산2" hidden="1">{#N/A,#N/A,FALSE,"단축1";#N/A,#N/A,FALSE,"단축2";#N/A,#N/A,FALSE,"단축3";#N/A,#N/A,FALSE,"장축";#N/A,#N/A,FALSE,"4WD"}</definedName>
    <definedName name="절감계획" hidden="1">{#N/A,#N/A,TRUE,"Y생산";#N/A,#N/A,TRUE,"Y판매";#N/A,#N/A,TRUE,"Y총물량";#N/A,#N/A,TRUE,"Y능력";#N/A,#N/A,TRUE,"YKD"}</definedName>
    <definedName name="절감계획_1" hidden="1">{#N/A,#N/A,TRUE,"Y생산";#N/A,#N/A,TRUE,"Y판매";#N/A,#N/A,TRUE,"Y총물량";#N/A,#N/A,TRUE,"Y능력";#N/A,#N/A,TRUE,"YKD"}</definedName>
    <definedName name="절감내역상세" hidden="1">{#N/A,#N/A,FALSE,"정공"}</definedName>
    <definedName name="절감내역상세_1" hidden="1">{#N/A,#N/A,FALSE,"정공"}</definedName>
    <definedName name="절감내역상세_2" hidden="1">{#N/A,#N/A,FALSE,"정공"}</definedName>
    <definedName name="절감반기계획對실적" hidden="1">{#N/A,#N/A,FALSE,"정공"}</definedName>
    <definedName name="절감반기계획對실적_1" hidden="1">{#N/A,#N/A,FALSE,"정공"}</definedName>
    <definedName name="절감반기계획對실적_2" hidden="1">{#N/A,#N/A,FALSE,"정공"}</definedName>
    <definedName name="절감싵트" hidden="1">{#N/A,#N/A,FALSE,"정공"}</definedName>
    <definedName name="절감싵트_1" hidden="1">{#N/A,#N/A,FALSE,"정공"}</definedName>
    <definedName name="절감싵트_2" hidden="1">{#N/A,#N/A,FALSE,"정공"}</definedName>
    <definedName name="절대일정"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절삭" hidden="1">#REF!</definedName>
    <definedName name="점호" hidden="1">{#N/A,#N/A,FALSE,"단축1";#N/A,#N/A,FALSE,"단축2";#N/A,#N/A,FALSE,"단축3";#N/A,#N/A,FALSE,"장축";#N/A,#N/A,FALSE,"4WD"}</definedName>
    <definedName name="정" hidden="1">{#N/A,#N/A,FALSE,"단축1";#N/A,#N/A,FALSE,"단축2";#N/A,#N/A,FALSE,"단축3";#N/A,#N/A,FALSE,"장축";#N/A,#N/A,FALSE,"4WD"}</definedName>
    <definedName name="정_1" hidden="1">{#N/A,#N/A,FALSE,"단축1";#N/A,#N/A,FALSE,"단축2";#N/A,#N/A,FALSE,"단축3";#N/A,#N/A,FALSE,"장축";#N/A,#N/A,FALSE,"4WD"}</definedName>
    <definedName name="정_2" hidden="1">{#N/A,#N/A,FALSE,"단축1";#N/A,#N/A,FALSE,"단축2";#N/A,#N/A,FALSE,"단축3";#N/A,#N/A,FALSE,"장축";#N/A,#N/A,FALSE,"4WD"}</definedName>
    <definedName name="정공" hidden="1">{#N/A,#N/A,FALSE,"정공"}</definedName>
    <definedName name="정공_1" hidden="1">{#N/A,#N/A,FALSE,"정공"}</definedName>
    <definedName name="정공_2" hidden="1">{#N/A,#N/A,FALSE,"정공"}</definedName>
    <definedName name="정기영" hidden="1">{#N/A,#N/A,FALSE,"단축1";#N/A,#N/A,FALSE,"단축2";#N/A,#N/A,FALSE,"단축3";#N/A,#N/A,FALSE,"장축";#N/A,#N/A,FALSE,"4WD"}</definedName>
    <definedName name="정기영대리님" hidden="1">{#N/A,#N/A,FALSE,"단축1";#N/A,#N/A,FALSE,"단축2";#N/A,#N/A,FALSE,"단축3";#N/A,#N/A,FALSE,"장축";#N/A,#N/A,FALSE,"4WD"}</definedName>
    <definedName name="정동종합수정" hidden="1">{#N/A,#N/A,FALSE,"KMC최종회의(7월) 자료"}</definedName>
    <definedName name="정동종합수정_1" hidden="1">{#N/A,#N/A,FALSE,"KMC최종회의(7월) 자료"}</definedName>
    <definedName name="정동종합수정_2" hidden="1">{#N/A,#N/A,FALSE,"KMC최종회의(7월) 자료"}</definedName>
    <definedName name="정만교" hidden="1">{#N/A,#N/A,FALSE,"단축1";#N/A,#N/A,FALSE,"단축2";#N/A,#N/A,FALSE,"단축3";#N/A,#N/A,FALSE,"장축";#N/A,#N/A,FALSE,"4WD"}</definedName>
    <definedName name="정민수" hidden="1">{#N/A,#N/A,TRUE,"Y생산";#N/A,#N/A,TRUE,"Y판매";#N/A,#N/A,TRUE,"Y총물량";#N/A,#N/A,TRUE,"Y능력";#N/A,#N/A,TRUE,"YKD"}</definedName>
    <definedName name="정보기술1" hidden="1">{"'표지'!$B$5"}</definedName>
    <definedName name="정비"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산" hidden="1">{#N/A,#N/A,TRUE,"Y생산";#N/A,#N/A,TRUE,"Y판매";#N/A,#N/A,TRUE,"Y총물량";#N/A,#N/A,TRUE,"Y능력";#N/A,#N/A,TRUE,"YKD"}</definedName>
    <definedName name="정상입사1" hidden="1">{#N/A,#N/A,FALSE,"단축1";#N/A,#N/A,FALSE,"단축2";#N/A,#N/A,FALSE,"단축3";#N/A,#N/A,FALSE,"장축";#N/A,#N/A,FALSE,"4WD"}</definedName>
    <definedName name="정수량물" hidden="1">{#N/A,#N/A,TRUE,"Y생산";#N/A,#N/A,TRUE,"Y판매";#N/A,#N/A,TRUE,"Y총물량";#N/A,#N/A,TRUE,"Y능력";#N/A,#N/A,TRUE,"YKD"}</definedName>
    <definedName name="정수용" hidden="1">{#N/A,#N/A,TRUE,"Y생산";#N/A,#N/A,TRUE,"Y판매";#N/A,#N/A,TRUE,"Y총물량";#N/A,#N/A,TRUE,"Y능력";#N/A,#N/A,TRUE,"YKD"}</definedName>
    <definedName name="정수용_1" hidden="1">{#N/A,#N/A,TRUE,"Y생산";#N/A,#N/A,TRUE,"Y판매";#N/A,#N/A,TRUE,"Y총물량";#N/A,#N/A,TRUE,"Y능력";#N/A,#N/A,TRUE,"YKD"}</definedName>
    <definedName name="정영환자료" hidden="1">{"'5'!$A$1:$BB$147"}</definedName>
    <definedName name="정왕자" hidden="1">{#N/A,#N/A,TRUE,"Y생산";#N/A,#N/A,TRUE,"Y판매";#N/A,#N/A,TRUE,"Y총물량";#N/A,#N/A,TRUE,"Y능력";#N/A,#N/A,TRUE,"YKD"}</definedName>
    <definedName name="정정" hidden="1">{#N/A,#N/A,FALSE,"품의서";#N/A,#N/A,FALSE,"전제";#N/A,#N/A,FALSE,"총손";#N/A,#N/A,FALSE,"손익"}</definedName>
    <definedName name="정종" hidden="1">{#N/A,#N/A,FALSE,"KMC최종회의(7월) 자료"}</definedName>
    <definedName name="정종_1" hidden="1">{#N/A,#N/A,FALSE,"KMC최종회의(7월) 자료"}</definedName>
    <definedName name="정종_2" hidden="1">{#N/A,#N/A,FALSE,"KMC최종회의(7월) 자료"}</definedName>
    <definedName name="정주곤난ㅇㄹㄴ" hidden="1">{#N/A,#N/A,FALSE,"KMC최종회의(7월) 자료"}</definedName>
    <definedName name="정지훈" hidden="1">{#N/A,#N/A,TRUE,"Y생산";#N/A,#N/A,TRUE,"Y판매";#N/A,#N/A,TRUE,"Y총물량";#N/A,#N/A,TRUE,"Y능력";#N/A,#N/A,TRUE,"YKD"}</definedName>
    <definedName name="정징" hidden="1">{#N/A,#N/A,TRUE,"Y생산";#N/A,#N/A,TRUE,"Y판매";#N/A,#N/A,TRUE,"Y총물량";#N/A,#N/A,TRUE,"Y능력";#N/A,#N/A,TRUE,"YKD"}</definedName>
    <definedName name="정징_1" hidden="1">{#N/A,#N/A,TRUE,"Y생산";#N/A,#N/A,TRUE,"Y판매";#N/A,#N/A,TRUE,"Y총물량";#N/A,#N/A,TRUE,"Y능력";#N/A,#N/A,TRUE,"YKD"}</definedName>
    <definedName name="정치" hidden="1">{#N/A,#N/A,FALSE,"단축1";#N/A,#N/A,FALSE,"단축2";#N/A,#N/A,FALSE,"단축3";#N/A,#N/A,FALSE,"장축";#N/A,#N/A,FALSE,"4WD"}</definedName>
    <definedName name="젖" hidden="1">{#N/A,#N/A,FALSE,"단축1";#N/A,#N/A,FALSE,"단축2";#N/A,#N/A,FALSE,"단축3";#N/A,#N/A,FALSE,"장축";#N/A,#N/A,FALSE,"4WD"}</definedName>
    <definedName name="젖_1" hidden="1">{#N/A,#N/A,FALSE,"단축1";#N/A,#N/A,FALSE,"단축2";#N/A,#N/A,FALSE,"단축3";#N/A,#N/A,FALSE,"장축";#N/A,#N/A,FALSE,"4WD"}</definedName>
    <definedName name="젗라구메사" hidden="1">{#N/A,#N/A,FALSE,"단축1";#N/A,#N/A,FALSE,"단축2";#N/A,#N/A,FALSE,"단축3";#N/A,#N/A,FALSE,"장축";#N/A,#N/A,FALSE,"4WD"}</definedName>
    <definedName name="젗라구메사_1" hidden="1">{#N/A,#N/A,FALSE,"단축1";#N/A,#N/A,FALSE,"단축2";#N/A,#N/A,FALSE,"단축3";#N/A,#N/A,FALSE,"장축";#N/A,#N/A,FALSE,"4WD"}</definedName>
    <definedName name="제1안" hidden="1">{#N/A,#N/A,TRUE,"매출진척-1";#N/A,#N/A,TRUE,"매출진척-2";#N/A,#N/A,TRUE,"제품실적";#N/A,#N/A,TRUE,"RAC";#N/A,#N/A,TRUE,"PAC ";#N/A,#N/A,TRUE,"재고현황";#N/A,#N/A,TRUE,"공지사항"}</definedName>
    <definedName name="제2안" hidden="1">{#N/A,#N/A,TRUE,"매출진척-1";#N/A,#N/A,TRUE,"매출진척-2";#N/A,#N/A,TRUE,"제품실적";#N/A,#N/A,TRUE,"RAC";#N/A,#N/A,TRUE,"PAC ";#N/A,#N/A,TRUE,"재고현황";#N/A,#N/A,TRUE,"공지사항"}</definedName>
    <definedName name="제동" hidden="1">{#N/A,#N/A,FALSE,"단축1";#N/A,#N/A,FALSE,"단축2";#N/A,#N/A,FALSE,"단축3";#N/A,#N/A,FALSE,"장축";#N/A,#N/A,FALSE,"4WD"}</definedName>
    <definedName name="제원" hidden="1">#REF!</definedName>
    <definedName name="제원종합" hidden="1">#REF!</definedName>
    <definedName name="제작현황" hidden="1">{#N/A,#N/A,FALSE,"단축1";#N/A,#N/A,FALSE,"단축2";#N/A,#N/A,FALSE,"단축3";#N/A,#N/A,FALSE,"장축";#N/A,#N/A,FALSE,"4WD"}</definedName>
    <definedName name="제조" hidden="1">{#N/A,#N/A,FALSE,"사업"}</definedName>
    <definedName name="제조경비시트" hidden="1">{#N/A,#N/A,FALSE,"단축1";#N/A,#N/A,FALSE,"단축2";#N/A,#N/A,FALSE,"단축3";#N/A,#N/A,FALSE,"장축";#N/A,#N/A,FALSE,"4WD"}</definedName>
    <definedName name="제조공정도6" hidden="1">{#N/A,#N/A,FALSE,"단축1";#N/A,#N/A,FALSE,"단축2";#N/A,#N/A,FALSE,"단축3";#N/A,#N/A,FALSE,"장축";#N/A,#N/A,FALSE,"4WD"}</definedName>
    <definedName name="제조원가명세서" hidden="1">{#N/A,#N/A,FALSE,"정공"}</definedName>
    <definedName name="제품" hidden="1">{#N/A,#N/A,TRUE,"매출진척-1";#N/A,#N/A,TRUE,"매출진척-2";#N/A,#N/A,TRUE,"제품실적";#N/A,#N/A,TRUE,"RAC";#N/A,#N/A,TRUE,"PAC ";#N/A,#N/A,TRUE,"재고현황";#N/A,#N/A,TRUE,"공지사항"}</definedName>
    <definedName name="제품견적" hidden="1">{#N/A,#N/A,FALSE,"단축1";#N/A,#N/A,FALSE,"단축2";#N/A,#N/A,FALSE,"단축3";#N/A,#N/A,FALSE,"장축";#N/A,#N/A,FALSE,"4WD"}</definedName>
    <definedName name="제품견적2" hidden="1">{#N/A,#N/A,FALSE,"단축1";#N/A,#N/A,FALSE,"단축2";#N/A,#N/A,FALSE,"단축3";#N/A,#N/A,FALSE,"장축";#N/A,#N/A,FALSE,"4WD"}</definedName>
    <definedName name="제품견적서1" hidden="1">{#N/A,#N/A,FALSE,"단축1";#N/A,#N/A,FALSE,"단축2";#N/A,#N/A,FALSE,"단축3";#N/A,#N/A,FALSE,"장축";#N/A,#N/A,FALSE,"4WD"}</definedName>
    <definedName name="제품구분손익" hidden="1">{#N/A,#N/A,FALSE,"정공"}</definedName>
    <definedName name="제품구분손익_1" hidden="1">{#N/A,#N/A,FALSE,"정공"}</definedName>
    <definedName name="제품구분손익_2" hidden="1">{#N/A,#N/A,FALSE,"정공"}</definedName>
    <definedName name="제품별" hidden="1">{#N/A,#N/A,FALSE,"정공"}</definedName>
    <definedName name="제품별_1" hidden="1">{#N/A,#N/A,FALSE,"정공"}</definedName>
    <definedName name="제품별_2" hidden="1">{#N/A,#N/A,FALSE,"정공"}</definedName>
    <definedName name="제품별손익" hidden="1">{#N/A,#N/A,FALSE,"정공"}</definedName>
    <definedName name="제품별손익_1" hidden="1">{#N/A,#N/A,FALSE,"정공"}</definedName>
    <definedName name="제품별손익_2" hidden="1">{#N/A,#N/A,FALSE,"정공"}</definedName>
    <definedName name="제품설계예산" hidden="1">{#N/A,#N/A,FALSE,"단축1";#N/A,#N/A,FALSE,"단축2";#N/A,#N/A,FALSE,"단축3";#N/A,#N/A,FALSE,"장축";#N/A,#N/A,FALSE,"4WD"}</definedName>
    <definedName name="제품손익" hidden="1">{#N/A,#N/A,FALSE,"정공"}</definedName>
    <definedName name="제품손익표" hidden="1">{#N/A,#N/A,FALSE,"정공"}</definedName>
    <definedName name="제품손익표_1" hidden="1">{#N/A,#N/A,FALSE,"정공"}</definedName>
    <definedName name="제품손익표_2" hidden="1">{#N/A,#N/A,FALSE,"정공"}</definedName>
    <definedName name="조과인원" hidden="1">{#N/A,#N/A,TRUE,"Y생산";#N/A,#N/A,TRUE,"Y판매";#N/A,#N/A,TRUE,"Y총물량";#N/A,#N/A,TRUE,"Y능력";#N/A,#N/A,TRUE,"YKD"}</definedName>
    <definedName name="조과인원_1" hidden="1">{#N/A,#N/A,TRUE,"Y생산";#N/A,#N/A,TRUE,"Y판매";#N/A,#N/A,TRUE,"Y총물량";#N/A,#N/A,TRUE,"Y능력";#N/A,#N/A,TRUE,"YKD"}</definedName>
    <definedName name="조관PIPE" hidden="1">{#N/A,#N/A,FALSE,"신규dep";#N/A,#N/A,FALSE,"신규dep-금형상각후";#N/A,#N/A,FALSE,"신규dep-연구비상각후";#N/A,#N/A,FALSE,"신규dep-기계,공구상각후"}</definedName>
    <definedName name="조동" hidden="1">{#N/A,#N/A,FALSE,"단축1";#N/A,#N/A,FALSE,"단축2";#N/A,#N/A,FALSE,"단축3";#N/A,#N/A,FALSE,"장축";#N/A,#N/A,FALSE,"4WD"}</definedName>
    <definedName name="조동_1" hidden="1">{#N/A,#N/A,FALSE,"단축1";#N/A,#N/A,FALSE,"단축2";#N/A,#N/A,FALSE,"단축3";#N/A,#N/A,FALSE,"장축";#N/A,#N/A,FALSE,"4WD"}</definedName>
    <definedName name="조동신" hidden="1">{#N/A,#N/A,FALSE,"단축1";#N/A,#N/A,FALSE,"단축2";#N/A,#N/A,FALSE,"단축3";#N/A,#N/A,FALSE,"장축";#N/A,#N/A,FALSE,"4WD"}</definedName>
    <definedName name="조동신_1" hidden="1">{#N/A,#N/A,FALSE,"단축1";#N/A,#N/A,FALSE,"단축2";#N/A,#N/A,FALSE,"단축3";#N/A,#N/A,FALSE,"장축";#N/A,#N/A,FALSE,"4WD"}</definedName>
    <definedName name="조립" hidden="1">{#N/A,#N/A,FALSE,"단축1";#N/A,#N/A,FALSE,"단축2";#N/A,#N/A,FALSE,"단축3";#N/A,#N/A,FALSE,"장축";#N/A,#N/A,FALSE,"4WD"}</definedName>
    <definedName name="조립_1" hidden="1">{#N/A,#N/A,FALSE,"단축1";#N/A,#N/A,FALSE,"단축2";#N/A,#N/A,FALSE,"단축3";#N/A,#N/A,FALSE,"장축";#N/A,#N/A,FALSE,"4WD"}</definedName>
    <definedName name="조립LOAD" hidden="1">{"'매출계획'!$D$2"}</definedName>
    <definedName name="조립공수" hidden="1">{#N/A,#N/A,TRUE,"Y생산";#N/A,#N/A,TRUE,"Y판매";#N/A,#N/A,TRUE,"Y총물량";#N/A,#N/A,TRUE,"Y능력";#N/A,#N/A,TRUE,"YKD"}</definedName>
    <definedName name="조립공수_1" hidden="1">{#N/A,#N/A,TRUE,"Y생산";#N/A,#N/A,TRUE,"Y판매";#N/A,#N/A,TRUE,"Y총물량";#N/A,#N/A,TRUE,"Y능력";#N/A,#N/A,TRUE,"YKD"}</definedName>
    <definedName name="조립과인원계획" hidden="1">{#N/A,#N/A,TRUE,"Y생산";#N/A,#N/A,TRUE,"Y판매";#N/A,#N/A,TRUE,"Y총물량";#N/A,#N/A,TRUE,"Y능력";#N/A,#N/A,TRUE,"YKD"}</definedName>
    <definedName name="조립과인원계획_1" hidden="1">{#N/A,#N/A,TRUE,"Y생산";#N/A,#N/A,TRUE,"Y판매";#N/A,#N/A,TRUE,"Y총물량";#N/A,#N/A,TRUE,"Y능력";#N/A,#N/A,TRUE,"YKD"}</definedName>
    <definedName name="조립과인원계획2000" hidden="1">{#N/A,#N/A,TRUE,"Y생산";#N/A,#N/A,TRUE,"Y판매";#N/A,#N/A,TRUE,"Y총물량";#N/A,#N/A,TRUE,"Y능력";#N/A,#N/A,TRUE,"YKD"}</definedName>
    <definedName name="조립과인원계획2000_1" hidden="1">{#N/A,#N/A,TRUE,"Y생산";#N/A,#N/A,TRUE,"Y판매";#N/A,#N/A,TRUE,"Y총물량";#N/A,#N/A,TRUE,"Y능력";#N/A,#N/A,TRUE,"YKD"}</definedName>
    <definedName name="조립치구" hidden="1">{#N/A,#N/A,FALSE,"단축1";#N/A,#N/A,FALSE,"단축2";#N/A,#N/A,FALSE,"단축3";#N/A,#N/A,FALSE,"장축";#N/A,#N/A,FALSE,"4WD"}</definedName>
    <definedName name="조립치구_1" hidden="1">{#N/A,#N/A,FALSE,"단축1";#N/A,#N/A,FALSE,"단축2";#N/A,#N/A,FALSE,"단축3";#N/A,#N/A,FALSE,"장축";#N/A,#N/A,FALSE,"4WD"}</definedName>
    <definedName name="조순호"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조승민" hidden="1">{#N/A,#N/A,FALSE,"KMC최종회의(7월) 자료"}</definedName>
    <definedName name="조승민_1" hidden="1">{#N/A,#N/A,FALSE,"KMC최종회의(7월) 자료"}</definedName>
    <definedName name="조승민_2" hidden="1">{#N/A,#N/A,FALSE,"KMC최종회의(7월) 자료"}</definedName>
    <definedName name="조업변경" hidden="1">{#N/A,#N/A,TRUE,"Y생산";#N/A,#N/A,TRUE,"Y판매";#N/A,#N/A,TRUE,"Y총물량";#N/A,#N/A,TRUE,"Y능력";#N/A,#N/A,TRUE,"YKD"}</definedName>
    <definedName name="조업변경_1" hidden="1">{#N/A,#N/A,TRUE,"Y생산";#N/A,#N/A,TRUE,"Y판매";#N/A,#N/A,TRUE,"Y총물량";#N/A,#N/A,TRUE,"Y능력";#N/A,#N/A,TRUE,"YKD"}</definedName>
    <definedName name="조정" hidden="1">{#N/A,#N/A,FALSE,"KMC최종회의(7월) 자료"}</definedName>
    <definedName name="조정후손익" hidden="1">{#N/A,#N/A,FALSE,"정공"}</definedName>
    <definedName name="조정후손익_1" hidden="1">{#N/A,#N/A,FALSE,"정공"}</definedName>
    <definedName name="조정후손익_2" hidden="1">{#N/A,#N/A,FALSE,"정공"}</definedName>
    <definedName name="조정후손익_2_1" hidden="1">{#N/A,#N/A,FALSE,"정공"}</definedName>
    <definedName name="조정후손익_2_2" hidden="1">{#N/A,#N/A,FALSE,"정공"}</definedName>
    <definedName name="조정후손익_2_3" hidden="1">{#N/A,#N/A,FALSE,"정공"}</definedName>
    <definedName name="조정후손익_3" hidden="1">{#N/A,#N/A,FALSE,"정공"}</definedName>
    <definedName name="조정후손익_3_1" hidden="1">{#N/A,#N/A,FALSE,"정공"}</definedName>
    <definedName name="조정후손익_3_2" hidden="1">{#N/A,#N/A,FALSE,"정공"}</definedName>
    <definedName name="조정후손익_3_3" hidden="1">{#N/A,#N/A,FALSE,"정공"}</definedName>
    <definedName name="조정후손익_4" hidden="1">{#N/A,#N/A,FALSE,"정공"}</definedName>
    <definedName name="조정후손익_5" hidden="1">{#N/A,#N/A,FALSE,"정공"}</definedName>
    <definedName name="조조조" hidden="1">{#N/A,#N/A,TRUE,"Y생산";#N/A,#N/A,TRUE,"Y판매";#N/A,#N/A,TRUE,"Y총물량";#N/A,#N/A,TRUE,"Y능력";#N/A,#N/A,TRUE,"YKD"}</definedName>
    <definedName name="조직_HD" hidden="1">{#N/A,#N/A,FALSE,"미판매분"}</definedName>
    <definedName name="조직_HD_1" hidden="1">{#N/A,#N/A,FALSE,"미판매분"}</definedName>
    <definedName name="조직1" hidden="1">{#N/A,#N/A,FALSE,"정공"}</definedName>
    <definedName name="조직1_1" hidden="1">{#N/A,#N/A,FALSE,"정공"}</definedName>
    <definedName name="조직1_2" hidden="1">{#N/A,#N/A,FALSE,"정공"}</definedName>
    <definedName name="조직3" hidden="1">{#N/A,#N/A,FALSE,"정공"}</definedName>
    <definedName name="조직3_1" hidden="1">{#N/A,#N/A,FALSE,"정공"}</definedName>
    <definedName name="조직3_2" hidden="1">{#N/A,#N/A,FALSE,"정공"}</definedName>
    <definedName name="조직3_2_1" hidden="1">{#N/A,#N/A,FALSE,"정공"}</definedName>
    <definedName name="조직3_2_2" hidden="1">{#N/A,#N/A,FALSE,"정공"}</definedName>
    <definedName name="조직3_2_3" hidden="1">{#N/A,#N/A,FALSE,"정공"}</definedName>
    <definedName name="조직3_3" hidden="1">{#N/A,#N/A,FALSE,"정공"}</definedName>
    <definedName name="조직3_3_1" hidden="1">{#N/A,#N/A,FALSE,"정공"}</definedName>
    <definedName name="조직3_3_2" hidden="1">{#N/A,#N/A,FALSE,"정공"}</definedName>
    <definedName name="조직3_3_3" hidden="1">{#N/A,#N/A,FALSE,"정공"}</definedName>
    <definedName name="조직3_4" hidden="1">{#N/A,#N/A,FALSE,"정공"}</definedName>
    <definedName name="조직3_5" hidden="1">{#N/A,#N/A,FALSE,"정공"}</definedName>
    <definedName name="조직도" hidden="1">{#N/A,#N/A,TRUE,"Y생산";#N/A,#N/A,TRUE,"Y판매";#N/A,#N/A,TRUE,"Y총물량";#N/A,#N/A,TRUE,"Y능력";#N/A,#N/A,TRUE,"YKD"}</definedName>
    <definedName name="조직도0201" hidden="1">{#N/A,#N/A,FALSE,"협조전";#N/A,#N/A,FALSE,"원가절감계획 ";#N/A,#N/A,FALSE,"항목별원가절감계획"}</definedName>
    <definedName name="조직도2" hidden="1">{#N/A,#N/A,FALSE,"KMC최종회의(7월) 자료"}</definedName>
    <definedName name="조치" hidden="1">{#N/A,#N/A,FALSE,"단축1";#N/A,#N/A,FALSE,"단축2";#N/A,#N/A,FALSE,"단축3";#N/A,#N/A,FALSE,"장축";#N/A,#N/A,FALSE,"4WD"}</definedName>
    <definedName name="조치_1" hidden="1">{#N/A,#N/A,FALSE,"단축1";#N/A,#N/A,FALSE,"단축2";#N/A,#N/A,FALSE,"단축3";#N/A,#N/A,FALSE,"장축";#N/A,#N/A,FALSE,"4WD"}</definedName>
    <definedName name="조합보고" hidden="1">{#N/A,#N/A,FALSE,"KMC최종회의(7월) 자료"}</definedName>
    <definedName name="조합보고_1" hidden="1">{#N/A,#N/A,FALSE,"KMC최종회의(7월) 자료"}</definedName>
    <definedName name="조합보고_2" hidden="1">{#N/A,#N/A,FALSE,"KMC최종회의(7월) 자료"}</definedName>
    <definedName name="조흥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종" hidden="1">{#N/A,#N/A,FALSE,"KMC최종회의(7월) 자료"}</definedName>
    <definedName name="종_1" hidden="1">{#N/A,#N/A,FALSE,"KMC최종회의(7월) 자료"}</definedName>
    <definedName name="종_2" hidden="1">{#N/A,#N/A,FALSE,"KMC최종회의(7월) 자료"}</definedName>
    <definedName name="종1" hidden="1">{#N/A,#N/A,FALSE,"KMC최종회의(7월) 자료"}</definedName>
    <definedName name="종1_1" hidden="1">{#N/A,#N/A,FALSE,"KMC최종회의(7월) 자료"}</definedName>
    <definedName name="종1_2" hidden="1">{#N/A,#N/A,FALSE,"KMC최종회의(7월) 자료"}</definedName>
    <definedName name="종규님" hidden="1">{#N/A,#N/A,FALSE,"PART-1234-8-12-9(41)";#N/A,#N/A,FALSE,"PARTS-2(3)";#N/A,#N/A,FALSE,"VAN SYSTEM";#N/A,#N/A,FALSE,"PARTS-10(26)";#N/A,#N/A,FALSE,"PART-5-6-7-11(14)";#N/A,#N/A,FALSE,"PARTS-4(3)";#N/A,#N/A,FALSE,"PCLASS"}</definedName>
    <definedName name="종석" hidden="1">{#N/A,#N/A,TRUE,"Y생산";#N/A,#N/A,TRUE,"Y판매";#N/A,#N/A,TRUE,"Y총물량";#N/A,#N/A,TRUE,"Y능력";#N/A,#N/A,TRUE,"YKD"}</definedName>
    <definedName name="종주" hidden="1">{#N/A,#N/A,FALSE,"단축1";#N/A,#N/A,FALSE,"단축2";#N/A,#N/A,FALSE,"단축3";#N/A,#N/A,FALSE,"장축";#N/A,#N/A,FALSE,"4WD"}</definedName>
    <definedName name="종합" hidden="1">{#N/A,#N/A,FALSE,"KMC최종회의(7월) 자료"}</definedName>
    <definedName name="종합_1" hidden="1">{#N/A,#N/A,FALSE,"KMC최종회의(7월) 자료"}</definedName>
    <definedName name="종합04" hidden="1">{#N/A,#N/A,FALSE,"표지";#N/A,#N/A,FALSE,"전제";#N/A,#N/A,FALSE,"손익-자 (2)";#N/A,#N/A,FALSE,"손익-자";#N/A,#N/A,FALSE,"손익-마 (2)";#N/A,#N/A,FALSE,"손익-마";#N/A,#N/A,FALSE,"총손최종"}</definedName>
    <definedName name="종합1" hidden="1">{#N/A,#N/A,FALSE,"KMC최종회의(7월) 자료"}</definedName>
    <definedName name="종합1_1" hidden="1">{#N/A,#N/A,FALSE,"KMC최종회의(7월) 자료"}</definedName>
    <definedName name="종합1_2" hidden="1">{#N/A,#N/A,FALSE,"KMC최종회의(7월) 자료"}</definedName>
    <definedName name="종합2" hidden="1">{#N/A,#N/A,FALSE,"KMC최종회의(7월) 자료"}</definedName>
    <definedName name="종합2_1" hidden="1">{#N/A,#N/A,FALSE,"KMC최종회의(7월) 자료"}</definedName>
    <definedName name="종합2_2" hidden="1">{#N/A,#N/A,FALSE,"KMC최종회의(7월) 자료"}</definedName>
    <definedName name="종합3" hidden="1">{#N/A,#N/A,FALSE,"단축1";#N/A,#N/A,FALSE,"단축2";#N/A,#N/A,FALSE,"단축3";#N/A,#N/A,FALSE,"장축";#N/A,#N/A,FALSE,"4WD"}</definedName>
    <definedName name="종합검사구" hidden="1">{#N/A,#N/A,FALSE,"단축1";#N/A,#N/A,FALSE,"단축2";#N/A,#N/A,FALSE,"단축3";#N/A,#N/A,FALSE,"장축";#N/A,#N/A,FALSE,"4WD"}</definedName>
    <definedName name="종합그래프" hidden="1">{#N/A,#N/A,FALSE,"단축1";#N/A,#N/A,FALSE,"단축2";#N/A,#N/A,FALSE,"단축3";#N/A,#N/A,FALSE,"장축";#N/A,#N/A,FALSE,"4WD"}</definedName>
    <definedName name="종합그래프_1" hidden="1">{#N/A,#N/A,FALSE,"단축1";#N/A,#N/A,FALSE,"단축2";#N/A,#N/A,FALSE,"단축3";#N/A,#N/A,FALSE,"장축";#N/A,#N/A,FALSE,"4WD"}</definedName>
    <definedName name="종합그래프1" hidden="1">{#N/A,#N/A,FALSE,"단축1";#N/A,#N/A,FALSE,"단축2";#N/A,#N/A,FALSE,"단축3";#N/A,#N/A,FALSE,"장축";#N/A,#N/A,FALSE,"4WD"}</definedName>
    <definedName name="종합미래2" hidden="1">{#N/A,#N/A,FALSE,"정공"}</definedName>
    <definedName name="종합미래2_1" hidden="1">{#N/A,#N/A,FALSE,"정공"}</definedName>
    <definedName name="종합미래2_2" hidden="1">{#N/A,#N/A,FALSE,"정공"}</definedName>
    <definedName name="종합미래2_2_1" hidden="1">{#N/A,#N/A,FALSE,"정공"}</definedName>
    <definedName name="종합미래2_2_2" hidden="1">{#N/A,#N/A,FALSE,"정공"}</definedName>
    <definedName name="종합미래2_2_3" hidden="1">{#N/A,#N/A,FALSE,"정공"}</definedName>
    <definedName name="종합미래2_3" hidden="1">{#N/A,#N/A,FALSE,"정공"}</definedName>
    <definedName name="종합미래2_3_1" hidden="1">{#N/A,#N/A,FALSE,"정공"}</definedName>
    <definedName name="종합미래2_3_2" hidden="1">{#N/A,#N/A,FALSE,"정공"}</definedName>
    <definedName name="종합미래2_3_3" hidden="1">{#N/A,#N/A,FALSE,"정공"}</definedName>
    <definedName name="종합미래2_4" hidden="1">{#N/A,#N/A,FALSE,"정공"}</definedName>
    <definedName name="종합미래2_5" hidden="1">{#N/A,#N/A,FALSE,"정공"}</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월별" hidden="1">{#N/A,#N/A,FALSE,"KMC최종회의(7월) 자료"}</definedName>
    <definedName name="종합월별_1" hidden="1">{#N/A,#N/A,FALSE,"KMC최종회의(7월) 자료"}</definedName>
    <definedName name="종합월별1" hidden="1">{#N/A,#N/A,FALSE,"KMC최종회의(7월) 자료"}</definedName>
    <definedName name="종합월별1_1" hidden="1">{#N/A,#N/A,FALSE,"KMC최종회의(7월) 자료"}</definedName>
    <definedName name="종합차종" hidden="1">{#N/A,#N/A,FALSE,"96자동차사 계획";#N/A,#N/A,FALSE,"96자동차사 계획"}</definedName>
    <definedName name="종합표복사" hidden="1">#REF!</definedName>
    <definedName name="종합현황" hidden="1">{#N/A,#N/A,FALSE,"KMC최종회의(7월) 자료"}</definedName>
    <definedName name="종합현황_1" hidden="1">{#N/A,#N/A,FALSE,"KMC최종회의(7월) 자료"}</definedName>
    <definedName name="종합현황_2" hidden="1">{#N/A,#N/A,FALSE,"KMC최종회의(7월) 자료"}</definedName>
    <definedName name="좋합" hidden="1">{#N/A,#N/A,FALSE,"단축1";#N/A,#N/A,FALSE,"단축2";#N/A,#N/A,FALSE,"단축3";#N/A,#N/A,FALSE,"장축";#N/A,#N/A,FALSE,"4WD"}</definedName>
    <definedName name="주" hidden="1">{#N/A,#N/A,FALSE,"단축1";#N/A,#N/A,FALSE,"단축2";#N/A,#N/A,FALSE,"단축3";#N/A,#N/A,FALSE,"장축";#N/A,#N/A,FALSE,"4WD"}</definedName>
    <definedName name="주_1" hidden="1">{#N/A,#N/A,FALSE,"단축1";#N/A,#N/A,FALSE,"단축2";#N/A,#N/A,FALSE,"단축3";#N/A,#N/A,FALSE,"장축";#N/A,#N/A,FALSE,"4WD"}</definedName>
    <definedName name="주민호" hidden="1">{#N/A,#N/A,TRUE,"Y생산";#N/A,#N/A,TRUE,"Y판매";#N/A,#N/A,TRUE,"Y총물량";#N/A,#N/A,TRUE,"Y능력";#N/A,#N/A,TRUE,"YKD"}</definedName>
    <definedName name="주요" hidden="1">{#N/A,#N/A,TRUE,"Y생산";#N/A,#N/A,TRUE,"Y판매";#N/A,#N/A,TRUE,"Y총물량";#N/A,#N/A,TRUE,"Y능력";#N/A,#N/A,TRUE,"YKD"}</definedName>
    <definedName name="주요_1" hidden="1">{#N/A,#N/A,TRUE,"Y생산";#N/A,#N/A,TRUE,"Y판매";#N/A,#N/A,TRUE,"Y총물량";#N/A,#N/A,TRUE,"Y능력";#N/A,#N/A,TRUE,"YKD"}</definedName>
    <definedName name="주요공사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문제점3" hidden="1">{#N/A,#N/A,FALSE,"단축1";#N/A,#N/A,FALSE,"단축2";#N/A,#N/A,FALSE,"단축3";#N/A,#N/A,FALSE,"장축";#N/A,#N/A,FALSE,"4WD"}</definedName>
    <definedName name="주요문제점4" hidden="1">{#N/A,#N/A,FALSE,"단축1";#N/A,#N/A,FALSE,"단축2";#N/A,#N/A,FALSE,"단축3";#N/A,#N/A,FALSE,"장축";#N/A,#N/A,FALSE,"4WD"}</definedName>
    <definedName name="주요업무" hidden="1">{#N/A,#N/A,TRUE,"Y생산";#N/A,#N/A,TRUE,"Y판매";#N/A,#N/A,TRUE,"Y총물량";#N/A,#N/A,TRUE,"Y능력";#N/A,#N/A,TRUE,"YKD"}</definedName>
    <definedName name="주요업무_1" hidden="1">{#N/A,#N/A,TRUE,"Y생산";#N/A,#N/A,TRUE,"Y판매";#N/A,#N/A,TRUE,"Y총물량";#N/A,#N/A,TRUE,"Y능력";#N/A,#N/A,TRUE,"YKD"}</definedName>
    <definedName name="주요업무2" hidden="1">{#N/A,#N/A,TRUE,"Y생산";#N/A,#N/A,TRUE,"Y판매";#N/A,#N/A,TRUE,"Y총물량";#N/A,#N/A,TRUE,"Y능력";#N/A,#N/A,TRUE,"YKD"}</definedName>
    <definedName name="주요업무2_1" hidden="1">{#N/A,#N/A,TRUE,"Y생산";#N/A,#N/A,TRUE,"Y판매";#N/A,#N/A,TRUE,"Y총물량";#N/A,#N/A,TRUE,"Y능력";#N/A,#N/A,TRUE,"YKD"}</definedName>
    <definedName name="주요업무2_2" hidden="1">{#N/A,#N/A,TRUE,"Y생산";#N/A,#N/A,TRUE,"Y판매";#N/A,#N/A,TRUE,"Y총물량";#N/A,#N/A,TRUE,"Y능력";#N/A,#N/A,TRUE,"YKD"}</definedName>
    <definedName name="주요업무2_2_1" hidden="1">{#N/A,#N/A,TRUE,"Y생산";#N/A,#N/A,TRUE,"Y판매";#N/A,#N/A,TRUE,"Y총물량";#N/A,#N/A,TRUE,"Y능력";#N/A,#N/A,TRUE,"YKD"}</definedName>
    <definedName name="주요업무2_2_2" hidden="1">{#N/A,#N/A,TRUE,"Y생산";#N/A,#N/A,TRUE,"Y판매";#N/A,#N/A,TRUE,"Y총물량";#N/A,#N/A,TRUE,"Y능력";#N/A,#N/A,TRUE,"YKD"}</definedName>
    <definedName name="주요업무2_2_3" hidden="1">{#N/A,#N/A,TRUE,"Y생산";#N/A,#N/A,TRUE,"Y판매";#N/A,#N/A,TRUE,"Y총물량";#N/A,#N/A,TRUE,"Y능력";#N/A,#N/A,TRUE,"YKD"}</definedName>
    <definedName name="주요업무2_3" hidden="1">{#N/A,#N/A,TRUE,"Y생산";#N/A,#N/A,TRUE,"Y판매";#N/A,#N/A,TRUE,"Y총물량";#N/A,#N/A,TRUE,"Y능력";#N/A,#N/A,TRUE,"YKD"}</definedName>
    <definedName name="주요업무2_3_1" hidden="1">{#N/A,#N/A,TRUE,"Y생산";#N/A,#N/A,TRUE,"Y판매";#N/A,#N/A,TRUE,"Y총물량";#N/A,#N/A,TRUE,"Y능력";#N/A,#N/A,TRUE,"YKD"}</definedName>
    <definedName name="주요업무2_3_2" hidden="1">{#N/A,#N/A,TRUE,"Y생산";#N/A,#N/A,TRUE,"Y판매";#N/A,#N/A,TRUE,"Y총물량";#N/A,#N/A,TRUE,"Y능력";#N/A,#N/A,TRUE,"YKD"}</definedName>
    <definedName name="주요업무2_3_3" hidden="1">{#N/A,#N/A,TRUE,"Y생산";#N/A,#N/A,TRUE,"Y판매";#N/A,#N/A,TRUE,"Y총물량";#N/A,#N/A,TRUE,"Y능력";#N/A,#N/A,TRUE,"YKD"}</definedName>
    <definedName name="주요업무2_4" hidden="1">{#N/A,#N/A,TRUE,"Y생산";#N/A,#N/A,TRUE,"Y판매";#N/A,#N/A,TRUE,"Y총물량";#N/A,#N/A,TRUE,"Y능력";#N/A,#N/A,TRUE,"YKD"}</definedName>
    <definedName name="주요업무2_5" hidden="1">{#N/A,#N/A,TRUE,"Y생산";#N/A,#N/A,TRUE,"Y판매";#N/A,#N/A,TRUE,"Y총물량";#N/A,#N/A,TRUE,"Y능력";#N/A,#N/A,TRUE,"YKD"}</definedName>
    <definedName name="주요업무3" hidden="1">{#N/A,#N/A,TRUE,"Y생산";#N/A,#N/A,TRUE,"Y판매";#N/A,#N/A,TRUE,"Y총물량";#N/A,#N/A,TRUE,"Y능력";#N/A,#N/A,TRUE,"YKD"}</definedName>
    <definedName name="주요업무3_1" hidden="1">{#N/A,#N/A,TRUE,"Y생산";#N/A,#N/A,TRUE,"Y판매";#N/A,#N/A,TRUE,"Y총물량";#N/A,#N/A,TRUE,"Y능력";#N/A,#N/A,TRUE,"YKD"}</definedName>
    <definedName name="주요업무3_2" hidden="1">{#N/A,#N/A,TRUE,"Y생산";#N/A,#N/A,TRUE,"Y판매";#N/A,#N/A,TRUE,"Y총물량";#N/A,#N/A,TRUE,"Y능력";#N/A,#N/A,TRUE,"YKD"}</definedName>
    <definedName name="주요업무3_2_1" hidden="1">{#N/A,#N/A,TRUE,"Y생산";#N/A,#N/A,TRUE,"Y판매";#N/A,#N/A,TRUE,"Y총물량";#N/A,#N/A,TRUE,"Y능력";#N/A,#N/A,TRUE,"YKD"}</definedName>
    <definedName name="주요업무3_2_2" hidden="1">{#N/A,#N/A,TRUE,"Y생산";#N/A,#N/A,TRUE,"Y판매";#N/A,#N/A,TRUE,"Y총물량";#N/A,#N/A,TRUE,"Y능력";#N/A,#N/A,TRUE,"YKD"}</definedName>
    <definedName name="주요업무3_2_3" hidden="1">{#N/A,#N/A,TRUE,"Y생산";#N/A,#N/A,TRUE,"Y판매";#N/A,#N/A,TRUE,"Y총물량";#N/A,#N/A,TRUE,"Y능력";#N/A,#N/A,TRUE,"YKD"}</definedName>
    <definedName name="주요업무3_3" hidden="1">{#N/A,#N/A,TRUE,"Y생산";#N/A,#N/A,TRUE,"Y판매";#N/A,#N/A,TRUE,"Y총물량";#N/A,#N/A,TRUE,"Y능력";#N/A,#N/A,TRUE,"YKD"}</definedName>
    <definedName name="주요업무3_3_1" hidden="1">{#N/A,#N/A,TRUE,"Y생산";#N/A,#N/A,TRUE,"Y판매";#N/A,#N/A,TRUE,"Y총물량";#N/A,#N/A,TRUE,"Y능력";#N/A,#N/A,TRUE,"YKD"}</definedName>
    <definedName name="주요업무3_3_2" hidden="1">{#N/A,#N/A,TRUE,"Y생산";#N/A,#N/A,TRUE,"Y판매";#N/A,#N/A,TRUE,"Y총물량";#N/A,#N/A,TRUE,"Y능력";#N/A,#N/A,TRUE,"YKD"}</definedName>
    <definedName name="주요업무3_3_3" hidden="1">{#N/A,#N/A,TRUE,"Y생산";#N/A,#N/A,TRUE,"Y판매";#N/A,#N/A,TRUE,"Y총물량";#N/A,#N/A,TRUE,"Y능력";#N/A,#N/A,TRUE,"YKD"}</definedName>
    <definedName name="주요업무3_4" hidden="1">{#N/A,#N/A,TRUE,"Y생산";#N/A,#N/A,TRUE,"Y판매";#N/A,#N/A,TRUE,"Y총물량";#N/A,#N/A,TRUE,"Y능력";#N/A,#N/A,TRUE,"YKD"}</definedName>
    <definedName name="주요업무3_5" hidden="1">{#N/A,#N/A,TRUE,"Y생산";#N/A,#N/A,TRUE,"Y판매";#N/A,#N/A,TRUE,"Y총물량";#N/A,#N/A,TRUE,"Y능력";#N/A,#N/A,TRUE,"YKD"}</definedName>
    <definedName name="주요제" hidden="1">{#N/A,#N/A,FALSE,"단축1";#N/A,#N/A,FALSE,"단축2";#N/A,#N/A,FALSE,"단축3";#N/A,#N/A,FALSE,"장축";#N/A,#N/A,FALSE,"4WD"}</definedName>
    <definedName name="주요제원" hidden="1">{#N/A,#N/A,FALSE,"단축1";#N/A,#N/A,FALSE,"단축2";#N/A,#N/A,FALSE,"단축3";#N/A,#N/A,FALSE,"장축";#N/A,#N/A,FALSE,"4WD"}</definedName>
    <definedName name="주요제원_1" hidden="1">{#N/A,#N/A,FALSE,"단축1";#N/A,#N/A,FALSE,"단축2";#N/A,#N/A,FALSE,"단축3";#N/A,#N/A,FALSE,"장축";#N/A,#N/A,FALSE,"4WD"}</definedName>
    <definedName name="주요제원_2" hidden="1">{#N/A,#N/A,FALSE,"단축1";#N/A,#N/A,FALSE,"단축2";#N/A,#N/A,FALSE,"단축3";#N/A,#N/A,FALSE,"장축";#N/A,#N/A,FALSE,"4WD"}</definedName>
    <definedName name="주요차이내역" hidden="1">{#N/A,#N/A,FALSE,"단축1";#N/A,#N/A,FALSE,"단축2";#N/A,#N/A,FALSE,"단축3";#N/A,#N/A,FALSE,"장축";#N/A,#N/A,FALSE,"4WD"}</definedName>
    <definedName name="주요현안문제점" hidden="1">{#N/A,#N/A,FALSE,"PART-1234-8-12-9(41)";#N/A,#N/A,FALSE,"PARTS-2(3)";#N/A,#N/A,FALSE,"VAN SYSTEM";#N/A,#N/A,FALSE,"PARTS-10(26)";#N/A,#N/A,FALSE,"PART-5-6-7-11(14)";#N/A,#N/A,FALSE,"PARTS-4(3)";#N/A,#N/A,FALSE,"PCLASS"}</definedName>
    <definedName name="주정관" hidden="1">{#N/A,#N/A,TRUE,"일정"}</definedName>
    <definedName name="주조" hidden="1">{#N/A,#N/A,FALSE,"단축1";#N/A,#N/A,FALSE,"단축2";#N/A,#N/A,FALSE,"단축3";#N/A,#N/A,FALSE,"장축";#N/A,#N/A,FALSE,"4WD"}</definedName>
    <definedName name="주조부" hidden="1">{#N/A,#N/A,TRUE,"Y생산";#N/A,#N/A,TRUE,"Y판매";#N/A,#N/A,TRUE,"Y총물량";#N/A,#N/A,TRUE,"Y능력";#N/A,#N/A,TRUE,"YKD"}</definedName>
    <definedName name="주조원가" hidden="1">{#N/A,#N/A,FALSE,"단축1";#N/A,#N/A,FALSE,"단축2";#N/A,#N/A,FALSE,"단축3";#N/A,#N/A,FALSE,"장축";#N/A,#N/A,FALSE,"4WD"}</definedName>
    <definedName name="주주" hidden="1">{#N/A,#N/A,FALSE,"KMC최종회의(7월) 자료"}</definedName>
    <definedName name="주해" hidden="1">#REF!</definedName>
    <definedName name="주ㅏ아" hidden="1">{#N/A,#N/A,FALSE,"단축1";#N/A,#N/A,FALSE,"단축2";#N/A,#N/A,FALSE,"단축3";#N/A,#N/A,FALSE,"장축";#N/A,#N/A,FALSE,"4WD"}</definedName>
    <definedName name="죽인다" hidden="1">{#N/A,#N/A,TRUE,"Y생산";#N/A,#N/A,TRUE,"Y판매";#N/A,#N/A,TRUE,"Y총물량";#N/A,#N/A,TRUE,"Y능력";#N/A,#N/A,TRUE,"YKD"}</definedName>
    <definedName name="준" hidden="1">{#N/A,#N/A,FALSE,"단축1";#N/A,#N/A,FALSE,"단축2";#N/A,#N/A,FALSE,"단축3";#N/A,#N/A,FALSE,"장축";#N/A,#N/A,FALSE,"4WD"}</definedName>
    <definedName name="중간" hidden="1">{#N/A,#N/A,FALSE,"단축1";#N/A,#N/A,FALSE,"단축2";#N/A,#N/A,FALSE,"단축3";#N/A,#N/A,FALSE,"장축";#N/A,#N/A,FALSE,"4WD"}</definedName>
    <definedName name="중기" hidden="1">{#N/A,#N/A,FALSE,"정공"}</definedName>
    <definedName name="중기_1" hidden="1">{#N/A,#N/A,FALSE,"정공"}</definedName>
    <definedName name="중기_2" hidden="1">{#N/A,#N/A,FALSE,"정공"}</definedName>
    <definedName name="중기_2_1" hidden="1">{#N/A,#N/A,FALSE,"정공"}</definedName>
    <definedName name="중기_2_2" hidden="1">{#N/A,#N/A,FALSE,"정공"}</definedName>
    <definedName name="중기_2_3" hidden="1">{#N/A,#N/A,FALSE,"정공"}</definedName>
    <definedName name="중기_3" hidden="1">{#N/A,#N/A,FALSE,"정공"}</definedName>
    <definedName name="중기_3_1" hidden="1">{#N/A,#N/A,FALSE,"정공"}</definedName>
    <definedName name="중기_3_2" hidden="1">{#N/A,#N/A,FALSE,"정공"}</definedName>
    <definedName name="중기_3_3" hidden="1">{#N/A,#N/A,FALSE,"정공"}</definedName>
    <definedName name="중기_4" hidden="1">{#N/A,#N/A,FALSE,"정공"}</definedName>
    <definedName name="중기_5" hidden="1">{#N/A,#N/A,FALSE,"정공"}</definedName>
    <definedName name="중기1" hidden="1">{#N/A,#N/A,FALSE,"정공"}</definedName>
    <definedName name="중기1_1" hidden="1">{#N/A,#N/A,FALSE,"정공"}</definedName>
    <definedName name="중기1_2" hidden="1">{#N/A,#N/A,FALSE,"정공"}</definedName>
    <definedName name="중앙" hidden="1">{#N/A,#N/A,FALSE,"단축1";#N/A,#N/A,FALSE,"단축2";#N/A,#N/A,FALSE,"단축3";#N/A,#N/A,FALSE,"장축";#N/A,#N/A,FALSE,"4WD"}</definedName>
    <definedName name="중앙_1" hidden="1">{#N/A,#N/A,FALSE,"단축1";#N/A,#N/A,FALSE,"단축2";#N/A,#N/A,FALSE,"단축3";#N/A,#N/A,FALSE,"장축";#N/A,#N/A,FALSE,"4WD"}</definedName>
    <definedName name="중앙_2" hidden="1">{#N/A,#N/A,FALSE,"단축1";#N/A,#N/A,FALSE,"단축2";#N/A,#N/A,FALSE,"단축3";#N/A,#N/A,FALSE,"장축";#N/A,#N/A,FALSE,"4WD"}</definedName>
    <definedName name="중앙1" hidden="1">{#N/A,#N/A,FALSE,"단축1";#N/A,#N/A,FALSE,"단축2";#N/A,#N/A,FALSE,"단축3";#N/A,#N/A,FALSE,"장축";#N/A,#N/A,FALSE,"4WD"}</definedName>
    <definedName name="중앙부" hidden="1">{#N/A,#N/A,FALSE,"단축1";#N/A,#N/A,FALSE,"단축2";#N/A,#N/A,FALSE,"단축3";#N/A,#N/A,FALSE,"장축";#N/A,#N/A,FALSE,"4WD"}</definedName>
    <definedName name="중앙부_1" hidden="1">{#N/A,#N/A,FALSE,"단축1";#N/A,#N/A,FALSE,"단축2";#N/A,#N/A,FALSE,"단축3";#N/A,#N/A,FALSE,"장축";#N/A,#N/A,FALSE,"4WD"}</definedName>
    <definedName name="중앙연구" hidden="1">{#N/A,#N/A,TRUE,"Y생산";#N/A,#N/A,TRUE,"Y판매";#N/A,#N/A,TRUE,"Y총물량";#N/A,#N/A,TRUE,"Y능력";#N/A,#N/A,TRUE,"YKD"}</definedName>
    <definedName name="중일정3" hidden="1">{#N/A,#N/A,FALSE,"단축1";#N/A,#N/A,FALSE,"단축2";#N/A,#N/A,FALSE,"단축3";#N/A,#N/A,FALSE,"장축";#N/A,#N/A,FALSE,"4WD"}</definedName>
    <definedName name="중자" hidden="1">{#N/A,#N/A,FALSE,"KMC최종회의(7월) 자료"}</definedName>
    <definedName name="중장기" hidden="1">{#N/A,#N/A,FALSE,"KMC최종회의(7월) 자료"}</definedName>
    <definedName name="중장기_1" hidden="1">{#N/A,#N/A,FALSE,"KMC최종회의(7월) 자료"}</definedName>
    <definedName name="중장기_연구기자재_기능별" hidden="1">{#N/A,#N/A,FALSE,"단축1";#N/A,#N/A,FALSE,"단축2";#N/A,#N/A,FALSE,"단축3";#N/A,#N/A,FALSE,"장축";#N/A,#N/A,FALSE,"4WD"}</definedName>
    <definedName name="중장기계획2" hidden="1">{#N/A,#N/A,FALSE,"정공"}</definedName>
    <definedName name="중장기계획2_1" hidden="1">{#N/A,#N/A,FALSE,"정공"}</definedName>
    <definedName name="중장기표지" hidden="1">{#N/A,#N/A,FALSE,"정공"}</definedName>
    <definedName name="중장기표지_1" hidden="1">{#N/A,#N/A,FALSE,"정공"}</definedName>
    <definedName name="중점3" hidden="1">{#N/A,#N/A,TRUE,"Y생산";#N/A,#N/A,TRUE,"Y판매";#N/A,#N/A,TRUE,"Y총물량";#N/A,#N/A,TRUE,"Y능력";#N/A,#N/A,TRUE,"YKD"}</definedName>
    <definedName name="중점추진" hidden="1">{#N/A,#N/A,FALSE,"KMC최종회의(7월) 자료"}</definedName>
    <definedName name="중점추진생산성" hidden="1">{#N/A,#N/A,FALSE,"KMC최종회의(7월) 자료"}</definedName>
    <definedName name="중점추진성" hidden="1">{#N/A,#N/A,FALSE,"KMC최종회의(7월) 자료"}</definedName>
    <definedName name="중중표지" hidden="1">{#N/A,#N/A,FALSE,"정공"}</definedName>
    <definedName name="중중표지_1" hidden="1">{#N/A,#N/A,FALSE,"정공"}</definedName>
    <definedName name="중중표지_2" hidden="1">{#N/A,#N/A,FALSE,"정공"}</definedName>
    <definedName name="쥬2" hidden="1">{#N/A,#N/A,FALSE,"표지";#N/A,#N/A,FALSE,"전제";#N/A,#N/A,FALSE,"손익-자 (2)";#N/A,#N/A,FALSE,"손익-자";#N/A,#N/A,FALSE,"손익-마 (2)";#N/A,#N/A,FALSE,"손익-마";#N/A,#N/A,FALSE,"총손최종"}</definedName>
    <definedName name="증가공수" hidden="1">{"'매출계획'!$D$2"}</definedName>
    <definedName name="증설예산" hidden="1">{#N/A,#N/A,FALSE,"표지";#N/A,#N/A,FALSE,"전제";#N/A,#N/A,FALSE,"대당";#N/A,#N/A,FALSE,"가공비";#N/A,#N/A,FALSE,"재료비";#N/A,#N/A,FALSE,"손익"}</definedName>
    <definedName name="지" hidden="1">{#N/A,#N/A,TRUE,"Y생산";#N/A,#N/A,TRUE,"Y판매";#N/A,#N/A,TRUE,"Y총물량";#N/A,#N/A,TRUE,"Y능력";#N/A,#N/A,TRUE,"YKD"}</definedName>
    <definedName name="지_1" hidden="1">{#N/A,#N/A,TRUE,"Y생산";#N/A,#N/A,TRUE,"Y판매";#N/A,#N/A,TRUE,"Y총물량";#N/A,#N/A,TRUE,"Y능력";#N/A,#N/A,TRUE,"YKD"}</definedName>
    <definedName name="지경영" hidden="1">{#N/A,#N/A,FALSE,"인원";#N/A,#N/A,FALSE,"비용2";#N/A,#N/A,FALSE,"비용1";#N/A,#N/A,FALSE,"비용";#N/A,#N/A,FALSE,"보증2";#N/A,#N/A,FALSE,"보증1";#N/A,#N/A,FALSE,"보증";#N/A,#N/A,FALSE,"손익1";#N/A,#N/A,FALSE,"손익";#N/A,#N/A,FALSE,"부서별매출";#N/A,#N/A,FALSE,"매출"}</definedName>
    <definedName name="지그개발." hidden="1">#REF!</definedName>
    <definedName name="지기" hidden="1">{#N/A,#N/A,FALSE,"단축1";#N/A,#N/A,FALSE,"단축2";#N/A,#N/A,FALSE,"단축3";#N/A,#N/A,FALSE,"장축";#N/A,#N/A,FALSE,"4WD"}</definedName>
    <definedName name="지랗" hidden="1">{#N/A,#N/A,FALSE,"KMC최종회의(7월) 자료"}</definedName>
    <definedName name="지랗하" hidden="1">{#N/A,#N/A,FALSE,"협조전";#N/A,#N/A,FALSE,"원가절감계획 ";#N/A,#N/A,FALSE,"항목별원가절감계획"}</definedName>
    <definedName name="지수" hidden="1">{#N/A,#N/A,FALSE,"KMC최종회의(7월) 자료"}</definedName>
    <definedName name="지수_1" hidden="1">{#N/A,#N/A,FALSE,"KMC최종회의(7월) 자료"}</definedName>
    <definedName name="지수종합" hidden="1">{#N/A,#N/A,FALSE,"KMC최종회의(7월) 자료"}</definedName>
    <definedName name="지수종합_1" hidden="1">{#N/A,#N/A,FALSE,"KMC최종회의(7월) 자료"}</definedName>
    <definedName name="지역별" hidden="1">{#N/A,#N/A,FALSE,"정공"}</definedName>
    <definedName name="지역실" hidden="1">{"'5'!$A$1:$BB$147"}</definedName>
    <definedName name="지우개" hidden="1">{#N/A,#N/A,FALSE,"단축1";#N/A,#N/A,FALSE,"단축2";#N/A,#N/A,FALSE,"단축3";#N/A,#N/A,FALSE,"장축";#N/A,#N/A,FALSE,"4WD"}</definedName>
    <definedName name="지적사항" hidden="1">{#N/A,#N/A,FALSE,"단축1";#N/A,#N/A,FALSE,"단축2";#N/A,#N/A,FALSE,"단축3";#N/A,#N/A,FALSE,"장축";#N/A,#N/A,FALSE,"4WD"}</definedName>
    <definedName name="지지지지지지지지지지짖지지지지지지지지지지지지지지지지짖ㅈ지지지지지지지지지지지지지지지짖짖" hidden="1">{#N/A,#N/A,FALSE,"KMC최종회의(7월) 자료"}</definedName>
    <definedName name="지지지지지지지지지지짖지지지지지지지지지지지지지지지지짖ㅈ지지지지지지지지지지지지지지지짖짖_1" hidden="1">{#N/A,#N/A,FALSE,"KMC최종회의(7월) 자료"}</definedName>
    <definedName name="지침서" hidden="1">{#N/A,#N/A,FALSE,"단축1";#N/A,#N/A,FALSE,"단축2";#N/A,#N/A,FALSE,"단축3";#N/A,#N/A,FALSE,"장축";#N/A,#N/A,FALSE,"4WD"}</definedName>
    <definedName name="지침서_1" hidden="1">{#N/A,#N/A,FALSE,"단축1";#N/A,#N/A,FALSE,"단축2";#N/A,#N/A,FALSE,"단축3";#N/A,#N/A,FALSE,"장축";#N/A,#N/A,FALSE,"4WD"}</definedName>
    <definedName name="지태면" hidden="1">{#N/A,#N/A,TRUE,"Y생산";#N/A,#N/A,TRUE,"Y판매";#N/A,#N/A,TRUE,"Y총물량";#N/A,#N/A,TRUE,"Y능력";#N/A,#N/A,TRUE,"YKD"}</definedName>
    <definedName name="지태면_1" hidden="1">{#N/A,#N/A,TRUE,"Y생산";#N/A,#N/A,TRUE,"Y판매";#N/A,#N/A,TRUE,"Y총물량";#N/A,#N/A,TRUE,"Y능력";#N/A,#N/A,TRUE,"YKD"}</definedName>
    <definedName name="지표" hidden="1">{#N/A,#N/A,TRUE,"Y생산";#N/A,#N/A,TRUE,"Y판매";#N/A,#N/A,TRUE,"Y총물량";#N/A,#N/A,TRUE,"Y능력";#N/A,#N/A,TRUE,"YKD"}</definedName>
    <definedName name="지표_1" hidden="1">{#N/A,#N/A,TRUE,"Y생산";#N/A,#N/A,TRUE,"Y판매";#N/A,#N/A,TRUE,"Y총물량";#N/A,#N/A,TRUE,"Y능력";#N/A,#N/A,TRUE,"YKD"}</definedName>
    <definedName name="지호" hidden="1">{#N/A,#N/A,FALSE,"단축1";#N/A,#N/A,FALSE,"단축2";#N/A,#N/A,FALSE,"단축3";#N/A,#N/A,FALSE,"장축";#N/A,#N/A,FALSE,"4WD"}</definedName>
    <definedName name="지호_1" hidden="1">{#N/A,#N/A,FALSE,"단축1";#N/A,#N/A,FALSE,"단축2";#N/A,#N/A,FALSE,"단축3";#N/A,#N/A,FALSE,"장축";#N/A,#N/A,FALSE,"4WD"}</definedName>
    <definedName name="지호_2" hidden="1">{#N/A,#N/A,FALSE,"단축1";#N/A,#N/A,FALSE,"단축2";#N/A,#N/A,FALSE,"단축3";#N/A,#N/A,FALSE,"장축";#N/A,#N/A,FALSE,"4WD"}</definedName>
    <definedName name="지ㅣ지" hidden="1">{"'매출계획'!$D$2"}</definedName>
    <definedName name="직간접계" hidden="1">{"'매출계획'!$D$2"}</definedName>
    <definedName name="직급별시행일자" hidden="1">{#N/A,#N/A,FALSE,"KMC최종회의(7월) 자료"}</definedName>
    <definedName name="직급별시행일자_1" hidden="1">{#N/A,#N/A,FALSE,"KMC최종회의(7월) 자료"}</definedName>
    <definedName name="직급별시행일자_2" hidden="1">{#N/A,#N/A,FALSE,"KMC최종회의(7월) 자료"}</definedName>
    <definedName name="직위직능조직도2" hidden="1">{#N/A,#N/A,FALSE,"단축1";#N/A,#N/A,FALSE,"단축2";#N/A,#N/A,FALSE,"단축3";#N/A,#N/A,FALSE,"장축";#N/A,#N/A,FALSE,"4WD"}</definedName>
    <definedName name="직훈생" hidden="1">{#N/A,#N/A,TRUE,"일정"}</definedName>
    <definedName name="진" hidden="1">{#N/A,#N/A,FALSE,"KMC최종회의(7월) 자료"}</definedName>
    <definedName name="진_1" hidden="1">{#N/A,#N/A,FALSE,"KMC최종회의(7월) 자료"}</definedName>
    <definedName name="진수" hidden="1">{#N/A,#N/A,FALSE,"신규dep";#N/A,#N/A,FALSE,"신규dep-금형상각후";#N/A,#N/A,FALSE,"신규dep-연구비상각후";#N/A,#N/A,FALSE,"신규dep-기계,공구상각후"}</definedName>
    <definedName name="진원" hidden="1">{#N/A,#N/A,FALSE,"표지";#N/A,#N/A,FALSE,"전제";#N/A,#N/A,FALSE,"손익-자 (2)";#N/A,#N/A,FALSE,"손익-자";#N/A,#N/A,FALSE,"손익-마 (2)";#N/A,#N/A,FALSE,"손익-마";#N/A,#N/A,FALSE,"총손최종"}</definedName>
    <definedName name="진자진자ㅓ" hidden="1">{#N/A,#N/A,FALSE,"단축1";#N/A,#N/A,FALSE,"단축2";#N/A,#N/A,FALSE,"단축3";#N/A,#N/A,FALSE,"장축";#N/A,#N/A,FALSE,"4WD"}</definedName>
    <definedName name="진짜시간" hidden="1">{#N/A,#N/A,FALSE,"단축1";#N/A,#N/A,FALSE,"단축2";#N/A,#N/A,FALSE,"단축3";#N/A,#N/A,FALSE,"장축";#N/A,#N/A,FALSE,"4WD"}</definedName>
    <definedName name="진척" hidden="1">{#N/A,#N/A,FALSE,"96자동차사 계획";#N/A,#N/A,FALSE,"96자동차사 계획"}</definedName>
    <definedName name="진출의사보유" hidden="1">{#N/A,#N/A,FALSE,"단축1";#N/A,#N/A,FALSE,"단축2";#N/A,#N/A,FALSE,"단축3";#N/A,#N/A,FALSE,"장축";#N/A,#N/A,FALSE,"4WD"}</definedName>
    <definedName name="진행사항2" hidden="1">{#N/A,#N/A,FALSE,"KMC최종회의(7월) 자료"}</definedName>
    <definedName name="진행사항2_1" hidden="1">{#N/A,#N/A,FALSE,"KMC최종회의(7월) 자료"}</definedName>
    <definedName name="진행사항2_2" hidden="1">{#N/A,#N/A,FALSE,"KMC최종회의(7월) 자료"}</definedName>
    <definedName name="진행업LIST" hidden="1">{#N/A,#N/A,FALSE,"96자동차사 계획";#N/A,#N/A,FALSE,"96자동차사 계획"}</definedName>
    <definedName name="진행업무" hidden="1">{#N/A,#N/A,FALSE,"96자동차사 계획";#N/A,#N/A,FALSE,"96자동차사 계획"}</definedName>
    <definedName name="진행현황" hidden="1">{#N/A,#N/A,FALSE,"단축1";#N/A,#N/A,FALSE,"단축2";#N/A,#N/A,FALSE,"단축3";#N/A,#N/A,FALSE,"장축";#N/A,#N/A,FALSE,"4WD"}</definedName>
    <definedName name="진흥기계" hidden="1">{#N/A,#N/A,FALSE,"정공"}</definedName>
    <definedName name="질" hidden="1">{#N/A,#N/A,FALSE,"단축1";#N/A,#N/A,FALSE,"단축2";#N/A,#N/A,FALSE,"단축3";#N/A,#N/A,FALSE,"장축";#N/A,#N/A,FALSE,"4WD"}</definedName>
    <definedName name="집계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집기부품" hidden="1">{#N/A,#N/A,FALSE,"협조전";#N/A,#N/A,FALSE,"원가절감계획 ";#N/A,#N/A,FALSE,"항목별원가절감계획"}</definedName>
    <definedName name="집행예산편성1" hidden="1">{#N/A,#N/A,FALSE,"단축1";#N/A,#N/A,FALSE,"단축2";#N/A,#N/A,FALSE,"단축3";#N/A,#N/A,FALSE,"장축";#N/A,#N/A,FALSE,"4WD"}</definedName>
    <definedName name="집행예산편성1_1" hidden="1">{#N/A,#N/A,FALSE,"단축1";#N/A,#N/A,FALSE,"단축2";#N/A,#N/A,FALSE,"단축3";#N/A,#N/A,FALSE,"장축";#N/A,#N/A,FALSE,"4WD"}</definedName>
    <definedName name="집행예산편성표2" hidden="1">{#N/A,#N/A,FALSE,"단축1";#N/A,#N/A,FALSE,"단축2";#N/A,#N/A,FALSE,"단축3";#N/A,#N/A,FALSE,"장축";#N/A,#N/A,FALSE,"4WD"}</definedName>
    <definedName name="집행예산편성표2_1" hidden="1">{#N/A,#N/A,FALSE,"단축1";#N/A,#N/A,FALSE,"단축2";#N/A,#N/A,FALSE,"단축3";#N/A,#N/A,FALSE,"장축";#N/A,#N/A,FALSE,"4WD"}</definedName>
    <definedName name="ㅉ" hidden="1">{#N/A,#N/A,TRUE,"Y생산";#N/A,#N/A,TRUE,"Y판매";#N/A,#N/A,TRUE,"Y총물량";#N/A,#N/A,TRUE,"Y능력";#N/A,#N/A,TRUE,"YKD"}</definedName>
    <definedName name="ㅉ_1" hidden="1">{#N/A,#N/A,TRUE,"Y생산";#N/A,#N/A,TRUE,"Y판매";#N/A,#N/A,TRUE,"Y총물량";#N/A,#N/A,TRUE,"Y능력";#N/A,#N/A,TRUE,"YKD"}</definedName>
    <definedName name="쪼당" hidden="1">{#N/A,#N/A,TRUE,"Y생산";#N/A,#N/A,TRUE,"Y판매";#N/A,#N/A,TRUE,"Y총물량";#N/A,#N/A,TRUE,"Y능력";#N/A,#N/A,TRUE,"YKD"}</definedName>
    <definedName name="쪼당_1" hidden="1">{#N/A,#N/A,TRUE,"Y생산";#N/A,#N/A,TRUE,"Y판매";#N/A,#N/A,TRUE,"Y총물량";#N/A,#N/A,TRUE,"Y능력";#N/A,#N/A,TRUE,"YKD"}</definedName>
    <definedName name="ㅊ" hidden="1">{#N/A,#N/A,FALSE,"KMC최종회의(7월) 자료"}</definedName>
    <definedName name="ㅊ_1" hidden="1">{#N/A,#N/A,FALSE,"KMC최종회의(7월) 자료"}</definedName>
    <definedName name="ㅊ_2" hidden="1">{#N/A,#N/A,FALSE,"KMC최종회의(7월) 자료"}</definedName>
    <definedName name="ㅊ1" hidden="1">{#N/A,#N/A,TRUE,"매출진척-1";#N/A,#N/A,TRUE,"매출진척-2";#N/A,#N/A,TRUE,"제품실적";#N/A,#N/A,TRUE,"RAC";#N/A,#N/A,TRUE,"PAC ";#N/A,#N/A,TRUE,"재고현황";#N/A,#N/A,TRUE,"공지사항"}</definedName>
    <definedName name="ㅊ2" hidden="1">#REF!</definedName>
    <definedName name="ㅊ5" hidden="1">#REF!</definedName>
    <definedName name="ㅊㄴㅊㄴㅊㄴ" hidden="1">{#N/A,#N/A,FALSE,"단축1";#N/A,#N/A,FALSE,"단축2";#N/A,#N/A,FALSE,"단축3";#N/A,#N/A,FALSE,"장축";#N/A,#N/A,FALSE,"4WD"}</definedName>
    <definedName name="ㅊㄷㅇ" hidden="1">{#N/A,#N/A,FALSE,"단축1";#N/A,#N/A,FALSE,"단축2";#N/A,#N/A,FALSE,"단축3";#N/A,#N/A,FALSE,"장축";#N/A,#N/A,FALSE,"4WD"}</definedName>
    <definedName name="ㅊㄹㅇㄴㄹ" hidden="1">{#N/A,#N/A,FALSE,"단축1";#N/A,#N/A,FALSE,"단축2";#N/A,#N/A,FALSE,"단축3";#N/A,#N/A,FALSE,"장축";#N/A,#N/A,FALSE,"4WD"}</definedName>
    <definedName name="ㅊㄹ초ㅎ로ㅎㄹ초" hidden="1">{#N/A,#N/A,FALSE,"단축1";#N/A,#N/A,FALSE,"단축2";#N/A,#N/A,FALSE,"단축3";#N/A,#N/A,FALSE,"장축";#N/A,#N/A,FALSE,"4WD"}</definedName>
    <definedName name="ㅊㅇㄴ" hidden="1">{#N/A,#N/A,FALSE,"미판매분"}</definedName>
    <definedName name="ㅊㅇㅎㄱ"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ㅊㅊ" hidden="1">{#N/A,#N/A,FALSE,"단축1";#N/A,#N/A,FALSE,"단축2";#N/A,#N/A,FALSE,"단축3";#N/A,#N/A,FALSE,"장축";#N/A,#N/A,FALSE,"4WD"}</definedName>
    <definedName name="ㅊㅊㅊ" hidden="1">{#N/A,#N/A,FALSE,"KMC최종회의(7월) 자료"}</definedName>
    <definedName name="ㅊㅊㅊ_1" hidden="1">{#N/A,#N/A,FALSE,"KMC최종회의(7월) 자료"}</definedName>
    <definedName name="ㅊㅊㅊ_2" hidden="1">{#N/A,#N/A,FALSE,"KMC최종회의(7월) 자료"}</definedName>
    <definedName name="ㅊㅊㅊㅊㅊㅊㅊㅊㅊㅊㅊㅊ" hidden="1">{#N/A,#N/A,TRUE,"Y생산";#N/A,#N/A,TRUE,"Y판매";#N/A,#N/A,TRUE,"Y총물량";#N/A,#N/A,TRUE,"Y능력";#N/A,#N/A,TRUE,"YKD"}</definedName>
    <definedName name="ㅊㅌㅈㅇ" hidden="1">{#N/A,#N/A,FALSE,"미판매분"}</definedName>
    <definedName name="ㅊㅌㅈㅇ_1" hidden="1">{#N/A,#N/A,FALSE,"미판매분"}</definedName>
    <definedName name="ㅊㅍㅅ" hidden="1">{#N/A,#N/A,FALSE,"KMC최종회의(7월) 자료"}</definedName>
    <definedName name="ㅊㅍㅇㄴㅁ" hidden="1">{#N/A,#N/A,FALSE,"미판매분"}</definedName>
    <definedName name="ㅊㅍㅌㅊㅍㅌㅊㅍ" hidden="1">{#N/A,#N/A,FALSE,"정공"}</definedName>
    <definedName name="ㅊㅍㅍㅊㅍㅊㅍㅊㅍㅊㅍㅊㅍ" hidden="1">{#N/A,#N/A,FALSE,"KMC최종회의(7월) 자료"}</definedName>
    <definedName name="ㅊ퓨류" hidden="1">{#N/A,#N/A,FALSE,"단축1";#N/A,#N/A,FALSE,"단축2";#N/A,#N/A,FALSE,"단축3";#N/A,#N/A,FALSE,"장축";#N/A,#N/A,FALSE,"4WD"}</definedName>
    <definedName name="차" hidden="1">{#N/A,#N/A,FALSE,"KMC최종회의(7월) 자료"}</definedName>
    <definedName name="차_1" hidden="1">{#N/A,#N/A,FALSE,"KMC최종회의(7월) 자료"}</definedName>
    <definedName name="차_2" hidden="1">{#N/A,#N/A,FALSE,"KMC최종회의(7월) 자료"}</definedName>
    <definedName name="차라리" hidden="1">{#N/A,#N/A,FALSE,"KMC최종회의(7월) 자료"}</definedName>
    <definedName name="차라리_1" hidden="1">{#N/A,#N/A,FALSE,"KMC최종회의(7월) 자료"}</definedName>
    <definedName name="차라리1" hidden="1">{#N/A,#N/A,FALSE,"KMC최종회의(7월) 자료"}</definedName>
    <definedName name="차량분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량생기1팀총괄표" hidden="1">{#N/A,#N/A,FALSE,"단축1";#N/A,#N/A,FALSE,"단축2";#N/A,#N/A,FALSE,"단축3";#N/A,#N/A,FALSE,"장축";#N/A,#N/A,FALSE,"4WD"}</definedName>
    <definedName name="차량시스템담당" hidden="1">{#N/A,#N/A,TRUE,"일정"}</definedName>
    <definedName name="차량시험" hidden="1">{#N/A,#N/A,FALSE,"단축1";#N/A,#N/A,FALSE,"단축2";#N/A,#N/A,FALSE,"단축3";#N/A,#N/A,FALSE,"장축";#N/A,#N/A,FALSE,"4WD"}</definedName>
    <definedName name="차병률" hidden="1">{#N/A,#N/A,TRUE,"Y생산";#N/A,#N/A,TRUE,"Y판매";#N/A,#N/A,TRUE,"Y총물량";#N/A,#N/A,TRUE,"Y능력";#N/A,#N/A,TRUE,"YKD"}</definedName>
    <definedName name="차원" hidden="1">#REF!</definedName>
    <definedName name="차월분석2" hidden="1">{#N/A,#N/A,FALSE,"KMC최종회의(7월) 자료"}</definedName>
    <definedName name="차월분석2_1" hidden="1">{#N/A,#N/A,FALSE,"KMC최종회의(7월) 자료"}</definedName>
    <definedName name="차월분석2_2" hidden="1">{#N/A,#N/A,FALSE,"KMC최종회의(7월) 자료"}</definedName>
    <definedName name="차이내역" hidden="1">{#N/A,#N/A,FALSE,"인원";#N/A,#N/A,FALSE,"비용2";#N/A,#N/A,FALSE,"비용1";#N/A,#N/A,FALSE,"비용";#N/A,#N/A,FALSE,"보증2";#N/A,#N/A,FALSE,"보증1";#N/A,#N/A,FALSE,"보증";#N/A,#N/A,FALSE,"손익1";#N/A,#N/A,FALSE,"손익";#N/A,#N/A,FALSE,"부서별매출";#N/A,#N/A,FALSE,"매출"}</definedName>
    <definedName name="차이내역2" hidden="1">{#N/A,#N/A,FALSE,"단축1";#N/A,#N/A,FALSE,"단축2";#N/A,#N/A,FALSE,"단축3";#N/A,#N/A,FALSE,"장축";#N/A,#N/A,FALSE,"4WD"}</definedName>
    <definedName name="차입금현황" hidden="1">{#N/A,#N/A,FALSE,"정공"}</definedName>
    <definedName name="차전놀이" hidden="1">{#N/A,#N/A,FALSE,"KMC최종회의(7월) 자료"}</definedName>
    <definedName name="차전놀이_1" hidden="1">{#N/A,#N/A,FALSE,"KMC최종회의(7월) 자료"}</definedName>
    <definedName name="차종별" hidden="1">{#N/A,#N/A,FALSE,"단축1";#N/A,#N/A,FALSE,"단축2";#N/A,#N/A,FALSE,"단축3";#N/A,#N/A,FALSE,"장축";#N/A,#N/A,FALSE,"4WD"}</definedName>
    <definedName name="차종별_1" hidden="1">{#N/A,#N/A,TRUE,"Y생산";#N/A,#N/A,TRUE,"Y판매";#N/A,#N/A,TRUE,"Y총물량";#N/A,#N/A,TRUE,"Y능력";#N/A,#N/A,TRUE,"YKD"}</definedName>
    <definedName name="차차" hidden="1">{#N/A,#N/A,TRUE,"일정"}</definedName>
    <definedName name="차차차차차차차차차차차차차차차차차차차차차차차차차차차찿" hidden="1">{#N/A,#N/A,FALSE,"KMC최종회의(7월) 자료"}</definedName>
    <definedName name="차차차차차차차차차차차차차차차차차차차차차차차차차차차찿_1" hidden="1">{#N/A,#N/A,FALSE,"KMC최종회의(7월) 자료"}</definedName>
    <definedName name="차차차차차차차차차차차찿차차차차차차차차차찿차차차차차차차차차차찿" hidden="1">{#N/A,#N/A,FALSE,"KMC최종회의(7월) 자료"}</definedName>
    <definedName name="차차차차차차차차차차차찿차차차차차차차차차찿차차차차차차차차차차찿_1" hidden="1">{#N/A,#N/A,FALSE,"KMC최종회의(7월) 자료"}</definedName>
    <definedName name="차체" hidden="1">{#N/A,#N/A,FALSE,"단축1";#N/A,#N/A,FALSE,"단축2";#N/A,#N/A,FALSE,"단축3";#N/A,#N/A,FALSE,"장축";#N/A,#N/A,FALSE,"4WD"}</definedName>
    <definedName name="차체1" hidden="1">{#N/A,#N/A,FALSE,"단축1";#N/A,#N/A,FALSE,"단축2";#N/A,#N/A,FALSE,"단축3";#N/A,#N/A,FALSE,"장축";#N/A,#N/A,FALSE,"4WD"}</definedName>
    <definedName name="차체기술총괄표" hidden="1">{#N/A,#N/A,FALSE,"단축1";#N/A,#N/A,FALSE,"단축2";#N/A,#N/A,FALSE,"단축3";#N/A,#N/A,FALSE,"장축";#N/A,#N/A,FALSE,"4WD"}</definedName>
    <definedName name="차체품CR내역" hidden="1">{#N/A,#N/A,FALSE,"단축1";#N/A,#N/A,FALSE,"단축2";#N/A,#N/A,FALSE,"단축3";#N/A,#N/A,FALSE,"장축";#N/A,#N/A,FALSE,"4WD"}</definedName>
    <definedName name="차트" hidden="1">{#N/A,#N/A,FALSE,"정공"}</definedName>
    <definedName name="차트_1" hidden="1">{#N/A,#N/A,FALSE,"정공"}</definedName>
    <definedName name="차트_2" hidden="1">{#N/A,#N/A,FALSE,"정공"}</definedName>
    <definedName name="차트_2_1" hidden="1">{#N/A,#N/A,FALSE,"정공"}</definedName>
    <definedName name="차트_2_2" hidden="1">{#N/A,#N/A,FALSE,"정공"}</definedName>
    <definedName name="차트_2_3" hidden="1">{#N/A,#N/A,FALSE,"정공"}</definedName>
    <definedName name="차트_3" hidden="1">{#N/A,#N/A,FALSE,"정공"}</definedName>
    <definedName name="차트_3_1" hidden="1">{#N/A,#N/A,FALSE,"정공"}</definedName>
    <definedName name="차트_3_2" hidden="1">{#N/A,#N/A,FALSE,"정공"}</definedName>
    <definedName name="차트_3_3" hidden="1">{#N/A,#N/A,FALSE,"정공"}</definedName>
    <definedName name="차트_4" hidden="1">{#N/A,#N/A,FALSE,"정공"}</definedName>
    <definedName name="차트_5" hidden="1">{#N/A,#N/A,FALSE,"정공"}</definedName>
    <definedName name="찬바람" hidden="1">{#N/A,#N/A,FALSE,"단축1";#N/A,#N/A,FALSE,"단축2";#N/A,#N/A,FALSE,"단축3";#N/A,#N/A,FALSE,"장축";#N/A,#N/A,FALSE,"4WD"}</definedName>
    <definedName name="참가" hidden="1">{#N/A,#N/A,FALSE,"KMC최종회의(7월) 자료"}</definedName>
    <definedName name="참가_1" hidden="1">{#N/A,#N/A,FALSE,"KMC최종회의(7월) 자료"}</definedName>
    <definedName name="참가_2" hidden="1">{#N/A,#N/A,FALSE,"KMC최종회의(7월) 자료"}</definedName>
    <definedName name="참가신청서" hidden="1">{#N/A,#N/A,FALSE,"KMC최종회의(7월) 자료"}</definedName>
    <definedName name="참가신청서_1" hidden="1">{#N/A,#N/A,FALSE,"KMC최종회의(7월) 자료"}</definedName>
    <definedName name="참가신청서_2" hidden="1">{#N/A,#N/A,FALSE,"KMC최종회의(7월) 자료"}</definedName>
    <definedName name="참고" hidden="1">{#N/A,#N/A,FALSE,"단축1";#N/A,#N/A,FALSE,"단축2";#N/A,#N/A,FALSE,"단축3";#N/A,#N/A,FALSE,"장축";#N/A,#N/A,FALSE,"4WD"}</definedName>
    <definedName name="참고1" hidden="1">{#N/A,#N/A,FALSE,"단축1";#N/A,#N/A,FALSE,"단축2";#N/A,#N/A,FALSE,"단축3";#N/A,#N/A,FALSE,"장축";#N/A,#N/A,FALSE,"4WD"}</definedName>
    <definedName name="참고1장" hidden="1">{#N/A,#N/A,FALSE,"단축1";#N/A,#N/A,FALSE,"단축2";#N/A,#N/A,FALSE,"단축3";#N/A,#N/A,FALSE,"장축";#N/A,#N/A,FALSE,"4WD"}</definedName>
    <definedName name="참고2장" hidden="1">{#N/A,#N/A,FALSE,"단축1";#N/A,#N/A,FALSE,"단축2";#N/A,#N/A,FALSE,"단축3";#N/A,#N/A,FALSE,"장축";#N/A,#N/A,FALSE,"4WD"}</definedName>
    <definedName name="참고사항" hidden="1">{#N/A,#N/A,FALSE,"단축1";#N/A,#N/A,FALSE,"단축2";#N/A,#N/A,FALSE,"단축3";#N/A,#N/A,FALSE,"장축";#N/A,#N/A,FALSE,"4WD"}</definedName>
    <definedName name="참고자료" hidden="1">{#N/A,#N/A,FALSE,"신규dep";#N/A,#N/A,FALSE,"신규dep-금형상각후";#N/A,#N/A,FALSE,"신규dep-연구비상각후";#N/A,#N/A,FALSE,"신규dep-기계,공구상각후"}</definedName>
    <definedName name="참석자" hidden="1">{#N/A,#N/A,FALSE,"단축1";#N/A,#N/A,FALSE,"단축2";#N/A,#N/A,FALSE,"단축3";#N/A,#N/A,FALSE,"장축";#N/A,#N/A,FALSE,"4WD"}</definedName>
    <definedName name="참석자명단" hidden="1">{#N/A,#N/A,FALSE,"단축1";#N/A,#N/A,FALSE,"단축2";#N/A,#N/A,FALSE,"단축3";#N/A,#N/A,FALSE,"장축";#N/A,#N/A,FALSE,"4WD"}</definedName>
    <definedName name="참조" hidden="1">{#N/A,#N/A,FALSE,"단축1";#N/A,#N/A,FALSE,"단축2";#N/A,#N/A,FALSE,"단축3";#N/A,#N/A,FALSE,"장축";#N/A,#N/A,FALSE,"4WD"}</definedName>
    <definedName name="채권강조" hidden="1">{"'5'!$A$1:$BB$147"}</definedName>
    <definedName name="채봉주" hidden="1">{#N/A,#N/A,FALSE,"단축1";#N/A,#N/A,FALSE,"단축2";#N/A,#N/A,FALSE,"단축3";#N/A,#N/A,FALSE,"장축";#N/A,#N/A,FALSE,"4WD"}</definedName>
    <definedName name="채상용" hidden="1">{#N/A,#N/A,FALSE,"개발계획표지";#N/A,#N/A,FALSE,"목차";#N/A,#N/A,FALSE,"개요"}</definedName>
    <definedName name="채홍일" hidden="1">{#N/A,#N/A,FALSE,"업체선정";#N/A,#N/A,FALSE,"업체선정sheet";#N/A,#N/A,FALSE,"업체실태";#N/A,#N/A,FALSE,"업체실태(1)";#N/A,#N/A,FALSE,"종업원현황(2)";#N/A,#N/A,FALSE,"생산품목(3)";#N/A,#N/A,FALSE,"장비보유현황";#N/A,#N/A,FALSE,"차량및약도";#N/A,#N/A,FALSE,"금형LIST"}</definedName>
    <definedName name="천종필"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철" hidden="1">{#N/A,#N/A,FALSE,"KMC최종회의(7월) 자료"}</definedName>
    <definedName name="철_1" hidden="1">{#N/A,#N/A,FALSE,"KMC최종회의(7월) 자료"}</definedName>
    <definedName name="철_2" hidden="1">{#N/A,#N/A,FALSE,"KMC최종회의(7월) 자료"}</definedName>
    <definedName name="철거현황" hidden="1">{#N/A,#N/A,FALSE,"단축1";#N/A,#N/A,FALSE,"단축2";#N/A,#N/A,FALSE,"단축3";#N/A,#N/A,FALSE,"장축";#N/A,#N/A,FALSE,"4WD"}</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첨" hidden="1">{#N/A,#N/A,FALSE,"단축1";#N/A,#N/A,FALSE,"단축2";#N/A,#N/A,FALSE,"단축3";#N/A,#N/A,FALSE,"장축";#N/A,#N/A,FALSE,"4WD"}</definedName>
    <definedName name="첨단교통관리분야" hidden="1">{#N/A,#N/A,FALSE,"단축1";#N/A,#N/A,FALSE,"단축2";#N/A,#N/A,FALSE,"단축3";#N/A,#N/A,FALSE,"장축";#N/A,#N/A,FALSE,"4WD"}</definedName>
    <definedName name="첨부." hidden="1">#REF!</definedName>
    <definedName name="첨부101" hidden="1">{#N/A,#N/A,FALSE,"단축1";#N/A,#N/A,FALSE,"단축2";#N/A,#N/A,FALSE,"단축3";#N/A,#N/A,FALSE,"장축";#N/A,#N/A,FALSE,"4WD"}</definedName>
    <definedName name="첨부123" hidden="1">{#N/A,#N/A,FALSE,"정공"}</definedName>
    <definedName name="첨부123_1" hidden="1">{#N/A,#N/A,FALSE,"정공"}</definedName>
    <definedName name="첨부123_2" hidden="1">{#N/A,#N/A,FALSE,"정공"}</definedName>
    <definedName name="첨부2_수정" hidden="1">{#N/A,#N/A,FALSE,"단축1";#N/A,#N/A,FALSE,"단축2";#N/A,#N/A,FALSE,"단축3";#N/A,#N/A,FALSE,"장축";#N/A,#N/A,FALSE,"4WD"}</definedName>
    <definedName name="첨부3" hidden="1">{#N/A,#N/A,FALSE,"단축1";#N/A,#N/A,FALSE,"단축2";#N/A,#N/A,FALSE,"단축3";#N/A,#N/A,FALSE,"장축";#N/A,#N/A,FALSE,"4WD"}</definedName>
    <definedName name="첨부40" hidden="1">{#N/A,#N/A,FALSE,"단축1";#N/A,#N/A,FALSE,"단축2";#N/A,#N/A,FALSE,"단축3";#N/A,#N/A,FALSE,"장축";#N/A,#N/A,FALSE,"4WD"}</definedName>
    <definedName name="첨부물" hidden="1">{#N/A,#N/A,FALSE,"정공"}</definedName>
    <definedName name="첨부물_1" hidden="1">{#N/A,#N/A,FALSE,"정공"}</definedName>
    <definedName name="첨부물_2" hidden="1">{#N/A,#N/A,FALSE,"정공"}</definedName>
    <definedName name="첨부시트" hidden="1">{#N/A,#N/A,FALSE,"정공"}</definedName>
    <definedName name="첨부시트_1" hidden="1">{#N/A,#N/A,FALSE,"정공"}</definedName>
    <definedName name="첨부양식" hidden="1">{#N/A,#N/A,FALSE,"KMC최종회의(7월) 자료"}</definedName>
    <definedName name="첨부양식_1" hidden="1">{#N/A,#N/A,FALSE,"KMC최종회의(7월) 자료"}</definedName>
    <definedName name="첨부양식_2" hidden="1">{#N/A,#N/A,FALSE,"KMC최종회의(7월) 자료"}</definedName>
    <definedName name="첫" hidden="1">#REF!</definedName>
    <definedName name="첫장" hidden="1">#REF!</definedName>
    <definedName name="첯" hidden="1">{#N/A,#N/A,FALSE,"단축1";#N/A,#N/A,FALSE,"단축2";#N/A,#N/A,FALSE,"단축3";#N/A,#N/A,FALSE,"장축";#N/A,#N/A,FALSE,"4WD"}</definedName>
    <definedName name="체크" hidden="1">{#N/A,#N/A,FALSE,"단축1";#N/A,#N/A,FALSE,"단축2";#N/A,#N/A,FALSE,"단축3";#N/A,#N/A,FALSE,"장축";#N/A,#N/A,FALSE,"4WD"}</definedName>
    <definedName name="초기유동품검사성적서" hidden="1">{#N/A,#N/A,FALSE,"단축1";#N/A,#N/A,FALSE,"단축2";#N/A,#N/A,FALSE,"단축3";#N/A,#N/A,FALSE,"장축";#N/A,#N/A,FALSE,"4WD"}</definedName>
    <definedName name="초안" hidden="1">{#N/A,#N/A,FALSE,"단축1";#N/A,#N/A,FALSE,"단축2";#N/A,#N/A,FALSE,"단축3";#N/A,#N/A,FALSE,"장축";#N/A,#N/A,FALSE,"4WD"}</definedName>
    <definedName name="초ㅐ" hidden="1">{"'Monthly 1997'!$A$3:$S$89"}</definedName>
    <definedName name="총견적서" hidden="1">#REF!</definedName>
    <definedName name="총괄" hidden="1">{#N/A,#N/A,FALSE,"정공"}</definedName>
    <definedName name="총괄_1" hidden="1">{#N/A,#N/A,TRUE,"Y생산";#N/A,#N/A,TRUE,"Y판매";#N/A,#N/A,TRUE,"Y총물량";#N/A,#N/A,TRUE,"Y능력";#N/A,#N/A,TRUE,"YKD"}</definedName>
    <definedName name="총괄_신세대" hidden="1">{#N/A,#N/A,FALSE,"정공"}</definedName>
    <definedName name="총괄_신세대_1" hidden="1">{#N/A,#N/A,FALSE,"정공"}</definedName>
    <definedName name="총괄_신세대_2" hidden="1">{#N/A,#N/A,FALSE,"정공"}</definedName>
    <definedName name="총괄_신세대_2_1" hidden="1">{#N/A,#N/A,FALSE,"정공"}</definedName>
    <definedName name="총괄_신세대_2_2" hidden="1">{#N/A,#N/A,FALSE,"정공"}</definedName>
    <definedName name="총괄_신세대_2_3" hidden="1">{#N/A,#N/A,FALSE,"정공"}</definedName>
    <definedName name="총괄_신세대_3" hidden="1">{#N/A,#N/A,FALSE,"정공"}</definedName>
    <definedName name="총괄_신세대_3_1" hidden="1">{#N/A,#N/A,FALSE,"정공"}</definedName>
    <definedName name="총괄_신세대_3_2" hidden="1">{#N/A,#N/A,FALSE,"정공"}</definedName>
    <definedName name="총괄_신세대_3_3" hidden="1">{#N/A,#N/A,FALSE,"정공"}</definedName>
    <definedName name="총괄_신세대_4" hidden="1">{#N/A,#N/A,FALSE,"정공"}</definedName>
    <definedName name="총괄_신세대_5" hidden="1">{#N/A,#N/A,FALSE,"정공"}</definedName>
    <definedName name="총괄1장" hidden="1">{#N/A,#N/A,FALSE,"단축1";#N/A,#N/A,FALSE,"단축2";#N/A,#N/A,FALSE,"단축3";#N/A,#N/A,FALSE,"장축";#N/A,#N/A,FALSE,"4WD"}</definedName>
    <definedName name="총괄2" hidden="1">{"'표지'!$B$5"}</definedName>
    <definedName name="총괄4장" hidden="1">{#N/A,#N/A,FALSE,"정공"}</definedName>
    <definedName name="총괄4장_1" hidden="1">{#N/A,#N/A,FALSE,"정공"}</definedName>
    <definedName name="총괄4장_2" hidden="1">{#N/A,#N/A,FALSE,"정공"}</definedName>
    <definedName name="총괄6" hidden="1">{#N/A,#N/A,FALSE,"정공"}</definedName>
    <definedName name="총괄6_1" hidden="1">{#N/A,#N/A,FALSE,"정공"}</definedName>
    <definedName name="총괄6_2" hidden="1">{#N/A,#N/A,FALSE,"정공"}</definedName>
    <definedName name="총괄투자" hidden="1">{#N/A,#N/A,FALSE,"정공"}</definedName>
    <definedName name="총괄투자_1" hidden="1">{#N/A,#N/A,FALSE,"정공"}</definedName>
    <definedName name="총괄표자금" hidden="1">{#N/A,#N/A,FALSE,"정공"}</definedName>
    <definedName name="총괄표자금_1" hidden="1">{#N/A,#N/A,FALSE,"정공"}</definedName>
    <definedName name="총무3" hidden="1">{#N/A,#N/A,FALSE,"단축1";#N/A,#N/A,FALSE,"단축2";#N/A,#N/A,FALSE,"단축3";#N/A,#N/A,FALSE,"장축";#N/A,#N/A,FALSE,"4WD"}</definedName>
    <definedName name="총무3_1" hidden="1">{#N/A,#N/A,FALSE,"단축1";#N/A,#N/A,FALSE,"단축2";#N/A,#N/A,FALSE,"단축3";#N/A,#N/A,FALSE,"장축";#N/A,#N/A,FALSE,"4WD"}</definedName>
    <definedName name="총무4" hidden="1">{#N/A,#N/A,FALSE,"단축1";#N/A,#N/A,FALSE,"단축2";#N/A,#N/A,FALSE,"단축3";#N/A,#N/A,FALSE,"장축";#N/A,#N/A,FALSE,"4WD"}</definedName>
    <definedName name="총무팀" hidden="1">{#N/A,#N/A,TRUE,"Y생산";#N/A,#N/A,TRUE,"Y판매";#N/A,#N/A,TRUE,"Y총물량";#N/A,#N/A,TRUE,"Y능력";#N/A,#N/A,TRUE,"YKD"}</definedName>
    <definedName name="총무팀총무팀" hidden="1">{#N/A,#N/A,TRUE,"Y생산";#N/A,#N/A,TRUE,"Y판매";#N/A,#N/A,TRUE,"Y총물량";#N/A,#N/A,TRUE,"Y능력";#N/A,#N/A,TRUE,"YKD"}</definedName>
    <definedName name="총무팀총무팀_1" hidden="1">{#N/A,#N/A,TRUE,"Y생산";#N/A,#N/A,TRUE,"Y판매";#N/A,#N/A,TRUE,"Y총물량";#N/A,#N/A,TRUE,"Y능력";#N/A,#N/A,TRUE,"YKD"}</definedName>
    <definedName name="총여신" hidden="1">{"'5'!$A$1:$BB$147"}</definedName>
    <definedName name="최" hidden="1">{#N/A,#N/A,FALSE,"KMC최종회의(7월) 자료"}</definedName>
    <definedName name="최_1" hidden="1">{#N/A,#N/A,FALSE,"KMC최종회의(7월) 자료"}</definedName>
    <definedName name="최리리" hidden="1">{#N/A,#N/A,FALSE,"정공"}</definedName>
    <definedName name="최리리_1" hidden="1">{#N/A,#N/A,FALSE,"정공"}</definedName>
    <definedName name="최리리_2" hidden="1">{#N/A,#N/A,FALSE,"정공"}</definedName>
    <definedName name="최신기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신팀장조직도" hidden="1">{#N/A,#N/A,FALSE,"단축1";#N/A,#N/A,FALSE,"단축2";#N/A,#N/A,FALSE,"단축3";#N/A,#N/A,FALSE,"장축";#N/A,#N/A,FALSE,"4WD"}</definedName>
    <definedName name="최영" hidden="1">{#N/A,#N/A,FALSE,"정공"}</definedName>
    <definedName name="최영_1" hidden="1">{#N/A,#N/A,FALSE,"정공"}</definedName>
    <definedName name="최영_2" hidden="1">{#N/A,#N/A,FALSE,"정공"}</definedName>
    <definedName name="최영_2_1" hidden="1">{#N/A,#N/A,FALSE,"정공"}</definedName>
    <definedName name="최영_2_2" hidden="1">{#N/A,#N/A,FALSE,"정공"}</definedName>
    <definedName name="최영_2_3" hidden="1">{#N/A,#N/A,FALSE,"정공"}</definedName>
    <definedName name="최영_3" hidden="1">{#N/A,#N/A,FALSE,"정공"}</definedName>
    <definedName name="최영_3_1" hidden="1">{#N/A,#N/A,FALSE,"정공"}</definedName>
    <definedName name="최영_3_2" hidden="1">{#N/A,#N/A,FALSE,"정공"}</definedName>
    <definedName name="최영_3_3" hidden="1">{#N/A,#N/A,FALSE,"정공"}</definedName>
    <definedName name="최영_4" hidden="1">{#N/A,#N/A,FALSE,"정공"}</definedName>
    <definedName name="최영_5" hidden="1">{#N/A,#N/A,FALSE,"정공"}</definedName>
    <definedName name="최종" hidden="1">{"'Sheet1'!$A$211:$M$235"}</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이익가" hidden="1">{#N/A,#N/A,FALSE,"정공"}</definedName>
    <definedName name="최종이익가_1" hidden="1">{#N/A,#N/A,FALSE,"정공"}</definedName>
    <definedName name="최종이익가_2" hidden="1">{#N/A,#N/A,FALSE,"정공"}</definedName>
    <definedName name="추" hidden="1">{#N/A,#N/A,FALSE,"단축1";#N/A,#N/A,FALSE,"단축2";#N/A,#N/A,FALSE,"단축3";#N/A,#N/A,FALSE,"장축";#N/A,#N/A,FALSE,"4WD"}</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3"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개선" hidden="1">{#N/A,#N/A,FALSE,"개발계획표지";#N/A,#N/A,FALSE,"목차";#N/A,#N/A,FALSE,"개요"}</definedName>
    <definedName name="추가공수" hidden="1">{"'매출계획'!$D$2"}</definedName>
    <definedName name="추가예산" hidden="1">{#N/A,#N/A,FALSE,"단축1";#N/A,#N/A,FALSE,"단축2";#N/A,#N/A,FALSE,"단축3";#N/A,#N/A,FALSE,"장축";#N/A,#N/A,FALSE,"4WD"}</definedName>
    <definedName name="추가참조" hidden="1">{#N/A,#N/A,FALSE,"정공"}</definedName>
    <definedName name="추가참조_1" hidden="1">{#N/A,#N/A,FALSE,"정공"}</definedName>
    <definedName name="추가참조_2" hidden="1">{#N/A,#N/A,FALSE,"정공"}</definedName>
    <definedName name="추진" hidden="1">{#N/A,#N/A,FALSE,"정공"}</definedName>
    <definedName name="추진_1" hidden="1">{#N/A,#N/A,FALSE,"정공"}</definedName>
    <definedName name="추진_2" hidden="1">{#N/A,#N/A,FALSE,"정공"}</definedName>
    <definedName name="추진_2_1" hidden="1">{#N/A,#N/A,FALSE,"정공"}</definedName>
    <definedName name="추진_2_2" hidden="1">{#N/A,#N/A,FALSE,"정공"}</definedName>
    <definedName name="추진_2_3" hidden="1">{#N/A,#N/A,FALSE,"정공"}</definedName>
    <definedName name="추진_3" hidden="1">{#N/A,#N/A,FALSE,"정공"}</definedName>
    <definedName name="추진_3_1" hidden="1">{#N/A,#N/A,FALSE,"정공"}</definedName>
    <definedName name="추진_3_2" hidden="1">{#N/A,#N/A,FALSE,"정공"}</definedName>
    <definedName name="추진_3_3" hidden="1">{#N/A,#N/A,FALSE,"정공"}</definedName>
    <definedName name="추진_4" hidden="1">{#N/A,#N/A,FALSE,"정공"}</definedName>
    <definedName name="추진_5" hidden="1">{#N/A,#N/A,FALSE,"정공"}</definedName>
    <definedName name="추진계획1" hidden="1">{#N/A,#N/A,FALSE,"정공"}</definedName>
    <definedName name="추진계획1_1" hidden="1">{#N/A,#N/A,FALSE,"정공"}</definedName>
    <definedName name="추진계획1_2" hidden="1">{#N/A,#N/A,FALSE,"정공"}</definedName>
    <definedName name="추진과제" hidden="1">{#N/A,#N/A,FALSE,"단축1";#N/A,#N/A,FALSE,"단축2";#N/A,#N/A,FALSE,"단축3";#N/A,#N/A,FALSE,"장축";#N/A,#N/A,FALSE,"4WD"}</definedName>
    <definedName name="추진배경" hidden="1">{#N/A,#N/A,FALSE,"단축1";#N/A,#N/A,FALSE,"단축2";#N/A,#N/A,FALSE,"단축3";#N/A,#N/A,FALSE,"장축";#N/A,#N/A,FALSE,"4WD"}</definedName>
    <definedName name="추진안" hidden="1">{#N/A,#N/A,FALSE,"단축1";#N/A,#N/A,FALSE,"단축2";#N/A,#N/A,FALSE,"단축3";#N/A,#N/A,FALSE,"장축";#N/A,#N/A,FALSE,"4WD"}</definedName>
    <definedName name="추진일정" hidden="1">{#N/A,#N/A,FALSE,"KMC최종회의(7월) 자료"}</definedName>
    <definedName name="추진일정1" hidden="1">{#N/A,#N/A,FALSE,"신규dep";#N/A,#N/A,FALSE,"신규dep-금형상각후";#N/A,#N/A,FALSE,"신규dep-연구비상각후";#N/A,#N/A,FALSE,"신규dep-기계,공구상각후"}</definedName>
    <definedName name="추진장기" hidden="1">#REF!</definedName>
    <definedName name="추진전략" hidden="1">{#N/A,#N/A,FALSE,"정공"}</definedName>
    <definedName name="추진전략_1" hidden="1">{#N/A,#N/A,FALSE,"정공"}</definedName>
    <definedName name="추진전략_2" hidden="1">{#N/A,#N/A,FALSE,"정공"}</definedName>
    <definedName name="추진전략_2_1" hidden="1">{#N/A,#N/A,FALSE,"정공"}</definedName>
    <definedName name="추진전략_2_2" hidden="1">{#N/A,#N/A,FALSE,"정공"}</definedName>
    <definedName name="추진전략_2_3" hidden="1">{#N/A,#N/A,FALSE,"정공"}</definedName>
    <definedName name="추진전략_3" hidden="1">{#N/A,#N/A,FALSE,"정공"}</definedName>
    <definedName name="추진전략_3_1" hidden="1">{#N/A,#N/A,FALSE,"정공"}</definedName>
    <definedName name="추진전략_3_2" hidden="1">{#N/A,#N/A,FALSE,"정공"}</definedName>
    <definedName name="추진전략_3_3" hidden="1">{#N/A,#N/A,FALSE,"정공"}</definedName>
    <definedName name="추진전략_4" hidden="1">{#N/A,#N/A,FALSE,"정공"}</definedName>
    <definedName name="추진전략_5" hidden="1">{#N/A,#N/A,FALSE,"정공"}</definedName>
    <definedName name="추징쟁정사항" hidden="1">{#N/A,#N/A,FALSE,"정공"}</definedName>
    <definedName name="추징쟁정사항_1" hidden="1">{#N/A,#N/A,FALSE,"정공"}</definedName>
    <definedName name="춛도" hidden="1">{#N/A,#N/A,FALSE,"단축1";#N/A,#N/A,FALSE,"단축2";#N/A,#N/A,FALSE,"단축3";#N/A,#N/A,FALSE,"장축";#N/A,#N/A,FALSE,"4WD"}</definedName>
    <definedName name="출" hidden="1">{#N/A,#N/A,FALSE,"삼진정공";#N/A,#N/A,FALSE,"영신금속";#N/A,#N/A,FALSE,"태양금속";#N/A,#N/A,FALSE,"진합정공";#N/A,#N/A,FALSE,"코리아";#N/A,#N/A,FALSE,"풍강금속";#N/A,#N/A,FALSE,"선일기계"}</definedName>
    <definedName name="출도" hidden="1">{#N/A,#N/A,FALSE,"단축1";#N/A,#N/A,FALSE,"단축2";#N/A,#N/A,FALSE,"단축3";#N/A,#N/A,FALSE,"장축";#N/A,#N/A,FALSE,"4WD"}</definedName>
    <definedName name="출로리" hidden="1">{#N/A,#N/A,FALSE,"신규dep";#N/A,#N/A,FALSE,"신규dep-금형상각후";#N/A,#N/A,FALSE,"신규dep-연구비상각후";#N/A,#N/A,FALSE,"신규dep-기계,공구상각후"}</definedName>
    <definedName name="출하" hidden="1">{#N/A,#N/A,FALSE,"96 3월물량표";#N/A,#N/A,FALSE,"96 4월물량표";#N/A,#N/A,FALSE,"96 5월물량표"}</definedName>
    <definedName name="출하검사" hidden="1">{#N/A,#N/A,FALSE,"삼진정공";#N/A,#N/A,FALSE,"영신금속";#N/A,#N/A,FALSE,"태양금속";#N/A,#N/A,FALSE,"진합정공";#N/A,#N/A,FALSE,"코리아";#N/A,#N/A,FALSE,"풍강금속";#N/A,#N/A,FALSE,"선일기계"}</definedName>
    <definedName name="출하관리" hidden="1">{#N/A,#N/A,FALSE,"단축1";#N/A,#N/A,FALSE,"단축2";#N/A,#N/A,FALSE,"단축3";#N/A,#N/A,FALSE,"장축";#N/A,#N/A,FALSE,"4WD"}</definedName>
    <definedName name="충돌" hidden="1">{#N/A,#N/A,FALSE,"단축1";#N/A,#N/A,FALSE,"단축2";#N/A,#N/A,FALSE,"단축3";#N/A,#N/A,FALSE,"장축";#N/A,#N/A,FALSE,"4WD"}</definedName>
    <definedName name="충돌현상을" hidden="1">{#N/A,#N/A,FALSE,"정공"}</definedName>
    <definedName name="충돌현상을_1" hidden="1">{#N/A,#N/A,FALSE,"정공"}</definedName>
    <definedName name="충돌현상을_2" hidden="1">{#N/A,#N/A,FALSE,"정공"}</definedName>
    <definedName name="취소" hidden="1">{#N/A,#N/A,FALSE,"단축1";#N/A,#N/A,FALSE,"단축2";#N/A,#N/A,FALSE,"단축3";#N/A,#N/A,FALSE,"장축";#N/A,#N/A,FALSE,"4WD"}</definedName>
    <definedName name="츞ㅊ퓰ㅊ휴" hidden="1">{#N/A,#N/A,FALSE,"신규dep";#N/A,#N/A,FALSE,"신규dep-금형상각후";#N/A,#N/A,FALSE,"신규dep-연구비상각후";#N/A,#N/A,FALSE,"신규dep-기계,공구상각후"}</definedName>
    <definedName name="츠츷" hidden="1">{#N/A,#N/A,FALSE,"KMC최종회의(7월) 자료"}</definedName>
    <definedName name="츠츷_1" hidden="1">{#N/A,#N/A,FALSE,"KMC최종회의(7월) 자료"}</definedName>
    <definedName name="츠츷_2" hidden="1">{#N/A,#N/A,FALSE,"KMC최종회의(7월) 자료"}</definedName>
    <definedName name="측정치" hidden="1">{#N/A,#N/A,FALSE,"단축1";#N/A,#N/A,FALSE,"단축2";#N/A,#N/A,FALSE,"단축3";#N/A,#N/A,FALSE,"장축";#N/A,#N/A,FALSE,"4WD"}</definedName>
    <definedName name="치" hidden="1">{#N/A,#N/A,TRUE,"Y생산";#N/A,#N/A,TRUE,"Y판매";#N/A,#N/A,TRUE,"Y총물량";#N/A,#N/A,TRUE,"Y능력";#N/A,#N/A,TRUE,"YKD"}</definedName>
    <definedName name="치_1" hidden="1">{#N/A,#N/A,TRUE,"Y생산";#N/A,#N/A,TRUE,"Y판매";#N/A,#N/A,TRUE,"Y총물량";#N/A,#N/A,TRUE,"Y능력";#N/A,#N/A,TRUE,"YKD"}</definedName>
    <definedName name="치이아아앙" hidden="1">{#N/A,#N/A,FALSE,"개발계획표지";#N/A,#N/A,FALSE,"목차";#N/A,#N/A,FALSE,"개요"}</definedName>
    <definedName name="ㅋ" hidden="1">{#N/A,#N/A,FALSE,"미판매분"}</definedName>
    <definedName name="ㅋ_1" hidden="1">{#N/A,#N/A,FALSE,"단축1";#N/A,#N/A,FALSE,"단축2";#N/A,#N/A,FALSE,"단축3";#N/A,#N/A,FALSE,"장축";#N/A,#N/A,FALSE,"4WD"}</definedName>
    <definedName name="ㅋ1" hidden="1">{"'7-2지역별'!$A$1:$R$44"}</definedName>
    <definedName name="ㅋ11" hidden="1">{"'7-2지역별'!$A$1:$R$44"}</definedName>
    <definedName name="ㅋ12" hidden="1">{"'7-2지역별'!$A$1:$R$44"}</definedName>
    <definedName name="ㅋ13" hidden="1">{"'7-2지역별'!$A$1:$R$44"}</definedName>
    <definedName name="ㅋ2" hidden="1">{"'7-2지역별'!$A$1:$R$44"}</definedName>
    <definedName name="ㅋ25" hidden="1">{"'7-2지역별'!$A$1:$R$44"}</definedName>
    <definedName name="ㅋ3" hidden="1">{"'7-2지역별'!$A$1:$R$44"}</definedName>
    <definedName name="ㅋ4" hidden="1">{"'7-2지역별'!$A$1:$R$44"}</definedName>
    <definedName name="ㅋ5" hidden="1">{"'7-2지역별'!$A$1:$R$44"}</definedName>
    <definedName name="ㅋ6" hidden="1">{"'7-2지역별'!$A$1:$R$44"}</definedName>
    <definedName name="ㅋ7" hidden="1">{"'7-2지역별'!$A$1:$R$44"}</definedName>
    <definedName name="ㅋ8" hidden="1">{"'7-2지역별'!$A$1:$R$44"}</definedName>
    <definedName name="ㅋ9" hidden="1">{"'7-2지역별'!$A$1:$R$44"}</definedName>
    <definedName name="ㅋㄴ" hidden="1">{#N/A,#N/A,FALSE,"단축1";#N/A,#N/A,FALSE,"단축2";#N/A,#N/A,FALSE,"단축3";#N/A,#N/A,FALSE,"장축";#N/A,#N/A,FALSE,"4WD"}</definedName>
    <definedName name="ㅋㄴㄴㅌㄴㅁㅊ" hidden="1">{#N/A,#N/A,TRUE,"Y생산";#N/A,#N/A,TRUE,"Y판매";#N/A,#N/A,TRUE,"Y총물량";#N/A,#N/A,TRUE,"Y능력";#N/A,#N/A,TRUE,"YKD"}</definedName>
    <definedName name="ㅋㄴㄹㅇ" hidden="1">{#N/A,#N/A,FALSE,"단축1";#N/A,#N/A,FALSE,"단축2";#N/A,#N/A,FALSE,"단축3";#N/A,#N/A,FALSE,"장축";#N/A,#N/A,FALSE,"4WD"}</definedName>
    <definedName name="ㅋㄹㄴ" hidden="1">{#N/A,#N/A,FALSE,"A장";#N/A,#N/A,FALSE,"B장"}</definedName>
    <definedName name="ㅋㄺ" hidden="1">{#N/A,#N/A,FALSE,"단축1";#N/A,#N/A,FALSE,"단축2";#N/A,#N/A,FALSE,"단축3";#N/A,#N/A,FALSE,"장축";#N/A,#N/A,FALSE,"4WD"}</definedName>
    <definedName name="ㅋㅇㅌ" hidden="1">{#N/A,#N/A,FALSE,"단축1";#N/A,#N/A,FALSE,"단축2";#N/A,#N/A,FALSE,"단축3";#N/A,#N/A,FALSE,"장축";#N/A,#N/A,FALSE,"4WD"}</definedName>
    <definedName name="ㅋㅇㅍ" hidden="1">{#N/A,#N/A,FALSE,"단축1";#N/A,#N/A,FALSE,"단축2";#N/A,#N/A,FALSE,"단축3";#N/A,#N/A,FALSE,"장축";#N/A,#N/A,FALSE,"4WD"}</definedName>
    <definedName name="ㅋㅇㅍ_1" hidden="1">{#N/A,#N/A,FALSE,"단축1";#N/A,#N/A,FALSE,"단축2";#N/A,#N/A,FALSE,"단축3";#N/A,#N/A,FALSE,"장축";#N/A,#N/A,FALSE,"4WD"}</definedName>
    <definedName name="ㅋㅇㅍ_2" hidden="1">{#N/A,#N/A,FALSE,"단축1";#N/A,#N/A,FALSE,"단축2";#N/A,#N/A,FALSE,"단축3";#N/A,#N/A,FALSE,"장축";#N/A,#N/A,FALSE,"4WD"}</definedName>
    <definedName name="ㅋㅋ" hidden="1">{#N/A,#N/A,FALSE,"KMC최종회의(7월) 자료"}</definedName>
    <definedName name="ㅋㅋ_1" hidden="1">{#N/A,#N/A,TRUE,"Y생산";#N/A,#N/A,TRUE,"Y판매";#N/A,#N/A,TRUE,"Y총물량";#N/A,#N/A,TRUE,"Y능력";#N/A,#N/A,TRUE,"YKD"}</definedName>
    <definedName name="ㅋㅋ_2" hidden="1">{#N/A,#N/A,TRUE,"Y생산";#N/A,#N/A,TRUE,"Y판매";#N/A,#N/A,TRUE,"Y총물량";#N/A,#N/A,TRUE,"Y능력";#N/A,#N/A,TRUE,"YKD"}</definedName>
    <definedName name="ㅋㅋ_2_1" hidden="1">{#N/A,#N/A,TRUE,"Y생산";#N/A,#N/A,TRUE,"Y판매";#N/A,#N/A,TRUE,"Y총물량";#N/A,#N/A,TRUE,"Y능력";#N/A,#N/A,TRUE,"YKD"}</definedName>
    <definedName name="ㅋㅋ_2_2" hidden="1">{#N/A,#N/A,TRUE,"Y생산";#N/A,#N/A,TRUE,"Y판매";#N/A,#N/A,TRUE,"Y총물량";#N/A,#N/A,TRUE,"Y능력";#N/A,#N/A,TRUE,"YKD"}</definedName>
    <definedName name="ㅋㅋ_2_3" hidden="1">{#N/A,#N/A,TRUE,"Y생산";#N/A,#N/A,TRUE,"Y판매";#N/A,#N/A,TRUE,"Y총물량";#N/A,#N/A,TRUE,"Y능력";#N/A,#N/A,TRUE,"YKD"}</definedName>
    <definedName name="ㅋㅋ_3" hidden="1">{#N/A,#N/A,TRUE,"Y생산";#N/A,#N/A,TRUE,"Y판매";#N/A,#N/A,TRUE,"Y총물량";#N/A,#N/A,TRUE,"Y능력";#N/A,#N/A,TRUE,"YKD"}</definedName>
    <definedName name="ㅋㅋ_3_1" hidden="1">{#N/A,#N/A,TRUE,"Y생산";#N/A,#N/A,TRUE,"Y판매";#N/A,#N/A,TRUE,"Y총물량";#N/A,#N/A,TRUE,"Y능력";#N/A,#N/A,TRUE,"YKD"}</definedName>
    <definedName name="ㅋㅋ_3_2" hidden="1">{#N/A,#N/A,TRUE,"Y생산";#N/A,#N/A,TRUE,"Y판매";#N/A,#N/A,TRUE,"Y총물량";#N/A,#N/A,TRUE,"Y능력";#N/A,#N/A,TRUE,"YKD"}</definedName>
    <definedName name="ㅋㅋ_3_3" hidden="1">{#N/A,#N/A,TRUE,"Y생산";#N/A,#N/A,TRUE,"Y판매";#N/A,#N/A,TRUE,"Y총물량";#N/A,#N/A,TRUE,"Y능력";#N/A,#N/A,TRUE,"YKD"}</definedName>
    <definedName name="ㅋㅋ_4" hidden="1">{#N/A,#N/A,TRUE,"Y생산";#N/A,#N/A,TRUE,"Y판매";#N/A,#N/A,TRUE,"Y총물량";#N/A,#N/A,TRUE,"Y능력";#N/A,#N/A,TRUE,"YKD"}</definedName>
    <definedName name="ㅋㅋ_5" hidden="1">{#N/A,#N/A,TRUE,"Y생산";#N/A,#N/A,TRUE,"Y판매";#N/A,#N/A,TRUE,"Y총물량";#N/A,#N/A,TRUE,"Y능력";#N/A,#N/A,TRUE,"YKD"}</definedName>
    <definedName name="ㅋㅋㅋ" hidden="1">{#N/A,#N/A,FALSE,"정공"}</definedName>
    <definedName name="ㅋㅋㅋㅋ" hidden="1">{#N/A,#N/A,FALSE,"KMC최종회의(7월) 자료"}</definedName>
    <definedName name="ㅋㅋㅋㅋ_1" hidden="1">{#N/A,#N/A,FALSE,"KMC최종회의(7월) 자료"}</definedName>
    <definedName name="ㅋㅋㅋㅋ_2" hidden="1">{#N/A,#N/A,FALSE,"KMC최종회의(7월) 자료"}</definedName>
    <definedName name="ㅋㅌ" hidden="1">{#N/A,#N/A,FALSE,"단축1";#N/A,#N/A,FALSE,"단축2";#N/A,#N/A,FALSE,"단축3";#N/A,#N/A,FALSE,"장축";#N/A,#N/A,FALSE,"4WD"}</definedName>
    <definedName name="ㅋㅌㅊ" hidden="1">{#N/A,#N/A,FALSE,"단축1";#N/A,#N/A,FALSE,"단축2";#N/A,#N/A,FALSE,"단축3";#N/A,#N/A,FALSE,"장축";#N/A,#N/A,FALSE,"4WD"}</definedName>
    <definedName name="카" hidden="1">{#N/A,#N/A,FALSE,"단축1";#N/A,#N/A,FALSE,"단축2";#N/A,#N/A,FALSE,"단축3";#N/A,#N/A,FALSE,"장축";#N/A,#N/A,FALSE,"4WD"}</definedName>
    <definedName name="카나다" hidden="1">{#N/A,#N/A,FALSE,"단축1";#N/A,#N/A,FALSE,"단축2";#N/A,#N/A,FALSE,"단축3";#N/A,#N/A,FALSE,"장축";#N/A,#N/A,FALSE,"4WD"}</definedName>
    <definedName name="카니발연료누유" hidden="1">#REF!</definedName>
    <definedName name="카렌" hidden="1">{#N/A,#N/A,TRUE,"Y생산";#N/A,#N/A,TRUE,"Y판매";#N/A,#N/A,TRUE,"Y총물량";#N/A,#N/A,TRUE,"Y능력";#N/A,#N/A,TRUE,"YKD"}</definedName>
    <definedName name="카렌스" hidden="1">{#N/A,#N/A,FALSE,"단축1";#N/A,#N/A,FALSE,"단축2";#N/A,#N/A,FALSE,"단축3";#N/A,#N/A,FALSE,"장축";#N/A,#N/A,FALSE,"4WD"}</definedName>
    <definedName name="카메라" hidden="1">{#N/A,#N/A,FALSE,"단축1";#N/A,#N/A,FALSE,"단축2";#N/A,#N/A,FALSE,"단축3";#N/A,#N/A,FALSE,"장축";#N/A,#N/A,FALSE,"4WD"}</definedName>
    <definedName name="카메라_1" hidden="1">{#N/A,#N/A,FALSE,"단축1";#N/A,#N/A,FALSE,"단축2";#N/A,#N/A,FALSE,"단축3";#N/A,#N/A,FALSE,"장축";#N/A,#N/A,FALSE,"4WD"}</definedName>
    <definedName name="카메라2" hidden="1">{#N/A,#N/A,FALSE,"단축1";#N/A,#N/A,FALSE,"단축2";#N/A,#N/A,FALSE,"단축3";#N/A,#N/A,FALSE,"장축";#N/A,#N/A,FALSE,"4WD"}</definedName>
    <definedName name="카메라업무분장" hidden="1">{#N/A,#N/A,FALSE,"단축1";#N/A,#N/A,FALSE,"단축2";#N/A,#N/A,FALSE,"단축3";#N/A,#N/A,FALSE,"장축";#N/A,#N/A,FALSE,"4WD"}</definedName>
    <definedName name="카스코" hidden="1">{#N/A,#N/A,FALSE,"KMC최종회의(7월) 자료"}</definedName>
    <definedName name="카스코_1" hidden="1">{#N/A,#N/A,FALSE,"KMC최종회의(7월) 자료"}</definedName>
    <definedName name="카스코_2" hidden="1">{#N/A,#N/A,FALSE,"KMC최종회의(7월) 자료"}</definedName>
    <definedName name="카스코15" hidden="1">{#N/A,#N/A,TRUE,"Y생산";#N/A,#N/A,TRUE,"Y판매";#N/A,#N/A,TRUE,"Y총물량";#N/A,#N/A,TRUE,"Y능력";#N/A,#N/A,TRUE,"YKD"}</definedName>
    <definedName name="카스코2" hidden="1">{#N/A,#N/A,TRUE,"Y생산";#N/A,#N/A,TRUE,"Y판매";#N/A,#N/A,TRUE,"Y총물량";#N/A,#N/A,TRUE,"Y능력";#N/A,#N/A,TRUE,"YKD"}</definedName>
    <definedName name="카스코3" hidden="1">{#N/A,#N/A,TRUE,"Y생산";#N/A,#N/A,TRUE,"Y판매";#N/A,#N/A,TRUE,"Y총물량";#N/A,#N/A,TRUE,"Y능력";#N/A,#N/A,TRUE,"YKD"}</definedName>
    <definedName name="카스코견적서3" hidden="1">{#N/A,#N/A,TRUE,"Y생산";#N/A,#N/A,TRUE,"Y판매";#N/A,#N/A,TRUE,"Y총물량";#N/A,#N/A,TRUE,"Y능력";#N/A,#N/A,TRUE,"YKD"}</definedName>
    <definedName name="카카카카카카카카카카카카카카카카카카카카카카카카카캌카카카" hidden="1">{#N/A,#N/A,FALSE,"KMC최종회의(7월) 자료"}</definedName>
    <definedName name="칵핏" hidden="1">{#N/A,#N/A,FALSE,"단축1";#N/A,#N/A,FALSE,"단축2";#N/A,#N/A,FALSE,"단축3";#N/A,#N/A,FALSE,"장축";#N/A,#N/A,FALSE,"4WD"}</definedName>
    <definedName name="캐나다" hidden="1">{#N/A,#N/A,TRUE,"Y생산";#N/A,#N/A,TRUE,"Y판매";#N/A,#N/A,TRUE,"Y총물량";#N/A,#N/A,TRUE,"Y능력";#N/A,#N/A,TRUE,"YKD"}</definedName>
    <definedName name="캐나다_1" hidden="1">{#N/A,#N/A,TRUE,"Y생산";#N/A,#N/A,TRUE,"Y판매";#N/A,#N/A,TRUE,"Y총물량";#N/A,#N/A,TRUE,"Y능력";#N/A,#N/A,TRUE,"YKD"}</definedName>
    <definedName name="캠" hidden="1">{#N/A,#N/A,FALSE,"단축1";#N/A,#N/A,FALSE,"단축2";#N/A,#N/A,FALSE,"단축3";#N/A,#N/A,FALSE,"장축";#N/A,#N/A,FALSE,"4WD"}</definedName>
    <definedName name="컬" hidden="1">{#N/A,#N/A,FALSE,"신규dep";#N/A,#N/A,FALSE,"신규dep-금형상각후";#N/A,#N/A,FALSE,"신규dep-연구비상각후";#N/A,#N/A,FALSE,"신규dep-기계,공구상각후"}</definedName>
    <definedName name="케이스" hidden="1">{#N/A,#N/A,FALSE,"단축1";#N/A,#N/A,FALSE,"단축2";#N/A,#N/A,FALSE,"단축3";#N/A,#N/A,FALSE,"장축";#N/A,#N/A,FALSE,"4WD"}</definedName>
    <definedName name="코스트" hidden="1">{#N/A,#N/A,FALSE,"협조전";#N/A,#N/A,FALSE,"원가절감계획 ";#N/A,#N/A,FALSE,"항목별원가절감계획"}</definedName>
    <definedName name="콘도" hidden="1">#REF!</definedName>
    <definedName name="쿠페" hidden="1">{#N/A,#N/A,FALSE,"을지 (4)";#N/A,#N/A,FALSE,"을지 (5)";#N/A,#N/A,FALSE,"을지 (6)"}</definedName>
    <definedName name="크" hidden="1">{#N/A,#N/A,FALSE,"단축1";#N/A,#N/A,FALSE,"단축2";#N/A,#N/A,FALSE,"단축3";#N/A,#N/A,FALSE,"장축";#N/A,#N/A,FALSE,"4WD"}</definedName>
    <definedName name="크_1" hidden="1">{#N/A,#N/A,FALSE,"단축1";#N/A,#N/A,FALSE,"단축2";#N/A,#N/A,FALSE,"단축3";#N/A,#N/A,FALSE,"장축";#N/A,#N/A,FALSE,"4WD"}</definedName>
    <definedName name="크랑" hidden="1">{#N/A,#N/A,FALSE,"단축1";#N/A,#N/A,FALSE,"단축2";#N/A,#N/A,FALSE,"단축3";#N/A,#N/A,FALSE,"장축";#N/A,#N/A,FALSE,"4WD"}</definedName>
    <definedName name="크랑_1" hidden="1">{#N/A,#N/A,FALSE,"단축1";#N/A,#N/A,FALSE,"단축2";#N/A,#N/A,FALSE,"단축3";#N/A,#N/A,FALSE,"장축";#N/A,#N/A,FALSE,"4WD"}</definedName>
    <definedName name="크랑_2" hidden="1">{#N/A,#N/A,FALSE,"단축1";#N/A,#N/A,FALSE,"단축2";#N/A,#N/A,FALSE,"단축3";#N/A,#N/A,FALSE,"장축";#N/A,#N/A,FALSE,"4WD"}</definedName>
    <definedName name="크랑크" hidden="1">{#N/A,#N/A,FALSE,"단축1";#N/A,#N/A,FALSE,"단축2";#N/A,#N/A,FALSE,"단축3";#N/A,#N/A,FALSE,"장축";#N/A,#N/A,FALSE,"4WD"}</definedName>
    <definedName name="크창라" hidden="1">{#N/A,#N/A,FALSE,"단축1";#N/A,#N/A,FALSE,"단축2";#N/A,#N/A,FALSE,"단축3";#N/A,#N/A,FALSE,"장축";#N/A,#N/A,FALSE,"4WD"}</definedName>
    <definedName name="키키" hidden="1">{"'7-2지역별'!$A$1:$R$44"}</definedName>
    <definedName name="키키키키카캌카카카카카카카카카카카카카카카카카카카카카카카카카카카카카카카카카카카카카카카카카카카카캌" hidden="1">{#N/A,#N/A,FALSE,"KMC최종회의(7월) 자료"}</definedName>
    <definedName name="키키키키카캌카카카카카카카카카카카카카카카카카카카카카카카카카카카카카카카카카카카카카카카카카카카카캌_1" hidden="1">{#N/A,#N/A,FALSE,"KMC최종회의(7월) 자료"}</definedName>
    <definedName name="키프코" hidden="1">{#N/A,#N/A,FALSE,"해외크레임";#N/A,#N/A,FALSE,"ACCENT현황";#N/A,#N/A,FALSE,"AVANTE";#N/A,#N/A,FALSE,"SONATA(3)";#N/A,#N/A,FALSE,"국내크레임"}</definedName>
    <definedName name="키플코" hidden="1">{#N/A,#N/A,FALSE,"을지 (4)";#N/A,#N/A,FALSE,"을지 (5)";#N/A,#N/A,FALSE,"을지 (6)"}</definedName>
    <definedName name="ㅌ" hidden="1">{#N/A,#N/A,FALSE,"단축1";#N/A,#N/A,FALSE,"단축2";#N/A,#N/A,FALSE,"단축3";#N/A,#N/A,FALSE,"장축";#N/A,#N/A,FALSE,"4WD"}</definedName>
    <definedName name="ㅌ_1" hidden="1">{#N/A,#N/A,FALSE,"단축1";#N/A,#N/A,FALSE,"단축2";#N/A,#N/A,FALSE,"단축3";#N/A,#N/A,FALSE,"장축";#N/A,#N/A,FALSE,"4WD"}</definedName>
    <definedName name="ㅌ2" hidden="1">#REF!</definedName>
    <definedName name="ㅌ23" hidden="1">#REF!</definedName>
    <definedName name="ㅌ4" hidden="1">{"'7-2지역별'!$A$1:$R$44"}</definedName>
    <definedName name="ㅌ6" hidden="1">{"'7-2지역별'!$A$1:$R$44"}</definedName>
    <definedName name="ㅌ764" hidden="1">{"'7-2지역별'!$A$1:$R$44"}</definedName>
    <definedName name="ㅌ8" hidden="1">#REF!</definedName>
    <definedName name="ㅌㄴ" hidden="1">{#N/A,#N/A,FALSE,"정공"}</definedName>
    <definedName name="ㅌㄴㅁ" hidden="1">{#N/A,#N/A,FALSE,"KMC최종회의(7월) 자료"}</definedName>
    <definedName name="ㅌㄴㅁ_1" hidden="1">{#N/A,#N/A,FALSE,"KMC최종회의(7월) 자료"}</definedName>
    <definedName name="ㅌㄴㅁㅁ" hidden="1">{#N/A,#N/A,FALSE,"KMC최종회의(7월) 자료"}</definedName>
    <definedName name="ㅌㄴㅁㅁ_1" hidden="1">{#N/A,#N/A,FALSE,"KMC최종회의(7월) 자료"}</definedName>
    <definedName name="ㅌㄴㅁㅈ" hidden="1">{#N/A,#N/A,FALSE,"KMC최종회의(7월) 자료"}</definedName>
    <definedName name="ㅌㄴㅁㅈ_1" hidden="1">{#N/A,#N/A,FALSE,"KMC최종회의(7월) 자료"}</definedName>
    <definedName name="ㅌㄴㅇ" hidden="1">{#N/A,#N/A,FALSE,"단축1";#N/A,#N/A,FALSE,"단축2";#N/A,#N/A,FALSE,"단축3";#N/A,#N/A,FALSE,"장축";#N/A,#N/A,FALSE,"4WD"}</definedName>
    <definedName name="ㅌㄴㅇ_1" hidden="1">{#N/A,#N/A,FALSE,"단축1";#N/A,#N/A,FALSE,"단축2";#N/A,#N/A,FALSE,"단축3";#N/A,#N/A,FALSE,"장축";#N/A,#N/A,FALSE,"4WD"}</definedName>
    <definedName name="ㅌㄴㅊㅇ퓨ㅜㅡ" hidden="1">{#N/A,#N/A,FALSE,"단축1";#N/A,#N/A,FALSE,"단축2";#N/A,#N/A,FALSE,"단축3";#N/A,#N/A,FALSE,"장축";#N/A,#N/A,FALSE,"4WD"}</definedName>
    <definedName name="ㅌㄵ" hidden="1">{#N/A,#N/A,FALSE,"KMC최종회의(7월) 자료"}</definedName>
    <definedName name="ㅌㄵ_1" hidden="1">{#N/A,#N/A,FALSE,"KMC최종회의(7월) 자료"}</definedName>
    <definedName name="ㅌㄹㅇ" hidden="1">{#N/A,#N/A,FALSE,"단축1";#N/A,#N/A,FALSE,"단축2";#N/A,#N/A,FALSE,"단축3";#N/A,#N/A,FALSE,"장축";#N/A,#N/A,FALSE,"4WD"}</definedName>
    <definedName name="ㅌㅇ로" hidden="1">{#N/A,#N/A,FALSE,"단축1";#N/A,#N/A,FALSE,"단축2";#N/A,#N/A,FALSE,"단축3";#N/A,#N/A,FALSE,"장축";#N/A,#N/A,FALSE,"4WD"}</definedName>
    <definedName name="ㅌㅇㅍㅊㅍㅎ" hidden="1">{#N/A,#N/A,FALSE,"96 3월물량표";#N/A,#N/A,FALSE,"96 4월물량표";#N/A,#N/A,FALSE,"96 5월물량표"}</definedName>
    <definedName name="ㅌㅊ" hidden="1">{#N/A,#N/A,FALSE,"단축1";#N/A,#N/A,FALSE,"단축2";#N/A,#N/A,FALSE,"단축3";#N/A,#N/A,FALSE,"장축";#N/A,#N/A,FALSE,"4WD"}</definedName>
    <definedName name="ㅌㅊㅌㅊㅊㅌㅊㅌㅊㅌㅊ" hidden="1">{#N/A,#N/A,FALSE,"KMC최종회의(7월) 자료"}</definedName>
    <definedName name="ㅌ츄츄ㅌㅊ"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ㅌㅌ" hidden="1">{#N/A,#N/A,FALSE,"KMC최종회의(7월) 자료"}</definedName>
    <definedName name="ㅌㅌ_1" hidden="1">{#N/A,#N/A,FALSE,"KMC최종회의(7월) 자료"}</definedName>
    <definedName name="ㅌㅌ_2" hidden="1">{#N/A,#N/A,FALSE,"KMC최종회의(7월) 자료"}</definedName>
    <definedName name="ㅌㅌㅌ" hidden="1">{#N/A,#N/A,FALSE,"단축1";#N/A,#N/A,FALSE,"단축2";#N/A,#N/A,FALSE,"단축3";#N/A,#N/A,FALSE,"장축";#N/A,#N/A,FALSE,"4WD"}</definedName>
    <definedName name="ㅌㅌㅌㅌ" hidden="1">{#N/A,#N/A,FALSE,"단축1";#N/A,#N/A,FALSE,"단축2";#N/A,#N/A,FALSE,"단축3";#N/A,#N/A,FALSE,"장축";#N/A,#N/A,FALSE,"4WD"}</definedName>
    <definedName name="ㅌㅍ류" hidden="1">{#N/A,#N/A,FALSE,"단축1";#N/A,#N/A,FALSE,"단축2";#N/A,#N/A,FALSE,"단축3";#N/A,#N/A,FALSE,"장축";#N/A,#N/A,FALSE,"4WD"}</definedName>
    <definedName name="ㅌㅍㅇ로ㅡ" hidden="1">{#N/A,#N/A,FALSE,"단축1";#N/A,#N/A,FALSE,"단축2";#N/A,#N/A,FALSE,"단축3";#N/A,#N/A,FALSE,"장축";#N/A,#N/A,FALSE,"4WD"}</definedName>
    <definedName name="타" hidden="1">{#N/A,#N/A,TRUE,"Y생산";#N/A,#N/A,TRUE,"Y판매";#N/A,#N/A,TRUE,"Y총물량";#N/A,#N/A,TRUE,"Y능력";#N/A,#N/A,TRUE,"YKD"}</definedName>
    <definedName name="타_1" hidden="1">{#N/A,#N/A,TRUE,"Y생산";#N/A,#N/A,TRUE,"Y판매";#N/A,#N/A,TRUE,"Y총물량";#N/A,#N/A,TRUE,"Y능력";#N/A,#N/A,TRUE,"YKD"}</definedName>
    <definedName name="타다라다" hidden="1">{"'5'!$A$1:$BB$147"}</definedName>
    <definedName name="타다라라" hidden="1">{"'5'!$A$1:$BB$147"}</definedName>
    <definedName name="타사부품비교분석" hidden="1">{#N/A,#N/A,FALSE,"단축1";#N/A,#N/A,FALSE,"단축2";#N/A,#N/A,FALSE,"단축3";#N/A,#N/A,FALSE,"장축";#N/A,#N/A,FALSE,"4WD"}</definedName>
    <definedName name="타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타" hidden="1">{#N/A,#N/A,FALSE,"단축1";#N/A,#N/A,FALSE,"단축2";#N/A,#N/A,FALSE,"단축3";#N/A,#N/A,FALSE,"장축";#N/A,#N/A,FALSE,"4WD"}</definedName>
    <definedName name="타타타타타티티티티티티티티티티티타타타타타타타타타타타타타탙타타타타타타타타타타타타타타타타타탙" hidden="1">{#N/A,#N/A,FALSE,"KMC최종회의(7월) 자료"}</definedName>
    <definedName name="타타타타타티티티티티티티티티티티타타타타타타타타타타타타타탙타타타타타타타타타타타타타타타타타탙_1" hidden="1">{#N/A,#N/A,FALSE,"KMC최종회의(7월) 자료"}</definedName>
    <definedName name="탑재" hidden="1">{"'매출계획'!$D$2"}</definedName>
    <definedName name="터너" hidden="1">{#N/A,#N/A,FALSE,"단축1";#N/A,#N/A,FALSE,"단축2";#N/A,#N/A,FALSE,"단축3";#N/A,#N/A,FALSE,"장축";#N/A,#N/A,FALSE,"4WD"}</definedName>
    <definedName name="테" hidden="1">{#N/A,#N/A,FALSE,"단축1";#N/A,#N/A,FALSE,"단축2";#N/A,#N/A,FALSE,"단축3";#N/A,#N/A,FALSE,"장축";#N/A,#N/A,FALSE,"4WD"}</definedName>
    <definedName name="테1" hidden="1">{#N/A,#N/A,FALSE,"단축1";#N/A,#N/A,FALSE,"단축2";#N/A,#N/A,FALSE,"단축3";#N/A,#N/A,FALSE,"장축";#N/A,#N/A,FALSE,"4WD"}</definedName>
    <definedName name="테스트" hidden="1">{#N/A,#N/A,FALSE,"현대기술상추천서(2-1)";#N/A,#N/A,FALSE,"2-2";#N/A,#N/A,FALSE,"2-3";#N/A,#N/A,FALSE,"서식2-4";#N/A,#N/A,FALSE,"(2-5)";#N/A,#N/A,FALSE,"(2-6)";#N/A,#N/A,FALSE,"(2-7)"}</definedName>
    <definedName name="텔타CB" hidden="1">{#N/A,#N/A,FALSE,"단축1";#N/A,#N/A,FALSE,"단축2";#N/A,#N/A,FALSE,"단축3";#N/A,#N/A,FALSE,"장축";#N/A,#N/A,FALSE,"4WD"}</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통합1자아장" hidden="1">{#N/A,#N/A,FALSE,"단축1";#N/A,#N/A,FALSE,"단축2";#N/A,#N/A,FALSE,"단축3";#N/A,#N/A,FALSE,"장축";#N/A,#N/A,FALSE,"4WD"}</definedName>
    <definedName name="통합1장" hidden="1">{#N/A,#N/A,FALSE,"단축1";#N/A,#N/A,FALSE,"단축2";#N/A,#N/A,FALSE,"단축3";#N/A,#N/A,FALSE,"장축";#N/A,#N/A,FALSE,"4WD"}</definedName>
    <definedName name="통합1장_1" hidden="1">{#N/A,#N/A,FALSE,"단축1";#N/A,#N/A,FALSE,"단축2";#N/A,#N/A,FALSE,"단축3";#N/A,#N/A,FALSE,"장축";#N/A,#N/A,FALSE,"4WD"}</definedName>
    <definedName name="통합1장_2" hidden="1">{#N/A,#N/A,FALSE,"단축1";#N/A,#N/A,FALSE,"단축2";#N/A,#N/A,FALSE,"단축3";#N/A,#N/A,FALSE,"장축";#N/A,#N/A,FALSE,"4WD"}</definedName>
    <definedName name="통합제어" hidden="1">{#N/A,#N/A,FALSE,"1.참가신청";#N/A,#N/A,FALSE,"2.개발성과";#N/A,#N/A,FALSE,"3.활용현황";#N/A,#N/A,FALSE,"4.상호명";#N/A,#N/A,FALSE,"5.포상신청";#N/A,#N/A,FALSE,"산업재산권";#N/A,#N/A,FALSE,"산출내역";#N/A,#N/A,FALSE,"인적사항"}</definedName>
    <definedName name="투" hidden="1">{#N/A,#N/A,TRUE,"일정"}</definedName>
    <definedName name="투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_2000년초" hidden="1">{#N/A,#N/A,FALSE,"단축1";#N/A,#N/A,FALSE,"단축2";#N/A,#N/A,FALSE,"단축3";#N/A,#N/A,FALSE,"장축";#N/A,#N/A,FALSE,"4WD"}</definedName>
    <definedName name="투자3" hidden="1">#REF!</definedName>
    <definedName name="투자CONC.182억" hidden="1">{#N/A,#N/A,FALSE,"단축1";#N/A,#N/A,FALSE,"단축2";#N/A,#N/A,FALSE,"단축3";#N/A,#N/A,FALSE,"장축";#N/A,#N/A,FALSE,"4WD"}</definedName>
    <definedName name="투자CONC.182억_1" hidden="1">{#N/A,#N/A,FALSE,"단축1";#N/A,#N/A,FALSE,"단축2";#N/A,#N/A,FALSE,"단축3";#N/A,#N/A,FALSE,"장축";#N/A,#N/A,FALSE,"4WD"}</definedName>
    <definedName name="투자CONC.182억_2" hidden="1">{#N/A,#N/A,FALSE,"단축1";#N/A,#N/A,FALSE,"단축2";#N/A,#N/A,FALSE,"단축3";#N/A,#N/A,FALSE,"장축";#N/A,#N/A,FALSE,"4WD"}</definedName>
    <definedName name="투자TOT" hidden="1">{#N/A,#N/A,FALSE,"Aging Summary";#N/A,#N/A,FALSE,"Ratio Analysis";#N/A,#N/A,FALSE,"Test 120 Day Accts";#N/A,#N/A,FALSE,"Tickmarks"}</definedName>
    <definedName name="투자감소분" hidden="1">{#N/A,#N/A,FALSE,"단축1";#N/A,#N/A,FALSE,"단축2";#N/A,#N/A,FALSE,"단축3";#N/A,#N/A,FALSE,"장축";#N/A,#N/A,FALSE,"4WD"}</definedName>
    <definedName name="투자개요2005" hidden="1">{#N/A,#N/A,TRUE,"일정"}</definedName>
    <definedName name="투자계획종합" hidden="1">#REF!</definedName>
    <definedName name="투자구분" hidden="1">{#N/A,#N/A,TRUE,"Y생산";#N/A,#N/A,TRUE,"Y판매";#N/A,#N/A,TRUE,"Y총물량";#N/A,#N/A,TRUE,"Y능력";#N/A,#N/A,TRUE,"YKD"}</definedName>
    <definedName name="투자구분_1" hidden="1">{#N/A,#N/A,TRUE,"Y생산";#N/A,#N/A,TRUE,"Y판매";#N/A,#N/A,TRUE,"Y총물량";#N/A,#N/A,TRUE,"Y능력";#N/A,#N/A,TRUE,"YKD"}</definedName>
    <definedName name="투자금액1" hidden="1">{#N/A,#N/A,FALSE,"단축1";#N/A,#N/A,FALSE,"단축2";#N/A,#N/A,FALSE,"단축3";#N/A,#N/A,FALSE,"장축";#N/A,#N/A,FALSE,"4WD"}</definedName>
    <definedName name="투자금액1_1" hidden="1">{#N/A,#N/A,FALSE,"단축1";#N/A,#N/A,FALSE,"단축2";#N/A,#N/A,FALSE,"단축3";#N/A,#N/A,FALSE,"장축";#N/A,#N/A,FALSE,"4WD"}</definedName>
    <definedName name="투자대상" hidden="1">{#N/A,#N/A,FALSE,"단축1";#N/A,#N/A,FALSE,"단축2";#N/A,#N/A,FALSE,"단축3";#N/A,#N/A,FALSE,"장축";#N/A,#N/A,FALSE,"4WD"}</definedName>
    <definedName name="투자대상_1" hidden="1">{#N/A,#N/A,FALSE,"단축1";#N/A,#N/A,FALSE,"단축2";#N/A,#N/A,FALSE,"단축3";#N/A,#N/A,FALSE,"장축";#N/A,#N/A,FALSE,"4WD"}</definedName>
    <definedName name="투자비"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000_1" hidden="1">{#N/A,#N/A,FALSE,"단축1";#N/A,#N/A,FALSE,"단축2";#N/A,#N/A,FALSE,"단축3";#N/A,#N/A,FALSE,"장축";#N/A,#N/A,FALSE,"4WD"}</definedName>
    <definedName name="투자비000_2" hidden="1">{#N/A,#N/A,FALSE,"단축1";#N/A,#N/A,FALSE,"단축2";#N/A,#N/A,FALSE,"단축3";#N/A,#N/A,FALSE,"장축";#N/A,#N/A,FALSE,"4WD"}</definedName>
    <definedName name="투자비001" hidden="1">{#N/A,#N/A,FALSE,"단축1";#N/A,#N/A,FALSE,"단축2";#N/A,#N/A,FALSE,"단축3";#N/A,#N/A,FALSE,"장축";#N/A,#N/A,FALSE,"4WD"}</definedName>
    <definedName name="투자비2"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3안_1" hidden="1">{#N/A,#N/A,FALSE,"단축1";#N/A,#N/A,FALSE,"단축2";#N/A,#N/A,FALSE,"단축3";#N/A,#N/A,FALSE,"장축";#N/A,#N/A,FALSE,"4WD"}</definedName>
    <definedName name="투자비검토" hidden="1">{#N/A,#N/A,FALSE,"단축1";#N/A,#N/A,FALSE,"단축2";#N/A,#N/A,FALSE,"단축3";#N/A,#N/A,FALSE,"장축";#N/A,#N/A,FALSE,"4WD"}</definedName>
    <definedName name="투자비검토_1" hidden="1">{#N/A,#N/A,FALSE,"단축1";#N/A,#N/A,FALSE,"단축2";#N/A,#N/A,FALSE,"단축3";#N/A,#N/A,FALSE,"장축";#N/A,#N/A,FALSE,"4WD"}</definedName>
    <definedName name="투자비내역2" hidden="1">{#N/A,#N/A,FALSE,"단축1";#N/A,#N/A,FALSE,"단축2";#N/A,#N/A,FALSE,"단축3";#N/A,#N/A,FALSE,"장축";#N/A,#N/A,FALSE,"4WD"}</definedName>
    <definedName name="투자비내역2_1" hidden="1">{#N/A,#N/A,FALSE,"단축1";#N/A,#N/A,FALSE,"단축2";#N/A,#N/A,FALSE,"단축3";#N/A,#N/A,FALSE,"장축";#N/A,#N/A,FALSE,"4WD"}</definedName>
    <definedName name="투자비복" hidden="1">{#N/A,#N/A,FALSE,"단축1";#N/A,#N/A,FALSE,"단축2";#N/A,#N/A,FALSE,"단축3";#N/A,#N/A,FALSE,"장축";#N/A,#N/A,FALSE,"4WD"}</definedName>
    <definedName name="투자비비교" hidden="1">{#N/A,#N/A,FALSE,"단축1";#N/A,#N/A,FALSE,"단축2";#N/A,#N/A,FALSE,"단축3";#N/A,#N/A,FALSE,"장축";#N/A,#N/A,FALSE,"4WD"}</definedName>
    <definedName name="투자비비교_1" hidden="1">{#N/A,#N/A,FALSE,"단축1";#N/A,#N/A,FALSE,"단축2";#N/A,#N/A,FALSE,"단축3";#N/A,#N/A,FALSE,"장축";#N/A,#N/A,FALSE,"4WD"}</definedName>
    <definedName name="투자비비교_2" hidden="1">{#N/A,#N/A,FALSE,"단축1";#N/A,#N/A,FALSE,"단축2";#N/A,#N/A,FALSE,"단축3";#N/A,#N/A,FALSE,"장축";#N/A,#N/A,FALSE,"4WD"}</definedName>
    <definedName name="투자비실적" hidden="1">{#N/A,#N/A,FALSE,"단축1";#N/A,#N/A,FALSE,"단축2";#N/A,#N/A,FALSE,"단축3";#N/A,#N/A,FALSE,"장축";#N/A,#N/A,FALSE,"4WD"}</definedName>
    <definedName name="투자비실적_1" hidden="1">{#N/A,#N/A,FALSE,"단축1";#N/A,#N/A,FALSE,"단축2";#N/A,#N/A,FALSE,"단축3";#N/A,#N/A,FALSE,"장축";#N/A,#N/A,FALSE,"4WD"}</definedName>
    <definedName name="투자비실적_2" hidden="1">{#N/A,#N/A,FALSE,"단축1";#N/A,#N/A,FALSE,"단축2";#N/A,#N/A,FALSE,"단축3";#N/A,#N/A,FALSE,"장축";#N/A,#N/A,FALSE,"4WD"}</definedName>
    <definedName name="투자비종합" hidden="1">{#N/A,#N/A,FALSE,"단축1";#N/A,#N/A,FALSE,"단축2";#N/A,#N/A,FALSE,"단축3";#N/A,#N/A,FALSE,"장축";#N/A,#N/A,FALSE,"4WD"}</definedName>
    <definedName name="투자사업개요서" hidden="1">{#N/A,#N/A,TRUE,"일정"}</definedName>
    <definedName name="투자사업개요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세부" hidden="1">{#N/A,#N/A,FALSE,"단축1";#N/A,#N/A,FALSE,"단축2";#N/A,#N/A,FALSE,"단축3";#N/A,#N/A,FALSE,"장축";#N/A,#N/A,FALSE,"4WD"}</definedName>
    <definedName name="투자예산2" hidden="1">{#N/A,#N/A,FALSE,"단축1";#N/A,#N/A,FALSE,"단축2";#N/A,#N/A,FALSE,"단축3";#N/A,#N/A,FALSE,"장축";#N/A,#N/A,FALSE,"4WD"}</definedName>
    <definedName name="투자지출CAS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트라제년간분석" hidden="1">{#N/A,#N/A,TRUE,"Y생산";#N/A,#N/A,TRUE,"Y판매";#N/A,#N/A,TRUE,"Y총물량";#N/A,#N/A,TRUE,"Y능력";#N/A,#N/A,TRUE,"YKD"}</definedName>
    <definedName name="트라제외장" hidden="1">{#N/A,#N/A,FALSE,"단축1";#N/A,#N/A,FALSE,"단축2";#N/A,#N/A,FALSE,"단축3";#N/A,#N/A,FALSE,"장축";#N/A,#N/A,FALSE,"4WD"}</definedName>
    <definedName name="트럭상차" hidden="1">{#N/A,#N/A,FALSE,"단축1";#N/A,#N/A,FALSE,"단축2";#N/A,#N/A,FALSE,"단축3";#N/A,#N/A,FALSE,"장축";#N/A,#N/A,FALSE,"4WD"}</definedName>
    <definedName name="트럭차체부" hidden="1">{#N/A,#N/A,TRUE,"Y생산";#N/A,#N/A,TRUE,"Y판매";#N/A,#N/A,TRUE,"Y총물량";#N/A,#N/A,TRUE,"Y능력";#N/A,#N/A,TRUE,"YKD"}</definedName>
    <definedName name="트럭차체부_1" hidden="1">{#N/A,#N/A,TRUE,"Y생산";#N/A,#N/A,TRUE,"Y판매";#N/A,#N/A,TRUE,"Y총물량";#N/A,#N/A,TRUE,"Y능력";#N/A,#N/A,TRUE,"YKD"}</definedName>
    <definedName name="트럭차체부1" hidden="1">{#N/A,#N/A,TRUE,"Y생산";#N/A,#N/A,TRUE,"Y판매";#N/A,#N/A,TRUE,"Y총물량";#N/A,#N/A,TRUE,"Y능력";#N/A,#N/A,TRUE,"YKD"}</definedName>
    <definedName name="트럭차체부1_1" hidden="1">{#N/A,#N/A,TRUE,"Y생산";#N/A,#N/A,TRUE,"Y판매";#N/A,#N/A,TRUE,"Y총물량";#N/A,#N/A,TRUE,"Y능력";#N/A,#N/A,TRUE,"YKD"}</definedName>
    <definedName name="트로이젠" hidden="1">{#N/A,#N/A,FALSE,"미판매분"}</definedName>
    <definedName name="트로이젠_1" hidden="1">{#N/A,#N/A,FALSE,"미판매분"}</definedName>
    <definedName name="트트틑" hidden="1">{#N/A,#N/A,FALSE,"KMC최종회의(7월) 자료"}</definedName>
    <definedName name="트트틑_1" hidden="1">{#N/A,#N/A,FALSE,"KMC최종회의(7월) 자료"}</definedName>
    <definedName name="트트틑_2" hidden="1">{#N/A,#N/A,FALSE,"KMC최종회의(7월) 자료"}</definedName>
    <definedName name="트ㅗㅎ호" hidden="1">{#N/A,#N/A,FALSE,"KMC최종회의(7월) 자료"}</definedName>
    <definedName name="트ㅗㅎ호_1" hidden="1">{#N/A,#N/A,FALSE,"KMC최종회의(7월) 자료"}</definedName>
    <definedName name="특" hidden="1">{#N/A,#N/A,FALSE,"KMC최종회의(7월) 자료"}</definedName>
    <definedName name="특_1" hidden="1">{#N/A,#N/A,FALSE,"KMC최종회의(7월) 자료"}</definedName>
    <definedName name="특_2" hidden="1">{#N/A,#N/A,FALSE,"KMC최종회의(7월) 자료"}</definedName>
    <definedName name="특수강" hidden="1">{#N/A,#N/A,TRUE,"Y생산";#N/A,#N/A,TRUE,"Y판매";#N/A,#N/A,TRUE,"Y총물량";#N/A,#N/A,TRUE,"Y능력";#N/A,#N/A,TRUE,"YKD"}</definedName>
    <definedName name="티는ㄴㄴㄴ" hidden="1">#REF!</definedName>
    <definedName name="티엠" hidden="1">{#N/A,#N/A,FALSE,"단축1";#N/A,#N/A,FALSE,"단축2";#N/A,#N/A,FALSE,"단축3";#N/A,#N/A,FALSE,"장축";#N/A,#N/A,FALSE,"4WD"}</definedName>
    <definedName name="티엠_1" hidden="1">{#N/A,#N/A,FALSE,"단축1";#N/A,#N/A,FALSE,"단축2";#N/A,#N/A,FALSE,"단축3";#N/A,#N/A,FALSE,"장축";#N/A,#N/A,FALSE,"4WD"}</definedName>
    <definedName name="ㅍ" hidden="1">{#N/A,#N/A,FALSE,"단축1";#N/A,#N/A,FALSE,"단축2";#N/A,#N/A,FALSE,"단축3";#N/A,#N/A,FALSE,"장축";#N/A,#N/A,FALSE,"4WD"}</definedName>
    <definedName name="ㅍ_1" hidden="1">{#N/A,#N/A,FALSE,"표지";#N/A,#N/A,FALSE,"전제";#N/A,#N/A,FALSE,"대당";#N/A,#N/A,FALSE,"가공비";#N/A,#N/A,FALSE,"재료비";#N/A,#N/A,FALSE,"손익"}</definedName>
    <definedName name="ㅍ_2" hidden="1">{#N/A,#N/A,FALSE,"표지";#N/A,#N/A,FALSE,"전제";#N/A,#N/A,FALSE,"대당";#N/A,#N/A,FALSE,"가공비";#N/A,#N/A,FALSE,"재료비";#N/A,#N/A,FALSE,"손익"}</definedName>
    <definedName name="ㅍㅇ륭" hidden="1">{#N/A,#N/A,FALSE,"KMC최종회의(7월) 자료"}</definedName>
    <definedName name="ㅍㅇ륭_1" hidden="1">{#N/A,#N/A,FALSE,"KMC최종회의(7월) 자료"}</definedName>
    <definedName name="ㅍㅇㅍ" hidden="1">{#N/A,#N/A,FALSE,"단축1";#N/A,#N/A,FALSE,"단축2";#N/A,#N/A,FALSE,"단축3";#N/A,#N/A,FALSE,"장축";#N/A,#N/A,FALSE,"4WD"}</definedName>
    <definedName name="ㅍㅇㅎ" hidden="1">{#N/A,#N/A,FALSE,"단축1";#N/A,#N/A,FALSE,"단축2";#N/A,#N/A,FALSE,"단축3";#N/A,#N/A,FALSE,"장축";#N/A,#N/A,FALSE,"4WD"}</definedName>
    <definedName name="ㅍㅊㅇㄴㅊ" hidden="1">{#N/A,#N/A,FALSE,"단축1";#N/A,#N/A,FALSE,"단축2";#N/A,#N/A,FALSE,"단축3";#N/A,#N/A,FALSE,"장축";#N/A,#N/A,FALSE,"4WD"}</definedName>
    <definedName name="ㅍㅊ튜ㅊ" hidden="1">{#N/A,#N/A,FALSE,"PART-1234-8-12-9(41)";#N/A,#N/A,FALSE,"PARTS-2(3)";#N/A,#N/A,FALSE,"VAN SYSTEM";#N/A,#N/A,FALSE,"PARTS-10(26)";#N/A,#N/A,FALSE,"PART-5-6-7-11(14)";#N/A,#N/A,FALSE,"PARTS-4(3)";#N/A,#N/A,FALSE,"PCLASS"}</definedName>
    <definedName name="ㅍ츄ㅌ츄ㅍㅌㅌ" hidden="1">{#N/A,#N/A,FALSE,"PART-1234-8-12-9(41)";#N/A,#N/A,FALSE,"PARTS-2(3)";#N/A,#N/A,FALSE,"VAN SYSTEM";#N/A,#N/A,FALSE,"PARTS-10(26)";#N/A,#N/A,FALSE,"PART-5-6-7-11(14)";#N/A,#N/A,FALSE,"PARTS-4(3)";#N/A,#N/A,FALSE,"PCLASS"}</definedName>
    <definedName name="ㅍㅍ" hidden="1">{#N/A,#N/A,FALSE,"단축1";#N/A,#N/A,FALSE,"단축2";#N/A,#N/A,FALSE,"단축3";#N/A,#N/A,FALSE,"장축";#N/A,#N/A,FALSE,"4WD"}</definedName>
    <definedName name="ㅍㅍ_1" hidden="1">{#N/A,#N/A,FALSE,"단축1";#N/A,#N/A,FALSE,"단축2";#N/A,#N/A,FALSE,"단축3";#N/A,#N/A,FALSE,"장축";#N/A,#N/A,FALSE,"4WD"}</definedName>
    <definedName name="ㅍㅍㄷㅅ호" hidden="1">{#N/A,#N/A,FALSE,"KMC최종회의(7월) 자료"}</definedName>
    <definedName name="ㅍㅍㄷㅅ호_1" hidden="1">{#N/A,#N/A,FALSE,"KMC최종회의(7월) 자료"}</definedName>
    <definedName name="ㅍㅍㄹㄹㄹㄹ" hidden="1">{#N/A,#N/A,FALSE,"신규dep";#N/A,#N/A,FALSE,"신규dep-금형상각후";#N/A,#N/A,FALSE,"신규dep-연구비상각후";#N/A,#N/A,FALSE,"신규dep-기계,공구상각후"}</definedName>
    <definedName name="ㅍㅍㅍ" hidden="1">{#N/A,#N/A,FALSE,"단축1";#N/A,#N/A,FALSE,"단축2";#N/A,#N/A,FALSE,"단축3";#N/A,#N/A,FALSE,"장축";#N/A,#N/A,FALSE,"4WD"}</definedName>
    <definedName name="ㅍㅍㅍ_1" hidden="1">{#N/A,#N/A,FALSE,"단축1";#N/A,#N/A,FALSE,"단축2";#N/A,#N/A,FALSE,"단축3";#N/A,#N/A,FALSE,"장축";#N/A,#N/A,FALSE,"4WD"}</definedName>
    <definedName name="ㅍㅍㅍㅊ" hidden="1">{#N/A,#N/A,FALSE,"신규dep";#N/A,#N/A,FALSE,"신규dep-금형상각후";#N/A,#N/A,FALSE,"신규dep-연구비상각후";#N/A,#N/A,FALSE,"신규dep-기계,공구상각후"}</definedName>
    <definedName name="ㅍㅍㅍㅍㅍ" hidden="1">{#N/A,#N/A,FALSE,"단축1";#N/A,#N/A,FALSE,"단축2";#N/A,#N/A,FALSE,"단축3";#N/A,#N/A,FALSE,"장축";#N/A,#N/A,FALSE,"4WD"}</definedName>
    <definedName name="파" hidden="1">{#N/A,#N/A,FALSE,"단축1";#N/A,#N/A,FALSE,"단축2";#N/A,#N/A,FALSE,"단축3";#N/A,#N/A,FALSE,"장축";#N/A,#N/A,FALSE,"4WD"}</definedName>
    <definedName name="파다다다다다" hidden="1">{"'5'!$A$1:$BB$147"}</definedName>
    <definedName name="파라다" hidden="1">{"'5'!$A$1:$BB$147"}</definedName>
    <definedName name="파워트레인" hidden="1">{#N/A,#N/A,FALSE,"단축1";#N/A,#N/A,FALSE,"단축2";#N/A,#N/A,FALSE,"단축3";#N/A,#N/A,FALSE,"장축";#N/A,#N/A,FALSE,"4WD"}</definedName>
    <definedName name="파자다라달" hidden="1">{"'5'!$A$1:$BB$147"}</definedName>
    <definedName name="파팅" hidden="1">{#N/A,#N/A,FALSE,"단축1";#N/A,#N/A,FALSE,"단축2";#N/A,#N/A,FALSE,"단축3";#N/A,#N/A,FALSE,"장축";#N/A,#N/A,FALSE,"4WD"}</definedName>
    <definedName name="판도라상자" hidden="1">{#N/A,#N/A,FALSE,"정공"}</definedName>
    <definedName name="판도라상자_1" hidden="1">{#N/A,#N/A,FALSE,"정공"}</definedName>
    <definedName name="판도라상자_2" hidden="1">{#N/A,#N/A,FALSE,"정공"}</definedName>
    <definedName name="판도라상자_2_1" hidden="1">{#N/A,#N/A,FALSE,"정공"}</definedName>
    <definedName name="판도라상자_2_2" hidden="1">{#N/A,#N/A,FALSE,"정공"}</definedName>
    <definedName name="판도라상자_2_3" hidden="1">{#N/A,#N/A,FALSE,"정공"}</definedName>
    <definedName name="판도라상자_3" hidden="1">{#N/A,#N/A,FALSE,"정공"}</definedName>
    <definedName name="판도라상자_3_1" hidden="1">{#N/A,#N/A,FALSE,"정공"}</definedName>
    <definedName name="판도라상자_3_2" hidden="1">{#N/A,#N/A,FALSE,"정공"}</definedName>
    <definedName name="판도라상자_3_3" hidden="1">{#N/A,#N/A,FALSE,"정공"}</definedName>
    <definedName name="판도라상자_4" hidden="1">{#N/A,#N/A,FALSE,"정공"}</definedName>
    <definedName name="판도라상자_5" hidden="1">{#N/A,#N/A,FALSE,"정공"}</definedName>
    <definedName name="판매1" hidden="1">{#N/A,#N/A,TRUE,"Y생산";#N/A,#N/A,TRUE,"Y판매";#N/A,#N/A,TRUE,"Y총물량";#N/A,#N/A,TRUE,"Y능력";#N/A,#N/A,TRUE,"YKD"}</definedName>
    <definedName name="판매가격" hidden="1">{#N/A,#N/A,FALSE,"단축1";#N/A,#N/A,FALSE,"단축2";#N/A,#N/A,FALSE,"단축3";#N/A,#N/A,FALSE,"장축";#N/A,#N/A,FALSE,"4WD"}</definedName>
    <definedName name="판매가격검토" hidden="1">{#N/A,#N/A,FALSE,"단축1";#N/A,#N/A,FALSE,"단축2";#N/A,#N/A,FALSE,"단축3";#N/A,#N/A,FALSE,"장축";#N/A,#N/A,FALSE,"4WD"}</definedName>
    <definedName name="판매계획" hidden="1">{#N/A,#N/A,FALSE,"단축1";#N/A,#N/A,FALSE,"단축2";#N/A,#N/A,FALSE,"단축3";#N/A,#N/A,FALSE,"장축";#N/A,#N/A,FALSE,"4WD"}</definedName>
    <definedName name="판매계획.XLS" hidden="1">{#N/A,#N/A,FALSE,"단축1";#N/A,#N/A,FALSE,"단축2";#N/A,#N/A,FALSE,"단축3";#N/A,#N/A,FALSE,"장축";#N/A,#N/A,FALSE,"4WD"}</definedName>
    <definedName name="판매규모_" hidden="1">{#N/A,#N/A,TRUE,"매출진척-1";#N/A,#N/A,TRUE,"매출진척-2";#N/A,#N/A,TRUE,"제품실적";#N/A,#N/A,TRUE,"RAC";#N/A,#N/A,TRUE,"PAC ";#N/A,#N/A,TRUE,"재고현황";#N/A,#N/A,TRUE,"공지사항"}</definedName>
    <definedName name="판매목표10" hidden="1">{#N/A,#N/A,FALSE,"단축1";#N/A,#N/A,FALSE,"단축2";#N/A,#N/A,FALSE,"단축3";#N/A,#N/A,FALSE,"장축";#N/A,#N/A,FALSE,"4WD"}</definedName>
    <definedName name="판매목표2" hidden="1">{#N/A,#N/A,FALSE,"단축1";#N/A,#N/A,FALSE,"단축2";#N/A,#N/A,FALSE,"단축3";#N/A,#N/A,FALSE,"장축";#N/A,#N/A,FALSE,"4WD"}</definedName>
    <definedName name="판매목표2_1"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판초ㅗㄱ" hidden="1">{#N/A,#N/A,FALSE,"단축1";#N/A,#N/A,FALSE,"단축2";#N/A,#N/A,FALSE,"단축3";#N/A,#N/A,FALSE,"장축";#N/A,#N/A,FALSE,"4WD"}</definedName>
    <definedName name="판초ㅗㄱ_1" hidden="1">{#N/A,#N/A,FALSE,"단축1";#N/A,#N/A,FALSE,"단축2";#N/A,#N/A,FALSE,"단축3";#N/A,#N/A,FALSE,"장축";#N/A,#N/A,FALSE,"4WD"}</definedName>
    <definedName name="판촉" hidden="1">{#N/A,#N/A,FALSE,"단축1";#N/A,#N/A,FALSE,"단축2";#N/A,#N/A,FALSE,"단축3";#N/A,#N/A,FALSE,"장축";#N/A,#N/A,FALSE,"4WD"}</definedName>
    <definedName name="판촉_1" hidden="1">{#N/A,#N/A,FALSE,"단축1";#N/A,#N/A,FALSE,"단축2";#N/A,#N/A,FALSE,"단축3";#N/A,#N/A,FALSE,"장축";#N/A,#N/A,FALSE,"4WD"}</definedName>
    <definedName name="판촉비계산용" hidden="1">{#N/A,#N/A,TRUE,"Y생산";#N/A,#N/A,TRUE,"Y판매";#N/A,#N/A,TRUE,"Y총물량";#N/A,#N/A,TRUE,"Y능력";#N/A,#N/A,TRUE,"YKD"}</definedName>
    <definedName name="판촉이" hidden="1">{#N/A,#N/A,FALSE,"단축1";#N/A,#N/A,FALSE,"단축2";#N/A,#N/A,FALSE,"단축3";#N/A,#N/A,FALSE,"장축";#N/A,#N/A,FALSE,"4WD"}</definedName>
    <definedName name="판촉이_1" hidden="1">{#N/A,#N/A,FALSE,"단축1";#N/A,#N/A,FALSE,"단축2";#N/A,#N/A,FALSE,"단축3";#N/A,#N/A,FALSE,"장축";#N/A,#N/A,FALSE,"4WD"}</definedName>
    <definedName name="판촉이태리" hidden="1">{#N/A,#N/A,FALSE,"신규dep";#N/A,#N/A,FALSE,"신규dep-금형상각후";#N/A,#N/A,FALSE,"신규dep-연구비상각후";#N/A,#N/A,FALSE,"신규dep-기계,공구상각후"}</definedName>
    <definedName name="판촉이태리_1" hidden="1">{#N/A,#N/A,FALSE,"신규dep";#N/A,#N/A,FALSE,"신규dep-금형상각후";#N/A,#N/A,FALSE,"신규dep-연구비상각후";#N/A,#N/A,FALSE,"신규dep-기계,공구상각후"}</definedName>
    <definedName name="판촉지원적립금" hidden="1">{#N/A,#N/A,TRUE,"매출진척-1";#N/A,#N/A,TRUE,"매출진척-2";#N/A,#N/A,TRUE,"제품실적";#N/A,#N/A,TRUE,"RAC";#N/A,#N/A,TRUE,"PAC ";#N/A,#N/A,TRUE,"재고현황";#N/A,#N/A,TRUE,"공지사항"}</definedName>
    <definedName name="팩키지2" hidden="1">{#N/A,#N/A,FALSE,"단축1";#N/A,#N/A,FALSE,"단축2";#N/A,#N/A,FALSE,"단축3";#N/A,#N/A,FALSE,"장축";#N/A,#N/A,FALSE,"4WD"}</definedName>
    <definedName name="팩키지2_1" hidden="1">{#N/A,#N/A,FALSE,"단축1";#N/A,#N/A,FALSE,"단축2";#N/A,#N/A,FALSE,"단축3";#N/A,#N/A,FALSE,"장축";#N/A,#N/A,FALSE,"4WD"}</definedName>
    <definedName name="팩키지3" hidden="1">{#N/A,#N/A,FALSE,"단축1";#N/A,#N/A,FALSE,"단축2";#N/A,#N/A,FALSE,"단축3";#N/A,#N/A,FALSE,"장축";#N/A,#N/A,FALSE,"4WD"}</definedName>
    <definedName name="팩키지3_1" hidden="1">{#N/A,#N/A,FALSE,"단축1";#N/A,#N/A,FALSE,"단축2";#N/A,#N/A,FALSE,"단축3";#N/A,#N/A,FALSE,"장축";#N/A,#N/A,FALSE,"4WD"}</definedName>
    <definedName name="팩키지5" hidden="1">{#N/A,#N/A,FALSE,"단축1";#N/A,#N/A,FALSE,"단축2";#N/A,#N/A,FALSE,"단축3";#N/A,#N/A,FALSE,"장축";#N/A,#N/A,FALSE,"4WD"}</definedName>
    <definedName name="팩키지5_1" hidden="1">{#N/A,#N/A,FALSE,"단축1";#N/A,#N/A,FALSE,"단축2";#N/A,#N/A,FALSE,"단축3";#N/A,#N/A,FALSE,"장축";#N/A,#N/A,FALSE,"4WD"}</definedName>
    <definedName name="펜다" hidden="1">{#N/A,#N/A,TRUE,"일정"}</definedName>
    <definedName name="편" hidden="1">{#N/A,#N/A,FALSE,"단축1";#N/A,#N/A,FALSE,"단축2";#N/A,#N/A,FALSE,"단축3";#N/A,#N/A,FALSE,"장축";#N/A,#N/A,FALSE,"4WD"}</definedName>
    <definedName name="편상세" hidden="1">{#N/A,#N/A,FALSE,"단축1";#N/A,#N/A,FALSE,"단축2";#N/A,#N/A,FALSE,"단축3";#N/A,#N/A,FALSE,"장축";#N/A,#N/A,FALSE,"4WD"}</definedName>
    <definedName name="편성표" hidden="1">{#N/A,#N/A,FALSE,"단축1";#N/A,#N/A,FALSE,"단축2";#N/A,#N/A,FALSE,"단축3";#N/A,#N/A,FALSE,"장축";#N/A,#N/A,FALSE,"4WD"}</definedName>
    <definedName name="편집현황자료" hidden="1">{#N/A,#N/A,FALSE,"정공"}</definedName>
    <definedName name="편집현황자료_1" hidden="1">{#N/A,#N/A,FALSE,"정공"}</definedName>
    <definedName name="평가첨부2" hidden="1">#REF!</definedName>
    <definedName name="평균점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화" hidden="1">{#N/A,#N/A,FALSE,"KMC최종회의(7월) 자료"}</definedName>
    <definedName name="폐기" hidden="1">{#N/A,#N/A,FALSE,"단축1";#N/A,#N/A,FALSE,"단축2";#N/A,#N/A,FALSE,"단축3";#N/A,#N/A,FALSE,"장축";#N/A,#N/A,FALSE,"4WD"}</definedName>
    <definedName name="폐사평가" hidden="1">{#N/A,#N/A,FALSE,"단축1";#N/A,#N/A,FALSE,"단축2";#N/A,#N/A,FALSE,"단축3";#N/A,#N/A,FALSE,"장축";#N/A,#N/A,FALSE,"4WD"}</definedName>
    <definedName name="포쇽" hidden="1">{#N/A,#N/A,FALSE,"단축1";#N/A,#N/A,FALSE,"단축2";#N/A,#N/A,FALSE,"단축3";#N/A,#N/A,FALSE,"장축";#N/A,#N/A,FALSE,"4WD"}</definedName>
    <definedName name="포올" hidden="1">{#N/A,#N/A,FALSE,"단축1";#N/A,#N/A,FALSE,"단축2";#N/A,#N/A,FALSE,"단축3";#N/A,#N/A,FALSE,"장축";#N/A,#N/A,FALSE,"4WD"}</definedName>
    <definedName name="포장비" hidden="1">{"'7-2지역별'!$A$1:$R$44"}</definedName>
    <definedName name="포지1" hidden="1">{#N/A,#N/A,FALSE,"단축1";#N/A,#N/A,FALSE,"단축2";#N/A,#N/A,FALSE,"단축3";#N/A,#N/A,FALSE,"장축";#N/A,#N/A,FALSE,"4WD"}</definedName>
    <definedName name="표2" hidden="1">#REF!</definedName>
    <definedName name="표식" hidden="1">{#N/A,#N/A,FALSE,"단축1";#N/A,#N/A,FALSE,"단축2";#N/A,#N/A,FALSE,"단축3";#N/A,#N/A,FALSE,"장축";#N/A,#N/A,FALSE,"4WD"}</definedName>
    <definedName name="표식_1" hidden="1">{#N/A,#N/A,FALSE,"단축1";#N/A,#N/A,FALSE,"단축2";#N/A,#N/A,FALSE,"단축3";#N/A,#N/A,FALSE,"장축";#N/A,#N/A,FALSE,"4WD"}</definedName>
    <definedName name="표어" hidden="1">{#N/A,#N/A,FALSE,"단축1";#N/A,#N/A,FALSE,"단축2";#N/A,#N/A,FALSE,"단축3";#N/A,#N/A,FALSE,"장축";#N/A,#N/A,FALSE,"4WD"}</definedName>
    <definedName name="표제" hidden="1">{#N/A,#N/A,FALSE,"KMC최종회의(7월) 자료"}</definedName>
    <definedName name="표준" hidden="1">{#N/A,#N/A,TRUE,"Y생산";#N/A,#N/A,TRUE,"Y판매";#N/A,#N/A,TRUE,"Y총물량";#N/A,#N/A,TRUE,"Y능력";#N/A,#N/A,TRUE,"YKD"}</definedName>
    <definedName name="표준공수" hidden="1">{#N/A,#N/A,FALSE,"KMC최종회의(7월) 자료"}</definedName>
    <definedName name="표준공수_1" hidden="1">{#N/A,#N/A,FALSE,"KMC최종회의(7월) 자료"}</definedName>
    <definedName name="표준공수_2" hidden="1">{#N/A,#N/A,FALSE,"KMC최종회의(7월) 자료"}</definedName>
    <definedName name="표준단가" hidden="1">{#N/A,#N/A,FALSE,"표지";#N/A,#N/A,FALSE,"전제";#N/A,#N/A,FALSE,"대당";#N/A,#N/A,FALSE,"가공비";#N/A,#N/A,FALSE,"재료비";#N/A,#N/A,FALSE,"손익"}</definedName>
    <definedName name="표준화실적99" hidden="1">{#N/A,#N/A,FALSE,"단축1";#N/A,#N/A,FALSE,"단축2";#N/A,#N/A,FALSE,"단축3";#N/A,#N/A,FALSE,"장축";#N/A,#N/A,FALSE,"4WD"}</definedName>
    <definedName name="표지" hidden="1">{#N/A,#N/A,FALSE,"KMC최종회의(7월) 자료"}</definedName>
    <definedName name="표지_1" hidden="1">{#N/A,#N/A,FALSE,"KMC최종회의(7월) 자료"}</definedName>
    <definedName name="표지_2" hidden="1">{#N/A,#N/A,FALSE,"KMC최종회의(7월) 자료"}</definedName>
    <definedName name="표지_PTN" hidden="1">{#N/A,#N/A,TRUE,"Y생산";#N/A,#N/A,TRUE,"Y판매";#N/A,#N/A,TRUE,"Y총물량";#N/A,#N/A,TRUE,"Y능력";#N/A,#N/A,TRUE,"YKD"}</definedName>
    <definedName name="표지1" hidden="1">{#N/A,#N/A,FALSE,"정공"}</definedName>
    <definedName name="표지1_1" hidden="1">{#N/A,#N/A,FALSE,"정공"}</definedName>
    <definedName name="표지1_2" hidden="1">{#N/A,#N/A,FALSE,"정공"}</definedName>
    <definedName name="표지1_2_1" hidden="1">{#N/A,#N/A,FALSE,"정공"}</definedName>
    <definedName name="표지1_2_2" hidden="1">{#N/A,#N/A,FALSE,"정공"}</definedName>
    <definedName name="표지1_2_3" hidden="1">{#N/A,#N/A,FALSE,"정공"}</definedName>
    <definedName name="표지1_3" hidden="1">{#N/A,#N/A,FALSE,"정공"}</definedName>
    <definedName name="표지1_3_1" hidden="1">{#N/A,#N/A,FALSE,"정공"}</definedName>
    <definedName name="표지1_3_2" hidden="1">{#N/A,#N/A,FALSE,"정공"}</definedName>
    <definedName name="표지1_3_3" hidden="1">{#N/A,#N/A,FALSE,"정공"}</definedName>
    <definedName name="표지1_4" hidden="1">{#N/A,#N/A,FALSE,"정공"}</definedName>
    <definedName name="표지1_5" hidden="1">{#N/A,#N/A,FALSE,"정공"}</definedName>
    <definedName name="표지11" hidden="1">{#N/A,#N/A,FALSE,"정공"}</definedName>
    <definedName name="표지11_1" hidden="1">{#N/A,#N/A,FALSE,"정공"}</definedName>
    <definedName name="표지11_2" hidden="1">{#N/A,#N/A,FALSE,"정공"}</definedName>
    <definedName name="표지11_2_1" hidden="1">{#N/A,#N/A,FALSE,"정공"}</definedName>
    <definedName name="표지11_2_2" hidden="1">{#N/A,#N/A,FALSE,"정공"}</definedName>
    <definedName name="표지11_2_3" hidden="1">{#N/A,#N/A,FALSE,"정공"}</definedName>
    <definedName name="표지11_3" hidden="1">{#N/A,#N/A,FALSE,"정공"}</definedName>
    <definedName name="표지11_3_1" hidden="1">{#N/A,#N/A,FALSE,"정공"}</definedName>
    <definedName name="표지11_3_2" hidden="1">{#N/A,#N/A,FALSE,"정공"}</definedName>
    <definedName name="표지11_3_3" hidden="1">{#N/A,#N/A,FALSE,"정공"}</definedName>
    <definedName name="표지11_4" hidden="1">{#N/A,#N/A,FALSE,"정공"}</definedName>
    <definedName name="표지11_5" hidden="1">{#N/A,#N/A,FALSE,"정공"}</definedName>
    <definedName name="표지2" hidden="1">{#N/A,#N/A,FALSE,"KMC최종회의(7월) 자료"}</definedName>
    <definedName name="표지2_1" hidden="1">{#N/A,#N/A,FALSE,"KMC최종회의(7월) 자료"}</definedName>
    <definedName name="표지22222" hidden="1">{#N/A,#N/A,FALSE,"정공"}</definedName>
    <definedName name="표지22222_1" hidden="1">{#N/A,#N/A,FALSE,"정공"}</definedName>
    <definedName name="표지22222_2" hidden="1">{#N/A,#N/A,FALSE,"정공"}</definedName>
    <definedName name="표지22222_2_1" hidden="1">{#N/A,#N/A,FALSE,"정공"}</definedName>
    <definedName name="표지22222_2_2" hidden="1">{#N/A,#N/A,FALSE,"정공"}</definedName>
    <definedName name="표지22222_2_3" hidden="1">{#N/A,#N/A,FALSE,"정공"}</definedName>
    <definedName name="표지22222_3" hidden="1">{#N/A,#N/A,FALSE,"정공"}</definedName>
    <definedName name="표지22222_3_1" hidden="1">{#N/A,#N/A,FALSE,"정공"}</definedName>
    <definedName name="표지22222_3_2" hidden="1">{#N/A,#N/A,FALSE,"정공"}</definedName>
    <definedName name="표지22222_3_3" hidden="1">{#N/A,#N/A,FALSE,"정공"}</definedName>
    <definedName name="표지22222_4" hidden="1">{#N/A,#N/A,FALSE,"정공"}</definedName>
    <definedName name="표지22222_5" hidden="1">{#N/A,#N/A,FALSE,"정공"}</definedName>
    <definedName name="표지5" hidden="1">#REF!</definedName>
    <definedName name="표지과" hidden="1">{#N/A,#N/A,TRUE,"Y생산";#N/A,#N/A,TRUE,"Y판매";#N/A,#N/A,TRUE,"Y총물량";#N/A,#N/A,TRUE,"Y능력";#N/A,#N/A,TRUE,"YKD"}</definedName>
    <definedName name="표지과_1" hidden="1">{#N/A,#N/A,TRUE,"Y생산";#N/A,#N/A,TRUE,"Y판매";#N/A,#N/A,TRUE,"Y총물량";#N/A,#N/A,TRUE,"Y능력";#N/A,#N/A,TRUE,"YKD"}</definedName>
    <definedName name="표지양식" hidden="1">{#N/A,#N/A,FALSE,"정공"}</definedName>
    <definedName name="표지양식_1" hidden="1">{#N/A,#N/A,FALSE,"정공"}</definedName>
    <definedName name="표지양식_2" hidden="1">{#N/A,#N/A,FALSE,"정공"}</definedName>
    <definedName name="표지자료" hidden="1">{#N/A,#N/A,FALSE,"단축1";#N/A,#N/A,FALSE,"단축2";#N/A,#N/A,FALSE,"단축3";#N/A,#N/A,FALSE,"장축";#N/A,#N/A,FALSE,"4WD"}</definedName>
    <definedName name="표지전송" hidden="1">{#N/A,#N/A,FALSE,"정공"}</definedName>
    <definedName name="표지전송_1" hidden="1">{#N/A,#N/A,FALSE,"정공"}</definedName>
    <definedName name="표지총무거" hidden="1">{#N/A,#N/A,FALSE,"KMC최종회의(7월) 자료"}</definedName>
    <definedName name="표지총무거_1" hidden="1">{#N/A,#N/A,FALSE,"KMC최종회의(7월) 자료"}</definedName>
    <definedName name="표지총무거_2" hidden="1">{#N/A,#N/A,FALSE,"KMC최종회의(7월) 자료"}</definedName>
    <definedName name="푸" hidden="1">{#N/A,#N/A,FALSE,"단축1";#N/A,#N/A,FALSE,"단축2";#N/A,#N/A,FALSE,"단축3";#N/A,#N/A,FALSE,"장축";#N/A,#N/A,FALSE,"4WD"}</definedName>
    <definedName name="푸_1" hidden="1">{#N/A,#N/A,FALSE,"단축1";#N/A,#N/A,FALSE,"단축2";#N/A,#N/A,FALSE,"단축3";#N/A,#N/A,FALSE,"장축";#N/A,#N/A,FALSE,"4WD"}</definedName>
    <definedName name="품" hidden="1">{#N/A,#N/A,TRUE,"Y생산";#N/A,#N/A,TRUE,"Y판매";#N/A,#N/A,TRUE,"Y총물량";#N/A,#N/A,TRUE,"Y능력";#N/A,#N/A,TRUE,"YKD"}</definedName>
    <definedName name="품_1" hidden="1">{#N/A,#N/A,TRUE,"Y생산";#N/A,#N/A,TRUE,"Y판매";#N/A,#N/A,TRUE,"Y총물량";#N/A,#N/A,TRUE,"Y능력";#N/A,#N/A,TRUE,"YKD"}</definedName>
    <definedName name="품_2" hidden="1">{#N/A,#N/A,TRUE,"Y생산";#N/A,#N/A,TRUE,"Y판매";#N/A,#N/A,TRUE,"Y총물량";#N/A,#N/A,TRUE,"Y능력";#N/A,#N/A,TRUE,"YKD"}</definedName>
    <definedName name="품_2_1" hidden="1">{#N/A,#N/A,TRUE,"Y생산";#N/A,#N/A,TRUE,"Y판매";#N/A,#N/A,TRUE,"Y총물량";#N/A,#N/A,TRUE,"Y능력";#N/A,#N/A,TRUE,"YKD"}</definedName>
    <definedName name="품_2_2" hidden="1">{#N/A,#N/A,TRUE,"Y생산";#N/A,#N/A,TRUE,"Y판매";#N/A,#N/A,TRUE,"Y총물량";#N/A,#N/A,TRUE,"Y능력";#N/A,#N/A,TRUE,"YKD"}</definedName>
    <definedName name="품_2_3" hidden="1">{#N/A,#N/A,TRUE,"Y생산";#N/A,#N/A,TRUE,"Y판매";#N/A,#N/A,TRUE,"Y총물량";#N/A,#N/A,TRUE,"Y능력";#N/A,#N/A,TRUE,"YKD"}</definedName>
    <definedName name="품_3" hidden="1">{#N/A,#N/A,TRUE,"Y생산";#N/A,#N/A,TRUE,"Y판매";#N/A,#N/A,TRUE,"Y총물량";#N/A,#N/A,TRUE,"Y능력";#N/A,#N/A,TRUE,"YKD"}</definedName>
    <definedName name="품_3_1" hidden="1">{#N/A,#N/A,TRUE,"Y생산";#N/A,#N/A,TRUE,"Y판매";#N/A,#N/A,TRUE,"Y총물량";#N/A,#N/A,TRUE,"Y능력";#N/A,#N/A,TRUE,"YKD"}</definedName>
    <definedName name="품_3_2" hidden="1">{#N/A,#N/A,TRUE,"Y생산";#N/A,#N/A,TRUE,"Y판매";#N/A,#N/A,TRUE,"Y총물량";#N/A,#N/A,TRUE,"Y능력";#N/A,#N/A,TRUE,"YKD"}</definedName>
    <definedName name="품_3_3" hidden="1">{#N/A,#N/A,TRUE,"Y생산";#N/A,#N/A,TRUE,"Y판매";#N/A,#N/A,TRUE,"Y총물량";#N/A,#N/A,TRUE,"Y능력";#N/A,#N/A,TRUE,"YKD"}</definedName>
    <definedName name="품_4" hidden="1">{#N/A,#N/A,TRUE,"Y생산";#N/A,#N/A,TRUE,"Y판매";#N/A,#N/A,TRUE,"Y총물량";#N/A,#N/A,TRUE,"Y능력";#N/A,#N/A,TRUE,"YKD"}</definedName>
    <definedName name="품_5" hidden="1">{#N/A,#N/A,TRUE,"Y생산";#N/A,#N/A,TRUE,"Y판매";#N/A,#N/A,TRUE,"Y총물량";#N/A,#N/A,TRUE,"Y능력";#N/A,#N/A,TRUE,"YKD"}</definedName>
    <definedName name="품보부" hidden="1">{#N/A,#N/A,FALSE,"KMC최종회의(7월) 자료"}</definedName>
    <definedName name="품보부_1" hidden="1">{#N/A,#N/A,FALSE,"KMC최종회의(7월) 자료"}</definedName>
    <definedName name="품보부_2" hidden="1">{#N/A,#N/A,FALSE,"KMC최종회의(7월) 자료"}</definedName>
    <definedName name="품의" hidden="1">{#N/A,#N/A,FALSE,"단축1";#N/A,#N/A,FALSE,"단축2";#N/A,#N/A,FALSE,"단축3";#N/A,#N/A,FALSE,"장축";#N/A,#N/A,FALSE,"4WD"}</definedName>
    <definedName name="품의a" hidden="1">{#N/A,#N/A,FALSE,"정공"}</definedName>
    <definedName name="품의서3" hidden="1">{#N/A,#N/A,TRUE,"Y생산";#N/A,#N/A,TRUE,"Y판매";#N/A,#N/A,TRUE,"Y총물량";#N/A,#N/A,TRUE,"Y능력";#N/A,#N/A,TRUE,"YKD"}</definedName>
    <definedName name="품의현황" hidden="1">{#N/A,#N/A,FALSE,"품의서";#N/A,#N/A,FALSE,"전제";#N/A,#N/A,FALSE,"총손";#N/A,#N/A,FALSE,"손익";#N/A,#N/A,FALSE,"대당";#N/A,#N/A,FALSE,"가공비";#N/A,#N/A,FALSE,"재료비";#N/A,#N/A,FALSE,"판비";#N/A,#N/A,FALSE,"가격"}</definedName>
    <definedName name="품질" hidden="1">{#N/A,#N/A,FALSE,"정공"}</definedName>
    <definedName name="품질_1" hidden="1">{#N/A,#N/A,FALSE,"정공"}</definedName>
    <definedName name="품질_2" hidden="1">{#N/A,#N/A,FALSE,"정공"}</definedName>
    <definedName name="품질AUDIT2" hidden="1">{#N/A,#N/A,FALSE,"단축1";#N/A,#N/A,FALSE,"단축2";#N/A,#N/A,FALSE,"단축3";#N/A,#N/A,FALSE,"장축";#N/A,#N/A,FALSE,"4WD"}</definedName>
    <definedName name="품질개선" hidden="1">{#N/A,#N/A,FALSE,"KMC최종회의(7월) 자료"}</definedName>
    <definedName name="품질개선_1" hidden="1">{#N/A,#N/A,FALSE,"KMC최종회의(7월) 자료"}</definedName>
    <definedName name="품질개선_2" hidden="1">{#N/A,#N/A,FALSE,"KMC최종회의(7월) 자료"}</definedName>
    <definedName name="품질개선2" hidden="1">{#N/A,#N/A,TRUE,"Y생산";#N/A,#N/A,TRUE,"Y판매";#N/A,#N/A,TRUE,"Y총물량";#N/A,#N/A,TRUE,"Y능력";#N/A,#N/A,TRUE,"YKD"}</definedName>
    <definedName name="품질개선2_1" hidden="1">{#N/A,#N/A,TRUE,"Y생산";#N/A,#N/A,TRUE,"Y판매";#N/A,#N/A,TRUE,"Y총물량";#N/A,#N/A,TRUE,"Y능력";#N/A,#N/A,TRUE,"YKD"}</definedName>
    <definedName name="품질개선3" hidden="1">{#N/A,#N/A,TRUE,"Y생산";#N/A,#N/A,TRUE,"Y판매";#N/A,#N/A,TRUE,"Y총물량";#N/A,#N/A,TRUE,"Y능력";#N/A,#N/A,TRUE,"YKD"}</definedName>
    <definedName name="품질개선3_1" hidden="1">{#N/A,#N/A,TRUE,"Y생산";#N/A,#N/A,TRUE,"Y판매";#N/A,#N/A,TRUE,"Y총물량";#N/A,#N/A,TRUE,"Y능력";#N/A,#N/A,TRUE,"YKD"}</definedName>
    <definedName name="품질교육"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금" hidden="1">{#N/A,#N/A,FALSE,"KMC최종회의(7월) 자료"}</definedName>
    <definedName name="품질금_1" hidden="1">{#N/A,#N/A,FALSE,"KMC최종회의(7월) 자료"}</definedName>
    <definedName name="품질금_2" hidden="1">{#N/A,#N/A,FALSE,"KMC최종회의(7월) 자료"}</definedName>
    <definedName name="품질목표1" hidden="1">{#N/A,#N/A,FALSE,"단축1";#N/A,#N/A,FALSE,"단축2";#N/A,#N/A,FALSE,"단축3";#N/A,#N/A,FALSE,"장축";#N/A,#N/A,FALSE,"4WD"}</definedName>
    <definedName name="품질목표2000" hidden="1">{#N/A,#N/A,TRUE,"Y생산";#N/A,#N/A,TRUE,"Y판매";#N/A,#N/A,TRUE,"Y총물량";#N/A,#N/A,TRUE,"Y능력";#N/A,#N/A,TRUE,"YKD"}</definedName>
    <definedName name="품질목표2000_1" hidden="1">{#N/A,#N/A,TRUE,"Y생산";#N/A,#N/A,TRUE,"Y판매";#N/A,#N/A,TRUE,"Y총물량";#N/A,#N/A,TRUE,"Y능력";#N/A,#N/A,TRUE,"YKD"}</definedName>
    <definedName name="품질생산합격" hidden="1">{#N/A,#N/A,TRUE,"Y생산";#N/A,#N/A,TRUE,"Y판매";#N/A,#N/A,TRUE,"Y총물량";#N/A,#N/A,TRUE,"Y능력";#N/A,#N/A,TRUE,"YKD"}</definedName>
    <definedName name="품질생산합격_1" hidden="1">{#N/A,#N/A,TRUE,"Y생산";#N/A,#N/A,TRUE,"Y판매";#N/A,#N/A,TRUE,"Y총물량";#N/A,#N/A,TRUE,"Y능력";#N/A,#N/A,TRUE,"YKD"}</definedName>
    <definedName name="품질손" hidden="1">{#N/A,#N/A,FALSE,"KMC최종회의(7월) 자료"}</definedName>
    <definedName name="품질손_1" hidden="1">{#N/A,#N/A,FALSE,"KMC최종회의(7월) 자료"}</definedName>
    <definedName name="품질손_2" hidden="1">{#N/A,#N/A,FALSE,"KMC최종회의(7월) 자료"}</definedName>
    <definedName name="품질지수" hidden="1">{#N/A,#N/A,FALSE,"KMC최종회의(7월) 자료"}</definedName>
    <definedName name="품질지수_1" hidden="1">{#N/A,#N/A,FALSE,"KMC최종회의(7월) 자료"}</definedName>
    <definedName name="품질지수_2" hidden="1">{#N/A,#N/A,FALSE,"KMC최종회의(7월) 자료"}</definedName>
    <definedName name="품질지수1" hidden="1">{#N/A,#N/A,FALSE,"KMC최종회의(7월) 자료"}</definedName>
    <definedName name="품질지수1_1" hidden="1">{#N/A,#N/A,FALSE,"KMC최종회의(7월) 자료"}</definedName>
    <definedName name="품질지수2" hidden="1">{#N/A,#N/A,FALSE,"KMC최종회의(7월) 자료"}</definedName>
    <definedName name="품질현황1" hidden="1">#N/A</definedName>
    <definedName name="품질확보계획2" hidden="1">{#N/A,#N/A,FALSE,"단축1";#N/A,#N/A,FALSE,"단축2";#N/A,#N/A,FALSE,"단축3";#N/A,#N/A,FALSE,"장축";#N/A,#N/A,FALSE,"4WD"}</definedName>
    <definedName name="품질확보일정" hidden="1">{#N/A,#N/A,FALSE,"단축1";#N/A,#N/A,FALSE,"단축2";#N/A,#N/A,FALSE,"단축3";#N/A,#N/A,FALSE,"장축";#N/A,#N/A,FALSE,"4WD"}</definedName>
    <definedName name="품확" hidden="1">{#N/A,#N/A,FALSE,"단축1";#N/A,#N/A,FALSE,"단축2";#N/A,#N/A,FALSE,"단축3";#N/A,#N/A,FALSE,"장축";#N/A,#N/A,FALSE,"4WD"}</definedName>
    <definedName name="품확_1" hidden="1">{#N/A,#N/A,FALSE,"단축1";#N/A,#N/A,FALSE,"단축2";#N/A,#N/A,FALSE,"단축3";#N/A,#N/A,FALSE,"장축";#N/A,#N/A,FALSE,"4WD"}</definedName>
    <definedName name="품확_2" hidden="1">{#N/A,#N/A,FALSE,"단축1";#N/A,#N/A,FALSE,"단축2";#N/A,#N/A,FALSE,"단축3";#N/A,#N/A,FALSE,"장축";#N/A,#N/A,FALSE,"4WD"}</definedName>
    <definedName name="품확1" hidden="1">{#N/A,#N/A,FALSE,"단축1";#N/A,#N/A,FALSE,"단축2";#N/A,#N/A,FALSE,"단축3";#N/A,#N/A,FALSE,"장축";#N/A,#N/A,FALSE,"4WD"}</definedName>
    <definedName name="품확보" hidden="1">{#N/A,#N/A,FALSE,"단축1";#N/A,#N/A,FALSE,"단축2";#N/A,#N/A,FALSE,"단축3";#N/A,#N/A,FALSE,"장축";#N/A,#N/A,FALSE,"4WD"}</definedName>
    <definedName name="품확차조립계획일정" hidden="1">{#N/A,#N/A,FALSE,"단축1";#N/A,#N/A,FALSE,"단축2";#N/A,#N/A,FALSE,"단축3";#N/A,#N/A,FALSE,"장축";#N/A,#N/A,FALSE,"4WD"}</definedName>
    <definedName name="퓨융ㄹ" hidden="1">#REF!</definedName>
    <definedName name="퓨ㅜ로" hidden="1">{#N/A,#N/A,FALSE,"단축1";#N/A,#N/A,FALSE,"단축2";#N/A,#N/A,FALSE,"단축3";#N/A,#N/A,FALSE,"장축";#N/A,#N/A,FALSE,"4WD"}</definedName>
    <definedName name="퓨ㅠ퓨퓨퓨퓨퓨퓨" hidden="1">{#N/A,#N/A,FALSE,"KMC최종회의(7월) 자료"}</definedName>
    <definedName name="퓰호" hidden="1">{#N/A,#N/A,FALSE,"단축1";#N/A,#N/A,FALSE,"단축2";#N/A,#N/A,FALSE,"단축3";#N/A,#N/A,FALSE,"장축";#N/A,#N/A,FALSE,"4WD"}</definedName>
    <definedName name="프"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레스_1" hidden="1">{#N/A,#N/A,FALSE,"KMC최종회의(7월) 자료"}</definedName>
    <definedName name="프레스_2" hidden="1">{#N/A,#N/A,FALSE,"KMC최종회의(7월) 자료"}</definedName>
    <definedName name="프레스기술" hidden="1">{#N/A,#N/A,FALSE,"단축1";#N/A,#N/A,FALSE,"단축2";#N/A,#N/A,FALSE,"단축3";#N/A,#N/A,FALSE,"장축";#N/A,#N/A,FALSE,"4WD"}</definedName>
    <definedName name="프레스영업1팀" hidden="1">{#N/A,#N/A,FALSE,"KMC최종회의(7월) 자료"}</definedName>
    <definedName name="프레스영업1팀_1" hidden="1">{#N/A,#N/A,FALSE,"KMC최종회의(7월) 자료"}</definedName>
    <definedName name="프레스치공구팀" hidden="1">{#N/A,#N/A,TRUE,"일정"}</definedName>
    <definedName name="프레지오" hidden="1">{#N/A,#N/A,FALSE,"단축1";#N/A,#N/A,FALSE,"단축2";#N/A,#N/A,FALSE,"단축3";#N/A,#N/A,FALSE,"장축";#N/A,#N/A,FALSE,"4WD"}</definedName>
    <definedName name="프렌지" hidden="1">{#N/A,#N/A,FALSE,"단축1";#N/A,#N/A,FALSE,"단축2";#N/A,#N/A,FALSE,"단축3";#N/A,#N/A,FALSE,"장축";#N/A,#N/A,FALSE,"4WD"}</definedName>
    <definedName name="프렌지_1" hidden="1">{#N/A,#N/A,FALSE,"단축1";#N/A,#N/A,FALSE,"단축2";#N/A,#N/A,FALSE,"단축3";#N/A,#N/A,FALSE,"장축";#N/A,#N/A,FALSE,"4WD"}</definedName>
    <definedName name="프렌지_2" hidden="1">{#N/A,#N/A,FALSE,"단축1";#N/A,#N/A,FALSE,"단축2";#N/A,#N/A,FALSE,"단축3";#N/A,#N/A,FALSE,"장축";#N/A,#N/A,FALSE,"4WD"}</definedName>
    <definedName name="프로세스기술팀" hidden="1">{#N/A,#N/A,TRUE,"일정"}</definedName>
    <definedName name="프로젝트" hidden="1">#REF!</definedName>
    <definedName name="프로토" hidden="1">{#N/A,#N/A,FALSE,"단축1";#N/A,#N/A,FALSE,"단축2";#N/A,#N/A,FALSE,"단축3";#N/A,#N/A,FALSE,"장축";#N/A,#N/A,FALSE,"4WD"}</definedName>
    <definedName name="프영1" hidden="1">{#N/A,#N/A,FALSE,"KMC최종회의(7월) 자료"}</definedName>
    <definedName name="프영업1" hidden="1">{#N/A,#N/A,FALSE,"KMC최종회의(7월) 자료"}</definedName>
    <definedName name="프프프프" hidden="1">{#N/A,#N/A,FALSE,"KMC최종회의(7월) 자료"}</definedName>
    <definedName name="프프프프_1" hidden="1">{#N/A,#N/A,FALSE,"KMC최종회의(7월) 자료"}</definedName>
    <definedName name="프프프프_2" hidden="1">{#N/A,#N/A,FALSE,"KMC최종회의(7월) 자료"}</definedName>
    <definedName name="플" hidden="1">{#N/A,#N/A,FALSE,"단축1";#N/A,#N/A,FALSE,"단축2";#N/A,#N/A,FALSE,"단축3";#N/A,#N/A,FALSE,"장축";#N/A,#N/A,FALSE,"4WD"}</definedName>
    <definedName name="플랫폼2" hidden="1">{#N/A,#N/A,FALSE,"단축1";#N/A,#N/A,FALSE,"단축2";#N/A,#N/A,FALSE,"단축3";#N/A,#N/A,FALSE,"장축";#N/A,#N/A,FALSE,"4WD"}</definedName>
    <definedName name="피투" hidden="1">{#N/A,#N/A,FALSE,"단축1";#N/A,#N/A,FALSE,"단축2";#N/A,#N/A,FALSE,"단축3";#N/A,#N/A,FALSE,"장축";#N/A,#N/A,FALSE,"4WD"}</definedName>
    <definedName name="ㅎ" hidden="1">{0,0,0,0}</definedName>
    <definedName name="ㅎ_1" hidden="1">{#N/A,#N/A,FALSE,"단축1";#N/A,#N/A,FALSE,"단축2";#N/A,#N/A,FALSE,"단축3";#N/A,#N/A,FALSE,"장축";#N/A,#N/A,FALSE,"4WD"}</definedName>
    <definedName name="ㅎ_2" hidden="1">{#N/A,#N/A,FALSE,"단축1";#N/A,#N/A,FALSE,"단축2";#N/A,#N/A,FALSE,"단축3";#N/A,#N/A,FALSE,"장축";#N/A,#N/A,FALSE,"4WD"}</definedName>
    <definedName name="ㅎㄱㅀ소" hidden="1">{#N/A,#N/A,FALSE,"단축1";#N/A,#N/A,FALSE,"단축2";#N/A,#N/A,FALSE,"단축3";#N/A,#N/A,FALSE,"장축";#N/A,#N/A,FALSE,"4WD"}</definedName>
    <definedName name="ㅎ고ㅛㅓ" hidden="1">{#N/A,#N/A,FALSE,"단축1";#N/A,#N/A,FALSE,"단축2";#N/A,#N/A,FALSE,"단축3";#N/A,#N/A,FALSE,"장축";#N/A,#N/A,FALSE,"4WD"}</definedName>
    <definedName name="ㅎ골호" hidden="1">{#N/A,#N/A,FALSE,"단축1";#N/A,#N/A,FALSE,"단축2";#N/A,#N/A,FALSE,"단축3";#N/A,#N/A,FALSE,"장축";#N/A,#N/A,FALSE,"4WD"}</definedName>
    <definedName name="ㅎ교" hidden="1">{#N/A,#N/A,FALSE,"1.참가신청";#N/A,#N/A,FALSE,"2.개발성과";#N/A,#N/A,FALSE,"3.활용현황";#N/A,#N/A,FALSE,"4.상호명";#N/A,#N/A,FALSE,"5.포상신청";#N/A,#N/A,FALSE,"산업재산권";#N/A,#N/A,FALSE,"산출내역";#N/A,#N/A,FALSE,"인적사항"}</definedName>
    <definedName name="ㅎㄳ고" hidden="1">{#N/A,#N/A,FALSE,"단축1";#N/A,#N/A,FALSE,"단축2";#N/A,#N/A,FALSE,"단축3";#N/A,#N/A,FALSE,"장축";#N/A,#N/A,FALSE,"4WD"}</definedName>
    <definedName name="ㅎㄴ" hidden="1">{#N/A,#N/A,FALSE,"단축1";#N/A,#N/A,FALSE,"단축2";#N/A,#N/A,FALSE,"단축3";#N/A,#N/A,FALSE,"장축";#N/A,#N/A,FALSE,"4WD"}</definedName>
    <definedName name="ㅎㄴㄶㄹㅀㄱㄷ"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ㅎㄴㅀㅇ륭호" hidden="1">{#N/A,#N/A,FALSE,"KMC최종회의(7월) 자료"}</definedName>
    <definedName name="ㅎㄴㅀㅇ륭호_1" hidden="1">{#N/A,#N/A,FALSE,"KMC최종회의(7월) 자료"}</definedName>
    <definedName name="ㅎㄴㅁㅇㅎㄴ" hidden="1">{#N/A,#N/A,FALSE,"KMC최종회의(7월) 자료"}</definedName>
    <definedName name="ㅎㄶㅎㅎㅇㅎㄶ" hidden="1">{#N/A,#N/A,FALSE,"PART-1234-8-12-9(41)";#N/A,#N/A,FALSE,"PARTS-2(3)";#N/A,#N/A,FALSE,"VAN SYSTEM";#N/A,#N/A,FALSE,"PARTS-10(26)";#N/A,#N/A,FALSE,"PART-5-6-7-11(14)";#N/A,#N/A,FALSE,"PARTS-4(3)";#N/A,#N/A,FALSE,"PCLASS"}</definedName>
    <definedName name="ㅎㄷㄱㄶㅍ" hidden="1">{#N/A,#N/A,FALSE,"단축1";#N/A,#N/A,FALSE,"단축2";#N/A,#N/A,FALSE,"단축3";#N/A,#N/A,FALSE,"장축";#N/A,#N/A,FALSE,"4WD"}</definedName>
    <definedName name="ㅎㄷㅁㄱ" hidden="1">{#N/A,#N/A,FALSE,"단축1";#N/A,#N/A,FALSE,"단축2";#N/A,#N/A,FALSE,"단축3";#N/A,#N/A,FALSE,"장축";#N/A,#N/A,FALSE,"4WD"}</definedName>
    <definedName name="ㅎㄷㅋㅇ" hidden="1">{#N/A,#N/A,FALSE,"KMC최종회의(7월) 자료"}</definedName>
    <definedName name="ㅎㄹ소" hidden="1">{#N/A,#N/A,FALSE,"신규dep";#N/A,#N/A,FALSE,"신규dep-금형상각후";#N/A,#N/A,FALSE,"신규dep-연구비상각후";#N/A,#N/A,FALSE,"신규dep-기계,공구상각후"}</definedName>
    <definedName name="ㅎㄹㅇㄴㅁ" hidden="1">{#N/A,#N/A,FALSE,"KMC최종회의(7월) 자료"}</definedName>
    <definedName name="ㅎㄹㅇㄶ" hidden="1">{#N/A,#N/A,FALSE,"삼진정공";#N/A,#N/A,FALSE,"영신금속";#N/A,#N/A,FALSE,"태양금속";#N/A,#N/A,FALSE,"진합정공";#N/A,#N/A,FALSE,"코리아";#N/A,#N/A,FALSE,"풍강금속";#N/A,#N/A,FALSE,"선일기계"}</definedName>
    <definedName name="ㅎㄹㅇㅎㄹ으ㅜ" hidden="1">{#N/A,#N/A,FALSE,"단축1";#N/A,#N/A,FALSE,"단축2";#N/A,#N/A,FALSE,"단축3";#N/A,#N/A,FALSE,"장축";#N/A,#N/A,FALSE,"4WD"}</definedName>
    <definedName name="ㅎㄹㅇㅎㅇㄹ홍로" hidden="1">{"'7-2지역별'!$A$1:$R$44"}</definedName>
    <definedName name="ㅎㄹ옰" hidden="1">{#N/A,#N/A,FALSE,"단축1";#N/A,#N/A,FALSE,"단축2";#N/A,#N/A,FALSE,"단축3";#N/A,#N/A,FALSE,"장축";#N/A,#N/A,FALSE,"4WD"}</definedName>
    <definedName name="ㅎㄹ호ㅗㅓ쇼" hidden="1">{#N/A,#N/A,FALSE,"KMC최종회의(7월) 자료"}</definedName>
    <definedName name="ㅎㄹ호ㅗㅓ쇼_1" hidden="1">{#N/A,#N/A,FALSE,"KMC최종회의(7월) 자료"}</definedName>
    <definedName name="ㅎ라" hidden="1">{#N/A,#N/A,TRUE,"Y생산";#N/A,#N/A,TRUE,"Y판매";#N/A,#N/A,TRUE,"Y총물량";#N/A,#N/A,TRUE,"Y능력";#N/A,#N/A,TRUE,"YKD"}</definedName>
    <definedName name="ㅎ라_1" hidden="1">{#N/A,#N/A,TRUE,"Y생산";#N/A,#N/A,TRUE,"Y판매";#N/A,#N/A,TRUE,"Y총물량";#N/A,#N/A,TRUE,"Y능력";#N/A,#N/A,TRUE,"YKD"}</definedName>
    <definedName name="ㅎ러ㅗㅀ" hidden="1">{#N/A,#N/A,FALSE,"단축1";#N/A,#N/A,FALSE,"단축2";#N/A,#N/A,FALSE,"단축3";#N/A,#N/A,FALSE,"장축";#N/A,#N/A,FALSE,"4WD"}</definedName>
    <definedName name="ㅎ럼ㄴ앰" hidden="1">{#N/A,#N/A,FALSE,"단축1";#N/A,#N/A,FALSE,"단축2";#N/A,#N/A,FALSE,"단축3";#N/A,#N/A,FALSE,"장축";#N/A,#N/A,FALSE,"4WD"}</definedName>
    <definedName name="ㅎ로" hidden="1">{#N/A,#N/A,FALSE,"단축1";#N/A,#N/A,FALSE,"단축2";#N/A,#N/A,FALSE,"단축3";#N/A,#N/A,FALSE,"장축";#N/A,#N/A,FALSE,"4WD"}</definedName>
    <definedName name="ㅎ롤호" hidden="1">{#N/A,#N/A,FALSE,"정공"}</definedName>
    <definedName name="ㅎ룰후ㅎㅎ" hidden="1">{#N/A,#N/A,FALSE,"단축1";#N/A,#N/A,FALSE,"단축2";#N/A,#N/A,FALSE,"단축3";#N/A,#N/A,FALSE,"장축";#N/A,#N/A,FALSE,"4WD"}</definedName>
    <definedName name="ㅎㄻ" hidden="1">#REF!</definedName>
    <definedName name="ㅎㅀ" hidden="1">{#N/A,#N/A,FALSE,"단축1";#N/A,#N/A,FALSE,"단축2";#N/A,#N/A,FALSE,"단축3";#N/A,#N/A,FALSE,"장축";#N/A,#N/A,FALSE,"4WD"}</definedName>
    <definedName name="ㅎㅀㅀ" hidden="1">{#N/A,#N/A,FALSE,"단축1";#N/A,#N/A,FALSE,"단축2";#N/A,#N/A,FALSE,"단축3";#N/A,#N/A,FALSE,"장축";#N/A,#N/A,FALSE,"4WD"}</definedName>
    <definedName name="ㅎㅀㅀㅀㄹㄹ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ㅀㅀㅎㄹ" hidden="1">{#N/A,#N/A,FALSE,"품의서";#N/A,#N/A,FALSE,"전제";#N/A,#N/A,FALSE,"총손";#N/A,#N/A,FALSE,"손익"}</definedName>
    <definedName name="ㅎ쇼소ㅛ" hidden="1">{#N/A,#N/A,FALSE,"KMC최종회의(7월) 자료"}</definedName>
    <definedName name="ㅎ쇼소ㅛ_1" hidden="1">{#N/A,#N/A,FALSE,"KMC최종회의(7월) 자료"}</definedName>
    <definedName name="ㅎㅇㄹㅇㄹ호" hidden="1">{#N/A,#N/A,FALSE,"KMC최종회의(7월) 자료"}</definedName>
    <definedName name="ㅎㅇㄹㅇㄹ호_1" hidden="1">{#N/A,#N/A,FALSE,"KMC최종회의(7월) 자료"}</definedName>
    <definedName name="ㅎㅇㄹ홍ㄹ홀" hidden="1">{#N/A,#N/A,FALSE,"단축1";#N/A,#N/A,FALSE,"단축2";#N/A,#N/A,FALSE,"단축3";#N/A,#N/A,FALSE,"장축";#N/A,#N/A,FALSE,"4WD"}</definedName>
    <definedName name="ㅎㅇㅀㅇㄹㄴ" hidden="1">{#N/A,#N/A,TRUE,"Y생산";#N/A,#N/A,TRUE,"Y판매";#N/A,#N/A,TRUE,"Y총물량";#N/A,#N/A,TRUE,"Y능력";#N/A,#N/A,TRUE,"YKD"}</definedName>
    <definedName name="ㅎㅇㅇ" hidden="1">{#N/A,#N/A,FALSE,"KMC최종회의(7월) 자료"}</definedName>
    <definedName name="ㅎㅇㅇ_1" hidden="1">{#N/A,#N/A,FALSE,"KMC최종회의(7월) 자료"}</definedName>
    <definedName name="ㅎㅇㅎㅎㅇ" hidden="1">{#N/A,#N/A,FALSE,"단축1";#N/A,#N/A,FALSE,"단축2";#N/A,#N/A,FALSE,"단축3";#N/A,#N/A,FALSE,"장축";#N/A,#N/A,FALSE,"4WD"}</definedName>
    <definedName name="ㅎ유ㅠㅗㅗ" hidden="1">{#N/A,#N/A,FALSE,"KMC최종회의(7월) 자료"}</definedName>
    <definedName name="ㅎ유ㅠㅗㅗ_1" hidden="1">{#N/A,#N/A,FALSE,"KMC최종회의(7월) 자료"}</definedName>
    <definedName name="ㅎㅊㄺ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ㅍㄱㅎ" hidden="1">{#N/A,#N/A,FALSE,"단축1";#N/A,#N/A,FALSE,"단축2";#N/A,#N/A,FALSE,"단축3";#N/A,#N/A,FALSE,"장축";#N/A,#N/A,FALSE,"4WD"}</definedName>
    <definedName name="ㅎㅍㅎㅅㄱ" hidden="1">{#N/A,#N/A,TRUE,"Y생산";#N/A,#N/A,TRUE,"Y판매";#N/A,#N/A,TRUE,"Y총물량";#N/A,#N/A,TRUE,"Y능력";#N/A,#N/A,TRUE,"YKD"}</definedName>
    <definedName name="ㅎㅎㅇ" hidden="1">{#N/A,#N/A,FALSE,"KMC최종회의(7월) 자료"}</definedName>
    <definedName name="ㅎㅎㅎ" hidden="1">{#N/A,#N/A,FALSE,"KMC최종회의(7월) 자료"}</definedName>
    <definedName name="ㅎㅎㅎ_1" hidden="1">{#N/A,#N/A,FALSE,"KMC최종회의(7월) 자료"}</definedName>
    <definedName name="ㅎㅎㅎ_2" hidden="1">{#N/A,#N/A,FALSE,"KMC최종회의(7월) 자료"}</definedName>
    <definedName name="ㅎㅎㅎㄶㄹㄴㄴㄱ"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ㅎㅎㅎㄹ" hidden="1">{#N/A,#N/A,FALSE,"단축1";#N/A,#N/A,FALSE,"단축2";#N/A,#N/A,FALSE,"단축3";#N/A,#N/A,FALSE,"장축";#N/A,#N/A,FALSE,"4WD"}</definedName>
    <definedName name="ㅎㅎㅎㅇㄹ" hidden="1">{#N/A,#N/A,FALSE,"KMC최종회의(7월) 자료"}</definedName>
    <definedName name="ㅎㅎㅎㅇㄹ_1" hidden="1">{#N/A,#N/A,FALSE,"KMC최종회의(7월) 자료"}</definedName>
    <definedName name="ㅎㅎㅎㅎ" hidden="1">{#N/A,#N/A,FALSE,"단축1";#N/A,#N/A,FALSE,"단축2";#N/A,#N/A,FALSE,"단축3";#N/A,#N/A,FALSE,"장축";#N/A,#N/A,FALSE,"4WD"}</definedName>
    <definedName name="ㅎㅎㅎㅎ_1" hidden="1">{#N/A,#N/A,FALSE,"단축1";#N/A,#N/A,FALSE,"단축2";#N/A,#N/A,FALSE,"단축3";#N/A,#N/A,FALSE,"장축";#N/A,#N/A,FALSE,"4WD"}</definedName>
    <definedName name="ㅎㅎㅎㅎㅎㅎㅎ" hidden="1">{#N/A,#N/A,FALSE,"KMC최종회의(7월) 자료"}</definedName>
    <definedName name="ㅎㅎㅎㅎㅎㅎㅎㅎㅎㅎㅎㅎ" hidden="1">{#N/A,#N/A,FALSE,"신규dep";#N/A,#N/A,FALSE,"신규dep-금형상각후";#N/A,#N/A,FALSE,"신규dep-연구비상각후";#N/A,#N/A,FALSE,"신규dep-기계,공구상각후"}</definedName>
    <definedName name="ㅎㅎ흏ㅎㅎㅎ" hidden="1">{#N/A,#N/A,FALSE,"단축1";#N/A,#N/A,FALSE,"단축2";#N/A,#N/A,FALSE,"단축3";#N/A,#N/A,FALSE,"장축";#N/A,#N/A,FALSE,"4WD"}</definedName>
    <definedName name="ㅎㅎ흏ㅎㅎㅎ_1" hidden="1">{#N/A,#N/A,FALSE,"단축1";#N/A,#N/A,FALSE,"단축2";#N/A,#N/A,FALSE,"단축3";#N/A,#N/A,FALSE,"장축";#N/A,#N/A,FALSE,"4WD"}</definedName>
    <definedName name="ㅎㅎ흏ㅎㅎㅎ_2" hidden="1">{#N/A,#N/A,FALSE,"단축1";#N/A,#N/A,FALSE,"단축2";#N/A,#N/A,FALSE,"단축3";#N/A,#N/A,FALSE,"장축";#N/A,#N/A,FALSE,"4WD"}</definedName>
    <definedName name="ㅎ하" hidden="1">{#N/A,#N/A,TRUE,"Y생산";#N/A,#N/A,TRUE,"Y판매";#N/A,#N/A,TRUE,"Y총물량";#N/A,#N/A,TRUE,"Y능력";#N/A,#N/A,TRUE,"YKD"}</definedName>
    <definedName name="ㅎ하_1" hidden="1">{#N/A,#N/A,TRUE,"Y생산";#N/A,#N/A,TRUE,"Y판매";#N/A,#N/A,TRUE,"Y총물량";#N/A,#N/A,TRUE,"Y능력";#N/A,#N/A,TRUE,"YKD"}</definedName>
    <definedName name="ㅎ호쇼ㅗㅓ" hidden="1">{#N/A,#N/A,TRUE,"Y생산";#N/A,#N/A,TRUE,"Y판매";#N/A,#N/A,TRUE,"Y총물량";#N/A,#N/A,TRUE,"Y능력";#N/A,#N/A,TRUE,"YKD"}</definedName>
    <definedName name="ㅎ호ㅓㅓㅗ" hidden="1">{#N/A,#N/A,FALSE,"단축1";#N/A,#N/A,FALSE,"단축2";#N/A,#N/A,FALSE,"단축3";#N/A,#N/A,FALSE,"장축";#N/A,#N/A,FALSE,"4WD"}</definedName>
    <definedName name="ㅎ호ㅓㅓㅗ_1" hidden="1">{#N/A,#N/A,FALSE,"단축1";#N/A,#N/A,FALSE,"단축2";#N/A,#N/A,FALSE,"단축3";#N/A,#N/A,FALSE,"장축";#N/A,#N/A,FALSE,"4WD"}</definedName>
    <definedName name="ㅎ호ㅓㅓㅗ_2" hidden="1">{#N/A,#N/A,FALSE,"단축1";#N/A,#N/A,FALSE,"단축2";#N/A,#N/A,FALSE,"단축3";#N/A,#N/A,FALSE,"장축";#N/A,#N/A,FALSE,"4WD"}</definedName>
    <definedName name="ㅎ호ㅡ홏" hidden="1">{#N/A,#N/A,FALSE,"KMC최종회의(7월) 자료"}</definedName>
    <definedName name="ㅎ호ㅡ홏_1" hidden="1">{#N/A,#N/A,FALSE,"KMC최종회의(7월) 자료"}</definedName>
    <definedName name="하" hidden="1">{#N/A,#N/A,FALSE,"KMC최종회의(7월) 자료"}</definedName>
    <definedName name="하_1" hidden="1">{#N/A,#N/A,FALSE,"KMC최종회의(7월) 자료"}</definedName>
    <definedName name="하_2" hidden="1">{#N/A,#N/A,FALSE,"KMC최종회의(7월) 자료"}</definedName>
    <definedName name="하남" hidden="1">{#N/A,#N/A,FALSE,"기초1"}</definedName>
    <definedName name="하늘" hidden="1">{"'5'!$A$1:$BB$147"}</definedName>
    <definedName name="하도" hidden="1">{#N/A,#N/A,TRUE,"일정"}</definedName>
    <definedName name="하도급운영안3" hidden="1">{#N/A,#N/A,TRUE,"일정"}</definedName>
    <definedName name="하라라" hidden="1">{#N/A,#N/A,FALSE,"단축1";#N/A,#N/A,FALSE,"단축2";#N/A,#N/A,FALSE,"단축3";#N/A,#N/A,FALSE,"장축";#N/A,#N/A,FALSE,"4WD"}</definedName>
    <definedName name="하반기계획" hidden="1">{#N/A,#N/A,FALSE,"정공"}</definedName>
    <definedName name="하반기만회" hidden="1">{#N/A,#N/A,FALSE,"정공"}</definedName>
    <definedName name="하반기만회_1" hidden="1">{#N/A,#N/A,FALSE,"정공"}</definedName>
    <definedName name="하반기만회_2" hidden="1">{#N/A,#N/A,FALSE,"정공"}</definedName>
    <definedName name="하반기추정" hidden="1">{#N/A,#N/A,FALSE,"KMC최종회의(7월) 자료"}</definedName>
    <definedName name="하반기추정_1" hidden="1">{#N/A,#N/A,FALSE,"KMC최종회의(7월) 자료"}</definedName>
    <definedName name="하반기추정_2" hidden="1">{#N/A,#N/A,FALSE,"KMC최종회의(7월) 자료"}</definedName>
    <definedName name="하반기추정1" hidden="1">{#N/A,#N/A,FALSE,"KMC최종회의(7월) 자료"}</definedName>
    <definedName name="하반기투ST" hidden="1">{#N/A,#N/A,TRUE,"Y생산";#N/A,#N/A,TRUE,"Y판매";#N/A,#N/A,TRUE,"Y총물량";#N/A,#N/A,TRUE,"Y능력";#N/A,#N/A,TRUE,"YKD"}</definedName>
    <definedName name="하반기투ST_1" hidden="1">{#N/A,#N/A,TRUE,"Y생산";#N/A,#N/A,TRUE,"Y판매";#N/A,#N/A,TRUE,"Y총물량";#N/A,#N/A,TRUE,"Y능력";#N/A,#N/A,TRUE,"YKD"}</definedName>
    <definedName name="하성연" hidden="1">{"'5'!$A$1:$BB$147"}</definedName>
    <definedName name="하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하청2" hidden="1">{#N/A,#N/A,FALSE,"KMC최종회의(7월) 자료"}</definedName>
    <definedName name="하청2_1" hidden="1">{#N/A,#N/A,FALSE,"KMC최종회의(7월) 자료"}</definedName>
    <definedName name="하청2_2" hidden="1">{#N/A,#N/A,FALSE,"KMC최종회의(7월) 자료"}</definedName>
    <definedName name="하청인원" hidden="1">{#N/A,#N/A,FALSE,"KMC최종회의(7월) 자료"}</definedName>
    <definedName name="하청인원_1" hidden="1">{#N/A,#N/A,FALSE,"KMC최종회의(7월) 자료"}</definedName>
    <definedName name="하청인원_2" hidden="1">{#N/A,#N/A,FALSE,"KMC최종회의(7월) 자료"}</definedName>
    <definedName name="하하" hidden="1">{#N/A,#N/A,FALSE,"단축1";#N/A,#N/A,FALSE,"단축2";#N/A,#N/A,FALSE,"단축3";#N/A,#N/A,FALSE,"장축";#N/A,#N/A,FALSE,"4WD"}</definedName>
    <definedName name="하하_1" hidden="1">{#N/A,#N/A,FALSE,"단축1";#N/A,#N/A,FALSE,"단축2";#N/A,#N/A,FALSE,"단축3";#N/A,#N/A,FALSE,"장축";#N/A,#N/A,FALSE,"4WD"}</definedName>
    <definedName name="하하하" hidden="1">{"'5'!$A$1:$BB$147"}</definedName>
    <definedName name="하하하하하하하하하" hidden="1">{#N/A,#N/A,FALSE,"KMC최종회의(7월) 자료"}</definedName>
    <definedName name="하하핳" hidden="1">{#N/A,#N/A,FALSE,"단축1";#N/A,#N/A,FALSE,"단축2";#N/A,#N/A,FALSE,"단축3";#N/A,#N/A,FALSE,"장축";#N/A,#N/A,FALSE,"4WD"}</definedName>
    <definedName name="하하핳하하하" hidden="1">{#N/A,#N/A,FALSE,"단축1";#N/A,#N/A,FALSE,"단축2";#N/A,#N/A,FALSE,"단축3";#N/A,#N/A,FALSE,"장축";#N/A,#N/A,FALSE,"4WD"}</definedName>
    <definedName name="하하호호" hidden="1">{#N/A,#N/A,FALSE,"단축1";#N/A,#N/A,FALSE,"단축2";#N/A,#N/A,FALSE,"단축3";#N/A,#N/A,FALSE,"장축";#N/A,#N/A,FALSE,"4WD"}</definedName>
    <definedName name="하핳" hidden="1">{#N/A,#N/A,TRUE,"Y생산";#N/A,#N/A,TRUE,"Y판매";#N/A,#N/A,TRUE,"Y총물량";#N/A,#N/A,TRUE,"Y능력";#N/A,#N/A,TRUE,"YKD"}</definedName>
    <definedName name="하핳_1" hidden="1">{#N/A,#N/A,TRUE,"Y생산";#N/A,#N/A,TRUE,"Y판매";#N/A,#N/A,TRUE,"Y총물량";#N/A,#N/A,TRUE,"Y능력";#N/A,#N/A,TRUE,"YKD"}</definedName>
    <definedName name="학" hidden="1">{#N/A,#N/A,FALSE,"단축1";#N/A,#N/A,FALSE,"단축2";#N/A,#N/A,FALSE,"단축3";#N/A,#N/A,FALSE,"장축";#N/A,#N/A,FALSE,"4WD"}</definedName>
    <definedName name="학교" hidden="1">{#N/A,#N/A,FALSE,"단축1";#N/A,#N/A,FALSE,"단축2";#N/A,#N/A,FALSE,"단축3";#N/A,#N/A,FALSE,"장축";#N/A,#N/A,FALSE,"4WD"}</definedName>
    <definedName name="학다" hidden="1">{"'5'!$A$1:$BB$147"}</definedName>
    <definedName name="학이" hidden="1">{#N/A,#N/A,FALSE,"기초1";#N/A,#N/A,FALSE,"기초2"}</definedName>
    <definedName name="학자" hidden="1">{"'5'!$A$1:$BB$147"}</definedName>
    <definedName name="학자금" hidden="1">{"'5'!$A$1:$BB$147"}</definedName>
    <definedName name="한" hidden="1">{#N/A,#N/A,FALSE,"KMC최종회의(7월) 자료"}</definedName>
    <definedName name="한_1" hidden="1">{#N/A,#N/A,FALSE,"KMC최종회의(7월) 자료"}</definedName>
    <definedName name="한_2" hidden="1">{#N/A,#N/A,FALSE,"KMC최종회의(7월) 자료"}</definedName>
    <definedName name="한국" hidden="1">{#N/A,#N/A,FALSE,"단축1";#N/A,#N/A,FALSE,"단축2";#N/A,#N/A,FALSE,"단축3";#N/A,#N/A,FALSE,"장축";#N/A,#N/A,FALSE,"4WD"}</definedName>
    <definedName name="한국_1" hidden="1">{#N/A,#N/A,FALSE,"단축1";#N/A,#N/A,FALSE,"단축2";#N/A,#N/A,FALSE,"단축3";#N/A,#N/A,FALSE,"장축";#N/A,#N/A,FALSE,"4WD"}</definedName>
    <definedName name="한국_2" hidden="1">{#N/A,#N/A,FALSE,"단축1";#N/A,#N/A,FALSE,"단축2";#N/A,#N/A,FALSE,"단축3";#N/A,#N/A,FALSE,"장축";#N/A,#N/A,FALSE,"4WD"}</definedName>
    <definedName name="한국8" hidden="1">#REF!</definedName>
    <definedName name="한국9" hidden="1">#REF!</definedName>
    <definedName name="한글" hidden="1">{#N/A,#N/A,FALSE,"단축1";#N/A,#N/A,FALSE,"단축2";#N/A,#N/A,FALSE,"단축3";#N/A,#N/A,FALSE,"장축";#N/A,#N/A,FALSE,"4WD"}</definedName>
    <definedName name="한글_1" hidden="1">{#N/A,#N/A,FALSE,"단축1";#N/A,#N/A,FALSE,"단축2";#N/A,#N/A,FALSE,"단축3";#N/A,#N/A,FALSE,"장축";#N/A,#N/A,FALSE,"4WD"}</definedName>
    <definedName name="한라공조1" hidden="1">{#N/A,#N/A,FALSE,"단축1";#N/A,#N/A,FALSE,"단축2";#N/A,#N/A,FALSE,"단축3";#N/A,#N/A,FALSE,"장축";#N/A,#N/A,FALSE,"4WD"}</definedName>
    <definedName name="한미" hidden="1">#REF!</definedName>
    <definedName name="한빛수정" hidden="1">{#N/A,#N/A,FALSE,"KMC최종회의(7월) 자료"}</definedName>
    <definedName name="한빛수정_1" hidden="1">{#N/A,#N/A,FALSE,"KMC최종회의(7월) 자료"}</definedName>
    <definedName name="한영사전" hidden="1">{#N/A,#N/A,TRUE,"Y생산";#N/A,#N/A,TRUE,"Y판매";#N/A,#N/A,TRUE,"Y총물량";#N/A,#N/A,TRUE,"Y능력";#N/A,#N/A,TRUE,"YKD"}</definedName>
    <definedName name="한영사전_1" hidden="1">{#N/A,#N/A,TRUE,"Y생산";#N/A,#N/A,TRUE,"Y판매";#N/A,#N/A,TRUE,"Y총물량";#N/A,#N/A,TRUE,"Y능력";#N/A,#N/A,TRUE,"YKD"}</definedName>
    <definedName name="한영사전_2" hidden="1">{#N/A,#N/A,TRUE,"Y생산";#N/A,#N/A,TRUE,"Y판매";#N/A,#N/A,TRUE,"Y총물량";#N/A,#N/A,TRUE,"Y능력";#N/A,#N/A,TRUE,"YKD"}</definedName>
    <definedName name="한장" hidden="1">{#N/A,#N/A,FALSE,"단축1";#N/A,#N/A,FALSE,"단축2";#N/A,#N/A,FALSE,"단축3";#N/A,#N/A,FALSE,"장축";#N/A,#N/A,FALSE,"4WD"}</definedName>
    <definedName name="한진" hidden="1">{#N/A,#N/A,FALSE,"KMC최종회의(7월) 자료"}</definedName>
    <definedName name="한진_1" hidden="1">{#N/A,#N/A,FALSE,"KMC최종회의(7월) 자료"}</definedName>
    <definedName name="한진_2" hidden="1">{#N/A,#N/A,FALSE,"KMC최종회의(7월) 자료"}</definedName>
    <definedName name="한총2" hidden="1">{#N/A,#N/A,FALSE,"을지 (4)";#N/A,#N/A,FALSE,"을지 (5)";#N/A,#N/A,FALSE,"을지 (6)"}</definedName>
    <definedName name="합산" hidden="1">{#N/A,#N/A,FALSE,"단축1";#N/A,#N/A,FALSE,"단축2";#N/A,#N/A,FALSE,"단축3";#N/A,#N/A,FALSE,"장축";#N/A,#N/A,FALSE,"4WD"}</definedName>
    <definedName name="항" hidden="1">{#N/A,#N/A,FALSE,"KMC최종회의(7월) 자료"}</definedName>
    <definedName name="항_1" hidden="1">{#N/A,#N/A,FALSE,"KMC최종회의(7월) 자료"}</definedName>
    <definedName name="항_2" hidden="1">{#N/A,#N/A,FALSE,"KMC최종회의(7월) 자료"}</definedName>
    <definedName name="항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항타이동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항타이동경로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항특" hidden="1">{#N/A,#N/A,FALSE,"KMC최종회의(7월) 자료"}</definedName>
    <definedName name="항특_1" hidden="1">{#N/A,#N/A,FALSE,"KMC최종회의(7월) 자료"}</definedName>
    <definedName name="해외최종" hidden="1">{#N/A,#N/A,FALSE,"단축1";#N/A,#N/A,FALSE,"단축2";#N/A,#N/A,FALSE,"단축3";#N/A,#N/A,FALSE,"장축";#N/A,#N/A,FALSE,"4WD"}</definedName>
    <definedName name="해정" hidden="1">{#N/A,#N/A,FALSE,"단축1";#N/A,#N/A,FALSE,"단축2";#N/A,#N/A,FALSE,"단축3";#N/A,#N/A,FALSE,"장축";#N/A,#N/A,FALSE,"4WD"}</definedName>
    <definedName name="행복" hidden="1">{#N/A,#N/A,FALSE,"단축1";#N/A,#N/A,FALSE,"단축2";#N/A,#N/A,FALSE,"단축3";#N/A,#N/A,FALSE,"장축";#N/A,#N/A,FALSE,"4WD"}</definedName>
    <definedName name="행지2" hidden="1">{#N/A,#N/A,FALSE,"단축1";#N/A,#N/A,FALSE,"단축2";#N/A,#N/A,FALSE,"단축3";#N/A,#N/A,FALSE,"장축";#N/A,#N/A,FALSE,"4WD"}</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향후계획1_1" hidden="1">{#N/A,#N/A,FALSE,"단축1";#N/A,#N/A,FALSE,"단축2";#N/A,#N/A,FALSE,"단축3";#N/A,#N/A,FALSE,"장축";#N/A,#N/A,FALSE,"4WD"}</definedName>
    <definedName name="향후계획1_2" hidden="1">{#N/A,#N/A,FALSE,"단축1";#N/A,#N/A,FALSE,"단축2";#N/A,#N/A,FALSE,"단축3";#N/A,#N/A,FALSE,"장축";#N/A,#N/A,FALSE,"4WD"}</definedName>
    <definedName name="허아" hidden="1">{#N/A,#N/A,FALSE,"정공"}</definedName>
    <definedName name="허정훤" hidden="1">{#N/A,#N/A,TRUE,"Y생산";#N/A,#N/A,TRUE,"Y판매";#N/A,#N/A,TRUE,"Y총물량";#N/A,#N/A,TRUE,"Y능력";#N/A,#N/A,TRUE,"YKD"}</definedName>
    <definedName name="허준" hidden="1">{#N/A,#N/A,TRUE,"Y생산";#N/A,#N/A,TRUE,"Y판매";#N/A,#N/A,TRUE,"Y총물량";#N/A,#N/A,TRUE,"Y능력";#N/A,#N/A,TRUE,"YKD"}</definedName>
    <definedName name="허허" hidden="1">{#N/A,#N/A,TRUE,"Y생산";#N/A,#N/A,TRUE,"Y판매";#N/A,#N/A,TRUE,"Y총물량";#N/A,#N/A,TRUE,"Y능력";#N/A,#N/A,TRUE,"YKD"}</definedName>
    <definedName name="허허_1" hidden="1">{#N/A,#N/A,TRUE,"Y생산";#N/A,#N/A,TRUE,"Y판매";#N/A,#N/A,TRUE,"Y총물량";#N/A,#N/A,TRUE,"Y능력";#N/A,#N/A,TRUE,"YKD"}</definedName>
    <definedName name="허ㅏㅎ러ㅏ" hidden="1">{#N/A,#N/A,FALSE,"표지";#N/A,#N/A,FALSE,"전제";#N/A,#N/A,FALSE,"손익-자 (2)";#N/A,#N/A,FALSE,"손익-자";#N/A,#N/A,FALSE,"손익-마 (2)";#N/A,#N/A,FALSE,"손익-마";#N/A,#N/A,FALSE,"총손최종"}</definedName>
    <definedName name="허ㅓ" hidden="1">{#N/A,#N/A,FALSE,"단축1";#N/A,#N/A,FALSE,"단축2";#N/A,#N/A,FALSE,"단축3";#N/A,#N/A,FALSE,"장축";#N/A,#N/A,FALSE,"4WD"}</definedName>
    <definedName name="허ㅓ_1" hidden="1">{#N/A,#N/A,FALSE,"단축1";#N/A,#N/A,FALSE,"단축2";#N/A,#N/A,FALSE,"단축3";#N/A,#N/A,FALSE,"장축";#N/A,#N/A,FALSE,"4WD"}</definedName>
    <definedName name="헉데머ㅡ" hidden="1">{#N/A,#N/A,FALSE,"단축1";#N/A,#N/A,FALSE,"단축2";#N/A,#N/A,FALSE,"단축3";#N/A,#N/A,FALSE,"장축";#N/A,#N/A,FALSE,"4WD"}</definedName>
    <definedName name="혀ㅑㅓ" hidden="1">{#N/A,#N/A,FALSE,"KMC최종회의(7월) 자료"}</definedName>
    <definedName name="혀ㅑㅓ_1" hidden="1">{#N/A,#N/A,FALSE,"KMC최종회의(7월) 자료"}</definedName>
    <definedName name="혀ㅑㅓ_2" hidden="1">{#N/A,#N/A,FALSE,"KMC최종회의(7월) 자료"}</definedName>
    <definedName name="혁신과제제2" hidden="1">{#N/A,#N/A,FALSE,"협조전";#N/A,#N/A,FALSE,"원가절감계획 ";#N/A,#N/A,FALSE,"항목별원가절감계획"}</definedName>
    <definedName name="혁혁신신2" hidden="1">{#N/A,#N/A,FALSE,"협조전";#N/A,#N/A,FALSE,"원가절감계획 ";#N/A,#N/A,FALSE,"항목별원가절감계획"}</definedName>
    <definedName name="현" hidden="1">{#N/A,#N/A,FALSE,"표지";#N/A,#N/A,FALSE,"전제";#N/A,#N/A,FALSE,"손익-자 (2)";#N/A,#N/A,FALSE,"손익-자";#N/A,#N/A,FALSE,"손익-마 (2)";#N/A,#N/A,FALSE,"손익-마";#N/A,#N/A,FALSE,"총손최종"}</definedName>
    <definedName name="현가설계팀" hidden="1">{#N/A,#N/A,TRUE,"일정"}</definedName>
    <definedName name="현기" hidden="1">{#N/A,#N/A,FALSE,"단축1";#N/A,#N/A,FALSE,"단축2";#N/A,#N/A,FALSE,"단축3";#N/A,#N/A,FALSE,"장축";#N/A,#N/A,FALSE,"4WD"}</definedName>
    <definedName name="현대" hidden="1">{#N/A,#N/A,FALSE,"정공"}</definedName>
    <definedName name="현대_1" hidden="1">{#N/A,#N/A,FALSE,"정공"}</definedName>
    <definedName name="현대_2" hidden="1">{#N/A,#N/A,FALSE,"정공"}</definedName>
    <definedName name="현대_2_1" hidden="1">{#N/A,#N/A,FALSE,"정공"}</definedName>
    <definedName name="현대_2_2" hidden="1">{#N/A,#N/A,FALSE,"정공"}</definedName>
    <definedName name="현대_2_3" hidden="1">{#N/A,#N/A,FALSE,"정공"}</definedName>
    <definedName name="현대_3" hidden="1">{#N/A,#N/A,FALSE,"정공"}</definedName>
    <definedName name="현대_3_1" hidden="1">{#N/A,#N/A,FALSE,"정공"}</definedName>
    <definedName name="현대_3_2" hidden="1">{#N/A,#N/A,FALSE,"정공"}</definedName>
    <definedName name="현대_3_3" hidden="1">{#N/A,#N/A,FALSE,"정공"}</definedName>
    <definedName name="현대_4" hidden="1">{#N/A,#N/A,FALSE,"정공"}</definedName>
    <definedName name="현대_5" hidden="1">{#N/A,#N/A,FALSE,"정공"}</definedName>
    <definedName name="현대도면" hidden="1">{"'Sheet1'!$A$211:$M$235"}</definedName>
    <definedName name="현대우주" hidden="1">{#N/A,#N/A,FALSE,"정공"}</definedName>
    <definedName name="현대우주_1" hidden="1">{#N/A,#N/A,FALSE,"정공"}</definedName>
    <definedName name="현대우주_2" hidden="1">{#N/A,#N/A,FALSE,"정공"}</definedName>
    <definedName name="현대우주항공" hidden="1">{#N/A,#N/A,FALSE,"정공"}</definedName>
    <definedName name="현대우주항공_1" hidden="1">{#N/A,#N/A,FALSE,"정공"}</definedName>
    <definedName name="현대우주항공_2" hidden="1">{#N/A,#N/A,FALSE,"정공"}</definedName>
    <definedName name="현대자동차" hidden="1">{#N/A,#N/A,FALSE,"정공"}</definedName>
    <definedName name="현대자동차_1" hidden="1">{#N/A,#N/A,FALSE,"정공"}</definedName>
    <definedName name="현대자동차_2" hidden="1">{#N/A,#N/A,FALSE,"정공"}</definedName>
    <definedName name="현대정공" hidden="1">{#N/A,#N/A,FALSE,"정공"}</definedName>
    <definedName name="현대정공_1" hidden="1">{#N/A,#N/A,FALSE,"정공"}</definedName>
    <definedName name="현대정공_2" hidden="1">{#N/A,#N/A,FALSE,"정공"}</definedName>
    <definedName name="현대정공구매현황1" hidden="1">{#N/A,#N/A,FALSE,"정공"}</definedName>
    <definedName name="현대정공구매현황1_1" hidden="1">{#N/A,#N/A,FALSE,"정공"}</definedName>
    <definedName name="현대정공구매현황1_2" hidden="1">{#N/A,#N/A,FALSE,"정공"}</definedName>
    <definedName name="현대정공구매현황1_2_1" hidden="1">{#N/A,#N/A,FALSE,"정공"}</definedName>
    <definedName name="현대정공구매현황1_2_2" hidden="1">{#N/A,#N/A,FALSE,"정공"}</definedName>
    <definedName name="현대정공구매현황1_2_3" hidden="1">{#N/A,#N/A,FALSE,"정공"}</definedName>
    <definedName name="현대정공구매현황1_3" hidden="1">{#N/A,#N/A,FALSE,"정공"}</definedName>
    <definedName name="현대정공구매현황1_3_1" hidden="1">{#N/A,#N/A,FALSE,"정공"}</definedName>
    <definedName name="현대정공구매현황1_3_2" hidden="1">{#N/A,#N/A,FALSE,"정공"}</definedName>
    <definedName name="현대정공구매현황1_3_3" hidden="1">{#N/A,#N/A,FALSE,"정공"}</definedName>
    <definedName name="현대정공구매현황1_4" hidden="1">{#N/A,#N/A,FALSE,"정공"}</definedName>
    <definedName name="현대정공구매현황1_5" hidden="1">{#N/A,#N/A,FALSE,"정공"}</definedName>
    <definedName name="현상별" hidden="1">{#N/A,#N/A,FALSE,"KMC최종회의(7월) 자료"}</definedName>
    <definedName name="현장계기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재.1" hidden="1">{#N/A,#N/A,TRUE,"매출진척-1";#N/A,#N/A,TRUE,"매출진척-2";#N/A,#N/A,TRUE,"제품실적";#N/A,#N/A,TRUE,"RAC";#N/A,#N/A,TRUE,"PAC ";#N/A,#N/A,TRUE,"재고현황";#N/A,#N/A,TRUE,"공지사항"}</definedName>
    <definedName name="현조직변경내용" hidden="1">{#N/A,#N/A,FALSE,"단축1";#N/A,#N/A,FALSE,"단축2";#N/A,#N/A,FALSE,"단축3";#N/A,#N/A,FALSE,"장축";#N/A,#N/A,FALSE,"4WD"}</definedName>
    <definedName name="현지품년도별판매목표" hidden="1">{#N/A,#N/A,TRUE,"Y생산";#N/A,#N/A,TRUE,"Y판매";#N/A,#N/A,TRUE,"Y총물량";#N/A,#N/A,TRUE,"Y능력";#N/A,#N/A,TRUE,"YKD"}</definedName>
    <definedName name="현황" hidden="1">{#N/A,#N/A,FALSE,"단축1";#N/A,#N/A,FALSE,"단축2";#N/A,#N/A,FALSE,"단축3";#N/A,#N/A,FALSE,"장축";#N/A,#N/A,FALSE,"4WD"}</definedName>
    <definedName name="현황2" hidden="1">{#N/A,#N/A,FALSE,"단축1";#N/A,#N/A,FALSE,"단축2";#N/A,#N/A,FALSE,"단축3";#N/A,#N/A,FALSE,"장축";#N/A,#N/A,FALSE,"4WD"}</definedName>
    <definedName name="현황표2" hidden="1">{#N/A,#N/A,FALSE,"단축1";#N/A,#N/A,FALSE,"단축2";#N/A,#N/A,FALSE,"단축3";#N/A,#N/A,FALSE,"장축";#N/A,#N/A,FALSE,"4WD"}</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의" hidden="1">{#N/A,#N/A,FALSE,"단축1";#N/A,#N/A,FALSE,"단축2";#N/A,#N/A,FALSE,"단축3";#N/A,#N/A,FALSE,"장축";#N/A,#N/A,FALSE,"4WD"}</definedName>
    <definedName name="협의_1" hidden="1">{#N/A,#N/A,FALSE,"단축1";#N/A,#N/A,FALSE,"단축2";#N/A,#N/A,FALSE,"단축3";#N/A,#N/A,FALSE,"장축";#N/A,#N/A,FALSE,"4WD"}</definedName>
    <definedName name="협의_2" hidden="1">{#N/A,#N/A,FALSE,"단축1";#N/A,#N/A,FALSE,"단축2";#N/A,#N/A,FALSE,"단축3";#N/A,#N/A,FALSE,"장축";#N/A,#N/A,FALSE,"4WD"}</definedName>
    <definedName name="협정서병" hidden="1">{#N/A,#N/A,FALSE,"단축1";#N/A,#N/A,FALSE,"단축2";#N/A,#N/A,FALSE,"단축3";#N/A,#N/A,FALSE,"장축";#N/A,#N/A,FALSE,"4WD"}</definedName>
    <definedName name="협조" hidden="1">{#N/A,#N/A,FALSE,"KMC최종회의(7월) 자료"}</definedName>
    <definedName name="협조_1" hidden="1">{#N/A,#N/A,FALSE,"KMC최종회의(7월) 자료"}</definedName>
    <definedName name="협조사항" hidden="1">{#N/A,#N/A,FALSE,"단축1";#N/A,#N/A,FALSE,"단축2";#N/A,#N/A,FALSE,"단축3";#N/A,#N/A,FALSE,"장축";#N/A,#N/A,FALSE,"4WD"}</definedName>
    <definedName name="협조전" hidden="1">{#N/A,#N/A,FALSE,"정공"}</definedName>
    <definedName name="호" hidden="1">{#N/A,#N/A,FALSE,"KMC최종회의(7월) 자료"}</definedName>
    <definedName name="호_1" hidden="1">{#N/A,#N/A,FALSE,"KMC최종회의(7월) 자료"}</definedName>
    <definedName name="호_2" hidden="1">{#N/A,#N/A,FALSE,"KMC최종회의(7월) 자료"}</definedName>
    <definedName name="호녀" hidden="1">{#N/A,#N/A,FALSE,"단축1";#N/A,#N/A,FALSE,"단축2";#N/A,#N/A,FALSE,"단축3";#N/A,#N/A,FALSE,"장축";#N/A,#N/A,FALSE,"4WD"}</definedName>
    <definedName name="호라" hidden="1">{#N/A,#N/A,TRUE,"Y생산";#N/A,#N/A,TRUE,"Y판매";#N/A,#N/A,TRUE,"Y총물량";#N/A,#N/A,TRUE,"Y능력";#N/A,#N/A,TRUE,"YKD"}</definedName>
    <definedName name="호추ㅡ푸" hidden="1">{#N/A,#N/A,FALSE,"KMC최종회의(7월) 자료"}</definedName>
    <definedName name="호추ㅡ푸_1" hidden="1">{#N/A,#N/A,FALSE,"KMC최종회의(7월) 자료"}</definedName>
    <definedName name="호ㅎ허ㅗㅓ화" hidden="1">{#N/A,#N/A,FALSE,"단축1";#N/A,#N/A,FALSE,"단축2";#N/A,#N/A,FALSE,"단축3";#N/A,#N/A,FALSE,"장축";#N/A,#N/A,FALSE,"4WD"}</definedName>
    <definedName name="호하ㅣHJHH" hidden="1">{#N/A,#N/A,TRUE,"Y생산";#N/A,#N/A,TRUE,"Y판매";#N/A,#N/A,TRUE,"Y총물량";#N/A,#N/A,TRUE,"Y능력";#N/A,#N/A,TRUE,"YKD"}</definedName>
    <definedName name="호호호" hidden="1">{#N/A,#N/A,FALSE,"KMC최종회의(7월) 자료"}</definedName>
    <definedName name="호호호_1" hidden="1">{#N/A,#N/A,FALSE,"KMC최종회의(7월) 자료"}</definedName>
    <definedName name="호호호_2" hidden="1">{#N/A,#N/A,FALSE,"KMC최종회의(7월) 자료"}</definedName>
    <definedName name="호호호호호호호호호호호호호호호호호호호" hidden="1">{#N/A,#N/A,FALSE,"KMC최종회의(7월) 자료"}</definedName>
    <definedName name="호호호호ㅗ호호" hidden="1">{"'7-2지역별'!$A$1:$R$44"}</definedName>
    <definedName name="호호호호ㅗ호ㅗ" hidden="1">{"'7-2지역별'!$A$1:$R$44"}</definedName>
    <definedName name="호ㅓ" hidden="1">{#N/A,#N/A,FALSE,"KMC최종회의(7월) 자료"}</definedName>
    <definedName name="호ㅓ_1" hidden="1">{#N/A,#N/A,FALSE,"KMC최종회의(7월) 자료"}</definedName>
    <definedName name="호ㅓ_2" hidden="1">{#N/A,#N/A,FALSE,"KMC최종회의(7월) 자료"}</definedName>
    <definedName name="호ㅓ호ㅓ" hidden="1">{#N/A,#N/A,FALSE,"신규dep";#N/A,#N/A,FALSE,"신규dep-금형상각후";#N/A,#N/A,FALSE,"신규dep-연구비상각후";#N/A,#N/A,FALSE,"신규dep-기계,공구상각후"}</definedName>
    <definedName name="호ㅓ호ㅡㅗ" hidden="1">{#N/A,#N/A,FALSE,"KMC최종회의(7월) 자료"}</definedName>
    <definedName name="호ㅓ호ㅡㅗ_1" hidden="1">{#N/A,#N/A,FALSE,"KMC최종회의(7월) 자료"}</definedName>
    <definedName name="호ㅓㅏ" hidden="1">{#N/A,#N/A,FALSE,"96 3월물량표";#N/A,#N/A,FALSE,"96 4월물량표";#N/A,#N/A,FALSE,"96 5월물량표"}</definedName>
    <definedName name="호ㅓㅏ_1" hidden="1">{#N/A,#N/A,FALSE,"96 3월물량표";#N/A,#N/A,FALSE,"96 4월물량표";#N/A,#N/A,FALSE,"96 5월물량표"}</definedName>
    <definedName name="호ㅓㅗ" hidden="1">{#N/A,#N/A,FALSE,"단축1";#N/A,#N/A,FALSE,"단축2";#N/A,#N/A,FALSE,"단축3";#N/A,#N/A,FALSE,"장축";#N/A,#N/A,FALSE,"4WD"}</definedName>
    <definedName name="호ㅗ호호ㅗㅗ호ㅗ호ㅗㅎ" hidden="1">{#N/A,#N/A,FALSE,"정공"}</definedName>
    <definedName name="호ㅗ호호ㅗㅗㅗㅗㅗㅗㅗㅗ" hidden="1">{#N/A,#N/A,FALSE,"정공"}</definedName>
    <definedName name="호ㅠㄹ슛" hidden="1">{#N/A,#N/A,FALSE,"단축1";#N/A,#N/A,FALSE,"단축2";#N/A,#N/A,FALSE,"단축3";#N/A,#N/A,FALSE,"장축";#N/A,#N/A,FALSE,"4WD"}</definedName>
    <definedName name="호ㅠㅗㅛㅓ" hidden="1">{#N/A,#N/A,TRUE,"Y생산";#N/A,#N/A,TRUE,"Y판매";#N/A,#N/A,TRUE,"Y총물량";#N/A,#N/A,TRUE,"Y능력";#N/A,#N/A,TRUE,"YKD"}</definedName>
    <definedName name="호ㅡㄹ훝루" hidden="1">{#N/A,#N/A,FALSE,"KMC최종회의(7월) 자료"}</definedName>
    <definedName name="호ㅡㄹ훝루_1" hidden="1">{#N/A,#N/A,FALSE,"KMC최종회의(7월) 자료"}</definedName>
    <definedName name="호ㅡ호ㅡ호ㅓㅡ" hidden="1">{#N/A,#N/A,FALSE,"KMC최종회의(7월) 자료"}</definedName>
    <definedName name="호ㅡ호ㅡ호ㅓㅡ_1" hidden="1">{#N/A,#N/A,FALSE,"KMC최종회의(7월) 자료"}</definedName>
    <definedName name="호ㅡ흐ㅗㅡㅊ" hidden="1">{#N/A,#N/A,FALSE,"KMC최종회의(7월) 자료"}</definedName>
    <definedName name="호ㅡ흐ㅗㅡㅊ_1" hidden="1">{#N/A,#N/A,FALSE,"KMC최종회의(7월) 자료"}</definedName>
    <definedName name="호ㅡㅡㅊ토ㅡ" hidden="1">{#N/A,#N/A,FALSE,"KMC최종회의(7월) 자료"}</definedName>
    <definedName name="호ㅡㅡㅊ토ㅡ_1" hidden="1">{#N/A,#N/A,FALSE,"KMC최종회의(7월) 자료"}</definedName>
    <definedName name="호ㅡㅡㅓ" hidden="1">{#N/A,#N/A,FALSE,"KMC최종회의(7월) 자료"}</definedName>
    <definedName name="호ㅡㅡㅓ_1" hidden="1">{#N/A,#N/A,FALSE,"KMC최종회의(7월) 자료"}</definedName>
    <definedName name="혼아혼ㅇ러ㅣㄴ어ㅏㅣㅇ" hidden="1">{#N/A,#N/A,TRUE,"Y생산";#N/A,#N/A,TRUE,"Y판매";#N/A,#N/A,TRUE,"Y총물량";#N/A,#N/A,TRUE,"Y능력";#N/A,#N/A,TRUE,"YKD"}</definedName>
    <definedName name="홀_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_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홀" hidden="1">{#N/A,#N/A,FALSE,"단축1";#N/A,#N/A,FALSE,"단축2";#N/A,#N/A,FALSE,"단축3";#N/A,#N/A,FALSE,"장축";#N/A,#N/A,FALSE,"4WD"}</definedName>
    <definedName name="홈" hidden="1">{#N/A,#N/A,FALSE,"단축1";#N/A,#N/A,FALSE,"단축2";#N/A,#N/A,FALSE,"단축3";#N/A,#N/A,FALSE,"장축";#N/A,#N/A,FALSE,"4WD"}</definedName>
    <definedName name="홍" hidden="1">{#N/A,#N/A,FALSE,"96 3월물량표";#N/A,#N/A,FALSE,"96 4월물량표";#N/A,#N/A,FALSE,"96 5월물량표"}</definedName>
    <definedName name="홍_1" hidden="1">{#N/A,#N/A,FALSE,"96 3월물량표";#N/A,#N/A,FALSE,"96 4월물량표";#N/A,#N/A,FALSE,"96 5월물량표"}</definedName>
    <definedName name="홍길동" hidden="1">{#N/A,#N/A,FALSE,"단축1";#N/A,#N/A,FALSE,"단축2";#N/A,#N/A,FALSE,"단축3";#N/A,#N/A,FALSE,"장축";#N/A,#N/A,FALSE,"4WD"}</definedName>
    <definedName name="홍랑혼" hidden="1">{#N/A,#N/A,FALSE,"단축1";#N/A,#N/A,FALSE,"단축2";#N/A,#N/A,FALSE,"단축3";#N/A,#N/A,FALSE,"장축";#N/A,#N/A,FALSE,"4WD"}</definedName>
    <definedName name="홍승노" hidden="1">{#N/A,#N/A,TRUE,"Y생산";#N/A,#N/A,TRUE,"Y판매";#N/A,#N/A,TRUE,"Y총물량";#N/A,#N/A,TRUE,"Y능력";#N/A,#N/A,TRUE,"YKD"}</definedName>
    <definedName name="홍승노_1" hidden="1">{#N/A,#N/A,TRUE,"Y생산";#N/A,#N/A,TRUE,"Y판매";#N/A,#N/A,TRUE,"Y총물량";#N/A,#N/A,TRUE,"Y능력";#N/A,#N/A,TRUE,"YKD"}</definedName>
    <definedName name="홍진" hidden="1">{#N/A,#N/A,FALSE,"단축1";#N/A,#N/A,FALSE,"단축2";#N/A,#N/A,FALSE,"단축3";#N/A,#N/A,FALSE,"장축";#N/A,#N/A,FALSE,"4WD"}</definedName>
    <definedName name="홍호" hidden="1">{#N/A,#N/A,FALSE,"단축1";#N/A,#N/A,FALSE,"단축2";#N/A,#N/A,FALSE,"단축3";#N/A,#N/A,FALSE,"장축";#N/A,#N/A,FALSE,"4WD"}</definedName>
    <definedName name="화성" hidden="1">#REF!</definedName>
    <definedName name="환" hidden="1">{#N/A,#N/A,FALSE,"KMC최종회의(7월) 자료"}</definedName>
    <definedName name="환_1" hidden="1">{#N/A,#N/A,FALSE,"KMC최종회의(7월) 자료"}</definedName>
    <definedName name="환_2" hidden="1">{#N/A,#N/A,FALSE,"KMC최종회의(7월) 자료"}</definedName>
    <definedName name="환산수량수정" hidden="1">{#N/A,#N/A,FALSE,"KMC최종회의(7월) 자료"}</definedName>
    <definedName name="환산수량수정_1" hidden="1">{#N/A,#N/A,FALSE,"KMC최종회의(7월) 자료"}</definedName>
    <definedName name="환산수량수정_2" hidden="1">{#N/A,#N/A,FALSE,"KMC최종회의(7월) 자료"}</definedName>
    <definedName name="활용" hidden="1">{#N/A,#N/A,FALSE,"KMC최종회의(7월) 자료"}</definedName>
    <definedName name="황" hidden="1">{#N/A,#N/A,FALSE,"KMC최종회의(7월) 자료"}</definedName>
    <definedName name="황_1" hidden="1">{#N/A,#N/A,FALSE,"KMC최종회의(7월) 자료"}</definedName>
    <definedName name="황_2" hidden="1">{#N/A,#N/A,FALSE,"KMC최종회의(7월) 자료"}</definedName>
    <definedName name="황22" hidden="1">{#N/A,#N/A,FALSE,"KMC최종회의(7월) 자료"}</definedName>
    <definedName name="황달" hidden="1">{#N/A,#N/A,FALSE,"표지";#N/A,#N/A,FALSE,"전제";#N/A,#N/A,FALSE,"대당";#N/A,#N/A,FALSE,"가공비";#N/A,#N/A,FALSE,"재료비";#N/A,#N/A,FALSE,"손익"}</definedName>
    <definedName name="황당" hidden="1">{#N/A,#N/A,FALSE,"단축1";#N/A,#N/A,FALSE,"단축2";#N/A,#N/A,FALSE,"단축3";#N/A,#N/A,FALSE,"장축";#N/A,#N/A,FALSE,"4WD"}</definedName>
    <definedName name="황당1" hidden="1">{#N/A,#N/A,FALSE,"단축1";#N/A,#N/A,FALSE,"단축2";#N/A,#N/A,FALSE,"단축3";#N/A,#N/A,FALSE,"장축";#N/A,#N/A,FALSE,"4WD"}</definedName>
    <definedName name="황당3" hidden="1">{#N/A,#N/A,FALSE,"단축1";#N/A,#N/A,FALSE,"단축2";#N/A,#N/A,FALSE,"단축3";#N/A,#N/A,FALSE,"장축";#N/A,#N/A,FALSE,"4WD"}</definedName>
    <definedName name="황당4" hidden="1">{#N/A,#N/A,FALSE,"단축1";#N/A,#N/A,FALSE,"단축2";#N/A,#N/A,FALSE,"단축3";#N/A,#N/A,FALSE,"장축";#N/A,#N/A,FALSE,"4WD"}</definedName>
    <definedName name="황당9" hidden="1">{#N/A,#N/A,FALSE,"품의서";#N/A,#N/A,FALSE,"전제";#N/A,#N/A,FALSE,"총손";#N/A,#N/A,FALSE,"손익";#N/A,#N/A,FALSE,"대당";#N/A,#N/A,FALSE,"가공비";#N/A,#N/A,FALSE,"재료비";#N/A,#N/A,FALSE,"판비";#N/A,#N/A,FALSE,"가격"}</definedName>
    <definedName name="황승하" hidden="1">{#N/A,#N/A,FALSE,"KMC최종회의(7월) 자료"}</definedName>
    <definedName name="회계잔액" hidden="1">#REF!</definedName>
    <definedName name="회수" hidden="1">{#N/A,#N/A,FALSE,"정공"}</definedName>
    <definedName name="회수2" hidden="1">{#N/A,#N/A,FALSE,"단축1";#N/A,#N/A,FALSE,"단축2";#N/A,#N/A,FALSE,"단축3";#N/A,#N/A,FALSE,"장축";#N/A,#N/A,FALSE,"4WD"}</definedName>
    <definedName name="회수실적" hidden="1">{#N/A,#N/A,FALSE,"KMC최종회의(7월) 자료"}</definedName>
    <definedName name="회신현황" hidden="1">{#N/A,#N/A,TRUE,"Y생산";#N/A,#N/A,TRUE,"Y판매";#N/A,#N/A,TRUE,"Y총물량";#N/A,#N/A,TRUE,"Y능력";#N/A,#N/A,TRUE,"YKD"}</definedName>
    <definedName name="회의요청" hidden="1">{#N/A,#N/A,FALSE,"단축1";#N/A,#N/A,FALSE,"단축2";#N/A,#N/A,FALSE,"단축3";#N/A,#N/A,FALSE,"장축";#N/A,#N/A,FALSE,"4WD"}</definedName>
    <definedName name="회의운영" hidden="1">{#N/A,#N/A,FALSE,"KMC최종회의(7월) 자료"}</definedName>
    <definedName name="회의운영_1" hidden="1">{#N/A,#N/A,FALSE,"KMC최종회의(7월) 자료"}</definedName>
    <definedName name="회의운영_2" hidden="1">{#N/A,#N/A,FALSE,"KMC최종회의(7월) 자료"}</definedName>
    <definedName name="회장1" hidden="1">{#N/A,#N/A,FALSE,"단축1";#N/A,#N/A,FALSE,"단축2";#N/A,#N/A,FALSE,"단축3";#N/A,#N/A,FALSE,"장축";#N/A,#N/A,FALSE,"4WD"}</definedName>
    <definedName name="회장님" hidden="1">{#N/A,#N/A,FALSE,"단축1";#N/A,#N/A,FALSE,"단축2";#N/A,#N/A,FALSE,"단축3";#N/A,#N/A,FALSE,"장축";#N/A,#N/A,FALSE,"4WD"}</definedName>
    <definedName name="회장님업무보고재재수정" hidden="1">{"'5'!$A$1:$BB$147"}</definedName>
    <definedName name="회장사전보고" hidden="1">{#N/A,#N/A,FALSE,"단축1";#N/A,#N/A,FALSE,"단축2";#N/A,#N/A,FALSE,"단축3";#N/A,#N/A,FALSE,"장축";#N/A,#N/A,FALSE,"4WD"}</definedName>
    <definedName name="효어ㅏㅣㅇ" hidden="1">{#N/A,#N/A,FALSE,"단축1";#N/A,#N/A,FALSE,"단축2";#N/A,#N/A,FALSE,"단축3";#N/A,#N/A,FALSE,"장축";#N/A,#N/A,FALSE,"4WD"}</definedName>
    <definedName name="효율2" hidden="1">{#N/A,#N/A,FALSE,"인원";#N/A,#N/A,FALSE,"비용2";#N/A,#N/A,FALSE,"비용1";#N/A,#N/A,FALSE,"비용";#N/A,#N/A,FALSE,"보증2";#N/A,#N/A,FALSE,"보증1";#N/A,#N/A,FALSE,"보증";#N/A,#N/A,FALSE,"손익1";#N/A,#N/A,FALSE,"손익";#N/A,#N/A,FALSE,"부서별매출";#N/A,#N/A,FALSE,"매출"}</definedName>
    <definedName name="효ㅗ효ㅏㅛㅕㅏㅏㅣ" hidden="1">{#N/A,#N/A,FALSE,"신규dep";#N/A,#N/A,FALSE,"신규dep-금형상각후";#N/A,#N/A,FALSE,"신규dep-연구비상각후";#N/A,#N/A,FALSE,"신규dep-기계,공구상각후"}</definedName>
    <definedName name="후ㅛㅡ" hidden="1">{#N/A,#N/A,FALSE,"단축1";#N/A,#N/A,FALSE,"단축2";#N/A,#N/A,FALSE,"단축3";#N/A,#N/A,FALSE,"장축";#N/A,#N/A,FALSE,"4WD"}</definedName>
    <definedName name="훌쇼ㅛㄷㅇ고ㅛㅈㄷ" hidden="1">{#N/A,#N/A,FALSE,"KMC최종회의(7월) 자료"}</definedName>
    <definedName name="훌쇼ㅛㄷㅇ고ㅛㅈㄷ_1" hidden="1">{#N/A,#N/A,FALSE,"KMC최종회의(7월) 자료"}</definedName>
    <definedName name="훼손3" hidden="1">{#N/A,#N/A,FALSE,"단축1";#N/A,#N/A,FALSE,"단축2";#N/A,#N/A,FALSE,"단축3";#N/A,#N/A,FALSE,"장축";#N/A,#N/A,FALSE,"4WD"}</definedName>
    <definedName name="휴가" hidden="1">{#N/A,#N/A,TRUE,"Y생산";#N/A,#N/A,TRUE,"Y판매";#N/A,#N/A,TRUE,"Y총물량";#N/A,#N/A,TRUE,"Y능력";#N/A,#N/A,TRUE,"YKD"}</definedName>
    <definedName name="휴가_1" hidden="1">{#N/A,#N/A,TRUE,"Y생산";#N/A,#N/A,TRUE,"Y판매";#N/A,#N/A,TRUE,"Y총물량";#N/A,#N/A,TRUE,"Y능력";#N/A,#N/A,TRUE,"YKD"}</definedName>
    <definedName name="휴휴ㅠㅜㅛㅝㅛ" hidden="1">{#N/A,#N/A,FALSE,"KMC최종회의(7월) 자료"}</definedName>
    <definedName name="휴휴ㅠㅜㅛㅝㅛ_1" hidden="1">{#N/A,#N/A,FALSE,"KMC최종회의(7월) 자료"}</definedName>
    <definedName name="휴ㅗ호ㅛㅛ" hidden="1">{#N/A,#N/A,FALSE,"KMC최종회의(7월) 자료"}</definedName>
    <definedName name="휴ㅗ호ㅛㅛ_1" hidden="1">{#N/A,#N/A,FALSE,"KMC최종회의(7월) 자료"}</definedName>
    <definedName name="휴ㅠㅛ굣" hidden="1">{#N/A,#N/A,FALSE,"KMC최종회의(7월) 자료"}</definedName>
    <definedName name="휴ㅠㅛ굣_1" hidden="1">{#N/A,#N/A,FALSE,"KMC최종회의(7월) 자료"}</definedName>
    <definedName name="흑먹장어" hidden="1">#REF!</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{#N/A,#N/A,FALSE,"단축1";#N/A,#N/A,FALSE,"단축2";#N/A,#N/A,FALSE,"단축3";#N/A,#N/A,FALSE,"장축";#N/A,#N/A,FALSE,"4WD"}</definedName>
    <definedName name="흡배기" hidden="1">{#N/A,#N/A,FALSE,"표지";#N/A,#N/A,FALSE,"전제";#N/A,#N/A,FALSE,"대당";#N/A,#N/A,FALSE,"가공비";#N/A,#N/A,FALSE,"재료비";#N/A,#N/A,FALSE,"손익"}</definedName>
    <definedName name="희안" hidden="1">{#N/A,#N/A,FALSE,"단축1";#N/A,#N/A,FALSE,"단축2";#N/A,#N/A,FALSE,"단축3";#N/A,#N/A,FALSE,"장축";#N/A,#N/A,FALSE,"4WD"}</definedName>
    <definedName name="히히히힣히히힣히히히히히히히힣히히" hidden="1">{#N/A,#N/A,FALSE,"KMC최종회의(7월) 자료"}</definedName>
    <definedName name="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나ㅏ" hidden="1">{#N/A,#N/A,FALSE,"KMC최종회의(7월) 자료"}</definedName>
    <definedName name="ㅏ라라" hidden="1">{#N/A,#N/A,FALSE,"단축1";#N/A,#N/A,FALSE,"단축2";#N/A,#N/A,FALSE,"단축3";#N/A,#N/A,FALSE,"장축";#N/A,#N/A,FALSE,"4WD"}</definedName>
    <definedName name="ㅏ라라_1" hidden="1">{#N/A,#N/A,FALSE,"단축1";#N/A,#N/A,FALSE,"단축2";#N/A,#N/A,FALSE,"단축3";#N/A,#N/A,FALSE,"장축";#N/A,#N/A,FALSE,"4WD"}</definedName>
    <definedName name="ㅏ밤라어" hidden="1">{#N/A,#N/A,FALSE,"단축1";#N/A,#N/A,FALSE,"단축2";#N/A,#N/A,FALSE,"단축3";#N/A,#N/A,FALSE,"장축";#N/A,#N/A,FALSE,"4WD"}</definedName>
    <definedName name="ㅏ휴" hidden="1">{#N/A,#N/A,FALSE,"초도품";#N/A,#N/A,FALSE,"초도품 (2)";#N/A,#N/A,FALSE,"초도품 (3)";#N/A,#N/A,FALSE,"초도품 (4)";#N/A,#N/A,FALSE,"초도품 (5)";#N/A,#N/A,FALSE,"초도품 (6)"}</definedName>
    <definedName name="ㅏㅏㅏ" hidden="1">{#N/A,#N/A,FALSE,"단축1";#N/A,#N/A,FALSE,"단축2";#N/A,#N/A,FALSE,"단축3";#N/A,#N/A,FALSE,"장축";#N/A,#N/A,FALSE,"4WD"}</definedName>
    <definedName name="ㅏㅏㅏ_1" hidden="1">{#N/A,#N/A,TRUE,"Y생산";#N/A,#N/A,TRUE,"Y판매";#N/A,#N/A,TRUE,"Y총물량";#N/A,#N/A,TRUE,"Y능력";#N/A,#N/A,TRUE,"YKD"}</definedName>
    <definedName name="ㅏㅏㅏ_2" hidden="1">{#N/A,#N/A,TRUE,"Y생산";#N/A,#N/A,TRUE,"Y판매";#N/A,#N/A,TRUE,"Y총물량";#N/A,#N/A,TRUE,"Y능력";#N/A,#N/A,TRUE,"YKD"}</definedName>
    <definedName name="ㅏㅏㅏㅏ" hidden="1">{#N/A,#N/A,FALSE,"단축1";#N/A,#N/A,FALSE,"단축2";#N/A,#N/A,FALSE,"단축3";#N/A,#N/A,FALSE,"장축";#N/A,#N/A,FALSE,"4WD"}</definedName>
    <definedName name="ㅏㅏㅏㅏㅏㅏ" hidden="1">{#N/A,#N/A,FALSE,"단축1";#N/A,#N/A,FALSE,"단축2";#N/A,#N/A,FALSE,"단축3";#N/A,#N/A,FALSE,"장축";#N/A,#N/A,FALSE,"4WD"}</definedName>
    <definedName name="ㅏㅑㅑㅐ" hidden="1">{#N/A,#N/A,FALSE,"KMC최종회의(7월) 자료"}</definedName>
    <definedName name="ㅏㅑㅑㅐ_1" hidden="1">{#N/A,#N/A,FALSE,"KMC최종회의(7월) 자료"}</definedName>
    <definedName name="ㅏㅑㅡ" hidden="1">{#N/A,#N/A,FALSE,"단축1";#N/A,#N/A,FALSE,"단축2";#N/A,#N/A,FALSE,"단축3";#N/A,#N/A,FALSE,"장축";#N/A,#N/A,FALSE,"4WD"}</definedName>
    <definedName name="ㅏㅓ" hidden="1">{#N/A,#N/A,FALSE,"단축1";#N/A,#N/A,FALSE,"단축2";#N/A,#N/A,FALSE,"단축3";#N/A,#N/A,FALSE,"장축";#N/A,#N/A,FALSE,"4WD"}</definedName>
    <definedName name="ㅏㅓ_1" hidden="1">{#N/A,#N/A,FALSE,"단축1";#N/A,#N/A,FALSE,"단축2";#N/A,#N/A,FALSE,"단축3";#N/A,#N/A,FALSE,"장축";#N/A,#N/A,FALSE,"4WD"}</definedName>
    <definedName name="ㅏㅓㅇ가ㅓㄹㅇ" hidden="1">{#N/A,#N/A,FALSE,"KMC최종회의(7월) 자료"}</definedName>
    <definedName name="ㅏㅓㅏㄹㅇㅎ" hidden="1">{#N/A,#N/A,TRUE,"Y생산";#N/A,#N/A,TRUE,"Y판매";#N/A,#N/A,TRUE,"Y총물량";#N/A,#N/A,TRUE,"Y능력";#N/A,#N/A,TRUE,"YKD"}</definedName>
    <definedName name="ㅏㅓㅏㄹㅇㅎ_1" hidden="1">{#N/A,#N/A,TRUE,"Y생산";#N/A,#N/A,TRUE,"Y판매";#N/A,#N/A,TRUE,"Y총물량";#N/A,#N/A,TRUE,"Y능력";#N/A,#N/A,TRUE,"YKD"}</definedName>
    <definedName name="ㅏㅓㅗ" hidden="1">{#N/A,#N/A,FALSE,"단축1";#N/A,#N/A,FALSE,"단축2";#N/A,#N/A,FALSE,"단축3";#N/A,#N/A,FALSE,"장축";#N/A,#N/A,FALSE,"4WD"}</definedName>
    <definedName name="ㅏㅓㅗㅑㅗㄹㄴㅇ" hidden="1">{#N/A,#N/A,FALSE,"신규dep";#N/A,#N/A,FALSE,"신규dep-금형상각후";#N/A,#N/A,FALSE,"신규dep-연구비상각후";#N/A,#N/A,FALSE,"신규dep-기계,공구상각후"}</definedName>
    <definedName name="ㅏㅓㅜ라" hidden="1">{#N/A,#N/A,FALSE,"신규dep";#N/A,#N/A,FALSE,"신규dep-금형상각후";#N/A,#N/A,FALSE,"신규dep-연구비상각후";#N/A,#N/A,FALSE,"신규dep-기계,공구상각후"}</definedName>
    <definedName name="ㅏㅕㅕㅏ호" hidden="1">{#N/A,#N/A,FALSE,"KMC최종회의(7월) 자료"}</definedName>
    <definedName name="ㅏㅕㅕㅏ호_1" hidden="1">{#N/A,#N/A,FALSE,"KMC최종회의(7월) 자료"}</definedName>
    <definedName name="ㅏㅗㅓㅏ" hidden="1">{"'7-2지역별'!$A$1:$R$44"}</definedName>
    <definedName name="ㅏㅗㅓㅏㅗㅓㅏ" hidden="1">{"'7-2지역별'!$A$1:$R$44"}</definedName>
    <definedName name="ㅏㅛㅓ" hidden="1">{"'매출계획'!$D$2"}</definedName>
    <definedName name="ㅏㅣ" hidden="1">{#N/A,#N/A,FALSE,"96 3월물량표";#N/A,#N/A,FALSE,"96 4월물량표";#N/A,#N/A,FALSE,"96 5월물량표"}</definedName>
    <definedName name="ㅏㅣ_1" hidden="1">{#N/A,#N/A,FALSE,"96 3월물량표";#N/A,#N/A,FALSE,"96 4월물량표";#N/A,#N/A,FALSE,"96 5월물량표"}</definedName>
    <definedName name="ㅏㅣㅁㄴㅇ러ㅏㅣㅁㄴㅇ러ㅏㅁㄴㅇ러ㅏ" hidden="1">{#N/A,#N/A,TRUE,"Y생산";#N/A,#N/A,TRUE,"Y판매";#N/A,#N/A,TRUE,"Y총물량";#N/A,#N/A,TRUE,"Y능력";#N/A,#N/A,TRUE,"YKD"}</definedName>
    <definedName name="ㅏㅣㅇㄹ" hidden="1">{"'5'!$A$1:$BB$147"}</definedName>
    <definedName name="ㅏㅣㅣㅣ" hidden="1">{#N/A,#N/A,FALSE,"단축1";#N/A,#N/A,FALSE,"단축2";#N/A,#N/A,FALSE,"단축3";#N/A,#N/A,FALSE,"장축";#N/A,#N/A,FALSE,"4WD"}</definedName>
    <definedName name="ㅏㅣㅣㅣ_1" hidden="1">{#N/A,#N/A,FALSE,"단축1";#N/A,#N/A,FALSE,"단축2";#N/A,#N/A,FALSE,"단축3";#N/A,#N/A,FALSE,"장축";#N/A,#N/A,FALSE,"4WD"}</definedName>
    <definedName name="ㅏㅣㅣㅣ_2" hidden="1">{#N/A,#N/A,FALSE,"단축1";#N/A,#N/A,FALSE,"단축2";#N/A,#N/A,FALSE,"단축3";#N/A,#N/A,FALSE,"장축";#N/A,#N/A,FALSE,"4WD"}</definedName>
    <definedName name="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ㅏ" hidden="1">{#N/A,#N/A,FALSE,"단축1";#N/A,#N/A,FALSE,"단축2";#N/A,#N/A,FALSE,"단축3";#N/A,#N/A,FALSE,"장축";#N/A,#N/A,FALSE,"4WD"}</definedName>
    <definedName name="ㅐㅐ" hidden="1">{#N/A,#N/A,FALSE,"단축1";#N/A,#N/A,FALSE,"단축2";#N/A,#N/A,FALSE,"단축3";#N/A,#N/A,FALSE,"장축";#N/A,#N/A,FALSE,"4WD"}</definedName>
    <definedName name="ㅐㅐ_1" hidden="1">{#N/A,#N/A,FALSE,"단축1";#N/A,#N/A,FALSE,"단축2";#N/A,#N/A,FALSE,"단축3";#N/A,#N/A,FALSE,"장축";#N/A,#N/A,FALSE,"4WD"}</definedName>
    <definedName name="ㅐㅐ_2" hidden="1">{#N/A,#N/A,FALSE,"단축1";#N/A,#N/A,FALSE,"단축2";#N/A,#N/A,FALSE,"단축3";#N/A,#N/A,FALSE,"장축";#N/A,#N/A,FALSE,"4WD"}</definedName>
    <definedName name="ㅐㅐㅏ" hidden="1">{#N/A,#N/A,FALSE,"단축1";#N/A,#N/A,FALSE,"단축2";#N/A,#N/A,FALSE,"단축3";#N/A,#N/A,FALSE,"장축";#N/A,#N/A,FALSE,"4WD"}</definedName>
    <definedName name="ㅐㅐㅐ" hidden="1">{#N/A,#N/A,FALSE,"을지 (4)";#N/A,#N/A,FALSE,"을지 (5)";#N/A,#N/A,FALSE,"을지 (6)"}</definedName>
    <definedName name="ㅐㅐㅐㅐ" hidden="1">{#N/A,#N/A,FALSE,"단축1";#N/A,#N/A,FALSE,"단축2";#N/A,#N/A,FALSE,"단축3";#N/A,#N/A,FALSE,"장축";#N/A,#N/A,FALSE,"4WD"}</definedName>
    <definedName name="ㅐㅑㄱ덕" hidden="1">{#N/A,#N/A,FALSE,"단축1";#N/A,#N/A,FALSE,"단축2";#N/A,#N/A,FALSE,"단축3";#N/A,#N/A,FALSE,"장축";#N/A,#N/A,FALSE,"4WD"}</definedName>
    <definedName name="ㅐㅓㅐㅔㅓ" hidden="1">{#N/A,#N/A,FALSE,"단축1";#N/A,#N/A,FALSE,"단축2";#N/A,#N/A,FALSE,"단축3";#N/A,#N/A,FALSE,"장축";#N/A,#N/A,FALSE,"4WD"}</definedName>
    <definedName name="ㅐㅔㅐㅔ" hidden="1">{#N/A,#N/A,FALSE,"단축1";#N/A,#N/A,FALSE,"단축2";#N/A,#N/A,FALSE,"단축3";#N/A,#N/A,FALSE,"장축";#N/A,#N/A,FALSE,"4WD"}</definedName>
    <definedName name="ㅐㅔㅔㅔ" hidden="1">{#N/A,#N/A,FALSE,"KMC최종회의(7월) 자료"}</definedName>
    <definedName name="ㅐㅣㅗ" hidden="1">{#N/A,#N/A,FALSE,"단축1";#N/A,#N/A,FALSE,"단축2";#N/A,#N/A,FALSE,"단축3";#N/A,#N/A,FALSE,"장축";#N/A,#N/A,FALSE,"4WD"}</definedName>
    <definedName name="ㅑ" hidden="1">{#N/A,#N/A,TRUE,"일정"}</definedName>
    <definedName name="ㅑ랄러ㅗㅓㄹ" hidden="1">#REF!</definedName>
    <definedName name="ㅑㅫㅐㅍ" hidden="1">{#N/A,#N/A,FALSE,"단축1";#N/A,#N/A,FALSE,"단축2";#N/A,#N/A,FALSE,"단축3";#N/A,#N/A,FALSE,"장축";#N/A,#N/A,FALSE,"4WD"}</definedName>
    <definedName name="ㅑ숑ㅎㅁㄹㄴㄴㅁ" hidden="1">{#N/A,#N/A,FALSE,"단축1";#N/A,#N/A,FALSE,"단축2";#N/A,#N/A,FALSE,"단축3";#N/A,#N/A,FALSE,"장축";#N/A,#N/A,FALSE,"4WD"}</definedName>
    <definedName name="ㅑㅎㄹㅇㅀㅀ" hidden="1">{#N/A,#N/A,FALSE,"단축1";#N/A,#N/A,FALSE,"단축2";#N/A,#N/A,FALSE,"단축3";#N/A,#N/A,FALSE,"장축";#N/A,#N/A,FALSE,"4WD"}</definedName>
    <definedName name="ㅑㅏㅏㅏㅏ" hidden="1">{#N/A,#N/A,FALSE,"단축1";#N/A,#N/A,FALSE,"단축2";#N/A,#N/A,FALSE,"단축3";#N/A,#N/A,FALSE,"장축";#N/A,#N/A,FALSE,"4WD"}</definedName>
    <definedName name="ㅑㅐ무ㅏㅣ" hidden="1">{#N/A,#N/A,FALSE,"단축1";#N/A,#N/A,FALSE,"단축2";#N/A,#N/A,FALSE,"단축3";#N/A,#N/A,FALSE,"장축";#N/A,#N/A,FALSE,"4WD"}</definedName>
    <definedName name="ㅑㅐㅑㅐㅐㅑㅐㅑㅐㅑㅐㅐㅑ" hidden="1">{#N/A,#N/A,FALSE,"KMC최종회의(7월) 자료"}</definedName>
    <definedName name="ㅑㅐㅔㅕㅑㅐ" hidden="1">{#N/A,#N/A,FALSE,"단축1";#N/A,#N/A,FALSE,"단축2";#N/A,#N/A,FALSE,"단축3";#N/A,#N/A,FALSE,"장축";#N/A,#N/A,FALSE,"4WD"}</definedName>
    <definedName name="ㅑㅑ" hidden="1">{#N/A,#N/A,FALSE,"단축1";#N/A,#N/A,FALSE,"단축2";#N/A,#N/A,FALSE,"단축3";#N/A,#N/A,FALSE,"장축";#N/A,#N/A,FALSE,"4WD"}</definedName>
    <definedName name="ㅑㅑ_1" hidden="1">{#N/A,#N/A,FALSE,"KMC최종회의(7월) 자료"}</definedName>
    <definedName name="ㅑㅑㅏㅏㅓ" hidden="1">{#N/A,#N/A,FALSE,"단축1";#N/A,#N/A,FALSE,"단축2";#N/A,#N/A,FALSE,"단축3";#N/A,#N/A,FALSE,"장축";#N/A,#N/A,FALSE,"4WD"}</definedName>
    <definedName name="ㅑㅑㅑ" hidden="1">{#N/A,#N/A,FALSE,"초도품";#N/A,#N/A,FALSE,"초도품 (2)";#N/A,#N/A,FALSE,"초도품 (3)";#N/A,#N/A,FALSE,"초도품 (4)";#N/A,#N/A,FALSE,"초도품 (5)";#N/A,#N/A,FALSE,"초도품 (6)"}</definedName>
    <definedName name="ㅑㅓㅣㅏㅓ" hidden="1">{#N/A,#N/A,FALSE,"단축1";#N/A,#N/A,FALSE,"단축2";#N/A,#N/A,FALSE,"단축3";#N/A,#N/A,FALSE,"장축";#N/A,#N/A,FALSE,"4WD"}</definedName>
    <definedName name="ㅑㅕㅑㅑㅕㅑ" hidden="1">{#N/A,#N/A,FALSE,"KMC최종회의(7월) 자료"}</definedName>
    <definedName name="ㅑㅕㅑㅑㅕㅑ_1" hidden="1">{#N/A,#N/A,FALSE,"KMC최종회의(7월) 자료"}</definedName>
    <definedName name="ㅑㅘㅕㅓㅎㄹ" hidden="1">{#N/A,#N/A,FALSE,"단축1";#N/A,#N/A,FALSE,"단축2";#N/A,#N/A,FALSE,"단축3";#N/A,#N/A,FALSE,"장축";#N/A,#N/A,FALSE,"4WD"}</definedName>
    <definedName name="ㅑㅣㅐㅍ" hidden="1">{#N/A,#N/A,FALSE,"단축1";#N/A,#N/A,FALSE,"단축2";#N/A,#N/A,FALSE,"단축3";#N/A,#N/A,FALSE,"장축";#N/A,#N/A,FALSE,"4WD"}</definedName>
    <definedName name="ㅓ" hidden="1">{#N/A,#N/A,TRUE,"Y생산";#N/A,#N/A,TRUE,"Y판매";#N/A,#N/A,TRUE,"Y총물량";#N/A,#N/A,TRUE,"Y능력";#N/A,#N/A,TRUE,"YKD"}</definedName>
    <definedName name="ㅓ_1" hidden="1">{#N/A,#N/A,TRUE,"Y생산";#N/A,#N/A,TRUE,"Y판매";#N/A,#N/A,TRUE,"Y총물량";#N/A,#N/A,TRUE,"Y능력";#N/A,#N/A,TRUE,"YKD"}</definedName>
    <definedName name="ㅓ_2" hidden="1">{#N/A,#N/A,TRUE,"Y생산";#N/A,#N/A,TRUE,"Y판매";#N/A,#N/A,TRUE,"Y총물량";#N/A,#N/A,TRUE,"Y능력";#N/A,#N/A,TRUE,"YKD"}</definedName>
    <definedName name="ㅓ_2_1" hidden="1">{#N/A,#N/A,TRUE,"Y생산";#N/A,#N/A,TRUE,"Y판매";#N/A,#N/A,TRUE,"Y총물량";#N/A,#N/A,TRUE,"Y능력";#N/A,#N/A,TRUE,"YKD"}</definedName>
    <definedName name="ㅓ_2_2" hidden="1">{#N/A,#N/A,TRUE,"Y생산";#N/A,#N/A,TRUE,"Y판매";#N/A,#N/A,TRUE,"Y총물량";#N/A,#N/A,TRUE,"Y능력";#N/A,#N/A,TRUE,"YKD"}</definedName>
    <definedName name="ㅓ_2_3" hidden="1">{#N/A,#N/A,TRUE,"Y생산";#N/A,#N/A,TRUE,"Y판매";#N/A,#N/A,TRUE,"Y총물량";#N/A,#N/A,TRUE,"Y능력";#N/A,#N/A,TRUE,"YKD"}</definedName>
    <definedName name="ㅓ_3" hidden="1">{#N/A,#N/A,TRUE,"Y생산";#N/A,#N/A,TRUE,"Y판매";#N/A,#N/A,TRUE,"Y총물량";#N/A,#N/A,TRUE,"Y능력";#N/A,#N/A,TRUE,"YKD"}</definedName>
    <definedName name="ㅓ_3_1" hidden="1">{#N/A,#N/A,TRUE,"Y생산";#N/A,#N/A,TRUE,"Y판매";#N/A,#N/A,TRUE,"Y총물량";#N/A,#N/A,TRUE,"Y능력";#N/A,#N/A,TRUE,"YKD"}</definedName>
    <definedName name="ㅓ_3_2" hidden="1">{#N/A,#N/A,TRUE,"Y생산";#N/A,#N/A,TRUE,"Y판매";#N/A,#N/A,TRUE,"Y총물량";#N/A,#N/A,TRUE,"Y능력";#N/A,#N/A,TRUE,"YKD"}</definedName>
    <definedName name="ㅓ_3_3" hidden="1">{#N/A,#N/A,TRUE,"Y생산";#N/A,#N/A,TRUE,"Y판매";#N/A,#N/A,TRUE,"Y총물량";#N/A,#N/A,TRUE,"Y능력";#N/A,#N/A,TRUE,"YKD"}</definedName>
    <definedName name="ㅓ_4" hidden="1">{#N/A,#N/A,TRUE,"Y생산";#N/A,#N/A,TRUE,"Y판매";#N/A,#N/A,TRUE,"Y총물량";#N/A,#N/A,TRUE,"Y능력";#N/A,#N/A,TRUE,"YKD"}</definedName>
    <definedName name="ㅓ_5" hidden="1">{#N/A,#N/A,TRUE,"Y생산";#N/A,#N/A,TRUE,"Y판매";#N/A,#N/A,TRUE,"Y총물량";#N/A,#N/A,TRUE,"Y능력";#N/A,#N/A,TRUE,"YKD"}</definedName>
    <definedName name="ㅓㄹ" hidden="1">{#N/A,#N/A,TRUE,"일정"}</definedName>
    <definedName name="ㅓ로럴" hidden="1">{#N/A,#N/A,FALSE,"단축1";#N/A,#N/A,FALSE,"단축2";#N/A,#N/A,FALSE,"단축3";#N/A,#N/A,FALSE,"장축";#N/A,#N/A,FALSE,"4WD"}</definedName>
    <definedName name="ㅓ로럴_1" hidden="1">{#N/A,#N/A,FALSE,"단축1";#N/A,#N/A,FALSE,"단축2";#N/A,#N/A,FALSE,"단축3";#N/A,#N/A,FALSE,"장축";#N/A,#N/A,FALSE,"4WD"}</definedName>
    <definedName name="ㅓ로럴_2" hidden="1">{#N/A,#N/A,FALSE,"단축1";#N/A,#N/A,FALSE,"단축2";#N/A,#N/A,FALSE,"단축3";#N/A,#N/A,FALSE,"장축";#N/A,#N/A,FALSE,"4WD"}</definedName>
    <definedName name="ㅓ오러호" hidden="1">{#N/A,#N/A,FALSE,"단축1";#N/A,#N/A,FALSE,"단축2";#N/A,#N/A,FALSE,"단축3";#N/A,#N/A,FALSE,"장축";#N/A,#N/A,FALSE,"4WD"}</definedName>
    <definedName name="ㅓㅎ" hidden="1">{#N/A,#N/A,FALSE,"정공"}</definedName>
    <definedName name="ㅓㅎ_1" hidden="1">{#N/A,#N/A,FALSE,"정공"}</definedName>
    <definedName name="ㅓㅎ_2" hidden="1">{#N/A,#N/A,FALSE,"정공"}</definedName>
    <definedName name="ㅓㅎㄹ" hidden="1">{#N/A,#N/A,FALSE,"단축1";#N/A,#N/A,FALSE,"단축2";#N/A,#N/A,FALSE,"단축3";#N/A,#N/A,FALSE,"장축";#N/A,#N/A,FALSE,"4WD"}</definedName>
    <definedName name="ㅓㅎㅊ" hidden="1">{#N/A,#N/A,FALSE,"단축1";#N/A,#N/A,FALSE,"단축2";#N/A,#N/A,FALSE,"단축3";#N/A,#N/A,FALSE,"장축";#N/A,#N/A,FALSE,"4WD"}</definedName>
    <definedName name="ㅓ호" hidden="1">{#N/A,#N/A,FALSE,"단축1";#N/A,#N/A,FALSE,"단축2";#N/A,#N/A,FALSE,"단축3";#N/A,#N/A,FALSE,"장축";#N/A,#N/A,FALSE,"4WD"}</definedName>
    <definedName name="ㅓ호오ㅗ오녹ㄷㄷ배ㅕ겨래" hidden="1">{#N/A,#N/A,FALSE,"단축1";#N/A,#N/A,FALSE,"단축2";#N/A,#N/A,FALSE,"단축3";#N/A,#N/A,FALSE,"장축";#N/A,#N/A,FALSE,"4WD"}</definedName>
    <definedName name="ㅓ호ㅓㅓㅡㅓㅡ" hidden="1">{#N/A,#N/A,FALSE,"KMC최종회의(7월) 자료"}</definedName>
    <definedName name="ㅓ호ㅓㅓㅡㅓㅡ_1" hidden="1">{#N/A,#N/A,FALSE,"KMC최종회의(7월) 자료"}</definedName>
    <definedName name="ㅓㅏ" hidden="1">{#N/A,#N/A,FALSE,"단축1";#N/A,#N/A,FALSE,"단축2";#N/A,#N/A,FALSE,"단축3";#N/A,#N/A,FALSE,"장축";#N/A,#N/A,FALSE,"4WD"}</definedName>
    <definedName name="ㅓㅏ호ㅓ로ㅑㅗㅑㅐ햐" hidden="1">{#N/A,#N/A,FALSE,"96 3월물량표";#N/A,#N/A,FALSE,"96 4월물량표";#N/A,#N/A,FALSE,"96 5월물량표"}</definedName>
    <definedName name="ㅓㅏ호ㅓ로ㅑㅗㅑㅐ햐_1" hidden="1">{#N/A,#N/A,FALSE,"96 3월물량표";#N/A,#N/A,FALSE,"96 4월물량표";#N/A,#N/A,FALSE,"96 5월물량표"}</definedName>
    <definedName name="ㅓㅏㅏㅓ" hidden="1">{#N/A,#N/A,FALSE,"을지 (4)";#N/A,#N/A,FALSE,"을지 (5)";#N/A,#N/A,FALSE,"을지 (6)"}</definedName>
    <definedName name="ㅓㅏㅗ" hidden="1">{#N/A,#N/A,TRUE,"Y생산";#N/A,#N/A,TRUE,"Y판매";#N/A,#N/A,TRUE,"Y총물량";#N/A,#N/A,TRUE,"Y능력";#N/A,#N/A,TRUE,"YKD"}</definedName>
    <definedName name="ㅓㅏㅗ_1" hidden="1">{#N/A,#N/A,TRUE,"Y생산";#N/A,#N/A,TRUE,"Y판매";#N/A,#N/A,TRUE,"Y총물량";#N/A,#N/A,TRUE,"Y능력";#N/A,#N/A,TRUE,"YKD"}</definedName>
    <definedName name="ㅓㅏㅗㅓㅏㅗㅓ" hidden="1">{"'7-2지역별'!$A$1:$R$44"}</definedName>
    <definedName name="ㅓㅏㅣ" hidden="1">{#N/A,#N/A,TRUE,"매출진척-1";#N/A,#N/A,TRUE,"매출진척-2";#N/A,#N/A,TRUE,"제품실적";#N/A,#N/A,TRUE,"RAC";#N/A,#N/A,TRUE,"PAC ";#N/A,#N/A,TRUE,"재고현황";#N/A,#N/A,TRUE,"공지사항"}</definedName>
    <definedName name="ㅓㅏㅣㄹ" hidden="1">{#N/A,#N/A,FALSE,"단축1";#N/A,#N/A,FALSE,"단축2";#N/A,#N/A,FALSE,"단축3";#N/A,#N/A,FALSE,"장축";#N/A,#N/A,FALSE,"4WD"}</definedName>
    <definedName name="ㅓㅏㅣㅎ휴ㅜㅜㅡㅠㅍ" hidden="1">{#N/A,#N/A,FALSE,"단축1";#N/A,#N/A,FALSE,"단축2";#N/A,#N/A,FALSE,"단축3";#N/A,#N/A,FALSE,"장축";#N/A,#N/A,FALSE,"4WD"}</definedName>
    <definedName name="ㅓㅏㅣㅑㅕ" hidden="1">{"'7-2지역별'!$A$1:$R$44"}</definedName>
    <definedName name="ㅓㅏㅣㅕㅑㅔ" hidden="1">{#N/A,#N/A,FALSE,"단축1";#N/A,#N/A,FALSE,"단축2";#N/A,#N/A,FALSE,"단축3";#N/A,#N/A,FALSE,"장축";#N/A,#N/A,FALSE,"4WD"}</definedName>
    <definedName name="ㅓㅓ" hidden="1">{#N/A,#N/A,TRUE,"Y생산";#N/A,#N/A,TRUE,"Y판매";#N/A,#N/A,TRUE,"Y총물량";#N/A,#N/A,TRUE,"Y능력";#N/A,#N/A,TRUE,"YKD"}</definedName>
    <definedName name="ㅓㅓ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ㄹ_1" hidden="1">{#N/A,#N/A,FALSE,"단축1";#N/A,#N/A,FALSE,"단축2";#N/A,#N/A,FALSE,"단축3";#N/A,#N/A,FALSE,"장축";#N/A,#N/A,FALSE,"4WD"}</definedName>
    <definedName name="ㅓㅓ로" hidden="1">{#N/A,#N/A,FALSE,"단축1";#N/A,#N/A,FALSE,"단축2";#N/A,#N/A,FALSE,"단축3";#N/A,#N/A,FALSE,"장축";#N/A,#N/A,FALSE,"4WD"}</definedName>
    <definedName name="ㅓㅓㅓ" hidden="1">{#N/A,#N/A,FALSE,"단축1";#N/A,#N/A,FALSE,"단축2";#N/A,#N/A,FALSE,"단축3";#N/A,#N/A,FALSE,"장축";#N/A,#N/A,FALSE,"4WD"}</definedName>
    <definedName name="ㅓㅓㅓㅓ" hidden="1">{#N/A,#N/A,FALSE,"KMC최종회의(7월) 자료"}</definedName>
    <definedName name="ㅓㅓㅓㅓ_1" hidden="1">{#N/A,#N/A,FALSE,"KMC최종회의(7월) 자료"}</definedName>
    <definedName name="ㅓㅓㅓㅓㅓ" hidden="1">{#N/A,#N/A,FALSE,"KMC최종회의(7월) 자료"}</definedName>
    <definedName name="ㅓㅓㅓㅓㅓ_1" hidden="1">{#N/A,#N/A,FALSE,"KMC최종회의(7월) 자료"}</definedName>
    <definedName name="ㅓㅕㄹ교ㅕㅓㅛㅏ" hidden="1">{#N/A,#N/A,FALSE,"표지";#N/A,#N/A,FALSE,"을지1";#N/A,#N/A,FALSE,"일정1";#N/A,#N/A,FALSE,"일정2";#N/A,#N/A,FALSE,"11T-C";#N/A,#N/A,FALSE,"15T-D";#N/A,#N/A,FALSE,"판매현황";#N/A,#N/A,FALSE,"업무 FLOW"}</definedName>
    <definedName name="ㅓㅕㅛ6ㅕㅓㅛㅕㅓㅛ" hidden="1">{#N/A,#N/A,FALSE,"KMC최종회의(7월) 자료"}</definedName>
    <definedName name="ㅓㅕㅛ6ㅕㅓㅛㅕㅓㅛ_1" hidden="1">{#N/A,#N/A,FALSE,"KMC최종회의(7월) 자료"}</definedName>
    <definedName name="ㅓㅕㅛㅓㅛㅕㅓㅕㅛ" hidden="1">{#N/A,#N/A,FALSE,"KMC최종회의(7월) 자료"}</definedName>
    <definedName name="ㅓㅕㅛㅓㅛㅕㅓㅕㅛ_1" hidden="1">{#N/A,#N/A,FALSE,"KMC최종회의(7월) 자료"}</definedName>
    <definedName name="ㅓ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ㅓㅘ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ㅘㅗㅓㅏ" hidden="1">{"'7-2지역별'!$A$1:$R$44"}</definedName>
    <definedName name="ㅓㅛ6ㅓㅕㅓ6ㅕ7ㅓ" hidden="1">{#N/A,#N/A,FALSE,"KMC최종회의(7월) 자료"}</definedName>
    <definedName name="ㅓㅛ6ㅓㅕㅓ6ㅕ7ㅓ_1" hidden="1">{#N/A,#N/A,FALSE,"KMC최종회의(7월) 자료"}</definedName>
    <definedName name="ㅓㅛㅕ6ㅓㅓ" hidden="1">{#N/A,#N/A,FALSE,"KMC최종회의(7월) 자료"}</definedName>
    <definedName name="ㅓㅛㅕ6ㅓㅓ_1" hidden="1">{#N/A,#N/A,FALSE,"KMC최종회의(7월) 자료"}</definedName>
    <definedName name="ㅓㅛㅡㅛㅓㅡㅛㅡㅓㅛㅓㅡ" hidden="1">{#N/A,#N/A,FALSE,"KMC최종회의(7월) 자료"}</definedName>
    <definedName name="ㅓㅛㅡㅛㅓㅡㅛㅡㅓㅛㅓㅡ_1" hidden="1">{#N/A,#N/A,FALSE,"KMC최종회의(7월) 자료"}</definedName>
    <definedName name="ㅓㅡ" hidden="1">{#N/A,#N/A,FALSE,"단축1";#N/A,#N/A,FALSE,"단축2";#N/A,#N/A,FALSE,"단축3";#N/A,#N/A,FALSE,"장축";#N/A,#N/A,FALSE,"4WD"}</definedName>
    <definedName name="ㅓㅡ아ㅓㅏ이애ㅣㅇ라ㅣㄹ아" hidden="1">{#N/A,#N/A,FALSE,"단축1";#N/A,#N/A,FALSE,"단축2";#N/A,#N/A,FALSE,"단축3";#N/A,#N/A,FALSE,"장축";#N/A,#N/A,FALSE,"4WD"}</definedName>
    <definedName name="ㅓㅡㅓㅗ" hidden="1">{#N/A,#N/A,FALSE,"KMC최종회의(7월) 자료"}</definedName>
    <definedName name="ㅓㅡㅓㅗ_1" hidden="1">{#N/A,#N/A,FALSE,"KMC최종회의(7월) 자료"}</definedName>
    <definedName name="ㅓㅣ" hidden="1">{"'매출계획'!$D$2"}</definedName>
    <definedName name="ㅔ" hidden="1">{#N/A,#N/A,FALSE,"단축1";#N/A,#N/A,FALSE,"단축2";#N/A,#N/A,FALSE,"단축3";#N/A,#N/A,FALSE,"장축";#N/A,#N/A,FALSE,"4WD"}</definedName>
    <definedName name="ㅔ_1" hidden="1">{#N/A,#N/A,FALSE,"단축1";#N/A,#N/A,FALSE,"단축2";#N/A,#N/A,FALSE,"단축3";#N/A,#N/A,FALSE,"장축";#N/A,#N/A,FALSE,"4WD"}</definedName>
    <definedName name="ㅔ_2" hidden="1">{#N/A,#N/A,FALSE,"단축1";#N/A,#N/A,FALSE,"단축2";#N/A,#N/A,FALSE,"단축3";#N/A,#N/A,FALSE,"장축";#N/A,#N/A,FALSE,"4WD"}</definedName>
    <definedName name="ㅔㅔ" hidden="1">{#N/A,#N/A,FALSE,"단축1";#N/A,#N/A,FALSE,"단축2";#N/A,#N/A,FALSE,"단축3";#N/A,#N/A,FALSE,"장축";#N/A,#N/A,FALSE,"4WD"}</definedName>
    <definedName name="ㅔㅔ_1" hidden="1">{#N/A,#N/A,FALSE,"Status";#N/A,#N/A,FALSE,"Deckblatt 1";#N/A,#N/A,FALSE,"Deckblatt2"}</definedName>
    <definedName name="ㅔㅔ_2" hidden="1">{#N/A,#N/A,FALSE,"Status";#N/A,#N/A,FALSE,"Deckblatt 1";#N/A,#N/A,FALSE,"Deckblatt2"}</definedName>
    <definedName name="ㅔㅔㅔ" hidden="1">{#N/A,#N/A,FALSE,"단축1";#N/A,#N/A,FALSE,"단축2";#N/A,#N/A,FALSE,"단축3";#N/A,#N/A,FALSE,"장축";#N/A,#N/A,FALSE,"4WD"}</definedName>
    <definedName name="ㅔㅔㅔ1" hidden="1">{#N/A,#N/A,FALSE,"KMC최종회의(7월) 자료"}</definedName>
    <definedName name="ㅔㅔㅔ1_1" hidden="1">{#N/A,#N/A,FALSE,"KMC최종회의(7월) 자료"}</definedName>
    <definedName name="ㅔㅔㅔㅔ" hidden="1">{#N/A,#N/A,FALSE,"신규dep";#N/A,#N/A,FALSE,"신규dep-금형상각후";#N/A,#N/A,FALSE,"신규dep-연구비상각후";#N/A,#N/A,FALSE,"신규dep-기계,공구상각후"}</definedName>
    <definedName name="ㅔㅔㅔㅔㅔ" hidden="1">{#N/A,#N/A,FALSE,"단축1";#N/A,#N/A,FALSE,"단축2";#N/A,#N/A,FALSE,"단축3";#N/A,#N/A,FALSE,"장축";#N/A,#N/A,FALSE,"4WD"}</definedName>
    <definedName name="ㅔㅔㅔㅔㅔㅔ" hidden="1">{#N/A,#N/A,FALSE,"단축1";#N/A,#N/A,FALSE,"단축2";#N/A,#N/A,FALSE,"단축3";#N/A,#N/A,FALSE,"장축";#N/A,#N/A,FALSE,"4WD"}</definedName>
    <definedName name="ㅔㅔㅔㅔㅔㅔㅔㅔㅔㅔㅔㅔㅔㅔㅔㅔ" hidden="1">{#N/A,#N/A,FALSE,"정공"}</definedName>
    <definedName name="ㅕ" hidden="1">{#N/A,#N/A,FALSE,"단축1";#N/A,#N/A,FALSE,"단축2";#N/A,#N/A,FALSE,"단축3";#N/A,#N/A,FALSE,"장축";#N/A,#N/A,FALSE,"4WD"}</definedName>
    <definedName name="ㅕ6ㅓㅛㅓㅕㅛ" hidden="1">{#N/A,#N/A,FALSE,"KMC최종회의(7월) 자료"}</definedName>
    <definedName name="ㅕ6ㅓㅛㅓㅕㅛ_1" hidden="1">{#N/A,#N/A,FALSE,"KMC최종회의(7월) 자료"}</definedName>
    <definedName name="ㅕ교셔교ㅛㅕㅛㅕㅛㅕ" hidden="1">{#N/A,#N/A,FALSE,"KMC최종회의(7월) 자료"}</definedName>
    <definedName name="ㅕㅅ" hidden="1">#REF!</definedName>
    <definedName name="ㅕㅅㅅㅅㅅㅅㅅ" hidden="1">{#N/A,#N/A,FALSE,"단축1";#N/A,#N/A,FALSE,"단축2";#N/A,#N/A,FALSE,"단축3";#N/A,#N/A,FALSE,"장축";#N/A,#N/A,FALSE,"4WD"}</definedName>
    <definedName name="ㅕㅏㅓㅕㅛㅏ7ㅓ" hidden="1">{#N/A,#N/A,FALSE,"KMC최종회의(7월) 자료"}</definedName>
    <definedName name="ㅕㅏㅓㅕㅛㅏ7ㅓ_1" hidden="1">{#N/A,#N/A,FALSE,"KMC최종회의(7월) 자료"}</definedName>
    <definedName name="ㅕㅑㅑ" hidden="1">{"'매출계획'!$D$2"}</definedName>
    <definedName name="ㅕㅑㅕㅑㅕㅑㅑㅕㅑ" hidden="1">{#N/A,#N/A,FALSE,"정공"}</definedName>
    <definedName name="ㅕㅑㅛ" hidden="1">{"'매출계획'!$D$2"}</definedName>
    <definedName name="ㅕㅓㅏㅣㅕ" hidden="1">{"'매출계획'!$D$2"}</definedName>
    <definedName name="ㅕㅓㅗㅎㄹㅇ" hidden="1">{#N/A,#N/A,FALSE,"단축1";#N/A,#N/A,FALSE,"단축2";#N/A,#N/A,FALSE,"단축3";#N/A,#N/A,FALSE,"장축";#N/A,#N/A,FALSE,"4WD"}</definedName>
    <definedName name="ㅕㅓㅛㅕㅛㅓㅕㅛㅓㅏㅕ" hidden="1">{#N/A,#N/A,FALSE,"KMC최종회의(7월) 자료"}</definedName>
    <definedName name="ㅕㅓㅛㅕㅛㅓㅕㅛㅓㅏㅕ_1" hidden="1">{#N/A,#N/A,FALSE,"KMC최종회의(7월) 자료"}</definedName>
    <definedName name="ㅕㅕ" hidden="1">{#N/A,#N/A,FALSE,"단축1";#N/A,#N/A,FALSE,"단축2";#N/A,#N/A,FALSE,"단축3";#N/A,#N/A,FALSE,"장축";#N/A,#N/A,FALSE,"4WD"}</definedName>
    <definedName name="ㅕㅕㅑㅑ" hidden="1">{#N/A,#N/A,FALSE,"KMC최종회의(7월) 자료"}</definedName>
    <definedName name="ㅕㅕㅑㅑ_1" hidden="1">{#N/A,#N/A,FALSE,"KMC최종회의(7월) 자료"}</definedName>
    <definedName name="ㅕㅕㅕ" hidden="1">{"'5'!$A$1:$BB$147"}</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ㅛㅅㄱㄷㄹ휴" hidden="1">{#N/A,#N/A,FALSE,"단축1";#N/A,#N/A,FALSE,"단축2";#N/A,#N/A,FALSE,"단축3";#N/A,#N/A,FALSE,"장축";#N/A,#N/A,FALSE,"4WD"}</definedName>
    <definedName name="ㅕㅛㅓㅕㅛㅓ" hidden="1">{#N/A,#N/A,FALSE,"KMC최종회의(7월) 자료"}</definedName>
    <definedName name="ㅕㅛㅓㅕㅛㅓ_1" hidden="1">{#N/A,#N/A,FALSE,"KMC최종회의(7월) 자료"}</definedName>
    <definedName name="ㅕㅛㅕㅑㅐㅔㅑㅐㅔㅐ" hidden="1">{#N/A,#N/A,FALSE,"단축1";#N/A,#N/A,FALSE,"단축2";#N/A,#N/A,FALSE,"단축3";#N/A,#N/A,FALSE,"장축";#N/A,#N/A,FALSE,"4WD"}</definedName>
    <definedName name="ㅕㅠㅅㄱㅍㅈㅁㅍ" hidden="1">{#N/A,#N/A,FALSE,"단축1";#N/A,#N/A,FALSE,"단축2";#N/A,#N/A,FALSE,"단축3";#N/A,#N/A,FALSE,"장축";#N/A,#N/A,FALSE,"4WD"}</definedName>
    <definedName name="ㅕㅣㅎ" hidden="1">{#N/A,#N/A,FALSE,"단축1";#N/A,#N/A,FALSE,"단축2";#N/A,#N/A,FALSE,"단축3";#N/A,#N/A,FALSE,"장축";#N/A,#N/A,FALSE,"4WD"}</definedName>
    <definedName name="ㅕㅣㅎ_1" hidden="1">{#N/A,#N/A,FALSE,"단축1";#N/A,#N/A,FALSE,"단축2";#N/A,#N/A,FALSE,"단축3";#N/A,#N/A,FALSE,"장축";#N/A,#N/A,FALSE,"4WD"}</definedName>
    <definedName name="ㅖ" hidden="1">{#N/A,#N/A,FALSE,"단축1";#N/A,#N/A,FALSE,"단축2";#N/A,#N/A,FALSE,"단축3";#N/A,#N/A,FALSE,"장축";#N/A,#N/A,FALSE,"4WD"}</definedName>
    <definedName name="ㅗ" hidden="1">{#N/A,#N/A,FALSE,"단축1";#N/A,#N/A,FALSE,"단축2";#N/A,#N/A,FALSE,"단축3";#N/A,#N/A,FALSE,"장축";#N/A,#N/A,FALSE,"4WD"}</definedName>
    <definedName name="ㅗ_1" hidden="1">{#N/A,#N/A,FALSE,"단축1";#N/A,#N/A,FALSE,"단축2";#N/A,#N/A,FALSE,"단축3";#N/A,#N/A,FALSE,"장축";#N/A,#N/A,FALSE,"4WD"}</definedName>
    <definedName name="ㅗ5ㅛ5ㅗ" hidden="1">{#N/A,#N/A,FALSE,"KMC최종회의(7월) 자료"}</definedName>
    <definedName name="ㅗ5ㅛ5ㅗ_1" hidden="1">{#N/A,#N/A,FALSE,"KMC최종회의(7월) 자료"}</definedName>
    <definedName name="ㅗ6ㅛ6ㅗㅛㅗㅗ" hidden="1">{#N/A,#N/A,FALSE,"KMC최종회의(7월) 자료"}</definedName>
    <definedName name="ㅗ6ㅛ6ㅗㅛㅗㅗ_1" hidden="1">{#N/A,#N/A,FALSE,"KMC최종회의(7월) 자료"}</definedName>
    <definedName name="ㅗㄱㄴㅅㅎㄷ" hidden="1">{#N/A,#N/A,FALSE,"단축1";#N/A,#N/A,FALSE,"단축2";#N/A,#N/A,FALSE,"단축3";#N/A,#N/A,FALSE,"장축";#N/A,#N/A,FALSE,"4WD"}</definedName>
    <definedName name="ㅗㄱㄴㅇㅁ" hidden="1">{#N/A,#N/A,TRUE,"일정"}</definedName>
    <definedName name="ㅗㄴㅇㄱㅎㅇㄹㄶㅇ" hidden="1">{#N/A,#N/A,FALSE,"단축1";#N/A,#N/A,FALSE,"단축2";#N/A,#N/A,FALSE,"단축3";#N/A,#N/A,FALSE,"장축";#N/A,#N/A,FALSE,"4WD"}</definedName>
    <definedName name="ㅗ돟ㄷ" hidden="1">{#N/A,#N/A,FALSE,"단축1";#N/A,#N/A,FALSE,"단축2";#N/A,#N/A,FALSE,"단축3";#N/A,#N/A,FALSE,"장축";#N/A,#N/A,FALSE,"4WD"}</definedName>
    <definedName name="ㅗ라옹" hidden="1">{"'5'!$A$1:$BB$147"}</definedName>
    <definedName name="ㅗㅁㄶㄹㄴㅇ" hidden="1">{#N/A,#N/A,FALSE,"단축1";#N/A,#N/A,FALSE,"단축2";#N/A,#N/A,FALSE,"단축3";#N/A,#N/A,FALSE,"장축";#N/A,#N/A,FALSE,"4WD"}</definedName>
    <definedName name="ㅗㅁㅈ몸조" hidden="1">{#N/A,#N/A,FALSE,"단축1";#N/A,#N/A,FALSE,"단축2";#N/A,#N/A,FALSE,"단축3";#N/A,#N/A,FALSE,"장축";#N/A,#N/A,FALSE,"4WD"}</definedName>
    <definedName name="ㅗ모ㅓㄴㅁ" hidden="1">{#N/A,#N/A,FALSE,"정공"}</definedName>
    <definedName name="ㅗㅅ교ㅗ교ㅜㅜ" hidden="1">{#N/A,#N/A,FALSE,"KMC최종회의(7월) 자료"}</definedName>
    <definedName name="ㅗㅅ교ㅗ교ㅜㅜ_1" hidden="1">{#N/A,#N/A,FALSE,"KMC최종회의(7월) 자료"}</definedName>
    <definedName name="ㅗ소5ㅛㅗㅛ5" hidden="1">{#N/A,#N/A,FALSE,"KMC최종회의(7월) 자료"}</definedName>
    <definedName name="ㅗ소5ㅛㅗㅛ5_1" hidden="1">{#N/A,#N/A,FALSE,"KMC최종회의(7월) 자료"}</definedName>
    <definedName name="ㅗㅎ" hidden="1">{#N/A,#N/A,TRUE,"Y생산";#N/A,#N/A,TRUE,"Y판매";#N/A,#N/A,TRUE,"Y총물량";#N/A,#N/A,TRUE,"Y능력";#N/A,#N/A,TRUE,"YKD"}</definedName>
    <definedName name="ㅗㅎ_1" hidden="1">{#N/A,#N/A,TRUE,"Y생산";#N/A,#N/A,TRUE,"Y판매";#N/A,#N/A,TRUE,"Y총물량";#N/A,#N/A,TRUE,"Y능력";#N/A,#N/A,TRUE,"YKD"}</definedName>
    <definedName name="ㅗㅎ허ㅏㅓㅣㅏㅣ" hidden="1">{#N/A,#N/A,FALSE,"단축1";#N/A,#N/A,FALSE,"단축2";#N/A,#N/A,FALSE,"단축3";#N/A,#N/A,FALSE,"장축";#N/A,#N/A,FALSE,"4WD"}</definedName>
    <definedName name="ㅗㅎㅓ" hidden="1">{#N/A,#N/A,FALSE,"단축1";#N/A,#N/A,FALSE,"단축2";#N/A,#N/A,FALSE,"단축3";#N/A,#N/A,FALSE,"장축";#N/A,#N/A,FALSE,"4WD"}</definedName>
    <definedName name="ㅗ햐" hidden="1">{#N/A,#N/A,FALSE,"단축1";#N/A,#N/A,FALSE,"단축2";#N/A,#N/A,FALSE,"단축3";#N/A,#N/A,FALSE,"장축";#N/A,#N/A,FALSE,"4WD"}</definedName>
    <definedName name="ㅗ흐ㅡㅊ" hidden="1">{#N/A,#N/A,FALSE,"KMC최종회의(7월) 자료"}</definedName>
    <definedName name="ㅗ흐ㅡㅊ_1" hidden="1">{#N/A,#N/A,FALSE,"KMC최종회의(7월) 자료"}</definedName>
    <definedName name="ㅗㅓ" hidden="1">{#N/A,#N/A,FALSE,"단축1";#N/A,#N/A,FALSE,"단축2";#N/A,#N/A,FALSE,"단축3";#N/A,#N/A,FALSE,"장축";#N/A,#N/A,FALSE,"4WD"}</definedName>
    <definedName name="ㅗㅓ올\" hidden="1">{#N/A,#N/A,FALSE,"단축1";#N/A,#N/A,FALSE,"단축2";#N/A,#N/A,FALSE,"단축3";#N/A,#N/A,FALSE,"장축";#N/A,#N/A,FALSE,"4WD"}</definedName>
    <definedName name="ㅗㅓ퐆처" hidden="1">{#N/A,#N/A,FALSE,"KMC최종회의(7월) 자료"}</definedName>
    <definedName name="ㅗㅓ퐆처_1" hidden="1">{#N/A,#N/A,FALSE,"KMC최종회의(7월) 자료"}</definedName>
    <definedName name="ㅗㅓㅏ" hidden="1">#REF!</definedName>
    <definedName name="ㅗㅓㅏ료ㅕ" hidden="1">{#N/A,#N/A,FALSE,"96 3월물량표";#N/A,#N/A,FALSE,"96 4월물량표";#N/A,#N/A,FALSE,"96 5월물량표"}</definedName>
    <definedName name="ㅗㅓㅏㅗㅓㅏ" hidden="1">{#N/A,#N/A,FALSE,"단축1";#N/A,#N/A,FALSE,"단축2";#N/A,#N/A,FALSE,"단축3";#N/A,#N/A,FALSE,"장축";#N/A,#N/A,FALSE,"4WD"}</definedName>
    <definedName name="ㅗㅓㅏㅣ" hidden="1">{#N/A,#N/A,FALSE,"단축1";#N/A,#N/A,FALSE,"단축2";#N/A,#N/A,FALSE,"단축3";#N/A,#N/A,FALSE,"장축";#N/A,#N/A,FALSE,"4WD"}</definedName>
    <definedName name="ㅗㅓㅏㅣㅏ" hidden="1">{"'7-2지역별'!$A$1:$R$44"}</definedName>
    <definedName name="ㅗㅓㅐㅓㅐ" hidden="1">#REF!</definedName>
    <definedName name="ㅗㅓㅕ" hidden="1">{#N/A,#N/A,TRUE,"Y생산";#N/A,#N/A,TRUE,"Y판매";#N/A,#N/A,TRUE,"Y총물량";#N/A,#N/A,TRUE,"Y능력";#N/A,#N/A,TRUE,"YKD"}</definedName>
    <definedName name="ㅗㅓㅗㅓ" hidden="1">{#N/A,#N/A,TRUE,"Y생산";#N/A,#N/A,TRUE,"Y판매";#N/A,#N/A,TRUE,"Y총물량";#N/A,#N/A,TRUE,"Y능력";#N/A,#N/A,TRUE,"YKD"}</definedName>
    <definedName name="ㅗㅓㅜ" hidden="1">{#N/A,#N/A,FALSE,"단축1";#N/A,#N/A,FALSE,"단축2";#N/A,#N/A,FALSE,"단축3";#N/A,#N/A,FALSE,"장축";#N/A,#N/A,FALSE,"4WD"}</definedName>
    <definedName name="ㅗㅓㅠㅗ" hidden="1">{#N/A,#N/A,FALSE,"KMC최종회의(7월) 자료"}</definedName>
    <definedName name="ㅗㅓㅠㅗ_1" hidden="1">{#N/A,#N/A,FALSE,"KMC최종회의(7월) 자료"}</definedName>
    <definedName name="ㅗㅓㅠㅗ_2" hidden="1">{#N/A,#N/A,FALSE,"KMC최종회의(7월) 자료"}</definedName>
    <definedName name="ㅗㅓㅣ" hidden="1">{#N/A,#N/A,TRUE,"Y생산";#N/A,#N/A,TRUE,"Y판매";#N/A,#N/A,TRUE,"Y총물량";#N/A,#N/A,TRUE,"Y능력";#N/A,#N/A,TRUE,"YKD"}</definedName>
    <definedName name="ㅗㅕ" hidden="1">{#N/A,#N/A,FALSE,"단축1";#N/A,#N/A,FALSE,"단축2";#N/A,#N/A,FALSE,"단축3";#N/A,#N/A,FALSE,"장축";#N/A,#N/A,FALSE,"4WD"}</definedName>
    <definedName name="ㅗㅗ" hidden="1">{#N/A,#N/A,FALSE,"단축1";#N/A,#N/A,FALSE,"단축2";#N/A,#N/A,FALSE,"단축3";#N/A,#N/A,FALSE,"장축";#N/A,#N/A,FALSE,"4WD"}</definedName>
    <definedName name="ㅗㅗ_1" hidden="1">{#N/A,#N/A,FALSE,"단축1";#N/A,#N/A,FALSE,"단축2";#N/A,#N/A,FALSE,"단축3";#N/A,#N/A,FALSE,"장축";#N/A,#N/A,FALSE,"4WD"}</definedName>
    <definedName name="ㅗㅗ5ㅗㅛㅅㄱ" hidden="1">{#N/A,#N/A,FALSE,"KMC최종회의(7월) 자료"}</definedName>
    <definedName name="ㅗㅗ5ㅗㅛㅅㄱ_1" hidden="1">{#N/A,#N/A,FALSE,"KMC최종회의(7월) 자료"}</definedName>
    <definedName name="ㅗㅗㅊㅎ" hidden="1">{#N/A,#N/A,FALSE,"A장";#N/A,#N/A,FALSE,"B장"}</definedName>
    <definedName name="ㅗㅗㅓㅓ" hidden="1">{#N/A,#N/A,TRUE,"Y생산";#N/A,#N/A,TRUE,"Y판매";#N/A,#N/A,TRUE,"Y총물량";#N/A,#N/A,TRUE,"Y능력";#N/A,#N/A,TRUE,"YKD"}</definedName>
    <definedName name="ㅗㅗㅗ" hidden="1">{#N/A,#N/A,FALSE,"단축1";#N/A,#N/A,FALSE,"단축2";#N/A,#N/A,FALSE,"단축3";#N/A,#N/A,FALSE,"장축";#N/A,#N/A,FALSE,"4WD"}</definedName>
    <definedName name="ㅗㅗㅗㅗㅗ" hidden="1">{#N/A,#N/A,FALSE,"단축1";#N/A,#N/A,FALSE,"단축2";#N/A,#N/A,FALSE,"단축3";#N/A,#N/A,FALSE,"장축";#N/A,#N/A,FALSE,"4WD"}</definedName>
    <definedName name="ㅗㅗㅗㅗㅗ_1" hidden="1">{#N/A,#N/A,FALSE,"단축1";#N/A,#N/A,FALSE,"단축2";#N/A,#N/A,FALSE,"단축3";#N/A,#N/A,FALSE,"장축";#N/A,#N/A,FALSE,"4WD"}</definedName>
    <definedName name="ㅗㅗㅗㅗㅗㅗ" hidden="1">{#N/A,#N/A,FALSE,"단축1";#N/A,#N/A,FALSE,"단축2";#N/A,#N/A,FALSE,"단축3";#N/A,#N/A,FALSE,"장축";#N/A,#N/A,FALSE,"4WD"}</definedName>
    <definedName name="ㅗㅗㅗㅗㅗㅗㅗ" hidden="1">#REF!</definedName>
    <definedName name="ㅗㅗㅗㅗㅗㅗㅗㅗ" hidden="1">{#N/A,#N/A,FALSE,"표지";#N/A,#N/A,FALSE,"전제";#N/A,#N/A,FALSE,"대당";#N/A,#N/A,FALSE,"가공비";#N/A,#N/A,FALSE,"재료비";#N/A,#N/A,FALSE,"손익"}</definedName>
    <definedName name="ㅗㅗㅗㅗㅗㅗㅗㅗㅗ" hidden="1">{#N/A,#N/A,FALSE,"단축1";#N/A,#N/A,FALSE,"단축2";#N/A,#N/A,FALSE,"단축3";#N/A,#N/A,FALSE,"장축";#N/A,#N/A,FALSE,"4WD"}</definedName>
    <definedName name="ㅗㅗㅗㅗㅗㅗㅗㅗㅗㅗ" hidden="1">{#N/A,#N/A,TRUE,"일정"}</definedName>
    <definedName name="ㅗㅗㅗㅗㅗㅗㅗㅗㅗㅗㅗ" hidden="1">{#N/A,#N/A,FALSE,"단축1";#N/A,#N/A,FALSE,"단축2";#N/A,#N/A,FALSE,"단축3";#N/A,#N/A,FALSE,"장축";#N/A,#N/A,FALSE,"4WD"}</definedName>
    <definedName name="ㅗㅗㅗㅗㅗㅗㅗㅗㅗㅗㅗㅗ" hidden="1">{#N/A,#N/A,FALSE,"단축1";#N/A,#N/A,FALSE,"단축2";#N/A,#N/A,FALSE,"단축3";#N/A,#N/A,FALSE,"장축";#N/A,#N/A,FALSE,"4WD"}</definedName>
    <definedName name="ㅗㅗㅗㅗㅗㅗㅗㅗㅗㅗㅗㅗㅗ" hidden="1">{#N/A,#N/A,FALSE,"단축1";#N/A,#N/A,FALSE,"단축2";#N/A,#N/A,FALSE,"단축3";#N/A,#N/A,FALSE,"장축";#N/A,#N/A,FALSE,"4WD"}</definedName>
    <definedName name="ㅗㅗㅗㅗㅗㅗㅗㅗㅗㅗㅗㅗㅗㅗ" hidden="1">{#N/A,#N/A,FALSE,"단축1";#N/A,#N/A,FALSE,"단축2";#N/A,#N/A,FALSE,"단축3";#N/A,#N/A,FALSE,"장축";#N/A,#N/A,FALSE,"4WD"}</definedName>
    <definedName name="ㅗㅗㅗㅗㅗㅗㅗㅗㅗㅗㅗㅗㅗㅗㅗ" hidden="1">{#N/A,#N/A,FALSE,"단축1";#N/A,#N/A,FALSE,"단축2";#N/A,#N/A,FALSE,"단축3";#N/A,#N/A,FALSE,"장축";#N/A,#N/A,FALSE,"4WD"}</definedName>
    <definedName name="ㅗㅗㅗㅗㅗㅗㅗㅗㅗㅗㅗㅗㅗㅗㅗㅗ" hidden="1">{#N/A,#N/A,FALSE,"단축1";#N/A,#N/A,FALSE,"단축2";#N/A,#N/A,FALSE,"단축3";#N/A,#N/A,FALSE,"장축";#N/A,#N/A,FALSE,"4WD"}</definedName>
    <definedName name="ㅗㅗㅗㅗㅗㅗㅗㅗㅗㅗㅗㅗㅗㅗㅗㅗㅗㅗ" hidden="1">{#N/A,#N/A,FALSE,"단축1";#N/A,#N/A,FALSE,"단축2";#N/A,#N/A,FALSE,"단축3";#N/A,#N/A,FALSE,"장축";#N/A,#N/A,FALSE,"4WD"}</definedName>
    <definedName name="ㅗㅗㅗㅗㅗㅗㅗㅗㅗㅗㅗㅗㅗㅗㅗㅗㅗㅗㅗ" hidden="1">{#N/A,#N/A,FALSE,"단축1";#N/A,#N/A,FALSE,"단축2";#N/A,#N/A,FALSE,"단축3";#N/A,#N/A,FALSE,"장축";#N/A,#N/A,FALSE,"4WD"}</definedName>
    <definedName name="ㅗㅛㅕㅓㅕㅓㅏㅕㅓ" hidden="1">{#N/A,#N/A,FALSE,"KMC최종회의(7월) 자료"}</definedName>
    <definedName name="ㅗㅛㅕㅓㅕㅓㅏㅕㅓ_1" hidden="1">{#N/A,#N/A,FALSE,"KMC최종회의(7월) 자료"}</definedName>
    <definedName name="ㅗㅛㅛㅗ" hidden="1">{#N/A,#N/A,FALSE,"KMC최종회의(7월) 자료"}</definedName>
    <definedName name="ㅗㅛㅛㅗ_1" hidden="1">{#N/A,#N/A,FALSE,"KMC최종회의(7월) 자료"}</definedName>
    <definedName name="ㅗㅛㅛㅛ숏" hidden="1">{#N/A,#N/A,FALSE,"KMC최종회의(7월) 자료"}</definedName>
    <definedName name="ㅗㅛㅛㅛ숏_1" hidden="1">{#N/A,#N/A,FALSE,"KMC최종회의(7월) 자료"}</definedName>
    <definedName name="ㅗㅜ" hidden="1">{#N/A,#N/A,FALSE,"KMC최종회의(7월) 자료"}</definedName>
    <definedName name="ㅗㅜ_1" hidden="1">{#N/A,#N/A,FALSE,"KMC최종회의(7월) 자료"}</definedName>
    <definedName name="ㅗㅜ_2" hidden="1">{#N/A,#N/A,FALSE,"KMC최종회의(7월) 자료"}</definedName>
    <definedName name="ㅗㅜㅗ" hidden="1">{#N/A,#N/A,FALSE,"단축1";#N/A,#N/A,FALSE,"단축2";#N/A,#N/A,FALSE,"단축3";#N/A,#N/A,FALSE,"장축";#N/A,#N/A,FALSE,"4WD"}</definedName>
    <definedName name="ㅗㅜㅜㅎㅎㅇ" hidden="1">{#N/A,#N/A,FALSE,"KMC최종회의(7월) 자료"}</definedName>
    <definedName name="ㅗㅜㅜㅎㅎㅇ_1" hidden="1">{#N/A,#N/A,FALSE,"KMC최종회의(7월) 자료"}</definedName>
    <definedName name="ㅗㅠㄴㄿ" hidden="1">{#N/A,#N/A,FALSE,"KMC최종회의(7월) 자료"}</definedName>
    <definedName name="ㅗㅠㄴㄿ_1" hidden="1">{#N/A,#N/A,FALSE,"KMC최종회의(7월) 자료"}</definedName>
    <definedName name="ㅗㅡ흐ㅠㅜㅠㅡㅜ" hidden="1">{#N/A,#N/A,FALSE,"KMC최종회의(7월) 자료"}</definedName>
    <definedName name="ㅗㅡ흐ㅠㅜㅠㅡㅜ_1" hidden="1">{#N/A,#N/A,FALSE,"KMC최종회의(7월) 자료"}</definedName>
    <definedName name="ㅘ" hidden="1">{#N/A,#N/A,FALSE,"단축1";#N/A,#N/A,FALSE,"단축2";#N/A,#N/A,FALSE,"단축3";#N/A,#N/A,FALSE,"장축";#N/A,#N/A,FALSE,"4WD"}</definedName>
    <definedName name="ㅘㅣㅜ" hidden="1">{#N/A,#N/A,FALSE,"단축1";#N/A,#N/A,FALSE,"단축2";#N/A,#N/A,FALSE,"단축3";#N/A,#N/A,FALSE,"장축";#N/A,#N/A,FALSE,"4WD"}</definedName>
    <definedName name="ㅚㅇㄹ" hidden="1">{#N/A,#N/A,FALSE,"96 3월물량표";#N/A,#N/A,FALSE,"96 4월물량표";#N/A,#N/A,FALSE,"96 5월물량표"}</definedName>
    <definedName name="ㅚㅗ" hidden="1">{#N/A,#N/A,FALSE,"신규dep";#N/A,#N/A,FALSE,"신규dep-금형상각후";#N/A,#N/A,FALSE,"신규dep-연구비상각후";#N/A,#N/A,FALSE,"신규dep-기계,공구상각후"}</definedName>
    <definedName name="ㅛ" hidden="1">{#N/A,#N/A,FALSE,"단축1";#N/A,#N/A,FALSE,"단축2";#N/A,#N/A,FALSE,"단축3";#N/A,#N/A,FALSE,"장축";#N/A,#N/A,FALSE,"4WD"}</definedName>
    <definedName name="ㅛ_1" hidden="1">{#N/A,#N/A,FALSE,"단축1";#N/A,#N/A,FALSE,"단축2";#N/A,#N/A,FALSE,"단축3";#N/A,#N/A,FALSE,"장축";#N/A,#N/A,FALSE,"4WD"}</definedName>
    <definedName name="ㅛㄱ됴ㄱㄷ죠ㅅㄱ됴ㅅㄱㄷ죡ㄷ죠" hidden="1">{#N/A,#N/A,TRUE,"일정"}</definedName>
    <definedName name="ㅛㅅ" hidden="1">{#N/A,#N/A,TRUE,"Y생산";#N/A,#N/A,TRUE,"Y판매";#N/A,#N/A,TRUE,"Y총물량";#N/A,#N/A,TRUE,"Y능력";#N/A,#N/A,TRUE,"YKD"}</definedName>
    <definedName name="ㅛㅅ_1" hidden="1">{#N/A,#N/A,TRUE,"Y생산";#N/A,#N/A,TRUE,"Y판매";#N/A,#N/A,TRUE,"Y총물량";#N/A,#N/A,TRUE,"Y능력";#N/A,#N/A,TRUE,"YKD"}</definedName>
    <definedName name="ㅛㅅㄱㄷㅈ" hidden="1">{#N/A,#N/A,FALSE,"단축1";#N/A,#N/A,FALSE,"단축2";#N/A,#N/A,FALSE,"단축3";#N/A,#N/A,FALSE,"장축";#N/A,#N/A,FALSE,"4WD"}</definedName>
    <definedName name="ㅛㅇㅈㅂ789ㅐ9ㅐㅇ" hidden="1">{#N/A,#N/A,FALSE,"단축1";#N/A,#N/A,FALSE,"단축2";#N/A,#N/A,FALSE,"단축3";#N/A,#N/A,FALSE,"장축";#N/A,#N/A,FALSE,"4WD"}</definedName>
    <definedName name="ㅛ허ㅗ" hidden="1">{#N/A,#N/A,FALSE,"신규dep";#N/A,#N/A,FALSE,"신규dep-금형상각후";#N/A,#N/A,FALSE,"신규dep-연구비상각후";#N/A,#N/A,FALSE,"신규dep-기계,공구상각후"}</definedName>
    <definedName name="ㅛ호ㅓ" hidden="1">{#N/A,#N/A,FALSE,"KMC최종회의(7월) 자료"}</definedName>
    <definedName name="ㅛ호ㅓ_1" hidden="1">{#N/A,#N/A,FALSE,"KMC최종회의(7월) 자료"}</definedName>
    <definedName name="ㅛㅓ" hidden="1">{#N/A,#N/A,FALSE,"단축1";#N/A,#N/A,FALSE,"단축2";#N/A,#N/A,FALSE,"단축3";#N/A,#N/A,FALSE,"장축";#N/A,#N/A,FALSE,"4WD"}</definedName>
    <definedName name="ㅛㅕ" hidden="1">{#N/A,#N/A,FALSE,"단축1";#N/A,#N/A,FALSE,"단축2";#N/A,#N/A,FALSE,"단축3";#N/A,#N/A,FALSE,"장축";#N/A,#N/A,FALSE,"4WD"}</definedName>
    <definedName name="ㅛㅕ셔" hidden="1">{#N/A,#N/A,FALSE,"단축1";#N/A,#N/A,FALSE,"단축2";#N/A,#N/A,FALSE,"단축3";#N/A,#N/A,FALSE,"장축";#N/A,#N/A,FALSE,"4WD"}</definedName>
    <definedName name="ㅛㅕㅏ" hidden="1">{#N/A,#N/A,TRUE,"Y생산";#N/A,#N/A,TRUE,"Y판매";#N/A,#N/A,TRUE,"Y총물량";#N/A,#N/A,TRUE,"Y능력";#N/A,#N/A,TRUE,"YKD"}</definedName>
    <definedName name="ㅛㅕㅏ_1" hidden="1">{#N/A,#N/A,TRUE,"Y생산";#N/A,#N/A,TRUE,"Y판매";#N/A,#N/A,TRUE,"Y총물량";#N/A,#N/A,TRUE,"Y능력";#N/A,#N/A,TRUE,"YKD"}</definedName>
    <definedName name="ㅛㅕㅓㅏㅛ" hidden="1">{#N/A,#N/A,FALSE,"KMC최종회의(7월) 자료"}</definedName>
    <definedName name="ㅛㅕㅓㅏㅛ_1" hidden="1">{#N/A,#N/A,FALSE,"KMC최종회의(7월) 자료"}</definedName>
    <definedName name="ㅛㅕㅓㅡㅛㅕㅏㅓㅛㅕㅏㅡㅡ" hidden="1">{#N/A,#N/A,FALSE,"KMC최종회의(7월) 자료"}</definedName>
    <definedName name="ㅛㅕㅓㅡㅛㅕㅏㅓㅛㅕㅏㅡㅡ_1" hidden="1">{#N/A,#N/A,FALSE,"KMC최종회의(7월) 자료"}</definedName>
    <definedName name="ㅛㅕㅗㅓㅕㅓㅕ" hidden="1">{#N/A,#N/A,FALSE,"단축1";#N/A,#N/A,FALSE,"단축2";#N/A,#N/A,FALSE,"단축3";#N/A,#N/A,FALSE,"장축";#N/A,#N/A,FALSE,"4WD"}</definedName>
    <definedName name="ㅛㅗ" hidden="1">{#N/A,#N/A,FALSE,"KMC최종회의(7월) 자료"}</definedName>
    <definedName name="ㅛㅗ_1" hidden="1">{#N/A,#N/A,FALSE,"KMC최종회의(7월) 자료"}</definedName>
    <definedName name="ㅛㅗ_2" hidden="1">{#N/A,#N/A,FALSE,"KMC최종회의(7월) 자료"}</definedName>
    <definedName name="ㅛㅗㅎㅅㄺ" hidden="1">{#N/A,#N/A,FALSE,"단축1";#N/A,#N/A,FALSE,"단축2";#N/A,#N/A,FALSE,"단축3";#N/A,#N/A,FALSE,"장축";#N/A,#N/A,FALSE,"4WD"}</definedName>
    <definedName name="ㅛㅗㅓ" hidden="1">{#N/A,#N/A,FALSE,"KMC최종회의(7월) 자료"}</definedName>
    <definedName name="ㅛㅗㅓ_1" hidden="1">{#N/A,#N/A,FALSE,"KMC최종회의(7월) 자료"}</definedName>
    <definedName name="ㅛㅗㅛㅛㅗ" hidden="1">#REF!</definedName>
    <definedName name="ㅛㅛ" hidden="1">{#N/A,#N/A,FALSE,"단축1";#N/A,#N/A,FALSE,"단축2";#N/A,#N/A,FALSE,"단축3";#N/A,#N/A,FALSE,"장축";#N/A,#N/A,FALSE,"4WD"}</definedName>
    <definedName name="ㅛㅛ_1" hidden="1">{#N/A,#N/A,FALSE,"단축1";#N/A,#N/A,FALSE,"단축2";#N/A,#N/A,FALSE,"단축3";#N/A,#N/A,FALSE,"장축";#N/A,#N/A,FALSE,"4WD"}</definedName>
    <definedName name="ㅛㅛ_2" hidden="1">{#N/A,#N/A,FALSE,"단축1";#N/A,#N/A,FALSE,"단축2";#N/A,#N/A,FALSE,"단축3";#N/A,#N/A,FALSE,"장축";#N/A,#N/A,FALSE,"4WD"}</definedName>
    <definedName name="ㅛㅛㅕㅗㅓ" hidden="1">{#N/A,#N/A,FALSE,"단축1";#N/A,#N/A,FALSE,"단축2";#N/A,#N/A,FALSE,"단축3";#N/A,#N/A,FALSE,"장축";#N/A,#N/A,FALSE,"4WD"}</definedName>
    <definedName name="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 hidden="1">{#N/A,#N/A,FALSE,"단축1";#N/A,#N/A,FALSE,"단축2";#N/A,#N/A,FALSE,"단축3";#N/A,#N/A,FALSE,"장축";#N/A,#N/A,FALSE,"4WD"}</definedName>
    <definedName name="ㅛㅛㅜㅜ" hidden="1">{#N/A,#N/A,FALSE,"KMC최종회의(7월) 자료"}</definedName>
    <definedName name="ㅛㅛㅜㅜ_1" hidden="1">{#N/A,#N/A,FALSE,"KMC최종회의(7월) 자료"}</definedName>
    <definedName name="ㅛㅛㅡ" hidden="1">{#N/A,#N/A,FALSE,"KMC최종회의(7월) 자료"}</definedName>
    <definedName name="ㅛㅜㅛㅠㅜㅠㅜㅠ" hidden="1">{#N/A,#N/A,FALSE,"KMC최종회의(7월) 자료"}</definedName>
    <definedName name="ㅛㅜㅛㅠㅜㅠㅜㅠ_1" hidden="1">{#N/A,#N/A,FALSE,"KMC최종회의(7월) 자료"}</definedName>
    <definedName name="ㅜ" hidden="1">{#N/A,#N/A,FALSE,"KMC최종회의(7월) 자료"}</definedName>
    <definedName name="ㅜ_1" hidden="1">{#N/A,#N/A,FALSE,"단축1";#N/A,#N/A,FALSE,"단축2";#N/A,#N/A,FALSE,"단축3";#N/A,#N/A,FALSE,"장축";#N/A,#N/A,FALSE,"4WD"}</definedName>
    <definedName name="ㅜ_2" hidden="1">{#N/A,#N/A,FALSE,"단축1";#N/A,#N/A,FALSE,"단축2";#N/A,#N/A,FALSE,"단축3";#N/A,#N/A,FALSE,"장축";#N/A,#N/A,FALSE,"4WD"}</definedName>
    <definedName name="ㅜㄷㅈ" hidden="1">{#N/A,#N/A,FALSE,"단축1";#N/A,#N/A,FALSE,"단축2";#N/A,#N/A,FALSE,"단축3";#N/A,#N/A,FALSE,"장축";#N/A,#N/A,FALSE,"4WD"}</definedName>
    <definedName name="ㅜ리" hidden="1">{#N/A,#N/A,TRUE,"Y생산";#N/A,#N/A,TRUE,"Y판매";#N/A,#N/A,TRUE,"Y총물량";#N/A,#N/A,TRUE,"Y능력";#N/A,#N/A,TRUE,"YKD"}</definedName>
    <definedName name="ㅜㅎ로ㅓ" hidden="1">{#N/A,#N/A,FALSE,"단축1";#N/A,#N/A,FALSE,"단축2";#N/A,#N/A,FALSE,"단축3";#N/A,#N/A,FALSE,"장축";#N/A,#N/A,FALSE,"4WD"}</definedName>
    <definedName name="ㅜㅗ추ㅡㅡ" hidden="1">{#N/A,#N/A,FALSE,"KMC최종회의(7월) 자료"}</definedName>
    <definedName name="ㅜㅗ추ㅡㅡ_1" hidden="1">{#N/A,#N/A,FALSE,"KMC최종회의(7월) 자료"}</definedName>
    <definedName name="ㅜㅛ" hidden="1">{#N/A,#N/A,FALSE,"단축1";#N/A,#N/A,FALSE,"단축2";#N/A,#N/A,FALSE,"단축3";#N/A,#N/A,FALSE,"장축";#N/A,#N/A,FALSE,"4WD"}</definedName>
    <definedName name="ㅜㅛㅅㄱ누ㅛㅅㄱ누ㅛㅅㄴ구ㅛㅅㄱㄴ" hidden="1">{#N/A,#N/A,TRUE,"일정"}</definedName>
    <definedName name="ㅜㅛㅛㅜㅛㅛ" hidden="1">{#N/A,#N/A,FALSE,"KMC최종회의(7월) 자료"}</definedName>
    <definedName name="ㅜㅛㅛㅜㅛㅛ_1" hidden="1">{#N/A,#N/A,FALSE,"KMC최종회의(7월) 자료"}</definedName>
    <definedName name="ㅜㅛㅜ" hidden="1">{#N/A,#N/A,FALSE,"단축1";#N/A,#N/A,FALSE,"단축2";#N/A,#N/A,FALSE,"단축3";#N/A,#N/A,FALSE,"장축";#N/A,#N/A,FALSE,"4WD"}</definedName>
    <definedName name="ㅜㅜ" hidden="1">{#N/A,#N/A,FALSE,"단축1";#N/A,#N/A,FALSE,"단축2";#N/A,#N/A,FALSE,"단축3";#N/A,#N/A,FALSE,"장축";#N/A,#N/A,FALSE,"4WD"}</definedName>
    <definedName name="ㅜㅜ수수ㅜ" hidden="1">{#N/A,#N/A,FALSE,"KMC최종회의(7월) 자료"}</definedName>
    <definedName name="ㅜㅜ수수ㅜ_1" hidden="1">{#N/A,#N/A,FALSE,"KMC최종회의(7월) 자료"}</definedName>
    <definedName name="ㅜㅜㅜ" hidden="1">{#N/A,#N/A,FALSE,"단축1";#N/A,#N/A,FALSE,"단축2";#N/A,#N/A,FALSE,"단축3";#N/A,#N/A,FALSE,"장축";#N/A,#N/A,FALSE,"4WD"}</definedName>
    <definedName name="ㅜㅜㅜ_1" hidden="1">{#N/A,#N/A,FALSE,"단축1";#N/A,#N/A,FALSE,"단축2";#N/A,#N/A,FALSE,"단축3";#N/A,#N/A,FALSE,"장축";#N/A,#N/A,FALSE,"4WD"}</definedName>
    <definedName name="ㅜㅜㅜㅜ" hidden="1">{#N/A,#N/A,FALSE,"신규dep";#N/A,#N/A,FALSE,"신규dep-금형상각후";#N/A,#N/A,FALSE,"신규dep-연구비상각후";#N/A,#N/A,FALSE,"신규dep-기계,공구상각후"}</definedName>
    <definedName name="ㅜㅜㅜㅜㅜ" hidden="1">{#N/A,#N/A,FALSE,"단축1";#N/A,#N/A,FALSE,"단축2";#N/A,#N/A,FALSE,"단축3";#N/A,#N/A,FALSE,"장축";#N/A,#N/A,FALSE,"4WD"}</definedName>
    <definedName name="ㅜㅜㅜㅜㅜㅜㅜ" hidden="1">{#N/A,#N/A,FALSE,"단축1";#N/A,#N/A,FALSE,"단축2";#N/A,#N/A,FALSE,"단축3";#N/A,#N/A,FALSE,"장축";#N/A,#N/A,FALSE,"4WD"}</definedName>
    <definedName name="ㅜㅜㅜㅜㅜㅜㅜ555" hidden="1">{#N/A,#N/A,FALSE,"단축1";#N/A,#N/A,FALSE,"단축2";#N/A,#N/A,FALSE,"단축3";#N/A,#N/A,FALSE,"장축";#N/A,#N/A,FALSE,"4WD"}</definedName>
    <definedName name="ㅜㅜㅜㅜㅜㅜㅜㅜ" hidden="1">{#N/A,#N/A,FALSE,"정공"}</definedName>
    <definedName name="ㅜㅜㅜㅜㅜㅜㅜㅜㅜㅜㅜㅜㅜㅜㅜㅜㅜㅜㅜㅜㅜㅜㅜㅜㅜㅜㅜㅜ" hidden="1">{#N/A,#N/A,FALSE,"전제";#N/A,#N/A,FALSE,"표지";#N/A,#N/A,FALSE,"6D16";#N/A,#N/A,FALSE,"6D22";#N/A,#N/A,FALSE,"6D22-T";#N/A,#N/A,FALSE,"Q-DEG";#N/A,#N/A,FALSE,"총손";#N/A,#N/A,FALSE,"대당";#N/A,#N/A,FALSE,"가공비"}</definedName>
    <definedName name="ㅜㅜㅜㅠ소ㅜ" hidden="1">{#N/A,#N/A,FALSE,"KMC최종회의(7월) 자료"}</definedName>
    <definedName name="ㅜㅜㅜㅠ소ㅜ_1" hidden="1">{#N/A,#N/A,FALSE,"KMC최종회의(7월) 자료"}</definedName>
    <definedName name="ㅜㅠㄷㄱ" hidden="1">{#N/A,#N/A,FALSE,"단축1";#N/A,#N/A,FALSE,"단축2";#N/A,#N/A,FALSE,"단축3";#N/A,#N/A,FALSE,"장축";#N/A,#N/A,FALSE,"4WD"}</definedName>
    <definedName name="ㅜㅡㅓㅗㅎ" hidden="1">{#N/A,#N/A,FALSE,"신규dep";#N/A,#N/A,FALSE,"신규dep-금형상각후";#N/A,#N/A,FALSE,"신규dep-연구비상각후";#N/A,#N/A,FALSE,"신규dep-기계,공구상각후"}</definedName>
    <definedName name="ㅜㅡㅡ" hidden="1">{#N/A,#N/A,TRUE,"Y생산";#N/A,#N/A,TRUE,"Y판매";#N/A,#N/A,TRUE,"Y총물량";#N/A,#N/A,TRUE,"Y능력";#N/A,#N/A,TRUE,"YKD"}</definedName>
    <definedName name="ㅜㅡㅡㅓ허" hidden="1">{#N/A,#N/A,FALSE,"KMC최종회의(7월) 자료"}</definedName>
    <definedName name="ㅜㅡㅡㅓ허_1" hidden="1">{#N/A,#N/A,FALSE,"KMC최종회의(7월) 자료"}</definedName>
    <definedName name="ㅜㅡㅡㅜㅡㅜㅡㅜㅡㅡㅡㅡ" hidden="1">{#N/A,#N/A,FALSE,"KMC최종회의(7월) 자료"}</definedName>
    <definedName name="ㅝㅑㅣ" hidden="1">{#N/A,#N/A,FALSE,"단축1";#N/A,#N/A,FALSE,"단축2";#N/A,#N/A,FALSE,"단축3";#N/A,#N/A,FALSE,"장축";#N/A,#N/A,FALSE,"4WD"}</definedName>
    <definedName name="ㅝㅣ" hidden="1">{#N/A,#N/A,FALSE,"KMC최종회의(7월) 자료"}</definedName>
    <definedName name="ㅝㅣ_1" hidden="1">{#N/A,#N/A,FALSE,"KMC최종회의(7월) 자료"}</definedName>
    <definedName name="ㅝㅣ_2" hidden="1">{#N/A,#N/A,FALSE,"KMC최종회의(7월) 자료"}</definedName>
    <definedName name="ㅠ" hidden="1">{#N/A,#N/A,FALSE,"단축1";#N/A,#N/A,FALSE,"단축2";#N/A,#N/A,FALSE,"단축3";#N/A,#N/A,FALSE,"장축";#N/A,#N/A,FALSE,"4WD"}</definedName>
    <definedName name="ㅠ_1" hidden="1">{#N/A,#N/A,FALSE,"KMC최종회의(7월) 자료"}</definedName>
    <definedName name="ㅠㄹ" hidden="1">{#N/A,#N/A,FALSE,"단축1";#N/A,#N/A,FALSE,"단축2";#N/A,#N/A,FALSE,"단축3";#N/A,#N/A,FALSE,"장축";#N/A,#N/A,FALSE,"4WD"}</definedName>
    <definedName name="ㅠㄹ_1" hidden="1">{#N/A,#N/A,FALSE,"단축1";#N/A,#N/A,FALSE,"단축2";#N/A,#N/A,FALSE,"단축3";#N/A,#N/A,FALSE,"장축";#N/A,#N/A,FALSE,"4WD"}</definedName>
    <definedName name="ㅠㄹㅇㅇ류윤ㄹ" hidden="1">{#N/A,#N/A,FALSE,"KMC최종회의(7월) 자료"}</definedName>
    <definedName name="ㅠㄹㅇㅇ류윤ㄹ_1" hidden="1">{#N/A,#N/A,FALSE,"KMC최종회의(7월) 자료"}</definedName>
    <definedName name="ㅠ류유류" hidden="1">{#N/A,#N/A,FALSE,"KMC최종회의(7월) 자료"}</definedName>
    <definedName name="ㅠ류유류_1" hidden="1">{#N/A,#N/A,FALSE,"KMC최종회의(7월) 자료"}</definedName>
    <definedName name="ㅠㅇㄹㅇ류" hidden="1">{#N/A,#N/A,FALSE,"KMC최종회의(7월) 자료"}</definedName>
    <definedName name="ㅠㅇㄹㅇ류_1" hidden="1">{#N/A,#N/A,FALSE,"KMC최종회의(7월) 자료"}</definedName>
    <definedName name="ㅠㅇ루ㅗㅀ" hidden="1">{#N/A,#N/A,FALSE,"KMC최종회의(7월) 자료"}</definedName>
    <definedName name="ㅠㅇ루ㅗㅀ_1" hidden="1">{#N/A,#N/A,FALSE,"KMC최종회의(7월) 자료"}</definedName>
    <definedName name="ㅠ윻루" hidden="1">{#N/A,#N/A,FALSE,"KMC최종회의(7월) 자료"}</definedName>
    <definedName name="ㅠ윻루_1" hidden="1">{#N/A,#N/A,FALSE,"KMC최종회의(7월) 자료"}</definedName>
    <definedName name="ㅠㅋ" hidden="1">{#VALUE!,#N/A,FALSE,0}</definedName>
    <definedName name="ㅠㅋ_1" hidden="1">{#VALUE!,#N/A,FALSE,0}</definedName>
    <definedName name="ㅠㅍㅁㄷ솟" hidden="1">{#N/A,#N/A,FALSE,"96 3월물량표";#N/A,#N/A,FALSE,"96 4월물량표";#N/A,#N/A,FALSE,"96 5월물량표"}</definedName>
    <definedName name="ㅠㅍㅇ류" hidden="1">{#N/A,#N/A,FALSE,"단축1";#N/A,#N/A,FALSE,"단축2";#N/A,#N/A,FALSE,"단축3";#N/A,#N/A,FALSE,"장축";#N/A,#N/A,FALSE,"4WD"}</definedName>
    <definedName name="ㅠㅍㅇㅌㄹ" hidden="1">{#N/A,#N/A,FALSE,"단축1";#N/A,#N/A,FALSE,"단축2";#N/A,#N/A,FALSE,"단축3";#N/A,#N/A,FALSE,"장축";#N/A,#N/A,FALSE,"4WD"}</definedName>
    <definedName name="ㅠㅍㅇㅌㄹ_1" hidden="1">{#N/A,#N/A,FALSE,"단축1";#N/A,#N/A,FALSE,"단축2";#N/A,#N/A,FALSE,"단축3";#N/A,#N/A,FALSE,"장축";#N/A,#N/A,FALSE,"4WD"}</definedName>
    <definedName name="ㅠㅍㅇㅌㄹ_2" hidden="1">{#N/A,#N/A,FALSE,"단축1";#N/A,#N/A,FALSE,"단축2";#N/A,#N/A,FALSE,"단축3";#N/A,#N/A,FALSE,"장축";#N/A,#N/A,FALSE,"4WD"}</definedName>
    <definedName name="ㅠㅍ튜ㅍㅊㅌㅍ" hidden="1">{#N/A,#N/A,FALSE,"PART-1234-8-12-9(41)";#N/A,#N/A,FALSE,"PARTS-2(3)";#N/A,#N/A,FALSE,"VAN SYSTEM";#N/A,#N/A,FALSE,"PARTS-10(26)";#N/A,#N/A,FALSE,"PART-5-6-7-11(14)";#N/A,#N/A,FALSE,"PARTS-4(3)";#N/A,#N/A,FALSE,"PCLASS"}</definedName>
    <definedName name="ㅠㅐㅡ" hidden="1">{#N/A,#N/A,FALSE,"단축1";#N/A,#N/A,FALSE,"단축2";#N/A,#N/A,FALSE,"단축3";#N/A,#N/A,FALSE,"장축";#N/A,#N/A,FALSE,"4WD"}</definedName>
    <definedName name="ㅠㅓㅣㅏ" hidden="1">{#N/A,#N/A,FALSE,"단축1";#N/A,#N/A,FALSE,"단축2";#N/A,#N/A,FALSE,"단축3";#N/A,#N/A,FALSE,"장축";#N/A,#N/A,FALSE,"4WD"}</definedName>
    <definedName name="ㅠㅕㅛ" hidden="1">{#N/A,#N/A,FALSE,"단축1";#N/A,#N/A,FALSE,"단축2";#N/A,#N/A,FALSE,"단축3";#N/A,#N/A,FALSE,"장축";#N/A,#N/A,FALSE,"4WD"}</definedName>
    <definedName name="ㅠㅗ규ㅠ" hidden="1">{#N/A,#N/A,FALSE,"KMC최종회의(7월) 자료"}</definedName>
    <definedName name="ㅠㅗ규ㅠ_1" hidden="1">{#N/A,#N/A,FALSE,"KMC최종회의(7월) 자료"}</definedName>
    <definedName name="ㅠㅗㄴㄱㅇㅎㄴㅍ" hidden="1">{#N/A,#N/A,FALSE,"단축1";#N/A,#N/A,FALSE,"단축2";#N/A,#N/A,FALSE,"단축3";#N/A,#N/A,FALSE,"장축";#N/A,#N/A,FALSE,"4WD"}</definedName>
    <definedName name="ㅠㅗㅇㅀ" hidden="1">{"'매출계획'!$D$2"}</definedName>
    <definedName name="ㅠㅗㅜ" hidden="1">{#N/A,#N/A,FALSE,"KMC최종회의(7월) 자료"}</definedName>
    <definedName name="ㅠㅗㅜ_1" hidden="1">{#N/A,#N/A,FALSE,"KMC최종회의(7월) 자료"}</definedName>
    <definedName name="ㅠㅗㅠㅍㅇ류" hidden="1">{#N/A,#N/A,FALSE,"KMC최종회의(7월) 자료"}</definedName>
    <definedName name="ㅠㅗㅠㅍㅇ류_1" hidden="1">{#N/A,#N/A,FALSE,"KMC최종회의(7월) 자료"}</definedName>
    <definedName name="ㅠㅛㅎㅅㅅ" hidden="1">{#N/A,#N/A,FALSE,"단축1";#N/A,#N/A,FALSE,"단축2";#N/A,#N/A,FALSE,"단축3";#N/A,#N/A,FALSE,"장축";#N/A,#N/A,FALSE,"4WD"}</definedName>
    <definedName name="ㅠㅜㅊ" hidden="1">{#N/A,#N/A,FALSE,"단축1";#N/A,#N/A,FALSE,"단축2";#N/A,#N/A,FALSE,"단축3";#N/A,#N/A,FALSE,"장축";#N/A,#N/A,FALSE,"4WD"}</definedName>
    <definedName name="ㅠㅜ푸" hidden="1">{#N/A,#N/A,FALSE,"단축1";#N/A,#N/A,FALSE,"단축2";#N/A,#N/A,FALSE,"단축3";#N/A,#N/A,FALSE,"장축";#N/A,#N/A,FALSE,"4WD"}</definedName>
    <definedName name="ㅠㅜㅜㅜㅜㅕ" hidden="1">{#N/A,#N/A,FALSE,"신규dep";#N/A,#N/A,FALSE,"신규dep-금형상각후";#N/A,#N/A,FALSE,"신규dep-연구비상각후";#N/A,#N/A,FALSE,"신규dep-기계,공구상각후"}</definedName>
    <definedName name="ㅠㅜㅜㅠㅜㅜㅠㅜㅠㅜㅠㅜ" hidden="1">{#N/A,#N/A,FALSE,"KMC최종회의(7월) 자료"}</definedName>
    <definedName name="ㅠㅜㅠㅠㅠㅠㅠㅠ" hidden="1">{#N/A,#N/A,FALSE,"단축1";#N/A,#N/A,FALSE,"단축2";#N/A,#N/A,FALSE,"단축3";#N/A,#N/A,FALSE,"장축";#N/A,#N/A,FALSE,"4WD"}</definedName>
    <definedName name="ㅠㅠ" hidden="1">{#N/A,#N/A,FALSE,"단축1";#N/A,#N/A,FALSE,"단축2";#N/A,#N/A,FALSE,"단축3";#N/A,#N/A,FALSE,"장축";#N/A,#N/A,FALSE,"4WD"}</definedName>
    <definedName name="ㅠㅠ유ㅜ" hidden="1">{#N/A,#N/A,FALSE,"KMC최종회의(7월) 자료"}</definedName>
    <definedName name="ㅠㅠ유ㅜ_1" hidden="1">{#N/A,#N/A,FALSE,"KMC최종회의(7월) 자료"}</definedName>
    <definedName name="ㅠㅠㅎ" hidden="1">{#N/A,#N/A,FALSE,"신규dep";#N/A,#N/A,FALSE,"신규dep-금형상각후";#N/A,#N/A,FALSE,"신규dep-연구비상각후";#N/A,#N/A,FALSE,"신규dep-기계,공구상각후"}</definedName>
    <definedName name="ㅠㅠㅗㅘ" hidden="1">{#N/A,#N/A,FALSE,"단축1";#N/A,#N/A,FALSE,"단축2";#N/A,#N/A,FALSE,"단축3";#N/A,#N/A,FALSE,"장축";#N/A,#N/A,FALSE,"4WD"}</definedName>
    <definedName name="ㅠㅠㅗㅠㅎ" hidden="1">{#N/A,#N/A,FALSE,"96 3월물량표";#N/A,#N/A,FALSE,"96 4월물량표";#N/A,#N/A,FALSE,"96 5월물량표"}</definedName>
    <definedName name="ㅠㅠㅠ" hidden="1">{#N/A,#N/A,FALSE,"단축1";#N/A,#N/A,FALSE,"단축2";#N/A,#N/A,FALSE,"단축3";#N/A,#N/A,FALSE,"장축";#N/A,#N/A,FALSE,"4WD"}</definedName>
    <definedName name="ㅠㅠㅠㅠㅠ" hidden="1">{#N/A,#N/A,FALSE,"표지";#N/A,#N/A,FALSE,"을지1";#N/A,#N/A,FALSE,"일정1";#N/A,#N/A,FALSE,"일정2";#N/A,#N/A,FALSE,"11T-C";#N/A,#N/A,FALSE,"15T-D";#N/A,#N/A,FALSE,"판매현황";#N/A,#N/A,FALSE,"업무 FLOW"}</definedName>
    <definedName name="ㅡ" hidden="1">{#N/A,#N/A,FALSE,"단축1";#N/A,#N/A,FALSE,"단축2";#N/A,#N/A,FALSE,"단축3";#N/A,#N/A,FALSE,"장축";#N/A,#N/A,FALSE,"4WD"}</definedName>
    <definedName name="ㅡ_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_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호흐ㅗㅊ트ㅗ호" hidden="1">{#N/A,#N/A,FALSE,"KMC최종회의(7월) 자료"}</definedName>
    <definedName name="ㅡ호흐ㅗㅊ트ㅗ호_1" hidden="1">{#N/A,#N/A,FALSE,"KMC최종회의(7월) 자료"}</definedName>
    <definedName name="ㅡㅏㅓㅗㅓ" hidden="1">{#N/A,#N/A,FALSE,"단축1";#N/A,#N/A,FALSE,"단축2";#N/A,#N/A,FALSE,"단축3";#N/A,#N/A,FALSE,"장축";#N/A,#N/A,FALSE,"4WD"}</definedName>
    <definedName name="ㅡㅗ호흐ㅡ호ㅗ" hidden="1">{#N/A,#N/A,FALSE,"KMC최종회의(7월) 자료"}</definedName>
    <definedName name="ㅡㅗ호흐ㅡ호ㅗ_1" hidden="1">{#N/A,#N/A,FALSE,"KMC최종회의(7월) 자료"}</definedName>
    <definedName name="ㅡㅡ" hidden="1">{#N/A,#N/A,FALSE,"단축1";#N/A,#N/A,FALSE,"단축2";#N/A,#N/A,FALSE,"단축3";#N/A,#N/A,FALSE,"장축";#N/A,#N/A,FALSE,"4WD"}</definedName>
    <definedName name="ㅡㅡㅡ" hidden="1">#REF!</definedName>
    <definedName name="ㅡㅡㅡㅡㅜㅡ츄ㅡㅡ" hidden="1">{#N/A,#N/A,FALSE,"KMC최종회의(7월) 자료"}</definedName>
    <definedName name="ㅡㅡㅡㅡㅜㅡ츄ㅡㅡ_1" hidden="1">{#N/A,#N/A,FALSE,"KMC최종회의(7월) 자료"}</definedName>
    <definedName name="ㅣ" hidden="1">{#N/A,#N/A,FALSE,"정공"}</definedName>
    <definedName name="ㅣ_1" hidden="1">{#N/A,#N/A,FALSE,"정공"}</definedName>
    <definedName name="ㅣ_2" hidden="1">{#N/A,#N/A,FALSE,"정공"}</definedName>
    <definedName name="ㅣㅫ" hidden="1">{#N/A,#N/A,FALSE,"을지 (4)";#N/A,#N/A,FALSE,"을지 (5)";#N/A,#N/A,FALSE,"을지 (6)"}</definedName>
    <definedName name="ㅣ어ㅏ러럴" hidden="1">{#N/A,#N/A,FALSE,"단축1";#N/A,#N/A,FALSE,"단축2";#N/A,#N/A,FALSE,"단축3";#N/A,#N/A,FALSE,"장축";#N/A,#N/A,FALSE,"4WD"}</definedName>
    <definedName name="ㅣㅏ" hidden="1">{#N/A,#N/A,FALSE,"단축1";#N/A,#N/A,FALSE,"단축2";#N/A,#N/A,FALSE,"단축3";#N/A,#N/A,FALSE,"장축";#N/A,#N/A,FALSE,"4WD"}</definedName>
    <definedName name="ㅣㅏ_1" hidden="1">{#N/A,#N/A,FALSE,"단축1";#N/A,#N/A,FALSE,"단축2";#N/A,#N/A,FALSE,"단축3";#N/A,#N/A,FALSE,"장축";#N/A,#N/A,FALSE,"4WD"}</definedName>
    <definedName name="ㅣㅏㄹㅇㅌㄱㅎ" hidden="1">{#N/A,#N/A,FALSE,"단축1";#N/A,#N/A,FALSE,"단축2";#N/A,#N/A,FALSE,"단축3";#N/A,#N/A,FALSE,"장축";#N/A,#N/A,FALSE,"4WD"}</definedName>
    <definedName name="ㅣㅏㅏ" hidden="1">{#N/A,#N/A,FALSE,"단축1";#N/A,#N/A,FALSE,"단축2";#N/A,#N/A,FALSE,"단축3";#N/A,#N/A,FALSE,"장축";#N/A,#N/A,FALSE,"4WD"}</definedName>
    <definedName name="ㅣㅏㅏㅐ" hidden="1">{#N/A,#N/A,FALSE,"유첨5-1";#N/A,#N/A,FALSE,"5-2";#N/A,#N/A,FALSE,"5-3";#N/A,#N/A,FALSE,"5-4";#N/A,#N/A,FALSE,"5-5";#N/A,#N/A,FALSE,"5-6";#N/A,#N/A,FALSE,"5-7";#N/A,#N/A,FALSE,"5-8"}</definedName>
    <definedName name="ㅣㅏㅐㅏㅓㅓㅕ호ㅕㅑ형료" hidden="1">{#N/A,#N/A,FALSE,"신규dep";#N/A,#N/A,FALSE,"신규dep-금형상각후";#N/A,#N/A,FALSE,"신규dep-연구비상각후";#N/A,#N/A,FALSE,"신규dep-기계,공구상각후"}</definedName>
    <definedName name="ㅣㅏㅓ" hidden="1">{#N/A,#N/A,FALSE,"단축1";#N/A,#N/A,FALSE,"단축2";#N/A,#N/A,FALSE,"단축3";#N/A,#N/A,FALSE,"장축";#N/A,#N/A,FALSE,"4WD"}</definedName>
    <definedName name="ㅣㅏㅓ일ㄴ어" hidden="1">{#N/A,#N/A,FALSE,"Status";#N/A,#N/A,FALSE,"Deckblatt 1";#N/A,#N/A,FALSE,"Deckblatt2"}</definedName>
    <definedName name="ㅣㅏㅓ일ㄴ어_1" hidden="1">{#N/A,#N/A,FALSE,"Status";#N/A,#N/A,FALSE,"Deckblatt 1";#N/A,#N/A,FALSE,"Deckblatt2"}</definedName>
    <definedName name="ㅣㅏㅓ일ㄴ어_2" hidden="1">{#N/A,#N/A,FALSE,"Status";#N/A,#N/A,FALSE,"Deckblatt 1";#N/A,#N/A,FALSE,"Deckblatt2"}</definedName>
    <definedName name="ㅣㅏㅡ" hidden="1">{#N/A,#N/A,FALSE,"을지 (4)";#N/A,#N/A,FALSE,"을지 (5)";#N/A,#N/A,FALSE,"을지 (6)"}</definedName>
    <definedName name="ㅣㅏㅣㅓㅊ홓ㄾ" hidden="1">{#N/A,#N/A,TRUE,"Y생산";#N/A,#N/A,TRUE,"Y판매";#N/A,#N/A,TRUE,"Y총물량";#N/A,#N/A,TRUE,"Y능력";#N/A,#N/A,TRUE,"YKD"}</definedName>
    <definedName name="ㅣㅏㅣㅓㅊ홓ㄾ_1" hidden="1">{#N/A,#N/A,TRUE,"Y생산";#N/A,#N/A,TRUE,"Y판매";#N/A,#N/A,TRUE,"Y총물량";#N/A,#N/A,TRUE,"Y능력";#N/A,#N/A,TRUE,"YKD"}</definedName>
    <definedName name="ㅣㅐ" hidden="1">{#N/A,#N/A,TRUE,"Y생산";#N/A,#N/A,TRUE,"Y판매";#N/A,#N/A,TRUE,"Y총물량";#N/A,#N/A,TRUE,"Y능력";#N/A,#N/A,TRUE,"YKD"}</definedName>
    <definedName name="ㅣㅐ88ㅐㅕ" hidden="1">{#N/A,#N/A,FALSE,"KMC최종회의(7월) 자료"}</definedName>
    <definedName name="ㅣㅐ88ㅐㅕ_1" hidden="1">{#N/A,#N/A,FALSE,"KMC최종회의(7월) 자료"}</definedName>
    <definedName name="ㅣㅐㅣ" hidden="1">{#N/A,#N/A,FALSE,"KMC최종회의(7월) 자료"}</definedName>
    <definedName name="ㅣㅑㅓㅔ" hidden="1">#REF!</definedName>
    <definedName name="ㅣㅕㅣ" hidden="1">{#N/A,#N/A,TRUE,"Y생산";#N/A,#N/A,TRUE,"Y판매";#N/A,#N/A,TRUE,"Y총물량";#N/A,#N/A,TRUE,"Y능력";#N/A,#N/A,TRUE,"YKD"}</definedName>
    <definedName name="ㅣㅗㅓㄴ" hidden="1">{#N/A,#N/A,TRUE,"Y생산";#N/A,#N/A,TRUE,"Y판매";#N/A,#N/A,TRUE,"Y총물량";#N/A,#N/A,TRUE,"Y능력";#N/A,#N/A,TRUE,"YKD"}</definedName>
    <definedName name="ㅣㅗㅓㄴ_1" hidden="1">{#N/A,#N/A,TRUE,"Y생산";#N/A,#N/A,TRUE,"Y판매";#N/A,#N/A,TRUE,"Y총물량";#N/A,#N/A,TRUE,"Y능력";#N/A,#N/A,TRUE,"YKD"}</definedName>
    <definedName name="ㅣㅣ" hidden="1">{#N/A,#N/A,TRUE,"Y생산";#N/A,#N/A,TRUE,"Y판매";#N/A,#N/A,TRUE,"Y총물량";#N/A,#N/A,TRUE,"Y능력";#N/A,#N/A,TRUE,"YKD"}</definedName>
    <definedName name="ㅣㅣㅣ" hidden="1">{#N/A,#N/A,FALSE,"단축1";#N/A,#N/A,FALSE,"단축2";#N/A,#N/A,FALSE,"단축3";#N/A,#N/A,FALSE,"장축";#N/A,#N/A,FALSE,"4WD"}</definedName>
    <definedName name="ㅣㅣㅣㅣㅣ" hidden="1">{#N/A,#N/A,FALSE,"인원";#N/A,#N/A,FALSE,"비용2";#N/A,#N/A,FALSE,"비용1";#N/A,#N/A,FALSE,"비용";#N/A,#N/A,FALSE,"보증2";#N/A,#N/A,FALSE,"보증1";#N/A,#N/A,FALSE,"보증";#N/A,#N/A,FALSE,"손익1";#N/A,#N/A,FALSE,"손익";#N/A,#N/A,FALSE,"부서별매출";#N/A,#N/A,FALSE,"매출"}</definedName>
    <definedName name="ㅣㅣㅣㅣㅣㅣㅣ" hidden="1">{#N/A,#N/A,FALSE,"단축1";#N/A,#N/A,FALSE,"단축2";#N/A,#N/A,FALSE,"단축3";#N/A,#N/A,FALSE,"장축";#N/A,#N/A,FALSE,"4WD"}</definedName>
    <definedName name="ㅣㅣㅣㅣㅣㅣㅣㅣㅣㅣㅣ" hidden="1">{#N/A,#N/A,FALSE,"정공"}</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82" i="20" l="1"/>
  <c r="AE82" i="20"/>
  <c r="AD82" i="20"/>
  <c r="AC82" i="20"/>
  <c r="AB82" i="20"/>
  <c r="AA82" i="20"/>
  <c r="Z82" i="20"/>
  <c r="Y82" i="20"/>
  <c r="X82" i="20"/>
  <c r="V82" i="20"/>
  <c r="U82" i="20"/>
  <c r="T82" i="20"/>
  <c r="S82" i="20"/>
  <c r="R82" i="20"/>
  <c r="Q82" i="20"/>
  <c r="P82" i="20"/>
  <c r="O82" i="20"/>
  <c r="N82" i="20"/>
  <c r="AF77" i="20"/>
  <c r="AE77" i="20"/>
  <c r="AD77" i="20"/>
  <c r="AC77" i="20"/>
  <c r="AB77" i="20"/>
  <c r="AA77" i="20"/>
  <c r="Z77" i="20"/>
  <c r="Y77" i="20"/>
  <c r="X77" i="20"/>
  <c r="V77" i="20"/>
  <c r="U77" i="20"/>
  <c r="T77" i="20"/>
  <c r="S77" i="20"/>
  <c r="R77" i="20"/>
  <c r="Q77" i="20"/>
  <c r="P77" i="20"/>
  <c r="O77" i="20"/>
  <c r="N77" i="20"/>
  <c r="X72" i="20"/>
  <c r="N72" i="20"/>
  <c r="AF67" i="20"/>
  <c r="AE67" i="20"/>
  <c r="AD67" i="20"/>
  <c r="AC67" i="20"/>
  <c r="AB67" i="20"/>
  <c r="AA67" i="20"/>
  <c r="Z67" i="20"/>
  <c r="Y67" i="20"/>
  <c r="X67" i="20"/>
  <c r="V67" i="20"/>
  <c r="U67" i="20"/>
  <c r="T67" i="20"/>
  <c r="S67" i="20"/>
  <c r="R67" i="20"/>
  <c r="Q67" i="20"/>
  <c r="P67" i="20"/>
  <c r="O67" i="20"/>
  <c r="N67" i="20"/>
  <c r="AF62" i="20"/>
  <c r="AE62" i="20"/>
  <c r="AD62" i="20"/>
  <c r="AC62" i="20"/>
  <c r="AB62" i="20"/>
  <c r="AA62" i="20"/>
  <c r="Z62" i="20"/>
  <c r="Y62" i="20"/>
  <c r="X62" i="20"/>
  <c r="V62" i="20"/>
  <c r="U62" i="20"/>
  <c r="T62" i="20"/>
  <c r="S62" i="20"/>
  <c r="R62" i="20"/>
  <c r="Q62" i="20"/>
  <c r="P62" i="20"/>
  <c r="O62" i="20"/>
  <c r="N62" i="20"/>
  <c r="AF57" i="20"/>
  <c r="AE57" i="20"/>
  <c r="AD57" i="20"/>
  <c r="AC57" i="20"/>
  <c r="AB57" i="20"/>
  <c r="AA57" i="20"/>
  <c r="Z57" i="20"/>
  <c r="Y57" i="20"/>
  <c r="X57" i="20"/>
  <c r="V57" i="20"/>
  <c r="U57" i="20"/>
  <c r="T57" i="20"/>
  <c r="S57" i="20"/>
  <c r="R57" i="20"/>
  <c r="Q57" i="20"/>
  <c r="P57" i="20"/>
  <c r="O57" i="20"/>
  <c r="N57" i="20"/>
  <c r="AF52" i="20"/>
  <c r="AE52" i="20"/>
  <c r="AD52" i="20"/>
  <c r="AC52" i="20"/>
  <c r="AB52" i="20"/>
  <c r="AA52" i="20"/>
  <c r="Z52" i="20"/>
  <c r="Y52" i="20"/>
  <c r="X52" i="20"/>
  <c r="V52" i="20"/>
  <c r="U52" i="20"/>
  <c r="T52" i="20"/>
  <c r="S52" i="20"/>
  <c r="R52" i="20"/>
  <c r="Q52" i="20"/>
  <c r="P52" i="20"/>
  <c r="O52" i="20"/>
  <c r="N52" i="20"/>
  <c r="AF47" i="20"/>
  <c r="AE47" i="20"/>
  <c r="AD47" i="20"/>
  <c r="AC47" i="20"/>
  <c r="AB47" i="20"/>
  <c r="AA47" i="20"/>
  <c r="Z47" i="20"/>
  <c r="Y47" i="20"/>
  <c r="X47" i="20"/>
  <c r="V47" i="20"/>
  <c r="U47" i="20"/>
  <c r="T47" i="20"/>
  <c r="S47" i="20"/>
  <c r="R47" i="20"/>
  <c r="Q47" i="20"/>
  <c r="P47" i="20"/>
  <c r="O47" i="20"/>
  <c r="N47" i="20"/>
  <c r="AF42" i="20"/>
  <c r="AE42" i="20"/>
  <c r="AD42" i="20"/>
  <c r="AC42" i="20"/>
  <c r="AB42" i="20"/>
  <c r="AA42" i="20"/>
  <c r="Z42" i="20"/>
  <c r="X42" i="20"/>
  <c r="V42" i="20"/>
  <c r="U42" i="20"/>
  <c r="T42" i="20"/>
  <c r="S42" i="20"/>
  <c r="R42" i="20"/>
  <c r="Q42" i="20"/>
  <c r="P42" i="20"/>
  <c r="O42" i="20"/>
  <c r="Y42" i="20" s="1"/>
  <c r="N42" i="20"/>
  <c r="AB37" i="20"/>
  <c r="V37" i="20"/>
  <c r="AF37" i="20" s="1"/>
  <c r="U37" i="20"/>
  <c r="AE37" i="20" s="1"/>
  <c r="T37" i="20"/>
  <c r="AD37" i="20" s="1"/>
  <c r="S37" i="20"/>
  <c r="AC37" i="20" s="1"/>
  <c r="R37" i="20"/>
  <c r="Q37" i="20"/>
  <c r="AA37" i="20" s="1"/>
  <c r="P37" i="20"/>
  <c r="Z37" i="20" s="1"/>
  <c r="O37" i="20"/>
  <c r="Y37" i="20" s="1"/>
  <c r="N37" i="20"/>
  <c r="X37" i="20" s="1"/>
  <c r="AF32" i="20"/>
  <c r="AE32" i="20"/>
  <c r="AA32" i="20"/>
  <c r="X32" i="20"/>
  <c r="V32" i="20"/>
  <c r="U32" i="20"/>
  <c r="T32" i="20"/>
  <c r="AD32" i="20" s="1"/>
  <c r="S32" i="20"/>
  <c r="AC32" i="20" s="1"/>
  <c r="R32" i="20"/>
  <c r="AB32" i="20" s="1"/>
  <c r="Q32" i="20"/>
  <c r="P32" i="20"/>
  <c r="Z32" i="20" s="1"/>
  <c r="O32" i="20"/>
  <c r="Y32" i="20" s="1"/>
  <c r="N32" i="20"/>
  <c r="AC27" i="20"/>
  <c r="Z27" i="20"/>
  <c r="Y27" i="20"/>
  <c r="V27" i="20"/>
  <c r="AF27" i="20" s="1"/>
  <c r="U27" i="20"/>
  <c r="AE27" i="20" s="1"/>
  <c r="T27" i="20"/>
  <c r="AD27" i="20" s="1"/>
  <c r="S27" i="20"/>
  <c r="R27" i="20"/>
  <c r="AB27" i="20" s="1"/>
  <c r="Q27" i="20"/>
  <c r="AA27" i="20" s="1"/>
  <c r="P27" i="20"/>
  <c r="O27" i="20"/>
  <c r="N27" i="20"/>
  <c r="X27" i="20" s="1"/>
  <c r="AB22" i="20"/>
  <c r="AA22" i="20"/>
  <c r="Z22" i="20"/>
  <c r="V22" i="20"/>
  <c r="AF22" i="20" s="1"/>
  <c r="U22" i="20"/>
  <c r="AE22" i="20" s="1"/>
  <c r="T22" i="20"/>
  <c r="AD22" i="20" s="1"/>
  <c r="S22" i="20"/>
  <c r="AC22" i="20" s="1"/>
  <c r="R22" i="20"/>
  <c r="Q22" i="20"/>
  <c r="P22" i="20"/>
  <c r="O22" i="20"/>
  <c r="Y22" i="20" s="1"/>
  <c r="N22" i="20"/>
  <c r="X22" i="20" s="1"/>
  <c r="AF17" i="20"/>
  <c r="AD17" i="20"/>
  <c r="AC17" i="20"/>
  <c r="AB17" i="20"/>
  <c r="X17" i="20"/>
  <c r="V17" i="20"/>
  <c r="U17" i="20"/>
  <c r="AE17" i="20" s="1"/>
  <c r="T17" i="20"/>
  <c r="S17" i="20"/>
  <c r="R17" i="20"/>
  <c r="Q17" i="20"/>
  <c r="AA17" i="20" s="1"/>
  <c r="P17" i="20"/>
  <c r="Z17" i="20" s="1"/>
  <c r="O17" i="20"/>
  <c r="Y17" i="20" s="1"/>
  <c r="N17" i="20"/>
  <c r="AF12" i="20"/>
  <c r="AE12" i="20"/>
  <c r="Z12" i="20"/>
  <c r="X12" i="20"/>
  <c r="V12" i="20"/>
  <c r="U12" i="20"/>
  <c r="T12" i="20"/>
  <c r="AD12" i="20" s="1"/>
  <c r="S12" i="20"/>
  <c r="AC12" i="20" s="1"/>
  <c r="R12" i="20"/>
  <c r="AB12" i="20" s="1"/>
  <c r="Q12" i="20"/>
  <c r="AA12" i="20" s="1"/>
  <c r="P12" i="20"/>
  <c r="O12" i="20"/>
  <c r="Y12" i="20" s="1"/>
  <c r="N12" i="20"/>
  <c r="AB7" i="20"/>
  <c r="Z7" i="20"/>
  <c r="Y7" i="20"/>
  <c r="V7" i="20"/>
  <c r="AF7" i="20" s="1"/>
  <c r="U7" i="20"/>
  <c r="AE7" i="20" s="1"/>
  <c r="T7" i="20"/>
  <c r="AD7" i="20" s="1"/>
  <c r="S7" i="20"/>
  <c r="AC7" i="20" s="1"/>
  <c r="R7" i="20"/>
  <c r="Q7" i="20"/>
  <c r="AA7" i="20" s="1"/>
  <c r="P7" i="20"/>
  <c r="O7" i="20"/>
  <c r="N7" i="20"/>
  <c r="X7" i="20" s="1"/>
  <c r="AD67" i="19"/>
  <c r="AC67" i="19"/>
  <c r="AB67" i="19"/>
  <c r="AA67" i="19"/>
  <c r="Z67" i="19"/>
  <c r="Y67" i="19"/>
  <c r="O56" i="19"/>
  <c r="O37" i="19" s="1"/>
  <c r="O36" i="19" s="1"/>
  <c r="O35" i="19" s="1"/>
  <c r="O54" i="19"/>
  <c r="A1" i="19"/>
  <c r="S263" i="18"/>
  <c r="Q263" i="18"/>
  <c r="X263" i="18"/>
  <c r="W263" i="18"/>
  <c r="V263" i="18"/>
  <c r="U263" i="18"/>
  <c r="T263" i="18"/>
  <c r="Z262" i="18"/>
  <c r="Z261" i="18"/>
  <c r="Z260" i="18"/>
  <c r="Y259" i="18"/>
  <c r="Y258" i="18"/>
  <c r="Z258" i="18" s="1"/>
  <c r="M248" i="18"/>
  <c r="M218" i="18" s="1"/>
  <c r="Y254" i="18"/>
  <c r="Y253" i="18"/>
  <c r="Z253" i="18" s="1"/>
  <c r="Y251" i="18"/>
  <c r="O286" i="18"/>
  <c r="O287" i="18" s="1"/>
  <c r="O283" i="18"/>
  <c r="Z244" i="18"/>
  <c r="Z242" i="18"/>
  <c r="S231" i="18"/>
  <c r="S217" i="18" s="1"/>
  <c r="Y238" i="18"/>
  <c r="V231" i="18"/>
  <c r="V217" i="18" s="1"/>
  <c r="N231" i="18"/>
  <c r="N217" i="18" s="1"/>
  <c r="R231" i="18"/>
  <c r="R217" i="18" s="1"/>
  <c r="Q231" i="18"/>
  <c r="Q217" i="18" s="1"/>
  <c r="T231" i="18"/>
  <c r="T217" i="18" s="1"/>
  <c r="L231" i="18"/>
  <c r="L217" i="18" s="1"/>
  <c r="N228" i="18"/>
  <c r="W228" i="18"/>
  <c r="O228" i="18"/>
  <c r="M228" i="18"/>
  <c r="W226" i="18"/>
  <c r="S226" i="18"/>
  <c r="O226" i="18"/>
  <c r="X226" i="18"/>
  <c r="V226" i="18"/>
  <c r="U226" i="18"/>
  <c r="T226" i="18"/>
  <c r="R226" i="18"/>
  <c r="P226" i="18"/>
  <c r="N226" i="18"/>
  <c r="M226" i="18"/>
  <c r="L226" i="18"/>
  <c r="L224" i="18"/>
  <c r="AA223" i="18"/>
  <c r="Y223" i="18"/>
  <c r="W223" i="18"/>
  <c r="W224" i="18" s="1"/>
  <c r="S223" i="18"/>
  <c r="R223" i="18"/>
  <c r="R228" i="18" s="1"/>
  <c r="O223" i="18"/>
  <c r="O224" i="18" s="1"/>
  <c r="L228" i="18"/>
  <c r="T221" i="18"/>
  <c r="T216" i="18" s="1"/>
  <c r="S224" i="18"/>
  <c r="R224" i="18"/>
  <c r="Q226" i="18"/>
  <c r="Y222" i="18"/>
  <c r="Z222" i="18" s="1"/>
  <c r="M224" i="18"/>
  <c r="L221" i="18"/>
  <c r="L216" i="18" s="1"/>
  <c r="X221" i="18"/>
  <c r="X216" i="18" s="1"/>
  <c r="W221" i="18"/>
  <c r="W216" i="18" s="1"/>
  <c r="U221" i="18"/>
  <c r="U216" i="18" s="1"/>
  <c r="S221" i="18"/>
  <c r="S216" i="18" s="1"/>
  <c r="Q221" i="18"/>
  <c r="Q216" i="18" s="1"/>
  <c r="P221" i="18"/>
  <c r="P216" i="18" s="1"/>
  <c r="O221" i="18"/>
  <c r="O216" i="18" s="1"/>
  <c r="M221" i="18"/>
  <c r="M216" i="18" s="1"/>
  <c r="AA209" i="18"/>
  <c r="S209" i="18"/>
  <c r="I209" i="18"/>
  <c r="Q209" i="18" s="1"/>
  <c r="R207" i="18"/>
  <c r="I207" i="18"/>
  <c r="X207" i="18" s="1"/>
  <c r="O205" i="18"/>
  <c r="O194" i="18"/>
  <c r="O179" i="18"/>
  <c r="O189" i="18"/>
  <c r="Z178" i="18"/>
  <c r="O177" i="18"/>
  <c r="O172" i="18" s="1"/>
  <c r="AC176" i="18"/>
  <c r="AB176" i="18"/>
  <c r="AA176" i="18"/>
  <c r="W176" i="18"/>
  <c r="U176" i="18"/>
  <c r="T176" i="18"/>
  <c r="S176" i="18"/>
  <c r="R176" i="18"/>
  <c r="Q176" i="18"/>
  <c r="X176" i="18"/>
  <c r="AB174" i="18"/>
  <c r="AA174" i="18"/>
  <c r="X174" i="18"/>
  <c r="T174" i="18"/>
  <c r="S174" i="18"/>
  <c r="P174" i="18"/>
  <c r="R174" i="18"/>
  <c r="O171" i="18"/>
  <c r="Z167" i="18"/>
  <c r="O161" i="18"/>
  <c r="O146" i="18"/>
  <c r="O145" i="18" s="1"/>
  <c r="O156" i="18"/>
  <c r="O151" i="18"/>
  <c r="AG140" i="18"/>
  <c r="AG139" i="18"/>
  <c r="Y139" i="18"/>
  <c r="Z139" i="18" s="1"/>
  <c r="AG138" i="18"/>
  <c r="W138" i="18"/>
  <c r="U138" i="18"/>
  <c r="T138" i="18"/>
  <c r="R138" i="18"/>
  <c r="Q138" i="18"/>
  <c r="P138" i="18"/>
  <c r="V138" i="18"/>
  <c r="AG137" i="18"/>
  <c r="AG136" i="18"/>
  <c r="AG135" i="18"/>
  <c r="W135" i="18"/>
  <c r="V135" i="18"/>
  <c r="Q135" i="18"/>
  <c r="AG134" i="18"/>
  <c r="AG133" i="18"/>
  <c r="AD133" i="18"/>
  <c r="AB133" i="18"/>
  <c r="AA133" i="18"/>
  <c r="W133" i="18"/>
  <c r="T133" i="18"/>
  <c r="S133" i="18"/>
  <c r="R133" i="18"/>
  <c r="Q133" i="18"/>
  <c r="P133" i="18"/>
  <c r="V133" i="18"/>
  <c r="AG132" i="18"/>
  <c r="AG131" i="18"/>
  <c r="AC131" i="18"/>
  <c r="AB131" i="18"/>
  <c r="AA131" i="18"/>
  <c r="X131" i="18"/>
  <c r="W131" i="18"/>
  <c r="U131" i="18"/>
  <c r="T131" i="18"/>
  <c r="S131" i="18"/>
  <c r="R131" i="18"/>
  <c r="Q131" i="18"/>
  <c r="P131" i="18"/>
  <c r="AD131" i="18"/>
  <c r="AG130" i="18"/>
  <c r="AG129" i="18"/>
  <c r="O129" i="18"/>
  <c r="AG128" i="18"/>
  <c r="AG127" i="18"/>
  <c r="AG126" i="18"/>
  <c r="AG125" i="18"/>
  <c r="AG124" i="18"/>
  <c r="AG123" i="18"/>
  <c r="AG122" i="18"/>
  <c r="AG121" i="18"/>
  <c r="AG120" i="18"/>
  <c r="AG119" i="18"/>
  <c r="AG118" i="18"/>
  <c r="AG117" i="18"/>
  <c r="AG116" i="18"/>
  <c r="AG115" i="18"/>
  <c r="AG114" i="18"/>
  <c r="AG113" i="18"/>
  <c r="AG112" i="18"/>
  <c r="AG111" i="18"/>
  <c r="AG110" i="18"/>
  <c r="O192" i="18"/>
  <c r="O193" i="18" s="1"/>
  <c r="AG109" i="18"/>
  <c r="O113" i="18"/>
  <c r="AG108" i="18"/>
  <c r="AG107" i="18"/>
  <c r="AG106" i="18"/>
  <c r="AG105" i="18"/>
  <c r="AG104" i="18"/>
  <c r="AG103" i="18"/>
  <c r="O187" i="18"/>
  <c r="O188" i="18" s="1"/>
  <c r="AG102" i="18"/>
  <c r="O106" i="18"/>
  <c r="AG101" i="18"/>
  <c r="O107" i="18"/>
  <c r="AG100" i="18"/>
  <c r="AG99" i="18"/>
  <c r="AG98" i="18"/>
  <c r="AG97" i="18"/>
  <c r="AG96" i="18"/>
  <c r="AG95" i="18"/>
  <c r="AG94" i="18"/>
  <c r="AG93" i="18"/>
  <c r="AG92" i="18"/>
  <c r="AG91" i="18"/>
  <c r="AG90" i="18"/>
  <c r="Y90" i="18"/>
  <c r="Z90" i="18" s="1"/>
  <c r="AG89" i="18"/>
  <c r="AG88" i="18"/>
  <c r="U88" i="18"/>
  <c r="W88" i="18"/>
  <c r="AG87" i="18"/>
  <c r="AG86" i="18"/>
  <c r="AG85" i="18"/>
  <c r="AD85" i="18"/>
  <c r="AC85" i="18"/>
  <c r="AB85" i="18"/>
  <c r="AA85" i="18"/>
  <c r="X85" i="18"/>
  <c r="V85" i="18"/>
  <c r="U85" i="18"/>
  <c r="T85" i="18"/>
  <c r="S85" i="18"/>
  <c r="Q85" i="18"/>
  <c r="P85" i="18"/>
  <c r="R85" i="18"/>
  <c r="AG84" i="18"/>
  <c r="AG83" i="18"/>
  <c r="AC83" i="18"/>
  <c r="W83" i="18"/>
  <c r="V83" i="18"/>
  <c r="U83" i="18"/>
  <c r="AG82" i="18"/>
  <c r="O79" i="18"/>
  <c r="AG81" i="18"/>
  <c r="AC81" i="18"/>
  <c r="AB81" i="18"/>
  <c r="X81" i="18"/>
  <c r="W81" i="18"/>
  <c r="U81" i="18"/>
  <c r="T81" i="18"/>
  <c r="R81" i="18"/>
  <c r="Q81" i="18"/>
  <c r="P81" i="18"/>
  <c r="AD81" i="18"/>
  <c r="AG80" i="18"/>
  <c r="AG79" i="18"/>
  <c r="AG78" i="18"/>
  <c r="O78" i="18"/>
  <c r="AG77" i="18"/>
  <c r="AG76" i="18"/>
  <c r="AG75" i="18"/>
  <c r="AG74" i="18"/>
  <c r="Z74" i="18"/>
  <c r="Z169" i="18" s="1"/>
  <c r="O169" i="18"/>
  <c r="AG73" i="18"/>
  <c r="Z73" i="18"/>
  <c r="Z77" i="18" s="1"/>
  <c r="AG72" i="18"/>
  <c r="Z72" i="18"/>
  <c r="Z32" i="18" s="1"/>
  <c r="Z25" i="18" s="1"/>
  <c r="AG71" i="18"/>
  <c r="AG70" i="18"/>
  <c r="AG69" i="18"/>
  <c r="AG68" i="18"/>
  <c r="AG67" i="18"/>
  <c r="AG66" i="18"/>
  <c r="AG65" i="18"/>
  <c r="AG64" i="18"/>
  <c r="AG63" i="18"/>
  <c r="O63" i="18"/>
  <c r="AG62" i="18"/>
  <c r="AG61" i="18"/>
  <c r="AG60" i="18"/>
  <c r="O159" i="18"/>
  <c r="O160" i="18" s="1"/>
  <c r="AG59" i="18"/>
  <c r="AG58" i="18"/>
  <c r="AG57" i="18"/>
  <c r="AG56" i="18"/>
  <c r="O56" i="18"/>
  <c r="AG55" i="18"/>
  <c r="AG54" i="18"/>
  <c r="AG53" i="18"/>
  <c r="AG52" i="18"/>
  <c r="AG51" i="18"/>
  <c r="AG50" i="18"/>
  <c r="O50" i="18"/>
  <c r="AG49" i="18"/>
  <c r="AG48" i="18"/>
  <c r="AG47" i="18"/>
  <c r="AG46" i="18"/>
  <c r="AG45" i="18"/>
  <c r="O49" i="18"/>
  <c r="AG44" i="18"/>
  <c r="O81" i="18"/>
  <c r="AG43" i="18"/>
  <c r="O40" i="18"/>
  <c r="AD39" i="18"/>
  <c r="AC39" i="18"/>
  <c r="AB39" i="18"/>
  <c r="AA39" i="18"/>
  <c r="Z39" i="18"/>
  <c r="Y39" i="18"/>
  <c r="X39" i="18"/>
  <c r="W39" i="18"/>
  <c r="V39" i="18"/>
  <c r="U39" i="18"/>
  <c r="T39" i="18"/>
  <c r="S39" i="18"/>
  <c r="R39" i="18"/>
  <c r="Q39" i="18"/>
  <c r="P39" i="18"/>
  <c r="O39" i="18"/>
  <c r="O38" i="18"/>
  <c r="O24" i="18" s="1"/>
  <c r="O37" i="18"/>
  <c r="O36" i="18"/>
  <c r="O22" i="18" s="1"/>
  <c r="AD35" i="18"/>
  <c r="AC35" i="18"/>
  <c r="AB35" i="18"/>
  <c r="AA35" i="18"/>
  <c r="Z35" i="18"/>
  <c r="Y35" i="18"/>
  <c r="X35" i="18"/>
  <c r="W35" i="18"/>
  <c r="V35" i="18"/>
  <c r="U35" i="18"/>
  <c r="T35" i="18"/>
  <c r="S35" i="18"/>
  <c r="R35" i="18"/>
  <c r="Q35" i="18"/>
  <c r="P35" i="18"/>
  <c r="O35" i="18"/>
  <c r="O34" i="18" s="1"/>
  <c r="AD32" i="18"/>
  <c r="AD25" i="18" s="1"/>
  <c r="AC32" i="18"/>
  <c r="AB32" i="18"/>
  <c r="AB25" i="18" s="1"/>
  <c r="AA32" i="18"/>
  <c r="AA25" i="18" s="1"/>
  <c r="Y32" i="18"/>
  <c r="X32" i="18"/>
  <c r="X25" i="18" s="1"/>
  <c r="W32" i="18"/>
  <c r="V32" i="18"/>
  <c r="U32" i="18"/>
  <c r="T32" i="18"/>
  <c r="T25" i="18" s="1"/>
  <c r="S32" i="18"/>
  <c r="R32" i="18"/>
  <c r="Q32" i="18"/>
  <c r="P32" i="18"/>
  <c r="P25" i="18" s="1"/>
  <c r="O32" i="18"/>
  <c r="AD31" i="18"/>
  <c r="AC31" i="18"/>
  <c r="AB31" i="18"/>
  <c r="AA31" i="18"/>
  <c r="Z31" i="18"/>
  <c r="Y31" i="18"/>
  <c r="X31" i="18"/>
  <c r="W31" i="18"/>
  <c r="V31" i="18"/>
  <c r="U31" i="18"/>
  <c r="T31" i="18"/>
  <c r="S31" i="18"/>
  <c r="R31" i="18"/>
  <c r="Q31" i="18"/>
  <c r="P31" i="18"/>
  <c r="O31" i="18"/>
  <c r="O30" i="18"/>
  <c r="O23" i="18" s="1"/>
  <c r="O29" i="18"/>
  <c r="O28" i="18"/>
  <c r="AC25" i="18"/>
  <c r="Y25" i="18"/>
  <c r="W25" i="18"/>
  <c r="V25" i="18"/>
  <c r="U25" i="18"/>
  <c r="R25" i="18"/>
  <c r="Q25" i="18"/>
  <c r="O25" i="18"/>
  <c r="O7" i="18"/>
  <c r="A1" i="18"/>
  <c r="Y211" i="17"/>
  <c r="Z211" i="17" s="1"/>
  <c r="Y210" i="17"/>
  <c r="Z210" i="17" s="1"/>
  <c r="Y207" i="17"/>
  <c r="Z207" i="17" s="1"/>
  <c r="X203" i="17"/>
  <c r="W203" i="17"/>
  <c r="R203" i="17"/>
  <c r="U203" i="17"/>
  <c r="Z202" i="17"/>
  <c r="Z201" i="17"/>
  <c r="Z200" i="17"/>
  <c r="Z199" i="17"/>
  <c r="Y197" i="17"/>
  <c r="Z197" i="17" s="1"/>
  <c r="Y195" i="17"/>
  <c r="Z195" i="17"/>
  <c r="Y194" i="17"/>
  <c r="Z194" i="17" s="1"/>
  <c r="Y192" i="17"/>
  <c r="Z192" i="17"/>
  <c r="Y191" i="17"/>
  <c r="Z191" i="17" s="1"/>
  <c r="Y188" i="17"/>
  <c r="Z188" i="17" s="1"/>
  <c r="O53" i="19"/>
  <c r="L186" i="17"/>
  <c r="Z183" i="17"/>
  <c r="Z182" i="17"/>
  <c r="Z181" i="17"/>
  <c r="L177" i="17"/>
  <c r="W177" i="17"/>
  <c r="W161" i="17" s="1"/>
  <c r="R177" i="17"/>
  <c r="R161" i="17" s="1"/>
  <c r="O177" i="17"/>
  <c r="V177" i="17"/>
  <c r="V161" i="17" s="1"/>
  <c r="U177" i="17"/>
  <c r="T177" i="17"/>
  <c r="N177" i="17"/>
  <c r="N161" i="17" s="1"/>
  <c r="X174" i="17"/>
  <c r="X165" i="17"/>
  <c r="X160" i="17" s="1"/>
  <c r="U174" i="17"/>
  <c r="T174" i="17"/>
  <c r="R174" i="17"/>
  <c r="P174" i="17"/>
  <c r="R172" i="17"/>
  <c r="X172" i="17"/>
  <c r="W165" i="17"/>
  <c r="V172" i="17"/>
  <c r="U172" i="17"/>
  <c r="T172" i="17"/>
  <c r="S172" i="17"/>
  <c r="Q172" i="17"/>
  <c r="P172" i="17"/>
  <c r="O165" i="17"/>
  <c r="O160" i="17" s="1"/>
  <c r="X170" i="17"/>
  <c r="W170" i="17"/>
  <c r="V170" i="17"/>
  <c r="U170" i="17"/>
  <c r="T170" i="17"/>
  <c r="S170" i="17"/>
  <c r="R170" i="17"/>
  <c r="P170" i="17"/>
  <c r="O170" i="17"/>
  <c r="S168" i="17"/>
  <c r="AA167" i="17"/>
  <c r="Y167" i="17"/>
  <c r="X167" i="17"/>
  <c r="V167" i="17"/>
  <c r="U167" i="17"/>
  <c r="T167" i="17"/>
  <c r="S167" i="17"/>
  <c r="R167" i="17"/>
  <c r="P167" i="17"/>
  <c r="X168" i="17"/>
  <c r="V165" i="17"/>
  <c r="V160" i="17" s="1"/>
  <c r="U165" i="17"/>
  <c r="U160" i="17" s="1"/>
  <c r="S165" i="17"/>
  <c r="S160" i="17" s="1"/>
  <c r="R168" i="17"/>
  <c r="N165" i="17"/>
  <c r="N160" i="17" s="1"/>
  <c r="M165" i="17"/>
  <c r="M160" i="17" s="1"/>
  <c r="L162" i="17"/>
  <c r="U161" i="17"/>
  <c r="T161" i="17"/>
  <c r="O161" i="17"/>
  <c r="L161" i="17"/>
  <c r="W160" i="17"/>
  <c r="Y151" i="17"/>
  <c r="Z151" i="17" s="1"/>
  <c r="Y150" i="17"/>
  <c r="Z150" i="17" s="1"/>
  <c r="Y148" i="17"/>
  <c r="Z148" i="17" s="1"/>
  <c r="Y147" i="17"/>
  <c r="Z147" i="17" s="1"/>
  <c r="Y146" i="17"/>
  <c r="Z146" i="17" s="1"/>
  <c r="Y145" i="17"/>
  <c r="Z145" i="17" s="1"/>
  <c r="Y143" i="17"/>
  <c r="Z143" i="17" s="1"/>
  <c r="Y142" i="17"/>
  <c r="Z142" i="17" s="1"/>
  <c r="Y131" i="17"/>
  <c r="Y128" i="17"/>
  <c r="Y125" i="17"/>
  <c r="Y119" i="17"/>
  <c r="Y116" i="17"/>
  <c r="X115" i="17"/>
  <c r="X67" i="17" s="1"/>
  <c r="W115" i="17"/>
  <c r="V115" i="17"/>
  <c r="U115" i="17"/>
  <c r="S115" i="17"/>
  <c r="R115" i="17"/>
  <c r="Q115" i="17"/>
  <c r="Q67" i="17" s="1"/>
  <c r="P115" i="17"/>
  <c r="P67" i="17" s="1"/>
  <c r="P112" i="17"/>
  <c r="V112" i="17"/>
  <c r="S112" i="17"/>
  <c r="R112" i="17"/>
  <c r="Q112" i="17"/>
  <c r="Y111" i="17"/>
  <c r="N112" i="17"/>
  <c r="X110" i="17"/>
  <c r="U110" i="17"/>
  <c r="T110" i="17"/>
  <c r="Q110" i="17"/>
  <c r="M110" i="17"/>
  <c r="L110" i="17"/>
  <c r="AA109" i="17"/>
  <c r="AB109" i="17" s="1"/>
  <c r="Y109" i="17"/>
  <c r="X109" i="17"/>
  <c r="W109" i="17"/>
  <c r="V109" i="17"/>
  <c r="U109" i="17"/>
  <c r="T109" i="17"/>
  <c r="S109" i="17"/>
  <c r="R109" i="17"/>
  <c r="Q109" i="17"/>
  <c r="P109" i="17"/>
  <c r="P110" i="17" s="1"/>
  <c r="O109" i="17"/>
  <c r="W110" i="17"/>
  <c r="V110" i="17"/>
  <c r="S110" i="17"/>
  <c r="R110" i="17"/>
  <c r="N110" i="17"/>
  <c r="X107" i="17"/>
  <c r="U107" i="17"/>
  <c r="T107" i="17"/>
  <c r="Q107" i="17"/>
  <c r="M107" i="17"/>
  <c r="L107" i="17"/>
  <c r="AA106" i="17"/>
  <c r="AB106" i="17" s="1"/>
  <c r="Y106" i="17"/>
  <c r="X106" i="17"/>
  <c r="W106" i="17"/>
  <c r="V106" i="17"/>
  <c r="U106" i="17"/>
  <c r="T106" i="17"/>
  <c r="S106" i="17"/>
  <c r="R106" i="17"/>
  <c r="Q106" i="17"/>
  <c r="P106" i="17"/>
  <c r="P107" i="17" s="1"/>
  <c r="O106" i="17"/>
  <c r="W107" i="17"/>
  <c r="V107" i="17"/>
  <c r="S107" i="17"/>
  <c r="R107" i="17"/>
  <c r="N107" i="17"/>
  <c r="X104" i="17"/>
  <c r="U104" i="17"/>
  <c r="T104" i="17"/>
  <c r="Q104" i="17"/>
  <c r="M104" i="17"/>
  <c r="L104" i="17"/>
  <c r="AA103" i="17"/>
  <c r="AB103" i="17" s="1"/>
  <c r="Y103" i="17"/>
  <c r="X103" i="17"/>
  <c r="X112" i="17" s="1"/>
  <c r="W103" i="17"/>
  <c r="W112" i="17" s="1"/>
  <c r="V103" i="17"/>
  <c r="U103" i="17"/>
  <c r="U112" i="17" s="1"/>
  <c r="T103" i="17"/>
  <c r="T112" i="17" s="1"/>
  <c r="S103" i="17"/>
  <c r="R103" i="17"/>
  <c r="Q103" i="17"/>
  <c r="P103" i="17"/>
  <c r="P104" i="17" s="1"/>
  <c r="O103" i="17"/>
  <c r="M112" i="17"/>
  <c r="L112" i="17"/>
  <c r="X101" i="17"/>
  <c r="X66" i="17" s="1"/>
  <c r="W104" i="17"/>
  <c r="V104" i="17"/>
  <c r="R104" i="17"/>
  <c r="N104" i="17"/>
  <c r="U101" i="17"/>
  <c r="T101" i="17"/>
  <c r="T66" i="17" s="1"/>
  <c r="Q101" i="17"/>
  <c r="N101" i="17"/>
  <c r="M101" i="17"/>
  <c r="L101" i="17"/>
  <c r="AB98" i="17"/>
  <c r="V94" i="17"/>
  <c r="R94" i="17"/>
  <c r="Z91" i="17"/>
  <c r="Z92" i="17" s="1"/>
  <c r="Z90" i="17"/>
  <c r="Z89" i="17"/>
  <c r="W67" i="17"/>
  <c r="V67" i="17"/>
  <c r="U67" i="17"/>
  <c r="S67" i="17"/>
  <c r="R67" i="17"/>
  <c r="U66" i="17"/>
  <c r="Q66" i="17"/>
  <c r="O66" i="17"/>
  <c r="AG59" i="17"/>
  <c r="Y59" i="17"/>
  <c r="O59" i="17"/>
  <c r="Z59" i="17" s="1"/>
  <c r="AG58" i="17"/>
  <c r="X94" i="17"/>
  <c r="W94" i="17"/>
  <c r="U94" i="17"/>
  <c r="T94" i="17"/>
  <c r="S94" i="17"/>
  <c r="Q94" i="17"/>
  <c r="P94" i="17"/>
  <c r="AG57" i="17"/>
  <c r="AG56" i="17"/>
  <c r="AG55" i="17"/>
  <c r="AG54" i="17"/>
  <c r="AD54" i="17"/>
  <c r="AC54" i="17"/>
  <c r="AB54" i="17"/>
  <c r="AA54" i="17"/>
  <c r="W54" i="17"/>
  <c r="V54" i="17"/>
  <c r="U54" i="17"/>
  <c r="T54" i="17"/>
  <c r="S54" i="17"/>
  <c r="R54" i="17"/>
  <c r="Q54" i="17"/>
  <c r="AG53" i="17"/>
  <c r="AG52" i="17"/>
  <c r="AC52" i="17"/>
  <c r="AB52" i="17"/>
  <c r="V52" i="17"/>
  <c r="T52" i="17"/>
  <c r="S52" i="17"/>
  <c r="P52" i="17"/>
  <c r="Q52" i="17"/>
  <c r="AG51" i="17"/>
  <c r="O51" i="17"/>
  <c r="AG50" i="17"/>
  <c r="AD50" i="17"/>
  <c r="AA50" i="17"/>
  <c r="X50" i="17"/>
  <c r="V50" i="17"/>
  <c r="U50" i="17"/>
  <c r="R50" i="17"/>
  <c r="Q50" i="17"/>
  <c r="AC50" i="17"/>
  <c r="AG49" i="17"/>
  <c r="O49" i="17"/>
  <c r="AG48" i="17"/>
  <c r="AD48" i="17"/>
  <c r="AC48" i="17"/>
  <c r="AB48" i="17"/>
  <c r="AA48" i="17"/>
  <c r="X48" i="17"/>
  <c r="V48" i="17"/>
  <c r="U48" i="17"/>
  <c r="T48" i="17"/>
  <c r="S48" i="17"/>
  <c r="R48" i="17"/>
  <c r="Q48" i="17"/>
  <c r="P48" i="17"/>
  <c r="W48" i="17"/>
  <c r="AG47" i="17"/>
  <c r="AG46" i="17"/>
  <c r="AG45" i="17"/>
  <c r="AG44" i="17"/>
  <c r="AG43" i="17"/>
  <c r="Z43" i="17"/>
  <c r="AG42" i="17"/>
  <c r="Z42" i="17"/>
  <c r="Z44" i="17" s="1"/>
  <c r="AG41" i="17"/>
  <c r="Z41" i="17"/>
  <c r="AG40" i="17"/>
  <c r="O40" i="17"/>
  <c r="AG39" i="17"/>
  <c r="X198" i="18"/>
  <c r="W198" i="18"/>
  <c r="V198" i="18"/>
  <c r="U198" i="18"/>
  <c r="T198" i="18"/>
  <c r="S198" i="18"/>
  <c r="R198" i="18"/>
  <c r="Q198" i="18"/>
  <c r="P198" i="18"/>
  <c r="O39" i="17"/>
  <c r="AG38" i="17"/>
  <c r="O38" i="17"/>
  <c r="AG37" i="17"/>
  <c r="O37" i="17"/>
  <c r="AG36" i="17"/>
  <c r="AG35" i="17"/>
  <c r="O35" i="17"/>
  <c r="O84" i="17" s="1"/>
  <c r="AG34" i="17"/>
  <c r="X193" i="18"/>
  <c r="W193" i="18"/>
  <c r="V193" i="18"/>
  <c r="U193" i="18"/>
  <c r="T193" i="18"/>
  <c r="S193" i="18"/>
  <c r="R193" i="18"/>
  <c r="Q193" i="18"/>
  <c r="P193" i="18"/>
  <c r="O34" i="17"/>
  <c r="AG33" i="17"/>
  <c r="O33" i="17"/>
  <c r="O82" i="17" s="1"/>
  <c r="AG32" i="17"/>
  <c r="AG31" i="17"/>
  <c r="AG30" i="17"/>
  <c r="O30" i="17"/>
  <c r="O80" i="17" s="1"/>
  <c r="AG29" i="17"/>
  <c r="X188" i="18"/>
  <c r="W188" i="18"/>
  <c r="V188" i="18"/>
  <c r="U188" i="18"/>
  <c r="T188" i="18"/>
  <c r="S188" i="18"/>
  <c r="R188" i="18"/>
  <c r="Q188" i="18"/>
  <c r="P188" i="18"/>
  <c r="O29" i="17"/>
  <c r="O27" i="17" s="1"/>
  <c r="AG28" i="17"/>
  <c r="O28" i="17"/>
  <c r="AG27" i="17"/>
  <c r="AG26" i="17"/>
  <c r="AG25" i="17"/>
  <c r="AG24" i="17"/>
  <c r="AG23" i="17"/>
  <c r="AG22" i="17"/>
  <c r="AG21" i="17"/>
  <c r="AG20" i="17"/>
  <c r="A1" i="17"/>
  <c r="X268" i="16"/>
  <c r="V268" i="16"/>
  <c r="S268" i="16"/>
  <c r="W268" i="16"/>
  <c r="U268" i="16"/>
  <c r="T268" i="16"/>
  <c r="R268" i="16"/>
  <c r="Q268" i="16"/>
  <c r="Z266" i="16"/>
  <c r="Y264" i="16"/>
  <c r="Y261" i="16"/>
  <c r="Y258" i="16"/>
  <c r="O293" i="16"/>
  <c r="T293" i="16" s="1"/>
  <c r="O291" i="16"/>
  <c r="O292" i="16" s="1"/>
  <c r="O287" i="16"/>
  <c r="M253" i="16"/>
  <c r="M226" i="16" s="1"/>
  <c r="O253" i="16"/>
  <c r="N253" i="16"/>
  <c r="Z249" i="16"/>
  <c r="Y247" i="16"/>
  <c r="S237" i="16"/>
  <c r="S225" i="16" s="1"/>
  <c r="W237" i="16"/>
  <c r="W225" i="16" s="1"/>
  <c r="L237" i="16"/>
  <c r="L225" i="16" s="1"/>
  <c r="V237" i="16"/>
  <c r="R237" i="16"/>
  <c r="R225" i="16" s="1"/>
  <c r="N237" i="16"/>
  <c r="T237" i="16"/>
  <c r="T225" i="16" s="1"/>
  <c r="Q237" i="16"/>
  <c r="Q225" i="16" s="1"/>
  <c r="M237" i="16"/>
  <c r="M225" i="16" s="1"/>
  <c r="V234" i="16"/>
  <c r="Q234" i="16"/>
  <c r="N234" i="16"/>
  <c r="M234" i="16"/>
  <c r="U234" i="16"/>
  <c r="R229" i="16"/>
  <c r="R224" i="16" s="1"/>
  <c r="O234" i="16"/>
  <c r="M229" i="16"/>
  <c r="M224" i="16" s="1"/>
  <c r="V232" i="16"/>
  <c r="L232" i="16"/>
  <c r="W231" i="16"/>
  <c r="Y231" i="16"/>
  <c r="V231" i="16"/>
  <c r="U231" i="16"/>
  <c r="S231" i="16"/>
  <c r="S232" i="16" s="1"/>
  <c r="Q231" i="16"/>
  <c r="O231" i="16"/>
  <c r="V229" i="16"/>
  <c r="V224" i="16" s="1"/>
  <c r="T229" i="16"/>
  <c r="L229" i="16"/>
  <c r="L224" i="16" s="1"/>
  <c r="X229" i="16"/>
  <c r="U229" i="16"/>
  <c r="U224" i="16" s="1"/>
  <c r="S229" i="16"/>
  <c r="S224" i="16" s="1"/>
  <c r="P229" i="16"/>
  <c r="P224" i="16" s="1"/>
  <c r="O226" i="16"/>
  <c r="N226" i="16"/>
  <c r="V225" i="16"/>
  <c r="N225" i="16"/>
  <c r="X224" i="16"/>
  <c r="T224" i="16"/>
  <c r="X217" i="16"/>
  <c r="W217" i="16"/>
  <c r="V217" i="16"/>
  <c r="U217" i="16"/>
  <c r="T217" i="16"/>
  <c r="S217" i="16"/>
  <c r="R217" i="16"/>
  <c r="Q217" i="16"/>
  <c r="P217" i="16"/>
  <c r="O214" i="16"/>
  <c r="AB213" i="16"/>
  <c r="Z213" i="16"/>
  <c r="Y213" i="16"/>
  <c r="Q213" i="16"/>
  <c r="S211" i="16"/>
  <c r="AB211" i="16"/>
  <c r="O209" i="16"/>
  <c r="O206" i="16"/>
  <c r="O216" i="16" s="1"/>
  <c r="O217" i="16" s="1"/>
  <c r="O196" i="16"/>
  <c r="O198" i="16"/>
  <c r="X181" i="16"/>
  <c r="W181" i="16"/>
  <c r="V181" i="16"/>
  <c r="U181" i="16"/>
  <c r="T181" i="16"/>
  <c r="S181" i="16"/>
  <c r="R181" i="16"/>
  <c r="Q181" i="16"/>
  <c r="P181" i="16"/>
  <c r="AB177" i="16"/>
  <c r="W177" i="16"/>
  <c r="V177" i="16"/>
  <c r="T177" i="16"/>
  <c r="P177" i="16"/>
  <c r="O177" i="16"/>
  <c r="AC175" i="16"/>
  <c r="AB175" i="16"/>
  <c r="X175" i="16"/>
  <c r="V175" i="16"/>
  <c r="T175" i="16"/>
  <c r="R175" i="16"/>
  <c r="P175" i="16"/>
  <c r="AD175" i="16"/>
  <c r="O167" i="16"/>
  <c r="O162" i="16"/>
  <c r="O150" i="16"/>
  <c r="Y139" i="16"/>
  <c r="Z139" i="16" s="1"/>
  <c r="AG138" i="16"/>
  <c r="AG137" i="16"/>
  <c r="AG136" i="16"/>
  <c r="AG135" i="16"/>
  <c r="AG134" i="16"/>
  <c r="O135" i="16"/>
  <c r="AG133" i="16"/>
  <c r="W133" i="16"/>
  <c r="V133" i="16"/>
  <c r="Q133" i="16"/>
  <c r="O133" i="16"/>
  <c r="J133" i="16"/>
  <c r="AD133" i="16" s="1"/>
  <c r="U133" i="16"/>
  <c r="AG132" i="16"/>
  <c r="AG131" i="16"/>
  <c r="AB131" i="16"/>
  <c r="X131" i="16"/>
  <c r="W131" i="16"/>
  <c r="V131" i="16"/>
  <c r="T131" i="16"/>
  <c r="S131" i="16"/>
  <c r="R131" i="16"/>
  <c r="Q131" i="16"/>
  <c r="P131" i="16"/>
  <c r="J131" i="16"/>
  <c r="AD131" i="16" s="1"/>
  <c r="U131" i="16"/>
  <c r="AG130" i="16"/>
  <c r="AG129" i="16"/>
  <c r="AG128" i="16"/>
  <c r="AG127" i="16"/>
  <c r="O127" i="16"/>
  <c r="AG126" i="16"/>
  <c r="AG125" i="16"/>
  <c r="AG124" i="16"/>
  <c r="S124" i="16"/>
  <c r="AG123" i="16"/>
  <c r="AG122" i="16"/>
  <c r="O128" i="16"/>
  <c r="AG121" i="16"/>
  <c r="AG120" i="16"/>
  <c r="AG119" i="16"/>
  <c r="AG118" i="16"/>
  <c r="AG117" i="16"/>
  <c r="AG116" i="16"/>
  <c r="AG115" i="16"/>
  <c r="AG114" i="16"/>
  <c r="AG113" i="16"/>
  <c r="AG112" i="16"/>
  <c r="AG111" i="16"/>
  <c r="AG110" i="16"/>
  <c r="AG109" i="16"/>
  <c r="O113" i="16"/>
  <c r="AG108" i="16"/>
  <c r="O114" i="16"/>
  <c r="AG107" i="16"/>
  <c r="AG106" i="16"/>
  <c r="O106" i="16"/>
  <c r="AG105" i="16"/>
  <c r="AG104" i="16"/>
  <c r="AG103" i="16"/>
  <c r="O191" i="16"/>
  <c r="O192" i="16" s="1"/>
  <c r="AG102" i="16"/>
  <c r="AG101" i="16"/>
  <c r="O107" i="16"/>
  <c r="AG100" i="16"/>
  <c r="AG99" i="16"/>
  <c r="AG98" i="16"/>
  <c r="AG97" i="16"/>
  <c r="AG96" i="16"/>
  <c r="AG95" i="16"/>
  <c r="AG94" i="16"/>
  <c r="AG93" i="16"/>
  <c r="AG88" i="16"/>
  <c r="AG87" i="16"/>
  <c r="AG86" i="16"/>
  <c r="O178" i="16"/>
  <c r="AG85" i="16"/>
  <c r="AG84" i="16"/>
  <c r="AG83" i="16"/>
  <c r="AD83" i="16"/>
  <c r="AA83" i="16"/>
  <c r="X83" i="16"/>
  <c r="W83" i="16"/>
  <c r="V83" i="16"/>
  <c r="S83" i="16"/>
  <c r="R83" i="16"/>
  <c r="P83" i="16"/>
  <c r="J83" i="16"/>
  <c r="U83" i="16"/>
  <c r="AG82" i="16"/>
  <c r="AG81" i="16"/>
  <c r="W81" i="16"/>
  <c r="V81" i="16"/>
  <c r="T81" i="16"/>
  <c r="S81" i="16"/>
  <c r="R81" i="16"/>
  <c r="Q81" i="16"/>
  <c r="P81" i="16"/>
  <c r="J81" i="16"/>
  <c r="AC81" i="16" s="1"/>
  <c r="X81" i="16"/>
  <c r="AG80" i="16"/>
  <c r="AG79" i="16"/>
  <c r="O79" i="16"/>
  <c r="AG78" i="16"/>
  <c r="AG77" i="16"/>
  <c r="AD77" i="16"/>
  <c r="AC77" i="16"/>
  <c r="AB77" i="16"/>
  <c r="AA77" i="16"/>
  <c r="O77" i="16"/>
  <c r="AG76" i="16"/>
  <c r="AD76" i="16"/>
  <c r="AC76" i="16"/>
  <c r="AB76" i="16"/>
  <c r="AA76" i="16"/>
  <c r="AG75" i="16"/>
  <c r="AG74" i="16"/>
  <c r="X74" i="16"/>
  <c r="X170" i="16" s="1"/>
  <c r="W74" i="16"/>
  <c r="W170" i="16" s="1"/>
  <c r="V74" i="16"/>
  <c r="V170" i="16" s="1"/>
  <c r="U74" i="16"/>
  <c r="T74" i="16"/>
  <c r="T170" i="16" s="1"/>
  <c r="S74" i="16"/>
  <c r="S170" i="16" s="1"/>
  <c r="R74" i="16"/>
  <c r="R170" i="16" s="1"/>
  <c r="Q74" i="16"/>
  <c r="Q170" i="16" s="1"/>
  <c r="P74" i="16"/>
  <c r="P170" i="16" s="1"/>
  <c r="O170" i="16"/>
  <c r="AG73" i="16"/>
  <c r="AG72" i="16"/>
  <c r="AG71" i="16"/>
  <c r="AG70" i="16"/>
  <c r="AG69" i="16"/>
  <c r="AG68" i="16"/>
  <c r="AG67" i="16"/>
  <c r="O165" i="16"/>
  <c r="O166" i="16" s="1"/>
  <c r="AG66" i="16"/>
  <c r="O70" i="16"/>
  <c r="AG65" i="16"/>
  <c r="AG64" i="16"/>
  <c r="AG63" i="16"/>
  <c r="AG62" i="16"/>
  <c r="AG61" i="16"/>
  <c r="AG60" i="16"/>
  <c r="AG59" i="16"/>
  <c r="O63" i="16"/>
  <c r="AG58" i="16"/>
  <c r="O64" i="16"/>
  <c r="AG57" i="16"/>
  <c r="AG56" i="16"/>
  <c r="AG55" i="16"/>
  <c r="AG54" i="16"/>
  <c r="AG53" i="16"/>
  <c r="AG52" i="16"/>
  <c r="O56" i="16"/>
  <c r="AG51" i="16"/>
  <c r="O57" i="16"/>
  <c r="AG50" i="16"/>
  <c r="AG49" i="16"/>
  <c r="AG48" i="16"/>
  <c r="AG47" i="16"/>
  <c r="AG46" i="16"/>
  <c r="AG45" i="16"/>
  <c r="AG44" i="16"/>
  <c r="AG43" i="16"/>
  <c r="O43" i="16"/>
  <c r="AD39" i="16"/>
  <c r="AC39" i="16"/>
  <c r="AB39" i="16"/>
  <c r="AA39" i="16"/>
  <c r="O39" i="16"/>
  <c r="AD38" i="16"/>
  <c r="AC38" i="16"/>
  <c r="AB38" i="16"/>
  <c r="AA38" i="16"/>
  <c r="Z38" i="16"/>
  <c r="Y38" i="16"/>
  <c r="X38" i="16"/>
  <c r="W38" i="16"/>
  <c r="V38" i="16"/>
  <c r="U38" i="16"/>
  <c r="T38" i="16"/>
  <c r="S38" i="16"/>
  <c r="R38" i="16"/>
  <c r="Q38" i="16"/>
  <c r="P38" i="16"/>
  <c r="O38" i="16"/>
  <c r="O37" i="16"/>
  <c r="O36" i="16"/>
  <c r="O35" i="16"/>
  <c r="O33" i="16"/>
  <c r="O32" i="16"/>
  <c r="O25" i="16" s="1"/>
  <c r="O31" i="16"/>
  <c r="O30" i="16"/>
  <c r="O23" i="16" s="1"/>
  <c r="O29" i="16"/>
  <c r="O22" i="16" s="1"/>
  <c r="O28" i="16"/>
  <c r="O21" i="16" s="1"/>
  <c r="O24" i="16"/>
  <c r="A1" i="16"/>
  <c r="U159" i="15"/>
  <c r="R159" i="15"/>
  <c r="Y161" i="15"/>
  <c r="Z161" i="15" s="1"/>
  <c r="S159" i="15"/>
  <c r="X159" i="15"/>
  <c r="W159" i="15"/>
  <c r="V159" i="15"/>
  <c r="Q159" i="15"/>
  <c r="P159" i="15"/>
  <c r="Z158" i="15"/>
  <c r="Y155" i="15"/>
  <c r="Y152" i="15"/>
  <c r="Z152" i="15"/>
  <c r="Y149" i="15"/>
  <c r="Z149" i="15" s="1"/>
  <c r="Y146" i="15"/>
  <c r="O182" i="15"/>
  <c r="O183" i="15" s="1"/>
  <c r="M143" i="15"/>
  <c r="M116" i="15" s="1"/>
  <c r="U129" i="15"/>
  <c r="U115" i="15" s="1"/>
  <c r="M129" i="15"/>
  <c r="M115" i="15" s="1"/>
  <c r="Y136" i="15"/>
  <c r="W129" i="15"/>
  <c r="W115" i="15" s="1"/>
  <c r="O129" i="15"/>
  <c r="O115" i="15" s="1"/>
  <c r="V129" i="15"/>
  <c r="V115" i="15" s="1"/>
  <c r="N129" i="15"/>
  <c r="N115" i="15" s="1"/>
  <c r="L129" i="15"/>
  <c r="L115" i="15" s="1"/>
  <c r="Q129" i="15"/>
  <c r="Q115" i="15" s="1"/>
  <c r="S126" i="15"/>
  <c r="M126" i="15"/>
  <c r="X119" i="15"/>
  <c r="X114" i="15" s="1"/>
  <c r="R126" i="15"/>
  <c r="Q126" i="15"/>
  <c r="P119" i="15"/>
  <c r="P114" i="15" s="1"/>
  <c r="X124" i="15"/>
  <c r="T124" i="15"/>
  <c r="R124" i="15"/>
  <c r="P124" i="15"/>
  <c r="V124" i="15"/>
  <c r="S124" i="15"/>
  <c r="Y123" i="15"/>
  <c r="S122" i="15"/>
  <c r="Q122" i="15"/>
  <c r="M122" i="15"/>
  <c r="AB121" i="15"/>
  <c r="AA121" i="15"/>
  <c r="W121" i="15"/>
  <c r="W126" i="15" s="1"/>
  <c r="Y121" i="15"/>
  <c r="X121" i="15"/>
  <c r="X122" i="15" s="1"/>
  <c r="V121" i="15"/>
  <c r="T121" i="15"/>
  <c r="S121" i="15"/>
  <c r="R121" i="15"/>
  <c r="R122" i="15" s="1"/>
  <c r="Q121" i="15"/>
  <c r="P121" i="15"/>
  <c r="P122" i="15" s="1"/>
  <c r="V122" i="15"/>
  <c r="U124" i="15"/>
  <c r="S119" i="15"/>
  <c r="N122" i="15"/>
  <c r="M119" i="15"/>
  <c r="M114" i="15" s="1"/>
  <c r="T119" i="15"/>
  <c r="T114" i="15" s="1"/>
  <c r="R119" i="15"/>
  <c r="R114" i="15" s="1"/>
  <c r="L119" i="15"/>
  <c r="L114" i="15" s="1"/>
  <c r="S114" i="15"/>
  <c r="AC108" i="15"/>
  <c r="AA108" i="15"/>
  <c r="X108" i="15"/>
  <c r="U108" i="15"/>
  <c r="S108" i="15"/>
  <c r="Q108" i="15"/>
  <c r="P108" i="15"/>
  <c r="W108" i="15"/>
  <c r="AD106" i="15"/>
  <c r="AC106" i="15"/>
  <c r="AB106" i="15"/>
  <c r="AA106" i="15"/>
  <c r="X106" i="15"/>
  <c r="W106" i="15"/>
  <c r="V106" i="15"/>
  <c r="U106" i="15"/>
  <c r="T106" i="15"/>
  <c r="S106" i="15"/>
  <c r="R106" i="15"/>
  <c r="Q106" i="15"/>
  <c r="P106" i="15"/>
  <c r="O106" i="15"/>
  <c r="AB104" i="15"/>
  <c r="T104" i="15"/>
  <c r="R104" i="15"/>
  <c r="X104" i="15"/>
  <c r="AB102" i="15"/>
  <c r="T102" i="15"/>
  <c r="R102" i="15"/>
  <c r="X102" i="15"/>
  <c r="O102" i="15"/>
  <c r="O99" i="15"/>
  <c r="O94" i="15"/>
  <c r="O89" i="15"/>
  <c r="O82" i="15"/>
  <c r="O83" i="15"/>
  <c r="O79" i="15"/>
  <c r="AG68" i="15"/>
  <c r="AG67" i="15"/>
  <c r="Y67" i="15"/>
  <c r="Z67" i="15" s="1"/>
  <c r="AG66" i="15"/>
  <c r="Y66" i="15"/>
  <c r="Z66" i="15" s="1"/>
  <c r="AG65" i="15"/>
  <c r="AG64" i="15"/>
  <c r="AG63" i="15"/>
  <c r="O105" i="15"/>
  <c r="O100" i="15" s="1"/>
  <c r="AG62" i="15"/>
  <c r="AB62" i="15"/>
  <c r="V62" i="15"/>
  <c r="T62" i="15"/>
  <c r="R62" i="15"/>
  <c r="Q62" i="15"/>
  <c r="J62" i="15"/>
  <c r="AD62" i="15" s="1"/>
  <c r="X62" i="15"/>
  <c r="AG61" i="15"/>
  <c r="O62" i="15"/>
  <c r="AG60" i="15"/>
  <c r="AD60" i="15"/>
  <c r="V60" i="15"/>
  <c r="J60" i="15"/>
  <c r="T60" i="15"/>
  <c r="AG59" i="15"/>
  <c r="O104" i="15"/>
  <c r="AG58" i="15"/>
  <c r="AB58" i="15"/>
  <c r="V58" i="15"/>
  <c r="T58" i="15"/>
  <c r="R58" i="15"/>
  <c r="Q58" i="15"/>
  <c r="J58" i="15"/>
  <c r="AD58" i="15" s="1"/>
  <c r="X58" i="15"/>
  <c r="AG57" i="15"/>
  <c r="AG56" i="15"/>
  <c r="AG55" i="15"/>
  <c r="AG54" i="15"/>
  <c r="AD54" i="15"/>
  <c r="AC54" i="15"/>
  <c r="AB54" i="15"/>
  <c r="AA54" i="15"/>
  <c r="AG53" i="15"/>
  <c r="AD53" i="15"/>
  <c r="AC53" i="15"/>
  <c r="AB53" i="15"/>
  <c r="AA53" i="15"/>
  <c r="AG52" i="15"/>
  <c r="AG51" i="15"/>
  <c r="S51" i="15" s="1"/>
  <c r="W51" i="15"/>
  <c r="W97" i="15" s="1"/>
  <c r="W96" i="15" s="1"/>
  <c r="U51" i="15"/>
  <c r="AG50" i="15"/>
  <c r="AG49" i="15"/>
  <c r="AG48" i="15"/>
  <c r="AG47" i="15"/>
  <c r="AG46" i="15"/>
  <c r="AG45" i="15"/>
  <c r="AG44" i="15"/>
  <c r="O92" i="15"/>
  <c r="AG43" i="15"/>
  <c r="O47" i="15"/>
  <c r="AG42" i="15"/>
  <c r="AG41" i="15"/>
  <c r="AG40" i="15"/>
  <c r="AG39" i="15"/>
  <c r="AG38" i="15"/>
  <c r="AG37" i="15"/>
  <c r="AG36" i="15"/>
  <c r="AG35" i="15"/>
  <c r="O41" i="15"/>
  <c r="AG34" i="15"/>
  <c r="AG33" i="15"/>
  <c r="AG32" i="15"/>
  <c r="AG31" i="15"/>
  <c r="AG30" i="15"/>
  <c r="O33" i="15"/>
  <c r="AG29" i="15"/>
  <c r="AG28" i="15"/>
  <c r="O34" i="15"/>
  <c r="AG27" i="15"/>
  <c r="O27" i="15"/>
  <c r="AG26" i="15"/>
  <c r="O26" i="15"/>
  <c r="AG25" i="15"/>
  <c r="AG24" i="15"/>
  <c r="AG23" i="15"/>
  <c r="A1" i="15"/>
  <c r="M22" i="14"/>
  <c r="M23" i="14" s="1"/>
  <c r="O38" i="14"/>
  <c r="O39" i="14" s="1"/>
  <c r="M31" i="14"/>
  <c r="M32" i="14" s="1"/>
  <c r="N44" i="14"/>
  <c r="N45" i="14" s="1"/>
  <c r="L34" i="14"/>
  <c r="L35" i="14" s="1"/>
  <c r="L44" i="14"/>
  <c r="L45" i="14" s="1"/>
  <c r="L42" i="14"/>
  <c r="M41" i="14"/>
  <c r="M42" i="14" s="1"/>
  <c r="L41" i="14"/>
  <c r="O41" i="14"/>
  <c r="O42" i="14" s="1"/>
  <c r="M39" i="14"/>
  <c r="N38" i="14"/>
  <c r="N39" i="14" s="1"/>
  <c r="M38" i="14"/>
  <c r="K36" i="14"/>
  <c r="M36" i="14"/>
  <c r="L36" i="14"/>
  <c r="O35" i="14"/>
  <c r="M34" i="14"/>
  <c r="M35" i="14" s="1"/>
  <c r="O34" i="14"/>
  <c r="N31" i="14"/>
  <c r="N32" i="14" s="1"/>
  <c r="L31" i="14"/>
  <c r="L32" i="14" s="1"/>
  <c r="H32" i="14" s="1"/>
  <c r="O31" i="14"/>
  <c r="O32" i="14" s="1"/>
  <c r="O28" i="14"/>
  <c r="O29" i="14" s="1"/>
  <c r="M28" i="14"/>
  <c r="M29" i="14" s="1"/>
  <c r="L28" i="14"/>
  <c r="L29" i="14" s="1"/>
  <c r="N25" i="14"/>
  <c r="N26" i="14" s="1"/>
  <c r="M25" i="14"/>
  <c r="M26" i="14" s="1"/>
  <c r="O25" i="14"/>
  <c r="O26" i="14" s="1"/>
  <c r="L25" i="14"/>
  <c r="L26" i="14" s="1"/>
  <c r="O22" i="14"/>
  <c r="O23" i="14" s="1"/>
  <c r="N22" i="14"/>
  <c r="N23" i="14" s="1"/>
  <c r="M20" i="14"/>
  <c r="O19" i="14"/>
  <c r="O20" i="14" s="1"/>
  <c r="M19" i="14"/>
  <c r="N17" i="14"/>
  <c r="O16" i="14"/>
  <c r="O17" i="14" s="1"/>
  <c r="N16" i="14"/>
  <c r="L16" i="14"/>
  <c r="L17" i="14" s="1"/>
  <c r="O14" i="14"/>
  <c r="O13" i="14"/>
  <c r="N10" i="14"/>
  <c r="N11" i="14" s="1"/>
  <c r="L10" i="14"/>
  <c r="L11" i="14" s="1"/>
  <c r="O8" i="14"/>
  <c r="L8" i="14"/>
  <c r="L7" i="14" s="1"/>
  <c r="A1" i="14"/>
  <c r="O19" i="13"/>
  <c r="V19" i="13" s="1"/>
  <c r="V52" i="12" s="1"/>
  <c r="U18" i="13"/>
  <c r="S18" i="13"/>
  <c r="R18" i="13"/>
  <c r="Q18" i="13"/>
  <c r="X16" i="13"/>
  <c r="W16" i="13"/>
  <c r="W14" i="13" s="1"/>
  <c r="V16" i="13"/>
  <c r="V51" i="12" s="1"/>
  <c r="U16" i="13"/>
  <c r="T16" i="13"/>
  <c r="S16" i="13"/>
  <c r="S51" i="12" s="1"/>
  <c r="R16" i="13"/>
  <c r="Q16" i="13"/>
  <c r="Q14" i="13" s="1"/>
  <c r="P16" i="13"/>
  <c r="X15" i="13"/>
  <c r="W15" i="13"/>
  <c r="V15" i="13"/>
  <c r="V14" i="13" s="1"/>
  <c r="U15" i="13"/>
  <c r="T15" i="13"/>
  <c r="T14" i="13" s="1"/>
  <c r="S15" i="13"/>
  <c r="R15" i="13"/>
  <c r="R14" i="13" s="1"/>
  <c r="Q15" i="13"/>
  <c r="Y15" i="13" s="1"/>
  <c r="P15" i="13"/>
  <c r="AD14" i="13"/>
  <c r="AC14" i="13"/>
  <c r="AB14" i="13"/>
  <c r="AA14" i="13"/>
  <c r="X14" i="13"/>
  <c r="U14" i="13"/>
  <c r="S14" i="13"/>
  <c r="P14" i="13"/>
  <c r="O14" i="13"/>
  <c r="AD8" i="13"/>
  <c r="AD7" i="13" s="1"/>
  <c r="AC8" i="13"/>
  <c r="AC7" i="13" s="1"/>
  <c r="AB8" i="13"/>
  <c r="AA8" i="13"/>
  <c r="AA7" i="13" s="1"/>
  <c r="AB7" i="13"/>
  <c r="A1" i="13"/>
  <c r="U161" i="12"/>
  <c r="V161" i="12" s="1"/>
  <c r="W161" i="12" s="1"/>
  <c r="X161" i="12" s="1"/>
  <c r="T161" i="12"/>
  <c r="Q161" i="12"/>
  <c r="R161" i="12" s="1"/>
  <c r="S161" i="12" s="1"/>
  <c r="P161" i="12"/>
  <c r="P59" i="12"/>
  <c r="Y56" i="12"/>
  <c r="Z56" i="12" s="1"/>
  <c r="M49" i="12"/>
  <c r="M50" i="12" s="1"/>
  <c r="Y55" i="12"/>
  <c r="Y53" i="12"/>
  <c r="L49" i="12"/>
  <c r="AD51" i="12"/>
  <c r="AC51" i="12"/>
  <c r="AB51" i="12"/>
  <c r="AA51" i="12"/>
  <c r="X51" i="12"/>
  <c r="U51" i="12"/>
  <c r="T51" i="12"/>
  <c r="R51" i="12"/>
  <c r="Q51" i="12"/>
  <c r="P51" i="12"/>
  <c r="T44" i="12"/>
  <c r="Q44" i="12"/>
  <c r="R44" i="12" s="1"/>
  <c r="S44" i="12" s="1"/>
  <c r="P44" i="12"/>
  <c r="I38" i="12"/>
  <c r="N26" i="12"/>
  <c r="M26" i="12"/>
  <c r="L26" i="12"/>
  <c r="P21" i="12"/>
  <c r="N15" i="12"/>
  <c r="M15" i="12"/>
  <c r="W18" i="12"/>
  <c r="Y18" i="12"/>
  <c r="X18" i="12"/>
  <c r="V18" i="12"/>
  <c r="T18" i="12"/>
  <c r="R18" i="12"/>
  <c r="Q18" i="12"/>
  <c r="P18" i="12"/>
  <c r="L15" i="12"/>
  <c r="L8" i="12" s="1"/>
  <c r="O15" i="12"/>
  <c r="M10" i="12"/>
  <c r="A1" i="12"/>
  <c r="Z189" i="11"/>
  <c r="Z188" i="11"/>
  <c r="P182" i="11"/>
  <c r="Z181" i="11"/>
  <c r="Z180" i="11"/>
  <c r="Y177" i="11"/>
  <c r="Z177" i="11" s="1"/>
  <c r="Y176" i="11"/>
  <c r="Y174" i="11"/>
  <c r="P173" i="11"/>
  <c r="M167" i="11"/>
  <c r="M168" i="11" s="1"/>
  <c r="Y171" i="11"/>
  <c r="O167" i="11"/>
  <c r="AD170" i="11"/>
  <c r="AC170" i="11"/>
  <c r="AB170" i="11"/>
  <c r="AA170" i="11"/>
  <c r="U170" i="11"/>
  <c r="S170" i="11"/>
  <c r="R170" i="11"/>
  <c r="Q170" i="11"/>
  <c r="AD169" i="11"/>
  <c r="AC169" i="11"/>
  <c r="AB169" i="11"/>
  <c r="AA169" i="11"/>
  <c r="X169" i="11"/>
  <c r="W169" i="11"/>
  <c r="V169" i="11"/>
  <c r="U169" i="11"/>
  <c r="T169" i="11"/>
  <c r="S169" i="11"/>
  <c r="R169" i="11"/>
  <c r="Q169" i="11"/>
  <c r="P169" i="11"/>
  <c r="N167" i="11"/>
  <c r="N168" i="11" s="1"/>
  <c r="L167" i="11"/>
  <c r="L168" i="11" s="1"/>
  <c r="P162" i="11"/>
  <c r="N150" i="11"/>
  <c r="N151" i="11" s="1"/>
  <c r="O159" i="11"/>
  <c r="O160" i="11"/>
  <c r="P160" i="11" s="1"/>
  <c r="Q160" i="11" s="1"/>
  <c r="R160" i="11" s="1"/>
  <c r="S160" i="11" s="1"/>
  <c r="T160" i="11" s="1"/>
  <c r="U160" i="11" s="1"/>
  <c r="V160" i="11" s="1"/>
  <c r="W160" i="11" s="1"/>
  <c r="X160" i="11" s="1"/>
  <c r="X156" i="11"/>
  <c r="U156" i="11"/>
  <c r="U159" i="11" s="1"/>
  <c r="S156" i="11"/>
  <c r="S159" i="11" s="1"/>
  <c r="P156" i="11"/>
  <c r="O156" i="11"/>
  <c r="V156" i="11"/>
  <c r="T156" i="11"/>
  <c r="T159" i="11" s="1"/>
  <c r="T158" i="11" s="1"/>
  <c r="R156" i="11"/>
  <c r="Y153" i="11"/>
  <c r="Z153" i="11" s="1"/>
  <c r="O154" i="11"/>
  <c r="P154" i="11" s="1"/>
  <c r="M150" i="11"/>
  <c r="M151" i="11" s="1"/>
  <c r="L150" i="11"/>
  <c r="L151" i="11" s="1"/>
  <c r="O150" i="11"/>
  <c r="P145" i="11"/>
  <c r="Y143" i="11"/>
  <c r="M138" i="11"/>
  <c r="M139" i="11" s="1"/>
  <c r="Q141" i="11"/>
  <c r="R141" i="11" s="1"/>
  <c r="Z136" i="11"/>
  <c r="AC133" i="11"/>
  <c r="AB133" i="11"/>
  <c r="X133" i="11"/>
  <c r="W133" i="11"/>
  <c r="U133" i="11"/>
  <c r="T133" i="11"/>
  <c r="R133" i="11"/>
  <c r="Q133" i="11"/>
  <c r="P133" i="11"/>
  <c r="AD133" i="11"/>
  <c r="AA131" i="11"/>
  <c r="S131" i="11"/>
  <c r="R131" i="11"/>
  <c r="Q131" i="11"/>
  <c r="O129" i="11"/>
  <c r="O24" i="11" s="1"/>
  <c r="AD128" i="11"/>
  <c r="AC128" i="11"/>
  <c r="AB128" i="11"/>
  <c r="AA128" i="11"/>
  <c r="AD125" i="11"/>
  <c r="AC125" i="11"/>
  <c r="AB125" i="11"/>
  <c r="AA125" i="11"/>
  <c r="AD121" i="11"/>
  <c r="AC121" i="11"/>
  <c r="AB121" i="11"/>
  <c r="AA121" i="11"/>
  <c r="AD116" i="11"/>
  <c r="AC116" i="11"/>
  <c r="AB116" i="11"/>
  <c r="AA116" i="11"/>
  <c r="X106" i="11"/>
  <c r="W106" i="11"/>
  <c r="V106" i="11"/>
  <c r="U106" i="11"/>
  <c r="T106" i="11"/>
  <c r="S106" i="11"/>
  <c r="O91" i="11"/>
  <c r="O53" i="11"/>
  <c r="X52" i="11"/>
  <c r="W52" i="11"/>
  <c r="V52" i="11"/>
  <c r="U52" i="11"/>
  <c r="T52" i="11"/>
  <c r="S52" i="11"/>
  <c r="X49" i="11"/>
  <c r="W49" i="11"/>
  <c r="V49" i="11"/>
  <c r="U49" i="11"/>
  <c r="T49" i="11"/>
  <c r="S49" i="11"/>
  <c r="Y44" i="11"/>
  <c r="Z44" i="11" s="1"/>
  <c r="O34" i="11"/>
  <c r="O29" i="11"/>
  <c r="O22" i="11"/>
  <c r="O20" i="11"/>
  <c r="O19" i="11"/>
  <c r="Y12" i="11"/>
  <c r="Z12" i="11" s="1"/>
  <c r="O11" i="11"/>
  <c r="O10" i="11"/>
  <c r="A1" i="11"/>
  <c r="Y549" i="10"/>
  <c r="Z549" i="10" s="1"/>
  <c r="Y548" i="10"/>
  <c r="Z548" i="10" s="1"/>
  <c r="W547" i="10"/>
  <c r="R547" i="10"/>
  <c r="X547" i="10"/>
  <c r="AA544" i="10"/>
  <c r="X544" i="10"/>
  <c r="S544" i="10"/>
  <c r="P544" i="10"/>
  <c r="Q544" i="10"/>
  <c r="W542" i="10"/>
  <c r="R542" i="10"/>
  <c r="X542" i="10"/>
  <c r="O536" i="10"/>
  <c r="O510" i="10" s="1"/>
  <c r="AA540" i="10"/>
  <c r="X540" i="10"/>
  <c r="V540" i="10"/>
  <c r="U540" i="10"/>
  <c r="Q540" i="10"/>
  <c r="P540" i="10"/>
  <c r="W540" i="10"/>
  <c r="AC538" i="10"/>
  <c r="AB538" i="10"/>
  <c r="X538" i="10"/>
  <c r="W538" i="10"/>
  <c r="U538" i="10"/>
  <c r="T538" i="10"/>
  <c r="P538" i="10"/>
  <c r="AD538" i="10"/>
  <c r="AD533" i="10"/>
  <c r="AD532" i="10" s="1"/>
  <c r="AD531" i="10" s="1"/>
  <c r="AC533" i="10"/>
  <c r="AC532" i="10" s="1"/>
  <c r="AC531" i="10" s="1"/>
  <c r="AB533" i="10"/>
  <c r="AB532" i="10" s="1"/>
  <c r="AB531" i="10" s="1"/>
  <c r="AA533" i="10"/>
  <c r="AA532" i="10"/>
  <c r="AA531" i="10" s="1"/>
  <c r="O529" i="10"/>
  <c r="X160" i="18"/>
  <c r="W160" i="18"/>
  <c r="V160" i="18"/>
  <c r="U160" i="18"/>
  <c r="T160" i="18"/>
  <c r="S160" i="18"/>
  <c r="R160" i="18"/>
  <c r="Q160" i="18"/>
  <c r="P160" i="18"/>
  <c r="X155" i="18"/>
  <c r="W155" i="18"/>
  <c r="V155" i="18"/>
  <c r="U155" i="18"/>
  <c r="T155" i="18"/>
  <c r="S155" i="18"/>
  <c r="R155" i="18"/>
  <c r="Q155" i="18"/>
  <c r="P155" i="18"/>
  <c r="O546" i="10"/>
  <c r="O547" i="10" s="1"/>
  <c r="O519" i="10"/>
  <c r="O542" i="10"/>
  <c r="X150" i="18"/>
  <c r="W150" i="18"/>
  <c r="V150" i="18"/>
  <c r="U150" i="18"/>
  <c r="T150" i="18"/>
  <c r="S150" i="18"/>
  <c r="R150" i="18"/>
  <c r="Q150" i="18"/>
  <c r="P150" i="18"/>
  <c r="U507" i="10"/>
  <c r="Q507" i="10"/>
  <c r="W507" i="10"/>
  <c r="O507" i="10"/>
  <c r="X504" i="10"/>
  <c r="V504" i="10"/>
  <c r="U504" i="10"/>
  <c r="T504" i="10"/>
  <c r="S504" i="10"/>
  <c r="R504" i="10"/>
  <c r="Q504" i="10"/>
  <c r="P504" i="10"/>
  <c r="W504" i="10"/>
  <c r="X502" i="10"/>
  <c r="W502" i="10"/>
  <c r="U502" i="10"/>
  <c r="T502" i="10"/>
  <c r="S502" i="10"/>
  <c r="R502" i="10"/>
  <c r="Q502" i="10"/>
  <c r="P502" i="10"/>
  <c r="V502" i="10"/>
  <c r="X500" i="10"/>
  <c r="U500" i="10"/>
  <c r="T500" i="10"/>
  <c r="Q500" i="10"/>
  <c r="P500" i="10"/>
  <c r="V500" i="10"/>
  <c r="O496" i="10"/>
  <c r="O497" i="10"/>
  <c r="O492" i="10"/>
  <c r="O491" i="10"/>
  <c r="O486" i="10"/>
  <c r="O487" i="10"/>
  <c r="O506" i="10"/>
  <c r="O481" i="10"/>
  <c r="O482" i="10"/>
  <c r="Y470" i="10"/>
  <c r="Z470" i="10" s="1"/>
  <c r="U469" i="10"/>
  <c r="T469" i="10"/>
  <c r="S469" i="10"/>
  <c r="R469" i="10"/>
  <c r="Q469" i="10"/>
  <c r="X469" i="10"/>
  <c r="AC466" i="10"/>
  <c r="AA466" i="10"/>
  <c r="U466" i="10"/>
  <c r="S466" i="10"/>
  <c r="R466" i="10"/>
  <c r="Q466" i="10"/>
  <c r="W464" i="10"/>
  <c r="Q464" i="10"/>
  <c r="AC464" i="10"/>
  <c r="W462" i="10"/>
  <c r="Q462" i="10"/>
  <c r="AC462" i="10"/>
  <c r="X207" i="16"/>
  <c r="W207" i="16"/>
  <c r="V207" i="16"/>
  <c r="U207" i="16"/>
  <c r="T207" i="16"/>
  <c r="S207" i="16"/>
  <c r="R207" i="16"/>
  <c r="Q207" i="16"/>
  <c r="P207" i="16"/>
  <c r="O457" i="10"/>
  <c r="O454" i="10"/>
  <c r="X202" i="16"/>
  <c r="W202" i="16"/>
  <c r="V202" i="16"/>
  <c r="U202" i="16"/>
  <c r="T202" i="16"/>
  <c r="S202" i="16"/>
  <c r="R202" i="16"/>
  <c r="Q202" i="16"/>
  <c r="P202" i="16"/>
  <c r="O453" i="10"/>
  <c r="O451" i="10" s="1"/>
  <c r="O450" i="10" s="1"/>
  <c r="O452" i="10"/>
  <c r="O449" i="10"/>
  <c r="X197" i="16"/>
  <c r="W197" i="16"/>
  <c r="V197" i="16"/>
  <c r="U197" i="16"/>
  <c r="T197" i="16"/>
  <c r="S197" i="16"/>
  <c r="R197" i="16"/>
  <c r="Q197" i="16"/>
  <c r="P197" i="16"/>
  <c r="O447" i="10"/>
  <c r="X192" i="16"/>
  <c r="W192" i="16"/>
  <c r="V192" i="16"/>
  <c r="U192" i="16"/>
  <c r="T192" i="16"/>
  <c r="S192" i="16"/>
  <c r="R192" i="16"/>
  <c r="Q192" i="16"/>
  <c r="P192" i="16"/>
  <c r="O442" i="10"/>
  <c r="O439" i="10"/>
  <c r="X187" i="16"/>
  <c r="W187" i="16"/>
  <c r="V187" i="16"/>
  <c r="U187" i="16"/>
  <c r="T187" i="16"/>
  <c r="S187" i="16"/>
  <c r="R187" i="16"/>
  <c r="Q187" i="16"/>
  <c r="P187" i="16"/>
  <c r="O438" i="10"/>
  <c r="O437" i="10"/>
  <c r="O436" i="10"/>
  <c r="O435" i="10" s="1"/>
  <c r="Y433" i="10"/>
  <c r="Z433" i="10" s="1"/>
  <c r="T431" i="10"/>
  <c r="R431" i="10"/>
  <c r="X431" i="10"/>
  <c r="AC428" i="10"/>
  <c r="AA428" i="10"/>
  <c r="X428" i="10"/>
  <c r="W428" i="10"/>
  <c r="U428" i="10"/>
  <c r="S428" i="10"/>
  <c r="R428" i="10"/>
  <c r="P428" i="10"/>
  <c r="Q428" i="10"/>
  <c r="X426" i="10"/>
  <c r="W426" i="10"/>
  <c r="U426" i="10"/>
  <c r="S426" i="10"/>
  <c r="R426" i="10"/>
  <c r="P426" i="10"/>
  <c r="Q426" i="10"/>
  <c r="X424" i="10"/>
  <c r="W424" i="10"/>
  <c r="U424" i="10"/>
  <c r="T424" i="10"/>
  <c r="S424" i="10"/>
  <c r="R424" i="10"/>
  <c r="Q424" i="10"/>
  <c r="P424" i="10"/>
  <c r="V424" i="10"/>
  <c r="O423" i="10"/>
  <c r="O416" i="10"/>
  <c r="O415" i="10"/>
  <c r="O413" i="10"/>
  <c r="O412" i="10" s="1"/>
  <c r="O411" i="10"/>
  <c r="O401" i="10"/>
  <c r="O400" i="10"/>
  <c r="O399" i="10"/>
  <c r="O430" i="10" s="1"/>
  <c r="O398" i="10"/>
  <c r="O397" i="10" s="1"/>
  <c r="AG395" i="10"/>
  <c r="AG390" i="10"/>
  <c r="AG389" i="10"/>
  <c r="AG388" i="10"/>
  <c r="AG387" i="10"/>
  <c r="AG386" i="10"/>
  <c r="AG385" i="10"/>
  <c r="AA385" i="10"/>
  <c r="X385" i="10"/>
  <c r="W385" i="10"/>
  <c r="V385" i="10"/>
  <c r="T385" i="10"/>
  <c r="S385" i="10"/>
  <c r="R385" i="10"/>
  <c r="Q385" i="10"/>
  <c r="P385" i="10"/>
  <c r="J385" i="10"/>
  <c r="AC385" i="10" s="1"/>
  <c r="U385" i="10"/>
  <c r="AG384" i="10"/>
  <c r="AG383" i="10"/>
  <c r="S383" i="10"/>
  <c r="Q383" i="10"/>
  <c r="AG382" i="10"/>
  <c r="AG381" i="10"/>
  <c r="AA381" i="10"/>
  <c r="X381" i="10"/>
  <c r="W381" i="10"/>
  <c r="V381" i="10"/>
  <c r="T381" i="10"/>
  <c r="S381" i="10"/>
  <c r="R381" i="10"/>
  <c r="Q381" i="10"/>
  <c r="P381" i="10"/>
  <c r="J381" i="10"/>
  <c r="AC381" i="10" s="1"/>
  <c r="U381" i="10"/>
  <c r="AG380" i="10"/>
  <c r="AG379" i="10"/>
  <c r="O379" i="10"/>
  <c r="AG378" i="10"/>
  <c r="AG377" i="10"/>
  <c r="AG376" i="10"/>
  <c r="AG375" i="10"/>
  <c r="AG374" i="10"/>
  <c r="R374" i="10" s="1"/>
  <c r="X374" i="10"/>
  <c r="V374" i="10"/>
  <c r="T374" i="10"/>
  <c r="S374" i="10"/>
  <c r="P374" i="10"/>
  <c r="AG373" i="10"/>
  <c r="AG372" i="10"/>
  <c r="AG371" i="10"/>
  <c r="AG370" i="10"/>
  <c r="AG369" i="10"/>
  <c r="AG368" i="10"/>
  <c r="O387" i="10"/>
  <c r="O388" i="10" s="1"/>
  <c r="J388" i="10" s="1"/>
  <c r="R388" i="10" s="1"/>
  <c r="AG367" i="10"/>
  <c r="O371" i="10"/>
  <c r="AG366" i="10"/>
  <c r="AG365" i="10"/>
  <c r="AG364" i="10"/>
  <c r="AG363" i="10"/>
  <c r="AG362" i="10"/>
  <c r="AG361" i="10"/>
  <c r="O365" i="10"/>
  <c r="AG360" i="10"/>
  <c r="AG359" i="10"/>
  <c r="AG358" i="10"/>
  <c r="AG357" i="10"/>
  <c r="AG356" i="10"/>
  <c r="AG355" i="10"/>
  <c r="O385" i="10"/>
  <c r="AG354" i="10"/>
  <c r="AG353" i="10"/>
  <c r="AG352" i="10"/>
  <c r="AG351" i="10"/>
  <c r="AG350" i="10"/>
  <c r="AG349" i="10"/>
  <c r="AG348" i="10"/>
  <c r="AG347" i="10"/>
  <c r="AG346" i="10"/>
  <c r="AG345" i="10"/>
  <c r="AG344" i="10"/>
  <c r="AG343" i="10"/>
  <c r="AG342" i="10"/>
  <c r="V342" i="10"/>
  <c r="T342" i="10"/>
  <c r="O342" i="10"/>
  <c r="U342" i="10"/>
  <c r="AG341" i="10"/>
  <c r="AG340" i="10"/>
  <c r="U340" i="10"/>
  <c r="Q340" i="10"/>
  <c r="X340" i="10"/>
  <c r="AG339" i="10"/>
  <c r="O340" i="10"/>
  <c r="AG338" i="10"/>
  <c r="X338" i="10"/>
  <c r="U338" i="10"/>
  <c r="T338" i="10"/>
  <c r="S338" i="10"/>
  <c r="Q338" i="10"/>
  <c r="P338" i="10"/>
  <c r="AG337" i="10"/>
  <c r="O338" i="10"/>
  <c r="AG336" i="10"/>
  <c r="O336" i="10"/>
  <c r="O305" i="10" s="1"/>
  <c r="AG335" i="10"/>
  <c r="AG334" i="10"/>
  <c r="AG333" i="10"/>
  <c r="AG332" i="10"/>
  <c r="AG331" i="10"/>
  <c r="T331" i="10" s="1"/>
  <c r="X331" i="10"/>
  <c r="V331" i="10"/>
  <c r="U331" i="10"/>
  <c r="S331" i="10"/>
  <c r="R331" i="10"/>
  <c r="Q331" i="10"/>
  <c r="P331" i="10"/>
  <c r="AG330" i="10"/>
  <c r="AG329" i="10"/>
  <c r="AG328" i="10"/>
  <c r="AG327" i="10"/>
  <c r="AG326" i="10"/>
  <c r="AG325" i="10"/>
  <c r="AG324" i="10"/>
  <c r="AG323" i="10"/>
  <c r="AG322" i="10"/>
  <c r="AG321" i="10"/>
  <c r="AG320" i="10"/>
  <c r="AG319" i="10"/>
  <c r="AG318" i="10"/>
  <c r="AG317" i="10"/>
  <c r="AG316" i="10"/>
  <c r="AG315" i="10"/>
  <c r="AG314" i="10"/>
  <c r="AG313" i="10"/>
  <c r="AG312" i="10"/>
  <c r="AG311" i="10"/>
  <c r="AG310" i="10"/>
  <c r="AG309" i="10"/>
  <c r="AG308" i="10"/>
  <c r="AG307" i="10"/>
  <c r="AG306" i="10"/>
  <c r="AG305" i="10"/>
  <c r="AG304" i="10"/>
  <c r="AG303" i="10"/>
  <c r="AG302" i="10"/>
  <c r="AG301" i="10"/>
  <c r="AG300" i="10"/>
  <c r="AG299" i="10"/>
  <c r="T299" i="10"/>
  <c r="R299" i="10"/>
  <c r="AG298" i="10"/>
  <c r="O293" i="10"/>
  <c r="AG297" i="10"/>
  <c r="U297" i="10"/>
  <c r="S297" i="10"/>
  <c r="T297" i="10"/>
  <c r="AG296" i="10"/>
  <c r="O297" i="10"/>
  <c r="AG295" i="10"/>
  <c r="U295" i="10"/>
  <c r="S295" i="10"/>
  <c r="R295" i="10"/>
  <c r="AG294" i="10"/>
  <c r="AG293" i="10"/>
  <c r="AG292" i="10"/>
  <c r="AG291" i="10"/>
  <c r="AG290" i="10"/>
  <c r="AG289" i="10"/>
  <c r="AG288" i="10"/>
  <c r="Q288" i="10" s="1"/>
  <c r="T288" i="10"/>
  <c r="S288" i="10"/>
  <c r="R288" i="10"/>
  <c r="P288" i="10"/>
  <c r="AG287" i="10"/>
  <c r="O291" i="10"/>
  <c r="AG286" i="10"/>
  <c r="AG285" i="10"/>
  <c r="AG284" i="10"/>
  <c r="AG283" i="10"/>
  <c r="AG282" i="10"/>
  <c r="AG281" i="10"/>
  <c r="AG280" i="10"/>
  <c r="AG279" i="10"/>
  <c r="AG278" i="10"/>
  <c r="AG277" i="10"/>
  <c r="AG276" i="10"/>
  <c r="AG275" i="10"/>
  <c r="AG274" i="10"/>
  <c r="AG273" i="10"/>
  <c r="AG272" i="10"/>
  <c r="AG271" i="10"/>
  <c r="AG270" i="10"/>
  <c r="AG269" i="10"/>
  <c r="O295" i="10"/>
  <c r="AG268" i="10"/>
  <c r="AG267" i="10"/>
  <c r="AG266" i="10"/>
  <c r="AG265" i="10"/>
  <c r="AG264" i="10"/>
  <c r="AG263" i="10"/>
  <c r="AG262" i="10"/>
  <c r="AG261" i="10"/>
  <c r="AG260" i="10"/>
  <c r="AG259" i="10"/>
  <c r="AG258" i="10"/>
  <c r="AG257" i="10"/>
  <c r="AG256" i="10"/>
  <c r="S256" i="10"/>
  <c r="R256" i="10"/>
  <c r="Q256" i="10"/>
  <c r="V256" i="10"/>
  <c r="AG255" i="10"/>
  <c r="AG254" i="10"/>
  <c r="U254" i="10"/>
  <c r="AG253" i="10"/>
  <c r="AG252" i="10"/>
  <c r="X252" i="10"/>
  <c r="T252" i="10"/>
  <c r="S252" i="10"/>
  <c r="R252" i="10"/>
  <c r="Q252" i="10"/>
  <c r="P252" i="10"/>
  <c r="U252" i="10"/>
  <c r="AG251" i="10"/>
  <c r="O250" i="10"/>
  <c r="AG250" i="10"/>
  <c r="AG249" i="10"/>
  <c r="AG248" i="10"/>
  <c r="AG247" i="10"/>
  <c r="AG246" i="10"/>
  <c r="AG245" i="10"/>
  <c r="T245" i="10" s="1"/>
  <c r="X245" i="10"/>
  <c r="W245" i="10"/>
  <c r="S245" i="10"/>
  <c r="Q245" i="10"/>
  <c r="P245" i="10"/>
  <c r="AG244" i="10"/>
  <c r="AG243" i="10"/>
  <c r="AG242" i="10"/>
  <c r="O242" i="10"/>
  <c r="AG241" i="10"/>
  <c r="AG240" i="10"/>
  <c r="AG239" i="10"/>
  <c r="AG238" i="10"/>
  <c r="AG237" i="10"/>
  <c r="AG236" i="10"/>
  <c r="AG235" i="10"/>
  <c r="AG234" i="10"/>
  <c r="AG233" i="10"/>
  <c r="AG232" i="10"/>
  <c r="O254" i="10"/>
  <c r="AG231" i="10"/>
  <c r="AG230" i="10"/>
  <c r="O230" i="10"/>
  <c r="AG229" i="10"/>
  <c r="AG228" i="10"/>
  <c r="AG227" i="10"/>
  <c r="AG226" i="10"/>
  <c r="AG225" i="10"/>
  <c r="AG224" i="10"/>
  <c r="AG223" i="10"/>
  <c r="AG222" i="10"/>
  <c r="AG221" i="10"/>
  <c r="AG220" i="10"/>
  <c r="AG219" i="10"/>
  <c r="AG218" i="10"/>
  <c r="Y218" i="10"/>
  <c r="Z218" i="10" s="1"/>
  <c r="AG217" i="10"/>
  <c r="AG216" i="10"/>
  <c r="AG215" i="10"/>
  <c r="AG214" i="10"/>
  <c r="AG213" i="10"/>
  <c r="P213" i="10"/>
  <c r="U213" i="10"/>
  <c r="AG212" i="10"/>
  <c r="AG211" i="10"/>
  <c r="X211" i="10"/>
  <c r="R211" i="10"/>
  <c r="AG210" i="10"/>
  <c r="AG209" i="10"/>
  <c r="X209" i="10"/>
  <c r="U209" i="10"/>
  <c r="T209" i="10"/>
  <c r="AG208" i="10"/>
  <c r="O207" i="10"/>
  <c r="AG207" i="10"/>
  <c r="AG206" i="10"/>
  <c r="AG205" i="10"/>
  <c r="AG204" i="10"/>
  <c r="AG203" i="10"/>
  <c r="AG202" i="10"/>
  <c r="X202" i="10"/>
  <c r="W202" i="10"/>
  <c r="V202" i="10"/>
  <c r="U202" i="10"/>
  <c r="T202" i="10"/>
  <c r="S202" i="10"/>
  <c r="R202" i="10"/>
  <c r="Q202" i="10"/>
  <c r="P202" i="10"/>
  <c r="AG201" i="10"/>
  <c r="AG200" i="10"/>
  <c r="AG199" i="10"/>
  <c r="AG198" i="10"/>
  <c r="AG197" i="10"/>
  <c r="AG196" i="10"/>
  <c r="AG195" i="10"/>
  <c r="AG194" i="10"/>
  <c r="AG193" i="10"/>
  <c r="AG192" i="10"/>
  <c r="AG191" i="10"/>
  <c r="AG190" i="10"/>
  <c r="AG189" i="10"/>
  <c r="AG188" i="10"/>
  <c r="AG187" i="10"/>
  <c r="AG186" i="10"/>
  <c r="AG185" i="10"/>
  <c r="AG184" i="10"/>
  <c r="AG183" i="10"/>
  <c r="AG182" i="10"/>
  <c r="AG181" i="10"/>
  <c r="AG180" i="10"/>
  <c r="AG179" i="10"/>
  <c r="AG178" i="10"/>
  <c r="AG177" i="10"/>
  <c r="O176" i="10"/>
  <c r="AG176" i="10"/>
  <c r="AG175" i="10"/>
  <c r="O171" i="10"/>
  <c r="AG162" i="10"/>
  <c r="AG161" i="10"/>
  <c r="AG160" i="10"/>
  <c r="AG159" i="10"/>
  <c r="AG158" i="10"/>
  <c r="AG157" i="10"/>
  <c r="AG156" i="10"/>
  <c r="AG155" i="10"/>
  <c r="AG154" i="10"/>
  <c r="O155" i="10"/>
  <c r="AG153" i="10"/>
  <c r="AG152" i="10"/>
  <c r="O153" i="10"/>
  <c r="AG151" i="10"/>
  <c r="AG150" i="10"/>
  <c r="O150" i="10"/>
  <c r="AG149" i="10"/>
  <c r="AG148" i="10"/>
  <c r="AG147" i="10"/>
  <c r="AG146" i="10"/>
  <c r="O157" i="10"/>
  <c r="AG145" i="10"/>
  <c r="O145" i="10"/>
  <c r="AG144" i="10"/>
  <c r="AG143" i="10"/>
  <c r="AG142" i="10"/>
  <c r="AG141" i="10"/>
  <c r="AG140" i="10"/>
  <c r="O140" i="10"/>
  <c r="AG139" i="10"/>
  <c r="AG138" i="10"/>
  <c r="AG137" i="10"/>
  <c r="AG136" i="10"/>
  <c r="AG135" i="10"/>
  <c r="AG134" i="10"/>
  <c r="AG133" i="10"/>
  <c r="AG132" i="10"/>
  <c r="AG131" i="10"/>
  <c r="O135" i="10"/>
  <c r="AG130" i="10"/>
  <c r="AG129" i="10"/>
  <c r="AG128" i="10"/>
  <c r="AG127" i="10"/>
  <c r="AG126" i="10"/>
  <c r="O130" i="10"/>
  <c r="AG125" i="10"/>
  <c r="AG124" i="10"/>
  <c r="AG123" i="10"/>
  <c r="AG122" i="10"/>
  <c r="AG121" i="10"/>
  <c r="AG120" i="10"/>
  <c r="AG119" i="10"/>
  <c r="O119" i="10"/>
  <c r="AG118" i="10"/>
  <c r="AG117" i="10"/>
  <c r="AG116" i="10"/>
  <c r="O117" i="10"/>
  <c r="AG115" i="10"/>
  <c r="AG114" i="10"/>
  <c r="AG113" i="10"/>
  <c r="O113" i="10"/>
  <c r="AG112" i="10"/>
  <c r="AG111" i="10"/>
  <c r="AG110" i="10"/>
  <c r="AG109" i="10"/>
  <c r="AG108" i="10"/>
  <c r="O112" i="10"/>
  <c r="AG107" i="10"/>
  <c r="O107" i="10"/>
  <c r="AG106" i="10"/>
  <c r="AG105" i="10"/>
  <c r="AG104" i="10"/>
  <c r="AG103" i="10"/>
  <c r="AG102" i="10"/>
  <c r="AG101" i="10"/>
  <c r="AG100" i="10"/>
  <c r="AG99" i="10"/>
  <c r="AG98" i="10"/>
  <c r="O115" i="10"/>
  <c r="AG97" i="10"/>
  <c r="AG96" i="10"/>
  <c r="AG95" i="10"/>
  <c r="AG94" i="10"/>
  <c r="AG93" i="10"/>
  <c r="O97" i="10"/>
  <c r="AG92" i="10"/>
  <c r="AG91" i="10"/>
  <c r="AG90" i="10"/>
  <c r="AG89" i="10"/>
  <c r="AG88" i="10"/>
  <c r="AG87" i="10"/>
  <c r="AG86" i="10"/>
  <c r="Z86" i="10"/>
  <c r="AG85" i="10"/>
  <c r="Z85" i="10"/>
  <c r="AG84" i="10"/>
  <c r="AG83" i="10"/>
  <c r="Z83" i="10"/>
  <c r="Y83" i="10"/>
  <c r="AG82" i="10"/>
  <c r="AG81" i="10"/>
  <c r="X81" i="10"/>
  <c r="U81" i="10"/>
  <c r="T81" i="10"/>
  <c r="S81" i="10"/>
  <c r="P81" i="10"/>
  <c r="W81" i="10"/>
  <c r="AG80" i="10"/>
  <c r="O80" i="10"/>
  <c r="O35" i="12" s="1"/>
  <c r="AG79" i="10"/>
  <c r="X79" i="10"/>
  <c r="P79" i="10"/>
  <c r="I155" i="10"/>
  <c r="J155" i="10" s="1"/>
  <c r="AG78" i="10"/>
  <c r="O78" i="10"/>
  <c r="O133" i="11" s="1"/>
  <c r="AG77" i="10"/>
  <c r="S77" i="10"/>
  <c r="R77" i="10"/>
  <c r="Q77" i="10"/>
  <c r="I153" i="10"/>
  <c r="J153" i="10" s="1"/>
  <c r="AG76" i="10"/>
  <c r="O76" i="10"/>
  <c r="AG75" i="10"/>
  <c r="AG74" i="10"/>
  <c r="AG73" i="10"/>
  <c r="AG72" i="10"/>
  <c r="Z148" i="10"/>
  <c r="AG71" i="10"/>
  <c r="V71" i="10" s="1"/>
  <c r="T71" i="10"/>
  <c r="S71" i="10"/>
  <c r="R71" i="10"/>
  <c r="O71" i="10"/>
  <c r="AG70" i="10"/>
  <c r="O70" i="10"/>
  <c r="O74" i="10" s="1"/>
  <c r="AG69" i="10"/>
  <c r="AG68" i="10"/>
  <c r="AG67" i="10"/>
  <c r="AG66" i="10"/>
  <c r="O66" i="10"/>
  <c r="O18" i="10" s="1"/>
  <c r="AG65" i="10"/>
  <c r="O65" i="10"/>
  <c r="O69" i="10" s="1"/>
  <c r="AG64" i="10"/>
  <c r="AG63" i="10"/>
  <c r="AG62" i="10"/>
  <c r="AG61" i="10"/>
  <c r="O61" i="10"/>
  <c r="AG60" i="10"/>
  <c r="O60" i="10"/>
  <c r="AG59" i="10"/>
  <c r="O59" i="10"/>
  <c r="AG58" i="10"/>
  <c r="AG57" i="10"/>
  <c r="AG56" i="10"/>
  <c r="O56" i="10"/>
  <c r="O55" i="10"/>
  <c r="AG51" i="10"/>
  <c r="O51" i="10"/>
  <c r="O50" i="10"/>
  <c r="O54" i="10" s="1"/>
  <c r="AD44" i="10"/>
  <c r="AC44" i="10"/>
  <c r="AB44" i="10"/>
  <c r="AA44" i="10"/>
  <c r="O44" i="10"/>
  <c r="O43" i="10"/>
  <c r="O42" i="10"/>
  <c r="O41" i="10"/>
  <c r="O40" i="10"/>
  <c r="O38" i="10"/>
  <c r="AD37" i="10"/>
  <c r="AC37" i="10"/>
  <c r="AB37" i="10"/>
  <c r="AA37" i="10"/>
  <c r="O37" i="10"/>
  <c r="O36" i="10"/>
  <c r="O35" i="10"/>
  <c r="O34" i="10"/>
  <c r="O33" i="10"/>
  <c r="O32" i="10"/>
  <c r="O8" i="10" s="1"/>
  <c r="AD30" i="10"/>
  <c r="AC30" i="10"/>
  <c r="AB30" i="10"/>
  <c r="AA30" i="10"/>
  <c r="O30" i="10"/>
  <c r="O29" i="10"/>
  <c r="O27" i="10"/>
  <c r="O26" i="10"/>
  <c r="AD19" i="10"/>
  <c r="AC19" i="10"/>
  <c r="AB19" i="10"/>
  <c r="AA19" i="10"/>
  <c r="O19" i="10"/>
  <c r="O115" i="11" s="1"/>
  <c r="O17" i="10"/>
  <c r="O77" i="11" s="1"/>
  <c r="O16" i="10"/>
  <c r="O58" i="11" s="1"/>
  <c r="O15" i="10"/>
  <c r="A1" i="10"/>
  <c r="AD499" i="9"/>
  <c r="AE499" i="9" s="1"/>
  <c r="AC499" i="9"/>
  <c r="AE498" i="9"/>
  <c r="AD498" i="9"/>
  <c r="AC498" i="9"/>
  <c r="AC497" i="9"/>
  <c r="AD497" i="9" s="1"/>
  <c r="AE497" i="9" s="1"/>
  <c r="AC493" i="9"/>
  <c r="AD493" i="9" s="1"/>
  <c r="AE493" i="9" s="1"/>
  <c r="AB493" i="9"/>
  <c r="AB492" i="9"/>
  <c r="AC492" i="9" s="1"/>
  <c r="AD492" i="9" s="1"/>
  <c r="AE492" i="9" s="1"/>
  <c r="AC491" i="9"/>
  <c r="AD491" i="9" s="1"/>
  <c r="AE491" i="9" s="1"/>
  <c r="AB491" i="9"/>
  <c r="AB490" i="9"/>
  <c r="AC490" i="9" s="1"/>
  <c r="AD490" i="9" s="1"/>
  <c r="AE490" i="9" s="1"/>
  <c r="AB480" i="9"/>
  <c r="AC480" i="9" s="1"/>
  <c r="AD480" i="9" s="1"/>
  <c r="AE480" i="9" s="1"/>
  <c r="I480" i="9"/>
  <c r="I481" i="9" s="1"/>
  <c r="AB481" i="9" s="1"/>
  <c r="AC481" i="9" s="1"/>
  <c r="AD481" i="9" s="1"/>
  <c r="AE481" i="9" s="1"/>
  <c r="AB479" i="9"/>
  <c r="AC479" i="9" s="1"/>
  <c r="AD479" i="9" s="1"/>
  <c r="AE479" i="9" s="1"/>
  <c r="I479" i="9"/>
  <c r="AB478" i="9"/>
  <c r="AC478" i="9" s="1"/>
  <c r="AD478" i="9" s="1"/>
  <c r="AE478" i="9" s="1"/>
  <c r="AC474" i="9"/>
  <c r="AD474" i="9" s="1"/>
  <c r="AE474" i="9" s="1"/>
  <c r="AB474" i="9"/>
  <c r="AB472" i="9"/>
  <c r="AC472" i="9" s="1"/>
  <c r="AD472" i="9" s="1"/>
  <c r="AE472" i="9" s="1"/>
  <c r="AC469" i="9"/>
  <c r="AD469" i="9" s="1"/>
  <c r="AE469" i="9" s="1"/>
  <c r="AB469" i="9"/>
  <c r="AB468" i="9"/>
  <c r="AC468" i="9" s="1"/>
  <c r="AD468" i="9" s="1"/>
  <c r="AE468" i="9" s="1"/>
  <c r="AC467" i="9"/>
  <c r="AD467" i="9" s="1"/>
  <c r="AE467" i="9" s="1"/>
  <c r="AB467" i="9"/>
  <c r="AB466" i="9"/>
  <c r="AC466" i="9" s="1"/>
  <c r="AD466" i="9" s="1"/>
  <c r="AE466" i="9" s="1"/>
  <c r="X87" i="17"/>
  <c r="W87" i="17"/>
  <c r="V87" i="17"/>
  <c r="U87" i="17"/>
  <c r="T87" i="17"/>
  <c r="S87" i="17"/>
  <c r="R87" i="17"/>
  <c r="Q87" i="17"/>
  <c r="P87" i="17"/>
  <c r="X83" i="17"/>
  <c r="W83" i="17"/>
  <c r="V83" i="17"/>
  <c r="U83" i="17"/>
  <c r="T83" i="17"/>
  <c r="S83" i="17"/>
  <c r="R83" i="17"/>
  <c r="Q83" i="17"/>
  <c r="P83" i="17"/>
  <c r="X79" i="17"/>
  <c r="W79" i="17"/>
  <c r="V79" i="17"/>
  <c r="U79" i="17"/>
  <c r="T79" i="17"/>
  <c r="S79" i="17"/>
  <c r="R79" i="17"/>
  <c r="Q79" i="17"/>
  <c r="P79" i="17"/>
  <c r="X128" i="11"/>
  <c r="W128" i="11"/>
  <c r="V128" i="11"/>
  <c r="U128" i="11"/>
  <c r="T128" i="11"/>
  <c r="S128" i="11"/>
  <c r="R128" i="11"/>
  <c r="Q128" i="11"/>
  <c r="P128" i="11"/>
  <c r="X90" i="11"/>
  <c r="W90" i="11"/>
  <c r="V90" i="11"/>
  <c r="U90" i="11"/>
  <c r="T90" i="11"/>
  <c r="S90" i="11"/>
  <c r="R90" i="11"/>
  <c r="Q90" i="11"/>
  <c r="P90" i="11"/>
  <c r="X71" i="11"/>
  <c r="W71" i="11"/>
  <c r="V71" i="11"/>
  <c r="U71" i="11"/>
  <c r="T71" i="11"/>
  <c r="S71" i="11"/>
  <c r="R71" i="11"/>
  <c r="Q71" i="11"/>
  <c r="P71" i="11"/>
  <c r="X125" i="11"/>
  <c r="W125" i="11"/>
  <c r="V125" i="11"/>
  <c r="U125" i="11"/>
  <c r="T125" i="11"/>
  <c r="S125" i="11"/>
  <c r="R125" i="11"/>
  <c r="Q125" i="11"/>
  <c r="P125" i="11"/>
  <c r="X87" i="11"/>
  <c r="W87" i="11"/>
  <c r="V87" i="11"/>
  <c r="U87" i="11"/>
  <c r="T87" i="11"/>
  <c r="S87" i="11"/>
  <c r="R87" i="11"/>
  <c r="Q87" i="11"/>
  <c r="P87" i="11"/>
  <c r="X68" i="11"/>
  <c r="W68" i="11"/>
  <c r="V68" i="11"/>
  <c r="U68" i="11"/>
  <c r="T68" i="11"/>
  <c r="S68" i="11"/>
  <c r="R68" i="11"/>
  <c r="Q68" i="11"/>
  <c r="P68" i="11"/>
  <c r="X121" i="11"/>
  <c r="X119" i="11" s="1"/>
  <c r="W121" i="11"/>
  <c r="W119" i="11" s="1"/>
  <c r="V121" i="11"/>
  <c r="V119" i="11" s="1"/>
  <c r="U121" i="11"/>
  <c r="U119" i="11" s="1"/>
  <c r="T121" i="11"/>
  <c r="S121" i="11"/>
  <c r="S119" i="11" s="1"/>
  <c r="R121" i="11"/>
  <c r="R119" i="11" s="1"/>
  <c r="Q121" i="11"/>
  <c r="Q119" i="11" s="1"/>
  <c r="P121" i="11"/>
  <c r="X83" i="11"/>
  <c r="X81" i="11" s="1"/>
  <c r="W83" i="11"/>
  <c r="W81" i="11" s="1"/>
  <c r="V83" i="11"/>
  <c r="V81" i="11" s="1"/>
  <c r="U83" i="11"/>
  <c r="U81" i="11" s="1"/>
  <c r="T83" i="11"/>
  <c r="S83" i="11"/>
  <c r="S81" i="11" s="1"/>
  <c r="R83" i="11"/>
  <c r="Q83" i="11"/>
  <c r="Q81" i="11" s="1"/>
  <c r="P83" i="11"/>
  <c r="X45" i="11"/>
  <c r="X43" i="11" s="1"/>
  <c r="W45" i="11"/>
  <c r="W43" i="11" s="1"/>
  <c r="V45" i="11"/>
  <c r="V43" i="11" s="1"/>
  <c r="U45" i="11"/>
  <c r="U43" i="11" s="1"/>
  <c r="T45" i="11"/>
  <c r="T43" i="11" s="1"/>
  <c r="S45" i="11"/>
  <c r="S43" i="11" s="1"/>
  <c r="R45" i="11"/>
  <c r="R43" i="11" s="1"/>
  <c r="Q45" i="11"/>
  <c r="Q43" i="11" s="1"/>
  <c r="P45" i="11"/>
  <c r="X116" i="11"/>
  <c r="W116" i="11"/>
  <c r="V116" i="11"/>
  <c r="U116" i="11"/>
  <c r="T116" i="11"/>
  <c r="S116" i="11"/>
  <c r="R116" i="11"/>
  <c r="Q116" i="11"/>
  <c r="P116" i="11"/>
  <c r="O116" i="11" s="1"/>
  <c r="X97" i="11"/>
  <c r="W97" i="11"/>
  <c r="V97" i="11"/>
  <c r="U97" i="11"/>
  <c r="T97" i="11"/>
  <c r="S97" i="11"/>
  <c r="R97" i="11"/>
  <c r="Q97" i="11"/>
  <c r="P97" i="11"/>
  <c r="O97" i="11" s="1"/>
  <c r="X78" i="11"/>
  <c r="W78" i="11"/>
  <c r="V78" i="11"/>
  <c r="U78" i="11"/>
  <c r="T78" i="11"/>
  <c r="S78" i="11"/>
  <c r="R78" i="11"/>
  <c r="Q78" i="11"/>
  <c r="P78" i="11"/>
  <c r="O78" i="11" s="1"/>
  <c r="X59" i="11"/>
  <c r="W59" i="11"/>
  <c r="V59" i="11"/>
  <c r="U59" i="11"/>
  <c r="T59" i="11"/>
  <c r="S59" i="11"/>
  <c r="R59" i="11"/>
  <c r="Q59" i="11"/>
  <c r="P59" i="11"/>
  <c r="O59" i="11" s="1"/>
  <c r="X40" i="11"/>
  <c r="W40" i="11"/>
  <c r="V40" i="11"/>
  <c r="U40" i="11"/>
  <c r="T40" i="11"/>
  <c r="S40" i="11"/>
  <c r="R40" i="11"/>
  <c r="Q40" i="11"/>
  <c r="P40" i="11"/>
  <c r="O40" i="11" s="1"/>
  <c r="AA367" i="9"/>
  <c r="AA363" i="9"/>
  <c r="AB363" i="9" s="1"/>
  <c r="AC363" i="9" s="1"/>
  <c r="AD363" i="9" s="1"/>
  <c r="AE363" i="9" s="1"/>
  <c r="A362" i="9"/>
  <c r="A363" i="9" s="1"/>
  <c r="AA361" i="9"/>
  <c r="AA360" i="9"/>
  <c r="AB360" i="9" s="1"/>
  <c r="AC360" i="9" s="1"/>
  <c r="AD360" i="9" s="1"/>
  <c r="AE360" i="9" s="1"/>
  <c r="A356" i="9"/>
  <c r="A357" i="9" s="1"/>
  <c r="A350" i="9"/>
  <c r="A351" i="9" s="1"/>
  <c r="AA348" i="9"/>
  <c r="AB348" i="9" s="1"/>
  <c r="AC348" i="9" s="1"/>
  <c r="AD348" i="9" s="1"/>
  <c r="AE348" i="9" s="1"/>
  <c r="A344" i="9"/>
  <c r="A345" i="9" s="1"/>
  <c r="A338" i="9"/>
  <c r="A339" i="9" s="1"/>
  <c r="V354" i="10"/>
  <c r="R354" i="10"/>
  <c r="Q354" i="10"/>
  <c r="A333" i="9"/>
  <c r="T354" i="10" s="1"/>
  <c r="A332" i="9"/>
  <c r="X311" i="10"/>
  <c r="P311" i="10"/>
  <c r="A327" i="9"/>
  <c r="S311" i="10" s="1"/>
  <c r="A326" i="9"/>
  <c r="A322" i="9"/>
  <c r="T268" i="10"/>
  <c r="A320" i="9"/>
  <c r="A321" i="9" s="1"/>
  <c r="A314" i="9"/>
  <c r="A315" i="9" s="1"/>
  <c r="T182" i="10"/>
  <c r="Q182" i="10"/>
  <c r="A309" i="9"/>
  <c r="A308" i="9"/>
  <c r="A307" i="9"/>
  <c r="A303" i="9"/>
  <c r="A304" i="9" s="1"/>
  <c r="A305" i="9" s="1"/>
  <c r="A306" i="9" s="1"/>
  <c r="A302" i="9"/>
  <c r="A298" i="9"/>
  <c r="A299" i="9" s="1"/>
  <c r="A300" i="9" s="1"/>
  <c r="A301" i="9" s="1"/>
  <c r="A296" i="9"/>
  <c r="A297" i="9" s="1"/>
  <c r="W59" i="10"/>
  <c r="A292" i="9"/>
  <c r="T59" i="10" s="1"/>
  <c r="T54" i="10"/>
  <c r="A291" i="9"/>
  <c r="A290" i="9"/>
  <c r="A226" i="9"/>
  <c r="A227" i="9" s="1"/>
  <c r="A228" i="9" s="1"/>
  <c r="AA225" i="9"/>
  <c r="AB225" i="9" s="1"/>
  <c r="A224" i="9"/>
  <c r="A225" i="9" s="1"/>
  <c r="AA223" i="9"/>
  <c r="AB223" i="9" s="1"/>
  <c r="AC223" i="9" s="1"/>
  <c r="AD223" i="9" s="1"/>
  <c r="AE223" i="9" s="1"/>
  <c r="A223" i="9"/>
  <c r="A219" i="9"/>
  <c r="A220" i="9" s="1"/>
  <c r="A221" i="9" s="1"/>
  <c r="A222" i="9" s="1"/>
  <c r="A216" i="9"/>
  <c r="A217" i="9" s="1"/>
  <c r="A214" i="9"/>
  <c r="A215" i="9" s="1"/>
  <c r="A213" i="9"/>
  <c r="AA211" i="9"/>
  <c r="A209" i="9"/>
  <c r="A210" i="9" s="1"/>
  <c r="A211" i="9" s="1"/>
  <c r="A207" i="9"/>
  <c r="A208" i="9" s="1"/>
  <c r="A202" i="9"/>
  <c r="A203" i="9" s="1"/>
  <c r="A204" i="9" s="1"/>
  <c r="A205" i="9" s="1"/>
  <c r="A201" i="9"/>
  <c r="A196" i="9"/>
  <c r="A197" i="9" s="1"/>
  <c r="A198" i="9" s="1"/>
  <c r="A199" i="9" s="1"/>
  <c r="A200" i="9" s="1"/>
  <c r="A195" i="9"/>
  <c r="A189" i="9"/>
  <c r="A190" i="9" s="1"/>
  <c r="A191" i="9" s="1"/>
  <c r="A192" i="9" s="1"/>
  <c r="A193" i="9" s="1"/>
  <c r="A194" i="9" s="1"/>
  <c r="A183" i="9"/>
  <c r="A184" i="9" s="1"/>
  <c r="A185" i="9" s="1"/>
  <c r="A186" i="9" s="1"/>
  <c r="A187" i="9" s="1"/>
  <c r="A188" i="9" s="1"/>
  <c r="A178" i="9"/>
  <c r="A179" i="9" s="1"/>
  <c r="A180" i="9" s="1"/>
  <c r="A181" i="9" s="1"/>
  <c r="A182" i="9" s="1"/>
  <c r="A177" i="9"/>
  <c r="A174" i="9"/>
  <c r="A175" i="9" s="1"/>
  <c r="A176" i="9" s="1"/>
  <c r="A171" i="9"/>
  <c r="A172" i="9" s="1"/>
  <c r="A173" i="9" s="1"/>
  <c r="A159" i="9"/>
  <c r="A160" i="9" s="1"/>
  <c r="A161" i="9" s="1"/>
  <c r="A162" i="9" s="1"/>
  <c r="A163" i="9" s="1"/>
  <c r="A164" i="9" s="1"/>
  <c r="I153" i="9"/>
  <c r="Y153" i="9" s="1"/>
  <c r="AC146" i="9"/>
  <c r="AE146" i="9"/>
  <c r="AD146" i="9"/>
  <c r="AB146" i="9"/>
  <c r="AE143" i="9"/>
  <c r="AE142" i="9" s="1"/>
  <c r="AD143" i="9"/>
  <c r="AD142" i="9" s="1"/>
  <c r="AB143" i="9"/>
  <c r="AB142" i="9" s="1"/>
  <c r="AC143" i="9"/>
  <c r="AE137" i="9"/>
  <c r="AD137" i="9"/>
  <c r="AB137" i="9"/>
  <c r="AC137" i="9"/>
  <c r="AB125" i="9"/>
  <c r="AE133" i="9"/>
  <c r="AE132" i="9" s="1"/>
  <c r="AD133" i="9"/>
  <c r="AD132" i="9" s="1"/>
  <c r="AD131" i="9" s="1"/>
  <c r="AB133" i="9"/>
  <c r="AB132" i="9" s="1"/>
  <c r="AB131" i="9" s="1"/>
  <c r="AC133" i="9"/>
  <c r="AC132" i="9" s="1"/>
  <c r="AE130" i="9"/>
  <c r="AE117" i="9" s="1"/>
  <c r="AD118" i="18" s="1"/>
  <c r="AB130" i="9"/>
  <c r="AC130" i="9" s="1"/>
  <c r="AD130" i="9" s="1"/>
  <c r="AB129" i="9"/>
  <c r="AC129" i="9" s="1"/>
  <c r="AD129" i="9" s="1"/>
  <c r="AE129" i="9" s="1"/>
  <c r="AA127" i="9"/>
  <c r="I67" i="9"/>
  <c r="I84" i="9"/>
  <c r="Z118" i="18"/>
  <c r="I117" i="9"/>
  <c r="Z111" i="18"/>
  <c r="AB114" i="9"/>
  <c r="AA113" i="9"/>
  <c r="I112" i="9"/>
  <c r="I111" i="9"/>
  <c r="Z61" i="18"/>
  <c r="I110" i="9"/>
  <c r="Z54" i="18"/>
  <c r="AD106" i="9"/>
  <c r="AC52" i="15" s="1"/>
  <c r="AC51" i="15" s="1"/>
  <c r="I106" i="9"/>
  <c r="AB106" i="9" s="1"/>
  <c r="AA52" i="15" s="1"/>
  <c r="AA51" i="15" s="1"/>
  <c r="Z45" i="15"/>
  <c r="I105" i="9"/>
  <c r="Z38" i="15"/>
  <c r="I104" i="9"/>
  <c r="Z24" i="15"/>
  <c r="AD100" i="9"/>
  <c r="AC100" i="9"/>
  <c r="AB100" i="9"/>
  <c r="I100" i="9"/>
  <c r="AE100" i="9" s="1"/>
  <c r="I99" i="9"/>
  <c r="Z111" i="16"/>
  <c r="I98" i="9"/>
  <c r="Z97" i="16"/>
  <c r="AE94" i="9"/>
  <c r="AD75" i="16" s="1"/>
  <c r="AD74" i="16" s="1"/>
  <c r="AB94" i="9"/>
  <c r="AA75" i="16" s="1"/>
  <c r="AA74" i="16" s="1"/>
  <c r="I94" i="9"/>
  <c r="Z68" i="16"/>
  <c r="I93" i="9"/>
  <c r="Z54" i="16"/>
  <c r="Z47" i="16"/>
  <c r="I88" i="9"/>
  <c r="Z369" i="10"/>
  <c r="I87" i="9"/>
  <c r="Z357" i="10"/>
  <c r="Z351" i="10"/>
  <c r="AC82" i="9"/>
  <c r="I82" i="9"/>
  <c r="Z320" i="10"/>
  <c r="I80" i="9"/>
  <c r="Z314" i="10"/>
  <c r="Z308" i="10"/>
  <c r="AA77" i="9"/>
  <c r="AC76" i="9"/>
  <c r="I76" i="9"/>
  <c r="AE76" i="9" s="1"/>
  <c r="Z277" i="10"/>
  <c r="I74" i="9"/>
  <c r="Z271" i="10"/>
  <c r="Z265" i="10"/>
  <c r="AA71" i="9"/>
  <c r="I70" i="9"/>
  <c r="Z240" i="10"/>
  <c r="I69" i="9"/>
  <c r="Z234" i="10"/>
  <c r="Z228" i="10"/>
  <c r="AD64" i="9"/>
  <c r="I64" i="9"/>
  <c r="Z197" i="10"/>
  <c r="I63" i="9"/>
  <c r="Z191" i="10"/>
  <c r="I62" i="9"/>
  <c r="Z185" i="10"/>
  <c r="AD58" i="9"/>
  <c r="I58" i="9"/>
  <c r="AB58" i="9" s="1"/>
  <c r="Z67" i="10"/>
  <c r="Z62" i="10"/>
  <c r="I56" i="9"/>
  <c r="Z52" i="10"/>
  <c r="AC44" i="9"/>
  <c r="AB44" i="9"/>
  <c r="Y46" i="9"/>
  <c r="V46" i="9"/>
  <c r="U46" i="9" s="1"/>
  <c r="U44" i="9" s="1"/>
  <c r="M46" i="9"/>
  <c r="M44" i="9" s="1"/>
  <c r="I46" i="9"/>
  <c r="I44" i="9" s="1"/>
  <c r="AE45" i="9"/>
  <c r="N46" i="9"/>
  <c r="N44" i="9" s="1"/>
  <c r="L46" i="9"/>
  <c r="L44" i="9" s="1"/>
  <c r="K46" i="9"/>
  <c r="K44" i="9" s="1"/>
  <c r="J46" i="9"/>
  <c r="J44" i="9" s="1"/>
  <c r="AE44" i="9"/>
  <c r="AD44" i="9"/>
  <c r="AA44" i="9"/>
  <c r="Z44" i="9"/>
  <c r="W44" i="9"/>
  <c r="V44" i="9"/>
  <c r="AD41" i="9"/>
  <c r="AC41" i="9"/>
  <c r="V43" i="9"/>
  <c r="V41" i="9" s="1"/>
  <c r="U43" i="9"/>
  <c r="U41" i="9" s="1"/>
  <c r="S43" i="9"/>
  <c r="R43" i="9"/>
  <c r="R41" i="9" s="1"/>
  <c r="P43" i="9"/>
  <c r="N43" i="9"/>
  <c r="N41" i="9" s="1"/>
  <c r="J43" i="9"/>
  <c r="J41" i="9" s="1"/>
  <c r="AE42" i="9"/>
  <c r="M43" i="9"/>
  <c r="M41" i="9" s="1"/>
  <c r="L43" i="9"/>
  <c r="K43" i="9"/>
  <c r="K41" i="9" s="1"/>
  <c r="I43" i="9"/>
  <c r="I41" i="9" s="1"/>
  <c r="AE41" i="9"/>
  <c r="AB41" i="9"/>
  <c r="AA41" i="9"/>
  <c r="W41" i="9"/>
  <c r="T41" i="9"/>
  <c r="S41" i="9"/>
  <c r="Q41" i="9"/>
  <c r="L41" i="9"/>
  <c r="AE38" i="9"/>
  <c r="AD187" i="11" s="1"/>
  <c r="AD38" i="9"/>
  <c r="AC187" i="11" s="1"/>
  <c r="AA38" i="9"/>
  <c r="Y40" i="9"/>
  <c r="X40" i="9" s="1"/>
  <c r="X38" i="9" s="1"/>
  <c r="V187" i="11" s="1"/>
  <c r="W38" i="9"/>
  <c r="U187" i="11" s="1"/>
  <c r="V40" i="9"/>
  <c r="U40" i="9" s="1"/>
  <c r="U38" i="9" s="1"/>
  <c r="S187" i="11" s="1"/>
  <c r="S40" i="9"/>
  <c r="P40" i="9"/>
  <c r="N40" i="9"/>
  <c r="K40" i="9"/>
  <c r="K38" i="9" s="1"/>
  <c r="AE39" i="9"/>
  <c r="AA39" i="9"/>
  <c r="M40" i="9"/>
  <c r="M38" i="9" s="1"/>
  <c r="L40" i="9"/>
  <c r="L38" i="9" s="1"/>
  <c r="J40" i="9"/>
  <c r="J38" i="9" s="1"/>
  <c r="I40" i="9"/>
  <c r="I38" i="9" s="1"/>
  <c r="AC38" i="9"/>
  <c r="AB187" i="11" s="1"/>
  <c r="AB38" i="9"/>
  <c r="AA187" i="11" s="1"/>
  <c r="Z38" i="9"/>
  <c r="X187" i="11" s="1"/>
  <c r="T38" i="9"/>
  <c r="R187" i="11" s="1"/>
  <c r="Q38" i="9"/>
  <c r="O187" i="11" s="1"/>
  <c r="N38" i="9"/>
  <c r="AC35" i="9"/>
  <c r="Y37" i="9"/>
  <c r="Y35" i="9" s="1"/>
  <c r="X37" i="9"/>
  <c r="V37" i="9"/>
  <c r="V35" i="9" s="1"/>
  <c r="U37" i="9"/>
  <c r="U35" i="9" s="1"/>
  <c r="S37" i="9"/>
  <c r="R37" i="9" s="1"/>
  <c r="R35" i="9" s="1"/>
  <c r="Q35" i="9"/>
  <c r="P37" i="9"/>
  <c r="O37" i="9" s="1"/>
  <c r="O35" i="9" s="1"/>
  <c r="M37" i="9"/>
  <c r="M35" i="9" s="1"/>
  <c r="K37" i="9"/>
  <c r="AE36" i="9"/>
  <c r="Y36" i="9"/>
  <c r="Z36" i="9" s="1"/>
  <c r="AA36" i="9" s="1"/>
  <c r="V36" i="9"/>
  <c r="W36" i="9" s="1"/>
  <c r="T36" i="9"/>
  <c r="S36" i="9"/>
  <c r="N37" i="9"/>
  <c r="N35" i="9" s="1"/>
  <c r="L37" i="9"/>
  <c r="L35" i="9" s="1"/>
  <c r="J37" i="9"/>
  <c r="J35" i="9" s="1"/>
  <c r="I37" i="9"/>
  <c r="I35" i="9" s="1"/>
  <c r="AE35" i="9"/>
  <c r="AD35" i="9"/>
  <c r="AB35" i="9"/>
  <c r="AA35" i="9"/>
  <c r="Z35" i="9"/>
  <c r="X35" i="9"/>
  <c r="W35" i="9"/>
  <c r="T35" i="9"/>
  <c r="S35" i="9"/>
  <c r="K35" i="9"/>
  <c r="I9" i="9"/>
  <c r="I7" i="9"/>
  <c r="A1" i="9"/>
  <c r="B97" i="7"/>
  <c r="B95" i="7"/>
  <c r="B96" i="7" s="1"/>
  <c r="H96" i="7" s="1"/>
  <c r="H94" i="7"/>
  <c r="B93" i="7"/>
  <c r="H93" i="7" s="1"/>
  <c r="H92" i="7"/>
  <c r="B92" i="7"/>
  <c r="B91" i="7" s="1"/>
  <c r="H91" i="7" s="1"/>
  <c r="B90" i="7"/>
  <c r="O88" i="7"/>
  <c r="N88" i="7"/>
  <c r="M88" i="7"/>
  <c r="K88" i="7"/>
  <c r="J88" i="7"/>
  <c r="I88" i="7"/>
  <c r="O80" i="7"/>
  <c r="L80" i="7"/>
  <c r="M80" i="7" s="1"/>
  <c r="N80" i="7" s="1"/>
  <c r="K80" i="7"/>
  <c r="J80" i="7"/>
  <c r="K76" i="7"/>
  <c r="L76" i="7" s="1"/>
  <c r="M76" i="7" s="1"/>
  <c r="N76" i="7" s="1"/>
  <c r="O76" i="7" s="1"/>
  <c r="J76" i="7"/>
  <c r="J73" i="7"/>
  <c r="K73" i="7" s="1"/>
  <c r="L73" i="7" s="1"/>
  <c r="M73" i="7" s="1"/>
  <c r="N73" i="7" s="1"/>
  <c r="O73" i="7" s="1"/>
  <c r="J66" i="7"/>
  <c r="K66" i="7" s="1"/>
  <c r="L66" i="7" s="1"/>
  <c r="M66" i="7" s="1"/>
  <c r="N66" i="7" s="1"/>
  <c r="O66" i="7" s="1"/>
  <c r="J63" i="7"/>
  <c r="K63" i="7" s="1"/>
  <c r="L63" i="7" s="1"/>
  <c r="M63" i="7" s="1"/>
  <c r="N63" i="7" s="1"/>
  <c r="O63" i="7" s="1"/>
  <c r="M60" i="7"/>
  <c r="N60" i="7" s="1"/>
  <c r="O60" i="7" s="1"/>
  <c r="L60" i="7"/>
  <c r="K60" i="7"/>
  <c r="J60" i="7"/>
  <c r="M53" i="7"/>
  <c r="N53" i="7" s="1"/>
  <c r="O53" i="7" s="1"/>
  <c r="L53" i="7"/>
  <c r="K53" i="7"/>
  <c r="J53" i="7"/>
  <c r="J44" i="7"/>
  <c r="N82" i="7" s="1"/>
  <c r="Q33" i="7"/>
  <c r="I44" i="7"/>
  <c r="Q32" i="7"/>
  <c r="Q30" i="7"/>
  <c r="Q29" i="7"/>
  <c r="A1" i="7"/>
  <c r="O47" i="6"/>
  <c r="O45" i="6"/>
  <c r="O44" i="6"/>
  <c r="R42" i="6"/>
  <c r="A1" i="6"/>
  <c r="Q151" i="5"/>
  <c r="U132" i="5"/>
  <c r="T132" i="5"/>
  <c r="S132" i="5"/>
  <c r="R132" i="5"/>
  <c r="Q132" i="5"/>
  <c r="P132" i="5"/>
  <c r="U110" i="5"/>
  <c r="T110" i="5"/>
  <c r="S110" i="5"/>
  <c r="R110" i="5"/>
  <c r="Q110" i="5"/>
  <c r="P110" i="5"/>
  <c r="O104" i="5"/>
  <c r="U88" i="5"/>
  <c r="T88" i="5"/>
  <c r="S88" i="5"/>
  <c r="R88" i="5"/>
  <c r="Q88" i="5"/>
  <c r="P88" i="5"/>
  <c r="U66" i="5"/>
  <c r="T66" i="5"/>
  <c r="S66" i="5"/>
  <c r="R66" i="5"/>
  <c r="Q66" i="5"/>
  <c r="P66" i="5"/>
  <c r="U44" i="5"/>
  <c r="T44" i="5"/>
  <c r="S44" i="5"/>
  <c r="R44" i="5"/>
  <c r="Q44" i="5"/>
  <c r="P44" i="5"/>
  <c r="O13" i="3"/>
  <c r="O19" i="3" s="1"/>
  <c r="N13" i="3"/>
  <c r="N19" i="3" s="1"/>
  <c r="U21" i="5"/>
  <c r="T21" i="5"/>
  <c r="S21" i="5"/>
  <c r="R21" i="5"/>
  <c r="R18" i="5" s="1"/>
  <c r="M21" i="5"/>
  <c r="U20" i="5"/>
  <c r="T20" i="5"/>
  <c r="S20" i="5"/>
  <c r="S18" i="5" s="1"/>
  <c r="R20" i="5"/>
  <c r="Q20" i="5"/>
  <c r="N12" i="3"/>
  <c r="N18" i="3" s="1"/>
  <c r="U19" i="5"/>
  <c r="T19" i="5"/>
  <c r="T18" i="5" s="1"/>
  <c r="S19" i="5"/>
  <c r="R19" i="5"/>
  <c r="O21" i="5"/>
  <c r="Q21" i="5" s="1"/>
  <c r="U18" i="5"/>
  <c r="P18" i="5"/>
  <c r="N21" i="5"/>
  <c r="L21" i="5"/>
  <c r="L13" i="5"/>
  <c r="L16" i="5" s="1"/>
  <c r="N13" i="5"/>
  <c r="M13" i="5"/>
  <c r="A1" i="5"/>
  <c r="P9" i="4"/>
  <c r="Q8" i="4"/>
  <c r="Q6" i="4"/>
  <c r="P6" i="4"/>
  <c r="A1" i="4"/>
  <c r="M27" i="3"/>
  <c r="Q25" i="3"/>
  <c r="P23" i="3"/>
  <c r="Q22" i="3"/>
  <c r="U18" i="3"/>
  <c r="T18" i="3"/>
  <c r="S18" i="3"/>
  <c r="R18" i="3"/>
  <c r="P18" i="3"/>
  <c r="M18" i="3"/>
  <c r="U17" i="3"/>
  <c r="T17" i="3"/>
  <c r="S17" i="3"/>
  <c r="R17" i="3"/>
  <c r="P17" i="3"/>
  <c r="N17" i="3"/>
  <c r="M17" i="3"/>
  <c r="M13" i="3"/>
  <c r="M19" i="3" s="1"/>
  <c r="M12" i="3"/>
  <c r="N11" i="3"/>
  <c r="M11" i="3"/>
  <c r="N10" i="3"/>
  <c r="M10" i="3"/>
  <c r="A1" i="3"/>
  <c r="N21" i="2"/>
  <c r="M21" i="2"/>
  <c r="Q19" i="2"/>
  <c r="P19" i="2"/>
  <c r="N20" i="2"/>
  <c r="M20" i="2"/>
  <c r="O20" i="2"/>
  <c r="P20" i="2" s="1"/>
  <c r="L20" i="2"/>
  <c r="O24" i="3"/>
  <c r="M24" i="3"/>
  <c r="M23" i="3" s="1"/>
  <c r="M15" i="2"/>
  <c r="M17" i="2" s="1"/>
  <c r="L15" i="2"/>
  <c r="O21" i="2"/>
  <c r="L21" i="2"/>
  <c r="N13" i="2"/>
  <c r="N22" i="2" s="1"/>
  <c r="M13" i="2"/>
  <c r="M22" i="2" s="1"/>
  <c r="N21" i="3"/>
  <c r="N20" i="3" s="1"/>
  <c r="M12" i="2"/>
  <c r="O12" i="2"/>
  <c r="P12" i="2" s="1"/>
  <c r="Q12" i="2" s="1"/>
  <c r="R12" i="2" s="1"/>
  <c r="S12" i="2" s="1"/>
  <c r="T12" i="2" s="1"/>
  <c r="U12" i="2" s="1"/>
  <c r="L12" i="2"/>
  <c r="O8" i="2"/>
  <c r="L8" i="2"/>
  <c r="Q27" i="3"/>
  <c r="N27" i="3"/>
  <c r="O13" i="2"/>
  <c r="O22" i="2" s="1"/>
  <c r="L13" i="2"/>
  <c r="L22" i="2" s="1"/>
  <c r="A1" i="2"/>
  <c r="K61" i="1"/>
  <c r="L61" i="1" s="1"/>
  <c r="M61" i="1" s="1"/>
  <c r="N61" i="1" s="1"/>
  <c r="O61" i="1" s="1"/>
  <c r="P61" i="1" s="1"/>
  <c r="Q61" i="1" s="1"/>
  <c r="R61" i="1" s="1"/>
  <c r="J61" i="1"/>
  <c r="L60" i="1"/>
  <c r="M60" i="1" s="1"/>
  <c r="N60" i="1" s="1"/>
  <c r="O60" i="1" s="1"/>
  <c r="P60" i="1" s="1"/>
  <c r="Q60" i="1" s="1"/>
  <c r="R60" i="1" s="1"/>
  <c r="K60" i="1"/>
  <c r="J60" i="1"/>
  <c r="V52" i="1"/>
  <c r="U52" i="1"/>
  <c r="T52" i="1"/>
  <c r="S52" i="1"/>
  <c r="R52" i="1"/>
  <c r="I52" i="1"/>
  <c r="V51" i="1"/>
  <c r="U51" i="1"/>
  <c r="T51" i="1"/>
  <c r="S51" i="1"/>
  <c r="P77" i="1" s="1"/>
  <c r="R51" i="1"/>
  <c r="V50" i="1"/>
  <c r="U50" i="1"/>
  <c r="T50" i="1"/>
  <c r="S50" i="1"/>
  <c r="R50" i="1"/>
  <c r="I50" i="1"/>
  <c r="V49" i="1"/>
  <c r="U49" i="1"/>
  <c r="R77" i="1" s="1"/>
  <c r="T49" i="1"/>
  <c r="S49" i="1"/>
  <c r="R49" i="1"/>
  <c r="V48" i="1"/>
  <c r="U48" i="1"/>
  <c r="T48" i="1"/>
  <c r="S48" i="1"/>
  <c r="R48" i="1"/>
  <c r="I46" i="1"/>
  <c r="R38" i="1"/>
  <c r="P38" i="1"/>
  <c r="A1" i="1"/>
  <c r="R39" i="1" l="1"/>
  <c r="Y202" i="10"/>
  <c r="Z202" i="10" s="1"/>
  <c r="Z204" i="10" s="1"/>
  <c r="AA176" i="9" s="1"/>
  <c r="P39" i="1"/>
  <c r="M27" i="12"/>
  <c r="M9" i="12"/>
  <c r="O46" i="6"/>
  <c r="Y82" i="10"/>
  <c r="Z82" i="10" s="1"/>
  <c r="Y346" i="10"/>
  <c r="Z346" i="10" s="1"/>
  <c r="O32" i="17"/>
  <c r="Y432" i="10"/>
  <c r="Z432" i="10" s="1"/>
  <c r="Y471" i="10"/>
  <c r="Z471" i="10" s="1"/>
  <c r="S38" i="1"/>
  <c r="S39" i="1" s="1"/>
  <c r="T153" i="9"/>
  <c r="P1" i="20" s="1"/>
  <c r="O187" i="10"/>
  <c r="O193" i="10"/>
  <c r="O211" i="10"/>
  <c r="O219" i="10"/>
  <c r="O169" i="10" s="1"/>
  <c r="O236" i="10"/>
  <c r="O258" i="10"/>
  <c r="Y347" i="10"/>
  <c r="Z347" i="10" s="1"/>
  <c r="H65" i="1"/>
  <c r="I65" i="1" s="1"/>
  <c r="J65" i="1" s="1"/>
  <c r="K65" i="1" s="1"/>
  <c r="L65" i="1" s="1"/>
  <c r="M65" i="1" s="1"/>
  <c r="N65" i="1" s="1"/>
  <c r="O65" i="1" s="1"/>
  <c r="P65" i="1" s="1"/>
  <c r="Q65" i="1" s="1"/>
  <c r="R65" i="1" s="1"/>
  <c r="P43" i="6"/>
  <c r="AB211" i="9"/>
  <c r="AC211" i="9" s="1"/>
  <c r="AD211" i="9" s="1"/>
  <c r="AE211" i="9" s="1"/>
  <c r="Y261" i="10"/>
  <c r="Z261" i="10" s="1"/>
  <c r="Y509" i="10"/>
  <c r="Z509" i="10" s="1"/>
  <c r="Q43" i="6"/>
  <c r="O213" i="10"/>
  <c r="O256" i="10"/>
  <c r="Y303" i="10"/>
  <c r="Z303" i="10" s="1"/>
  <c r="Y41" i="12"/>
  <c r="Y85" i="10"/>
  <c r="L17" i="5"/>
  <c r="L22" i="5"/>
  <c r="L24" i="5" s="1"/>
  <c r="L25" i="5" s="1"/>
  <c r="Q24" i="3"/>
  <c r="Q23" i="3" s="1"/>
  <c r="O23" i="3"/>
  <c r="AC125" i="9"/>
  <c r="AB105" i="9"/>
  <c r="AA45" i="15" s="1"/>
  <c r="AB63" i="9"/>
  <c r="AA197" i="10" s="1"/>
  <c r="Q77" i="1"/>
  <c r="M16" i="5"/>
  <c r="M14" i="5"/>
  <c r="N16" i="5"/>
  <c r="N14" i="5"/>
  <c r="AC117" i="11"/>
  <c r="AC41" i="11"/>
  <c r="AC79" i="11"/>
  <c r="AC60" i="11"/>
  <c r="AC98" i="11"/>
  <c r="P18" i="2"/>
  <c r="Q20" i="2"/>
  <c r="R20" i="2" s="1"/>
  <c r="S20" i="2" s="1"/>
  <c r="T20" i="2" s="1"/>
  <c r="U20" i="2" s="1"/>
  <c r="AE131" i="9"/>
  <c r="L9" i="2"/>
  <c r="N12" i="2"/>
  <c r="L17" i="2"/>
  <c r="M14" i="3" s="1"/>
  <c r="O12" i="3"/>
  <c r="L14" i="5"/>
  <c r="B98" i="7"/>
  <c r="H97" i="7"/>
  <c r="W291" i="18"/>
  <c r="W215" i="17"/>
  <c r="W187" i="15"/>
  <c r="W186" i="11"/>
  <c r="W553" i="10"/>
  <c r="S98" i="11"/>
  <c r="S79" i="11"/>
  <c r="S117" i="11"/>
  <c r="S60" i="11"/>
  <c r="S41" i="11"/>
  <c r="AD292" i="18"/>
  <c r="AD216" i="17"/>
  <c r="AD188" i="15"/>
  <c r="AD188" i="11"/>
  <c r="AD554" i="10"/>
  <c r="AB292" i="18"/>
  <c r="AB216" i="17"/>
  <c r="AB188" i="15"/>
  <c r="AB188" i="11"/>
  <c r="AB554" i="10"/>
  <c r="AB293" i="18"/>
  <c r="AB217" i="17"/>
  <c r="AB189" i="15"/>
  <c r="AB189" i="11"/>
  <c r="AB555" i="10"/>
  <c r="AA170" i="16"/>
  <c r="AA73" i="16"/>
  <c r="AC97" i="15"/>
  <c r="AC50" i="15"/>
  <c r="Z104" i="18"/>
  <c r="I115" i="9"/>
  <c r="R268" i="10"/>
  <c r="Q268" i="10"/>
  <c r="X268" i="10"/>
  <c r="P268" i="10"/>
  <c r="V268" i="10"/>
  <c r="U268" i="10"/>
  <c r="S268" i="10"/>
  <c r="N24" i="3"/>
  <c r="N23" i="3" s="1"/>
  <c r="O77" i="7"/>
  <c r="O78" i="7"/>
  <c r="N77" i="7"/>
  <c r="N78" i="7"/>
  <c r="M77" i="7"/>
  <c r="L78" i="7"/>
  <c r="K77" i="7"/>
  <c r="K78" i="7"/>
  <c r="J77" i="7"/>
  <c r="I78" i="7"/>
  <c r="I77" i="7"/>
  <c r="M81" i="7"/>
  <c r="O117" i="11"/>
  <c r="O98" i="11"/>
  <c r="O79" i="11"/>
  <c r="O60" i="11"/>
  <c r="O41" i="11"/>
  <c r="U117" i="11"/>
  <c r="U98" i="11"/>
  <c r="U60" i="11"/>
  <c r="U41" i="11"/>
  <c r="U79" i="11"/>
  <c r="AC292" i="18"/>
  <c r="AC216" i="17"/>
  <c r="AC188" i="15"/>
  <c r="AC188" i="11"/>
  <c r="AC554" i="10"/>
  <c r="Z293" i="18"/>
  <c r="Z217" i="17"/>
  <c r="Z189" i="15"/>
  <c r="Y189" i="15" s="1"/>
  <c r="Z555" i="10"/>
  <c r="Q44" i="9"/>
  <c r="P46" i="9"/>
  <c r="AD70" i="9"/>
  <c r="AC70" i="9"/>
  <c r="AB70" i="9"/>
  <c r="AE70" i="9"/>
  <c r="AD170" i="16"/>
  <c r="AD73" i="16"/>
  <c r="AC111" i="9"/>
  <c r="AA121" i="9"/>
  <c r="AA120" i="9" s="1"/>
  <c r="I72" i="9"/>
  <c r="AB122" i="9"/>
  <c r="I102" i="9"/>
  <c r="I54" i="9"/>
  <c r="I96" i="9"/>
  <c r="T38" i="1"/>
  <c r="P16" i="2"/>
  <c r="Q16" i="2" s="1"/>
  <c r="R16" i="2" s="1"/>
  <c r="R19" i="2"/>
  <c r="L77" i="7"/>
  <c r="I82" i="7"/>
  <c r="H90" i="7"/>
  <c r="B89" i="7"/>
  <c r="H89" i="7" s="1"/>
  <c r="V291" i="18"/>
  <c r="V215" i="17"/>
  <c r="V187" i="15"/>
  <c r="V186" i="11"/>
  <c r="V553" i="10"/>
  <c r="V117" i="11"/>
  <c r="V98" i="11"/>
  <c r="V79" i="11"/>
  <c r="V60" i="11"/>
  <c r="V41" i="11"/>
  <c r="S292" i="18"/>
  <c r="S216" i="17"/>
  <c r="S188" i="15"/>
  <c r="S188" i="11"/>
  <c r="S554" i="10"/>
  <c r="AC293" i="18"/>
  <c r="AC217" i="17"/>
  <c r="AC189" i="15"/>
  <c r="AC189" i="11"/>
  <c r="AC555" i="10"/>
  <c r="S46" i="9"/>
  <c r="T44" i="9"/>
  <c r="Z179" i="10"/>
  <c r="AA59" i="9"/>
  <c r="I60" i="9"/>
  <c r="I78" i="9"/>
  <c r="AC88" i="9"/>
  <c r="AB88" i="9"/>
  <c r="AD88" i="9"/>
  <c r="AC99" i="9"/>
  <c r="AB99" i="9"/>
  <c r="Z47" i="18"/>
  <c r="AA107" i="9"/>
  <c r="I108" i="9"/>
  <c r="AB111" i="9"/>
  <c r="I79" i="9"/>
  <c r="I61" i="9"/>
  <c r="I91" i="9"/>
  <c r="AB123" i="9"/>
  <c r="AC123" i="9" s="1"/>
  <c r="AD123" i="9" s="1"/>
  <c r="AE123" i="9" s="1"/>
  <c r="AE67" i="9" s="1"/>
  <c r="AD228" i="10" s="1"/>
  <c r="I85" i="9"/>
  <c r="Q225" i="10"/>
  <c r="X225" i="10"/>
  <c r="P225" i="10"/>
  <c r="A316" i="9"/>
  <c r="W225" i="10"/>
  <c r="U225" i="10"/>
  <c r="T225" i="10"/>
  <c r="R225" i="10"/>
  <c r="A364" i="9"/>
  <c r="O9" i="2"/>
  <c r="O149" i="5"/>
  <c r="O48" i="6"/>
  <c r="O43" i="6" s="1"/>
  <c r="J78" i="7"/>
  <c r="O186" i="11"/>
  <c r="O553" i="10"/>
  <c r="O297" i="16" s="1"/>
  <c r="V38" i="9"/>
  <c r="T187" i="11" s="1"/>
  <c r="T292" i="18"/>
  <c r="T216" i="17"/>
  <c r="T188" i="15"/>
  <c r="T188" i="11"/>
  <c r="T554" i="10"/>
  <c r="S293" i="18"/>
  <c r="S217" i="17"/>
  <c r="S189" i="15"/>
  <c r="S189" i="11"/>
  <c r="S555" i="10"/>
  <c r="Z326" i="10"/>
  <c r="I81" i="9"/>
  <c r="Z61" i="16"/>
  <c r="I92" i="9"/>
  <c r="AA89" i="9"/>
  <c r="AE112" i="9"/>
  <c r="AC112" i="9"/>
  <c r="AB112" i="9"/>
  <c r="AB128" i="9"/>
  <c r="W54" i="10"/>
  <c r="V54" i="10"/>
  <c r="U54" i="10"/>
  <c r="S54" i="10"/>
  <c r="R54" i="10"/>
  <c r="X54" i="10"/>
  <c r="P54" i="10"/>
  <c r="W268" i="10"/>
  <c r="W267" i="10" s="1"/>
  <c r="T49" i="16"/>
  <c r="S49" i="16"/>
  <c r="R49" i="16"/>
  <c r="Q49" i="16"/>
  <c r="X49" i="16"/>
  <c r="P49" i="16"/>
  <c r="W49" i="16"/>
  <c r="A340" i="9"/>
  <c r="V49" i="16"/>
  <c r="U49" i="16"/>
  <c r="O11" i="3"/>
  <c r="O27" i="3"/>
  <c r="M78" i="7"/>
  <c r="R19" i="7"/>
  <c r="P19" i="7"/>
  <c r="Z291" i="18"/>
  <c r="Y291" i="18" s="1"/>
  <c r="Z215" i="17"/>
  <c r="Y215" i="17" s="1"/>
  <c r="Z187" i="15"/>
  <c r="Y187" i="15" s="1"/>
  <c r="Z553" i="10"/>
  <c r="P291" i="18"/>
  <c r="P215" i="17"/>
  <c r="P187" i="15"/>
  <c r="P553" i="10"/>
  <c r="P310" i="10" s="1"/>
  <c r="P186" i="11"/>
  <c r="AB291" i="18"/>
  <c r="AB215" i="17"/>
  <c r="AB187" i="15"/>
  <c r="AB186" i="11"/>
  <c r="AB553" i="10"/>
  <c r="Y38" i="9"/>
  <c r="W187" i="11" s="1"/>
  <c r="R292" i="18"/>
  <c r="R216" i="17"/>
  <c r="R188" i="15"/>
  <c r="R554" i="10"/>
  <c r="R188" i="11"/>
  <c r="Y44" i="9"/>
  <c r="X46" i="9"/>
  <c r="X44" i="9" s="1"/>
  <c r="AE64" i="9"/>
  <c r="AC64" i="9"/>
  <c r="AB64" i="9"/>
  <c r="Z283" i="10"/>
  <c r="I75" i="9"/>
  <c r="AE82" i="9"/>
  <c r="AD82" i="9"/>
  <c r="AB82" i="9"/>
  <c r="AE88" i="9"/>
  <c r="AB93" i="9"/>
  <c r="AA68" i="16" s="1"/>
  <c r="AD112" i="9"/>
  <c r="AC117" i="9"/>
  <c r="AB118" i="18" s="1"/>
  <c r="AB117" i="9"/>
  <c r="AA118" i="18" s="1"/>
  <c r="AD117" i="9"/>
  <c r="AC118" i="18" s="1"/>
  <c r="AB124" i="9"/>
  <c r="AB56" i="9" s="1"/>
  <c r="AC142" i="9"/>
  <c r="AC131" i="9" s="1"/>
  <c r="W153" i="9"/>
  <c r="V153" i="9"/>
  <c r="U153" i="9"/>
  <c r="S153" i="9"/>
  <c r="Z153" i="9"/>
  <c r="R153" i="9"/>
  <c r="X153" i="9"/>
  <c r="AC225" i="9"/>
  <c r="AD225" i="9" s="1"/>
  <c r="AE225" i="9" s="1"/>
  <c r="Q54" i="10"/>
  <c r="W182" i="10"/>
  <c r="W181" i="10" s="1"/>
  <c r="A310" i="9"/>
  <c r="V182" i="10"/>
  <c r="U182" i="10"/>
  <c r="S182" i="10"/>
  <c r="R182" i="10"/>
  <c r="X182" i="10"/>
  <c r="P182" i="10"/>
  <c r="S225" i="10"/>
  <c r="U99" i="16"/>
  <c r="T99" i="16"/>
  <c r="S99" i="16"/>
  <c r="R99" i="16"/>
  <c r="Q99" i="16"/>
  <c r="X99" i="16"/>
  <c r="P99" i="16"/>
  <c r="W99" i="16"/>
  <c r="A346" i="9"/>
  <c r="V99" i="16"/>
  <c r="M21" i="3"/>
  <c r="M20" i="3" s="1"/>
  <c r="L82" i="7"/>
  <c r="K81" i="7"/>
  <c r="K82" i="7"/>
  <c r="J81" i="7"/>
  <c r="J82" i="7"/>
  <c r="I81" i="7"/>
  <c r="O81" i="7"/>
  <c r="O82" i="7"/>
  <c r="N81" i="7"/>
  <c r="M82" i="7"/>
  <c r="L81" i="7"/>
  <c r="S291" i="18"/>
  <c r="S215" i="17"/>
  <c r="S187" i="15"/>
  <c r="S186" i="11"/>
  <c r="S553" i="10"/>
  <c r="O40" i="9"/>
  <c r="O38" i="9" s="1"/>
  <c r="P38" i="9"/>
  <c r="U292" i="18"/>
  <c r="U216" i="17"/>
  <c r="U188" i="15"/>
  <c r="U188" i="11"/>
  <c r="U554" i="10"/>
  <c r="Z41" i="9"/>
  <c r="Y43" i="9"/>
  <c r="Z363" i="10"/>
  <c r="I86" i="9"/>
  <c r="Z104" i="16"/>
  <c r="AA95" i="9"/>
  <c r="I97" i="9"/>
  <c r="R532" i="10"/>
  <c r="R527" i="10"/>
  <c r="R522" i="10"/>
  <c r="R517" i="10"/>
  <c r="R408" i="10"/>
  <c r="R403" i="10"/>
  <c r="R489" i="10"/>
  <c r="R484" i="10"/>
  <c r="R479" i="10"/>
  <c r="R418" i="10"/>
  <c r="R413" i="10"/>
  <c r="R494" i="10"/>
  <c r="V225" i="10"/>
  <c r="V224" i="10" s="1"/>
  <c r="X274" i="10"/>
  <c r="P274" i="10"/>
  <c r="A323" i="9"/>
  <c r="W274" i="10"/>
  <c r="W273" i="10" s="1"/>
  <c r="V274" i="10"/>
  <c r="V273" i="10" s="1"/>
  <c r="T274" i="10"/>
  <c r="S274" i="10"/>
  <c r="Q274" i="10"/>
  <c r="Q19" i="5"/>
  <c r="Q18" i="5" s="1"/>
  <c r="P35" i="9"/>
  <c r="T291" i="18"/>
  <c r="T215" i="17"/>
  <c r="T187" i="15"/>
  <c r="T186" i="11"/>
  <c r="T553" i="10"/>
  <c r="T353" i="10" s="1"/>
  <c r="S38" i="9"/>
  <c r="Q187" i="11" s="1"/>
  <c r="R40" i="9"/>
  <c r="R38" i="9" s="1"/>
  <c r="P187" i="11" s="1"/>
  <c r="O43" i="9"/>
  <c r="O41" i="9" s="1"/>
  <c r="P41" i="9"/>
  <c r="T293" i="18"/>
  <c r="T217" i="17"/>
  <c r="T189" i="15"/>
  <c r="T189" i="11"/>
  <c r="T555" i="10"/>
  <c r="AB62" i="9"/>
  <c r="AA191" i="10" s="1"/>
  <c r="AB69" i="9"/>
  <c r="AA240" i="10" s="1"/>
  <c r="I73" i="9"/>
  <c r="Z31" i="15"/>
  <c r="I103" i="9"/>
  <c r="AA101" i="9"/>
  <c r="AA50" i="15"/>
  <c r="AA97" i="15"/>
  <c r="AB110" i="9"/>
  <c r="AA61" i="18" s="1"/>
  <c r="U1" i="20"/>
  <c r="W527" i="10"/>
  <c r="W522" i="10"/>
  <c r="W517" i="10"/>
  <c r="W532" i="10"/>
  <c r="W489" i="10"/>
  <c r="W484" i="10"/>
  <c r="W479" i="10"/>
  <c r="W418" i="10"/>
  <c r="W413" i="10"/>
  <c r="W494" i="10"/>
  <c r="W408" i="10"/>
  <c r="W403" i="10"/>
  <c r="R59" i="10"/>
  <c r="A293" i="9"/>
  <c r="Q59" i="10"/>
  <c r="X59" i="10"/>
  <c r="P59" i="10"/>
  <c r="V59" i="10"/>
  <c r="U59" i="10"/>
  <c r="S59" i="10"/>
  <c r="T181" i="10"/>
  <c r="R274" i="10"/>
  <c r="T26" i="15"/>
  <c r="W26" i="15"/>
  <c r="V26" i="15"/>
  <c r="A352" i="9"/>
  <c r="U26" i="15"/>
  <c r="S26" i="15"/>
  <c r="R26" i="15"/>
  <c r="Q26" i="15"/>
  <c r="P26" i="15"/>
  <c r="X26" i="15"/>
  <c r="Q291" i="18"/>
  <c r="Q215" i="17"/>
  <c r="Q187" i="15"/>
  <c r="Q186" i="11"/>
  <c r="Q553" i="10"/>
  <c r="Q181" i="10" s="1"/>
  <c r="AD117" i="11"/>
  <c r="AD98" i="11"/>
  <c r="AD79" i="11"/>
  <c r="AD41" i="11"/>
  <c r="AD60" i="11"/>
  <c r="AA292" i="18"/>
  <c r="AA216" i="17"/>
  <c r="AA188" i="15"/>
  <c r="AA188" i="11"/>
  <c r="AA554" i="10"/>
  <c r="P292" i="18"/>
  <c r="P216" i="17"/>
  <c r="P188" i="11"/>
  <c r="P188" i="15"/>
  <c r="P554" i="10"/>
  <c r="AA293" i="18"/>
  <c r="AA217" i="17"/>
  <c r="AA189" i="15"/>
  <c r="AA189" i="11"/>
  <c r="AA555" i="10"/>
  <c r="Z57" i="10"/>
  <c r="I55" i="9"/>
  <c r="AA53" i="9"/>
  <c r="Z222" i="10"/>
  <c r="AA65" i="9"/>
  <c r="I66" i="9"/>
  <c r="AD94" i="9"/>
  <c r="AC75" i="16" s="1"/>
  <c r="AC74" i="16" s="1"/>
  <c r="AC94" i="9"/>
  <c r="AB75" i="16" s="1"/>
  <c r="AB74" i="16" s="1"/>
  <c r="AB104" i="9"/>
  <c r="AA38" i="15" s="1"/>
  <c r="AC114" i="9"/>
  <c r="U274" i="10"/>
  <c r="U49" i="18"/>
  <c r="R49" i="18"/>
  <c r="Q49" i="18"/>
  <c r="P49" i="18"/>
  <c r="X49" i="18"/>
  <c r="W49" i="18"/>
  <c r="V49" i="18"/>
  <c r="A358" i="9"/>
  <c r="T49" i="18"/>
  <c r="S49" i="18"/>
  <c r="P20" i="7"/>
  <c r="U291" i="18"/>
  <c r="U215" i="17"/>
  <c r="U187" i="15"/>
  <c r="U186" i="11"/>
  <c r="U553" i="10"/>
  <c r="AD291" i="18"/>
  <c r="AD215" i="17"/>
  <c r="AD187" i="15"/>
  <c r="AD186" i="11"/>
  <c r="AD553" i="10"/>
  <c r="AB60" i="11"/>
  <c r="AB98" i="11"/>
  <c r="AB41" i="11"/>
  <c r="AB79" i="11"/>
  <c r="AB117" i="11"/>
  <c r="Q292" i="18"/>
  <c r="Q216" i="17"/>
  <c r="Q188" i="15"/>
  <c r="Q188" i="11"/>
  <c r="Q554" i="10"/>
  <c r="Z292" i="18"/>
  <c r="Y292" i="18" s="1"/>
  <c r="Z216" i="17"/>
  <c r="Y216" i="17" s="1"/>
  <c r="Z188" i="15"/>
  <c r="Y188" i="15" s="1"/>
  <c r="Z554" i="10"/>
  <c r="Z298" i="16" s="1"/>
  <c r="X293" i="18"/>
  <c r="X217" i="17"/>
  <c r="X189" i="15"/>
  <c r="X189" i="11"/>
  <c r="Y189" i="11" s="1"/>
  <c r="X555" i="10"/>
  <c r="Z143" i="10"/>
  <c r="Z105" i="10"/>
  <c r="AC58" i="9"/>
  <c r="AC69" i="9"/>
  <c r="AB240" i="10" s="1"/>
  <c r="AB76" i="9"/>
  <c r="AB87" i="9"/>
  <c r="AA369" i="10" s="1"/>
  <c r="AB98" i="9"/>
  <c r="AA111" i="16" s="1"/>
  <c r="AC106" i="9"/>
  <c r="AB52" i="15" s="1"/>
  <c r="AB51" i="15" s="1"/>
  <c r="T311" i="10"/>
  <c r="T310" i="10" s="1"/>
  <c r="U354" i="10"/>
  <c r="U353" i="10" s="1"/>
  <c r="U311" i="10"/>
  <c r="V353" i="10"/>
  <c r="O96" i="11"/>
  <c r="O14" i="10"/>
  <c r="Z100" i="10"/>
  <c r="Z138" i="10"/>
  <c r="AE58" i="9"/>
  <c r="AD76" i="9"/>
  <c r="AC105" i="9"/>
  <c r="AB45" i="15" s="1"/>
  <c r="AE106" i="9"/>
  <c r="AD52" i="15" s="1"/>
  <c r="AD51" i="15" s="1"/>
  <c r="V311" i="10"/>
  <c r="V310" i="10" s="1"/>
  <c r="W354" i="10"/>
  <c r="W353" i="10" s="1"/>
  <c r="A334" i="9"/>
  <c r="O168" i="10"/>
  <c r="O175" i="10"/>
  <c r="O259" i="10"/>
  <c r="J259" i="10" s="1"/>
  <c r="X291" i="18"/>
  <c r="X215" i="17"/>
  <c r="X187" i="15"/>
  <c r="X553" i="10"/>
  <c r="X186" i="11"/>
  <c r="Y186" i="11" s="1"/>
  <c r="W311" i="10"/>
  <c r="W310" i="10" s="1"/>
  <c r="A328" i="9"/>
  <c r="P354" i="10"/>
  <c r="X354" i="10"/>
  <c r="AD155" i="10"/>
  <c r="AC155" i="10"/>
  <c r="AB155" i="10"/>
  <c r="AA155" i="10"/>
  <c r="V109" i="10"/>
  <c r="V147" i="10" s="1"/>
  <c r="AD153" i="10"/>
  <c r="AC153" i="10"/>
  <c r="AB153" i="10"/>
  <c r="AA153" i="10"/>
  <c r="R291" i="18"/>
  <c r="R215" i="17"/>
  <c r="R187" i="15"/>
  <c r="R186" i="11"/>
  <c r="R553" i="10"/>
  <c r="AA291" i="18"/>
  <c r="AA215" i="17"/>
  <c r="AA187" i="15"/>
  <c r="AA186" i="11"/>
  <c r="AA553" i="10"/>
  <c r="X117" i="11"/>
  <c r="X98" i="11"/>
  <c r="Y187" i="11"/>
  <c r="X79" i="11"/>
  <c r="X41" i="11"/>
  <c r="X60" i="11"/>
  <c r="U293" i="18"/>
  <c r="U217" i="17"/>
  <c r="U189" i="15"/>
  <c r="U189" i="11"/>
  <c r="U555" i="10"/>
  <c r="AD293" i="18"/>
  <c r="AD217" i="17"/>
  <c r="AD189" i="15"/>
  <c r="AD189" i="11"/>
  <c r="AD555" i="10"/>
  <c r="Q311" i="10"/>
  <c r="Q310" i="10" s="1"/>
  <c r="R353" i="10"/>
  <c r="H95" i="7"/>
  <c r="AB455" i="9"/>
  <c r="AB449" i="9"/>
  <c r="AB446" i="9"/>
  <c r="AB454" i="9"/>
  <c r="AB452" i="9"/>
  <c r="AA88" i="18"/>
  <c r="AB88" i="18" s="1"/>
  <c r="AC88" i="18" s="1"/>
  <c r="AD88" i="18" s="1"/>
  <c r="AA194" i="17"/>
  <c r="AB194" i="17" s="1"/>
  <c r="AC194" i="17" s="1"/>
  <c r="AD194" i="17" s="1"/>
  <c r="O188" i="11"/>
  <c r="O554" i="10"/>
  <c r="O298" i="16" s="1"/>
  <c r="Z128" i="10"/>
  <c r="Z90" i="10"/>
  <c r="I109" i="9"/>
  <c r="I116" i="9"/>
  <c r="R311" i="10"/>
  <c r="R310" i="10" s="1"/>
  <c r="S354" i="10"/>
  <c r="AC291" i="18"/>
  <c r="AC215" i="17"/>
  <c r="AC187" i="15"/>
  <c r="AC186" i="11"/>
  <c r="AC553" i="10"/>
  <c r="R117" i="11"/>
  <c r="R98" i="11"/>
  <c r="R60" i="11"/>
  <c r="R79" i="11"/>
  <c r="R41" i="11"/>
  <c r="AA98" i="11"/>
  <c r="AA79" i="11"/>
  <c r="AA117" i="11"/>
  <c r="AA41" i="11"/>
  <c r="AA60" i="11"/>
  <c r="I57" i="9"/>
  <c r="I68" i="9"/>
  <c r="AA83" i="9"/>
  <c r="I90" i="9"/>
  <c r="AB447" i="9"/>
  <c r="O48" i="11"/>
  <c r="O51" i="11" s="1"/>
  <c r="O52" i="11" s="1"/>
  <c r="N452" i="9" s="1"/>
  <c r="O39" i="11"/>
  <c r="O38" i="11" s="1"/>
  <c r="O37" i="11" s="1"/>
  <c r="O70" i="11"/>
  <c r="O67" i="11"/>
  <c r="O57" i="11"/>
  <c r="O56" i="11" s="1"/>
  <c r="O55" i="11" s="1"/>
  <c r="O86" i="11"/>
  <c r="O89" i="11" s="1"/>
  <c r="O90" i="11" s="1"/>
  <c r="N454" i="9" s="1"/>
  <c r="O76" i="11"/>
  <c r="O75" i="11" s="1"/>
  <c r="O124" i="11"/>
  <c r="O127" i="11" s="1"/>
  <c r="O114" i="11"/>
  <c r="O113" i="11" s="1"/>
  <c r="W71" i="10"/>
  <c r="V77" i="10"/>
  <c r="S79" i="10"/>
  <c r="R209" i="10"/>
  <c r="S211" i="10"/>
  <c r="S213" i="10"/>
  <c r="P71" i="10"/>
  <c r="X71" i="10"/>
  <c r="O77" i="10"/>
  <c r="W77" i="10"/>
  <c r="T79" i="10"/>
  <c r="Q81" i="10"/>
  <c r="O151" i="10"/>
  <c r="O45" i="10" s="1"/>
  <c r="O39" i="10" s="1"/>
  <c r="O9" i="10" s="1"/>
  <c r="O7" i="10" s="1"/>
  <c r="S209" i="10"/>
  <c r="T211" i="10"/>
  <c r="T213" i="10"/>
  <c r="Y260" i="10"/>
  <c r="Z260" i="10" s="1"/>
  <c r="P43" i="11"/>
  <c r="O45" i="11"/>
  <c r="O43" i="11" s="1"/>
  <c r="AB448" i="9"/>
  <c r="AB453" i="9"/>
  <c r="Q71" i="10"/>
  <c r="P77" i="10"/>
  <c r="X77" i="10"/>
  <c r="U79" i="10"/>
  <c r="R81" i="10"/>
  <c r="O87" i="10"/>
  <c r="O102" i="10"/>
  <c r="I115" i="10"/>
  <c r="I117" i="10"/>
  <c r="U211" i="10"/>
  <c r="O215" i="10"/>
  <c r="O216" i="10" s="1"/>
  <c r="J216" i="10" s="1"/>
  <c r="Y217" i="10"/>
  <c r="Z217" i="10" s="1"/>
  <c r="O83" i="11"/>
  <c r="O81" i="11" s="1"/>
  <c r="P81" i="11"/>
  <c r="O79" i="17"/>
  <c r="O64" i="10"/>
  <c r="V79" i="10"/>
  <c r="R109" i="10"/>
  <c r="R147" i="10" s="1"/>
  <c r="I119" i="10"/>
  <c r="V211" i="10"/>
  <c r="V213" i="10"/>
  <c r="J213" i="10"/>
  <c r="W213" i="10"/>
  <c r="P119" i="11"/>
  <c r="O121" i="11"/>
  <c r="O119" i="11" s="1"/>
  <c r="O83" i="17"/>
  <c r="O28" i="10"/>
  <c r="O79" i="10"/>
  <c r="W79" i="10"/>
  <c r="S109" i="10"/>
  <c r="S147" i="10" s="1"/>
  <c r="Z110" i="10"/>
  <c r="V209" i="10"/>
  <c r="J209" i="10"/>
  <c r="W209" i="10"/>
  <c r="J211" i="10"/>
  <c r="W211" i="10"/>
  <c r="X213" i="10"/>
  <c r="T109" i="10"/>
  <c r="T147" i="10" s="1"/>
  <c r="Y115" i="10"/>
  <c r="O209" i="10"/>
  <c r="U71" i="10"/>
  <c r="O75" i="10"/>
  <c r="O31" i="10" s="1"/>
  <c r="T77" i="10"/>
  <c r="Q79" i="10"/>
  <c r="V81" i="10"/>
  <c r="Y86" i="10"/>
  <c r="I157" i="10"/>
  <c r="J157" i="10" s="1"/>
  <c r="O181" i="10"/>
  <c r="P209" i="10"/>
  <c r="P211" i="10"/>
  <c r="Q213" i="10"/>
  <c r="O248" i="10"/>
  <c r="U77" i="10"/>
  <c r="R79" i="10"/>
  <c r="O81" i="10"/>
  <c r="Q209" i="10"/>
  <c r="Q211" i="10"/>
  <c r="R213" i="10"/>
  <c r="R254" i="10"/>
  <c r="Q254" i="10"/>
  <c r="X254" i="10"/>
  <c r="P254" i="10"/>
  <c r="W254" i="10"/>
  <c r="V254" i="10"/>
  <c r="J254" i="10"/>
  <c r="T254" i="10"/>
  <c r="S254" i="10"/>
  <c r="U245" i="10"/>
  <c r="J252" i="10"/>
  <c r="V252" i="10"/>
  <c r="W256" i="10"/>
  <c r="W288" i="10"/>
  <c r="P295" i="10"/>
  <c r="Q297" i="10"/>
  <c r="Q299" i="10"/>
  <c r="Y304" i="10"/>
  <c r="Z304" i="10" s="1"/>
  <c r="W338" i="10"/>
  <c r="V338" i="10"/>
  <c r="J338" i="10"/>
  <c r="R338" i="10"/>
  <c r="Q342" i="10"/>
  <c r="O381" i="10"/>
  <c r="X388" i="10"/>
  <c r="P388" i="10"/>
  <c r="W388" i="10"/>
  <c r="V388" i="10"/>
  <c r="U388" i="10"/>
  <c r="T388" i="10"/>
  <c r="AA388" i="10"/>
  <c r="S388" i="10"/>
  <c r="Q388" i="10"/>
  <c r="V245" i="10"/>
  <c r="O252" i="10"/>
  <c r="W252" i="10"/>
  <c r="P256" i="10"/>
  <c r="X256" i="10"/>
  <c r="X288" i="10"/>
  <c r="Q295" i="10"/>
  <c r="R297" i="10"/>
  <c r="S299" i="10"/>
  <c r="P340" i="10"/>
  <c r="R342" i="10"/>
  <c r="Y389" i="10"/>
  <c r="Z389" i="10" s="1"/>
  <c r="O359" i="10"/>
  <c r="O383" i="10"/>
  <c r="O348" i="10"/>
  <c r="O172" i="10" s="1"/>
  <c r="O460" i="10"/>
  <c r="T295" i="10"/>
  <c r="U299" i="10"/>
  <c r="O316" i="10"/>
  <c r="T340" i="10"/>
  <c r="Y390" i="10"/>
  <c r="Z390" i="10" s="1"/>
  <c r="O122" i="11"/>
  <c r="O84" i="11"/>
  <c r="O46" i="11"/>
  <c r="V299" i="10"/>
  <c r="O301" i="10"/>
  <c r="R245" i="10"/>
  <c r="T256" i="10"/>
  <c r="O273" i="10"/>
  <c r="V295" i="10"/>
  <c r="V297" i="10"/>
  <c r="J297" i="10"/>
  <c r="W297" i="10"/>
  <c r="J299" i="10"/>
  <c r="W299" i="10"/>
  <c r="W340" i="10"/>
  <c r="X342" i="10"/>
  <c r="P342" i="10"/>
  <c r="W342" i="10"/>
  <c r="S342" i="10"/>
  <c r="O431" i="10"/>
  <c r="U256" i="10"/>
  <c r="O262" i="10"/>
  <c r="O170" i="10" s="1"/>
  <c r="U288" i="10"/>
  <c r="J295" i="10"/>
  <c r="W295" i="10"/>
  <c r="X297" i="10"/>
  <c r="O299" i="10"/>
  <c r="X299" i="10"/>
  <c r="J342" i="10"/>
  <c r="J256" i="10"/>
  <c r="V288" i="10"/>
  <c r="X295" i="10"/>
  <c r="P297" i="10"/>
  <c r="Y297" i="10"/>
  <c r="P299" i="10"/>
  <c r="Y299" i="10"/>
  <c r="S340" i="10"/>
  <c r="R340" i="10"/>
  <c r="V340" i="10"/>
  <c r="J340" i="10"/>
  <c r="O344" i="10"/>
  <c r="AD381" i="10"/>
  <c r="R383" i="10"/>
  <c r="AD385" i="10"/>
  <c r="Q431" i="10"/>
  <c r="V462" i="10"/>
  <c r="AD462" i="10"/>
  <c r="V464" i="10"/>
  <c r="AD464" i="10"/>
  <c r="R81" i="11"/>
  <c r="Y508" i="10"/>
  <c r="Z508" i="10" s="1"/>
  <c r="W331" i="10"/>
  <c r="U374" i="10"/>
  <c r="T383" i="10"/>
  <c r="T426" i="10"/>
  <c r="T428" i="10"/>
  <c r="AB428" i="10"/>
  <c r="S431" i="10"/>
  <c r="P462" i="10"/>
  <c r="X462" i="10"/>
  <c r="P464" i="10"/>
  <c r="X464" i="10"/>
  <c r="T466" i="10"/>
  <c r="AB466" i="10"/>
  <c r="O500" i="10"/>
  <c r="T81" i="11"/>
  <c r="T119" i="11"/>
  <c r="U383" i="10"/>
  <c r="W374" i="10"/>
  <c r="J383" i="10"/>
  <c r="V383" i="10"/>
  <c r="V426" i="10"/>
  <c r="V428" i="10"/>
  <c r="AD428" i="10"/>
  <c r="U431" i="10"/>
  <c r="R462" i="10"/>
  <c r="R464" i="10"/>
  <c r="V466" i="10"/>
  <c r="AD466" i="10"/>
  <c r="U158" i="11"/>
  <c r="W383" i="10"/>
  <c r="V431" i="10"/>
  <c r="S462" i="10"/>
  <c r="AA462" i="10"/>
  <c r="S464" i="10"/>
  <c r="AA464" i="10"/>
  <c r="W466" i="10"/>
  <c r="O468" i="10"/>
  <c r="O469" i="10" s="1"/>
  <c r="V469" i="10"/>
  <c r="Q374" i="10"/>
  <c r="AB381" i="10"/>
  <c r="P383" i="10"/>
  <c r="X383" i="10"/>
  <c r="AB385" i="10"/>
  <c r="W431" i="10"/>
  <c r="T462" i="10"/>
  <c r="AB462" i="10"/>
  <c r="T464" i="10"/>
  <c r="AB464" i="10"/>
  <c r="P466" i="10"/>
  <c r="X466" i="10"/>
  <c r="W469" i="10"/>
  <c r="O502" i="10"/>
  <c r="O422" i="10"/>
  <c r="P431" i="10"/>
  <c r="U462" i="10"/>
  <c r="U464" i="10"/>
  <c r="P469" i="10"/>
  <c r="W500" i="10"/>
  <c r="P507" i="10"/>
  <c r="X507" i="10"/>
  <c r="O520" i="10"/>
  <c r="O524" i="10"/>
  <c r="O525" i="10"/>
  <c r="O530" i="10"/>
  <c r="O538" i="10"/>
  <c r="Q542" i="10"/>
  <c r="R544" i="10"/>
  <c r="Q547" i="10"/>
  <c r="O131" i="11"/>
  <c r="Z143" i="11"/>
  <c r="X159" i="11"/>
  <c r="X158" i="11" s="1"/>
  <c r="Y162" i="11"/>
  <c r="Z162" i="11" s="1"/>
  <c r="AA162" i="11" s="1"/>
  <c r="P179" i="11"/>
  <c r="Q182" i="11"/>
  <c r="R182" i="11" s="1"/>
  <c r="S182" i="11" s="1"/>
  <c r="T182" i="11" s="1"/>
  <c r="U182" i="11" s="1"/>
  <c r="V182" i="11" s="1"/>
  <c r="W182" i="11" s="1"/>
  <c r="X182" i="11" s="1"/>
  <c r="O8" i="12"/>
  <c r="L27" i="12"/>
  <c r="L9" i="12"/>
  <c r="L6" i="12" s="1"/>
  <c r="L7" i="12" s="1"/>
  <c r="Y14" i="13"/>
  <c r="Z15" i="13"/>
  <c r="AA38" i="12"/>
  <c r="R507" i="10"/>
  <c r="Q538" i="10"/>
  <c r="R540" i="10"/>
  <c r="AB540" i="10"/>
  <c r="S542" i="10"/>
  <c r="AA542" i="10"/>
  <c r="T544" i="10"/>
  <c r="AB544" i="10"/>
  <c r="S547" i="10"/>
  <c r="AA547" i="10"/>
  <c r="AB547" i="10" s="1"/>
  <c r="AC547" i="10" s="1"/>
  <c r="AD547" i="10" s="1"/>
  <c r="Q154" i="11"/>
  <c r="P152" i="11"/>
  <c r="Y175" i="11"/>
  <c r="Z175" i="11" s="1"/>
  <c r="AA175" i="11" s="1"/>
  <c r="AB175" i="11" s="1"/>
  <c r="AC175" i="11" s="1"/>
  <c r="AD175" i="11" s="1"/>
  <c r="L16" i="12"/>
  <c r="N9" i="12"/>
  <c r="N27" i="12"/>
  <c r="N49" i="12"/>
  <c r="R500" i="10"/>
  <c r="S507" i="10"/>
  <c r="R538" i="10"/>
  <c r="S540" i="10"/>
  <c r="AC540" i="10"/>
  <c r="T542" i="10"/>
  <c r="AB542" i="10"/>
  <c r="U544" i="10"/>
  <c r="AC544" i="10"/>
  <c r="T547" i="10"/>
  <c r="O71" i="11"/>
  <c r="N453" i="9" s="1"/>
  <c r="V159" i="11"/>
  <c r="V158" i="11" s="1"/>
  <c r="Y172" i="11"/>
  <c r="Z172" i="11" s="1"/>
  <c r="AA172" i="11" s="1"/>
  <c r="AB172" i="11" s="1"/>
  <c r="AC172" i="11" s="1"/>
  <c r="AD172" i="11" s="1"/>
  <c r="Z174" i="11"/>
  <c r="AA174" i="11" s="1"/>
  <c r="AB174" i="11" s="1"/>
  <c r="AC174" i="11" s="1"/>
  <c r="AD174" i="11" s="1"/>
  <c r="H17" i="14"/>
  <c r="H29" i="14"/>
  <c r="V32" i="14"/>
  <c r="V31" i="14" s="1"/>
  <c r="U32" i="14"/>
  <c r="U31" i="14" s="1"/>
  <c r="S32" i="14"/>
  <c r="S31" i="14" s="1"/>
  <c r="T32" i="14"/>
  <c r="T31" i="14" s="1"/>
  <c r="R32" i="14"/>
  <c r="R31" i="14" s="1"/>
  <c r="Q32" i="14"/>
  <c r="Q31" i="14" s="1"/>
  <c r="S500" i="10"/>
  <c r="T507" i="10"/>
  <c r="S538" i="10"/>
  <c r="AA538" i="10"/>
  <c r="T540" i="10"/>
  <c r="AD540" i="10"/>
  <c r="U542" i="10"/>
  <c r="AC542" i="10"/>
  <c r="V544" i="10"/>
  <c r="AD544" i="10"/>
  <c r="U547" i="10"/>
  <c r="O128" i="11"/>
  <c r="N456" i="9" s="1"/>
  <c r="O138" i="11"/>
  <c r="W156" i="11"/>
  <c r="Y178" i="11"/>
  <c r="Z178" i="11" s="1"/>
  <c r="AA178" i="11" s="1"/>
  <c r="AB178" i="11" s="1"/>
  <c r="AC178" i="11" s="1"/>
  <c r="AD178" i="11" s="1"/>
  <c r="M8" i="12"/>
  <c r="M6" i="12" s="1"/>
  <c r="M7" i="12" s="1"/>
  <c r="M16" i="12"/>
  <c r="V542" i="10"/>
  <c r="AD542" i="10"/>
  <c r="W544" i="10"/>
  <c r="V547" i="10"/>
  <c r="Y82" i="11"/>
  <c r="P155" i="11"/>
  <c r="P159" i="11"/>
  <c r="AA177" i="11"/>
  <c r="AB177" i="11" s="1"/>
  <c r="AC177" i="11" s="1"/>
  <c r="AD177" i="11" s="1"/>
  <c r="N8" i="12"/>
  <c r="N16" i="12"/>
  <c r="L50" i="12"/>
  <c r="L10" i="12"/>
  <c r="M13" i="14"/>
  <c r="M14" i="14" s="1"/>
  <c r="M8" i="14"/>
  <c r="S129" i="15"/>
  <c r="S115" i="15" s="1"/>
  <c r="Z148" i="15"/>
  <c r="AA148" i="15" s="1"/>
  <c r="AB148" i="15" s="1"/>
  <c r="AC148" i="15" s="1"/>
  <c r="AD148" i="15" s="1"/>
  <c r="V507" i="10"/>
  <c r="O66" i="11"/>
  <c r="O68" i="11" s="1"/>
  <c r="N447" i="9" s="1"/>
  <c r="L138" i="11"/>
  <c r="L139" i="11" s="1"/>
  <c r="S141" i="11"/>
  <c r="N138" i="11"/>
  <c r="N139" i="11" s="1"/>
  <c r="S158" i="11"/>
  <c r="O19" i="12"/>
  <c r="O498" i="10"/>
  <c r="O472" i="10" s="1"/>
  <c r="V538" i="10"/>
  <c r="P542" i="10"/>
  <c r="P547" i="10"/>
  <c r="R159" i="11"/>
  <c r="R158" i="11" s="1"/>
  <c r="Z176" i="11"/>
  <c r="AA176" i="11" s="1"/>
  <c r="AB176" i="11" s="1"/>
  <c r="AC176" i="11" s="1"/>
  <c r="AD176" i="11" s="1"/>
  <c r="H26" i="14"/>
  <c r="O36" i="14"/>
  <c r="Y57" i="12"/>
  <c r="Z57" i="12" s="1"/>
  <c r="AA57" i="12" s="1"/>
  <c r="AB57" i="12" s="1"/>
  <c r="AC57" i="12" s="1"/>
  <c r="AD57" i="12" s="1"/>
  <c r="Q57" i="12"/>
  <c r="R57" i="12" s="1"/>
  <c r="S57" i="12" s="1"/>
  <c r="T57" i="12" s="1"/>
  <c r="U57" i="12" s="1"/>
  <c r="V57" i="12" s="1"/>
  <c r="W57" i="12" s="1"/>
  <c r="X57" i="12" s="1"/>
  <c r="Y16" i="13"/>
  <c r="O44" i="14"/>
  <c r="O45" i="14" s="1"/>
  <c r="O84" i="15"/>
  <c r="O74" i="15"/>
  <c r="O73" i="15" s="1"/>
  <c r="O7" i="15" s="1"/>
  <c r="O82" i="5" s="1"/>
  <c r="O119" i="15"/>
  <c r="O114" i="15" s="1"/>
  <c r="O113" i="15" s="1"/>
  <c r="W122" i="15"/>
  <c r="W119" i="15"/>
  <c r="W114" i="15" s="1"/>
  <c r="Z136" i="15"/>
  <c r="AA149" i="15"/>
  <c r="AB149" i="15" s="1"/>
  <c r="AC149" i="15" s="1"/>
  <c r="AD149" i="15" s="1"/>
  <c r="Y160" i="15"/>
  <c r="Z160" i="15" s="1"/>
  <c r="AA160" i="15" s="1"/>
  <c r="O72" i="11"/>
  <c r="T131" i="11"/>
  <c r="AB131" i="11"/>
  <c r="S133" i="11"/>
  <c r="AA133" i="11"/>
  <c r="Q156" i="11"/>
  <c r="Y120" i="15"/>
  <c r="Y119" i="15" s="1"/>
  <c r="Y114" i="15" s="1"/>
  <c r="O177" i="15"/>
  <c r="O143" i="15"/>
  <c r="O116" i="15" s="1"/>
  <c r="Y148" i="15"/>
  <c r="Y154" i="15"/>
  <c r="Z154" i="15" s="1"/>
  <c r="AA154" i="15" s="1"/>
  <c r="AB154" i="15" s="1"/>
  <c r="AC154" i="15" s="1"/>
  <c r="AD154" i="15" s="1"/>
  <c r="AA161" i="15"/>
  <c r="AB161" i="15" s="1"/>
  <c r="AC161" i="15" s="1"/>
  <c r="AD161" i="15" s="1"/>
  <c r="O110" i="11"/>
  <c r="O23" i="11" s="1"/>
  <c r="U131" i="11"/>
  <c r="AC131" i="11"/>
  <c r="Z171" i="11"/>
  <c r="AA171" i="11" s="1"/>
  <c r="AB171" i="11" s="1"/>
  <c r="AC171" i="11" s="1"/>
  <c r="AD171" i="11" s="1"/>
  <c r="S18" i="12"/>
  <c r="AA18" i="12"/>
  <c r="O49" i="12"/>
  <c r="Z53" i="12"/>
  <c r="AA53" i="12" s="1"/>
  <c r="AB53" i="12" s="1"/>
  <c r="AC53" i="12" s="1"/>
  <c r="AD53" i="12" s="1"/>
  <c r="Z55" i="12"/>
  <c r="AA55" i="12" s="1"/>
  <c r="AB55" i="12" s="1"/>
  <c r="AC55" i="12" s="1"/>
  <c r="AD55" i="12" s="1"/>
  <c r="K8" i="14"/>
  <c r="K7" i="14" s="1"/>
  <c r="L6" i="14" s="1"/>
  <c r="O10" i="14"/>
  <c r="O11" i="14" s="1"/>
  <c r="N8" i="14"/>
  <c r="O87" i="15"/>
  <c r="O88" i="15" s="1"/>
  <c r="U97" i="15"/>
  <c r="U96" i="15" s="1"/>
  <c r="O58" i="15"/>
  <c r="O93" i="15"/>
  <c r="V131" i="11"/>
  <c r="AD131" i="11"/>
  <c r="O157" i="11"/>
  <c r="P157" i="11" s="1"/>
  <c r="Q157" i="11" s="1"/>
  <c r="R157" i="11" s="1"/>
  <c r="S157" i="11" s="1"/>
  <c r="Y54" i="12"/>
  <c r="Z54" i="12" s="1"/>
  <c r="AA54" i="12" s="1"/>
  <c r="AB54" i="12" s="1"/>
  <c r="AC54" i="12" s="1"/>
  <c r="AD54" i="12" s="1"/>
  <c r="U19" i="13"/>
  <c r="T19" i="13"/>
  <c r="T52" i="12" s="1"/>
  <c r="S19" i="13"/>
  <c r="S52" i="12" s="1"/>
  <c r="S49" i="12" s="1"/>
  <c r="O17" i="13"/>
  <c r="O13" i="13" s="1"/>
  <c r="O52" i="5" s="1"/>
  <c r="R19" i="13"/>
  <c r="X19" i="13"/>
  <c r="X52" i="12" s="1"/>
  <c r="P19" i="13"/>
  <c r="Y130" i="15"/>
  <c r="L143" i="15"/>
  <c r="L116" i="15" s="1"/>
  <c r="L113" i="15" s="1"/>
  <c r="Y147" i="15"/>
  <c r="Z147" i="15" s="1"/>
  <c r="AA147" i="15" s="1"/>
  <c r="AB147" i="15" s="1"/>
  <c r="AC147" i="15" s="1"/>
  <c r="AD147" i="15" s="1"/>
  <c r="W131" i="11"/>
  <c r="V133" i="11"/>
  <c r="Q162" i="11"/>
  <c r="R162" i="11" s="1"/>
  <c r="S162" i="11" s="1"/>
  <c r="T162" i="11" s="1"/>
  <c r="U162" i="11" s="1"/>
  <c r="V162" i="11" s="1"/>
  <c r="W162" i="11" s="1"/>
  <c r="X162" i="11" s="1"/>
  <c r="Y169" i="11"/>
  <c r="Z169" i="11" s="1"/>
  <c r="Q173" i="11"/>
  <c r="U18" i="12"/>
  <c r="Q21" i="12"/>
  <c r="R21" i="12" s="1"/>
  <c r="S21" i="12" s="1"/>
  <c r="T21" i="12" s="1"/>
  <c r="U21" i="12" s="1"/>
  <c r="V21" i="12" s="1"/>
  <c r="W21" i="12" s="1"/>
  <c r="X21" i="12" s="1"/>
  <c r="Y39" i="12"/>
  <c r="Z39" i="12" s="1"/>
  <c r="U44" i="12"/>
  <c r="V44" i="12" s="1"/>
  <c r="W44" i="12" s="1"/>
  <c r="X44" i="12" s="1"/>
  <c r="W51" i="12"/>
  <c r="Q19" i="13"/>
  <c r="Q52" i="12" s="1"/>
  <c r="L38" i="14"/>
  <c r="L39" i="14" s="1"/>
  <c r="H39" i="14" s="1"/>
  <c r="L19" i="14"/>
  <c r="L20" i="14" s="1"/>
  <c r="L13" i="14"/>
  <c r="L14" i="14" s="1"/>
  <c r="H14" i="14" s="1"/>
  <c r="L22" i="14"/>
  <c r="L23" i="14" s="1"/>
  <c r="H23" i="14" s="1"/>
  <c r="O134" i="15"/>
  <c r="O135" i="15" s="1"/>
  <c r="O55" i="15"/>
  <c r="AB60" i="15"/>
  <c r="AA60" i="15"/>
  <c r="AC60" i="15"/>
  <c r="L122" i="15"/>
  <c r="T122" i="15"/>
  <c r="L126" i="15"/>
  <c r="T126" i="15"/>
  <c r="Z146" i="15"/>
  <c r="AA146" i="15" s="1"/>
  <c r="AB146" i="15" s="1"/>
  <c r="AC146" i="15" s="1"/>
  <c r="AD146" i="15" s="1"/>
  <c r="Y120" i="11"/>
  <c r="P131" i="11"/>
  <c r="X131" i="11"/>
  <c r="O26" i="12"/>
  <c r="M44" i="14"/>
  <c r="M45" i="14" s="1"/>
  <c r="H45" i="14" s="1"/>
  <c r="M10" i="14"/>
  <c r="M11" i="14" s="1"/>
  <c r="H11" i="14" s="1"/>
  <c r="S97" i="15"/>
  <c r="S96" i="15" s="1"/>
  <c r="Y68" i="15"/>
  <c r="Z68" i="15" s="1"/>
  <c r="M113" i="15"/>
  <c r="Y133" i="15"/>
  <c r="N143" i="15"/>
  <c r="N116" i="15" s="1"/>
  <c r="Y150" i="15"/>
  <c r="Z150" i="15" s="1"/>
  <c r="AA150" i="15" s="1"/>
  <c r="AB150" i="15" s="1"/>
  <c r="AC150" i="15" s="1"/>
  <c r="AD150" i="15" s="1"/>
  <c r="AA152" i="15"/>
  <c r="AB152" i="15" s="1"/>
  <c r="AC152" i="15" s="1"/>
  <c r="AD152" i="15" s="1"/>
  <c r="Q145" i="11"/>
  <c r="R145" i="11" s="1"/>
  <c r="S145" i="11" s="1"/>
  <c r="T145" i="11" s="1"/>
  <c r="U145" i="11" s="1"/>
  <c r="V145" i="11" s="1"/>
  <c r="W145" i="11" s="1"/>
  <c r="X145" i="11" s="1"/>
  <c r="O18" i="12"/>
  <c r="W19" i="13"/>
  <c r="W52" i="12" s="1"/>
  <c r="M16" i="14"/>
  <c r="M17" i="14" s="1"/>
  <c r="N36" i="14"/>
  <c r="N15" i="2" s="1"/>
  <c r="N17" i="2" s="1"/>
  <c r="N14" i="3" s="1"/>
  <c r="N34" i="14"/>
  <c r="N35" i="14" s="1"/>
  <c r="H35" i="14" s="1"/>
  <c r="N19" i="14"/>
  <c r="N20" i="14" s="1"/>
  <c r="O40" i="15"/>
  <c r="O20" i="15"/>
  <c r="O6" i="15" s="1"/>
  <c r="O140" i="15" s="1"/>
  <c r="AC121" i="15"/>
  <c r="Z123" i="15"/>
  <c r="W124" i="15"/>
  <c r="N119" i="15"/>
  <c r="N114" i="15" s="1"/>
  <c r="N113" i="15" s="1"/>
  <c r="N126" i="15"/>
  <c r="V119" i="15"/>
  <c r="V114" i="15" s="1"/>
  <c r="V126" i="15"/>
  <c r="O138" i="15"/>
  <c r="O48" i="15"/>
  <c r="T51" i="15"/>
  <c r="O54" i="15"/>
  <c r="U60" i="15"/>
  <c r="O64" i="15"/>
  <c r="O77" i="15"/>
  <c r="O78" i="15" s="1"/>
  <c r="Q102" i="15"/>
  <c r="Q104" i="15"/>
  <c r="Q119" i="15"/>
  <c r="Q114" i="15" s="1"/>
  <c r="P129" i="15"/>
  <c r="P115" i="15" s="1"/>
  <c r="X129" i="15"/>
  <c r="X115" i="15" s="1"/>
  <c r="Z133" i="15"/>
  <c r="O137" i="15"/>
  <c r="O160" i="16"/>
  <c r="O161" i="16" s="1"/>
  <c r="O410" i="10" s="1"/>
  <c r="O408" i="10" s="1"/>
  <c r="R85" i="16"/>
  <c r="Q85" i="16"/>
  <c r="V85" i="16"/>
  <c r="J85" i="16"/>
  <c r="W85" i="16"/>
  <c r="U85" i="16"/>
  <c r="T85" i="16"/>
  <c r="S85" i="16"/>
  <c r="P85" i="16"/>
  <c r="X85" i="16"/>
  <c r="Z41" i="12"/>
  <c r="T18" i="13"/>
  <c r="N28" i="14"/>
  <c r="N29" i="14" s="1"/>
  <c r="N41" i="14"/>
  <c r="N42" i="14" s="1"/>
  <c r="H42" i="14" s="1"/>
  <c r="V51" i="15"/>
  <c r="O56" i="15"/>
  <c r="S58" i="15"/>
  <c r="AA58" i="15"/>
  <c r="O60" i="15"/>
  <c r="W60" i="15"/>
  <c r="S62" i="15"/>
  <c r="AA62" i="15"/>
  <c r="S102" i="15"/>
  <c r="AA102" i="15"/>
  <c r="S104" i="15"/>
  <c r="AA104" i="15"/>
  <c r="R108" i="15"/>
  <c r="U121" i="15"/>
  <c r="Q124" i="15"/>
  <c r="R129" i="15"/>
  <c r="R115" i="15" s="1"/>
  <c r="O131" i="15"/>
  <c r="T159" i="15"/>
  <c r="Y159" i="15" s="1"/>
  <c r="Z159" i="15" s="1"/>
  <c r="O27" i="16"/>
  <c r="O78" i="16"/>
  <c r="P60" i="15"/>
  <c r="X60" i="15"/>
  <c r="Y151" i="15"/>
  <c r="Z151" i="15" s="1"/>
  <c r="AA151" i="15" s="1"/>
  <c r="AB151" i="15" s="1"/>
  <c r="AC151" i="15" s="1"/>
  <c r="AD151" i="15" s="1"/>
  <c r="V18" i="13"/>
  <c r="N13" i="14"/>
  <c r="N14" i="14" s="1"/>
  <c r="P51" i="15"/>
  <c r="X51" i="15"/>
  <c r="U58" i="15"/>
  <c r="AC58" i="15"/>
  <c r="Q60" i="15"/>
  <c r="U62" i="15"/>
  <c r="AC62" i="15"/>
  <c r="O97" i="15"/>
  <c r="O98" i="15" s="1"/>
  <c r="U102" i="15"/>
  <c r="AC102" i="15"/>
  <c r="U104" i="15"/>
  <c r="AC104" i="15"/>
  <c r="T108" i="15"/>
  <c r="AB108" i="15"/>
  <c r="U119" i="15"/>
  <c r="U114" i="15" s="1"/>
  <c r="O121" i="15"/>
  <c r="O126" i="15" s="1"/>
  <c r="Y125" i="15"/>
  <c r="Z125" i="15" s="1"/>
  <c r="Z126" i="15" s="1"/>
  <c r="AA126" i="15" s="1"/>
  <c r="T129" i="15"/>
  <c r="T115" i="15" s="1"/>
  <c r="Z153" i="15"/>
  <c r="AA153" i="15" s="1"/>
  <c r="AB153" i="15" s="1"/>
  <c r="AC153" i="15" s="1"/>
  <c r="AD153" i="15" s="1"/>
  <c r="Z156" i="15"/>
  <c r="AA156" i="15" s="1"/>
  <c r="AB156" i="15" s="1"/>
  <c r="AC156" i="15" s="1"/>
  <c r="AD156" i="15" s="1"/>
  <c r="T169" i="16"/>
  <c r="W18" i="13"/>
  <c r="Q51" i="15"/>
  <c r="R60" i="15"/>
  <c r="V102" i="15"/>
  <c r="AD102" i="15"/>
  <c r="V104" i="15"/>
  <c r="AD104" i="15"/>
  <c r="Y139" i="15"/>
  <c r="Z139" i="15" s="1"/>
  <c r="Y153" i="15"/>
  <c r="Z155" i="15"/>
  <c r="AA155" i="15" s="1"/>
  <c r="AB155" i="15" s="1"/>
  <c r="AC155" i="15" s="1"/>
  <c r="AD155" i="15" s="1"/>
  <c r="Y156" i="15"/>
  <c r="U170" i="16"/>
  <c r="Y170" i="16" s="1"/>
  <c r="Z170" i="16" s="1"/>
  <c r="Q59" i="12"/>
  <c r="R59" i="12" s="1"/>
  <c r="S59" i="12" s="1"/>
  <c r="T59" i="12" s="1"/>
  <c r="U59" i="12" s="1"/>
  <c r="V59" i="12" s="1"/>
  <c r="W59" i="12" s="1"/>
  <c r="X59" i="12" s="1"/>
  <c r="P18" i="13"/>
  <c r="X18" i="13"/>
  <c r="R51" i="15"/>
  <c r="W58" i="15"/>
  <c r="S60" i="15"/>
  <c r="W62" i="15"/>
  <c r="W102" i="15"/>
  <c r="W104" i="15"/>
  <c r="V108" i="15"/>
  <c r="AD108" i="15"/>
  <c r="P126" i="15"/>
  <c r="X126" i="15"/>
  <c r="O81" i="16"/>
  <c r="P58" i="15"/>
  <c r="P62" i="15"/>
  <c r="P102" i="15"/>
  <c r="P104" i="15"/>
  <c r="O239" i="16"/>
  <c r="O245" i="16"/>
  <c r="O155" i="16"/>
  <c r="O156" i="16" s="1"/>
  <c r="O405" i="10" s="1"/>
  <c r="O403" i="10" s="1"/>
  <c r="O87" i="16"/>
  <c r="O242" i="16"/>
  <c r="O71" i="16"/>
  <c r="Y89" i="16"/>
  <c r="Z89" i="16" s="1"/>
  <c r="Q124" i="16"/>
  <c r="X124" i="16"/>
  <c r="P124" i="16"/>
  <c r="W124" i="16"/>
  <c r="V124" i="16"/>
  <c r="U124" i="16"/>
  <c r="T124" i="16"/>
  <c r="R124" i="16"/>
  <c r="O173" i="16"/>
  <c r="O147" i="16" s="1"/>
  <c r="O146" i="16" s="1"/>
  <c r="O145" i="16" s="1"/>
  <c r="O7" i="16" s="1"/>
  <c r="O60" i="5" s="1"/>
  <c r="Z230" i="16"/>
  <c r="O229" i="16"/>
  <c r="O224" i="16" s="1"/>
  <c r="O232" i="16"/>
  <c r="W232" i="16"/>
  <c r="W229" i="16"/>
  <c r="W224" i="16" s="1"/>
  <c r="V169" i="16"/>
  <c r="AA81" i="16"/>
  <c r="O85" i="16"/>
  <c r="Y90" i="16"/>
  <c r="Z90" i="16" s="1"/>
  <c r="S135" i="16"/>
  <c r="R135" i="16"/>
  <c r="Q135" i="16"/>
  <c r="X135" i="16"/>
  <c r="P135" i="16"/>
  <c r="W135" i="16"/>
  <c r="V135" i="16"/>
  <c r="J135" i="16"/>
  <c r="T135" i="16"/>
  <c r="Y140" i="16"/>
  <c r="Z140" i="16" s="1"/>
  <c r="W169" i="16"/>
  <c r="O171" i="16"/>
  <c r="O420" i="10" s="1"/>
  <c r="O418" i="10" s="1"/>
  <c r="AB81" i="16"/>
  <c r="AC83" i="16"/>
  <c r="AB83" i="16"/>
  <c r="U135" i="16"/>
  <c r="O207" i="16"/>
  <c r="P169" i="16"/>
  <c r="X169" i="16"/>
  <c r="AD81" i="16"/>
  <c r="O83" i="16"/>
  <c r="O131" i="16"/>
  <c r="O129" i="16"/>
  <c r="Q169" i="16"/>
  <c r="Y74" i="16"/>
  <c r="Z74" i="16" s="1"/>
  <c r="Z76" i="16" s="1"/>
  <c r="AA206" i="9" s="1"/>
  <c r="O88" i="16"/>
  <c r="J88" i="16" s="1"/>
  <c r="R169" i="16"/>
  <c r="Y238" i="16"/>
  <c r="P237" i="16"/>
  <c r="P225" i="16" s="1"/>
  <c r="X237" i="16"/>
  <c r="X225" i="16" s="1"/>
  <c r="S169" i="16"/>
  <c r="M223" i="16"/>
  <c r="U81" i="16"/>
  <c r="Q83" i="16"/>
  <c r="AA131" i="16"/>
  <c r="P133" i="16"/>
  <c r="X133" i="16"/>
  <c r="O175" i="16"/>
  <c r="Q211" i="16"/>
  <c r="X213" i="16"/>
  <c r="P213" i="16"/>
  <c r="AA213" i="16"/>
  <c r="R213" i="16"/>
  <c r="W213" i="16"/>
  <c r="AD213" i="16"/>
  <c r="U213" i="16"/>
  <c r="AC213" i="16"/>
  <c r="N229" i="16"/>
  <c r="N224" i="16" s="1"/>
  <c r="N223" i="16" s="1"/>
  <c r="N232" i="16"/>
  <c r="L234" i="16"/>
  <c r="T234" i="16"/>
  <c r="O240" i="16"/>
  <c r="AC131" i="16"/>
  <c r="R133" i="16"/>
  <c r="O157" i="16"/>
  <c r="O406" i="10" s="1"/>
  <c r="R177" i="16"/>
  <c r="AD177" i="16"/>
  <c r="U177" i="16"/>
  <c r="AA177" i="16"/>
  <c r="Q177" i="16"/>
  <c r="X177" i="16"/>
  <c r="AC177" i="16"/>
  <c r="O183" i="16"/>
  <c r="O182" i="16" s="1"/>
  <c r="O193" i="16"/>
  <c r="O444" i="10" s="1"/>
  <c r="O197" i="16"/>
  <c r="T211" i="16"/>
  <c r="S213" i="16"/>
  <c r="S234" i="16"/>
  <c r="T83" i="16"/>
  <c r="S133" i="16"/>
  <c r="AA133" i="16"/>
  <c r="V211" i="16"/>
  <c r="T213" i="16"/>
  <c r="Q229" i="16"/>
  <c r="Q224" i="16" s="1"/>
  <c r="Q232" i="16"/>
  <c r="Y230" i="16"/>
  <c r="W234" i="16"/>
  <c r="Y260" i="16"/>
  <c r="T133" i="16"/>
  <c r="AB133" i="16"/>
  <c r="O172" i="16"/>
  <c r="O421" i="10" s="1"/>
  <c r="S177" i="16"/>
  <c r="O208" i="16"/>
  <c r="O459" i="10" s="1"/>
  <c r="X211" i="16"/>
  <c r="V213" i="16"/>
  <c r="T232" i="16"/>
  <c r="Y233" i="16"/>
  <c r="Z233" i="16" s="1"/>
  <c r="Z234" i="16" s="1"/>
  <c r="AA234" i="16" s="1"/>
  <c r="AB234" i="16" s="1"/>
  <c r="AC234" i="16" s="1"/>
  <c r="AD234" i="16" s="1"/>
  <c r="Y244" i="16"/>
  <c r="AC133" i="16"/>
  <c r="O137" i="16"/>
  <c r="O138" i="16" s="1"/>
  <c r="J138" i="16" s="1"/>
  <c r="O237" i="16"/>
  <c r="O225" i="16" s="1"/>
  <c r="O243" i="16"/>
  <c r="T282" i="16"/>
  <c r="T275" i="16" s="1"/>
  <c r="T274" i="16" s="1"/>
  <c r="T256" i="16"/>
  <c r="O211" i="16"/>
  <c r="R234" i="16"/>
  <c r="U237" i="16"/>
  <c r="U225" i="16" s="1"/>
  <c r="W211" i="16"/>
  <c r="AD211" i="16"/>
  <c r="U211" i="16"/>
  <c r="AA211" i="16"/>
  <c r="R211" i="16"/>
  <c r="P211" i="16"/>
  <c r="AC211" i="16"/>
  <c r="L253" i="16"/>
  <c r="L226" i="16" s="1"/>
  <c r="L223" i="16" s="1"/>
  <c r="Z258" i="16"/>
  <c r="AA258" i="16" s="1"/>
  <c r="AB258" i="16" s="1"/>
  <c r="AC258" i="16" s="1"/>
  <c r="AD258" i="16" s="1"/>
  <c r="AA142" i="17"/>
  <c r="AB142" i="17" s="1"/>
  <c r="AC142" i="17" s="1"/>
  <c r="AD142" i="17" s="1"/>
  <c r="AA150" i="17"/>
  <c r="AB150" i="17" s="1"/>
  <c r="AC150" i="17" s="1"/>
  <c r="AD150" i="17" s="1"/>
  <c r="AA191" i="17"/>
  <c r="AB191" i="17" s="1"/>
  <c r="AC191" i="17" s="1"/>
  <c r="AD191" i="17" s="1"/>
  <c r="U175" i="16"/>
  <c r="R231" i="16"/>
  <c r="R232" i="16" s="1"/>
  <c r="AA231" i="16"/>
  <c r="Y241" i="16"/>
  <c r="Z264" i="16"/>
  <c r="AA264" i="16" s="1"/>
  <c r="AB264" i="16" s="1"/>
  <c r="AC264" i="16" s="1"/>
  <c r="AD264" i="16" s="1"/>
  <c r="T115" i="17"/>
  <c r="AA175" i="16"/>
  <c r="S175" i="16"/>
  <c r="W175" i="16"/>
  <c r="M232" i="16"/>
  <c r="U232" i="16"/>
  <c r="T231" i="16"/>
  <c r="Y267" i="16"/>
  <c r="Z267" i="16" s="1"/>
  <c r="AA267" i="16" s="1"/>
  <c r="AB267" i="16" s="1"/>
  <c r="AC267" i="16" s="1"/>
  <c r="AD267" i="16" s="1"/>
  <c r="V57" i="17"/>
  <c r="W57" i="17"/>
  <c r="U57" i="17"/>
  <c r="T57" i="17"/>
  <c r="S57" i="17"/>
  <c r="AA57" i="17"/>
  <c r="AB57" i="17" s="1"/>
  <c r="AC57" i="17" s="1"/>
  <c r="AD57" i="17" s="1"/>
  <c r="R57" i="17"/>
  <c r="Q57" i="17"/>
  <c r="P57" i="17"/>
  <c r="V101" i="17"/>
  <c r="V66" i="17" s="1"/>
  <c r="AA143" i="17"/>
  <c r="AB143" i="17" s="1"/>
  <c r="AC143" i="17" s="1"/>
  <c r="AD143" i="17" s="1"/>
  <c r="AA151" i="17"/>
  <c r="AB151" i="17" s="1"/>
  <c r="AC151" i="17" s="1"/>
  <c r="AD151" i="17" s="1"/>
  <c r="AA188" i="17"/>
  <c r="AB188" i="17" s="1"/>
  <c r="AC188" i="17" s="1"/>
  <c r="AD188" i="17" s="1"/>
  <c r="Z247" i="16"/>
  <c r="O286" i="16"/>
  <c r="O285" i="16" s="1"/>
  <c r="O13" i="16" s="1"/>
  <c r="O74" i="5" s="1"/>
  <c r="Y263" i="16"/>
  <c r="Z263" i="16" s="1"/>
  <c r="AA263" i="16" s="1"/>
  <c r="AB263" i="16" s="1"/>
  <c r="AC263" i="16" s="1"/>
  <c r="AD263" i="16" s="1"/>
  <c r="Q293" i="16"/>
  <c r="O36" i="17"/>
  <c r="X57" i="17"/>
  <c r="Z260" i="16"/>
  <c r="AA260" i="16" s="1"/>
  <c r="AB260" i="16" s="1"/>
  <c r="AC260" i="16" s="1"/>
  <c r="AD260" i="16" s="1"/>
  <c r="Z261" i="16"/>
  <c r="AA261" i="16" s="1"/>
  <c r="AB261" i="16" s="1"/>
  <c r="AC261" i="16" s="1"/>
  <c r="AD261" i="16" s="1"/>
  <c r="O46" i="17"/>
  <c r="AA145" i="17"/>
  <c r="AB145" i="17" s="1"/>
  <c r="AC145" i="17" s="1"/>
  <c r="AD145" i="17" s="1"/>
  <c r="AA192" i="17"/>
  <c r="AB192" i="17" s="1"/>
  <c r="AC192" i="17" s="1"/>
  <c r="AD192" i="17" s="1"/>
  <c r="Q175" i="16"/>
  <c r="Y257" i="16"/>
  <c r="Z257" i="16" s="1"/>
  <c r="AA257" i="16" s="1"/>
  <c r="AB257" i="16" s="1"/>
  <c r="AC257" i="16" s="1"/>
  <c r="AD257" i="16" s="1"/>
  <c r="Y262" i="16"/>
  <c r="Z262" i="16" s="1"/>
  <c r="AA262" i="16" s="1"/>
  <c r="AB262" i="16" s="1"/>
  <c r="AC262" i="16" s="1"/>
  <c r="AD262" i="16" s="1"/>
  <c r="O31" i="17"/>
  <c r="Y134" i="17"/>
  <c r="Y259" i="16"/>
  <c r="Z259" i="16" s="1"/>
  <c r="AA259" i="16" s="1"/>
  <c r="AB259" i="16" s="1"/>
  <c r="AC259" i="16" s="1"/>
  <c r="AD259" i="16" s="1"/>
  <c r="O26" i="17"/>
  <c r="Y58" i="17"/>
  <c r="Z58" i="17" s="1"/>
  <c r="AA207" i="17"/>
  <c r="AB207" i="17" s="1"/>
  <c r="AC207" i="17" s="1"/>
  <c r="AD207" i="17" s="1"/>
  <c r="X231" i="16"/>
  <c r="X232" i="16" s="1"/>
  <c r="P231" i="16"/>
  <c r="P232" i="16" s="1"/>
  <c r="X234" i="16"/>
  <c r="X293" i="16"/>
  <c r="P293" i="16"/>
  <c r="W293" i="16"/>
  <c r="V293" i="16"/>
  <c r="U293" i="16"/>
  <c r="S293" i="16"/>
  <c r="R293" i="16"/>
  <c r="Y265" i="16"/>
  <c r="Z265" i="16" s="1"/>
  <c r="AA265" i="16" s="1"/>
  <c r="AB265" i="16" s="1"/>
  <c r="AC265" i="16" s="1"/>
  <c r="AD265" i="16" s="1"/>
  <c r="Y269" i="16"/>
  <c r="P268" i="16"/>
  <c r="AD96" i="17"/>
  <c r="T96" i="17"/>
  <c r="AC96" i="17"/>
  <c r="S96" i="17"/>
  <c r="AB96" i="17"/>
  <c r="R96" i="17"/>
  <c r="X96" i="17"/>
  <c r="P96" i="17"/>
  <c r="W96" i="17"/>
  <c r="O96" i="17"/>
  <c r="O95" i="17" s="1"/>
  <c r="O93" i="17" s="1"/>
  <c r="AA96" i="17"/>
  <c r="V96" i="17"/>
  <c r="U96" i="17"/>
  <c r="Q96" i="17"/>
  <c r="AA148" i="17"/>
  <c r="AB148" i="17" s="1"/>
  <c r="AC148" i="17" s="1"/>
  <c r="AD148" i="17" s="1"/>
  <c r="AA197" i="17"/>
  <c r="AB197" i="17" s="1"/>
  <c r="AC197" i="17" s="1"/>
  <c r="AD197" i="17" s="1"/>
  <c r="P50" i="17"/>
  <c r="R52" i="17"/>
  <c r="AA52" i="17"/>
  <c r="AC103" i="17"/>
  <c r="Y122" i="17"/>
  <c r="Q165" i="17"/>
  <c r="Q160" i="17" s="1"/>
  <c r="Q170" i="17"/>
  <c r="Y169" i="17"/>
  <c r="Z169" i="17" s="1"/>
  <c r="P177" i="17"/>
  <c r="P161" i="17" s="1"/>
  <c r="Y178" i="17"/>
  <c r="X177" i="17"/>
  <c r="X161" i="17" s="1"/>
  <c r="O21" i="18"/>
  <c r="O20" i="18" s="1"/>
  <c r="S104" i="17"/>
  <c r="S101" i="17"/>
  <c r="S66" i="17" s="1"/>
  <c r="Y108" i="17"/>
  <c r="AA146" i="17"/>
  <c r="AB146" i="17" s="1"/>
  <c r="AC146" i="17" s="1"/>
  <c r="AD146" i="17" s="1"/>
  <c r="U98" i="17"/>
  <c r="AD98" i="17"/>
  <c r="T98" i="17"/>
  <c r="AC98" i="17"/>
  <c r="S98" i="17"/>
  <c r="AA98" i="17"/>
  <c r="Q98" i="17"/>
  <c r="X98" i="17"/>
  <c r="P98" i="17"/>
  <c r="Y206" i="17"/>
  <c r="Z206" i="17" s="1"/>
  <c r="AA206" i="17" s="1"/>
  <c r="AB206" i="17" s="1"/>
  <c r="AC206" i="17" s="1"/>
  <c r="AD206" i="17" s="1"/>
  <c r="P203" i="17"/>
  <c r="O33" i="18"/>
  <c r="O26" i="18" s="1"/>
  <c r="O43" i="18"/>
  <c r="AA258" i="18"/>
  <c r="AB258" i="18" s="1"/>
  <c r="AC258" i="18" s="1"/>
  <c r="AD258" i="18" s="1"/>
  <c r="O81" i="17"/>
  <c r="S50" i="17"/>
  <c r="U52" i="17"/>
  <c r="AD52" i="17"/>
  <c r="X54" i="17"/>
  <c r="P54" i="17"/>
  <c r="O98" i="17"/>
  <c r="O97" i="17" s="1"/>
  <c r="AC109" i="17"/>
  <c r="S177" i="17"/>
  <c r="S161" i="17" s="1"/>
  <c r="R98" i="17"/>
  <c r="Y105" i="17"/>
  <c r="AA147" i="17"/>
  <c r="AB147" i="17" s="1"/>
  <c r="AC147" i="17" s="1"/>
  <c r="AD147" i="17" s="1"/>
  <c r="Z190" i="17"/>
  <c r="AA190" i="17" s="1"/>
  <c r="AB190" i="17" s="1"/>
  <c r="AC190" i="17" s="1"/>
  <c r="AD190" i="17" s="1"/>
  <c r="W52" i="17"/>
  <c r="V98" i="17"/>
  <c r="AC106" i="17"/>
  <c r="Y144" i="17"/>
  <c r="Z144" i="17" s="1"/>
  <c r="AA144" i="17" s="1"/>
  <c r="AB144" i="17" s="1"/>
  <c r="AC144" i="17" s="1"/>
  <c r="AD144" i="17" s="1"/>
  <c r="Q174" i="17"/>
  <c r="O78" i="17"/>
  <c r="O56" i="17"/>
  <c r="AB50" i="17"/>
  <c r="T50" i="17"/>
  <c r="W50" i="17"/>
  <c r="X52" i="17"/>
  <c r="Y94" i="17"/>
  <c r="Z94" i="17" s="1"/>
  <c r="W98" i="17"/>
  <c r="Y102" i="17"/>
  <c r="Y193" i="17"/>
  <c r="Z193" i="17" s="1"/>
  <c r="AA193" i="17" s="1"/>
  <c r="AB193" i="17" s="1"/>
  <c r="AC193" i="17" s="1"/>
  <c r="AD193" i="17" s="1"/>
  <c r="Y209" i="17"/>
  <c r="Z209" i="17" s="1"/>
  <c r="AA209" i="17" s="1"/>
  <c r="AB209" i="17" s="1"/>
  <c r="AC209" i="17" s="1"/>
  <c r="AD209" i="17" s="1"/>
  <c r="W101" i="17"/>
  <c r="W66" i="17" s="1"/>
  <c r="AB167" i="17"/>
  <c r="W172" i="17"/>
  <c r="Y198" i="17"/>
  <c r="Z198" i="17" s="1"/>
  <c r="AA198" i="17" s="1"/>
  <c r="AB198" i="17" s="1"/>
  <c r="AC198" i="17" s="1"/>
  <c r="AD198" i="17" s="1"/>
  <c r="V203" i="17"/>
  <c r="P101" i="17"/>
  <c r="P66" i="17" s="1"/>
  <c r="Y152" i="17"/>
  <c r="Z152" i="17" s="1"/>
  <c r="AA152" i="17" s="1"/>
  <c r="AB152" i="17" s="1"/>
  <c r="AC152" i="17" s="1"/>
  <c r="AD152" i="17" s="1"/>
  <c r="L165" i="17"/>
  <c r="L160" i="17" s="1"/>
  <c r="L159" i="17" s="1"/>
  <c r="T165" i="17"/>
  <c r="T160" i="17" s="1"/>
  <c r="S174" i="17"/>
  <c r="T203" i="17"/>
  <c r="S25" i="18"/>
  <c r="R101" i="17"/>
  <c r="R66" i="17" s="1"/>
  <c r="V168" i="17"/>
  <c r="M186" i="17"/>
  <c r="M162" i="17" s="1"/>
  <c r="M159" i="17" s="1"/>
  <c r="AA195" i="17"/>
  <c r="AB195" i="17" s="1"/>
  <c r="AC195" i="17" s="1"/>
  <c r="AD195" i="17" s="1"/>
  <c r="Y196" i="17"/>
  <c r="Z196" i="17" s="1"/>
  <c r="AA196" i="17" s="1"/>
  <c r="AB196" i="17" s="1"/>
  <c r="AC196" i="17" s="1"/>
  <c r="AD196" i="17" s="1"/>
  <c r="Q203" i="17"/>
  <c r="Y204" i="17"/>
  <c r="AA210" i="17"/>
  <c r="AB210" i="17" s="1"/>
  <c r="AC210" i="17" s="1"/>
  <c r="AD210" i="17" s="1"/>
  <c r="O168" i="17"/>
  <c r="V174" i="17"/>
  <c r="N186" i="17"/>
  <c r="N162" i="17" s="1"/>
  <c r="N159" i="17" s="1"/>
  <c r="Y190" i="17"/>
  <c r="AA211" i="17"/>
  <c r="AB211" i="17" s="1"/>
  <c r="AC211" i="17" s="1"/>
  <c r="AD211" i="17" s="1"/>
  <c r="Y149" i="17"/>
  <c r="Z149" i="17" s="1"/>
  <c r="AA149" i="17" s="1"/>
  <c r="AB149" i="17" s="1"/>
  <c r="AC149" i="17" s="1"/>
  <c r="AD149" i="17" s="1"/>
  <c r="Y153" i="17"/>
  <c r="Z153" i="17" s="1"/>
  <c r="AA153" i="17" s="1"/>
  <c r="AB153" i="17" s="1"/>
  <c r="AC153" i="17" s="1"/>
  <c r="AD153" i="17" s="1"/>
  <c r="Y166" i="17"/>
  <c r="Z173" i="17"/>
  <c r="Z174" i="17" s="1"/>
  <c r="AA174" i="17" s="1"/>
  <c r="AB174" i="17" s="1"/>
  <c r="AC174" i="17" s="1"/>
  <c r="AD174" i="17" s="1"/>
  <c r="W174" i="17"/>
  <c r="S203" i="17"/>
  <c r="Y205" i="17"/>
  <c r="Z205" i="17" s="1"/>
  <c r="AA205" i="17" s="1"/>
  <c r="AB205" i="17" s="1"/>
  <c r="AC205" i="17" s="1"/>
  <c r="AD205" i="17" s="1"/>
  <c r="Y208" i="17"/>
  <c r="Z208" i="17" s="1"/>
  <c r="AA208" i="17" s="1"/>
  <c r="AB208" i="17" s="1"/>
  <c r="AC208" i="17" s="1"/>
  <c r="AD208" i="17" s="1"/>
  <c r="Y154" i="17"/>
  <c r="Z154" i="17" s="1"/>
  <c r="AA154" i="17" s="1"/>
  <c r="AB154" i="17" s="1"/>
  <c r="AC154" i="17" s="1"/>
  <c r="AD154" i="17" s="1"/>
  <c r="O172" i="17"/>
  <c r="Y173" i="17"/>
  <c r="M177" i="17"/>
  <c r="M161" i="17" s="1"/>
  <c r="Y189" i="17"/>
  <c r="Z189" i="17" s="1"/>
  <c r="AA189" i="17" s="1"/>
  <c r="AB189" i="17" s="1"/>
  <c r="AC189" i="17" s="1"/>
  <c r="AD189" i="17" s="1"/>
  <c r="O176" i="18"/>
  <c r="O83" i="18"/>
  <c r="T168" i="17"/>
  <c r="Z78" i="18"/>
  <c r="P165" i="17"/>
  <c r="P160" i="17" s="1"/>
  <c r="U168" i="17"/>
  <c r="Y171" i="17"/>
  <c r="Z171" i="17" s="1"/>
  <c r="O52" i="19"/>
  <c r="R165" i="17"/>
  <c r="R160" i="17" s="1"/>
  <c r="O167" i="17"/>
  <c r="O174" i="17" s="1"/>
  <c r="W167" i="17"/>
  <c r="W168" i="17" s="1"/>
  <c r="AB83" i="18"/>
  <c r="T83" i="18"/>
  <c r="AA83" i="18"/>
  <c r="S83" i="18"/>
  <c r="R83" i="18"/>
  <c r="X83" i="18"/>
  <c r="P83" i="18"/>
  <c r="AD83" i="18"/>
  <c r="O114" i="18"/>
  <c r="O93" i="18"/>
  <c r="Z224" i="18"/>
  <c r="AA224" i="18" s="1"/>
  <c r="AB224" i="18" s="1"/>
  <c r="AC224" i="18" s="1"/>
  <c r="AD224" i="18" s="1"/>
  <c r="P168" i="17"/>
  <c r="R88" i="18"/>
  <c r="Q88" i="18"/>
  <c r="X88" i="18"/>
  <c r="P88" i="18"/>
  <c r="V88" i="18"/>
  <c r="Y232" i="18"/>
  <c r="Q167" i="17"/>
  <c r="Q168" i="17" s="1"/>
  <c r="Q177" i="17"/>
  <c r="Q161" i="17" s="1"/>
  <c r="O57" i="18"/>
  <c r="Q83" i="18"/>
  <c r="S88" i="18"/>
  <c r="Y89" i="18"/>
  <c r="Z89" i="18" s="1"/>
  <c r="P231" i="18"/>
  <c r="P217" i="18" s="1"/>
  <c r="Y240" i="18"/>
  <c r="X231" i="18"/>
  <c r="X217" i="18" s="1"/>
  <c r="O186" i="17"/>
  <c r="O162" i="17" s="1"/>
  <c r="O159" i="17" s="1"/>
  <c r="O10" i="17" s="1"/>
  <c r="O129" i="5" s="1"/>
  <c r="O154" i="18"/>
  <c r="O155" i="18" s="1"/>
  <c r="O77" i="18"/>
  <c r="T88" i="18"/>
  <c r="O131" i="18"/>
  <c r="M215" i="18"/>
  <c r="AB135" i="18"/>
  <c r="T135" i="18"/>
  <c r="X135" i="18"/>
  <c r="Y235" i="18"/>
  <c r="AA253" i="18"/>
  <c r="AB253" i="18" s="1"/>
  <c r="AC253" i="18" s="1"/>
  <c r="AD253" i="18" s="1"/>
  <c r="O233" i="18"/>
  <c r="O149" i="18"/>
  <c r="O150" i="18" s="1"/>
  <c r="O236" i="18"/>
  <c r="O237" i="18" s="1"/>
  <c r="O64" i="18"/>
  <c r="S81" i="18"/>
  <c r="AA81" i="18"/>
  <c r="W85" i="18"/>
  <c r="P135" i="18"/>
  <c r="O174" i="18"/>
  <c r="AB223" i="18"/>
  <c r="Z240" i="18"/>
  <c r="AC133" i="18"/>
  <c r="U133" i="18"/>
  <c r="X133" i="18"/>
  <c r="R135" i="18"/>
  <c r="AA135" i="18"/>
  <c r="AA138" i="18"/>
  <c r="AB138" i="18" s="1"/>
  <c r="AC138" i="18" s="1"/>
  <c r="AD138" i="18" s="1"/>
  <c r="S138" i="18"/>
  <c r="X138" i="18"/>
  <c r="L215" i="18"/>
  <c r="M231" i="18"/>
  <c r="M217" i="18" s="1"/>
  <c r="V81" i="18"/>
  <c r="S135" i="18"/>
  <c r="AC135" i="18"/>
  <c r="Y140" i="18"/>
  <c r="Z140" i="18" s="1"/>
  <c r="O207" i="18"/>
  <c r="Y227" i="18"/>
  <c r="Z227" i="18" s="1"/>
  <c r="U135" i="18"/>
  <c r="AD135" i="18"/>
  <c r="O170" i="18"/>
  <c r="N224" i="18"/>
  <c r="N221" i="18"/>
  <c r="N216" i="18" s="1"/>
  <c r="V221" i="18"/>
  <c r="V216" i="18" s="1"/>
  <c r="O234" i="18"/>
  <c r="L248" i="18"/>
  <c r="L218" i="18" s="1"/>
  <c r="S228" i="18"/>
  <c r="Q207" i="18"/>
  <c r="R209" i="18"/>
  <c r="Z238" i="18"/>
  <c r="Z251" i="18"/>
  <c r="AA251" i="18" s="1"/>
  <c r="AB251" i="18" s="1"/>
  <c r="AC251" i="18" s="1"/>
  <c r="AD251" i="18" s="1"/>
  <c r="Y255" i="18"/>
  <c r="Y266" i="18"/>
  <c r="Z266" i="18" s="1"/>
  <c r="AA266" i="18" s="1"/>
  <c r="AB266" i="18" s="1"/>
  <c r="AC266" i="18" s="1"/>
  <c r="AD266" i="18" s="1"/>
  <c r="U174" i="18"/>
  <c r="AC174" i="18"/>
  <c r="S207" i="18"/>
  <c r="AA207" i="18"/>
  <c r="T209" i="18"/>
  <c r="AB209" i="18"/>
  <c r="R221" i="18"/>
  <c r="R216" i="18" s="1"/>
  <c r="T223" i="18"/>
  <c r="U231" i="18"/>
  <c r="U217" i="18" s="1"/>
  <c r="Z232" i="18"/>
  <c r="Z254" i="18"/>
  <c r="AA254" i="18" s="1"/>
  <c r="AB254" i="18" s="1"/>
  <c r="AC254" i="18" s="1"/>
  <c r="AD254" i="18" s="1"/>
  <c r="Y267" i="18"/>
  <c r="Z267" i="18" s="1"/>
  <c r="AA267" i="18" s="1"/>
  <c r="AB267" i="18" s="1"/>
  <c r="AC267" i="18" s="1"/>
  <c r="AD267" i="18" s="1"/>
  <c r="V174" i="18"/>
  <c r="AD174" i="18"/>
  <c r="T207" i="18"/>
  <c r="AB207" i="18"/>
  <c r="U209" i="18"/>
  <c r="AC209" i="18"/>
  <c r="U223" i="18"/>
  <c r="U228" i="18" s="1"/>
  <c r="Z168" i="18"/>
  <c r="W174" i="18"/>
  <c r="V176" i="18"/>
  <c r="AD176" i="18"/>
  <c r="U207" i="18"/>
  <c r="AC207" i="18"/>
  <c r="V209" i="18"/>
  <c r="AD209" i="18"/>
  <c r="V223" i="18"/>
  <c r="V228" i="18" s="1"/>
  <c r="Y225" i="18"/>
  <c r="Z225" i="18" s="1"/>
  <c r="Z226" i="18" s="1"/>
  <c r="AA226" i="18" s="1"/>
  <c r="AB226" i="18" s="1"/>
  <c r="AC226" i="18" s="1"/>
  <c r="AD226" i="18" s="1"/>
  <c r="O231" i="18"/>
  <c r="O217" i="18" s="1"/>
  <c r="W231" i="18"/>
  <c r="W217" i="18" s="1"/>
  <c r="O248" i="18"/>
  <c r="N248" i="18"/>
  <c r="N218" i="18" s="1"/>
  <c r="Y257" i="18"/>
  <c r="Z257" i="18" s="1"/>
  <c r="AA257" i="18" s="1"/>
  <c r="AB257" i="18" s="1"/>
  <c r="AC257" i="18" s="1"/>
  <c r="AD257" i="18" s="1"/>
  <c r="V207" i="18"/>
  <c r="AD207" i="18"/>
  <c r="W209" i="18"/>
  <c r="O282" i="18"/>
  <c r="O281" i="18" s="1"/>
  <c r="O13" i="18" s="1"/>
  <c r="O118" i="5" s="1"/>
  <c r="Y264" i="18"/>
  <c r="Z264" i="18" s="1"/>
  <c r="AA264" i="18" s="1"/>
  <c r="P263" i="18"/>
  <c r="V131" i="18"/>
  <c r="Q174" i="18"/>
  <c r="P176" i="18"/>
  <c r="W207" i="18"/>
  <c r="P209" i="18"/>
  <c r="X209" i="18"/>
  <c r="P223" i="18"/>
  <c r="P224" i="18" s="1"/>
  <c r="X223" i="18"/>
  <c r="X224" i="18" s="1"/>
  <c r="Y256" i="18"/>
  <c r="Z256" i="18" s="1"/>
  <c r="AA256" i="18" s="1"/>
  <c r="AB256" i="18" s="1"/>
  <c r="AC256" i="18" s="1"/>
  <c r="AD256" i="18" s="1"/>
  <c r="Z259" i="18"/>
  <c r="AA259" i="18" s="1"/>
  <c r="AB259" i="18" s="1"/>
  <c r="AC259" i="18" s="1"/>
  <c r="AD259" i="18" s="1"/>
  <c r="P207" i="18"/>
  <c r="Q223" i="18"/>
  <c r="Q224" i="18" s="1"/>
  <c r="Y252" i="18"/>
  <c r="Z252" i="18" s="1"/>
  <c r="AA252" i="18" s="1"/>
  <c r="AB252" i="18" s="1"/>
  <c r="AC252" i="18" s="1"/>
  <c r="AD252" i="18" s="1"/>
  <c r="Z255" i="18"/>
  <c r="AA255" i="18" s="1"/>
  <c r="AB255" i="18" s="1"/>
  <c r="AC255" i="18" s="1"/>
  <c r="AD255" i="18" s="1"/>
  <c r="R263" i="18"/>
  <c r="Y265" i="18"/>
  <c r="Z265" i="18" s="1"/>
  <c r="AA265" i="18" s="1"/>
  <c r="AB265" i="18" s="1"/>
  <c r="AC265" i="18" s="1"/>
  <c r="AD265" i="18" s="1"/>
  <c r="Q17" i="13" l="1"/>
  <c r="Q13" i="13" s="1"/>
  <c r="S17" i="13"/>
  <c r="S13" i="13" s="1"/>
  <c r="Y245" i="10"/>
  <c r="Z245" i="10" s="1"/>
  <c r="Z247" i="10" s="1"/>
  <c r="AA182" i="9" s="1"/>
  <c r="V267" i="10"/>
  <c r="X49" i="12"/>
  <c r="O80" i="11"/>
  <c r="U273" i="10"/>
  <c r="W224" i="10"/>
  <c r="AA222" i="18"/>
  <c r="T273" i="10"/>
  <c r="Q267" i="10"/>
  <c r="V181" i="10"/>
  <c r="Q224" i="10"/>
  <c r="V138" i="16"/>
  <c r="U138" i="16"/>
  <c r="T138" i="16"/>
  <c r="AA138" i="16"/>
  <c r="S138" i="16"/>
  <c r="R138" i="16"/>
  <c r="Q138" i="16"/>
  <c r="W138" i="16"/>
  <c r="X138" i="16"/>
  <c r="P138" i="16"/>
  <c r="O402" i="10"/>
  <c r="T452" i="9"/>
  <c r="R52" i="11" s="1"/>
  <c r="S452" i="9"/>
  <c r="Q52" i="11" s="1"/>
  <c r="R452" i="9"/>
  <c r="P52" i="11" s="1"/>
  <c r="AA100" i="10"/>
  <c r="AA138" i="10"/>
  <c r="AA62" i="10"/>
  <c r="S10" i="12"/>
  <c r="O35" i="5"/>
  <c r="Z228" i="18"/>
  <c r="AA228" i="18" s="1"/>
  <c r="Z221" i="18"/>
  <c r="Z216" i="18" s="1"/>
  <c r="X10" i="12"/>
  <c r="V35" i="14"/>
  <c r="V34" i="14" s="1"/>
  <c r="U35" i="14"/>
  <c r="U34" i="14" s="1"/>
  <c r="T35" i="14"/>
  <c r="T34" i="14" s="1"/>
  <c r="R35" i="14"/>
  <c r="R34" i="14" s="1"/>
  <c r="S35" i="14"/>
  <c r="S34" i="14" s="1"/>
  <c r="Q35" i="14"/>
  <c r="Q34" i="14" s="1"/>
  <c r="Q42" i="14"/>
  <c r="Q41" i="14" s="1"/>
  <c r="V42" i="14"/>
  <c r="V41" i="14" s="1"/>
  <c r="T42" i="14"/>
  <c r="T41" i="14" s="1"/>
  <c r="U42" i="14"/>
  <c r="U41" i="14" s="1"/>
  <c r="S42" i="14"/>
  <c r="S41" i="14" s="1"/>
  <c r="R42" i="14"/>
  <c r="R41" i="14" s="1"/>
  <c r="Q216" i="10"/>
  <c r="T216" i="10"/>
  <c r="S216" i="10"/>
  <c r="AA216" i="10"/>
  <c r="R216" i="10"/>
  <c r="P216" i="10"/>
  <c r="X216" i="10"/>
  <c r="W216" i="10"/>
  <c r="V216" i="10"/>
  <c r="U216" i="10"/>
  <c r="V282" i="16"/>
  <c r="V275" i="16" s="1"/>
  <c r="V274" i="16" s="1"/>
  <c r="V256" i="16"/>
  <c r="Y263" i="18"/>
  <c r="Z263" i="18" s="1"/>
  <c r="X228" i="18"/>
  <c r="AA225" i="18"/>
  <c r="Y221" i="18"/>
  <c r="Y216" i="18" s="1"/>
  <c r="O27" i="18"/>
  <c r="U256" i="16"/>
  <c r="U282" i="16"/>
  <c r="U275" i="16" s="1"/>
  <c r="U274" i="16" s="1"/>
  <c r="P234" i="16"/>
  <c r="Z241" i="16"/>
  <c r="Y229" i="16"/>
  <c r="Y224" i="16" s="1"/>
  <c r="AA135" i="16"/>
  <c r="AD135" i="16"/>
  <c r="AB135" i="16"/>
  <c r="AC135" i="16"/>
  <c r="X17" i="13"/>
  <c r="X13" i="13" s="1"/>
  <c r="X170" i="11"/>
  <c r="V17" i="13"/>
  <c r="V13" i="13" s="1"/>
  <c r="V170" i="11"/>
  <c r="T97" i="15"/>
  <c r="T96" i="15" s="1"/>
  <c r="S23" i="14"/>
  <c r="S22" i="14" s="1"/>
  <c r="R23" i="14"/>
  <c r="R22" i="14" s="1"/>
  <c r="Q23" i="14"/>
  <c r="Q22" i="14" s="1"/>
  <c r="V23" i="14"/>
  <c r="V22" i="14" s="1"/>
  <c r="U23" i="14"/>
  <c r="U22" i="14" s="1"/>
  <c r="T23" i="14"/>
  <c r="T22" i="14" s="1"/>
  <c r="AB160" i="15"/>
  <c r="AA159" i="15"/>
  <c r="Y44" i="12"/>
  <c r="Z44" i="12" s="1"/>
  <c r="AA44" i="12" s="1"/>
  <c r="AB44" i="12" s="1"/>
  <c r="AC44" i="12" s="1"/>
  <c r="AD44" i="12" s="1"/>
  <c r="W159" i="11"/>
  <c r="W158" i="11" s="1"/>
  <c r="Y182" i="11"/>
  <c r="Z182" i="11" s="1"/>
  <c r="AA182" i="11" s="1"/>
  <c r="AB182" i="11" s="1"/>
  <c r="AC182" i="11" s="1"/>
  <c r="AD182" i="11" s="1"/>
  <c r="Y331" i="10"/>
  <c r="Z331" i="10" s="1"/>
  <c r="Z333" i="10" s="1"/>
  <c r="AA194" i="9" s="1"/>
  <c r="AD256" i="10"/>
  <c r="AC256" i="10"/>
  <c r="AB256" i="10"/>
  <c r="AA256" i="10"/>
  <c r="AD295" i="10"/>
  <c r="AC295" i="10"/>
  <c r="AB295" i="10"/>
  <c r="AA295" i="10"/>
  <c r="AD297" i="10"/>
  <c r="AC297" i="10"/>
  <c r="AB297" i="10"/>
  <c r="AA297" i="10"/>
  <c r="AA71" i="11"/>
  <c r="AC453" i="9"/>
  <c r="AB68" i="9"/>
  <c r="AA234" i="10" s="1"/>
  <c r="AA52" i="11"/>
  <c r="AC452" i="9"/>
  <c r="X31" i="19"/>
  <c r="X32" i="19"/>
  <c r="X27" i="19"/>
  <c r="X28" i="19"/>
  <c r="X29" i="19"/>
  <c r="X30" i="19"/>
  <c r="X84" i="17"/>
  <c r="X80" i="17"/>
  <c r="X88" i="17"/>
  <c r="X35" i="17"/>
  <c r="X40" i="17"/>
  <c r="X30" i="17"/>
  <c r="Q169" i="15"/>
  <c r="Q170" i="15"/>
  <c r="Q171" i="15"/>
  <c r="Q99" i="15"/>
  <c r="Q27" i="15"/>
  <c r="Q94" i="15"/>
  <c r="Q89" i="15"/>
  <c r="Q84" i="15"/>
  <c r="Q79" i="15"/>
  <c r="Q55" i="15"/>
  <c r="Q48" i="15"/>
  <c r="Q34" i="15"/>
  <c r="Q41" i="15"/>
  <c r="AD297" i="16"/>
  <c r="AD411" i="10"/>
  <c r="AD406" i="10"/>
  <c r="AD401" i="10"/>
  <c r="AD421" i="10"/>
  <c r="AD416" i="10"/>
  <c r="AD454" i="10"/>
  <c r="AD449" i="10"/>
  <c r="AD444" i="10"/>
  <c r="AD439" i="10"/>
  <c r="Q353" i="10"/>
  <c r="AD55" i="9"/>
  <c r="AC55" i="9"/>
  <c r="AB55" i="9"/>
  <c r="AE55" i="9"/>
  <c r="P34" i="15"/>
  <c r="P99" i="15"/>
  <c r="P27" i="15"/>
  <c r="P94" i="15"/>
  <c r="P89" i="15"/>
  <c r="P84" i="15"/>
  <c r="P79" i="15"/>
  <c r="P55" i="15"/>
  <c r="P41" i="15"/>
  <c r="P48" i="15"/>
  <c r="R273" i="10"/>
  <c r="W186" i="16"/>
  <c r="W185" i="16" s="1"/>
  <c r="W468" i="10"/>
  <c r="W467" i="10" s="1"/>
  <c r="W436" i="10"/>
  <c r="W92" i="15"/>
  <c r="W91" i="15" s="1"/>
  <c r="AD103" i="9"/>
  <c r="AC31" i="15" s="1"/>
  <c r="AC103" i="9"/>
  <c r="AB31" i="15" s="1"/>
  <c r="AB103" i="9"/>
  <c r="AA31" i="15" s="1"/>
  <c r="AE103" i="9"/>
  <c r="AD31" i="15" s="1"/>
  <c r="T297" i="16"/>
  <c r="T411" i="10"/>
  <c r="T406" i="10"/>
  <c r="T401" i="10"/>
  <c r="T421" i="10"/>
  <c r="T416" i="10"/>
  <c r="T459" i="10"/>
  <c r="T454" i="10"/>
  <c r="T449" i="10"/>
  <c r="T444" i="10"/>
  <c r="T439" i="10"/>
  <c r="Q273" i="10"/>
  <c r="V280" i="10"/>
  <c r="V279" i="10" s="1"/>
  <c r="U280" i="10"/>
  <c r="U279" i="10" s="1"/>
  <c r="T280" i="10"/>
  <c r="T279" i="10" s="1"/>
  <c r="R280" i="10"/>
  <c r="R279" i="10" s="1"/>
  <c r="Q280" i="10"/>
  <c r="Q279" i="10" s="1"/>
  <c r="X280" i="10"/>
  <c r="X279" i="10" s="1"/>
  <c r="P280" i="10"/>
  <c r="A324" i="9"/>
  <c r="W280" i="10"/>
  <c r="W279" i="10" s="1"/>
  <c r="S280" i="10"/>
  <c r="S279" i="10" s="1"/>
  <c r="R191" i="16"/>
  <c r="R190" i="16" s="1"/>
  <c r="R441" i="10"/>
  <c r="R512" i="10"/>
  <c r="R546" i="10"/>
  <c r="R545" i="10" s="1"/>
  <c r="X43" i="9"/>
  <c r="X41" i="9" s="1"/>
  <c r="Y41" i="9"/>
  <c r="P181" i="10"/>
  <c r="U188" i="10"/>
  <c r="U187" i="10" s="1"/>
  <c r="T188" i="10"/>
  <c r="T187" i="10" s="1"/>
  <c r="S188" i="10"/>
  <c r="S187" i="10" s="1"/>
  <c r="Q188" i="10"/>
  <c r="Q187" i="10" s="1"/>
  <c r="X188" i="10"/>
  <c r="X187" i="10" s="1"/>
  <c r="P188" i="10"/>
  <c r="A311" i="9"/>
  <c r="V188" i="10"/>
  <c r="V187" i="10" s="1"/>
  <c r="W188" i="10"/>
  <c r="W187" i="10" s="1"/>
  <c r="R188" i="10"/>
  <c r="R187" i="10" s="1"/>
  <c r="O1" i="20"/>
  <c r="Q532" i="10"/>
  <c r="Q527" i="10"/>
  <c r="Q522" i="10"/>
  <c r="Q517" i="10"/>
  <c r="Q408" i="10"/>
  <c r="Q403" i="10"/>
  <c r="Q489" i="10"/>
  <c r="Q484" i="10"/>
  <c r="Q479" i="10"/>
  <c r="Q418" i="10"/>
  <c r="Q413" i="10"/>
  <c r="Q494" i="10"/>
  <c r="V293" i="18"/>
  <c r="V217" i="17"/>
  <c r="V189" i="15"/>
  <c r="V189" i="11"/>
  <c r="V555" i="10"/>
  <c r="AB297" i="16"/>
  <c r="AB411" i="10"/>
  <c r="AB406" i="10"/>
  <c r="AB401" i="10"/>
  <c r="AB421" i="10"/>
  <c r="AB416" i="10"/>
  <c r="AB454" i="10"/>
  <c r="AB449" i="10"/>
  <c r="AB444" i="10"/>
  <c r="AB439" i="10"/>
  <c r="R56" i="16"/>
  <c r="Q56" i="16"/>
  <c r="X56" i="16"/>
  <c r="P56" i="16"/>
  <c r="W56" i="16"/>
  <c r="A341" i="9"/>
  <c r="V56" i="16"/>
  <c r="U56" i="16"/>
  <c r="T56" i="16"/>
  <c r="S56" i="16"/>
  <c r="T60" i="11"/>
  <c r="T79" i="11"/>
  <c r="T117" i="11"/>
  <c r="T98" i="11"/>
  <c r="T41" i="11"/>
  <c r="T267" i="10"/>
  <c r="X224" i="10"/>
  <c r="R46" i="9"/>
  <c r="R44" i="9" s="1"/>
  <c r="S44" i="9"/>
  <c r="S169" i="15"/>
  <c r="S170" i="15"/>
  <c r="S171" i="15"/>
  <c r="S89" i="15"/>
  <c r="S84" i="15"/>
  <c r="S79" i="15"/>
  <c r="S55" i="15"/>
  <c r="S48" i="15"/>
  <c r="S41" i="15"/>
  <c r="S34" i="15"/>
  <c r="S94" i="15"/>
  <c r="S99" i="15"/>
  <c r="S27" i="15"/>
  <c r="V297" i="16"/>
  <c r="V411" i="10"/>
  <c r="V406" i="10"/>
  <c r="V401" i="10"/>
  <c r="V421" i="10"/>
  <c r="V416" i="10"/>
  <c r="V459" i="10"/>
  <c r="V454" i="10"/>
  <c r="V449" i="10"/>
  <c r="V444" i="10"/>
  <c r="V439" i="10"/>
  <c r="AB102" i="9"/>
  <c r="O189" i="11"/>
  <c r="O555" i="10"/>
  <c r="O299" i="16" s="1"/>
  <c r="X267" i="10"/>
  <c r="U88" i="16"/>
  <c r="T88" i="16"/>
  <c r="Q88" i="16"/>
  <c r="R88" i="16"/>
  <c r="P88" i="16"/>
  <c r="AA88" i="16"/>
  <c r="X88" i="16"/>
  <c r="W88" i="16"/>
  <c r="S88" i="16"/>
  <c r="V88" i="16"/>
  <c r="V14" i="14"/>
  <c r="V13" i="14" s="1"/>
  <c r="U14" i="14"/>
  <c r="U13" i="14" s="1"/>
  <c r="T14" i="14"/>
  <c r="T13" i="14" s="1"/>
  <c r="R14" i="14"/>
  <c r="R13" i="14" s="1"/>
  <c r="S14" i="14"/>
  <c r="S13" i="14" s="1"/>
  <c r="Q14" i="14"/>
  <c r="Q13" i="14" s="1"/>
  <c r="Q155" i="11"/>
  <c r="Q159" i="11"/>
  <c r="Q158" i="11" s="1"/>
  <c r="Q29" i="14"/>
  <c r="Q28" i="14" s="1"/>
  <c r="V29" i="14"/>
  <c r="V28" i="14" s="1"/>
  <c r="T29" i="14"/>
  <c r="T28" i="14" s="1"/>
  <c r="S29" i="14"/>
  <c r="S28" i="14" s="1"/>
  <c r="R29" i="14"/>
  <c r="R28" i="14" s="1"/>
  <c r="U29" i="14"/>
  <c r="U28" i="14" s="1"/>
  <c r="Q179" i="11"/>
  <c r="R179" i="11" s="1"/>
  <c r="S179" i="11" s="1"/>
  <c r="T179" i="11" s="1"/>
  <c r="U179" i="11" s="1"/>
  <c r="V179" i="11" s="1"/>
  <c r="W179" i="11" s="1"/>
  <c r="X179" i="11" s="1"/>
  <c r="AD157" i="10"/>
  <c r="AC157" i="10"/>
  <c r="AB157" i="10"/>
  <c r="AA157" i="10"/>
  <c r="AB170" i="16"/>
  <c r="AB73" i="16"/>
  <c r="Z133" i="10"/>
  <c r="Z95" i="10"/>
  <c r="P122" i="11"/>
  <c r="P84" i="11"/>
  <c r="P46" i="11"/>
  <c r="U79" i="20"/>
  <c r="U75" i="20"/>
  <c r="U71" i="20"/>
  <c r="U63" i="20"/>
  <c r="U59" i="20"/>
  <c r="U55" i="20"/>
  <c r="U51" i="20"/>
  <c r="AE51" i="20" s="1"/>
  <c r="U43" i="20"/>
  <c r="AE43" i="20" s="1"/>
  <c r="U39" i="20"/>
  <c r="AE39" i="20" s="1"/>
  <c r="U78" i="20"/>
  <c r="AE78" i="20" s="1"/>
  <c r="U74" i="20"/>
  <c r="U70" i="20"/>
  <c r="U66" i="20"/>
  <c r="AE66" i="20" s="1"/>
  <c r="U58" i="20"/>
  <c r="U54" i="20"/>
  <c r="U50" i="20"/>
  <c r="AE50" i="20" s="1"/>
  <c r="U46" i="20"/>
  <c r="AE46" i="20" s="1"/>
  <c r="U38" i="20"/>
  <c r="AE38" i="20" s="1"/>
  <c r="U81" i="20"/>
  <c r="U73" i="20"/>
  <c r="U69" i="20"/>
  <c r="U65" i="20"/>
  <c r="U61" i="20"/>
  <c r="U53" i="20"/>
  <c r="U49" i="20"/>
  <c r="AE49" i="20" s="1"/>
  <c r="U45" i="20"/>
  <c r="AE45" i="20" s="1"/>
  <c r="U41" i="20"/>
  <c r="AE41" i="20" s="1"/>
  <c r="U72" i="20"/>
  <c r="AE72" i="20" s="1"/>
  <c r="U36" i="20"/>
  <c r="AE36" i="20" s="1"/>
  <c r="U28" i="20"/>
  <c r="U24" i="20"/>
  <c r="U20" i="20"/>
  <c r="U16" i="20"/>
  <c r="U8" i="20"/>
  <c r="U4" i="20"/>
  <c r="U68" i="20"/>
  <c r="AE68" i="20" s="1"/>
  <c r="U64" i="20"/>
  <c r="U35" i="20"/>
  <c r="AE35" i="20" s="1"/>
  <c r="U31" i="20"/>
  <c r="U23" i="20"/>
  <c r="U19" i="20"/>
  <c r="U15" i="20"/>
  <c r="U11" i="20"/>
  <c r="U3" i="20"/>
  <c r="U60" i="20"/>
  <c r="U56" i="20"/>
  <c r="AE56" i="20" s="1"/>
  <c r="U34" i="20"/>
  <c r="AE34" i="20" s="1"/>
  <c r="U30" i="20"/>
  <c r="U26" i="20"/>
  <c r="U18" i="20"/>
  <c r="U14" i="20"/>
  <c r="U10" i="20"/>
  <c r="U6" i="20"/>
  <c r="U80" i="20"/>
  <c r="U9" i="20"/>
  <c r="U44" i="20"/>
  <c r="AE44" i="20" s="1"/>
  <c r="U29" i="20"/>
  <c r="U40" i="20"/>
  <c r="AE40" i="20" s="1"/>
  <c r="U5" i="20"/>
  <c r="U25" i="20"/>
  <c r="U76" i="20"/>
  <c r="AE76" i="20" s="1"/>
  <c r="U13" i="20"/>
  <c r="U48" i="20"/>
  <c r="AE48" i="20" s="1"/>
  <c r="U33" i="20"/>
  <c r="AE33" i="20" s="1"/>
  <c r="U21" i="20"/>
  <c r="P273" i="10"/>
  <c r="R196" i="16"/>
  <c r="R195" i="16" s="1"/>
  <c r="R446" i="10"/>
  <c r="R92" i="15"/>
  <c r="R91" i="15" s="1"/>
  <c r="X292" i="18"/>
  <c r="X216" i="17"/>
  <c r="X188" i="15"/>
  <c r="X188" i="11"/>
  <c r="X554" i="10"/>
  <c r="S297" i="16"/>
  <c r="S411" i="10"/>
  <c r="S406" i="10"/>
  <c r="S401" i="10"/>
  <c r="S421" i="10"/>
  <c r="S416" i="10"/>
  <c r="S459" i="10"/>
  <c r="S454" i="10"/>
  <c r="S449" i="10"/>
  <c r="S444" i="10"/>
  <c r="S439" i="10"/>
  <c r="X181" i="10"/>
  <c r="Q1" i="20"/>
  <c r="S532" i="10"/>
  <c r="S527" i="10"/>
  <c r="S522" i="10"/>
  <c r="S517" i="10"/>
  <c r="S494" i="10"/>
  <c r="S408" i="10"/>
  <c r="S403" i="10"/>
  <c r="S402" i="10" s="1"/>
  <c r="S489" i="10"/>
  <c r="S484" i="10"/>
  <c r="S479" i="10"/>
  <c r="S413" i="10"/>
  <c r="S412" i="10" s="1"/>
  <c r="W293" i="18"/>
  <c r="W217" i="17"/>
  <c r="W189" i="15"/>
  <c r="W189" i="11"/>
  <c r="W555" i="10"/>
  <c r="S27" i="19"/>
  <c r="S28" i="19"/>
  <c r="S29" i="19"/>
  <c r="S30" i="19"/>
  <c r="S31" i="19"/>
  <c r="S32" i="19"/>
  <c r="S88" i="17"/>
  <c r="S40" i="17"/>
  <c r="S84" i="17"/>
  <c r="S80" i="17"/>
  <c r="S30" i="17"/>
  <c r="S35" i="17"/>
  <c r="P9" i="2"/>
  <c r="R224" i="10"/>
  <c r="AB108" i="9"/>
  <c r="AC299" i="16"/>
  <c r="AC525" i="10"/>
  <c r="AC520" i="10"/>
  <c r="AC515" i="10"/>
  <c r="S19" i="2"/>
  <c r="R18" i="2"/>
  <c r="AC122" i="9"/>
  <c r="AC102" i="9" s="1"/>
  <c r="AB121" i="9"/>
  <c r="Z299" i="16"/>
  <c r="Z535" i="10"/>
  <c r="Z530" i="10"/>
  <c r="AD298" i="16"/>
  <c r="AD492" i="10"/>
  <c r="AD487" i="10"/>
  <c r="AD482" i="10"/>
  <c r="AD477" i="10"/>
  <c r="AD497" i="10"/>
  <c r="B99" i="7"/>
  <c r="H99" i="7" s="1"/>
  <c r="H98" i="7"/>
  <c r="AB264" i="18"/>
  <c r="AA263" i="18"/>
  <c r="O218" i="18"/>
  <c r="O215" i="18" s="1"/>
  <c r="O10" i="18" s="1"/>
  <c r="O107" i="5" s="1"/>
  <c r="AD109" i="17"/>
  <c r="AD103" i="17"/>
  <c r="W282" i="16"/>
  <c r="W275" i="16" s="1"/>
  <c r="W274" i="16" s="1"/>
  <c r="W256" i="16"/>
  <c r="O20" i="17"/>
  <c r="O6" i="17" s="1"/>
  <c r="O50" i="17"/>
  <c r="T67" i="17"/>
  <c r="Y67" i="17" s="1"/>
  <c r="Y115" i="17"/>
  <c r="AA233" i="16"/>
  <c r="AB231" i="16"/>
  <c r="S95" i="15"/>
  <c r="H20" i="14"/>
  <c r="O108" i="15"/>
  <c r="O10" i="12"/>
  <c r="Z120" i="15"/>
  <c r="Z82" i="11"/>
  <c r="V17" i="14"/>
  <c r="V16" i="14" s="1"/>
  <c r="U17" i="14"/>
  <c r="U16" i="14" s="1"/>
  <c r="T17" i="14"/>
  <c r="T16" i="14" s="1"/>
  <c r="S17" i="14"/>
  <c r="S16" i="14" s="1"/>
  <c r="Q17" i="14"/>
  <c r="Q16" i="14" s="1"/>
  <c r="R17" i="14"/>
  <c r="R16" i="14" s="1"/>
  <c r="R154" i="11"/>
  <c r="Q152" i="11"/>
  <c r="Q150" i="11" s="1"/>
  <c r="AA342" i="10"/>
  <c r="AB342" i="10"/>
  <c r="AD342" i="10"/>
  <c r="AC342" i="10"/>
  <c r="O118" i="11"/>
  <c r="Y81" i="11"/>
  <c r="P80" i="11"/>
  <c r="X109" i="10"/>
  <c r="X147" i="10" s="1"/>
  <c r="AA68" i="11"/>
  <c r="AC447" i="9"/>
  <c r="AA49" i="11"/>
  <c r="AC446" i="9"/>
  <c r="U276" i="18"/>
  <c r="U194" i="18"/>
  <c r="U161" i="18"/>
  <c r="U189" i="18"/>
  <c r="U199" i="18"/>
  <c r="U156" i="18"/>
  <c r="U151" i="18"/>
  <c r="U121" i="18"/>
  <c r="U50" i="18"/>
  <c r="U114" i="18"/>
  <c r="U107" i="18"/>
  <c r="U64" i="18"/>
  <c r="U57" i="18"/>
  <c r="O167" i="10"/>
  <c r="O10" i="10" s="1"/>
  <c r="O36" i="5" s="1"/>
  <c r="O11" i="5" s="1"/>
  <c r="O11" i="1" s="1"/>
  <c r="AC170" i="16"/>
  <c r="AC73" i="16"/>
  <c r="AA299" i="16"/>
  <c r="AA525" i="10"/>
  <c r="AA520" i="10"/>
  <c r="AA515" i="10"/>
  <c r="R33" i="15"/>
  <c r="W33" i="15"/>
  <c r="V33" i="15"/>
  <c r="A353" i="9"/>
  <c r="U33" i="15"/>
  <c r="T33" i="15"/>
  <c r="S33" i="15"/>
  <c r="Q33" i="15"/>
  <c r="P33" i="15"/>
  <c r="X33" i="15"/>
  <c r="U64" i="10"/>
  <c r="T64" i="10"/>
  <c r="S64" i="10"/>
  <c r="A294" i="9"/>
  <c r="Q64" i="10"/>
  <c r="X64" i="10"/>
  <c r="P64" i="10"/>
  <c r="V64" i="10"/>
  <c r="W64" i="10"/>
  <c r="R64" i="10"/>
  <c r="W196" i="16"/>
  <c r="W195" i="16" s="1"/>
  <c r="W446" i="10"/>
  <c r="AC73" i="9"/>
  <c r="AB271" i="10" s="1"/>
  <c r="AB73" i="9"/>
  <c r="AA271" i="10" s="1"/>
  <c r="AD73" i="9"/>
  <c r="AC271" i="10" s="1"/>
  <c r="AE73" i="9"/>
  <c r="AD271" i="10" s="1"/>
  <c r="T27" i="19"/>
  <c r="T28" i="19"/>
  <c r="T29" i="19"/>
  <c r="T30" i="19"/>
  <c r="T31" i="19"/>
  <c r="T32" i="19"/>
  <c r="T88" i="17"/>
  <c r="T84" i="17"/>
  <c r="T80" i="17"/>
  <c r="T40" i="17"/>
  <c r="T30" i="17"/>
  <c r="T35" i="17"/>
  <c r="S273" i="10"/>
  <c r="X273" i="10"/>
  <c r="R201" i="16"/>
  <c r="R200" i="16" s="1"/>
  <c r="R199" i="16" s="1"/>
  <c r="R451" i="10"/>
  <c r="P81" i="20"/>
  <c r="P73" i="20"/>
  <c r="P69" i="20"/>
  <c r="P65" i="20"/>
  <c r="P61" i="20"/>
  <c r="P53" i="20"/>
  <c r="P49" i="20"/>
  <c r="Z49" i="20" s="1"/>
  <c r="P45" i="20"/>
  <c r="Z45" i="20" s="1"/>
  <c r="P41" i="20"/>
  <c r="Z41" i="20" s="1"/>
  <c r="P80" i="20"/>
  <c r="P76" i="20"/>
  <c r="Z76" i="20" s="1"/>
  <c r="P72" i="20"/>
  <c r="Z72" i="20" s="1"/>
  <c r="P68" i="20"/>
  <c r="Z68" i="20" s="1"/>
  <c r="P64" i="20"/>
  <c r="P60" i="20"/>
  <c r="P56" i="20"/>
  <c r="Z56" i="20" s="1"/>
  <c r="P48" i="20"/>
  <c r="Z48" i="20" s="1"/>
  <c r="P44" i="20"/>
  <c r="Z44" i="20" s="1"/>
  <c r="P40" i="20"/>
  <c r="Z40" i="20" s="1"/>
  <c r="P79" i="20"/>
  <c r="P75" i="20"/>
  <c r="P71" i="20"/>
  <c r="P63" i="20"/>
  <c r="P59" i="20"/>
  <c r="P55" i="20"/>
  <c r="P51" i="20"/>
  <c r="Z51" i="20" s="1"/>
  <c r="P43" i="20"/>
  <c r="Z43" i="20" s="1"/>
  <c r="P39" i="20"/>
  <c r="Z39" i="20" s="1"/>
  <c r="P78" i="20"/>
  <c r="Z78" i="20" s="1"/>
  <c r="P74" i="20"/>
  <c r="P70" i="20"/>
  <c r="P66" i="20"/>
  <c r="Z66" i="20" s="1"/>
  <c r="P58" i="20"/>
  <c r="P54" i="20"/>
  <c r="P50" i="20"/>
  <c r="Z50" i="20" s="1"/>
  <c r="P46" i="20"/>
  <c r="Z46" i="20" s="1"/>
  <c r="P38" i="20"/>
  <c r="Z38" i="20" s="1"/>
  <c r="P34" i="20"/>
  <c r="Z34" i="20" s="1"/>
  <c r="P30" i="20"/>
  <c r="P26" i="20"/>
  <c r="P18" i="20"/>
  <c r="P14" i="20"/>
  <c r="P10" i="20"/>
  <c r="P6" i="20"/>
  <c r="P33" i="20"/>
  <c r="Z33" i="20" s="1"/>
  <c r="P29" i="20"/>
  <c r="P25" i="20"/>
  <c r="P21" i="20"/>
  <c r="P13" i="20"/>
  <c r="P9" i="20"/>
  <c r="P5" i="20"/>
  <c r="P36" i="20"/>
  <c r="Z36" i="20" s="1"/>
  <c r="P28" i="20"/>
  <c r="P24" i="20"/>
  <c r="P20" i="20"/>
  <c r="P16" i="20"/>
  <c r="P8" i="20"/>
  <c r="P4" i="20"/>
  <c r="P35" i="20"/>
  <c r="Z35" i="20" s="1"/>
  <c r="P31" i="20"/>
  <c r="P23" i="20"/>
  <c r="P19" i="20"/>
  <c r="P15" i="20"/>
  <c r="P11" i="20"/>
  <c r="P3" i="20"/>
  <c r="U298" i="16"/>
  <c r="U487" i="10"/>
  <c r="U482" i="10"/>
  <c r="U477" i="10"/>
  <c r="U497" i="10"/>
  <c r="U492" i="10"/>
  <c r="R181" i="10"/>
  <c r="R1" i="20"/>
  <c r="T532" i="10"/>
  <c r="T527" i="10"/>
  <c r="T522" i="10"/>
  <c r="T517" i="10"/>
  <c r="T494" i="10"/>
  <c r="T408" i="10"/>
  <c r="T407" i="10" s="1"/>
  <c r="T403" i="10"/>
  <c r="T402" i="10" s="1"/>
  <c r="T489" i="10"/>
  <c r="T484" i="10"/>
  <c r="T479" i="10"/>
  <c r="T413" i="10"/>
  <c r="T412" i="10" s="1"/>
  <c r="R122" i="11"/>
  <c r="R118" i="11" s="1"/>
  <c r="R46" i="11"/>
  <c r="R42" i="11" s="1"/>
  <c r="R84" i="11"/>
  <c r="Z297" i="16"/>
  <c r="Z454" i="10"/>
  <c r="AB92" i="9"/>
  <c r="AA61" i="16" s="1"/>
  <c r="S194" i="18"/>
  <c r="S161" i="18"/>
  <c r="S189" i="18"/>
  <c r="S276" i="18"/>
  <c r="S156" i="18"/>
  <c r="S151" i="18"/>
  <c r="S64" i="18"/>
  <c r="S121" i="18"/>
  <c r="S57" i="18"/>
  <c r="S50" i="18"/>
  <c r="S107" i="18"/>
  <c r="S199" i="18"/>
  <c r="S114" i="18"/>
  <c r="T224" i="10"/>
  <c r="S16" i="2"/>
  <c r="R24" i="3"/>
  <c r="R23" i="3" s="1"/>
  <c r="AB72" i="9"/>
  <c r="AC72" i="9"/>
  <c r="S310" i="10"/>
  <c r="AB88" i="17"/>
  <c r="AB84" i="17"/>
  <c r="AB80" i="17"/>
  <c r="AB30" i="17"/>
  <c r="AB40" i="17"/>
  <c r="AB35" i="17"/>
  <c r="AD122" i="11"/>
  <c r="AD84" i="11"/>
  <c r="AD46" i="11"/>
  <c r="N22" i="5"/>
  <c r="N24" i="5" s="1"/>
  <c r="N17" i="5"/>
  <c r="Y18" i="13"/>
  <c r="P17" i="13"/>
  <c r="P13" i="13" s="1"/>
  <c r="P170" i="11"/>
  <c r="X276" i="18"/>
  <c r="X199" i="18"/>
  <c r="X156" i="18"/>
  <c r="X151" i="18"/>
  <c r="X194" i="18"/>
  <c r="X161" i="18"/>
  <c r="X121" i="18"/>
  <c r="X57" i="18"/>
  <c r="X114" i="18"/>
  <c r="X189" i="18"/>
  <c r="X64" i="18"/>
  <c r="X107" i="18"/>
  <c r="X50" i="18"/>
  <c r="Z238" i="16"/>
  <c r="Y237" i="16"/>
  <c r="Y225" i="16" s="1"/>
  <c r="O417" i="10"/>
  <c r="Q97" i="15"/>
  <c r="Q96" i="15" s="1"/>
  <c r="Q95" i="15" s="1"/>
  <c r="R39" i="14"/>
  <c r="R38" i="14" s="1"/>
  <c r="Q39" i="14"/>
  <c r="Q38" i="14" s="1"/>
  <c r="U39" i="14"/>
  <c r="U38" i="14" s="1"/>
  <c r="V39" i="14"/>
  <c r="V38" i="14" s="1"/>
  <c r="T39" i="14"/>
  <c r="T38" i="14" s="1"/>
  <c r="S39" i="14"/>
  <c r="S38" i="14" s="1"/>
  <c r="R173" i="11"/>
  <c r="Q167" i="11"/>
  <c r="Z130" i="15"/>
  <c r="Y129" i="15"/>
  <c r="Y115" i="15" s="1"/>
  <c r="O10" i="15"/>
  <c r="O85" i="5" s="1"/>
  <c r="Y145" i="11"/>
  <c r="Z145" i="11" s="1"/>
  <c r="AA145" i="11" s="1"/>
  <c r="O9" i="11"/>
  <c r="Y21" i="12"/>
  <c r="Z21" i="12" s="1"/>
  <c r="AA21" i="12" s="1"/>
  <c r="AB21" i="12" s="1"/>
  <c r="AC21" i="12" s="1"/>
  <c r="AD21" i="12" s="1"/>
  <c r="AA150" i="11"/>
  <c r="AB162" i="11"/>
  <c r="AD383" i="10"/>
  <c r="AC383" i="10"/>
  <c r="AB383" i="10"/>
  <c r="AA383" i="10"/>
  <c r="AD388" i="10"/>
  <c r="AC388" i="10"/>
  <c r="AB388" i="10"/>
  <c r="AD209" i="10"/>
  <c r="AC209" i="10"/>
  <c r="AB209" i="10"/>
  <c r="AA209" i="10"/>
  <c r="Y119" i="11"/>
  <c r="P118" i="11"/>
  <c r="Y71" i="10"/>
  <c r="P109" i="10"/>
  <c r="P147" i="10" s="1"/>
  <c r="O302" i="10"/>
  <c r="J302" i="10" s="1"/>
  <c r="O74" i="11"/>
  <c r="O85" i="11" s="1"/>
  <c r="O87" i="11" s="1"/>
  <c r="N448" i="9" s="1"/>
  <c r="AA106" i="11"/>
  <c r="AC449" i="9"/>
  <c r="X353" i="10"/>
  <c r="O37" i="12"/>
  <c r="O38" i="12" s="1"/>
  <c r="O32" i="12"/>
  <c r="O33" i="12" s="1"/>
  <c r="O29" i="12"/>
  <c r="O30" i="12" s="1"/>
  <c r="AD114" i="9"/>
  <c r="W201" i="16"/>
  <c r="W200" i="16" s="1"/>
  <c r="W199" i="16" s="1"/>
  <c r="W451" i="10"/>
  <c r="T276" i="18"/>
  <c r="T194" i="18"/>
  <c r="T161" i="18"/>
  <c r="T189" i="18"/>
  <c r="T199" i="18"/>
  <c r="T151" i="18"/>
  <c r="T121" i="18"/>
  <c r="T57" i="18"/>
  <c r="T50" i="18"/>
  <c r="T114" i="18"/>
  <c r="T107" i="18"/>
  <c r="T64" i="18"/>
  <c r="T156" i="18"/>
  <c r="R398" i="10"/>
  <c r="R430" i="10"/>
  <c r="R429" i="10" s="1"/>
  <c r="R206" i="16"/>
  <c r="R456" i="10"/>
  <c r="AE97" i="9"/>
  <c r="AD104" i="16" s="1"/>
  <c r="AC97" i="9"/>
  <c r="AB104" i="16" s="1"/>
  <c r="AB97" i="9"/>
  <c r="AA104" i="16" s="1"/>
  <c r="AD97" i="9"/>
  <c r="AC104" i="16" s="1"/>
  <c r="U122" i="11"/>
  <c r="U118" i="11" s="1"/>
  <c r="U46" i="11"/>
  <c r="U42" i="11" s="1"/>
  <c r="U84" i="11"/>
  <c r="U80" i="11" s="1"/>
  <c r="S181" i="10"/>
  <c r="S1" i="20"/>
  <c r="U532" i="10"/>
  <c r="U527" i="10"/>
  <c r="U522" i="10"/>
  <c r="U517" i="10"/>
  <c r="U408" i="10"/>
  <c r="U403" i="10"/>
  <c r="U489" i="10"/>
  <c r="U488" i="10" s="1"/>
  <c r="U484" i="10"/>
  <c r="U483" i="10" s="1"/>
  <c r="U479" i="10"/>
  <c r="U478" i="10" s="1"/>
  <c r="U418" i="10"/>
  <c r="U413" i="10"/>
  <c r="U494" i="10"/>
  <c r="U493" i="10" s="1"/>
  <c r="U19" i="10"/>
  <c r="U115" i="11" s="1"/>
  <c r="AC75" i="9"/>
  <c r="AB283" i="10" s="1"/>
  <c r="AB75" i="9"/>
  <c r="AA283" i="10" s="1"/>
  <c r="R298" i="16"/>
  <c r="R492" i="10"/>
  <c r="R488" i="10" s="1"/>
  <c r="R497" i="10"/>
  <c r="R487" i="10"/>
  <c r="R483" i="10" s="1"/>
  <c r="R482" i="10"/>
  <c r="R478" i="10" s="1"/>
  <c r="R477" i="10"/>
  <c r="Q11" i="3"/>
  <c r="Q17" i="3" s="1"/>
  <c r="O17" i="3"/>
  <c r="T298" i="16"/>
  <c r="T497" i="10"/>
  <c r="T492" i="10"/>
  <c r="T487" i="10"/>
  <c r="T482" i="10"/>
  <c r="T477" i="10"/>
  <c r="U224" i="10"/>
  <c r="AE85" i="9"/>
  <c r="AD357" i="10" s="1"/>
  <c r="AD85" i="9"/>
  <c r="AC357" i="10" s="1"/>
  <c r="AC85" i="9"/>
  <c r="AB357" i="10" s="1"/>
  <c r="AB85" i="9"/>
  <c r="AA357" i="10" s="1"/>
  <c r="AB78" i="9"/>
  <c r="AC78" i="9"/>
  <c r="U38" i="1"/>
  <c r="T39" i="1"/>
  <c r="Y217" i="17"/>
  <c r="Z45" i="17"/>
  <c r="S267" i="10"/>
  <c r="R267" i="10"/>
  <c r="AB80" i="9"/>
  <c r="AB276" i="18"/>
  <c r="AB194" i="18"/>
  <c r="AB161" i="18"/>
  <c r="AB189" i="18"/>
  <c r="AB199" i="18"/>
  <c r="AB151" i="18"/>
  <c r="AB57" i="18"/>
  <c r="AB121" i="18"/>
  <c r="AB50" i="18"/>
  <c r="AB114" i="18"/>
  <c r="AB107" i="18"/>
  <c r="AB64" i="18"/>
  <c r="AD171" i="15"/>
  <c r="AD48" i="15"/>
  <c r="AD41" i="15"/>
  <c r="AD169" i="15"/>
  <c r="AD34" i="15"/>
  <c r="AD99" i="15"/>
  <c r="AD27" i="15"/>
  <c r="AD94" i="15"/>
  <c r="AD89" i="15"/>
  <c r="AD170" i="15"/>
  <c r="AD79" i="15"/>
  <c r="AD55" i="15"/>
  <c r="AD84" i="15"/>
  <c r="W297" i="16"/>
  <c r="W421" i="10"/>
  <c r="W416" i="10"/>
  <c r="W459" i="10"/>
  <c r="W454" i="10"/>
  <c r="W449" i="10"/>
  <c r="W444" i="10"/>
  <c r="W439" i="10"/>
  <c r="W411" i="10"/>
  <c r="W406" i="10"/>
  <c r="W401" i="10"/>
  <c r="AD125" i="9"/>
  <c r="AD75" i="9" s="1"/>
  <c r="AC283" i="10" s="1"/>
  <c r="AC63" i="9"/>
  <c r="AB197" i="10" s="1"/>
  <c r="AC93" i="9"/>
  <c r="AB68" i="16" s="1"/>
  <c r="AC87" i="9"/>
  <c r="AB369" i="10" s="1"/>
  <c r="Z244" i="16"/>
  <c r="R17" i="13"/>
  <c r="R13" i="13" s="1"/>
  <c r="R52" i="12"/>
  <c r="R49" i="12" s="1"/>
  <c r="N10" i="12"/>
  <c r="N6" i="12" s="1"/>
  <c r="N7" i="12" s="1"/>
  <c r="N50" i="12"/>
  <c r="Z269" i="16"/>
  <c r="AA269" i="16" s="1"/>
  <c r="Y268" i="16"/>
  <c r="Z268" i="16" s="1"/>
  <c r="Y293" i="16"/>
  <c r="P282" i="16"/>
  <c r="P275" i="16" s="1"/>
  <c r="P274" i="16" s="1"/>
  <c r="P256" i="16"/>
  <c r="Q228" i="18"/>
  <c r="O43" i="19"/>
  <c r="O42" i="19" s="1"/>
  <c r="O23" i="19" s="1"/>
  <c r="O13" i="17" s="1"/>
  <c r="O140" i="5" s="1"/>
  <c r="O33" i="19"/>
  <c r="AB173" i="17"/>
  <c r="AC167" i="17"/>
  <c r="X256" i="16"/>
  <c r="X282" i="16"/>
  <c r="X275" i="16" s="1"/>
  <c r="X274" i="16" s="1"/>
  <c r="O93" i="16"/>
  <c r="O40" i="16"/>
  <c r="O180" i="16"/>
  <c r="O181" i="16" s="1"/>
  <c r="X97" i="15"/>
  <c r="X96" i="15" s="1"/>
  <c r="U122" i="15"/>
  <c r="U126" i="15"/>
  <c r="O407" i="10"/>
  <c r="V11" i="14"/>
  <c r="V10" i="14" s="1"/>
  <c r="U11" i="14"/>
  <c r="U10" i="14" s="1"/>
  <c r="S11" i="14"/>
  <c r="S10" i="14" s="1"/>
  <c r="T11" i="14"/>
  <c r="T10" i="14" s="1"/>
  <c r="R11" i="14"/>
  <c r="R10" i="14" s="1"/>
  <c r="Q11" i="14"/>
  <c r="Q10" i="14" s="1"/>
  <c r="O9" i="12"/>
  <c r="N7" i="14"/>
  <c r="N8" i="2"/>
  <c r="N9" i="2" s="1"/>
  <c r="O15" i="3" s="1"/>
  <c r="AB18" i="12"/>
  <c r="O122" i="15"/>
  <c r="R155" i="11"/>
  <c r="P158" i="11"/>
  <c r="Y158" i="11" s="1"/>
  <c r="Y159" i="11"/>
  <c r="Z159" i="11" s="1"/>
  <c r="AC38" i="12"/>
  <c r="AB38" i="12"/>
  <c r="AD38" i="12"/>
  <c r="O345" i="10"/>
  <c r="J345" i="10" s="1"/>
  <c r="Y288" i="10"/>
  <c r="Z288" i="10" s="1"/>
  <c r="Z290" i="10" s="1"/>
  <c r="AA188" i="9" s="1"/>
  <c r="AD338" i="10"/>
  <c r="AC338" i="10"/>
  <c r="AB338" i="10"/>
  <c r="AA338" i="10"/>
  <c r="O25" i="10"/>
  <c r="O24" i="10" s="1"/>
  <c r="AD213" i="10"/>
  <c r="AA213" i="10"/>
  <c r="AC213" i="10"/>
  <c r="AB213" i="10"/>
  <c r="X117" i="10"/>
  <c r="P117" i="10"/>
  <c r="S117" i="10"/>
  <c r="R117" i="10"/>
  <c r="Q117" i="10"/>
  <c r="W117" i="10"/>
  <c r="J117" i="10"/>
  <c r="V117" i="10"/>
  <c r="U117" i="10"/>
  <c r="T117" i="10"/>
  <c r="Q109" i="10"/>
  <c r="Q147" i="10" s="1"/>
  <c r="Q19" i="10"/>
  <c r="Q115" i="11" s="1"/>
  <c r="AC297" i="16"/>
  <c r="AC411" i="10"/>
  <c r="AC406" i="10"/>
  <c r="AC401" i="10"/>
  <c r="AC421" i="10"/>
  <c r="AC416" i="10"/>
  <c r="AC454" i="10"/>
  <c r="AC449" i="10"/>
  <c r="AC444" i="10"/>
  <c r="AC439" i="10"/>
  <c r="S353" i="10"/>
  <c r="AA109" i="11"/>
  <c r="AC455" i="9"/>
  <c r="AD84" i="17"/>
  <c r="AD80" i="17"/>
  <c r="AD40" i="17"/>
  <c r="AD35" i="17"/>
  <c r="AD88" i="17"/>
  <c r="AD30" i="17"/>
  <c r="P353" i="10"/>
  <c r="AD97" i="15"/>
  <c r="AD50" i="15"/>
  <c r="U42" i="6"/>
  <c r="O108" i="11"/>
  <c r="O109" i="11" s="1"/>
  <c r="N455" i="9" s="1"/>
  <c r="O105" i="11"/>
  <c r="O95" i="11"/>
  <c r="O94" i="11" s="1"/>
  <c r="O93" i="11" s="1"/>
  <c r="O104" i="11" s="1"/>
  <c r="O106" i="11" s="1"/>
  <c r="N449" i="9" s="1"/>
  <c r="AB50" i="15"/>
  <c r="AB97" i="15"/>
  <c r="S42" i="6"/>
  <c r="AC66" i="9"/>
  <c r="AB66" i="9"/>
  <c r="AA298" i="16"/>
  <c r="AA497" i="10"/>
  <c r="AA492" i="10"/>
  <c r="AA487" i="10"/>
  <c r="AA482" i="10"/>
  <c r="AA477" i="10"/>
  <c r="W430" i="10"/>
  <c r="W429" i="10" s="1"/>
  <c r="W398" i="10"/>
  <c r="W206" i="16"/>
  <c r="W456" i="10"/>
  <c r="U170" i="15"/>
  <c r="U171" i="15"/>
  <c r="U79" i="15"/>
  <c r="U55" i="15"/>
  <c r="U48" i="15"/>
  <c r="U41" i="15"/>
  <c r="U34" i="15"/>
  <c r="U99" i="15"/>
  <c r="U95" i="15" s="1"/>
  <c r="U27" i="15"/>
  <c r="U169" i="15"/>
  <c r="U94" i="15"/>
  <c r="U84" i="15"/>
  <c r="U89" i="15"/>
  <c r="S106" i="16"/>
  <c r="R106" i="16"/>
  <c r="Q106" i="16"/>
  <c r="X106" i="16"/>
  <c r="P106" i="16"/>
  <c r="W106" i="16"/>
  <c r="A347" i="9"/>
  <c r="V106" i="16"/>
  <c r="U106" i="16"/>
  <c r="T106" i="16"/>
  <c r="R169" i="15"/>
  <c r="R170" i="15"/>
  <c r="R171" i="15"/>
  <c r="R94" i="15"/>
  <c r="R89" i="15"/>
  <c r="R84" i="15"/>
  <c r="R79" i="15"/>
  <c r="R55" i="15"/>
  <c r="R48" i="15"/>
  <c r="R41" i="15"/>
  <c r="R99" i="15"/>
  <c r="R27" i="15"/>
  <c r="R34" i="15"/>
  <c r="AD81" i="9"/>
  <c r="AC326" i="10" s="1"/>
  <c r="AC81" i="9"/>
  <c r="AB326" i="10" s="1"/>
  <c r="AB81" i="9"/>
  <c r="AA326" i="10" s="1"/>
  <c r="T46" i="11"/>
  <c r="T42" i="11" s="1"/>
  <c r="T122" i="11"/>
  <c r="T118" i="11" s="1"/>
  <c r="T84" i="11"/>
  <c r="T80" i="11" s="1"/>
  <c r="AC60" i="9"/>
  <c r="AB60" i="9"/>
  <c r="AC30" i="17"/>
  <c r="AC40" i="17"/>
  <c r="AC84" i="17"/>
  <c r="AC80" i="17"/>
  <c r="AC35" i="17"/>
  <c r="AC88" i="17"/>
  <c r="Y293" i="18"/>
  <c r="Z171" i="18"/>
  <c r="Z170" i="18" s="1"/>
  <c r="U267" i="10"/>
  <c r="AC115" i="9"/>
  <c r="AB104" i="18" s="1"/>
  <c r="AB115" i="9"/>
  <c r="AB298" i="16"/>
  <c r="AB497" i="10"/>
  <c r="AB492" i="10"/>
  <c r="AB487" i="10"/>
  <c r="AB482" i="10"/>
  <c r="AB477" i="10"/>
  <c r="O18" i="3"/>
  <c r="Q12" i="3"/>
  <c r="Q18" i="3" s="1"/>
  <c r="AB84" i="9"/>
  <c r="AC67" i="9"/>
  <c r="AB228" i="10" s="1"/>
  <c r="M7" i="14"/>
  <c r="M6" i="14" s="1"/>
  <c r="M9" i="3" s="1"/>
  <c r="M8" i="2"/>
  <c r="M9" i="2" s="1"/>
  <c r="M15" i="3" s="1"/>
  <c r="P150" i="11"/>
  <c r="O108" i="17"/>
  <c r="V97" i="15"/>
  <c r="V96" i="15" s="1"/>
  <c r="T17" i="13"/>
  <c r="T13" i="13" s="1"/>
  <c r="T170" i="11"/>
  <c r="V224" i="18"/>
  <c r="U224" i="18"/>
  <c r="Z235" i="18"/>
  <c r="Y231" i="18"/>
  <c r="Y217" i="18" s="1"/>
  <c r="Z166" i="17"/>
  <c r="Y165" i="17"/>
  <c r="Y160" i="17" s="1"/>
  <c r="AA173" i="17"/>
  <c r="AD106" i="17"/>
  <c r="R282" i="16"/>
  <c r="R275" i="16" s="1"/>
  <c r="R274" i="16" s="1"/>
  <c r="R256" i="16"/>
  <c r="Q282" i="16"/>
  <c r="Q275" i="16" s="1"/>
  <c r="Q274" i="16" s="1"/>
  <c r="Q256" i="16"/>
  <c r="O52" i="17"/>
  <c r="O223" i="16"/>
  <c r="O10" i="16" s="1"/>
  <c r="O63" i="5" s="1"/>
  <c r="W17" i="13"/>
  <c r="W13" i="13" s="1"/>
  <c r="W170" i="11"/>
  <c r="AA125" i="15"/>
  <c r="AB126" i="15"/>
  <c r="P97" i="15"/>
  <c r="Y51" i="15"/>
  <c r="Z51" i="15" s="1"/>
  <c r="Z53" i="15" s="1"/>
  <c r="AA218" i="9" s="1"/>
  <c r="AD85" i="16"/>
  <c r="AC85" i="16"/>
  <c r="AB85" i="16"/>
  <c r="AA85" i="16"/>
  <c r="O65" i="15"/>
  <c r="J65" i="15" s="1"/>
  <c r="V45" i="14"/>
  <c r="V44" i="14" s="1"/>
  <c r="U45" i="14"/>
  <c r="U44" i="14" s="1"/>
  <c r="S45" i="14"/>
  <c r="S44" i="14" s="1"/>
  <c r="T45" i="14"/>
  <c r="T44" i="14" s="1"/>
  <c r="R45" i="14"/>
  <c r="R44" i="14" s="1"/>
  <c r="Q45" i="14"/>
  <c r="Q44" i="14" s="1"/>
  <c r="T49" i="12"/>
  <c r="S155" i="11"/>
  <c r="T157" i="11"/>
  <c r="S17" i="12"/>
  <c r="S15" i="12" s="1"/>
  <c r="O7" i="14"/>
  <c r="O6" i="14" s="1"/>
  <c r="O9" i="3" s="1"/>
  <c r="O15" i="2"/>
  <c r="O17" i="2" s="1"/>
  <c r="Y156" i="11"/>
  <c r="Z156" i="11" s="1"/>
  <c r="O6" i="12"/>
  <c r="AA340" i="10"/>
  <c r="AD340" i="10"/>
  <c r="AC340" i="10"/>
  <c r="AB340" i="10"/>
  <c r="AD254" i="10"/>
  <c r="AB254" i="10"/>
  <c r="AA254" i="10"/>
  <c r="AC254" i="10"/>
  <c r="T115" i="10"/>
  <c r="R115" i="10"/>
  <c r="Q115" i="10"/>
  <c r="P115" i="10"/>
  <c r="X115" i="10"/>
  <c r="W115" i="10"/>
  <c r="J115" i="10"/>
  <c r="V115" i="10"/>
  <c r="U115" i="10"/>
  <c r="S115" i="10"/>
  <c r="O42" i="11"/>
  <c r="O36" i="11" s="1"/>
  <c r="O125" i="10"/>
  <c r="AD276" i="18"/>
  <c r="AD189" i="18"/>
  <c r="AD199" i="18"/>
  <c r="AD151" i="18"/>
  <c r="AD194" i="18"/>
  <c r="AD161" i="18"/>
  <c r="AD121" i="18"/>
  <c r="AD114" i="18"/>
  <c r="AD107" i="18"/>
  <c r="AD57" i="18"/>
  <c r="AD50" i="18"/>
  <c r="AD64" i="18"/>
  <c r="Q317" i="10"/>
  <c r="Q316" i="10" s="1"/>
  <c r="X317" i="10"/>
  <c r="X316" i="10" s="1"/>
  <c r="P317" i="10"/>
  <c r="A329" i="9"/>
  <c r="W317" i="10"/>
  <c r="W316" i="10" s="1"/>
  <c r="U317" i="10"/>
  <c r="U316" i="10" s="1"/>
  <c r="T317" i="10"/>
  <c r="T316" i="10" s="1"/>
  <c r="S317" i="10"/>
  <c r="S316" i="10" s="1"/>
  <c r="R317" i="10"/>
  <c r="R316" i="10" s="1"/>
  <c r="V317" i="10"/>
  <c r="V316" i="10" s="1"/>
  <c r="X299" i="16"/>
  <c r="X535" i="10"/>
  <c r="X515" i="10"/>
  <c r="X525" i="10"/>
  <c r="X520" i="10"/>
  <c r="X530" i="10"/>
  <c r="U297" i="16"/>
  <c r="U411" i="10"/>
  <c r="U406" i="10"/>
  <c r="U401" i="10"/>
  <c r="U421" i="10"/>
  <c r="U416" i="10"/>
  <c r="U459" i="10"/>
  <c r="U454" i="10"/>
  <c r="U449" i="10"/>
  <c r="U444" i="10"/>
  <c r="U439" i="10"/>
  <c r="S56" i="18"/>
  <c r="R56" i="18"/>
  <c r="Q56" i="18"/>
  <c r="P56" i="18"/>
  <c r="X56" i="18"/>
  <c r="W56" i="18"/>
  <c r="V56" i="18"/>
  <c r="A359" i="9"/>
  <c r="U56" i="18"/>
  <c r="T56" i="18"/>
  <c r="AA88" i="17"/>
  <c r="AA40" i="17"/>
  <c r="AA84" i="17"/>
  <c r="AA80" i="17"/>
  <c r="AA30" i="17"/>
  <c r="AA35" i="17"/>
  <c r="AA84" i="11"/>
  <c r="AA122" i="11"/>
  <c r="AA46" i="11"/>
  <c r="W402" i="10"/>
  <c r="R493" i="10"/>
  <c r="U181" i="10"/>
  <c r="T1" i="20"/>
  <c r="V527" i="10"/>
  <c r="V522" i="10"/>
  <c r="V517" i="10"/>
  <c r="V532" i="10"/>
  <c r="V408" i="10"/>
  <c r="V407" i="10" s="1"/>
  <c r="V403" i="10"/>
  <c r="V402" i="10" s="1"/>
  <c r="V489" i="10"/>
  <c r="V484" i="10"/>
  <c r="V479" i="10"/>
  <c r="V418" i="10"/>
  <c r="V417" i="10" s="1"/>
  <c r="V413" i="10"/>
  <c r="V412" i="10" s="1"/>
  <c r="V494" i="10"/>
  <c r="AB127" i="9"/>
  <c r="AC128" i="9"/>
  <c r="T169" i="15"/>
  <c r="T170" i="15"/>
  <c r="T171" i="15"/>
  <c r="T84" i="15"/>
  <c r="T79" i="15"/>
  <c r="T55" i="15"/>
  <c r="T48" i="15"/>
  <c r="T41" i="15"/>
  <c r="T34" i="15"/>
  <c r="T99" i="15"/>
  <c r="T27" i="15"/>
  <c r="T89" i="15"/>
  <c r="T94" i="15"/>
  <c r="AB91" i="9"/>
  <c r="AA54" i="16" s="1"/>
  <c r="AE91" i="9"/>
  <c r="AD54" i="16" s="1"/>
  <c r="AC91" i="9"/>
  <c r="AB54" i="16" s="1"/>
  <c r="AD91" i="9"/>
  <c r="AC54" i="16" s="1"/>
  <c r="AC276" i="18"/>
  <c r="AC194" i="18"/>
  <c r="AC161" i="18"/>
  <c r="AC189" i="18"/>
  <c r="AC199" i="18"/>
  <c r="AC151" i="18"/>
  <c r="AC121" i="18"/>
  <c r="AC50" i="18"/>
  <c r="AC114" i="18"/>
  <c r="AC107" i="18"/>
  <c r="AC57" i="18"/>
  <c r="AC64" i="18"/>
  <c r="AC298" i="16"/>
  <c r="AC492" i="10"/>
  <c r="AC487" i="10"/>
  <c r="AC482" i="10"/>
  <c r="AC477" i="10"/>
  <c r="AC497" i="10"/>
  <c r="AB84" i="11"/>
  <c r="AB122" i="11"/>
  <c r="AB46" i="11"/>
  <c r="M17" i="5"/>
  <c r="M22" i="5"/>
  <c r="M24" i="5" s="1"/>
  <c r="AB67" i="9"/>
  <c r="AA228" i="10" s="1"/>
  <c r="P228" i="18"/>
  <c r="W191" i="16"/>
  <c r="W190" i="16" s="1"/>
  <c r="W441" i="10"/>
  <c r="W440" i="10" s="1"/>
  <c r="Y177" i="17"/>
  <c r="Y161" i="17" s="1"/>
  <c r="Z178" i="17"/>
  <c r="T228" i="18"/>
  <c r="T224" i="18"/>
  <c r="N215" i="18"/>
  <c r="AB222" i="18"/>
  <c r="AC223" i="18"/>
  <c r="Z204" i="17"/>
  <c r="AA204" i="17" s="1"/>
  <c r="Y203" i="17"/>
  <c r="Z203" i="17" s="1"/>
  <c r="Z170" i="17"/>
  <c r="AA170" i="17" s="1"/>
  <c r="AB170" i="17" s="1"/>
  <c r="AC170" i="17" s="1"/>
  <c r="AD170" i="17" s="1"/>
  <c r="Z232" i="16"/>
  <c r="AA232" i="16" s="1"/>
  <c r="AB232" i="16" s="1"/>
  <c r="AC232" i="16" s="1"/>
  <c r="AD232" i="16" s="1"/>
  <c r="Z229" i="16"/>
  <c r="Z224" i="16" s="1"/>
  <c r="R97" i="15"/>
  <c r="R96" i="15" s="1"/>
  <c r="R95" i="15" s="1"/>
  <c r="U169" i="16"/>
  <c r="Y169" i="16" s="1"/>
  <c r="Z124" i="15"/>
  <c r="AA124" i="15" s="1"/>
  <c r="AB124" i="15" s="1"/>
  <c r="AC124" i="15" s="1"/>
  <c r="AD124" i="15" s="1"/>
  <c r="W49" i="12"/>
  <c r="U52" i="12"/>
  <c r="U49" i="12" s="1"/>
  <c r="U17" i="13"/>
  <c r="U13" i="13" s="1"/>
  <c r="Y59" i="12"/>
  <c r="Z59" i="12" s="1"/>
  <c r="AA59" i="12" s="1"/>
  <c r="AB59" i="12" s="1"/>
  <c r="AC59" i="12" s="1"/>
  <c r="AD59" i="12" s="1"/>
  <c r="Z16" i="13"/>
  <c r="Z51" i="12" s="1"/>
  <c r="Y51" i="12"/>
  <c r="Y8" i="13"/>
  <c r="Y7" i="13" s="1"/>
  <c r="R26" i="14"/>
  <c r="R25" i="14" s="1"/>
  <c r="Q26" i="14"/>
  <c r="Q25" i="14" s="1"/>
  <c r="U26" i="14"/>
  <c r="U25" i="14" s="1"/>
  <c r="T26" i="14"/>
  <c r="T25" i="14" s="1"/>
  <c r="S26" i="14"/>
  <c r="S25" i="14" s="1"/>
  <c r="V26" i="14"/>
  <c r="V25" i="14" s="1"/>
  <c r="Z14" i="13"/>
  <c r="R80" i="11"/>
  <c r="AD299" i="10"/>
  <c r="AC299" i="10"/>
  <c r="AB299" i="10"/>
  <c r="AA299" i="10"/>
  <c r="R19" i="10"/>
  <c r="R115" i="11" s="1"/>
  <c r="Y43" i="11"/>
  <c r="P42" i="11"/>
  <c r="W109" i="10"/>
  <c r="W147" i="10" s="1"/>
  <c r="W19" i="10"/>
  <c r="W115" i="11" s="1"/>
  <c r="AC90" i="9"/>
  <c r="AB90" i="9"/>
  <c r="AE116" i="9"/>
  <c r="AD111" i="18" s="1"/>
  <c r="AD116" i="9"/>
  <c r="AC111" i="18" s="1"/>
  <c r="AB116" i="9"/>
  <c r="AA111" i="18" s="1"/>
  <c r="AC116" i="9"/>
  <c r="AB111" i="18" s="1"/>
  <c r="U299" i="16"/>
  <c r="U530" i="10"/>
  <c r="U525" i="10"/>
  <c r="U520" i="10"/>
  <c r="U515" i="10"/>
  <c r="U535" i="10"/>
  <c r="R297" i="16"/>
  <c r="R459" i="10"/>
  <c r="R454" i="10"/>
  <c r="R449" i="10"/>
  <c r="R444" i="10"/>
  <c r="R439" i="10"/>
  <c r="R411" i="10"/>
  <c r="R407" i="10" s="1"/>
  <c r="R406" i="10"/>
  <c r="R402" i="10" s="1"/>
  <c r="R401" i="10"/>
  <c r="R421" i="10"/>
  <c r="R417" i="10" s="1"/>
  <c r="R416" i="10"/>
  <c r="R412" i="10" s="1"/>
  <c r="U310" i="10"/>
  <c r="Q298" i="16"/>
  <c r="Q492" i="10"/>
  <c r="Q497" i="10"/>
  <c r="Q487" i="10"/>
  <c r="Q482" i="10"/>
  <c r="Q477" i="10"/>
  <c r="AA194" i="18"/>
  <c r="AA161" i="18"/>
  <c r="AA189" i="18"/>
  <c r="AA151" i="18"/>
  <c r="AA64" i="18"/>
  <c r="AA57" i="18"/>
  <c r="AA276" i="18"/>
  <c r="AA121" i="18"/>
  <c r="AA50" i="18"/>
  <c r="AA107" i="18"/>
  <c r="AA199" i="18"/>
  <c r="AA114" i="18"/>
  <c r="AA169" i="15"/>
  <c r="AA170" i="15"/>
  <c r="AA171" i="15"/>
  <c r="AA89" i="15"/>
  <c r="AA84" i="15"/>
  <c r="AA79" i="15"/>
  <c r="AA55" i="15"/>
  <c r="AA49" i="15" s="1"/>
  <c r="AA48" i="15"/>
  <c r="AA41" i="15"/>
  <c r="AA34" i="15"/>
  <c r="AA94" i="15"/>
  <c r="AA27" i="15"/>
  <c r="AA99" i="15"/>
  <c r="Q297" i="16"/>
  <c r="Q459" i="10"/>
  <c r="Q454" i="10"/>
  <c r="Q449" i="10"/>
  <c r="Q444" i="10"/>
  <c r="Q439" i="10"/>
  <c r="Q411" i="10"/>
  <c r="Q406" i="10"/>
  <c r="Q401" i="10"/>
  <c r="Q421" i="10"/>
  <c r="Q416" i="10"/>
  <c r="W407" i="10"/>
  <c r="W412" i="10"/>
  <c r="P117" i="11"/>
  <c r="P98" i="11"/>
  <c r="P79" i="11"/>
  <c r="P60" i="11"/>
  <c r="P41" i="11"/>
  <c r="R474" i="10"/>
  <c r="R473" i="10" s="1"/>
  <c r="R506" i="10"/>
  <c r="R505" i="10" s="1"/>
  <c r="AB86" i="9"/>
  <c r="AA363" i="10" s="1"/>
  <c r="N1" i="20"/>
  <c r="AC124" i="9"/>
  <c r="AB74" i="9"/>
  <c r="AA277" i="10" s="1"/>
  <c r="P297" i="16"/>
  <c r="Y553" i="10"/>
  <c r="P459" i="10"/>
  <c r="P454" i="10"/>
  <c r="P449" i="10"/>
  <c r="P444" i="10"/>
  <c r="P439" i="10"/>
  <c r="P411" i="10"/>
  <c r="P406" i="10"/>
  <c r="P401" i="10"/>
  <c r="P421" i="10"/>
  <c r="P416" i="10"/>
  <c r="S299" i="16"/>
  <c r="S535" i="10"/>
  <c r="S530" i="10"/>
  <c r="S525" i="10"/>
  <c r="S520" i="10"/>
  <c r="S515" i="10"/>
  <c r="T106" i="18"/>
  <c r="W106" i="18"/>
  <c r="V106" i="18"/>
  <c r="A366" i="9"/>
  <c r="A365" i="9"/>
  <c r="U106" i="18"/>
  <c r="S106" i="18"/>
  <c r="R106" i="18"/>
  <c r="Q106" i="18"/>
  <c r="P106" i="18"/>
  <c r="X106" i="18"/>
  <c r="A317" i="9"/>
  <c r="W231" i="10"/>
  <c r="W230" i="10" s="1"/>
  <c r="V231" i="10"/>
  <c r="V230" i="10" s="1"/>
  <c r="U231" i="10"/>
  <c r="U230" i="10" s="1"/>
  <c r="S231" i="10"/>
  <c r="S230" i="10" s="1"/>
  <c r="R231" i="10"/>
  <c r="R230" i="10" s="1"/>
  <c r="X231" i="10"/>
  <c r="X230" i="10" s="1"/>
  <c r="P231" i="10"/>
  <c r="T231" i="10"/>
  <c r="T230" i="10" s="1"/>
  <c r="Q231" i="10"/>
  <c r="Q230" i="10" s="1"/>
  <c r="AE61" i="9"/>
  <c r="AD185" i="10" s="1"/>
  <c r="AD61" i="9"/>
  <c r="AC185" i="10" s="1"/>
  <c r="AB61" i="9"/>
  <c r="AA185" i="10" s="1"/>
  <c r="AC61" i="9"/>
  <c r="AB185" i="10" s="1"/>
  <c r="S298" i="16"/>
  <c r="S497" i="10"/>
  <c r="S492" i="10"/>
  <c r="S487" i="10"/>
  <c r="S482" i="10"/>
  <c r="S477" i="10"/>
  <c r="AC96" i="9"/>
  <c r="AB96" i="9"/>
  <c r="AC122" i="11"/>
  <c r="AC46" i="11"/>
  <c r="AC84" i="11"/>
  <c r="T42" i="6"/>
  <c r="AB169" i="15"/>
  <c r="AB170" i="15"/>
  <c r="AB171" i="15"/>
  <c r="AB84" i="15"/>
  <c r="AB79" i="15"/>
  <c r="AB55" i="15"/>
  <c r="AB48" i="15"/>
  <c r="AB41" i="15"/>
  <c r="AB34" i="15"/>
  <c r="AB99" i="15"/>
  <c r="AB27" i="15"/>
  <c r="AB89" i="15"/>
  <c r="AB94" i="15"/>
  <c r="AD67" i="9"/>
  <c r="AC228" i="10" s="1"/>
  <c r="AC252" i="10"/>
  <c r="AB252" i="10"/>
  <c r="AA252" i="10"/>
  <c r="AD252" i="10"/>
  <c r="AA211" i="10"/>
  <c r="AD211" i="10"/>
  <c r="AC211" i="10"/>
  <c r="AB211" i="10"/>
  <c r="T119" i="10"/>
  <c r="Q119" i="10"/>
  <c r="P119" i="10"/>
  <c r="X119" i="10"/>
  <c r="W119" i="10"/>
  <c r="J119" i="10"/>
  <c r="V119" i="10"/>
  <c r="U119" i="10"/>
  <c r="S119" i="10"/>
  <c r="R119" i="10"/>
  <c r="AA87" i="11"/>
  <c r="AC448" i="9"/>
  <c r="O112" i="11"/>
  <c r="O123" i="11" s="1"/>
  <c r="O125" i="11" s="1"/>
  <c r="N450" i="9" s="1"/>
  <c r="AD57" i="9"/>
  <c r="AC57" i="9"/>
  <c r="AB57" i="9"/>
  <c r="AA90" i="11"/>
  <c r="AC454" i="9"/>
  <c r="AD299" i="16"/>
  <c r="AD525" i="10"/>
  <c r="AD520" i="10"/>
  <c r="AD515" i="10"/>
  <c r="U28" i="19"/>
  <c r="U29" i="19"/>
  <c r="U30" i="19"/>
  <c r="U31" i="19"/>
  <c r="U32" i="19"/>
  <c r="U27" i="19"/>
  <c r="U40" i="17"/>
  <c r="U30" i="17"/>
  <c r="U35" i="17"/>
  <c r="U84" i="17"/>
  <c r="U80" i="17"/>
  <c r="U88" i="17"/>
  <c r="AA297" i="16"/>
  <c r="AA411" i="10"/>
  <c r="AA406" i="10"/>
  <c r="AA401" i="10"/>
  <c r="AA421" i="10"/>
  <c r="AA416" i="10"/>
  <c r="AA454" i="10"/>
  <c r="AA449" i="10"/>
  <c r="AA444" i="10"/>
  <c r="AA439" i="10"/>
  <c r="X297" i="16"/>
  <c r="X459" i="10"/>
  <c r="X454" i="10"/>
  <c r="X449" i="10"/>
  <c r="X444" i="10"/>
  <c r="X439" i="10"/>
  <c r="X411" i="10"/>
  <c r="X406" i="10"/>
  <c r="X401" i="10"/>
  <c r="X421" i="10"/>
  <c r="X416" i="10"/>
  <c r="O102" i="17"/>
  <c r="Y101" i="17"/>
  <c r="O105" i="17" s="1"/>
  <c r="O117" i="17"/>
  <c r="O77" i="17"/>
  <c r="O72" i="17" s="1"/>
  <c r="O65" i="17" s="1"/>
  <c r="O17" i="18"/>
  <c r="O6" i="18"/>
  <c r="S282" i="16"/>
  <c r="S275" i="16" s="1"/>
  <c r="S274" i="16" s="1"/>
  <c r="S256" i="16"/>
  <c r="Y124" i="16"/>
  <c r="Z124" i="16" s="1"/>
  <c r="O246" i="16"/>
  <c r="AD121" i="15"/>
  <c r="O8" i="15"/>
  <c r="O81" i="5"/>
  <c r="Z120" i="11"/>
  <c r="P52" i="12"/>
  <c r="P49" i="12" s="1"/>
  <c r="Y19" i="13"/>
  <c r="O132" i="15"/>
  <c r="O176" i="15"/>
  <c r="O13" i="15" s="1"/>
  <c r="O96" i="5" s="1"/>
  <c r="O26" i="5" s="1"/>
  <c r="O32" i="11"/>
  <c r="O21" i="11"/>
  <c r="O17" i="11" s="1"/>
  <c r="V49" i="12"/>
  <c r="W19" i="12"/>
  <c r="W17" i="12" s="1"/>
  <c r="W15" i="12" s="1"/>
  <c r="V19" i="12"/>
  <c r="V17" i="12" s="1"/>
  <c r="V15" i="12" s="1"/>
  <c r="U19" i="12"/>
  <c r="U17" i="12" s="1"/>
  <c r="U15" i="12" s="1"/>
  <c r="T19" i="12"/>
  <c r="T17" i="12" s="1"/>
  <c r="T15" i="12" s="1"/>
  <c r="S19" i="12"/>
  <c r="R19" i="12"/>
  <c r="R17" i="12" s="1"/>
  <c r="R15" i="12" s="1"/>
  <c r="X19" i="12"/>
  <c r="X17" i="12" s="1"/>
  <c r="X15" i="12" s="1"/>
  <c r="P19" i="12"/>
  <c r="P17" i="12" s="1"/>
  <c r="Q19" i="12"/>
  <c r="Q17" i="12" s="1"/>
  <c r="Q15" i="12" s="1"/>
  <c r="T141" i="11"/>
  <c r="Q49" i="12"/>
  <c r="Y374" i="10"/>
  <c r="Z374" i="10" s="1"/>
  <c r="Z376" i="10" s="1"/>
  <c r="AA200" i="9" s="1"/>
  <c r="U109" i="10"/>
  <c r="U147" i="10" s="1"/>
  <c r="AE109" i="9"/>
  <c r="AD54" i="18" s="1"/>
  <c r="AD109" i="9"/>
  <c r="AC54" i="18" s="1"/>
  <c r="AB109" i="9"/>
  <c r="AA54" i="18" s="1"/>
  <c r="AC109" i="9"/>
  <c r="AB54" i="18" s="1"/>
  <c r="Q259" i="10"/>
  <c r="X259" i="10"/>
  <c r="P259" i="10"/>
  <c r="W259" i="10"/>
  <c r="V259" i="10"/>
  <c r="U259" i="10"/>
  <c r="AA259" i="10"/>
  <c r="S259" i="10"/>
  <c r="R259" i="10"/>
  <c r="T259" i="10"/>
  <c r="R360" i="10"/>
  <c r="R359" i="10" s="1"/>
  <c r="Q360" i="10"/>
  <c r="Q359" i="10" s="1"/>
  <c r="X360" i="10"/>
  <c r="X359" i="10" s="1"/>
  <c r="P360" i="10"/>
  <c r="A335" i="9"/>
  <c r="W360" i="10"/>
  <c r="W359" i="10" s="1"/>
  <c r="V360" i="10"/>
  <c r="V359" i="10" s="1"/>
  <c r="U360" i="10"/>
  <c r="U359" i="10" s="1"/>
  <c r="T360" i="10"/>
  <c r="T359" i="10" s="1"/>
  <c r="S360" i="10"/>
  <c r="S359" i="10" s="1"/>
  <c r="O49" i="10"/>
  <c r="O48" i="10" s="1"/>
  <c r="Q122" i="11"/>
  <c r="Q118" i="11" s="1"/>
  <c r="Q84" i="11"/>
  <c r="Q80" i="11" s="1"/>
  <c r="Q46" i="11"/>
  <c r="Q42" i="11" s="1"/>
  <c r="P298" i="16"/>
  <c r="P497" i="10"/>
  <c r="P492" i="10"/>
  <c r="P487" i="10"/>
  <c r="P482" i="10"/>
  <c r="P477" i="10"/>
  <c r="W506" i="10"/>
  <c r="W505" i="10" s="1"/>
  <c r="W474" i="10"/>
  <c r="W417" i="10"/>
  <c r="W546" i="10"/>
  <c r="W545" i="10" s="1"/>
  <c r="W512" i="10"/>
  <c r="T299" i="16"/>
  <c r="T530" i="10"/>
  <c r="T525" i="10"/>
  <c r="T520" i="10"/>
  <c r="T515" i="10"/>
  <c r="T535" i="10"/>
  <c r="Q117" i="11"/>
  <c r="Q98" i="11"/>
  <c r="Q79" i="11"/>
  <c r="Q60" i="11"/>
  <c r="Q41" i="11"/>
  <c r="R186" i="16"/>
  <c r="R185" i="16" s="1"/>
  <c r="R436" i="10"/>
  <c r="R468" i="10"/>
  <c r="R467" i="10" s="1"/>
  <c r="S224" i="10"/>
  <c r="V1" i="20"/>
  <c r="X532" i="10"/>
  <c r="X531" i="10" s="1"/>
  <c r="X494" i="10"/>
  <c r="X517" i="10"/>
  <c r="X516" i="10" s="1"/>
  <c r="X527" i="10"/>
  <c r="X522" i="10"/>
  <c r="X408" i="10"/>
  <c r="X403" i="10"/>
  <c r="X489" i="10"/>
  <c r="X484" i="10"/>
  <c r="X479" i="10"/>
  <c r="X418" i="10"/>
  <c r="X413" i="10"/>
  <c r="W117" i="11"/>
  <c r="W98" i="11"/>
  <c r="W79" i="11"/>
  <c r="W60" i="11"/>
  <c r="W41" i="11"/>
  <c r="S19" i="7"/>
  <c r="R20" i="7"/>
  <c r="X310" i="10"/>
  <c r="P224" i="10"/>
  <c r="AD79" i="9"/>
  <c r="AC314" i="10" s="1"/>
  <c r="AC79" i="9"/>
  <c r="AB314" i="10" s="1"/>
  <c r="AE79" i="9"/>
  <c r="AD314" i="10" s="1"/>
  <c r="AB79" i="9"/>
  <c r="AA314" i="10" s="1"/>
  <c r="R293" i="18"/>
  <c r="R217" i="17"/>
  <c r="R189" i="15"/>
  <c r="R555" i="10"/>
  <c r="R189" i="11"/>
  <c r="S84" i="11"/>
  <c r="S80" i="11" s="1"/>
  <c r="S46" i="11"/>
  <c r="S42" i="11" s="1"/>
  <c r="S122" i="11"/>
  <c r="S118" i="11" s="1"/>
  <c r="AB54" i="9"/>
  <c r="AC54" i="9"/>
  <c r="O46" i="9"/>
  <c r="O44" i="9" s="1"/>
  <c r="P44" i="9"/>
  <c r="AC170" i="15"/>
  <c r="AC171" i="15"/>
  <c r="AC79" i="15"/>
  <c r="AC55" i="15"/>
  <c r="AC48" i="15"/>
  <c r="AC41" i="15"/>
  <c r="AC169" i="15"/>
  <c r="AC34" i="15"/>
  <c r="AC99" i="15"/>
  <c r="AC27" i="15"/>
  <c r="AC94" i="15"/>
  <c r="AC84" i="15"/>
  <c r="AC89" i="15"/>
  <c r="P267" i="10"/>
  <c r="AC49" i="15"/>
  <c r="AB299" i="16"/>
  <c r="AB525" i="10"/>
  <c r="AB520" i="10"/>
  <c r="AB515" i="10"/>
  <c r="Q18" i="2"/>
  <c r="W455" i="10" l="1"/>
  <c r="W397" i="10"/>
  <c r="X412" i="10"/>
  <c r="X521" i="10"/>
  <c r="X417" i="10"/>
  <c r="R499" i="10"/>
  <c r="AB24" i="15"/>
  <c r="O18" i="1"/>
  <c r="O10" i="3"/>
  <c r="O21" i="3" s="1"/>
  <c r="Z105" i="17"/>
  <c r="Z107" i="17" s="1"/>
  <c r="AA107" i="17" s="1"/>
  <c r="O107" i="17"/>
  <c r="U8" i="12"/>
  <c r="O27" i="11"/>
  <c r="O47" i="11"/>
  <c r="X120" i="18"/>
  <c r="P120" i="18"/>
  <c r="W120" i="18"/>
  <c r="V120" i="18"/>
  <c r="U120" i="18"/>
  <c r="T120" i="18"/>
  <c r="S120" i="18"/>
  <c r="R120" i="18"/>
  <c r="Q120" i="18"/>
  <c r="AC278" i="18"/>
  <c r="AC277" i="18" s="1"/>
  <c r="AC286" i="18"/>
  <c r="AC250" i="18" s="1"/>
  <c r="U278" i="16"/>
  <c r="U279" i="16"/>
  <c r="U167" i="16"/>
  <c r="U208" i="16"/>
  <c r="U172" i="16"/>
  <c r="U188" i="16"/>
  <c r="U100" i="16"/>
  <c r="U198" i="16"/>
  <c r="U162" i="16"/>
  <c r="U107" i="16"/>
  <c r="U128" i="16"/>
  <c r="U78" i="16"/>
  <c r="U71" i="16"/>
  <c r="U193" i="16"/>
  <c r="U114" i="16"/>
  <c r="U64" i="16"/>
  <c r="U157" i="16"/>
  <c r="U57" i="16"/>
  <c r="U50" i="16"/>
  <c r="U152" i="16"/>
  <c r="O14" i="3"/>
  <c r="P17" i="2"/>
  <c r="Z108" i="17"/>
  <c r="Z110" i="17" s="1"/>
  <c r="AA110" i="17" s="1"/>
  <c r="O110" i="17"/>
  <c r="AA351" i="10"/>
  <c r="AB83" i="9"/>
  <c r="AC55" i="19"/>
  <c r="AC54" i="19" s="1"/>
  <c r="AA179" i="10"/>
  <c r="AB59" i="9"/>
  <c r="R177" i="15"/>
  <c r="R168" i="15"/>
  <c r="R167" i="15" s="1"/>
  <c r="O24" i="19"/>
  <c r="O34" i="19"/>
  <c r="AB269" i="16"/>
  <c r="AA268" i="16"/>
  <c r="U201" i="16"/>
  <c r="U200" i="16" s="1"/>
  <c r="U199" i="16" s="1"/>
  <c r="U451" i="10"/>
  <c r="U450" i="10" s="1"/>
  <c r="U398" i="10"/>
  <c r="U397" i="10" s="1"/>
  <c r="U430" i="10"/>
  <c r="U429" i="10" s="1"/>
  <c r="U531" i="10"/>
  <c r="Z71" i="10"/>
  <c r="P42" i="6"/>
  <c r="AB150" i="11"/>
  <c r="AC162" i="11"/>
  <c r="AB145" i="11"/>
  <c r="Y170" i="11"/>
  <c r="Z170" i="11" s="1"/>
  <c r="P167" i="11"/>
  <c r="AB44" i="19"/>
  <c r="T506" i="10"/>
  <c r="T505" i="10" s="1"/>
  <c r="T474" i="10"/>
  <c r="T473" i="10" s="1"/>
  <c r="R80" i="20"/>
  <c r="R76" i="20"/>
  <c r="AB76" i="20" s="1"/>
  <c r="R72" i="20"/>
  <c r="AB72" i="20" s="1"/>
  <c r="R68" i="20"/>
  <c r="AB68" i="20" s="1"/>
  <c r="R64" i="20"/>
  <c r="R60" i="20"/>
  <c r="R56" i="20"/>
  <c r="AB56" i="20" s="1"/>
  <c r="R48" i="20"/>
  <c r="AB48" i="20" s="1"/>
  <c r="R44" i="20"/>
  <c r="AB44" i="20" s="1"/>
  <c r="R40" i="20"/>
  <c r="AB40" i="20" s="1"/>
  <c r="R79" i="20"/>
  <c r="R75" i="20"/>
  <c r="R71" i="20"/>
  <c r="R63" i="20"/>
  <c r="R59" i="20"/>
  <c r="R55" i="20"/>
  <c r="R51" i="20"/>
  <c r="AB51" i="20" s="1"/>
  <c r="R43" i="20"/>
  <c r="AB43" i="20" s="1"/>
  <c r="R39" i="20"/>
  <c r="AB39" i="20" s="1"/>
  <c r="R78" i="20"/>
  <c r="AB78" i="20" s="1"/>
  <c r="R74" i="20"/>
  <c r="R70" i="20"/>
  <c r="R66" i="20"/>
  <c r="AB66" i="20" s="1"/>
  <c r="R58" i="20"/>
  <c r="R54" i="20"/>
  <c r="R50" i="20"/>
  <c r="AB50" i="20" s="1"/>
  <c r="R46" i="20"/>
  <c r="AB46" i="20" s="1"/>
  <c r="R38" i="20"/>
  <c r="AB38" i="20" s="1"/>
  <c r="R81" i="20"/>
  <c r="R73" i="20"/>
  <c r="R69" i="20"/>
  <c r="R65" i="20"/>
  <c r="R61" i="20"/>
  <c r="R53" i="20"/>
  <c r="R49" i="20"/>
  <c r="AB49" i="20" s="1"/>
  <c r="R45" i="20"/>
  <c r="AB45" i="20" s="1"/>
  <c r="R41" i="20"/>
  <c r="AB41" i="20" s="1"/>
  <c r="R33" i="20"/>
  <c r="AB33" i="20" s="1"/>
  <c r="R29" i="20"/>
  <c r="R25" i="20"/>
  <c r="R21" i="20"/>
  <c r="R13" i="20"/>
  <c r="R9" i="20"/>
  <c r="R5" i="20"/>
  <c r="R36" i="20"/>
  <c r="AB36" i="20" s="1"/>
  <c r="R28" i="20"/>
  <c r="R24" i="20"/>
  <c r="R20" i="20"/>
  <c r="R16" i="20"/>
  <c r="R8" i="20"/>
  <c r="R4" i="20"/>
  <c r="R35" i="20"/>
  <c r="AB35" i="20" s="1"/>
  <c r="R31" i="20"/>
  <c r="R23" i="20"/>
  <c r="R19" i="20"/>
  <c r="R15" i="20"/>
  <c r="R11" i="20"/>
  <c r="R3" i="20"/>
  <c r="R34" i="20"/>
  <c r="AB34" i="20" s="1"/>
  <c r="R30" i="20"/>
  <c r="R26" i="20"/>
  <c r="R18" i="20"/>
  <c r="R14" i="20"/>
  <c r="R10" i="20"/>
  <c r="R6" i="20"/>
  <c r="Z3" i="20"/>
  <c r="R51" i="10"/>
  <c r="Z8" i="20"/>
  <c r="R178" i="10"/>
  <c r="Z13" i="20"/>
  <c r="R221" i="10"/>
  <c r="Z18" i="20"/>
  <c r="R264" i="10"/>
  <c r="Z58" i="20"/>
  <c r="R46" i="16"/>
  <c r="Z55" i="20"/>
  <c r="R37" i="15"/>
  <c r="Z81" i="20"/>
  <c r="R117" i="18"/>
  <c r="X40" i="15"/>
  <c r="P40" i="15"/>
  <c r="W40" i="15"/>
  <c r="V40" i="15"/>
  <c r="A354" i="9"/>
  <c r="U40" i="15"/>
  <c r="T40" i="15"/>
  <c r="S40" i="15"/>
  <c r="R40" i="15"/>
  <c r="Q40" i="15"/>
  <c r="W299" i="16"/>
  <c r="W535" i="10"/>
  <c r="W531" i="10" s="1"/>
  <c r="W530" i="10"/>
  <c r="W526" i="10" s="1"/>
  <c r="W525" i="10"/>
  <c r="W521" i="10" s="1"/>
  <c r="W520" i="10"/>
  <c r="W516" i="10" s="1"/>
  <c r="W515" i="10"/>
  <c r="S196" i="16"/>
  <c r="S195" i="16" s="1"/>
  <c r="S446" i="10"/>
  <c r="S445" i="10" s="1"/>
  <c r="S398" i="10"/>
  <c r="S397" i="10" s="1"/>
  <c r="S430" i="10"/>
  <c r="S429" i="10" s="1"/>
  <c r="S531" i="10"/>
  <c r="X298" i="16"/>
  <c r="X497" i="10"/>
  <c r="X492" i="10"/>
  <c r="X487" i="10"/>
  <c r="X482" i="10"/>
  <c r="X477" i="10"/>
  <c r="AE6" i="20"/>
  <c r="W66" i="10"/>
  <c r="AE60" i="20"/>
  <c r="W60" i="16"/>
  <c r="AE64" i="20"/>
  <c r="W103" i="16"/>
  <c r="W102" i="16" s="1"/>
  <c r="AE69" i="20"/>
  <c r="W28" i="17"/>
  <c r="AE59" i="20"/>
  <c r="W53" i="16"/>
  <c r="V29" i="19"/>
  <c r="V30" i="19"/>
  <c r="V31" i="19"/>
  <c r="V32" i="19"/>
  <c r="V27" i="19"/>
  <c r="V28" i="19"/>
  <c r="V84" i="17"/>
  <c r="V80" i="17"/>
  <c r="V35" i="17"/>
  <c r="V88" i="17"/>
  <c r="V40" i="17"/>
  <c r="V30" i="17"/>
  <c r="Q488" i="10"/>
  <c r="Q201" i="16"/>
  <c r="Q200" i="16" s="1"/>
  <c r="Q199" i="16" s="1"/>
  <c r="Q451" i="10"/>
  <c r="Q450" i="10" s="1"/>
  <c r="O78" i="20"/>
  <c r="Y78" i="20" s="1"/>
  <c r="O74" i="20"/>
  <c r="O70" i="20"/>
  <c r="O66" i="20"/>
  <c r="Y66" i="20" s="1"/>
  <c r="O58" i="20"/>
  <c r="O54" i="20"/>
  <c r="O50" i="20"/>
  <c r="Y50" i="20" s="1"/>
  <c r="O46" i="20"/>
  <c r="Y46" i="20" s="1"/>
  <c r="O38" i="20"/>
  <c r="Y38" i="20" s="1"/>
  <c r="O81" i="20"/>
  <c r="O73" i="20"/>
  <c r="O69" i="20"/>
  <c r="O65" i="20"/>
  <c r="O61" i="20"/>
  <c r="O53" i="20"/>
  <c r="O49" i="20"/>
  <c r="Y49" i="20" s="1"/>
  <c r="O45" i="20"/>
  <c r="Y45" i="20" s="1"/>
  <c r="O41" i="20"/>
  <c r="Y41" i="20" s="1"/>
  <c r="O80" i="20"/>
  <c r="O76" i="20"/>
  <c r="Y76" i="20" s="1"/>
  <c r="O72" i="20"/>
  <c r="Y72" i="20" s="1"/>
  <c r="O68" i="20"/>
  <c r="Y68" i="20" s="1"/>
  <c r="O64" i="20"/>
  <c r="O60" i="20"/>
  <c r="O56" i="20"/>
  <c r="Y56" i="20" s="1"/>
  <c r="O48" i="20"/>
  <c r="Y48" i="20" s="1"/>
  <c r="O44" i="20"/>
  <c r="Y44" i="20" s="1"/>
  <c r="O40" i="20"/>
  <c r="Y40" i="20" s="1"/>
  <c r="O79" i="20"/>
  <c r="O51" i="20"/>
  <c r="Y51" i="20" s="1"/>
  <c r="O35" i="20"/>
  <c r="Y35" i="20" s="1"/>
  <c r="O31" i="20"/>
  <c r="O23" i="20"/>
  <c r="O19" i="20"/>
  <c r="O15" i="20"/>
  <c r="O11" i="20"/>
  <c r="O3" i="20"/>
  <c r="O75" i="20"/>
  <c r="O43" i="20"/>
  <c r="Y43" i="20" s="1"/>
  <c r="O39" i="20"/>
  <c r="Y39" i="20" s="1"/>
  <c r="O34" i="20"/>
  <c r="Y34" i="20" s="1"/>
  <c r="O30" i="20"/>
  <c r="O26" i="20"/>
  <c r="O18" i="20"/>
  <c r="O14" i="20"/>
  <c r="O10" i="20"/>
  <c r="O6" i="20"/>
  <c r="O71" i="20"/>
  <c r="O33" i="20"/>
  <c r="Y33" i="20" s="1"/>
  <c r="O29" i="20"/>
  <c r="O25" i="20"/>
  <c r="O21" i="20"/>
  <c r="O13" i="20"/>
  <c r="O9" i="20"/>
  <c r="O5" i="20"/>
  <c r="O63" i="20"/>
  <c r="O55" i="20"/>
  <c r="O36" i="20"/>
  <c r="Y36" i="20" s="1"/>
  <c r="O20" i="20"/>
  <c r="O8" i="20"/>
  <c r="O28" i="20"/>
  <c r="O4" i="20"/>
  <c r="O59" i="20"/>
  <c r="O16" i="20"/>
  <c r="O24" i="20"/>
  <c r="W292" i="18"/>
  <c r="W216" i="17"/>
  <c r="W188" i="15"/>
  <c r="W188" i="11"/>
  <c r="W554" i="10"/>
  <c r="P169" i="15"/>
  <c r="AD278" i="16"/>
  <c r="AD279" i="16"/>
  <c r="AD162" i="16"/>
  <c r="AD172" i="16"/>
  <c r="AD167" i="16"/>
  <c r="AD188" i="16"/>
  <c r="AD193" i="16"/>
  <c r="AD198" i="16"/>
  <c r="AD114" i="16"/>
  <c r="AD100" i="16"/>
  <c r="AD71" i="16"/>
  <c r="AD78" i="16"/>
  <c r="AD72" i="16" s="1"/>
  <c r="AD32" i="16" s="1"/>
  <c r="AD25" i="16" s="1"/>
  <c r="AD64" i="16"/>
  <c r="AD157" i="16"/>
  <c r="AD57" i="16"/>
  <c r="AD50" i="16"/>
  <c r="AD152" i="16"/>
  <c r="AD107" i="16"/>
  <c r="AB52" i="11"/>
  <c r="AD452" i="9"/>
  <c r="X186" i="16"/>
  <c r="X185" i="16" s="1"/>
  <c r="X468" i="10"/>
  <c r="X467" i="10" s="1"/>
  <c r="X436" i="10"/>
  <c r="X435" i="10" s="1"/>
  <c r="AA283" i="18"/>
  <c r="AA275" i="18"/>
  <c r="AA274" i="18" s="1"/>
  <c r="X478" i="10"/>
  <c r="U37" i="19"/>
  <c r="U36" i="19" s="1"/>
  <c r="U55" i="19"/>
  <c r="U54" i="19" s="1"/>
  <c r="AC105" i="10"/>
  <c r="AC143" i="10"/>
  <c r="AC67" i="10"/>
  <c r="AC74" i="9"/>
  <c r="AB277" i="10" s="1"/>
  <c r="AD124" i="9"/>
  <c r="AC56" i="9"/>
  <c r="AC104" i="9"/>
  <c r="AB38" i="15" s="1"/>
  <c r="AC98" i="9"/>
  <c r="AB111" i="16" s="1"/>
  <c r="AC80" i="9"/>
  <c r="AC62" i="9"/>
  <c r="AB191" i="10" s="1"/>
  <c r="AC110" i="9"/>
  <c r="AB61" i="18" s="1"/>
  <c r="Y409" i="10"/>
  <c r="Z409" i="10" s="1"/>
  <c r="P408" i="10"/>
  <c r="P206" i="16"/>
  <c r="Y457" i="10"/>
  <c r="Z457" i="10" s="1"/>
  <c r="P456" i="10"/>
  <c r="AA47" i="16"/>
  <c r="AB89" i="9"/>
  <c r="M7" i="4"/>
  <c r="M9" i="4" s="1"/>
  <c r="M16" i="3" s="1"/>
  <c r="M8" i="3" s="1"/>
  <c r="M7" i="3"/>
  <c r="M25" i="5"/>
  <c r="AC283" i="18"/>
  <c r="AC275" i="18"/>
  <c r="AC274" i="18" s="1"/>
  <c r="AC273" i="18" s="1"/>
  <c r="AC272" i="18" s="1"/>
  <c r="V186" i="16"/>
  <c r="V185" i="16" s="1"/>
  <c r="V468" i="10"/>
  <c r="V467" i="10" s="1"/>
  <c r="V436" i="10"/>
  <c r="V435" i="10" s="1"/>
  <c r="AA52" i="19"/>
  <c r="AA34" i="19"/>
  <c r="AA33" i="19" s="1"/>
  <c r="AA187" i="17" s="1"/>
  <c r="A330" i="9"/>
  <c r="W323" i="10"/>
  <c r="W322" i="10" s="1"/>
  <c r="V323" i="10"/>
  <c r="V322" i="10" s="1"/>
  <c r="U323" i="10"/>
  <c r="U322" i="10" s="1"/>
  <c r="S323" i="10"/>
  <c r="S322" i="10" s="1"/>
  <c r="R323" i="10"/>
  <c r="R322" i="10" s="1"/>
  <c r="Q323" i="10"/>
  <c r="Q322" i="10" s="1"/>
  <c r="X323" i="10"/>
  <c r="X322" i="10" s="1"/>
  <c r="P323" i="10"/>
  <c r="T323" i="10"/>
  <c r="T322" i="10" s="1"/>
  <c r="AA65" i="15"/>
  <c r="S65" i="15"/>
  <c r="R65" i="15"/>
  <c r="Q65" i="15"/>
  <c r="X65" i="15"/>
  <c r="P65" i="15"/>
  <c r="W65" i="15"/>
  <c r="V65" i="15"/>
  <c r="T65" i="15"/>
  <c r="U65" i="15"/>
  <c r="AB179" i="10"/>
  <c r="AC59" i="9"/>
  <c r="AB49" i="15"/>
  <c r="Q114" i="11"/>
  <c r="Q113" i="11" s="1"/>
  <c r="Q112" i="11" s="1"/>
  <c r="Q124" i="11"/>
  <c r="O26" i="16"/>
  <c r="O20" i="16" s="1"/>
  <c r="O6" i="16" s="1"/>
  <c r="O34" i="16"/>
  <c r="AB278" i="18"/>
  <c r="AB277" i="18" s="1"/>
  <c r="AB286" i="18"/>
  <c r="AB250" i="18" s="1"/>
  <c r="V38" i="1"/>
  <c r="U39" i="1"/>
  <c r="V39" i="1" s="1"/>
  <c r="U206" i="16"/>
  <c r="U456" i="10"/>
  <c r="U455" i="10" s="1"/>
  <c r="U402" i="10"/>
  <c r="U92" i="15"/>
  <c r="U91" i="15" s="1"/>
  <c r="U90" i="15" s="1"/>
  <c r="W450" i="10"/>
  <c r="AA10" i="11"/>
  <c r="Z129" i="15"/>
  <c r="Z115" i="15" s="1"/>
  <c r="O428" i="10"/>
  <c r="O426" i="10"/>
  <c r="O424" i="10"/>
  <c r="X286" i="18"/>
  <c r="X250" i="18" s="1"/>
  <c r="X278" i="18"/>
  <c r="X277" i="18" s="1"/>
  <c r="AB55" i="19"/>
  <c r="AB54" i="19" s="1"/>
  <c r="T16" i="2"/>
  <c r="S24" i="3"/>
  <c r="S23" i="3" s="1"/>
  <c r="S283" i="18"/>
  <c r="S275" i="18"/>
  <c r="S274" i="18" s="1"/>
  <c r="T418" i="10"/>
  <c r="T417" i="10" s="1"/>
  <c r="T19" i="10"/>
  <c r="T115" i="11" s="1"/>
  <c r="T493" i="10"/>
  <c r="Z11" i="20"/>
  <c r="R196" i="10"/>
  <c r="Z16" i="20"/>
  <c r="R239" i="10"/>
  <c r="Z21" i="20"/>
  <c r="R282" i="10"/>
  <c r="Z26" i="20"/>
  <c r="R325" i="10"/>
  <c r="Z59" i="20"/>
  <c r="R53" i="16"/>
  <c r="R450" i="10"/>
  <c r="X19" i="10"/>
  <c r="X115" i="11" s="1"/>
  <c r="U20" i="14"/>
  <c r="U19" i="14" s="1"/>
  <c r="T20" i="14"/>
  <c r="T19" i="14" s="1"/>
  <c r="S20" i="14"/>
  <c r="S19" i="14" s="1"/>
  <c r="R20" i="14"/>
  <c r="R19" i="14" s="1"/>
  <c r="V20" i="14"/>
  <c r="V19" i="14" s="1"/>
  <c r="Q20" i="14"/>
  <c r="Q19" i="14" s="1"/>
  <c r="S52" i="19"/>
  <c r="S34" i="19"/>
  <c r="S33" i="19" s="1"/>
  <c r="S187" i="17" s="1"/>
  <c r="S186" i="17" s="1"/>
  <c r="S162" i="17" s="1"/>
  <c r="S159" i="17" s="1"/>
  <c r="S10" i="17" s="1"/>
  <c r="S201" i="16"/>
  <c r="S200" i="16" s="1"/>
  <c r="S199" i="16" s="1"/>
  <c r="S451" i="10"/>
  <c r="S450" i="10" s="1"/>
  <c r="S512" i="10"/>
  <c r="S511" i="10" s="1"/>
  <c r="S546" i="10"/>
  <c r="S545" i="10" s="1"/>
  <c r="X122" i="11"/>
  <c r="X118" i="11" s="1"/>
  <c r="Y188" i="11"/>
  <c r="X84" i="11"/>
  <c r="X80" i="11" s="1"/>
  <c r="X46" i="11"/>
  <c r="X42" i="11" s="1"/>
  <c r="AE25" i="20"/>
  <c r="W319" i="10"/>
  <c r="W318" i="10" s="1"/>
  <c r="AE10" i="20"/>
  <c r="W190" i="10"/>
  <c r="AE3" i="20"/>
  <c r="W51" i="10"/>
  <c r="AE73" i="20"/>
  <c r="W46" i="18"/>
  <c r="AE70" i="20"/>
  <c r="W33" i="17"/>
  <c r="AE63" i="20"/>
  <c r="W96" i="16"/>
  <c r="S182" i="15"/>
  <c r="S145" i="15" s="1"/>
  <c r="S173" i="15"/>
  <c r="S172" i="15" s="1"/>
  <c r="V276" i="18"/>
  <c r="V189" i="18"/>
  <c r="V199" i="18"/>
  <c r="V156" i="18"/>
  <c r="V151" i="18"/>
  <c r="V194" i="18"/>
  <c r="V161" i="18"/>
  <c r="V114" i="18"/>
  <c r="V107" i="18"/>
  <c r="V64" i="18"/>
  <c r="V50" i="18"/>
  <c r="V57" i="18"/>
  <c r="V121" i="18"/>
  <c r="Q430" i="10"/>
  <c r="Q429" i="10" s="1"/>
  <c r="Q398" i="10"/>
  <c r="Q397" i="10" s="1"/>
  <c r="Q206" i="16"/>
  <c r="Q456" i="10"/>
  <c r="Q455" i="10" s="1"/>
  <c r="V292" i="18"/>
  <c r="V216" i="17"/>
  <c r="V188" i="15"/>
  <c r="V188" i="11"/>
  <c r="V554" i="10"/>
  <c r="P177" i="15"/>
  <c r="P168" i="15"/>
  <c r="AB71" i="11"/>
  <c r="AD453" i="9"/>
  <c r="R114" i="11"/>
  <c r="R113" i="11" s="1"/>
  <c r="R112" i="11" s="1"/>
  <c r="R124" i="11"/>
  <c r="Z169" i="16"/>
  <c r="Z171" i="16" s="1"/>
  <c r="Y171" i="16"/>
  <c r="X191" i="16"/>
  <c r="X190" i="16" s="1"/>
  <c r="X441" i="10"/>
  <c r="X440" i="10" s="1"/>
  <c r="X483" i="10"/>
  <c r="P430" i="10"/>
  <c r="P429" i="10" s="1"/>
  <c r="Y399" i="10"/>
  <c r="P398" i="10"/>
  <c r="Y523" i="10"/>
  <c r="Z523" i="10" s="1"/>
  <c r="P522" i="10"/>
  <c r="P517" i="10"/>
  <c r="Y518" i="10"/>
  <c r="Z518" i="10" s="1"/>
  <c r="AC86" i="9"/>
  <c r="AB363" i="10" s="1"/>
  <c r="AA168" i="15"/>
  <c r="AA167" i="15" s="1"/>
  <c r="AA177" i="15"/>
  <c r="AB47" i="16"/>
  <c r="AD223" i="18"/>
  <c r="AC222" i="18"/>
  <c r="T182" i="15"/>
  <c r="T145" i="15" s="1"/>
  <c r="T173" i="15"/>
  <c r="T172" i="15" s="1"/>
  <c r="V191" i="16"/>
  <c r="V190" i="16" s="1"/>
  <c r="V441" i="10"/>
  <c r="V440" i="10" s="1"/>
  <c r="AA31" i="19"/>
  <c r="P316" i="10"/>
  <c r="O41" i="5"/>
  <c r="O15" i="5" s="1"/>
  <c r="O15" i="1" s="1"/>
  <c r="Z168" i="17"/>
  <c r="AA168" i="17" s="1"/>
  <c r="Z165" i="17"/>
  <c r="AA104" i="18"/>
  <c r="AB113" i="9"/>
  <c r="AC52" i="19"/>
  <c r="AC34" i="19"/>
  <c r="AC33" i="19" s="1"/>
  <c r="AC187" i="17" s="1"/>
  <c r="U168" i="15"/>
  <c r="U167" i="15" s="1"/>
  <c r="U177" i="15"/>
  <c r="W205" i="16"/>
  <c r="W216" i="16"/>
  <c r="W215" i="16" s="1"/>
  <c r="T449" i="9"/>
  <c r="R106" i="11" s="1"/>
  <c r="S449" i="9"/>
  <c r="Q106" i="11" s="1"/>
  <c r="R449" i="9"/>
  <c r="P106" i="11" s="1"/>
  <c r="AB109" i="11"/>
  <c r="AD455" i="9"/>
  <c r="R10" i="12"/>
  <c r="AE125" i="9"/>
  <c r="AD69" i="9"/>
  <c r="AC240" i="10" s="1"/>
  <c r="AD87" i="9"/>
  <c r="AC369" i="10" s="1"/>
  <c r="AD63" i="9"/>
  <c r="AC197" i="10" s="1"/>
  <c r="AD111" i="9"/>
  <c r="AD99" i="9"/>
  <c r="AD93" i="9"/>
  <c r="AC68" i="16" s="1"/>
  <c r="AD105" i="9"/>
  <c r="AC45" i="15" s="1"/>
  <c r="AD168" i="15"/>
  <c r="AD167" i="15" s="1"/>
  <c r="AD177" i="15"/>
  <c r="AB283" i="18"/>
  <c r="AB275" i="18"/>
  <c r="AB274" i="18" s="1"/>
  <c r="AB273" i="18" s="1"/>
  <c r="AB272" i="18" s="1"/>
  <c r="AB308" i="10"/>
  <c r="AC77" i="9"/>
  <c r="U407" i="10"/>
  <c r="S80" i="20"/>
  <c r="S76" i="20"/>
  <c r="AC76" i="20" s="1"/>
  <c r="S72" i="20"/>
  <c r="AC72" i="20" s="1"/>
  <c r="S68" i="20"/>
  <c r="AC68" i="20" s="1"/>
  <c r="S64" i="20"/>
  <c r="S60" i="20"/>
  <c r="S56" i="20"/>
  <c r="AC56" i="20" s="1"/>
  <c r="S48" i="20"/>
  <c r="AC48" i="20" s="1"/>
  <c r="S44" i="20"/>
  <c r="AC44" i="20" s="1"/>
  <c r="S40" i="20"/>
  <c r="AC40" i="20" s="1"/>
  <c r="S79" i="20"/>
  <c r="S75" i="20"/>
  <c r="S71" i="20"/>
  <c r="S63" i="20"/>
  <c r="S59" i="20"/>
  <c r="S55" i="20"/>
  <c r="S51" i="20"/>
  <c r="AC51" i="20" s="1"/>
  <c r="S43" i="20"/>
  <c r="AC43" i="20" s="1"/>
  <c r="S39" i="20"/>
  <c r="AC39" i="20" s="1"/>
  <c r="S78" i="20"/>
  <c r="AC78" i="20" s="1"/>
  <c r="S74" i="20"/>
  <c r="S70" i="20"/>
  <c r="S66" i="20"/>
  <c r="AC66" i="20" s="1"/>
  <c r="S58" i="20"/>
  <c r="S54" i="20"/>
  <c r="S50" i="20"/>
  <c r="AC50" i="20" s="1"/>
  <c r="S46" i="20"/>
  <c r="AC46" i="20" s="1"/>
  <c r="S38" i="20"/>
  <c r="AC38" i="20" s="1"/>
  <c r="S69" i="20"/>
  <c r="S65" i="20"/>
  <c r="S33" i="20"/>
  <c r="AC33" i="20" s="1"/>
  <c r="S29" i="20"/>
  <c r="S25" i="20"/>
  <c r="S21" i="20"/>
  <c r="S13" i="20"/>
  <c r="S9" i="20"/>
  <c r="S5" i="20"/>
  <c r="S61" i="20"/>
  <c r="S36" i="20"/>
  <c r="AC36" i="20" s="1"/>
  <c r="S28" i="20"/>
  <c r="S24" i="20"/>
  <c r="S20" i="20"/>
  <c r="S16" i="20"/>
  <c r="S8" i="20"/>
  <c r="S4" i="20"/>
  <c r="S81" i="20"/>
  <c r="S53" i="20"/>
  <c r="S49" i="20"/>
  <c r="AC49" i="20" s="1"/>
  <c r="S45" i="20"/>
  <c r="AC45" i="20" s="1"/>
  <c r="S41" i="20"/>
  <c r="AC41" i="20" s="1"/>
  <c r="S35" i="20"/>
  <c r="AC35" i="20" s="1"/>
  <c r="S31" i="20"/>
  <c r="S23" i="20"/>
  <c r="S19" i="20"/>
  <c r="S15" i="20"/>
  <c r="S11" i="20"/>
  <c r="S3" i="20"/>
  <c r="S73" i="20"/>
  <c r="S6" i="20"/>
  <c r="S26" i="20"/>
  <c r="S14" i="20"/>
  <c r="S34" i="20"/>
  <c r="AC34" i="20" s="1"/>
  <c r="S18" i="20"/>
  <c r="S10" i="20"/>
  <c r="S30" i="20"/>
  <c r="AB106" i="11"/>
  <c r="AD449" i="9"/>
  <c r="Y147" i="10"/>
  <c r="Z147" i="10" s="1"/>
  <c r="Z149" i="10" s="1"/>
  <c r="AA170" i="9" s="1"/>
  <c r="Q11" i="11"/>
  <c r="Z231" i="18"/>
  <c r="Z217" i="18" s="1"/>
  <c r="X283" i="18"/>
  <c r="X275" i="18"/>
  <c r="X274" i="18" s="1"/>
  <c r="X273" i="18" s="1"/>
  <c r="X272" i="18" s="1"/>
  <c r="Y17" i="13"/>
  <c r="Y13" i="13" s="1"/>
  <c r="P52" i="5" s="1"/>
  <c r="Z18" i="13"/>
  <c r="T478" i="10"/>
  <c r="T516" i="10"/>
  <c r="Z15" i="20"/>
  <c r="R233" i="10"/>
  <c r="Z20" i="20"/>
  <c r="R276" i="10"/>
  <c r="R275" i="10" s="1"/>
  <c r="Z25" i="20"/>
  <c r="R319" i="10"/>
  <c r="R318" i="10" s="1"/>
  <c r="Z30" i="20"/>
  <c r="R362" i="10"/>
  <c r="Z70" i="20"/>
  <c r="R33" i="17"/>
  <c r="Z63" i="20"/>
  <c r="R96" i="16"/>
  <c r="Z60" i="20"/>
  <c r="R60" i="16"/>
  <c r="W445" i="10"/>
  <c r="U278" i="18"/>
  <c r="U277" i="18" s="1"/>
  <c r="U286" i="18"/>
  <c r="U250" i="18" s="1"/>
  <c r="AB233" i="16"/>
  <c r="AC231" i="16"/>
  <c r="AB230" i="16"/>
  <c r="O125" i="5"/>
  <c r="AB120" i="9"/>
  <c r="S206" i="16"/>
  <c r="S456" i="10"/>
  <c r="S455" i="10" s="1"/>
  <c r="S407" i="10"/>
  <c r="S92" i="15"/>
  <c r="S91" i="15" s="1"/>
  <c r="S90" i="15" s="1"/>
  <c r="X169" i="15"/>
  <c r="X170" i="15"/>
  <c r="X34" i="15"/>
  <c r="X99" i="15"/>
  <c r="X95" i="15" s="1"/>
  <c r="X27" i="15"/>
  <c r="X94" i="15"/>
  <c r="X89" i="15"/>
  <c r="X171" i="15"/>
  <c r="X84" i="15"/>
  <c r="X79" i="15"/>
  <c r="X55" i="15"/>
  <c r="X41" i="15"/>
  <c r="X48" i="15"/>
  <c r="AE5" i="20"/>
  <c r="W61" i="10"/>
  <c r="AE14" i="20"/>
  <c r="W227" i="10"/>
  <c r="W226" i="10" s="1"/>
  <c r="AE11" i="20"/>
  <c r="W196" i="10"/>
  <c r="AE4" i="20"/>
  <c r="W56" i="10"/>
  <c r="AE81" i="20"/>
  <c r="W117" i="18"/>
  <c r="AE74" i="20"/>
  <c r="W53" i="18"/>
  <c r="AE71" i="20"/>
  <c r="W38" i="17"/>
  <c r="Y179" i="11"/>
  <c r="Z179" i="11" s="1"/>
  <c r="AA179" i="11" s="1"/>
  <c r="AA24" i="15"/>
  <c r="AB101" i="9"/>
  <c r="Q402" i="10"/>
  <c r="T286" i="10"/>
  <c r="T285" i="10" s="1"/>
  <c r="S286" i="10"/>
  <c r="S285" i="10" s="1"/>
  <c r="R286" i="10"/>
  <c r="R285" i="10" s="1"/>
  <c r="X286" i="10"/>
  <c r="X285" i="10" s="1"/>
  <c r="P286" i="10"/>
  <c r="A325" i="9"/>
  <c r="W286" i="10"/>
  <c r="W285" i="10" s="1"/>
  <c r="V286" i="10"/>
  <c r="V285" i="10" s="1"/>
  <c r="U286" i="10"/>
  <c r="U285" i="10" s="1"/>
  <c r="Q286" i="10"/>
  <c r="Q285" i="10" s="1"/>
  <c r="AD57" i="10"/>
  <c r="AD133" i="10"/>
  <c r="AD95" i="10"/>
  <c r="X44" i="19"/>
  <c r="X26" i="19"/>
  <c r="X25" i="19" s="1"/>
  <c r="AC216" i="10"/>
  <c r="AB216" i="10"/>
  <c r="AD216" i="10"/>
  <c r="U44" i="19"/>
  <c r="U26" i="19"/>
  <c r="U25" i="19" s="1"/>
  <c r="AC168" i="15"/>
  <c r="AC167" i="15" s="1"/>
  <c r="AC177" i="15"/>
  <c r="W8" i="12"/>
  <c r="O8" i="18"/>
  <c r="O103" i="5"/>
  <c r="O239" i="18"/>
  <c r="O241" i="18"/>
  <c r="P15" i="12"/>
  <c r="Y17" i="12"/>
  <c r="V10" i="12"/>
  <c r="Y10" i="13"/>
  <c r="Y9" i="13" s="1"/>
  <c r="Y52" i="12"/>
  <c r="Z19" i="13"/>
  <c r="X488" i="10"/>
  <c r="U52" i="19"/>
  <c r="U34" i="19"/>
  <c r="U33" i="19" s="1"/>
  <c r="U187" i="17" s="1"/>
  <c r="U186" i="17" s="1"/>
  <c r="U162" i="17" s="1"/>
  <c r="U159" i="17" s="1"/>
  <c r="U10" i="17" s="1"/>
  <c r="AB119" i="10"/>
  <c r="AD119" i="10"/>
  <c r="AC119" i="10"/>
  <c r="AA119" i="10"/>
  <c r="Y414" i="10"/>
  <c r="Z414" i="10" s="1"/>
  <c r="P413" i="10"/>
  <c r="P506" i="10"/>
  <c r="P505" i="10" s="1"/>
  <c r="Y475" i="10"/>
  <c r="P474" i="10"/>
  <c r="P494" i="10"/>
  <c r="Y495" i="10"/>
  <c r="Z495" i="10" s="1"/>
  <c r="Q198" i="16"/>
  <c r="Q278" i="16"/>
  <c r="Q279" i="16"/>
  <c r="Q188" i="16"/>
  <c r="Q208" i="16"/>
  <c r="Q172" i="16"/>
  <c r="Q168" i="16" s="1"/>
  <c r="Q167" i="16"/>
  <c r="Q162" i="16"/>
  <c r="Q193" i="16"/>
  <c r="Q157" i="16"/>
  <c r="Q152" i="16"/>
  <c r="Q128" i="16"/>
  <c r="Q114" i="16"/>
  <c r="Q107" i="16"/>
  <c r="Q100" i="16"/>
  <c r="Q50" i="16"/>
  <c r="Q78" i="16"/>
  <c r="Q71" i="16"/>
  <c r="Q57" i="16"/>
  <c r="Q64" i="16"/>
  <c r="Z43" i="11"/>
  <c r="Z45" i="11" s="1"/>
  <c r="AA440" i="9" s="1"/>
  <c r="AB440" i="9" s="1"/>
  <c r="Y45" i="11"/>
  <c r="V196" i="16"/>
  <c r="V195" i="16" s="1"/>
  <c r="V446" i="10"/>
  <c r="V445" i="10" s="1"/>
  <c r="V92" i="15"/>
  <c r="V91" i="15" s="1"/>
  <c r="Q63" i="18"/>
  <c r="S63" i="18"/>
  <c r="R63" i="18"/>
  <c r="P63" i="18"/>
  <c r="X63" i="18"/>
  <c r="W63" i="18"/>
  <c r="V63" i="18"/>
  <c r="A360" i="9"/>
  <c r="U63" i="18"/>
  <c r="T63" i="18"/>
  <c r="AD278" i="18"/>
  <c r="AD277" i="18" s="1"/>
  <c r="AD286" i="18"/>
  <c r="AD250" i="18" s="1"/>
  <c r="AC31" i="19"/>
  <c r="W423" i="10"/>
  <c r="W425" i="10"/>
  <c r="W427" i="10"/>
  <c r="AD44" i="19"/>
  <c r="AA308" i="10"/>
  <c r="AB77" i="9"/>
  <c r="U412" i="10"/>
  <c r="U506" i="10"/>
  <c r="U505" i="10" s="1"/>
  <c r="U474" i="10"/>
  <c r="U473" i="10" s="1"/>
  <c r="R455" i="10"/>
  <c r="AC113" i="9"/>
  <c r="S173" i="11"/>
  <c r="R167" i="11"/>
  <c r="AB52" i="19"/>
  <c r="AB34" i="19"/>
  <c r="AB33" i="19" s="1"/>
  <c r="AB187" i="17" s="1"/>
  <c r="T186" i="16"/>
  <c r="T185" i="16" s="1"/>
  <c r="T468" i="10"/>
  <c r="T467" i="10" s="1"/>
  <c r="T436" i="10"/>
  <c r="T435" i="10" s="1"/>
  <c r="T483" i="10"/>
  <c r="T521" i="10"/>
  <c r="Z19" i="20"/>
  <c r="R270" i="10"/>
  <c r="R269" i="10" s="1"/>
  <c r="Z24" i="20"/>
  <c r="R313" i="10"/>
  <c r="R312" i="10" s="1"/>
  <c r="Z29" i="20"/>
  <c r="R356" i="10"/>
  <c r="R355" i="10" s="1"/>
  <c r="Z74" i="20"/>
  <c r="R53" i="18"/>
  <c r="Z71" i="20"/>
  <c r="R38" i="17"/>
  <c r="Z64" i="20"/>
  <c r="R103" i="16"/>
  <c r="R102" i="16" s="1"/>
  <c r="Z53" i="20"/>
  <c r="R23" i="15"/>
  <c r="U283" i="18"/>
  <c r="U275" i="18"/>
  <c r="U274" i="18" s="1"/>
  <c r="AA230" i="16"/>
  <c r="AA229" i="16" s="1"/>
  <c r="AA224" i="16" s="1"/>
  <c r="AD122" i="9"/>
  <c r="AC121" i="9"/>
  <c r="AC120" i="9" s="1"/>
  <c r="AC84" i="9"/>
  <c r="AA47" i="18"/>
  <c r="AB107" i="9"/>
  <c r="W30" i="19"/>
  <c r="W31" i="19"/>
  <c r="W32" i="19"/>
  <c r="W27" i="19"/>
  <c r="W28" i="19"/>
  <c r="W29" i="19"/>
  <c r="W84" i="17"/>
  <c r="W80" i="17"/>
  <c r="W88" i="17"/>
  <c r="W35" i="17"/>
  <c r="W40" i="17"/>
  <c r="W30" i="17"/>
  <c r="S506" i="10"/>
  <c r="S505" i="10" s="1"/>
  <c r="S474" i="10"/>
  <c r="S473" i="10" s="1"/>
  <c r="Q81" i="20"/>
  <c r="Q73" i="20"/>
  <c r="Q69" i="20"/>
  <c r="Q65" i="20"/>
  <c r="Q61" i="20"/>
  <c r="Q53" i="20"/>
  <c r="Q49" i="20"/>
  <c r="AA49" i="20" s="1"/>
  <c r="Q45" i="20"/>
  <c r="AA45" i="20" s="1"/>
  <c r="Q41" i="20"/>
  <c r="AA41" i="20" s="1"/>
  <c r="Q80" i="20"/>
  <c r="Q76" i="20"/>
  <c r="AA76" i="20" s="1"/>
  <c r="Q72" i="20"/>
  <c r="AA72" i="20" s="1"/>
  <c r="Q68" i="20"/>
  <c r="AA68" i="20" s="1"/>
  <c r="Q64" i="20"/>
  <c r="Q60" i="20"/>
  <c r="Q56" i="20"/>
  <c r="AA56" i="20" s="1"/>
  <c r="Q48" i="20"/>
  <c r="AA48" i="20" s="1"/>
  <c r="Q44" i="20"/>
  <c r="AA44" i="20" s="1"/>
  <c r="Q40" i="20"/>
  <c r="AA40" i="20" s="1"/>
  <c r="Q79" i="20"/>
  <c r="Q75" i="20"/>
  <c r="Q71" i="20"/>
  <c r="Q63" i="20"/>
  <c r="Q59" i="20"/>
  <c r="Q55" i="20"/>
  <c r="Q51" i="20"/>
  <c r="AA51" i="20" s="1"/>
  <c r="Q43" i="20"/>
  <c r="AA43" i="20" s="1"/>
  <c r="Q39" i="20"/>
  <c r="AA39" i="20" s="1"/>
  <c r="Q58" i="20"/>
  <c r="Q34" i="20"/>
  <c r="AA34" i="20" s="1"/>
  <c r="Q30" i="20"/>
  <c r="Q26" i="20"/>
  <c r="Q18" i="20"/>
  <c r="Q14" i="20"/>
  <c r="Q10" i="20"/>
  <c r="Q6" i="20"/>
  <c r="Q54" i="20"/>
  <c r="Q78" i="20"/>
  <c r="AA78" i="20" s="1"/>
  <c r="Q50" i="20"/>
  <c r="AA50" i="20" s="1"/>
  <c r="Q46" i="20"/>
  <c r="AA46" i="20" s="1"/>
  <c r="Q33" i="20"/>
  <c r="AA33" i="20" s="1"/>
  <c r="Q29" i="20"/>
  <c r="Q25" i="20"/>
  <c r="Q21" i="20"/>
  <c r="Q13" i="20"/>
  <c r="Q9" i="20"/>
  <c r="Q5" i="20"/>
  <c r="Q74" i="20"/>
  <c r="Q38" i="20"/>
  <c r="AA38" i="20" s="1"/>
  <c r="Q36" i="20"/>
  <c r="AA36" i="20" s="1"/>
  <c r="Q28" i="20"/>
  <c r="Q24" i="20"/>
  <c r="Q20" i="20"/>
  <c r="Q16" i="20"/>
  <c r="Q8" i="20"/>
  <c r="Q4" i="20"/>
  <c r="Q3" i="20"/>
  <c r="Q70" i="20"/>
  <c r="Q23" i="20"/>
  <c r="Q15" i="20"/>
  <c r="Q35" i="20"/>
  <c r="AA35" i="20" s="1"/>
  <c r="Q66" i="20"/>
  <c r="AA66" i="20" s="1"/>
  <c r="Q19" i="20"/>
  <c r="Q11" i="20"/>
  <c r="Q31" i="20"/>
  <c r="AE18" i="20"/>
  <c r="W264" i="10"/>
  <c r="AE15" i="20"/>
  <c r="W233" i="10"/>
  <c r="AE8" i="20"/>
  <c r="W178" i="10"/>
  <c r="AE75" i="20"/>
  <c r="W60" i="18"/>
  <c r="AC88" i="16"/>
  <c r="AB88" i="16"/>
  <c r="AD88" i="16"/>
  <c r="Q493" i="10"/>
  <c r="Q407" i="10"/>
  <c r="P279" i="10"/>
  <c r="P171" i="15"/>
  <c r="AA133" i="10"/>
  <c r="AA95" i="10"/>
  <c r="AA57" i="10"/>
  <c r="X37" i="19"/>
  <c r="X36" i="19" s="1"/>
  <c r="X55" i="19"/>
  <c r="X54" i="19" s="1"/>
  <c r="AC160" i="15"/>
  <c r="AB159" i="15"/>
  <c r="Y404" i="10"/>
  <c r="Z404" i="10" s="1"/>
  <c r="P403" i="10"/>
  <c r="V546" i="10"/>
  <c r="V545" i="10" s="1"/>
  <c r="V512" i="10"/>
  <c r="X92" i="15"/>
  <c r="X91" i="15" s="1"/>
  <c r="X90" i="15" s="1"/>
  <c r="R299" i="16"/>
  <c r="R535" i="10"/>
  <c r="R531" i="10" s="1"/>
  <c r="R530" i="10"/>
  <c r="R526" i="10" s="1"/>
  <c r="R525" i="10"/>
  <c r="R521" i="10" s="1"/>
  <c r="R520" i="10"/>
  <c r="R516" i="10" s="1"/>
  <c r="R515" i="10"/>
  <c r="R511" i="10" s="1"/>
  <c r="X8" i="12"/>
  <c r="P10" i="12"/>
  <c r="X402" i="10"/>
  <c r="AB90" i="11"/>
  <c r="AD454" i="9"/>
  <c r="AB87" i="11"/>
  <c r="AD448" i="9"/>
  <c r="P418" i="10"/>
  <c r="Y419" i="10"/>
  <c r="Z419" i="10" s="1"/>
  <c r="Y533" i="10"/>
  <c r="Z533" i="10" s="1"/>
  <c r="P532" i="10"/>
  <c r="W114" i="11"/>
  <c r="W113" i="11" s="1"/>
  <c r="W124" i="11"/>
  <c r="U10" i="12"/>
  <c r="AB225" i="18"/>
  <c r="V201" i="16"/>
  <c r="V200" i="16" s="1"/>
  <c r="V199" i="16" s="1"/>
  <c r="V451" i="10"/>
  <c r="V450" i="10" s="1"/>
  <c r="AD283" i="18"/>
  <c r="AD275" i="18"/>
  <c r="AD274" i="18" s="1"/>
  <c r="AD273" i="18" s="1"/>
  <c r="AD272" i="18" s="1"/>
  <c r="AB115" i="10"/>
  <c r="AA115" i="10"/>
  <c r="AD115" i="10"/>
  <c r="AC115" i="10"/>
  <c r="S8" i="12"/>
  <c r="Y97" i="15"/>
  <c r="Z97" i="15" s="1"/>
  <c r="P96" i="15"/>
  <c r="U182" i="15"/>
  <c r="U145" i="15" s="1"/>
  <c r="U173" i="15"/>
  <c r="U172" i="15" s="1"/>
  <c r="AA222" i="10"/>
  <c r="AB65" i="9"/>
  <c r="U455" i="9"/>
  <c r="S109" i="11" s="1"/>
  <c r="T455" i="9"/>
  <c r="R109" i="11" s="1"/>
  <c r="S455" i="9"/>
  <c r="Q109" i="11" s="1"/>
  <c r="Z455" i="9"/>
  <c r="X109" i="11" s="1"/>
  <c r="R455" i="9"/>
  <c r="P109" i="11" s="1"/>
  <c r="Y455" i="9"/>
  <c r="W109" i="11" s="1"/>
  <c r="X455" i="9"/>
  <c r="V109" i="11" s="1"/>
  <c r="W455" i="9"/>
  <c r="U109" i="11" s="1"/>
  <c r="V455" i="9"/>
  <c r="T109" i="11" s="1"/>
  <c r="AD55" i="19"/>
  <c r="AD54" i="19" s="1"/>
  <c r="AC18" i="12"/>
  <c r="AD182" i="15"/>
  <c r="AD145" i="15" s="1"/>
  <c r="AD173" i="15"/>
  <c r="AD172" i="15" s="1"/>
  <c r="U417" i="10"/>
  <c r="U546" i="10"/>
  <c r="U545" i="10" s="1"/>
  <c r="U512" i="10"/>
  <c r="U511" i="10" s="1"/>
  <c r="R216" i="16"/>
  <c r="R215" i="16" s="1"/>
  <c r="R205" i="16"/>
  <c r="T278" i="18"/>
  <c r="T277" i="18" s="1"/>
  <c r="T286" i="18"/>
  <c r="T250" i="18" s="1"/>
  <c r="AE114" i="9"/>
  <c r="AB31" i="19"/>
  <c r="AB265" i="10"/>
  <c r="AC92" i="9"/>
  <c r="AB61" i="16" s="1"/>
  <c r="T191" i="16"/>
  <c r="T190" i="16" s="1"/>
  <c r="T441" i="10"/>
  <c r="T440" i="10" s="1"/>
  <c r="T488" i="10"/>
  <c r="T526" i="10"/>
  <c r="Z23" i="20"/>
  <c r="R307" i="10"/>
  <c r="Z28" i="20"/>
  <c r="R350" i="10"/>
  <c r="Z75" i="20"/>
  <c r="R60" i="18"/>
  <c r="Z61" i="20"/>
  <c r="R67" i="16"/>
  <c r="T44" i="19"/>
  <c r="T26" i="19"/>
  <c r="T25" i="19" s="1"/>
  <c r="X69" i="10"/>
  <c r="P69" i="10"/>
  <c r="W69" i="10"/>
  <c r="V69" i="10"/>
  <c r="T69" i="10"/>
  <c r="S69" i="10"/>
  <c r="A295" i="9"/>
  <c r="Q69" i="10"/>
  <c r="U69" i="10"/>
  <c r="R69" i="10"/>
  <c r="AB49" i="11"/>
  <c r="AD446" i="9"/>
  <c r="Z119" i="15"/>
  <c r="Z114" i="15" s="1"/>
  <c r="Z122" i="15"/>
  <c r="AA122" i="15" s="1"/>
  <c r="AC264" i="18"/>
  <c r="AB263" i="18"/>
  <c r="AC108" i="9"/>
  <c r="W276" i="18"/>
  <c r="W199" i="18"/>
  <c r="W156" i="18"/>
  <c r="W151" i="18"/>
  <c r="W189" i="18"/>
  <c r="W194" i="18"/>
  <c r="W114" i="18"/>
  <c r="W107" i="18"/>
  <c r="W161" i="18"/>
  <c r="W64" i="18"/>
  <c r="W121" i="18"/>
  <c r="W50" i="18"/>
  <c r="W57" i="18"/>
  <c r="S418" i="10"/>
  <c r="S417" i="10" s="1"/>
  <c r="S19" i="10"/>
  <c r="S115" i="11" s="1"/>
  <c r="S493" i="10"/>
  <c r="AE21" i="20"/>
  <c r="W282" i="10"/>
  <c r="AE29" i="20"/>
  <c r="W356" i="10"/>
  <c r="W355" i="10" s="1"/>
  <c r="AE26" i="20"/>
  <c r="W325" i="10"/>
  <c r="AE19" i="20"/>
  <c r="W270" i="10"/>
  <c r="W269" i="10" s="1"/>
  <c r="AE16" i="20"/>
  <c r="W239" i="10"/>
  <c r="AE79" i="20"/>
  <c r="W103" i="18"/>
  <c r="S168" i="15"/>
  <c r="S167" i="15" s="1"/>
  <c r="S166" i="15" s="1"/>
  <c r="S177" i="15"/>
  <c r="X63" i="16"/>
  <c r="P63" i="16"/>
  <c r="W63" i="16"/>
  <c r="A342" i="9"/>
  <c r="V63" i="16"/>
  <c r="U63" i="16"/>
  <c r="T63" i="16"/>
  <c r="S63" i="16"/>
  <c r="R63" i="16"/>
  <c r="Q63" i="16"/>
  <c r="AB278" i="16"/>
  <c r="AB172" i="16"/>
  <c r="AB193" i="16"/>
  <c r="AB279" i="16"/>
  <c r="AB157" i="16"/>
  <c r="AB152" i="16"/>
  <c r="AB107" i="16"/>
  <c r="AB100" i="16"/>
  <c r="AB167" i="16"/>
  <c r="AB198" i="16"/>
  <c r="AB162" i="16"/>
  <c r="AB188" i="16"/>
  <c r="AB114" i="16"/>
  <c r="AB78" i="16"/>
  <c r="AB72" i="16" s="1"/>
  <c r="AB32" i="16" s="1"/>
  <c r="AB25" i="16" s="1"/>
  <c r="AB71" i="16"/>
  <c r="AB64" i="16"/>
  <c r="AB57" i="16"/>
  <c r="AB50" i="16"/>
  <c r="Q412" i="10"/>
  <c r="Q506" i="10"/>
  <c r="Q505" i="10" s="1"/>
  <c r="Q474" i="10"/>
  <c r="Q473" i="10" s="1"/>
  <c r="R440" i="10"/>
  <c r="AB95" i="10"/>
  <c r="AB57" i="10"/>
  <c r="AB133" i="10"/>
  <c r="Q173" i="15"/>
  <c r="Q172" i="15" s="1"/>
  <c r="Q182" i="15"/>
  <c r="Q145" i="15" s="1"/>
  <c r="AC68" i="9"/>
  <c r="AB234" i="10" s="1"/>
  <c r="O396" i="10"/>
  <c r="AD138" i="16"/>
  <c r="AC138" i="16"/>
  <c r="AB138" i="16"/>
  <c r="U141" i="11"/>
  <c r="V8" i="12"/>
  <c r="O11" i="15"/>
  <c r="O9" i="15"/>
  <c r="Z102" i="17"/>
  <c r="O104" i="17"/>
  <c r="AA188" i="16"/>
  <c r="AA279" i="16"/>
  <c r="AA278" i="16"/>
  <c r="AA114" i="16"/>
  <c r="AA157" i="16"/>
  <c r="AA152" i="16"/>
  <c r="AA107" i="16"/>
  <c r="AA100" i="16"/>
  <c r="AA193" i="16"/>
  <c r="AA172" i="16"/>
  <c r="AA167" i="16"/>
  <c r="AA162" i="16"/>
  <c r="AA198" i="16"/>
  <c r="AA78" i="16"/>
  <c r="AA72" i="16" s="1"/>
  <c r="AA32" i="16" s="1"/>
  <c r="AA25" i="16" s="1"/>
  <c r="R11" i="6" s="1"/>
  <c r="AA71" i="16"/>
  <c r="AA64" i="16"/>
  <c r="AA57" i="16"/>
  <c r="AA50" i="16"/>
  <c r="AB143" i="10"/>
  <c r="AB105" i="10"/>
  <c r="AB67" i="10"/>
  <c r="P201" i="16"/>
  <c r="Y452" i="10"/>
  <c r="Z452" i="10" s="1"/>
  <c r="P451" i="10"/>
  <c r="X546" i="10"/>
  <c r="X545" i="10" s="1"/>
  <c r="X512" i="10"/>
  <c r="X511" i="10" s="1"/>
  <c r="Q8" i="12"/>
  <c r="X196" i="16"/>
  <c r="X195" i="16" s="1"/>
  <c r="X446" i="10"/>
  <c r="X445" i="10" s="1"/>
  <c r="X201" i="16"/>
  <c r="X200" i="16" s="1"/>
  <c r="X199" i="16" s="1"/>
  <c r="X451" i="10"/>
  <c r="X450" i="10" s="1"/>
  <c r="V78" i="20"/>
  <c r="AF78" i="20" s="1"/>
  <c r="V74" i="20"/>
  <c r="V70" i="20"/>
  <c r="V66" i="20"/>
  <c r="AF66" i="20" s="1"/>
  <c r="V58" i="20"/>
  <c r="V54" i="20"/>
  <c r="V50" i="20"/>
  <c r="AF50" i="20" s="1"/>
  <c r="V46" i="20"/>
  <c r="AF46" i="20" s="1"/>
  <c r="V38" i="20"/>
  <c r="AF38" i="20" s="1"/>
  <c r="V81" i="20"/>
  <c r="V73" i="20"/>
  <c r="V69" i="20"/>
  <c r="V65" i="20"/>
  <c r="V61" i="20"/>
  <c r="V53" i="20"/>
  <c r="V49" i="20"/>
  <c r="AF49" i="20" s="1"/>
  <c r="V45" i="20"/>
  <c r="AF45" i="20" s="1"/>
  <c r="V41" i="20"/>
  <c r="AF41" i="20" s="1"/>
  <c r="V80" i="20"/>
  <c r="V76" i="20"/>
  <c r="AF76" i="20" s="1"/>
  <c r="V72" i="20"/>
  <c r="AF72" i="20" s="1"/>
  <c r="V68" i="20"/>
  <c r="AF68" i="20" s="1"/>
  <c r="V64" i="20"/>
  <c r="V60" i="20"/>
  <c r="V56" i="20"/>
  <c r="AF56" i="20" s="1"/>
  <c r="V48" i="20"/>
  <c r="AF48" i="20" s="1"/>
  <c r="V44" i="20"/>
  <c r="AF44" i="20" s="1"/>
  <c r="V40" i="20"/>
  <c r="AF40" i="20" s="1"/>
  <c r="V79" i="20"/>
  <c r="V75" i="20"/>
  <c r="V71" i="20"/>
  <c r="V63" i="20"/>
  <c r="V59" i="20"/>
  <c r="V55" i="20"/>
  <c r="V51" i="20"/>
  <c r="AF51" i="20" s="1"/>
  <c r="V43" i="20"/>
  <c r="AF43" i="20" s="1"/>
  <c r="V39" i="20"/>
  <c r="AF39" i="20" s="1"/>
  <c r="V35" i="20"/>
  <c r="AF35" i="20" s="1"/>
  <c r="V31" i="20"/>
  <c r="V23" i="20"/>
  <c r="V19" i="20"/>
  <c r="V15" i="20"/>
  <c r="V11" i="20"/>
  <c r="V3" i="20"/>
  <c r="V34" i="20"/>
  <c r="AF34" i="20" s="1"/>
  <c r="V30" i="20"/>
  <c r="V26" i="20"/>
  <c r="V18" i="20"/>
  <c r="V14" i="20"/>
  <c r="V10" i="20"/>
  <c r="V6" i="20"/>
  <c r="V33" i="20"/>
  <c r="AF33" i="20" s="1"/>
  <c r="V29" i="20"/>
  <c r="V25" i="20"/>
  <c r="V21" i="20"/>
  <c r="V13" i="20"/>
  <c r="V9" i="20"/>
  <c r="V5" i="20"/>
  <c r="V36" i="20"/>
  <c r="AF36" i="20" s="1"/>
  <c r="V28" i="20"/>
  <c r="V24" i="20"/>
  <c r="V20" i="20"/>
  <c r="V16" i="20"/>
  <c r="V8" i="20"/>
  <c r="V4" i="20"/>
  <c r="AB90" i="10"/>
  <c r="AB52" i="10"/>
  <c r="AB128" i="10"/>
  <c r="AC53" i="9"/>
  <c r="X206" i="16"/>
  <c r="X456" i="10"/>
  <c r="X455" i="10" s="1"/>
  <c r="X366" i="10"/>
  <c r="X365" i="10" s="1"/>
  <c r="P366" i="10"/>
  <c r="A336" i="9"/>
  <c r="W366" i="10"/>
  <c r="W365" i="10" s="1"/>
  <c r="V366" i="10"/>
  <c r="V365" i="10" s="1"/>
  <c r="U366" i="10"/>
  <c r="U365" i="10" s="1"/>
  <c r="T366" i="10"/>
  <c r="T365" i="10" s="1"/>
  <c r="S366" i="10"/>
  <c r="S365" i="10" s="1"/>
  <c r="R366" i="10"/>
  <c r="R365" i="10" s="1"/>
  <c r="Q366" i="10"/>
  <c r="Q365" i="10" s="1"/>
  <c r="R8" i="12"/>
  <c r="O8" i="11"/>
  <c r="O6" i="11" s="1"/>
  <c r="AB168" i="15"/>
  <c r="AB167" i="15" s="1"/>
  <c r="AB177" i="15"/>
  <c r="P527" i="10"/>
  <c r="Y528" i="10"/>
  <c r="Z528" i="10" s="1"/>
  <c r="V398" i="10"/>
  <c r="V397" i="10" s="1"/>
  <c r="V430" i="10"/>
  <c r="V429" i="10" s="1"/>
  <c r="T79" i="20"/>
  <c r="T75" i="20"/>
  <c r="T71" i="20"/>
  <c r="T63" i="20"/>
  <c r="T59" i="20"/>
  <c r="T55" i="20"/>
  <c r="T51" i="20"/>
  <c r="AD51" i="20" s="1"/>
  <c r="T43" i="20"/>
  <c r="AD43" i="20" s="1"/>
  <c r="T39" i="20"/>
  <c r="AD39" i="20" s="1"/>
  <c r="T78" i="20"/>
  <c r="AD78" i="20" s="1"/>
  <c r="T74" i="20"/>
  <c r="T70" i="20"/>
  <c r="T66" i="20"/>
  <c r="AD66" i="20" s="1"/>
  <c r="T58" i="20"/>
  <c r="T54" i="20"/>
  <c r="T50" i="20"/>
  <c r="AD50" i="20" s="1"/>
  <c r="T46" i="20"/>
  <c r="AD46" i="20" s="1"/>
  <c r="T38" i="20"/>
  <c r="AD38" i="20" s="1"/>
  <c r="T81" i="20"/>
  <c r="T73" i="20"/>
  <c r="T69" i="20"/>
  <c r="T65" i="20"/>
  <c r="T61" i="20"/>
  <c r="T53" i="20"/>
  <c r="T49" i="20"/>
  <c r="AD49" i="20" s="1"/>
  <c r="T45" i="20"/>
  <c r="AD45" i="20" s="1"/>
  <c r="T41" i="20"/>
  <c r="AD41" i="20" s="1"/>
  <c r="T80" i="20"/>
  <c r="T76" i="20"/>
  <c r="AD76" i="20" s="1"/>
  <c r="T72" i="20"/>
  <c r="AD72" i="20" s="1"/>
  <c r="T68" i="20"/>
  <c r="AD68" i="20" s="1"/>
  <c r="T64" i="20"/>
  <c r="T60" i="20"/>
  <c r="T56" i="20"/>
  <c r="AD56" i="20" s="1"/>
  <c r="T48" i="20"/>
  <c r="AD48" i="20" s="1"/>
  <c r="T44" i="20"/>
  <c r="AD44" i="20" s="1"/>
  <c r="T40" i="20"/>
  <c r="AD40" i="20" s="1"/>
  <c r="T36" i="20"/>
  <c r="AD36" i="20" s="1"/>
  <c r="T28" i="20"/>
  <c r="T24" i="20"/>
  <c r="T20" i="20"/>
  <c r="T16" i="20"/>
  <c r="T8" i="20"/>
  <c r="T4" i="20"/>
  <c r="T35" i="20"/>
  <c r="AD35" i="20" s="1"/>
  <c r="T31" i="20"/>
  <c r="T23" i="20"/>
  <c r="T19" i="20"/>
  <c r="T15" i="20"/>
  <c r="T11" i="20"/>
  <c r="T3" i="20"/>
  <c r="T34" i="20"/>
  <c r="AD34" i="20" s="1"/>
  <c r="T30" i="20"/>
  <c r="T26" i="20"/>
  <c r="T18" i="20"/>
  <c r="T14" i="20"/>
  <c r="T10" i="20"/>
  <c r="T6" i="20"/>
  <c r="T33" i="20"/>
  <c r="AD33" i="20" s="1"/>
  <c r="T29" i="20"/>
  <c r="T25" i="20"/>
  <c r="T21" i="20"/>
  <c r="T13" i="20"/>
  <c r="T9" i="20"/>
  <c r="T5" i="20"/>
  <c r="R27" i="19"/>
  <c r="R28" i="19"/>
  <c r="R29" i="19"/>
  <c r="R30" i="19"/>
  <c r="R31" i="19"/>
  <c r="R88" i="17"/>
  <c r="R40" i="17"/>
  <c r="R30" i="17"/>
  <c r="R84" i="17"/>
  <c r="R80" i="17"/>
  <c r="R35" i="17"/>
  <c r="R32" i="19"/>
  <c r="X407" i="10"/>
  <c r="X526" i="10"/>
  <c r="W511" i="10"/>
  <c r="P359" i="10"/>
  <c r="AD259" i="10"/>
  <c r="AC259" i="10"/>
  <c r="AB259" i="10"/>
  <c r="Q10" i="12"/>
  <c r="X279" i="16"/>
  <c r="X152" i="16"/>
  <c r="X278" i="16"/>
  <c r="X193" i="16"/>
  <c r="X208" i="16"/>
  <c r="X172" i="16"/>
  <c r="X168" i="16" s="1"/>
  <c r="X167" i="16"/>
  <c r="X162" i="16"/>
  <c r="X188" i="16"/>
  <c r="X128" i="16"/>
  <c r="X114" i="16"/>
  <c r="X157" i="16"/>
  <c r="X107" i="16"/>
  <c r="X100" i="16"/>
  <c r="X198" i="16"/>
  <c r="X57" i="16"/>
  <c r="X50" i="16"/>
  <c r="X78" i="16"/>
  <c r="X64" i="16"/>
  <c r="X71" i="16"/>
  <c r="AA97" i="16"/>
  <c r="AB95" i="9"/>
  <c r="Y480" i="10"/>
  <c r="Z480" i="10" s="1"/>
  <c r="P479" i="10"/>
  <c r="P186" i="16"/>
  <c r="P468" i="10"/>
  <c r="P467" i="10" s="1"/>
  <c r="Y437" i="10"/>
  <c r="P436" i="10"/>
  <c r="P546" i="10"/>
  <c r="P545" i="10" s="1"/>
  <c r="Y513" i="10"/>
  <c r="P512" i="10"/>
  <c r="R193" i="16"/>
  <c r="R278" i="16"/>
  <c r="R279" i="16"/>
  <c r="R172" i="16"/>
  <c r="R168" i="16" s="1"/>
  <c r="R157" i="16"/>
  <c r="R152" i="16"/>
  <c r="R128" i="16"/>
  <c r="R114" i="16"/>
  <c r="R167" i="16"/>
  <c r="R107" i="16"/>
  <c r="R198" i="16"/>
  <c r="R194" i="16" s="1"/>
  <c r="R162" i="16"/>
  <c r="R100" i="16"/>
  <c r="R188" i="16"/>
  <c r="R184" i="16" s="1"/>
  <c r="R208" i="16"/>
  <c r="R78" i="16"/>
  <c r="R71" i="16"/>
  <c r="R64" i="16"/>
  <c r="R50" i="16"/>
  <c r="R57" i="16"/>
  <c r="Y6" i="13"/>
  <c r="W10" i="12"/>
  <c r="Z177" i="17"/>
  <c r="Z161" i="17" s="1"/>
  <c r="AC127" i="9"/>
  <c r="AD128" i="9"/>
  <c r="V206" i="16"/>
  <c r="V456" i="10"/>
  <c r="V455" i="10" s="1"/>
  <c r="U157" i="11"/>
  <c r="T155" i="11"/>
  <c r="R182" i="15"/>
  <c r="R145" i="15" s="1"/>
  <c r="R173" i="15"/>
  <c r="R172" i="15" s="1"/>
  <c r="AB222" i="10"/>
  <c r="AC65" i="9"/>
  <c r="N15" i="3"/>
  <c r="W278" i="16"/>
  <c r="W279" i="16"/>
  <c r="W157" i="16"/>
  <c r="W188" i="16"/>
  <c r="W184" i="16" s="1"/>
  <c r="W198" i="16"/>
  <c r="W194" i="16" s="1"/>
  <c r="W162" i="16"/>
  <c r="W208" i="16"/>
  <c r="W152" i="16"/>
  <c r="W128" i="16"/>
  <c r="W114" i="16"/>
  <c r="W193" i="16"/>
  <c r="W189" i="16" s="1"/>
  <c r="W107" i="16"/>
  <c r="W167" i="16"/>
  <c r="W64" i="16"/>
  <c r="W172" i="16"/>
  <c r="W168" i="16" s="1"/>
  <c r="W57" i="16"/>
  <c r="W50" i="16"/>
  <c r="W100" i="16"/>
  <c r="W71" i="16"/>
  <c r="W78" i="16"/>
  <c r="U186" i="16"/>
  <c r="U185" i="16" s="1"/>
  <c r="U184" i="16" s="1"/>
  <c r="U468" i="10"/>
  <c r="U467" i="10" s="1"/>
  <c r="U436" i="10"/>
  <c r="U435" i="10" s="1"/>
  <c r="U516" i="10"/>
  <c r="T283" i="18"/>
  <c r="T275" i="18"/>
  <c r="T274" i="18" s="1"/>
  <c r="R30" i="12"/>
  <c r="Q30" i="12"/>
  <c r="X30" i="12"/>
  <c r="P30" i="12"/>
  <c r="W30" i="12"/>
  <c r="V30" i="12"/>
  <c r="U30" i="12"/>
  <c r="S30" i="12"/>
  <c r="T30" i="12"/>
  <c r="U302" i="10"/>
  <c r="Q302" i="10"/>
  <c r="P302" i="10"/>
  <c r="X302" i="10"/>
  <c r="W302" i="10"/>
  <c r="V302" i="10"/>
  <c r="T302" i="10"/>
  <c r="S302" i="10"/>
  <c r="AA302" i="10"/>
  <c r="R302" i="10"/>
  <c r="AA265" i="10"/>
  <c r="AB71" i="9"/>
  <c r="T196" i="16"/>
  <c r="T195" i="16" s="1"/>
  <c r="T446" i="10"/>
  <c r="T445" i="10" s="1"/>
  <c r="T398" i="10"/>
  <c r="T397" i="10" s="1"/>
  <c r="T430" i="10"/>
  <c r="T429" i="10" s="1"/>
  <c r="T531" i="10"/>
  <c r="Z31" i="20"/>
  <c r="R368" i="10"/>
  <c r="Z6" i="20"/>
  <c r="R66" i="10"/>
  <c r="Z79" i="20"/>
  <c r="R103" i="18"/>
  <c r="Z65" i="20"/>
  <c r="R110" i="16"/>
  <c r="T37" i="19"/>
  <c r="T36" i="19" s="1"/>
  <c r="T55" i="19"/>
  <c r="T54" i="19" s="1"/>
  <c r="T19" i="2"/>
  <c r="S18" i="2"/>
  <c r="S478" i="10"/>
  <c r="S516" i="10"/>
  <c r="AE30" i="20"/>
  <c r="W362" i="10"/>
  <c r="W361" i="10" s="1"/>
  <c r="AE23" i="20"/>
  <c r="W307" i="10"/>
  <c r="AE20" i="20"/>
  <c r="W276" i="10"/>
  <c r="W275" i="10" s="1"/>
  <c r="AE53" i="20"/>
  <c r="W23" i="15"/>
  <c r="V278" i="16"/>
  <c r="V279" i="16"/>
  <c r="V162" i="16"/>
  <c r="V193" i="16"/>
  <c r="V198" i="16"/>
  <c r="V167" i="16"/>
  <c r="V188" i="16"/>
  <c r="V208" i="16"/>
  <c r="V157" i="16"/>
  <c r="V152" i="16"/>
  <c r="V128" i="16"/>
  <c r="V114" i="16"/>
  <c r="V172" i="16"/>
  <c r="V168" i="16" s="1"/>
  <c r="V100" i="16"/>
  <c r="V71" i="16"/>
  <c r="V64" i="16"/>
  <c r="V57" i="16"/>
  <c r="V50" i="16"/>
  <c r="V107" i="16"/>
  <c r="V78" i="16"/>
  <c r="Q293" i="18"/>
  <c r="Q217" i="17"/>
  <c r="Q189" i="15"/>
  <c r="Q189" i="11"/>
  <c r="Q555" i="10"/>
  <c r="V299" i="16"/>
  <c r="V530" i="10"/>
  <c r="V526" i="10" s="1"/>
  <c r="V525" i="10"/>
  <c r="V521" i="10" s="1"/>
  <c r="V520" i="10"/>
  <c r="V516" i="10" s="1"/>
  <c r="V515" i="10"/>
  <c r="V535" i="10"/>
  <c r="Q417" i="10"/>
  <c r="Q186" i="16"/>
  <c r="Q185" i="16" s="1"/>
  <c r="Q184" i="16" s="1"/>
  <c r="Q468" i="10"/>
  <c r="Q467" i="10" s="1"/>
  <c r="Q436" i="10"/>
  <c r="Q435" i="10" s="1"/>
  <c r="R189" i="16"/>
  <c r="P173" i="15"/>
  <c r="P172" i="15" s="1"/>
  <c r="P182" i="15"/>
  <c r="P145" i="15" s="1"/>
  <c r="AC57" i="10"/>
  <c r="AC133" i="10"/>
  <c r="AC95" i="10"/>
  <c r="X52" i="19"/>
  <c r="X34" i="19"/>
  <c r="X33" i="19" s="1"/>
  <c r="X187" i="17" s="1"/>
  <c r="X186" i="17" s="1"/>
  <c r="X162" i="17" s="1"/>
  <c r="X159" i="17" s="1"/>
  <c r="X10" i="17" s="1"/>
  <c r="AB228" i="18"/>
  <c r="AA227" i="18"/>
  <c r="AA221" i="18" s="1"/>
  <c r="AA216" i="18" s="1"/>
  <c r="AC182" i="15"/>
  <c r="AC145" i="15" s="1"/>
  <c r="AC173" i="15"/>
  <c r="AC172" i="15" s="1"/>
  <c r="AA128" i="10"/>
  <c r="AA90" i="10"/>
  <c r="AA52" i="10"/>
  <c r="AB53" i="9"/>
  <c r="R276" i="18"/>
  <c r="R156" i="18"/>
  <c r="R151" i="18"/>
  <c r="R194" i="18"/>
  <c r="R161" i="18"/>
  <c r="R189" i="18"/>
  <c r="R199" i="18"/>
  <c r="R64" i="18"/>
  <c r="R121" i="18"/>
  <c r="R57" i="18"/>
  <c r="R114" i="18"/>
  <c r="R107" i="18"/>
  <c r="R50" i="18"/>
  <c r="X506" i="10"/>
  <c r="X505" i="10" s="1"/>
  <c r="X474" i="10"/>
  <c r="X473" i="10" s="1"/>
  <c r="T8" i="12"/>
  <c r="O120" i="17"/>
  <c r="AB182" i="15"/>
  <c r="AB145" i="15" s="1"/>
  <c r="AB173" i="15"/>
  <c r="AB172" i="15" s="1"/>
  <c r="AB97" i="16"/>
  <c r="AC95" i="9"/>
  <c r="P230" i="10"/>
  <c r="Y297" i="16"/>
  <c r="Y454" i="10"/>
  <c r="Y485" i="10"/>
  <c r="Z485" i="10" s="1"/>
  <c r="P484" i="10"/>
  <c r="P191" i="16"/>
  <c r="Y442" i="10"/>
  <c r="Z442" i="10" s="1"/>
  <c r="P441" i="10"/>
  <c r="P92" i="15"/>
  <c r="Y44" i="15"/>
  <c r="Z44" i="15" s="1"/>
  <c r="Z46" i="15" s="1"/>
  <c r="AA217" i="9" s="1"/>
  <c r="AB217" i="9" s="1"/>
  <c r="R501" i="10"/>
  <c r="R503" i="10"/>
  <c r="Y49" i="12"/>
  <c r="U168" i="16"/>
  <c r="AB204" i="17"/>
  <c r="AA203" i="17"/>
  <c r="AB125" i="15"/>
  <c r="AC126" i="15"/>
  <c r="AD49" i="15"/>
  <c r="U11" i="6" s="1"/>
  <c r="AD52" i="19"/>
  <c r="AD34" i="19"/>
  <c r="AD33" i="19" s="1"/>
  <c r="AD187" i="17" s="1"/>
  <c r="AC278" i="16"/>
  <c r="AC279" i="16"/>
  <c r="AC167" i="16"/>
  <c r="AC198" i="16"/>
  <c r="AC162" i="16"/>
  <c r="AC100" i="16"/>
  <c r="AC193" i="16"/>
  <c r="AC172" i="16"/>
  <c r="AC78" i="16"/>
  <c r="AC72" i="16" s="1"/>
  <c r="AC32" i="16" s="1"/>
  <c r="AC25" i="16" s="1"/>
  <c r="T11" i="6" s="1"/>
  <c r="AC157" i="16"/>
  <c r="AC152" i="16"/>
  <c r="AC107" i="16"/>
  <c r="AC188" i="16"/>
  <c r="AC114" i="16"/>
  <c r="AC71" i="16"/>
  <c r="AC64" i="16"/>
  <c r="AC57" i="16"/>
  <c r="AC50" i="16"/>
  <c r="AA345" i="10"/>
  <c r="S345" i="10"/>
  <c r="R345" i="10"/>
  <c r="V345" i="10"/>
  <c r="U345" i="10"/>
  <c r="T345" i="10"/>
  <c r="Q345" i="10"/>
  <c r="P345" i="10"/>
  <c r="X345" i="10"/>
  <c r="W345" i="10"/>
  <c r="N6" i="14"/>
  <c r="N9" i="3" s="1"/>
  <c r="AD167" i="17"/>
  <c r="AC173" i="17"/>
  <c r="Y282" i="16"/>
  <c r="Y275" i="16" s="1"/>
  <c r="Y274" i="16" s="1"/>
  <c r="Y256" i="16"/>
  <c r="Z293" i="16"/>
  <c r="U191" i="16"/>
  <c r="U190" i="16" s="1"/>
  <c r="U189" i="16" s="1"/>
  <c r="U441" i="10"/>
  <c r="U440" i="10" s="1"/>
  <c r="U521" i="10"/>
  <c r="R397" i="10"/>
  <c r="T33" i="12"/>
  <c r="S33" i="12"/>
  <c r="X33" i="12"/>
  <c r="W33" i="12"/>
  <c r="V33" i="12"/>
  <c r="U33" i="12"/>
  <c r="R33" i="12"/>
  <c r="Q33" i="12"/>
  <c r="P33" i="12"/>
  <c r="P19" i="10"/>
  <c r="P115" i="11" s="1"/>
  <c r="Z237" i="16"/>
  <c r="Z225" i="16" s="1"/>
  <c r="N7" i="4"/>
  <c r="N9" i="4" s="1"/>
  <c r="N16" i="3" s="1"/>
  <c r="N7" i="3"/>
  <c r="N25" i="5"/>
  <c r="S278" i="18"/>
  <c r="S277" i="18" s="1"/>
  <c r="S286" i="18"/>
  <c r="S250" i="18" s="1"/>
  <c r="T201" i="16"/>
  <c r="T200" i="16" s="1"/>
  <c r="T199" i="16" s="1"/>
  <c r="T451" i="10"/>
  <c r="T450" i="10" s="1"/>
  <c r="T546" i="10"/>
  <c r="T545" i="10" s="1"/>
  <c r="T512" i="10"/>
  <c r="T511" i="10" s="1"/>
  <c r="Z5" i="20"/>
  <c r="R61" i="10"/>
  <c r="Z10" i="20"/>
  <c r="R190" i="10"/>
  <c r="Z69" i="20"/>
  <c r="R28" i="17"/>
  <c r="AB68" i="11"/>
  <c r="AD447" i="9"/>
  <c r="Q10" i="11"/>
  <c r="S186" i="16"/>
  <c r="S185" i="16" s="1"/>
  <c r="S468" i="10"/>
  <c r="S467" i="10" s="1"/>
  <c r="S436" i="10"/>
  <c r="S435" i="10" s="1"/>
  <c r="S483" i="10"/>
  <c r="S521" i="10"/>
  <c r="R90" i="15"/>
  <c r="AE9" i="20"/>
  <c r="W184" i="10"/>
  <c r="W183" i="10" s="1"/>
  <c r="AE31" i="20"/>
  <c r="W368" i="10"/>
  <c r="AE24" i="20"/>
  <c r="W313" i="10"/>
  <c r="W312" i="10" s="1"/>
  <c r="AE61" i="20"/>
  <c r="W67" i="16"/>
  <c r="AE54" i="20"/>
  <c r="W30" i="15"/>
  <c r="P293" i="18"/>
  <c r="P217" i="17"/>
  <c r="P189" i="15"/>
  <c r="P189" i="11"/>
  <c r="P555" i="10"/>
  <c r="Q478" i="10"/>
  <c r="Q191" i="16"/>
  <c r="Q190" i="16" s="1"/>
  <c r="Q189" i="16" s="1"/>
  <c r="Q441" i="10"/>
  <c r="Q440" i="10" s="1"/>
  <c r="Q546" i="10"/>
  <c r="Q545" i="10" s="1"/>
  <c r="Q512" i="10"/>
  <c r="S194" i="10"/>
  <c r="S193" i="10" s="1"/>
  <c r="R194" i="10"/>
  <c r="R193" i="10" s="1"/>
  <c r="Q194" i="10"/>
  <c r="Q193" i="10" s="1"/>
  <c r="W194" i="10"/>
  <c r="W193" i="10" s="1"/>
  <c r="A312" i="9"/>
  <c r="V194" i="10"/>
  <c r="V193" i="10" s="1"/>
  <c r="T194" i="10"/>
  <c r="T193" i="10" s="1"/>
  <c r="U194" i="10"/>
  <c r="U193" i="10" s="1"/>
  <c r="P194" i="10"/>
  <c r="X194" i="10"/>
  <c r="X193" i="10" s="1"/>
  <c r="T95" i="15"/>
  <c r="X430" i="10"/>
  <c r="X429" i="10" s="1"/>
  <c r="X398" i="10"/>
  <c r="X397" i="10" s="1"/>
  <c r="AA67" i="10"/>
  <c r="AA143" i="10"/>
  <c r="AA105" i="10"/>
  <c r="T19" i="7"/>
  <c r="S20" i="7"/>
  <c r="X493" i="10"/>
  <c r="R435" i="10"/>
  <c r="U114" i="11"/>
  <c r="U113" i="11" s="1"/>
  <c r="U112" i="11" s="1"/>
  <c r="U124" i="11"/>
  <c r="O9" i="1"/>
  <c r="O83" i="5"/>
  <c r="Y66" i="17"/>
  <c r="O111" i="17"/>
  <c r="U237" i="10"/>
  <c r="U236" i="10" s="1"/>
  <c r="T237" i="10"/>
  <c r="T236" i="10" s="1"/>
  <c r="S237" i="10"/>
  <c r="S236" i="10" s="1"/>
  <c r="Q237" i="10"/>
  <c r="Q236" i="10" s="1"/>
  <c r="X237" i="10"/>
  <c r="X236" i="10" s="1"/>
  <c r="P237" i="10"/>
  <c r="V237" i="10"/>
  <c r="V236" i="10" s="1"/>
  <c r="W237" i="10"/>
  <c r="W236" i="10" s="1"/>
  <c r="R237" i="10"/>
  <c r="R236" i="10" s="1"/>
  <c r="A318" i="9"/>
  <c r="R113" i="18"/>
  <c r="W113" i="18"/>
  <c r="V113" i="18"/>
  <c r="A367" i="9"/>
  <c r="U113" i="18"/>
  <c r="T113" i="18"/>
  <c r="S113" i="18"/>
  <c r="Q113" i="18"/>
  <c r="P113" i="18"/>
  <c r="X113" i="18"/>
  <c r="P152" i="16"/>
  <c r="P198" i="16"/>
  <c r="P208" i="16"/>
  <c r="P193" i="16"/>
  <c r="P172" i="16"/>
  <c r="P168" i="16" s="1"/>
  <c r="P167" i="16"/>
  <c r="P157" i="16"/>
  <c r="P128" i="16"/>
  <c r="P114" i="16"/>
  <c r="P162" i="16"/>
  <c r="P107" i="16"/>
  <c r="P188" i="16"/>
  <c r="P100" i="16"/>
  <c r="P57" i="16"/>
  <c r="P50" i="16"/>
  <c r="P78" i="16"/>
  <c r="P64" i="16"/>
  <c r="P71" i="16"/>
  <c r="Y490" i="10"/>
  <c r="Z490" i="10" s="1"/>
  <c r="P489" i="10"/>
  <c r="P196" i="16"/>
  <c r="Y447" i="10"/>
  <c r="Z447" i="10" s="1"/>
  <c r="P446" i="10"/>
  <c r="N78" i="20"/>
  <c r="X78" i="20" s="1"/>
  <c r="N74" i="20"/>
  <c r="N70" i="20"/>
  <c r="N66" i="20"/>
  <c r="X66" i="20" s="1"/>
  <c r="N58" i="20"/>
  <c r="N54" i="20"/>
  <c r="N50" i="20"/>
  <c r="X50" i="20" s="1"/>
  <c r="N46" i="20"/>
  <c r="X46" i="20" s="1"/>
  <c r="N38" i="20"/>
  <c r="X38" i="20" s="1"/>
  <c r="N81" i="20"/>
  <c r="N73" i="20"/>
  <c r="N69" i="20"/>
  <c r="N65" i="20"/>
  <c r="N61" i="20"/>
  <c r="N53" i="20"/>
  <c r="N49" i="20"/>
  <c r="X49" i="20" s="1"/>
  <c r="N45" i="20"/>
  <c r="X45" i="20" s="1"/>
  <c r="N41" i="20"/>
  <c r="X41" i="20" s="1"/>
  <c r="N80" i="20"/>
  <c r="N76" i="20"/>
  <c r="X76" i="20" s="1"/>
  <c r="N68" i="20"/>
  <c r="X68" i="20" s="1"/>
  <c r="N64" i="20"/>
  <c r="N60" i="20"/>
  <c r="N56" i="20"/>
  <c r="X56" i="20" s="1"/>
  <c r="N48" i="20"/>
  <c r="X48" i="20" s="1"/>
  <c r="N44" i="20"/>
  <c r="X44" i="20" s="1"/>
  <c r="N40" i="20"/>
  <c r="X40" i="20" s="1"/>
  <c r="N79" i="20"/>
  <c r="N75" i="20"/>
  <c r="N71" i="20"/>
  <c r="N63" i="20"/>
  <c r="N59" i="20"/>
  <c r="N55" i="20"/>
  <c r="N51" i="20"/>
  <c r="X51" i="20" s="1"/>
  <c r="N43" i="20"/>
  <c r="X43" i="20" s="1"/>
  <c r="N39" i="20"/>
  <c r="X39" i="20" s="1"/>
  <c r="N35" i="20"/>
  <c r="X35" i="20" s="1"/>
  <c r="N31" i="20"/>
  <c r="N23" i="20"/>
  <c r="N19" i="20"/>
  <c r="N15" i="20"/>
  <c r="N11" i="20"/>
  <c r="N3" i="20"/>
  <c r="N34" i="20"/>
  <c r="X34" i="20" s="1"/>
  <c r="N30" i="20"/>
  <c r="N26" i="20"/>
  <c r="N18" i="20"/>
  <c r="N14" i="20"/>
  <c r="N10" i="20"/>
  <c r="N6" i="20"/>
  <c r="N33" i="20"/>
  <c r="X33" i="20" s="1"/>
  <c r="N29" i="20"/>
  <c r="N25" i="20"/>
  <c r="N21" i="20"/>
  <c r="N13" i="20"/>
  <c r="N9" i="20"/>
  <c r="N5" i="20"/>
  <c r="N36" i="20"/>
  <c r="X36" i="20" s="1"/>
  <c r="N28" i="20"/>
  <c r="N24" i="20"/>
  <c r="N20" i="20"/>
  <c r="N16" i="20"/>
  <c r="N8" i="20"/>
  <c r="N4" i="20"/>
  <c r="AA182" i="15"/>
  <c r="AA145" i="15" s="1"/>
  <c r="AA173" i="15"/>
  <c r="AA172" i="15" s="1"/>
  <c r="AA278" i="18"/>
  <c r="AA277" i="18" s="1"/>
  <c r="AA286" i="18"/>
  <c r="AA250" i="18" s="1"/>
  <c r="T168" i="15"/>
  <c r="T167" i="15" s="1"/>
  <c r="T166" i="15" s="1"/>
  <c r="T177" i="15"/>
  <c r="V506" i="10"/>
  <c r="V505" i="10" s="1"/>
  <c r="V474" i="10"/>
  <c r="V531" i="10"/>
  <c r="AA55" i="19"/>
  <c r="AA54" i="19" s="1"/>
  <c r="AA44" i="19"/>
  <c r="AA43" i="19" s="1"/>
  <c r="AA42" i="19" s="1"/>
  <c r="T10" i="12"/>
  <c r="P10" i="11"/>
  <c r="AC44" i="19"/>
  <c r="AC43" i="19" s="1"/>
  <c r="AC42" i="19" s="1"/>
  <c r="Q113" i="16"/>
  <c r="X113" i="16"/>
  <c r="P113" i="16"/>
  <c r="W113" i="16"/>
  <c r="A348" i="9"/>
  <c r="V113" i="16"/>
  <c r="U113" i="16"/>
  <c r="T113" i="16"/>
  <c r="S113" i="16"/>
  <c r="R113" i="16"/>
  <c r="AD31" i="19"/>
  <c r="AB117" i="10"/>
  <c r="AA117" i="10"/>
  <c r="AD117" i="10"/>
  <c r="AC117" i="10"/>
  <c r="Z158" i="11"/>
  <c r="Z160" i="11" s="1"/>
  <c r="Y160" i="11"/>
  <c r="U196" i="16"/>
  <c r="U195" i="16" s="1"/>
  <c r="U194" i="16" s="1"/>
  <c r="U446" i="10"/>
  <c r="U445" i="10" s="1"/>
  <c r="U526" i="10"/>
  <c r="Y109" i="10"/>
  <c r="Z109" i="10" s="1"/>
  <c r="Z111" i="10" s="1"/>
  <c r="Z119" i="11"/>
  <c r="Z121" i="11" s="1"/>
  <c r="AA444" i="9" s="1"/>
  <c r="Y121" i="11"/>
  <c r="T206" i="16"/>
  <c r="T456" i="10"/>
  <c r="T455" i="10" s="1"/>
  <c r="T92" i="15"/>
  <c r="T91" i="15" s="1"/>
  <c r="T90" i="15" s="1"/>
  <c r="Z4" i="20"/>
  <c r="R56" i="10"/>
  <c r="Z9" i="20"/>
  <c r="R184" i="10"/>
  <c r="R183" i="10" s="1"/>
  <c r="Z14" i="20"/>
  <c r="R227" i="10"/>
  <c r="R226" i="10" s="1"/>
  <c r="Z54" i="20"/>
  <c r="R30" i="15"/>
  <c r="Z80" i="20"/>
  <c r="R110" i="18"/>
  <c r="Z73" i="20"/>
  <c r="R46" i="18"/>
  <c r="T52" i="19"/>
  <c r="T34" i="19"/>
  <c r="T33" i="19" s="1"/>
  <c r="T187" i="17" s="1"/>
  <c r="T186" i="17" s="1"/>
  <c r="T162" i="17" s="1"/>
  <c r="T159" i="17" s="1"/>
  <c r="T10" i="17" s="1"/>
  <c r="Y83" i="11"/>
  <c r="Z81" i="11"/>
  <c r="Z83" i="11" s="1"/>
  <c r="AA442" i="9" s="1"/>
  <c r="AB442" i="9" s="1"/>
  <c r="S154" i="11"/>
  <c r="R152" i="11"/>
  <c r="P15" i="3"/>
  <c r="Q9" i="2"/>
  <c r="S37" i="19"/>
  <c r="S36" i="19" s="1"/>
  <c r="S55" i="19"/>
  <c r="S54" i="19" s="1"/>
  <c r="S44" i="19"/>
  <c r="S43" i="19" s="1"/>
  <c r="S42" i="19" s="1"/>
  <c r="S23" i="19" s="1"/>
  <c r="S13" i="17" s="1"/>
  <c r="S26" i="19"/>
  <c r="S25" i="19" s="1"/>
  <c r="S191" i="16"/>
  <c r="S190" i="16" s="1"/>
  <c r="S441" i="10"/>
  <c r="S440" i="10" s="1"/>
  <c r="S488" i="10"/>
  <c r="S526" i="10"/>
  <c r="S188" i="16"/>
  <c r="S279" i="16"/>
  <c r="S193" i="16"/>
  <c r="S278" i="16"/>
  <c r="S172" i="16"/>
  <c r="S168" i="16" s="1"/>
  <c r="S157" i="16"/>
  <c r="S152" i="16"/>
  <c r="S128" i="16"/>
  <c r="S114" i="16"/>
  <c r="S167" i="16"/>
  <c r="S107" i="16"/>
  <c r="S198" i="16"/>
  <c r="S162" i="16"/>
  <c r="S100" i="16"/>
  <c r="S208" i="16"/>
  <c r="S78" i="16"/>
  <c r="S71" i="16"/>
  <c r="S64" i="16"/>
  <c r="S57" i="16"/>
  <c r="S50" i="16"/>
  <c r="R445" i="10"/>
  <c r="AE13" i="20"/>
  <c r="W221" i="10"/>
  <c r="AE80" i="20"/>
  <c r="W110" i="18"/>
  <c r="AE28" i="20"/>
  <c r="W350" i="10"/>
  <c r="AE65" i="20"/>
  <c r="W110" i="16"/>
  <c r="AE58" i="20"/>
  <c r="W46" i="16"/>
  <c r="AE55" i="20"/>
  <c r="W37" i="15"/>
  <c r="Q483" i="10"/>
  <c r="Q196" i="16"/>
  <c r="Q195" i="16" s="1"/>
  <c r="Q194" i="16" s="1"/>
  <c r="Q446" i="10"/>
  <c r="Q445" i="10" s="1"/>
  <c r="Q92" i="15"/>
  <c r="Q91" i="15" s="1"/>
  <c r="Q90" i="15" s="1"/>
  <c r="P187" i="10"/>
  <c r="T278" i="16"/>
  <c r="T208" i="16"/>
  <c r="T172" i="16"/>
  <c r="T168" i="16" s="1"/>
  <c r="T198" i="16"/>
  <c r="T167" i="16"/>
  <c r="T162" i="16"/>
  <c r="T279" i="16"/>
  <c r="T107" i="16"/>
  <c r="T100" i="16"/>
  <c r="T188" i="16"/>
  <c r="T193" i="16"/>
  <c r="T157" i="16"/>
  <c r="T152" i="16"/>
  <c r="T128" i="16"/>
  <c r="T114" i="16"/>
  <c r="T78" i="16"/>
  <c r="T71" i="16"/>
  <c r="T64" i="16"/>
  <c r="T57" i="16"/>
  <c r="T50" i="16"/>
  <c r="W435" i="10"/>
  <c r="P170" i="15"/>
  <c r="Q177" i="15"/>
  <c r="Q168" i="15"/>
  <c r="Q167" i="15" s="1"/>
  <c r="V19" i="10"/>
  <c r="V115" i="11" s="1"/>
  <c r="O7" i="5"/>
  <c r="O7" i="1" s="1"/>
  <c r="Q166" i="15" l="1"/>
  <c r="R109" i="16"/>
  <c r="R108" i="16" s="1"/>
  <c r="R37" i="16" s="1"/>
  <c r="U273" i="18"/>
  <c r="U272" i="18" s="1"/>
  <c r="R189" i="10"/>
  <c r="T273" i="18"/>
  <c r="T272" i="18" s="1"/>
  <c r="P277" i="16"/>
  <c r="Y288" i="16"/>
  <c r="P287" i="16"/>
  <c r="R283" i="18"/>
  <c r="R275" i="18"/>
  <c r="R274" i="18" s="1"/>
  <c r="Q276" i="18"/>
  <c r="Q199" i="18"/>
  <c r="Q156" i="18"/>
  <c r="Q151" i="18"/>
  <c r="Q121" i="18"/>
  <c r="Q194" i="18"/>
  <c r="Q161" i="18"/>
  <c r="Q189" i="18"/>
  <c r="Q64" i="18"/>
  <c r="Q50" i="18"/>
  <c r="Q114" i="18"/>
  <c r="Q57" i="18"/>
  <c r="Q107" i="18"/>
  <c r="AD29" i="20"/>
  <c r="V356" i="10"/>
  <c r="V355" i="10" s="1"/>
  <c r="AD4" i="20"/>
  <c r="V56" i="10"/>
  <c r="AD80" i="20"/>
  <c r="V110" i="18"/>
  <c r="AD73" i="20"/>
  <c r="V46" i="18"/>
  <c r="AD70" i="20"/>
  <c r="V33" i="17"/>
  <c r="AB144" i="15"/>
  <c r="AB143" i="15" s="1"/>
  <c r="AB116" i="15" s="1"/>
  <c r="AB176" i="15"/>
  <c r="AB13" i="15" s="1"/>
  <c r="S96" i="5" s="1"/>
  <c r="A343" i="9"/>
  <c r="V70" i="16"/>
  <c r="U70" i="16"/>
  <c r="T70" i="16"/>
  <c r="S70" i="16"/>
  <c r="R70" i="16"/>
  <c r="Q70" i="16"/>
  <c r="X70" i="16"/>
  <c r="P70" i="16"/>
  <c r="W70" i="16"/>
  <c r="R159" i="18"/>
  <c r="R59" i="18"/>
  <c r="R58" i="18" s="1"/>
  <c r="R30" i="18" s="1"/>
  <c r="W126" i="11"/>
  <c r="W123" i="11"/>
  <c r="AA15" i="20"/>
  <c r="S233" i="10"/>
  <c r="S232" i="10" s="1"/>
  <c r="AA24" i="20"/>
  <c r="S313" i="10"/>
  <c r="S312" i="10" s="1"/>
  <c r="AA21" i="20"/>
  <c r="S282" i="10"/>
  <c r="S281" i="10" s="1"/>
  <c r="AA6" i="20"/>
  <c r="S66" i="10"/>
  <c r="AA79" i="20"/>
  <c r="S103" i="18"/>
  <c r="AA65" i="20"/>
  <c r="S110" i="16"/>
  <c r="S109" i="16" s="1"/>
  <c r="S108" i="16" s="1"/>
  <c r="S37" i="16" s="1"/>
  <c r="W37" i="19"/>
  <c r="W36" i="19" s="1"/>
  <c r="W55" i="19"/>
  <c r="W54" i="19" s="1"/>
  <c r="S167" i="11"/>
  <c r="T173" i="11"/>
  <c r="W197" i="18"/>
  <c r="W116" i="18"/>
  <c r="W115" i="18" s="1"/>
  <c r="W38" i="18" s="1"/>
  <c r="W24" i="18" s="1"/>
  <c r="W99" i="10"/>
  <c r="W137" i="10" s="1"/>
  <c r="W60" i="10"/>
  <c r="W17" i="10"/>
  <c r="W77" i="11" s="1"/>
  <c r="X173" i="15"/>
  <c r="X172" i="15" s="1"/>
  <c r="X182" i="15"/>
  <c r="X145" i="15" s="1"/>
  <c r="X177" i="15"/>
  <c r="X168" i="15"/>
  <c r="X167" i="15" s="1"/>
  <c r="R160" i="16"/>
  <c r="R159" i="16" s="1"/>
  <c r="R158" i="16" s="1"/>
  <c r="R59" i="16"/>
  <c r="R58" i="16" s="1"/>
  <c r="R30" i="16" s="1"/>
  <c r="AC10" i="20"/>
  <c r="U190" i="10"/>
  <c r="U189" i="10" s="1"/>
  <c r="AC11" i="20"/>
  <c r="U196" i="10"/>
  <c r="AC28" i="20"/>
  <c r="U350" i="10"/>
  <c r="AC29" i="20"/>
  <c r="U356" i="10"/>
  <c r="U355" i="10" s="1"/>
  <c r="AC58" i="20"/>
  <c r="U46" i="16"/>
  <c r="AC55" i="20"/>
  <c r="U37" i="15"/>
  <c r="R126" i="11"/>
  <c r="R123" i="11"/>
  <c r="R111" i="11" s="1"/>
  <c r="P167" i="15"/>
  <c r="P166" i="15" s="1"/>
  <c r="S543" i="10"/>
  <c r="S537" i="10"/>
  <c r="S539" i="10"/>
  <c r="S541" i="10"/>
  <c r="X184" i="16"/>
  <c r="AD291" i="16"/>
  <c r="AD255" i="16" s="1"/>
  <c r="AD281" i="16"/>
  <c r="AD280" i="16" s="1"/>
  <c r="W169" i="15"/>
  <c r="W170" i="15"/>
  <c r="W41" i="15"/>
  <c r="W34" i="15"/>
  <c r="W99" i="15"/>
  <c r="W95" i="15" s="1"/>
  <c r="W27" i="15"/>
  <c r="W94" i="15"/>
  <c r="W90" i="15" s="1"/>
  <c r="W89" i="15"/>
  <c r="W171" i="15"/>
  <c r="W84" i="15"/>
  <c r="W48" i="15"/>
  <c r="W79" i="15"/>
  <c r="W55" i="15"/>
  <c r="Y8" i="20"/>
  <c r="Q178" i="10"/>
  <c r="Y21" i="20"/>
  <c r="Q282" i="10"/>
  <c r="Q281" i="10" s="1"/>
  <c r="Y18" i="20"/>
  <c r="Q264" i="10"/>
  <c r="Y11" i="20"/>
  <c r="Q196" i="10"/>
  <c r="Y69" i="20"/>
  <c r="Q28" i="17"/>
  <c r="V37" i="19"/>
  <c r="V36" i="19" s="1"/>
  <c r="V55" i="19"/>
  <c r="V54" i="19" s="1"/>
  <c r="AB10" i="20"/>
  <c r="T190" i="10"/>
  <c r="T189" i="10" s="1"/>
  <c r="AB15" i="20"/>
  <c r="T233" i="10"/>
  <c r="T232" i="10" s="1"/>
  <c r="AB20" i="20"/>
  <c r="T276" i="10"/>
  <c r="T275" i="10" s="1"/>
  <c r="AB25" i="20"/>
  <c r="T319" i="10"/>
  <c r="T318" i="10" s="1"/>
  <c r="AB65" i="20"/>
  <c r="T110" i="16"/>
  <c r="T109" i="16" s="1"/>
  <c r="T108" i="16" s="1"/>
  <c r="T37" i="16" s="1"/>
  <c r="AB58" i="20"/>
  <c r="T46" i="16"/>
  <c r="AB55" i="20"/>
  <c r="T37" i="15"/>
  <c r="T501" i="10"/>
  <c r="T499" i="10"/>
  <c r="T503" i="10"/>
  <c r="Z73" i="10"/>
  <c r="Z19" i="10"/>
  <c r="I120" i="11" s="1"/>
  <c r="Q42" i="6"/>
  <c r="O42" i="6" s="1"/>
  <c r="AB110" i="17"/>
  <c r="AA108" i="17"/>
  <c r="AB107" i="17"/>
  <c r="AA105" i="17"/>
  <c r="W109" i="16"/>
  <c r="W108" i="16" s="1"/>
  <c r="W37" i="16" s="1"/>
  <c r="P84" i="17"/>
  <c r="P80" i="17"/>
  <c r="P88" i="17"/>
  <c r="P35" i="17"/>
  <c r="P40" i="17"/>
  <c r="P30" i="17"/>
  <c r="S465" i="10"/>
  <c r="S461" i="10"/>
  <c r="S463" i="10"/>
  <c r="T537" i="10"/>
  <c r="T541" i="10"/>
  <c r="T543" i="10"/>
  <c r="T539" i="10"/>
  <c r="R427" i="10"/>
  <c r="R425" i="10"/>
  <c r="R423" i="10"/>
  <c r="W277" i="16"/>
  <c r="W287" i="16"/>
  <c r="V372" i="10"/>
  <c r="V371" i="10" s="1"/>
  <c r="U372" i="10"/>
  <c r="U371" i="10" s="1"/>
  <c r="T372" i="10"/>
  <c r="T371" i="10" s="1"/>
  <c r="S372" i="10"/>
  <c r="S371" i="10" s="1"/>
  <c r="R372" i="10"/>
  <c r="R371" i="10" s="1"/>
  <c r="R367" i="10" s="1"/>
  <c r="Q372" i="10"/>
  <c r="Q371" i="10" s="1"/>
  <c r="X372" i="10"/>
  <c r="X371" i="10" s="1"/>
  <c r="P372" i="10"/>
  <c r="A337" i="9"/>
  <c r="W372" i="10"/>
  <c r="W371" i="10" s="1"/>
  <c r="AF6" i="20"/>
  <c r="X66" i="10"/>
  <c r="AF11" i="20"/>
  <c r="X196" i="10"/>
  <c r="AF80" i="20"/>
  <c r="X110" i="18"/>
  <c r="AF73" i="20"/>
  <c r="X46" i="18"/>
  <c r="AF70" i="20"/>
  <c r="X33" i="17"/>
  <c r="R149" i="18"/>
  <c r="R236" i="18"/>
  <c r="R237" i="18" s="1"/>
  <c r="R233" i="18"/>
  <c r="R234" i="18" s="1"/>
  <c r="R87" i="18"/>
  <c r="R86" i="18" s="1"/>
  <c r="R177" i="18" s="1"/>
  <c r="R45" i="18"/>
  <c r="R44" i="18" s="1"/>
  <c r="X4" i="20"/>
  <c r="P56" i="10"/>
  <c r="X9" i="20"/>
  <c r="P184" i="10"/>
  <c r="X14" i="20"/>
  <c r="P227" i="10"/>
  <c r="X19" i="20"/>
  <c r="P270" i="10"/>
  <c r="X59" i="20"/>
  <c r="P53" i="16"/>
  <c r="Y446" i="10"/>
  <c r="Y448" i="10" s="1"/>
  <c r="P445" i="10"/>
  <c r="Y445" i="10" s="1"/>
  <c r="S243" i="10"/>
  <c r="S242" i="10" s="1"/>
  <c r="R243" i="10"/>
  <c r="R242" i="10" s="1"/>
  <c r="R238" i="10" s="1"/>
  <c r="Q243" i="10"/>
  <c r="Q242" i="10" s="1"/>
  <c r="A319" i="9"/>
  <c r="W243" i="10"/>
  <c r="W242" i="10" s="1"/>
  <c r="V243" i="10"/>
  <c r="V242" i="10" s="1"/>
  <c r="T243" i="10"/>
  <c r="T242" i="10" s="1"/>
  <c r="X243" i="10"/>
  <c r="X242" i="10" s="1"/>
  <c r="U243" i="10"/>
  <c r="U242" i="10" s="1"/>
  <c r="P243" i="10"/>
  <c r="O112" i="17"/>
  <c r="Z111" i="17"/>
  <c r="Z112" i="17" s="1"/>
  <c r="AA112" i="17" s="1"/>
  <c r="X425" i="10"/>
  <c r="X427" i="10"/>
  <c r="X423" i="10"/>
  <c r="P199" i="18"/>
  <c r="P156" i="18"/>
  <c r="P151" i="18"/>
  <c r="P194" i="18"/>
  <c r="P161" i="18"/>
  <c r="P189" i="18"/>
  <c r="P57" i="18"/>
  <c r="P121" i="18"/>
  <c r="P107" i="18"/>
  <c r="P64" i="18"/>
  <c r="P50" i="18"/>
  <c r="P114" i="18"/>
  <c r="W367" i="10"/>
  <c r="AD173" i="17"/>
  <c r="AC291" i="16"/>
  <c r="AC255" i="16" s="1"/>
  <c r="AC281" i="16"/>
  <c r="AC280" i="16" s="1"/>
  <c r="P190" i="16"/>
  <c r="Y191" i="16"/>
  <c r="Z191" i="16" s="1"/>
  <c r="Y468" i="10"/>
  <c r="Z437" i="10"/>
  <c r="Z468" i="10" s="1"/>
  <c r="W539" i="10"/>
  <c r="W537" i="10"/>
  <c r="W541" i="10"/>
  <c r="W543" i="10"/>
  <c r="R44" i="19"/>
  <c r="R26" i="19"/>
  <c r="R25" i="19" s="1"/>
  <c r="AD3" i="20"/>
  <c r="V51" i="10"/>
  <c r="AD8" i="20"/>
  <c r="V178" i="10"/>
  <c r="AD81" i="20"/>
  <c r="V117" i="18"/>
  <c r="AD74" i="20"/>
  <c r="V53" i="18"/>
  <c r="AD71" i="20"/>
  <c r="V38" i="17"/>
  <c r="AB166" i="15"/>
  <c r="P365" i="10"/>
  <c r="AF5" i="20"/>
  <c r="X61" i="10"/>
  <c r="AF10" i="20"/>
  <c r="X190" i="10"/>
  <c r="X189" i="10" s="1"/>
  <c r="AF15" i="20"/>
  <c r="X233" i="10"/>
  <c r="X232" i="10" s="1"/>
  <c r="AF55" i="20"/>
  <c r="X37" i="15"/>
  <c r="AF81" i="20"/>
  <c r="X117" i="18"/>
  <c r="AF74" i="20"/>
  <c r="X53" i="18"/>
  <c r="X543" i="10"/>
  <c r="X539" i="10"/>
  <c r="X537" i="10"/>
  <c r="X541" i="10"/>
  <c r="O14" i="15"/>
  <c r="O15" i="15" s="1"/>
  <c r="O12" i="15"/>
  <c r="Q501" i="10"/>
  <c r="Q499" i="10"/>
  <c r="Q503" i="10"/>
  <c r="W187" i="18"/>
  <c r="W137" i="18"/>
  <c r="W136" i="18" s="1"/>
  <c r="W210" i="18" s="1"/>
  <c r="W102" i="18"/>
  <c r="W101" i="18" s="1"/>
  <c r="AD264" i="18"/>
  <c r="AD263" i="18" s="1"/>
  <c r="AC263" i="18"/>
  <c r="T189" i="16"/>
  <c r="AC87" i="11"/>
  <c r="AE448" i="9"/>
  <c r="AD87" i="11" s="1"/>
  <c r="W263" i="10"/>
  <c r="W301" i="10"/>
  <c r="W300" i="10" s="1"/>
  <c r="AA23" i="20"/>
  <c r="S307" i="10"/>
  <c r="AA28" i="20"/>
  <c r="S350" i="10"/>
  <c r="AA25" i="20"/>
  <c r="S319" i="10"/>
  <c r="S318" i="10" s="1"/>
  <c r="AA10" i="20"/>
  <c r="S190" i="10"/>
  <c r="S189" i="10" s="1"/>
  <c r="AA69" i="20"/>
  <c r="S28" i="17"/>
  <c r="AD121" i="9"/>
  <c r="AE122" i="9"/>
  <c r="AD84" i="9"/>
  <c r="AD102" i="9"/>
  <c r="AD60" i="9"/>
  <c r="AD96" i="9"/>
  <c r="AD72" i="9"/>
  <c r="AD66" i="9"/>
  <c r="AD78" i="9"/>
  <c r="AD54" i="9"/>
  <c r="AD90" i="9"/>
  <c r="AD108" i="9"/>
  <c r="R131" i="15"/>
  <c r="R132" i="15" s="1"/>
  <c r="R137" i="15"/>
  <c r="R138" i="15" s="1"/>
  <c r="R77" i="15"/>
  <c r="R76" i="15" s="1"/>
  <c r="R75" i="15" s="1"/>
  <c r="R64" i="15"/>
  <c r="R63" i="15" s="1"/>
  <c r="R105" i="15" s="1"/>
  <c r="R22" i="15"/>
  <c r="R21" i="15" s="1"/>
  <c r="R134" i="15"/>
  <c r="R135" i="15" s="1"/>
  <c r="T461" i="10"/>
  <c r="T463" i="10"/>
  <c r="T465" i="10"/>
  <c r="W422" i="10"/>
  <c r="W396" i="10" s="1"/>
  <c r="AA19" i="13"/>
  <c r="Z52" i="12"/>
  <c r="Z49" i="12" s="1"/>
  <c r="AC176" i="15"/>
  <c r="AC13" i="15" s="1"/>
  <c r="T96" i="5" s="1"/>
  <c r="AC144" i="15"/>
  <c r="R292" i="10"/>
  <c r="R291" i="10" s="1"/>
  <c r="R287" i="10" s="1"/>
  <c r="Q292" i="10"/>
  <c r="Q291" i="10" s="1"/>
  <c r="Q287" i="10" s="1"/>
  <c r="X292" i="10"/>
  <c r="X291" i="10" s="1"/>
  <c r="X287" i="10" s="1"/>
  <c r="P292" i="10"/>
  <c r="V292" i="10"/>
  <c r="V291" i="10" s="1"/>
  <c r="V287" i="10" s="1"/>
  <c r="U292" i="10"/>
  <c r="U291" i="10" s="1"/>
  <c r="U287" i="10" s="1"/>
  <c r="T292" i="10"/>
  <c r="T291" i="10" s="1"/>
  <c r="T287" i="10" s="1"/>
  <c r="S292" i="10"/>
  <c r="S291" i="10" s="1"/>
  <c r="S287" i="10" s="1"/>
  <c r="W292" i="10"/>
  <c r="W291" i="10" s="1"/>
  <c r="W287" i="10" s="1"/>
  <c r="AB229" i="16"/>
  <c r="AB224" i="16" s="1"/>
  <c r="AC18" i="20"/>
  <c r="U264" i="10"/>
  <c r="AC15" i="20"/>
  <c r="U233" i="10"/>
  <c r="U232" i="10" s="1"/>
  <c r="AC53" i="20"/>
  <c r="U23" i="15"/>
  <c r="AC59" i="20"/>
  <c r="U53" i="16"/>
  <c r="Y517" i="10"/>
  <c r="P176" i="15"/>
  <c r="P13" i="15" s="1"/>
  <c r="P144" i="15"/>
  <c r="P143" i="15" s="1"/>
  <c r="P116" i="15" s="1"/>
  <c r="P113" i="15" s="1"/>
  <c r="P10" i="15" s="1"/>
  <c r="W82" i="17"/>
  <c r="W81" i="17" s="1"/>
  <c r="W32" i="17"/>
  <c r="W31" i="17" s="1"/>
  <c r="P322" i="10"/>
  <c r="V465" i="10"/>
  <c r="V461" i="10"/>
  <c r="V463" i="10"/>
  <c r="U35" i="19"/>
  <c r="U141" i="17"/>
  <c r="Y20" i="20"/>
  <c r="Q276" i="10"/>
  <c r="Q275" i="10" s="1"/>
  <c r="Y25" i="20"/>
  <c r="Q319" i="10"/>
  <c r="Q318" i="10" s="1"/>
  <c r="Y26" i="20"/>
  <c r="Q325" i="10"/>
  <c r="Y15" i="20"/>
  <c r="Q233" i="10"/>
  <c r="Q232" i="10" s="1"/>
  <c r="Y80" i="20"/>
  <c r="Q110" i="18"/>
  <c r="Y73" i="20"/>
  <c r="Q46" i="18"/>
  <c r="Y70" i="20"/>
  <c r="Q33" i="17"/>
  <c r="W179" i="17"/>
  <c r="W180" i="17" s="1"/>
  <c r="W78" i="17"/>
  <c r="W56" i="17"/>
  <c r="W55" i="17" s="1"/>
  <c r="W27" i="17"/>
  <c r="W26" i="17" s="1"/>
  <c r="A355" i="9"/>
  <c r="V47" i="15"/>
  <c r="V43" i="15" s="1"/>
  <c r="X47" i="15"/>
  <c r="X43" i="15" s="1"/>
  <c r="X42" i="15" s="1"/>
  <c r="W47" i="15"/>
  <c r="W43" i="15" s="1"/>
  <c r="W42" i="15" s="1"/>
  <c r="U47" i="15"/>
  <c r="U43" i="15" s="1"/>
  <c r="U42" i="15" s="1"/>
  <c r="T47" i="15"/>
  <c r="T43" i="15" s="1"/>
  <c r="T42" i="15" s="1"/>
  <c r="S47" i="15"/>
  <c r="S43" i="15" s="1"/>
  <c r="S42" i="15" s="1"/>
  <c r="R47" i="15"/>
  <c r="R43" i="15" s="1"/>
  <c r="R42" i="15" s="1"/>
  <c r="Q47" i="15"/>
  <c r="Q43" i="15" s="1"/>
  <c r="Q42" i="15" s="1"/>
  <c r="P47" i="15"/>
  <c r="P43" i="15" s="1"/>
  <c r="R197" i="18"/>
  <c r="R116" i="18"/>
  <c r="R115" i="18" s="1"/>
  <c r="R38" i="18" s="1"/>
  <c r="R24" i="18" s="1"/>
  <c r="R258" i="10"/>
  <c r="R257" i="10" s="1"/>
  <c r="R220" i="10"/>
  <c r="AB14" i="20"/>
  <c r="T227" i="10"/>
  <c r="T226" i="10" s="1"/>
  <c r="AB19" i="20"/>
  <c r="T270" i="10"/>
  <c r="T269" i="10" s="1"/>
  <c r="AB24" i="20"/>
  <c r="T313" i="10"/>
  <c r="T312" i="10" s="1"/>
  <c r="AB29" i="20"/>
  <c r="T356" i="10"/>
  <c r="T355" i="10" s="1"/>
  <c r="AB69" i="20"/>
  <c r="T28" i="17"/>
  <c r="AB59" i="20"/>
  <c r="T53" i="16"/>
  <c r="T176" i="15"/>
  <c r="T13" i="15" s="1"/>
  <c r="T144" i="15"/>
  <c r="T143" i="15" s="1"/>
  <c r="T116" i="15" s="1"/>
  <c r="T113" i="15" s="1"/>
  <c r="T10" i="15" s="1"/>
  <c r="X5" i="20"/>
  <c r="P61" i="10"/>
  <c r="X10" i="20"/>
  <c r="P190" i="10"/>
  <c r="X15" i="20"/>
  <c r="P233" i="10"/>
  <c r="X55" i="20"/>
  <c r="P37" i="15"/>
  <c r="W22" i="15"/>
  <c r="W21" i="15" s="1"/>
  <c r="W134" i="15"/>
  <c r="W135" i="15" s="1"/>
  <c r="W131" i="15"/>
  <c r="W132" i="15" s="1"/>
  <c r="W137" i="15"/>
  <c r="W138" i="15" s="1"/>
  <c r="W77" i="15"/>
  <c r="W76" i="15" s="1"/>
  <c r="W75" i="15" s="1"/>
  <c r="W64" i="15"/>
  <c r="W63" i="15" s="1"/>
  <c r="W105" i="15" s="1"/>
  <c r="R287" i="16"/>
  <c r="R277" i="16"/>
  <c r="Y436" i="10"/>
  <c r="P435" i="10"/>
  <c r="AD63" i="20"/>
  <c r="V96" i="16"/>
  <c r="Q176" i="15"/>
  <c r="Q13" i="15" s="1"/>
  <c r="Q144" i="15"/>
  <c r="Q143" i="15" s="1"/>
  <c r="Q116" i="15" s="1"/>
  <c r="Q113" i="15" s="1"/>
  <c r="Q10" i="15" s="1"/>
  <c r="W349" i="10"/>
  <c r="W387" i="10"/>
  <c r="W386" i="10" s="1"/>
  <c r="S189" i="16"/>
  <c r="R150" i="11"/>
  <c r="X8" i="20"/>
  <c r="P178" i="10"/>
  <c r="X13" i="20"/>
  <c r="P221" i="10"/>
  <c r="X18" i="20"/>
  <c r="P264" i="10"/>
  <c r="X23" i="20"/>
  <c r="P307" i="10"/>
  <c r="X63" i="20"/>
  <c r="P96" i="16"/>
  <c r="X60" i="20"/>
  <c r="P60" i="16"/>
  <c r="X53" i="20"/>
  <c r="P23" i="15"/>
  <c r="P279" i="16"/>
  <c r="Y290" i="16"/>
  <c r="Q200" i="10"/>
  <c r="Q199" i="10" s="1"/>
  <c r="X200" i="10"/>
  <c r="X199" i="10" s="1"/>
  <c r="P200" i="10"/>
  <c r="W200" i="10"/>
  <c r="W199" i="10" s="1"/>
  <c r="U200" i="10"/>
  <c r="U199" i="10" s="1"/>
  <c r="T200" i="10"/>
  <c r="T199" i="10" s="1"/>
  <c r="R200" i="10"/>
  <c r="R199" i="10" s="1"/>
  <c r="A313" i="9"/>
  <c r="V200" i="10"/>
  <c r="V199" i="10" s="1"/>
  <c r="S200" i="10"/>
  <c r="S199" i="10" s="1"/>
  <c r="S184" i="16"/>
  <c r="R179" i="17"/>
  <c r="R180" i="17" s="1"/>
  <c r="R78" i="17"/>
  <c r="R56" i="17"/>
  <c r="R55" i="17" s="1"/>
  <c r="R27" i="17"/>
  <c r="R26" i="17" s="1"/>
  <c r="Y484" i="10"/>
  <c r="P483" i="10"/>
  <c r="Q463" i="10"/>
  <c r="Q461" i="10"/>
  <c r="Q465" i="10"/>
  <c r="R187" i="18"/>
  <c r="R102" i="18"/>
  <c r="R101" i="18" s="1"/>
  <c r="R137" i="18"/>
  <c r="R136" i="18" s="1"/>
  <c r="R210" i="18" s="1"/>
  <c r="T423" i="10"/>
  <c r="T427" i="10"/>
  <c r="T425" i="10"/>
  <c r="AC302" i="10"/>
  <c r="AD302" i="10"/>
  <c r="AB302" i="10"/>
  <c r="R281" i="16"/>
  <c r="R291" i="16"/>
  <c r="R255" i="16" s="1"/>
  <c r="Y467" i="10"/>
  <c r="R55" i="19"/>
  <c r="R54" i="19" s="1"/>
  <c r="R37" i="19"/>
  <c r="R36" i="19" s="1"/>
  <c r="AD6" i="20"/>
  <c r="V66" i="10"/>
  <c r="AD11" i="20"/>
  <c r="V196" i="10"/>
  <c r="AD16" i="20"/>
  <c r="V239" i="10"/>
  <c r="V238" i="10" s="1"/>
  <c r="AD75" i="20"/>
  <c r="V60" i="18"/>
  <c r="O38" i="5"/>
  <c r="AF4" i="20"/>
  <c r="X56" i="10"/>
  <c r="AF9" i="20"/>
  <c r="X184" i="10"/>
  <c r="X183" i="10" s="1"/>
  <c r="AF14" i="20"/>
  <c r="X227" i="10"/>
  <c r="X226" i="10" s="1"/>
  <c r="AF19" i="20"/>
  <c r="X270" i="10"/>
  <c r="X269" i="10" s="1"/>
  <c r="AF59" i="20"/>
  <c r="X53" i="16"/>
  <c r="AA120" i="15"/>
  <c r="AB122" i="15"/>
  <c r="R349" i="10"/>
  <c r="R387" i="10"/>
  <c r="R386" i="10" s="1"/>
  <c r="Y96" i="15"/>
  <c r="P95" i="15"/>
  <c r="V511" i="10"/>
  <c r="X35" i="19"/>
  <c r="X141" i="17"/>
  <c r="AA70" i="20"/>
  <c r="S33" i="17"/>
  <c r="AA29" i="20"/>
  <c r="S356" i="10"/>
  <c r="S355" i="10" s="1"/>
  <c r="AA14" i="20"/>
  <c r="S227" i="10"/>
  <c r="S226" i="10" s="1"/>
  <c r="AA80" i="20"/>
  <c r="S110" i="18"/>
  <c r="AA73" i="20"/>
  <c r="S46" i="18"/>
  <c r="W52" i="19"/>
  <c r="W34" i="19"/>
  <c r="W33" i="19" s="1"/>
  <c r="W187" i="17" s="1"/>
  <c r="W186" i="17" s="1"/>
  <c r="W162" i="17" s="1"/>
  <c r="W159" i="17" s="1"/>
  <c r="W10" i="17" s="1"/>
  <c r="AA45" i="11"/>
  <c r="AC440" i="9"/>
  <c r="P493" i="10"/>
  <c r="Y494" i="10"/>
  <c r="AC166" i="15"/>
  <c r="P285" i="10"/>
  <c r="W55" i="10"/>
  <c r="W94" i="10"/>
  <c r="W132" i="10" s="1"/>
  <c r="W16" i="10"/>
  <c r="W58" i="11" s="1"/>
  <c r="AC233" i="16"/>
  <c r="AC230" i="16"/>
  <c r="AC229" i="16" s="1"/>
  <c r="AC224" i="16" s="1"/>
  <c r="AD231" i="16"/>
  <c r="R137" i="16"/>
  <c r="R136" i="16" s="1"/>
  <c r="R214" i="16" s="1"/>
  <c r="R95" i="16"/>
  <c r="R94" i="16" s="1"/>
  <c r="Z17" i="13"/>
  <c r="Z13" i="13" s="1"/>
  <c r="Q52" i="5" s="1"/>
  <c r="AC19" i="20"/>
  <c r="U270" i="10"/>
  <c r="U269" i="10" s="1"/>
  <c r="AC81" i="20"/>
  <c r="U117" i="18"/>
  <c r="AC61" i="20"/>
  <c r="U67" i="16"/>
  <c r="AC65" i="20"/>
  <c r="U110" i="16"/>
  <c r="U109" i="16" s="1"/>
  <c r="U108" i="16" s="1"/>
  <c r="U37" i="16" s="1"/>
  <c r="AC70" i="20"/>
  <c r="U33" i="17"/>
  <c r="AC63" i="20"/>
  <c r="U96" i="16"/>
  <c r="AC60" i="20"/>
  <c r="U60" i="16"/>
  <c r="V189" i="16"/>
  <c r="Y522" i="10"/>
  <c r="T114" i="11"/>
  <c r="T113" i="11" s="1"/>
  <c r="T112" i="11" s="1"/>
  <c r="T124" i="11"/>
  <c r="S11" i="6"/>
  <c r="AD65" i="15"/>
  <c r="AB65" i="15"/>
  <c r="AC65" i="15"/>
  <c r="AD277" i="16"/>
  <c r="AD276" i="16" s="1"/>
  <c r="AD287" i="16"/>
  <c r="Y29" i="20"/>
  <c r="Q356" i="10"/>
  <c r="Q355" i="10" s="1"/>
  <c r="Y30" i="20"/>
  <c r="Q362" i="10"/>
  <c r="Q361" i="10" s="1"/>
  <c r="Y19" i="20"/>
  <c r="Q270" i="10"/>
  <c r="Q269" i="10" s="1"/>
  <c r="Y81" i="20"/>
  <c r="Q117" i="18"/>
  <c r="Y74" i="20"/>
  <c r="Q53" i="18"/>
  <c r="V52" i="19"/>
  <c r="V34" i="19"/>
  <c r="V33" i="19" s="1"/>
  <c r="V187" i="17" s="1"/>
  <c r="V186" i="17" s="1"/>
  <c r="V162" i="17" s="1"/>
  <c r="V159" i="17" s="1"/>
  <c r="V10" i="17" s="1"/>
  <c r="S423" i="10"/>
  <c r="S425" i="10"/>
  <c r="S427" i="10"/>
  <c r="AB18" i="20"/>
  <c r="T264" i="10"/>
  <c r="AB23" i="20"/>
  <c r="T307" i="10"/>
  <c r="AB28" i="20"/>
  <c r="T350" i="10"/>
  <c r="AB73" i="20"/>
  <c r="T46" i="18"/>
  <c r="AB70" i="20"/>
  <c r="T33" i="17"/>
  <c r="AB63" i="20"/>
  <c r="T96" i="16"/>
  <c r="AB60" i="20"/>
  <c r="T60" i="16"/>
  <c r="AC145" i="11"/>
  <c r="AC269" i="16"/>
  <c r="AB268" i="16"/>
  <c r="P14" i="3"/>
  <c r="Q17" i="2"/>
  <c r="U291" i="16"/>
  <c r="U255" i="16" s="1"/>
  <c r="U281" i="16"/>
  <c r="O20" i="3"/>
  <c r="R465" i="10"/>
  <c r="R461" i="10"/>
  <c r="R463" i="10"/>
  <c r="X16" i="20"/>
  <c r="P239" i="10"/>
  <c r="X21" i="20"/>
  <c r="P282" i="10"/>
  <c r="X26" i="20"/>
  <c r="P325" i="10"/>
  <c r="X31" i="20"/>
  <c r="P368" i="10"/>
  <c r="X71" i="20"/>
  <c r="P38" i="17"/>
  <c r="X64" i="20"/>
  <c r="P103" i="16"/>
  <c r="X61" i="20"/>
  <c r="P67" i="16"/>
  <c r="X54" i="20"/>
  <c r="P30" i="15"/>
  <c r="Y196" i="16"/>
  <c r="Z196" i="16" s="1"/>
  <c r="P195" i="16"/>
  <c r="Y168" i="16"/>
  <c r="P291" i="16"/>
  <c r="P255" i="16" s="1"/>
  <c r="P281" i="16"/>
  <c r="Y292" i="16"/>
  <c r="O84" i="5"/>
  <c r="O86" i="5"/>
  <c r="U19" i="7"/>
  <c r="T20" i="7"/>
  <c r="W29" i="15"/>
  <c r="W28" i="15" s="1"/>
  <c r="W82" i="15"/>
  <c r="W81" i="15" s="1"/>
  <c r="W80" i="15" s="1"/>
  <c r="N8" i="3"/>
  <c r="N6" i="3" s="1"/>
  <c r="N26" i="3" s="1"/>
  <c r="N28" i="3" s="1"/>
  <c r="AC287" i="16"/>
  <c r="AC277" i="16"/>
  <c r="AC276" i="16" s="1"/>
  <c r="U19" i="2"/>
  <c r="U18" i="2" s="1"/>
  <c r="T18" i="2"/>
  <c r="V205" i="16"/>
  <c r="V204" i="16" s="1"/>
  <c r="V216" i="16"/>
  <c r="V215" i="16" s="1"/>
  <c r="Y186" i="16"/>
  <c r="Z186" i="16" s="1"/>
  <c r="P185" i="16"/>
  <c r="R34" i="19"/>
  <c r="R33" i="19" s="1"/>
  <c r="R187" i="17" s="1"/>
  <c r="R186" i="17" s="1"/>
  <c r="R162" i="17" s="1"/>
  <c r="R159" i="17" s="1"/>
  <c r="R10" i="17" s="1"/>
  <c r="R52" i="19"/>
  <c r="AD5" i="20"/>
  <c r="V61" i="10"/>
  <c r="AD10" i="20"/>
  <c r="V190" i="10"/>
  <c r="V189" i="10" s="1"/>
  <c r="AD15" i="20"/>
  <c r="V233" i="10"/>
  <c r="V232" i="10" s="1"/>
  <c r="AD20" i="20"/>
  <c r="V276" i="10"/>
  <c r="V275" i="10" s="1"/>
  <c r="AD60" i="20"/>
  <c r="V60" i="16"/>
  <c r="AD79" i="20"/>
  <c r="V103" i="18"/>
  <c r="AF8" i="20"/>
  <c r="X178" i="10"/>
  <c r="AF13" i="20"/>
  <c r="X221" i="10"/>
  <c r="AF18" i="20"/>
  <c r="X264" i="10"/>
  <c r="AF23" i="20"/>
  <c r="X307" i="10"/>
  <c r="AF63" i="20"/>
  <c r="X96" i="16"/>
  <c r="AF60" i="20"/>
  <c r="X60" i="16"/>
  <c r="P450" i="10"/>
  <c r="Y450" i="10" s="1"/>
  <c r="Y451" i="10"/>
  <c r="Z451" i="10" s="1"/>
  <c r="AA281" i="16"/>
  <c r="AA280" i="16" s="1"/>
  <c r="AA291" i="16"/>
  <c r="AA255" i="16" s="1"/>
  <c r="AB281" i="16"/>
  <c r="AB280" i="16" s="1"/>
  <c r="AB291" i="16"/>
  <c r="AB255" i="16" s="1"/>
  <c r="W238" i="10"/>
  <c r="W281" i="10"/>
  <c r="S74" i="10"/>
  <c r="S70" i="10" s="1"/>
  <c r="R74" i="10"/>
  <c r="R70" i="10" s="1"/>
  <c r="Q74" i="10"/>
  <c r="Q70" i="10" s="1"/>
  <c r="W74" i="10"/>
  <c r="W70" i="10" s="1"/>
  <c r="V74" i="10"/>
  <c r="V70" i="10" s="1"/>
  <c r="T74" i="10"/>
  <c r="T70" i="10" s="1"/>
  <c r="X74" i="10"/>
  <c r="X70" i="10" s="1"/>
  <c r="U74" i="10"/>
  <c r="U70" i="10" s="1"/>
  <c r="P74" i="10"/>
  <c r="P70" i="10" s="1"/>
  <c r="AC71" i="9"/>
  <c r="Y532" i="10"/>
  <c r="Z532" i="10" s="1"/>
  <c r="AC90" i="11"/>
  <c r="AE454" i="9"/>
  <c r="AD90" i="11" s="1"/>
  <c r="R541" i="10"/>
  <c r="R539" i="10"/>
  <c r="R543" i="10"/>
  <c r="R537" i="10"/>
  <c r="W159" i="18"/>
  <c r="W59" i="18"/>
  <c r="W58" i="18" s="1"/>
  <c r="W30" i="18" s="1"/>
  <c r="AA31" i="20"/>
  <c r="S368" i="10"/>
  <c r="S367" i="10" s="1"/>
  <c r="AA3" i="20"/>
  <c r="S51" i="10"/>
  <c r="AA18" i="20"/>
  <c r="S264" i="10"/>
  <c r="AA55" i="20"/>
  <c r="S37" i="15"/>
  <c r="AA81" i="20"/>
  <c r="S117" i="18"/>
  <c r="R101" i="16"/>
  <c r="R36" i="16" s="1"/>
  <c r="T184" i="16"/>
  <c r="Y474" i="10"/>
  <c r="P473" i="10"/>
  <c r="O10" i="1"/>
  <c r="O105" i="5"/>
  <c r="AB179" i="11"/>
  <c r="AA167" i="11"/>
  <c r="AC14" i="20"/>
  <c r="U227" i="10"/>
  <c r="U226" i="10" s="1"/>
  <c r="AC23" i="20"/>
  <c r="U307" i="10"/>
  <c r="AC4" i="20"/>
  <c r="U56" i="10"/>
  <c r="AC5" i="20"/>
  <c r="U61" i="10"/>
  <c r="AC69" i="20"/>
  <c r="U28" i="17"/>
  <c r="AC74" i="20"/>
  <c r="U53" i="18"/>
  <c r="AC71" i="20"/>
  <c r="U38" i="17"/>
  <c r="AC64" i="20"/>
  <c r="U103" i="16"/>
  <c r="U102" i="16" s="1"/>
  <c r="U101" i="16" s="1"/>
  <c r="U36" i="16" s="1"/>
  <c r="AC89" i="9"/>
  <c r="Q205" i="16"/>
  <c r="Q204" i="16" s="1"/>
  <c r="Q216" i="16"/>
  <c r="Q215" i="16" s="1"/>
  <c r="V278" i="18"/>
  <c r="V277" i="18" s="1"/>
  <c r="V286" i="18"/>
  <c r="V250" i="18" s="1"/>
  <c r="W233" i="18"/>
  <c r="W234" i="18" s="1"/>
  <c r="W149" i="18"/>
  <c r="W236" i="18"/>
  <c r="W237" i="18" s="1"/>
  <c r="W87" i="18"/>
  <c r="W86" i="18" s="1"/>
  <c r="W177" i="18" s="1"/>
  <c r="W45" i="18"/>
  <c r="W44" i="18" s="1"/>
  <c r="R281" i="10"/>
  <c r="V184" i="16"/>
  <c r="Y24" i="20"/>
  <c r="Q313" i="10"/>
  <c r="Q312" i="10" s="1"/>
  <c r="Y55" i="20"/>
  <c r="Q37" i="15"/>
  <c r="Y23" i="20"/>
  <c r="Q307" i="10"/>
  <c r="W101" i="16"/>
  <c r="W36" i="16" s="1"/>
  <c r="R87" i="15"/>
  <c r="R86" i="15" s="1"/>
  <c r="R85" i="15" s="1"/>
  <c r="R36" i="15"/>
  <c r="R35" i="15" s="1"/>
  <c r="R177" i="10"/>
  <c r="R215" i="10"/>
  <c r="R214" i="10" s="1"/>
  <c r="AB26" i="20"/>
  <c r="T325" i="10"/>
  <c r="AB31" i="20"/>
  <c r="T368" i="10"/>
  <c r="T367" i="10" s="1"/>
  <c r="AB81" i="20"/>
  <c r="T117" i="18"/>
  <c r="AB74" i="20"/>
  <c r="T53" i="18"/>
  <c r="AB71" i="20"/>
  <c r="T38" i="17"/>
  <c r="AB64" i="20"/>
  <c r="T103" i="16"/>
  <c r="T102" i="16" s="1"/>
  <c r="T101" i="16" s="1"/>
  <c r="T36" i="16" s="1"/>
  <c r="AC150" i="11"/>
  <c r="AD162" i="11"/>
  <c r="AD150" i="11" s="1"/>
  <c r="O49" i="11"/>
  <c r="N446" i="9" s="1"/>
  <c r="O28" i="11"/>
  <c r="S24" i="19"/>
  <c r="S140" i="17"/>
  <c r="T154" i="11"/>
  <c r="S152" i="11"/>
  <c r="S150" i="11" s="1"/>
  <c r="W87" i="15"/>
  <c r="W86" i="15" s="1"/>
  <c r="W85" i="15" s="1"/>
  <c r="W36" i="15"/>
  <c r="W35" i="15" s="1"/>
  <c r="X25" i="20"/>
  <c r="P319" i="10"/>
  <c r="X58" i="20"/>
  <c r="P46" i="16"/>
  <c r="Y489" i="10"/>
  <c r="P488" i="10"/>
  <c r="AD126" i="15"/>
  <c r="AD125" i="15" s="1"/>
  <c r="AC125" i="15"/>
  <c r="X501" i="10"/>
  <c r="X503" i="10"/>
  <c r="X499" i="10"/>
  <c r="R286" i="18"/>
  <c r="R250" i="18" s="1"/>
  <c r="R278" i="18"/>
  <c r="R277" i="18" s="1"/>
  <c r="AC228" i="18"/>
  <c r="AB227" i="18"/>
  <c r="AB221" i="18" s="1"/>
  <c r="AB216" i="18" s="1"/>
  <c r="Q299" i="16"/>
  <c r="Q535" i="10"/>
  <c r="Q531" i="10" s="1"/>
  <c r="Q530" i="10"/>
  <c r="Q526" i="10" s="1"/>
  <c r="Q525" i="10"/>
  <c r="Q521" i="10" s="1"/>
  <c r="Q520" i="10"/>
  <c r="Q516" i="10" s="1"/>
  <c r="Q515" i="10"/>
  <c r="Q511" i="10" s="1"/>
  <c r="V291" i="16"/>
  <c r="V255" i="16" s="1"/>
  <c r="V281" i="16"/>
  <c r="W306" i="10"/>
  <c r="W344" i="10"/>
  <c r="W343" i="10" s="1"/>
  <c r="R65" i="10"/>
  <c r="R104" i="10"/>
  <c r="R142" i="10" s="1"/>
  <c r="R18" i="10"/>
  <c r="R96" i="11" s="1"/>
  <c r="T194" i="16"/>
  <c r="AE128" i="9"/>
  <c r="AD127" i="9"/>
  <c r="AD115" i="9"/>
  <c r="Y479" i="10"/>
  <c r="P478" i="10"/>
  <c r="X277" i="16"/>
  <c r="X287" i="16"/>
  <c r="AD9" i="20"/>
  <c r="V184" i="10"/>
  <c r="V183" i="10" s="1"/>
  <c r="AD14" i="20"/>
  <c r="V227" i="10"/>
  <c r="V226" i="10" s="1"/>
  <c r="AD19" i="20"/>
  <c r="V270" i="10"/>
  <c r="V269" i="10" s="1"/>
  <c r="AD24" i="20"/>
  <c r="V313" i="10"/>
  <c r="V312" i="10" s="1"/>
  <c r="AD64" i="20"/>
  <c r="V103" i="16"/>
  <c r="V102" i="16" s="1"/>
  <c r="V101" i="16" s="1"/>
  <c r="V36" i="16" s="1"/>
  <c r="AD53" i="20"/>
  <c r="V23" i="15"/>
  <c r="X216" i="16"/>
  <c r="X215" i="16" s="1"/>
  <c r="X205" i="16"/>
  <c r="X204" i="16" s="1"/>
  <c r="AF16" i="20"/>
  <c r="X239" i="10"/>
  <c r="X238" i="10" s="1"/>
  <c r="AF21" i="20"/>
  <c r="X282" i="10"/>
  <c r="X281" i="10" s="1"/>
  <c r="AF26" i="20"/>
  <c r="X325" i="10"/>
  <c r="AF31" i="20"/>
  <c r="X368" i="10"/>
  <c r="X367" i="10" s="1"/>
  <c r="AF71" i="20"/>
  <c r="X38" i="17"/>
  <c r="AF64" i="20"/>
  <c r="X103" i="16"/>
  <c r="X102" i="16" s="1"/>
  <c r="X101" i="16" s="1"/>
  <c r="X36" i="16" s="1"/>
  <c r="AF53" i="20"/>
  <c r="X23" i="15"/>
  <c r="V141" i="11"/>
  <c r="T24" i="19"/>
  <c r="T140" i="17"/>
  <c r="R344" i="10"/>
  <c r="R343" i="10" s="1"/>
  <c r="R306" i="10"/>
  <c r="R204" i="16"/>
  <c r="AD282" i="18"/>
  <c r="AD281" i="18" s="1"/>
  <c r="AD13" i="18" s="1"/>
  <c r="U118" i="5" s="1"/>
  <c r="AD249" i="18"/>
  <c r="AD248" i="18" s="1"/>
  <c r="AD218" i="18" s="1"/>
  <c r="Y403" i="10"/>
  <c r="P402" i="10"/>
  <c r="Y402" i="10" s="1"/>
  <c r="AA11" i="20"/>
  <c r="S196" i="10"/>
  <c r="S195" i="10" s="1"/>
  <c r="AA4" i="20"/>
  <c r="S56" i="10"/>
  <c r="AA74" i="20"/>
  <c r="S53" i="18"/>
  <c r="AA26" i="20"/>
  <c r="S325" i="10"/>
  <c r="S324" i="10" s="1"/>
  <c r="AA59" i="20"/>
  <c r="S53" i="16"/>
  <c r="S503" i="10"/>
  <c r="S501" i="10"/>
  <c r="S499" i="10"/>
  <c r="Y506" i="10"/>
  <c r="Z475" i="10"/>
  <c r="Z506" i="10" s="1"/>
  <c r="O11" i="18"/>
  <c r="O9" i="18"/>
  <c r="X24" i="19"/>
  <c r="X140" i="17"/>
  <c r="X139" i="17" s="1"/>
  <c r="X68" i="17" s="1"/>
  <c r="W86" i="17"/>
  <c r="W85" i="17" s="1"/>
  <c r="W37" i="17"/>
  <c r="W36" i="17" s="1"/>
  <c r="W195" i="10"/>
  <c r="R32" i="17"/>
  <c r="R31" i="17" s="1"/>
  <c r="R82" i="17"/>
  <c r="R81" i="17" s="1"/>
  <c r="R232" i="10"/>
  <c r="AC106" i="11"/>
  <c r="AE449" i="9"/>
  <c r="AD106" i="11" s="1"/>
  <c r="AC26" i="20"/>
  <c r="U325" i="10"/>
  <c r="AC31" i="20"/>
  <c r="U368" i="10"/>
  <c r="U367" i="10" s="1"/>
  <c r="AC8" i="20"/>
  <c r="U178" i="10"/>
  <c r="AC9" i="20"/>
  <c r="U184" i="10"/>
  <c r="U183" i="10" s="1"/>
  <c r="AC75" i="20"/>
  <c r="U60" i="18"/>
  <c r="AC109" i="11"/>
  <c r="AE455" i="9"/>
  <c r="AD109" i="11" s="1"/>
  <c r="W204" i="16"/>
  <c r="Z160" i="17"/>
  <c r="Z172" i="17"/>
  <c r="AA172" i="17" s="1"/>
  <c r="AB172" i="17" s="1"/>
  <c r="AC172" i="17" s="1"/>
  <c r="AD172" i="17" s="1"/>
  <c r="Y398" i="10"/>
  <c r="P397" i="10"/>
  <c r="Q423" i="10"/>
  <c r="Q427" i="10"/>
  <c r="Q425" i="10"/>
  <c r="V283" i="18"/>
  <c r="V275" i="18"/>
  <c r="V274" i="18" s="1"/>
  <c r="V273" i="18" s="1"/>
  <c r="V272" i="18" s="1"/>
  <c r="S273" i="18"/>
  <c r="S272" i="18" s="1"/>
  <c r="Q126" i="11"/>
  <c r="Q123" i="11"/>
  <c r="Q111" i="11" s="1"/>
  <c r="U329" i="10"/>
  <c r="U328" i="10" s="1"/>
  <c r="T329" i="10"/>
  <c r="T328" i="10" s="1"/>
  <c r="S329" i="10"/>
  <c r="S328" i="10" s="1"/>
  <c r="Q329" i="10"/>
  <c r="Q328" i="10" s="1"/>
  <c r="X329" i="10"/>
  <c r="X328" i="10" s="1"/>
  <c r="P329" i="10"/>
  <c r="A331" i="9"/>
  <c r="W329" i="10"/>
  <c r="W328" i="10" s="1"/>
  <c r="V329" i="10"/>
  <c r="V328" i="10" s="1"/>
  <c r="R329" i="10"/>
  <c r="R328" i="10" s="1"/>
  <c r="R324" i="10" s="1"/>
  <c r="P455" i="10"/>
  <c r="Y455" i="10" s="1"/>
  <c r="Y456" i="10"/>
  <c r="Y458" i="10" s="1"/>
  <c r="AA273" i="18"/>
  <c r="AA272" i="18" s="1"/>
  <c r="Y16" i="20"/>
  <c r="Q239" i="10"/>
  <c r="Q238" i="10" s="1"/>
  <c r="Y63" i="20"/>
  <c r="Q96" i="16"/>
  <c r="Y71" i="20"/>
  <c r="Q38" i="17"/>
  <c r="Y31" i="20"/>
  <c r="Q368" i="10"/>
  <c r="Q367" i="10" s="1"/>
  <c r="Y60" i="20"/>
  <c r="Q60" i="16"/>
  <c r="S194" i="16"/>
  <c r="AB30" i="20"/>
  <c r="T362" i="10"/>
  <c r="T361" i="10" s="1"/>
  <c r="AB5" i="20"/>
  <c r="T61" i="10"/>
  <c r="AB75" i="20"/>
  <c r="T60" i="18"/>
  <c r="AB10" i="11"/>
  <c r="U423" i="10"/>
  <c r="U427" i="10"/>
  <c r="U425" i="10"/>
  <c r="U287" i="16"/>
  <c r="U277" i="16"/>
  <c r="O26" i="11"/>
  <c r="O25" i="11" s="1"/>
  <c r="T281" i="16"/>
  <c r="T291" i="16"/>
  <c r="T255" i="16" s="1"/>
  <c r="W192" i="18"/>
  <c r="W109" i="18"/>
  <c r="W108" i="18" s="1"/>
  <c r="W37" i="18" s="1"/>
  <c r="V114" i="11"/>
  <c r="V113" i="11" s="1"/>
  <c r="V124" i="11"/>
  <c r="W463" i="10"/>
  <c r="W461" i="10"/>
  <c r="W465" i="10"/>
  <c r="R82" i="15"/>
  <c r="R81" i="15" s="1"/>
  <c r="R80" i="15" s="1"/>
  <c r="R29" i="15"/>
  <c r="R28" i="15" s="1"/>
  <c r="X24" i="20"/>
  <c r="P313" i="10"/>
  <c r="X29" i="20"/>
  <c r="P356" i="10"/>
  <c r="X79" i="20"/>
  <c r="P103" i="18"/>
  <c r="X69" i="20"/>
  <c r="P28" i="17"/>
  <c r="U126" i="11"/>
  <c r="U123" i="11"/>
  <c r="U111" i="11" s="1"/>
  <c r="P193" i="10"/>
  <c r="P299" i="16"/>
  <c r="Y555" i="10"/>
  <c r="P535" i="10"/>
  <c r="P531" i="10" s="1"/>
  <c r="P530" i="10"/>
  <c r="P515" i="10"/>
  <c r="P511" i="10" s="1"/>
  <c r="P525" i="10"/>
  <c r="P521" i="10" s="1"/>
  <c r="P520" i="10"/>
  <c r="P516" i="10" s="1"/>
  <c r="Y516" i="10" s="1"/>
  <c r="W165" i="16"/>
  <c r="W66" i="16"/>
  <c r="W65" i="16" s="1"/>
  <c r="W31" i="16" s="1"/>
  <c r="W24" i="16" s="1"/>
  <c r="AA293" i="16"/>
  <c r="Z256" i="16"/>
  <c r="AD345" i="10"/>
  <c r="AC345" i="10"/>
  <c r="AB345" i="10"/>
  <c r="AC204" i="17"/>
  <c r="AB203" i="17"/>
  <c r="AA46" i="15"/>
  <c r="AA44" i="15" s="1"/>
  <c r="AC217" i="9"/>
  <c r="T282" i="18"/>
  <c r="T281" i="18" s="1"/>
  <c r="T13" i="18" s="1"/>
  <c r="T249" i="18"/>
  <c r="T248" i="18" s="1"/>
  <c r="T218" i="18" s="1"/>
  <c r="T215" i="18" s="1"/>
  <c r="T10" i="18" s="1"/>
  <c r="Y512" i="10"/>
  <c r="AD13" i="20"/>
  <c r="V221" i="10"/>
  <c r="AD18" i="20"/>
  <c r="V264" i="10"/>
  <c r="AD23" i="20"/>
  <c r="V307" i="10"/>
  <c r="AD28" i="20"/>
  <c r="V350" i="10"/>
  <c r="AD61" i="20"/>
  <c r="V67" i="16"/>
  <c r="AD54" i="20"/>
  <c r="V30" i="15"/>
  <c r="V423" i="10"/>
  <c r="V427" i="10"/>
  <c r="V425" i="10"/>
  <c r="AF20" i="20"/>
  <c r="X276" i="10"/>
  <c r="X275" i="10" s="1"/>
  <c r="AF25" i="20"/>
  <c r="X319" i="10"/>
  <c r="X318" i="10" s="1"/>
  <c r="AF30" i="20"/>
  <c r="X362" i="10"/>
  <c r="X361" i="10" s="1"/>
  <c r="AF75" i="20"/>
  <c r="X60" i="18"/>
  <c r="AF61" i="20"/>
  <c r="X67" i="16"/>
  <c r="AF54" i="20"/>
  <c r="X30" i="15"/>
  <c r="Y201" i="16"/>
  <c r="Z201" i="16" s="1"/>
  <c r="P200" i="16"/>
  <c r="AA287" i="16"/>
  <c r="AA277" i="16"/>
  <c r="AA276" i="16" s="1"/>
  <c r="O441" i="10"/>
  <c r="O434" i="10"/>
  <c r="O395" i="10" s="1"/>
  <c r="O11" i="10" s="1"/>
  <c r="S176" i="15"/>
  <c r="S13" i="15" s="1"/>
  <c r="S144" i="15"/>
  <c r="S143" i="15" s="1"/>
  <c r="S116" i="15" s="1"/>
  <c r="S113" i="15" s="1"/>
  <c r="S10" i="15" s="1"/>
  <c r="W278" i="18"/>
  <c r="W277" i="18" s="1"/>
  <c r="W286" i="18"/>
  <c r="W250" i="18" s="1"/>
  <c r="AC49" i="11"/>
  <c r="AE446" i="9"/>
  <c r="AD49" i="11" s="1"/>
  <c r="T43" i="19"/>
  <c r="T42" i="19" s="1"/>
  <c r="T23" i="19" s="1"/>
  <c r="T13" i="17" s="1"/>
  <c r="AD18" i="12"/>
  <c r="W177" i="10"/>
  <c r="W215" i="10"/>
  <c r="W214" i="10" s="1"/>
  <c r="AA19" i="20"/>
  <c r="S270" i="10"/>
  <c r="S269" i="10" s="1"/>
  <c r="AA8" i="20"/>
  <c r="S178" i="10"/>
  <c r="AA5" i="20"/>
  <c r="S61" i="10"/>
  <c r="AA30" i="20"/>
  <c r="S362" i="10"/>
  <c r="S361" i="10" s="1"/>
  <c r="AA63" i="20"/>
  <c r="S96" i="16"/>
  <c r="AA60" i="20"/>
  <c r="S60" i="16"/>
  <c r="U282" i="18"/>
  <c r="U281" i="18" s="1"/>
  <c r="U13" i="18" s="1"/>
  <c r="U249" i="18"/>
  <c r="U248" i="18" s="1"/>
  <c r="U218" i="18" s="1"/>
  <c r="U215" i="18" s="1"/>
  <c r="U10" i="18" s="1"/>
  <c r="R86" i="17"/>
  <c r="R85" i="17" s="1"/>
  <c r="R37" i="17"/>
  <c r="R36" i="17" s="1"/>
  <c r="AB186" i="17"/>
  <c r="AB162" i="17" s="1"/>
  <c r="U503" i="10"/>
  <c r="U501" i="10"/>
  <c r="U499" i="10"/>
  <c r="AD43" i="19"/>
  <c r="AD42" i="19" s="1"/>
  <c r="A361" i="9"/>
  <c r="Q281" i="16"/>
  <c r="Q291" i="16"/>
  <c r="Q255" i="16" s="1"/>
  <c r="Y505" i="10"/>
  <c r="U24" i="19"/>
  <c r="U140" i="17"/>
  <c r="U139" i="17" s="1"/>
  <c r="U68" i="17" s="1"/>
  <c r="X43" i="19"/>
  <c r="X42" i="19" s="1"/>
  <c r="X23" i="19" s="1"/>
  <c r="X13" i="17" s="1"/>
  <c r="S216" i="16"/>
  <c r="S215" i="16" s="1"/>
  <c r="S205" i="16"/>
  <c r="S204" i="16" s="1"/>
  <c r="X282" i="18"/>
  <c r="X281" i="18" s="1"/>
  <c r="X13" i="18" s="1"/>
  <c r="X249" i="18"/>
  <c r="X248" i="18" s="1"/>
  <c r="X218" i="18" s="1"/>
  <c r="X215" i="18" s="1"/>
  <c r="X10" i="18" s="1"/>
  <c r="AC6" i="20"/>
  <c r="U66" i="10"/>
  <c r="AC16" i="20"/>
  <c r="U239" i="10"/>
  <c r="U238" i="10" s="1"/>
  <c r="AC13" i="20"/>
  <c r="U221" i="10"/>
  <c r="AC79" i="20"/>
  <c r="U103" i="18"/>
  <c r="AB282" i="18"/>
  <c r="AB281" i="18" s="1"/>
  <c r="AB13" i="18" s="1"/>
  <c r="S118" i="5" s="1"/>
  <c r="AB249" i="18"/>
  <c r="AB248" i="18" s="1"/>
  <c r="AB218" i="18" s="1"/>
  <c r="U176" i="15"/>
  <c r="U13" i="15" s="1"/>
  <c r="U144" i="15"/>
  <c r="U143" i="15" s="1"/>
  <c r="U116" i="15" s="1"/>
  <c r="U113" i="15" s="1"/>
  <c r="U10" i="15" s="1"/>
  <c r="AA166" i="17"/>
  <c r="AB168" i="17"/>
  <c r="AA144" i="15"/>
  <c r="AA143" i="15" s="1"/>
  <c r="AA116" i="15" s="1"/>
  <c r="AA176" i="15"/>
  <c r="AA13" i="15" s="1"/>
  <c r="R96" i="5" s="1"/>
  <c r="Y430" i="10"/>
  <c r="Z399" i="10"/>
  <c r="Z430" i="10" s="1"/>
  <c r="X189" i="16"/>
  <c r="V298" i="16"/>
  <c r="V487" i="10"/>
  <c r="V483" i="10" s="1"/>
  <c r="V482" i="10"/>
  <c r="V478" i="10" s="1"/>
  <c r="V477" i="10"/>
  <c r="V473" i="10" s="1"/>
  <c r="V497" i="10"/>
  <c r="V493" i="10" s="1"/>
  <c r="V492" i="10"/>
  <c r="V488" i="10" s="1"/>
  <c r="Y554" i="10"/>
  <c r="Y298" i="16" s="1"/>
  <c r="W89" i="10"/>
  <c r="W127" i="10" s="1"/>
  <c r="W50" i="10"/>
  <c r="W15" i="10"/>
  <c r="X114" i="11"/>
  <c r="X113" i="11" s="1"/>
  <c r="X112" i="11" s="1"/>
  <c r="X124" i="11"/>
  <c r="S249" i="18"/>
  <c r="S248" i="18" s="1"/>
  <c r="S218" i="18" s="1"/>
  <c r="S215" i="18" s="1"/>
  <c r="S10" i="18" s="1"/>
  <c r="S282" i="18"/>
  <c r="S281" i="18" s="1"/>
  <c r="S13" i="18" s="1"/>
  <c r="AA186" i="17"/>
  <c r="AA162" i="17" s="1"/>
  <c r="AC282" i="18"/>
  <c r="AC281" i="18" s="1"/>
  <c r="AC13" i="18" s="1"/>
  <c r="T118" i="5" s="1"/>
  <c r="AC249" i="18"/>
  <c r="AC248" i="18" s="1"/>
  <c r="AC218" i="18" s="1"/>
  <c r="AA249" i="18"/>
  <c r="AA248" i="18" s="1"/>
  <c r="AA218" i="18" s="1"/>
  <c r="AA282" i="18"/>
  <c r="AA281" i="18" s="1"/>
  <c r="AA13" i="18" s="1"/>
  <c r="R118" i="5" s="1"/>
  <c r="AC52" i="11"/>
  <c r="AE452" i="9"/>
  <c r="AD52" i="11" s="1"/>
  <c r="Y59" i="20"/>
  <c r="Q53" i="16"/>
  <c r="Y5" i="20"/>
  <c r="Q61" i="10"/>
  <c r="Y6" i="20"/>
  <c r="Q66" i="10"/>
  <c r="Y64" i="20"/>
  <c r="Q103" i="16"/>
  <c r="Q102" i="16" s="1"/>
  <c r="Q101" i="16" s="1"/>
  <c r="Q36" i="16" s="1"/>
  <c r="Y53" i="20"/>
  <c r="Q23" i="15"/>
  <c r="W160" i="16"/>
  <c r="W159" i="16" s="1"/>
  <c r="W158" i="16" s="1"/>
  <c r="W59" i="16"/>
  <c r="W58" i="16" s="1"/>
  <c r="W30" i="16" s="1"/>
  <c r="W23" i="16" s="1"/>
  <c r="R245" i="16"/>
  <c r="R246" i="16" s="1"/>
  <c r="R239" i="16"/>
  <c r="R240" i="16" s="1"/>
  <c r="R242" i="16"/>
  <c r="R243" i="16" s="1"/>
  <c r="R150" i="16"/>
  <c r="R149" i="16" s="1"/>
  <c r="R148" i="16" s="1"/>
  <c r="R45" i="16"/>
  <c r="R44" i="16" s="1"/>
  <c r="R87" i="16"/>
  <c r="R86" i="16" s="1"/>
  <c r="R178" i="16" s="1"/>
  <c r="R89" i="10"/>
  <c r="R127" i="10" s="1"/>
  <c r="R50" i="10"/>
  <c r="R15" i="10"/>
  <c r="AB4" i="20"/>
  <c r="T56" i="10"/>
  <c r="AB9" i="20"/>
  <c r="T184" i="10"/>
  <c r="T183" i="10" s="1"/>
  <c r="AB79" i="20"/>
  <c r="T103" i="18"/>
  <c r="AB43" i="19"/>
  <c r="AB42" i="19" s="1"/>
  <c r="R166" i="15"/>
  <c r="AC101" i="9"/>
  <c r="T205" i="16"/>
  <c r="T204" i="16" s="1"/>
  <c r="T216" i="16"/>
  <c r="T215" i="16" s="1"/>
  <c r="T287" i="16"/>
  <c r="T277" i="16"/>
  <c r="R192" i="18"/>
  <c r="R109" i="18"/>
  <c r="R108" i="18" s="1"/>
  <c r="R37" i="18" s="1"/>
  <c r="S291" i="16"/>
  <c r="S255" i="16" s="1"/>
  <c r="S281" i="16"/>
  <c r="AA83" i="11"/>
  <c r="AC442" i="9"/>
  <c r="X20" i="20"/>
  <c r="P276" i="10"/>
  <c r="X30" i="20"/>
  <c r="P362" i="10"/>
  <c r="X75" i="20"/>
  <c r="P60" i="18"/>
  <c r="X65" i="20"/>
  <c r="P110" i="16"/>
  <c r="W150" i="16"/>
  <c r="W149" i="16" s="1"/>
  <c r="W148" i="16" s="1"/>
  <c r="W242" i="16"/>
  <c r="W243" i="16" s="1"/>
  <c r="W245" i="16"/>
  <c r="W246" i="16" s="1"/>
  <c r="W239" i="16"/>
  <c r="W240" i="16" s="1"/>
  <c r="W87" i="16"/>
  <c r="W86" i="16" s="1"/>
  <c r="W178" i="16" s="1"/>
  <c r="W45" i="16"/>
  <c r="W44" i="16" s="1"/>
  <c r="W220" i="10"/>
  <c r="W258" i="10"/>
  <c r="W257" i="10" s="1"/>
  <c r="S287" i="16"/>
  <c r="S277" i="16"/>
  <c r="S35" i="19"/>
  <c r="S141" i="17"/>
  <c r="A349" i="9"/>
  <c r="X28" i="20"/>
  <c r="P350" i="10"/>
  <c r="X3" i="20"/>
  <c r="P51" i="10"/>
  <c r="X80" i="20"/>
  <c r="P110" i="18"/>
  <c r="X73" i="20"/>
  <c r="P46" i="18"/>
  <c r="X70" i="20"/>
  <c r="P33" i="17"/>
  <c r="R17" i="10"/>
  <c r="R77" i="11" s="1"/>
  <c r="R99" i="10"/>
  <c r="R137" i="10" s="1"/>
  <c r="R60" i="10"/>
  <c r="Y115" i="11"/>
  <c r="P114" i="11"/>
  <c r="P124" i="11"/>
  <c r="Y92" i="15"/>
  <c r="Z92" i="15" s="1"/>
  <c r="P91" i="15"/>
  <c r="O123" i="17"/>
  <c r="V277" i="16"/>
  <c r="V287" i="16"/>
  <c r="W291" i="16"/>
  <c r="W255" i="16" s="1"/>
  <c r="W281" i="16"/>
  <c r="V157" i="11"/>
  <c r="U155" i="11"/>
  <c r="Y546" i="10"/>
  <c r="Z513" i="10"/>
  <c r="Z546" i="10" s="1"/>
  <c r="AD21" i="20"/>
  <c r="V282" i="10"/>
  <c r="V281" i="10" s="1"/>
  <c r="AD26" i="20"/>
  <c r="V325" i="10"/>
  <c r="V324" i="10" s="1"/>
  <c r="AD31" i="20"/>
  <c r="V368" i="10"/>
  <c r="V367" i="10" s="1"/>
  <c r="AD65" i="20"/>
  <c r="V110" i="16"/>
  <c r="V109" i="16" s="1"/>
  <c r="V108" i="16" s="1"/>
  <c r="V37" i="16" s="1"/>
  <c r="AD58" i="20"/>
  <c r="V46" i="16"/>
  <c r="AD55" i="20"/>
  <c r="V37" i="15"/>
  <c r="AF24" i="20"/>
  <c r="X313" i="10"/>
  <c r="X312" i="10" s="1"/>
  <c r="AF29" i="20"/>
  <c r="X356" i="10"/>
  <c r="X355" i="10" s="1"/>
  <c r="AF79" i="20"/>
  <c r="X103" i="18"/>
  <c r="AF65" i="20"/>
  <c r="X110" i="16"/>
  <c r="X109" i="16" s="1"/>
  <c r="X108" i="16" s="1"/>
  <c r="X37" i="16" s="1"/>
  <c r="AF58" i="20"/>
  <c r="X46" i="16"/>
  <c r="X194" i="16"/>
  <c r="S114" i="11"/>
  <c r="S113" i="11" s="1"/>
  <c r="S112" i="11" s="1"/>
  <c r="S124" i="11"/>
  <c r="W283" i="18"/>
  <c r="W275" i="18"/>
  <c r="W274" i="18" s="1"/>
  <c r="R165" i="16"/>
  <c r="R66" i="16"/>
  <c r="R65" i="16" s="1"/>
  <c r="R31" i="16" s="1"/>
  <c r="R24" i="16" s="1"/>
  <c r="U539" i="10"/>
  <c r="U537" i="10"/>
  <c r="U541" i="10"/>
  <c r="U543" i="10"/>
  <c r="Y418" i="10"/>
  <c r="P417" i="10"/>
  <c r="Y417" i="10" s="1"/>
  <c r="AA16" i="20"/>
  <c r="S239" i="10"/>
  <c r="S238" i="10" s="1"/>
  <c r="AA9" i="20"/>
  <c r="S184" i="10"/>
  <c r="S183" i="10" s="1"/>
  <c r="AA71" i="20"/>
  <c r="S38" i="17"/>
  <c r="AA64" i="20"/>
  <c r="S103" i="16"/>
  <c r="S102" i="16" s="1"/>
  <c r="S101" i="16" s="1"/>
  <c r="S36" i="16" s="1"/>
  <c r="AA53" i="20"/>
  <c r="S23" i="15"/>
  <c r="V194" i="16"/>
  <c r="Y413" i="10"/>
  <c r="P412" i="10"/>
  <c r="Y412" i="10" s="1"/>
  <c r="Y15" i="12"/>
  <c r="Z17" i="12"/>
  <c r="Y19" i="12"/>
  <c r="U43" i="19"/>
  <c r="U42" i="19" s="1"/>
  <c r="U23" i="19" s="1"/>
  <c r="U13" i="17" s="1"/>
  <c r="W154" i="18"/>
  <c r="W153" i="18" s="1"/>
  <c r="W152" i="18" s="1"/>
  <c r="W52" i="18"/>
  <c r="W51" i="18" s="1"/>
  <c r="W29" i="18" s="1"/>
  <c r="R361" i="10"/>
  <c r="AC73" i="20"/>
  <c r="U46" i="18"/>
  <c r="AC20" i="20"/>
  <c r="U276" i="10"/>
  <c r="U275" i="10" s="1"/>
  <c r="AC21" i="20"/>
  <c r="U282" i="10"/>
  <c r="U281" i="10" s="1"/>
  <c r="AD176" i="15"/>
  <c r="AD13" i="15" s="1"/>
  <c r="U96" i="5" s="1"/>
  <c r="AD144" i="15"/>
  <c r="U166" i="15"/>
  <c r="AC225" i="18"/>
  <c r="AA166" i="15"/>
  <c r="Y429" i="10"/>
  <c r="AC71" i="11"/>
  <c r="AE453" i="9"/>
  <c r="AD71" i="11" s="1"/>
  <c r="V122" i="11"/>
  <c r="V118" i="11" s="1"/>
  <c r="V84" i="11"/>
  <c r="V80" i="11" s="1"/>
  <c r="V46" i="11"/>
  <c r="V42" i="11" s="1"/>
  <c r="P216" i="16"/>
  <c r="P205" i="16"/>
  <c r="Y206" i="16"/>
  <c r="Z206" i="16" s="1"/>
  <c r="AB138" i="10"/>
  <c r="AB62" i="10"/>
  <c r="AB100" i="10"/>
  <c r="X465" i="10"/>
  <c r="X463" i="10"/>
  <c r="X461" i="10"/>
  <c r="W298" i="16"/>
  <c r="W497" i="10"/>
  <c r="W493" i="10" s="1"/>
  <c r="W487" i="10"/>
  <c r="W483" i="10" s="1"/>
  <c r="W482" i="10"/>
  <c r="W478" i="10" s="1"/>
  <c r="W477" i="10"/>
  <c r="W473" i="10" s="1"/>
  <c r="W492" i="10"/>
  <c r="W488" i="10" s="1"/>
  <c r="Y4" i="20"/>
  <c r="Q56" i="10"/>
  <c r="Y9" i="20"/>
  <c r="Q184" i="10"/>
  <c r="Q183" i="10" s="1"/>
  <c r="Y10" i="20"/>
  <c r="Q190" i="10"/>
  <c r="Q189" i="10" s="1"/>
  <c r="Y75" i="20"/>
  <c r="Q60" i="18"/>
  <c r="Y61" i="20"/>
  <c r="Q67" i="16"/>
  <c r="Y54" i="20"/>
  <c r="Q30" i="15"/>
  <c r="AB3" i="20"/>
  <c r="T51" i="10"/>
  <c r="AB8" i="20"/>
  <c r="T178" i="10"/>
  <c r="AB13" i="20"/>
  <c r="T221" i="10"/>
  <c r="AB53" i="20"/>
  <c r="T23" i="15"/>
  <c r="Z445" i="10"/>
  <c r="O446" i="10"/>
  <c r="R176" i="15"/>
  <c r="R13" i="15" s="1"/>
  <c r="R144" i="15"/>
  <c r="R143" i="15" s="1"/>
  <c r="R116" i="15" s="1"/>
  <c r="R113" i="15" s="1"/>
  <c r="R10" i="15" s="1"/>
  <c r="R94" i="10"/>
  <c r="R132" i="10" s="1"/>
  <c r="R16" i="10"/>
  <c r="R58" i="11" s="1"/>
  <c r="R55" i="10"/>
  <c r="R9" i="2"/>
  <c r="Q15" i="3"/>
  <c r="X6" i="20"/>
  <c r="P66" i="10"/>
  <c r="X11" i="20"/>
  <c r="P196" i="10"/>
  <c r="X81" i="20"/>
  <c r="P117" i="18"/>
  <c r="X74" i="20"/>
  <c r="P53" i="18"/>
  <c r="P278" i="16"/>
  <c r="Y289" i="16"/>
  <c r="P236" i="10"/>
  <c r="AC68" i="11"/>
  <c r="AE447" i="9"/>
  <c r="AD68" i="11" s="1"/>
  <c r="Y10" i="12"/>
  <c r="Y441" i="10"/>
  <c r="Y443" i="10" s="1"/>
  <c r="P440" i="10"/>
  <c r="Y440" i="10" s="1"/>
  <c r="Q32" i="19"/>
  <c r="Q27" i="19"/>
  <c r="Q28" i="19"/>
  <c r="Q29" i="19"/>
  <c r="Q30" i="19"/>
  <c r="Q31" i="19"/>
  <c r="Q88" i="17"/>
  <c r="Q40" i="17"/>
  <c r="Q84" i="17"/>
  <c r="Q35" i="17"/>
  <c r="Q30" i="17"/>
  <c r="Q80" i="17"/>
  <c r="T35" i="19"/>
  <c r="T141" i="17"/>
  <c r="U465" i="10"/>
  <c r="U463" i="10"/>
  <c r="U461" i="10"/>
  <c r="Y545" i="10"/>
  <c r="X291" i="16"/>
  <c r="X255" i="16" s="1"/>
  <c r="X281" i="16"/>
  <c r="AD25" i="20"/>
  <c r="V319" i="10"/>
  <c r="V318" i="10" s="1"/>
  <c r="AD30" i="20"/>
  <c r="V362" i="10"/>
  <c r="V361" i="10" s="1"/>
  <c r="AD69" i="20"/>
  <c r="V28" i="17"/>
  <c r="AD59" i="20"/>
  <c r="V53" i="16"/>
  <c r="Y527" i="10"/>
  <c r="Z527" i="10" s="1"/>
  <c r="P526" i="10"/>
  <c r="Y526" i="10" s="1"/>
  <c r="AF28" i="20"/>
  <c r="X350" i="10"/>
  <c r="AF3" i="20"/>
  <c r="X51" i="10"/>
  <c r="AF69" i="20"/>
  <c r="X28" i="17"/>
  <c r="Z104" i="17"/>
  <c r="AA104" i="17" s="1"/>
  <c r="Z101" i="17"/>
  <c r="Z66" i="17" s="1"/>
  <c r="AB287" i="16"/>
  <c r="AB277" i="16"/>
  <c r="AB276" i="16" s="1"/>
  <c r="W324" i="10"/>
  <c r="AB47" i="18"/>
  <c r="AC107" i="9"/>
  <c r="AD160" i="15"/>
  <c r="AD159" i="15" s="1"/>
  <c r="AC159" i="15"/>
  <c r="W232" i="10"/>
  <c r="AA20" i="20"/>
  <c r="S276" i="10"/>
  <c r="S275" i="10" s="1"/>
  <c r="AA13" i="20"/>
  <c r="S221" i="10"/>
  <c r="AA54" i="20"/>
  <c r="S30" i="15"/>
  <c r="AA58" i="20"/>
  <c r="S46" i="16"/>
  <c r="AA75" i="20"/>
  <c r="S60" i="18"/>
  <c r="AA61" i="20"/>
  <c r="S67" i="16"/>
  <c r="W44" i="19"/>
  <c r="W43" i="19" s="1"/>
  <c r="W42" i="19" s="1"/>
  <c r="W23" i="19" s="1"/>
  <c r="W13" i="17" s="1"/>
  <c r="W26" i="19"/>
  <c r="W25" i="19" s="1"/>
  <c r="AB351" i="10"/>
  <c r="AC83" i="9"/>
  <c r="R154" i="18"/>
  <c r="R153" i="18" s="1"/>
  <c r="R152" i="18" s="1"/>
  <c r="R52" i="18"/>
  <c r="R51" i="18" s="1"/>
  <c r="R29" i="18" s="1"/>
  <c r="R11" i="11"/>
  <c r="Q287" i="16"/>
  <c r="Q277" i="16"/>
  <c r="P8" i="12"/>
  <c r="AC30" i="20"/>
  <c r="U362" i="10"/>
  <c r="U361" i="10" s="1"/>
  <c r="AC3" i="20"/>
  <c r="U51" i="10"/>
  <c r="AC24" i="20"/>
  <c r="U313" i="10"/>
  <c r="U312" i="10" s="1"/>
  <c r="AC25" i="20"/>
  <c r="U319" i="10"/>
  <c r="U318" i="10" s="1"/>
  <c r="AC54" i="20"/>
  <c r="U30" i="15"/>
  <c r="AC80" i="20"/>
  <c r="U110" i="18"/>
  <c r="AD166" i="15"/>
  <c r="AE105" i="9"/>
  <c r="AD45" i="15" s="1"/>
  <c r="AE63" i="9"/>
  <c r="AD197" i="10" s="1"/>
  <c r="AE111" i="9"/>
  <c r="AE93" i="9"/>
  <c r="AD68" i="16" s="1"/>
  <c r="AE99" i="9"/>
  <c r="AE87" i="9"/>
  <c r="AD369" i="10" s="1"/>
  <c r="AE69" i="9"/>
  <c r="AD240" i="10" s="1"/>
  <c r="AE57" i="9"/>
  <c r="AE81" i="9"/>
  <c r="AD326" i="10" s="1"/>
  <c r="AE75" i="9"/>
  <c r="AD283" i="10" s="1"/>
  <c r="AD222" i="18"/>
  <c r="V48" i="15"/>
  <c r="V41" i="15"/>
  <c r="V34" i="15"/>
  <c r="V99" i="15"/>
  <c r="V95" i="15" s="1"/>
  <c r="V27" i="15"/>
  <c r="V94" i="15"/>
  <c r="V90" i="15" s="1"/>
  <c r="V89" i="15"/>
  <c r="V79" i="15"/>
  <c r="V55" i="15"/>
  <c r="V84" i="15"/>
  <c r="W137" i="16"/>
  <c r="W136" i="16" s="1"/>
  <c r="W214" i="16" s="1"/>
  <c r="W95" i="16"/>
  <c r="W94" i="16" s="1"/>
  <c r="W189" i="10"/>
  <c r="R155" i="16"/>
  <c r="R154" i="16" s="1"/>
  <c r="R153" i="16" s="1"/>
  <c r="R52" i="16"/>
  <c r="R51" i="16" s="1"/>
  <c r="R29" i="16" s="1"/>
  <c r="R195" i="10"/>
  <c r="U16" i="2"/>
  <c r="U24" i="3" s="1"/>
  <c r="U23" i="3" s="1"/>
  <c r="T24" i="3"/>
  <c r="T23" i="3" s="1"/>
  <c r="Z455" i="10"/>
  <c r="O466" i="10"/>
  <c r="O464" i="10"/>
  <c r="O456" i="10"/>
  <c r="O462" i="10"/>
  <c r="U216" i="16"/>
  <c r="U215" i="16" s="1"/>
  <c r="U205" i="16"/>
  <c r="U204" i="16" s="1"/>
  <c r="O248" i="16"/>
  <c r="O8" i="16"/>
  <c r="O59" i="5"/>
  <c r="M6" i="3"/>
  <c r="M26" i="3" s="1"/>
  <c r="M28" i="3" s="1"/>
  <c r="Y408" i="10"/>
  <c r="P407" i="10"/>
  <c r="Y407" i="10" s="1"/>
  <c r="AE124" i="9"/>
  <c r="AD80" i="9"/>
  <c r="AD104" i="9"/>
  <c r="AC38" i="15" s="1"/>
  <c r="AD98" i="9"/>
  <c r="AC111" i="16" s="1"/>
  <c r="AD56" i="9"/>
  <c r="AD62" i="9"/>
  <c r="AC191" i="10" s="1"/>
  <c r="AD110" i="9"/>
  <c r="AC61" i="18" s="1"/>
  <c r="AD74" i="9"/>
  <c r="AC277" i="10" s="1"/>
  <c r="AD68" i="9"/>
  <c r="AC234" i="10" s="1"/>
  <c r="AD92" i="9"/>
  <c r="AC61" i="16" s="1"/>
  <c r="AD86" i="9"/>
  <c r="AC363" i="10" s="1"/>
  <c r="W122" i="11"/>
  <c r="W118" i="11" s="1"/>
  <c r="W112" i="11" s="1"/>
  <c r="W111" i="11" s="1"/>
  <c r="W110" i="11" s="1"/>
  <c r="W23" i="11" s="1"/>
  <c r="W84" i="11"/>
  <c r="W80" i="11" s="1"/>
  <c r="W46" i="11"/>
  <c r="W42" i="11" s="1"/>
  <c r="Y28" i="20"/>
  <c r="Q350" i="10"/>
  <c r="Y13" i="20"/>
  <c r="Q221" i="10"/>
  <c r="Y14" i="20"/>
  <c r="Q227" i="10"/>
  <c r="Q226" i="10" s="1"/>
  <c r="Y3" i="20"/>
  <c r="Q51" i="10"/>
  <c r="Y79" i="20"/>
  <c r="Q103" i="18"/>
  <c r="Y65" i="20"/>
  <c r="Q110" i="16"/>
  <c r="Q109" i="16" s="1"/>
  <c r="Q108" i="16" s="1"/>
  <c r="Q37" i="16" s="1"/>
  <c r="Y58" i="20"/>
  <c r="Q46" i="16"/>
  <c r="V44" i="19"/>
  <c r="V43" i="19" s="1"/>
  <c r="V42" i="19" s="1"/>
  <c r="V23" i="19" s="1"/>
  <c r="V13" i="17" s="1"/>
  <c r="V26" i="19"/>
  <c r="V25" i="19" s="1"/>
  <c r="W155" i="16"/>
  <c r="W154" i="16" s="1"/>
  <c r="W153" i="16" s="1"/>
  <c r="W52" i="16"/>
  <c r="W51" i="16" s="1"/>
  <c r="W29" i="16" s="1"/>
  <c r="W65" i="10"/>
  <c r="W104" i="10"/>
  <c r="W142" i="10" s="1"/>
  <c r="W18" i="10"/>
  <c r="W96" i="11" s="1"/>
  <c r="R301" i="10"/>
  <c r="R300" i="10" s="1"/>
  <c r="R263" i="10"/>
  <c r="AB6" i="20"/>
  <c r="T66" i="10"/>
  <c r="AB11" i="20"/>
  <c r="T196" i="10"/>
  <c r="T195" i="10" s="1"/>
  <c r="AB16" i="20"/>
  <c r="T239" i="10"/>
  <c r="AB21" i="20"/>
  <c r="T282" i="10"/>
  <c r="T281" i="10" s="1"/>
  <c r="AB61" i="20"/>
  <c r="T67" i="16"/>
  <c r="AB54" i="20"/>
  <c r="T30" i="15"/>
  <c r="AB80" i="20"/>
  <c r="T110" i="18"/>
  <c r="P11" i="11"/>
  <c r="Y19" i="10"/>
  <c r="R498" i="10"/>
  <c r="R472" i="10" s="1"/>
  <c r="R22" i="16" l="1"/>
  <c r="R23" i="16"/>
  <c r="W22" i="16"/>
  <c r="R110" i="11"/>
  <c r="R23" i="11" s="1"/>
  <c r="Y459" i="10"/>
  <c r="U110" i="11"/>
  <c r="U23" i="11" s="1"/>
  <c r="V422" i="10"/>
  <c r="V396" i="10" s="1"/>
  <c r="W460" i="10"/>
  <c r="W434" i="10" s="1"/>
  <c r="Q110" i="11"/>
  <c r="Q23" i="11" s="1"/>
  <c r="Y521" i="10"/>
  <c r="Z521" i="10" s="1"/>
  <c r="W23" i="18"/>
  <c r="Q498" i="10"/>
  <c r="Q472" i="10" s="1"/>
  <c r="T536" i="10"/>
  <c r="T510" i="10" s="1"/>
  <c r="Y531" i="10"/>
  <c r="Q422" i="10"/>
  <c r="Q396" i="10" s="1"/>
  <c r="S498" i="10"/>
  <c r="S472" i="10" s="1"/>
  <c r="T422" i="10"/>
  <c r="T396" i="10" s="1"/>
  <c r="Y118" i="11"/>
  <c r="R422" i="10"/>
  <c r="R396" i="10" s="1"/>
  <c r="Y444" i="10"/>
  <c r="W536" i="10"/>
  <c r="W510" i="10" s="1"/>
  <c r="X422" i="10"/>
  <c r="X396" i="10" s="1"/>
  <c r="S536" i="10"/>
  <c r="S510" i="10" s="1"/>
  <c r="Q539" i="10"/>
  <c r="Q543" i="10"/>
  <c r="Q541" i="10"/>
  <c r="Q537" i="10"/>
  <c r="Y520" i="10"/>
  <c r="Z516" i="10"/>
  <c r="O37" i="5"/>
  <c r="O34" i="5" s="1"/>
  <c r="O6" i="10"/>
  <c r="P543" i="10"/>
  <c r="Y511" i="10"/>
  <c r="P539" i="10"/>
  <c r="P537" i="10"/>
  <c r="P541" i="10"/>
  <c r="V503" i="10"/>
  <c r="V499" i="10"/>
  <c r="V501" i="10"/>
  <c r="Z531" i="10"/>
  <c r="Z534" i="10" s="1"/>
  <c r="Q349" i="10"/>
  <c r="Q387" i="10"/>
  <c r="Q386" i="10" s="1"/>
  <c r="Y350" i="10"/>
  <c r="Z350" i="10" s="1"/>
  <c r="Z352" i="10" s="1"/>
  <c r="AA196" i="9" s="1"/>
  <c r="AB196" i="9" s="1"/>
  <c r="P349" i="10"/>
  <c r="P387" i="10"/>
  <c r="X165" i="16"/>
  <c r="X66" i="16"/>
  <c r="X65" i="16" s="1"/>
  <c r="X31" i="16" s="1"/>
  <c r="X24" i="16" s="1"/>
  <c r="T108" i="10"/>
  <c r="T146" i="10" s="1"/>
  <c r="T30" i="10"/>
  <c r="V539" i="10"/>
  <c r="V541" i="10"/>
  <c r="V537" i="10"/>
  <c r="V543" i="10"/>
  <c r="Y469" i="10"/>
  <c r="Z467" i="10"/>
  <c r="Z469" i="10" s="1"/>
  <c r="AC265" i="10"/>
  <c r="AD71" i="9"/>
  <c r="P226" i="10"/>
  <c r="Y226" i="10" s="1"/>
  <c r="Y227" i="10"/>
  <c r="R28" i="18"/>
  <c r="R80" i="18"/>
  <c r="R84" i="18"/>
  <c r="R82" i="18"/>
  <c r="R175" i="18" s="1"/>
  <c r="W173" i="15"/>
  <c r="W172" i="15" s="1"/>
  <c r="W182" i="15"/>
  <c r="W145" i="15" s="1"/>
  <c r="V192" i="18"/>
  <c r="V109" i="18"/>
  <c r="V108" i="18" s="1"/>
  <c r="V37" i="18" s="1"/>
  <c r="Y411" i="10"/>
  <c r="Z407" i="10"/>
  <c r="S159" i="18"/>
  <c r="S59" i="18"/>
  <c r="S58" i="18" s="1"/>
  <c r="S30" i="18" s="1"/>
  <c r="X89" i="10"/>
  <c r="X127" i="10" s="1"/>
  <c r="X50" i="10"/>
  <c r="X15" i="10"/>
  <c r="V179" i="17"/>
  <c r="V180" i="17" s="1"/>
  <c r="V78" i="17"/>
  <c r="V56" i="17"/>
  <c r="V55" i="17" s="1"/>
  <c r="V27" i="17"/>
  <c r="V26" i="17" s="1"/>
  <c r="T131" i="15"/>
  <c r="T132" i="15" s="1"/>
  <c r="T137" i="15"/>
  <c r="T138" i="15" s="1"/>
  <c r="T77" i="15"/>
  <c r="T76" i="15" s="1"/>
  <c r="T75" i="15" s="1"/>
  <c r="T64" i="15"/>
  <c r="T63" i="15" s="1"/>
  <c r="T105" i="15" s="1"/>
  <c r="T22" i="15"/>
  <c r="T21" i="15" s="1"/>
  <c r="T134" i="15"/>
  <c r="T135" i="15" s="1"/>
  <c r="Q82" i="15"/>
  <c r="Q81" i="15" s="1"/>
  <c r="Q80" i="15" s="1"/>
  <c r="Q29" i="15"/>
  <c r="Q28" i="15" s="1"/>
  <c r="AD143" i="15"/>
  <c r="AD116" i="15" s="1"/>
  <c r="Y8" i="12"/>
  <c r="Y420" i="10"/>
  <c r="Z418" i="10"/>
  <c r="Z420" i="10" s="1"/>
  <c r="R164" i="16"/>
  <c r="R163" i="16" s="1"/>
  <c r="R180" i="16"/>
  <c r="R179" i="16" s="1"/>
  <c r="Z115" i="11"/>
  <c r="Y124" i="11"/>
  <c r="Z124" i="11" s="1"/>
  <c r="R191" i="18"/>
  <c r="R190" i="18"/>
  <c r="R48" i="11"/>
  <c r="R39" i="11"/>
  <c r="R38" i="11" s="1"/>
  <c r="R37" i="11" s="1"/>
  <c r="R36" i="11" s="1"/>
  <c r="R14" i="10"/>
  <c r="Z440" i="10"/>
  <c r="W164" i="16"/>
  <c r="W163" i="16" s="1"/>
  <c r="W180" i="16"/>
  <c r="W179" i="16" s="1"/>
  <c r="Y356" i="10"/>
  <c r="P355" i="10"/>
  <c r="Y355" i="10" s="1"/>
  <c r="V282" i="18"/>
  <c r="V281" i="18" s="1"/>
  <c r="V13" i="18" s="1"/>
  <c r="V249" i="18"/>
  <c r="V248" i="18" s="1"/>
  <c r="V218" i="18" s="1"/>
  <c r="V215" i="18" s="1"/>
  <c r="V10" i="18" s="1"/>
  <c r="X286" i="16"/>
  <c r="X285" i="16" s="1"/>
  <c r="X13" i="16" s="1"/>
  <c r="X254" i="16"/>
  <c r="X253" i="16" s="1"/>
  <c r="X226" i="16" s="1"/>
  <c r="X223" i="16" s="1"/>
  <c r="X10" i="16" s="1"/>
  <c r="S139" i="17"/>
  <c r="S68" i="17" s="1"/>
  <c r="T86" i="17"/>
  <c r="T85" i="17" s="1"/>
  <c r="T37" i="17"/>
  <c r="T36" i="17" s="1"/>
  <c r="T324" i="10"/>
  <c r="U179" i="17"/>
  <c r="U180" i="17" s="1"/>
  <c r="U78" i="17"/>
  <c r="U56" i="17"/>
  <c r="U55" i="17" s="1"/>
  <c r="U27" i="17"/>
  <c r="U26" i="17" s="1"/>
  <c r="Y473" i="10"/>
  <c r="P501" i="10"/>
  <c r="P503" i="10"/>
  <c r="P499" i="10"/>
  <c r="W158" i="18"/>
  <c r="W157" i="18"/>
  <c r="Y453" i="10"/>
  <c r="Z450" i="10"/>
  <c r="Z453" i="10" s="1"/>
  <c r="O97" i="5"/>
  <c r="O98" i="5" s="1"/>
  <c r="O87" i="5"/>
  <c r="Y255" i="16"/>
  <c r="Z255" i="16" s="1"/>
  <c r="Y103" i="16"/>
  <c r="Z103" i="16" s="1"/>
  <c r="Z105" i="16" s="1"/>
  <c r="AA209" i="9" s="1"/>
  <c r="AB209" i="9" s="1"/>
  <c r="P102" i="16"/>
  <c r="Y282" i="10"/>
  <c r="P281" i="10"/>
  <c r="Y281" i="10" s="1"/>
  <c r="T236" i="18"/>
  <c r="T237" i="18" s="1"/>
  <c r="T233" i="18"/>
  <c r="T234" i="18" s="1"/>
  <c r="T149" i="18"/>
  <c r="T87" i="18"/>
  <c r="T86" i="18" s="1"/>
  <c r="T177" i="18" s="1"/>
  <c r="T45" i="18"/>
  <c r="T44" i="18" s="1"/>
  <c r="Q197" i="18"/>
  <c r="Q116" i="18"/>
  <c r="Q115" i="18" s="1"/>
  <c r="Q38" i="18" s="1"/>
  <c r="Q24" i="18" s="1"/>
  <c r="AD254" i="16"/>
  <c r="T123" i="11"/>
  <c r="T111" i="11" s="1"/>
  <c r="T126" i="11"/>
  <c r="U137" i="16"/>
  <c r="U136" i="16" s="1"/>
  <c r="U214" i="16" s="1"/>
  <c r="U95" i="16"/>
  <c r="U94" i="16" s="1"/>
  <c r="U197" i="18"/>
  <c r="U116" i="18"/>
  <c r="U115" i="18" s="1"/>
  <c r="U38" i="18" s="1"/>
  <c r="U24" i="18" s="1"/>
  <c r="X155" i="16"/>
  <c r="X154" i="16" s="1"/>
  <c r="X153" i="16" s="1"/>
  <c r="X52" i="16"/>
  <c r="X51" i="16" s="1"/>
  <c r="X29" i="16" s="1"/>
  <c r="X22" i="16" s="1"/>
  <c r="X94" i="10"/>
  <c r="X132" i="10" s="1"/>
  <c r="X16" i="10"/>
  <c r="X58" i="11" s="1"/>
  <c r="X55" i="10"/>
  <c r="P134" i="15"/>
  <c r="P131" i="15"/>
  <c r="P22" i="15"/>
  <c r="Y23" i="15"/>
  <c r="Z23" i="15" s="1"/>
  <c r="Z25" i="15" s="1"/>
  <c r="AA214" i="9" s="1"/>
  <c r="AB214" i="9" s="1"/>
  <c r="P77" i="15"/>
  <c r="P64" i="15"/>
  <c r="P137" i="15"/>
  <c r="P301" i="10"/>
  <c r="P263" i="10"/>
  <c r="Y264" i="10"/>
  <c r="Z264" i="10" s="1"/>
  <c r="Z266" i="10" s="1"/>
  <c r="AA184" i="9" s="1"/>
  <c r="AB184" i="9" s="1"/>
  <c r="R10" i="11"/>
  <c r="Y435" i="10"/>
  <c r="P465" i="10"/>
  <c r="Y465" i="10" s="1"/>
  <c r="P463" i="10"/>
  <c r="Y463" i="10" s="1"/>
  <c r="P461" i="10"/>
  <c r="P99" i="10"/>
  <c r="P60" i="10"/>
  <c r="P17" i="10"/>
  <c r="P77" i="11" s="1"/>
  <c r="Y61" i="10"/>
  <c r="V42" i="15"/>
  <c r="Q149" i="18"/>
  <c r="Q236" i="18"/>
  <c r="Q237" i="18" s="1"/>
  <c r="Q87" i="18"/>
  <c r="Q86" i="18" s="1"/>
  <c r="Q177" i="18" s="1"/>
  <c r="Q233" i="18"/>
  <c r="Q234" i="18" s="1"/>
  <c r="Q45" i="18"/>
  <c r="Q44" i="18" s="1"/>
  <c r="V460" i="10"/>
  <c r="V434" i="10" s="1"/>
  <c r="U137" i="15"/>
  <c r="U138" i="15" s="1"/>
  <c r="U77" i="15"/>
  <c r="U76" i="15" s="1"/>
  <c r="U75" i="15" s="1"/>
  <c r="U64" i="15"/>
  <c r="U63" i="15" s="1"/>
  <c r="U105" i="15" s="1"/>
  <c r="U22" i="15"/>
  <c r="U21" i="15" s="1"/>
  <c r="U134" i="15"/>
  <c r="U135" i="15" s="1"/>
  <c r="U131" i="15"/>
  <c r="U132" i="15" s="1"/>
  <c r="AC97" i="16"/>
  <c r="AD95" i="9"/>
  <c r="P189" i="16"/>
  <c r="Y189" i="16" s="1"/>
  <c r="Y190" i="16"/>
  <c r="Y51" i="19"/>
  <c r="P32" i="19"/>
  <c r="AC110" i="17"/>
  <c r="AB108" i="17"/>
  <c r="T87" i="15"/>
  <c r="T86" i="15" s="1"/>
  <c r="T85" i="15" s="1"/>
  <c r="T36" i="15"/>
  <c r="T35" i="15" s="1"/>
  <c r="Q179" i="17"/>
  <c r="Q180" i="17" s="1"/>
  <c r="Q78" i="17"/>
  <c r="Q56" i="17"/>
  <c r="Q55" i="17" s="1"/>
  <c r="Q27" i="17"/>
  <c r="Q26" i="17" s="1"/>
  <c r="Q215" i="10"/>
  <c r="Q214" i="10" s="1"/>
  <c r="Q177" i="10"/>
  <c r="W177" i="15"/>
  <c r="W168" i="15"/>
  <c r="W167" i="15" s="1"/>
  <c r="W166" i="15" s="1"/>
  <c r="U245" i="16"/>
  <c r="U246" i="16" s="1"/>
  <c r="U239" i="16"/>
  <c r="U240" i="16" s="1"/>
  <c r="U242" i="16"/>
  <c r="U243" i="16" s="1"/>
  <c r="U150" i="16"/>
  <c r="U149" i="16" s="1"/>
  <c r="U148" i="16" s="1"/>
  <c r="U45" i="16"/>
  <c r="U44" i="16" s="1"/>
  <c r="U87" i="16"/>
  <c r="U86" i="16" s="1"/>
  <c r="U178" i="16" s="1"/>
  <c r="W76" i="11"/>
  <c r="W75" i="11" s="1"/>
  <c r="W74" i="11" s="1"/>
  <c r="W86" i="11"/>
  <c r="T77" i="16"/>
  <c r="T73" i="16" s="1"/>
  <c r="T72" i="16" s="1"/>
  <c r="T32" i="16" s="1"/>
  <c r="S77" i="16"/>
  <c r="S73" i="16" s="1"/>
  <c r="S72" i="16" s="1"/>
  <c r="S32" i="16" s="1"/>
  <c r="R77" i="16"/>
  <c r="R73" i="16" s="1"/>
  <c r="R72" i="16" s="1"/>
  <c r="R32" i="16" s="1"/>
  <c r="Q77" i="16"/>
  <c r="Q73" i="16" s="1"/>
  <c r="Q72" i="16" s="1"/>
  <c r="Q32" i="16" s="1"/>
  <c r="X77" i="16"/>
  <c r="X73" i="16" s="1"/>
  <c r="X72" i="16" s="1"/>
  <c r="X32" i="16" s="1"/>
  <c r="P77" i="16"/>
  <c r="P73" i="16" s="1"/>
  <c r="W77" i="16"/>
  <c r="W73" i="16" s="1"/>
  <c r="W72" i="16" s="1"/>
  <c r="W32" i="16" s="1"/>
  <c r="V77" i="16"/>
  <c r="V73" i="16" s="1"/>
  <c r="V72" i="16" s="1"/>
  <c r="V32" i="16" s="1"/>
  <c r="U77" i="16"/>
  <c r="U73" i="16" s="1"/>
  <c r="U72" i="16" s="1"/>
  <c r="U32" i="16" s="1"/>
  <c r="Y287" i="16"/>
  <c r="Y277" i="16"/>
  <c r="Z288" i="16"/>
  <c r="Q137" i="18"/>
  <c r="Q136" i="18" s="1"/>
  <c r="Q210" i="18" s="1"/>
  <c r="Q187" i="18"/>
  <c r="Q102" i="18"/>
  <c r="Q101" i="18" s="1"/>
  <c r="AE104" i="9"/>
  <c r="AD38" i="15" s="1"/>
  <c r="AE56" i="9"/>
  <c r="AE110" i="9"/>
  <c r="AD61" i="18" s="1"/>
  <c r="AE74" i="9"/>
  <c r="AD277" i="10" s="1"/>
  <c r="AE62" i="9"/>
  <c r="AD191" i="10" s="1"/>
  <c r="AE98" i="9"/>
  <c r="AD111" i="16" s="1"/>
  <c r="AE80" i="9"/>
  <c r="AE68" i="9"/>
  <c r="AD234" i="10" s="1"/>
  <c r="AE86" i="9"/>
  <c r="AD363" i="10" s="1"/>
  <c r="AE92" i="9"/>
  <c r="AD61" i="16" s="1"/>
  <c r="X242" i="16"/>
  <c r="X243" i="16" s="1"/>
  <c r="X239" i="16"/>
  <c r="X240" i="16" s="1"/>
  <c r="X245" i="16"/>
  <c r="X246" i="16" s="1"/>
  <c r="X150" i="16"/>
  <c r="X149" i="16" s="1"/>
  <c r="X148" i="16" s="1"/>
  <c r="X87" i="16"/>
  <c r="X86" i="16" s="1"/>
  <c r="X178" i="16" s="1"/>
  <c r="X45" i="16"/>
  <c r="X44" i="16" s="1"/>
  <c r="Y362" i="10"/>
  <c r="P361" i="10"/>
  <c r="Y361" i="10" s="1"/>
  <c r="Q344" i="10"/>
  <c r="Q343" i="10" s="1"/>
  <c r="Q306" i="10"/>
  <c r="V160" i="16"/>
  <c r="V159" i="16" s="1"/>
  <c r="V158" i="16" s="1"/>
  <c r="V59" i="16"/>
  <c r="V58" i="16" s="1"/>
  <c r="V30" i="16" s="1"/>
  <c r="V23" i="16" s="1"/>
  <c r="V177" i="10"/>
  <c r="V215" i="10"/>
  <c r="V214" i="10" s="1"/>
  <c r="X149" i="18"/>
  <c r="X236" i="18"/>
  <c r="X237" i="18" s="1"/>
  <c r="X233" i="18"/>
  <c r="X234" i="18" s="1"/>
  <c r="X45" i="18"/>
  <c r="X44" i="18" s="1"/>
  <c r="X87" i="18"/>
  <c r="X86" i="18" s="1"/>
  <c r="X177" i="18" s="1"/>
  <c r="S11" i="11"/>
  <c r="P286" i="16"/>
  <c r="P285" i="16" s="1"/>
  <c r="P13" i="16" s="1"/>
  <c r="P254" i="16"/>
  <c r="R294" i="10"/>
  <c r="R298" i="10"/>
  <c r="R296" i="10"/>
  <c r="V24" i="19"/>
  <c r="V140" i="17"/>
  <c r="Q89" i="10"/>
  <c r="Q127" i="10" s="1"/>
  <c r="Q50" i="10"/>
  <c r="Q15" i="10"/>
  <c r="Y410" i="10"/>
  <c r="Z408" i="10"/>
  <c r="Z410" i="10" s="1"/>
  <c r="Z456" i="10"/>
  <c r="Z458" i="10" s="1"/>
  <c r="O458" i="10"/>
  <c r="V168" i="15"/>
  <c r="V177" i="15"/>
  <c r="Y178" i="15"/>
  <c r="Y547" i="10"/>
  <c r="Z545" i="10"/>
  <c r="Z547" i="10" s="1"/>
  <c r="Y278" i="16"/>
  <c r="Z289" i="16"/>
  <c r="Y66" i="10"/>
  <c r="P65" i="10"/>
  <c r="P104" i="10"/>
  <c r="P142" i="10" s="1"/>
  <c r="P18" i="10"/>
  <c r="P96" i="11" s="1"/>
  <c r="Z412" i="10"/>
  <c r="Y416" i="10"/>
  <c r="S86" i="17"/>
  <c r="S85" i="17" s="1"/>
  <c r="S37" i="17"/>
  <c r="S36" i="17" s="1"/>
  <c r="W273" i="18"/>
  <c r="W272" i="18" s="1"/>
  <c r="W157" i="11"/>
  <c r="V155" i="11"/>
  <c r="R28" i="10"/>
  <c r="R98" i="10"/>
  <c r="P149" i="18"/>
  <c r="P236" i="18"/>
  <c r="P233" i="18"/>
  <c r="Y46" i="18"/>
  <c r="Z46" i="18" s="1"/>
  <c r="Z48" i="18" s="1"/>
  <c r="AA220" i="9" s="1"/>
  <c r="AB220" i="9" s="1"/>
  <c r="P45" i="18"/>
  <c r="P87" i="18"/>
  <c r="P275" i="10"/>
  <c r="Y275" i="10" s="1"/>
  <c r="Y276" i="10"/>
  <c r="T137" i="18"/>
  <c r="T136" i="18" s="1"/>
  <c r="T210" i="18" s="1"/>
  <c r="T187" i="18"/>
  <c r="T102" i="18"/>
  <c r="T101" i="18" s="1"/>
  <c r="R26" i="10"/>
  <c r="R88" i="10"/>
  <c r="R126" i="10" s="1"/>
  <c r="R76" i="10"/>
  <c r="R78" i="10"/>
  <c r="R80" i="10"/>
  <c r="Q99" i="10"/>
  <c r="Q137" i="10" s="1"/>
  <c r="Q60" i="10"/>
  <c r="Q17" i="10"/>
  <c r="Q77" i="11" s="1"/>
  <c r="U104" i="10"/>
  <c r="U142" i="10" s="1"/>
  <c r="U18" i="10"/>
  <c r="U96" i="11" s="1"/>
  <c r="U65" i="10"/>
  <c r="X59" i="18"/>
  <c r="X58" i="18" s="1"/>
  <c r="X30" i="18" s="1"/>
  <c r="X159" i="18"/>
  <c r="V387" i="10"/>
  <c r="V386" i="10" s="1"/>
  <c r="V349" i="10"/>
  <c r="AD204" i="17"/>
  <c r="AD203" i="17" s="1"/>
  <c r="AD186" i="17" s="1"/>
  <c r="AD162" i="17" s="1"/>
  <c r="AC203" i="17"/>
  <c r="AC186" i="17" s="1"/>
  <c r="AC162" i="17" s="1"/>
  <c r="Q160" i="16"/>
  <c r="Q159" i="16" s="1"/>
  <c r="Q158" i="16" s="1"/>
  <c r="Q59" i="16"/>
  <c r="Q58" i="16" s="1"/>
  <c r="Q30" i="16" s="1"/>
  <c r="Q23" i="16" s="1"/>
  <c r="S16" i="10"/>
  <c r="S58" i="11" s="1"/>
  <c r="S55" i="10"/>
  <c r="S94" i="10"/>
  <c r="S132" i="10" s="1"/>
  <c r="W141" i="11"/>
  <c r="AE127" i="9"/>
  <c r="AE115" i="9"/>
  <c r="P318" i="10"/>
  <c r="Y318" i="10" s="1"/>
  <c r="Y319" i="10"/>
  <c r="Q87" i="15"/>
  <c r="Q86" i="15" s="1"/>
  <c r="Q85" i="15" s="1"/>
  <c r="Q36" i="15"/>
  <c r="Q35" i="15" s="1"/>
  <c r="Z474" i="10"/>
  <c r="Z476" i="10" s="1"/>
  <c r="Y476" i="10"/>
  <c r="S301" i="10"/>
  <c r="S300" i="10" s="1"/>
  <c r="S263" i="10"/>
  <c r="R536" i="10"/>
  <c r="R510" i="10" s="1"/>
  <c r="V30" i="10"/>
  <c r="V108" i="10"/>
  <c r="V146" i="10" s="1"/>
  <c r="X160" i="16"/>
  <c r="X159" i="16" s="1"/>
  <c r="X158" i="16" s="1"/>
  <c r="X59" i="16"/>
  <c r="X58" i="16" s="1"/>
  <c r="X30" i="16" s="1"/>
  <c r="X23" i="16" s="1"/>
  <c r="X258" i="10"/>
  <c r="X257" i="10" s="1"/>
  <c r="X220" i="10"/>
  <c r="Z168" i="16"/>
  <c r="Z172" i="16" s="1"/>
  <c r="Y172" i="16"/>
  <c r="AD145" i="11"/>
  <c r="Y95" i="15"/>
  <c r="V195" i="10"/>
  <c r="Y438" i="10"/>
  <c r="Z436" i="10"/>
  <c r="Z438" i="10" s="1"/>
  <c r="T54" i="15"/>
  <c r="T50" i="15" s="1"/>
  <c r="T49" i="15" s="1"/>
  <c r="X54" i="15"/>
  <c r="X50" i="15" s="1"/>
  <c r="X49" i="15" s="1"/>
  <c r="W54" i="15"/>
  <c r="W50" i="15" s="1"/>
  <c r="W49" i="15" s="1"/>
  <c r="W59" i="15" s="1"/>
  <c r="W103" i="15" s="1"/>
  <c r="V54" i="15"/>
  <c r="V50" i="15" s="1"/>
  <c r="V49" i="15" s="1"/>
  <c r="U54" i="15"/>
  <c r="U50" i="15" s="1"/>
  <c r="U49" i="15" s="1"/>
  <c r="S54" i="15"/>
  <c r="S50" i="15" s="1"/>
  <c r="S49" i="15" s="1"/>
  <c r="R54" i="15"/>
  <c r="R50" i="15" s="1"/>
  <c r="R49" i="15" s="1"/>
  <c r="R57" i="15" s="1"/>
  <c r="Q54" i="15"/>
  <c r="Q50" i="15" s="1"/>
  <c r="Q49" i="15" s="1"/>
  <c r="P54" i="15"/>
  <c r="P50" i="15" s="1"/>
  <c r="AC179" i="10"/>
  <c r="AD59" i="9"/>
  <c r="W298" i="10"/>
  <c r="W296" i="10"/>
  <c r="W294" i="10"/>
  <c r="V86" i="17"/>
  <c r="V85" i="17" s="1"/>
  <c r="V37" i="17"/>
  <c r="V36" i="17" s="1"/>
  <c r="V15" i="10"/>
  <c r="V89" i="10"/>
  <c r="V127" i="10" s="1"/>
  <c r="V50" i="10"/>
  <c r="Y449" i="10"/>
  <c r="Y184" i="10"/>
  <c r="P183" i="10"/>
  <c r="Y183" i="10" s="1"/>
  <c r="X109" i="18"/>
  <c r="X108" i="18" s="1"/>
  <c r="X37" i="18" s="1"/>
  <c r="X192" i="18"/>
  <c r="S460" i="10"/>
  <c r="S434" i="10" s="1"/>
  <c r="Y53" i="19"/>
  <c r="P52" i="19"/>
  <c r="P34" i="19"/>
  <c r="P33" i="19" s="1"/>
  <c r="P187" i="17" s="1"/>
  <c r="P186" i="17" s="1"/>
  <c r="P162" i="17" s="1"/>
  <c r="P159" i="17" s="1"/>
  <c r="P10" i="17" s="1"/>
  <c r="W35" i="19"/>
  <c r="W141" i="17"/>
  <c r="V16" i="10"/>
  <c r="V58" i="11" s="1"/>
  <c r="V55" i="10"/>
  <c r="V94" i="10"/>
  <c r="V132" i="10" s="1"/>
  <c r="V170" i="15"/>
  <c r="Y180" i="15"/>
  <c r="R70" i="11"/>
  <c r="R69" i="11" s="1"/>
  <c r="R67" i="11"/>
  <c r="R66" i="11" s="1"/>
  <c r="R57" i="11"/>
  <c r="R56" i="11" s="1"/>
  <c r="R55" i="11" s="1"/>
  <c r="Z118" i="11"/>
  <c r="Z122" i="11" s="1"/>
  <c r="Y122" i="11"/>
  <c r="Y421" i="10"/>
  <c r="Z417" i="10"/>
  <c r="V165" i="16"/>
  <c r="V66" i="16"/>
  <c r="V65" i="16" s="1"/>
  <c r="V31" i="16" s="1"/>
  <c r="V24" i="16" s="1"/>
  <c r="AA92" i="15"/>
  <c r="AA490" i="10"/>
  <c r="S154" i="18"/>
  <c r="S153" i="18" s="1"/>
  <c r="S152" i="18" s="1"/>
  <c r="S52" i="18"/>
  <c r="S51" i="18" s="1"/>
  <c r="S29" i="18" s="1"/>
  <c r="Y405" i="10"/>
  <c r="Z403" i="10"/>
  <c r="Z405" i="10" s="1"/>
  <c r="S87" i="15"/>
  <c r="S86" i="15" s="1"/>
  <c r="S85" i="15" s="1"/>
  <c r="S36" i="15"/>
  <c r="S35" i="15" s="1"/>
  <c r="V17" i="10"/>
  <c r="V77" i="11" s="1"/>
  <c r="V99" i="10"/>
  <c r="V137" i="10" s="1"/>
  <c r="V60" i="10"/>
  <c r="V19" i="7"/>
  <c r="U20" i="7"/>
  <c r="V20" i="7" s="1"/>
  <c r="AD269" i="16"/>
  <c r="AD268" i="16" s="1"/>
  <c r="AC268" i="16"/>
  <c r="AD233" i="16"/>
  <c r="AD230" i="16"/>
  <c r="AA123" i="15"/>
  <c r="AA119" i="15"/>
  <c r="AA114" i="15" s="1"/>
  <c r="Y56" i="19"/>
  <c r="P37" i="19"/>
  <c r="P36" i="19" s="1"/>
  <c r="P55" i="19"/>
  <c r="P54" i="19" s="1"/>
  <c r="V35" i="19"/>
  <c r="V141" i="17"/>
  <c r="V169" i="15"/>
  <c r="Y179" i="15"/>
  <c r="V171" i="15"/>
  <c r="Y181" i="15"/>
  <c r="S239" i="16"/>
  <c r="S240" i="16" s="1"/>
  <c r="S245" i="16"/>
  <c r="S246" i="16" s="1"/>
  <c r="S150" i="16"/>
  <c r="S149" i="16" s="1"/>
  <c r="S148" i="16" s="1"/>
  <c r="S242" i="16"/>
  <c r="S243" i="16" s="1"/>
  <c r="S45" i="16"/>
  <c r="S44" i="16" s="1"/>
  <c r="S87" i="16"/>
  <c r="S86" i="16" s="1"/>
  <c r="S178" i="16" s="1"/>
  <c r="AB254" i="16"/>
  <c r="X349" i="10"/>
  <c r="X387" i="10"/>
  <c r="X386" i="10" s="1"/>
  <c r="U460" i="10"/>
  <c r="U434" i="10" s="1"/>
  <c r="T258" i="10"/>
  <c r="T257" i="10" s="1"/>
  <c r="T220" i="10"/>
  <c r="Q165" i="16"/>
  <c r="Q66" i="16"/>
  <c r="Q65" i="16" s="1"/>
  <c r="Q31" i="16" s="1"/>
  <c r="Q24" i="16" s="1"/>
  <c r="Q94" i="10"/>
  <c r="Q132" i="10" s="1"/>
  <c r="Q16" i="10"/>
  <c r="Q58" i="11" s="1"/>
  <c r="Q55" i="10"/>
  <c r="X460" i="10"/>
  <c r="X434" i="10" s="1"/>
  <c r="Y431" i="10"/>
  <c r="Z429" i="10"/>
  <c r="Z431" i="10" s="1"/>
  <c r="Z413" i="10"/>
  <c r="Z415" i="10" s="1"/>
  <c r="Y415" i="10"/>
  <c r="W282" i="18"/>
  <c r="W281" i="18" s="1"/>
  <c r="W13" i="18" s="1"/>
  <c r="W249" i="18"/>
  <c r="W248" i="18" s="1"/>
  <c r="W218" i="18" s="1"/>
  <c r="W215" i="18" s="1"/>
  <c r="W10" i="18" s="1"/>
  <c r="V36" i="15"/>
  <c r="V35" i="15" s="1"/>
  <c r="V87" i="15"/>
  <c r="V86" i="15" s="1"/>
  <c r="V85" i="15" s="1"/>
  <c r="S286" i="16"/>
  <c r="S285" i="16" s="1"/>
  <c r="S13" i="16" s="1"/>
  <c r="S254" i="16"/>
  <c r="S253" i="16" s="1"/>
  <c r="S226" i="16" s="1"/>
  <c r="S223" i="16" s="1"/>
  <c r="S10" i="16" s="1"/>
  <c r="T286" i="16"/>
  <c r="T285" i="16" s="1"/>
  <c r="T13" i="16" s="1"/>
  <c r="T254" i="16"/>
  <c r="T253" i="16" s="1"/>
  <c r="T226" i="16" s="1"/>
  <c r="T223" i="16" s="1"/>
  <c r="T10" i="16" s="1"/>
  <c r="X126" i="11"/>
  <c r="X123" i="11"/>
  <c r="X111" i="11" s="1"/>
  <c r="AA286" i="16"/>
  <c r="AA285" i="16" s="1"/>
  <c r="AA13" i="16" s="1"/>
  <c r="R74" i="5" s="1"/>
  <c r="AA254" i="16"/>
  <c r="Z512" i="10"/>
  <c r="Z514" i="10" s="1"/>
  <c r="Y514" i="10"/>
  <c r="Y313" i="10"/>
  <c r="Z313" i="10" s="1"/>
  <c r="Z315" i="10" s="1"/>
  <c r="AA191" i="9" s="1"/>
  <c r="AB191" i="9" s="1"/>
  <c r="P312" i="10"/>
  <c r="Y312" i="10" s="1"/>
  <c r="V126" i="11"/>
  <c r="V123" i="11"/>
  <c r="U286" i="16"/>
  <c r="U285" i="16" s="1"/>
  <c r="U13" i="16" s="1"/>
  <c r="U254" i="16"/>
  <c r="U253" i="16" s="1"/>
  <c r="U226" i="16" s="1"/>
  <c r="U223" i="16" s="1"/>
  <c r="U10" i="16" s="1"/>
  <c r="T159" i="18"/>
  <c r="T59" i="18"/>
  <c r="T58" i="18" s="1"/>
  <c r="T30" i="18" s="1"/>
  <c r="U215" i="10"/>
  <c r="U214" i="10" s="1"/>
  <c r="U177" i="10"/>
  <c r="Y478" i="10"/>
  <c r="T154" i="18"/>
  <c r="T153" i="18" s="1"/>
  <c r="T152" i="18" s="1"/>
  <c r="T52" i="18"/>
  <c r="T51" i="18" s="1"/>
  <c r="T29" i="18" s="1"/>
  <c r="W148" i="18"/>
  <c r="W147" i="18"/>
  <c r="U17" i="10"/>
  <c r="U77" i="11" s="1"/>
  <c r="U99" i="10"/>
  <c r="U137" i="10" s="1"/>
  <c r="U60" i="10"/>
  <c r="AC254" i="16"/>
  <c r="Y195" i="16"/>
  <c r="P194" i="16"/>
  <c r="Y194" i="16" s="1"/>
  <c r="P86" i="17"/>
  <c r="Y38" i="17"/>
  <c r="Z38" i="17" s="1"/>
  <c r="P37" i="17"/>
  <c r="Y239" i="10"/>
  <c r="Z239" i="10" s="1"/>
  <c r="Z241" i="10" s="1"/>
  <c r="AA181" i="9" s="1"/>
  <c r="AB181" i="9" s="1"/>
  <c r="T160" i="16"/>
  <c r="T159" i="16" s="1"/>
  <c r="T158" i="16" s="1"/>
  <c r="T59" i="16"/>
  <c r="T58" i="16" s="1"/>
  <c r="T30" i="16" s="1"/>
  <c r="T23" i="16" s="1"/>
  <c r="T387" i="10"/>
  <c r="T386" i="10" s="1"/>
  <c r="T349" i="10"/>
  <c r="S422" i="10"/>
  <c r="S396" i="10" s="1"/>
  <c r="U82" i="17"/>
  <c r="U81" i="17" s="1"/>
  <c r="U32" i="17"/>
  <c r="U31" i="17" s="1"/>
  <c r="W70" i="11"/>
  <c r="W69" i="11" s="1"/>
  <c r="W67" i="11"/>
  <c r="W66" i="11" s="1"/>
  <c r="W57" i="11"/>
  <c r="W56" i="11" s="1"/>
  <c r="W55" i="11" s="1"/>
  <c r="Y98" i="15"/>
  <c r="Z96" i="15"/>
  <c r="Z98" i="15" s="1"/>
  <c r="R36" i="18"/>
  <c r="R130" i="18"/>
  <c r="R132" i="18"/>
  <c r="R208" i="18" s="1"/>
  <c r="R134" i="18"/>
  <c r="Y483" i="10"/>
  <c r="P160" i="16"/>
  <c r="Y60" i="16"/>
  <c r="Z60" i="16" s="1"/>
  <c r="Z62" i="16" s="1"/>
  <c r="AA204" i="9" s="1"/>
  <c r="AB204" i="9" s="1"/>
  <c r="P59" i="16"/>
  <c r="P258" i="10"/>
  <c r="P220" i="10"/>
  <c r="Y221" i="10"/>
  <c r="Z221" i="10" s="1"/>
  <c r="Z223" i="10" s="1"/>
  <c r="AA178" i="9" s="1"/>
  <c r="AB178" i="9" s="1"/>
  <c r="P87" i="15"/>
  <c r="Y37" i="15"/>
  <c r="Z37" i="15" s="1"/>
  <c r="Z39" i="15" s="1"/>
  <c r="AA216" i="9" s="1"/>
  <c r="AB216" i="9" s="1"/>
  <c r="P36" i="15"/>
  <c r="W53" i="17"/>
  <c r="W47" i="17"/>
  <c r="W51" i="17"/>
  <c r="W97" i="17" s="1"/>
  <c r="W49" i="17"/>
  <c r="W95" i="17" s="1"/>
  <c r="Q192" i="18"/>
  <c r="Q109" i="18"/>
  <c r="Q108" i="18" s="1"/>
  <c r="Q37" i="18" s="1"/>
  <c r="T460" i="10"/>
  <c r="T434" i="10" s="1"/>
  <c r="AC47" i="18"/>
  <c r="AD107" i="9"/>
  <c r="AC24" i="15"/>
  <c r="AD101" i="9"/>
  <c r="W130" i="18"/>
  <c r="W36" i="18"/>
  <c r="W22" i="18" s="1"/>
  <c r="W132" i="18"/>
  <c r="W208" i="18" s="1"/>
  <c r="W134" i="18"/>
  <c r="X154" i="18"/>
  <c r="X153" i="18" s="1"/>
  <c r="X152" i="18" s="1"/>
  <c r="X52" i="18"/>
  <c r="X51" i="18" s="1"/>
  <c r="X29" i="18" s="1"/>
  <c r="AB112" i="17"/>
  <c r="AA111" i="17"/>
  <c r="T378" i="10"/>
  <c r="T377" i="10" s="1"/>
  <c r="T373" i="10" s="1"/>
  <c r="S378" i="10"/>
  <c r="S377" i="10" s="1"/>
  <c r="S373" i="10" s="1"/>
  <c r="R378" i="10"/>
  <c r="R377" i="10" s="1"/>
  <c r="R373" i="10" s="1"/>
  <c r="R380" i="10" s="1"/>
  <c r="Q378" i="10"/>
  <c r="Q377" i="10" s="1"/>
  <c r="Q373" i="10" s="1"/>
  <c r="X378" i="10"/>
  <c r="X377" i="10" s="1"/>
  <c r="X373" i="10" s="1"/>
  <c r="P378" i="10"/>
  <c r="W378" i="10"/>
  <c r="W377" i="10" s="1"/>
  <c r="W373" i="10" s="1"/>
  <c r="W382" i="10" s="1"/>
  <c r="V378" i="10"/>
  <c r="V377" i="10" s="1"/>
  <c r="V373" i="10" s="1"/>
  <c r="U378" i="10"/>
  <c r="U377" i="10" s="1"/>
  <c r="U373" i="10" s="1"/>
  <c r="Y49" i="19"/>
  <c r="P30" i="19"/>
  <c r="Y50" i="19"/>
  <c r="P31" i="19"/>
  <c r="I115" i="11"/>
  <c r="AA120" i="11"/>
  <c r="AC120" i="11"/>
  <c r="AD120" i="11"/>
  <c r="AB120" i="11"/>
  <c r="T239" i="16"/>
  <c r="T240" i="16" s="1"/>
  <c r="T242" i="16"/>
  <c r="T243" i="16" s="1"/>
  <c r="T245" i="16"/>
  <c r="T246" i="16" s="1"/>
  <c r="T150" i="16"/>
  <c r="T149" i="16" s="1"/>
  <c r="T148" i="16" s="1"/>
  <c r="T87" i="16"/>
  <c r="T86" i="16" s="1"/>
  <c r="T178" i="16" s="1"/>
  <c r="T45" i="16"/>
  <c r="T44" i="16" s="1"/>
  <c r="Q195" i="10"/>
  <c r="W28" i="10"/>
  <c r="W98" i="10"/>
  <c r="W136" i="10" s="1"/>
  <c r="R23" i="18"/>
  <c r="Q286" i="18"/>
  <c r="Q250" i="18" s="1"/>
  <c r="Q278" i="18"/>
  <c r="Q277" i="18" s="1"/>
  <c r="P242" i="16"/>
  <c r="P245" i="16"/>
  <c r="P239" i="16"/>
  <c r="P87" i="16"/>
  <c r="P150" i="16"/>
  <c r="Y46" i="16"/>
  <c r="Z46" i="16" s="1"/>
  <c r="Z48" i="16" s="1"/>
  <c r="AA202" i="9" s="1"/>
  <c r="AB202" i="9" s="1"/>
  <c r="P45" i="16"/>
  <c r="U154" i="11"/>
  <c r="T152" i="11"/>
  <c r="W28" i="18"/>
  <c r="W80" i="18"/>
  <c r="W82" i="18"/>
  <c r="W175" i="18" s="1"/>
  <c r="W84" i="18"/>
  <c r="T238" i="10"/>
  <c r="W107" i="11"/>
  <c r="W105" i="11"/>
  <c r="W104" i="11" s="1"/>
  <c r="W95" i="11"/>
  <c r="W94" i="11" s="1"/>
  <c r="W93" i="11" s="1"/>
  <c r="Q242" i="16"/>
  <c r="Q243" i="16" s="1"/>
  <c r="Q245" i="16"/>
  <c r="Q246" i="16" s="1"/>
  <c r="Q239" i="16"/>
  <c r="Q240" i="16" s="1"/>
  <c r="Q150" i="16"/>
  <c r="Q149" i="16" s="1"/>
  <c r="Q148" i="16" s="1"/>
  <c r="Q45" i="16"/>
  <c r="Q44" i="16" s="1"/>
  <c r="Q87" i="16"/>
  <c r="Q86" i="16" s="1"/>
  <c r="Q178" i="16" s="1"/>
  <c r="AC138" i="10"/>
  <c r="AC62" i="10"/>
  <c r="AC100" i="10"/>
  <c r="O61" i="5"/>
  <c r="O8" i="1"/>
  <c r="W35" i="16"/>
  <c r="P154" i="18"/>
  <c r="Y53" i="18"/>
  <c r="Z53" i="18" s="1"/>
  <c r="Z55" i="18" s="1"/>
  <c r="AA221" i="9" s="1"/>
  <c r="AB221" i="9" s="1"/>
  <c r="P52" i="18"/>
  <c r="X187" i="18"/>
  <c r="X137" i="18"/>
  <c r="X136" i="18" s="1"/>
  <c r="X210" i="18" s="1"/>
  <c r="X102" i="18"/>
  <c r="X101" i="18" s="1"/>
  <c r="O126" i="17"/>
  <c r="R76" i="11"/>
  <c r="R75" i="11" s="1"/>
  <c r="R74" i="11" s="1"/>
  <c r="R86" i="11"/>
  <c r="Y110" i="16"/>
  <c r="Z110" i="16" s="1"/>
  <c r="Z112" i="16" s="1"/>
  <c r="AA210" i="9" s="1"/>
  <c r="AB210" i="9" s="1"/>
  <c r="P109" i="16"/>
  <c r="AB83" i="11"/>
  <c r="AD442" i="9"/>
  <c r="Q155" i="16"/>
  <c r="Q154" i="16" s="1"/>
  <c r="Q153" i="16" s="1"/>
  <c r="Q52" i="16"/>
  <c r="Q51" i="16" s="1"/>
  <c r="Q29" i="16" s="1"/>
  <c r="Q22" i="16" s="1"/>
  <c r="U187" i="18"/>
  <c r="U102" i="18"/>
  <c r="U101" i="18" s="1"/>
  <c r="U137" i="18"/>
  <c r="U136" i="18" s="1"/>
  <c r="U210" i="18" s="1"/>
  <c r="Y507" i="10"/>
  <c r="Z505" i="10"/>
  <c r="Z507" i="10" s="1"/>
  <c r="S17" i="10"/>
  <c r="S77" i="11" s="1"/>
  <c r="S99" i="10"/>
  <c r="S137" i="10" s="1"/>
  <c r="S60" i="10"/>
  <c r="Y200" i="16"/>
  <c r="P199" i="16"/>
  <c r="Y199" i="16" s="1"/>
  <c r="Z199" i="16" s="1"/>
  <c r="V344" i="10"/>
  <c r="V343" i="10" s="1"/>
  <c r="V306" i="10"/>
  <c r="V112" i="11"/>
  <c r="O14" i="18"/>
  <c r="O15" i="18" s="1"/>
  <c r="O12" i="18"/>
  <c r="S52" i="16"/>
  <c r="S51" i="16" s="1"/>
  <c r="S29" i="16" s="1"/>
  <c r="S22" i="16" s="1"/>
  <c r="S155" i="16"/>
  <c r="S154" i="16" s="1"/>
  <c r="S153" i="16" s="1"/>
  <c r="X134" i="15"/>
  <c r="X135" i="15" s="1"/>
  <c r="X131" i="15"/>
  <c r="X132" i="15" s="1"/>
  <c r="X22" i="15"/>
  <c r="X21" i="15" s="1"/>
  <c r="X77" i="15"/>
  <c r="X76" i="15" s="1"/>
  <c r="X75" i="15" s="1"/>
  <c r="X64" i="15"/>
  <c r="X63" i="15" s="1"/>
  <c r="X105" i="15" s="1"/>
  <c r="X137" i="15"/>
  <c r="X138" i="15" s="1"/>
  <c r="X324" i="10"/>
  <c r="Z479" i="10"/>
  <c r="Z481" i="10" s="1"/>
  <c r="Y481" i="10"/>
  <c r="R107" i="11"/>
  <c r="R105" i="11"/>
  <c r="R104" i="11" s="1"/>
  <c r="R95" i="11"/>
  <c r="R94" i="11" s="1"/>
  <c r="R93" i="11" s="1"/>
  <c r="AD228" i="18"/>
  <c r="AD227" i="18" s="1"/>
  <c r="AC227" i="18"/>
  <c r="AC221" i="18" s="1"/>
  <c r="AC216" i="18" s="1"/>
  <c r="T446" i="9"/>
  <c r="R49" i="11" s="1"/>
  <c r="S446" i="9"/>
  <c r="Q49" i="11" s="1"/>
  <c r="R446" i="9"/>
  <c r="P49" i="11" s="1"/>
  <c r="AA11" i="11"/>
  <c r="S15" i="10"/>
  <c r="S89" i="10"/>
  <c r="S127" i="10" s="1"/>
  <c r="S50" i="10"/>
  <c r="W30" i="10"/>
  <c r="W108" i="10"/>
  <c r="W146" i="10" s="1"/>
  <c r="X137" i="16"/>
  <c r="X136" i="16" s="1"/>
  <c r="X214" i="16" s="1"/>
  <c r="X95" i="16"/>
  <c r="X94" i="16" s="1"/>
  <c r="X177" i="10"/>
  <c r="X215" i="10"/>
  <c r="X214" i="10" s="1"/>
  <c r="Y185" i="16"/>
  <c r="P184" i="16"/>
  <c r="Y524" i="10"/>
  <c r="Z522" i="10"/>
  <c r="Z524" i="10" s="1"/>
  <c r="Z494" i="10"/>
  <c r="Z496" i="10" s="1"/>
  <c r="Y496" i="10"/>
  <c r="S149" i="18"/>
  <c r="S236" i="18"/>
  <c r="S237" i="18" s="1"/>
  <c r="S233" i="18"/>
  <c r="S234" i="18" s="1"/>
  <c r="S87" i="18"/>
  <c r="S86" i="18" s="1"/>
  <c r="S177" i="18" s="1"/>
  <c r="S45" i="18"/>
  <c r="S44" i="18" s="1"/>
  <c r="S82" i="17"/>
  <c r="S81" i="17" s="1"/>
  <c r="S32" i="17"/>
  <c r="S31" i="17" s="1"/>
  <c r="V104" i="10"/>
  <c r="V142" i="10" s="1"/>
  <c r="V18" i="10"/>
  <c r="V96" i="11" s="1"/>
  <c r="V65" i="10"/>
  <c r="R186" i="18"/>
  <c r="R185" i="18"/>
  <c r="Z484" i="10"/>
  <c r="Z486" i="10" s="1"/>
  <c r="Y486" i="10"/>
  <c r="P199" i="10"/>
  <c r="R254" i="16"/>
  <c r="R253" i="16" s="1"/>
  <c r="R226" i="16" s="1"/>
  <c r="R223" i="16" s="1"/>
  <c r="R10" i="16" s="1"/>
  <c r="R286" i="16"/>
  <c r="R285" i="16" s="1"/>
  <c r="R13" i="16" s="1"/>
  <c r="AC143" i="15"/>
  <c r="AC116" i="15" s="1"/>
  <c r="AC47" i="16"/>
  <c r="AD89" i="9"/>
  <c r="AC351" i="10"/>
  <c r="AD83" i="9"/>
  <c r="V154" i="18"/>
  <c r="V153" i="18" s="1"/>
  <c r="V152" i="18" s="1"/>
  <c r="V52" i="18"/>
  <c r="V51" i="18" s="1"/>
  <c r="V29" i="18" s="1"/>
  <c r="R24" i="19"/>
  <c r="R140" i="17"/>
  <c r="Y285" i="18"/>
  <c r="P276" i="18"/>
  <c r="P155" i="16"/>
  <c r="Y53" i="16"/>
  <c r="Z53" i="16" s="1"/>
  <c r="Z55" i="16" s="1"/>
  <c r="AA203" i="9" s="1"/>
  <c r="AB203" i="9" s="1"/>
  <c r="P52" i="16"/>
  <c r="P94" i="10"/>
  <c r="Y56" i="10"/>
  <c r="P16" i="10"/>
  <c r="P58" i="11" s="1"/>
  <c r="P55" i="10"/>
  <c r="R148" i="18"/>
  <c r="R147" i="18"/>
  <c r="X195" i="10"/>
  <c r="P371" i="10"/>
  <c r="Y48" i="19"/>
  <c r="P29" i="19"/>
  <c r="R158" i="18"/>
  <c r="R157" i="18"/>
  <c r="V82" i="17"/>
  <c r="V81" i="17" s="1"/>
  <c r="V32" i="17"/>
  <c r="V31" i="17" s="1"/>
  <c r="Q275" i="18"/>
  <c r="Q274" i="18" s="1"/>
  <c r="Q283" i="18"/>
  <c r="V254" i="16"/>
  <c r="V253" i="16" s="1"/>
  <c r="V226" i="16" s="1"/>
  <c r="V223" i="16" s="1"/>
  <c r="V10" i="16" s="1"/>
  <c r="V286" i="16"/>
  <c r="V285" i="16" s="1"/>
  <c r="V13" i="16" s="1"/>
  <c r="Y114" i="11"/>
  <c r="P113" i="11"/>
  <c r="S137" i="16"/>
  <c r="S136" i="16" s="1"/>
  <c r="S214" i="16" s="1"/>
  <c r="S95" i="16"/>
  <c r="S94" i="16" s="1"/>
  <c r="V220" i="10"/>
  <c r="V258" i="10"/>
  <c r="V257" i="10" s="1"/>
  <c r="X86" i="17"/>
  <c r="X85" i="17" s="1"/>
  <c r="X37" i="17"/>
  <c r="X36" i="17" s="1"/>
  <c r="V182" i="15"/>
  <c r="V145" i="15" s="1"/>
  <c r="V173" i="15"/>
  <c r="V172" i="15" s="1"/>
  <c r="Y183" i="15"/>
  <c r="AD143" i="10"/>
  <c r="AD105" i="10"/>
  <c r="AD67" i="10"/>
  <c r="P192" i="18"/>
  <c r="P109" i="18"/>
  <c r="Y110" i="18"/>
  <c r="Q134" i="15"/>
  <c r="Q135" i="15" s="1"/>
  <c r="Q131" i="15"/>
  <c r="Q132" i="15" s="1"/>
  <c r="Q137" i="15"/>
  <c r="Q138" i="15" s="1"/>
  <c r="Q77" i="15"/>
  <c r="Q76" i="15" s="1"/>
  <c r="Q75" i="15" s="1"/>
  <c r="Q64" i="15"/>
  <c r="Q63" i="15" s="1"/>
  <c r="Q105" i="15" s="1"/>
  <c r="Q22" i="15"/>
  <c r="Q21" i="15" s="1"/>
  <c r="O9" i="16"/>
  <c r="O11" i="16"/>
  <c r="Z459" i="10"/>
  <c r="U192" i="18"/>
  <c r="U109" i="18"/>
  <c r="U108" i="18" s="1"/>
  <c r="U37" i="18" s="1"/>
  <c r="U15" i="10"/>
  <c r="U89" i="10"/>
  <c r="U127" i="10" s="1"/>
  <c r="U50" i="10"/>
  <c r="W24" i="19"/>
  <c r="W140" i="17"/>
  <c r="W139" i="17" s="1"/>
  <c r="W68" i="17" s="1"/>
  <c r="S82" i="15"/>
  <c r="S81" i="15" s="1"/>
  <c r="S80" i="15" s="1"/>
  <c r="S29" i="15"/>
  <c r="S28" i="15" s="1"/>
  <c r="AB104" i="17"/>
  <c r="AA102" i="17"/>
  <c r="AA101" i="17" s="1"/>
  <c r="AA66" i="17" s="1"/>
  <c r="Z526" i="10"/>
  <c r="Z529" i="10" s="1"/>
  <c r="Q37" i="19"/>
  <c r="Q36" i="19" s="1"/>
  <c r="Q55" i="19"/>
  <c r="Q54" i="19" s="1"/>
  <c r="S9" i="2"/>
  <c r="R15" i="3"/>
  <c r="T215" i="10"/>
  <c r="T214" i="10" s="1"/>
  <c r="T177" i="10"/>
  <c r="Q159" i="18"/>
  <c r="Q59" i="18"/>
  <c r="Q58" i="18" s="1"/>
  <c r="Q30" i="18" s="1"/>
  <c r="Q23" i="18" s="1"/>
  <c r="P215" i="16"/>
  <c r="Y215" i="16" s="1"/>
  <c r="Z215" i="16" s="1"/>
  <c r="Y216" i="16"/>
  <c r="Z216" i="16" s="1"/>
  <c r="U536" i="10"/>
  <c r="U510" i="10" s="1"/>
  <c r="V239" i="16"/>
  <c r="V240" i="16" s="1"/>
  <c r="V242" i="16"/>
  <c r="V243" i="16" s="1"/>
  <c r="V245" i="16"/>
  <c r="V246" i="16" s="1"/>
  <c r="V150" i="16"/>
  <c r="V149" i="16" s="1"/>
  <c r="V148" i="16" s="1"/>
  <c r="V87" i="16"/>
  <c r="V86" i="16" s="1"/>
  <c r="V178" i="16" s="1"/>
  <c r="V45" i="16"/>
  <c r="V44" i="16" s="1"/>
  <c r="Y91" i="15"/>
  <c r="P90" i="15"/>
  <c r="Y90" i="15" s="1"/>
  <c r="U127" i="16"/>
  <c r="U123" i="16" s="1"/>
  <c r="U122" i="16" s="1"/>
  <c r="U39" i="16" s="1"/>
  <c r="T127" i="16"/>
  <c r="T123" i="16" s="1"/>
  <c r="T122" i="16" s="1"/>
  <c r="T39" i="16" s="1"/>
  <c r="S127" i="16"/>
  <c r="S123" i="16" s="1"/>
  <c r="S122" i="16" s="1"/>
  <c r="S39" i="16" s="1"/>
  <c r="R127" i="16"/>
  <c r="R123" i="16" s="1"/>
  <c r="R122" i="16" s="1"/>
  <c r="R39" i="16" s="1"/>
  <c r="Q127" i="16"/>
  <c r="Q123" i="16" s="1"/>
  <c r="Q122" i="16" s="1"/>
  <c r="Q39" i="16" s="1"/>
  <c r="X127" i="16"/>
  <c r="X123" i="16" s="1"/>
  <c r="X122" i="16" s="1"/>
  <c r="X39" i="16" s="1"/>
  <c r="P127" i="16"/>
  <c r="P123" i="16" s="1"/>
  <c r="W127" i="16"/>
  <c r="W123" i="16" s="1"/>
  <c r="W122" i="16" s="1"/>
  <c r="W39" i="16" s="1"/>
  <c r="V127" i="16"/>
  <c r="V123" i="16" s="1"/>
  <c r="V122" i="16" s="1"/>
  <c r="V39" i="16" s="1"/>
  <c r="R80" i="16"/>
  <c r="R28" i="16"/>
  <c r="W48" i="11"/>
  <c r="W39" i="11"/>
  <c r="W38" i="11" s="1"/>
  <c r="W37" i="11" s="1"/>
  <c r="W36" i="11" s="1"/>
  <c r="W14" i="10"/>
  <c r="AC168" i="17"/>
  <c r="AB166" i="17"/>
  <c r="U498" i="10"/>
  <c r="U472" i="10" s="1"/>
  <c r="P179" i="17"/>
  <c r="P78" i="17"/>
  <c r="P27" i="17"/>
  <c r="P56" i="17"/>
  <c r="Y28" i="17"/>
  <c r="Z28" i="17" s="1"/>
  <c r="T17" i="10"/>
  <c r="T77" i="11" s="1"/>
  <c r="T99" i="10"/>
  <c r="T137" i="10" s="1"/>
  <c r="T60" i="10"/>
  <c r="S335" i="10"/>
  <c r="S334" i="10" s="1"/>
  <c r="S330" i="10" s="1"/>
  <c r="R335" i="10"/>
  <c r="R334" i="10" s="1"/>
  <c r="R330" i="10" s="1"/>
  <c r="R339" i="10" s="1"/>
  <c r="Q335" i="10"/>
  <c r="Q334" i="10" s="1"/>
  <c r="Q330" i="10" s="1"/>
  <c r="W335" i="10"/>
  <c r="W334" i="10" s="1"/>
  <c r="W330" i="10" s="1"/>
  <c r="W337" i="10" s="1"/>
  <c r="V335" i="10"/>
  <c r="V334" i="10" s="1"/>
  <c r="V330" i="10" s="1"/>
  <c r="U335" i="10"/>
  <c r="U334" i="10" s="1"/>
  <c r="U330" i="10" s="1"/>
  <c r="T335" i="10"/>
  <c r="T334" i="10" s="1"/>
  <c r="T330" i="10" s="1"/>
  <c r="X335" i="10"/>
  <c r="X334" i="10" s="1"/>
  <c r="X330" i="10" s="1"/>
  <c r="P335" i="10"/>
  <c r="V137" i="15"/>
  <c r="V138" i="15" s="1"/>
  <c r="V77" i="15"/>
  <c r="V76" i="15" s="1"/>
  <c r="V75" i="15" s="1"/>
  <c r="V64" i="15"/>
  <c r="V63" i="15" s="1"/>
  <c r="V105" i="15" s="1"/>
  <c r="V22" i="15"/>
  <c r="V21" i="15" s="1"/>
  <c r="V134" i="15"/>
  <c r="V135" i="15" s="1"/>
  <c r="V131" i="15"/>
  <c r="V132" i="15" s="1"/>
  <c r="AD10" i="11"/>
  <c r="T197" i="18"/>
  <c r="T116" i="18"/>
  <c r="T115" i="18" s="1"/>
  <c r="T38" i="18" s="1"/>
  <c r="T24" i="18" s="1"/>
  <c r="U86" i="17"/>
  <c r="U85" i="17" s="1"/>
  <c r="U37" i="17"/>
  <c r="U36" i="17" s="1"/>
  <c r="U16" i="10"/>
  <c r="U58" i="11" s="1"/>
  <c r="U55" i="10"/>
  <c r="U94" i="10"/>
  <c r="U132" i="10" s="1"/>
  <c r="AC179" i="11"/>
  <c r="AB167" i="11"/>
  <c r="Y70" i="10"/>
  <c r="P30" i="10"/>
  <c r="P108" i="10"/>
  <c r="P146" i="10" s="1"/>
  <c r="Q30" i="10"/>
  <c r="Q108" i="10"/>
  <c r="Q146" i="10" s="1"/>
  <c r="P82" i="15"/>
  <c r="Y30" i="15"/>
  <c r="Z30" i="15" s="1"/>
  <c r="Z32" i="15" s="1"/>
  <c r="AA215" i="9" s="1"/>
  <c r="AB215" i="9" s="1"/>
  <c r="P29" i="15"/>
  <c r="Y368" i="10"/>
  <c r="Z368" i="10" s="1"/>
  <c r="Z370" i="10" s="1"/>
  <c r="AA199" i="9" s="1"/>
  <c r="AB199" i="9" s="1"/>
  <c r="P367" i="10"/>
  <c r="Y367" i="10" s="1"/>
  <c r="Q14" i="3"/>
  <c r="R17" i="2"/>
  <c r="T137" i="16"/>
  <c r="T136" i="16" s="1"/>
  <c r="T214" i="16" s="1"/>
  <c r="T95" i="16"/>
  <c r="T94" i="16" s="1"/>
  <c r="T306" i="10"/>
  <c r="T344" i="10"/>
  <c r="T343" i="10" s="1"/>
  <c r="Y493" i="10"/>
  <c r="R49" i="17"/>
  <c r="R95" i="17" s="1"/>
  <c r="R47" i="17"/>
  <c r="R53" i="17"/>
  <c r="R51" i="17"/>
  <c r="R97" i="17" s="1"/>
  <c r="W206" i="10"/>
  <c r="W205" i="10" s="1"/>
  <c r="W201" i="10" s="1"/>
  <c r="W212" i="10" s="1"/>
  <c r="V206" i="10"/>
  <c r="V205" i="10" s="1"/>
  <c r="V201" i="10" s="1"/>
  <c r="U206" i="10"/>
  <c r="U205" i="10" s="1"/>
  <c r="U201" i="10" s="1"/>
  <c r="S206" i="10"/>
  <c r="S205" i="10" s="1"/>
  <c r="S201" i="10" s="1"/>
  <c r="R206" i="10"/>
  <c r="R205" i="10" s="1"/>
  <c r="R201" i="10" s="1"/>
  <c r="R210" i="10" s="1"/>
  <c r="X206" i="10"/>
  <c r="X205" i="10" s="1"/>
  <c r="X201" i="10" s="1"/>
  <c r="P206" i="10"/>
  <c r="Q206" i="10"/>
  <c r="Q205" i="10" s="1"/>
  <c r="Q201" i="10" s="1"/>
  <c r="T206" i="10"/>
  <c r="T205" i="10" s="1"/>
  <c r="T201" i="10" s="1"/>
  <c r="Y96" i="16"/>
  <c r="Z96" i="16" s="1"/>
  <c r="Z98" i="16" s="1"/>
  <c r="AA208" i="9" s="1"/>
  <c r="AB208" i="9" s="1"/>
  <c r="P137" i="16"/>
  <c r="P95" i="16"/>
  <c r="Y178" i="10"/>
  <c r="Z178" i="10" s="1"/>
  <c r="Z180" i="10" s="1"/>
  <c r="AA172" i="9" s="1"/>
  <c r="AB172" i="9" s="1"/>
  <c r="P177" i="10"/>
  <c r="P215" i="10"/>
  <c r="P232" i="10"/>
  <c r="Y232" i="10" s="1"/>
  <c r="Y233" i="10"/>
  <c r="R195" i="18"/>
  <c r="R196" i="18"/>
  <c r="W135" i="17"/>
  <c r="W136" i="17" s="1"/>
  <c r="W132" i="17"/>
  <c r="W133" i="17" s="1"/>
  <c r="W129" i="17"/>
  <c r="W130" i="17" s="1"/>
  <c r="W126" i="17"/>
  <c r="W127" i="17" s="1"/>
  <c r="W123" i="17"/>
  <c r="W124" i="17" s="1"/>
  <c r="W120" i="17"/>
  <c r="W121" i="17" s="1"/>
  <c r="W117" i="17"/>
  <c r="W118" i="17" s="1"/>
  <c r="W77" i="17"/>
  <c r="Z517" i="10"/>
  <c r="Z519" i="10" s="1"/>
  <c r="Y519" i="10"/>
  <c r="U263" i="10"/>
  <c r="U301" i="10"/>
  <c r="U300" i="10" s="1"/>
  <c r="AC128" i="10"/>
  <c r="AC90" i="10"/>
  <c r="AC52" i="10"/>
  <c r="AD53" i="9"/>
  <c r="AE121" i="9"/>
  <c r="AE120" i="9" s="1"/>
  <c r="AE84" i="9"/>
  <c r="AE72" i="9"/>
  <c r="AE108" i="9"/>
  <c r="AE78" i="9"/>
  <c r="AE54" i="9"/>
  <c r="AE66" i="9"/>
  <c r="AE60" i="9"/>
  <c r="AE96" i="9"/>
  <c r="AE102" i="9"/>
  <c r="AE90" i="9"/>
  <c r="S387" i="10"/>
  <c r="S386" i="10" s="1"/>
  <c r="S349" i="10"/>
  <c r="W186" i="18"/>
  <c r="W185" i="18"/>
  <c r="X197" i="18"/>
  <c r="X116" i="18"/>
  <c r="X115" i="18" s="1"/>
  <c r="X38" i="18" s="1"/>
  <c r="X24" i="18" s="1"/>
  <c r="X99" i="10"/>
  <c r="X137" i="10" s="1"/>
  <c r="X60" i="10"/>
  <c r="X17" i="10"/>
  <c r="X77" i="11" s="1"/>
  <c r="R43" i="19"/>
  <c r="R42" i="19" s="1"/>
  <c r="R23" i="19" s="1"/>
  <c r="R13" i="17" s="1"/>
  <c r="Y287" i="18"/>
  <c r="P286" i="18"/>
  <c r="P250" i="18" s="1"/>
  <c r="P278" i="18"/>
  <c r="P277" i="18" s="1"/>
  <c r="P242" i="10"/>
  <c r="P238" i="10" s="1"/>
  <c r="Q249" i="10"/>
  <c r="Q248" i="10" s="1"/>
  <c r="Q244" i="10" s="1"/>
  <c r="X249" i="10"/>
  <c r="X248" i="10" s="1"/>
  <c r="X244" i="10" s="1"/>
  <c r="P249" i="10"/>
  <c r="W249" i="10"/>
  <c r="W248" i="10" s="1"/>
  <c r="W244" i="10" s="1"/>
  <c r="W251" i="10" s="1"/>
  <c r="U249" i="10"/>
  <c r="U248" i="10" s="1"/>
  <c r="U244" i="10" s="1"/>
  <c r="T249" i="10"/>
  <c r="T248" i="10" s="1"/>
  <c r="T244" i="10" s="1"/>
  <c r="R249" i="10"/>
  <c r="R248" i="10" s="1"/>
  <c r="R244" i="10" s="1"/>
  <c r="R255" i="10" s="1"/>
  <c r="V249" i="10"/>
  <c r="V248" i="10" s="1"/>
  <c r="V244" i="10" s="1"/>
  <c r="S249" i="10"/>
  <c r="S248" i="10" s="1"/>
  <c r="S244" i="10" s="1"/>
  <c r="Y47" i="19"/>
  <c r="P28" i="19"/>
  <c r="Q301" i="10"/>
  <c r="Q300" i="10" s="1"/>
  <c r="Q263" i="10"/>
  <c r="U349" i="10"/>
  <c r="U387" i="10"/>
  <c r="U386" i="10" s="1"/>
  <c r="X166" i="15"/>
  <c r="S187" i="18"/>
  <c r="S137" i="18"/>
  <c r="S136" i="18" s="1"/>
  <c r="S210" i="18" s="1"/>
  <c r="S102" i="18"/>
  <c r="S101" i="18" s="1"/>
  <c r="T104" i="10"/>
  <c r="T142" i="10" s="1"/>
  <c r="T18" i="10"/>
  <c r="T96" i="11" s="1"/>
  <c r="T65" i="10"/>
  <c r="T78" i="17"/>
  <c r="T56" i="17"/>
  <c r="T55" i="17" s="1"/>
  <c r="T179" i="17"/>
  <c r="T180" i="17" s="1"/>
  <c r="T27" i="17"/>
  <c r="T26" i="17" s="1"/>
  <c r="T192" i="18"/>
  <c r="T109" i="18"/>
  <c r="T108" i="18" s="1"/>
  <c r="T37" i="18" s="1"/>
  <c r="Q44" i="19"/>
  <c r="Q26" i="19"/>
  <c r="Q25" i="19" s="1"/>
  <c r="P204" i="16"/>
  <c r="Y204" i="16" s="1"/>
  <c r="Y205" i="16"/>
  <c r="S123" i="11"/>
  <c r="S111" i="11" s="1"/>
  <c r="S126" i="11"/>
  <c r="T82" i="15"/>
  <c r="T81" i="15" s="1"/>
  <c r="T80" i="15" s="1"/>
  <c r="T29" i="15"/>
  <c r="T28" i="15" s="1"/>
  <c r="W29" i="10"/>
  <c r="W103" i="10"/>
  <c r="W141" i="10" s="1"/>
  <c r="Q258" i="10"/>
  <c r="Q257" i="10" s="1"/>
  <c r="Q220" i="10"/>
  <c r="Q254" i="16"/>
  <c r="Q253" i="16" s="1"/>
  <c r="Q226" i="16" s="1"/>
  <c r="Q223" i="16" s="1"/>
  <c r="Q10" i="16" s="1"/>
  <c r="Q286" i="16"/>
  <c r="Q285" i="16" s="1"/>
  <c r="Q13" i="16" s="1"/>
  <c r="P197" i="18"/>
  <c r="Y117" i="18"/>
  <c r="P116" i="18"/>
  <c r="R27" i="10"/>
  <c r="R93" i="10"/>
  <c r="R131" i="10" s="1"/>
  <c r="W501" i="10"/>
  <c r="W503" i="10"/>
  <c r="W499" i="10"/>
  <c r="Y42" i="11"/>
  <c r="S131" i="15"/>
  <c r="S132" i="15" s="1"/>
  <c r="S137" i="15"/>
  <c r="S138" i="15" s="1"/>
  <c r="S77" i="15"/>
  <c r="S76" i="15" s="1"/>
  <c r="S75" i="15" s="1"/>
  <c r="S64" i="15"/>
  <c r="S63" i="15" s="1"/>
  <c r="S105" i="15" s="1"/>
  <c r="S22" i="15"/>
  <c r="S21" i="15" s="1"/>
  <c r="S134" i="15"/>
  <c r="S135" i="15" s="1"/>
  <c r="Y51" i="10"/>
  <c r="P89" i="10"/>
  <c r="P127" i="10" s="1"/>
  <c r="P50" i="10"/>
  <c r="P15" i="10"/>
  <c r="W28" i="16"/>
  <c r="P159" i="18"/>
  <c r="Y60" i="18"/>
  <c r="P59" i="18"/>
  <c r="T16" i="10"/>
  <c r="T58" i="11" s="1"/>
  <c r="T55" i="10"/>
  <c r="T94" i="10"/>
  <c r="T132" i="10" s="1"/>
  <c r="W26" i="10"/>
  <c r="W88" i="10"/>
  <c r="W126" i="10" s="1"/>
  <c r="W80" i="10"/>
  <c r="W78" i="10"/>
  <c r="W76" i="10"/>
  <c r="AA171" i="17"/>
  <c r="AA169" i="17"/>
  <c r="U220" i="10"/>
  <c r="U258" i="10"/>
  <c r="U257" i="10" s="1"/>
  <c r="S160" i="16"/>
  <c r="S159" i="16" s="1"/>
  <c r="S158" i="16" s="1"/>
  <c r="S59" i="16"/>
  <c r="S58" i="16" s="1"/>
  <c r="S30" i="16" s="1"/>
  <c r="S23" i="16" s="1"/>
  <c r="S215" i="10"/>
  <c r="S214" i="10" s="1"/>
  <c r="S177" i="10"/>
  <c r="X82" i="15"/>
  <c r="X81" i="15" s="1"/>
  <c r="X80" i="15" s="1"/>
  <c r="X29" i="15"/>
  <c r="X28" i="15" s="1"/>
  <c r="V29" i="15"/>
  <c r="V28" i="15" s="1"/>
  <c r="V82" i="15"/>
  <c r="V81" i="15" s="1"/>
  <c r="V80" i="15" s="1"/>
  <c r="V263" i="10"/>
  <c r="V301" i="10"/>
  <c r="V300" i="10" s="1"/>
  <c r="W191" i="18"/>
  <c r="W190" i="18"/>
  <c r="U422" i="10"/>
  <c r="U396" i="10" s="1"/>
  <c r="U395" i="10" s="1"/>
  <c r="U11" i="10" s="1"/>
  <c r="Q86" i="17"/>
  <c r="Q85" i="17" s="1"/>
  <c r="Q37" i="17"/>
  <c r="Q36" i="17" s="1"/>
  <c r="P328" i="10"/>
  <c r="P425" i="10"/>
  <c r="Y425" i="10" s="1"/>
  <c r="Y397" i="10"/>
  <c r="P427" i="10"/>
  <c r="Y427" i="10" s="1"/>
  <c r="P423" i="10"/>
  <c r="Y488" i="10"/>
  <c r="AC10" i="11"/>
  <c r="O108" i="5"/>
  <c r="O106" i="5"/>
  <c r="S197" i="18"/>
  <c r="S116" i="18"/>
  <c r="S115" i="18" s="1"/>
  <c r="S38" i="18" s="1"/>
  <c r="S24" i="18" s="1"/>
  <c r="U30" i="10"/>
  <c r="U108" i="10"/>
  <c r="R30" i="10"/>
  <c r="R108" i="10"/>
  <c r="R146" i="10" s="1"/>
  <c r="X344" i="10"/>
  <c r="X343" i="10" s="1"/>
  <c r="X306" i="10"/>
  <c r="V187" i="18"/>
  <c r="V102" i="18"/>
  <c r="V101" i="18" s="1"/>
  <c r="V137" i="18"/>
  <c r="V136" i="18" s="1"/>
  <c r="V210" i="18" s="1"/>
  <c r="R460" i="10"/>
  <c r="R434" i="10" s="1"/>
  <c r="R35" i="16"/>
  <c r="W27" i="10"/>
  <c r="W93" i="10"/>
  <c r="AB45" i="11"/>
  <c r="AD440" i="9"/>
  <c r="S192" i="18"/>
  <c r="S109" i="18"/>
  <c r="S108" i="18" s="1"/>
  <c r="S37" i="18" s="1"/>
  <c r="V159" i="18"/>
  <c r="V59" i="18"/>
  <c r="V58" i="18" s="1"/>
  <c r="V30" i="18" s="1"/>
  <c r="R35" i="19"/>
  <c r="R141" i="17"/>
  <c r="Q460" i="10"/>
  <c r="Q434" i="10" s="1"/>
  <c r="T155" i="16"/>
  <c r="T154" i="16" s="1"/>
  <c r="T153" i="16" s="1"/>
  <c r="T52" i="16"/>
  <c r="T51" i="16" s="1"/>
  <c r="T29" i="16" s="1"/>
  <c r="T22" i="16" s="1"/>
  <c r="Y43" i="15"/>
  <c r="P42" i="15"/>
  <c r="Y42" i="15" s="1"/>
  <c r="Z10" i="12"/>
  <c r="AC308" i="10"/>
  <c r="AD77" i="9"/>
  <c r="AD120" i="9"/>
  <c r="V197" i="18"/>
  <c r="V116" i="18"/>
  <c r="V115" i="18" s="1"/>
  <c r="V38" i="18" s="1"/>
  <c r="V24" i="18" s="1"/>
  <c r="Y284" i="18"/>
  <c r="P283" i="18"/>
  <c r="P275" i="18"/>
  <c r="P274" i="18" s="1"/>
  <c r="P273" i="18" s="1"/>
  <c r="P272" i="18" s="1"/>
  <c r="P269" i="10"/>
  <c r="Y269" i="10" s="1"/>
  <c r="Y270" i="10"/>
  <c r="Z270" i="10" s="1"/>
  <c r="Z272" i="10" s="1"/>
  <c r="AA185" i="9" s="1"/>
  <c r="AB185" i="9" s="1"/>
  <c r="X82" i="17"/>
  <c r="X81" i="17" s="1"/>
  <c r="X32" i="17"/>
  <c r="X31" i="17" s="1"/>
  <c r="X65" i="10"/>
  <c r="X104" i="10"/>
  <c r="X142" i="10" s="1"/>
  <c r="X18" i="10"/>
  <c r="X96" i="11" s="1"/>
  <c r="W254" i="16"/>
  <c r="W253" i="16" s="1"/>
  <c r="W226" i="16" s="1"/>
  <c r="W223" i="16" s="1"/>
  <c r="W10" i="16" s="1"/>
  <c r="W286" i="16"/>
  <c r="W285" i="16" s="1"/>
  <c r="W13" i="16" s="1"/>
  <c r="Y46" i="19"/>
  <c r="P27" i="19"/>
  <c r="T498" i="10"/>
  <c r="T472" i="10" s="1"/>
  <c r="X176" i="15"/>
  <c r="X13" i="15" s="1"/>
  <c r="X144" i="15"/>
  <c r="X143" i="15" s="1"/>
  <c r="X116" i="15" s="1"/>
  <c r="X113" i="15" s="1"/>
  <c r="X10" i="15" s="1"/>
  <c r="W196" i="18"/>
  <c r="W195" i="18"/>
  <c r="V233" i="18"/>
  <c r="V234" i="18" s="1"/>
  <c r="V149" i="18"/>
  <c r="V87" i="18"/>
  <c r="V86" i="18" s="1"/>
  <c r="V177" i="18" s="1"/>
  <c r="V236" i="18"/>
  <c r="V237" i="18" s="1"/>
  <c r="V45" i="18"/>
  <c r="V44" i="18" s="1"/>
  <c r="R273" i="18"/>
  <c r="R272" i="18" s="1"/>
  <c r="T165" i="16"/>
  <c r="T66" i="16"/>
  <c r="T65" i="16" s="1"/>
  <c r="T31" i="16" s="1"/>
  <c r="T24" i="16" s="1"/>
  <c r="Y196" i="10"/>
  <c r="Z196" i="10" s="1"/>
  <c r="Z198" i="10" s="1"/>
  <c r="AA175" i="9" s="1"/>
  <c r="AB175" i="9" s="1"/>
  <c r="P195" i="10"/>
  <c r="Z15" i="12"/>
  <c r="Z19" i="12"/>
  <c r="AA19" i="12" s="1"/>
  <c r="P82" i="17"/>
  <c r="Y33" i="17"/>
  <c r="Z33" i="17" s="1"/>
  <c r="P32" i="17"/>
  <c r="Q65" i="10"/>
  <c r="Q104" i="10"/>
  <c r="Q142" i="10" s="1"/>
  <c r="Q18" i="10"/>
  <c r="Q96" i="11" s="1"/>
  <c r="Z441" i="10"/>
  <c r="Z443" i="10" s="1"/>
  <c r="O443" i="10"/>
  <c r="Q137" i="16"/>
  <c r="Q136" i="16" s="1"/>
  <c r="Q214" i="16" s="1"/>
  <c r="Q95" i="16"/>
  <c r="Q94" i="16" s="1"/>
  <c r="AC104" i="18"/>
  <c r="AD113" i="9"/>
  <c r="X301" i="10"/>
  <c r="X300" i="10" s="1"/>
  <c r="X263" i="10"/>
  <c r="AD225" i="18"/>
  <c r="AD221" i="18" s="1"/>
  <c r="AD216" i="18" s="1"/>
  <c r="U82" i="15"/>
  <c r="U81" i="15" s="1"/>
  <c r="U80" i="15" s="1"/>
  <c r="U29" i="15"/>
  <c r="U28" i="15" s="1"/>
  <c r="S165" i="16"/>
  <c r="S66" i="16"/>
  <c r="S65" i="16" s="1"/>
  <c r="S31" i="16" s="1"/>
  <c r="S24" i="16" s="1"/>
  <c r="S258" i="10"/>
  <c r="S257" i="10" s="1"/>
  <c r="S220" i="10"/>
  <c r="X179" i="17"/>
  <c r="X180" i="17" s="1"/>
  <c r="X78" i="17"/>
  <c r="X27" i="17"/>
  <c r="X26" i="17" s="1"/>
  <c r="X56" i="17"/>
  <c r="X55" i="17" s="1"/>
  <c r="V155" i="16"/>
  <c r="V154" i="16" s="1"/>
  <c r="V153" i="16" s="1"/>
  <c r="V52" i="16"/>
  <c r="V51" i="16" s="1"/>
  <c r="V29" i="16" s="1"/>
  <c r="V22" i="16" s="1"/>
  <c r="Q52" i="19"/>
  <c r="Q34" i="19"/>
  <c r="Q33" i="19" s="1"/>
  <c r="Q187" i="17" s="1"/>
  <c r="Q186" i="17" s="1"/>
  <c r="Q162" i="17" s="1"/>
  <c r="Q159" i="17" s="1"/>
  <c r="Q10" i="17" s="1"/>
  <c r="Z446" i="10"/>
  <c r="Z448" i="10" s="1"/>
  <c r="O448" i="10"/>
  <c r="T15" i="10"/>
  <c r="T89" i="10"/>
  <c r="T127" i="10" s="1"/>
  <c r="T50" i="10"/>
  <c r="Y80" i="11"/>
  <c r="U233" i="18"/>
  <c r="U234" i="18" s="1"/>
  <c r="U236" i="18"/>
  <c r="U237" i="18" s="1"/>
  <c r="U149" i="18"/>
  <c r="U87" i="18"/>
  <c r="U86" i="18" s="1"/>
  <c r="U177" i="18" s="1"/>
  <c r="U45" i="18"/>
  <c r="U44" i="18" s="1"/>
  <c r="P123" i="11"/>
  <c r="AB46" i="15"/>
  <c r="AB44" i="15" s="1"/>
  <c r="AD217" i="9"/>
  <c r="AA282" i="16"/>
  <c r="AA275" i="16" s="1"/>
  <c r="AA274" i="16" s="1"/>
  <c r="AA256" i="16"/>
  <c r="AB293" i="16"/>
  <c r="Y299" i="16"/>
  <c r="Y535" i="10"/>
  <c r="Y534" i="10" s="1"/>
  <c r="Y530" i="10"/>
  <c r="Y529" i="10" s="1"/>
  <c r="P187" i="18"/>
  <c r="P137" i="18"/>
  <c r="Y103" i="18"/>
  <c r="P102" i="18"/>
  <c r="Z398" i="10"/>
  <c r="Z400" i="10" s="1"/>
  <c r="Y400" i="10"/>
  <c r="U159" i="18"/>
  <c r="U59" i="18"/>
  <c r="U58" i="18" s="1"/>
  <c r="U30" i="18" s="1"/>
  <c r="U324" i="10"/>
  <c r="Y406" i="10"/>
  <c r="Z402" i="10"/>
  <c r="T139" i="17"/>
  <c r="T68" i="17" s="1"/>
  <c r="R29" i="10"/>
  <c r="R103" i="10"/>
  <c r="X498" i="10"/>
  <c r="X472" i="10" s="1"/>
  <c r="Z489" i="10"/>
  <c r="Z491" i="10" s="1"/>
  <c r="Y491" i="10"/>
  <c r="S10" i="11"/>
  <c r="U154" i="18"/>
  <c r="U153" i="18" s="1"/>
  <c r="U152" i="18" s="1"/>
  <c r="U52" i="18"/>
  <c r="U51" i="18" s="1"/>
  <c r="U29" i="18" s="1"/>
  <c r="U344" i="10"/>
  <c r="U343" i="10" s="1"/>
  <c r="U306" i="10"/>
  <c r="X30" i="10"/>
  <c r="X108" i="10"/>
  <c r="S108" i="10"/>
  <c r="S146" i="10" s="1"/>
  <c r="S30" i="10"/>
  <c r="Y281" i="16"/>
  <c r="Y291" i="16"/>
  <c r="Z292" i="16"/>
  <c r="Z291" i="16" s="1"/>
  <c r="P165" i="16"/>
  <c r="Y67" i="16"/>
  <c r="Z67" i="16" s="1"/>
  <c r="Z69" i="16" s="1"/>
  <c r="AA205" i="9" s="1"/>
  <c r="AB205" i="9" s="1"/>
  <c r="P66" i="16"/>
  <c r="Y325" i="10"/>
  <c r="Z325" i="10" s="1"/>
  <c r="Z327" i="10" s="1"/>
  <c r="AA193" i="9" s="1"/>
  <c r="AB193" i="9" s="1"/>
  <c r="P324" i="10"/>
  <c r="T82" i="17"/>
  <c r="T81" i="17" s="1"/>
  <c r="T32" i="17"/>
  <c r="T31" i="17" s="1"/>
  <c r="T263" i="10"/>
  <c r="T301" i="10"/>
  <c r="T300" i="10" s="1"/>
  <c r="Q154" i="18"/>
  <c r="Q153" i="18" s="1"/>
  <c r="Q152" i="18" s="1"/>
  <c r="Q52" i="18"/>
  <c r="Q51" i="18" s="1"/>
  <c r="Q29" i="18" s="1"/>
  <c r="U160" i="16"/>
  <c r="U159" i="16" s="1"/>
  <c r="U158" i="16" s="1"/>
  <c r="U59" i="16"/>
  <c r="U58" i="16" s="1"/>
  <c r="U30" i="16" s="1"/>
  <c r="U23" i="16" s="1"/>
  <c r="U165" i="16"/>
  <c r="U66" i="16"/>
  <c r="U65" i="16" s="1"/>
  <c r="U31" i="16" s="1"/>
  <c r="U24" i="16" s="1"/>
  <c r="AC122" i="15"/>
  <c r="AB120" i="15"/>
  <c r="R135" i="17"/>
  <c r="R136" i="17" s="1"/>
  <c r="R132" i="17"/>
  <c r="R133" i="17" s="1"/>
  <c r="R129" i="17"/>
  <c r="R130" i="17" s="1"/>
  <c r="R126" i="17"/>
  <c r="R127" i="17" s="1"/>
  <c r="R123" i="17"/>
  <c r="R124" i="17" s="1"/>
  <c r="R120" i="17"/>
  <c r="R121" i="17" s="1"/>
  <c r="R117" i="17"/>
  <c r="R118" i="17" s="1"/>
  <c r="R77" i="17"/>
  <c r="Y279" i="16"/>
  <c r="Z290" i="16"/>
  <c r="Y307" i="10"/>
  <c r="Z307" i="10" s="1"/>
  <c r="Z309" i="10" s="1"/>
  <c r="AA190" i="9" s="1"/>
  <c r="AB190" i="9" s="1"/>
  <c r="P306" i="10"/>
  <c r="P344" i="10"/>
  <c r="V137" i="16"/>
  <c r="V136" i="16" s="1"/>
  <c r="V214" i="16" s="1"/>
  <c r="V95" i="16"/>
  <c r="V94" i="16" s="1"/>
  <c r="Y190" i="10"/>
  <c r="P189" i="10"/>
  <c r="Y189" i="10" s="1"/>
  <c r="Q32" i="17"/>
  <c r="Q31" i="17" s="1"/>
  <c r="Q82" i="17"/>
  <c r="Q81" i="17" s="1"/>
  <c r="Q324" i="10"/>
  <c r="U155" i="16"/>
  <c r="U154" i="16" s="1"/>
  <c r="U153" i="16" s="1"/>
  <c r="U52" i="16"/>
  <c r="U51" i="16" s="1"/>
  <c r="U29" i="16" s="1"/>
  <c r="U22" i="16" s="1"/>
  <c r="P291" i="10"/>
  <c r="P287" i="10" s="1"/>
  <c r="Y287" i="10" s="1"/>
  <c r="Y292" i="10"/>
  <c r="Z292" i="10" s="1"/>
  <c r="AA325" i="9" s="1"/>
  <c r="AB19" i="13"/>
  <c r="AA52" i="12"/>
  <c r="AA49" i="12" s="1"/>
  <c r="AA17" i="13"/>
  <c r="AA13" i="13" s="1"/>
  <c r="R52" i="5" s="1"/>
  <c r="AA10" i="13"/>
  <c r="AA9" i="13" s="1"/>
  <c r="AA6" i="13" s="1"/>
  <c r="AC222" i="10"/>
  <c r="AD65" i="9"/>
  <c r="S179" i="17"/>
  <c r="S180" i="17" s="1"/>
  <c r="S78" i="17"/>
  <c r="S56" i="17"/>
  <c r="S55" i="17" s="1"/>
  <c r="S27" i="17"/>
  <c r="S26" i="17" s="1"/>
  <c r="S306" i="10"/>
  <c r="S344" i="10"/>
  <c r="S343" i="10" s="1"/>
  <c r="X536" i="10"/>
  <c r="X510" i="10" s="1"/>
  <c r="X87" i="15"/>
  <c r="X86" i="15" s="1"/>
  <c r="X85" i="15" s="1"/>
  <c r="X36" i="15"/>
  <c r="X35" i="15" s="1"/>
  <c r="Y45" i="19"/>
  <c r="P44" i="19"/>
  <c r="P26" i="19"/>
  <c r="P25" i="19" s="1"/>
  <c r="AC107" i="17"/>
  <c r="AB105" i="17"/>
  <c r="U36" i="15"/>
  <c r="U35" i="15" s="1"/>
  <c r="U87" i="15"/>
  <c r="U86" i="15" s="1"/>
  <c r="U85" i="15" s="1"/>
  <c r="U195" i="10"/>
  <c r="T167" i="11"/>
  <c r="U173" i="11"/>
  <c r="S104" i="10"/>
  <c r="S142" i="10" s="1"/>
  <c r="S18" i="10"/>
  <c r="S96" i="11" s="1"/>
  <c r="S65" i="10"/>
  <c r="R249" i="18"/>
  <c r="R248" i="18" s="1"/>
  <c r="R218" i="18" s="1"/>
  <c r="R215" i="18" s="1"/>
  <c r="R10" i="18" s="1"/>
  <c r="R282" i="18"/>
  <c r="R281" i="18" s="1"/>
  <c r="R13" i="18" s="1"/>
  <c r="Y243" i="10" l="1"/>
  <c r="Z243" i="10" s="1"/>
  <c r="AA318" i="9" s="1"/>
  <c r="AB318" i="9" s="1"/>
  <c r="W84" i="16"/>
  <c r="W82" i="16"/>
  <c r="W176" i="16" s="1"/>
  <c r="Y238" i="10"/>
  <c r="Y242" i="10" s="1"/>
  <c r="R84" i="16"/>
  <c r="R82" i="16"/>
  <c r="R176" i="16" s="1"/>
  <c r="R382" i="10"/>
  <c r="R384" i="10"/>
  <c r="R61" i="15"/>
  <c r="W80" i="16"/>
  <c r="W174" i="16" s="1"/>
  <c r="W380" i="10"/>
  <c r="R395" i="10"/>
  <c r="R11" i="10" s="1"/>
  <c r="R59" i="15"/>
  <c r="R103" i="15" s="1"/>
  <c r="X110" i="11"/>
  <c r="X23" i="11" s="1"/>
  <c r="W384" i="10"/>
  <c r="Z421" i="10"/>
  <c r="Y268" i="10"/>
  <c r="Z268" i="10" s="1"/>
  <c r="AA321" i="9" s="1"/>
  <c r="AB321" i="9" s="1"/>
  <c r="AC321" i="9" s="1"/>
  <c r="Y525" i="10"/>
  <c r="Y354" i="10"/>
  <c r="Z354" i="10" s="1"/>
  <c r="AA333" i="9" s="1"/>
  <c r="AB333" i="9" s="1"/>
  <c r="AA354" i="10" s="1"/>
  <c r="AA353" i="10" s="1"/>
  <c r="U23" i="18"/>
  <c r="S110" i="11"/>
  <c r="S23" i="11" s="1"/>
  <c r="T395" i="10"/>
  <c r="T11" i="10" s="1"/>
  <c r="Z449" i="10"/>
  <c r="R92" i="11"/>
  <c r="R91" i="11" s="1"/>
  <c r="R22" i="11" s="1"/>
  <c r="V111" i="11"/>
  <c r="V110" i="11" s="1"/>
  <c r="V23" i="11" s="1"/>
  <c r="Q536" i="10"/>
  <c r="Q510" i="10" s="1"/>
  <c r="Q395" i="10" s="1"/>
  <c r="Q11" i="10" s="1"/>
  <c r="Z406" i="10"/>
  <c r="Y182" i="10"/>
  <c r="Z182" i="10" s="1"/>
  <c r="AA309" i="9" s="1"/>
  <c r="AB309" i="9" s="1"/>
  <c r="AA182" i="10" s="1"/>
  <c r="AA181" i="10" s="1"/>
  <c r="W92" i="11"/>
  <c r="W91" i="11" s="1"/>
  <c r="W22" i="11" s="1"/>
  <c r="AD229" i="16"/>
  <c r="AD224" i="16" s="1"/>
  <c r="R54" i="11"/>
  <c r="R53" i="11" s="1"/>
  <c r="R20" i="11" s="1"/>
  <c r="Q43" i="19"/>
  <c r="Q42" i="19" s="1"/>
  <c r="Q23" i="19" s="1"/>
  <c r="Q13" i="17" s="1"/>
  <c r="W498" i="10"/>
  <c r="W472" i="10" s="1"/>
  <c r="W395" i="10" s="1"/>
  <c r="W11" i="10" s="1"/>
  <c r="R337" i="10"/>
  <c r="Z217" i="16"/>
  <c r="R341" i="10"/>
  <c r="AA253" i="16"/>
  <c r="AA226" i="16" s="1"/>
  <c r="X395" i="10"/>
  <c r="X11" i="10" s="1"/>
  <c r="R253" i="10"/>
  <c r="R132" i="11" s="1"/>
  <c r="Y501" i="10"/>
  <c r="Y274" i="10"/>
  <c r="Z274" i="10" s="1"/>
  <c r="AA322" i="9" s="1"/>
  <c r="AB322" i="9" s="1"/>
  <c r="AA274" i="10" s="1"/>
  <c r="AA273" i="10" s="1"/>
  <c r="Z416" i="10"/>
  <c r="AA165" i="17"/>
  <c r="AA160" i="17" s="1"/>
  <c r="R46" i="17"/>
  <c r="R20" i="17" s="1"/>
  <c r="R6" i="17" s="1"/>
  <c r="Y372" i="10"/>
  <c r="Z372" i="10" s="1"/>
  <c r="AA336" i="9" s="1"/>
  <c r="AB336" i="9" s="1"/>
  <c r="AA372" i="10" s="1"/>
  <c r="AA371" i="10" s="1"/>
  <c r="Y324" i="10"/>
  <c r="Z324" i="10" s="1"/>
  <c r="Z328" i="10" s="1"/>
  <c r="W42" i="10"/>
  <c r="W140" i="10"/>
  <c r="S150" i="10"/>
  <c r="S44" i="10"/>
  <c r="R41" i="10"/>
  <c r="R135" i="10"/>
  <c r="W130" i="10"/>
  <c r="W40" i="10"/>
  <c r="W150" i="10"/>
  <c r="W44" i="10"/>
  <c r="AD128" i="10"/>
  <c r="AD90" i="10"/>
  <c r="AD52" i="10"/>
  <c r="AE53" i="9"/>
  <c r="AA98" i="16"/>
  <c r="AA96" i="16" s="1"/>
  <c r="AC208" i="9"/>
  <c r="U167" i="11"/>
  <c r="V173" i="11"/>
  <c r="P43" i="19"/>
  <c r="P42" i="19" s="1"/>
  <c r="P23" i="19" s="1"/>
  <c r="P13" i="17" s="1"/>
  <c r="AC19" i="13"/>
  <c r="AB10" i="13"/>
  <c r="AB9" i="13" s="1"/>
  <c r="AB6" i="13" s="1"/>
  <c r="AB17" i="13"/>
  <c r="AB13" i="13" s="1"/>
  <c r="S52" i="5" s="1"/>
  <c r="AB52" i="12"/>
  <c r="AB49" i="12" s="1"/>
  <c r="AA309" i="10"/>
  <c r="AA307" i="10" s="1"/>
  <c r="AC190" i="9"/>
  <c r="AA327" i="10"/>
  <c r="AA325" i="10" s="1"/>
  <c r="AC193" i="9"/>
  <c r="AB256" i="16"/>
  <c r="AB282" i="16"/>
  <c r="AB275" i="16" s="1"/>
  <c r="AB274" i="16" s="1"/>
  <c r="AC293" i="16"/>
  <c r="U28" i="18"/>
  <c r="U80" i="18"/>
  <c r="U84" i="18"/>
  <c r="U82" i="18"/>
  <c r="U175" i="18" s="1"/>
  <c r="T48" i="11"/>
  <c r="T39" i="11"/>
  <c r="T38" i="11" s="1"/>
  <c r="T37" i="11" s="1"/>
  <c r="T36" i="11" s="1"/>
  <c r="T14" i="10"/>
  <c r="Q29" i="10"/>
  <c r="Q103" i="10"/>
  <c r="Q141" i="10" s="1"/>
  <c r="Y195" i="10"/>
  <c r="V148" i="18"/>
  <c r="V147" i="18"/>
  <c r="I88" i="19"/>
  <c r="Z46" i="19"/>
  <c r="V195" i="18"/>
  <c r="V196" i="18"/>
  <c r="R134" i="16"/>
  <c r="X337" i="10"/>
  <c r="X339" i="10"/>
  <c r="X341" i="10"/>
  <c r="Y492" i="10"/>
  <c r="Z488" i="10"/>
  <c r="Z492" i="10" s="1"/>
  <c r="U253" i="10"/>
  <c r="U251" i="10"/>
  <c r="U255" i="10"/>
  <c r="Y59" i="18"/>
  <c r="P58" i="18"/>
  <c r="Y127" i="10"/>
  <c r="Z127" i="10" s="1"/>
  <c r="Z129" i="10" s="1"/>
  <c r="AA166" i="9" s="1"/>
  <c r="AB166" i="9" s="1"/>
  <c r="T103" i="10"/>
  <c r="T141" i="10" s="1"/>
  <c r="T29" i="10"/>
  <c r="X76" i="11"/>
  <c r="X75" i="11" s="1"/>
  <c r="X74" i="11" s="1"/>
  <c r="X86" i="11"/>
  <c r="S380" i="10"/>
  <c r="S382" i="10"/>
  <c r="S384" i="10"/>
  <c r="AD308" i="10"/>
  <c r="AE77" i="9"/>
  <c r="Y236" i="10"/>
  <c r="Z232" i="10"/>
  <c r="R93" i="17"/>
  <c r="R72" i="17" s="1"/>
  <c r="R65" i="17" s="1"/>
  <c r="Q150" i="10"/>
  <c r="Q44" i="10"/>
  <c r="U27" i="10"/>
  <c r="U93" i="10"/>
  <c r="U131" i="10" s="1"/>
  <c r="T28" i="10"/>
  <c r="T98" i="10"/>
  <c r="Y179" i="17"/>
  <c r="P180" i="17"/>
  <c r="U26" i="10"/>
  <c r="U88" i="10"/>
  <c r="U126" i="10" s="1"/>
  <c r="U80" i="10"/>
  <c r="U78" i="10"/>
  <c r="U76" i="10"/>
  <c r="O12" i="16"/>
  <c r="O14" i="16"/>
  <c r="O15" i="16" s="1"/>
  <c r="Y173" i="15"/>
  <c r="Y172" i="15" s="1"/>
  <c r="Y182" i="15"/>
  <c r="Y145" i="15" s="1"/>
  <c r="Z183" i="15"/>
  <c r="Z182" i="15" s="1"/>
  <c r="Z145" i="15" s="1"/>
  <c r="P51" i="16"/>
  <c r="Y52" i="16"/>
  <c r="S28" i="18"/>
  <c r="S84" i="18"/>
  <c r="S80" i="18"/>
  <c r="S82" i="18"/>
  <c r="S175" i="18" s="1"/>
  <c r="AA55" i="18"/>
  <c r="AA53" i="18" s="1"/>
  <c r="AC221" i="9"/>
  <c r="O64" i="5"/>
  <c r="O62" i="5"/>
  <c r="W79" i="18"/>
  <c r="W173" i="18"/>
  <c r="W172" i="18" s="1"/>
  <c r="W146" i="18" s="1"/>
  <c r="P86" i="16"/>
  <c r="Y87" i="16"/>
  <c r="Z87" i="16" s="1"/>
  <c r="W46" i="17"/>
  <c r="W20" i="17" s="1"/>
  <c r="W6" i="17" s="1"/>
  <c r="Y220" i="10"/>
  <c r="AA241" i="10"/>
  <c r="AA239" i="10" s="1"/>
  <c r="AC181" i="9"/>
  <c r="X380" i="10"/>
  <c r="X384" i="10"/>
  <c r="X382" i="10"/>
  <c r="Y52" i="19"/>
  <c r="Y34" i="19"/>
  <c r="Y33" i="19" s="1"/>
  <c r="Y187" i="17" s="1"/>
  <c r="Y186" i="17" s="1"/>
  <c r="Y162" i="17" s="1"/>
  <c r="Y159" i="17" s="1"/>
  <c r="Y10" i="17" s="1"/>
  <c r="P129" i="5" s="1"/>
  <c r="Z53" i="19"/>
  <c r="R251" i="10"/>
  <c r="Z319" i="10"/>
  <c r="Z321" i="10" s="1"/>
  <c r="AA192" i="9" s="1"/>
  <c r="AB192" i="9" s="1"/>
  <c r="AC192" i="9" s="1"/>
  <c r="AD192" i="9" s="1"/>
  <c r="AE192" i="9" s="1"/>
  <c r="Y323" i="10"/>
  <c r="Q76" i="11"/>
  <c r="Q75" i="11" s="1"/>
  <c r="Q74" i="11" s="1"/>
  <c r="Q86" i="11"/>
  <c r="R33" i="10"/>
  <c r="R92" i="10"/>
  <c r="Y87" i="18"/>
  <c r="Z87" i="18" s="1"/>
  <c r="P86" i="18"/>
  <c r="V167" i="15"/>
  <c r="V166" i="15" s="1"/>
  <c r="Q26" i="10"/>
  <c r="Q88" i="10"/>
  <c r="Q126" i="10" s="1"/>
  <c r="Q76" i="10"/>
  <c r="Q78" i="10"/>
  <c r="Q80" i="10"/>
  <c r="Y286" i="16"/>
  <c r="Y285" i="16" s="1"/>
  <c r="Y13" i="16" s="1"/>
  <c r="P74" i="5" s="1"/>
  <c r="Z287" i="16"/>
  <c r="Z286" i="16" s="1"/>
  <c r="Z285" i="16" s="1"/>
  <c r="Z13" i="16" s="1"/>
  <c r="Q74" i="5" s="1"/>
  <c r="X25" i="16"/>
  <c r="U28" i="16"/>
  <c r="U82" i="16"/>
  <c r="U176" i="16" s="1"/>
  <c r="U84" i="16"/>
  <c r="U80" i="16"/>
  <c r="AD110" i="17"/>
  <c r="AD108" i="17" s="1"/>
  <c r="AC108" i="17"/>
  <c r="Y99" i="10"/>
  <c r="Z99" i="10" s="1"/>
  <c r="Z101" i="10" s="1"/>
  <c r="AA162" i="9" s="1"/>
  <c r="AB162" i="9" s="1"/>
  <c r="P21" i="15"/>
  <c r="Y22" i="15"/>
  <c r="V191" i="18"/>
  <c r="V190" i="18"/>
  <c r="Z227" i="10"/>
  <c r="Z229" i="10" s="1"/>
  <c r="AA179" i="9" s="1"/>
  <c r="AB179" i="9" s="1"/>
  <c r="Y231" i="10"/>
  <c r="V536" i="10"/>
  <c r="V510" i="10" s="1"/>
  <c r="X164" i="16"/>
  <c r="X163" i="16" s="1"/>
  <c r="X180" i="16"/>
  <c r="X179" i="16" s="1"/>
  <c r="Y541" i="10"/>
  <c r="Y306" i="10"/>
  <c r="S130" i="16"/>
  <c r="S35" i="16"/>
  <c r="S132" i="16"/>
  <c r="S212" i="16" s="1"/>
  <c r="S134" i="16"/>
  <c r="Y94" i="10"/>
  <c r="Z94" i="10" s="1"/>
  <c r="Z96" i="10" s="1"/>
  <c r="AA161" i="9" s="1"/>
  <c r="AB161" i="9" s="1"/>
  <c r="R89" i="11"/>
  <c r="R88" i="11" s="1"/>
  <c r="R85" i="11"/>
  <c r="R73" i="11" s="1"/>
  <c r="AC112" i="17"/>
  <c r="AB111" i="17"/>
  <c r="AA223" i="10"/>
  <c r="AA221" i="10" s="1"/>
  <c r="AC178" i="9"/>
  <c r="Q337" i="10"/>
  <c r="Q339" i="10"/>
  <c r="Q341" i="10"/>
  <c r="Q208" i="10"/>
  <c r="Q210" i="10"/>
  <c r="Q212" i="10"/>
  <c r="T148" i="18"/>
  <c r="T147" i="18"/>
  <c r="Z45" i="19"/>
  <c r="Y44" i="19"/>
  <c r="I82" i="19"/>
  <c r="S191" i="18"/>
  <c r="S190" i="18"/>
  <c r="R130" i="16"/>
  <c r="S195" i="18"/>
  <c r="S196" i="18"/>
  <c r="Y423" i="10"/>
  <c r="P422" i="10"/>
  <c r="P396" i="10" s="1"/>
  <c r="Y159" i="18"/>
  <c r="Z60" i="18"/>
  <c r="P48" i="11"/>
  <c r="P39" i="11"/>
  <c r="P14" i="10"/>
  <c r="R34" i="10"/>
  <c r="R97" i="10"/>
  <c r="T191" i="18"/>
  <c r="T190" i="18"/>
  <c r="T107" i="11"/>
  <c r="T105" i="11"/>
  <c r="T104" i="11" s="1"/>
  <c r="T95" i="11"/>
  <c r="T94" i="11" s="1"/>
  <c r="T93" i="11" s="1"/>
  <c r="U380" i="10"/>
  <c r="U384" i="10"/>
  <c r="U382" i="10"/>
  <c r="AD47" i="18"/>
  <c r="AE107" i="9"/>
  <c r="Y497" i="10"/>
  <c r="Z493" i="10"/>
  <c r="Z497" i="10" s="1"/>
  <c r="Z367" i="10"/>
  <c r="Z371" i="10" s="1"/>
  <c r="Y371" i="10"/>
  <c r="P37" i="10"/>
  <c r="Y108" i="10"/>
  <c r="P112" i="10"/>
  <c r="U67" i="11"/>
  <c r="U66" i="11" s="1"/>
  <c r="U70" i="11"/>
  <c r="U69" i="11" s="1"/>
  <c r="U57" i="11"/>
  <c r="U56" i="11" s="1"/>
  <c r="U55" i="11" s="1"/>
  <c r="R21" i="16"/>
  <c r="Q158" i="18"/>
  <c r="Q157" i="18"/>
  <c r="Y192" i="18"/>
  <c r="Z110" i="18"/>
  <c r="Y113" i="11"/>
  <c r="P112" i="11"/>
  <c r="P111" i="11" s="1"/>
  <c r="AA55" i="16"/>
  <c r="AA53" i="16" s="1"/>
  <c r="AC203" i="9"/>
  <c r="Y184" i="16"/>
  <c r="R212" i="10"/>
  <c r="S76" i="11"/>
  <c r="S75" i="11" s="1"/>
  <c r="S74" i="11" s="1"/>
  <c r="S86" i="11"/>
  <c r="Y154" i="18"/>
  <c r="Z154" i="18" s="1"/>
  <c r="P153" i="18"/>
  <c r="Y239" i="16"/>
  <c r="P240" i="16"/>
  <c r="AB119" i="11"/>
  <c r="AB118" i="11" s="1"/>
  <c r="I106" i="19"/>
  <c r="Z49" i="19"/>
  <c r="Y258" i="10"/>
  <c r="P257" i="10"/>
  <c r="Y257" i="10" s="1"/>
  <c r="Z258" i="10"/>
  <c r="R129" i="18"/>
  <c r="R206" i="18"/>
  <c r="R205" i="18" s="1"/>
  <c r="R179" i="18" s="1"/>
  <c r="U28" i="10"/>
  <c r="U98" i="10"/>
  <c r="U136" i="10" s="1"/>
  <c r="Z478" i="10"/>
  <c r="Z482" i="10" s="1"/>
  <c r="Y482" i="10"/>
  <c r="W208" i="10"/>
  <c r="AB253" i="16"/>
  <c r="AB226" i="16" s="1"/>
  <c r="V76" i="11"/>
  <c r="V75" i="11" s="1"/>
  <c r="V74" i="11" s="1"/>
  <c r="V86" i="11"/>
  <c r="Z318" i="10"/>
  <c r="Y322" i="10"/>
  <c r="S57" i="11"/>
  <c r="S56" i="11" s="1"/>
  <c r="S55" i="11" s="1"/>
  <c r="S67" i="11"/>
  <c r="S66" i="11" s="1"/>
  <c r="S70" i="11"/>
  <c r="S69" i="11" s="1"/>
  <c r="X158" i="18"/>
  <c r="X157" i="18"/>
  <c r="Y45" i="18"/>
  <c r="P44" i="18"/>
  <c r="P253" i="16"/>
  <c r="P226" i="16" s="1"/>
  <c r="P223" i="16" s="1"/>
  <c r="P10" i="16" s="1"/>
  <c r="Y254" i="16"/>
  <c r="X148" i="18"/>
  <c r="X147" i="18"/>
  <c r="Z361" i="10"/>
  <c r="Y365" i="10"/>
  <c r="AD138" i="10"/>
  <c r="AD62" i="10"/>
  <c r="AD100" i="10"/>
  <c r="Q25" i="16"/>
  <c r="Q49" i="17"/>
  <c r="Q95" i="17" s="1"/>
  <c r="Q47" i="17"/>
  <c r="Q51" i="17"/>
  <c r="Q97" i="17" s="1"/>
  <c r="Q53" i="17"/>
  <c r="U61" i="15"/>
  <c r="U57" i="15"/>
  <c r="U59" i="15"/>
  <c r="U103" i="15" s="1"/>
  <c r="Y461" i="10"/>
  <c r="P460" i="10"/>
  <c r="P434" i="10" s="1"/>
  <c r="AA266" i="10"/>
  <c r="AA264" i="10" s="1"/>
  <c r="AC184" i="9"/>
  <c r="Y131" i="15"/>
  <c r="P132" i="15"/>
  <c r="Z473" i="10"/>
  <c r="Y477" i="10"/>
  <c r="V47" i="17"/>
  <c r="V51" i="17"/>
  <c r="V97" i="17" s="1"/>
  <c r="V53" i="17"/>
  <c r="V49" i="17"/>
  <c r="V95" i="17" s="1"/>
  <c r="S23" i="18"/>
  <c r="Y230" i="10"/>
  <c r="Z226" i="10"/>
  <c r="P536" i="10"/>
  <c r="P510" i="10" s="1"/>
  <c r="Y537" i="10"/>
  <c r="O168" i="11"/>
  <c r="O16" i="12"/>
  <c r="O151" i="11"/>
  <c r="O42" i="12"/>
  <c r="O40" i="12"/>
  <c r="O139" i="11"/>
  <c r="O50" i="12"/>
  <c r="O27" i="12"/>
  <c r="O7" i="12"/>
  <c r="O33" i="11"/>
  <c r="O18" i="11"/>
  <c r="O7" i="11"/>
  <c r="Z233" i="10"/>
  <c r="Z235" i="10" s="1"/>
  <c r="AA180" i="9" s="1"/>
  <c r="AB180" i="9" s="1"/>
  <c r="Y237" i="10"/>
  <c r="V150" i="10"/>
  <c r="V44" i="10"/>
  <c r="Z525" i="10"/>
  <c r="T11" i="11"/>
  <c r="Y32" i="17"/>
  <c r="P31" i="17"/>
  <c r="Y31" i="17" s="1"/>
  <c r="Z287" i="10"/>
  <c r="Z291" i="10" s="1"/>
  <c r="Y291" i="10"/>
  <c r="AA69" i="16"/>
  <c r="AA67" i="16" s="1"/>
  <c r="AC205" i="9"/>
  <c r="X112" i="10"/>
  <c r="X37" i="10"/>
  <c r="Y187" i="18"/>
  <c r="Z103" i="18"/>
  <c r="U147" i="18"/>
  <c r="U148" i="18"/>
  <c r="X135" i="17"/>
  <c r="X136" i="17" s="1"/>
  <c r="X132" i="17"/>
  <c r="X133" i="17" s="1"/>
  <c r="X129" i="17"/>
  <c r="X130" i="17" s="1"/>
  <c r="X126" i="17"/>
  <c r="X127" i="17" s="1"/>
  <c r="X123" i="17"/>
  <c r="X124" i="17" s="1"/>
  <c r="X120" i="17"/>
  <c r="X121" i="17" s="1"/>
  <c r="X117" i="17"/>
  <c r="X118" i="17" s="1"/>
  <c r="X77" i="17"/>
  <c r="AA272" i="10"/>
  <c r="AA270" i="10" s="1"/>
  <c r="AC185" i="9"/>
  <c r="Z42" i="15"/>
  <c r="Y48" i="15"/>
  <c r="V23" i="18"/>
  <c r="AC45" i="11"/>
  <c r="AE440" i="9"/>
  <c r="AD45" i="11" s="1"/>
  <c r="R44" i="10"/>
  <c r="R150" i="10"/>
  <c r="P158" i="18"/>
  <c r="P157" i="18"/>
  <c r="Y50" i="10"/>
  <c r="P26" i="10"/>
  <c r="P88" i="10"/>
  <c r="P126" i="10" s="1"/>
  <c r="P78" i="10"/>
  <c r="P80" i="10"/>
  <c r="P76" i="10"/>
  <c r="T47" i="17"/>
  <c r="T51" i="17"/>
  <c r="T97" i="17" s="1"/>
  <c r="T53" i="17"/>
  <c r="T49" i="17"/>
  <c r="T95" i="17" s="1"/>
  <c r="Q294" i="10"/>
  <c r="Q296" i="10"/>
  <c r="Q298" i="10"/>
  <c r="X28" i="10"/>
  <c r="X98" i="10"/>
  <c r="AD47" i="16"/>
  <c r="AE89" i="9"/>
  <c r="AD265" i="10"/>
  <c r="AE71" i="9"/>
  <c r="U294" i="10"/>
  <c r="U296" i="10"/>
  <c r="U298" i="10"/>
  <c r="P214" i="10"/>
  <c r="Y214" i="10" s="1"/>
  <c r="Y215" i="10"/>
  <c r="Z215" i="10" s="1"/>
  <c r="Y206" i="10"/>
  <c r="Z206" i="10" s="1"/>
  <c r="AA313" i="9" s="1"/>
  <c r="P205" i="10"/>
  <c r="P201" i="10" s="1"/>
  <c r="Y201" i="10" s="1"/>
  <c r="AA370" i="10"/>
  <c r="AA368" i="10" s="1"/>
  <c r="AC199" i="9"/>
  <c r="P150" i="10"/>
  <c r="P44" i="10"/>
  <c r="T76" i="11"/>
  <c r="T75" i="11" s="1"/>
  <c r="T74" i="11" s="1"/>
  <c r="T86" i="11"/>
  <c r="AB171" i="17"/>
  <c r="AB165" i="17" s="1"/>
  <c r="AB160" i="17" s="1"/>
  <c r="AB169" i="17"/>
  <c r="T208" i="10"/>
  <c r="T212" i="10"/>
  <c r="T210" i="10"/>
  <c r="Y109" i="18"/>
  <c r="P108" i="18"/>
  <c r="Y116" i="11"/>
  <c r="Z114" i="11"/>
  <c r="Z116" i="11" s="1"/>
  <c r="AA438" i="9" s="1"/>
  <c r="P154" i="16"/>
  <c r="Y155" i="16"/>
  <c r="Z155" i="16" s="1"/>
  <c r="Y187" i="16"/>
  <c r="Z185" i="16"/>
  <c r="Z187" i="16" s="1"/>
  <c r="S88" i="10"/>
  <c r="S126" i="10" s="1"/>
  <c r="S26" i="10"/>
  <c r="S76" i="10"/>
  <c r="S80" i="10"/>
  <c r="S78" i="10"/>
  <c r="R208" i="10"/>
  <c r="W134" i="16"/>
  <c r="W21" i="18"/>
  <c r="Y245" i="16"/>
  <c r="P246" i="16"/>
  <c r="AD119" i="11"/>
  <c r="AD118" i="11" s="1"/>
  <c r="Y59" i="16"/>
  <c r="P58" i="16"/>
  <c r="Y37" i="17"/>
  <c r="P36" i="17"/>
  <c r="Y36" i="17" s="1"/>
  <c r="U212" i="10"/>
  <c r="U208" i="10"/>
  <c r="U210" i="10"/>
  <c r="Y317" i="10"/>
  <c r="Z317" i="10" s="1"/>
  <c r="AA328" i="9" s="1"/>
  <c r="AB328" i="9" s="1"/>
  <c r="W210" i="10"/>
  <c r="Q164" i="16"/>
  <c r="Q163" i="16" s="1"/>
  <c r="Q180" i="16"/>
  <c r="Q179" i="16" s="1"/>
  <c r="AB286" i="16"/>
  <c r="AB285" i="16" s="1"/>
  <c r="AB13" i="16" s="1"/>
  <c r="S74" i="5" s="1"/>
  <c r="V27" i="10"/>
  <c r="V93" i="10"/>
  <c r="V131" i="10" s="1"/>
  <c r="X190" i="18"/>
  <c r="X191" i="18"/>
  <c r="V39" i="11"/>
  <c r="V38" i="11" s="1"/>
  <c r="V37" i="11" s="1"/>
  <c r="V36" i="11" s="1"/>
  <c r="V48" i="11"/>
  <c r="V14" i="10"/>
  <c r="Y99" i="15"/>
  <c r="Z95" i="15"/>
  <c r="Z99" i="15" s="1"/>
  <c r="X251" i="10"/>
  <c r="X253" i="10"/>
  <c r="X255" i="10"/>
  <c r="S294" i="10"/>
  <c r="S296" i="10"/>
  <c r="S298" i="10"/>
  <c r="AD104" i="18"/>
  <c r="AE113" i="9"/>
  <c r="X23" i="18"/>
  <c r="Q28" i="10"/>
  <c r="Q98" i="10"/>
  <c r="Q136" i="10" s="1"/>
  <c r="AA48" i="18"/>
  <c r="AA46" i="18" s="1"/>
  <c r="AC220" i="9"/>
  <c r="X157" i="11"/>
  <c r="X155" i="11" s="1"/>
  <c r="Y155" i="11" s="1"/>
  <c r="W155" i="11"/>
  <c r="Y96" i="11"/>
  <c r="Z96" i="11" s="1"/>
  <c r="P105" i="11"/>
  <c r="P95" i="11"/>
  <c r="V139" i="17"/>
  <c r="V68" i="17" s="1"/>
  <c r="Z362" i="10"/>
  <c r="Z364" i="10" s="1"/>
  <c r="AA198" i="9" s="1"/>
  <c r="AB198" i="9" s="1"/>
  <c r="Y366" i="10"/>
  <c r="U25" i="16"/>
  <c r="R25" i="16"/>
  <c r="I118" i="19"/>
  <c r="Z51" i="19"/>
  <c r="Q148" i="18"/>
  <c r="Q147" i="18"/>
  <c r="Y464" i="10"/>
  <c r="Z463" i="10"/>
  <c r="Y263" i="10"/>
  <c r="P298" i="10"/>
  <c r="P296" i="10"/>
  <c r="P294" i="10"/>
  <c r="Y134" i="15"/>
  <c r="P135" i="15"/>
  <c r="Y285" i="10"/>
  <c r="Z281" i="10"/>
  <c r="U47" i="17"/>
  <c r="U53" i="17"/>
  <c r="U49" i="17"/>
  <c r="U95" i="17" s="1"/>
  <c r="U51" i="17"/>
  <c r="U97" i="17" s="1"/>
  <c r="W339" i="10"/>
  <c r="Z355" i="10"/>
  <c r="Y359" i="10"/>
  <c r="S158" i="18"/>
  <c r="S157" i="18"/>
  <c r="Y387" i="10"/>
  <c r="P386" i="10"/>
  <c r="Y386" i="10" s="1"/>
  <c r="Z387" i="10"/>
  <c r="Y539" i="10"/>
  <c r="Z539" i="10" s="1"/>
  <c r="O39" i="5"/>
  <c r="O6" i="5"/>
  <c r="AA10" i="12"/>
  <c r="R28" i="6" s="1"/>
  <c r="P135" i="17"/>
  <c r="P132" i="17"/>
  <c r="P129" i="17"/>
  <c r="P126" i="17"/>
  <c r="P123" i="17"/>
  <c r="P120" i="17"/>
  <c r="P117" i="17"/>
  <c r="P77" i="17"/>
  <c r="Y78" i="17"/>
  <c r="Z78" i="17" s="1"/>
  <c r="Q35" i="19"/>
  <c r="Q141" i="17"/>
  <c r="W112" i="10"/>
  <c r="W37" i="10"/>
  <c r="W114" i="10"/>
  <c r="W152" i="10" s="1"/>
  <c r="W116" i="10"/>
  <c r="W154" i="10" s="1"/>
  <c r="W118" i="10"/>
  <c r="W156" i="10" s="1"/>
  <c r="S98" i="10"/>
  <c r="S136" i="10" s="1"/>
  <c r="S28" i="10"/>
  <c r="U186" i="18"/>
  <c r="U185" i="18"/>
  <c r="Y52" i="18"/>
  <c r="P51" i="18"/>
  <c r="Y150" i="16"/>
  <c r="Z150" i="16" s="1"/>
  <c r="P149" i="16"/>
  <c r="W35" i="10"/>
  <c r="W102" i="10"/>
  <c r="I112" i="19"/>
  <c r="Z50" i="19"/>
  <c r="Z31" i="19" s="1"/>
  <c r="Y31" i="19"/>
  <c r="Q70" i="11"/>
  <c r="Q69" i="11" s="1"/>
  <c r="Q57" i="11"/>
  <c r="Q56" i="11" s="1"/>
  <c r="Q55" i="11" s="1"/>
  <c r="Q67" i="11"/>
  <c r="Q66" i="11" s="1"/>
  <c r="V28" i="10"/>
  <c r="V98" i="10"/>
  <c r="V136" i="10" s="1"/>
  <c r="S93" i="10"/>
  <c r="S131" i="10" s="1"/>
  <c r="S27" i="10"/>
  <c r="V384" i="10"/>
  <c r="V380" i="10"/>
  <c r="V382" i="10"/>
  <c r="R40" i="10"/>
  <c r="R130" i="10"/>
  <c r="R35" i="10"/>
  <c r="R102" i="10"/>
  <c r="Q48" i="11"/>
  <c r="Q39" i="11"/>
  <c r="Q38" i="11" s="1"/>
  <c r="Q37" i="11" s="1"/>
  <c r="Q36" i="11" s="1"/>
  <c r="Q14" i="10"/>
  <c r="Y60" i="10"/>
  <c r="P28" i="10"/>
  <c r="P98" i="10"/>
  <c r="P136" i="10" s="1"/>
  <c r="Y502" i="10"/>
  <c r="Z501" i="10"/>
  <c r="Y102" i="18"/>
  <c r="P101" i="18"/>
  <c r="Q35" i="16"/>
  <c r="Q132" i="16"/>
  <c r="Q212" i="16" s="1"/>
  <c r="Q130" i="16"/>
  <c r="Q134" i="16"/>
  <c r="V130" i="16"/>
  <c r="V35" i="16"/>
  <c r="V132" i="16"/>
  <c r="V212" i="16" s="1"/>
  <c r="V134" i="16"/>
  <c r="AB123" i="15"/>
  <c r="AB119" i="15" s="1"/>
  <c r="AB114" i="15" s="1"/>
  <c r="P164" i="16"/>
  <c r="Y165" i="16"/>
  <c r="Z165" i="16" s="1"/>
  <c r="P180" i="16"/>
  <c r="X146" i="10"/>
  <c r="Y137" i="18"/>
  <c r="Z137" i="18" s="1"/>
  <c r="P136" i="18"/>
  <c r="AC46" i="15"/>
  <c r="AC44" i="15" s="1"/>
  <c r="AE217" i="9"/>
  <c r="AD46" i="15" s="1"/>
  <c r="AD44" i="15" s="1"/>
  <c r="P81" i="17"/>
  <c r="Y81" i="17" s="1"/>
  <c r="Y82" i="17"/>
  <c r="Z82" i="17" s="1"/>
  <c r="T164" i="16"/>
  <c r="T163" i="16" s="1"/>
  <c r="T180" i="16"/>
  <c r="T179" i="16" s="1"/>
  <c r="X107" i="11"/>
  <c r="X105" i="11"/>
  <c r="X104" i="11" s="1"/>
  <c r="X95" i="11"/>
  <c r="X94" i="11" s="1"/>
  <c r="X93" i="11" s="1"/>
  <c r="Y273" i="10"/>
  <c r="Z269" i="10"/>
  <c r="Z273" i="10" s="1"/>
  <c r="Z43" i="15"/>
  <c r="Z47" i="15" s="1"/>
  <c r="AA354" i="9" s="1"/>
  <c r="AB354" i="9" s="1"/>
  <c r="Y47" i="15"/>
  <c r="V158" i="18"/>
  <c r="V157" i="18"/>
  <c r="R37" i="10"/>
  <c r="R112" i="10"/>
  <c r="R114" i="10"/>
  <c r="R152" i="10" s="1"/>
  <c r="R116" i="10"/>
  <c r="R154" i="10" s="1"/>
  <c r="R118" i="10"/>
  <c r="R156" i="10" s="1"/>
  <c r="O109" i="5"/>
  <c r="O119" i="5"/>
  <c r="O120" i="5" s="1"/>
  <c r="Y428" i="10"/>
  <c r="Z427" i="10"/>
  <c r="S210" i="10"/>
  <c r="S212" i="10"/>
  <c r="S208" i="10"/>
  <c r="Y89" i="10"/>
  <c r="Z89" i="10" s="1"/>
  <c r="Z91" i="10" s="1"/>
  <c r="Z42" i="11"/>
  <c r="Z46" i="11" s="1"/>
  <c r="Y46" i="11"/>
  <c r="Y116" i="18"/>
  <c r="P115" i="18"/>
  <c r="Q251" i="10"/>
  <c r="Q255" i="10"/>
  <c r="Q253" i="10"/>
  <c r="AA243" i="10"/>
  <c r="AA242" i="10" s="1"/>
  <c r="AC318" i="9"/>
  <c r="AD24" i="15"/>
  <c r="AE101" i="9"/>
  <c r="AD351" i="10"/>
  <c r="AE83" i="9"/>
  <c r="Y177" i="10"/>
  <c r="P28" i="15"/>
  <c r="Y28" i="15" s="1"/>
  <c r="Y29" i="15"/>
  <c r="Y30" i="10"/>
  <c r="AD168" i="17"/>
  <c r="AD166" i="17" s="1"/>
  <c r="AC166" i="17"/>
  <c r="R174" i="16"/>
  <c r="AC104" i="17"/>
  <c r="AB102" i="17"/>
  <c r="AB101" i="17" s="1"/>
  <c r="AB66" i="17" s="1"/>
  <c r="U39" i="11"/>
  <c r="U38" i="11" s="1"/>
  <c r="U37" i="11" s="1"/>
  <c r="U36" i="11" s="1"/>
  <c r="U48" i="11"/>
  <c r="U14" i="10"/>
  <c r="Q57" i="15"/>
  <c r="Q61" i="15"/>
  <c r="Q59" i="15"/>
  <c r="Q103" i="15" s="1"/>
  <c r="P190" i="18"/>
  <c r="P191" i="18"/>
  <c r="P27" i="10"/>
  <c r="P93" i="10"/>
  <c r="P131" i="10" s="1"/>
  <c r="Y55" i="10"/>
  <c r="V29" i="10"/>
  <c r="V103" i="10"/>
  <c r="X57" i="15"/>
  <c r="X61" i="15"/>
  <c r="X59" i="15"/>
  <c r="X103" i="15" s="1"/>
  <c r="V341" i="10"/>
  <c r="V337" i="10"/>
  <c r="V339" i="10"/>
  <c r="AC83" i="11"/>
  <c r="AE442" i="9"/>
  <c r="AD83" i="11" s="1"/>
  <c r="O129" i="17"/>
  <c r="W132" i="16"/>
  <c r="W212" i="16" s="1"/>
  <c r="T150" i="11"/>
  <c r="Y242" i="16"/>
  <c r="P243" i="16"/>
  <c r="T28" i="16"/>
  <c r="T80" i="16"/>
  <c r="T82" i="16"/>
  <c r="T176" i="16" s="1"/>
  <c r="T84" i="16"/>
  <c r="AC119" i="11"/>
  <c r="AC118" i="11" s="1"/>
  <c r="Y36" i="15"/>
  <c r="P35" i="15"/>
  <c r="Y35" i="15" s="1"/>
  <c r="AA62" i="16"/>
  <c r="AA60" i="16" s="1"/>
  <c r="AC204" i="9"/>
  <c r="S395" i="10"/>
  <c r="S11" i="10" s="1"/>
  <c r="U76" i="11"/>
  <c r="U75" i="11" s="1"/>
  <c r="U74" i="11" s="1"/>
  <c r="U86" i="11"/>
  <c r="Y316" i="10"/>
  <c r="Z312" i="10"/>
  <c r="Z316" i="10" s="1"/>
  <c r="T251" i="10"/>
  <c r="T253" i="10"/>
  <c r="T255" i="10"/>
  <c r="V67" i="11"/>
  <c r="V66" i="11" s="1"/>
  <c r="V70" i="11"/>
  <c r="V69" i="11" s="1"/>
  <c r="V57" i="11"/>
  <c r="V56" i="11" s="1"/>
  <c r="V55" i="11" s="1"/>
  <c r="Y50" i="15"/>
  <c r="P49" i="15"/>
  <c r="Y49" i="15" s="1"/>
  <c r="W57" i="15"/>
  <c r="T110" i="11"/>
  <c r="T23" i="11" s="1"/>
  <c r="T36" i="18"/>
  <c r="T130" i="18"/>
  <c r="T132" i="18"/>
  <c r="T208" i="18" s="1"/>
  <c r="T134" i="18"/>
  <c r="Y233" i="18"/>
  <c r="P234" i="18"/>
  <c r="Y104" i="10"/>
  <c r="Z104" i="10" s="1"/>
  <c r="Z106" i="10" s="1"/>
  <c r="AA163" i="9" s="1"/>
  <c r="AB163" i="9" s="1"/>
  <c r="X28" i="16"/>
  <c r="X82" i="16"/>
  <c r="X176" i="16" s="1"/>
  <c r="X80" i="16"/>
  <c r="X84" i="16"/>
  <c r="Q132" i="18"/>
  <c r="Q208" i="18" s="1"/>
  <c r="Q36" i="18"/>
  <c r="Q22" i="18" s="1"/>
  <c r="Q130" i="18"/>
  <c r="Q134" i="18"/>
  <c r="S25" i="16"/>
  <c r="Q135" i="17"/>
  <c r="Q136" i="17" s="1"/>
  <c r="Q126" i="17"/>
  <c r="Q127" i="17" s="1"/>
  <c r="Q77" i="17"/>
  <c r="Q117" i="17"/>
  <c r="Q118" i="17" s="1"/>
  <c r="Q132" i="17"/>
  <c r="Q133" i="17" s="1"/>
  <c r="Q123" i="17"/>
  <c r="Q124" i="17" s="1"/>
  <c r="Q129" i="17"/>
  <c r="Q130" i="17" s="1"/>
  <c r="Q120" i="17"/>
  <c r="Q121" i="17" s="1"/>
  <c r="Y192" i="16"/>
  <c r="Z190" i="16"/>
  <c r="Z192" i="16" s="1"/>
  <c r="Z465" i="10"/>
  <c r="P300" i="10"/>
  <c r="Y300" i="10" s="1"/>
  <c r="Y301" i="10"/>
  <c r="Z301" i="10"/>
  <c r="Z282" i="10"/>
  <c r="Z284" i="10" s="1"/>
  <c r="AA187" i="9" s="1"/>
  <c r="AB187" i="9" s="1"/>
  <c r="Y286" i="10"/>
  <c r="W341" i="10"/>
  <c r="Z356" i="10"/>
  <c r="Z358" i="10" s="1"/>
  <c r="AA197" i="9" s="1"/>
  <c r="AB197" i="9" s="1"/>
  <c r="Y360" i="10"/>
  <c r="R32" i="12"/>
  <c r="R31" i="12" s="1"/>
  <c r="R29" i="12"/>
  <c r="R28" i="12" s="1"/>
  <c r="R37" i="12"/>
  <c r="R36" i="12" s="1"/>
  <c r="V135" i="17"/>
  <c r="V136" i="17" s="1"/>
  <c r="V132" i="17"/>
  <c r="V133" i="17" s="1"/>
  <c r="V129" i="17"/>
  <c r="V130" i="17" s="1"/>
  <c r="V126" i="17"/>
  <c r="V127" i="17" s="1"/>
  <c r="V123" i="17"/>
  <c r="V124" i="17" s="1"/>
  <c r="V120" i="17"/>
  <c r="V121" i="17" s="1"/>
  <c r="V117" i="17"/>
  <c r="V118" i="17" s="1"/>
  <c r="V77" i="17"/>
  <c r="R22" i="18"/>
  <c r="Y349" i="10"/>
  <c r="S17" i="2"/>
  <c r="R14" i="3"/>
  <c r="Y73" i="16"/>
  <c r="P72" i="16"/>
  <c r="AA25" i="15"/>
  <c r="AA23" i="15" s="1"/>
  <c r="AC214" i="9"/>
  <c r="S135" i="17"/>
  <c r="S136" i="17" s="1"/>
  <c r="S132" i="17"/>
  <c r="S133" i="17" s="1"/>
  <c r="S129" i="17"/>
  <c r="S130" i="17" s="1"/>
  <c r="S126" i="17"/>
  <c r="S127" i="17" s="1"/>
  <c r="S123" i="17"/>
  <c r="S124" i="17" s="1"/>
  <c r="S120" i="17"/>
  <c r="S121" i="17" s="1"/>
  <c r="S117" i="17"/>
  <c r="S118" i="17" s="1"/>
  <c r="S77" i="17"/>
  <c r="Y66" i="16"/>
  <c r="P65" i="16"/>
  <c r="S103" i="10"/>
  <c r="S141" i="10" s="1"/>
  <c r="S29" i="10"/>
  <c r="AD122" i="15"/>
  <c r="AD120" i="15" s="1"/>
  <c r="AC120" i="15"/>
  <c r="T298" i="10"/>
  <c r="T296" i="10"/>
  <c r="T294" i="10"/>
  <c r="P186" i="18"/>
  <c r="P185" i="18"/>
  <c r="AB92" i="15"/>
  <c r="AB490" i="10"/>
  <c r="S251" i="10"/>
  <c r="S255" i="10"/>
  <c r="S253" i="10"/>
  <c r="AB19" i="12"/>
  <c r="AA17" i="12"/>
  <c r="AA15" i="12" s="1"/>
  <c r="W34" i="10"/>
  <c r="W97" i="10"/>
  <c r="Z397" i="10"/>
  <c r="Y401" i="10"/>
  <c r="W75" i="10"/>
  <c r="Z51" i="10"/>
  <c r="Y15" i="10"/>
  <c r="Y197" i="18"/>
  <c r="Z117" i="18"/>
  <c r="Z205" i="16"/>
  <c r="Z207" i="16" s="1"/>
  <c r="Y207" i="16"/>
  <c r="S36" i="18"/>
  <c r="S22" i="18" s="1"/>
  <c r="S132" i="18"/>
  <c r="S208" i="18" s="1"/>
  <c r="S130" i="18"/>
  <c r="S134" i="18"/>
  <c r="AD97" i="16"/>
  <c r="AE95" i="9"/>
  <c r="AA180" i="10"/>
  <c r="AA178" i="10" s="1"/>
  <c r="AC172" i="9"/>
  <c r="T341" i="10"/>
  <c r="T337" i="10"/>
  <c r="T339" i="10"/>
  <c r="AA32" i="15"/>
  <c r="AA30" i="15" s="1"/>
  <c r="AC215" i="9"/>
  <c r="Z70" i="10"/>
  <c r="Y74" i="10"/>
  <c r="V57" i="15"/>
  <c r="V59" i="15"/>
  <c r="V103" i="15" s="1"/>
  <c r="V61" i="15"/>
  <c r="Y335" i="10"/>
  <c r="Z335" i="10" s="1"/>
  <c r="AA331" i="9" s="1"/>
  <c r="P334" i="10"/>
  <c r="P330" i="10" s="1"/>
  <c r="Y330" i="10" s="1"/>
  <c r="W37" i="12"/>
  <c r="W36" i="12" s="1"/>
  <c r="W29" i="12"/>
  <c r="W28" i="12" s="1"/>
  <c r="W32" i="12"/>
  <c r="W31" i="12" s="1"/>
  <c r="W253" i="10"/>
  <c r="P122" i="16"/>
  <c r="Y123" i="16"/>
  <c r="Y94" i="15"/>
  <c r="Z90" i="15"/>
  <c r="P132" i="10"/>
  <c r="Y132" i="10" s="1"/>
  <c r="Z132" i="10" s="1"/>
  <c r="Z134" i="10" s="1"/>
  <c r="AA167" i="9" s="1"/>
  <c r="AB167" i="9" s="1"/>
  <c r="Z285" i="18"/>
  <c r="Y276" i="18"/>
  <c r="Y200" i="10"/>
  <c r="Z200" i="10" s="1"/>
  <c r="AA312" i="9" s="1"/>
  <c r="AB312" i="9" s="1"/>
  <c r="V107" i="11"/>
  <c r="V105" i="11"/>
  <c r="V104" i="11" s="1"/>
  <c r="V95" i="11"/>
  <c r="V94" i="11" s="1"/>
  <c r="V93" i="11" s="1"/>
  <c r="S148" i="18"/>
  <c r="S147" i="18"/>
  <c r="X208" i="10"/>
  <c r="X210" i="10"/>
  <c r="X212" i="10"/>
  <c r="X36" i="18"/>
  <c r="X22" i="18" s="1"/>
  <c r="X130" i="18"/>
  <c r="X132" i="18"/>
  <c r="X208" i="18" s="1"/>
  <c r="X134" i="18"/>
  <c r="V154" i="11"/>
  <c r="U152" i="11"/>
  <c r="U150" i="11" s="1"/>
  <c r="AA119" i="11"/>
  <c r="AA118" i="11" s="1"/>
  <c r="AA39" i="15"/>
  <c r="AA37" i="15" s="1"/>
  <c r="AC216" i="9"/>
  <c r="P159" i="16"/>
  <c r="Y160" i="16"/>
  <c r="Z160" i="16" s="1"/>
  <c r="T384" i="10"/>
  <c r="T380" i="10"/>
  <c r="T382" i="10"/>
  <c r="Y86" i="17"/>
  <c r="Z86" i="17" s="1"/>
  <c r="P85" i="17"/>
  <c r="Y85" i="17" s="1"/>
  <c r="T23" i="18"/>
  <c r="AA315" i="10"/>
  <c r="AA313" i="10" s="1"/>
  <c r="AC191" i="9"/>
  <c r="S28" i="16"/>
  <c r="S82" i="16"/>
  <c r="S176" i="16" s="1"/>
  <c r="S80" i="16"/>
  <c r="S84" i="16"/>
  <c r="Z181" i="15"/>
  <c r="Y171" i="15"/>
  <c r="P35" i="19"/>
  <c r="P141" i="17"/>
  <c r="Z183" i="10"/>
  <c r="Y187" i="10"/>
  <c r="W61" i="15"/>
  <c r="U103" i="10"/>
  <c r="U29" i="10"/>
  <c r="T186" i="18"/>
  <c r="T185" i="18"/>
  <c r="Y236" i="18"/>
  <c r="P237" i="18"/>
  <c r="Y142" i="10"/>
  <c r="Z142" i="10" s="1"/>
  <c r="Z144" i="10" s="1"/>
  <c r="AA169" i="9" s="1"/>
  <c r="AB169" i="9" s="1"/>
  <c r="V210" i="10"/>
  <c r="V208" i="10"/>
  <c r="V212" i="10"/>
  <c r="Q186" i="18"/>
  <c r="Q185" i="18"/>
  <c r="V25" i="16"/>
  <c r="T25" i="16"/>
  <c r="Y193" i="16"/>
  <c r="Z189" i="16"/>
  <c r="Y17" i="10"/>
  <c r="Z61" i="10"/>
  <c r="P40" i="6"/>
  <c r="Y137" i="15"/>
  <c r="P138" i="15"/>
  <c r="X27" i="10"/>
  <c r="X93" i="10"/>
  <c r="X131" i="10" s="1"/>
  <c r="U195" i="18"/>
  <c r="U196" i="18"/>
  <c r="Q195" i="18"/>
  <c r="Q196" i="18"/>
  <c r="Y102" i="16"/>
  <c r="P101" i="16"/>
  <c r="U135" i="17"/>
  <c r="U136" i="17" s="1"/>
  <c r="U132" i="17"/>
  <c r="U133" i="17" s="1"/>
  <c r="U129" i="17"/>
  <c r="U130" i="17" s="1"/>
  <c r="U126" i="17"/>
  <c r="U127" i="17" s="1"/>
  <c r="U123" i="17"/>
  <c r="U124" i="17" s="1"/>
  <c r="U120" i="17"/>
  <c r="U121" i="17" s="1"/>
  <c r="U117" i="17"/>
  <c r="U118" i="17" s="1"/>
  <c r="U77" i="17"/>
  <c r="R27" i="11"/>
  <c r="T61" i="15"/>
  <c r="T57" i="15"/>
  <c r="T59" i="15"/>
  <c r="T103" i="15" s="1"/>
  <c r="Z411" i="10"/>
  <c r="AA352" i="10"/>
  <c r="AA350" i="10" s="1"/>
  <c r="AC196" i="9"/>
  <c r="Z511" i="10"/>
  <c r="Y515" i="10"/>
  <c r="Z520" i="10"/>
  <c r="Z189" i="10"/>
  <c r="Y193" i="10"/>
  <c r="X49" i="17"/>
  <c r="X95" i="17" s="1"/>
  <c r="X47" i="17"/>
  <c r="X53" i="17"/>
  <c r="X51" i="17"/>
  <c r="X97" i="17" s="1"/>
  <c r="S107" i="11"/>
  <c r="S105" i="11"/>
  <c r="S104" i="11" s="1"/>
  <c r="S95" i="11"/>
  <c r="S94" i="11" s="1"/>
  <c r="S93" i="11" s="1"/>
  <c r="Y311" i="10"/>
  <c r="Z311" i="10" s="1"/>
  <c r="AA327" i="9" s="1"/>
  <c r="AB327" i="9" s="1"/>
  <c r="U337" i="10"/>
  <c r="U341" i="10"/>
  <c r="U339" i="10"/>
  <c r="Y84" i="11"/>
  <c r="Z80" i="11"/>
  <c r="Z84" i="11" s="1"/>
  <c r="X294" i="10"/>
  <c r="X296" i="10"/>
  <c r="X298" i="10"/>
  <c r="Q107" i="11"/>
  <c r="Q105" i="11"/>
  <c r="Q104" i="11" s="1"/>
  <c r="Q95" i="11"/>
  <c r="Q94" i="11" s="1"/>
  <c r="Q93" i="11" s="1"/>
  <c r="Z8" i="12"/>
  <c r="V28" i="18"/>
  <c r="V84" i="18"/>
  <c r="V82" i="18"/>
  <c r="V175" i="18" s="1"/>
  <c r="V80" i="18"/>
  <c r="P282" i="18"/>
  <c r="P281" i="18" s="1"/>
  <c r="P13" i="18" s="1"/>
  <c r="P249" i="18"/>
  <c r="P248" i="18" s="1"/>
  <c r="P218" i="18" s="1"/>
  <c r="P215" i="18" s="1"/>
  <c r="P10" i="18" s="1"/>
  <c r="R101" i="15"/>
  <c r="U112" i="10"/>
  <c r="U37" i="10"/>
  <c r="Y426" i="10"/>
  <c r="Z425" i="10"/>
  <c r="T93" i="10"/>
  <c r="T131" i="10" s="1"/>
  <c r="T27" i="10"/>
  <c r="P196" i="18"/>
  <c r="P195" i="18"/>
  <c r="W36" i="10"/>
  <c r="W107" i="10"/>
  <c r="Z204" i="16"/>
  <c r="Y208" i="16"/>
  <c r="T77" i="17"/>
  <c r="T126" i="17"/>
  <c r="T127" i="17" s="1"/>
  <c r="T117" i="17"/>
  <c r="T118" i="17" s="1"/>
  <c r="T132" i="17"/>
  <c r="T133" i="17" s="1"/>
  <c r="T123" i="17"/>
  <c r="T124" i="17" s="1"/>
  <c r="T129" i="17"/>
  <c r="T130" i="17" s="1"/>
  <c r="T120" i="17"/>
  <c r="T121" i="17" s="1"/>
  <c r="T135" i="17"/>
  <c r="T136" i="17" s="1"/>
  <c r="Z47" i="19"/>
  <c r="I94" i="19"/>
  <c r="X196" i="18"/>
  <c r="X195" i="18"/>
  <c r="AD179" i="10"/>
  <c r="AE59" i="9"/>
  <c r="Y95" i="16"/>
  <c r="P94" i="16"/>
  <c r="T35" i="16"/>
  <c r="T130" i="16"/>
  <c r="T132" i="16"/>
  <c r="T212" i="16" s="1"/>
  <c r="T134" i="16"/>
  <c r="Y82" i="15"/>
  <c r="Z82" i="15" s="1"/>
  <c r="P81" i="15"/>
  <c r="AB11" i="11"/>
  <c r="P55" i="17"/>
  <c r="Y55" i="17" s="1"/>
  <c r="Y56" i="17"/>
  <c r="Z56" i="17" s="1"/>
  <c r="W27" i="11"/>
  <c r="W255" i="10"/>
  <c r="Y93" i="15"/>
  <c r="Z91" i="15"/>
  <c r="Z93" i="15" s="1"/>
  <c r="S15" i="3"/>
  <c r="T9" i="2"/>
  <c r="U191" i="18"/>
  <c r="U190" i="18"/>
  <c r="Q249" i="18"/>
  <c r="Q248" i="18" s="1"/>
  <c r="Q218" i="18" s="1"/>
  <c r="Q215" i="18" s="1"/>
  <c r="Q10" i="18" s="1"/>
  <c r="Q282" i="18"/>
  <c r="Q281" i="18" s="1"/>
  <c r="Q13" i="18" s="1"/>
  <c r="I100" i="19"/>
  <c r="Z48" i="19"/>
  <c r="P67" i="11"/>
  <c r="P70" i="11"/>
  <c r="Y58" i="11"/>
  <c r="Z58" i="11" s="1"/>
  <c r="P57" i="11"/>
  <c r="R139" i="17"/>
  <c r="R68" i="17" s="1"/>
  <c r="X35" i="16"/>
  <c r="X130" i="16"/>
  <c r="X134" i="16"/>
  <c r="X132" i="16"/>
  <c r="X212" i="16" s="1"/>
  <c r="S48" i="11"/>
  <c r="S39" i="11"/>
  <c r="S38" i="11" s="1"/>
  <c r="S37" i="11" s="1"/>
  <c r="S36" i="11" s="1"/>
  <c r="S14" i="10"/>
  <c r="Y109" i="16"/>
  <c r="P108" i="16"/>
  <c r="W130" i="16"/>
  <c r="Q80" i="16"/>
  <c r="Q28" i="16"/>
  <c r="Q84" i="16"/>
  <c r="Q82" i="16"/>
  <c r="Q176" i="16" s="1"/>
  <c r="Y45" i="16"/>
  <c r="P44" i="16"/>
  <c r="AB115" i="11"/>
  <c r="AB114" i="11" s="1"/>
  <c r="AB113" i="11" s="1"/>
  <c r="AA115" i="11"/>
  <c r="AA114" i="11" s="1"/>
  <c r="AA113" i="11" s="1"/>
  <c r="AC115" i="11"/>
  <c r="AC114" i="11" s="1"/>
  <c r="AC113" i="11" s="1"/>
  <c r="AD115" i="11"/>
  <c r="AD114" i="11" s="1"/>
  <c r="AD113" i="11" s="1"/>
  <c r="Q191" i="18"/>
  <c r="Q190" i="18"/>
  <c r="Y87" i="15"/>
  <c r="Z87" i="15" s="1"/>
  <c r="P86" i="15"/>
  <c r="Z483" i="10"/>
  <c r="Z487" i="10" s="1"/>
  <c r="Y487" i="10"/>
  <c r="Y198" i="16"/>
  <c r="Z194" i="16"/>
  <c r="T158" i="18"/>
  <c r="T157" i="18"/>
  <c r="Q27" i="10"/>
  <c r="Q93" i="10"/>
  <c r="Q131" i="10" s="1"/>
  <c r="I126" i="19"/>
  <c r="Y55" i="19"/>
  <c r="Y54" i="19" s="1"/>
  <c r="Z56" i="19"/>
  <c r="V164" i="16"/>
  <c r="V163" i="16" s="1"/>
  <c r="V180" i="16"/>
  <c r="V179" i="16" s="1"/>
  <c r="Z184" i="10"/>
  <c r="Z186" i="10" s="1"/>
  <c r="AA173" i="9" s="1"/>
  <c r="AB173" i="9" s="1"/>
  <c r="Y188" i="10"/>
  <c r="W293" i="10"/>
  <c r="W262" i="10" s="1"/>
  <c r="W170" i="10" s="1"/>
  <c r="X141" i="11"/>
  <c r="U107" i="11"/>
  <c r="U105" i="11"/>
  <c r="U104" i="11" s="1"/>
  <c r="U95" i="11"/>
  <c r="U94" i="11" s="1"/>
  <c r="U93" i="11" s="1"/>
  <c r="Y149" i="18"/>
  <c r="Z149" i="18" s="1"/>
  <c r="P148" i="18"/>
  <c r="P147" i="18"/>
  <c r="Y65" i="10"/>
  <c r="P29" i="10"/>
  <c r="P103" i="10"/>
  <c r="W89" i="11"/>
  <c r="W88" i="11" s="1"/>
  <c r="W85" i="11"/>
  <c r="W73" i="11" s="1"/>
  <c r="Y77" i="11"/>
  <c r="P76" i="11"/>
  <c r="P86" i="11"/>
  <c r="Y439" i="10"/>
  <c r="Z435" i="10"/>
  <c r="Y64" i="15"/>
  <c r="Z64" i="15" s="1"/>
  <c r="P63" i="15"/>
  <c r="X67" i="11"/>
  <c r="X66" i="11" s="1"/>
  <c r="X70" i="11"/>
  <c r="X69" i="11" s="1"/>
  <c r="X57" i="11"/>
  <c r="X56" i="11" s="1"/>
  <c r="X55" i="11" s="1"/>
  <c r="U35" i="16"/>
  <c r="U132" i="16"/>
  <c r="U212" i="16" s="1"/>
  <c r="U130" i="16"/>
  <c r="U134" i="16"/>
  <c r="T28" i="18"/>
  <c r="T80" i="18"/>
  <c r="T84" i="18"/>
  <c r="T82" i="18"/>
  <c r="T175" i="18" s="1"/>
  <c r="AA105" i="16"/>
  <c r="AA103" i="16" s="1"/>
  <c r="AC209" i="9"/>
  <c r="P498" i="10"/>
  <c r="P472" i="10" s="1"/>
  <c r="Y499" i="10"/>
  <c r="R50" i="11"/>
  <c r="R47" i="11"/>
  <c r="X48" i="11"/>
  <c r="X39" i="11"/>
  <c r="X38" i="11" s="1"/>
  <c r="X37" i="11" s="1"/>
  <c r="X36" i="11" s="1"/>
  <c r="X14" i="10"/>
  <c r="R79" i="18"/>
  <c r="R173" i="18"/>
  <c r="R172" i="18" s="1"/>
  <c r="R146" i="18" s="1"/>
  <c r="T150" i="10"/>
  <c r="T44" i="10"/>
  <c r="V498" i="10"/>
  <c r="V472" i="10" s="1"/>
  <c r="V395" i="10" s="1"/>
  <c r="V11" i="10" s="1"/>
  <c r="Y543" i="10"/>
  <c r="P24" i="19"/>
  <c r="P140" i="17"/>
  <c r="P139" i="17" s="1"/>
  <c r="S47" i="17"/>
  <c r="S53" i="17"/>
  <c r="S51" i="17"/>
  <c r="S97" i="17" s="1"/>
  <c r="S49" i="17"/>
  <c r="S95" i="17" s="1"/>
  <c r="R36" i="10"/>
  <c r="R107" i="10"/>
  <c r="Y127" i="11"/>
  <c r="Z127" i="11" s="1"/>
  <c r="P126" i="11"/>
  <c r="Y126" i="11" s="1"/>
  <c r="S164" i="16"/>
  <c r="S163" i="16" s="1"/>
  <c r="S180" i="16"/>
  <c r="S179" i="16" s="1"/>
  <c r="R132" i="16"/>
  <c r="R212" i="16" s="1"/>
  <c r="V186" i="18"/>
  <c r="V185" i="18"/>
  <c r="W33" i="10"/>
  <c r="W92" i="10"/>
  <c r="T70" i="11"/>
  <c r="T69" i="11" s="1"/>
  <c r="T67" i="11"/>
  <c r="T66" i="11" s="1"/>
  <c r="T57" i="11"/>
  <c r="T56" i="11" s="1"/>
  <c r="T55" i="11" s="1"/>
  <c r="W21" i="16"/>
  <c r="P377" i="10"/>
  <c r="P373" i="10" s="1"/>
  <c r="Y373" i="10" s="1"/>
  <c r="Y378" i="10"/>
  <c r="Z378" i="10" s="1"/>
  <c r="AA337" i="9" s="1"/>
  <c r="V26" i="10"/>
  <c r="V88" i="10"/>
  <c r="V76" i="10"/>
  <c r="V80" i="10"/>
  <c r="V78" i="10"/>
  <c r="Y279" i="10"/>
  <c r="Z275" i="10"/>
  <c r="V176" i="15"/>
  <c r="V13" i="15" s="1"/>
  <c r="V144" i="15"/>
  <c r="V143" i="15" s="1"/>
  <c r="V116" i="15" s="1"/>
  <c r="V113" i="15" s="1"/>
  <c r="V10" i="15" s="1"/>
  <c r="S112" i="10"/>
  <c r="S37" i="10"/>
  <c r="AA198" i="10"/>
  <c r="AA196" i="10" s="1"/>
  <c r="AC175" i="9"/>
  <c r="Z190" i="10"/>
  <c r="Z192" i="10" s="1"/>
  <c r="AA174" i="9" s="1"/>
  <c r="AB174" i="9" s="1"/>
  <c r="Y194" i="10"/>
  <c r="AD107" i="17"/>
  <c r="AD105" i="17" s="1"/>
  <c r="AC105" i="17"/>
  <c r="S337" i="10"/>
  <c r="S341" i="10"/>
  <c r="S339" i="10"/>
  <c r="Y344" i="10"/>
  <c r="P343" i="10"/>
  <c r="Y343" i="10" s="1"/>
  <c r="Z344" i="10"/>
  <c r="U164" i="16"/>
  <c r="U163" i="16" s="1"/>
  <c r="U180" i="16"/>
  <c r="U179" i="16" s="1"/>
  <c r="R141" i="10"/>
  <c r="U158" i="18"/>
  <c r="U157" i="18"/>
  <c r="Y123" i="11"/>
  <c r="T26" i="10"/>
  <c r="T88" i="10"/>
  <c r="T80" i="10"/>
  <c r="T76" i="10"/>
  <c r="T78" i="10"/>
  <c r="X29" i="10"/>
  <c r="X103" i="10"/>
  <c r="X141" i="10" s="1"/>
  <c r="Y275" i="18"/>
  <c r="Y274" i="18" s="1"/>
  <c r="Z284" i="18"/>
  <c r="Y283" i="18"/>
  <c r="W131" i="10"/>
  <c r="V36" i="18"/>
  <c r="V22" i="18" s="1"/>
  <c r="V134" i="18"/>
  <c r="V132" i="18"/>
  <c r="V208" i="18" s="1"/>
  <c r="V130" i="18"/>
  <c r="U146" i="10"/>
  <c r="Y329" i="10"/>
  <c r="Z329" i="10" s="1"/>
  <c r="AA330" i="9" s="1"/>
  <c r="AB330" i="9" s="1"/>
  <c r="V294" i="10"/>
  <c r="V296" i="10"/>
  <c r="V298" i="10"/>
  <c r="S57" i="15"/>
  <c r="S61" i="15"/>
  <c r="S59" i="15"/>
  <c r="S103" i="15" s="1"/>
  <c r="W43" i="10"/>
  <c r="W145" i="10"/>
  <c r="Q24" i="19"/>
  <c r="Q140" i="17"/>
  <c r="Q139" i="17" s="1"/>
  <c r="Q68" i="17" s="1"/>
  <c r="S186" i="18"/>
  <c r="S185" i="18"/>
  <c r="P248" i="10"/>
  <c r="P244" i="10" s="1"/>
  <c r="Y244" i="10" s="1"/>
  <c r="Y249" i="10"/>
  <c r="Z249" i="10" s="1"/>
  <c r="AA319" i="9" s="1"/>
  <c r="Y286" i="18"/>
  <c r="Y250" i="18" s="1"/>
  <c r="Y278" i="18"/>
  <c r="Y277" i="18" s="1"/>
  <c r="Z287" i="18"/>
  <c r="Z286" i="18" s="1"/>
  <c r="Z250" i="18" s="1"/>
  <c r="AD222" i="10"/>
  <c r="AE65" i="9"/>
  <c r="Y137" i="16"/>
  <c r="Z137" i="16" s="1"/>
  <c r="P136" i="16"/>
  <c r="Q37" i="10"/>
  <c r="Q112" i="10"/>
  <c r="AD179" i="11"/>
  <c r="AD167" i="11" s="1"/>
  <c r="AC167" i="11"/>
  <c r="T195" i="18"/>
  <c r="T196" i="18"/>
  <c r="P26" i="17"/>
  <c r="Y27" i="17"/>
  <c r="W50" i="11"/>
  <c r="W47" i="11"/>
  <c r="V28" i="16"/>
  <c r="V80" i="16"/>
  <c r="V82" i="16"/>
  <c r="V176" i="16" s="1"/>
  <c r="V84" i="16"/>
  <c r="V255" i="10"/>
  <c r="V253" i="10"/>
  <c r="V251" i="10"/>
  <c r="Q273" i="18"/>
  <c r="Q272" i="18" s="1"/>
  <c r="Z56" i="10"/>
  <c r="Y16" i="10"/>
  <c r="P39" i="6"/>
  <c r="Y202" i="16"/>
  <c r="Z200" i="16"/>
  <c r="Z202" i="16" s="1"/>
  <c r="U36" i="18"/>
  <c r="U22" i="18" s="1"/>
  <c r="U130" i="18"/>
  <c r="U134" i="18"/>
  <c r="U132" i="18"/>
  <c r="U208" i="18" s="1"/>
  <c r="AA112" i="16"/>
  <c r="AA110" i="16" s="1"/>
  <c r="AC210" i="9"/>
  <c r="X186" i="18"/>
  <c r="X185" i="18"/>
  <c r="AA48" i="16"/>
  <c r="AA46" i="16" s="1"/>
  <c r="AC202" i="9"/>
  <c r="W129" i="18"/>
  <c r="W206" i="18"/>
  <c r="W205" i="18" s="1"/>
  <c r="W179" i="18" s="1"/>
  <c r="W93" i="17"/>
  <c r="W72" i="17" s="1"/>
  <c r="W65" i="17" s="1"/>
  <c r="W64" i="17" s="1"/>
  <c r="W7" i="17" s="1"/>
  <c r="Y225" i="10"/>
  <c r="Z225" i="10" s="1"/>
  <c r="AA315" i="9" s="1"/>
  <c r="AB315" i="9" s="1"/>
  <c r="W54" i="11"/>
  <c r="W53" i="11" s="1"/>
  <c r="W20" i="11" s="1"/>
  <c r="Y197" i="16"/>
  <c r="Z195" i="16"/>
  <c r="Z197" i="16" s="1"/>
  <c r="Z179" i="15"/>
  <c r="Y169" i="15"/>
  <c r="Y170" i="15"/>
  <c r="Z180" i="15"/>
  <c r="V112" i="10"/>
  <c r="V37" i="10"/>
  <c r="R75" i="10"/>
  <c r="Z276" i="10"/>
  <c r="Z278" i="10" s="1"/>
  <c r="AA186" i="9" s="1"/>
  <c r="AB186" i="9" s="1"/>
  <c r="Y280" i="10"/>
  <c r="R136" i="10"/>
  <c r="Y18" i="10"/>
  <c r="Z66" i="10"/>
  <c r="P41" i="6"/>
  <c r="Z178" i="15"/>
  <c r="Y177" i="15"/>
  <c r="Y168" i="15"/>
  <c r="R293" i="10"/>
  <c r="R262" i="10" s="1"/>
  <c r="R170" i="10" s="1"/>
  <c r="X28" i="18"/>
  <c r="X80" i="18"/>
  <c r="X84" i="18"/>
  <c r="X82" i="18"/>
  <c r="X175" i="18" s="1"/>
  <c r="W25" i="16"/>
  <c r="W176" i="15"/>
  <c r="W13" i="15" s="1"/>
  <c r="W144" i="15"/>
  <c r="W143" i="15" s="1"/>
  <c r="W116" i="15" s="1"/>
  <c r="W113" i="15" s="1"/>
  <c r="W10" i="15" s="1"/>
  <c r="Q84" i="18"/>
  <c r="Q28" i="18"/>
  <c r="Q80" i="18"/>
  <c r="Q82" i="18"/>
  <c r="Q175" i="18" s="1"/>
  <c r="P137" i="10"/>
  <c r="Y137" i="10" s="1"/>
  <c r="Z137" i="10" s="1"/>
  <c r="Z139" i="10" s="1"/>
  <c r="AA168" i="9" s="1"/>
  <c r="Y77" i="15"/>
  <c r="Z77" i="15" s="1"/>
  <c r="P76" i="15"/>
  <c r="Y503" i="10"/>
  <c r="Z503" i="10" s="1"/>
  <c r="Z444" i="10"/>
  <c r="P26" i="6"/>
  <c r="X26" i="10"/>
  <c r="X88" i="10"/>
  <c r="X126" i="10" s="1"/>
  <c r="X78" i="10"/>
  <c r="X80" i="10"/>
  <c r="X76" i="10"/>
  <c r="R21" i="18"/>
  <c r="T112" i="10"/>
  <c r="T37" i="10"/>
  <c r="Q384" i="10"/>
  <c r="Q380" i="10"/>
  <c r="Q382" i="10"/>
  <c r="W173" i="16" l="1"/>
  <c r="W147" i="16" s="1"/>
  <c r="W146" i="16" s="1"/>
  <c r="R379" i="10"/>
  <c r="R348" i="10" s="1"/>
  <c r="R172" i="10" s="1"/>
  <c r="W79" i="16"/>
  <c r="W43" i="16" s="1"/>
  <c r="Z238" i="10"/>
  <c r="Z242" i="10" s="1"/>
  <c r="R79" i="16"/>
  <c r="R33" i="16" s="1"/>
  <c r="AD112" i="11"/>
  <c r="AA112" i="11"/>
  <c r="R173" i="16"/>
  <c r="R147" i="16" s="1"/>
  <c r="R146" i="16" s="1"/>
  <c r="W130" i="11"/>
  <c r="AB112" i="11"/>
  <c r="Y146" i="10"/>
  <c r="Z146" i="10" s="1"/>
  <c r="P210" i="10"/>
  <c r="Y210" i="10" s="1"/>
  <c r="Y328" i="10"/>
  <c r="W379" i="10"/>
  <c r="W348" i="10" s="1"/>
  <c r="W172" i="10" s="1"/>
  <c r="R35" i="12"/>
  <c r="R34" i="12" s="1"/>
  <c r="R26" i="12" s="1"/>
  <c r="R100" i="15"/>
  <c r="R74" i="15" s="1"/>
  <c r="R107" i="15" s="1"/>
  <c r="R73" i="15" s="1"/>
  <c r="R7" i="15" s="1"/>
  <c r="R56" i="15"/>
  <c r="R20" i="15" s="1"/>
  <c r="R6" i="15" s="1"/>
  <c r="R140" i="15" s="1"/>
  <c r="AC336" i="9"/>
  <c r="AD336" i="9" s="1"/>
  <c r="P212" i="10"/>
  <c r="Y212" i="10" s="1"/>
  <c r="AC333" i="9"/>
  <c r="AD333" i="9" s="1"/>
  <c r="P208" i="10"/>
  <c r="Y208" i="10" s="1"/>
  <c r="R29" i="11"/>
  <c r="U118" i="10"/>
  <c r="U156" i="10" s="1"/>
  <c r="T116" i="10"/>
  <c r="T154" i="10" s="1"/>
  <c r="P116" i="10"/>
  <c r="P154" i="10" s="1"/>
  <c r="I93" i="15"/>
  <c r="AA268" i="10"/>
  <c r="AA267" i="10" s="1"/>
  <c r="AA263" i="10" s="1"/>
  <c r="Z231" i="10"/>
  <c r="AA316" i="9" s="1"/>
  <c r="AB316" i="9" s="1"/>
  <c r="AA231" i="10" s="1"/>
  <c r="AA230" i="10" s="1"/>
  <c r="AA269" i="10"/>
  <c r="AC322" i="9"/>
  <c r="AB274" i="10" s="1"/>
  <c r="AB273" i="10" s="1"/>
  <c r="R207" i="10"/>
  <c r="R176" i="10" s="1"/>
  <c r="R168" i="10" s="1"/>
  <c r="Z230" i="10"/>
  <c r="V207" i="10"/>
  <c r="V176" i="10" s="1"/>
  <c r="V168" i="10" s="1"/>
  <c r="R250" i="10"/>
  <c r="R219" i="10" s="1"/>
  <c r="R169" i="10" s="1"/>
  <c r="Z426" i="10"/>
  <c r="R72" i="11"/>
  <c r="R21" i="11" s="1"/>
  <c r="X54" i="11"/>
  <c r="X53" i="11" s="1"/>
  <c r="X20" i="11" s="1"/>
  <c r="U92" i="11"/>
  <c r="U91" i="11" s="1"/>
  <c r="U22" i="11" s="1"/>
  <c r="Q54" i="11"/>
  <c r="Q53" i="11" s="1"/>
  <c r="Q20" i="11" s="1"/>
  <c r="R336" i="10"/>
  <c r="R305" i="10" s="1"/>
  <c r="R171" i="10" s="1"/>
  <c r="Z237" i="10"/>
  <c r="AA317" i="9" s="1"/>
  <c r="AB317" i="9" s="1"/>
  <c r="AA237" i="10" s="1"/>
  <c r="AA236" i="10" s="1"/>
  <c r="S116" i="10"/>
  <c r="S154" i="10" s="1"/>
  <c r="S155" i="10" s="1"/>
  <c r="S118" i="10"/>
  <c r="S156" i="10" s="1"/>
  <c r="S157" i="10" s="1"/>
  <c r="S114" i="10"/>
  <c r="W29" i="11"/>
  <c r="U116" i="10"/>
  <c r="U154" i="10" s="1"/>
  <c r="U141" i="10"/>
  <c r="U43" i="10" s="1"/>
  <c r="S250" i="10"/>
  <c r="S219" i="10" s="1"/>
  <c r="S169" i="10" s="1"/>
  <c r="W72" i="11"/>
  <c r="W21" i="11" s="1"/>
  <c r="Z194" i="10"/>
  <c r="AA311" i="9" s="1"/>
  <c r="AB311" i="9" s="1"/>
  <c r="AC311" i="9" s="1"/>
  <c r="U114" i="10"/>
  <c r="U152" i="10" s="1"/>
  <c r="W35" i="12"/>
  <c r="W34" i="12" s="1"/>
  <c r="W26" i="12" s="1"/>
  <c r="R113" i="10"/>
  <c r="R38" i="10" s="1"/>
  <c r="R32" i="10" s="1"/>
  <c r="R8" i="10" s="1"/>
  <c r="Q336" i="10"/>
  <c r="Q305" i="10" s="1"/>
  <c r="Q171" i="10" s="1"/>
  <c r="X293" i="10"/>
  <c r="X262" i="10" s="1"/>
  <c r="X170" i="10" s="1"/>
  <c r="Z286" i="10"/>
  <c r="AA324" i="9" s="1"/>
  <c r="AB324" i="9" s="1"/>
  <c r="AA286" i="10" s="1"/>
  <c r="AA285" i="10" s="1"/>
  <c r="T114" i="10"/>
  <c r="T152" i="10" s="1"/>
  <c r="T118" i="10"/>
  <c r="T156" i="10" s="1"/>
  <c r="Y29" i="10"/>
  <c r="Z193" i="16"/>
  <c r="AC309" i="9"/>
  <c r="AB182" i="10" s="1"/>
  <c r="AB181" i="10" s="1"/>
  <c r="V293" i="10"/>
  <c r="V262" i="10" s="1"/>
  <c r="V170" i="10" s="1"/>
  <c r="AC112" i="11"/>
  <c r="Q92" i="11"/>
  <c r="Q91" i="11" s="1"/>
  <c r="Q22" i="11" s="1"/>
  <c r="Y87" i="17"/>
  <c r="Z87" i="17" s="1"/>
  <c r="AA461" i="9" s="1"/>
  <c r="AB461" i="9" s="1"/>
  <c r="AA87" i="17" s="1"/>
  <c r="Y79" i="17"/>
  <c r="Z79" i="17" s="1"/>
  <c r="AA459" i="9" s="1"/>
  <c r="AB459" i="9" s="1"/>
  <c r="AA79" i="17" s="1"/>
  <c r="Y298" i="10"/>
  <c r="Z298" i="10" s="1"/>
  <c r="W250" i="10"/>
  <c r="W219" i="10" s="1"/>
  <c r="W169" i="10" s="1"/>
  <c r="U46" i="17"/>
  <c r="U20" i="17" s="1"/>
  <c r="U6" i="17" s="1"/>
  <c r="X118" i="10"/>
  <c r="X156" i="10" s="1"/>
  <c r="X207" i="10"/>
  <c r="X176" i="10" s="1"/>
  <c r="X168" i="10" s="1"/>
  <c r="Y190" i="18"/>
  <c r="Z190" i="18" s="1"/>
  <c r="V93" i="17"/>
  <c r="V72" i="17" s="1"/>
  <c r="V65" i="17" s="1"/>
  <c r="V64" i="17" s="1"/>
  <c r="V7" i="17" s="1"/>
  <c r="Q379" i="10"/>
  <c r="Q348" i="10" s="1"/>
  <c r="Q172" i="10" s="1"/>
  <c r="Z280" i="10"/>
  <c r="AA323" i="9" s="1"/>
  <c r="AB323" i="9" s="1"/>
  <c r="AC323" i="9" s="1"/>
  <c r="Q114" i="10"/>
  <c r="Q152" i="10" s="1"/>
  <c r="W157" i="10"/>
  <c r="S92" i="11"/>
  <c r="S91" i="11" s="1"/>
  <c r="S22" i="11" s="1"/>
  <c r="Z360" i="10"/>
  <c r="AA334" i="9" s="1"/>
  <c r="AB334" i="9" s="1"/>
  <c r="AC334" i="9" s="1"/>
  <c r="V116" i="10"/>
  <c r="V154" i="10" s="1"/>
  <c r="Q118" i="10"/>
  <c r="Q156" i="10" s="1"/>
  <c r="Q157" i="10" s="1"/>
  <c r="S93" i="17"/>
  <c r="S72" i="17" s="1"/>
  <c r="S65" i="17" s="1"/>
  <c r="S64" i="17" s="1"/>
  <c r="S7" i="17" s="1"/>
  <c r="Y14" i="10"/>
  <c r="Y29" i="12" s="1"/>
  <c r="W336" i="10"/>
  <c r="W305" i="10" s="1"/>
  <c r="W171" i="10" s="1"/>
  <c r="Z208" i="16"/>
  <c r="P380" i="10"/>
  <c r="Y380" i="10" s="1"/>
  <c r="T207" i="10"/>
  <c r="T176" i="10" s="1"/>
  <c r="T168" i="10" s="1"/>
  <c r="Q140" i="10"/>
  <c r="Q42" i="10"/>
  <c r="S140" i="10"/>
  <c r="S42" i="10"/>
  <c r="V41" i="10"/>
  <c r="V135" i="10"/>
  <c r="U135" i="10"/>
  <c r="U41" i="10"/>
  <c r="P40" i="10"/>
  <c r="P130" i="10"/>
  <c r="S145" i="10"/>
  <c r="S43" i="10"/>
  <c r="V42" i="10"/>
  <c r="V140" i="10"/>
  <c r="Q41" i="10"/>
  <c r="Q135" i="10"/>
  <c r="Y157" i="11"/>
  <c r="Z155" i="11"/>
  <c r="Z157" i="11" s="1"/>
  <c r="Q40" i="10"/>
  <c r="Q130" i="10"/>
  <c r="Q145" i="10"/>
  <c r="Q43" i="10"/>
  <c r="AD11" i="11"/>
  <c r="T132" i="11"/>
  <c r="P89" i="11"/>
  <c r="P85" i="11"/>
  <c r="Y67" i="11"/>
  <c r="Z67" i="11" s="1"/>
  <c r="P66" i="11"/>
  <c r="Y66" i="11" s="1"/>
  <c r="V21" i="18"/>
  <c r="Y106" i="19"/>
  <c r="AD106" i="19"/>
  <c r="AC106" i="19"/>
  <c r="AB106" i="19"/>
  <c r="AA106" i="19"/>
  <c r="Y13" i="19"/>
  <c r="Z159" i="18"/>
  <c r="Z62" i="18"/>
  <c r="AA222" i="9" s="1"/>
  <c r="AB222" i="9" s="1"/>
  <c r="X33" i="10"/>
  <c r="X92" i="10"/>
  <c r="Y76" i="15"/>
  <c r="P75" i="15"/>
  <c r="R153" i="10"/>
  <c r="R151" i="10"/>
  <c r="R45" i="10" s="1"/>
  <c r="AB112" i="16"/>
  <c r="AB110" i="16" s="1"/>
  <c r="AD210" i="9"/>
  <c r="Q116" i="10"/>
  <c r="Q154" i="10" s="1"/>
  <c r="Q155" i="10" s="1"/>
  <c r="W41" i="10"/>
  <c r="W135" i="10"/>
  <c r="T75" i="10"/>
  <c r="T130" i="11"/>
  <c r="AA192" i="10"/>
  <c r="AA190" i="10" s="1"/>
  <c r="AC174" i="9"/>
  <c r="T54" i="11"/>
  <c r="T53" i="11" s="1"/>
  <c r="T20" i="11" s="1"/>
  <c r="T21" i="18"/>
  <c r="Y76" i="11"/>
  <c r="P75" i="11"/>
  <c r="Z65" i="10"/>
  <c r="Y69" i="10"/>
  <c r="P80" i="16"/>
  <c r="Y44" i="16"/>
  <c r="P28" i="16"/>
  <c r="P82" i="16"/>
  <c r="P84" i="16"/>
  <c r="Y84" i="16" s="1"/>
  <c r="Y108" i="16"/>
  <c r="P37" i="16"/>
  <c r="X210" i="16"/>
  <c r="X209" i="16" s="1"/>
  <c r="X183" i="16" s="1"/>
  <c r="X182" i="16" s="1"/>
  <c r="X129" i="16"/>
  <c r="T15" i="3"/>
  <c r="U9" i="2"/>
  <c r="U15" i="3" s="1"/>
  <c r="Z55" i="17"/>
  <c r="Z57" i="17" s="1"/>
  <c r="Y57" i="17"/>
  <c r="Y195" i="18"/>
  <c r="Q26" i="6"/>
  <c r="T56" i="15"/>
  <c r="T20" i="15" s="1"/>
  <c r="T6" i="15" s="1"/>
  <c r="T101" i="15"/>
  <c r="T100" i="15" s="1"/>
  <c r="T74" i="15" s="1"/>
  <c r="AB39" i="15"/>
  <c r="AB37" i="15" s="1"/>
  <c r="AD216" i="9"/>
  <c r="Z15" i="10"/>
  <c r="Z53" i="10"/>
  <c r="Q38" i="6"/>
  <c r="AC123" i="15"/>
  <c r="AC119" i="15" s="1"/>
  <c r="AC114" i="15" s="1"/>
  <c r="AA131" i="15"/>
  <c r="AA137" i="15"/>
  <c r="AA77" i="15"/>
  <c r="AA64" i="15"/>
  <c r="AA63" i="15" s="1"/>
  <c r="AA105" i="15" s="1"/>
  <c r="AA505" i="10" s="1"/>
  <c r="AA134" i="15"/>
  <c r="AA475" i="10"/>
  <c r="AA358" i="10"/>
  <c r="AA356" i="10" s="1"/>
  <c r="AC197" i="9"/>
  <c r="AA106" i="10"/>
  <c r="AA104" i="10" s="1"/>
  <c r="AC163" i="9"/>
  <c r="V336" i="10"/>
  <c r="V305" i="10" s="1"/>
  <c r="V171" i="10" s="1"/>
  <c r="V141" i="10"/>
  <c r="AD104" i="17"/>
  <c r="AD102" i="17" s="1"/>
  <c r="AC102" i="17"/>
  <c r="Y120" i="18"/>
  <c r="Z116" i="18"/>
  <c r="Z120" i="18" s="1"/>
  <c r="AA366" i="9" s="1"/>
  <c r="AB366" i="9" s="1"/>
  <c r="Z428" i="10"/>
  <c r="X92" i="11"/>
  <c r="X91" i="11" s="1"/>
  <c r="X22" i="11" s="1"/>
  <c r="AD92" i="15"/>
  <c r="AD490" i="10"/>
  <c r="Z502" i="10"/>
  <c r="Q50" i="11"/>
  <c r="Q47" i="11"/>
  <c r="Q35" i="11" s="1"/>
  <c r="V379" i="10"/>
  <c r="V348" i="10" s="1"/>
  <c r="V172" i="10" s="1"/>
  <c r="Y123" i="17"/>
  <c r="P124" i="17"/>
  <c r="O124" i="17" s="1"/>
  <c r="O122" i="17" s="1"/>
  <c r="Z122" i="17" s="1"/>
  <c r="O6" i="1"/>
  <c r="Z285" i="10"/>
  <c r="Y267" i="10"/>
  <c r="Z263" i="10"/>
  <c r="AA118" i="19"/>
  <c r="Y118" i="19"/>
  <c r="AD118" i="19"/>
  <c r="AC118" i="19"/>
  <c r="Y15" i="19"/>
  <c r="AB118" i="19"/>
  <c r="Y95" i="11"/>
  <c r="P94" i="11"/>
  <c r="U207" i="10"/>
  <c r="U176" i="10" s="1"/>
  <c r="AB370" i="10"/>
  <c r="AB368" i="10" s="1"/>
  <c r="AD199" i="9"/>
  <c r="U293" i="10"/>
  <c r="U262" i="10" s="1"/>
  <c r="U170" i="10" s="1"/>
  <c r="Z187" i="18"/>
  <c r="Z105" i="18"/>
  <c r="AA226" i="9" s="1"/>
  <c r="AB226" i="9" s="1"/>
  <c r="AA165" i="16"/>
  <c r="AA414" i="10"/>
  <c r="Y538" i="10"/>
  <c r="Y536" i="10"/>
  <c r="Y510" i="10" s="1"/>
  <c r="Z537" i="10"/>
  <c r="Z131" i="15"/>
  <c r="Z132" i="15" s="1"/>
  <c r="AA132" i="15" s="1"/>
  <c r="AB132" i="15" s="1"/>
  <c r="AC132" i="15" s="1"/>
  <c r="AD132" i="15" s="1"/>
  <c r="Y132" i="15"/>
  <c r="Z254" i="16"/>
  <c r="Z253" i="16" s="1"/>
  <c r="Z226" i="16" s="1"/>
  <c r="Z223" i="16" s="1"/>
  <c r="Z10" i="16" s="1"/>
  <c r="Q63" i="5" s="1"/>
  <c r="Y253" i="16"/>
  <c r="Y226" i="16" s="1"/>
  <c r="Y223" i="16" s="1"/>
  <c r="Y10" i="16" s="1"/>
  <c r="P63" i="5" s="1"/>
  <c r="P110" i="11"/>
  <c r="P23" i="11" s="1"/>
  <c r="U54" i="11"/>
  <c r="U53" i="11" s="1"/>
  <c r="U20" i="11" s="1"/>
  <c r="Y37" i="10"/>
  <c r="AB268" i="10"/>
  <c r="AB267" i="10" s="1"/>
  <c r="AD321" i="9"/>
  <c r="U21" i="16"/>
  <c r="Q75" i="10"/>
  <c r="Q130" i="11"/>
  <c r="Z34" i="19"/>
  <c r="Z33" i="19" s="1"/>
  <c r="Z187" i="17" s="1"/>
  <c r="Z186" i="17" s="1"/>
  <c r="Z162" i="17" s="1"/>
  <c r="Z159" i="17" s="1"/>
  <c r="Z10" i="17" s="1"/>
  <c r="Q129" i="5" s="1"/>
  <c r="Z52" i="19"/>
  <c r="AA238" i="10"/>
  <c r="U75" i="10"/>
  <c r="U130" i="11"/>
  <c r="T43" i="10"/>
  <c r="T145" i="10"/>
  <c r="U250" i="10"/>
  <c r="U219" i="10" s="1"/>
  <c r="U169" i="10" s="1"/>
  <c r="X336" i="10"/>
  <c r="X305" i="10" s="1"/>
  <c r="X171" i="10" s="1"/>
  <c r="T27" i="11"/>
  <c r="Y159" i="16"/>
  <c r="P158" i="16"/>
  <c r="Y158" i="16" s="1"/>
  <c r="Y120" i="17"/>
  <c r="P121" i="17"/>
  <c r="O121" i="17" s="1"/>
  <c r="O119" i="17" s="1"/>
  <c r="Z119" i="17" s="1"/>
  <c r="AA149" i="18"/>
  <c r="Y26" i="10"/>
  <c r="R145" i="18"/>
  <c r="R7" i="18" s="1"/>
  <c r="Q132" i="11"/>
  <c r="AB241" i="10"/>
  <c r="AB239" i="10" s="1"/>
  <c r="AD181" i="9"/>
  <c r="X79" i="18"/>
  <c r="X173" i="18"/>
  <c r="X172" i="18" s="1"/>
  <c r="X146" i="18" s="1"/>
  <c r="Z68" i="10"/>
  <c r="Z18" i="10"/>
  <c r="Q41" i="6"/>
  <c r="O41" i="6" s="1"/>
  <c r="V114" i="10"/>
  <c r="V152" i="10" s="1"/>
  <c r="AA447" i="10"/>
  <c r="Y29" i="17"/>
  <c r="Z27" i="17"/>
  <c r="Z29" i="17" s="1"/>
  <c r="W33" i="16"/>
  <c r="AA329" i="10"/>
  <c r="AA328" i="10" s="1"/>
  <c r="AA324" i="10" s="1"/>
  <c r="AC330" i="9"/>
  <c r="Y249" i="18"/>
  <c r="Y248" i="18" s="1"/>
  <c r="Y282" i="18"/>
  <c r="Y281" i="18" s="1"/>
  <c r="Y13" i="18" s="1"/>
  <c r="P118" i="5" s="1"/>
  <c r="Z283" i="18"/>
  <c r="T35" i="12"/>
  <c r="T34" i="12" s="1"/>
  <c r="R145" i="10"/>
  <c r="R43" i="10"/>
  <c r="AB198" i="10"/>
  <c r="AB196" i="10" s="1"/>
  <c r="AD175" i="9"/>
  <c r="Y500" i="10"/>
  <c r="Z499" i="10"/>
  <c r="Y498" i="10"/>
  <c r="Y472" i="10" s="1"/>
  <c r="Z77" i="11"/>
  <c r="Y86" i="11"/>
  <c r="Z86" i="11" s="1"/>
  <c r="P141" i="10"/>
  <c r="Z55" i="19"/>
  <c r="Z54" i="19" s="1"/>
  <c r="Y49" i="16"/>
  <c r="Z45" i="16"/>
  <c r="Z49" i="16" s="1"/>
  <c r="AA339" i="9" s="1"/>
  <c r="AB339" i="9" s="1"/>
  <c r="Z109" i="16"/>
  <c r="Z113" i="16" s="1"/>
  <c r="AA347" i="9" s="1"/>
  <c r="AB347" i="9" s="1"/>
  <c r="Y113" i="16"/>
  <c r="Y196" i="18"/>
  <c r="X46" i="17"/>
  <c r="X20" i="17" s="1"/>
  <c r="X6" i="17" s="1"/>
  <c r="Z63" i="10"/>
  <c r="Z17" i="10"/>
  <c r="I82" i="11" s="1"/>
  <c r="I77" i="11" s="1"/>
  <c r="Q40" i="6"/>
  <c r="O40" i="6" s="1"/>
  <c r="Z187" i="10"/>
  <c r="S21" i="16"/>
  <c r="AA87" i="15"/>
  <c r="AA485" i="10"/>
  <c r="AB180" i="10"/>
  <c r="AB178" i="10" s="1"/>
  <c r="AD172" i="9"/>
  <c r="AA8" i="12"/>
  <c r="AD123" i="15"/>
  <c r="AD119" i="15" s="1"/>
  <c r="AD114" i="15" s="1"/>
  <c r="Y72" i="16"/>
  <c r="P32" i="16"/>
  <c r="Z349" i="10"/>
  <c r="Y353" i="10"/>
  <c r="W56" i="15"/>
  <c r="W20" i="15" s="1"/>
  <c r="W6" i="15" s="1"/>
  <c r="W101" i="15"/>
  <c r="W100" i="15" s="1"/>
  <c r="W74" i="15" s="1"/>
  <c r="AB62" i="16"/>
  <c r="AB60" i="16" s="1"/>
  <c r="AD204" i="9"/>
  <c r="T174" i="16"/>
  <c r="T173" i="16" s="1"/>
  <c r="T147" i="16" s="1"/>
  <c r="T146" i="16" s="1"/>
  <c r="T79" i="16"/>
  <c r="AB243" i="10"/>
  <c r="AB242" i="10" s="1"/>
  <c r="AD318" i="9"/>
  <c r="AC92" i="15"/>
  <c r="AC490" i="10"/>
  <c r="Q210" i="16"/>
  <c r="Q209" i="16" s="1"/>
  <c r="Q183" i="16" s="1"/>
  <c r="Q182" i="16" s="1"/>
  <c r="Q129" i="16"/>
  <c r="P148" i="16"/>
  <c r="Y149" i="16"/>
  <c r="S102" i="10"/>
  <c r="S35" i="10"/>
  <c r="Y126" i="17"/>
  <c r="P127" i="17"/>
  <c r="O127" i="17" s="1"/>
  <c r="O125" i="17" s="1"/>
  <c r="Z125" i="17" s="1"/>
  <c r="O40" i="5"/>
  <c r="O42" i="5"/>
  <c r="Z359" i="10"/>
  <c r="Y105" i="11"/>
  <c r="Z105" i="11" s="1"/>
  <c r="P104" i="11"/>
  <c r="Y104" i="11" s="1"/>
  <c r="Q35" i="10"/>
  <c r="Q102" i="10"/>
  <c r="S293" i="10"/>
  <c r="S262" i="10" s="1"/>
  <c r="S170" i="10" s="1"/>
  <c r="V37" i="12"/>
  <c r="V36" i="12" s="1"/>
  <c r="V29" i="12"/>
  <c r="V28" i="12" s="1"/>
  <c r="V32" i="12"/>
  <c r="V31" i="12" s="1"/>
  <c r="S130" i="10"/>
  <c r="S40" i="10"/>
  <c r="AA367" i="10"/>
  <c r="T46" i="17"/>
  <c r="T20" i="17" s="1"/>
  <c r="T6" i="17" s="1"/>
  <c r="Z50" i="10"/>
  <c r="Y54" i="10"/>
  <c r="AB266" i="10"/>
  <c r="AB264" i="10" s="1"/>
  <c r="AD184" i="9"/>
  <c r="R40" i="18"/>
  <c r="R34" i="18" s="1"/>
  <c r="R93" i="18"/>
  <c r="AB124" i="11"/>
  <c r="Y117" i="11"/>
  <c r="Z113" i="11"/>
  <c r="Y112" i="11"/>
  <c r="Y111" i="11" s="1"/>
  <c r="Y110" i="11" s="1"/>
  <c r="P395" i="10"/>
  <c r="P11" i="10" s="1"/>
  <c r="P341" i="10"/>
  <c r="Y341" i="10" s="1"/>
  <c r="P255" i="10"/>
  <c r="Y255" i="10" s="1"/>
  <c r="Y56" i="16"/>
  <c r="Z52" i="16"/>
  <c r="Z56" i="16" s="1"/>
  <c r="AA340" i="9" s="1"/>
  <c r="AB340" i="9" s="1"/>
  <c r="U132" i="11"/>
  <c r="Z179" i="17"/>
  <c r="Z180" i="17" s="1"/>
  <c r="AA180" i="17" s="1"/>
  <c r="AB180" i="17" s="1"/>
  <c r="AC180" i="17" s="1"/>
  <c r="AD180" i="17" s="1"/>
  <c r="Y180" i="17"/>
  <c r="T36" i="10"/>
  <c r="T107" i="10"/>
  <c r="T50" i="11"/>
  <c r="T47" i="11"/>
  <c r="T35" i="11" s="1"/>
  <c r="AC10" i="13"/>
  <c r="AC9" i="13" s="1"/>
  <c r="AC6" i="13" s="1"/>
  <c r="AC52" i="12"/>
  <c r="AC49" i="12" s="1"/>
  <c r="AC17" i="13"/>
  <c r="AC13" i="13" s="1"/>
  <c r="T52" i="5" s="1"/>
  <c r="AD19" i="13"/>
  <c r="R31" i="10"/>
  <c r="R25" i="10" s="1"/>
  <c r="R24" i="10" s="1"/>
  <c r="R49" i="10"/>
  <c r="R48" i="10" s="1"/>
  <c r="V92" i="10"/>
  <c r="V33" i="10"/>
  <c r="T79" i="18"/>
  <c r="T173" i="18"/>
  <c r="T172" i="18" s="1"/>
  <c r="T146" i="18" s="1"/>
  <c r="S174" i="16"/>
  <c r="S173" i="16" s="1"/>
  <c r="S147" i="16" s="1"/>
  <c r="S146" i="16" s="1"/>
  <c r="S79" i="16"/>
  <c r="AB25" i="15"/>
  <c r="AB23" i="15" s="1"/>
  <c r="AD214" i="9"/>
  <c r="Y115" i="18"/>
  <c r="P38" i="18"/>
  <c r="P24" i="18" s="1"/>
  <c r="P153" i="16"/>
  <c r="Y153" i="16" s="1"/>
  <c r="Y154" i="16"/>
  <c r="AB69" i="16"/>
  <c r="AB67" i="16" s="1"/>
  <c r="AD205" i="9"/>
  <c r="U42" i="10"/>
  <c r="U140" i="10"/>
  <c r="S129" i="16"/>
  <c r="S210" i="16"/>
  <c r="S209" i="16" s="1"/>
  <c r="S183" i="16" s="1"/>
  <c r="S182" i="16" s="1"/>
  <c r="AB55" i="18"/>
  <c r="AB53" i="18" s="1"/>
  <c r="AD221" i="9"/>
  <c r="AC282" i="16"/>
  <c r="AC275" i="16" s="1"/>
  <c r="AC274" i="16" s="1"/>
  <c r="AD293" i="16"/>
  <c r="AC256" i="16"/>
  <c r="AC253" i="16" s="1"/>
  <c r="AC226" i="16" s="1"/>
  <c r="AC286" i="16"/>
  <c r="AC285" i="16" s="1"/>
  <c r="AC13" i="16" s="1"/>
  <c r="T74" i="5" s="1"/>
  <c r="V118" i="10"/>
  <c r="V156" i="10" s="1"/>
  <c r="W40" i="18"/>
  <c r="W34" i="18" s="1"/>
  <c r="W93" i="18"/>
  <c r="Y26" i="17"/>
  <c r="P47" i="17"/>
  <c r="P51" i="17"/>
  <c r="P53" i="17"/>
  <c r="Y53" i="17" s="1"/>
  <c r="P49" i="17"/>
  <c r="U150" i="10"/>
  <c r="U44" i="10"/>
  <c r="T92" i="10"/>
  <c r="T33" i="10"/>
  <c r="S336" i="10"/>
  <c r="S305" i="10" s="1"/>
  <c r="S171" i="10" s="1"/>
  <c r="Z279" i="10"/>
  <c r="V126" i="10"/>
  <c r="P105" i="15"/>
  <c r="Y105" i="15" s="1"/>
  <c r="Y63" i="15"/>
  <c r="Y147" i="18"/>
  <c r="W145" i="18"/>
  <c r="W7" i="18" s="1"/>
  <c r="Z203" i="16"/>
  <c r="AB100" i="19"/>
  <c r="AA100" i="19"/>
  <c r="Y100" i="19"/>
  <c r="AD100" i="19"/>
  <c r="Y12" i="19"/>
  <c r="AC100" i="19"/>
  <c r="Y94" i="16"/>
  <c r="P35" i="16"/>
  <c r="P130" i="16"/>
  <c r="P134" i="16"/>
  <c r="Y134" i="16" s="1"/>
  <c r="P132" i="16"/>
  <c r="AD94" i="19"/>
  <c r="AC94" i="19"/>
  <c r="AB94" i="19"/>
  <c r="AA94" i="19"/>
  <c r="Y94" i="19"/>
  <c r="Y11" i="19"/>
  <c r="X93" i="17"/>
  <c r="X72" i="17" s="1"/>
  <c r="X65" i="17" s="1"/>
  <c r="X64" i="17" s="1"/>
  <c r="X7" i="17" s="1"/>
  <c r="R157" i="10"/>
  <c r="X129" i="18"/>
  <c r="X206" i="18"/>
  <c r="X205" i="18" s="1"/>
  <c r="X179" i="18" s="1"/>
  <c r="AA134" i="10"/>
  <c r="AA132" i="10" s="1"/>
  <c r="AC167" i="9"/>
  <c r="Z30" i="10"/>
  <c r="Z74" i="10"/>
  <c r="AA177" i="10"/>
  <c r="W31" i="10"/>
  <c r="W25" i="10" s="1"/>
  <c r="W24" i="10" s="1"/>
  <c r="W49" i="10"/>
  <c r="W48" i="10" s="1"/>
  <c r="AC19" i="12"/>
  <c r="AB17" i="12"/>
  <c r="AB15" i="12" s="1"/>
  <c r="Y185" i="18"/>
  <c r="Z73" i="16"/>
  <c r="Z77" i="16" s="1"/>
  <c r="Y77" i="16"/>
  <c r="Z233" i="18"/>
  <c r="Z234" i="18" s="1"/>
  <c r="AA234" i="18" s="1"/>
  <c r="AB234" i="18" s="1"/>
  <c r="AC234" i="18" s="1"/>
  <c r="AD234" i="18" s="1"/>
  <c r="Y234" i="18"/>
  <c r="Y55" i="15"/>
  <c r="Z49" i="15"/>
  <c r="T250" i="10"/>
  <c r="T219" i="10" s="1"/>
  <c r="T169" i="10" s="1"/>
  <c r="AA160" i="16"/>
  <c r="AA409" i="10"/>
  <c r="T21" i="16"/>
  <c r="Y59" i="10"/>
  <c r="Z55" i="10"/>
  <c r="Q56" i="15"/>
  <c r="Q20" i="15" s="1"/>
  <c r="Q6" i="15" s="1"/>
  <c r="Q101" i="15"/>
  <c r="Q100" i="15" s="1"/>
  <c r="Q74" i="15" s="1"/>
  <c r="P210" i="18"/>
  <c r="Y210" i="18" s="1"/>
  <c r="Y136" i="18"/>
  <c r="R64" i="17"/>
  <c r="R7" i="17" s="1"/>
  <c r="R8" i="17" s="1"/>
  <c r="P42" i="10"/>
  <c r="P140" i="10"/>
  <c r="Y129" i="17"/>
  <c r="Y130" i="17" s="1"/>
  <c r="P130" i="17"/>
  <c r="O130" i="17" s="1"/>
  <c r="O128" i="17" s="1"/>
  <c r="Z128" i="17" s="1"/>
  <c r="Y108" i="11"/>
  <c r="Z108" i="11" s="1"/>
  <c r="P107" i="11"/>
  <c r="Y107" i="11" s="1"/>
  <c r="V50" i="11"/>
  <c r="V47" i="11"/>
  <c r="V35" i="11" s="1"/>
  <c r="AD124" i="11"/>
  <c r="S92" i="10"/>
  <c r="S33" i="10"/>
  <c r="Y108" i="18"/>
  <c r="P37" i="18"/>
  <c r="Z201" i="10"/>
  <c r="Z205" i="10" s="1"/>
  <c r="Y205" i="10"/>
  <c r="P75" i="10"/>
  <c r="Y76" i="10"/>
  <c r="Y157" i="18"/>
  <c r="X116" i="10"/>
  <c r="X154" i="10" s="1"/>
  <c r="S54" i="11"/>
  <c r="S53" i="11" s="1"/>
  <c r="S20" i="11" s="1"/>
  <c r="W207" i="10"/>
  <c r="W176" i="10" s="1"/>
  <c r="Z192" i="18"/>
  <c r="Z112" i="18"/>
  <c r="AA227" i="9" s="1"/>
  <c r="AB227" i="9" s="1"/>
  <c r="Y424" i="10"/>
  <c r="Z423" i="10"/>
  <c r="Y422" i="10"/>
  <c r="Y396" i="10" s="1"/>
  <c r="Q207" i="10"/>
  <c r="Q176" i="10" s="1"/>
  <c r="T22" i="18"/>
  <c r="AA96" i="10"/>
  <c r="AA94" i="10" s="1"/>
  <c r="AC161" i="9"/>
  <c r="P339" i="10"/>
  <c r="Y339" i="10" s="1"/>
  <c r="AA101" i="10"/>
  <c r="AA99" i="10" s="1"/>
  <c r="AC162" i="9"/>
  <c r="Q33" i="10"/>
  <c r="Q92" i="10"/>
  <c r="P253" i="10"/>
  <c r="Y253" i="10" s="1"/>
  <c r="P178" i="16"/>
  <c r="Y178" i="16" s="1"/>
  <c r="Z178" i="16" s="1"/>
  <c r="Y86" i="16"/>
  <c r="P29" i="16"/>
  <c r="Y51" i="16"/>
  <c r="U35" i="12"/>
  <c r="U34" i="12" s="1"/>
  <c r="T102" i="10"/>
  <c r="T35" i="10"/>
  <c r="Y199" i="10"/>
  <c r="Z195" i="10"/>
  <c r="Z199" i="10" s="1"/>
  <c r="AB327" i="10"/>
  <c r="AB325" i="10" s="1"/>
  <c r="AD193" i="9"/>
  <c r="AA225" i="10"/>
  <c r="AA224" i="10" s="1"/>
  <c r="AA220" i="10" s="1"/>
  <c r="AC315" i="9"/>
  <c r="S56" i="15"/>
  <c r="S20" i="15" s="1"/>
  <c r="S6" i="15" s="1"/>
  <c r="S101" i="15"/>
  <c r="S100" i="15" s="1"/>
  <c r="S74" i="15" s="1"/>
  <c r="T10" i="11"/>
  <c r="Z108" i="10"/>
  <c r="Y112" i="10"/>
  <c r="Z125" i="16"/>
  <c r="Z126" i="16" s="1"/>
  <c r="AA212" i="9" s="1"/>
  <c r="AB168" i="9"/>
  <c r="X21" i="18"/>
  <c r="R42" i="10"/>
  <c r="R140" i="10"/>
  <c r="AB48" i="16"/>
  <c r="AB46" i="16" s="1"/>
  <c r="AD202" i="9"/>
  <c r="Z58" i="10"/>
  <c r="Z16" i="10"/>
  <c r="Q39" i="6"/>
  <c r="O39" i="6" s="1"/>
  <c r="V129" i="18"/>
  <c r="V206" i="18"/>
  <c r="V205" i="18" s="1"/>
  <c r="V179" i="18" s="1"/>
  <c r="Y273" i="18"/>
  <c r="Y272" i="18" s="1"/>
  <c r="Z126" i="11"/>
  <c r="Z128" i="11" s="1"/>
  <c r="AA456" i="9" s="1"/>
  <c r="Y128" i="11"/>
  <c r="S46" i="17"/>
  <c r="S20" i="17" s="1"/>
  <c r="S6" i="17" s="1"/>
  <c r="R33" i="18"/>
  <c r="R43" i="18"/>
  <c r="AB105" i="16"/>
  <c r="AB103" i="16" s="1"/>
  <c r="AD209" i="9"/>
  <c r="U129" i="16"/>
  <c r="U210" i="16"/>
  <c r="U209" i="16" s="1"/>
  <c r="U183" i="16" s="1"/>
  <c r="U182" i="16" s="1"/>
  <c r="Y148" i="18"/>
  <c r="Y141" i="11"/>
  <c r="AD126" i="19"/>
  <c r="AC126" i="19"/>
  <c r="Y126" i="19"/>
  <c r="AB126" i="19"/>
  <c r="Y20" i="19"/>
  <c r="Y19" i="19" s="1"/>
  <c r="Y18" i="19" s="1"/>
  <c r="AA126" i="19"/>
  <c r="Z198" i="16"/>
  <c r="S32" i="12"/>
  <c r="S31" i="12" s="1"/>
  <c r="S37" i="12"/>
  <c r="S36" i="12" s="1"/>
  <c r="S29" i="12"/>
  <c r="S28" i="12" s="1"/>
  <c r="Y81" i="15"/>
  <c r="P80" i="15"/>
  <c r="Y80" i="15" s="1"/>
  <c r="Y99" i="16"/>
  <c r="Z95" i="16"/>
  <c r="Z99" i="16" s="1"/>
  <c r="AA345" i="9" s="1"/>
  <c r="AB345" i="9" s="1"/>
  <c r="T135" i="10"/>
  <c r="T41" i="10"/>
  <c r="V79" i="18"/>
  <c r="V173" i="18"/>
  <c r="V172" i="18" s="1"/>
  <c r="V146" i="18" s="1"/>
  <c r="Z515" i="10"/>
  <c r="X135" i="10"/>
  <c r="X41" i="10"/>
  <c r="AB315" i="10"/>
  <c r="AB313" i="10" s="1"/>
  <c r="AD191" i="9"/>
  <c r="T379" i="10"/>
  <c r="T348" i="10" s="1"/>
  <c r="T172" i="10" s="1"/>
  <c r="AA124" i="11"/>
  <c r="V92" i="11"/>
  <c r="V91" i="11" s="1"/>
  <c r="V22" i="11" s="1"/>
  <c r="Z94" i="15"/>
  <c r="Y334" i="10"/>
  <c r="Z330" i="10"/>
  <c r="Z334" i="10" s="1"/>
  <c r="AB32" i="15"/>
  <c r="AB30" i="15" s="1"/>
  <c r="AD215" i="9"/>
  <c r="W153" i="10"/>
  <c r="W151" i="10"/>
  <c r="W45" i="10" s="1"/>
  <c r="Y186" i="18"/>
  <c r="AA284" i="10"/>
  <c r="AA282" i="10" s="1"/>
  <c r="AC187" i="9"/>
  <c r="Z50" i="15"/>
  <c r="Z54" i="15" s="1"/>
  <c r="Y54" i="15"/>
  <c r="Y41" i="15"/>
  <c r="Z35" i="15"/>
  <c r="P135" i="10"/>
  <c r="P41" i="10"/>
  <c r="Y131" i="10"/>
  <c r="AC165" i="17"/>
  <c r="AC160" i="17" s="1"/>
  <c r="AC171" i="17"/>
  <c r="AC169" i="17"/>
  <c r="AA164" i="9"/>
  <c r="AA160" i="9"/>
  <c r="AB160" i="9" s="1"/>
  <c r="Y98" i="10"/>
  <c r="P35" i="10"/>
  <c r="P102" i="10"/>
  <c r="S135" i="10"/>
  <c r="S41" i="10"/>
  <c r="P29" i="18"/>
  <c r="Y51" i="18"/>
  <c r="Y132" i="17"/>
  <c r="Y133" i="17" s="1"/>
  <c r="P133" i="17"/>
  <c r="O133" i="17" s="1"/>
  <c r="V27" i="11"/>
  <c r="Y40" i="17"/>
  <c r="Z36" i="17"/>
  <c r="Y113" i="18"/>
  <c r="Z109" i="18"/>
  <c r="Z113" i="18" s="1"/>
  <c r="AA365" i="9" s="1"/>
  <c r="AB365" i="9" s="1"/>
  <c r="T89" i="11"/>
  <c r="T88" i="11" s="1"/>
  <c r="T85" i="11"/>
  <c r="T73" i="11" s="1"/>
  <c r="Q293" i="10"/>
  <c r="Q262" i="10" s="1"/>
  <c r="Q170" i="10" s="1"/>
  <c r="Y80" i="10"/>
  <c r="Y158" i="18"/>
  <c r="Z48" i="15"/>
  <c r="Y35" i="17"/>
  <c r="Z31" i="17"/>
  <c r="AA235" i="10"/>
  <c r="AA233" i="10" s="1"/>
  <c r="AC180" i="9"/>
  <c r="V46" i="17"/>
  <c r="V20" i="17" s="1"/>
  <c r="V6" i="17" s="1"/>
  <c r="Y44" i="18"/>
  <c r="P28" i="18"/>
  <c r="P84" i="18"/>
  <c r="Y84" i="18" s="1"/>
  <c r="P80" i="18"/>
  <c r="P82" i="18"/>
  <c r="Y259" i="10"/>
  <c r="Z257" i="10"/>
  <c r="Z259" i="10" s="1"/>
  <c r="Z239" i="16"/>
  <c r="Z240" i="16" s="1"/>
  <c r="AA240" i="16" s="1"/>
  <c r="AB240" i="16" s="1"/>
  <c r="AC240" i="16" s="1"/>
  <c r="AD240" i="16" s="1"/>
  <c r="Y240" i="16"/>
  <c r="Y188" i="16"/>
  <c r="Z184" i="16"/>
  <c r="P118" i="10"/>
  <c r="U379" i="10"/>
  <c r="U348" i="10" s="1"/>
  <c r="U172" i="10" s="1"/>
  <c r="AC82" i="19"/>
  <c r="AB82" i="19"/>
  <c r="AA82" i="19"/>
  <c r="Y82" i="19"/>
  <c r="Y9" i="19"/>
  <c r="AD82" i="19"/>
  <c r="AB223" i="10"/>
  <c r="AB221" i="10" s="1"/>
  <c r="AD178" i="9"/>
  <c r="P337" i="10"/>
  <c r="AA229" i="10"/>
  <c r="AA227" i="10" s="1"/>
  <c r="AC179" i="9"/>
  <c r="Q89" i="11"/>
  <c r="Q88" i="11" s="1"/>
  <c r="Q85" i="11"/>
  <c r="Q73" i="11" s="1"/>
  <c r="P251" i="10"/>
  <c r="U92" i="10"/>
  <c r="U33" i="10"/>
  <c r="S379" i="10"/>
  <c r="S348" i="10" s="1"/>
  <c r="S172" i="10" s="1"/>
  <c r="AA129" i="10"/>
  <c r="AA127" i="10" s="1"/>
  <c r="AC166" i="9"/>
  <c r="V167" i="11"/>
  <c r="W173" i="11"/>
  <c r="AA311" i="10"/>
  <c r="AA310" i="10" s="1"/>
  <c r="AA306" i="10" s="1"/>
  <c r="AC327" i="9"/>
  <c r="Y138" i="15"/>
  <c r="Z137" i="15"/>
  <c r="Z138" i="15" s="1"/>
  <c r="AA138" i="15" s="1"/>
  <c r="AB138" i="15" s="1"/>
  <c r="AC138" i="15" s="1"/>
  <c r="AD138" i="15" s="1"/>
  <c r="V107" i="10"/>
  <c r="V36" i="10"/>
  <c r="Q27" i="11"/>
  <c r="Z59" i="16"/>
  <c r="Z63" i="16" s="1"/>
  <c r="AA341" i="9" s="1"/>
  <c r="AB341" i="9" s="1"/>
  <c r="Y63" i="16"/>
  <c r="T32" i="12"/>
  <c r="T31" i="12" s="1"/>
  <c r="T37" i="12"/>
  <c r="T36" i="12" s="1"/>
  <c r="T29" i="12"/>
  <c r="T28" i="12" s="1"/>
  <c r="X75" i="10"/>
  <c r="X130" i="11"/>
  <c r="AA239" i="16"/>
  <c r="AA245" i="16"/>
  <c r="AA242" i="16"/>
  <c r="AA150" i="16"/>
  <c r="AA87" i="16"/>
  <c r="AA86" i="16" s="1"/>
  <c r="AA178" i="16" s="1"/>
  <c r="AA429" i="10" s="1"/>
  <c r="AA399" i="10"/>
  <c r="U129" i="18"/>
  <c r="U206" i="18"/>
  <c r="U205" i="18" s="1"/>
  <c r="U179" i="18" s="1"/>
  <c r="V174" i="16"/>
  <c r="V173" i="16" s="1"/>
  <c r="V147" i="16" s="1"/>
  <c r="V146" i="16" s="1"/>
  <c r="V79" i="16"/>
  <c r="X36" i="10"/>
  <c r="X107" i="10"/>
  <c r="V132" i="11"/>
  <c r="P68" i="17"/>
  <c r="Y68" i="17" s="1"/>
  <c r="Y139" i="17"/>
  <c r="X37" i="12"/>
  <c r="X36" i="12" s="1"/>
  <c r="X29" i="12"/>
  <c r="X28" i="12" s="1"/>
  <c r="X32" i="12"/>
  <c r="X31" i="12" s="1"/>
  <c r="AA442" i="10"/>
  <c r="Z439" i="10"/>
  <c r="Q21" i="16"/>
  <c r="S27" i="11"/>
  <c r="Y57" i="11"/>
  <c r="P56" i="11"/>
  <c r="T97" i="10"/>
  <c r="T34" i="10"/>
  <c r="AB352" i="10"/>
  <c r="AB350" i="10" s="1"/>
  <c r="AD196" i="9"/>
  <c r="R35" i="11"/>
  <c r="R34" i="11" s="1"/>
  <c r="X34" i="10"/>
  <c r="X97" i="10"/>
  <c r="AA82" i="15"/>
  <c r="AA480" i="10"/>
  <c r="Z119" i="18"/>
  <c r="AA228" i="9" s="1"/>
  <c r="AB228" i="9" s="1"/>
  <c r="Z197" i="18"/>
  <c r="T293" i="10"/>
  <c r="T262" i="10" s="1"/>
  <c r="T170" i="10" s="1"/>
  <c r="S107" i="10"/>
  <c r="S36" i="10"/>
  <c r="S14" i="3"/>
  <c r="T17" i="2"/>
  <c r="X174" i="16"/>
  <c r="X173" i="16" s="1"/>
  <c r="X147" i="16" s="1"/>
  <c r="X146" i="16" s="1"/>
  <c r="X79" i="16"/>
  <c r="V54" i="11"/>
  <c r="V53" i="11" s="1"/>
  <c r="V20" i="11" s="1"/>
  <c r="Z36" i="15"/>
  <c r="Z40" i="15" s="1"/>
  <c r="AA353" i="9" s="1"/>
  <c r="AB353" i="9" s="1"/>
  <c r="Y40" i="15"/>
  <c r="O132" i="17"/>
  <c r="P34" i="10"/>
  <c r="Y93" i="10"/>
  <c r="P97" i="10"/>
  <c r="U37" i="12"/>
  <c r="U36" i="12" s="1"/>
  <c r="U29" i="12"/>
  <c r="U28" i="12" s="1"/>
  <c r="U32" i="12"/>
  <c r="U31" i="12" s="1"/>
  <c r="AD171" i="17"/>
  <c r="AD169" i="17"/>
  <c r="AD165" i="17" s="1"/>
  <c r="AD160" i="17" s="1"/>
  <c r="Z177" i="10"/>
  <c r="Y181" i="10"/>
  <c r="S207" i="10"/>
  <c r="S176" i="10" s="1"/>
  <c r="AA47" i="15"/>
  <c r="AA43" i="15" s="1"/>
  <c r="AA42" i="15" s="1"/>
  <c r="AC354" i="9"/>
  <c r="X150" i="10"/>
  <c r="X44" i="10"/>
  <c r="Y28" i="10"/>
  <c r="S97" i="10"/>
  <c r="S34" i="10"/>
  <c r="Z52" i="18"/>
  <c r="Z56" i="18" s="1"/>
  <c r="AA358" i="9" s="1"/>
  <c r="AB358" i="9" s="1"/>
  <c r="Y56" i="18"/>
  <c r="W113" i="10"/>
  <c r="Y135" i="17"/>
  <c r="Y136" i="17" s="1"/>
  <c r="P136" i="17"/>
  <c r="O136" i="17" s="1"/>
  <c r="Z386" i="10"/>
  <c r="Z388" i="10" s="1"/>
  <c r="Y388" i="10"/>
  <c r="U93" i="17"/>
  <c r="U72" i="17" s="1"/>
  <c r="U65" i="17" s="1"/>
  <c r="U64" i="17" s="1"/>
  <c r="U7" i="17" s="1"/>
  <c r="Y135" i="15"/>
  <c r="Z134" i="15"/>
  <c r="Z135" i="15" s="1"/>
  <c r="AA135" i="15" s="1"/>
  <c r="AB135" i="15" s="1"/>
  <c r="AC135" i="15" s="1"/>
  <c r="AD135" i="15" s="1"/>
  <c r="X250" i="10"/>
  <c r="X219" i="10" s="1"/>
  <c r="X169" i="10" s="1"/>
  <c r="Y39" i="17"/>
  <c r="Z37" i="17"/>
  <c r="Z39" i="17" s="1"/>
  <c r="Y246" i="16"/>
  <c r="Z245" i="16"/>
  <c r="Z246" i="16" s="1"/>
  <c r="AA246" i="16" s="1"/>
  <c r="AB246" i="16" s="1"/>
  <c r="AC246" i="16" s="1"/>
  <c r="AD246" i="16" s="1"/>
  <c r="S132" i="11"/>
  <c r="Y78" i="10"/>
  <c r="AB272" i="10"/>
  <c r="AB270" i="10" s="1"/>
  <c r="AD185" i="9"/>
  <c r="X114" i="10"/>
  <c r="X152" i="10" s="1"/>
  <c r="Y34" i="17"/>
  <c r="Z32" i="17"/>
  <c r="Z34" i="17" s="1"/>
  <c r="Y462" i="10"/>
  <c r="Y460" i="10"/>
  <c r="Y434" i="10" s="1"/>
  <c r="Z461" i="10"/>
  <c r="Q46" i="17"/>
  <c r="Q20" i="17" s="1"/>
  <c r="Q6" i="17" s="1"/>
  <c r="Z45" i="18"/>
  <c r="Z49" i="18" s="1"/>
  <c r="AA357" i="9" s="1"/>
  <c r="AB357" i="9" s="1"/>
  <c r="Y49" i="18"/>
  <c r="Z322" i="10"/>
  <c r="P114" i="10"/>
  <c r="P37" i="12"/>
  <c r="P36" i="12" s="1"/>
  <c r="P32" i="12"/>
  <c r="P31" i="12" s="1"/>
  <c r="P29" i="12"/>
  <c r="P28" i="12" s="1"/>
  <c r="Z44" i="19"/>
  <c r="Y43" i="19"/>
  <c r="Y42" i="19" s="1"/>
  <c r="Y224" i="10"/>
  <c r="Z220" i="10"/>
  <c r="W33" i="18"/>
  <c r="W43" i="18"/>
  <c r="S79" i="18"/>
  <c r="S173" i="18"/>
  <c r="S172" i="18" s="1"/>
  <c r="S146" i="18" s="1"/>
  <c r="T136" i="10"/>
  <c r="Z236" i="10"/>
  <c r="Y58" i="18"/>
  <c r="P30" i="18"/>
  <c r="Q36" i="10"/>
  <c r="Q107" i="10"/>
  <c r="U79" i="18"/>
  <c r="U173" i="18"/>
  <c r="U172" i="18" s="1"/>
  <c r="U146" i="18" s="1"/>
  <c r="AB309" i="10"/>
  <c r="AB307" i="10" s="1"/>
  <c r="AD190" i="9"/>
  <c r="U11" i="11"/>
  <c r="Y86" i="15"/>
  <c r="P85" i="15"/>
  <c r="Y85" i="15" s="1"/>
  <c r="Z85" i="17"/>
  <c r="V56" i="15"/>
  <c r="V20" i="15" s="1"/>
  <c r="V6" i="15" s="1"/>
  <c r="V101" i="15"/>
  <c r="V100" i="15" s="1"/>
  <c r="V74" i="15" s="1"/>
  <c r="Y34" i="15"/>
  <c r="Z28" i="15"/>
  <c r="Z81" i="17"/>
  <c r="X35" i="10"/>
  <c r="X102" i="10"/>
  <c r="Y21" i="15"/>
  <c r="P61" i="15"/>
  <c r="Y61" i="15" s="1"/>
  <c r="P57" i="15"/>
  <c r="P59" i="15"/>
  <c r="X35" i="12"/>
  <c r="X34" i="12" s="1"/>
  <c r="Q79" i="18"/>
  <c r="Q173" i="18"/>
  <c r="Q172" i="18" s="1"/>
  <c r="Q146" i="18" s="1"/>
  <c r="Y167" i="15"/>
  <c r="Y166" i="15" s="1"/>
  <c r="AA278" i="10"/>
  <c r="AA276" i="10" s="1"/>
  <c r="AC186" i="9"/>
  <c r="V250" i="10"/>
  <c r="V219" i="10" s="1"/>
  <c r="V169" i="10" s="1"/>
  <c r="V21" i="16"/>
  <c r="P214" i="16"/>
  <c r="Y214" i="16" s="1"/>
  <c r="Z214" i="16" s="1"/>
  <c r="Y136" i="16"/>
  <c r="T126" i="10"/>
  <c r="Z343" i="10"/>
  <c r="Z345" i="10" s="1"/>
  <c r="Y345" i="10"/>
  <c r="V35" i="12"/>
  <c r="V34" i="12" s="1"/>
  <c r="Y377" i="10"/>
  <c r="Z373" i="10"/>
  <c r="Z377" i="10" s="1"/>
  <c r="X27" i="11"/>
  <c r="Z188" i="10"/>
  <c r="AA310" i="9" s="1"/>
  <c r="AB310" i="9" s="1"/>
  <c r="S50" i="11"/>
  <c r="S47" i="11"/>
  <c r="S35" i="11" s="1"/>
  <c r="W132" i="11"/>
  <c r="U336" i="10"/>
  <c r="U305" i="10" s="1"/>
  <c r="U171" i="10" s="1"/>
  <c r="Z193" i="10"/>
  <c r="AA349" i="10"/>
  <c r="Y101" i="16"/>
  <c r="P36" i="16"/>
  <c r="AA144" i="10"/>
  <c r="AA142" i="10" s="1"/>
  <c r="AC169" i="9"/>
  <c r="U36" i="10"/>
  <c r="U107" i="10"/>
  <c r="U10" i="11"/>
  <c r="Z123" i="16"/>
  <c r="Z127" i="16" s="1"/>
  <c r="AA349" i="9" s="1"/>
  <c r="Y127" i="16"/>
  <c r="Y65" i="16"/>
  <c r="P31" i="16"/>
  <c r="P24" i="16" s="1"/>
  <c r="P382" i="10"/>
  <c r="Y382" i="10" s="1"/>
  <c r="T129" i="18"/>
  <c r="T206" i="18"/>
  <c r="T205" i="18" s="1"/>
  <c r="T179" i="18" s="1"/>
  <c r="Z242" i="16"/>
  <c r="Z243" i="16" s="1"/>
  <c r="AA243" i="16" s="1"/>
  <c r="AB243" i="16" s="1"/>
  <c r="AC243" i="16" s="1"/>
  <c r="AD243" i="16" s="1"/>
  <c r="Y243" i="16"/>
  <c r="X56" i="15"/>
  <c r="X20" i="15" s="1"/>
  <c r="X6" i="15" s="1"/>
  <c r="X101" i="15"/>
  <c r="X100" i="15" s="1"/>
  <c r="X74" i="15" s="1"/>
  <c r="Y27" i="10"/>
  <c r="U50" i="11"/>
  <c r="U47" i="11"/>
  <c r="U35" i="11" s="1"/>
  <c r="Q250" i="10"/>
  <c r="Q219" i="10" s="1"/>
  <c r="Q169" i="10" s="1"/>
  <c r="Y83" i="17"/>
  <c r="Z83" i="17" s="1"/>
  <c r="AA460" i="9" s="1"/>
  <c r="AB460" i="9" s="1"/>
  <c r="P179" i="16"/>
  <c r="Y179" i="16" s="1"/>
  <c r="Z179" i="16" s="1"/>
  <c r="Y180" i="16"/>
  <c r="Z180" i="16" s="1"/>
  <c r="P132" i="18"/>
  <c r="Y101" i="18"/>
  <c r="P36" i="18"/>
  <c r="P130" i="18"/>
  <c r="P134" i="18"/>
  <c r="Y134" i="18" s="1"/>
  <c r="Y64" i="10"/>
  <c r="Z60" i="10"/>
  <c r="Y77" i="17"/>
  <c r="Y294" i="10"/>
  <c r="P293" i="10"/>
  <c r="P262" i="10" s="1"/>
  <c r="P170" i="10" s="1"/>
  <c r="Z366" i="10"/>
  <c r="AA335" i="9" s="1"/>
  <c r="AB335" i="9" s="1"/>
  <c r="S35" i="12"/>
  <c r="S34" i="12" s="1"/>
  <c r="Y216" i="10"/>
  <c r="Z214" i="10"/>
  <c r="Z216" i="10" s="1"/>
  <c r="T93" i="17"/>
  <c r="T72" i="17" s="1"/>
  <c r="T65" i="17" s="1"/>
  <c r="T64" i="17" s="1"/>
  <c r="T7" i="17" s="1"/>
  <c r="Q93" i="17"/>
  <c r="Q72" i="17" s="1"/>
  <c r="Q65" i="17" s="1"/>
  <c r="Q64" i="17" s="1"/>
  <c r="Q7" i="17" s="1"/>
  <c r="Z365" i="10"/>
  <c r="U35" i="10"/>
  <c r="U102" i="10"/>
  <c r="P152" i="18"/>
  <c r="Y152" i="18" s="1"/>
  <c r="Y153" i="18"/>
  <c r="AB55" i="16"/>
  <c r="AB53" i="16" s="1"/>
  <c r="AD203" i="9"/>
  <c r="T92" i="11"/>
  <c r="T91" i="11" s="1"/>
  <c r="T22" i="11" s="1"/>
  <c r="Y39" i="11"/>
  <c r="Z39" i="11" s="1"/>
  <c r="P38" i="11"/>
  <c r="R210" i="16"/>
  <c r="R209" i="16" s="1"/>
  <c r="R183" i="16" s="1"/>
  <c r="R182" i="16" s="1"/>
  <c r="R129" i="16"/>
  <c r="Z306" i="10"/>
  <c r="Y310" i="10"/>
  <c r="U79" i="16"/>
  <c r="U174" i="16"/>
  <c r="U173" i="16" s="1"/>
  <c r="U147" i="16" s="1"/>
  <c r="U146" i="16" s="1"/>
  <c r="Z323" i="10"/>
  <c r="AA329" i="9" s="1"/>
  <c r="AB329" i="9" s="1"/>
  <c r="AC329" i="9" s="1"/>
  <c r="AD329" i="9" s="1"/>
  <c r="AE329" i="9" s="1"/>
  <c r="X379" i="10"/>
  <c r="X348" i="10" s="1"/>
  <c r="X172" i="10" s="1"/>
  <c r="X89" i="11"/>
  <c r="X88" i="11" s="1"/>
  <c r="X85" i="11"/>
  <c r="X73" i="11" s="1"/>
  <c r="Z59" i="18"/>
  <c r="Z63" i="18" s="1"/>
  <c r="AA359" i="9" s="1"/>
  <c r="AB359" i="9" s="1"/>
  <c r="Y63" i="18"/>
  <c r="U21" i="18"/>
  <c r="AA344" i="10"/>
  <c r="AA343" i="10" s="1"/>
  <c r="AB98" i="16"/>
  <c r="AB96" i="16" s="1"/>
  <c r="AD208" i="9"/>
  <c r="X40" i="10"/>
  <c r="X130" i="10"/>
  <c r="W210" i="16"/>
  <c r="W209" i="16" s="1"/>
  <c r="W183" i="16" s="1"/>
  <c r="W182" i="16" s="1"/>
  <c r="W145" i="16" s="1"/>
  <c r="W7" i="16" s="1"/>
  <c r="W129" i="16"/>
  <c r="T210" i="16"/>
  <c r="T209" i="16" s="1"/>
  <c r="T183" i="16" s="1"/>
  <c r="T182" i="16" s="1"/>
  <c r="T129" i="16"/>
  <c r="Y237" i="18"/>
  <c r="Z236" i="18"/>
  <c r="Z237" i="18" s="1"/>
  <c r="AA237" i="18" s="1"/>
  <c r="AB237" i="18" s="1"/>
  <c r="AC237" i="18" s="1"/>
  <c r="AD237" i="18" s="1"/>
  <c r="Y164" i="16"/>
  <c r="P163" i="16"/>
  <c r="Y163" i="16" s="1"/>
  <c r="S89" i="11"/>
  <c r="S88" i="11" s="1"/>
  <c r="S85" i="11"/>
  <c r="S73" i="11" s="1"/>
  <c r="Y88" i="19"/>
  <c r="AD88" i="19"/>
  <c r="AC88" i="19"/>
  <c r="AB88" i="19"/>
  <c r="Y10" i="19"/>
  <c r="AA88" i="19"/>
  <c r="X132" i="11"/>
  <c r="Q21" i="18"/>
  <c r="Y176" i="15"/>
  <c r="Y13" i="15" s="1"/>
  <c r="P96" i="5" s="1"/>
  <c r="Y144" i="15"/>
  <c r="Y143" i="15" s="1"/>
  <c r="Y116" i="15" s="1"/>
  <c r="Z177" i="15"/>
  <c r="R130" i="11"/>
  <c r="R129" i="11" s="1"/>
  <c r="R24" i="11" s="1"/>
  <c r="AC11" i="11"/>
  <c r="Y248" i="10"/>
  <c r="Z244" i="10"/>
  <c r="Z248" i="10" s="1"/>
  <c r="X43" i="10"/>
  <c r="X145" i="10"/>
  <c r="Z123" i="11"/>
  <c r="Z125" i="11" s="1"/>
  <c r="AA450" i="9" s="1"/>
  <c r="Y125" i="11"/>
  <c r="V75" i="10"/>
  <c r="V130" i="11"/>
  <c r="Z543" i="10"/>
  <c r="X47" i="11"/>
  <c r="X50" i="11"/>
  <c r="P36" i="10"/>
  <c r="P107" i="10"/>
  <c r="Y103" i="10"/>
  <c r="R155" i="10"/>
  <c r="AA186" i="10"/>
  <c r="AA184" i="10" s="1"/>
  <c r="AC173" i="9"/>
  <c r="Q34" i="10"/>
  <c r="Q97" i="10"/>
  <c r="Q174" i="16"/>
  <c r="Q173" i="16" s="1"/>
  <c r="Q147" i="16" s="1"/>
  <c r="Q146" i="16" s="1"/>
  <c r="Q79" i="16"/>
  <c r="Y70" i="11"/>
  <c r="Z70" i="11" s="1"/>
  <c r="P69" i="11"/>
  <c r="Y69" i="11" s="1"/>
  <c r="W35" i="11"/>
  <c r="W34" i="11" s="1"/>
  <c r="W155" i="10"/>
  <c r="Z102" i="16"/>
  <c r="Z106" i="16" s="1"/>
  <c r="AA346" i="9" s="1"/>
  <c r="AB346" i="9" s="1"/>
  <c r="Y106" i="16"/>
  <c r="W154" i="11"/>
  <c r="V152" i="11"/>
  <c r="AA200" i="10"/>
  <c r="AA199" i="10" s="1"/>
  <c r="AA195" i="10" s="1"/>
  <c r="AC312" i="9"/>
  <c r="Y122" i="16"/>
  <c r="P39" i="16"/>
  <c r="T336" i="10"/>
  <c r="T305" i="10" s="1"/>
  <c r="T171" i="10" s="1"/>
  <c r="S129" i="18"/>
  <c r="S206" i="18"/>
  <c r="S205" i="18" s="1"/>
  <c r="S179" i="18" s="1"/>
  <c r="P38" i="6"/>
  <c r="P37" i="6" s="1"/>
  <c r="P49" i="6" s="1"/>
  <c r="Z401" i="10"/>
  <c r="Z66" i="16"/>
  <c r="Z70" i="16" s="1"/>
  <c r="AA342" i="9" s="1"/>
  <c r="AB342" i="9" s="1"/>
  <c r="Y70" i="16"/>
  <c r="P384" i="10"/>
  <c r="Y384" i="10" s="1"/>
  <c r="Y302" i="10"/>
  <c r="Z300" i="10"/>
  <c r="Z302" i="10" s="1"/>
  <c r="Q129" i="18"/>
  <c r="Q206" i="18"/>
  <c r="Q205" i="18" s="1"/>
  <c r="Q179" i="18" s="1"/>
  <c r="X21" i="16"/>
  <c r="U89" i="11"/>
  <c r="U88" i="11" s="1"/>
  <c r="U85" i="11"/>
  <c r="U73" i="11" s="1"/>
  <c r="AC124" i="11"/>
  <c r="Y191" i="18"/>
  <c r="U27" i="11"/>
  <c r="Y33" i="15"/>
  <c r="Z29" i="15"/>
  <c r="Z33" i="15" s="1"/>
  <c r="AA352" i="9" s="1"/>
  <c r="AB352" i="9" s="1"/>
  <c r="V129" i="16"/>
  <c r="V210" i="16"/>
  <c r="V209" i="16" s="1"/>
  <c r="V183" i="16" s="1"/>
  <c r="V182" i="16" s="1"/>
  <c r="Z102" i="18"/>
  <c r="Z106" i="18" s="1"/>
  <c r="AA364" i="9" s="1"/>
  <c r="AB364" i="9" s="1"/>
  <c r="Y106" i="18"/>
  <c r="Q32" i="12"/>
  <c r="Q31" i="12" s="1"/>
  <c r="Q29" i="12"/>
  <c r="Q28" i="12" s="1"/>
  <c r="Q37" i="12"/>
  <c r="Q36" i="12" s="1"/>
  <c r="V35" i="10"/>
  <c r="V102" i="10"/>
  <c r="AD112" i="19"/>
  <c r="AC112" i="19"/>
  <c r="AB112" i="19"/>
  <c r="AA112" i="19"/>
  <c r="Y112" i="19"/>
  <c r="Y14" i="19"/>
  <c r="Y117" i="17"/>
  <c r="P118" i="17"/>
  <c r="O118" i="17" s="1"/>
  <c r="O116" i="17" s="1"/>
  <c r="Y296" i="10"/>
  <c r="Z296" i="10" s="1"/>
  <c r="AA364" i="10"/>
  <c r="AA362" i="10" s="1"/>
  <c r="AC198" i="9"/>
  <c r="AB48" i="18"/>
  <c r="AB46" i="18" s="1"/>
  <c r="AD220" i="9"/>
  <c r="V34" i="10"/>
  <c r="V97" i="10"/>
  <c r="AA317" i="10"/>
  <c r="AA316" i="10" s="1"/>
  <c r="AA312" i="10" s="1"/>
  <c r="AC328" i="9"/>
  <c r="P30" i="16"/>
  <c r="Y58" i="16"/>
  <c r="S130" i="11"/>
  <c r="S75" i="10"/>
  <c r="X136" i="10"/>
  <c r="Y88" i="10"/>
  <c r="P33" i="10"/>
  <c r="P92" i="10"/>
  <c r="Z477" i="10"/>
  <c r="U56" i="15"/>
  <c r="U20" i="15" s="1"/>
  <c r="U6" i="15" s="1"/>
  <c r="U101" i="15"/>
  <c r="U100" i="15" s="1"/>
  <c r="U74" i="15" s="1"/>
  <c r="V89" i="11"/>
  <c r="V88" i="11" s="1"/>
  <c r="V85" i="11"/>
  <c r="V73" i="11" s="1"/>
  <c r="AA155" i="16"/>
  <c r="AA404" i="10"/>
  <c r="Y48" i="11"/>
  <c r="Z48" i="11" s="1"/>
  <c r="P47" i="11"/>
  <c r="AD112" i="17"/>
  <c r="AD111" i="17" s="1"/>
  <c r="AC111" i="17"/>
  <c r="Y542" i="10"/>
  <c r="Z541" i="10"/>
  <c r="Z542" i="10" s="1"/>
  <c r="Y26" i="15"/>
  <c r="Z22" i="15"/>
  <c r="Z26" i="15" s="1"/>
  <c r="AA351" i="9" s="1"/>
  <c r="AB351" i="9" s="1"/>
  <c r="Q35" i="12"/>
  <c r="Q34" i="12" s="1"/>
  <c r="P177" i="18"/>
  <c r="Y177" i="18" s="1"/>
  <c r="Z177" i="18" s="1"/>
  <c r="Y86" i="18"/>
  <c r="W8" i="17"/>
  <c r="O65" i="5"/>
  <c r="O75" i="5"/>
  <c r="O76" i="5" s="1"/>
  <c r="S21" i="18"/>
  <c r="U130" i="10"/>
  <c r="U40" i="10"/>
  <c r="U97" i="10"/>
  <c r="U34" i="10"/>
  <c r="AB10" i="12"/>
  <c r="S28" i="6" s="1"/>
  <c r="AA137" i="16"/>
  <c r="AA136" i="16" s="1"/>
  <c r="AA214" i="16" s="1"/>
  <c r="AA467" i="10" s="1"/>
  <c r="AA437" i="10"/>
  <c r="R43" i="16" l="1"/>
  <c r="R145" i="16"/>
  <c r="R7" i="16" s="1"/>
  <c r="W129" i="11"/>
  <c r="W28" i="11" s="1"/>
  <c r="W26" i="11" s="1"/>
  <c r="W25" i="11" s="1"/>
  <c r="Y88" i="17"/>
  <c r="Y150" i="10"/>
  <c r="R125" i="10"/>
  <c r="AA280" i="10"/>
  <c r="AA279" i="10" s="1"/>
  <c r="AA275" i="10" s="1"/>
  <c r="AD309" i="9"/>
  <c r="AE309" i="9" s="1"/>
  <c r="AD182" i="10" s="1"/>
  <c r="AD181" i="10" s="1"/>
  <c r="U145" i="10"/>
  <c r="Z297" i="10"/>
  <c r="U157" i="10"/>
  <c r="AA360" i="10"/>
  <c r="AA359" i="10" s="1"/>
  <c r="AA355" i="10" s="1"/>
  <c r="P23" i="16"/>
  <c r="R8" i="15"/>
  <c r="R9" i="15" s="1"/>
  <c r="U155" i="10"/>
  <c r="AC461" i="9"/>
  <c r="AB87" i="17" s="1"/>
  <c r="AC317" i="9"/>
  <c r="AB237" i="10" s="1"/>
  <c r="AB236" i="10" s="1"/>
  <c r="X145" i="16"/>
  <c r="X7" i="16" s="1"/>
  <c r="Z88" i="17"/>
  <c r="AB372" i="10"/>
  <c r="AB371" i="10" s="1"/>
  <c r="AB367" i="10" s="1"/>
  <c r="T113" i="10"/>
  <c r="T38" i="10" s="1"/>
  <c r="T32" i="10" s="1"/>
  <c r="T8" i="10" s="1"/>
  <c r="AC459" i="9"/>
  <c r="AB79" i="17" s="1"/>
  <c r="S113" i="10"/>
  <c r="S38" i="10" s="1"/>
  <c r="S32" i="10" s="1"/>
  <c r="S8" i="10" s="1"/>
  <c r="AB354" i="10"/>
  <c r="AB353" i="10" s="1"/>
  <c r="AB349" i="10" s="1"/>
  <c r="S152" i="10"/>
  <c r="S151" i="10" s="1"/>
  <c r="AC316" i="9"/>
  <c r="AB231" i="10" s="1"/>
  <c r="AB230" i="10" s="1"/>
  <c r="R39" i="10"/>
  <c r="R9" i="10" s="1"/>
  <c r="Z129" i="17"/>
  <c r="Z130" i="17" s="1"/>
  <c r="AA130" i="17" s="1"/>
  <c r="AB130" i="17" s="1"/>
  <c r="AC130" i="17" s="1"/>
  <c r="AD130" i="17" s="1"/>
  <c r="W39" i="10"/>
  <c r="W9" i="10" s="1"/>
  <c r="AA238" i="16"/>
  <c r="V155" i="10"/>
  <c r="R175" i="10"/>
  <c r="R167" i="10"/>
  <c r="R10" i="10" s="1"/>
  <c r="V157" i="10"/>
  <c r="AC324" i="9"/>
  <c r="AB286" i="10" s="1"/>
  <c r="AB285" i="10" s="1"/>
  <c r="AD322" i="9"/>
  <c r="AC274" i="10" s="1"/>
  <c r="AC273" i="10" s="1"/>
  <c r="P207" i="10"/>
  <c r="P176" i="10" s="1"/>
  <c r="P168" i="10" s="1"/>
  <c r="S129" i="11"/>
  <c r="S24" i="11" s="1"/>
  <c r="AA281" i="10"/>
  <c r="AB269" i="10"/>
  <c r="U8" i="17"/>
  <c r="U9" i="17" s="1"/>
  <c r="R87" i="10"/>
  <c r="Q113" i="10"/>
  <c r="Q38" i="10" s="1"/>
  <c r="Q32" i="10" s="1"/>
  <c r="Q8" i="10" s="1"/>
  <c r="Y37" i="12"/>
  <c r="T129" i="11"/>
  <c r="T24" i="11" s="1"/>
  <c r="W125" i="10"/>
  <c r="X72" i="11"/>
  <c r="X21" i="11" s="1"/>
  <c r="AA258" i="10"/>
  <c r="AA257" i="10" s="1"/>
  <c r="AA194" i="10"/>
  <c r="AA193" i="10" s="1"/>
  <c r="AA189" i="10" s="1"/>
  <c r="Y32" i="12"/>
  <c r="U34" i="11"/>
  <c r="U19" i="11" s="1"/>
  <c r="Z84" i="17"/>
  <c r="X157" i="10"/>
  <c r="Y44" i="10"/>
  <c r="V72" i="11"/>
  <c r="V21" i="11" s="1"/>
  <c r="U72" i="11"/>
  <c r="U21" i="11" s="1"/>
  <c r="Q145" i="16"/>
  <c r="Q7" i="16" s="1"/>
  <c r="Y118" i="10"/>
  <c r="Z118" i="10" s="1"/>
  <c r="Y41" i="10"/>
  <c r="U145" i="18"/>
  <c r="U7" i="18" s="1"/>
  <c r="S145" i="18"/>
  <c r="S7" i="18" s="1"/>
  <c r="Q72" i="11"/>
  <c r="Q21" i="11" s="1"/>
  <c r="S8" i="17"/>
  <c r="S11" i="17" s="1"/>
  <c r="S34" i="11"/>
  <c r="S19" i="11" s="1"/>
  <c r="Z34" i="15"/>
  <c r="U113" i="10"/>
  <c r="Y36" i="10"/>
  <c r="T72" i="11"/>
  <c r="T21" i="11" s="1"/>
  <c r="X145" i="18"/>
  <c r="X7" i="18" s="1"/>
  <c r="Z181" i="16"/>
  <c r="U145" i="16"/>
  <c r="U7" i="16" s="1"/>
  <c r="Q145" i="18"/>
  <c r="Q7" i="18" s="1"/>
  <c r="U26" i="12"/>
  <c r="U9" i="12" s="1"/>
  <c r="U6" i="12" s="1"/>
  <c r="I197" i="16"/>
  <c r="P35" i="12"/>
  <c r="P34" i="12" s="1"/>
  <c r="Y34" i="12" s="1"/>
  <c r="Z34" i="12" s="1"/>
  <c r="V34" i="11"/>
  <c r="V19" i="11" s="1"/>
  <c r="S72" i="11"/>
  <c r="S21" i="11" s="1"/>
  <c r="AA226" i="10"/>
  <c r="AA232" i="10"/>
  <c r="Y116" i="10"/>
  <c r="Z116" i="10" s="1"/>
  <c r="P130" i="11"/>
  <c r="Y130" i="11" s="1"/>
  <c r="V145" i="18"/>
  <c r="V7" i="18" s="1"/>
  <c r="X155" i="10"/>
  <c r="T145" i="18"/>
  <c r="T7" i="18" s="1"/>
  <c r="P25" i="16"/>
  <c r="U129" i="11"/>
  <c r="U24" i="11" s="1"/>
  <c r="Q29" i="11"/>
  <c r="X29" i="11"/>
  <c r="X153" i="10"/>
  <c r="X151" i="10"/>
  <c r="X45" i="10" s="1"/>
  <c r="W24" i="11"/>
  <c r="Z88" i="19"/>
  <c r="Z87" i="19" s="1"/>
  <c r="Z63" i="19" s="1"/>
  <c r="Z27" i="19" s="1"/>
  <c r="Y87" i="19"/>
  <c r="Y63" i="19" s="1"/>
  <c r="Y27" i="19" s="1"/>
  <c r="Y28" i="12"/>
  <c r="AB235" i="10"/>
  <c r="AB233" i="10" s="1"/>
  <c r="AD180" i="9"/>
  <c r="R26" i="18"/>
  <c r="R20" i="18" s="1"/>
  <c r="R6" i="18" s="1"/>
  <c r="R27" i="18"/>
  <c r="Y29" i="16"/>
  <c r="Y57" i="16"/>
  <c r="Z51" i="16"/>
  <c r="Y151" i="18"/>
  <c r="Z147" i="18"/>
  <c r="W27" i="16"/>
  <c r="AA26" i="15"/>
  <c r="AA22" i="15" s="1"/>
  <c r="AA21" i="15" s="1"/>
  <c r="AC351" i="9"/>
  <c r="Y47" i="11"/>
  <c r="AB149" i="18"/>
  <c r="I113" i="19"/>
  <c r="AA106" i="16"/>
  <c r="AC346" i="9"/>
  <c r="V151" i="10"/>
  <c r="V45" i="10" s="1"/>
  <c r="V153" i="10"/>
  <c r="S29" i="11"/>
  <c r="Q33" i="18"/>
  <c r="Q43" i="18"/>
  <c r="Y27" i="15"/>
  <c r="Z21" i="15"/>
  <c r="Y84" i="17"/>
  <c r="AC309" i="10"/>
  <c r="AC307" i="10" s="1"/>
  <c r="AE190" i="9"/>
  <c r="AD309" i="10" s="1"/>
  <c r="AD307" i="10" s="1"/>
  <c r="Z224" i="10"/>
  <c r="Z43" i="19"/>
  <c r="Z42" i="19" s="1"/>
  <c r="Q8" i="17"/>
  <c r="AA40" i="15"/>
  <c r="AC353" i="9"/>
  <c r="U40" i="18"/>
  <c r="U34" i="18" s="1"/>
  <c r="U93" i="18"/>
  <c r="W167" i="11"/>
  <c r="X173" i="11"/>
  <c r="Y337" i="10"/>
  <c r="P336" i="10"/>
  <c r="P305" i="10" s="1"/>
  <c r="P171" i="10" s="1"/>
  <c r="Y171" i="10" s="1"/>
  <c r="V8" i="17"/>
  <c r="Z80" i="10"/>
  <c r="Z98" i="10"/>
  <c r="Y102" i="10"/>
  <c r="Y135" i="10"/>
  <c r="Z131" i="10"/>
  <c r="V40" i="18"/>
  <c r="V34" i="18" s="1"/>
  <c r="V93" i="18"/>
  <c r="T175" i="10"/>
  <c r="AA56" i="10"/>
  <c r="W175" i="10"/>
  <c r="W168" i="10"/>
  <c r="W167" i="10" s="1"/>
  <c r="W10" i="10" s="1"/>
  <c r="V29" i="11"/>
  <c r="Y189" i="18"/>
  <c r="Z185" i="18"/>
  <c r="P210" i="16"/>
  <c r="Y130" i="16"/>
  <c r="P129" i="16"/>
  <c r="P97" i="17"/>
  <c r="Y97" i="17" s="1"/>
  <c r="Z97" i="17" s="1"/>
  <c r="Y51" i="17"/>
  <c r="S145" i="16"/>
  <c r="S7" i="16" s="1"/>
  <c r="Y127" i="17"/>
  <c r="Z126" i="17"/>
  <c r="Z127" i="17" s="1"/>
  <c r="AA127" i="17" s="1"/>
  <c r="AB127" i="17" s="1"/>
  <c r="AC127" i="17" s="1"/>
  <c r="AD127" i="17" s="1"/>
  <c r="T145" i="16"/>
  <c r="T7" i="16" s="1"/>
  <c r="Z353" i="10"/>
  <c r="AC180" i="10"/>
  <c r="AC178" i="10" s="1"/>
  <c r="AE172" i="9"/>
  <c r="AD180" i="10" s="1"/>
  <c r="AD178" i="10" s="1"/>
  <c r="Y161" i="16"/>
  <c r="Z159" i="16"/>
  <c r="Z161" i="16" s="1"/>
  <c r="I161" i="16" s="1"/>
  <c r="Q129" i="11"/>
  <c r="Q24" i="11" s="1"/>
  <c r="AA180" i="16"/>
  <c r="AA179" i="16" s="1"/>
  <c r="Z95" i="11"/>
  <c r="Z97" i="11" s="1"/>
  <c r="AA437" i="9" s="1"/>
  <c r="AB437" i="9" s="1"/>
  <c r="Y97" i="11"/>
  <c r="Z267" i="10"/>
  <c r="AA120" i="18"/>
  <c r="AC366" i="9"/>
  <c r="P21" i="16"/>
  <c r="T151" i="10"/>
  <c r="T45" i="10" s="1"/>
  <c r="T153" i="10"/>
  <c r="R28" i="11"/>
  <c r="R26" i="11" s="1"/>
  <c r="R25" i="11" s="1"/>
  <c r="AB364" i="10"/>
  <c r="AB362" i="10" s="1"/>
  <c r="AD198" i="9"/>
  <c r="Z101" i="18"/>
  <c r="Y107" i="18"/>
  <c r="Y36" i="18"/>
  <c r="Z460" i="10"/>
  <c r="Z434" i="10" s="1"/>
  <c r="Y56" i="11"/>
  <c r="P55" i="11"/>
  <c r="P54" i="11" s="1"/>
  <c r="P53" i="11" s="1"/>
  <c r="P20" i="11" s="1"/>
  <c r="T157" i="10"/>
  <c r="AA105" i="18"/>
  <c r="AA103" i="18" s="1"/>
  <c r="AC226" i="9"/>
  <c r="Y33" i="10"/>
  <c r="AA106" i="18"/>
  <c r="AC364" i="9"/>
  <c r="Y193" i="18"/>
  <c r="Z191" i="18"/>
  <c r="Z193" i="18" s="1"/>
  <c r="I193" i="18" s="1"/>
  <c r="X154" i="11"/>
  <c r="X152" i="11" s="1"/>
  <c r="X150" i="11" s="1"/>
  <c r="W152" i="11"/>
  <c r="W150" i="11" s="1"/>
  <c r="AC98" i="16"/>
  <c r="AC96" i="16" s="1"/>
  <c r="AE208" i="9"/>
  <c r="AD98" i="16" s="1"/>
  <c r="AD96" i="16" s="1"/>
  <c r="Z310" i="10"/>
  <c r="Y132" i="18"/>
  <c r="P208" i="18"/>
  <c r="Y208" i="18" s="1"/>
  <c r="U29" i="11"/>
  <c r="R9" i="12"/>
  <c r="R6" i="12" s="1"/>
  <c r="AA387" i="10"/>
  <c r="AA386" i="10" s="1"/>
  <c r="AA188" i="10"/>
  <c r="AA187" i="10" s="1"/>
  <c r="AA183" i="10" s="1"/>
  <c r="AC310" i="9"/>
  <c r="Y31" i="12"/>
  <c r="Z78" i="10"/>
  <c r="Z181" i="10"/>
  <c r="Z93" i="10"/>
  <c r="Y97" i="10"/>
  <c r="X33" i="16"/>
  <c r="X43" i="16"/>
  <c r="Z57" i="11"/>
  <c r="Z59" i="11" s="1"/>
  <c r="AA435" i="9" s="1"/>
  <c r="AB435" i="9" s="1"/>
  <c r="Y59" i="11"/>
  <c r="AA191" i="16"/>
  <c r="P175" i="18"/>
  <c r="Y175" i="18" s="1"/>
  <c r="Y82" i="18"/>
  <c r="Z40" i="17"/>
  <c r="Y29" i="18"/>
  <c r="Y57" i="18"/>
  <c r="Z51" i="18"/>
  <c r="AA91" i="10"/>
  <c r="AA89" i="10" s="1"/>
  <c r="AC160" i="9"/>
  <c r="AA99" i="16"/>
  <c r="AC345" i="9"/>
  <c r="Z141" i="11"/>
  <c r="AA141" i="11" s="1"/>
  <c r="O141" i="11"/>
  <c r="O142" i="11" s="1"/>
  <c r="P142" i="11" s="1"/>
  <c r="AA139" i="10"/>
  <c r="AA137" i="10" s="1"/>
  <c r="AA61" i="10" s="1"/>
  <c r="AC168" i="9"/>
  <c r="P22" i="16"/>
  <c r="AB101" i="10"/>
  <c r="AB99" i="10" s="1"/>
  <c r="AD162" i="9"/>
  <c r="Q168" i="10"/>
  <c r="Q167" i="10" s="1"/>
  <c r="Q10" i="10" s="1"/>
  <c r="Q175" i="10"/>
  <c r="Y161" i="18"/>
  <c r="Z157" i="18"/>
  <c r="Y114" i="18"/>
  <c r="Y37" i="18"/>
  <c r="Z108" i="18"/>
  <c r="Y138" i="18"/>
  <c r="Z136" i="18"/>
  <c r="AB8" i="12"/>
  <c r="AB134" i="10"/>
  <c r="AB132" i="10" s="1"/>
  <c r="AD167" i="9"/>
  <c r="I95" i="19"/>
  <c r="Y65" i="15"/>
  <c r="Z63" i="15"/>
  <c r="Z65" i="15" s="1"/>
  <c r="AD256" i="16"/>
  <c r="AD253" i="16" s="1"/>
  <c r="AD226" i="16" s="1"/>
  <c r="AD282" i="16"/>
  <c r="AD275" i="16" s="1"/>
  <c r="AD274" i="16" s="1"/>
  <c r="AD286" i="16"/>
  <c r="AD285" i="16" s="1"/>
  <c r="AD13" i="16" s="1"/>
  <c r="U74" i="5" s="1"/>
  <c r="AC69" i="16"/>
  <c r="AC67" i="16" s="1"/>
  <c r="AE205" i="9"/>
  <c r="AD69" i="16" s="1"/>
  <c r="AD67" i="16" s="1"/>
  <c r="T33" i="18"/>
  <c r="T43" i="18"/>
  <c r="AB263" i="10"/>
  <c r="Z104" i="11"/>
  <c r="Z106" i="11" s="1"/>
  <c r="AA449" i="9" s="1"/>
  <c r="Y106" i="11"/>
  <c r="AC243" i="10"/>
  <c r="AC242" i="10" s="1"/>
  <c r="AE318" i="9"/>
  <c r="AD243" i="10" s="1"/>
  <c r="AD242" i="10" s="1"/>
  <c r="AB160" i="16"/>
  <c r="AB409" i="10"/>
  <c r="Y78" i="16"/>
  <c r="Y32" i="16"/>
  <c r="Z72" i="16"/>
  <c r="W9" i="12"/>
  <c r="W6" i="12" s="1"/>
  <c r="AA113" i="16"/>
  <c r="AC347" i="9"/>
  <c r="T34" i="11"/>
  <c r="U31" i="10"/>
  <c r="U25" i="10" s="1"/>
  <c r="U24" i="10" s="1"/>
  <c r="U49" i="10"/>
  <c r="U48" i="10" s="1"/>
  <c r="Q153" i="10"/>
  <c r="Q151" i="10"/>
  <c r="AA66" i="10"/>
  <c r="AA136" i="15"/>
  <c r="X40" i="16"/>
  <c r="X34" i="16" s="1"/>
  <c r="X93" i="16"/>
  <c r="Y50" i="16"/>
  <c r="Z44" i="16"/>
  <c r="Y28" i="16"/>
  <c r="Y78" i="15"/>
  <c r="Z76" i="15"/>
  <c r="Z78" i="15" s="1"/>
  <c r="I78" i="15" s="1"/>
  <c r="P50" i="11"/>
  <c r="Y51" i="11"/>
  <c r="Z51" i="11" s="1"/>
  <c r="AA63" i="18"/>
  <c r="AC359" i="9"/>
  <c r="V11" i="11"/>
  <c r="AC327" i="10"/>
  <c r="AC325" i="10" s="1"/>
  <c r="AE193" i="9"/>
  <c r="AD327" i="10" s="1"/>
  <c r="AD325" i="10" s="1"/>
  <c r="P46" i="17"/>
  <c r="P20" i="17" s="1"/>
  <c r="P6" i="17" s="1"/>
  <c r="Y47" i="17"/>
  <c r="Z341" i="10"/>
  <c r="Z342" i="10" s="1"/>
  <c r="Y342" i="10"/>
  <c r="AB177" i="10"/>
  <c r="Q31" i="10"/>
  <c r="Q25" i="10" s="1"/>
  <c r="Q24" i="10" s="1"/>
  <c r="Q49" i="10"/>
  <c r="Q48" i="10" s="1"/>
  <c r="Y75" i="15"/>
  <c r="AA186" i="16"/>
  <c r="AA468" i="10"/>
  <c r="AA469" i="10" s="1"/>
  <c r="W11" i="17"/>
  <c r="W9" i="17"/>
  <c r="U107" i="15"/>
  <c r="U73" i="15" s="1"/>
  <c r="U7" i="15" s="1"/>
  <c r="U8" i="15" s="1"/>
  <c r="Z88" i="10"/>
  <c r="Y92" i="10"/>
  <c r="AB317" i="10"/>
  <c r="AB316" i="10" s="1"/>
  <c r="AB312" i="10" s="1"/>
  <c r="AD328" i="9"/>
  <c r="AC127" i="11"/>
  <c r="AC126" i="11" s="1"/>
  <c r="AC123" i="11"/>
  <c r="AC111" i="11" s="1"/>
  <c r="S40" i="18"/>
  <c r="S34" i="18" s="1"/>
  <c r="S93" i="18"/>
  <c r="W19" i="11"/>
  <c r="AB186" i="10"/>
  <c r="AB184" i="10" s="1"/>
  <c r="AD173" i="9"/>
  <c r="T40" i="16"/>
  <c r="T34" i="16" s="1"/>
  <c r="T93" i="16"/>
  <c r="AB137" i="16"/>
  <c r="AB136" i="16" s="1"/>
  <c r="AB214" i="16" s="1"/>
  <c r="AB467" i="10" s="1"/>
  <c r="AB437" i="10"/>
  <c r="AC55" i="16"/>
  <c r="AC53" i="16" s="1"/>
  <c r="AE203" i="9"/>
  <c r="AD55" i="16" s="1"/>
  <c r="AD53" i="16" s="1"/>
  <c r="Z28" i="10"/>
  <c r="Z64" i="10"/>
  <c r="Y383" i="10"/>
  <c r="Z382" i="10"/>
  <c r="Z383" i="10" s="1"/>
  <c r="Y379" i="10"/>
  <c r="Y381" i="10"/>
  <c r="Z380" i="10"/>
  <c r="Z381" i="10" s="1"/>
  <c r="Y89" i="15"/>
  <c r="Z85" i="15"/>
  <c r="U33" i="18"/>
  <c r="U43" i="18"/>
  <c r="Y36" i="12"/>
  <c r="P132" i="11"/>
  <c r="Y132" i="11" s="1"/>
  <c r="Y34" i="10"/>
  <c r="AA119" i="18"/>
  <c r="AA117" i="18" s="1"/>
  <c r="AC228" i="9"/>
  <c r="R32" i="11"/>
  <c r="R19" i="11"/>
  <c r="R17" i="11" s="1"/>
  <c r="AA63" i="16"/>
  <c r="AC341" i="9"/>
  <c r="AB129" i="10"/>
  <c r="AB127" i="10" s="1"/>
  <c r="AD166" i="9"/>
  <c r="Y80" i="18"/>
  <c r="P79" i="18"/>
  <c r="P173" i="18"/>
  <c r="Z35" i="17"/>
  <c r="P22" i="18"/>
  <c r="Z41" i="15"/>
  <c r="AA127" i="11"/>
  <c r="AA126" i="11" s="1"/>
  <c r="AA123" i="11"/>
  <c r="AA111" i="11" s="1"/>
  <c r="I127" i="19"/>
  <c r="Y150" i="18"/>
  <c r="Z148" i="18"/>
  <c r="Z150" i="18" s="1"/>
  <c r="I150" i="18" s="1"/>
  <c r="Y88" i="16"/>
  <c r="Z86" i="16"/>
  <c r="Z88" i="16" s="1"/>
  <c r="Y395" i="10"/>
  <c r="I192" i="16"/>
  <c r="I187" i="16" s="1"/>
  <c r="AD19" i="12"/>
  <c r="AD17" i="12" s="1"/>
  <c r="AD15" i="12" s="1"/>
  <c r="AC17" i="12"/>
  <c r="AC15" i="12" s="1"/>
  <c r="Y100" i="16"/>
  <c r="Z94" i="16"/>
  <c r="Y35" i="16"/>
  <c r="Z100" i="19"/>
  <c r="Z99" i="19" s="1"/>
  <c r="Z65" i="19" s="1"/>
  <c r="Z29" i="19" s="1"/>
  <c r="Y99" i="19"/>
  <c r="Y65" i="19" s="1"/>
  <c r="Y29" i="19" s="1"/>
  <c r="Y106" i="15"/>
  <c r="Z105" i="15"/>
  <c r="Y30" i="17"/>
  <c r="Z26" i="17"/>
  <c r="AB165" i="16"/>
  <c r="AB414" i="10"/>
  <c r="Y194" i="18"/>
  <c r="AC10" i="12"/>
  <c r="T28" i="6" s="1"/>
  <c r="Y23" i="11"/>
  <c r="P19" i="6"/>
  <c r="Y151" i="16"/>
  <c r="Z149" i="16"/>
  <c r="Z151" i="16" s="1"/>
  <c r="I151" i="16" s="1"/>
  <c r="W107" i="15"/>
  <c r="W73" i="15" s="1"/>
  <c r="W7" i="15" s="1"/>
  <c r="W8" i="15" s="1"/>
  <c r="AA49" i="16"/>
  <c r="AC339" i="9"/>
  <c r="Z500" i="10"/>
  <c r="Z498" i="10"/>
  <c r="Z472" i="10" s="1"/>
  <c r="Z249" i="18"/>
  <c r="Z282" i="18"/>
  <c r="Z281" i="18" s="1"/>
  <c r="Z13" i="18" s="1"/>
  <c r="Q118" i="5" s="1"/>
  <c r="AA513" i="10"/>
  <c r="AB194" i="10"/>
  <c r="AB193" i="10" s="1"/>
  <c r="AD311" i="9"/>
  <c r="U151" i="10"/>
  <c r="U153" i="10"/>
  <c r="Z538" i="10"/>
  <c r="Z536" i="10"/>
  <c r="Z510" i="10" s="1"/>
  <c r="AB358" i="10"/>
  <c r="AB356" i="10" s="1"/>
  <c r="AD197" i="9"/>
  <c r="AA130" i="15"/>
  <c r="AC39" i="15"/>
  <c r="AC37" i="15" s="1"/>
  <c r="AE216" i="9"/>
  <c r="AD39" i="15" s="1"/>
  <c r="AD37" i="15" s="1"/>
  <c r="P174" i="16"/>
  <c r="Y80" i="16"/>
  <c r="P79" i="16"/>
  <c r="T155" i="10"/>
  <c r="X175" i="10"/>
  <c r="V167" i="10"/>
  <c r="V10" i="10" s="1"/>
  <c r="Q40" i="18"/>
  <c r="Q34" i="18" s="1"/>
  <c r="Q93" i="18"/>
  <c r="AA430" i="10"/>
  <c r="AA431" i="10" s="1"/>
  <c r="Y188" i="18"/>
  <c r="Z186" i="18"/>
  <c r="Z188" i="18" s="1"/>
  <c r="I188" i="18" s="1"/>
  <c r="Z94" i="19"/>
  <c r="Z93" i="19" s="1"/>
  <c r="Z64" i="19" s="1"/>
  <c r="Z28" i="19" s="1"/>
  <c r="Y93" i="19"/>
  <c r="Y64" i="19" s="1"/>
  <c r="Y28" i="19" s="1"/>
  <c r="Y88" i="18"/>
  <c r="Z86" i="18"/>
  <c r="Z88" i="18" s="1"/>
  <c r="U140" i="15"/>
  <c r="X42" i="10"/>
  <c r="X140" i="10"/>
  <c r="Z116" i="17"/>
  <c r="V40" i="16"/>
  <c r="V34" i="16" s="1"/>
  <c r="V93" i="16"/>
  <c r="Y385" i="10"/>
  <c r="Z384" i="10"/>
  <c r="Z385" i="10" s="1"/>
  <c r="Z69" i="11"/>
  <c r="Z71" i="11" s="1"/>
  <c r="AA453" i="9" s="1"/>
  <c r="Y71" i="11"/>
  <c r="I89" i="19"/>
  <c r="R40" i="16"/>
  <c r="R34" i="16" s="1"/>
  <c r="R93" i="16"/>
  <c r="AB155" i="16"/>
  <c r="AB404" i="10"/>
  <c r="AA366" i="10"/>
  <c r="AA365" i="10" s="1"/>
  <c r="AA361" i="10" s="1"/>
  <c r="AC335" i="9"/>
  <c r="X107" i="15"/>
  <c r="X73" i="15" s="1"/>
  <c r="X7" i="15" s="1"/>
  <c r="X8" i="15" s="1"/>
  <c r="AB144" i="10"/>
  <c r="AB142" i="10" s="1"/>
  <c r="AD169" i="9"/>
  <c r="AB278" i="10"/>
  <c r="AB276" i="10" s="1"/>
  <c r="AD186" i="9"/>
  <c r="P379" i="10"/>
  <c r="P348" i="10" s="1"/>
  <c r="P172" i="10" s="1"/>
  <c r="Y172" i="10" s="1"/>
  <c r="Y88" i="15"/>
  <c r="I88" i="15" s="1"/>
  <c r="Z86" i="15"/>
  <c r="Z88" i="15" s="1"/>
  <c r="S33" i="18"/>
  <c r="S43" i="18"/>
  <c r="P113" i="10"/>
  <c r="Y114" i="10"/>
  <c r="W38" i="10"/>
  <c r="W32" i="10" s="1"/>
  <c r="W8" i="10" s="1"/>
  <c r="W87" i="10"/>
  <c r="AC352" i="10"/>
  <c r="AC350" i="10" s="1"/>
  <c r="AE196" i="9"/>
  <c r="AD352" i="10" s="1"/>
  <c r="AD350" i="10" s="1"/>
  <c r="X129" i="11"/>
  <c r="X24" i="11" s="1"/>
  <c r="Y8" i="19"/>
  <c r="Y7" i="19" s="1"/>
  <c r="Y6" i="19" s="1"/>
  <c r="Z188" i="16"/>
  <c r="Y85" i="18"/>
  <c r="Z84" i="18"/>
  <c r="Y213" i="10"/>
  <c r="Z212" i="10"/>
  <c r="Z213" i="10" s="1"/>
  <c r="AC32" i="15"/>
  <c r="AC30" i="15" s="1"/>
  <c r="AE215" i="9"/>
  <c r="AD32" i="15" s="1"/>
  <c r="AD30" i="15" s="1"/>
  <c r="Y84" i="15"/>
  <c r="Z80" i="15"/>
  <c r="AC48" i="16"/>
  <c r="AC46" i="16" s="1"/>
  <c r="AE202" i="9"/>
  <c r="AD48" i="16" s="1"/>
  <c r="AD46" i="16" s="1"/>
  <c r="S107" i="15"/>
  <c r="S73" i="15" s="1"/>
  <c r="S7" i="15" s="1"/>
  <c r="S8" i="15" s="1"/>
  <c r="Z424" i="10"/>
  <c r="Z422" i="10"/>
  <c r="Z396" i="10" s="1"/>
  <c r="AA301" i="10"/>
  <c r="AA300" i="10" s="1"/>
  <c r="Z76" i="10"/>
  <c r="Y75" i="10"/>
  <c r="I101" i="19"/>
  <c r="V130" i="10"/>
  <c r="V40" i="10"/>
  <c r="AC55" i="18"/>
  <c r="AC53" i="18" s="1"/>
  <c r="AE221" i="9"/>
  <c r="AD55" i="18" s="1"/>
  <c r="AD53" i="18" s="1"/>
  <c r="Y156" i="16"/>
  <c r="Z154" i="16"/>
  <c r="Z156" i="16" s="1"/>
  <c r="I156" i="16" s="1"/>
  <c r="Z117" i="11"/>
  <c r="Z112" i="11"/>
  <c r="Z111" i="11" s="1"/>
  <c r="Z110" i="11" s="1"/>
  <c r="Y148" i="16"/>
  <c r="Y211" i="10"/>
  <c r="Z210" i="10"/>
  <c r="Z211" i="10" s="1"/>
  <c r="W140" i="15"/>
  <c r="X33" i="18"/>
  <c r="X43" i="18"/>
  <c r="AC370" i="10"/>
  <c r="AC368" i="10" s="1"/>
  <c r="AE199" i="9"/>
  <c r="AD370" i="10" s="1"/>
  <c r="AD368" i="10" s="1"/>
  <c r="Y207" i="10"/>
  <c r="Y209" i="10"/>
  <c r="Z208" i="10"/>
  <c r="Z209" i="10" s="1"/>
  <c r="AB87" i="15"/>
  <c r="AB485" i="10"/>
  <c r="Y199" i="18"/>
  <c r="Z195" i="18"/>
  <c r="AB192" i="10"/>
  <c r="AB190" i="10" s="1"/>
  <c r="AD174" i="9"/>
  <c r="Z66" i="11"/>
  <c r="Z68" i="11" s="1"/>
  <c r="AA447" i="9" s="1"/>
  <c r="Y68" i="11"/>
  <c r="X167" i="10"/>
  <c r="X10" i="10" s="1"/>
  <c r="V175" i="10"/>
  <c r="Y154" i="10"/>
  <c r="P155" i="10"/>
  <c r="P250" i="10"/>
  <c r="P219" i="10" s="1"/>
  <c r="P169" i="10" s="1"/>
  <c r="Y169" i="10" s="1"/>
  <c r="Y251" i="10"/>
  <c r="Z107" i="11"/>
  <c r="Z109" i="11" s="1"/>
  <c r="AA455" i="9" s="1"/>
  <c r="Y109" i="11"/>
  <c r="I107" i="19"/>
  <c r="S31" i="10"/>
  <c r="S25" i="10" s="1"/>
  <c r="S24" i="10" s="1"/>
  <c r="S49" i="10"/>
  <c r="S48" i="10" s="1"/>
  <c r="Y118" i="17"/>
  <c r="Z117" i="17"/>
  <c r="Z176" i="15"/>
  <c r="Z13" i="15" s="1"/>
  <c r="Q96" i="5" s="1"/>
  <c r="Z144" i="15"/>
  <c r="Z143" i="15" s="1"/>
  <c r="Z116" i="15" s="1"/>
  <c r="Z163" i="16"/>
  <c r="Y167" i="16"/>
  <c r="W40" i="16"/>
  <c r="W34" i="16" s="1"/>
  <c r="W93" i="16"/>
  <c r="AA339" i="10"/>
  <c r="AA337" i="10"/>
  <c r="AA341" i="10"/>
  <c r="Z153" i="18"/>
  <c r="Z155" i="18" s="1"/>
  <c r="Y155" i="18"/>
  <c r="Y170" i="10"/>
  <c r="Z134" i="18"/>
  <c r="Y135" i="18"/>
  <c r="X140" i="15"/>
  <c r="Y31" i="16"/>
  <c r="Y24" i="16" s="1"/>
  <c r="Y71" i="16"/>
  <c r="Z65" i="16"/>
  <c r="X35" i="11"/>
  <c r="X34" i="11" s="1"/>
  <c r="Y59" i="15"/>
  <c r="P103" i="15"/>
  <c r="Y103" i="15" s="1"/>
  <c r="V107" i="15"/>
  <c r="V73" i="15" s="1"/>
  <c r="V7" i="15" s="1"/>
  <c r="V8" i="15" s="1"/>
  <c r="AB47" i="15"/>
  <c r="AD354" i="9"/>
  <c r="T14" i="3"/>
  <c r="U17" i="2"/>
  <c r="U14" i="3" s="1"/>
  <c r="X26" i="12"/>
  <c r="V33" i="16"/>
  <c r="V43" i="16"/>
  <c r="AA241" i="16"/>
  <c r="AB311" i="10"/>
  <c r="AB310" i="10" s="1"/>
  <c r="AB306" i="10" s="1"/>
  <c r="AD327" i="9"/>
  <c r="Z82" i="19"/>
  <c r="Z81" i="19" s="1"/>
  <c r="Y81" i="19"/>
  <c r="P21" i="18"/>
  <c r="AB82" i="15"/>
  <c r="AB480" i="10"/>
  <c r="AC315" i="10"/>
  <c r="AC313" i="10" s="1"/>
  <c r="AE191" i="9"/>
  <c r="AD315" i="10" s="1"/>
  <c r="AD313" i="10" s="1"/>
  <c r="V33" i="18"/>
  <c r="V43" i="18"/>
  <c r="Y83" i="15"/>
  <c r="Z81" i="15"/>
  <c r="Z83" i="15" s="1"/>
  <c r="I83" i="15" s="1"/>
  <c r="U40" i="16"/>
  <c r="U34" i="16" s="1"/>
  <c r="U93" i="16"/>
  <c r="AB239" i="16"/>
  <c r="AB238" i="16" s="1"/>
  <c r="AB245" i="16"/>
  <c r="AB244" i="16" s="1"/>
  <c r="AB242" i="16"/>
  <c r="AB241" i="16" s="1"/>
  <c r="AB150" i="16"/>
  <c r="AB87" i="16"/>
  <c r="AB86" i="16" s="1"/>
  <c r="AB178" i="16" s="1"/>
  <c r="AB429" i="10" s="1"/>
  <c r="AB399" i="10"/>
  <c r="S140" i="15"/>
  <c r="Y254" i="10"/>
  <c r="Z253" i="10"/>
  <c r="Z254" i="10" s="1"/>
  <c r="AC354" i="10"/>
  <c r="AC353" i="10" s="1"/>
  <c r="AE333" i="9"/>
  <c r="AD354" i="10" s="1"/>
  <c r="AD353" i="10" s="1"/>
  <c r="P152" i="10"/>
  <c r="Q107" i="15"/>
  <c r="Q73" i="15" s="1"/>
  <c r="Q7" i="15" s="1"/>
  <c r="Q8" i="15" s="1"/>
  <c r="X40" i="18"/>
  <c r="X34" i="18" s="1"/>
  <c r="X93" i="18"/>
  <c r="AA93" i="15"/>
  <c r="Y157" i="16"/>
  <c r="Z153" i="16"/>
  <c r="AC25" i="15"/>
  <c r="AC23" i="15" s="1"/>
  <c r="AE214" i="9"/>
  <c r="AD25" i="15" s="1"/>
  <c r="AD23" i="15" s="1"/>
  <c r="AA56" i="16"/>
  <c r="AC340" i="9"/>
  <c r="V26" i="12"/>
  <c r="O53" i="5"/>
  <c r="O54" i="5" s="1"/>
  <c r="O43" i="5"/>
  <c r="Q40" i="16"/>
  <c r="Q34" i="16" s="1"/>
  <c r="Q93" i="16"/>
  <c r="X8" i="17"/>
  <c r="AC198" i="10"/>
  <c r="AC196" i="10" s="1"/>
  <c r="AE175" i="9"/>
  <c r="AD198" i="10" s="1"/>
  <c r="AD196" i="10" s="1"/>
  <c r="Y218" i="18"/>
  <c r="Y215" i="18" s="1"/>
  <c r="Y10" i="18" s="1"/>
  <c r="P107" i="5" s="1"/>
  <c r="Z248" i="18"/>
  <c r="Z218" i="18" s="1"/>
  <c r="Z215" i="18" s="1"/>
  <c r="Z10" i="18" s="1"/>
  <c r="Q107" i="5" s="1"/>
  <c r="AA196" i="16"/>
  <c r="Z150" i="10"/>
  <c r="AA307" i="9" s="1"/>
  <c r="Z44" i="10"/>
  <c r="Y121" i="17"/>
  <c r="Z120" i="17"/>
  <c r="Z121" i="17" s="1"/>
  <c r="AA121" i="17" s="1"/>
  <c r="AB121" i="17" s="1"/>
  <c r="AC121" i="17" s="1"/>
  <c r="AD121" i="17" s="1"/>
  <c r="AC268" i="10"/>
  <c r="AC267" i="10" s="1"/>
  <c r="AE321" i="9"/>
  <c r="AD268" i="10" s="1"/>
  <c r="AD267" i="10" s="1"/>
  <c r="Z118" i="19"/>
  <c r="Z117" i="19" s="1"/>
  <c r="Z68" i="19" s="1"/>
  <c r="Z32" i="19" s="1"/>
  <c r="Y117" i="19"/>
  <c r="Y68" i="19" s="1"/>
  <c r="Y32" i="19" s="1"/>
  <c r="AC101" i="17"/>
  <c r="AC66" i="17" s="1"/>
  <c r="AA506" i="10"/>
  <c r="AA507" i="10" s="1"/>
  <c r="Z108" i="16"/>
  <c r="Y114" i="16"/>
  <c r="Y37" i="16"/>
  <c r="Z29" i="10"/>
  <c r="Z69" i="10"/>
  <c r="AC112" i="16"/>
  <c r="AC110" i="16" s="1"/>
  <c r="AE210" i="9"/>
  <c r="AD112" i="16" s="1"/>
  <c r="AD110" i="16" s="1"/>
  <c r="Z106" i="19"/>
  <c r="Z105" i="19" s="1"/>
  <c r="Z66" i="19" s="1"/>
  <c r="Z30" i="19" s="1"/>
  <c r="Y105" i="19"/>
  <c r="Y66" i="19" s="1"/>
  <c r="Y30" i="19" s="1"/>
  <c r="T140" i="10"/>
  <c r="T42" i="10"/>
  <c r="AB360" i="10"/>
  <c r="AB359" i="10" s="1"/>
  <c r="AD334" i="9"/>
  <c r="R11" i="17"/>
  <c r="R9" i="17"/>
  <c r="AD10" i="13"/>
  <c r="AD9" i="13" s="1"/>
  <c r="AD6" i="13" s="1"/>
  <c r="AD17" i="13"/>
  <c r="AD13" i="13" s="1"/>
  <c r="U52" i="5" s="1"/>
  <c r="AD52" i="12"/>
  <c r="AD49" i="12" s="1"/>
  <c r="AC62" i="16"/>
  <c r="AC60" i="16" s="1"/>
  <c r="AE204" i="9"/>
  <c r="AD62" i="16" s="1"/>
  <c r="AD60" i="16" s="1"/>
  <c r="AB106" i="10"/>
  <c r="AB104" i="10" s="1"/>
  <c r="AD163" i="9"/>
  <c r="AA33" i="15"/>
  <c r="AA29" i="15" s="1"/>
  <c r="AA28" i="15" s="1"/>
  <c r="AC352" i="9"/>
  <c r="AA70" i="16"/>
  <c r="AC342" i="9"/>
  <c r="Z122" i="16"/>
  <c r="Y128" i="16"/>
  <c r="Y39" i="16"/>
  <c r="Q33" i="16"/>
  <c r="Q43" i="16"/>
  <c r="Y107" i="10"/>
  <c r="Z103" i="10"/>
  <c r="V129" i="11"/>
  <c r="V24" i="11" s="1"/>
  <c r="Y113" i="15"/>
  <c r="Z164" i="16"/>
  <c r="Z166" i="16" s="1"/>
  <c r="I166" i="16" s="1"/>
  <c r="Y166" i="16"/>
  <c r="Y38" i="11"/>
  <c r="P37" i="11"/>
  <c r="Z152" i="18"/>
  <c r="Y156" i="18"/>
  <c r="Y295" i="10"/>
  <c r="Z294" i="10"/>
  <c r="Y293" i="10"/>
  <c r="Y262" i="10" s="1"/>
  <c r="Y130" i="18"/>
  <c r="P129" i="18"/>
  <c r="P206" i="18"/>
  <c r="AA83" i="17"/>
  <c r="AC460" i="9"/>
  <c r="T130" i="10"/>
  <c r="T40" i="10"/>
  <c r="Y57" i="15"/>
  <c r="P56" i="15"/>
  <c r="P20" i="15" s="1"/>
  <c r="P6" i="15" s="1"/>
  <c r="P101" i="15"/>
  <c r="V140" i="15"/>
  <c r="P23" i="18"/>
  <c r="W26" i="18"/>
  <c r="W20" i="18" s="1"/>
  <c r="W6" i="18" s="1"/>
  <c r="W27" i="18"/>
  <c r="X113" i="10"/>
  <c r="AA56" i="18"/>
  <c r="AA52" i="18" s="1"/>
  <c r="AA51" i="18" s="1"/>
  <c r="AA29" i="18" s="1"/>
  <c r="AC358" i="9"/>
  <c r="O135" i="17"/>
  <c r="O131" i="17"/>
  <c r="Z131" i="17" s="1"/>
  <c r="Z132" i="17"/>
  <c r="V145" i="16"/>
  <c r="V7" i="16" s="1"/>
  <c r="AA244" i="16"/>
  <c r="X31" i="10"/>
  <c r="X25" i="10" s="1"/>
  <c r="X24" i="10" s="1"/>
  <c r="X49" i="10"/>
  <c r="X48" i="10" s="1"/>
  <c r="Q34" i="11"/>
  <c r="AB229" i="10"/>
  <c r="AB227" i="10" s="1"/>
  <c r="AD179" i="9"/>
  <c r="I83" i="19"/>
  <c r="Y160" i="18"/>
  <c r="Z158" i="18"/>
  <c r="Z160" i="18" s="1"/>
  <c r="I160" i="18" s="1"/>
  <c r="AA113" i="18"/>
  <c r="AC365" i="9"/>
  <c r="AA355" i="9"/>
  <c r="I98" i="15"/>
  <c r="S26" i="12"/>
  <c r="Z126" i="19"/>
  <c r="Z125" i="19" s="1"/>
  <c r="Y125" i="19"/>
  <c r="AC105" i="16"/>
  <c r="AC103" i="16" s="1"/>
  <c r="AE209" i="9"/>
  <c r="AD105" i="16" s="1"/>
  <c r="AD103" i="16" s="1"/>
  <c r="Z37" i="10"/>
  <c r="Z112" i="10"/>
  <c r="AA301" i="9" s="1"/>
  <c r="AB225" i="10"/>
  <c r="AB224" i="10" s="1"/>
  <c r="AB220" i="10" s="1"/>
  <c r="AD315" i="9"/>
  <c r="R7" i="10"/>
  <c r="Y340" i="10"/>
  <c r="Z339" i="10"/>
  <c r="Z340" i="10" s="1"/>
  <c r="AA112" i="18"/>
  <c r="AA110" i="18" s="1"/>
  <c r="AC227" i="9"/>
  <c r="P31" i="10"/>
  <c r="P49" i="10"/>
  <c r="P48" i="10" s="1"/>
  <c r="AD127" i="11"/>
  <c r="AD126" i="11" s="1"/>
  <c r="AD123" i="11"/>
  <c r="AD111" i="11" s="1"/>
  <c r="Y136" i="10"/>
  <c r="Q140" i="15"/>
  <c r="P212" i="16"/>
  <c r="Y212" i="16" s="1"/>
  <c r="Z212" i="16" s="1"/>
  <c r="Y132" i="16"/>
  <c r="Y49" i="17"/>
  <c r="P95" i="17"/>
  <c r="AC372" i="10"/>
  <c r="AC371" i="10" s="1"/>
  <c r="AE336" i="9"/>
  <c r="AD372" i="10" s="1"/>
  <c r="AD371" i="10" s="1"/>
  <c r="AB131" i="15"/>
  <c r="AB130" i="15" s="1"/>
  <c r="AB137" i="15"/>
  <c r="AB136" i="15" s="1"/>
  <c r="AB77" i="15"/>
  <c r="AB64" i="15"/>
  <c r="AB63" i="15" s="1"/>
  <c r="AB105" i="15" s="1"/>
  <c r="AB505" i="10" s="1"/>
  <c r="AB134" i="15"/>
  <c r="AB133" i="15" s="1"/>
  <c r="AB475" i="10"/>
  <c r="T29" i="11"/>
  <c r="AB127" i="11"/>
  <c r="AB126" i="11" s="1"/>
  <c r="AB123" i="11"/>
  <c r="AB111" i="11" s="1"/>
  <c r="Z26" i="10"/>
  <c r="Z54" i="10"/>
  <c r="R27" i="16"/>
  <c r="R26" i="6"/>
  <c r="Z196" i="18"/>
  <c r="Z198" i="18" s="1"/>
  <c r="I198" i="18" s="1"/>
  <c r="Y198" i="18"/>
  <c r="AB329" i="10"/>
  <c r="AB328" i="10" s="1"/>
  <c r="AB324" i="10" s="1"/>
  <c r="AD330" i="9"/>
  <c r="AC241" i="10"/>
  <c r="AC239" i="10" s="1"/>
  <c r="AE181" i="9"/>
  <c r="AD241" i="10" s="1"/>
  <c r="AD239" i="10" s="1"/>
  <c r="U168" i="10"/>
  <c r="U167" i="10" s="1"/>
  <c r="U10" i="10" s="1"/>
  <c r="U175" i="10"/>
  <c r="I119" i="19"/>
  <c r="Y124" i="17"/>
  <c r="Z123" i="17"/>
  <c r="Z124" i="17" s="1"/>
  <c r="AA124" i="17" s="1"/>
  <c r="AB124" i="17" s="1"/>
  <c r="AC124" i="17" s="1"/>
  <c r="AD124" i="17" s="1"/>
  <c r="AD101" i="17"/>
  <c r="AD66" i="17" s="1"/>
  <c r="AA133" i="15"/>
  <c r="T107" i="15"/>
  <c r="T73" i="15" s="1"/>
  <c r="T7" i="15" s="1"/>
  <c r="T8" i="15" s="1"/>
  <c r="Y85" i="16"/>
  <c r="Z84" i="16"/>
  <c r="Y75" i="11"/>
  <c r="P74" i="11"/>
  <c r="P73" i="11" s="1"/>
  <c r="AB447" i="10"/>
  <c r="AA62" i="18"/>
  <c r="AA60" i="18" s="1"/>
  <c r="AC222" i="9"/>
  <c r="Y85" i="11"/>
  <c r="Y30" i="16"/>
  <c r="Y64" i="16"/>
  <c r="Z58" i="16"/>
  <c r="V150" i="11"/>
  <c r="T40" i="18"/>
  <c r="T34" i="18" s="1"/>
  <c r="T93" i="18"/>
  <c r="AB344" i="10"/>
  <c r="AB343" i="10" s="1"/>
  <c r="AB280" i="10"/>
  <c r="AB279" i="10" s="1"/>
  <c r="AD323" i="9"/>
  <c r="AC223" i="10"/>
  <c r="AC221" i="10" s="1"/>
  <c r="AE178" i="9"/>
  <c r="AD223" i="10" s="1"/>
  <c r="AD221" i="10" s="1"/>
  <c r="Y121" i="18"/>
  <c r="Z115" i="18"/>
  <c r="Y38" i="18"/>
  <c r="Y24" i="18" s="1"/>
  <c r="AC266" i="10"/>
  <c r="AC264" i="10" s="1"/>
  <c r="AE184" i="9"/>
  <c r="AD266" i="10" s="1"/>
  <c r="AD264" i="10" s="1"/>
  <c r="Z14" i="10"/>
  <c r="I44" i="11"/>
  <c r="I39" i="11" s="1"/>
  <c r="AC48" i="18"/>
  <c r="AC46" i="18" s="1"/>
  <c r="AE220" i="9"/>
  <c r="AD48" i="18" s="1"/>
  <c r="AD46" i="18" s="1"/>
  <c r="Z112" i="19"/>
  <c r="Z111" i="19" s="1"/>
  <c r="Y111" i="19"/>
  <c r="Q26" i="12"/>
  <c r="AB200" i="10"/>
  <c r="AB199" i="10" s="1"/>
  <c r="AB195" i="10" s="1"/>
  <c r="AD312" i="9"/>
  <c r="V31" i="10"/>
  <c r="V25" i="10" s="1"/>
  <c r="V24" i="10" s="1"/>
  <c r="V49" i="10"/>
  <c r="V48" i="10" s="1"/>
  <c r="U33" i="16"/>
  <c r="U43" i="16"/>
  <c r="Y80" i="17"/>
  <c r="Z77" i="17"/>
  <c r="Z101" i="16"/>
  <c r="Y107" i="16"/>
  <c r="Y36" i="16"/>
  <c r="Z136" i="16"/>
  <c r="Z138" i="16" s="1"/>
  <c r="Y138" i="16"/>
  <c r="Y62" i="15"/>
  <c r="Z61" i="15"/>
  <c r="Y64" i="18"/>
  <c r="Y30" i="18"/>
  <c r="Z58" i="18"/>
  <c r="AA49" i="18"/>
  <c r="AC357" i="9"/>
  <c r="AC272" i="10"/>
  <c r="AC270" i="10" s="1"/>
  <c r="AE185" i="9"/>
  <c r="AD272" i="10" s="1"/>
  <c r="AD270" i="10" s="1"/>
  <c r="S168" i="10"/>
  <c r="S167" i="10" s="1"/>
  <c r="S10" i="10" s="1"/>
  <c r="S175" i="10"/>
  <c r="T26" i="12"/>
  <c r="Y50" i="18"/>
  <c r="Z44" i="18"/>
  <c r="Y28" i="18"/>
  <c r="P156" i="10"/>
  <c r="Y35" i="10"/>
  <c r="AB284" i="10"/>
  <c r="AB282" i="10" s="1"/>
  <c r="AD187" i="9"/>
  <c r="AB442" i="10"/>
  <c r="T167" i="10"/>
  <c r="T10" i="10" s="1"/>
  <c r="AB96" i="10"/>
  <c r="AB94" i="10" s="1"/>
  <c r="AD161" i="9"/>
  <c r="Z59" i="10"/>
  <c r="Z27" i="10"/>
  <c r="Z55" i="15"/>
  <c r="AA343" i="9"/>
  <c r="I171" i="16"/>
  <c r="AA215" i="10"/>
  <c r="AA214" i="10" s="1"/>
  <c r="Y135" i="16"/>
  <c r="Z134" i="16"/>
  <c r="Z53" i="17"/>
  <c r="Y54" i="17"/>
  <c r="S40" i="16"/>
  <c r="S34" i="16" s="1"/>
  <c r="S93" i="16"/>
  <c r="S33" i="16"/>
  <c r="S43" i="16"/>
  <c r="Z255" i="10"/>
  <c r="Z256" i="10" s="1"/>
  <c r="Y256" i="10"/>
  <c r="T8" i="17"/>
  <c r="T33" i="16"/>
  <c r="T43" i="16"/>
  <c r="P145" i="10"/>
  <c r="P43" i="10"/>
  <c r="Y141" i="10"/>
  <c r="V113" i="10"/>
  <c r="AB238" i="10"/>
  <c r="Z158" i="16"/>
  <c r="Y162" i="16"/>
  <c r="Y94" i="11"/>
  <c r="P93" i="11"/>
  <c r="P92" i="11" s="1"/>
  <c r="P91" i="11" s="1"/>
  <c r="P22" i="11" s="1"/>
  <c r="V43" i="10"/>
  <c r="V145" i="10"/>
  <c r="O38" i="6"/>
  <c r="O37" i="6" s="1"/>
  <c r="O49" i="6" s="1"/>
  <c r="Q37" i="6"/>
  <c r="Q49" i="6" s="1"/>
  <c r="T140" i="15"/>
  <c r="P176" i="16"/>
  <c r="Y176" i="16" s="1"/>
  <c r="Y82" i="16"/>
  <c r="Y78" i="11"/>
  <c r="Z76" i="11"/>
  <c r="Z78" i="11" s="1"/>
  <c r="AA436" i="9" s="1"/>
  <c r="AB436" i="9" s="1"/>
  <c r="T31" i="10"/>
  <c r="T25" i="10" s="1"/>
  <c r="T24" i="10" s="1"/>
  <c r="T49" i="10"/>
  <c r="T48" i="10" s="1"/>
  <c r="Y89" i="11"/>
  <c r="Z89" i="11" s="1"/>
  <c r="P88" i="11"/>
  <c r="Y88" i="11" s="1"/>
  <c r="Y126" i="10"/>
  <c r="AE322" i="9" l="1"/>
  <c r="AD274" i="10" s="1"/>
  <c r="AD273" i="10" s="1"/>
  <c r="AD269" i="10" s="1"/>
  <c r="W32" i="11"/>
  <c r="AC182" i="10"/>
  <c r="AC181" i="10" s="1"/>
  <c r="Z162" i="16"/>
  <c r="AD461" i="9"/>
  <c r="AC87" i="17" s="1"/>
  <c r="R11" i="15"/>
  <c r="R14" i="15" s="1"/>
  <c r="R15" i="15" s="1"/>
  <c r="Z62" i="15"/>
  <c r="W17" i="11"/>
  <c r="S87" i="10"/>
  <c r="AD459" i="9"/>
  <c r="AC79" i="17" s="1"/>
  <c r="S153" i="10"/>
  <c r="T125" i="10"/>
  <c r="R6" i="10"/>
  <c r="R7" i="12" s="1"/>
  <c r="AD317" i="9"/>
  <c r="AC237" i="10" s="1"/>
  <c r="AC236" i="10" s="1"/>
  <c r="AD316" i="9"/>
  <c r="AC231" i="10" s="1"/>
  <c r="AC230" i="10" s="1"/>
  <c r="T87" i="10"/>
  <c r="AD324" i="9"/>
  <c r="AE324" i="9" s="1"/>
  <c r="AD286" i="10" s="1"/>
  <c r="AD285" i="10" s="1"/>
  <c r="AD238" i="10"/>
  <c r="Z157" i="16"/>
  <c r="S28" i="11"/>
  <c r="S26" i="11" s="1"/>
  <c r="S25" i="11" s="1"/>
  <c r="U17" i="11"/>
  <c r="U32" i="11"/>
  <c r="U8" i="11" s="1"/>
  <c r="T28" i="11"/>
  <c r="T26" i="11" s="1"/>
  <c r="T25" i="11" s="1"/>
  <c r="W7" i="10"/>
  <c r="W6" i="10" s="1"/>
  <c r="U11" i="17"/>
  <c r="U14" i="17" s="1"/>
  <c r="U15" i="17" s="1"/>
  <c r="Y35" i="12"/>
  <c r="Z35" i="12" s="1"/>
  <c r="AA296" i="10"/>
  <c r="Y23" i="16"/>
  <c r="AA253" i="10"/>
  <c r="AC238" i="10"/>
  <c r="AA212" i="10"/>
  <c r="AC110" i="11"/>
  <c r="AC23" i="11" s="1"/>
  <c r="S9" i="17"/>
  <c r="Q87" i="10"/>
  <c r="R26" i="16"/>
  <c r="R20" i="16" s="1"/>
  <c r="R6" i="16" s="1"/>
  <c r="R8" i="16" s="1"/>
  <c r="AA255" i="10"/>
  <c r="AA298" i="10"/>
  <c r="AA294" i="10"/>
  <c r="AA208" i="10"/>
  <c r="AA251" i="10"/>
  <c r="AD110" i="11"/>
  <c r="AD23" i="11" s="1"/>
  <c r="S32" i="11"/>
  <c r="S8" i="11" s="1"/>
  <c r="Z133" i="17"/>
  <c r="AA133" i="17" s="1"/>
  <c r="AB133" i="17" s="1"/>
  <c r="AC133" i="17" s="1"/>
  <c r="AD133" i="17" s="1"/>
  <c r="Z156" i="18"/>
  <c r="Y43" i="10"/>
  <c r="AB226" i="10"/>
  <c r="Z54" i="17"/>
  <c r="S17" i="11"/>
  <c r="AB110" i="11"/>
  <c r="AB23" i="11" s="1"/>
  <c r="Z194" i="18"/>
  <c r="AA210" i="10"/>
  <c r="Z119" i="10"/>
  <c r="AB215" i="10"/>
  <c r="AB214" i="10" s="1"/>
  <c r="U38" i="10"/>
  <c r="U32" i="10" s="1"/>
  <c r="U8" i="10" s="1"/>
  <c r="U87" i="10"/>
  <c r="AB301" i="10"/>
  <c r="AB300" i="10" s="1"/>
  <c r="AA110" i="11"/>
  <c r="AA23" i="11" s="1"/>
  <c r="Z135" i="16"/>
  <c r="V28" i="11"/>
  <c r="V26" i="11" s="1"/>
  <c r="V25" i="11" s="1"/>
  <c r="AB281" i="10"/>
  <c r="AB189" i="10"/>
  <c r="U28" i="11"/>
  <c r="U26" i="11" s="1"/>
  <c r="U25" i="11" s="1"/>
  <c r="AA336" i="10"/>
  <c r="AA305" i="10" s="1"/>
  <c r="AA171" i="10" s="1"/>
  <c r="AA193" i="18"/>
  <c r="AA34" i="17" s="1"/>
  <c r="T39" i="10"/>
  <c r="T9" i="10" s="1"/>
  <c r="T7" i="10" s="1"/>
  <c r="T6" i="10" s="1"/>
  <c r="T27" i="12" s="1"/>
  <c r="V125" i="10"/>
  <c r="Z106" i="15"/>
  <c r="Q28" i="11"/>
  <c r="Q26" i="11" s="1"/>
  <c r="Q25" i="11" s="1"/>
  <c r="AB387" i="10"/>
  <c r="AB386" i="10" s="1"/>
  <c r="X39" i="10"/>
  <c r="X9" i="10" s="1"/>
  <c r="Y42" i="10"/>
  <c r="Z118" i="17"/>
  <c r="AA118" i="17" s="1"/>
  <c r="AB118" i="17" s="1"/>
  <c r="AC118" i="17" s="1"/>
  <c r="AD118" i="17" s="1"/>
  <c r="AA384" i="10"/>
  <c r="W11" i="15"/>
  <c r="W9" i="15"/>
  <c r="Q11" i="15"/>
  <c r="Q9" i="15"/>
  <c r="V11" i="15"/>
  <c r="V9" i="15"/>
  <c r="S11" i="15"/>
  <c r="S9" i="15"/>
  <c r="X11" i="15"/>
  <c r="X9" i="15"/>
  <c r="AC229" i="10"/>
  <c r="AC227" i="10" s="1"/>
  <c r="AE179" i="9"/>
  <c r="AD229" i="10" s="1"/>
  <c r="AD227" i="10" s="1"/>
  <c r="AD101" i="19"/>
  <c r="AC101" i="19"/>
  <c r="AB101" i="19"/>
  <c r="AA101" i="19"/>
  <c r="AA99" i="19" s="1"/>
  <c r="AA65" i="19" s="1"/>
  <c r="AA29" i="19" s="1"/>
  <c r="S26" i="16"/>
  <c r="S20" i="16" s="1"/>
  <c r="S6" i="16" s="1"/>
  <c r="S27" i="16"/>
  <c r="AC96" i="10"/>
  <c r="AC94" i="10" s="1"/>
  <c r="AE161" i="9"/>
  <c r="AD96" i="10" s="1"/>
  <c r="AD94" i="10" s="1"/>
  <c r="T26" i="16"/>
  <c r="T20" i="16" s="1"/>
  <c r="T6" i="16" s="1"/>
  <c r="T27" i="16"/>
  <c r="AB56" i="10"/>
  <c r="Z107" i="16"/>
  <c r="Z36" i="16"/>
  <c r="AD149" i="18"/>
  <c r="Z38" i="18"/>
  <c r="Z24" i="18" s="1"/>
  <c r="Z121" i="18"/>
  <c r="AB337" i="10"/>
  <c r="AB339" i="10"/>
  <c r="AB341" i="10"/>
  <c r="Z30" i="16"/>
  <c r="Z64" i="16"/>
  <c r="P72" i="11"/>
  <c r="P21" i="11" s="1"/>
  <c r="Q26" i="16"/>
  <c r="Q20" i="16" s="1"/>
  <c r="Q6" i="16" s="1"/>
  <c r="Q27" i="16"/>
  <c r="AD10" i="12"/>
  <c r="U28" i="6" s="1"/>
  <c r="AA156" i="16"/>
  <c r="AA52" i="16"/>
  <c r="AA51" i="16" s="1"/>
  <c r="AA29" i="16" s="1"/>
  <c r="Z80" i="19"/>
  <c r="Z79" i="19" s="1"/>
  <c r="Z62" i="19"/>
  <c r="P10" i="6"/>
  <c r="Q28" i="6"/>
  <c r="AB366" i="10"/>
  <c r="AB365" i="10" s="1"/>
  <c r="AB361" i="10" s="1"/>
  <c r="AD335" i="9"/>
  <c r="AC87" i="15"/>
  <c r="AC485" i="10"/>
  <c r="AA197" i="18"/>
  <c r="AA116" i="18"/>
  <c r="AA115" i="18" s="1"/>
  <c r="AA38" i="18" s="1"/>
  <c r="AA24" i="18" s="1"/>
  <c r="AD95" i="19"/>
  <c r="AC95" i="19"/>
  <c r="AB95" i="19"/>
  <c r="AA95" i="19"/>
  <c r="AA93" i="19" s="1"/>
  <c r="AA64" i="19" s="1"/>
  <c r="AA28" i="19" s="1"/>
  <c r="Z114" i="18"/>
  <c r="Z37" i="18"/>
  <c r="AB141" i="11"/>
  <c r="X28" i="11"/>
  <c r="X26" i="11" s="1"/>
  <c r="X25" i="11" s="1"/>
  <c r="AA382" i="10"/>
  <c r="AC364" i="10"/>
  <c r="AC362" i="10" s="1"/>
  <c r="AE198" i="9"/>
  <c r="AD364" i="10" s="1"/>
  <c r="AD362" i="10" s="1"/>
  <c r="Z189" i="18"/>
  <c r="AA88" i="15"/>
  <c r="AA36" i="15"/>
  <c r="AA35" i="15" s="1"/>
  <c r="AA61" i="15" s="1"/>
  <c r="AB26" i="15"/>
  <c r="AB22" i="15" s="1"/>
  <c r="AB21" i="15" s="1"/>
  <c r="AD351" i="9"/>
  <c r="Z29" i="16"/>
  <c r="Z57" i="16"/>
  <c r="P26" i="12"/>
  <c r="Z117" i="10"/>
  <c r="Y79" i="11"/>
  <c r="Z75" i="11"/>
  <c r="Y74" i="11"/>
  <c r="Y73" i="11" s="1"/>
  <c r="Y72" i="11" s="1"/>
  <c r="X11" i="17"/>
  <c r="X9" i="17"/>
  <c r="AB430" i="10"/>
  <c r="AB431" i="10" s="1"/>
  <c r="AD239" i="16"/>
  <c r="AD238" i="16" s="1"/>
  <c r="AD242" i="16"/>
  <c r="AD241" i="16" s="1"/>
  <c r="AD245" i="16"/>
  <c r="AD244" i="16" s="1"/>
  <c r="AD150" i="16"/>
  <c r="AD87" i="16"/>
  <c r="AD86" i="16" s="1"/>
  <c r="AD178" i="16" s="1"/>
  <c r="AD429" i="10" s="1"/>
  <c r="AD399" i="10"/>
  <c r="AB63" i="18"/>
  <c r="AB160" i="18" s="1"/>
  <c r="AB524" i="10" s="1"/>
  <c r="AD359" i="9"/>
  <c r="T32" i="11"/>
  <c r="T19" i="11"/>
  <c r="T17" i="11" s="1"/>
  <c r="AA59" i="11"/>
  <c r="AC435" i="9"/>
  <c r="AB120" i="18"/>
  <c r="AB198" i="18" s="1"/>
  <c r="AB39" i="17" s="1"/>
  <c r="AD366" i="9"/>
  <c r="Z35" i="10"/>
  <c r="Z102" i="10"/>
  <c r="AA299" i="9" s="1"/>
  <c r="AB299" i="9" s="1"/>
  <c r="Q11" i="17"/>
  <c r="Q9" i="17"/>
  <c r="V38" i="10"/>
  <c r="V32" i="10" s="1"/>
  <c r="V8" i="10" s="1"/>
  <c r="V87" i="10"/>
  <c r="AB191" i="16"/>
  <c r="P157" i="10"/>
  <c r="Y156" i="10"/>
  <c r="T9" i="12"/>
  <c r="T6" i="12" s="1"/>
  <c r="AC269" i="10"/>
  <c r="Z80" i="17"/>
  <c r="Z85" i="16"/>
  <c r="AD119" i="19"/>
  <c r="AC119" i="19"/>
  <c r="AB119" i="19"/>
  <c r="AA119" i="19"/>
  <c r="AA117" i="19" s="1"/>
  <c r="AA68" i="19" s="1"/>
  <c r="AA32" i="19" s="1"/>
  <c r="AB506" i="10"/>
  <c r="AB507" i="10" s="1"/>
  <c r="AB112" i="18"/>
  <c r="AB110" i="18" s="1"/>
  <c r="AD227" i="9"/>
  <c r="O134" i="17"/>
  <c r="Z134" i="17" s="1"/>
  <c r="Z135" i="17"/>
  <c r="P28" i="6"/>
  <c r="S45" i="10"/>
  <c r="S39" i="10" s="1"/>
  <c r="S9" i="10" s="1"/>
  <c r="S7" i="10" s="1"/>
  <c r="S6" i="10" s="1"/>
  <c r="S125" i="10"/>
  <c r="AD137" i="15"/>
  <c r="AD136" i="15" s="1"/>
  <c r="AD77" i="15"/>
  <c r="AD64" i="15"/>
  <c r="AD63" i="15" s="1"/>
  <c r="AD105" i="15" s="1"/>
  <c r="AD505" i="10" s="1"/>
  <c r="AD134" i="15"/>
  <c r="AD133" i="15" s="1"/>
  <c r="AD131" i="15"/>
  <c r="AD130" i="15" s="1"/>
  <c r="AD475" i="10"/>
  <c r="P153" i="10"/>
  <c r="P151" i="10"/>
  <c r="Y152" i="10"/>
  <c r="Y104" i="15"/>
  <c r="Z103" i="15"/>
  <c r="Y155" i="10"/>
  <c r="Z154" i="10"/>
  <c r="AC245" i="16"/>
  <c r="AC244" i="16" s="1"/>
  <c r="AC239" i="16"/>
  <c r="AC238" i="16" s="1"/>
  <c r="AC242" i="16"/>
  <c r="AC241" i="16" s="1"/>
  <c r="AC150" i="16"/>
  <c r="AC87" i="16"/>
  <c r="AC86" i="16" s="1"/>
  <c r="AC178" i="16" s="1"/>
  <c r="AC429" i="10" s="1"/>
  <c r="AC399" i="10"/>
  <c r="Z85" i="18"/>
  <c r="AD349" i="10"/>
  <c r="AB275" i="10"/>
  <c r="AC358" i="10"/>
  <c r="AC356" i="10" s="1"/>
  <c r="AE197" i="9"/>
  <c r="AD358" i="10" s="1"/>
  <c r="AD356" i="10" s="1"/>
  <c r="Y173" i="18"/>
  <c r="P172" i="18"/>
  <c r="P146" i="18" s="1"/>
  <c r="AA161" i="16"/>
  <c r="AA59" i="16"/>
  <c r="AA58" i="16" s="1"/>
  <c r="AA30" i="16" s="1"/>
  <c r="AD155" i="16"/>
  <c r="AD404" i="10"/>
  <c r="AC186" i="10"/>
  <c r="AC184" i="10" s="1"/>
  <c r="AE173" i="9"/>
  <c r="AD186" i="10" s="1"/>
  <c r="AD184" i="10" s="1"/>
  <c r="Z33" i="10"/>
  <c r="Z92" i="10"/>
  <c r="AA297" i="9" s="1"/>
  <c r="AB297" i="9" s="1"/>
  <c r="AA160" i="18"/>
  <c r="AA524" i="10" s="1"/>
  <c r="AA78" i="15"/>
  <c r="AB113" i="16"/>
  <c r="AD347" i="9"/>
  <c r="AC134" i="10"/>
  <c r="AC132" i="10" s="1"/>
  <c r="AE167" i="9"/>
  <c r="AD134" i="10" s="1"/>
  <c r="AD132" i="10" s="1"/>
  <c r="AA187" i="16"/>
  <c r="AA438" i="10" s="1"/>
  <c r="AA436" i="10" s="1"/>
  <c r="AA435" i="10" s="1"/>
  <c r="AA95" i="16"/>
  <c r="AA94" i="16" s="1"/>
  <c r="Y176" i="18"/>
  <c r="Z175" i="18"/>
  <c r="Y209" i="18"/>
  <c r="Z208" i="18"/>
  <c r="X10" i="11"/>
  <c r="AA380" i="10"/>
  <c r="AA198" i="18"/>
  <c r="AA39" i="17" s="1"/>
  <c r="Z337" i="10"/>
  <c r="Z338" i="10" s="1"/>
  <c r="Y338" i="10"/>
  <c r="Y336" i="10"/>
  <c r="Y22" i="16"/>
  <c r="AC278" i="10"/>
  <c r="AC276" i="10" s="1"/>
  <c r="AE186" i="9"/>
  <c r="AD278" i="10" s="1"/>
  <c r="AD276" i="10" s="1"/>
  <c r="AB63" i="16"/>
  <c r="AD341" i="9"/>
  <c r="AB99" i="16"/>
  <c r="AD345" i="9"/>
  <c r="Z27" i="15"/>
  <c r="Y83" i="16"/>
  <c r="Z82" i="16"/>
  <c r="Z83" i="16" s="1"/>
  <c r="Y145" i="10"/>
  <c r="Z141" i="10"/>
  <c r="T11" i="17"/>
  <c r="T9" i="17"/>
  <c r="AB49" i="18"/>
  <c r="AD357" i="9"/>
  <c r="AC200" i="10"/>
  <c r="AC199" i="10" s="1"/>
  <c r="AC195" i="10" s="1"/>
  <c r="AE312" i="9"/>
  <c r="AD200" i="10" s="1"/>
  <c r="AD199" i="10" s="1"/>
  <c r="AD195" i="10" s="1"/>
  <c r="Y87" i="11"/>
  <c r="Z85" i="11"/>
  <c r="Z87" i="11" s="1"/>
  <c r="AA448" i="9" s="1"/>
  <c r="P93" i="17"/>
  <c r="P72" i="17" s="1"/>
  <c r="P65" i="17" s="1"/>
  <c r="Y95" i="17"/>
  <c r="AA192" i="18"/>
  <c r="AA109" i="18"/>
  <c r="AA108" i="18" s="1"/>
  <c r="AA37" i="18" s="1"/>
  <c r="AD442" i="10"/>
  <c r="AB113" i="18"/>
  <c r="AB193" i="18" s="1"/>
  <c r="AB34" i="17" s="1"/>
  <c r="AD365" i="9"/>
  <c r="Q32" i="11"/>
  <c r="Q19" i="11"/>
  <c r="Q17" i="11" s="1"/>
  <c r="AB56" i="18"/>
  <c r="AB52" i="18" s="1"/>
  <c r="AB51" i="18" s="1"/>
  <c r="AB29" i="18" s="1"/>
  <c r="AD358" i="9"/>
  <c r="Y101" i="15"/>
  <c r="P100" i="15"/>
  <c r="P74" i="15" s="1"/>
  <c r="Y206" i="18"/>
  <c r="P205" i="18"/>
  <c r="P179" i="18" s="1"/>
  <c r="Y37" i="11"/>
  <c r="P36" i="11"/>
  <c r="Y10" i="15"/>
  <c r="P85" i="5" s="1"/>
  <c r="Z113" i="15"/>
  <c r="Z10" i="15" s="1"/>
  <c r="Q85" i="5" s="1"/>
  <c r="Z128" i="16"/>
  <c r="Z39" i="16"/>
  <c r="AC137" i="15"/>
  <c r="AC136" i="15" s="1"/>
  <c r="AC77" i="15"/>
  <c r="AC64" i="15"/>
  <c r="AC63" i="15" s="1"/>
  <c r="AC105" i="15" s="1"/>
  <c r="AC505" i="10" s="1"/>
  <c r="AC134" i="15"/>
  <c r="AC133" i="15" s="1"/>
  <c r="AC131" i="15"/>
  <c r="AC130" i="15" s="1"/>
  <c r="AC475" i="10"/>
  <c r="Y60" i="15"/>
  <c r="Z59" i="15"/>
  <c r="Z60" i="15" s="1"/>
  <c r="Z199" i="18"/>
  <c r="Z207" i="10"/>
  <c r="Z176" i="10" s="1"/>
  <c r="Y176" i="10"/>
  <c r="X26" i="18"/>
  <c r="X20" i="18" s="1"/>
  <c r="X6" i="18" s="1"/>
  <c r="X27" i="18"/>
  <c r="Z23" i="11"/>
  <c r="Q19" i="6"/>
  <c r="Z395" i="10"/>
  <c r="Z11" i="10" s="1"/>
  <c r="Q37" i="5" s="1"/>
  <c r="Z84" i="15"/>
  <c r="AC349" i="10"/>
  <c r="AB355" i="10"/>
  <c r="AC8" i="12"/>
  <c r="AC127" i="19"/>
  <c r="AD127" i="19"/>
  <c r="AB127" i="19"/>
  <c r="AA127" i="19"/>
  <c r="AA125" i="19" s="1"/>
  <c r="P33" i="18"/>
  <c r="P43" i="18"/>
  <c r="Y133" i="11"/>
  <c r="Z132" i="11"/>
  <c r="Z133" i="11" s="1"/>
  <c r="Z379" i="10"/>
  <c r="Z348" i="10" s="1"/>
  <c r="Z172" i="10" s="1"/>
  <c r="Y348" i="10"/>
  <c r="AC155" i="16"/>
  <c r="AC404" i="10"/>
  <c r="Y79" i="15"/>
  <c r="Z75" i="15"/>
  <c r="Y46" i="17"/>
  <c r="Z47" i="17"/>
  <c r="Z48" i="17" s="1"/>
  <c r="Y48" i="17"/>
  <c r="AA68" i="10"/>
  <c r="AA18" i="10"/>
  <c r="AA96" i="11" s="1"/>
  <c r="R41" i="6"/>
  <c r="AA197" i="16"/>
  <c r="AA448" i="10" s="1"/>
  <c r="AA446" i="10" s="1"/>
  <c r="AA445" i="10" s="1"/>
  <c r="AA109" i="16"/>
  <c r="AA108" i="16" s="1"/>
  <c r="AA37" i="16" s="1"/>
  <c r="Z161" i="18"/>
  <c r="AB139" i="10"/>
  <c r="AB137" i="10" s="1"/>
  <c r="AB61" i="10" s="1"/>
  <c r="AD168" i="9"/>
  <c r="AB91" i="10"/>
  <c r="AB89" i="10" s="1"/>
  <c r="AD160" i="9"/>
  <c r="X26" i="16"/>
  <c r="X20" i="16" s="1"/>
  <c r="X6" i="16" s="1"/>
  <c r="X27" i="16"/>
  <c r="Y33" i="12"/>
  <c r="Z31" i="12"/>
  <c r="Z132" i="18"/>
  <c r="Z133" i="18" s="1"/>
  <c r="Y133" i="18"/>
  <c r="X167" i="11"/>
  <c r="Y173" i="11"/>
  <c r="AB513" i="10"/>
  <c r="W26" i="16"/>
  <c r="W20" i="16" s="1"/>
  <c r="W6" i="16" s="1"/>
  <c r="V17" i="11"/>
  <c r="AA491" i="10"/>
  <c r="AA489" i="10" s="1"/>
  <c r="AA488" i="10" s="1"/>
  <c r="AA91" i="15"/>
  <c r="AA90" i="15" s="1"/>
  <c r="W10" i="11"/>
  <c r="Z126" i="10"/>
  <c r="Y130" i="10"/>
  <c r="Z176" i="16"/>
  <c r="Y177" i="16"/>
  <c r="Z94" i="11"/>
  <c r="Y98" i="11"/>
  <c r="Y93" i="11"/>
  <c r="Y92" i="11" s="1"/>
  <c r="Y91" i="11" s="1"/>
  <c r="Y21" i="18"/>
  <c r="AA150" i="18"/>
  <c r="AA45" i="18"/>
  <c r="AA44" i="18" s="1"/>
  <c r="Z37" i="12"/>
  <c r="Z29" i="12"/>
  <c r="Z32" i="12"/>
  <c r="Y152" i="11"/>
  <c r="AB62" i="18"/>
  <c r="AB60" i="18" s="1"/>
  <c r="AD222" i="9"/>
  <c r="Y50" i="17"/>
  <c r="Z49" i="17"/>
  <c r="Z50" i="17" s="1"/>
  <c r="AC442" i="10"/>
  <c r="P140" i="15"/>
  <c r="P40" i="18"/>
  <c r="P34" i="18" s="1"/>
  <c r="P93" i="18"/>
  <c r="Y40" i="11"/>
  <c r="Z38" i="11"/>
  <c r="Z40" i="11" s="1"/>
  <c r="AA434" i="9" s="1"/>
  <c r="AB434" i="9" s="1"/>
  <c r="AB70" i="16"/>
  <c r="AD342" i="9"/>
  <c r="AC106" i="10"/>
  <c r="AC104" i="10" s="1"/>
  <c r="AE163" i="9"/>
  <c r="AD106" i="10" s="1"/>
  <c r="AD104" i="10" s="1"/>
  <c r="Z114" i="16"/>
  <c r="Z37" i="16"/>
  <c r="AA216" i="16"/>
  <c r="AA215" i="16" s="1"/>
  <c r="AA83" i="15"/>
  <c r="X32" i="11"/>
  <c r="X19" i="11"/>
  <c r="X17" i="11" s="1"/>
  <c r="Z135" i="18"/>
  <c r="AC144" i="10"/>
  <c r="AC142" i="10" s="1"/>
  <c r="AE169" i="9"/>
  <c r="AD144" i="10" s="1"/>
  <c r="AD142" i="10" s="1"/>
  <c r="P33" i="16"/>
  <c r="P43" i="16"/>
  <c r="P175" i="10"/>
  <c r="AB180" i="16"/>
  <c r="AB179" i="16" s="1"/>
  <c r="AD8" i="12"/>
  <c r="Y11" i="10"/>
  <c r="P37" i="5" s="1"/>
  <c r="Y79" i="18"/>
  <c r="Y81" i="18"/>
  <c r="Z80" i="18"/>
  <c r="Y38" i="12"/>
  <c r="Z36" i="12"/>
  <c r="AB186" i="16"/>
  <c r="AB468" i="10"/>
  <c r="AB469" i="10" s="1"/>
  <c r="Y50" i="11"/>
  <c r="P29" i="11"/>
  <c r="Y21" i="16"/>
  <c r="T26" i="18"/>
  <c r="T20" i="18" s="1"/>
  <c r="T6" i="18" s="1"/>
  <c r="T27" i="18"/>
  <c r="AA51" i="10"/>
  <c r="AB188" i="10"/>
  <c r="AB187" i="10" s="1"/>
  <c r="AB183" i="10" s="1"/>
  <c r="AD310" i="9"/>
  <c r="AB105" i="18"/>
  <c r="AB103" i="18" s="1"/>
  <c r="AD226" i="9"/>
  <c r="P40" i="16"/>
  <c r="P34" i="16" s="1"/>
  <c r="P93" i="16"/>
  <c r="W11" i="11"/>
  <c r="AB106" i="16"/>
  <c r="AD346" i="9"/>
  <c r="R8" i="18"/>
  <c r="R241" i="18"/>
  <c r="R239" i="18"/>
  <c r="V32" i="11"/>
  <c r="AC149" i="18"/>
  <c r="AC311" i="10"/>
  <c r="AC310" i="10" s="1"/>
  <c r="AC306" i="10" s="1"/>
  <c r="AE327" i="9"/>
  <c r="AD311" i="10" s="1"/>
  <c r="AD310" i="10" s="1"/>
  <c r="AD306" i="10" s="1"/>
  <c r="Z148" i="16"/>
  <c r="Y152" i="16"/>
  <c r="Y83" i="18"/>
  <c r="Z82" i="18"/>
  <c r="Z83" i="18" s="1"/>
  <c r="Y90" i="11"/>
  <c r="Z88" i="11"/>
  <c r="Z90" i="11" s="1"/>
  <c r="AA454" i="9" s="1"/>
  <c r="Z28" i="18"/>
  <c r="Z50" i="18"/>
  <c r="Q9" i="12"/>
  <c r="Q6" i="12" s="1"/>
  <c r="AD263" i="10"/>
  <c r="AC280" i="10"/>
  <c r="AC279" i="10" s="1"/>
  <c r="AE323" i="9"/>
  <c r="AD280" i="10" s="1"/>
  <c r="AD279" i="10" s="1"/>
  <c r="V10" i="11"/>
  <c r="AA159" i="18"/>
  <c r="AA59" i="18"/>
  <c r="AA58" i="18" s="1"/>
  <c r="AA30" i="18" s="1"/>
  <c r="AA523" i="10"/>
  <c r="AA233" i="18"/>
  <c r="AA232" i="18" s="1"/>
  <c r="AA236" i="18"/>
  <c r="AA235" i="18" s="1"/>
  <c r="AA87" i="18"/>
  <c r="AA86" i="18" s="1"/>
  <c r="AA177" i="18" s="1"/>
  <c r="Z132" i="16"/>
  <c r="Z133" i="16" s="1"/>
  <c r="Y133" i="16"/>
  <c r="Y140" i="10"/>
  <c r="Z136" i="10"/>
  <c r="Y124" i="19"/>
  <c r="Y123" i="19" s="1"/>
  <c r="Y73" i="19"/>
  <c r="X38" i="10"/>
  <c r="X32" i="10" s="1"/>
  <c r="X8" i="10" s="1"/>
  <c r="X87" i="10"/>
  <c r="Y56" i="15"/>
  <c r="Y20" i="15" s="1"/>
  <c r="Y6" i="15" s="1"/>
  <c r="Y58" i="15"/>
  <c r="Z57" i="15"/>
  <c r="Y129" i="18"/>
  <c r="Y131" i="18"/>
  <c r="Z130" i="18"/>
  <c r="Z36" i="10"/>
  <c r="Z107" i="10"/>
  <c r="AA300" i="9" s="1"/>
  <c r="AB300" i="9" s="1"/>
  <c r="AA166" i="16"/>
  <c r="AA66" i="16"/>
  <c r="AA65" i="16" s="1"/>
  <c r="AA31" i="16" s="1"/>
  <c r="AA24" i="16" s="1"/>
  <c r="AB66" i="10"/>
  <c r="R14" i="17"/>
  <c r="R15" i="17" s="1"/>
  <c r="R12" i="17"/>
  <c r="AD447" i="10"/>
  <c r="AD82" i="15"/>
  <c r="AD480" i="10"/>
  <c r="S26" i="18"/>
  <c r="S20" i="18" s="1"/>
  <c r="S6" i="18" s="1"/>
  <c r="S27" i="18"/>
  <c r="Y81" i="16"/>
  <c r="Y79" i="16"/>
  <c r="Z80" i="16"/>
  <c r="P167" i="10"/>
  <c r="P10" i="10" s="1"/>
  <c r="Y168" i="10"/>
  <c r="Y167" i="10" s="1"/>
  <c r="Y10" i="10" s="1"/>
  <c r="P36" i="5" s="1"/>
  <c r="P11" i="5" s="1"/>
  <c r="P11" i="1" s="1"/>
  <c r="U45" i="10"/>
  <c r="U39" i="10" s="1"/>
  <c r="U9" i="10" s="1"/>
  <c r="U125" i="10"/>
  <c r="Z30" i="17"/>
  <c r="Z100" i="16"/>
  <c r="Z35" i="16"/>
  <c r="AA63" i="10"/>
  <c r="R40" i="6"/>
  <c r="W8" i="11"/>
  <c r="Q45" i="10"/>
  <c r="Q39" i="10" s="1"/>
  <c r="Q9" i="10" s="1"/>
  <c r="Q7" i="10" s="1"/>
  <c r="Q6" i="10" s="1"/>
  <c r="Q27" i="12" s="1"/>
  <c r="Q125" i="10"/>
  <c r="S26" i="6"/>
  <c r="Z57" i="18"/>
  <c r="Z29" i="18"/>
  <c r="AB258" i="10"/>
  <c r="AB257" i="10" s="1"/>
  <c r="Z34" i="10"/>
  <c r="Z97" i="10"/>
  <c r="AA298" i="9" s="1"/>
  <c r="AB298" i="9" s="1"/>
  <c r="AB106" i="18"/>
  <c r="AB188" i="18" s="1"/>
  <c r="AB29" i="17" s="1"/>
  <c r="AD364" i="9"/>
  <c r="AA187" i="18"/>
  <c r="AA102" i="18"/>
  <c r="AA101" i="18" s="1"/>
  <c r="AA137" i="18"/>
  <c r="AA136" i="18" s="1"/>
  <c r="Z56" i="11"/>
  <c r="Y55" i="11"/>
  <c r="Y54" i="11" s="1"/>
  <c r="Y53" i="11" s="1"/>
  <c r="Y60" i="11"/>
  <c r="AD177" i="10"/>
  <c r="Y131" i="16"/>
  <c r="Y129" i="16"/>
  <c r="Z130" i="16"/>
  <c r="Q26" i="18"/>
  <c r="Q20" i="18" s="1"/>
  <c r="Q6" i="18" s="1"/>
  <c r="Q27" i="18"/>
  <c r="AA192" i="16"/>
  <c r="AA443" i="10" s="1"/>
  <c r="AA441" i="10" s="1"/>
  <c r="AA440" i="10" s="1"/>
  <c r="AA102" i="16"/>
  <c r="AA101" i="16" s="1"/>
  <c r="AA36" i="16" s="1"/>
  <c r="Z151" i="18"/>
  <c r="AC235" i="10"/>
  <c r="AC233" i="10" s="1"/>
  <c r="AE180" i="9"/>
  <c r="AD235" i="10" s="1"/>
  <c r="AD233" i="10" s="1"/>
  <c r="AA78" i="11"/>
  <c r="AC436" i="9"/>
  <c r="Y31" i="10"/>
  <c r="P25" i="10"/>
  <c r="P24" i="10" s="1"/>
  <c r="T11" i="15"/>
  <c r="T9" i="15"/>
  <c r="AC284" i="10"/>
  <c r="AC282" i="10" s="1"/>
  <c r="AE187" i="9"/>
  <c r="AD284" i="10" s="1"/>
  <c r="AD282" i="10" s="1"/>
  <c r="Z64" i="18"/>
  <c r="Z30" i="18"/>
  <c r="U26" i="16"/>
  <c r="U20" i="16" s="1"/>
  <c r="U6" i="16" s="1"/>
  <c r="U27" i="16"/>
  <c r="AC263" i="10"/>
  <c r="AB196" i="16"/>
  <c r="R50" i="12"/>
  <c r="R168" i="11"/>
  <c r="Z124" i="19"/>
  <c r="Z123" i="19" s="1"/>
  <c r="Z73" i="19"/>
  <c r="AD160" i="16"/>
  <c r="AD409" i="10"/>
  <c r="AC360" i="10"/>
  <c r="AC359" i="10" s="1"/>
  <c r="AE334" i="9"/>
  <c r="AD360" i="10" s="1"/>
  <c r="AD359" i="10" s="1"/>
  <c r="AC447" i="10"/>
  <c r="V9" i="12"/>
  <c r="V6" i="12" s="1"/>
  <c r="V26" i="16"/>
  <c r="V20" i="16" s="1"/>
  <c r="V6" i="16" s="1"/>
  <c r="V27" i="16"/>
  <c r="AC47" i="15"/>
  <c r="AE354" i="9"/>
  <c r="AD47" i="15" s="1"/>
  <c r="Z31" i="16"/>
  <c r="Z24" i="16" s="1"/>
  <c r="Z71" i="16"/>
  <c r="AD367" i="10"/>
  <c r="V39" i="10"/>
  <c r="V9" i="10" s="1"/>
  <c r="AC82" i="15"/>
  <c r="AC480" i="10"/>
  <c r="P35" i="1"/>
  <c r="P16" i="7"/>
  <c r="P21" i="3"/>
  <c r="Z114" i="10"/>
  <c r="Z115" i="10" s="1"/>
  <c r="Y113" i="10"/>
  <c r="U11" i="15"/>
  <c r="U9" i="15"/>
  <c r="Y174" i="16"/>
  <c r="P173" i="16"/>
  <c r="P147" i="16" s="1"/>
  <c r="P146" i="16" s="1"/>
  <c r="AC194" i="10"/>
  <c r="AC193" i="10" s="1"/>
  <c r="AE311" i="9"/>
  <c r="AD194" i="10" s="1"/>
  <c r="AD193" i="10" s="1"/>
  <c r="AB49" i="16"/>
  <c r="AD339" i="9"/>
  <c r="R8" i="11"/>
  <c r="U26" i="18"/>
  <c r="U20" i="18" s="1"/>
  <c r="U6" i="18" s="1"/>
  <c r="U27" i="18"/>
  <c r="AC317" i="10"/>
  <c r="AC316" i="10" s="1"/>
  <c r="AC312" i="10" s="1"/>
  <c r="AE328" i="9"/>
  <c r="AD317" i="10" s="1"/>
  <c r="AD316" i="10" s="1"/>
  <c r="AD312" i="10" s="1"/>
  <c r="W14" i="17"/>
  <c r="W15" i="17" s="1"/>
  <c r="W12" i="17"/>
  <c r="Y40" i="10"/>
  <c r="Z28" i="16"/>
  <c r="Z50" i="16"/>
  <c r="Z78" i="16"/>
  <c r="Z32" i="16"/>
  <c r="AD165" i="16"/>
  <c r="AD414" i="10"/>
  <c r="Z210" i="18"/>
  <c r="Z138" i="18"/>
  <c r="S14" i="17"/>
  <c r="S15" i="17" s="1"/>
  <c r="S12" i="17"/>
  <c r="AD137" i="16"/>
  <c r="AD136" i="16" s="1"/>
  <c r="AD214" i="16" s="1"/>
  <c r="AD467" i="10" s="1"/>
  <c r="AD437" i="10"/>
  <c r="AA188" i="18"/>
  <c r="AA29" i="17" s="1"/>
  <c r="AC177" i="10"/>
  <c r="Y52" i="17"/>
  <c r="Z51" i="17"/>
  <c r="Z52" i="17" s="1"/>
  <c r="P209" i="16"/>
  <c r="P183" i="16" s="1"/>
  <c r="P182" i="16" s="1"/>
  <c r="Y210" i="16"/>
  <c r="AA58" i="10"/>
  <c r="AA16" i="10"/>
  <c r="AA58" i="11" s="1"/>
  <c r="R39" i="6"/>
  <c r="Z41" i="10"/>
  <c r="Z135" i="10"/>
  <c r="AA304" i="9" s="1"/>
  <c r="AB304" i="9" s="1"/>
  <c r="V11" i="17"/>
  <c r="V9" i="17"/>
  <c r="AD344" i="10"/>
  <c r="AD343" i="10" s="1"/>
  <c r="AB232" i="10"/>
  <c r="P129" i="11"/>
  <c r="AC329" i="10"/>
  <c r="AC328" i="10" s="1"/>
  <c r="AC324" i="10" s="1"/>
  <c r="AE330" i="9"/>
  <c r="AD329" i="10" s="1"/>
  <c r="AD328" i="10" s="1"/>
  <c r="AD324" i="10" s="1"/>
  <c r="AA98" i="15"/>
  <c r="AA96" i="15" s="1"/>
  <c r="AA95" i="15" s="1"/>
  <c r="AD98" i="15"/>
  <c r="AD96" i="15" s="1"/>
  <c r="AD95" i="15" s="1"/>
  <c r="AB98" i="15"/>
  <c r="AB96" i="15" s="1"/>
  <c r="AB95" i="15" s="1"/>
  <c r="AC98" i="15"/>
  <c r="AC96" i="15" s="1"/>
  <c r="AC95" i="15" s="1"/>
  <c r="AB83" i="17"/>
  <c r="AD460" i="9"/>
  <c r="AC192" i="10"/>
  <c r="AC190" i="10" s="1"/>
  <c r="AE174" i="9"/>
  <c r="AD192" i="10" s="1"/>
  <c r="AD190" i="10" s="1"/>
  <c r="AB171" i="16"/>
  <c r="AB169" i="16" s="1"/>
  <c r="AB168" i="16" s="1"/>
  <c r="AD171" i="16"/>
  <c r="AD169" i="16" s="1"/>
  <c r="AD168" i="16" s="1"/>
  <c r="AC171" i="16"/>
  <c r="AC169" i="16" s="1"/>
  <c r="AC168" i="16" s="1"/>
  <c r="AA171" i="16"/>
  <c r="AA169" i="16" s="1"/>
  <c r="AA168" i="16" s="1"/>
  <c r="Y23" i="18"/>
  <c r="AC225" i="10"/>
  <c r="AC224" i="10" s="1"/>
  <c r="AC220" i="10" s="1"/>
  <c r="AE315" i="9"/>
  <c r="AD225" i="10" s="1"/>
  <c r="AD224" i="10" s="1"/>
  <c r="AD220" i="10" s="1"/>
  <c r="S9" i="12"/>
  <c r="S6" i="12" s="1"/>
  <c r="AD83" i="19"/>
  <c r="AC83" i="19"/>
  <c r="AB83" i="19"/>
  <c r="AA83" i="19"/>
  <c r="AA81" i="19" s="1"/>
  <c r="W8" i="18"/>
  <c r="W239" i="18"/>
  <c r="W241" i="18"/>
  <c r="Z295" i="10"/>
  <c r="Z293" i="10"/>
  <c r="Z262" i="10" s="1"/>
  <c r="Z170" i="10" s="1"/>
  <c r="AB33" i="15"/>
  <c r="AB29" i="15" s="1"/>
  <c r="AB28" i="15" s="1"/>
  <c r="AD352" i="9"/>
  <c r="AC160" i="16"/>
  <c r="AC409" i="10"/>
  <c r="AB56" i="16"/>
  <c r="AD340" i="9"/>
  <c r="V26" i="18"/>
  <c r="V20" i="18" s="1"/>
  <c r="V6" i="18" s="1"/>
  <c r="V27" i="18"/>
  <c r="Y80" i="19"/>
  <c r="Y79" i="19" s="1"/>
  <c r="Y62" i="19"/>
  <c r="X9" i="12"/>
  <c r="X6" i="12" s="1"/>
  <c r="AB43" i="15"/>
  <c r="AB42" i="15" s="1"/>
  <c r="AB93" i="15"/>
  <c r="Z167" i="16"/>
  <c r="AB107" i="19"/>
  <c r="AA107" i="19"/>
  <c r="AA105" i="19" s="1"/>
  <c r="AA66" i="19" s="1"/>
  <c r="AA30" i="19" s="1"/>
  <c r="AD107" i="19"/>
  <c r="AC107" i="19"/>
  <c r="Y250" i="10"/>
  <c r="Y219" i="10" s="1"/>
  <c r="Y252" i="10"/>
  <c r="Z251" i="10"/>
  <c r="AC367" i="10"/>
  <c r="Z75" i="10"/>
  <c r="Y49" i="10"/>
  <c r="Y48" i="10" s="1"/>
  <c r="P38" i="10"/>
  <c r="P87" i="10"/>
  <c r="AC89" i="19"/>
  <c r="AB89" i="19"/>
  <c r="AA89" i="19"/>
  <c r="AA87" i="19" s="1"/>
  <c r="AA63" i="19" s="1"/>
  <c r="AA27" i="19" s="1"/>
  <c r="AD89" i="19"/>
  <c r="AD87" i="15"/>
  <c r="AD485" i="10"/>
  <c r="AA151" i="16"/>
  <c r="AA45" i="16"/>
  <c r="AA44" i="16" s="1"/>
  <c r="AC129" i="10"/>
  <c r="AC127" i="10" s="1"/>
  <c r="AE166" i="9"/>
  <c r="AD129" i="10" s="1"/>
  <c r="AD127" i="10" s="1"/>
  <c r="AB119" i="18"/>
  <c r="AB117" i="18" s="1"/>
  <c r="AD228" i="9"/>
  <c r="Z89" i="15"/>
  <c r="Y25" i="16"/>
  <c r="P11" i="6" s="1"/>
  <c r="AC165" i="16"/>
  <c r="AC414" i="10"/>
  <c r="AC101" i="10"/>
  <c r="AC99" i="10" s="1"/>
  <c r="AE162" i="9"/>
  <c r="AD101" i="10" s="1"/>
  <c r="AD99" i="10" s="1"/>
  <c r="Q142" i="11"/>
  <c r="P140" i="11"/>
  <c r="Y22" i="18"/>
  <c r="AC137" i="16"/>
  <c r="AC136" i="16" s="1"/>
  <c r="AC214" i="16" s="1"/>
  <c r="AC467" i="10" s="1"/>
  <c r="AC437" i="10"/>
  <c r="Z36" i="18"/>
  <c r="Z107" i="18"/>
  <c r="AA97" i="11"/>
  <c r="AC437" i="9"/>
  <c r="AB40" i="15"/>
  <c r="AD353" i="9"/>
  <c r="AC344" i="10"/>
  <c r="AC343" i="10" s="1"/>
  <c r="AD113" i="19"/>
  <c r="AC113" i="19"/>
  <c r="AB113" i="19"/>
  <c r="AA113" i="19"/>
  <c r="AA111" i="19" s="1"/>
  <c r="Z47" i="11"/>
  <c r="Y49" i="11"/>
  <c r="Y30" i="12"/>
  <c r="Y26" i="12"/>
  <c r="Z28" i="12"/>
  <c r="Y131" i="11"/>
  <c r="Z130" i="11"/>
  <c r="Y129" i="11"/>
  <c r="Y28" i="11" s="1"/>
  <c r="X125" i="10"/>
  <c r="AE317" i="9" l="1"/>
  <c r="AD237" i="10" s="1"/>
  <c r="AD236" i="10" s="1"/>
  <c r="AD232" i="10" s="1"/>
  <c r="AE461" i="9"/>
  <c r="AD87" i="17" s="1"/>
  <c r="R16" i="12"/>
  <c r="AE316" i="9"/>
  <c r="AD231" i="10" s="1"/>
  <c r="AD230" i="10" s="1"/>
  <c r="R12" i="15"/>
  <c r="AE459" i="9"/>
  <c r="AD79" i="17" s="1"/>
  <c r="P9" i="6"/>
  <c r="R40" i="12"/>
  <c r="R27" i="12"/>
  <c r="R42" i="12"/>
  <c r="R33" i="11"/>
  <c r="R151" i="11"/>
  <c r="R18" i="11"/>
  <c r="U19" i="6"/>
  <c r="AC286" i="10"/>
  <c r="AC285" i="10" s="1"/>
  <c r="AC281" i="10" s="1"/>
  <c r="U12" i="17"/>
  <c r="S19" i="6"/>
  <c r="R19" i="6"/>
  <c r="U7" i="10"/>
  <c r="U6" i="10" s="1"/>
  <c r="U42" i="12" s="1"/>
  <c r="Q10" i="6"/>
  <c r="W27" i="12"/>
  <c r="W33" i="11"/>
  <c r="W42" i="12"/>
  <c r="W7" i="12"/>
  <c r="T19" i="6"/>
  <c r="X7" i="10"/>
  <c r="X6" i="10" s="1"/>
  <c r="X151" i="11" s="1"/>
  <c r="AC387" i="10"/>
  <c r="AC386" i="10" s="1"/>
  <c r="AD387" i="10"/>
  <c r="AD386" i="10" s="1"/>
  <c r="AA250" i="10"/>
  <c r="AA219" i="10" s="1"/>
  <c r="AA169" i="10" s="1"/>
  <c r="Z23" i="18"/>
  <c r="W168" i="11"/>
  <c r="W50" i="12"/>
  <c r="W151" i="11"/>
  <c r="R248" i="16"/>
  <c r="W16" i="12"/>
  <c r="W40" i="12"/>
  <c r="AA293" i="10"/>
  <c r="AA262" i="10" s="1"/>
  <c r="AA170" i="10" s="1"/>
  <c r="W18" i="11"/>
  <c r="Z25" i="16"/>
  <c r="Q11" i="6" s="1"/>
  <c r="AA158" i="18"/>
  <c r="AA157" i="18" s="1"/>
  <c r="AA207" i="10"/>
  <c r="AA176" i="10" s="1"/>
  <c r="AA168" i="10" s="1"/>
  <c r="AC301" i="10"/>
  <c r="AC300" i="10" s="1"/>
  <c r="AB78" i="15"/>
  <c r="AB476" i="10" s="1"/>
  <c r="AB474" i="10" s="1"/>
  <c r="AB473" i="10" s="1"/>
  <c r="AA379" i="10"/>
  <c r="AA348" i="10" s="1"/>
  <c r="AA172" i="10" s="1"/>
  <c r="AA195" i="16"/>
  <c r="AA194" i="16" s="1"/>
  <c r="AA522" i="10"/>
  <c r="AA521" i="10" s="1"/>
  <c r="Z38" i="12"/>
  <c r="AC189" i="10"/>
  <c r="AC232" i="10"/>
  <c r="AD301" i="10"/>
  <c r="AD300" i="10" s="1"/>
  <c r="T7" i="12"/>
  <c r="P145" i="18"/>
  <c r="P7" i="18" s="1"/>
  <c r="S7" i="12"/>
  <c r="Z33" i="12"/>
  <c r="AA33" i="12" s="1"/>
  <c r="AB33" i="12" s="1"/>
  <c r="AC33" i="12" s="1"/>
  <c r="AD33" i="12" s="1"/>
  <c r="Z209" i="18"/>
  <c r="Z104" i="15"/>
  <c r="AA190" i="16"/>
  <c r="AA189" i="16" s="1"/>
  <c r="AA17" i="10"/>
  <c r="AA77" i="11" s="1"/>
  <c r="AA76" i="11" s="1"/>
  <c r="AA75" i="11" s="1"/>
  <c r="P145" i="16"/>
  <c r="P7" i="16" s="1"/>
  <c r="AA23" i="18"/>
  <c r="T18" i="11"/>
  <c r="AB212" i="10"/>
  <c r="AB208" i="10"/>
  <c r="AB210" i="10"/>
  <c r="AB63" i="10"/>
  <c r="S40" i="6"/>
  <c r="AC83" i="17"/>
  <c r="AE460" i="9"/>
  <c r="AD83" i="17" s="1"/>
  <c r="R142" i="11"/>
  <c r="Q140" i="11"/>
  <c r="Q138" i="11" s="1"/>
  <c r="Y24" i="11"/>
  <c r="Z49" i="11"/>
  <c r="AA446" i="9" s="1"/>
  <c r="AC40" i="15"/>
  <c r="AE353" i="9"/>
  <c r="AD40" i="15" s="1"/>
  <c r="AC186" i="16"/>
  <c r="AC468" i="10"/>
  <c r="AC469" i="10" s="1"/>
  <c r="S42" i="12"/>
  <c r="S40" i="12"/>
  <c r="S50" i="12"/>
  <c r="S16" i="12"/>
  <c r="S168" i="11"/>
  <c r="S151" i="11"/>
  <c r="I108" i="19"/>
  <c r="AA67" i="11"/>
  <c r="AA66" i="11" s="1"/>
  <c r="AA70" i="11"/>
  <c r="AA69" i="11" s="1"/>
  <c r="AA57" i="11"/>
  <c r="AA56" i="11" s="1"/>
  <c r="AA55" i="11" s="1"/>
  <c r="AB78" i="11"/>
  <c r="AD436" i="9"/>
  <c r="AC106" i="18"/>
  <c r="AC188" i="18" s="1"/>
  <c r="AC29" i="17" s="1"/>
  <c r="AE364" i="9"/>
  <c r="AD106" i="18" s="1"/>
  <c r="AD188" i="18" s="1"/>
  <c r="AD29" i="17" s="1"/>
  <c r="Y33" i="16"/>
  <c r="Y43" i="16"/>
  <c r="Z56" i="15"/>
  <c r="Z20" i="15" s="1"/>
  <c r="Z6" i="15" s="1"/>
  <c r="Z58" i="15"/>
  <c r="V8" i="11"/>
  <c r="AA40" i="11"/>
  <c r="AC434" i="9"/>
  <c r="AA124" i="19"/>
  <c r="AA123" i="19" s="1"/>
  <c r="AA73" i="19"/>
  <c r="AA191" i="18"/>
  <c r="AA190" i="18" s="1"/>
  <c r="AA33" i="17"/>
  <c r="AA35" i="16"/>
  <c r="AA130" i="16"/>
  <c r="AA132" i="16"/>
  <c r="AA212" i="16" s="1"/>
  <c r="AA463" i="10" s="1"/>
  <c r="AA134" i="16"/>
  <c r="Y174" i="18"/>
  <c r="Z173" i="18"/>
  <c r="Y172" i="18"/>
  <c r="Y146" i="18" s="1"/>
  <c r="P45" i="10"/>
  <c r="P125" i="10"/>
  <c r="AA57" i="15"/>
  <c r="X14" i="17"/>
  <c r="X15" i="17" s="1"/>
  <c r="X12" i="17"/>
  <c r="T42" i="12"/>
  <c r="T40" i="12"/>
  <c r="T50" i="12"/>
  <c r="T16" i="12"/>
  <c r="T168" i="11"/>
  <c r="T151" i="11"/>
  <c r="AA546" i="10"/>
  <c r="AA545" i="10" s="1"/>
  <c r="Z23" i="16"/>
  <c r="X12" i="15"/>
  <c r="X14" i="15"/>
  <c r="X15" i="15" s="1"/>
  <c r="P24" i="11"/>
  <c r="P28" i="11"/>
  <c r="AA130" i="18"/>
  <c r="AA132" i="18"/>
  <c r="AA208" i="18" s="1"/>
  <c r="AA36" i="18"/>
  <c r="AA134" i="18"/>
  <c r="W11" i="18"/>
  <c r="W9" i="18"/>
  <c r="AA82" i="16"/>
  <c r="AA176" i="16" s="1"/>
  <c r="AA425" i="10" s="1"/>
  <c r="AA28" i="16"/>
  <c r="AA80" i="16"/>
  <c r="AA84" i="16"/>
  <c r="Z252" i="10"/>
  <c r="Z250" i="10"/>
  <c r="Z219" i="10" s="1"/>
  <c r="Z169" i="10" s="1"/>
  <c r="V8" i="18"/>
  <c r="V239" i="18"/>
  <c r="V241" i="18"/>
  <c r="AA80" i="19"/>
  <c r="AA79" i="19" s="1"/>
  <c r="AA62" i="19"/>
  <c r="AD186" i="16"/>
  <c r="AD468" i="10"/>
  <c r="AD469" i="10" s="1"/>
  <c r="AD93" i="15"/>
  <c r="AD43" i="15"/>
  <c r="AD42" i="15" s="1"/>
  <c r="Q8" i="18"/>
  <c r="Q241" i="18"/>
  <c r="Q239" i="18"/>
  <c r="Y33" i="18"/>
  <c r="Y43" i="18"/>
  <c r="X8" i="11"/>
  <c r="Z98" i="11"/>
  <c r="Z93" i="11"/>
  <c r="Z92" i="11" s="1"/>
  <c r="Z91" i="11" s="1"/>
  <c r="Z46" i="17"/>
  <c r="Z20" i="17" s="1"/>
  <c r="Z6" i="17" s="1"/>
  <c r="Y20" i="17"/>
  <c r="I128" i="19"/>
  <c r="Z168" i="10"/>
  <c r="P35" i="11"/>
  <c r="P34" i="11" s="1"/>
  <c r="P27" i="11"/>
  <c r="Q18" i="11"/>
  <c r="Z95" i="17"/>
  <c r="Z93" i="17" s="1"/>
  <c r="Z72" i="17" s="1"/>
  <c r="Y93" i="17"/>
  <c r="Y72" i="17" s="1"/>
  <c r="P50" i="14" s="1"/>
  <c r="T14" i="17"/>
  <c r="T15" i="17" s="1"/>
  <c r="T12" i="17"/>
  <c r="AC99" i="16"/>
  <c r="AE345" i="9"/>
  <c r="AD99" i="16" s="1"/>
  <c r="Z136" i="17"/>
  <c r="AA136" i="17" s="1"/>
  <c r="AB136" i="17" s="1"/>
  <c r="AC136" i="17" s="1"/>
  <c r="AD136" i="17" s="1"/>
  <c r="AA59" i="15"/>
  <c r="AA103" i="15" s="1"/>
  <c r="AA501" i="10" s="1"/>
  <c r="AB59" i="11"/>
  <c r="AD435" i="9"/>
  <c r="AB382" i="10"/>
  <c r="Y21" i="11"/>
  <c r="P17" i="6"/>
  <c r="Z22" i="16"/>
  <c r="AB298" i="10"/>
  <c r="T8" i="16"/>
  <c r="T248" i="16"/>
  <c r="I102" i="19"/>
  <c r="P138" i="11"/>
  <c r="Z31" i="10"/>
  <c r="Z49" i="10"/>
  <c r="Z48" i="10" s="1"/>
  <c r="Z129" i="11"/>
  <c r="Z28" i="11" s="1"/>
  <c r="Z131" i="11"/>
  <c r="AB88" i="15"/>
  <c r="AB36" i="15"/>
  <c r="AB35" i="15" s="1"/>
  <c r="AB57" i="15" s="1"/>
  <c r="I90" i="19"/>
  <c r="AC33" i="15"/>
  <c r="AE352" i="9"/>
  <c r="AD33" i="15" s="1"/>
  <c r="AD341" i="10"/>
  <c r="AD337" i="10"/>
  <c r="AD339" i="10"/>
  <c r="AB97" i="11"/>
  <c r="AD437" i="9"/>
  <c r="AA400" i="10"/>
  <c r="AA398" i="10" s="1"/>
  <c r="AA397" i="10" s="1"/>
  <c r="AA149" i="16"/>
  <c r="AA148" i="16" s="1"/>
  <c r="AB491" i="10"/>
  <c r="AB489" i="10" s="1"/>
  <c r="AB488" i="10" s="1"/>
  <c r="AB91" i="15"/>
  <c r="AB90" i="15" s="1"/>
  <c r="I84" i="19"/>
  <c r="Z210" i="16"/>
  <c r="Y211" i="16"/>
  <c r="Y209" i="16"/>
  <c r="Y183" i="16" s="1"/>
  <c r="Y182" i="16" s="1"/>
  <c r="AD180" i="16"/>
  <c r="AD179" i="16" s="1"/>
  <c r="U8" i="18"/>
  <c r="U241" i="18"/>
  <c r="U239" i="18"/>
  <c r="Y175" i="16"/>
  <c r="Z174" i="16"/>
  <c r="Y173" i="16"/>
  <c r="Y147" i="16" s="1"/>
  <c r="AC93" i="15"/>
  <c r="AC43" i="15"/>
  <c r="AC42" i="15" s="1"/>
  <c r="AB216" i="16"/>
  <c r="AB215" i="16" s="1"/>
  <c r="AD281" i="10"/>
  <c r="AA97" i="10"/>
  <c r="AA93" i="10" s="1"/>
  <c r="AC298" i="9"/>
  <c r="AA415" i="10"/>
  <c r="AA413" i="10" s="1"/>
  <c r="AA412" i="10" s="1"/>
  <c r="AA164" i="16"/>
  <c r="AA163" i="16" s="1"/>
  <c r="P81" i="5"/>
  <c r="Y140" i="15"/>
  <c r="Q7" i="12"/>
  <c r="Z173" i="11"/>
  <c r="Z167" i="11" s="1"/>
  <c r="Y167" i="11"/>
  <c r="X8" i="16"/>
  <c r="X248" i="16"/>
  <c r="Y41" i="11"/>
  <c r="Z37" i="11"/>
  <c r="Y36" i="11"/>
  <c r="Q8" i="11"/>
  <c r="Q33" i="11"/>
  <c r="P64" i="17"/>
  <c r="P7" i="17" s="1"/>
  <c r="P8" i="17" s="1"/>
  <c r="Y65" i="17"/>
  <c r="Y64" i="17" s="1"/>
  <c r="Y7" i="17" s="1"/>
  <c r="P126" i="5" s="1"/>
  <c r="P52" i="14" s="1"/>
  <c r="Q52" i="14" s="1"/>
  <c r="Q24" i="14" s="1"/>
  <c r="P24" i="14" s="1"/>
  <c r="Z145" i="10"/>
  <c r="AA306" i="9" s="1"/>
  <c r="AB306" i="9" s="1"/>
  <c r="Z43" i="10"/>
  <c r="AB187" i="16"/>
  <c r="AB438" i="10" s="1"/>
  <c r="AB436" i="10" s="1"/>
  <c r="AB435" i="10" s="1"/>
  <c r="AB95" i="16"/>
  <c r="AB94" i="16" s="1"/>
  <c r="P8" i="6"/>
  <c r="Y10" i="11"/>
  <c r="Z155" i="10"/>
  <c r="AD506" i="10"/>
  <c r="AD507" i="10" s="1"/>
  <c r="AC112" i="18"/>
  <c r="AC110" i="18" s="1"/>
  <c r="AE227" i="9"/>
  <c r="AD112" i="18" s="1"/>
  <c r="AD110" i="18" s="1"/>
  <c r="I120" i="19"/>
  <c r="AD430" i="10"/>
  <c r="AD431" i="10" s="1"/>
  <c r="AB380" i="10"/>
  <c r="Z74" i="11"/>
  <c r="Z73" i="11" s="1"/>
  <c r="Z72" i="11" s="1"/>
  <c r="Z79" i="11"/>
  <c r="AC26" i="15"/>
  <c r="AE351" i="9"/>
  <c r="AD26" i="15" s="1"/>
  <c r="AB294" i="10"/>
  <c r="AD513" i="10"/>
  <c r="AD56" i="10"/>
  <c r="AB251" i="10"/>
  <c r="Y61" i="19"/>
  <c r="Y26" i="19"/>
  <c r="Z72" i="19"/>
  <c r="Z71" i="19" s="1"/>
  <c r="Z37" i="19"/>
  <c r="Z36" i="19" s="1"/>
  <c r="Z30" i="12"/>
  <c r="AA30" i="12" s="1"/>
  <c r="AB30" i="12" s="1"/>
  <c r="AC30" i="12" s="1"/>
  <c r="AD30" i="12" s="1"/>
  <c r="Z26" i="12"/>
  <c r="I114" i="19"/>
  <c r="AC56" i="16"/>
  <c r="AE340" i="9"/>
  <c r="AD56" i="16" s="1"/>
  <c r="AD189" i="10"/>
  <c r="Z131" i="16"/>
  <c r="Z129" i="16"/>
  <c r="Y20" i="11"/>
  <c r="P16" i="6"/>
  <c r="Q42" i="12"/>
  <c r="Q40" i="12"/>
  <c r="Q151" i="11"/>
  <c r="Q50" i="12"/>
  <c r="Q16" i="12"/>
  <c r="Q168" i="11"/>
  <c r="AD196" i="16"/>
  <c r="AA107" i="10"/>
  <c r="AA103" i="10" s="1"/>
  <c r="AC300" i="9"/>
  <c r="R11" i="18"/>
  <c r="R9" i="18"/>
  <c r="AC105" i="18"/>
  <c r="AC103" i="18" s="1"/>
  <c r="AE226" i="9"/>
  <c r="AD105" i="18" s="1"/>
  <c r="AD103" i="18" s="1"/>
  <c r="T8" i="18"/>
  <c r="T241" i="18"/>
  <c r="T239" i="18"/>
  <c r="P26" i="16"/>
  <c r="P20" i="16" s="1"/>
  <c r="P6" i="16" s="1"/>
  <c r="P27" i="16"/>
  <c r="AC62" i="18"/>
  <c r="AC60" i="18" s="1"/>
  <c r="AE222" i="9"/>
  <c r="AD62" i="18" s="1"/>
  <c r="AD60" i="18" s="1"/>
  <c r="AA28" i="18"/>
  <c r="AA84" i="18"/>
  <c r="AA80" i="18"/>
  <c r="AA82" i="18"/>
  <c r="AA175" i="18" s="1"/>
  <c r="Z177" i="16"/>
  <c r="X11" i="11"/>
  <c r="Y11" i="11" s="1"/>
  <c r="AC91" i="10"/>
  <c r="AC89" i="10" s="1"/>
  <c r="AE160" i="9"/>
  <c r="AD91" i="10" s="1"/>
  <c r="AD89" i="10" s="1"/>
  <c r="Z79" i="15"/>
  <c r="AC113" i="18"/>
  <c r="AC193" i="18" s="1"/>
  <c r="AC34" i="17" s="1"/>
  <c r="AE365" i="9"/>
  <c r="AD113" i="18" s="1"/>
  <c r="AD193" i="18" s="1"/>
  <c r="AD34" i="17" s="1"/>
  <c r="Z336" i="10"/>
  <c r="Z305" i="10" s="1"/>
  <c r="Z171" i="10" s="1"/>
  <c r="Y305" i="10"/>
  <c r="Y175" i="10" s="1"/>
  <c r="AA92" i="10"/>
  <c r="AA88" i="10" s="1"/>
  <c r="AC297" i="9"/>
  <c r="AD355" i="10"/>
  <c r="AC430" i="10"/>
  <c r="AC431" i="10" s="1"/>
  <c r="AB192" i="18"/>
  <c r="AB109" i="18"/>
  <c r="AB108" i="18" s="1"/>
  <c r="AB37" i="18" s="1"/>
  <c r="Y157" i="10"/>
  <c r="Z156" i="10"/>
  <c r="Z157" i="10" s="1"/>
  <c r="AB384" i="10"/>
  <c r="AB296" i="10"/>
  <c r="Z61" i="19"/>
  <c r="Z26" i="19"/>
  <c r="AB336" i="10"/>
  <c r="AB305" i="10" s="1"/>
  <c r="AB171" i="10" s="1"/>
  <c r="AC56" i="10"/>
  <c r="AB255" i="10"/>
  <c r="V14" i="15"/>
  <c r="V15" i="15" s="1"/>
  <c r="V12" i="15"/>
  <c r="AC339" i="10"/>
  <c r="AC341" i="10"/>
  <c r="AC337" i="10"/>
  <c r="AB151" i="16"/>
  <c r="AB45" i="16"/>
  <c r="AB44" i="16" s="1"/>
  <c r="AC180" i="16"/>
  <c r="AC179" i="16" s="1"/>
  <c r="V14" i="17"/>
  <c r="V15" i="17" s="1"/>
  <c r="V12" i="17"/>
  <c r="U14" i="15"/>
  <c r="U15" i="15" s="1"/>
  <c r="U12" i="15"/>
  <c r="V248" i="16"/>
  <c r="V8" i="16"/>
  <c r="Z60" i="11"/>
  <c r="Z55" i="11"/>
  <c r="Z54" i="11" s="1"/>
  <c r="Z53" i="11" s="1"/>
  <c r="S8" i="18"/>
  <c r="S239" i="18"/>
  <c r="S241" i="18"/>
  <c r="AC106" i="16"/>
  <c r="AE346" i="9"/>
  <c r="AD106" i="16" s="1"/>
  <c r="AD66" i="10"/>
  <c r="AB159" i="18"/>
  <c r="AB158" i="18" s="1"/>
  <c r="AB157" i="18" s="1"/>
  <c r="AB59" i="18"/>
  <c r="AB58" i="18" s="1"/>
  <c r="AB30" i="18" s="1"/>
  <c r="AB523" i="10"/>
  <c r="AB522" i="10" s="1"/>
  <c r="AB521" i="10" s="1"/>
  <c r="AB236" i="18"/>
  <c r="AB235" i="18" s="1"/>
  <c r="AB233" i="18"/>
  <c r="AB232" i="18" s="1"/>
  <c r="AB87" i="18"/>
  <c r="AB86" i="18" s="1"/>
  <c r="AB177" i="18" s="1"/>
  <c r="AA514" i="10"/>
  <c r="AA512" i="10" s="1"/>
  <c r="AA511" i="10" s="1"/>
  <c r="AA148" i="18"/>
  <c r="AA147" i="18" s="1"/>
  <c r="AB51" i="10"/>
  <c r="Y205" i="18"/>
  <c r="Y179" i="18" s="1"/>
  <c r="Y207" i="18"/>
  <c r="Z206" i="18"/>
  <c r="AC63" i="16"/>
  <c r="AE341" i="9"/>
  <c r="AD63" i="16" s="1"/>
  <c r="AC113" i="16"/>
  <c r="AE347" i="9"/>
  <c r="AD113" i="16" s="1"/>
  <c r="AC355" i="10"/>
  <c r="V7" i="10"/>
  <c r="V6" i="10" s="1"/>
  <c r="V7" i="12" s="1"/>
  <c r="Q14" i="17"/>
  <c r="Q15" i="17" s="1"/>
  <c r="Q12" i="17"/>
  <c r="T33" i="11"/>
  <c r="T8" i="11"/>
  <c r="Z78" i="19"/>
  <c r="Q248" i="16"/>
  <c r="Q8" i="16"/>
  <c r="AB253" i="10"/>
  <c r="Y9" i="12"/>
  <c r="AC119" i="18"/>
  <c r="AC117" i="18" s="1"/>
  <c r="AE228" i="9"/>
  <c r="AD119" i="18" s="1"/>
  <c r="AD117" i="18" s="1"/>
  <c r="Y38" i="10"/>
  <c r="Y32" i="10" s="1"/>
  <c r="Y8" i="10" s="1"/>
  <c r="P32" i="10"/>
  <c r="P8" i="10" s="1"/>
  <c r="AB156" i="16"/>
  <c r="AB52" i="16"/>
  <c r="AB51" i="16" s="1"/>
  <c r="AB29" i="16" s="1"/>
  <c r="Y40" i="16"/>
  <c r="Y34" i="16" s="1"/>
  <c r="Y93" i="16"/>
  <c r="AB137" i="18"/>
  <c r="AB136" i="18" s="1"/>
  <c r="AB187" i="18"/>
  <c r="AB102" i="18"/>
  <c r="AB101" i="18" s="1"/>
  <c r="P7" i="6"/>
  <c r="AB197" i="18"/>
  <c r="AB116" i="18"/>
  <c r="AB115" i="18" s="1"/>
  <c r="AB38" i="18" s="1"/>
  <c r="AB24" i="18" s="1"/>
  <c r="S27" i="12"/>
  <c r="AA135" i="10"/>
  <c r="AA131" i="10" s="1"/>
  <c r="AA41" i="10" s="1"/>
  <c r="AC304" i="9"/>
  <c r="AC49" i="16"/>
  <c r="AE339" i="9"/>
  <c r="AD49" i="16" s="1"/>
  <c r="Z113" i="10"/>
  <c r="Y87" i="10"/>
  <c r="T14" i="15"/>
  <c r="T15" i="15" s="1"/>
  <c r="T12" i="15"/>
  <c r="Z22" i="18"/>
  <c r="Z131" i="18"/>
  <c r="Z129" i="18"/>
  <c r="Y72" i="19"/>
  <c r="Y71" i="19" s="1"/>
  <c r="Y37" i="19"/>
  <c r="Y36" i="19" s="1"/>
  <c r="Z21" i="18"/>
  <c r="AC513" i="10"/>
  <c r="AB192" i="16"/>
  <c r="AB443" i="10" s="1"/>
  <c r="AB441" i="10" s="1"/>
  <c r="AB440" i="10" s="1"/>
  <c r="AB102" i="16"/>
  <c r="AB101" i="16" s="1"/>
  <c r="AB36" i="16" s="1"/>
  <c r="AC188" i="10"/>
  <c r="AC187" i="10" s="1"/>
  <c r="AC183" i="10" s="1"/>
  <c r="AE310" i="9"/>
  <c r="AD188" i="10" s="1"/>
  <c r="AD187" i="10" s="1"/>
  <c r="AD183" i="10" s="1"/>
  <c r="U26" i="6"/>
  <c r="AA481" i="10"/>
  <c r="AA479" i="10" s="1"/>
  <c r="AA478" i="10" s="1"/>
  <c r="AA81" i="15"/>
  <c r="AA80" i="15" s="1"/>
  <c r="AC66" i="10"/>
  <c r="Y154" i="11"/>
  <c r="Y150" i="11"/>
  <c r="Z152" i="11"/>
  <c r="AC139" i="10"/>
  <c r="AC137" i="10" s="1"/>
  <c r="AC61" i="10" s="1"/>
  <c r="AE168" i="9"/>
  <c r="AD139" i="10" s="1"/>
  <c r="AD137" i="10" s="1"/>
  <c r="AD61" i="10" s="1"/>
  <c r="AA108" i="11"/>
  <c r="AA107" i="11" s="1"/>
  <c r="AA105" i="11"/>
  <c r="AA104" i="11" s="1"/>
  <c r="AA95" i="11"/>
  <c r="AA94" i="11" s="1"/>
  <c r="AA93" i="11" s="1"/>
  <c r="T26" i="6"/>
  <c r="P107" i="15"/>
  <c r="Y107" i="15" s="1"/>
  <c r="AD191" i="16"/>
  <c r="AB161" i="16"/>
  <c r="AB59" i="16"/>
  <c r="AB58" i="16" s="1"/>
  <c r="AB30" i="16" s="1"/>
  <c r="AB197" i="16"/>
  <c r="AB448" i="10" s="1"/>
  <c r="AB446" i="10" s="1"/>
  <c r="AB445" i="10" s="1"/>
  <c r="AB109" i="16"/>
  <c r="AB108" i="16" s="1"/>
  <c r="AB37" i="16" s="1"/>
  <c r="AA23" i="16"/>
  <c r="O115" i="17"/>
  <c r="AA102" i="10"/>
  <c r="AA98" i="10" s="1"/>
  <c r="AC299" i="9"/>
  <c r="AC63" i="18"/>
  <c r="AC160" i="18" s="1"/>
  <c r="AC524" i="10" s="1"/>
  <c r="AE359" i="9"/>
  <c r="AD63" i="18" s="1"/>
  <c r="AD160" i="18" s="1"/>
  <c r="AD524" i="10" s="1"/>
  <c r="AA486" i="10"/>
  <c r="AA484" i="10" s="1"/>
  <c r="AA483" i="10" s="1"/>
  <c r="AA86" i="15"/>
  <c r="AA85" i="15" s="1"/>
  <c r="AC366" i="10"/>
  <c r="AC365" i="10" s="1"/>
  <c r="AC361" i="10" s="1"/>
  <c r="AE335" i="9"/>
  <c r="AD366" i="10" s="1"/>
  <c r="AD365" i="10" s="1"/>
  <c r="AD361" i="10" s="1"/>
  <c r="S8" i="16"/>
  <c r="S248" i="16"/>
  <c r="AD226" i="10"/>
  <c r="Q14" i="15"/>
  <c r="Q15" i="15" s="1"/>
  <c r="Q12" i="15"/>
  <c r="Z21" i="16"/>
  <c r="Z152" i="16"/>
  <c r="AB83" i="15"/>
  <c r="AC70" i="16"/>
  <c r="AE342" i="9"/>
  <c r="AD70" i="16" s="1"/>
  <c r="AC258" i="10"/>
  <c r="AC257" i="10" s="1"/>
  <c r="Z40" i="10"/>
  <c r="Z130" i="10"/>
  <c r="AA303" i="9" s="1"/>
  <c r="AB303" i="9" s="1"/>
  <c r="W8" i="16"/>
  <c r="W248" i="16"/>
  <c r="P26" i="18"/>
  <c r="P20" i="18" s="1"/>
  <c r="P6" i="18" s="1"/>
  <c r="P27" i="18"/>
  <c r="AC506" i="10"/>
  <c r="AC507" i="10" s="1"/>
  <c r="Y100" i="15"/>
  <c r="Y74" i="15" s="1"/>
  <c r="Y102" i="15"/>
  <c r="Z101" i="15"/>
  <c r="AD258" i="10"/>
  <c r="AD257" i="10" s="1"/>
  <c r="AC49" i="18"/>
  <c r="AE357" i="9"/>
  <c r="AD49" i="18" s="1"/>
  <c r="AD275" i="10"/>
  <c r="Z176" i="18"/>
  <c r="AA410" i="10"/>
  <c r="AA408" i="10" s="1"/>
  <c r="AA407" i="10" s="1"/>
  <c r="AA159" i="16"/>
  <c r="AA158" i="16" s="1"/>
  <c r="S33" i="11"/>
  <c r="S18" i="11"/>
  <c r="I96" i="19"/>
  <c r="AA196" i="18"/>
  <c r="AA195" i="18" s="1"/>
  <c r="AA38" i="17"/>
  <c r="AA22" i="16"/>
  <c r="AB16" i="10"/>
  <c r="AB58" i="11" s="1"/>
  <c r="AB58" i="10"/>
  <c r="S39" i="6"/>
  <c r="AC226" i="10"/>
  <c r="Y78" i="19"/>
  <c r="AC215" i="10"/>
  <c r="AC214" i="10" s="1"/>
  <c r="P20" i="3"/>
  <c r="Q21" i="3"/>
  <c r="Q20" i="3" s="1"/>
  <c r="AC196" i="16"/>
  <c r="U8" i="16"/>
  <c r="U248" i="16"/>
  <c r="Y25" i="10"/>
  <c r="Y24" i="10" s="1"/>
  <c r="AD215" i="10"/>
  <c r="AD214" i="10" s="1"/>
  <c r="AA186" i="18"/>
  <c r="AA185" i="18" s="1"/>
  <c r="AA28" i="17"/>
  <c r="Z79" i="16"/>
  <c r="Z81" i="16"/>
  <c r="AB68" i="10"/>
  <c r="AB18" i="10"/>
  <c r="AB96" i="11" s="1"/>
  <c r="S41" i="6"/>
  <c r="Y40" i="18"/>
  <c r="Y34" i="18" s="1"/>
  <c r="Y93" i="18"/>
  <c r="Z42" i="10"/>
  <c r="Z140" i="10"/>
  <c r="AA305" i="9" s="1"/>
  <c r="AB305" i="9" s="1"/>
  <c r="AA15" i="10"/>
  <c r="AA53" i="10"/>
  <c r="R38" i="6"/>
  <c r="R37" i="6" s="1"/>
  <c r="Z50" i="11"/>
  <c r="Y52" i="11"/>
  <c r="Y29" i="11"/>
  <c r="Z79" i="18"/>
  <c r="Z81" i="18"/>
  <c r="AB166" i="16"/>
  <c r="AB66" i="16"/>
  <c r="AB65" i="16" s="1"/>
  <c r="AB31" i="16" s="1"/>
  <c r="AB24" i="16" s="1"/>
  <c r="AC191" i="16"/>
  <c r="Y22" i="11"/>
  <c r="P18" i="6"/>
  <c r="X8" i="18"/>
  <c r="X241" i="18"/>
  <c r="X239" i="18"/>
  <c r="AC56" i="18"/>
  <c r="AC52" i="18" s="1"/>
  <c r="AC51" i="18" s="1"/>
  <c r="AC29" i="18" s="1"/>
  <c r="AE358" i="9"/>
  <c r="AD56" i="18" s="1"/>
  <c r="AD52" i="18" s="1"/>
  <c r="AD51" i="18" s="1"/>
  <c r="AD29" i="18" s="1"/>
  <c r="AB150" i="18"/>
  <c r="AB45" i="18"/>
  <c r="AB44" i="18" s="1"/>
  <c r="AC275" i="10"/>
  <c r="AA476" i="10"/>
  <c r="AA474" i="10" s="1"/>
  <c r="AA473" i="10" s="1"/>
  <c r="AA76" i="15"/>
  <c r="AA75" i="15" s="1"/>
  <c r="Y153" i="10"/>
  <c r="Z152" i="10"/>
  <c r="Z153" i="10" s="1"/>
  <c r="Y151" i="10"/>
  <c r="R11" i="16"/>
  <c r="R9" i="16"/>
  <c r="AC120" i="18"/>
  <c r="AC198" i="18" s="1"/>
  <c r="AC39" i="17" s="1"/>
  <c r="AE366" i="9"/>
  <c r="AD120" i="18" s="1"/>
  <c r="AD198" i="18" s="1"/>
  <c r="AD39" i="17" s="1"/>
  <c r="AA185" i="16"/>
  <c r="AA184" i="16" s="1"/>
  <c r="P9" i="12"/>
  <c r="P6" i="12" s="1"/>
  <c r="AC141" i="11"/>
  <c r="AA405" i="10"/>
  <c r="AA403" i="10" s="1"/>
  <c r="AA402" i="10" s="1"/>
  <c r="AA154" i="16"/>
  <c r="AA153" i="16" s="1"/>
  <c r="S14" i="15"/>
  <c r="S15" i="15" s="1"/>
  <c r="S12" i="15"/>
  <c r="W14" i="15"/>
  <c r="W15" i="15" s="1"/>
  <c r="W12" i="15"/>
  <c r="U33" i="11" l="1"/>
  <c r="U27" i="12"/>
  <c r="U151" i="11"/>
  <c r="U168" i="11"/>
  <c r="U16" i="12"/>
  <c r="U50" i="12"/>
  <c r="U18" i="11"/>
  <c r="U40" i="12"/>
  <c r="U7" i="12"/>
  <c r="X168" i="11"/>
  <c r="X40" i="12"/>
  <c r="X18" i="11"/>
  <c r="X27" i="12"/>
  <c r="X16" i="12"/>
  <c r="X7" i="12"/>
  <c r="X50" i="12"/>
  <c r="X42" i="12"/>
  <c r="X33" i="11"/>
  <c r="AB76" i="15"/>
  <c r="AB75" i="15" s="1"/>
  <c r="AA167" i="10"/>
  <c r="AA10" i="10" s="1"/>
  <c r="R36" i="5" s="1"/>
  <c r="R11" i="5" s="1"/>
  <c r="R11" i="1" s="1"/>
  <c r="Q9" i="6"/>
  <c r="AD294" i="10"/>
  <c r="AA175" i="10"/>
  <c r="AA82" i="11"/>
  <c r="AA86" i="11" s="1"/>
  <c r="AB546" i="10"/>
  <c r="AB545" i="10" s="1"/>
  <c r="V18" i="11"/>
  <c r="AB190" i="16"/>
  <c r="AB189" i="16" s="1"/>
  <c r="AA54" i="11"/>
  <c r="AB22" i="16"/>
  <c r="AB23" i="18"/>
  <c r="AB61" i="15"/>
  <c r="AA78" i="19"/>
  <c r="AA92" i="11"/>
  <c r="AA91" i="11" s="1"/>
  <c r="AA22" i="11" s="1"/>
  <c r="P26" i="11"/>
  <c r="P25" i="11" s="1"/>
  <c r="AD63" i="10"/>
  <c r="U40" i="6"/>
  <c r="AC63" i="10"/>
  <c r="T40" i="6"/>
  <c r="AD210" i="10"/>
  <c r="AD212" i="10"/>
  <c r="AD208" i="10"/>
  <c r="AC380" i="10"/>
  <c r="AB101" i="15"/>
  <c r="AC212" i="10"/>
  <c r="AC208" i="10"/>
  <c r="AC210" i="10"/>
  <c r="AB415" i="10"/>
  <c r="AB413" i="10" s="1"/>
  <c r="AB412" i="10" s="1"/>
  <c r="AB164" i="16"/>
  <c r="AB163" i="16" s="1"/>
  <c r="AA48" i="11"/>
  <c r="AA14" i="10"/>
  <c r="AA39" i="11"/>
  <c r="AA38" i="11" s="1"/>
  <c r="AA37" i="11" s="1"/>
  <c r="AD166" i="16"/>
  <c r="AD66" i="16"/>
  <c r="AD65" i="16" s="1"/>
  <c r="AD31" i="16" s="1"/>
  <c r="AD24" i="16" s="1"/>
  <c r="AD141" i="11"/>
  <c r="R14" i="16"/>
  <c r="R15" i="16" s="1"/>
  <c r="R12" i="16"/>
  <c r="AB28" i="18"/>
  <c r="AB84" i="18"/>
  <c r="AB80" i="18"/>
  <c r="AB82" i="18"/>
  <c r="AB175" i="18" s="1"/>
  <c r="AA86" i="17"/>
  <c r="AA85" i="17" s="1"/>
  <c r="AA37" i="17"/>
  <c r="AA36" i="17" s="1"/>
  <c r="Z100" i="15"/>
  <c r="Z74" i="15" s="1"/>
  <c r="Z102" i="15"/>
  <c r="AC166" i="16"/>
  <c r="AC66" i="16"/>
  <c r="AC65" i="16" s="1"/>
  <c r="AC31" i="16" s="1"/>
  <c r="AC24" i="16" s="1"/>
  <c r="P73" i="15"/>
  <c r="P7" i="15" s="1"/>
  <c r="P8" i="15" s="1"/>
  <c r="Z38" i="10"/>
  <c r="Z32" i="10" s="1"/>
  <c r="Z8" i="10" s="1"/>
  <c r="Z87" i="10"/>
  <c r="AB186" i="18"/>
  <c r="AB185" i="18" s="1"/>
  <c r="AB28" i="17"/>
  <c r="AD197" i="18"/>
  <c r="AD116" i="18"/>
  <c r="AD115" i="18" s="1"/>
  <c r="AD38" i="18" s="1"/>
  <c r="AD24" i="18" s="1"/>
  <c r="AC192" i="16"/>
  <c r="AC443" i="10" s="1"/>
  <c r="AC441" i="10" s="1"/>
  <c r="AC440" i="10" s="1"/>
  <c r="AC102" i="16"/>
  <c r="AC101" i="16" s="1"/>
  <c r="AC36" i="16" s="1"/>
  <c r="V11" i="16"/>
  <c r="V9" i="16"/>
  <c r="AB191" i="18"/>
  <c r="AB190" i="18" s="1"/>
  <c r="AB33" i="17"/>
  <c r="AA79" i="18"/>
  <c r="AA173" i="18"/>
  <c r="AA172" i="18" s="1"/>
  <c r="AA146" i="18" s="1"/>
  <c r="AA36" i="10"/>
  <c r="Z35" i="19"/>
  <c r="Z141" i="17"/>
  <c r="AD16" i="10"/>
  <c r="AD58" i="11" s="1"/>
  <c r="AD58" i="10"/>
  <c r="U39" i="6"/>
  <c r="AC192" i="18"/>
  <c r="AC109" i="18"/>
  <c r="AC108" i="18" s="1"/>
  <c r="AC37" i="18" s="1"/>
  <c r="AB35" i="16"/>
  <c r="AB130" i="16"/>
  <c r="AB132" i="16"/>
  <c r="AB212" i="16" s="1"/>
  <c r="AB463" i="10" s="1"/>
  <c r="AB134" i="16"/>
  <c r="Y35" i="11"/>
  <c r="Y34" i="11" s="1"/>
  <c r="Y27" i="11"/>
  <c r="Y26" i="11" s="1"/>
  <c r="AC491" i="10"/>
  <c r="AC489" i="10" s="1"/>
  <c r="AC488" i="10" s="1"/>
  <c r="AC91" i="15"/>
  <c r="AC90" i="15" s="1"/>
  <c r="Z65" i="17"/>
  <c r="Q50" i="14"/>
  <c r="AC384" i="10"/>
  <c r="AA129" i="18"/>
  <c r="AA206" i="18"/>
  <c r="AA205" i="18" s="1"/>
  <c r="AA179" i="18" s="1"/>
  <c r="Y145" i="18"/>
  <c r="P148" i="5" s="1"/>
  <c r="Q148" i="5" s="1"/>
  <c r="AB40" i="11"/>
  <c r="AD434" i="9"/>
  <c r="AD108" i="19"/>
  <c r="AC108" i="19"/>
  <c r="AB108" i="19"/>
  <c r="AB105" i="19" s="1"/>
  <c r="AB66" i="19" s="1"/>
  <c r="AB30" i="19" s="1"/>
  <c r="AD251" i="10"/>
  <c r="AB514" i="10"/>
  <c r="AB512" i="10" s="1"/>
  <c r="AB511" i="10" s="1"/>
  <c r="AB148" i="18"/>
  <c r="AB147" i="18" s="1"/>
  <c r="Z33" i="18"/>
  <c r="Z43" i="18"/>
  <c r="Z33" i="16"/>
  <c r="Z43" i="16"/>
  <c r="AB481" i="10"/>
  <c r="AB479" i="10" s="1"/>
  <c r="AB478" i="10" s="1"/>
  <c r="AB81" i="15"/>
  <c r="AB80" i="15" s="1"/>
  <c r="Z150" i="11"/>
  <c r="Z154" i="11"/>
  <c r="AD151" i="16"/>
  <c r="AD45" i="16"/>
  <c r="AD44" i="16" s="1"/>
  <c r="AC197" i="18"/>
  <c r="AC116" i="18"/>
  <c r="AC115" i="18" s="1"/>
  <c r="AC38" i="18" s="1"/>
  <c r="AC24" i="18" s="1"/>
  <c r="AD51" i="10"/>
  <c r="Z9" i="12"/>
  <c r="Z21" i="11"/>
  <c r="Q17" i="6"/>
  <c r="Z41" i="11"/>
  <c r="Z36" i="11"/>
  <c r="Z11" i="11"/>
  <c r="AB97" i="10"/>
  <c r="AB93" i="10" s="1"/>
  <c r="AD298" i="9"/>
  <c r="AD491" i="10"/>
  <c r="AD489" i="10" s="1"/>
  <c r="AD488" i="10" s="1"/>
  <c r="AD91" i="15"/>
  <c r="AD90" i="15" s="1"/>
  <c r="V11" i="18"/>
  <c r="V9" i="18"/>
  <c r="Z174" i="18"/>
  <c r="Z172" i="18"/>
  <c r="Z146" i="18" s="1"/>
  <c r="AA82" i="17"/>
  <c r="AA81" i="17" s="1"/>
  <c r="AA32" i="17"/>
  <c r="AA31" i="17" s="1"/>
  <c r="P20" i="6"/>
  <c r="AC251" i="10"/>
  <c r="AD255" i="10"/>
  <c r="AA140" i="10"/>
  <c r="AA136" i="10" s="1"/>
  <c r="AA42" i="10" s="1"/>
  <c r="AC305" i="9"/>
  <c r="U11" i="16"/>
  <c r="U9" i="16"/>
  <c r="Z151" i="10"/>
  <c r="Y125" i="10"/>
  <c r="AD96" i="19"/>
  <c r="AC96" i="19"/>
  <c r="AB96" i="19"/>
  <c r="AB93" i="19" s="1"/>
  <c r="AB64" i="19" s="1"/>
  <c r="AB28" i="19" s="1"/>
  <c r="Y73" i="15"/>
  <c r="Y7" i="15" s="1"/>
  <c r="W9" i="16"/>
  <c r="W11" i="16"/>
  <c r="S11" i="16"/>
  <c r="S9" i="16"/>
  <c r="AB102" i="10"/>
  <c r="AB98" i="10" s="1"/>
  <c r="AD299" i="9"/>
  <c r="P22" i="6"/>
  <c r="AC294" i="10"/>
  <c r="AC151" i="16"/>
  <c r="AC45" i="16"/>
  <c r="AC44" i="16" s="1"/>
  <c r="AB196" i="18"/>
  <c r="AB195" i="18" s="1"/>
  <c r="AB38" i="17"/>
  <c r="AD197" i="16"/>
  <c r="AD448" i="10" s="1"/>
  <c r="AD446" i="10" s="1"/>
  <c r="AD445" i="10" s="1"/>
  <c r="AD109" i="16"/>
  <c r="AD108" i="16" s="1"/>
  <c r="AD37" i="16" s="1"/>
  <c r="AB15" i="10"/>
  <c r="AB53" i="10"/>
  <c r="S38" i="6"/>
  <c r="S37" i="6" s="1"/>
  <c r="Z60" i="19"/>
  <c r="Z59" i="19" s="1"/>
  <c r="Z23" i="19" s="1"/>
  <c r="Z13" i="17" s="1"/>
  <c r="Q140" i="5" s="1"/>
  <c r="Q26" i="5" s="1"/>
  <c r="Z25" i="19"/>
  <c r="AC51" i="10"/>
  <c r="AA21" i="18"/>
  <c r="T11" i="18"/>
  <c r="T9" i="18"/>
  <c r="AD216" i="16"/>
  <c r="AD215" i="16" s="1"/>
  <c r="AB379" i="10"/>
  <c r="AB348" i="10" s="1"/>
  <c r="AB172" i="10" s="1"/>
  <c r="AA55" i="10"/>
  <c r="AA34" i="10"/>
  <c r="Y146" i="16"/>
  <c r="Y145" i="16" s="1"/>
  <c r="Y7" i="16" s="1"/>
  <c r="P60" i="5" s="1"/>
  <c r="AD336" i="10"/>
  <c r="AD305" i="10" s="1"/>
  <c r="AD171" i="10" s="1"/>
  <c r="AB486" i="10"/>
  <c r="AB484" i="10" s="1"/>
  <c r="AB483" i="10" s="1"/>
  <c r="AB86" i="15"/>
  <c r="AB85" i="15" s="1"/>
  <c r="AD102" i="19"/>
  <c r="AC102" i="19"/>
  <c r="AB102" i="19"/>
  <c r="AB99" i="19" s="1"/>
  <c r="AB65" i="19" s="1"/>
  <c r="AB29" i="19" s="1"/>
  <c r="AD128" i="19"/>
  <c r="AC128" i="19"/>
  <c r="AB128" i="19"/>
  <c r="AB125" i="19" s="1"/>
  <c r="Y45" i="10"/>
  <c r="Y39" i="10" s="1"/>
  <c r="P39" i="10"/>
  <c r="P9" i="10" s="1"/>
  <c r="P7" i="10" s="1"/>
  <c r="P6" i="10" s="1"/>
  <c r="P139" i="11" s="1"/>
  <c r="Q81" i="5"/>
  <c r="Z140" i="15"/>
  <c r="AA140" i="15" s="1"/>
  <c r="AB140" i="15" s="1"/>
  <c r="AC140" i="15" s="1"/>
  <c r="AD140" i="15" s="1"/>
  <c r="AC255" i="10"/>
  <c r="AD253" i="10"/>
  <c r="AA130" i="10"/>
  <c r="AA126" i="10" s="1"/>
  <c r="AA50" i="10" s="1"/>
  <c r="AC303" i="9"/>
  <c r="AA35" i="10"/>
  <c r="AB23" i="16"/>
  <c r="Y35" i="19"/>
  <c r="Y141" i="17"/>
  <c r="AC296" i="10"/>
  <c r="AB135" i="10"/>
  <c r="AB131" i="10" s="1"/>
  <c r="AB41" i="10" s="1"/>
  <c r="AD304" i="9"/>
  <c r="P27" i="6"/>
  <c r="P25" i="6" s="1"/>
  <c r="Y6" i="12"/>
  <c r="AC197" i="16"/>
  <c r="AC448" i="10" s="1"/>
  <c r="AC446" i="10" s="1"/>
  <c r="AC445" i="10" s="1"/>
  <c r="AC109" i="16"/>
  <c r="AC108" i="16" s="1"/>
  <c r="AC37" i="16" s="1"/>
  <c r="AD18" i="10"/>
  <c r="AD96" i="11" s="1"/>
  <c r="AD68" i="10"/>
  <c r="U41" i="6"/>
  <c r="S11" i="18"/>
  <c r="S9" i="18"/>
  <c r="AB28" i="16"/>
  <c r="AB80" i="16"/>
  <c r="AB82" i="16"/>
  <c r="AB176" i="16" s="1"/>
  <c r="AB425" i="10" s="1"/>
  <c r="AB84" i="16"/>
  <c r="AD187" i="18"/>
  <c r="AD102" i="18"/>
  <c r="AD101" i="18" s="1"/>
  <c r="AD137" i="18"/>
  <c r="AD136" i="18" s="1"/>
  <c r="Z40" i="16"/>
  <c r="Z34" i="16" s="1"/>
  <c r="Z93" i="16"/>
  <c r="Y60" i="19"/>
  <c r="Y59" i="19" s="1"/>
  <c r="Y23" i="19" s="1"/>
  <c r="Y13" i="17" s="1"/>
  <c r="P140" i="5" s="1"/>
  <c r="P26" i="5" s="1"/>
  <c r="Y25" i="19"/>
  <c r="AA145" i="10"/>
  <c r="AA141" i="10" s="1"/>
  <c r="AC306" i="9"/>
  <c r="Z175" i="16"/>
  <c r="Z173" i="16"/>
  <c r="Z147" i="16" s="1"/>
  <c r="Z146" i="16" s="1"/>
  <c r="AC59" i="11"/>
  <c r="AE435" i="9"/>
  <c r="AD59" i="11" s="1"/>
  <c r="AD187" i="16"/>
  <c r="AD438" i="10" s="1"/>
  <c r="AD436" i="10" s="1"/>
  <c r="AD435" i="10" s="1"/>
  <c r="AD95" i="16"/>
  <c r="AD94" i="16" s="1"/>
  <c r="P32" i="11"/>
  <c r="P19" i="11"/>
  <c r="P17" i="11" s="1"/>
  <c r="Y26" i="18"/>
  <c r="Y20" i="18" s="1"/>
  <c r="Y6" i="18" s="1"/>
  <c r="Y27" i="18"/>
  <c r="AC253" i="10"/>
  <c r="AA179" i="17"/>
  <c r="AA178" i="17" s="1"/>
  <c r="AA177" i="17" s="1"/>
  <c r="AA161" i="17" s="1"/>
  <c r="AA159" i="17" s="1"/>
  <c r="AA10" i="17" s="1"/>
  <c r="R129" i="5" s="1"/>
  <c r="AA78" i="17"/>
  <c r="AA56" i="17"/>
  <c r="AA55" i="17" s="1"/>
  <c r="AA27" i="17"/>
  <c r="AA26" i="17" s="1"/>
  <c r="AC216" i="16"/>
  <c r="AC215" i="16" s="1"/>
  <c r="Z52" i="11"/>
  <c r="AA452" i="9" s="1"/>
  <c r="Z29" i="11"/>
  <c r="Q7" i="6"/>
  <c r="AB410" i="10"/>
  <c r="AB408" i="10" s="1"/>
  <c r="AB407" i="10" s="1"/>
  <c r="AB159" i="16"/>
  <c r="AB158" i="16" s="1"/>
  <c r="AC68" i="10"/>
  <c r="AC18" i="10"/>
  <c r="AC96" i="11" s="1"/>
  <c r="T41" i="6"/>
  <c r="AC298" i="10"/>
  <c r="AB405" i="10"/>
  <c r="AB403" i="10" s="1"/>
  <c r="AB402" i="10" s="1"/>
  <c r="AB154" i="16"/>
  <c r="AB153" i="16" s="1"/>
  <c r="V42" i="12"/>
  <c r="V40" i="12"/>
  <c r="V50" i="12"/>
  <c r="V16" i="12"/>
  <c r="V168" i="11"/>
  <c r="V27" i="12"/>
  <c r="V151" i="11"/>
  <c r="AD161" i="16"/>
  <c r="AD59" i="16"/>
  <c r="AD58" i="16" s="1"/>
  <c r="AD30" i="16" s="1"/>
  <c r="AA539" i="10"/>
  <c r="AA543" i="10"/>
  <c r="AA541" i="10"/>
  <c r="AA537" i="10"/>
  <c r="AB400" i="10"/>
  <c r="AB398" i="10" s="1"/>
  <c r="AB397" i="10" s="1"/>
  <c r="AB149" i="16"/>
  <c r="AB148" i="16" s="1"/>
  <c r="AD159" i="18"/>
  <c r="AD158" i="18" s="1"/>
  <c r="AD157" i="18" s="1"/>
  <c r="AD59" i="18"/>
  <c r="AD58" i="18" s="1"/>
  <c r="AD30" i="18" s="1"/>
  <c r="AD523" i="10"/>
  <c r="AD522" i="10" s="1"/>
  <c r="AD521" i="10" s="1"/>
  <c r="AD87" i="18"/>
  <c r="AD86" i="18" s="1"/>
  <c r="AD177" i="18" s="1"/>
  <c r="AD233" i="18"/>
  <c r="AD232" i="18" s="1"/>
  <c r="AD236" i="18"/>
  <c r="AD235" i="18" s="1"/>
  <c r="AC187" i="18"/>
  <c r="AC102" i="18"/>
  <c r="AC101" i="18" s="1"/>
  <c r="AC137" i="18"/>
  <c r="AC136" i="18" s="1"/>
  <c r="AD156" i="16"/>
  <c r="AD52" i="16"/>
  <c r="AD51" i="16" s="1"/>
  <c r="AD29" i="16" s="1"/>
  <c r="AB250" i="10"/>
  <c r="AB219" i="10" s="1"/>
  <c r="AB169" i="10" s="1"/>
  <c r="AB293" i="10"/>
  <c r="AB262" i="10" s="1"/>
  <c r="AB170" i="10" s="1"/>
  <c r="P9" i="5"/>
  <c r="P9" i="1" s="1"/>
  <c r="Z211" i="16"/>
  <c r="Z209" i="16"/>
  <c r="Z183" i="16" s="1"/>
  <c r="Z182" i="16" s="1"/>
  <c r="Z24" i="11"/>
  <c r="T11" i="16"/>
  <c r="T9" i="16"/>
  <c r="AC187" i="16"/>
  <c r="AC438" i="10" s="1"/>
  <c r="AC436" i="10" s="1"/>
  <c r="AC435" i="10" s="1"/>
  <c r="AC95" i="16"/>
  <c r="AC94" i="16" s="1"/>
  <c r="Z175" i="10"/>
  <c r="Y6" i="17"/>
  <c r="P147" i="5"/>
  <c r="W14" i="18"/>
  <c r="W15" i="18" s="1"/>
  <c r="W12" i="18"/>
  <c r="AD382" i="10"/>
  <c r="V33" i="11"/>
  <c r="Y26" i="16"/>
  <c r="Y27" i="16"/>
  <c r="AA53" i="11"/>
  <c r="AD150" i="18"/>
  <c r="AD45" i="18"/>
  <c r="AD44" i="18" s="1"/>
  <c r="O67" i="17"/>
  <c r="Z115" i="17"/>
  <c r="Z67" i="17" s="1"/>
  <c r="Z40" i="18"/>
  <c r="Z34" i="18" s="1"/>
  <c r="Z93" i="18"/>
  <c r="Q11" i="16"/>
  <c r="Q9" i="16"/>
  <c r="AC161" i="16"/>
  <c r="AC59" i="16"/>
  <c r="AC58" i="16" s="1"/>
  <c r="AC30" i="16" s="1"/>
  <c r="AC336" i="10"/>
  <c r="AC305" i="10" s="1"/>
  <c r="AC171" i="10" s="1"/>
  <c r="AB59" i="15"/>
  <c r="AB103" i="15" s="1"/>
  <c r="AB501" i="10" s="1"/>
  <c r="AB92" i="10"/>
  <c r="AB88" i="10" s="1"/>
  <c r="AD297" i="9"/>
  <c r="AC159" i="18"/>
  <c r="AC158" i="18" s="1"/>
  <c r="AC157" i="18" s="1"/>
  <c r="AC59" i="18"/>
  <c r="AC58" i="18" s="1"/>
  <c r="AC30" i="18" s="1"/>
  <c r="AC523" i="10"/>
  <c r="AC522" i="10" s="1"/>
  <c r="AC521" i="10" s="1"/>
  <c r="AC233" i="18"/>
  <c r="AC232" i="18" s="1"/>
  <c r="AC236" i="18"/>
  <c r="AC235" i="18" s="1"/>
  <c r="AC87" i="18"/>
  <c r="AC86" i="18" s="1"/>
  <c r="AC177" i="18" s="1"/>
  <c r="AC156" i="16"/>
  <c r="AC52" i="16"/>
  <c r="AC51" i="16" s="1"/>
  <c r="AC29" i="16" s="1"/>
  <c r="AD120" i="19"/>
  <c r="AC120" i="19"/>
  <c r="AB120" i="19"/>
  <c r="AB117" i="19" s="1"/>
  <c r="AB68" i="19" s="1"/>
  <c r="AB32" i="19" s="1"/>
  <c r="P11" i="17"/>
  <c r="P9" i="17"/>
  <c r="AB195" i="16"/>
  <c r="AB194" i="16" s="1"/>
  <c r="AB84" i="19"/>
  <c r="AB81" i="19" s="1"/>
  <c r="AD84" i="19"/>
  <c r="AC84" i="19"/>
  <c r="AD83" i="15"/>
  <c r="AD29" i="15"/>
  <c r="AD28" i="15" s="1"/>
  <c r="Z167" i="10"/>
  <c r="Z10" i="10" s="1"/>
  <c r="Q36" i="5" s="1"/>
  <c r="Q11" i="5" s="1"/>
  <c r="Q11" i="1" s="1"/>
  <c r="Q125" i="5"/>
  <c r="AA61" i="19"/>
  <c r="AA60" i="19" s="1"/>
  <c r="AA59" i="19" s="1"/>
  <c r="AA26" i="19"/>
  <c r="AA25" i="19" s="1"/>
  <c r="AA174" i="16"/>
  <c r="AA79" i="16"/>
  <c r="AD384" i="10"/>
  <c r="AA72" i="19"/>
  <c r="AA71" i="19" s="1"/>
  <c r="AA37" i="19"/>
  <c r="AA36" i="19" s="1"/>
  <c r="AD298" i="10"/>
  <c r="AD88" i="15"/>
  <c r="AD36" i="15"/>
  <c r="AD35" i="15" s="1"/>
  <c r="Q9" i="11"/>
  <c r="Q6" i="11" s="1"/>
  <c r="Q7" i="11" s="1"/>
  <c r="Q139" i="11"/>
  <c r="AB105" i="11"/>
  <c r="AB104" i="11" s="1"/>
  <c r="AB95" i="11"/>
  <c r="AB94" i="11" s="1"/>
  <c r="AB93" i="11" s="1"/>
  <c r="AB108" i="11"/>
  <c r="AB107" i="11" s="1"/>
  <c r="AB70" i="11"/>
  <c r="AB69" i="11" s="1"/>
  <c r="AB67" i="11"/>
  <c r="AB66" i="11" s="1"/>
  <c r="AB57" i="11"/>
  <c r="AB56" i="11" s="1"/>
  <c r="AB55" i="11" s="1"/>
  <c r="AC150" i="18"/>
  <c r="AC45" i="18"/>
  <c r="AC44" i="18" s="1"/>
  <c r="P8" i="18"/>
  <c r="P241" i="18"/>
  <c r="P239" i="18"/>
  <c r="Z205" i="18"/>
  <c r="Z179" i="18" s="1"/>
  <c r="Z207" i="18"/>
  <c r="AB185" i="16"/>
  <c r="AB184" i="16" s="1"/>
  <c r="Z20" i="11"/>
  <c r="Q16" i="6"/>
  <c r="AA33" i="10"/>
  <c r="AA116" i="10"/>
  <c r="AA114" i="10"/>
  <c r="AA118" i="10"/>
  <c r="R14" i="18"/>
  <c r="R15" i="18" s="1"/>
  <c r="R12" i="18"/>
  <c r="AD78" i="15"/>
  <c r="AD22" i="15"/>
  <c r="AD21" i="15" s="1"/>
  <c r="AC83" i="15"/>
  <c r="AC29" i="15"/>
  <c r="AC28" i="15" s="1"/>
  <c r="Z25" i="10"/>
  <c r="Z24" i="10" s="1"/>
  <c r="AC382" i="10"/>
  <c r="Z22" i="11"/>
  <c r="Q18" i="6"/>
  <c r="AA21" i="16"/>
  <c r="AA22" i="18"/>
  <c r="AD380" i="10"/>
  <c r="AA129" i="16"/>
  <c r="AA210" i="16"/>
  <c r="AD296" i="10"/>
  <c r="AC88" i="15"/>
  <c r="AC36" i="15"/>
  <c r="AC35" i="15" s="1"/>
  <c r="S142" i="11"/>
  <c r="R140" i="11"/>
  <c r="AB17" i="10"/>
  <c r="AB207" i="10"/>
  <c r="AB176" i="10" s="1"/>
  <c r="X11" i="18"/>
  <c r="X9" i="18"/>
  <c r="Z107" i="15"/>
  <c r="Y108" i="15"/>
  <c r="AB36" i="18"/>
  <c r="AB132" i="18"/>
  <c r="AB208" i="18" s="1"/>
  <c r="AB130" i="18"/>
  <c r="AB134" i="18"/>
  <c r="AD192" i="16"/>
  <c r="AD443" i="10" s="1"/>
  <c r="AD441" i="10" s="1"/>
  <c r="AD440" i="10" s="1"/>
  <c r="AD102" i="16"/>
  <c r="AD101" i="16" s="1"/>
  <c r="AD36" i="16" s="1"/>
  <c r="AC16" i="10"/>
  <c r="AC58" i="11" s="1"/>
  <c r="AC58" i="10"/>
  <c r="T39" i="6"/>
  <c r="P8" i="16"/>
  <c r="P248" i="16"/>
  <c r="AB107" i="10"/>
  <c r="AB103" i="10" s="1"/>
  <c r="AD300" i="9"/>
  <c r="AC114" i="19"/>
  <c r="AB114" i="19"/>
  <c r="AB111" i="19" s="1"/>
  <c r="AD114" i="19"/>
  <c r="AC78" i="15"/>
  <c r="AC22" i="15"/>
  <c r="AC21" i="15" s="1"/>
  <c r="AD192" i="18"/>
  <c r="AD109" i="18"/>
  <c r="AD108" i="18" s="1"/>
  <c r="AD37" i="18" s="1"/>
  <c r="X11" i="16"/>
  <c r="X9" i="16"/>
  <c r="U11" i="18"/>
  <c r="U9" i="18"/>
  <c r="AC97" i="11"/>
  <c r="AE437" i="9"/>
  <c r="AD97" i="11" s="1"/>
  <c r="AD90" i="19"/>
  <c r="AC90" i="19"/>
  <c r="AB90" i="19"/>
  <c r="AB87" i="19" s="1"/>
  <c r="AB63" i="19" s="1"/>
  <c r="AB27" i="19" s="1"/>
  <c r="P9" i="11"/>
  <c r="Q8" i="6"/>
  <c r="Q11" i="18"/>
  <c r="Q9" i="18"/>
  <c r="AA56" i="15"/>
  <c r="AA20" i="15" s="1"/>
  <c r="AA6" i="15" s="1"/>
  <c r="AA101" i="15"/>
  <c r="AC78" i="11"/>
  <c r="AE436" i="9"/>
  <c r="AD78" i="11" s="1"/>
  <c r="AA81" i="11" l="1"/>
  <c r="AA80" i="11" s="1"/>
  <c r="AA74" i="11" s="1"/>
  <c r="R18" i="6"/>
  <c r="AC190" i="16"/>
  <c r="AC189" i="16" s="1"/>
  <c r="AC22" i="16"/>
  <c r="AD195" i="16"/>
  <c r="AD194" i="16" s="1"/>
  <c r="AC23" i="18"/>
  <c r="AC23" i="16"/>
  <c r="AD23" i="16"/>
  <c r="Z108" i="15"/>
  <c r="P7" i="12"/>
  <c r="AA44" i="11"/>
  <c r="AA43" i="11" s="1"/>
  <c r="AA42" i="11" s="1"/>
  <c r="AA36" i="11" s="1"/>
  <c r="AC195" i="16"/>
  <c r="AC194" i="16" s="1"/>
  <c r="P18" i="11"/>
  <c r="AD190" i="16"/>
  <c r="AD189" i="16" s="1"/>
  <c r="AD293" i="10"/>
  <c r="AD262" i="10" s="1"/>
  <c r="AD170" i="10" s="1"/>
  <c r="AB54" i="11"/>
  <c r="AB53" i="11" s="1"/>
  <c r="AD546" i="10"/>
  <c r="AD545" i="10" s="1"/>
  <c r="AA536" i="10"/>
  <c r="AA510" i="10" s="1"/>
  <c r="AC481" i="10"/>
  <c r="AC479" i="10" s="1"/>
  <c r="AC478" i="10" s="1"/>
  <c r="AC81" i="15"/>
  <c r="AC80" i="15" s="1"/>
  <c r="AA173" i="16"/>
  <c r="AA147" i="16" s="1"/>
  <c r="AA423" i="10"/>
  <c r="AA422" i="10" s="1"/>
  <c r="AA396" i="10" s="1"/>
  <c r="AC476" i="10"/>
  <c r="AC474" i="10" s="1"/>
  <c r="AC473" i="10" s="1"/>
  <c r="AC76" i="15"/>
  <c r="AC75" i="15" s="1"/>
  <c r="P11" i="16"/>
  <c r="P9" i="16"/>
  <c r="AC486" i="10"/>
  <c r="AC484" i="10" s="1"/>
  <c r="AC483" i="10" s="1"/>
  <c r="AC86" i="15"/>
  <c r="AC85" i="15" s="1"/>
  <c r="AD59" i="15"/>
  <c r="AD103" i="15" s="1"/>
  <c r="AD501" i="10" s="1"/>
  <c r="AD57" i="15"/>
  <c r="AD61" i="15"/>
  <c r="AA54" i="10"/>
  <c r="AA26" i="10"/>
  <c r="R7" i="6"/>
  <c r="AA24" i="19"/>
  <c r="AA140" i="17"/>
  <c r="I85" i="19"/>
  <c r="I121" i="19"/>
  <c r="AC185" i="16"/>
  <c r="AC184" i="16" s="1"/>
  <c r="AD185" i="16"/>
  <c r="AD184" i="16" s="1"/>
  <c r="Q20" i="6"/>
  <c r="P8" i="11"/>
  <c r="P33" i="11"/>
  <c r="AB145" i="10"/>
  <c r="AB141" i="10" s="1"/>
  <c r="AB65" i="10" s="1"/>
  <c r="AD306" i="9"/>
  <c r="AD186" i="18"/>
  <c r="AD185" i="18" s="1"/>
  <c r="AD28" i="17"/>
  <c r="AC135" i="10"/>
  <c r="AC131" i="10" s="1"/>
  <c r="AC41" i="10" s="1"/>
  <c r="AE304" i="9"/>
  <c r="AD135" i="10" s="1"/>
  <c r="AD131" i="10" s="1"/>
  <c r="AD41" i="10" s="1"/>
  <c r="U14" i="16"/>
  <c r="U15" i="16" s="1"/>
  <c r="U12" i="16"/>
  <c r="AC97" i="10"/>
  <c r="AC93" i="10" s="1"/>
  <c r="AE298" i="9"/>
  <c r="AD97" i="10" s="1"/>
  <c r="AD93" i="10" s="1"/>
  <c r="AC196" i="18"/>
  <c r="AC195" i="18" s="1"/>
  <c r="AC38" i="17"/>
  <c r="AD250" i="10"/>
  <c r="AD219" i="10" s="1"/>
  <c r="AD169" i="10" s="1"/>
  <c r="V14" i="16"/>
  <c r="V15" i="16" s="1"/>
  <c r="V12" i="16"/>
  <c r="AB100" i="15"/>
  <c r="AB74" i="15" s="1"/>
  <c r="AB499" i="10"/>
  <c r="AB498" i="10" s="1"/>
  <c r="AB472" i="10" s="1"/>
  <c r="AD191" i="18"/>
  <c r="AD190" i="18" s="1"/>
  <c r="AD33" i="17"/>
  <c r="AC28" i="18"/>
  <c r="AC84" i="18"/>
  <c r="AC80" i="18"/>
  <c r="AC82" i="18"/>
  <c r="AC175" i="18" s="1"/>
  <c r="U12" i="18"/>
  <c r="U14" i="18"/>
  <c r="U15" i="18" s="1"/>
  <c r="X12" i="18"/>
  <c r="X14" i="18"/>
  <c r="X15" i="18" s="1"/>
  <c r="AD476" i="10"/>
  <c r="AD474" i="10" s="1"/>
  <c r="AD473" i="10" s="1"/>
  <c r="AD76" i="15"/>
  <c r="AD75" i="15" s="1"/>
  <c r="AD486" i="10"/>
  <c r="AD484" i="10" s="1"/>
  <c r="AD483" i="10" s="1"/>
  <c r="AD86" i="15"/>
  <c r="AD85" i="15" s="1"/>
  <c r="AC410" i="10"/>
  <c r="AC408" i="10" s="1"/>
  <c r="AC407" i="10" s="1"/>
  <c r="AC159" i="16"/>
  <c r="AC158" i="16" s="1"/>
  <c r="AA20" i="11"/>
  <c r="Q147" i="5"/>
  <c r="Q149" i="5" s="1"/>
  <c r="P149" i="5"/>
  <c r="AD22" i="16"/>
  <c r="AC95" i="11"/>
  <c r="AC94" i="11" s="1"/>
  <c r="AC93" i="11" s="1"/>
  <c r="AC108" i="11"/>
  <c r="AC107" i="11" s="1"/>
  <c r="AC105" i="11"/>
  <c r="AC104" i="11" s="1"/>
  <c r="AD35" i="16"/>
  <c r="AD130" i="16"/>
  <c r="AD132" i="16"/>
  <c r="AD212" i="16" s="1"/>
  <c r="AD463" i="10" s="1"/>
  <c r="AD134" i="16"/>
  <c r="AA43" i="10"/>
  <c r="AA152" i="10"/>
  <c r="AA76" i="10" s="1"/>
  <c r="AA154" i="10"/>
  <c r="AA78" i="10" s="1"/>
  <c r="AA156" i="10"/>
  <c r="AA80" i="10" s="1"/>
  <c r="AA60" i="10"/>
  <c r="I103" i="19"/>
  <c r="AA59" i="10"/>
  <c r="AA27" i="10"/>
  <c r="R8" i="6" s="1"/>
  <c r="AC102" i="10"/>
  <c r="AC98" i="10" s="1"/>
  <c r="AE299" i="9"/>
  <c r="AD102" i="10" s="1"/>
  <c r="AD98" i="10" s="1"/>
  <c r="AB140" i="10"/>
  <c r="AB136" i="10" s="1"/>
  <c r="AB42" i="10" s="1"/>
  <c r="AD305" i="9"/>
  <c r="AB55" i="10"/>
  <c r="AB34" i="10"/>
  <c r="AD82" i="16"/>
  <c r="AD176" i="16" s="1"/>
  <c r="AD425" i="10" s="1"/>
  <c r="AD28" i="16"/>
  <c r="AD80" i="16"/>
  <c r="AD84" i="16"/>
  <c r="Y7" i="18"/>
  <c r="P104" i="5" s="1"/>
  <c r="Z145" i="18"/>
  <c r="Z7" i="18" s="1"/>
  <c r="Q104" i="5" s="1"/>
  <c r="AA65" i="10"/>
  <c r="AB56" i="15"/>
  <c r="AB20" i="15" s="1"/>
  <c r="AB6" i="15" s="1"/>
  <c r="AB22" i="18"/>
  <c r="AA209" i="16"/>
  <c r="AA183" i="16" s="1"/>
  <c r="AA182" i="16" s="1"/>
  <c r="AA461" i="10"/>
  <c r="AA460" i="10" s="1"/>
  <c r="AA434" i="10" s="1"/>
  <c r="AB80" i="19"/>
  <c r="AB79" i="19" s="1"/>
  <c r="AB62" i="19"/>
  <c r="AC92" i="10"/>
  <c r="AC88" i="10" s="1"/>
  <c r="AE297" i="9"/>
  <c r="AD92" i="10" s="1"/>
  <c r="AD88" i="10" s="1"/>
  <c r="Z139" i="17"/>
  <c r="Z68" i="17" s="1"/>
  <c r="O68" i="17"/>
  <c r="O64" i="17" s="1"/>
  <c r="Y8" i="17"/>
  <c r="P125" i="5"/>
  <c r="P127" i="5" s="1"/>
  <c r="AD405" i="10"/>
  <c r="AD403" i="10" s="1"/>
  <c r="AD402" i="10" s="1"/>
  <c r="AD154" i="16"/>
  <c r="AD153" i="16" s="1"/>
  <c r="AD23" i="18"/>
  <c r="Y24" i="19"/>
  <c r="Y140" i="17"/>
  <c r="AD108" i="11"/>
  <c r="AD107" i="11" s="1"/>
  <c r="AD105" i="11"/>
  <c r="AD104" i="11" s="1"/>
  <c r="AD95" i="11"/>
  <c r="AD94" i="11" s="1"/>
  <c r="AD93" i="11" s="1"/>
  <c r="AB130" i="10"/>
  <c r="AB126" i="10" s="1"/>
  <c r="AB50" i="10" s="1"/>
  <c r="AD303" i="9"/>
  <c r="Y9" i="10"/>
  <c r="Y7" i="10" s="1"/>
  <c r="Y77" i="10"/>
  <c r="Y466" i="10"/>
  <c r="Y544" i="10"/>
  <c r="Y79" i="10"/>
  <c r="Y117" i="10" s="1"/>
  <c r="Y81" i="10"/>
  <c r="Y119" i="10" s="1"/>
  <c r="AC15" i="10"/>
  <c r="AC53" i="10"/>
  <c r="T38" i="6"/>
  <c r="T37" i="6" s="1"/>
  <c r="AB37" i="17"/>
  <c r="AB36" i="17" s="1"/>
  <c r="AB86" i="17"/>
  <c r="AB85" i="17" s="1"/>
  <c r="AB35" i="10"/>
  <c r="I97" i="19"/>
  <c r="AD400" i="10"/>
  <c r="AD398" i="10" s="1"/>
  <c r="AD397" i="10" s="1"/>
  <c r="AD149" i="16"/>
  <c r="AD148" i="16" s="1"/>
  <c r="P49" i="14"/>
  <c r="Y25" i="11"/>
  <c r="P48" i="14" s="1"/>
  <c r="AC191" i="18"/>
  <c r="AC190" i="18" s="1"/>
  <c r="AC33" i="17"/>
  <c r="P9" i="15"/>
  <c r="P11" i="15"/>
  <c r="AB79" i="18"/>
  <c r="AB173" i="18"/>
  <c r="AB172" i="18" s="1"/>
  <c r="AB146" i="18" s="1"/>
  <c r="AC379" i="10"/>
  <c r="AC348" i="10" s="1"/>
  <c r="AC172" i="10" s="1"/>
  <c r="X14" i="16"/>
  <c r="X15" i="16" s="1"/>
  <c r="X12" i="16"/>
  <c r="AC67" i="11"/>
  <c r="AC66" i="11" s="1"/>
  <c r="AC70" i="11"/>
  <c r="AC69" i="11" s="1"/>
  <c r="AC57" i="11"/>
  <c r="AC56" i="11" s="1"/>
  <c r="AC55" i="11" s="1"/>
  <c r="AB175" i="10"/>
  <c r="AB168" i="10"/>
  <c r="AB167" i="10" s="1"/>
  <c r="AB10" i="10" s="1"/>
  <c r="S36" i="5" s="1"/>
  <c r="S11" i="5" s="1"/>
  <c r="S11" i="1" s="1"/>
  <c r="AA35" i="19"/>
  <c r="AA141" i="17"/>
  <c r="AB33" i="10"/>
  <c r="AB116" i="10"/>
  <c r="AB118" i="10"/>
  <c r="AB114" i="10"/>
  <c r="Q14" i="16"/>
  <c r="Q15" i="16" s="1"/>
  <c r="Q12" i="16"/>
  <c r="Y20" i="16"/>
  <c r="Y6" i="16" s="1"/>
  <c r="P12" i="6"/>
  <c r="P6" i="6" s="1"/>
  <c r="P10" i="3"/>
  <c r="P11" i="2" s="1"/>
  <c r="P15" i="7"/>
  <c r="P31" i="6"/>
  <c r="P18" i="1"/>
  <c r="P34" i="1" s="1"/>
  <c r="AB174" i="16"/>
  <c r="AB79" i="16"/>
  <c r="AA145" i="18"/>
  <c r="AA7" i="18" s="1"/>
  <c r="R104" i="5" s="1"/>
  <c r="AA40" i="10"/>
  <c r="Z24" i="19"/>
  <c r="Z140" i="17"/>
  <c r="V12" i="18"/>
  <c r="V14" i="18"/>
  <c r="V15" i="18" s="1"/>
  <c r="Z26" i="16"/>
  <c r="Z27" i="16"/>
  <c r="I109" i="19"/>
  <c r="AA40" i="18"/>
  <c r="AA34" i="18" s="1"/>
  <c r="AA93" i="18"/>
  <c r="Y32" i="11"/>
  <c r="Y19" i="11"/>
  <c r="Y17" i="11" s="1"/>
  <c r="P15" i="6"/>
  <c r="P14" i="6" s="1"/>
  <c r="AA33" i="18"/>
  <c r="AA43" i="18"/>
  <c r="AD415" i="10"/>
  <c r="AD413" i="10" s="1"/>
  <c r="AD412" i="10" s="1"/>
  <c r="AD164" i="16"/>
  <c r="AD163" i="16" s="1"/>
  <c r="AC17" i="10"/>
  <c r="Q14" i="18"/>
  <c r="Q15" i="18" s="1"/>
  <c r="Q12" i="18"/>
  <c r="AA100" i="15"/>
  <c r="AA74" i="15" s="1"/>
  <c r="AA499" i="10"/>
  <c r="AA498" i="10" s="1"/>
  <c r="AA472" i="10" s="1"/>
  <c r="AA40" i="16"/>
  <c r="AA34" i="16" s="1"/>
  <c r="AA93" i="16"/>
  <c r="AC405" i="10"/>
  <c r="AC403" i="10" s="1"/>
  <c r="AC402" i="10" s="1"/>
  <c r="AC154" i="16"/>
  <c r="AC153" i="16" s="1"/>
  <c r="AA139" i="15"/>
  <c r="AA129" i="15" s="1"/>
  <c r="AA115" i="15" s="1"/>
  <c r="AA113" i="15" s="1"/>
  <c r="AA10" i="15" s="1"/>
  <c r="R85" i="5" s="1"/>
  <c r="R81" i="5"/>
  <c r="I91" i="19"/>
  <c r="I115" i="19"/>
  <c r="AC546" i="10"/>
  <c r="AC545" i="10" s="1"/>
  <c r="AB77" i="11"/>
  <c r="AB76" i="11" s="1"/>
  <c r="AB75" i="11" s="1"/>
  <c r="AD379" i="10"/>
  <c r="AD348" i="10" s="1"/>
  <c r="AD172" i="10" s="1"/>
  <c r="AB92" i="11"/>
  <c r="AB91" i="11" s="1"/>
  <c r="P40" i="12"/>
  <c r="P42" i="12"/>
  <c r="P50" i="12"/>
  <c r="P151" i="11"/>
  <c r="P16" i="12"/>
  <c r="P168" i="11"/>
  <c r="P27" i="12"/>
  <c r="AD80" i="18"/>
  <c r="AD28" i="18"/>
  <c r="AD84" i="18"/>
  <c r="AD82" i="18"/>
  <c r="AD175" i="18" s="1"/>
  <c r="AC35" i="16"/>
  <c r="AC130" i="16"/>
  <c r="AC132" i="16"/>
  <c r="AC212" i="16" s="1"/>
  <c r="AC463" i="10" s="1"/>
  <c r="AC134" i="16"/>
  <c r="AC36" i="18"/>
  <c r="AC130" i="18"/>
  <c r="AC134" i="18"/>
  <c r="AC132" i="18"/>
  <c r="AC208" i="18" s="1"/>
  <c r="AB21" i="16"/>
  <c r="AB73" i="19"/>
  <c r="AB124" i="19"/>
  <c r="AB123" i="19" s="1"/>
  <c r="Q31" i="6"/>
  <c r="Q10" i="3"/>
  <c r="Q18" i="1"/>
  <c r="AC28" i="16"/>
  <c r="AC80" i="16"/>
  <c r="AC82" i="16"/>
  <c r="AC176" i="16" s="1"/>
  <c r="AC425" i="10" s="1"/>
  <c r="AC84" i="16"/>
  <c r="S14" i="16"/>
  <c r="S15" i="16" s="1"/>
  <c r="S12" i="16"/>
  <c r="AC250" i="10"/>
  <c r="AC219" i="10" s="1"/>
  <c r="AC169" i="10" s="1"/>
  <c r="Z35" i="11"/>
  <c r="Z34" i="11" s="1"/>
  <c r="Z27" i="11"/>
  <c r="Z26" i="11" s="1"/>
  <c r="Q27" i="6"/>
  <c r="Q25" i="6" s="1"/>
  <c r="Z6" i="12"/>
  <c r="AB82" i="17"/>
  <c r="AB81" i="17" s="1"/>
  <c r="AB32" i="17"/>
  <c r="AB31" i="17" s="1"/>
  <c r="AC415" i="10"/>
  <c r="AC413" i="10" s="1"/>
  <c r="AC412" i="10" s="1"/>
  <c r="AC164" i="16"/>
  <c r="AC163" i="16" s="1"/>
  <c r="AB21" i="18"/>
  <c r="AC207" i="10"/>
  <c r="AC176" i="10" s="1"/>
  <c r="AB36" i="10"/>
  <c r="AC107" i="10"/>
  <c r="AC103" i="10" s="1"/>
  <c r="AE300" i="9"/>
  <c r="AD107" i="10" s="1"/>
  <c r="AD103" i="10" s="1"/>
  <c r="R138" i="11"/>
  <c r="AA113" i="10"/>
  <c r="P11" i="18"/>
  <c r="P9" i="18"/>
  <c r="P14" i="17"/>
  <c r="P15" i="17" s="1"/>
  <c r="P12" i="17"/>
  <c r="AD514" i="10"/>
  <c r="AD512" i="10" s="1"/>
  <c r="AD511" i="10" s="1"/>
  <c r="AD148" i="18"/>
  <c r="AD147" i="18" s="1"/>
  <c r="AC186" i="18"/>
  <c r="AC185" i="18" s="1"/>
  <c r="AC28" i="17"/>
  <c r="AD410" i="10"/>
  <c r="AD408" i="10" s="1"/>
  <c r="AD407" i="10" s="1"/>
  <c r="AD159" i="16"/>
  <c r="AD158" i="16" s="1"/>
  <c r="AA49" i="17"/>
  <c r="AA95" i="17" s="1"/>
  <c r="AA47" i="17"/>
  <c r="AA53" i="17"/>
  <c r="AA51" i="17"/>
  <c r="AA97" i="17" s="1"/>
  <c r="I129" i="19"/>
  <c r="AC400" i="10"/>
  <c r="AC398" i="10" s="1"/>
  <c r="AC397" i="10" s="1"/>
  <c r="AC149" i="16"/>
  <c r="AC148" i="16" s="1"/>
  <c r="W12" i="16"/>
  <c r="W14" i="16"/>
  <c r="W15" i="16" s="1"/>
  <c r="Z26" i="18"/>
  <c r="Z20" i="18" s="1"/>
  <c r="Z6" i="18" s="1"/>
  <c r="Z27" i="18"/>
  <c r="AD70" i="11"/>
  <c r="AD69" i="11" s="1"/>
  <c r="AD57" i="11"/>
  <c r="AD56" i="11" s="1"/>
  <c r="AD55" i="11" s="1"/>
  <c r="AD67" i="11"/>
  <c r="AD66" i="11" s="1"/>
  <c r="AD196" i="18"/>
  <c r="AD195" i="18" s="1"/>
  <c r="AD38" i="17"/>
  <c r="AA32" i="12"/>
  <c r="AA31" i="12" s="1"/>
  <c r="AA37" i="12"/>
  <c r="AA36" i="12" s="1"/>
  <c r="AA29" i="12"/>
  <c r="AA28" i="12" s="1"/>
  <c r="AD207" i="10"/>
  <c r="AD176" i="10" s="1"/>
  <c r="P103" i="5"/>
  <c r="Y239" i="18"/>
  <c r="Y241" i="18"/>
  <c r="Z145" i="16"/>
  <c r="Z7" i="16" s="1"/>
  <c r="Q60" i="5" s="1"/>
  <c r="P41" i="5"/>
  <c r="P15" i="5" s="1"/>
  <c r="T14" i="18"/>
  <c r="T15" i="18" s="1"/>
  <c r="T12" i="18"/>
  <c r="AC293" i="10"/>
  <c r="AC262" i="10" s="1"/>
  <c r="AC170" i="10" s="1"/>
  <c r="Z45" i="10"/>
  <c r="Z39" i="10" s="1"/>
  <c r="Z125" i="10"/>
  <c r="AD15" i="10"/>
  <c r="AD53" i="10"/>
  <c r="U38" i="6"/>
  <c r="U37" i="6" s="1"/>
  <c r="Z10" i="11"/>
  <c r="AC40" i="11"/>
  <c r="AE434" i="9"/>
  <c r="AD40" i="11" s="1"/>
  <c r="AB129" i="16"/>
  <c r="AB210" i="16"/>
  <c r="AB179" i="17"/>
  <c r="AB178" i="17" s="1"/>
  <c r="AB177" i="17" s="1"/>
  <c r="AB161" i="17" s="1"/>
  <c r="AB159" i="17" s="1"/>
  <c r="AB10" i="17" s="1"/>
  <c r="S129" i="5" s="1"/>
  <c r="AB78" i="17"/>
  <c r="AB56" i="17"/>
  <c r="AB55" i="17" s="1"/>
  <c r="AB27" i="17"/>
  <c r="AB26" i="17" s="1"/>
  <c r="Z73" i="15"/>
  <c r="Z7" i="15" s="1"/>
  <c r="T142" i="11"/>
  <c r="S140" i="11"/>
  <c r="S138" i="11" s="1"/>
  <c r="AA33" i="16"/>
  <c r="AA43" i="16"/>
  <c r="AD481" i="10"/>
  <c r="AD479" i="10" s="1"/>
  <c r="AD478" i="10" s="1"/>
  <c r="AD81" i="15"/>
  <c r="AD80" i="15" s="1"/>
  <c r="AC57" i="15"/>
  <c r="AC59" i="15"/>
  <c r="AC103" i="15" s="1"/>
  <c r="AC501" i="10" s="1"/>
  <c r="AC61" i="15"/>
  <c r="AB129" i="18"/>
  <c r="AB206" i="18"/>
  <c r="AB205" i="18" s="1"/>
  <c r="AB179" i="18" s="1"/>
  <c r="AC514" i="10"/>
  <c r="AC512" i="10" s="1"/>
  <c r="AC511" i="10" s="1"/>
  <c r="AC148" i="18"/>
  <c r="AC147" i="18" s="1"/>
  <c r="AA89" i="11"/>
  <c r="AA88" i="11" s="1"/>
  <c r="AA85" i="11"/>
  <c r="T14" i="16"/>
  <c r="T15" i="16" s="1"/>
  <c r="T12" i="16"/>
  <c r="AA135" i="17"/>
  <c r="AA134" i="17" s="1"/>
  <c r="AA132" i="17"/>
  <c r="AA131" i="17" s="1"/>
  <c r="AA129" i="17"/>
  <c r="AA128" i="17" s="1"/>
  <c r="AA126" i="17"/>
  <c r="AA125" i="17" s="1"/>
  <c r="AA123" i="17"/>
  <c r="AA122" i="17" s="1"/>
  <c r="AA120" i="17"/>
  <c r="AA119" i="17" s="1"/>
  <c r="AA117" i="17"/>
  <c r="AA116" i="17" s="1"/>
  <c r="AA77" i="17"/>
  <c r="R16" i="6" s="1"/>
  <c r="AD36" i="18"/>
  <c r="AD132" i="18"/>
  <c r="AD208" i="18" s="1"/>
  <c r="AD130" i="18"/>
  <c r="AD134" i="18"/>
  <c r="S14" i="18"/>
  <c r="S15" i="18" s="1"/>
  <c r="S12" i="18"/>
  <c r="Q9" i="1"/>
  <c r="AB48" i="11"/>
  <c r="AB14" i="10"/>
  <c r="AB39" i="11"/>
  <c r="AB38" i="11" s="1"/>
  <c r="AB37" i="11" s="1"/>
  <c r="P82" i="5"/>
  <c r="P83" i="5" s="1"/>
  <c r="Y8" i="15"/>
  <c r="AB537" i="10"/>
  <c r="AB539" i="10"/>
  <c r="AB541" i="10"/>
  <c r="AB543" i="10"/>
  <c r="AA51" i="11"/>
  <c r="AA50" i="11" s="1"/>
  <c r="AA47" i="11"/>
  <c r="AD17" i="10"/>
  <c r="AA73" i="11" l="1"/>
  <c r="AA72" i="11" s="1"/>
  <c r="R17" i="6" s="1"/>
  <c r="AB60" i="10"/>
  <c r="AB64" i="10" s="1"/>
  <c r="AA29" i="11"/>
  <c r="AB82" i="11"/>
  <c r="AB86" i="11" s="1"/>
  <c r="AB44" i="11"/>
  <c r="AB43" i="11" s="1"/>
  <c r="AB42" i="11" s="1"/>
  <c r="AB36" i="11" s="1"/>
  <c r="Y8" i="18"/>
  <c r="Y9" i="18" s="1"/>
  <c r="AD54" i="11"/>
  <c r="AD53" i="11" s="1"/>
  <c r="AD20" i="11" s="1"/>
  <c r="AA151" i="10"/>
  <c r="AA115" i="17"/>
  <c r="AA67" i="17" s="1"/>
  <c r="Q22" i="6"/>
  <c r="AC54" i="11"/>
  <c r="AC53" i="11" s="1"/>
  <c r="AC20" i="11" s="1"/>
  <c r="AD92" i="11"/>
  <c r="AD91" i="11" s="1"/>
  <c r="AD22" i="11" s="1"/>
  <c r="AA23" i="19"/>
  <c r="AA13" i="17" s="1"/>
  <c r="R140" i="5" s="1"/>
  <c r="R26" i="5" s="1"/>
  <c r="O7" i="17"/>
  <c r="Z64" i="17"/>
  <c r="Z7" i="17" s="1"/>
  <c r="AB107" i="15"/>
  <c r="AB73" i="15" s="1"/>
  <c r="AB7" i="15" s="1"/>
  <c r="AA35" i="12"/>
  <c r="AA34" i="12" s="1"/>
  <c r="AA81" i="10"/>
  <c r="AA79" i="10"/>
  <c r="AA132" i="11"/>
  <c r="S139" i="11"/>
  <c r="S9" i="11"/>
  <c r="S6" i="11" s="1"/>
  <c r="S7" i="11" s="1"/>
  <c r="AB32" i="12"/>
  <c r="AB31" i="12" s="1"/>
  <c r="AB29" i="12"/>
  <c r="AB28" i="12" s="1"/>
  <c r="AB37" i="12"/>
  <c r="AB36" i="12" s="1"/>
  <c r="U142" i="11"/>
  <c r="T140" i="11"/>
  <c r="T138" i="11" s="1"/>
  <c r="AD48" i="11"/>
  <c r="AD14" i="10"/>
  <c r="AD39" i="11"/>
  <c r="AD38" i="11" s="1"/>
  <c r="AD37" i="11" s="1"/>
  <c r="P53" i="14"/>
  <c r="Q53" i="14" s="1"/>
  <c r="P10" i="7"/>
  <c r="P15" i="1"/>
  <c r="P29" i="1" s="1"/>
  <c r="AD168" i="10"/>
  <c r="AD167" i="10" s="1"/>
  <c r="AD10" i="10" s="1"/>
  <c r="U36" i="5" s="1"/>
  <c r="U11" i="5" s="1"/>
  <c r="U11" i="1" s="1"/>
  <c r="AD175" i="10"/>
  <c r="AC36" i="10"/>
  <c r="AC174" i="16"/>
  <c r="AC79" i="16"/>
  <c r="AB72" i="19"/>
  <c r="AB71" i="19" s="1"/>
  <c r="AB37" i="19"/>
  <c r="AB36" i="19" s="1"/>
  <c r="AC22" i="18"/>
  <c r="AD21" i="18"/>
  <c r="AC77" i="11"/>
  <c r="AC76" i="11" s="1"/>
  <c r="AC75" i="11" s="1"/>
  <c r="AB173" i="16"/>
  <c r="AB147" i="16" s="1"/>
  <c r="AB423" i="10"/>
  <c r="AB422" i="10" s="1"/>
  <c r="AB396" i="10" s="1"/>
  <c r="P130" i="5"/>
  <c r="P128" i="5"/>
  <c r="AC92" i="11"/>
  <c r="AC91" i="11" s="1"/>
  <c r="AC79" i="18"/>
  <c r="AC173" i="18"/>
  <c r="AC172" i="18" s="1"/>
  <c r="AC146" i="18" s="1"/>
  <c r="AC55" i="10"/>
  <c r="AC34" i="10"/>
  <c r="AB43" i="10"/>
  <c r="AB152" i="10"/>
  <c r="AB76" i="10" s="1"/>
  <c r="AB154" i="10"/>
  <c r="AB78" i="10" s="1"/>
  <c r="AB156" i="10"/>
  <c r="AB80" i="10" s="1"/>
  <c r="P14" i="16"/>
  <c r="P15" i="16" s="1"/>
  <c r="P12" i="16"/>
  <c r="Q82" i="5"/>
  <c r="Q83" i="5" s="1"/>
  <c r="Z8" i="15"/>
  <c r="AB113" i="10"/>
  <c r="Y11" i="17"/>
  <c r="Y9" i="17"/>
  <c r="AA69" i="10"/>
  <c r="AA29" i="10"/>
  <c r="R10" i="6" s="1"/>
  <c r="AD85" i="19"/>
  <c r="AC85" i="19"/>
  <c r="AC81" i="19" s="1"/>
  <c r="AD129" i="18"/>
  <c r="AD206" i="18"/>
  <c r="AD205" i="18" s="1"/>
  <c r="AD179" i="18" s="1"/>
  <c r="AC56" i="15"/>
  <c r="AC20" i="15" s="1"/>
  <c r="AC6" i="15" s="1"/>
  <c r="AC101" i="15"/>
  <c r="Q48" i="14"/>
  <c r="Q49" i="14"/>
  <c r="Z25" i="11"/>
  <c r="AC21" i="16"/>
  <c r="AD79" i="18"/>
  <c r="AD173" i="18"/>
  <c r="AD172" i="18" s="1"/>
  <c r="AD146" i="18" s="1"/>
  <c r="AB51" i="11"/>
  <c r="AB50" i="11" s="1"/>
  <c r="AB47" i="11"/>
  <c r="AC537" i="10"/>
  <c r="AC541" i="10"/>
  <c r="AC543" i="10"/>
  <c r="AC539" i="10"/>
  <c r="AB47" i="17"/>
  <c r="AB51" i="17"/>
  <c r="AB97" i="17" s="1"/>
  <c r="AB53" i="17"/>
  <c r="AB49" i="17"/>
  <c r="AB95" i="17" s="1"/>
  <c r="AB145" i="18"/>
  <c r="AB7" i="18" s="1"/>
  <c r="S104" i="5" s="1"/>
  <c r="Z9" i="10"/>
  <c r="Z7" i="10" s="1"/>
  <c r="Z464" i="10"/>
  <c r="Z462" i="10"/>
  <c r="Z81" i="10"/>
  <c r="Z544" i="10"/>
  <c r="Z466" i="10"/>
  <c r="Z79" i="10"/>
  <c r="Z77" i="10"/>
  <c r="Z299" i="10"/>
  <c r="Z8" i="18"/>
  <c r="Q103" i="5"/>
  <c r="Z241" i="18"/>
  <c r="AA241" i="18" s="1"/>
  <c r="AB241" i="18" s="1"/>
  <c r="AC241" i="18" s="1"/>
  <c r="AD241" i="18" s="1"/>
  <c r="Z239" i="18"/>
  <c r="AA239" i="18" s="1"/>
  <c r="AB239" i="18" s="1"/>
  <c r="AC239" i="18" s="1"/>
  <c r="AD239" i="18" s="1"/>
  <c r="AC179" i="17"/>
  <c r="AC178" i="17" s="1"/>
  <c r="AC177" i="17" s="1"/>
  <c r="AC161" i="17" s="1"/>
  <c r="AC159" i="17" s="1"/>
  <c r="AC10" i="17" s="1"/>
  <c r="T129" i="5" s="1"/>
  <c r="AC56" i="17"/>
  <c r="AC55" i="17" s="1"/>
  <c r="AC27" i="17"/>
  <c r="AC26" i="17" s="1"/>
  <c r="AC78" i="17"/>
  <c r="P14" i="18"/>
  <c r="P15" i="18" s="1"/>
  <c r="P12" i="18"/>
  <c r="Z32" i="11"/>
  <c r="Z19" i="11"/>
  <c r="Z17" i="11" s="1"/>
  <c r="Q15" i="6"/>
  <c r="Q14" i="6" s="1"/>
  <c r="AB22" i="11"/>
  <c r="S18" i="6"/>
  <c r="AD115" i="19"/>
  <c r="AC115" i="19"/>
  <c r="AC111" i="19" s="1"/>
  <c r="AD103" i="19"/>
  <c r="AC103" i="19"/>
  <c r="AC99" i="19" s="1"/>
  <c r="AC65" i="19" s="1"/>
  <c r="AC29" i="19" s="1"/>
  <c r="AC21" i="18"/>
  <c r="Y8" i="11"/>
  <c r="P6" i="11"/>
  <c r="P7" i="11" s="1"/>
  <c r="AA139" i="17"/>
  <c r="AA68" i="17" s="1"/>
  <c r="AD56" i="15"/>
  <c r="AD20" i="15" s="1"/>
  <c r="AD6" i="15" s="1"/>
  <c r="AD101" i="15"/>
  <c r="AD77" i="11"/>
  <c r="AD76" i="11" s="1"/>
  <c r="AD75" i="11" s="1"/>
  <c r="AA77" i="10"/>
  <c r="AA75" i="10"/>
  <c r="AA31" i="10" s="1"/>
  <c r="AA130" i="11"/>
  <c r="AC109" i="19"/>
  <c r="AC105" i="19" s="1"/>
  <c r="AC66" i="19" s="1"/>
  <c r="AC30" i="19" s="1"/>
  <c r="AD109" i="19"/>
  <c r="AB33" i="18"/>
  <c r="AB43" i="18"/>
  <c r="AB59" i="10"/>
  <c r="AB27" i="10"/>
  <c r="S8" i="6" s="1"/>
  <c r="AD129" i="16"/>
  <c r="AD210" i="16"/>
  <c r="R18" i="1"/>
  <c r="R34" i="1" s="1"/>
  <c r="AA395" i="10"/>
  <c r="AB536" i="10"/>
  <c r="AB510" i="10" s="1"/>
  <c r="AD22" i="18"/>
  <c r="AC129" i="16"/>
  <c r="AC210" i="16"/>
  <c r="AB77" i="17"/>
  <c r="S16" i="6" s="1"/>
  <c r="AB132" i="17"/>
  <c r="AB131" i="17" s="1"/>
  <c r="AB123" i="17"/>
  <c r="AB122" i="17" s="1"/>
  <c r="AB129" i="17"/>
  <c r="AB128" i="17" s="1"/>
  <c r="AB120" i="17"/>
  <c r="AB119" i="17" s="1"/>
  <c r="AB135" i="17"/>
  <c r="AB134" i="17" s="1"/>
  <c r="AB126" i="17"/>
  <c r="AB125" i="17" s="1"/>
  <c r="AB117" i="17"/>
  <c r="AB116" i="17" s="1"/>
  <c r="AD86" i="17"/>
  <c r="AD85" i="17" s="1"/>
  <c r="AD37" i="17"/>
  <c r="AD36" i="17" s="1"/>
  <c r="AA46" i="17"/>
  <c r="AA20" i="17" s="1"/>
  <c r="AA6" i="17" s="1"/>
  <c r="AA38" i="10"/>
  <c r="AA32" i="10" s="1"/>
  <c r="AA8" i="10" s="1"/>
  <c r="AA87" i="10"/>
  <c r="AB69" i="10"/>
  <c r="AB29" i="10"/>
  <c r="S10" i="6" s="1"/>
  <c r="AD91" i="19"/>
  <c r="AC91" i="19"/>
  <c r="AC87" i="19" s="1"/>
  <c r="AC63" i="19" s="1"/>
  <c r="AC27" i="19" s="1"/>
  <c r="AA26" i="18"/>
  <c r="AA20" i="18" s="1"/>
  <c r="AA6" i="18" s="1"/>
  <c r="AA27" i="18"/>
  <c r="P10" i="2"/>
  <c r="Q11" i="2"/>
  <c r="P14" i="15"/>
  <c r="P15" i="15" s="1"/>
  <c r="P12" i="15"/>
  <c r="AD97" i="19"/>
  <c r="AC97" i="19"/>
  <c r="AC93" i="19" s="1"/>
  <c r="AC64" i="19" s="1"/>
  <c r="AC28" i="19" s="1"/>
  <c r="AC48" i="11"/>
  <c r="AC14" i="10"/>
  <c r="AC39" i="11"/>
  <c r="AC38" i="11" s="1"/>
  <c r="AC37" i="11" s="1"/>
  <c r="Y6" i="10"/>
  <c r="Y18" i="11" s="1"/>
  <c r="P35" i="5"/>
  <c r="AD33" i="10"/>
  <c r="AD116" i="10"/>
  <c r="AD118" i="10"/>
  <c r="AD114" i="10"/>
  <c r="AC140" i="10"/>
  <c r="AC136" i="10" s="1"/>
  <c r="AC42" i="10" s="1"/>
  <c r="AE305" i="9"/>
  <c r="AD140" i="10" s="1"/>
  <c r="AD136" i="10" s="1"/>
  <c r="AD42" i="10" s="1"/>
  <c r="AA64" i="10"/>
  <c r="AA28" i="10"/>
  <c r="R9" i="6" s="1"/>
  <c r="AD82" i="17"/>
  <c r="AD81" i="17" s="1"/>
  <c r="AD32" i="17"/>
  <c r="AD31" i="17" s="1"/>
  <c r="AB20" i="11"/>
  <c r="AA146" i="16"/>
  <c r="AA145" i="16" s="1"/>
  <c r="AA7" i="16" s="1"/>
  <c r="R60" i="5" s="1"/>
  <c r="R148" i="5"/>
  <c r="Y11" i="15"/>
  <c r="Y9" i="15"/>
  <c r="P10" i="5"/>
  <c r="P10" i="1" s="1"/>
  <c r="P105" i="5"/>
  <c r="AA93" i="17"/>
  <c r="AA72" i="17" s="1"/>
  <c r="AC168" i="10"/>
  <c r="AC167" i="10" s="1"/>
  <c r="AC10" i="10" s="1"/>
  <c r="T36" i="5" s="1"/>
  <c r="T11" i="5" s="1"/>
  <c r="T11" i="1" s="1"/>
  <c r="AC175" i="10"/>
  <c r="R9" i="5"/>
  <c r="AA107" i="15"/>
  <c r="AA73" i="15" s="1"/>
  <c r="AA7" i="15" s="1"/>
  <c r="Z20" i="16"/>
  <c r="Z6" i="16" s="1"/>
  <c r="Q12" i="6"/>
  <c r="Q6" i="6" s="1"/>
  <c r="AB54" i="10"/>
  <c r="AB26" i="10"/>
  <c r="S7" i="6"/>
  <c r="AC130" i="10"/>
  <c r="AC126" i="10" s="1"/>
  <c r="AE303" i="9"/>
  <c r="AD130" i="10" s="1"/>
  <c r="AD126" i="10" s="1"/>
  <c r="AC33" i="10"/>
  <c r="AC114" i="10"/>
  <c r="AC116" i="10"/>
  <c r="AC118" i="10"/>
  <c r="AC86" i="17"/>
  <c r="AC85" i="17" s="1"/>
  <c r="AC37" i="17"/>
  <c r="AC36" i="17" s="1"/>
  <c r="AD179" i="17"/>
  <c r="AD178" i="17" s="1"/>
  <c r="AD177" i="17" s="1"/>
  <c r="AD161" i="17" s="1"/>
  <c r="AD159" i="17" s="1"/>
  <c r="AD10" i="17" s="1"/>
  <c r="U129" i="5" s="1"/>
  <c r="AD78" i="17"/>
  <c r="AD56" i="17"/>
  <c r="AD55" i="17" s="1"/>
  <c r="AD27" i="17"/>
  <c r="AD26" i="17" s="1"/>
  <c r="AB40" i="18"/>
  <c r="AB34" i="18" s="1"/>
  <c r="AB93" i="18"/>
  <c r="AA26" i="16"/>
  <c r="AA20" i="16" s="1"/>
  <c r="AA6" i="16" s="1"/>
  <c r="AA27" i="16"/>
  <c r="AB209" i="16"/>
  <c r="AB183" i="16" s="1"/>
  <c r="AB182" i="16" s="1"/>
  <c r="AB461" i="10"/>
  <c r="AB460" i="10" s="1"/>
  <c r="AB434" i="10" s="1"/>
  <c r="AD537" i="10"/>
  <c r="AD539" i="10"/>
  <c r="AD541" i="10"/>
  <c r="AD543" i="10"/>
  <c r="R139" i="11"/>
  <c r="R9" i="11"/>
  <c r="AA35" i="11"/>
  <c r="AA34" i="11" s="1"/>
  <c r="AA27" i="11"/>
  <c r="AC129" i="18"/>
  <c r="AC206" i="18"/>
  <c r="AC205" i="18" s="1"/>
  <c r="AC179" i="18" s="1"/>
  <c r="Y248" i="16"/>
  <c r="Y8" i="16"/>
  <c r="P59" i="5"/>
  <c r="AC82" i="17"/>
  <c r="AC81" i="17" s="1"/>
  <c r="AC32" i="17"/>
  <c r="AC31" i="17" s="1"/>
  <c r="AB40" i="10"/>
  <c r="AB61" i="19"/>
  <c r="AB60" i="19" s="1"/>
  <c r="AB59" i="19" s="1"/>
  <c r="AB26" i="19"/>
  <c r="AB25" i="19" s="1"/>
  <c r="AD174" i="16"/>
  <c r="AD79" i="16"/>
  <c r="AD35" i="10"/>
  <c r="P86" i="5"/>
  <c r="P84" i="5"/>
  <c r="AB40" i="16"/>
  <c r="AB34" i="16" s="1"/>
  <c r="AB93" i="16"/>
  <c r="AD129" i="19"/>
  <c r="AC129" i="19"/>
  <c r="AC125" i="19" s="1"/>
  <c r="AD36" i="10"/>
  <c r="Q41" i="5"/>
  <c r="Q15" i="5" s="1"/>
  <c r="AB33" i="16"/>
  <c r="AB43" i="16"/>
  <c r="AB78" i="19"/>
  <c r="AB139" i="15"/>
  <c r="AB129" i="15" s="1"/>
  <c r="AB115" i="15" s="1"/>
  <c r="AB113" i="15" s="1"/>
  <c r="AB10" i="15" s="1"/>
  <c r="S85" i="5" s="1"/>
  <c r="S81" i="5"/>
  <c r="AD21" i="16"/>
  <c r="AC35" i="10"/>
  <c r="AD55" i="10"/>
  <c r="AD34" i="10"/>
  <c r="AC145" i="10"/>
  <c r="AC141" i="10" s="1"/>
  <c r="AC65" i="10" s="1"/>
  <c r="AE306" i="9"/>
  <c r="AD145" i="10" s="1"/>
  <c r="AD141" i="10" s="1"/>
  <c r="AD65" i="10" s="1"/>
  <c r="AD121" i="19"/>
  <c r="AC121" i="19"/>
  <c r="AC117" i="19" s="1"/>
  <c r="AC68" i="19" s="1"/>
  <c r="AC32" i="19" s="1"/>
  <c r="AB28" i="10" l="1"/>
  <c r="S9" i="6" s="1"/>
  <c r="AA21" i="11"/>
  <c r="AA129" i="11"/>
  <c r="AA28" i="11" s="1"/>
  <c r="AA26" i="11" s="1"/>
  <c r="Y11" i="18"/>
  <c r="Y12" i="18" s="1"/>
  <c r="U18" i="6"/>
  <c r="AB81" i="11"/>
  <c r="AB80" i="11" s="1"/>
  <c r="AB74" i="11" s="1"/>
  <c r="AB27" i="11" s="1"/>
  <c r="AC82" i="11"/>
  <c r="AC81" i="11" s="1"/>
  <c r="AC80" i="11" s="1"/>
  <c r="AC74" i="11" s="1"/>
  <c r="AD44" i="11"/>
  <c r="AD43" i="11" s="1"/>
  <c r="AD42" i="11" s="1"/>
  <c r="AD36" i="11" s="1"/>
  <c r="AD60" i="10"/>
  <c r="AD28" i="10" s="1"/>
  <c r="U9" i="6" s="1"/>
  <c r="R12" i="6"/>
  <c r="R6" i="6" s="1"/>
  <c r="Y33" i="11"/>
  <c r="R15" i="7"/>
  <c r="AD145" i="18"/>
  <c r="AD7" i="18" s="1"/>
  <c r="U104" i="5" s="1"/>
  <c r="R10" i="3"/>
  <c r="R31" i="6"/>
  <c r="AC145" i="18"/>
  <c r="AC7" i="18" s="1"/>
  <c r="T104" i="5" s="1"/>
  <c r="AA45" i="10"/>
  <c r="AA39" i="10" s="1"/>
  <c r="AA9" i="10" s="1"/>
  <c r="AA7" i="10" s="1"/>
  <c r="AA125" i="10"/>
  <c r="R9" i="1"/>
  <c r="S82" i="5"/>
  <c r="S83" i="5" s="1"/>
  <c r="AB8" i="15"/>
  <c r="AD29" i="10"/>
  <c r="U10" i="6" s="1"/>
  <c r="AD69" i="10"/>
  <c r="AC29" i="10"/>
  <c r="T10" i="6" s="1"/>
  <c r="AC69" i="10"/>
  <c r="AA65" i="17"/>
  <c r="AA64" i="17" s="1"/>
  <c r="AA7" i="17" s="1"/>
  <c r="R126" i="5" s="1"/>
  <c r="R52" i="14" s="1"/>
  <c r="R24" i="14" s="1"/>
  <c r="R50" i="14"/>
  <c r="R82" i="5"/>
  <c r="R83" i="5" s="1"/>
  <c r="AA8" i="15"/>
  <c r="AC40" i="10"/>
  <c r="S9" i="5"/>
  <c r="S9" i="1" s="1"/>
  <c r="AB24" i="19"/>
  <c r="AB140" i="17"/>
  <c r="P108" i="5"/>
  <c r="P106" i="5"/>
  <c r="AA11" i="10"/>
  <c r="R37" i="5" s="1"/>
  <c r="R147" i="5"/>
  <c r="R149" i="5" s="1"/>
  <c r="AB85" i="11"/>
  <c r="AB89" i="11"/>
  <c r="AB88" i="11" s="1"/>
  <c r="AB29" i="11" s="1"/>
  <c r="I130" i="19"/>
  <c r="AD135" i="17"/>
  <c r="AD134" i="17" s="1"/>
  <c r="AD132" i="17"/>
  <c r="AD131" i="17" s="1"/>
  <c r="AD129" i="17"/>
  <c r="AD128" i="17" s="1"/>
  <c r="AD126" i="17"/>
  <c r="AD125" i="17" s="1"/>
  <c r="AD123" i="17"/>
  <c r="AD122" i="17" s="1"/>
  <c r="AD120" i="17"/>
  <c r="AD119" i="17" s="1"/>
  <c r="AD117" i="17"/>
  <c r="AD116" i="17" s="1"/>
  <c r="AD77" i="17"/>
  <c r="AC37" i="12"/>
  <c r="AC36" i="12" s="1"/>
  <c r="AC32" i="12"/>
  <c r="AC31" i="12" s="1"/>
  <c r="AC29" i="12"/>
  <c r="AC28" i="12" s="1"/>
  <c r="I92" i="19"/>
  <c r="I110" i="19"/>
  <c r="AC47" i="17"/>
  <c r="AC51" i="17"/>
  <c r="AC97" i="17" s="1"/>
  <c r="AC49" i="17"/>
  <c r="AC95" i="17" s="1"/>
  <c r="AC53" i="17"/>
  <c r="AC33" i="18"/>
  <c r="AC43" i="18"/>
  <c r="AC173" i="16"/>
  <c r="AC147" i="16" s="1"/>
  <c r="AC423" i="10"/>
  <c r="AC422" i="10" s="1"/>
  <c r="AC396" i="10" s="1"/>
  <c r="AD33" i="16"/>
  <c r="AD43" i="16"/>
  <c r="AC113" i="10"/>
  <c r="Y42" i="12"/>
  <c r="Y40" i="12"/>
  <c r="Y50" i="12"/>
  <c r="Y16" i="12"/>
  <c r="Y27" i="12"/>
  <c r="Y168" i="11"/>
  <c r="Y151" i="11"/>
  <c r="Y7" i="12"/>
  <c r="R125" i="5"/>
  <c r="AD40" i="16"/>
  <c r="AD34" i="16" s="1"/>
  <c r="AD93" i="16"/>
  <c r="AA49" i="10"/>
  <c r="AA48" i="10" s="1"/>
  <c r="AC124" i="19"/>
  <c r="AC123" i="19" s="1"/>
  <c r="AC73" i="19"/>
  <c r="AD113" i="10"/>
  <c r="AC60" i="10"/>
  <c r="Q10" i="7"/>
  <c r="Q15" i="1"/>
  <c r="Q29" i="1" s="1"/>
  <c r="AC40" i="18"/>
  <c r="AC34" i="18" s="1"/>
  <c r="AC93" i="18"/>
  <c r="AD536" i="10"/>
  <c r="AD510" i="10" s="1"/>
  <c r="AA8" i="16"/>
  <c r="R59" i="5"/>
  <c r="AC50" i="10"/>
  <c r="AC44" i="11"/>
  <c r="AC43" i="11" s="1"/>
  <c r="AC42" i="11" s="1"/>
  <c r="AC36" i="11" s="1"/>
  <c r="Q10" i="2"/>
  <c r="AB115" i="17"/>
  <c r="AD100" i="15"/>
  <c r="AD74" i="15" s="1"/>
  <c r="AD499" i="10"/>
  <c r="AD498" i="10" s="1"/>
  <c r="AD472" i="10" s="1"/>
  <c r="AB93" i="17"/>
  <c r="AB72" i="17" s="1"/>
  <c r="AC536" i="10"/>
  <c r="AC510" i="10" s="1"/>
  <c r="AD37" i="12"/>
  <c r="AD36" i="12" s="1"/>
  <c r="AD32" i="12"/>
  <c r="AD31" i="12" s="1"/>
  <c r="AD29" i="12"/>
  <c r="AD28" i="12" s="1"/>
  <c r="AD40" i="10"/>
  <c r="Z8" i="16"/>
  <c r="Q59" i="5"/>
  <c r="Z248" i="16"/>
  <c r="AA248" i="16" s="1"/>
  <c r="AB248" i="16" s="1"/>
  <c r="AC248" i="16" s="1"/>
  <c r="AD248" i="16" s="1"/>
  <c r="Y12" i="15"/>
  <c r="Y14" i="15"/>
  <c r="Y15" i="15" s="1"/>
  <c r="AC51" i="11"/>
  <c r="AC50" i="11" s="1"/>
  <c r="AC47" i="11"/>
  <c r="AC209" i="16"/>
  <c r="AC183" i="16" s="1"/>
  <c r="AC182" i="16" s="1"/>
  <c r="AC461" i="10"/>
  <c r="AC460" i="10" s="1"/>
  <c r="AC434" i="10" s="1"/>
  <c r="AD139" i="15"/>
  <c r="AD129" i="15" s="1"/>
  <c r="AD115" i="15" s="1"/>
  <c r="AD113" i="15" s="1"/>
  <c r="AD10" i="15" s="1"/>
  <c r="U85" i="5" s="1"/>
  <c r="U81" i="5"/>
  <c r="I104" i="19"/>
  <c r="AD40" i="18"/>
  <c r="AD34" i="18" s="1"/>
  <c r="AD93" i="18"/>
  <c r="Y14" i="17"/>
  <c r="Y15" i="17" s="1"/>
  <c r="Y12" i="17"/>
  <c r="AC22" i="11"/>
  <c r="T18" i="6"/>
  <c r="AA19" i="11"/>
  <c r="R15" i="6"/>
  <c r="AB77" i="10"/>
  <c r="AB75" i="10"/>
  <c r="AB130" i="11"/>
  <c r="AB151" i="10"/>
  <c r="AD51" i="11"/>
  <c r="AD50" i="11" s="1"/>
  <c r="AD47" i="11"/>
  <c r="AB35" i="11"/>
  <c r="AB34" i="11" s="1"/>
  <c r="I122" i="19"/>
  <c r="AD43" i="10"/>
  <c r="AD152" i="10"/>
  <c r="AD76" i="10" s="1"/>
  <c r="AD154" i="10"/>
  <c r="AD78" i="10" s="1"/>
  <c r="AD156" i="10"/>
  <c r="AD80" i="10" s="1"/>
  <c r="AD173" i="16"/>
  <c r="AD147" i="16" s="1"/>
  <c r="AD423" i="10"/>
  <c r="AD422" i="10" s="1"/>
  <c r="AD396" i="10" s="1"/>
  <c r="Y11" i="16"/>
  <c r="Y9" i="16"/>
  <c r="AD50" i="10"/>
  <c r="AB35" i="12"/>
  <c r="AB34" i="12" s="1"/>
  <c r="AB81" i="10"/>
  <c r="Z8" i="11"/>
  <c r="AB38" i="10"/>
  <c r="AB32" i="10" s="1"/>
  <c r="AB8" i="10" s="1"/>
  <c r="AB87" i="10"/>
  <c r="P141" i="5"/>
  <c r="P142" i="5" s="1"/>
  <c r="P136" i="5"/>
  <c r="P131" i="5"/>
  <c r="T139" i="11"/>
  <c r="T9" i="11"/>
  <c r="T6" i="11" s="1"/>
  <c r="T7" i="11" s="1"/>
  <c r="R22" i="6"/>
  <c r="P61" i="5"/>
  <c r="P8" i="5"/>
  <c r="P8" i="1" s="1"/>
  <c r="AB26" i="18"/>
  <c r="AB20" i="18" s="1"/>
  <c r="AB6" i="18" s="1"/>
  <c r="AB27" i="18"/>
  <c r="P34" i="5"/>
  <c r="P7" i="5"/>
  <c r="P7" i="1" s="1"/>
  <c r="I98" i="19"/>
  <c r="AA240" i="18"/>
  <c r="AA238" i="18"/>
  <c r="AA8" i="18"/>
  <c r="R103" i="5"/>
  <c r="AD209" i="16"/>
  <c r="AD183" i="16" s="1"/>
  <c r="AD182" i="16" s="1"/>
  <c r="AD461" i="10"/>
  <c r="AD460" i="10" s="1"/>
  <c r="AD434" i="10" s="1"/>
  <c r="Q105" i="5"/>
  <c r="Q10" i="1"/>
  <c r="AB46" i="17"/>
  <c r="AB20" i="17" s="1"/>
  <c r="AB6" i="17" s="1"/>
  <c r="AC80" i="19"/>
  <c r="AC79" i="19" s="1"/>
  <c r="AC78" i="19" s="1"/>
  <c r="AC62" i="19"/>
  <c r="Z11" i="15"/>
  <c r="Z9" i="15"/>
  <c r="AB395" i="10"/>
  <c r="AB35" i="19"/>
  <c r="AB141" i="17"/>
  <c r="V142" i="11"/>
  <c r="U140" i="11"/>
  <c r="AC40" i="16"/>
  <c r="AC34" i="16" s="1"/>
  <c r="AC93" i="16"/>
  <c r="AC43" i="10"/>
  <c r="AC152" i="10"/>
  <c r="AC76" i="10" s="1"/>
  <c r="AC154" i="10"/>
  <c r="AC78" i="10" s="1"/>
  <c r="AC156" i="10"/>
  <c r="AC80" i="10" s="1"/>
  <c r="R6" i="11"/>
  <c r="R7" i="11" s="1"/>
  <c r="AB26" i="16"/>
  <c r="AB20" i="16" s="1"/>
  <c r="AB6" i="16" s="1"/>
  <c r="AB27" i="16"/>
  <c r="AB79" i="10"/>
  <c r="AB132" i="11"/>
  <c r="Z11" i="18"/>
  <c r="Z9" i="18"/>
  <c r="AD33" i="18"/>
  <c r="AD43" i="18"/>
  <c r="AC100" i="15"/>
  <c r="AC74" i="15" s="1"/>
  <c r="AC499" i="10"/>
  <c r="AC498" i="10" s="1"/>
  <c r="AC472" i="10" s="1"/>
  <c r="I86" i="19"/>
  <c r="Q84" i="5"/>
  <c r="Q86" i="5"/>
  <c r="AC59" i="10"/>
  <c r="AC27" i="10"/>
  <c r="T8" i="6" s="1"/>
  <c r="AB146" i="16"/>
  <c r="AB145" i="16" s="1"/>
  <c r="AB7" i="16" s="1"/>
  <c r="S60" i="5" s="1"/>
  <c r="S148" i="5"/>
  <c r="Q126" i="5"/>
  <c r="Q127" i="5" s="1"/>
  <c r="Z8" i="17"/>
  <c r="AD59" i="10"/>
  <c r="AD27" i="10"/>
  <c r="U8" i="6" s="1"/>
  <c r="P97" i="5"/>
  <c r="P98" i="5" s="1"/>
  <c r="P92" i="5"/>
  <c r="P87" i="5"/>
  <c r="AD47" i="17"/>
  <c r="AD53" i="17"/>
  <c r="AD49" i="17"/>
  <c r="AD95" i="17" s="1"/>
  <c r="AD51" i="17"/>
  <c r="AD97" i="17" s="1"/>
  <c r="AA25" i="10"/>
  <c r="AA24" i="10" s="1"/>
  <c r="AA22" i="10" s="1"/>
  <c r="AD82" i="11"/>
  <c r="I116" i="19"/>
  <c r="AC135" i="17"/>
  <c r="AC134" i="17" s="1"/>
  <c r="AC132" i="17"/>
  <c r="AC131" i="17" s="1"/>
  <c r="AC129" i="17"/>
  <c r="AC128" i="17" s="1"/>
  <c r="AC126" i="17"/>
  <c r="AC125" i="17" s="1"/>
  <c r="AC123" i="17"/>
  <c r="AC122" i="17" s="1"/>
  <c r="AC120" i="17"/>
  <c r="AC119" i="17" s="1"/>
  <c r="AC117" i="17"/>
  <c r="AC116" i="17" s="1"/>
  <c r="AC77" i="17"/>
  <c r="Z6" i="10"/>
  <c r="Z18" i="11" s="1"/>
  <c r="Q35" i="5"/>
  <c r="AC139" i="15"/>
  <c r="AC129" i="15" s="1"/>
  <c r="AC115" i="15" s="1"/>
  <c r="AC113" i="15" s="1"/>
  <c r="AC10" i="15" s="1"/>
  <c r="T85" i="5" s="1"/>
  <c r="T81" i="5"/>
  <c r="AC33" i="16"/>
  <c r="AC43" i="16"/>
  <c r="O126" i="5"/>
  <c r="O8" i="17"/>
  <c r="AA24" i="11" l="1"/>
  <c r="AA17" i="11" s="1"/>
  <c r="Y14" i="18"/>
  <c r="Y15" i="18" s="1"/>
  <c r="AA32" i="11"/>
  <c r="AA8" i="11" s="1"/>
  <c r="R20" i="6"/>
  <c r="R14" i="6" s="1"/>
  <c r="AC86" i="11"/>
  <c r="AC85" i="11" s="1"/>
  <c r="AC73" i="11" s="1"/>
  <c r="AB129" i="11"/>
  <c r="AB28" i="11" s="1"/>
  <c r="AB26" i="11" s="1"/>
  <c r="AD64" i="10"/>
  <c r="AB73" i="11"/>
  <c r="AB72" i="11" s="1"/>
  <c r="AA8" i="17"/>
  <c r="AA11" i="17" s="1"/>
  <c r="AC93" i="17"/>
  <c r="AC72" i="17" s="1"/>
  <c r="AA231" i="18"/>
  <c r="AA217" i="18" s="1"/>
  <c r="AA215" i="18" s="1"/>
  <c r="AA10" i="18" s="1"/>
  <c r="R107" i="5" s="1"/>
  <c r="AD93" i="17"/>
  <c r="AD72" i="17" s="1"/>
  <c r="AC46" i="17"/>
  <c r="AC20" i="17" s="1"/>
  <c r="AC6" i="17" s="1"/>
  <c r="R127" i="5"/>
  <c r="R130" i="5" s="1"/>
  <c r="AB65" i="17"/>
  <c r="S50" i="14"/>
  <c r="AD35" i="12"/>
  <c r="AD34" i="12" s="1"/>
  <c r="AD81" i="10"/>
  <c r="AD79" i="10"/>
  <c r="AD132" i="11"/>
  <c r="Z40" i="12"/>
  <c r="Z42" i="12"/>
  <c r="AA42" i="12" s="1"/>
  <c r="AB42" i="12" s="1"/>
  <c r="AC42" i="12" s="1"/>
  <c r="AD42" i="12" s="1"/>
  <c r="Z50" i="12"/>
  <c r="Z16" i="12"/>
  <c r="Z27" i="12"/>
  <c r="Z168" i="11"/>
  <c r="Z151" i="11"/>
  <c r="Z7" i="12"/>
  <c r="AB31" i="10"/>
  <c r="AB49" i="10"/>
  <c r="AB48" i="10" s="1"/>
  <c r="R48" i="14"/>
  <c r="R49" i="14"/>
  <c r="AA25" i="11"/>
  <c r="AC26" i="16"/>
  <c r="AC20" i="16" s="1"/>
  <c r="AC6" i="16" s="1"/>
  <c r="AC27" i="16"/>
  <c r="T16" i="6"/>
  <c r="AD26" i="18"/>
  <c r="AD20" i="18" s="1"/>
  <c r="AD6" i="18" s="1"/>
  <c r="AD27" i="18"/>
  <c r="AC115" i="17"/>
  <c r="AD46" i="17"/>
  <c r="AD20" i="17" s="1"/>
  <c r="AD6" i="17" s="1"/>
  <c r="Q87" i="5"/>
  <c r="Q97" i="5"/>
  <c r="Q98" i="5" s="1"/>
  <c r="Q92" i="5"/>
  <c r="U138" i="11"/>
  <c r="R105" i="5"/>
  <c r="R10" i="5"/>
  <c r="R10" i="1" s="1"/>
  <c r="Z33" i="11"/>
  <c r="AD395" i="10"/>
  <c r="AB67" i="17"/>
  <c r="AA9" i="16"/>
  <c r="AC28" i="10"/>
  <c r="T9" i="6" s="1"/>
  <c r="AC64" i="10"/>
  <c r="AC395" i="10"/>
  <c r="W142" i="11"/>
  <c r="V140" i="11"/>
  <c r="V138" i="11" s="1"/>
  <c r="AA9" i="18"/>
  <c r="AD146" i="16"/>
  <c r="AD145" i="16" s="1"/>
  <c r="AD7" i="16" s="1"/>
  <c r="U60" i="5" s="1"/>
  <c r="U148" i="5"/>
  <c r="AA247" i="16"/>
  <c r="AA237" i="16" s="1"/>
  <c r="AA225" i="16" s="1"/>
  <c r="AA223" i="16" s="1"/>
  <c r="AA10" i="16" s="1"/>
  <c r="R63" i="5" s="1"/>
  <c r="AD38" i="10"/>
  <c r="AD32" i="10" s="1"/>
  <c r="AD8" i="10" s="1"/>
  <c r="AD87" i="10"/>
  <c r="AC146" i="16"/>
  <c r="AC145" i="16" s="1"/>
  <c r="AC7" i="16" s="1"/>
  <c r="T60" i="5" s="1"/>
  <c r="T148" i="5"/>
  <c r="S86" i="5"/>
  <c r="S84" i="5"/>
  <c r="T9" i="5"/>
  <c r="T9" i="1" s="1"/>
  <c r="Z11" i="17"/>
  <c r="Z9" i="17"/>
  <c r="Q61" i="5"/>
  <c r="Q8" i="1"/>
  <c r="S125" i="5"/>
  <c r="AB19" i="11"/>
  <c r="S15" i="6"/>
  <c r="AC35" i="11"/>
  <c r="AC34" i="11" s="1"/>
  <c r="AC27" i="11"/>
  <c r="AB240" i="18"/>
  <c r="AB238" i="18"/>
  <c r="AB8" i="18"/>
  <c r="S103" i="5"/>
  <c r="O11" i="17"/>
  <c r="O9" i="17"/>
  <c r="Q128" i="5"/>
  <c r="Q130" i="5"/>
  <c r="Q106" i="5"/>
  <c r="Q108" i="5"/>
  <c r="Z11" i="16"/>
  <c r="Z9" i="16"/>
  <c r="AC72" i="19"/>
  <c r="AC71" i="19" s="1"/>
  <c r="AC37" i="19"/>
  <c r="AC36" i="19" s="1"/>
  <c r="AC77" i="10"/>
  <c r="AC75" i="10"/>
  <c r="AC31" i="10" s="1"/>
  <c r="AC130" i="11"/>
  <c r="Z12" i="18"/>
  <c r="Z14" i="18"/>
  <c r="Z15" i="18" s="1"/>
  <c r="AD86" i="19"/>
  <c r="AD81" i="19" s="1"/>
  <c r="AA9" i="19" a="1"/>
  <c r="AD75" i="10"/>
  <c r="AD31" i="10" s="1"/>
  <c r="AD77" i="10"/>
  <c r="AD130" i="11"/>
  <c r="AD54" i="10"/>
  <c r="AD26" i="10"/>
  <c r="U7" i="6"/>
  <c r="O127" i="5"/>
  <c r="O12" i="5"/>
  <c r="AC151" i="10"/>
  <c r="AB11" i="10"/>
  <c r="S37" i="5" s="1"/>
  <c r="S147" i="5"/>
  <c r="S149" i="5" s="1"/>
  <c r="AD98" i="19"/>
  <c r="AD93" i="19" s="1"/>
  <c r="AD64" i="19" s="1"/>
  <c r="AD28" i="19" s="1"/>
  <c r="AA11" i="19" a="1"/>
  <c r="AA11" i="19" s="1"/>
  <c r="AD151" i="10"/>
  <c r="AB45" i="10"/>
  <c r="AB39" i="10" s="1"/>
  <c r="AB9" i="10" s="1"/>
  <c r="AB7" i="10" s="1"/>
  <c r="AB125" i="10"/>
  <c r="AD104" i="19"/>
  <c r="AD99" i="19" s="1"/>
  <c r="AD65" i="19" s="1"/>
  <c r="AD29" i="19" s="1"/>
  <c r="AA12" i="19" a="1"/>
  <c r="AA12" i="19" s="1"/>
  <c r="AC38" i="10"/>
  <c r="AC32" i="10" s="1"/>
  <c r="AC8" i="10" s="1"/>
  <c r="AC87" i="10"/>
  <c r="AC26" i="18"/>
  <c r="AC20" i="18" s="1"/>
  <c r="AC6" i="18" s="1"/>
  <c r="AC27" i="18"/>
  <c r="AD110" i="19"/>
  <c r="AD105" i="19" s="1"/>
  <c r="AD66" i="19" s="1"/>
  <c r="AD30" i="19" s="1"/>
  <c r="AA13" i="19" a="1"/>
  <c r="AA13" i="19" s="1"/>
  <c r="Q34" i="5"/>
  <c r="Q7" i="5"/>
  <c r="Q7" i="1" s="1"/>
  <c r="AC107" i="15"/>
  <c r="AC73" i="15" s="1"/>
  <c r="AC7" i="15" s="1"/>
  <c r="P64" i="5"/>
  <c r="P62" i="5"/>
  <c r="AC35" i="12"/>
  <c r="AC34" i="12" s="1"/>
  <c r="AC81" i="10"/>
  <c r="U16" i="6"/>
  <c r="P109" i="5"/>
  <c r="P119" i="5"/>
  <c r="P120" i="5" s="1"/>
  <c r="P114" i="5"/>
  <c r="AA9" i="15"/>
  <c r="AA11" i="15"/>
  <c r="AC79" i="10"/>
  <c r="AC132" i="11"/>
  <c r="AD122" i="19"/>
  <c r="AD117" i="19" s="1"/>
  <c r="AD68" i="19" s="1"/>
  <c r="AD32" i="19" s="1"/>
  <c r="AA15" i="19" a="1"/>
  <c r="AA15" i="19" s="1"/>
  <c r="AC54" i="10"/>
  <c r="AC26" i="10"/>
  <c r="T7" i="6"/>
  <c r="AD26" i="16"/>
  <c r="AD20" i="16" s="1"/>
  <c r="AD6" i="16" s="1"/>
  <c r="AD27" i="16"/>
  <c r="AD115" i="17"/>
  <c r="AD130" i="19"/>
  <c r="AD125" i="19" s="1"/>
  <c r="AA20" i="19" a="1"/>
  <c r="AB139" i="17"/>
  <c r="AB68" i="17" s="1"/>
  <c r="R84" i="5"/>
  <c r="R86" i="5"/>
  <c r="AB11" i="15"/>
  <c r="AB9" i="15"/>
  <c r="AD86" i="11"/>
  <c r="AD81" i="11"/>
  <c r="AD80" i="11" s="1"/>
  <c r="AD74" i="11" s="1"/>
  <c r="Z14" i="15"/>
  <c r="Z15" i="15" s="1"/>
  <c r="Z12" i="15"/>
  <c r="U9" i="5"/>
  <c r="U9" i="1" s="1"/>
  <c r="AD116" i="19"/>
  <c r="AD111" i="19" s="1"/>
  <c r="AA14" i="19" a="1"/>
  <c r="AA14" i="19" s="1"/>
  <c r="AB247" i="16"/>
  <c r="AB237" i="16" s="1"/>
  <c r="AB225" i="16" s="1"/>
  <c r="AB223" i="16" s="1"/>
  <c r="AB10" i="16" s="1"/>
  <c r="S63" i="5" s="1"/>
  <c r="AB8" i="16"/>
  <c r="S59" i="5"/>
  <c r="AC61" i="19"/>
  <c r="AC60" i="19" s="1"/>
  <c r="AC59" i="19" s="1"/>
  <c r="AC26" i="19"/>
  <c r="AC25" i="19" s="1"/>
  <c r="AA6" i="10"/>
  <c r="R35" i="5"/>
  <c r="P6" i="5"/>
  <c r="Y14" i="16"/>
  <c r="Y15" i="16" s="1"/>
  <c r="Y12" i="16"/>
  <c r="AD107" i="15"/>
  <c r="AD73" i="15" s="1"/>
  <c r="AD7" i="15" s="1"/>
  <c r="R61" i="5"/>
  <c r="R8" i="5"/>
  <c r="R8" i="1" s="1"/>
  <c r="AD35" i="11"/>
  <c r="AD34" i="11" s="1"/>
  <c r="AD92" i="19"/>
  <c r="AD87" i="19" s="1"/>
  <c r="AD63" i="19" s="1"/>
  <c r="AD27" i="19" s="1"/>
  <c r="AA10" i="19" a="1"/>
  <c r="AA10" i="19" s="1"/>
  <c r="AB23" i="19"/>
  <c r="AB13" i="17" s="1"/>
  <c r="S140" i="5" s="1"/>
  <c r="S26" i="5" s="1"/>
  <c r="AA33" i="11" l="1"/>
  <c r="S20" i="6"/>
  <c r="AC89" i="11"/>
  <c r="AC88" i="11" s="1"/>
  <c r="AC29" i="11" s="1"/>
  <c r="AB24" i="11"/>
  <c r="R128" i="5"/>
  <c r="T125" i="5"/>
  <c r="AA11" i="18"/>
  <c r="AA14" i="18" s="1"/>
  <c r="AA15" i="18" s="1"/>
  <c r="AC25" i="10"/>
  <c r="AC24" i="10" s="1"/>
  <c r="U12" i="6"/>
  <c r="U6" i="6" s="1"/>
  <c r="AC49" i="10"/>
  <c r="AC48" i="10" s="1"/>
  <c r="AC129" i="11"/>
  <c r="AC28" i="11" s="1"/>
  <c r="AC26" i="11" s="1"/>
  <c r="AA9" i="17"/>
  <c r="AB231" i="18"/>
  <c r="AB217" i="18" s="1"/>
  <c r="AB215" i="18" s="1"/>
  <c r="AB10" i="18" s="1"/>
  <c r="S107" i="5" s="1"/>
  <c r="AB6" i="10"/>
  <c r="S35" i="5"/>
  <c r="U82" i="5"/>
  <c r="U83" i="5" s="1"/>
  <c r="AD8" i="15"/>
  <c r="T82" i="5"/>
  <c r="T83" i="5" s="1"/>
  <c r="AC8" i="15"/>
  <c r="AD124" i="19"/>
  <c r="AD73" i="19"/>
  <c r="Z14" i="16"/>
  <c r="Z15" i="16" s="1"/>
  <c r="Z12" i="16"/>
  <c r="P46" i="14"/>
  <c r="Q46" i="14" s="1"/>
  <c r="P6" i="7"/>
  <c r="P6" i="1"/>
  <c r="P25" i="1" s="1"/>
  <c r="AD89" i="11"/>
  <c r="AD88" i="11" s="1"/>
  <c r="AD29" i="11" s="1"/>
  <c r="AD85" i="11"/>
  <c r="AD73" i="11" s="1"/>
  <c r="AB21" i="11"/>
  <c r="S17" i="6"/>
  <c r="AB64" i="17"/>
  <c r="AB7" i="17" s="1"/>
  <c r="AC45" i="10"/>
  <c r="AC39" i="10" s="1"/>
  <c r="AC9" i="10" s="1"/>
  <c r="AC7" i="10" s="1"/>
  <c r="AC125" i="10"/>
  <c r="Q119" i="5"/>
  <c r="Q120" i="5" s="1"/>
  <c r="Q114" i="5"/>
  <c r="Q109" i="5"/>
  <c r="S105" i="5"/>
  <c r="S10" i="5"/>
  <c r="S10" i="1" s="1"/>
  <c r="Q62" i="5"/>
  <c r="Q64" i="5"/>
  <c r="AC11" i="10"/>
  <c r="T37" i="5" s="1"/>
  <c r="T147" i="5"/>
  <c r="T149" i="5" s="1"/>
  <c r="S48" i="14"/>
  <c r="S49" i="14"/>
  <c r="AB25" i="11"/>
  <c r="P93" i="5"/>
  <c r="P94" i="5" s="1"/>
  <c r="P95" i="5" s="1"/>
  <c r="R34" i="5"/>
  <c r="R7" i="5"/>
  <c r="R7" i="1" s="1"/>
  <c r="AB14" i="15"/>
  <c r="AB15" i="15" s="1"/>
  <c r="AB12" i="15"/>
  <c r="AD247" i="16"/>
  <c r="AD237" i="16" s="1"/>
  <c r="AD225" i="16" s="1"/>
  <c r="AD223" i="16" s="1"/>
  <c r="AD10" i="16" s="1"/>
  <c r="U63" i="5" s="1"/>
  <c r="AD8" i="16"/>
  <c r="U59" i="5"/>
  <c r="AD65" i="17"/>
  <c r="U50" i="14"/>
  <c r="V50" i="14" s="1"/>
  <c r="P65" i="5"/>
  <c r="P75" i="5"/>
  <c r="P76" i="5" s="1"/>
  <c r="P70" i="5"/>
  <c r="AC240" i="18"/>
  <c r="AC238" i="18"/>
  <c r="AC8" i="18"/>
  <c r="T103" i="5"/>
  <c r="O12" i="1"/>
  <c r="O13" i="5"/>
  <c r="T12" i="6"/>
  <c r="T6" i="6" s="1"/>
  <c r="AB9" i="18"/>
  <c r="AB32" i="11"/>
  <c r="AD11" i="10"/>
  <c r="U37" i="5" s="1"/>
  <c r="U147" i="5"/>
  <c r="U149" i="5" s="1"/>
  <c r="S12" i="6"/>
  <c r="S6" i="6" s="1"/>
  <c r="AB25" i="10"/>
  <c r="AB24" i="10" s="1"/>
  <c r="AB22" i="10" s="1"/>
  <c r="AA41" i="12"/>
  <c r="AA26" i="12" s="1"/>
  <c r="AA151" i="11"/>
  <c r="AA168" i="11"/>
  <c r="AA50" i="12"/>
  <c r="AA16" i="12"/>
  <c r="R87" i="5"/>
  <c r="R97" i="5"/>
  <c r="R98" i="5" s="1"/>
  <c r="R92" i="5"/>
  <c r="AC65" i="17"/>
  <c r="T50" i="14"/>
  <c r="R62" i="5"/>
  <c r="R64" i="5"/>
  <c r="Q131" i="5"/>
  <c r="Q141" i="5"/>
  <c r="Q142" i="5" s="1"/>
  <c r="Q136" i="5"/>
  <c r="AA9" i="19"/>
  <c r="AA8" i="19" s="1"/>
  <c r="AA7" i="19" s="1"/>
  <c r="AD8" i="19"/>
  <c r="AD7" i="19" s="1"/>
  <c r="AC8" i="19"/>
  <c r="AC7" i="19" s="1"/>
  <c r="AB8" i="19"/>
  <c r="AB7" i="19" s="1"/>
  <c r="U125" i="5"/>
  <c r="AA12" i="15"/>
  <c r="AA14" i="15"/>
  <c r="AA15" i="15" s="1"/>
  <c r="AD45" i="10"/>
  <c r="AD39" i="10" s="1"/>
  <c r="AD9" i="10" s="1"/>
  <c r="AD7" i="10" s="1"/>
  <c r="AD125" i="10"/>
  <c r="AC35" i="19"/>
  <c r="AC141" i="17"/>
  <c r="Z14" i="17"/>
  <c r="Z15" i="17" s="1"/>
  <c r="Z12" i="17"/>
  <c r="AD80" i="19"/>
  <c r="AD79" i="19" s="1"/>
  <c r="AD78" i="19" s="1"/>
  <c r="AD62" i="19"/>
  <c r="R106" i="5"/>
  <c r="R108" i="5"/>
  <c r="AC247" i="16"/>
  <c r="AC237" i="16" s="1"/>
  <c r="AC225" i="16" s="1"/>
  <c r="AC223" i="16" s="1"/>
  <c r="AC10" i="16" s="1"/>
  <c r="T63" i="5" s="1"/>
  <c r="AC8" i="16"/>
  <c r="T59" i="5"/>
  <c r="O128" i="5"/>
  <c r="O130" i="5"/>
  <c r="AC24" i="19"/>
  <c r="AC23" i="19" s="1"/>
  <c r="AC13" i="17" s="1"/>
  <c r="T140" i="5" s="1"/>
  <c r="T26" i="5" s="1"/>
  <c r="AC140" i="17"/>
  <c r="AA18" i="11"/>
  <c r="S15" i="7"/>
  <c r="S31" i="6"/>
  <c r="S10" i="3"/>
  <c r="S18" i="1"/>
  <c r="S34" i="1" s="1"/>
  <c r="R131" i="5"/>
  <c r="R141" i="5"/>
  <c r="R142" i="5" s="1"/>
  <c r="R136" i="5"/>
  <c r="AA11" i="16"/>
  <c r="AC67" i="17"/>
  <c r="S61" i="5"/>
  <c r="S8" i="5"/>
  <c r="S8" i="1" s="1"/>
  <c r="AA20" i="19"/>
  <c r="AA19" i="19" s="1"/>
  <c r="AA18" i="19" s="1"/>
  <c r="AD19" i="19"/>
  <c r="AD18" i="19" s="1"/>
  <c r="AC19" i="19"/>
  <c r="AC18" i="19" s="1"/>
  <c r="AB19" i="19"/>
  <c r="AB18" i="19" s="1"/>
  <c r="Q6" i="5"/>
  <c r="AD25" i="10"/>
  <c r="AD24" i="10" s="1"/>
  <c r="O14" i="17"/>
  <c r="O15" i="17" s="1"/>
  <c r="O12" i="17"/>
  <c r="V139" i="11"/>
  <c r="V9" i="11"/>
  <c r="V6" i="11" s="1"/>
  <c r="V7" i="11" s="1"/>
  <c r="S22" i="6"/>
  <c r="AC19" i="11"/>
  <c r="T15" i="6"/>
  <c r="AA14" i="17"/>
  <c r="AA15" i="17" s="1"/>
  <c r="AA12" i="17"/>
  <c r="X142" i="11"/>
  <c r="X140" i="11" s="1"/>
  <c r="X138" i="11" s="1"/>
  <c r="W140" i="11"/>
  <c r="W138" i="11" s="1"/>
  <c r="U139" i="11"/>
  <c r="U9" i="11"/>
  <c r="S97" i="5"/>
  <c r="S98" i="5" s="1"/>
  <c r="S92" i="5"/>
  <c r="S87" i="5"/>
  <c r="AB11" i="16"/>
  <c r="AB9" i="16"/>
  <c r="AD49" i="10"/>
  <c r="AD48" i="10" s="1"/>
  <c r="AD27" i="11"/>
  <c r="AD67" i="17"/>
  <c r="AD19" i="11"/>
  <c r="U15" i="6"/>
  <c r="AD129" i="11"/>
  <c r="AD240" i="18"/>
  <c r="AD238" i="18"/>
  <c r="AD8" i="18"/>
  <c r="U103" i="5"/>
  <c r="AB17" i="11" l="1"/>
  <c r="AB18" i="11" s="1"/>
  <c r="AC72" i="11"/>
  <c r="AC32" i="11" s="1"/>
  <c r="AC8" i="11" s="1"/>
  <c r="AD72" i="11"/>
  <c r="AD21" i="11" s="1"/>
  <c r="AC24" i="11"/>
  <c r="T20" i="6"/>
  <c r="AA12" i="18"/>
  <c r="AD22" i="10"/>
  <c r="AD231" i="18"/>
  <c r="AD217" i="18" s="1"/>
  <c r="AD215" i="18" s="1"/>
  <c r="AD10" i="18" s="1"/>
  <c r="U107" i="5" s="1"/>
  <c r="AB11" i="18"/>
  <c r="AB12" i="18" s="1"/>
  <c r="Q94" i="5"/>
  <c r="Q95" i="5" s="1"/>
  <c r="AC22" i="10"/>
  <c r="S14" i="6"/>
  <c r="AD9" i="18"/>
  <c r="P115" i="5"/>
  <c r="P116" i="5" s="1"/>
  <c r="P117" i="5" s="1"/>
  <c r="AC6" i="10"/>
  <c r="T35" i="5"/>
  <c r="R6" i="5"/>
  <c r="Q6" i="7"/>
  <c r="Q6" i="1"/>
  <c r="Q25" i="1" s="1"/>
  <c r="X9" i="11"/>
  <c r="X6" i="11" s="1"/>
  <c r="X7" i="11" s="1"/>
  <c r="X139" i="11"/>
  <c r="O141" i="5"/>
  <c r="O142" i="5" s="1"/>
  <c r="O131" i="5"/>
  <c r="AD6" i="19"/>
  <c r="AB33" i="11"/>
  <c r="AB8" i="11"/>
  <c r="AC231" i="18"/>
  <c r="AC217" i="18" s="1"/>
  <c r="AC215" i="18" s="1"/>
  <c r="AC10" i="18" s="1"/>
  <c r="T107" i="5" s="1"/>
  <c r="AD11" i="16"/>
  <c r="AD9" i="16"/>
  <c r="O16" i="5"/>
  <c r="O13" i="1"/>
  <c r="O14" i="5"/>
  <c r="O14" i="1" s="1"/>
  <c r="R119" i="5"/>
  <c r="R120" i="5" s="1"/>
  <c r="R114" i="5"/>
  <c r="R109" i="5"/>
  <c r="Y140" i="11"/>
  <c r="AB14" i="16"/>
  <c r="AB15" i="16" s="1"/>
  <c r="AB12" i="16"/>
  <c r="AD61" i="19"/>
  <c r="AD60" i="19" s="1"/>
  <c r="AD59" i="19" s="1"/>
  <c r="AD26" i="19"/>
  <c r="AD25" i="19" s="1"/>
  <c r="AA6" i="19"/>
  <c r="AC11" i="15"/>
  <c r="AC9" i="15"/>
  <c r="S34" i="5"/>
  <c r="S7" i="5"/>
  <c r="AD24" i="11"/>
  <c r="U20" i="6"/>
  <c r="T15" i="7"/>
  <c r="T18" i="1"/>
  <c r="T34" i="1" s="1"/>
  <c r="T31" i="6"/>
  <c r="T10" i="3"/>
  <c r="AC9" i="18"/>
  <c r="AA14" i="16"/>
  <c r="AA15" i="16" s="1"/>
  <c r="AA12" i="16"/>
  <c r="T61" i="5"/>
  <c r="T8" i="5"/>
  <c r="T8" i="1" s="1"/>
  <c r="P137" i="5"/>
  <c r="P138" i="5" s="1"/>
  <c r="P139" i="5" s="1"/>
  <c r="AA9" i="12"/>
  <c r="AA27" i="12"/>
  <c r="S106" i="5"/>
  <c r="S108" i="5"/>
  <c r="S126" i="5"/>
  <c r="AB8" i="17"/>
  <c r="T86" i="5"/>
  <c r="T84" i="5"/>
  <c r="U105" i="5"/>
  <c r="U10" i="5"/>
  <c r="U10" i="1" s="1"/>
  <c r="S94" i="5"/>
  <c r="S95" i="5" s="1"/>
  <c r="T48" i="14"/>
  <c r="T49" i="14"/>
  <c r="AC25" i="11"/>
  <c r="R138" i="5"/>
  <c r="R139" i="5" s="1"/>
  <c r="AC11" i="16"/>
  <c r="AC9" i="16"/>
  <c r="R94" i="5"/>
  <c r="R95" i="5" s="1"/>
  <c r="AD6" i="10"/>
  <c r="U35" i="5"/>
  <c r="AD11" i="15"/>
  <c r="AD9" i="15"/>
  <c r="U84" i="5"/>
  <c r="U86" i="5"/>
  <c r="Q33" i="14"/>
  <c r="P33" i="14" s="1"/>
  <c r="Q9" i="14"/>
  <c r="Q43" i="14"/>
  <c r="P43" i="14" s="1"/>
  <c r="AC139" i="17"/>
  <c r="AB6" i="19"/>
  <c r="R75" i="5"/>
  <c r="R76" i="5" s="1"/>
  <c r="R70" i="5"/>
  <c r="R65" i="5"/>
  <c r="T105" i="5"/>
  <c r="T10" i="5"/>
  <c r="T10" i="1" s="1"/>
  <c r="Q65" i="5"/>
  <c r="Q75" i="5"/>
  <c r="Q76" i="5" s="1"/>
  <c r="Q70" i="5"/>
  <c r="AB41" i="12"/>
  <c r="AB26" i="12" s="1"/>
  <c r="AB151" i="11"/>
  <c r="AB168" i="11"/>
  <c r="AB50" i="12"/>
  <c r="AB16" i="12"/>
  <c r="U6" i="11"/>
  <c r="U7" i="11" s="1"/>
  <c r="W139" i="11"/>
  <c r="W9" i="11"/>
  <c r="W6" i="11" s="1"/>
  <c r="W7" i="11" s="1"/>
  <c r="S62" i="5"/>
  <c r="S64" i="5"/>
  <c r="AC6" i="19"/>
  <c r="U61" i="5"/>
  <c r="U8" i="5"/>
  <c r="U8" i="1" s="1"/>
  <c r="AD28" i="11"/>
  <c r="AD26" i="11" s="1"/>
  <c r="AD72" i="19"/>
  <c r="AD71" i="19" s="1"/>
  <c r="AD37" i="19"/>
  <c r="AD36" i="19" s="1"/>
  <c r="T17" i="6" l="1"/>
  <c r="T14" i="6" s="1"/>
  <c r="AC21" i="11"/>
  <c r="AC17" i="11" s="1"/>
  <c r="AC18" i="11" s="1"/>
  <c r="U17" i="6"/>
  <c r="U14" i="6" s="1"/>
  <c r="AD32" i="11"/>
  <c r="AD33" i="11" s="1"/>
  <c r="AC33" i="11"/>
  <c r="AD11" i="18"/>
  <c r="AD14" i="18" s="1"/>
  <c r="AD15" i="18" s="1"/>
  <c r="AB14" i="18"/>
  <c r="AB15" i="18" s="1"/>
  <c r="AD17" i="11"/>
  <c r="AD18" i="11" s="1"/>
  <c r="S7" i="1"/>
  <c r="AC11" i="18"/>
  <c r="U49" i="14"/>
  <c r="V49" i="14" s="1"/>
  <c r="U48" i="14"/>
  <c r="V48" i="14" s="1"/>
  <c r="AD25" i="11"/>
  <c r="AD41" i="12"/>
  <c r="AD26" i="12" s="1"/>
  <c r="AD151" i="11"/>
  <c r="AD168" i="11"/>
  <c r="AD16" i="12"/>
  <c r="AD50" i="12"/>
  <c r="AD35" i="19"/>
  <c r="AD141" i="17"/>
  <c r="AB27" i="12"/>
  <c r="AB9" i="12"/>
  <c r="R72" i="5"/>
  <c r="R73" i="5" s="1"/>
  <c r="T87" i="5"/>
  <c r="T97" i="5"/>
  <c r="T98" i="5" s="1"/>
  <c r="T92" i="5"/>
  <c r="AC14" i="15"/>
  <c r="AC15" i="15" s="1"/>
  <c r="AC12" i="15"/>
  <c r="Y142" i="11"/>
  <c r="Z140" i="11"/>
  <c r="Y138" i="11"/>
  <c r="AD14" i="16"/>
  <c r="AD15" i="16" s="1"/>
  <c r="AD12" i="16"/>
  <c r="P71" i="5"/>
  <c r="P72" i="5" s="1"/>
  <c r="P73" i="5" s="1"/>
  <c r="U97" i="5"/>
  <c r="U98" i="5" s="1"/>
  <c r="U92" i="5"/>
  <c r="U87" i="5"/>
  <c r="Y9" i="11"/>
  <c r="Y6" i="11" s="1"/>
  <c r="S16" i="7"/>
  <c r="S21" i="3"/>
  <c r="S20" i="3" s="1"/>
  <c r="S35" i="1"/>
  <c r="AB11" i="17"/>
  <c r="AB9" i="17"/>
  <c r="R27" i="6"/>
  <c r="R25" i="6" s="1"/>
  <c r="AA6" i="12"/>
  <c r="R16" i="7"/>
  <c r="R35" i="1"/>
  <c r="R21" i="3"/>
  <c r="R116" i="5"/>
  <c r="R117" i="5" s="1"/>
  <c r="Q116" i="5"/>
  <c r="Q117" i="5" s="1"/>
  <c r="AD24" i="19"/>
  <c r="AD23" i="19" s="1"/>
  <c r="AD13" i="17" s="1"/>
  <c r="U140" i="5" s="1"/>
  <c r="U26" i="5" s="1"/>
  <c r="AD140" i="17"/>
  <c r="AD139" i="17" s="1"/>
  <c r="R46" i="14"/>
  <c r="R6" i="7"/>
  <c r="R6" i="1"/>
  <c r="R25" i="1" s="1"/>
  <c r="AC14" i="16"/>
  <c r="AC15" i="16" s="1"/>
  <c r="AC12" i="16"/>
  <c r="S52" i="14"/>
  <c r="S24" i="14" s="1"/>
  <c r="S127" i="5"/>
  <c r="U62" i="5"/>
  <c r="U64" i="5"/>
  <c r="AD14" i="15"/>
  <c r="AD15" i="15" s="1"/>
  <c r="AD12" i="15"/>
  <c r="S119" i="5"/>
  <c r="S120" i="5" s="1"/>
  <c r="S114" i="5"/>
  <c r="S109" i="5"/>
  <c r="Q138" i="5"/>
  <c r="Q139" i="5" s="1"/>
  <c r="U16" i="7"/>
  <c r="U21" i="3"/>
  <c r="U20" i="3" s="1"/>
  <c r="U35" i="1"/>
  <c r="U106" i="5"/>
  <c r="U108" i="5"/>
  <c r="T34" i="5"/>
  <c r="T7" i="5"/>
  <c r="T7" i="1" s="1"/>
  <c r="AC68" i="17"/>
  <c r="AC64" i="17" s="1"/>
  <c r="AC7" i="17" s="1"/>
  <c r="T22" i="6"/>
  <c r="T21" i="3"/>
  <c r="T20" i="3" s="1"/>
  <c r="T16" i="7"/>
  <c r="T35" i="1"/>
  <c r="S75" i="5"/>
  <c r="S76" i="5" s="1"/>
  <c r="S70" i="5"/>
  <c r="S65" i="5"/>
  <c r="T108" i="5"/>
  <c r="T106" i="5"/>
  <c r="P9" i="14"/>
  <c r="U7" i="5"/>
  <c r="U7" i="1" s="1"/>
  <c r="U34" i="5"/>
  <c r="T62" i="5"/>
  <c r="T64" i="5"/>
  <c r="S6" i="5"/>
  <c r="O27" i="5"/>
  <c r="O17" i="5"/>
  <c r="O17" i="1" s="1"/>
  <c r="O16" i="1"/>
  <c r="O22" i="5"/>
  <c r="O24" i="5" s="1"/>
  <c r="AC41" i="12"/>
  <c r="AC26" i="12" s="1"/>
  <c r="AC151" i="11"/>
  <c r="AC168" i="11"/>
  <c r="AC50" i="12"/>
  <c r="AC16" i="12"/>
  <c r="AD8" i="11" l="1"/>
  <c r="AD12" i="18"/>
  <c r="AC12" i="18"/>
  <c r="AC14" i="18"/>
  <c r="AC15" i="18" s="1"/>
  <c r="O19" i="1"/>
  <c r="O28" i="5"/>
  <c r="O20" i="1" s="1"/>
  <c r="R33" i="14"/>
  <c r="R43" i="14"/>
  <c r="R9" i="14"/>
  <c r="S27" i="6"/>
  <c r="S25" i="6" s="1"/>
  <c r="AB6" i="12"/>
  <c r="S46" i="14"/>
  <c r="S6" i="7"/>
  <c r="S6" i="1"/>
  <c r="S25" i="1" s="1"/>
  <c r="T75" i="5"/>
  <c r="T76" i="5" s="1"/>
  <c r="T70" i="5"/>
  <c r="T65" i="5"/>
  <c r="T126" i="5"/>
  <c r="AC8" i="17"/>
  <c r="AA7" i="12"/>
  <c r="R41" i="5"/>
  <c r="R15" i="5" s="1"/>
  <c r="U6" i="5"/>
  <c r="U75" i="5"/>
  <c r="U76" i="5" s="1"/>
  <c r="U70" i="5"/>
  <c r="U65" i="5"/>
  <c r="AB14" i="17"/>
  <c r="AB15" i="17" s="1"/>
  <c r="AB12" i="17"/>
  <c r="U94" i="5"/>
  <c r="U95" i="5" s="1"/>
  <c r="Y139" i="11"/>
  <c r="P21" i="6"/>
  <c r="P13" i="6" s="1"/>
  <c r="P23" i="6" s="1"/>
  <c r="U31" i="6"/>
  <c r="U15" i="7"/>
  <c r="U18" i="1"/>
  <c r="U34" i="1" s="1"/>
  <c r="U10" i="3"/>
  <c r="AC27" i="12"/>
  <c r="AC9" i="12"/>
  <c r="Y7" i="11"/>
  <c r="P38" i="5"/>
  <c r="Z6" i="11"/>
  <c r="T94" i="5"/>
  <c r="T95" i="5" s="1"/>
  <c r="S72" i="5"/>
  <c r="S73" i="5" s="1"/>
  <c r="O25" i="5"/>
  <c r="O7" i="4"/>
  <c r="O9" i="4" s="1"/>
  <c r="O7" i="3"/>
  <c r="T6" i="5"/>
  <c r="R20" i="3"/>
  <c r="R11" i="2"/>
  <c r="Z142" i="11"/>
  <c r="AA142" i="11" s="1"/>
  <c r="Z138" i="11"/>
  <c r="U109" i="5"/>
  <c r="U119" i="5"/>
  <c r="U120" i="5" s="1"/>
  <c r="U114" i="5"/>
  <c r="Q72" i="5"/>
  <c r="Q73" i="5" s="1"/>
  <c r="AD9" i="12"/>
  <c r="AD27" i="12"/>
  <c r="S116" i="5"/>
  <c r="S117" i="5" s="1"/>
  <c r="S130" i="5"/>
  <c r="S128" i="5"/>
  <c r="AD68" i="17"/>
  <c r="AD64" i="17" s="1"/>
  <c r="AD7" i="17" s="1"/>
  <c r="U22" i="6"/>
  <c r="T119" i="5"/>
  <c r="T120" i="5" s="1"/>
  <c r="T114" i="5"/>
  <c r="T109" i="5"/>
  <c r="H54" i="7" l="1" a="1"/>
  <c r="H54" i="7" s="1"/>
  <c r="U126" i="5"/>
  <c r="AD8" i="17"/>
  <c r="R53" i="14"/>
  <c r="R10" i="7"/>
  <c r="R15" i="1"/>
  <c r="R29" i="1" s="1"/>
  <c r="T46" i="14"/>
  <c r="T6" i="7"/>
  <c r="T6" i="1"/>
  <c r="T25" i="1" s="1"/>
  <c r="Z139" i="11"/>
  <c r="Z9" i="11"/>
  <c r="Q21" i="6"/>
  <c r="Z7" i="11"/>
  <c r="Q38" i="5"/>
  <c r="AC11" i="17"/>
  <c r="AC9" i="17"/>
  <c r="AB142" i="11"/>
  <c r="AA140" i="11"/>
  <c r="AA138" i="11" s="1"/>
  <c r="P51" i="14"/>
  <c r="Q51" i="14" s="1"/>
  <c r="P12" i="5"/>
  <c r="P39" i="5"/>
  <c r="P24" i="6"/>
  <c r="P29" i="6"/>
  <c r="U72" i="5"/>
  <c r="U73" i="5" s="1"/>
  <c r="U27" i="6"/>
  <c r="U25" i="6" s="1"/>
  <c r="AD6" i="12"/>
  <c r="T27" i="6"/>
  <c r="T25" i="6" s="1"/>
  <c r="AC6" i="12"/>
  <c r="T72" i="5"/>
  <c r="T73" i="5" s="1"/>
  <c r="S33" i="14"/>
  <c r="S43" i="14"/>
  <c r="S9" i="14"/>
  <c r="U116" i="5"/>
  <c r="U117" i="5" s="1"/>
  <c r="S141" i="5"/>
  <c r="S142" i="5" s="1"/>
  <c r="S136" i="5"/>
  <c r="S131" i="5"/>
  <c r="O16" i="3"/>
  <c r="Q9" i="4"/>
  <c r="T52" i="14"/>
  <c r="T24" i="14" s="1"/>
  <c r="T127" i="5"/>
  <c r="T116" i="5"/>
  <c r="T117" i="5" s="1"/>
  <c r="S11" i="2"/>
  <c r="R10" i="2"/>
  <c r="U46" i="14"/>
  <c r="U6" i="7"/>
  <c r="U6" i="1"/>
  <c r="U25" i="1" s="1"/>
  <c r="AB7" i="12"/>
  <c r="S41" i="5"/>
  <c r="S15" i="5" s="1"/>
  <c r="Q13" i="6" l="1"/>
  <c r="V25" i="1"/>
  <c r="V6" i="7"/>
  <c r="T130" i="5"/>
  <c r="T128" i="5"/>
  <c r="AC7" i="12"/>
  <c r="T41" i="5"/>
  <c r="T15" i="5" s="1"/>
  <c r="P40" i="5"/>
  <c r="P42" i="5"/>
  <c r="T33" i="14"/>
  <c r="T43" i="14"/>
  <c r="T9" i="14"/>
  <c r="U43" i="14"/>
  <c r="U9" i="14"/>
  <c r="U33" i="14"/>
  <c r="V46" i="14"/>
  <c r="P47" i="14"/>
  <c r="Q47" i="14" s="1"/>
  <c r="P7" i="7"/>
  <c r="P8" i="7" s="1"/>
  <c r="P12" i="1"/>
  <c r="P26" i="1" s="1"/>
  <c r="P27" i="1" s="1"/>
  <c r="P13" i="5"/>
  <c r="AD7" i="12"/>
  <c r="U41" i="5"/>
  <c r="U15" i="5" s="1"/>
  <c r="S53" i="14"/>
  <c r="S10" i="7"/>
  <c r="S15" i="1"/>
  <c r="S29" i="1" s="1"/>
  <c r="Q16" i="3"/>
  <c r="O8" i="3"/>
  <c r="O6" i="3" s="1"/>
  <c r="O26" i="3" s="1"/>
  <c r="O28" i="3" s="1"/>
  <c r="P27" i="3" s="1"/>
  <c r="AA139" i="11"/>
  <c r="AA9" i="11"/>
  <c r="AA6" i="11" s="1"/>
  <c r="R21" i="6"/>
  <c r="T11" i="2"/>
  <c r="S10" i="2"/>
  <c r="AC142" i="11"/>
  <c r="AB140" i="11"/>
  <c r="AB138" i="11" s="1"/>
  <c r="P30" i="6"/>
  <c r="P32" i="6"/>
  <c r="P33" i="6" s="1"/>
  <c r="AC14" i="17"/>
  <c r="AC15" i="17" s="1"/>
  <c r="AC12" i="17"/>
  <c r="AD11" i="17"/>
  <c r="AD9" i="17"/>
  <c r="S138" i="5"/>
  <c r="S139" i="5" s="1"/>
  <c r="Q12" i="5"/>
  <c r="Q39" i="5"/>
  <c r="U52" i="14"/>
  <c r="U127" i="5"/>
  <c r="R13" i="6" l="1"/>
  <c r="Q23" i="6"/>
  <c r="U128" i="5"/>
  <c r="U130" i="5"/>
  <c r="AD14" i="17"/>
  <c r="AD15" i="17" s="1"/>
  <c r="AD12" i="17"/>
  <c r="P13" i="1"/>
  <c r="P14" i="5"/>
  <c r="P14" i="1" s="1"/>
  <c r="P16" i="5"/>
  <c r="T53" i="14"/>
  <c r="T10" i="7"/>
  <c r="T15" i="1"/>
  <c r="T29" i="1" s="1"/>
  <c r="U53" i="14"/>
  <c r="V53" i="14" s="1"/>
  <c r="U10" i="7"/>
  <c r="V10" i="7" s="1"/>
  <c r="U15" i="1"/>
  <c r="U29" i="1" s="1"/>
  <c r="V29" i="1" s="1"/>
  <c r="U24" i="14"/>
  <c r="V52" i="14"/>
  <c r="V24" i="14" s="1"/>
  <c r="U11" i="2"/>
  <c r="U10" i="2" s="1"/>
  <c r="T10" i="2"/>
  <c r="P30" i="1"/>
  <c r="P28" i="1"/>
  <c r="V33" i="14"/>
  <c r="V9" i="14"/>
  <c r="V43" i="14"/>
  <c r="P11" i="7"/>
  <c r="P9" i="7"/>
  <c r="Q40" i="5"/>
  <c r="Q42" i="5"/>
  <c r="AA7" i="11"/>
  <c r="R38" i="5"/>
  <c r="Q18" i="14"/>
  <c r="P18" i="14" s="1"/>
  <c r="Q15" i="14"/>
  <c r="P15" i="14" s="1"/>
  <c r="Q12" i="14"/>
  <c r="Q40" i="14"/>
  <c r="P40" i="14" s="1"/>
  <c r="Q27" i="14"/>
  <c r="P27" i="14" s="1"/>
  <c r="Q30" i="14"/>
  <c r="P30" i="14" s="1"/>
  <c r="Q37" i="14"/>
  <c r="T131" i="5"/>
  <c r="T141" i="5"/>
  <c r="T142" i="5" s="1"/>
  <c r="T136" i="5"/>
  <c r="Q7" i="7"/>
  <c r="Q8" i="7" s="1"/>
  <c r="Q12" i="1"/>
  <c r="Q26" i="1" s="1"/>
  <c r="Q27" i="1" s="1"/>
  <c r="Q13" i="5"/>
  <c r="AB139" i="11"/>
  <c r="AB9" i="11"/>
  <c r="AB6" i="11" s="1"/>
  <c r="S21" i="6"/>
  <c r="P53" i="5"/>
  <c r="P54" i="5" s="1"/>
  <c r="P48" i="5"/>
  <c r="P43" i="5"/>
  <c r="AD142" i="11"/>
  <c r="AD140" i="11" s="1"/>
  <c r="AD138" i="11" s="1"/>
  <c r="AC140" i="11"/>
  <c r="AC138" i="11" s="1"/>
  <c r="Q29" i="6" l="1"/>
  <c r="Q24" i="6"/>
  <c r="S13" i="6"/>
  <c r="R23" i="6"/>
  <c r="AC139" i="11"/>
  <c r="AC9" i="11"/>
  <c r="AC6" i="11" s="1"/>
  <c r="T21" i="6"/>
  <c r="Q53" i="5"/>
  <c r="Q54" i="5" s="1"/>
  <c r="Q48" i="5"/>
  <c r="Q43" i="5"/>
  <c r="Q28" i="1"/>
  <c r="Q30" i="1"/>
  <c r="Q31" i="1" s="1"/>
  <c r="P27" i="5"/>
  <c r="P17" i="5"/>
  <c r="P17" i="1" s="1"/>
  <c r="P16" i="1"/>
  <c r="P22" i="5"/>
  <c r="AB7" i="11"/>
  <c r="S38" i="5"/>
  <c r="Q9" i="7"/>
  <c r="Q11" i="7"/>
  <c r="Q12" i="7" s="1"/>
  <c r="T138" i="5"/>
  <c r="T139" i="5" s="1"/>
  <c r="P12" i="14"/>
  <c r="P8" i="14" s="1"/>
  <c r="Q8" i="14"/>
  <c r="P12" i="7"/>
  <c r="P31" i="1"/>
  <c r="AD139" i="11"/>
  <c r="AD9" i="11"/>
  <c r="AD6" i="11" s="1"/>
  <c r="U21" i="6"/>
  <c r="R51" i="14"/>
  <c r="R12" i="5"/>
  <c r="R39" i="5"/>
  <c r="U141" i="5"/>
  <c r="U142" i="5" s="1"/>
  <c r="U136" i="5"/>
  <c r="U131" i="5"/>
  <c r="Q13" i="1"/>
  <c r="Q14" i="5"/>
  <c r="Q14" i="1" s="1"/>
  <c r="Q16" i="5"/>
  <c r="Q36" i="14"/>
  <c r="Q15" i="2" s="1"/>
  <c r="Q14" i="2" s="1"/>
  <c r="Q21" i="2" s="1"/>
  <c r="P37" i="14"/>
  <c r="P36" i="14" s="1"/>
  <c r="P15" i="2" s="1"/>
  <c r="P14" i="2" s="1"/>
  <c r="P21" i="2" s="1"/>
  <c r="U13" i="6" l="1"/>
  <c r="R29" i="6"/>
  <c r="R24" i="6"/>
  <c r="S23" i="6"/>
  <c r="T13" i="6"/>
  <c r="Q30" i="6"/>
  <c r="Q32" i="6"/>
  <c r="Q33" i="6" s="1"/>
  <c r="AD7" i="11"/>
  <c r="U38" i="5"/>
  <c r="Q7" i="14"/>
  <c r="Q6" i="14" s="1"/>
  <c r="Q8" i="2"/>
  <c r="P7" i="14"/>
  <c r="P6" i="14" s="1"/>
  <c r="P8" i="2"/>
  <c r="U138" i="5"/>
  <c r="U139" i="5" s="1"/>
  <c r="Q49" i="5"/>
  <c r="Q50" i="5" s="1"/>
  <c r="Q51" i="5" s="1"/>
  <c r="P19" i="1"/>
  <c r="P28" i="5"/>
  <c r="P20" i="1" s="1"/>
  <c r="R40" i="5"/>
  <c r="R42" i="5"/>
  <c r="Q27" i="5"/>
  <c r="Q17" i="5"/>
  <c r="Q16" i="1"/>
  <c r="Q22" i="5"/>
  <c r="H61" i="7"/>
  <c r="R47" i="14"/>
  <c r="R7" i="7"/>
  <c r="R8" i="7" s="1"/>
  <c r="R12" i="1"/>
  <c r="R26" i="1" s="1"/>
  <c r="R27" i="1" s="1"/>
  <c r="R13" i="5"/>
  <c r="AC7" i="11"/>
  <c r="T38" i="5"/>
  <c r="S51" i="14"/>
  <c r="S12" i="5"/>
  <c r="S39" i="5"/>
  <c r="R30" i="6" l="1"/>
  <c r="R32" i="6"/>
  <c r="R33" i="6" s="1"/>
  <c r="T23" i="6"/>
  <c r="S24" i="6"/>
  <c r="S29" i="6"/>
  <c r="U23" i="6"/>
  <c r="R28" i="1"/>
  <c r="R30" i="1"/>
  <c r="I37" i="7"/>
  <c r="Q28" i="5"/>
  <c r="Q20" i="1" s="1"/>
  <c r="Q19" i="1"/>
  <c r="H58" i="1" s="1"/>
  <c r="R9" i="7"/>
  <c r="R11" i="7"/>
  <c r="S47" i="14"/>
  <c r="S12" i="1"/>
  <c r="S26" i="1" s="1"/>
  <c r="S27" i="1" s="1"/>
  <c r="S7" i="7"/>
  <c r="S8" i="7" s="1"/>
  <c r="S13" i="5"/>
  <c r="Q9" i="3"/>
  <c r="S42" i="5"/>
  <c r="S40" i="5"/>
  <c r="T51" i="14"/>
  <c r="T12" i="5"/>
  <c r="T39" i="5"/>
  <c r="R18" i="14"/>
  <c r="R15" i="14"/>
  <c r="R12" i="14"/>
  <c r="R30" i="14"/>
  <c r="R37" i="14"/>
  <c r="R27" i="14"/>
  <c r="R40" i="14"/>
  <c r="P49" i="5"/>
  <c r="P50" i="5" s="1"/>
  <c r="P51" i="5" s="1"/>
  <c r="Q23" i="5"/>
  <c r="Q24" i="5" s="1"/>
  <c r="U51" i="14"/>
  <c r="V51" i="14" s="1"/>
  <c r="U12" i="5"/>
  <c r="U39" i="5"/>
  <c r="R43" i="5"/>
  <c r="R53" i="5"/>
  <c r="R54" i="5" s="1"/>
  <c r="R48" i="5"/>
  <c r="R13" i="1"/>
  <c r="R14" i="5"/>
  <c r="R14" i="1" s="1"/>
  <c r="R16" i="5"/>
  <c r="H64" i="7"/>
  <c r="Q17" i="1"/>
  <c r="P17" i="7"/>
  <c r="P9" i="3"/>
  <c r="P36" i="1"/>
  <c r="R8" i="14" l="1"/>
  <c r="R8" i="2" s="1"/>
  <c r="T29" i="6"/>
  <c r="T24" i="6"/>
  <c r="R36" i="14"/>
  <c r="R15" i="2" s="1"/>
  <c r="R14" i="2" s="1"/>
  <c r="R21" i="2" s="1"/>
  <c r="U29" i="6"/>
  <c r="U24" i="6"/>
  <c r="S32" i="6"/>
  <c r="S33" i="6" s="1"/>
  <c r="S30" i="6"/>
  <c r="R49" i="5"/>
  <c r="R23" i="5" s="1"/>
  <c r="R13" i="3" s="1"/>
  <c r="R19" i="3" s="1"/>
  <c r="T47" i="14"/>
  <c r="T7" i="7"/>
  <c r="T8" i="7" s="1"/>
  <c r="T12" i="1"/>
  <c r="T26" i="1" s="1"/>
  <c r="T27" i="1" s="1"/>
  <c r="T13" i="5"/>
  <c r="S14" i="5"/>
  <c r="S14" i="1" s="1"/>
  <c r="S16" i="5"/>
  <c r="S13" i="1"/>
  <c r="Q7" i="4"/>
  <c r="Q10" i="4" s="1"/>
  <c r="R6" i="4" s="1"/>
  <c r="Q7" i="3"/>
  <c r="Q25" i="5"/>
  <c r="S9" i="7"/>
  <c r="S11" i="7"/>
  <c r="I58" i="1"/>
  <c r="H64" i="1"/>
  <c r="H68" i="1" s="1"/>
  <c r="R75" i="1" s="1"/>
  <c r="H63" i="1"/>
  <c r="H67" i="1" s="1"/>
  <c r="P75" i="1" s="1"/>
  <c r="S28" i="1"/>
  <c r="S30" i="1"/>
  <c r="R27" i="5"/>
  <c r="R17" i="5"/>
  <c r="R17" i="1" s="1"/>
  <c r="R16" i="1"/>
  <c r="R22" i="5"/>
  <c r="U40" i="5"/>
  <c r="U42" i="5"/>
  <c r="S43" i="5"/>
  <c r="S53" i="5"/>
  <c r="S54" i="5" s="1"/>
  <c r="S48" i="5"/>
  <c r="I43" i="7"/>
  <c r="I47" i="7" s="1"/>
  <c r="J37" i="7"/>
  <c r="I42" i="7"/>
  <c r="I46" i="7" s="1"/>
  <c r="U47" i="14"/>
  <c r="U7" i="7"/>
  <c r="U12" i="1"/>
  <c r="U26" i="1" s="1"/>
  <c r="U13" i="5"/>
  <c r="S15" i="14"/>
  <c r="S12" i="14"/>
  <c r="S30" i="14"/>
  <c r="S40" i="14"/>
  <c r="S27" i="14"/>
  <c r="S37" i="14"/>
  <c r="S18" i="14"/>
  <c r="Q13" i="3"/>
  <c r="Q19" i="3" s="1"/>
  <c r="P23" i="5"/>
  <c r="R31" i="1"/>
  <c r="T42" i="5"/>
  <c r="T40" i="5"/>
  <c r="R12" i="7"/>
  <c r="S36" i="14" l="1"/>
  <c r="S15" i="2" s="1"/>
  <c r="S14" i="2" s="1"/>
  <c r="S21" i="2" s="1"/>
  <c r="R24" i="5"/>
  <c r="R7" i="3" s="1"/>
  <c r="R7" i="14"/>
  <c r="R6" i="14" s="1"/>
  <c r="R17" i="7" s="1"/>
  <c r="R50" i="5"/>
  <c r="R51" i="5" s="1"/>
  <c r="U30" i="6"/>
  <c r="U32" i="6"/>
  <c r="U33" i="6" s="1"/>
  <c r="Q75" i="1"/>
  <c r="T32" i="6"/>
  <c r="T33" i="6" s="1"/>
  <c r="T30" i="6"/>
  <c r="Q8" i="3"/>
  <c r="Q6" i="3" s="1"/>
  <c r="Q26" i="3" s="1"/>
  <c r="Q28" i="3" s="1"/>
  <c r="S12" i="7"/>
  <c r="T16" i="5"/>
  <c r="T13" i="1"/>
  <c r="T14" i="5"/>
  <c r="S49" i="5"/>
  <c r="S23" i="5" s="1"/>
  <c r="S13" i="3" s="1"/>
  <c r="S19" i="3" s="1"/>
  <c r="R28" i="5"/>
  <c r="R20" i="1" s="1"/>
  <c r="R19" i="1"/>
  <c r="T28" i="1"/>
  <c r="T30" i="1"/>
  <c r="V7" i="7"/>
  <c r="V8" i="7" s="1"/>
  <c r="U8" i="7"/>
  <c r="T43" i="5"/>
  <c r="T53" i="5"/>
  <c r="T54" i="5" s="1"/>
  <c r="T48" i="5"/>
  <c r="U30" i="14"/>
  <c r="U40" i="14"/>
  <c r="U27" i="14"/>
  <c r="V47" i="14"/>
  <c r="U37" i="14"/>
  <c r="U18" i="14"/>
  <c r="U12" i="14"/>
  <c r="U15" i="14"/>
  <c r="S31" i="1"/>
  <c r="T11" i="7"/>
  <c r="T9" i="7"/>
  <c r="V26" i="1"/>
  <c r="V27" i="1" s="1"/>
  <c r="U27" i="1"/>
  <c r="S8" i="14"/>
  <c r="U43" i="5"/>
  <c r="U53" i="5"/>
  <c r="U54" i="5" s="1"/>
  <c r="U48" i="5"/>
  <c r="T12" i="14"/>
  <c r="T30" i="14"/>
  <c r="T40" i="14"/>
  <c r="T27" i="14"/>
  <c r="T37" i="14"/>
  <c r="T15" i="14"/>
  <c r="T18" i="14"/>
  <c r="J43" i="7"/>
  <c r="J47" i="7" s="1"/>
  <c r="J42" i="7"/>
  <c r="J46" i="7" s="1"/>
  <c r="P13" i="3"/>
  <c r="P24" i="5"/>
  <c r="S17" i="5"/>
  <c r="S17" i="1" s="1"/>
  <c r="S16" i="1"/>
  <c r="S22" i="5"/>
  <c r="S27" i="5"/>
  <c r="U16" i="5"/>
  <c r="U13" i="1"/>
  <c r="U14" i="5"/>
  <c r="U14" i="1" s="1"/>
  <c r="K58" i="1"/>
  <c r="R58" i="1"/>
  <c r="J58" i="1"/>
  <c r="I64" i="1"/>
  <c r="I68" i="1" s="1"/>
  <c r="R76" i="1" s="1"/>
  <c r="Q58" i="1"/>
  <c r="P58" i="1"/>
  <c r="O58" i="1"/>
  <c r="I63" i="1"/>
  <c r="I67" i="1" s="1"/>
  <c r="P76" i="1" s="1"/>
  <c r="N58" i="1"/>
  <c r="M58" i="1"/>
  <c r="L58" i="1"/>
  <c r="R36" i="1" l="1"/>
  <c r="R7" i="4"/>
  <c r="R10" i="4" s="1"/>
  <c r="S6" i="4" s="1"/>
  <c r="R9" i="3"/>
  <c r="R8" i="3" s="1"/>
  <c r="R6" i="3" s="1"/>
  <c r="R26" i="3" s="1"/>
  <c r="S24" i="5"/>
  <c r="S25" i="5" s="1"/>
  <c r="R25" i="5"/>
  <c r="Q76" i="1"/>
  <c r="T14" i="1"/>
  <c r="U36" i="14"/>
  <c r="U15" i="2" s="1"/>
  <c r="U14" i="2" s="1"/>
  <c r="U21" i="2" s="1"/>
  <c r="T8" i="14"/>
  <c r="T8" i="2" s="1"/>
  <c r="T36" i="14"/>
  <c r="T15" i="2" s="1"/>
  <c r="T14" i="2" s="1"/>
  <c r="T21" i="2" s="1"/>
  <c r="T12" i="7"/>
  <c r="M63" i="1"/>
  <c r="M67" i="1" s="1"/>
  <c r="M64" i="1"/>
  <c r="M68" i="1" s="1"/>
  <c r="R64" i="1"/>
  <c r="R68" i="1" s="1"/>
  <c r="R63" i="1"/>
  <c r="R67" i="1" s="1"/>
  <c r="O64" i="1"/>
  <c r="O68" i="1" s="1"/>
  <c r="O63" i="1"/>
  <c r="O67" i="1" s="1"/>
  <c r="V28" i="1"/>
  <c r="V30" i="1"/>
  <c r="Q64" i="1"/>
  <c r="Q68" i="1" s="1"/>
  <c r="Q63" i="1"/>
  <c r="Q67" i="1" s="1"/>
  <c r="P25" i="5"/>
  <c r="P7" i="4"/>
  <c r="P10" i="4" s="1"/>
  <c r="P7" i="3"/>
  <c r="S28" i="5"/>
  <c r="S20" i="1" s="1"/>
  <c r="S19" i="1"/>
  <c r="P19" i="3"/>
  <c r="P8" i="3"/>
  <c r="U49" i="5"/>
  <c r="U23" i="5" s="1"/>
  <c r="U13" i="3" s="1"/>
  <c r="U19" i="3" s="1"/>
  <c r="R27" i="3"/>
  <c r="Q7" i="2"/>
  <c r="Q6" i="2" s="1"/>
  <c r="Q13" i="2" s="1"/>
  <c r="Q22" i="2" s="1"/>
  <c r="U11" i="7"/>
  <c r="U9" i="7"/>
  <c r="T31" i="1"/>
  <c r="V40" i="14"/>
  <c r="V27" i="14"/>
  <c r="V37" i="14"/>
  <c r="V15" i="14"/>
  <c r="V30" i="14"/>
  <c r="V12" i="14"/>
  <c r="V18" i="14"/>
  <c r="V9" i="7"/>
  <c r="V11" i="7"/>
  <c r="T17" i="5"/>
  <c r="T17" i="1" s="1"/>
  <c r="T16" i="1"/>
  <c r="T22" i="5"/>
  <c r="T27" i="5"/>
  <c r="U17" i="5"/>
  <c r="U17" i="1" s="1"/>
  <c r="U16" i="1"/>
  <c r="U22" i="5"/>
  <c r="U27" i="5"/>
  <c r="L63" i="1"/>
  <c r="L67" i="1" s="1"/>
  <c r="L64" i="1"/>
  <c r="L68" i="1" s="1"/>
  <c r="N63" i="1"/>
  <c r="N67" i="1" s="1"/>
  <c r="N64" i="1"/>
  <c r="N68" i="1" s="1"/>
  <c r="K64" i="1"/>
  <c r="K68" i="1" s="1"/>
  <c r="K63" i="1"/>
  <c r="K67" i="1" s="1"/>
  <c r="S7" i="14"/>
  <c r="S6" i="14" s="1"/>
  <c r="S8" i="2"/>
  <c r="T49" i="5"/>
  <c r="T23" i="5" s="1"/>
  <c r="T13" i="3" s="1"/>
  <c r="T19" i="3" s="1"/>
  <c r="S50" i="5"/>
  <c r="S51" i="5" s="1"/>
  <c r="P64" i="1"/>
  <c r="P68" i="1" s="1"/>
  <c r="P63" i="1"/>
  <c r="P67" i="1" s="1"/>
  <c r="J64" i="1"/>
  <c r="J68" i="1" s="1"/>
  <c r="J63" i="1"/>
  <c r="J67" i="1" s="1"/>
  <c r="U28" i="1"/>
  <c r="U30" i="1"/>
  <c r="U8" i="14"/>
  <c r="T7" i="14" l="1"/>
  <c r="T6" i="14" s="1"/>
  <c r="U24" i="5"/>
  <c r="U7" i="3" s="1"/>
  <c r="S7" i="3"/>
  <c r="S7" i="4"/>
  <c r="S10" i="4" s="1"/>
  <c r="T6" i="4" s="1"/>
  <c r="U50" i="5"/>
  <c r="U51" i="5" s="1"/>
  <c r="U31" i="1"/>
  <c r="T24" i="5"/>
  <c r="U12" i="7"/>
  <c r="V36" i="14"/>
  <c r="P6" i="3"/>
  <c r="P26" i="3" s="1"/>
  <c r="P28" i="3" s="1"/>
  <c r="P7" i="2" s="1"/>
  <c r="P6" i="2" s="1"/>
  <c r="P13" i="2" s="1"/>
  <c r="P22" i="2" s="1"/>
  <c r="V31" i="1"/>
  <c r="R28" i="3"/>
  <c r="T50" i="5"/>
  <c r="T51" i="5" s="1"/>
  <c r="V8" i="14"/>
  <c r="V12" i="7"/>
  <c r="U19" i="1"/>
  <c r="U28" i="5"/>
  <c r="U20" i="1" s="1"/>
  <c r="H67" i="7" a="1"/>
  <c r="H67" i="7" s="1"/>
  <c r="U7" i="14"/>
  <c r="U8" i="2"/>
  <c r="S17" i="7"/>
  <c r="S9" i="3"/>
  <c r="S8" i="3" s="1"/>
  <c r="S36" i="1"/>
  <c r="T19" i="1"/>
  <c r="T28" i="5"/>
  <c r="U7" i="4" l="1"/>
  <c r="U6" i="14"/>
  <c r="U17" i="7" s="1"/>
  <c r="S6" i="3"/>
  <c r="S26" i="3" s="1"/>
  <c r="T9" i="3"/>
  <c r="T8" i="3" s="1"/>
  <c r="T36" i="1"/>
  <c r="T17" i="7"/>
  <c r="U25" i="5"/>
  <c r="V7" i="14"/>
  <c r="V6" i="14" s="1"/>
  <c r="T20" i="1"/>
  <c r="R7" i="2"/>
  <c r="R6" i="2" s="1"/>
  <c r="R13" i="2" s="1"/>
  <c r="R22" i="2" s="1"/>
  <c r="S27" i="3"/>
  <c r="T7" i="4"/>
  <c r="T10" i="4" s="1"/>
  <c r="U6" i="4" s="1"/>
  <c r="T7" i="3"/>
  <c r="T25" i="5"/>
  <c r="U9" i="3" l="1"/>
  <c r="U8" i="3" s="1"/>
  <c r="U6" i="3" s="1"/>
  <c r="U26" i="3" s="1"/>
  <c r="U36" i="1"/>
  <c r="U10" i="4"/>
  <c r="T6" i="3"/>
  <c r="T26" i="3" s="1"/>
  <c r="S28" i="3"/>
  <c r="S7" i="2" s="1"/>
  <c r="S6" i="2" s="1"/>
  <c r="S13" i="2" s="1"/>
  <c r="S22" i="2" s="1"/>
  <c r="V17" i="7"/>
  <c r="V36" i="1"/>
  <c r="T27" i="3" l="1"/>
  <c r="T28" i="3" s="1"/>
  <c r="U27" i="3" s="1"/>
  <c r="U28" i="3" s="1"/>
  <c r="U7" i="2" s="1"/>
  <c r="U6" i="2" s="1"/>
  <c r="U13" i="2" s="1"/>
  <c r="U22" i="2" s="1"/>
  <c r="T7" i="2" l="1"/>
  <c r="T6" i="2" s="1"/>
  <c r="T13" i="2" s="1"/>
  <c r="T22" i="2" s="1"/>
  <c r="P14" i="7"/>
  <c r="P18" i="7" s="1"/>
  <c r="P21" i="7" s="1"/>
  <c r="P33" i="1"/>
  <c r="P37" i="1" s="1"/>
  <c r="P40" i="1" s="1"/>
  <c r="S14" i="7" l="1"/>
  <c r="S18" i="7" s="1"/>
  <c r="S21" i="7" s="1"/>
  <c r="S33" i="1"/>
  <c r="S37" i="1" s="1"/>
  <c r="S40" i="1" s="1"/>
  <c r="U14" i="7" l="1"/>
  <c r="U18" i="7" s="1"/>
  <c r="U21" i="7" s="1"/>
  <c r="U33" i="1"/>
  <c r="U37" i="1" s="1"/>
  <c r="U40" i="1" s="1"/>
  <c r="R14" i="7"/>
  <c r="R18" i="7" s="1"/>
  <c r="R21" i="7" s="1"/>
  <c r="R33" i="1"/>
  <c r="R37" i="1" s="1"/>
  <c r="R40" i="1" s="1"/>
  <c r="T14" i="7"/>
  <c r="T18" i="7" s="1"/>
  <c r="T21" i="7" s="1"/>
  <c r="T33" i="1"/>
  <c r="T37" i="1" s="1"/>
  <c r="T40" i="1" s="1"/>
  <c r="V14" i="7" l="1"/>
  <c r="V18" i="7" s="1"/>
  <c r="V21" i="7" s="1"/>
  <c r="P23" i="7" s="1"/>
  <c r="V33" i="1"/>
  <c r="V37" i="1" s="1"/>
  <c r="V40" i="1" s="1"/>
  <c r="P42" i="1" s="1"/>
  <c r="P41" i="1"/>
  <c r="P22" i="7"/>
  <c r="P43" i="1" l="1"/>
  <c r="I49" i="1" s="1"/>
  <c r="I51" i="1" s="1"/>
  <c r="I53" i="1" s="1"/>
  <c r="Q47" i="1" s="1"/>
  <c r="P24" i="7"/>
  <c r="I30" i="7" s="1"/>
  <c r="I32" i="7" s="1"/>
  <c r="I34" i="7" s="1"/>
  <c r="Q28" i="7" l="1"/>
  <c r="H88" i="7"/>
  <c r="H7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Oh, Hyun-Seok (KR/Deal Adv5)</author>
  </authors>
  <commentList>
    <comment ref="O173" authorId="0" shapeId="0" xr:uid="{B6266B9C-E79C-484C-B188-90F3328B0851}">
      <text>
        <r>
          <rPr>
            <b/>
            <sz val="9"/>
            <color indexed="81"/>
            <rFont val="Tahoma"/>
            <family val="2"/>
          </rPr>
          <t xml:space="preserve">1Q </t>
        </r>
        <r>
          <rPr>
            <b/>
            <sz val="9"/>
            <color indexed="81"/>
            <rFont val="돋움"/>
            <family val="3"/>
            <charset val="129"/>
          </rPr>
          <t>실제</t>
        </r>
        <r>
          <rPr>
            <b/>
            <sz val="9"/>
            <color indexed="81"/>
            <rFont val="Tahoma"/>
            <family val="2"/>
          </rPr>
          <t xml:space="preserve"> </t>
        </r>
        <r>
          <rPr>
            <b/>
            <sz val="9"/>
            <color indexed="81"/>
            <rFont val="돋움"/>
            <family val="3"/>
            <charset val="129"/>
          </rPr>
          <t>배부된</t>
        </r>
        <r>
          <rPr>
            <b/>
            <sz val="9"/>
            <color indexed="81"/>
            <rFont val="Tahoma"/>
            <family val="2"/>
          </rPr>
          <t xml:space="preserve"> </t>
        </r>
        <r>
          <rPr>
            <b/>
            <sz val="9"/>
            <color indexed="81"/>
            <rFont val="돋움"/>
            <family val="3"/>
            <charset val="129"/>
          </rPr>
          <t>유형자산</t>
        </r>
        <r>
          <rPr>
            <b/>
            <sz val="9"/>
            <color indexed="81"/>
            <rFont val="Tahoma"/>
            <family val="2"/>
          </rPr>
          <t xml:space="preserve"> </t>
        </r>
        <r>
          <rPr>
            <b/>
            <sz val="9"/>
            <color indexed="81"/>
            <rFont val="돋움"/>
            <family val="3"/>
            <charset val="129"/>
          </rPr>
          <t>상각비</t>
        </r>
        <r>
          <rPr>
            <b/>
            <sz val="9"/>
            <color indexed="81"/>
            <rFont val="Tahoma"/>
            <family val="2"/>
          </rPr>
          <t xml:space="preserve"> </t>
        </r>
        <r>
          <rPr>
            <b/>
            <sz val="9"/>
            <color indexed="81"/>
            <rFont val="돋움"/>
            <family val="3"/>
            <charset val="129"/>
          </rPr>
          <t>수준</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<sst xmlns="http://schemas.openxmlformats.org/spreadsheetml/2006/main" count="5559" uniqueCount="590">
  <si>
    <t>1. Proforma</t>
    <phoneticPr fontId="3" type="noConversion"/>
  </si>
  <si>
    <t>2021(A)</t>
    <phoneticPr fontId="3" type="noConversion"/>
  </si>
  <si>
    <t>2022(A)</t>
    <phoneticPr fontId="3" type="noConversion"/>
  </si>
  <si>
    <t>2023(A)</t>
    <phoneticPr fontId="3" type="noConversion"/>
  </si>
  <si>
    <t>24.3m(A)</t>
  </si>
  <si>
    <t>24.9m(E)</t>
  </si>
  <si>
    <t>2024(F)</t>
    <phoneticPr fontId="3" type="noConversion"/>
  </si>
  <si>
    <t>2025(F)</t>
    <phoneticPr fontId="3" type="noConversion"/>
  </si>
  <si>
    <t>2026(F)</t>
    <phoneticPr fontId="3" type="noConversion"/>
  </si>
  <si>
    <t>2027(F)</t>
    <phoneticPr fontId="3" type="noConversion"/>
  </si>
  <si>
    <t>2028(F)</t>
    <phoneticPr fontId="3" type="noConversion"/>
  </si>
  <si>
    <t>매출액</t>
    <phoneticPr fontId="3" type="noConversion"/>
  </si>
  <si>
    <t>국내</t>
    <phoneticPr fontId="3" type="noConversion"/>
  </si>
  <si>
    <t>미주</t>
    <phoneticPr fontId="3" type="noConversion"/>
  </si>
  <si>
    <t>유럽</t>
    <phoneticPr fontId="3" type="noConversion"/>
  </si>
  <si>
    <t>중국</t>
    <phoneticPr fontId="3" type="noConversion"/>
  </si>
  <si>
    <t>직수출</t>
    <phoneticPr fontId="3" type="noConversion"/>
  </si>
  <si>
    <t>매출원가</t>
    <phoneticPr fontId="3" type="noConversion"/>
  </si>
  <si>
    <t>매출총이익</t>
    <phoneticPr fontId="3" type="noConversion"/>
  </si>
  <si>
    <t>% GP</t>
    <phoneticPr fontId="3" type="noConversion"/>
  </si>
  <si>
    <t>판매관리비</t>
    <phoneticPr fontId="3" type="noConversion"/>
  </si>
  <si>
    <t>영업이익</t>
    <phoneticPr fontId="3" type="noConversion"/>
  </si>
  <si>
    <t>% EBIT</t>
    <phoneticPr fontId="3" type="noConversion"/>
  </si>
  <si>
    <t>D&amp;A</t>
    <phoneticPr fontId="3" type="noConversion"/>
  </si>
  <si>
    <t>EBITDA</t>
    <phoneticPr fontId="3" type="noConversion"/>
  </si>
  <si>
    <t>% EBITDA</t>
    <phoneticPr fontId="3" type="noConversion"/>
  </si>
  <si>
    <t>2. DCF</t>
    <phoneticPr fontId="3" type="noConversion"/>
  </si>
  <si>
    <t>Terminal</t>
    <phoneticPr fontId="3" type="noConversion"/>
  </si>
  <si>
    <t>Revenue</t>
    <phoneticPr fontId="3" type="noConversion"/>
  </si>
  <si>
    <t>COGS</t>
    <phoneticPr fontId="3" type="noConversion"/>
  </si>
  <si>
    <t>Gross Profit</t>
    <phoneticPr fontId="3" type="noConversion"/>
  </si>
  <si>
    <t>% of Revenue</t>
    <phoneticPr fontId="3" type="noConversion"/>
  </si>
  <si>
    <t>SG&amp;A</t>
    <phoneticPr fontId="3" type="noConversion"/>
  </si>
  <si>
    <t>EBIT</t>
    <phoneticPr fontId="3" type="noConversion"/>
  </si>
  <si>
    <t>Income Tax</t>
    <phoneticPr fontId="3" type="noConversion"/>
  </si>
  <si>
    <t>EBIT after Tax</t>
    <phoneticPr fontId="3" type="noConversion"/>
  </si>
  <si>
    <t>(+) D&amp;A</t>
    <phoneticPr fontId="3" type="noConversion"/>
  </si>
  <si>
    <t>(-) CAPEX</t>
    <phoneticPr fontId="3" type="noConversion"/>
  </si>
  <si>
    <t>(+/-) NWC</t>
    <phoneticPr fontId="3" type="noConversion"/>
  </si>
  <si>
    <t>FCFF</t>
    <phoneticPr fontId="3" type="noConversion"/>
  </si>
  <si>
    <t>할인기간</t>
    <phoneticPr fontId="3" type="noConversion"/>
  </si>
  <si>
    <t>할인계수</t>
    <phoneticPr fontId="3" type="noConversion"/>
  </si>
  <si>
    <t>PV of FCFF</t>
    <phoneticPr fontId="3" type="noConversion"/>
  </si>
  <si>
    <t>대상기간 누적 현재가치</t>
    <phoneticPr fontId="3" type="noConversion"/>
  </si>
  <si>
    <t>Terminal Value의 현재가치</t>
    <phoneticPr fontId="3" type="noConversion"/>
  </si>
  <si>
    <t>영업가치</t>
    <phoneticPr fontId="3" type="noConversion"/>
  </si>
  <si>
    <t>영구성장률</t>
  </si>
  <si>
    <t>WACC</t>
  </si>
  <si>
    <t>영구성장률</t>
    <phoneticPr fontId="3" type="noConversion"/>
  </si>
  <si>
    <t>DCF Results</t>
  </si>
  <si>
    <t>영업가치</t>
  </si>
  <si>
    <t>NOA</t>
    <phoneticPr fontId="3" type="noConversion"/>
  </si>
  <si>
    <t>WACC</t>
    <phoneticPr fontId="3" type="noConversion"/>
  </si>
  <si>
    <t>기업가치</t>
  </si>
  <si>
    <t>IBD</t>
    <phoneticPr fontId="3" type="noConversion"/>
  </si>
  <si>
    <t>지분가치</t>
  </si>
  <si>
    <t>3. 상대가치평가</t>
    <phoneticPr fontId="3" type="noConversion"/>
  </si>
  <si>
    <t>GPCM</t>
    <phoneticPr fontId="3" type="noConversion"/>
  </si>
  <si>
    <t>GTM</t>
    <phoneticPr fontId="3" type="noConversion"/>
  </si>
  <si>
    <t>2024 EBITDA</t>
    <phoneticPr fontId="3" type="noConversion"/>
  </si>
  <si>
    <t>Multiple</t>
    <phoneticPr fontId="3" type="noConversion"/>
  </si>
  <si>
    <t>Min</t>
    <phoneticPr fontId="3" type="noConversion"/>
  </si>
  <si>
    <t>Max</t>
    <phoneticPr fontId="3" type="noConversion"/>
  </si>
  <si>
    <t>EV</t>
    <phoneticPr fontId="3" type="noConversion"/>
  </si>
  <si>
    <t>Net Debt</t>
    <phoneticPr fontId="3" type="noConversion"/>
  </si>
  <si>
    <t>Equtiy Value</t>
    <phoneticPr fontId="3" type="noConversion"/>
  </si>
  <si>
    <t>4.  Valuation Results</t>
    <phoneticPr fontId="3" type="noConversion"/>
  </si>
  <si>
    <t>Range</t>
    <phoneticPr fontId="3" type="noConversion"/>
  </si>
  <si>
    <t>Trading</t>
  </si>
  <si>
    <t>Transaction</t>
    <phoneticPr fontId="3" type="noConversion"/>
  </si>
  <si>
    <t>DCF</t>
    <phoneticPr fontId="3" type="noConversion"/>
  </si>
  <si>
    <t>1. Consolidated</t>
    <phoneticPr fontId="3" type="noConversion"/>
  </si>
  <si>
    <t>유동자산</t>
    <phoneticPr fontId="3" type="noConversion"/>
  </si>
  <si>
    <t>현금및현금성자산</t>
    <phoneticPr fontId="3" type="noConversion"/>
  </si>
  <si>
    <t>운전자산</t>
    <phoneticPr fontId="3" type="noConversion"/>
  </si>
  <si>
    <t>기타유동자산</t>
    <phoneticPr fontId="3" type="noConversion"/>
  </si>
  <si>
    <t>비유동자산</t>
    <phoneticPr fontId="3" type="noConversion"/>
  </si>
  <si>
    <t>유무형자산</t>
    <phoneticPr fontId="3" type="noConversion"/>
  </si>
  <si>
    <t>기타비유동자산</t>
    <phoneticPr fontId="3" type="noConversion"/>
  </si>
  <si>
    <t>자산총계</t>
    <phoneticPr fontId="3" type="noConversion"/>
  </si>
  <si>
    <t>유동부채</t>
    <phoneticPr fontId="3" type="noConversion"/>
  </si>
  <si>
    <t>운전부채</t>
    <phoneticPr fontId="3" type="noConversion"/>
  </si>
  <si>
    <t>단기차입금</t>
    <phoneticPr fontId="3" type="noConversion"/>
  </si>
  <si>
    <t>기타유동부채</t>
    <phoneticPr fontId="3" type="noConversion"/>
  </si>
  <si>
    <t>비유동부채</t>
    <phoneticPr fontId="3" type="noConversion"/>
  </si>
  <si>
    <t>장기차입금</t>
    <phoneticPr fontId="3" type="noConversion"/>
  </si>
  <si>
    <t>기타비유동부채</t>
    <phoneticPr fontId="3" type="noConversion"/>
  </si>
  <si>
    <t>부채총계</t>
    <phoneticPr fontId="3" type="noConversion"/>
  </si>
  <si>
    <t>자본총계</t>
    <phoneticPr fontId="3" type="noConversion"/>
  </si>
  <si>
    <t>영업활동 현금흐름</t>
  </si>
  <si>
    <t>당기순이익</t>
  </si>
  <si>
    <t>조정</t>
  </si>
  <si>
    <t>NWC변동</t>
  </si>
  <si>
    <t>D&amp;A</t>
  </si>
  <si>
    <t>이자수익</t>
  </si>
  <si>
    <t>이자비용</t>
  </si>
  <si>
    <t>법인세비용</t>
  </si>
  <si>
    <t>기타부채의 증감</t>
    <phoneticPr fontId="3" type="noConversion"/>
  </si>
  <si>
    <t>기타자산의 증감</t>
    <phoneticPr fontId="3" type="noConversion"/>
  </si>
  <si>
    <t>기타조정</t>
  </si>
  <si>
    <t>이자수취</t>
  </si>
  <si>
    <t>이자지급</t>
  </si>
  <si>
    <t>법인세납부</t>
  </si>
  <si>
    <t>투자활동 현금흐름</t>
  </si>
  <si>
    <t>CAPEX</t>
  </si>
  <si>
    <t>기타</t>
  </si>
  <si>
    <t>재무활동 현금흐름</t>
  </si>
  <si>
    <t>차입금변동</t>
  </si>
  <si>
    <t>현금의 증감</t>
  </si>
  <si>
    <t>기초 현금</t>
  </si>
  <si>
    <t>기말 현금</t>
  </si>
  <si>
    <t>기초</t>
    <phoneticPr fontId="3" type="noConversion"/>
  </si>
  <si>
    <t>당기순이익</t>
    <phoneticPr fontId="3" type="noConversion"/>
  </si>
  <si>
    <t>배당</t>
    <phoneticPr fontId="3" type="noConversion"/>
  </si>
  <si>
    <t>해외사업장환산손익</t>
    <phoneticPr fontId="3" type="noConversion"/>
  </si>
  <si>
    <t>기말</t>
    <phoneticPr fontId="3" type="noConversion"/>
  </si>
  <si>
    <t>영업외손익</t>
  </si>
  <si>
    <t>기타영업외손익</t>
  </si>
  <si>
    <t>법인세차감전순손익</t>
  </si>
  <si>
    <t>NI%</t>
  </si>
  <si>
    <t>2. 국내법인</t>
    <phoneticPr fontId="3" type="noConversion"/>
  </si>
  <si>
    <t>해외법인</t>
    <phoneticPr fontId="3" type="noConversion"/>
  </si>
  <si>
    <t>3. 미국법인</t>
    <phoneticPr fontId="3" type="noConversion"/>
  </si>
  <si>
    <t>4. 유럽법인</t>
    <phoneticPr fontId="3" type="noConversion"/>
  </si>
  <si>
    <t>5. 중국법인</t>
    <phoneticPr fontId="3" type="noConversion"/>
  </si>
  <si>
    <t>6. 강소법인</t>
    <phoneticPr fontId="3" type="noConversion"/>
  </si>
  <si>
    <t>7. 내부거래</t>
    <phoneticPr fontId="3" type="noConversion"/>
  </si>
  <si>
    <t>영업외손익</t>
    <phoneticPr fontId="3" type="noConversion"/>
  </si>
  <si>
    <t>법인세차감전순이익</t>
    <phoneticPr fontId="3" type="noConversion"/>
  </si>
  <si>
    <t>법인세비용</t>
    <phoneticPr fontId="3" type="noConversion"/>
  </si>
  <si>
    <t>% NI</t>
    <phoneticPr fontId="3" type="noConversion"/>
  </si>
  <si>
    <t>5축</t>
    <phoneticPr fontId="3" type="noConversion"/>
  </si>
  <si>
    <t>선반</t>
    <phoneticPr fontId="3" type="noConversion"/>
  </si>
  <si>
    <t>VMC</t>
    <phoneticPr fontId="3" type="noConversion"/>
  </si>
  <si>
    <t>HMC</t>
    <phoneticPr fontId="3" type="noConversion"/>
  </si>
  <si>
    <t>단종</t>
    <phoneticPr fontId="3" type="noConversion"/>
  </si>
  <si>
    <t>기타</t>
    <phoneticPr fontId="3" type="noConversion"/>
  </si>
  <si>
    <t>원재료비</t>
    <phoneticPr fontId="3" type="noConversion"/>
  </si>
  <si>
    <t>노무비</t>
    <phoneticPr fontId="3" type="noConversion"/>
  </si>
  <si>
    <t>경비등</t>
    <phoneticPr fontId="3" type="noConversion"/>
  </si>
  <si>
    <t>% Gross Profit</t>
    <phoneticPr fontId="3" type="noConversion"/>
  </si>
  <si>
    <t>인건비</t>
    <phoneticPr fontId="3" type="noConversion"/>
  </si>
  <si>
    <t>변동비</t>
    <phoneticPr fontId="3" type="noConversion"/>
  </si>
  <si>
    <t>고정비</t>
    <phoneticPr fontId="3" type="noConversion"/>
  </si>
  <si>
    <t>기종별 판매수량(연결)</t>
    <phoneticPr fontId="3" type="noConversion"/>
  </si>
  <si>
    <t>KPMG 사업계획</t>
    <phoneticPr fontId="3" type="noConversion"/>
  </si>
  <si>
    <t>5축</t>
  </si>
  <si>
    <t>선반</t>
  </si>
  <si>
    <t>VMC</t>
  </si>
  <si>
    <t>HMC</t>
  </si>
  <si>
    <t>단종</t>
  </si>
  <si>
    <t>회사 사업계획</t>
    <phoneticPr fontId="3" type="noConversion"/>
  </si>
  <si>
    <t>달성률</t>
    <phoneticPr fontId="3" type="noConversion"/>
  </si>
  <si>
    <t>2. 민감도 분석</t>
    <phoneticPr fontId="3" type="noConversion"/>
  </si>
  <si>
    <t>사업계획 달성률</t>
    <phoneticPr fontId="3" type="noConversion"/>
  </si>
  <si>
    <t>2024년 매출액(연결)</t>
  </si>
  <si>
    <t>2025년 매출액(연결)</t>
  </si>
  <si>
    <t>2026년 매출액(연결)</t>
  </si>
  <si>
    <t>2027년 매출액(연결)</t>
  </si>
  <si>
    <t>2028년 매출액(연결)</t>
  </si>
  <si>
    <t>2024년 영업이익(연결)</t>
    <phoneticPr fontId="3" type="noConversion"/>
  </si>
  <si>
    <t>2024년 영업이익률</t>
    <phoneticPr fontId="3" type="noConversion"/>
  </si>
  <si>
    <t>2024년 EBITDA(연결)</t>
  </si>
  <si>
    <t>2025년 EBITDA(연결)</t>
  </si>
  <si>
    <t>2026년 EBITDA(연결)</t>
  </si>
  <si>
    <t>2027년 EBITDA(연결)</t>
  </si>
  <si>
    <t>2028년 EBITDA(연결)</t>
  </si>
  <si>
    <t>DCF 지분가치</t>
    <phoneticPr fontId="3" type="noConversion"/>
  </si>
  <si>
    <t>GPCM 지분가치-Min</t>
    <phoneticPr fontId="3" type="noConversion"/>
  </si>
  <si>
    <t>GPCM 지분가치-Max</t>
    <phoneticPr fontId="3" type="noConversion"/>
  </si>
  <si>
    <t>GTM 지분가치 - Min</t>
    <phoneticPr fontId="3" type="noConversion"/>
  </si>
  <si>
    <t>GTM 지분가치 - Max</t>
    <phoneticPr fontId="3" type="noConversion"/>
  </si>
  <si>
    <t>Variable</t>
    <phoneticPr fontId="3" type="noConversion"/>
  </si>
  <si>
    <t>(1) 시장성장률 초과달성률</t>
    <phoneticPr fontId="3" type="noConversion"/>
  </si>
  <si>
    <t>(2) 재료비율</t>
    <phoneticPr fontId="3" type="noConversion"/>
  </si>
  <si>
    <t>0. General</t>
    <phoneticPr fontId="3" type="noConversion"/>
  </si>
  <si>
    <t>Key Base Factors</t>
    <phoneticPr fontId="24" type="noConversion"/>
  </si>
  <si>
    <t>Valuation Date</t>
    <phoneticPr fontId="24" type="noConversion"/>
  </si>
  <si>
    <t>Market Data Date</t>
    <phoneticPr fontId="24" type="noConversion"/>
  </si>
  <si>
    <t>Year End after Valuation Date</t>
    <phoneticPr fontId="3" type="noConversion"/>
  </si>
  <si>
    <t>Partial Period Factor</t>
    <phoneticPr fontId="3" type="noConversion"/>
  </si>
  <si>
    <t>Macro Indicators(from EIU)</t>
    <phoneticPr fontId="3" type="noConversion"/>
  </si>
  <si>
    <t>2021A</t>
    <phoneticPr fontId="3" type="noConversion"/>
  </si>
  <si>
    <t>2022A</t>
    <phoneticPr fontId="3" type="noConversion"/>
  </si>
  <si>
    <t>2023A</t>
    <phoneticPr fontId="3" type="noConversion"/>
  </si>
  <si>
    <t>1월</t>
  </si>
  <si>
    <t>2월</t>
  </si>
  <si>
    <t>3월</t>
  </si>
  <si>
    <t>4월</t>
  </si>
  <si>
    <t>5월</t>
  </si>
  <si>
    <t>6월</t>
  </si>
  <si>
    <t>7월</t>
  </si>
  <si>
    <t>8월</t>
  </si>
  <si>
    <t>9월</t>
  </si>
  <si>
    <t>10월</t>
  </si>
  <si>
    <t>11월</t>
  </si>
  <si>
    <t>12월</t>
  </si>
  <si>
    <t>2024F</t>
    <phoneticPr fontId="3" type="noConversion"/>
  </si>
  <si>
    <t>2025F</t>
    <phoneticPr fontId="3" type="noConversion"/>
  </si>
  <si>
    <t>2026F</t>
    <phoneticPr fontId="3" type="noConversion"/>
  </si>
  <si>
    <t>2027F</t>
    <phoneticPr fontId="3" type="noConversion"/>
  </si>
  <si>
    <t>2028F</t>
    <phoneticPr fontId="3" type="noConversion"/>
  </si>
  <si>
    <t>한국</t>
    <phoneticPr fontId="3" type="noConversion"/>
  </si>
  <si>
    <t>소비자물가지수 (avg.)</t>
  </si>
  <si>
    <t>생산자물가지수 (avg.)</t>
  </si>
  <si>
    <t>평균명목임금상승률</t>
  </si>
  <si>
    <t>일본</t>
    <phoneticPr fontId="3" type="noConversion"/>
  </si>
  <si>
    <t>미국</t>
    <phoneticPr fontId="3" type="noConversion"/>
  </si>
  <si>
    <t>1. 블룸버그 / 2. EIU / 3. 평균치</t>
    <phoneticPr fontId="3" type="noConversion"/>
  </si>
  <si>
    <t>2018A</t>
    <phoneticPr fontId="3" type="noConversion"/>
  </si>
  <si>
    <t>2019A</t>
    <phoneticPr fontId="3" type="noConversion"/>
  </si>
  <si>
    <t>2020A</t>
    <phoneticPr fontId="3" type="noConversion"/>
  </si>
  <si>
    <t>1월</t>
    <phoneticPr fontId="3" type="noConversion"/>
  </si>
  <si>
    <t>2월</t>
    <phoneticPr fontId="3" type="noConversion"/>
  </si>
  <si>
    <t>3월</t>
    <phoneticPr fontId="3" type="noConversion"/>
  </si>
  <si>
    <t>4월</t>
    <phoneticPr fontId="3" type="noConversion"/>
  </si>
  <si>
    <t>5월</t>
    <phoneticPr fontId="3" type="noConversion"/>
  </si>
  <si>
    <t>6월</t>
    <phoneticPr fontId="3" type="noConversion"/>
  </si>
  <si>
    <t>7월</t>
    <phoneticPr fontId="3" type="noConversion"/>
  </si>
  <si>
    <t>8월</t>
    <phoneticPr fontId="3" type="noConversion"/>
  </si>
  <si>
    <t>9월</t>
    <phoneticPr fontId="3" type="noConversion"/>
  </si>
  <si>
    <t>10월</t>
    <phoneticPr fontId="3" type="noConversion"/>
  </si>
  <si>
    <t>11월</t>
    <phoneticPr fontId="3" type="noConversion"/>
  </si>
  <si>
    <t>12월</t>
    <phoneticPr fontId="3" type="noConversion"/>
  </si>
  <si>
    <t>KRW/USD</t>
  </si>
  <si>
    <t>블룸버그</t>
    <phoneticPr fontId="3" type="noConversion"/>
  </si>
  <si>
    <t>EIU</t>
    <phoneticPr fontId="3" type="noConversion"/>
  </si>
  <si>
    <t>KRW/JPY</t>
  </si>
  <si>
    <t>KRW/EUR</t>
  </si>
  <si>
    <t>KRW/CNY</t>
  </si>
  <si>
    <t>EIU</t>
  </si>
  <si>
    <t>1. Key Assumption</t>
    <phoneticPr fontId="3" type="noConversion"/>
  </si>
  <si>
    <t>1.1. Revenue</t>
    <phoneticPr fontId="3" type="noConversion"/>
  </si>
  <si>
    <t>1.1.1 판매 기종 수</t>
    <phoneticPr fontId="3" type="noConversion"/>
  </si>
  <si>
    <t>2023E</t>
    <phoneticPr fontId="3" type="noConversion"/>
  </si>
  <si>
    <t>인도</t>
    <phoneticPr fontId="3" type="noConversion"/>
  </si>
  <si>
    <t>CIS</t>
    <phoneticPr fontId="3" type="noConversion"/>
  </si>
  <si>
    <t>동남아</t>
    <phoneticPr fontId="3" type="noConversion"/>
  </si>
  <si>
    <t>중동</t>
    <phoneticPr fontId="3" type="noConversion"/>
  </si>
  <si>
    <t>북미</t>
    <phoneticPr fontId="3" type="noConversion"/>
  </si>
  <si>
    <t>남미</t>
    <phoneticPr fontId="3" type="noConversion"/>
  </si>
  <si>
    <t>중국(상품)</t>
    <phoneticPr fontId="3" type="noConversion"/>
  </si>
  <si>
    <t>중국(강소)</t>
    <phoneticPr fontId="3" type="noConversion"/>
  </si>
  <si>
    <t>전체 판매기종수</t>
    <phoneticPr fontId="3" type="noConversion"/>
  </si>
  <si>
    <t>국내생산</t>
    <phoneticPr fontId="3" type="noConversion"/>
  </si>
  <si>
    <t>강소생산</t>
    <phoneticPr fontId="3" type="noConversion"/>
  </si>
  <si>
    <t>PRM</t>
    <phoneticPr fontId="3" type="noConversion"/>
  </si>
  <si>
    <t>대체</t>
    <phoneticPr fontId="3" type="noConversion"/>
  </si>
  <si>
    <t>신규</t>
    <phoneticPr fontId="3" type="noConversion"/>
  </si>
  <si>
    <t>1.1.2. 2024년 사업계획 판매수량 조정</t>
    <phoneticPr fontId="3" type="noConversion"/>
  </si>
  <si>
    <t>2024년 1분기 판매수량 달성률</t>
    <phoneticPr fontId="3" type="noConversion"/>
  </si>
  <si>
    <t>실적</t>
    <phoneticPr fontId="3" type="noConversion"/>
  </si>
  <si>
    <t>사업계획</t>
    <phoneticPr fontId="3" type="noConversion"/>
  </si>
  <si>
    <t>1.1.2. 기종당 판매수량</t>
    <phoneticPr fontId="3" type="noConversion"/>
  </si>
  <si>
    <t>국내_Captive</t>
    <phoneticPr fontId="3" type="noConversion"/>
  </si>
  <si>
    <t>국내_Non-Captive</t>
    <phoneticPr fontId="3" type="noConversion"/>
  </si>
  <si>
    <t>인도</t>
  </si>
  <si>
    <t>CIS</t>
  </si>
  <si>
    <t>동남아</t>
  </si>
  <si>
    <t>중동</t>
  </si>
  <si>
    <t>북미</t>
  </si>
  <si>
    <t>남미</t>
  </si>
  <si>
    <t>유럽</t>
  </si>
  <si>
    <t>ㅍ</t>
    <phoneticPr fontId="3" type="noConversion"/>
  </si>
  <si>
    <t>중국(상품)</t>
  </si>
  <si>
    <t>중국(강소)</t>
  </si>
  <si>
    <t>권역별 Unit Growth rate_v1</t>
    <phoneticPr fontId="3" type="noConversion"/>
  </si>
  <si>
    <t>1. 시장자료상 기종군별, 권역별 Unit 성장률 수준 증가 가정 / 2. 시장자료상 시장 성장률에서 한국 생산자 물가지수 증가분을 제외한 수준 증가 가정</t>
    <phoneticPr fontId="3" type="noConversion"/>
  </si>
  <si>
    <t>글로벌</t>
    <phoneticPr fontId="3" type="noConversion"/>
  </si>
  <si>
    <t>아시아(주요국가제외)</t>
    <phoneticPr fontId="3" type="noConversion"/>
  </si>
  <si>
    <t>1.1.3. 기종당 판매단가</t>
    <phoneticPr fontId="3" type="noConversion"/>
  </si>
  <si>
    <t>1. 2024년 가중평균 단가 적용 / 2. 2024년 사업계획상 단가 적용</t>
    <phoneticPr fontId="3" type="noConversion"/>
  </si>
  <si>
    <t>단위</t>
    <phoneticPr fontId="3" type="noConversion"/>
  </si>
  <si>
    <t>백만원</t>
    <phoneticPr fontId="3" type="noConversion"/>
  </si>
  <si>
    <t>자동차 포함 전체 산업 Growth rate</t>
    <phoneticPr fontId="3" type="noConversion"/>
  </si>
  <si>
    <t>USD</t>
    <phoneticPr fontId="3" type="noConversion"/>
  </si>
  <si>
    <t>EUR</t>
    <phoneticPr fontId="3" type="noConversion"/>
  </si>
  <si>
    <t>CNY</t>
    <phoneticPr fontId="3" type="noConversion"/>
  </si>
  <si>
    <t>중국(제품)</t>
    <phoneticPr fontId="3" type="noConversion"/>
  </si>
  <si>
    <t>CNY</t>
  </si>
  <si>
    <t>판매단가 Growth rate</t>
    <phoneticPr fontId="3" type="noConversion"/>
  </si>
  <si>
    <t>1. 시장자료상 기종군별, 권역별 Unit price 성장률 수준 상승 가정 / 2. 권역별 생산자 물가지수 수준 상승 가정 / 3. 한국 생산자 물가지수 수준 상승 가정</t>
    <phoneticPr fontId="3" type="noConversion"/>
  </si>
  <si>
    <t>선적</t>
    <phoneticPr fontId="3" type="noConversion"/>
  </si>
  <si>
    <t>1.2 COGS</t>
    <phoneticPr fontId="3" type="noConversion"/>
  </si>
  <si>
    <t>1.1.2 원재료비</t>
    <phoneticPr fontId="3" type="noConversion"/>
  </si>
  <si>
    <t>NC매입단가_JPY</t>
    <phoneticPr fontId="3" type="noConversion"/>
  </si>
  <si>
    <t>NC매입단가_EUR</t>
    <phoneticPr fontId="3" type="noConversion"/>
  </si>
  <si>
    <t>기타재료비</t>
    <phoneticPr fontId="3" type="noConversion"/>
  </si>
  <si>
    <t>도급비</t>
    <phoneticPr fontId="3" type="noConversion"/>
  </si>
  <si>
    <t>강소법인</t>
    <phoneticPr fontId="3" type="noConversion"/>
  </si>
  <si>
    <t>관세환급</t>
    <phoneticPr fontId="3" type="noConversion"/>
  </si>
  <si>
    <t>강소법인</t>
  </si>
  <si>
    <t>1. Summary</t>
    <phoneticPr fontId="3" type="noConversion"/>
  </si>
  <si>
    <t>24.3m(A)</t>
    <phoneticPr fontId="3" type="noConversion"/>
  </si>
  <si>
    <t>24.9m(E)</t>
    <phoneticPr fontId="3" type="noConversion"/>
  </si>
  <si>
    <t>Captive</t>
    <phoneticPr fontId="3" type="noConversion"/>
  </si>
  <si>
    <t>Non-Captive</t>
    <phoneticPr fontId="3" type="noConversion"/>
  </si>
  <si>
    <t>이전</t>
    <phoneticPr fontId="3" type="noConversion"/>
  </si>
  <si>
    <t>판매수량</t>
    <phoneticPr fontId="3" type="noConversion"/>
  </si>
  <si>
    <t>2. 국내</t>
    <phoneticPr fontId="3" type="noConversion"/>
  </si>
  <si>
    <t>국내매출</t>
    <phoneticPr fontId="3" type="noConversion"/>
  </si>
  <si>
    <t>전체</t>
    <phoneticPr fontId="3" type="noConversion"/>
  </si>
  <si>
    <t>Captive</t>
  </si>
  <si>
    <t>Non-Captive</t>
  </si>
  <si>
    <t>기종 수</t>
  </si>
  <si>
    <t>기종당 판매량</t>
  </si>
  <si>
    <t>판매단가</t>
    <phoneticPr fontId="3" type="noConversion"/>
  </si>
  <si>
    <t>옵션</t>
  </si>
  <si>
    <t>% 본기매출</t>
    <phoneticPr fontId="3" type="noConversion"/>
  </si>
  <si>
    <t>A/S</t>
  </si>
  <si>
    <t>판매촉진비</t>
  </si>
  <si>
    <t>운송비</t>
  </si>
  <si>
    <t>판매대수</t>
    <phoneticPr fontId="3" type="noConversion"/>
  </si>
  <si>
    <t>대당운송비</t>
    <phoneticPr fontId="3" type="noConversion"/>
  </si>
  <si>
    <t>환차</t>
  </si>
  <si>
    <t>판매량</t>
  </si>
  <si>
    <t>판매가격</t>
  </si>
  <si>
    <t>% 본기매출</t>
  </si>
  <si>
    <t>판매대수</t>
  </si>
  <si>
    <t>대당운송비</t>
  </si>
  <si>
    <t>3. 직수출</t>
    <phoneticPr fontId="3" type="noConversion"/>
  </si>
  <si>
    <t>기종 수</t>
    <phoneticPr fontId="3" type="noConversion"/>
  </si>
  <si>
    <t>기종당 판매량</t>
    <phoneticPr fontId="3" type="noConversion"/>
  </si>
  <si>
    <t>판매단가(외화)</t>
    <phoneticPr fontId="3" type="noConversion"/>
  </si>
  <si>
    <t>판매수량</t>
  </si>
  <si>
    <t>판매단가</t>
  </si>
  <si>
    <t>판매단가(외화)</t>
  </si>
  <si>
    <t>4. 해외법인매출</t>
    <phoneticPr fontId="3" type="noConversion"/>
  </si>
  <si>
    <t>해외법인매출(이전)</t>
    <phoneticPr fontId="3" type="noConversion"/>
  </si>
  <si>
    <t>북미(선적)</t>
  </si>
  <si>
    <t>선적금액(USD)</t>
    <phoneticPr fontId="3" type="noConversion"/>
  </si>
  <si>
    <t>선적수량</t>
    <phoneticPr fontId="3" type="noConversion"/>
  </si>
  <si>
    <t>선적단가(USD)</t>
    <phoneticPr fontId="3" type="noConversion"/>
  </si>
  <si>
    <t>환율</t>
    <phoneticPr fontId="3" type="noConversion"/>
  </si>
  <si>
    <t>남미(선적)</t>
  </si>
  <si>
    <t>유럽(선적)</t>
  </si>
  <si>
    <t>선적금액(EUR)</t>
    <phoneticPr fontId="3" type="noConversion"/>
  </si>
  <si>
    <t>선적단가(EUR)</t>
  </si>
  <si>
    <t>중국</t>
  </si>
  <si>
    <t>선적금액(CNY)</t>
    <phoneticPr fontId="3" type="noConversion"/>
  </si>
  <si>
    <t>선적단가(CNY)</t>
  </si>
  <si>
    <t>옵션(상품)</t>
    <phoneticPr fontId="3" type="noConversion"/>
  </si>
  <si>
    <t>옵션(제품)</t>
    <phoneticPr fontId="3" type="noConversion"/>
  </si>
  <si>
    <t>환차(상품)</t>
    <phoneticPr fontId="3" type="noConversion"/>
  </si>
  <si>
    <t>KRW/USD</t>
    <phoneticPr fontId="3" type="noConversion"/>
  </si>
  <si>
    <t>KRW/EUR</t>
    <phoneticPr fontId="3" type="noConversion"/>
  </si>
  <si>
    <t>% COGS</t>
    <phoneticPr fontId="3" type="noConversion"/>
  </si>
  <si>
    <t>변동경비</t>
    <phoneticPr fontId="3" type="noConversion"/>
  </si>
  <si>
    <t>고정경비</t>
    <phoneticPr fontId="3" type="noConversion"/>
  </si>
  <si>
    <t>재고차이</t>
    <phoneticPr fontId="3" type="noConversion"/>
  </si>
  <si>
    <t>2. 원재료비</t>
    <phoneticPr fontId="3" type="noConversion"/>
  </si>
  <si>
    <t>원재료비_기종군별</t>
    <phoneticPr fontId="3" type="noConversion"/>
  </si>
  <si>
    <t>% 원재료비</t>
    <phoneticPr fontId="3" type="noConversion"/>
  </si>
  <si>
    <t>원재료비_성격별</t>
    <phoneticPr fontId="3" type="noConversion"/>
  </si>
  <si>
    <t>재료비</t>
    <phoneticPr fontId="3" type="noConversion"/>
  </si>
  <si>
    <t>NC재료비</t>
    <phoneticPr fontId="3" type="noConversion"/>
  </si>
  <si>
    <t>화낙</t>
    <phoneticPr fontId="3" type="noConversion"/>
  </si>
  <si>
    <t>매입금액(JPY)</t>
    <phoneticPr fontId="3" type="noConversion"/>
  </si>
  <si>
    <t>생산수량</t>
    <phoneticPr fontId="3" type="noConversion"/>
  </si>
  <si>
    <t>매입단가(JPY)</t>
    <phoneticPr fontId="3" type="noConversion"/>
  </si>
  <si>
    <t>지멘스</t>
    <phoneticPr fontId="3" type="noConversion"/>
  </si>
  <si>
    <t>매입금액(EUR)</t>
    <phoneticPr fontId="3" type="noConversion"/>
  </si>
  <si>
    <t>매입단가(EUR)</t>
    <phoneticPr fontId="3" type="noConversion"/>
  </si>
  <si>
    <t>매입단가</t>
    <phoneticPr fontId="3" type="noConversion"/>
  </si>
  <si>
    <t>단가</t>
    <phoneticPr fontId="3" type="noConversion"/>
  </si>
  <si>
    <t>옵션</t>
    <phoneticPr fontId="3" type="noConversion"/>
  </si>
  <si>
    <t>관련 매출액</t>
    <phoneticPr fontId="3" type="noConversion"/>
  </si>
  <si>
    <t>A/S</t>
    <phoneticPr fontId="3" type="noConversion"/>
  </si>
  <si>
    <t>3. 노무비</t>
    <phoneticPr fontId="3" type="noConversion"/>
  </si>
  <si>
    <t>% 노무비</t>
    <phoneticPr fontId="3" type="noConversion"/>
  </si>
  <si>
    <t>직영노무비</t>
    <phoneticPr fontId="3" type="noConversion"/>
  </si>
  <si>
    <t>평균인원수</t>
  </si>
  <si>
    <t>평균급여</t>
  </si>
  <si>
    <t>하청기성고</t>
    <phoneticPr fontId="3" type="noConversion"/>
  </si>
  <si>
    <t>간접비배부액</t>
  </si>
  <si>
    <t>Stand-alone Cost_간접</t>
    <phoneticPr fontId="3" type="noConversion"/>
  </si>
  <si>
    <t>4. 변동경비</t>
    <phoneticPr fontId="3" type="noConversion"/>
  </si>
  <si>
    <t>% 변동경비</t>
    <phoneticPr fontId="3" type="noConversion"/>
  </si>
  <si>
    <t>수도광열비</t>
    <phoneticPr fontId="3" type="noConversion"/>
  </si>
  <si>
    <t>생산대수</t>
    <phoneticPr fontId="3" type="noConversion"/>
  </si>
  <si>
    <t>대당단가</t>
    <phoneticPr fontId="3" type="noConversion"/>
  </si>
  <si>
    <t>소모품비</t>
    <phoneticPr fontId="3" type="noConversion"/>
  </si>
  <si>
    <t>수선비</t>
    <phoneticPr fontId="3" type="noConversion"/>
  </si>
  <si>
    <t>간접비배부액</t>
    <phoneticPr fontId="3" type="noConversion"/>
  </si>
  <si>
    <t>5. 고정경비</t>
    <phoneticPr fontId="3" type="noConversion"/>
  </si>
  <si>
    <t>% 고정경비</t>
    <phoneticPr fontId="3" type="noConversion"/>
  </si>
  <si>
    <t>감가상각비</t>
  </si>
  <si>
    <t>무형자산상각</t>
  </si>
  <si>
    <t>지급수수료</t>
  </si>
  <si>
    <t>임차료</t>
  </si>
  <si>
    <t>Standalone cost_공장/기계임차료(FY24 Only)</t>
    <phoneticPr fontId="3" type="noConversion"/>
  </si>
  <si>
    <t>기술개발비</t>
  </si>
  <si>
    <t>보험료</t>
  </si>
  <si>
    <t>세금과공과금</t>
  </si>
  <si>
    <t>도서연수비</t>
  </si>
  <si>
    <t>여비교통비</t>
  </si>
  <si>
    <t>Stand-alone 조정효과 재고차이분 반영</t>
    <phoneticPr fontId="3" type="noConversion"/>
  </si>
  <si>
    <t>KRW/JPY</t>
    <phoneticPr fontId="3" type="noConversion"/>
  </si>
  <si>
    <t>% of revenue</t>
  </si>
  <si>
    <t>2. 인건비</t>
    <phoneticPr fontId="3" type="noConversion"/>
  </si>
  <si>
    <t>Stand-alone Cost</t>
  </si>
  <si>
    <t>3. 변동비</t>
    <phoneticPr fontId="3" type="noConversion"/>
  </si>
  <si>
    <t>운반비</t>
  </si>
  <si>
    <t>단위당 운반보관비</t>
  </si>
  <si>
    <t>판매보증비</t>
  </si>
  <si>
    <t>단위당 판매보증비</t>
  </si>
  <si>
    <t>매출 연동</t>
    <phoneticPr fontId="3" type="noConversion"/>
  </si>
  <si>
    <t>수출비</t>
  </si>
  <si>
    <t>수출물량</t>
    <phoneticPr fontId="3" type="noConversion"/>
  </si>
  <si>
    <t>단위당 수출비</t>
    <phoneticPr fontId="3" type="noConversion"/>
  </si>
  <si>
    <t>소모품비</t>
  </si>
  <si>
    <t>% of Revenue</t>
  </si>
  <si>
    <t>수선비</t>
  </si>
  <si>
    <t>4. 고정비</t>
    <phoneticPr fontId="3" type="noConversion"/>
  </si>
  <si>
    <t>2023A</t>
  </si>
  <si>
    <t>유형자산 감가상각비</t>
    <phoneticPr fontId="3" type="noConversion"/>
  </si>
  <si>
    <t>무형자산상각비</t>
  </si>
  <si>
    <t>광고선전비</t>
  </si>
  <si>
    <t>대손상각비(환입)</t>
    <phoneticPr fontId="3" type="noConversion"/>
  </si>
  <si>
    <t>기타판관비</t>
    <phoneticPr fontId="3" type="noConversion"/>
  </si>
  <si>
    <t>CAPEX</t>
    <phoneticPr fontId="3" type="noConversion"/>
  </si>
  <si>
    <t>유형자산</t>
    <phoneticPr fontId="3" type="noConversion"/>
  </si>
  <si>
    <t>판관비</t>
    <phoneticPr fontId="3" type="noConversion"/>
  </si>
  <si>
    <t>무형자산</t>
  </si>
  <si>
    <t>판관비</t>
  </si>
  <si>
    <t>2021A</t>
  </si>
  <si>
    <t>2022A</t>
  </si>
  <si>
    <t>2024F</t>
  </si>
  <si>
    <t>2025F</t>
  </si>
  <si>
    <t>2026F</t>
  </si>
  <si>
    <t>2027F</t>
  </si>
  <si>
    <t>2028F</t>
  </si>
  <si>
    <t>제조원가</t>
  </si>
  <si>
    <t>무형자산</t>
    <phoneticPr fontId="3" type="noConversion"/>
  </si>
  <si>
    <t>NWC변동</t>
    <phoneticPr fontId="3" type="noConversion"/>
  </si>
  <si>
    <t>NWC</t>
    <phoneticPr fontId="3" type="noConversion"/>
  </si>
  <si>
    <t>매출채권</t>
    <phoneticPr fontId="3" type="noConversion"/>
  </si>
  <si>
    <t>회전율</t>
    <phoneticPr fontId="3" type="noConversion"/>
  </si>
  <si>
    <t>회전기일</t>
    <phoneticPr fontId="3" type="noConversion"/>
  </si>
  <si>
    <t>원재료</t>
    <phoneticPr fontId="3" type="noConversion"/>
  </si>
  <si>
    <t>부재료</t>
    <phoneticPr fontId="3" type="noConversion"/>
  </si>
  <si>
    <t>미착품</t>
    <phoneticPr fontId="3" type="noConversion"/>
  </si>
  <si>
    <t>재공품(국내)</t>
    <phoneticPr fontId="3" type="noConversion"/>
  </si>
  <si>
    <t>재공품(중국-강소)</t>
    <phoneticPr fontId="3" type="noConversion"/>
  </si>
  <si>
    <t>반제품</t>
    <phoneticPr fontId="3" type="noConversion"/>
  </si>
  <si>
    <t>제품</t>
    <phoneticPr fontId="3" type="noConversion"/>
  </si>
  <si>
    <t>미수금</t>
    <phoneticPr fontId="3" type="noConversion"/>
  </si>
  <si>
    <t>매입채무</t>
    <phoneticPr fontId="3" type="noConversion"/>
  </si>
  <si>
    <t>미지급금</t>
    <phoneticPr fontId="3" type="noConversion"/>
  </si>
  <si>
    <t>선수금</t>
    <phoneticPr fontId="3" type="noConversion"/>
  </si>
  <si>
    <t>연결매출액</t>
    <phoneticPr fontId="3" type="noConversion"/>
  </si>
  <si>
    <t>연결매출원가</t>
    <phoneticPr fontId="3" type="noConversion"/>
  </si>
  <si>
    <t>연결재료비</t>
    <phoneticPr fontId="3" type="noConversion"/>
  </si>
  <si>
    <t>국내재료비</t>
    <phoneticPr fontId="3" type="noConversion"/>
  </si>
  <si>
    <t>강소재료비</t>
    <phoneticPr fontId="3" type="noConversion"/>
  </si>
  <si>
    <t>본사매출원가(별도)</t>
    <phoneticPr fontId="3" type="noConversion"/>
  </si>
  <si>
    <t>강소매출원가(별도)</t>
    <phoneticPr fontId="3" type="noConversion"/>
  </si>
  <si>
    <t>연결판관비</t>
    <phoneticPr fontId="3" type="noConversion"/>
  </si>
  <si>
    <t>GP %</t>
    <phoneticPr fontId="3" type="noConversion"/>
  </si>
  <si>
    <t>EBIT %</t>
    <phoneticPr fontId="3" type="noConversion"/>
  </si>
  <si>
    <t>EBITDA %</t>
    <phoneticPr fontId="3" type="noConversion"/>
  </si>
  <si>
    <t>2. Revenue</t>
    <phoneticPr fontId="3" type="noConversion"/>
  </si>
  <si>
    <t>Revenue</t>
  </si>
  <si>
    <t>판매금액(EUR)</t>
    <phoneticPr fontId="3" type="noConversion"/>
  </si>
  <si>
    <t>기종수</t>
  </si>
  <si>
    <t>기종당판매량</t>
  </si>
  <si>
    <t>판매단가(EUR)</t>
    <phoneticPr fontId="3" type="noConversion"/>
  </si>
  <si>
    <t>EUR</t>
  </si>
  <si>
    <t>용역매출</t>
    <phoneticPr fontId="3" type="noConversion"/>
  </si>
  <si>
    <t>3. COGS</t>
    <phoneticPr fontId="3" type="noConversion"/>
  </si>
  <si>
    <t>상품매입</t>
  </si>
  <si>
    <t>옵션%</t>
    <phoneticPr fontId="3" type="noConversion"/>
  </si>
  <si>
    <t>A/S%</t>
    <phoneticPr fontId="3" type="noConversion"/>
  </si>
  <si>
    <t>운송비</t>
    <phoneticPr fontId="3" type="noConversion"/>
  </si>
  <si>
    <t>운송비%</t>
    <phoneticPr fontId="3" type="noConversion"/>
  </si>
  <si>
    <t>부대비용</t>
  </si>
  <si>
    <t>부대비용%</t>
    <phoneticPr fontId="3" type="noConversion"/>
  </si>
  <si>
    <t>4. SG&amp;A</t>
    <phoneticPr fontId="3" type="noConversion"/>
  </si>
  <si>
    <t>인건비</t>
  </si>
  <si>
    <t>급여</t>
  </si>
  <si>
    <t>상여금</t>
  </si>
  <si>
    <t>% 급여</t>
  </si>
  <si>
    <t>복리후생비</t>
  </si>
  <si>
    <t>인당 복리후생비</t>
  </si>
  <si>
    <t>변동비</t>
  </si>
  <si>
    <t>판매보증비</t>
    <phoneticPr fontId="3" type="noConversion"/>
  </si>
  <si>
    <t>판매촉진비</t>
    <phoneticPr fontId="3" type="noConversion"/>
  </si>
  <si>
    <t>유형자산 감가상각비</t>
  </si>
  <si>
    <t>통신비</t>
  </si>
  <si>
    <t>차량유지비</t>
  </si>
  <si>
    <t>교제비</t>
  </si>
  <si>
    <t>사무용품비</t>
  </si>
  <si>
    <t>대손상각비(환입)</t>
  </si>
  <si>
    <t>기타판관비</t>
  </si>
  <si>
    <t>사무실관리비</t>
  </si>
  <si>
    <t>전산운영비</t>
  </si>
  <si>
    <t>5. CAPEX</t>
    <phoneticPr fontId="3" type="noConversion"/>
  </si>
  <si>
    <t>유형자산</t>
  </si>
  <si>
    <t>건물</t>
  </si>
  <si>
    <t>구축물</t>
  </si>
  <si>
    <t>공구와기구</t>
  </si>
  <si>
    <t>비품</t>
  </si>
  <si>
    <t>소프트웨어</t>
  </si>
  <si>
    <t>건물</t>
    <phoneticPr fontId="3" type="noConversion"/>
  </si>
  <si>
    <t>구축물</t>
    <phoneticPr fontId="3" type="noConversion"/>
  </si>
  <si>
    <t>공구와기구</t>
    <phoneticPr fontId="3" type="noConversion"/>
  </si>
  <si>
    <t>비품</t>
    <phoneticPr fontId="3" type="noConversion"/>
  </si>
  <si>
    <t>소프트웨어</t>
    <phoneticPr fontId="3" type="noConversion"/>
  </si>
  <si>
    <t>판매금액(USD)</t>
    <phoneticPr fontId="3" type="noConversion"/>
  </si>
  <si>
    <t>판매단가(USD)</t>
    <phoneticPr fontId="3" type="noConversion"/>
  </si>
  <si>
    <t>매입금액(USD)</t>
    <phoneticPr fontId="3" type="noConversion"/>
  </si>
  <si>
    <t>매입단가(USD)</t>
    <phoneticPr fontId="3" type="noConversion"/>
  </si>
  <si>
    <t>% 옵션매출</t>
    <phoneticPr fontId="3" type="noConversion"/>
  </si>
  <si>
    <t>% A/S매출</t>
    <phoneticPr fontId="3" type="noConversion"/>
  </si>
  <si>
    <t>부대비용</t>
    <phoneticPr fontId="3" type="noConversion"/>
  </si>
  <si>
    <t>대당단가</t>
  </si>
  <si>
    <t>사용권자산 상각비</t>
  </si>
  <si>
    <t>건물·구축물</t>
  </si>
  <si>
    <t>사용권자산</t>
    <phoneticPr fontId="3" type="noConversion"/>
  </si>
  <si>
    <t>강소(선적)</t>
    <phoneticPr fontId="3" type="noConversion"/>
  </si>
  <si>
    <t>선적금액</t>
  </si>
  <si>
    <t>선적수량</t>
  </si>
  <si>
    <t>환율</t>
  </si>
  <si>
    <t>매입단가(CNY)</t>
    <phoneticPr fontId="3" type="noConversion"/>
  </si>
  <si>
    <t>환차</t>
    <phoneticPr fontId="3" type="noConversion"/>
  </si>
  <si>
    <t>% 옵션매출</t>
  </si>
  <si>
    <t>% A/S매출</t>
  </si>
  <si>
    <t>생산직</t>
  </si>
  <si>
    <t>평균급여</t>
    <phoneticPr fontId="3" type="noConversion"/>
  </si>
  <si>
    <t>관리직</t>
  </si>
  <si>
    <t>주재원</t>
  </si>
  <si>
    <t>수도광열비</t>
  </si>
  <si>
    <t>단위당 수도광열비</t>
    <phoneticPr fontId="3" type="noConversion"/>
  </si>
  <si>
    <t>단위당 수선비</t>
    <phoneticPr fontId="3" type="noConversion"/>
  </si>
  <si>
    <t>단위당 소모품비</t>
    <phoneticPr fontId="3" type="noConversion"/>
  </si>
  <si>
    <t>소모공구비</t>
  </si>
  <si>
    <t>단위당 소모공구비</t>
    <phoneticPr fontId="3" type="noConversion"/>
  </si>
  <si>
    <t>단위당 지급수수료</t>
    <phoneticPr fontId="3" type="noConversion"/>
  </si>
  <si>
    <t>외주가공비</t>
  </si>
  <si>
    <t>단위당 외주가공비</t>
    <phoneticPr fontId="3" type="noConversion"/>
  </si>
  <si>
    <t>포장비</t>
  </si>
  <si>
    <t>단위당 포장비</t>
    <phoneticPr fontId="3" type="noConversion"/>
  </si>
  <si>
    <t>상업보험료</t>
  </si>
  <si>
    <t>판공용품비</t>
  </si>
  <si>
    <t>교육훈련비</t>
  </si>
  <si>
    <t>의류비</t>
  </si>
  <si>
    <t>실험검사비</t>
  </si>
  <si>
    <t>안전생산비</t>
  </si>
  <si>
    <t>평균인원수</t>
    <phoneticPr fontId="3" type="noConversion"/>
  </si>
  <si>
    <t>퇴직급여</t>
    <phoneticPr fontId="3" type="noConversion"/>
  </si>
  <si>
    <t>% 급여</t>
    <phoneticPr fontId="3" type="noConversion"/>
  </si>
  <si>
    <t>운반비</t>
    <phoneticPr fontId="3" type="noConversion"/>
  </si>
  <si>
    <t>합리화비용</t>
  </si>
  <si>
    <t>직업훈련비</t>
  </si>
  <si>
    <t>공회회비</t>
  </si>
  <si>
    <t>수리비</t>
  </si>
  <si>
    <t>접대비</t>
  </si>
  <si>
    <t>국내기종</t>
    <phoneticPr fontId="3" type="noConversion"/>
  </si>
  <si>
    <t>강소기종</t>
    <phoneticPr fontId="3" type="noConversion"/>
  </si>
  <si>
    <t>중국(국내)</t>
    <phoneticPr fontId="3" type="noConversion"/>
  </si>
  <si>
    <t>판매금액(CNY)</t>
    <phoneticPr fontId="3" type="noConversion"/>
  </si>
  <si>
    <t>판매단가(현지통화)</t>
  </si>
  <si>
    <t>환차(제품)</t>
    <phoneticPr fontId="3" type="noConversion"/>
  </si>
  <si>
    <t>매입금액(CNY)</t>
    <phoneticPr fontId="3" type="noConversion"/>
  </si>
  <si>
    <t>옵션%</t>
  </si>
  <si>
    <t>A/S%</t>
  </si>
  <si>
    <t>전력비</t>
    <phoneticPr fontId="3" type="noConversion"/>
  </si>
  <si>
    <t>지급수수료</t>
    <phoneticPr fontId="3" type="noConversion"/>
  </si>
  <si>
    <t>직업훈련비</t>
    <phoneticPr fontId="3" type="noConversion"/>
  </si>
  <si>
    <t>기술개발비</t>
    <phoneticPr fontId="3" type="noConversion"/>
  </si>
  <si>
    <t>사무실운영비</t>
  </si>
  <si>
    <t>피복비</t>
  </si>
  <si>
    <t>재고 충당금</t>
  </si>
  <si>
    <t>기계장치</t>
  </si>
  <si>
    <t>차량운반구</t>
  </si>
  <si>
    <t>2. D&amp;A</t>
    <phoneticPr fontId="3" type="noConversion"/>
  </si>
  <si>
    <t>기존자산 D&amp;A</t>
    <phoneticPr fontId="3" type="noConversion"/>
  </si>
  <si>
    <t>제조원가</t>
    <phoneticPr fontId="3" type="noConversion"/>
  </si>
  <si>
    <t>신규자산 D&amp;A</t>
    <phoneticPr fontId="3" type="noConversion"/>
  </si>
  <si>
    <t>3. Waterfall</t>
    <phoneticPr fontId="3" type="noConversion"/>
  </si>
  <si>
    <t>취득가액</t>
    <phoneticPr fontId="3" type="noConversion"/>
  </si>
  <si>
    <t>상각법</t>
    <phoneticPr fontId="3" type="noConversion"/>
  </si>
  <si>
    <t>내용연수</t>
    <phoneticPr fontId="3" type="noConversion"/>
  </si>
  <si>
    <t>정액법</t>
    <phoneticPr fontId="3" type="noConversion"/>
  </si>
  <si>
    <t>기계장치</t>
    <phoneticPr fontId="3" type="noConversion"/>
  </si>
  <si>
    <t>차량운반구</t>
    <phoneticPr fontId="3" type="noConversion"/>
  </si>
  <si>
    <t>북미(선적)</t>
    <phoneticPr fontId="3" type="noConversion"/>
  </si>
  <si>
    <t>남미(선적)</t>
    <phoneticPr fontId="3" type="noConversion"/>
  </si>
  <si>
    <t>유럽(선적)</t>
    <phoneticPr fontId="3" type="noConversion"/>
  </si>
  <si>
    <t>중국(선적)</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</si>
</sst>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176" formatCode="#,##0;\(#,##0\);\-"/>
    <numFmt numFmtId="177" formatCode="0.0%"/>
    <numFmt numFmtId="178" formatCode="#,##0;[Red]\(#,##0\);&quot;-&quot;"/>
    <numFmt numFmtId="179" formatCode="#,##0.00000;\(#,##0.00000\);\-"/>
    <numFmt numFmtId="180" formatCode="0.00_);[Red]\(0.00\)"/>
    <numFmt numFmtId="181" formatCode="#,##0.0;\(#,##0.0\);\-"/>
    <numFmt numFmtId="182" formatCode="#,##0;;"/>
    <numFmt numFmtId="183" formatCode="#,##0.0"/>
    <numFmt numFmtId="184" formatCode="0.0\x"/>
  </numFmts>
  <fonts count="42" x14ac:knownFonts="1">
    <font>
      <sz val="11"/>
      <color theme="1"/>
      <name val="맑은 고딕"/>
      <family val="2"/>
      <charset val="129"/>
      <scheme val="minor"/>
    </font>
    <font>
      <sz val="11"/>
      <color theme="1"/>
      <name val="맑은 고딕"/>
      <family val="2"/>
      <charset val="129"/>
      <scheme val="minor"/>
    </font>
    <font>
      <b/>
      <sz val="9"/>
      <color theme="0"/>
      <name val="맑은 고딕"/>
      <family val="3"/>
      <charset val="129"/>
      <scheme val="minor"/>
    </font>
    <font>
      <sz val="8"/>
      <name val="맑은 고딕"/>
      <family val="2"/>
      <charset val="129"/>
      <scheme val="minor"/>
    </font>
    <font>
      <sz val="9"/>
      <color theme="1"/>
      <name val="맑은 고딕"/>
      <family val="3"/>
      <charset val="129"/>
      <scheme val="minor"/>
    </font>
    <font>
      <b/>
      <sz val="9"/>
      <color theme="1"/>
      <name val="맑은 고딕"/>
      <family val="3"/>
      <charset val="129"/>
      <scheme val="minor"/>
    </font>
    <font>
      <sz val="9"/>
      <color theme="1"/>
      <name val="맑은 고딕"/>
      <family val="2"/>
      <charset val="129"/>
      <scheme val="minor"/>
    </font>
    <font>
      <i/>
      <sz val="9"/>
      <color theme="1"/>
      <name val="맑은 고딕"/>
      <family val="3"/>
      <charset val="129"/>
      <scheme val="minor"/>
    </font>
    <font>
      <b/>
      <sz val="9"/>
      <color theme="1"/>
      <name val="맑은 고딕"/>
      <family val="2"/>
      <charset val="129"/>
      <scheme val="minor"/>
    </font>
    <font>
      <b/>
      <sz val="9"/>
      <name val="맑은 고딕"/>
      <family val="3"/>
      <scheme val="major"/>
    </font>
    <font>
      <b/>
      <sz val="9"/>
      <name val="맑은 고딕"/>
      <family val="3"/>
      <charset val="129"/>
      <scheme val="minor"/>
    </font>
    <font>
      <sz val="9"/>
      <color rgb="FF0091DA"/>
      <name val="맑은 고딕"/>
      <family val="3"/>
      <charset val="129"/>
      <scheme val="minor"/>
    </font>
    <font>
      <b/>
      <sz val="9"/>
      <color rgb="FF0091DA"/>
      <name val="맑은 고딕"/>
      <family val="3"/>
      <charset val="129"/>
      <scheme val="minor"/>
    </font>
    <font>
      <sz val="9"/>
      <color theme="1"/>
      <name val="맑은 고딕"/>
      <family val="3"/>
      <charset val="129"/>
      <scheme val="major"/>
    </font>
    <font>
      <b/>
      <sz val="9"/>
      <color rgb="FFFF0000"/>
      <name val="맑은 고딕"/>
      <family val="3"/>
      <charset val="129"/>
      <scheme val="minor"/>
    </font>
    <font>
      <b/>
      <sz val="9"/>
      <color rgb="FFFF0000"/>
      <name val="맑은 고딕"/>
      <family val="3"/>
      <charset val="129"/>
      <scheme val="major"/>
    </font>
    <font>
      <sz val="9"/>
      <name val="맑은 고딕"/>
      <family val="3"/>
      <charset val="129"/>
      <scheme val="minor"/>
    </font>
    <font>
      <sz val="9"/>
      <color rgb="FFFF0000"/>
      <name val="맑은 고딕"/>
      <family val="2"/>
      <charset val="129"/>
      <scheme val="minor"/>
    </font>
    <font>
      <sz val="9"/>
      <color rgb="FFFF0000"/>
      <name val="맑은 고딕"/>
      <family val="3"/>
      <charset val="129"/>
      <scheme val="minor"/>
    </font>
    <font>
      <b/>
      <i/>
      <sz val="9"/>
      <color theme="1"/>
      <name val="맑은 고딕"/>
      <family val="3"/>
      <charset val="129"/>
      <scheme val="minor"/>
    </font>
    <font>
      <sz val="9"/>
      <color theme="8" tint="0.79998168889431442"/>
      <name val="맑은 고딕"/>
      <family val="3"/>
      <charset val="129"/>
      <scheme val="minor"/>
    </font>
    <font>
      <sz val="9"/>
      <color theme="0"/>
      <name val="맑은 고딕"/>
      <family val="3"/>
      <charset val="129"/>
      <scheme val="minor"/>
    </font>
    <font>
      <b/>
      <sz val="9"/>
      <color theme="8" tint="0.79998168889431442"/>
      <name val="맑은 고딕"/>
      <family val="3"/>
      <charset val="129"/>
      <scheme val="minor"/>
    </font>
    <font>
      <i/>
      <sz val="9"/>
      <color rgb="FF0070C0"/>
      <name val="맑은 고딕"/>
      <family val="3"/>
      <charset val="129"/>
      <scheme val="minor"/>
    </font>
    <font>
      <sz val="8"/>
      <name val="맑은 고딕"/>
      <family val="2"/>
      <charset val="129"/>
    </font>
    <font>
      <sz val="9"/>
      <color rgb="FF0070C0"/>
      <name val="맑은 고딕"/>
      <family val="3"/>
      <charset val="129"/>
      <scheme val="major"/>
    </font>
    <font>
      <sz val="10"/>
      <color theme="1"/>
      <name val="맑은 고딕"/>
      <family val="3"/>
      <charset val="129"/>
      <scheme val="major"/>
    </font>
    <font>
      <i/>
      <sz val="9"/>
      <color rgb="FFFF0000"/>
      <name val="맑은 고딕"/>
      <family val="3"/>
      <charset val="129"/>
      <scheme val="minor"/>
    </font>
    <font>
      <b/>
      <i/>
      <sz val="9"/>
      <color rgb="FF0070C0"/>
      <name val="맑은 고딕"/>
      <family val="3"/>
      <charset val="129"/>
      <scheme val="minor"/>
    </font>
    <font>
      <sz val="9"/>
      <color theme="0" tint="-4.9989318521683403E-2"/>
      <name val="맑은 고딕"/>
      <family val="3"/>
      <charset val="129"/>
      <scheme val="minor"/>
    </font>
    <font>
      <sz val="9"/>
      <color rgb="FF00B050"/>
      <name val="맑은 고딕"/>
      <family val="3"/>
      <charset val="129"/>
      <scheme val="minor"/>
    </font>
    <font>
      <sz val="9"/>
      <color theme="0" tint="-0.14999847407452621"/>
      <name val="맑은 고딕"/>
      <family val="3"/>
      <charset val="129"/>
      <scheme val="minor"/>
    </font>
    <font>
      <b/>
      <sz val="9"/>
      <color rgb="FF00B050"/>
      <name val="맑은 고딕"/>
      <family val="3"/>
      <charset val="129"/>
      <scheme val="minor"/>
    </font>
    <font>
      <b/>
      <sz val="9"/>
      <color theme="0" tint="-0.14999847407452621"/>
      <name val="맑은 고딕"/>
      <family val="3"/>
      <charset val="129"/>
      <scheme val="minor"/>
    </font>
    <font>
      <i/>
      <sz val="9"/>
      <color rgb="FF00B050"/>
      <name val="맑은 고딕"/>
      <family val="3"/>
      <charset val="129"/>
      <scheme val="minor"/>
    </font>
    <font>
      <sz val="10"/>
      <color theme="0" tint="-0.14999847407452621"/>
      <name val="맑은 고딕"/>
      <family val="3"/>
      <charset val="129"/>
      <scheme val="minor"/>
    </font>
    <font>
      <b/>
      <sz val="9"/>
      <color indexed="81"/>
      <name val="Tahoma"/>
      <family val="2"/>
    </font>
    <font>
      <b/>
      <sz val="9"/>
      <color indexed="81"/>
      <name val="돋움"/>
      <family val="3"/>
      <charset val="129"/>
    </font>
    <font>
      <i/>
      <sz val="9"/>
      <color theme="0" tint="-0.14999847407452621"/>
      <name val="맑은 고딕"/>
      <family val="3"/>
      <charset val="129"/>
      <scheme val="minor"/>
    </font>
    <font>
      <b/>
      <i/>
      <sz val="9"/>
      <color rgb="FFFF0000"/>
      <name val="맑은 고딕"/>
      <family val="3"/>
      <charset val="129"/>
      <scheme val="minor"/>
    </font>
    <font>
      <sz val="10"/>
      <color theme="1"/>
      <name val="맑은 고딕"/>
      <family val="3"/>
      <charset val="129"/>
      <scheme val="minor"/>
    </font>
    <font>
      <b/>
      <sz val="10"/>
      <color theme="1"/>
      <name val="맑은 고딕"/>
      <family val="3"/>
      <charset val="129"/>
      <scheme val="minor"/>
    </font>
  </fonts>
  <fills count="12">
    <fill>
      <patternFill patternType="none"/>
    </fill>
    <fill>
      <patternFill patternType="gray125"/>
    </fill>
    <fill>
      <patternFill patternType="solid">
        <fgColor rgb="FF401075"/>
        <bgColor indexed="64"/>
      </patternFill>
    </fill>
    <fill>
      <patternFill patternType="solid">
        <fgColor rgb="FF002060"/>
        <bgColor indexed="64"/>
      </patternFill>
    </fill>
    <fill>
      <patternFill patternType="solid">
        <fgColor theme="8" tint="0.59999389629810485"/>
        <bgColor indexed="64"/>
      </patternFill>
    </fill>
    <fill>
      <patternFill patternType="solid">
        <fgColor theme="8" tint="0.79998168889431442"/>
        <bgColor indexed="64"/>
      </patternFill>
    </fill>
    <fill>
      <patternFill patternType="lightUp"/>
    </fill>
    <fill>
      <patternFill patternType="solid">
        <fgColor theme="7"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lightUp">
        <bgColor auto="1"/>
      </patternFill>
    </fill>
    <fill>
      <patternFill patternType="solid">
        <fgColor theme="0" tint="-0.14999847407452621"/>
        <bgColor indexed="64"/>
      </patternFill>
    </fill>
  </fills>
  <borders count="73">
    <border>
      <left/>
      <right/>
      <top/>
      <bottom/>
      <diagonal/>
    </border>
    <border>
      <left/>
      <right/>
      <top style="thin">
        <color indexed="64"/>
      </top>
      <bottom style="thin">
        <color indexed="64"/>
      </bottom>
      <diagonal/>
    </border>
    <border>
      <left/>
      <right style="dotted">
        <color indexed="64"/>
      </right>
      <top style="thin">
        <color indexed="64"/>
      </top>
      <bottom style="thin">
        <color indexed="64"/>
      </bottom>
      <diagonal/>
    </border>
    <border>
      <left/>
      <right style="dotted">
        <color indexed="64"/>
      </right>
      <top style="thin">
        <color indexed="64"/>
      </top>
      <bottom/>
      <diagonal/>
    </border>
    <border>
      <left/>
      <right style="dotted">
        <color indexed="64"/>
      </right>
      <top/>
      <bottom/>
      <diagonal/>
    </border>
    <border>
      <left/>
      <right/>
      <top style="dotted">
        <color indexed="64"/>
      </top>
      <bottom/>
      <diagonal/>
    </border>
    <border>
      <left/>
      <right style="dotted">
        <color indexed="64"/>
      </right>
      <top style="dotted">
        <color indexed="64"/>
      </top>
      <bottom/>
      <diagonal/>
    </border>
    <border>
      <left/>
      <right/>
      <top/>
      <bottom style="dotted">
        <color auto="1"/>
      </bottom>
      <diagonal/>
    </border>
    <border>
      <left/>
      <right style="dotted">
        <color indexed="64"/>
      </right>
      <top/>
      <bottom style="dotted">
        <color auto="1"/>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right/>
      <top/>
      <bottom style="thin">
        <color indexed="64"/>
      </bottom>
      <diagonal/>
    </border>
    <border>
      <left/>
      <right style="dotted">
        <color indexed="64"/>
      </right>
      <top/>
      <bottom style="thin">
        <color indexed="64"/>
      </bottom>
      <diagonal/>
    </border>
    <border>
      <left/>
      <right/>
      <top style="thin">
        <color indexed="64"/>
      </top>
      <bottom/>
      <diagonal/>
    </border>
    <border>
      <left/>
      <right/>
      <top style="thin">
        <color rgb="FF7F7F7F"/>
      </top>
      <bottom style="thin">
        <color rgb="FF7F7F7F"/>
      </bottom>
      <diagonal/>
    </border>
    <border>
      <left style="thin">
        <color rgb="FF7F7F7F"/>
      </left>
      <right style="thin">
        <color rgb="FF7F7F7F"/>
      </right>
      <top/>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dotted">
        <color indexed="64"/>
      </left>
      <right/>
      <top style="thin">
        <color indexed="64"/>
      </top>
      <bottom style="thin">
        <color indexed="64"/>
      </bottom>
      <diagonal/>
    </border>
    <border>
      <left style="dotted">
        <color auto="1"/>
      </left>
      <right/>
      <top/>
      <bottom/>
      <diagonal/>
    </border>
    <border>
      <left style="dotted">
        <color auto="1"/>
      </left>
      <right/>
      <top style="dotted">
        <color auto="1"/>
      </top>
      <bottom/>
      <diagonal/>
    </border>
    <border>
      <left style="dotted">
        <color auto="1"/>
      </left>
      <right/>
      <top/>
      <bottom style="dotted">
        <color auto="1"/>
      </bottom>
      <diagonal/>
    </border>
    <border>
      <left style="dotted">
        <color indexed="64"/>
      </left>
      <right/>
      <top style="dotted">
        <color indexed="64"/>
      </top>
      <bottom style="dotted">
        <color indexed="64"/>
      </bottom>
      <diagonal/>
    </border>
    <border>
      <left style="dotted">
        <color indexed="64"/>
      </left>
      <right/>
      <top/>
      <bottom style="thin">
        <color indexed="64"/>
      </bottom>
      <diagonal/>
    </border>
    <border>
      <left/>
      <right/>
      <top style="thin">
        <color rgb="FF7F7F7F"/>
      </top>
      <bottom style="dotted">
        <color rgb="FF7F7F7F"/>
      </bottom>
      <diagonal/>
    </border>
    <border>
      <left/>
      <right/>
      <top style="dotted">
        <color rgb="FF7F7F7F"/>
      </top>
      <bottom style="thin">
        <color rgb="FF7F7F7F"/>
      </bottom>
      <diagonal/>
    </border>
    <border>
      <left style="thin">
        <color indexed="64"/>
      </left>
      <right/>
      <top style="thin">
        <color indexed="64"/>
      </top>
      <bottom/>
      <diagonal/>
    </border>
    <border>
      <left/>
      <right/>
      <top style="thin">
        <color indexed="64"/>
      </top>
      <bottom style="thin">
        <color rgb="FF7F7F7F"/>
      </bottom>
      <diagonal/>
    </border>
    <border>
      <left/>
      <right style="thin">
        <color indexed="64"/>
      </right>
      <top style="thin">
        <color indexed="64"/>
      </top>
      <bottom style="thin">
        <color rgb="FF7F7F7F"/>
      </bottom>
      <diagonal/>
    </border>
    <border>
      <left style="thin">
        <color indexed="64"/>
      </left>
      <right style="thin">
        <color rgb="FF7F7F7F"/>
      </right>
      <top/>
      <bottom/>
      <diagonal/>
    </border>
    <border>
      <left/>
      <right style="thin">
        <color indexed="64"/>
      </right>
      <top style="thin">
        <color rgb="FF7F7F7F"/>
      </top>
      <bottom/>
      <diagonal/>
    </border>
    <border>
      <left/>
      <right style="thin">
        <color indexed="64"/>
      </right>
      <top/>
      <bottom/>
      <diagonal/>
    </border>
    <border>
      <left style="thin">
        <color indexed="64"/>
      </left>
      <right style="thin">
        <color rgb="FF7F7F7F"/>
      </right>
      <top/>
      <bottom style="thin">
        <color indexed="64"/>
      </bottom>
      <diagonal/>
    </border>
    <border>
      <left style="thin">
        <color rgb="FF7F7F7F"/>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medium">
        <color indexed="64"/>
      </left>
      <right/>
      <top/>
      <bottom/>
      <diagonal/>
    </border>
    <border>
      <left style="dotted">
        <color auto="1"/>
      </left>
      <right style="medium">
        <color indexed="64"/>
      </right>
      <top/>
      <bottom/>
      <diagonal/>
    </border>
    <border>
      <left style="medium">
        <color indexed="64"/>
      </left>
      <right/>
      <top style="dotted">
        <color indexed="64"/>
      </top>
      <bottom/>
      <diagonal/>
    </border>
    <border>
      <left style="dotted">
        <color auto="1"/>
      </left>
      <right style="medium">
        <color indexed="64"/>
      </right>
      <top style="dotted">
        <color auto="1"/>
      </top>
      <bottom/>
      <diagonal/>
    </border>
    <border>
      <left style="medium">
        <color indexed="64"/>
      </left>
      <right/>
      <top/>
      <bottom style="dotted">
        <color auto="1"/>
      </bottom>
      <diagonal/>
    </border>
    <border>
      <left style="dotted">
        <color auto="1"/>
      </left>
      <right style="medium">
        <color indexed="64"/>
      </right>
      <top/>
      <bottom style="dotted">
        <color auto="1"/>
      </bottom>
      <diagonal/>
    </border>
    <border>
      <left style="medium">
        <color indexed="64"/>
      </left>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top/>
      <bottom style="medium">
        <color indexed="64"/>
      </bottom>
      <diagonal/>
    </border>
    <border>
      <left/>
      <right/>
      <top/>
      <bottom style="medium">
        <color indexed="64"/>
      </bottom>
      <diagonal/>
    </border>
    <border>
      <left style="dotted">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bottom/>
      <diagonal/>
    </border>
    <border>
      <left style="dotted">
        <color indexed="64"/>
      </left>
      <right style="dotted">
        <color indexed="64"/>
      </right>
      <top/>
      <bottom style="thin">
        <color indexed="64"/>
      </bottom>
      <diagonal/>
    </border>
    <border>
      <left style="dotted">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dotted">
        <color indexed="64"/>
      </left>
      <right style="dotted">
        <color indexed="64"/>
      </right>
      <top style="dotted">
        <color auto="1"/>
      </top>
      <bottom/>
      <diagonal/>
    </border>
    <border>
      <left style="dotted">
        <color indexed="64"/>
      </left>
      <right style="dotted">
        <color indexed="64"/>
      </right>
      <top/>
      <bottom style="dotted">
        <color auto="1"/>
      </bottom>
      <diagonal/>
    </border>
    <border>
      <left style="thin">
        <color indexed="64"/>
      </left>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dotted">
        <color auto="1"/>
      </top>
      <bottom style="dotted">
        <color auto="1"/>
      </bottom>
      <diagonal/>
    </border>
  </borders>
  <cellStyleXfs count="3">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519">
    <xf numFmtId="0" fontId="0" fillId="0" borderId="0" xfId="0">
      <alignment vertical="center"/>
    </xf>
    <xf numFmtId="0" fontId="2" fillId="2" borderId="0" xfId="0" applyFont="1" applyFill="1" applyAlignment="1">
      <alignment horizontal="left" vertical="center"/>
    </xf>
    <xf numFmtId="0" fontId="4" fillId="3" borderId="0" xfId="0" applyFont="1" applyFill="1">
      <alignment vertical="center"/>
    </xf>
    <xf numFmtId="0" fontId="4" fillId="0" borderId="0" xfId="0" applyFont="1">
      <alignment vertical="center"/>
    </xf>
    <xf numFmtId="0" fontId="4" fillId="4" borderId="0" xfId="0" applyFont="1" applyFill="1">
      <alignment vertical="center"/>
    </xf>
    <xf numFmtId="0" fontId="5" fillId="4" borderId="0" xfId="0" quotePrefix="1" applyFont="1" applyFill="1">
      <alignment vertical="center"/>
    </xf>
    <xf numFmtId="0" fontId="6" fillId="0" borderId="0" xfId="0" applyFont="1">
      <alignment vertical="center"/>
    </xf>
    <xf numFmtId="9" fontId="6" fillId="0" borderId="0" xfId="0" applyNumberFormat="1" applyFont="1">
      <alignment vertical="center"/>
    </xf>
    <xf numFmtId="0" fontId="4" fillId="5" borderId="1" xfId="0" applyFont="1" applyFill="1" applyBorder="1">
      <alignment vertical="center"/>
    </xf>
    <xf numFmtId="0" fontId="5" fillId="5" borderId="1" xfId="0" applyFont="1" applyFill="1" applyBorder="1" applyAlignment="1">
      <alignment horizontal="right" vertical="center"/>
    </xf>
    <xf numFmtId="0" fontId="5" fillId="5" borderId="2" xfId="0" applyFont="1" applyFill="1" applyBorder="1" applyAlignment="1">
      <alignment horizontal="right" vertical="center"/>
    </xf>
    <xf numFmtId="0" fontId="5" fillId="0" borderId="0" xfId="0" applyFont="1">
      <alignment vertical="center"/>
    </xf>
    <xf numFmtId="176" fontId="5" fillId="0" borderId="3" xfId="0" applyNumberFormat="1" applyFont="1" applyBorder="1">
      <alignment vertical="center"/>
    </xf>
    <xf numFmtId="176" fontId="5" fillId="0" borderId="0" xfId="0" applyNumberFormat="1" applyFont="1">
      <alignment vertical="center"/>
    </xf>
    <xf numFmtId="9" fontId="5" fillId="0" borderId="0" xfId="0" applyNumberFormat="1" applyFont="1">
      <alignment vertical="center"/>
    </xf>
    <xf numFmtId="176" fontId="4" fillId="0" borderId="4" xfId="0" applyNumberFormat="1" applyFont="1" applyBorder="1">
      <alignment vertical="center"/>
    </xf>
    <xf numFmtId="176" fontId="4" fillId="0" borderId="0" xfId="0" applyNumberFormat="1" applyFont="1">
      <alignment vertical="center"/>
    </xf>
    <xf numFmtId="9" fontId="4" fillId="0" borderId="0" xfId="0" applyNumberFormat="1" applyFont="1">
      <alignment vertical="center"/>
    </xf>
    <xf numFmtId="176" fontId="6" fillId="0" borderId="4" xfId="0" applyNumberFormat="1" applyFont="1" applyBorder="1">
      <alignment vertical="center"/>
    </xf>
    <xf numFmtId="176" fontId="6" fillId="0" borderId="0" xfId="0" applyNumberFormat="1" applyFont="1">
      <alignment vertical="center"/>
    </xf>
    <xf numFmtId="0" fontId="5" fillId="0" borderId="5" xfId="0" applyFont="1" applyBorder="1">
      <alignment vertical="center"/>
    </xf>
    <xf numFmtId="176" fontId="5" fillId="0" borderId="6" xfId="0" applyNumberFormat="1" applyFont="1" applyBorder="1">
      <alignment vertical="center"/>
    </xf>
    <xf numFmtId="176" fontId="5" fillId="0" borderId="5" xfId="0" applyNumberFormat="1" applyFont="1" applyBorder="1">
      <alignment vertical="center"/>
    </xf>
    <xf numFmtId="0" fontId="7" fillId="0" borderId="0" xfId="0" applyFont="1">
      <alignment vertical="center"/>
    </xf>
    <xf numFmtId="0" fontId="7" fillId="0" borderId="7" xfId="0" applyFont="1" applyBorder="1">
      <alignment vertical="center"/>
    </xf>
    <xf numFmtId="177" fontId="7" fillId="0" borderId="8" xfId="0" applyNumberFormat="1" applyFont="1" applyBorder="1">
      <alignment vertical="center"/>
    </xf>
    <xf numFmtId="177" fontId="7" fillId="0" borderId="7" xfId="0" applyNumberFormat="1" applyFont="1" applyBorder="1">
      <alignment vertical="center"/>
    </xf>
    <xf numFmtId="0" fontId="6" fillId="0" borderId="9" xfId="0" applyFont="1" applyBorder="1">
      <alignment vertical="center"/>
    </xf>
    <xf numFmtId="176" fontId="6" fillId="0" borderId="10" xfId="0" applyNumberFormat="1" applyFont="1" applyBorder="1">
      <alignment vertical="center"/>
    </xf>
    <xf numFmtId="176" fontId="6" fillId="0" borderId="9" xfId="0" applyNumberFormat="1" applyFont="1" applyBorder="1">
      <alignment vertical="center"/>
    </xf>
    <xf numFmtId="3" fontId="5" fillId="0" borderId="6" xfId="0" applyNumberFormat="1" applyFont="1" applyBorder="1">
      <alignment vertical="center"/>
    </xf>
    <xf numFmtId="3" fontId="5" fillId="0" borderId="5" xfId="0" applyNumberFormat="1" applyFont="1" applyBorder="1">
      <alignment vertical="center"/>
    </xf>
    <xf numFmtId="0" fontId="7" fillId="0" borderId="11" xfId="0" applyFont="1" applyBorder="1">
      <alignment vertical="center"/>
    </xf>
    <xf numFmtId="177" fontId="7" fillId="0" borderId="12" xfId="0" applyNumberFormat="1" applyFont="1" applyBorder="1">
      <alignment vertical="center"/>
    </xf>
    <xf numFmtId="177" fontId="7" fillId="0" borderId="11" xfId="0" applyNumberFormat="1" applyFont="1" applyBorder="1">
      <alignment vertical="center"/>
    </xf>
    <xf numFmtId="177" fontId="6" fillId="0" borderId="0" xfId="0" applyNumberFormat="1" applyFont="1">
      <alignment vertical="center"/>
    </xf>
    <xf numFmtId="0" fontId="5" fillId="0" borderId="13" xfId="0" applyFont="1" applyBorder="1">
      <alignment vertical="center"/>
    </xf>
    <xf numFmtId="0" fontId="5" fillId="0" borderId="3" xfId="0" applyFont="1" applyBorder="1">
      <alignment vertical="center"/>
    </xf>
    <xf numFmtId="3" fontId="5" fillId="0" borderId="13" xfId="0" applyNumberFormat="1" applyFont="1" applyBorder="1">
      <alignment vertical="center"/>
    </xf>
    <xf numFmtId="0" fontId="6" fillId="0" borderId="7" xfId="0" applyFont="1" applyBorder="1">
      <alignment vertical="center"/>
    </xf>
    <xf numFmtId="0" fontId="6" fillId="0" borderId="8" xfId="0" applyFont="1" applyBorder="1">
      <alignment vertical="center"/>
    </xf>
    <xf numFmtId="3" fontId="6" fillId="0" borderId="7" xfId="0" applyNumberFormat="1" applyFont="1" applyBorder="1">
      <alignment vertical="center"/>
    </xf>
    <xf numFmtId="0" fontId="5" fillId="0" borderId="6" xfId="0" applyFont="1" applyBorder="1">
      <alignment vertical="center"/>
    </xf>
    <xf numFmtId="9" fontId="7" fillId="0" borderId="0" xfId="0" applyNumberFormat="1" applyFont="1">
      <alignment vertical="center"/>
    </xf>
    <xf numFmtId="9" fontId="7" fillId="0" borderId="4" xfId="0" applyNumberFormat="1" applyFont="1" applyBorder="1">
      <alignment vertical="center"/>
    </xf>
    <xf numFmtId="177" fontId="7" fillId="0" borderId="0" xfId="0" applyNumberFormat="1" applyFont="1">
      <alignment vertical="center"/>
    </xf>
    <xf numFmtId="0" fontId="5" fillId="0" borderId="4" xfId="0" applyFont="1" applyBorder="1">
      <alignment vertical="center"/>
    </xf>
    <xf numFmtId="3" fontId="5" fillId="0" borderId="0" xfId="0" applyNumberFormat="1" applyFont="1">
      <alignment vertical="center"/>
    </xf>
    <xf numFmtId="3" fontId="6" fillId="6" borderId="7" xfId="0" applyNumberFormat="1" applyFont="1" applyFill="1" applyBorder="1">
      <alignment vertical="center"/>
    </xf>
    <xf numFmtId="0" fontId="6" fillId="0" borderId="4" xfId="0" applyFont="1" applyBorder="1">
      <alignment vertical="center"/>
    </xf>
    <xf numFmtId="3" fontId="8" fillId="6" borderId="0" xfId="0" applyNumberFormat="1" applyFont="1" applyFill="1">
      <alignment vertical="center"/>
    </xf>
    <xf numFmtId="3" fontId="6" fillId="0" borderId="0" xfId="0" applyNumberFormat="1" applyFont="1">
      <alignment vertical="center"/>
    </xf>
    <xf numFmtId="3" fontId="6" fillId="6" borderId="0" xfId="0" applyNumberFormat="1" applyFont="1" applyFill="1">
      <alignment vertical="center"/>
    </xf>
    <xf numFmtId="0" fontId="6" fillId="6" borderId="0" xfId="0" applyFont="1" applyFill="1">
      <alignment vertical="center"/>
    </xf>
    <xf numFmtId="176" fontId="6" fillId="0" borderId="7" xfId="0" applyNumberFormat="1" applyFont="1" applyBorder="1">
      <alignment vertical="center"/>
    </xf>
    <xf numFmtId="176" fontId="6" fillId="6" borderId="7" xfId="0" applyNumberFormat="1" applyFont="1" applyFill="1" applyBorder="1">
      <alignment vertical="center"/>
    </xf>
    <xf numFmtId="0" fontId="5" fillId="0" borderId="9" xfId="0" applyFont="1" applyBorder="1">
      <alignment vertical="center"/>
    </xf>
    <xf numFmtId="0" fontId="6" fillId="0" borderId="10" xfId="0" applyFont="1" applyBorder="1">
      <alignment vertical="center"/>
    </xf>
    <xf numFmtId="176" fontId="5" fillId="0" borderId="9" xfId="0" applyNumberFormat="1" applyFont="1" applyBorder="1">
      <alignment vertical="center"/>
    </xf>
    <xf numFmtId="176" fontId="5" fillId="6" borderId="9" xfId="0" applyNumberFormat="1" applyFont="1" applyFill="1" applyBorder="1">
      <alignment vertical="center"/>
    </xf>
    <xf numFmtId="2" fontId="6" fillId="0" borderId="0" xfId="0" applyNumberFormat="1" applyFont="1">
      <alignment vertical="center"/>
    </xf>
    <xf numFmtId="0" fontId="4" fillId="6" borderId="0" xfId="0" applyFont="1" applyFill="1">
      <alignment vertical="center"/>
    </xf>
    <xf numFmtId="0" fontId="5" fillId="0" borderId="10" xfId="0" applyFont="1" applyBorder="1">
      <alignment vertical="center"/>
    </xf>
    <xf numFmtId="3" fontId="5" fillId="0" borderId="9" xfId="0" applyNumberFormat="1" applyFont="1" applyBorder="1">
      <alignment vertical="center"/>
    </xf>
    <xf numFmtId="0" fontId="5" fillId="6" borderId="9" xfId="0" applyFont="1" applyFill="1" applyBorder="1">
      <alignment vertical="center"/>
    </xf>
    <xf numFmtId="0" fontId="5" fillId="0" borderId="11" xfId="0" applyFont="1" applyBorder="1">
      <alignment vertical="center"/>
    </xf>
    <xf numFmtId="0" fontId="6" fillId="0" borderId="11" xfId="0" applyFont="1" applyBorder="1">
      <alignment vertical="center"/>
    </xf>
    <xf numFmtId="0" fontId="6" fillId="0" borderId="12" xfId="0" applyFont="1" applyBorder="1">
      <alignment vertical="center"/>
    </xf>
    <xf numFmtId="3" fontId="5" fillId="0" borderId="11" xfId="0" applyNumberFormat="1" applyFont="1" applyBorder="1">
      <alignment vertical="center"/>
    </xf>
    <xf numFmtId="176" fontId="9" fillId="5" borderId="13" xfId="0" applyNumberFormat="1" applyFont="1" applyFill="1" applyBorder="1">
      <alignment vertical="center"/>
    </xf>
    <xf numFmtId="177" fontId="10" fillId="5" borderId="13" xfId="0" applyNumberFormat="1" applyFont="1" applyFill="1" applyBorder="1">
      <alignment vertical="center"/>
    </xf>
    <xf numFmtId="177" fontId="10" fillId="0" borderId="13" xfId="0" applyNumberFormat="1" applyFont="1" applyBorder="1">
      <alignment vertical="center"/>
    </xf>
    <xf numFmtId="176" fontId="9" fillId="5" borderId="11" xfId="0" applyNumberFormat="1" applyFont="1" applyFill="1" applyBorder="1">
      <alignment vertical="center"/>
    </xf>
    <xf numFmtId="177" fontId="10" fillId="5" borderId="11" xfId="2" applyNumberFormat="1" applyFont="1" applyFill="1" applyBorder="1">
      <alignment vertical="center"/>
    </xf>
    <xf numFmtId="177" fontId="10" fillId="0" borderId="11" xfId="2" applyNumberFormat="1" applyFont="1" applyFill="1" applyBorder="1">
      <alignment vertical="center"/>
    </xf>
    <xf numFmtId="177" fontId="11" fillId="0" borderId="0" xfId="0" applyNumberFormat="1" applyFont="1">
      <alignment vertical="center"/>
    </xf>
    <xf numFmtId="0" fontId="11" fillId="0" borderId="0" xfId="0" applyFont="1">
      <alignment vertical="center"/>
    </xf>
    <xf numFmtId="0" fontId="12" fillId="0" borderId="0" xfId="0" applyFont="1" applyAlignment="1">
      <alignment horizontal="center" vertical="center"/>
    </xf>
    <xf numFmtId="3" fontId="2" fillId="0" borderId="0" xfId="0" applyNumberFormat="1" applyFont="1" applyAlignment="1">
      <alignment horizontal="center" vertical="center"/>
    </xf>
    <xf numFmtId="10" fontId="12" fillId="0" borderId="14" xfId="0" applyNumberFormat="1" applyFont="1" applyBorder="1" applyAlignment="1">
      <alignment horizontal="center" vertical="center"/>
    </xf>
    <xf numFmtId="0" fontId="5" fillId="5" borderId="1" xfId="0" applyFont="1" applyFill="1" applyBorder="1" applyAlignment="1">
      <alignment horizontal="left" vertical="center"/>
    </xf>
    <xf numFmtId="177" fontId="12" fillId="0" borderId="15" xfId="0" applyNumberFormat="1" applyFont="1" applyBorder="1" applyAlignment="1">
      <alignment horizontal="center" vertical="center"/>
    </xf>
    <xf numFmtId="3" fontId="6" fillId="0" borderId="16" xfId="0" applyNumberFormat="1" applyFont="1" applyBorder="1">
      <alignment vertical="center"/>
    </xf>
    <xf numFmtId="3" fontId="6" fillId="0" borderId="17" xfId="0" applyNumberFormat="1" applyFont="1" applyBorder="1">
      <alignment vertical="center"/>
    </xf>
    <xf numFmtId="3" fontId="5" fillId="5" borderId="18" xfId="0" applyNumberFormat="1" applyFont="1" applyFill="1" applyBorder="1">
      <alignment vertical="center"/>
    </xf>
    <xf numFmtId="3" fontId="6" fillId="0" borderId="19" xfId="0" applyNumberFormat="1" applyFont="1" applyBorder="1">
      <alignment vertical="center"/>
    </xf>
    <xf numFmtId="3" fontId="5" fillId="5" borderId="0" xfId="0" applyNumberFormat="1" applyFont="1" applyFill="1">
      <alignment vertical="center"/>
    </xf>
    <xf numFmtId="3" fontId="6" fillId="0" borderId="20" xfId="0" applyNumberFormat="1" applyFont="1" applyBorder="1">
      <alignment vertical="center"/>
    </xf>
    <xf numFmtId="0" fontId="11" fillId="0" borderId="20" xfId="0" applyFont="1" applyBorder="1">
      <alignment vertical="center"/>
    </xf>
    <xf numFmtId="3" fontId="5" fillId="5" borderId="21" xfId="0" applyNumberFormat="1" applyFont="1" applyFill="1" applyBorder="1">
      <alignment vertical="center"/>
    </xf>
    <xf numFmtId="3" fontId="6" fillId="0" borderId="22" xfId="0" applyNumberFormat="1" applyFont="1" applyBorder="1">
      <alignment vertical="center"/>
    </xf>
    <xf numFmtId="3" fontId="6" fillId="0" borderId="23" xfId="0" applyNumberFormat="1" applyFont="1" applyBorder="1">
      <alignment vertical="center"/>
    </xf>
    <xf numFmtId="0" fontId="4" fillId="0" borderId="11" xfId="0" applyFont="1" applyBorder="1">
      <alignment vertical="center"/>
    </xf>
    <xf numFmtId="176" fontId="5" fillId="0" borderId="11" xfId="0" applyNumberFormat="1" applyFont="1" applyBorder="1">
      <alignment vertical="center"/>
    </xf>
    <xf numFmtId="0" fontId="5" fillId="7" borderId="24" xfId="0" applyFont="1" applyFill="1" applyBorder="1" applyAlignment="1">
      <alignment horizontal="right" vertical="center"/>
    </xf>
    <xf numFmtId="9" fontId="5" fillId="7" borderId="1" xfId="0" applyNumberFormat="1" applyFont="1" applyFill="1" applyBorder="1" applyAlignment="1">
      <alignment horizontal="right" vertical="center"/>
    </xf>
    <xf numFmtId="3" fontId="5" fillId="0" borderId="25" xfId="0" applyNumberFormat="1" applyFont="1" applyBorder="1">
      <alignment vertical="center"/>
    </xf>
    <xf numFmtId="0" fontId="4" fillId="0" borderId="5" xfId="0" applyFont="1" applyBorder="1">
      <alignment vertical="center"/>
    </xf>
    <xf numFmtId="0" fontId="4" fillId="0" borderId="26" xfId="0" applyFont="1" applyBorder="1">
      <alignment vertical="center"/>
    </xf>
    <xf numFmtId="0" fontId="4" fillId="0" borderId="25" xfId="0" applyFont="1" applyBorder="1">
      <alignment vertical="center"/>
    </xf>
    <xf numFmtId="0" fontId="4" fillId="0" borderId="7" xfId="0" applyFont="1" applyBorder="1">
      <alignment vertical="center"/>
    </xf>
    <xf numFmtId="0" fontId="4" fillId="0" borderId="27" xfId="0" applyFont="1" applyBorder="1">
      <alignment vertical="center"/>
    </xf>
    <xf numFmtId="0" fontId="5" fillId="0" borderId="25" xfId="0" applyFont="1" applyBorder="1">
      <alignment vertical="center"/>
    </xf>
    <xf numFmtId="0" fontId="4" fillId="0" borderId="9" xfId="0" applyFont="1" applyBorder="1">
      <alignment vertical="center"/>
    </xf>
    <xf numFmtId="176" fontId="4" fillId="0" borderId="9" xfId="0" applyNumberFormat="1" applyFont="1" applyBorder="1">
      <alignment vertical="center"/>
    </xf>
    <xf numFmtId="176" fontId="4" fillId="0" borderId="28" xfId="0" applyNumberFormat="1" applyFont="1" applyBorder="1">
      <alignment vertical="center"/>
    </xf>
    <xf numFmtId="3" fontId="5" fillId="0" borderId="29" xfId="0" applyNumberFormat="1" applyFont="1" applyBorder="1">
      <alignment vertical="center"/>
    </xf>
    <xf numFmtId="0" fontId="10" fillId="5" borderId="31" xfId="0" applyFont="1" applyFill="1" applyBorder="1" applyAlignment="1">
      <alignment horizontal="center" vertical="center"/>
    </xf>
    <xf numFmtId="178" fontId="13" fillId="0" borderId="0" xfId="0" applyNumberFormat="1" applyFont="1">
      <alignment vertical="center"/>
    </xf>
    <xf numFmtId="0" fontId="14" fillId="0" borderId="22" xfId="0" applyFont="1" applyBorder="1">
      <alignment vertical="center"/>
    </xf>
    <xf numFmtId="178" fontId="15" fillId="0" borderId="22" xfId="0" applyNumberFormat="1" applyFont="1" applyBorder="1">
      <alignment vertical="center"/>
    </xf>
    <xf numFmtId="0" fontId="5" fillId="5" borderId="3" xfId="0" applyFont="1" applyFill="1" applyBorder="1" applyAlignment="1">
      <alignment horizontal="right" vertical="center"/>
    </xf>
    <xf numFmtId="176" fontId="4" fillId="0" borderId="3" xfId="0" applyNumberFormat="1" applyFont="1" applyBorder="1">
      <alignment vertical="center"/>
    </xf>
    <xf numFmtId="41" fontId="14" fillId="0" borderId="0" xfId="1" applyFont="1">
      <alignment vertical="center"/>
    </xf>
    <xf numFmtId="0" fontId="16" fillId="0" borderId="0" xfId="0" applyFont="1">
      <alignment vertical="center"/>
    </xf>
    <xf numFmtId="176" fontId="5" fillId="0" borderId="10" xfId="0" applyNumberFormat="1" applyFont="1" applyBorder="1">
      <alignment vertical="center"/>
    </xf>
    <xf numFmtId="176" fontId="5" fillId="0" borderId="12" xfId="0" applyNumberFormat="1" applyFont="1" applyBorder="1">
      <alignment vertical="center"/>
    </xf>
    <xf numFmtId="176" fontId="5" fillId="6" borderId="0" xfId="0" applyNumberFormat="1" applyFont="1" applyFill="1">
      <alignment vertical="center"/>
    </xf>
    <xf numFmtId="0" fontId="17" fillId="0" borderId="0" xfId="0" applyFont="1">
      <alignment vertical="center"/>
    </xf>
    <xf numFmtId="176" fontId="4" fillId="6" borderId="0" xfId="0" applyNumberFormat="1" applyFont="1" applyFill="1">
      <alignment vertical="center"/>
    </xf>
    <xf numFmtId="176" fontId="6" fillId="6" borderId="0" xfId="0" applyNumberFormat="1" applyFont="1" applyFill="1">
      <alignment vertical="center"/>
    </xf>
    <xf numFmtId="3" fontId="4" fillId="0" borderId="0" xfId="0" applyNumberFormat="1" applyFont="1">
      <alignment vertical="center"/>
    </xf>
    <xf numFmtId="176" fontId="8" fillId="6" borderId="0" xfId="0" applyNumberFormat="1" applyFont="1" applyFill="1">
      <alignment vertical="center"/>
    </xf>
    <xf numFmtId="176" fontId="8" fillId="0" borderId="0" xfId="0" applyNumberFormat="1" applyFont="1">
      <alignment vertical="center"/>
    </xf>
    <xf numFmtId="176" fontId="5" fillId="0" borderId="4" xfId="0" applyNumberFormat="1" applyFont="1" applyBorder="1">
      <alignment vertical="center"/>
    </xf>
    <xf numFmtId="176" fontId="6" fillId="0" borderId="8" xfId="0" applyNumberFormat="1" applyFont="1" applyBorder="1">
      <alignment vertical="center"/>
    </xf>
    <xf numFmtId="176" fontId="4" fillId="0" borderId="7" xfId="0" applyNumberFormat="1" applyFont="1" applyBorder="1">
      <alignment vertical="center"/>
    </xf>
    <xf numFmtId="176" fontId="6" fillId="6" borderId="11" xfId="0" applyNumberFormat="1" applyFont="1" applyFill="1" applyBorder="1">
      <alignment vertical="center"/>
    </xf>
    <xf numFmtId="41" fontId="18" fillId="0" borderId="0" xfId="1" applyFont="1">
      <alignment vertical="center"/>
    </xf>
    <xf numFmtId="176" fontId="5" fillId="6" borderId="11" xfId="0" applyNumberFormat="1" applyFont="1" applyFill="1" applyBorder="1">
      <alignment vertical="center"/>
    </xf>
    <xf numFmtId="176" fontId="4" fillId="0" borderId="11" xfId="0" applyNumberFormat="1" applyFont="1" applyBorder="1">
      <alignment vertical="center"/>
    </xf>
    <xf numFmtId="176" fontId="4" fillId="0" borderId="12" xfId="0" applyNumberFormat="1" applyFont="1" applyBorder="1">
      <alignment vertical="center"/>
    </xf>
    <xf numFmtId="41" fontId="4" fillId="0" borderId="0" xfId="1" applyFont="1">
      <alignment vertical="center"/>
    </xf>
    <xf numFmtId="41" fontId="18" fillId="0" borderId="0" xfId="1" applyFont="1" applyFill="1">
      <alignment vertical="center"/>
    </xf>
    <xf numFmtId="41" fontId="6" fillId="0" borderId="0" xfId="1" applyFont="1">
      <alignment vertical="center"/>
    </xf>
    <xf numFmtId="176" fontId="4" fillId="0" borderId="8" xfId="0" applyNumberFormat="1" applyFont="1" applyBorder="1">
      <alignment vertical="center"/>
    </xf>
    <xf numFmtId="179" fontId="5" fillId="0" borderId="0" xfId="0" applyNumberFormat="1" applyFont="1">
      <alignment vertical="center"/>
    </xf>
    <xf numFmtId="9" fontId="4" fillId="0" borderId="0" xfId="2" applyFont="1">
      <alignment vertical="center"/>
    </xf>
    <xf numFmtId="177" fontId="4" fillId="0" borderId="0" xfId="2" applyNumberFormat="1" applyFont="1" applyFill="1">
      <alignment vertical="center"/>
    </xf>
    <xf numFmtId="177" fontId="4" fillId="0" borderId="4" xfId="2" applyNumberFormat="1" applyFont="1" applyFill="1" applyBorder="1">
      <alignment vertical="center"/>
    </xf>
    <xf numFmtId="177" fontId="4" fillId="0" borderId="0" xfId="2" applyNumberFormat="1" applyFont="1">
      <alignment vertical="center"/>
    </xf>
    <xf numFmtId="9" fontId="7" fillId="0" borderId="0" xfId="2" applyFont="1">
      <alignment vertical="center"/>
    </xf>
    <xf numFmtId="41" fontId="4" fillId="0" borderId="0" xfId="1" applyFont="1" applyFill="1">
      <alignment vertical="center"/>
    </xf>
    <xf numFmtId="3" fontId="7" fillId="0" borderId="0" xfId="0" applyNumberFormat="1" applyFont="1">
      <alignment vertical="center"/>
    </xf>
    <xf numFmtId="41" fontId="17" fillId="0" borderId="0" xfId="1" applyFont="1" applyFill="1">
      <alignment vertical="center"/>
    </xf>
    <xf numFmtId="177" fontId="4" fillId="0" borderId="4" xfId="2" applyNumberFormat="1" applyFont="1" applyBorder="1">
      <alignment vertical="center"/>
    </xf>
    <xf numFmtId="0" fontId="18" fillId="0" borderId="0" xfId="0" applyFont="1">
      <alignment vertical="center"/>
    </xf>
    <xf numFmtId="41" fontId="5" fillId="0" borderId="0" xfId="1" applyFont="1">
      <alignment vertical="center"/>
    </xf>
    <xf numFmtId="176" fontId="7" fillId="0" borderId="8" xfId="0" applyNumberFormat="1" applyFont="1" applyBorder="1">
      <alignment vertical="center"/>
    </xf>
    <xf numFmtId="176" fontId="7" fillId="0" borderId="7" xfId="0" applyNumberFormat="1" applyFont="1" applyBorder="1">
      <alignment vertical="center"/>
    </xf>
    <xf numFmtId="176" fontId="7" fillId="0" borderId="4" xfId="0" applyNumberFormat="1" applyFont="1" applyBorder="1">
      <alignment vertical="center"/>
    </xf>
    <xf numFmtId="176" fontId="7" fillId="0" borderId="0" xfId="0" applyNumberFormat="1" applyFont="1">
      <alignment vertical="center"/>
    </xf>
    <xf numFmtId="176" fontId="7" fillId="0" borderId="12" xfId="0" applyNumberFormat="1" applyFont="1" applyBorder="1">
      <alignment vertical="center"/>
    </xf>
    <xf numFmtId="176" fontId="7" fillId="0" borderId="11" xfId="0" applyNumberFormat="1" applyFont="1" applyBorder="1">
      <alignment vertical="center"/>
    </xf>
    <xf numFmtId="9" fontId="6" fillId="0" borderId="0" xfId="2" applyFont="1" applyFill="1">
      <alignment vertical="center"/>
    </xf>
    <xf numFmtId="41" fontId="6" fillId="0" borderId="0" xfId="1" applyFont="1" applyFill="1">
      <alignment vertical="center"/>
    </xf>
    <xf numFmtId="41" fontId="5" fillId="0" borderId="0" xfId="1" applyFont="1" applyFill="1">
      <alignment vertical="center"/>
    </xf>
    <xf numFmtId="0" fontId="5" fillId="6" borderId="0" xfId="0" applyFont="1" applyFill="1">
      <alignment vertical="center"/>
    </xf>
    <xf numFmtId="0" fontId="19" fillId="0" borderId="11" xfId="0" applyFont="1" applyBorder="1">
      <alignment vertical="center"/>
    </xf>
    <xf numFmtId="9" fontId="19" fillId="0" borderId="11" xfId="0" applyNumberFormat="1" applyFont="1" applyBorder="1">
      <alignment vertical="center"/>
    </xf>
    <xf numFmtId="0" fontId="19" fillId="0" borderId="0" xfId="0" applyFont="1">
      <alignment vertical="center"/>
    </xf>
    <xf numFmtId="0" fontId="5" fillId="4" borderId="0" xfId="0" applyFont="1" applyFill="1">
      <alignment vertical="center"/>
    </xf>
    <xf numFmtId="177" fontId="4" fillId="0" borderId="0" xfId="0" applyNumberFormat="1" applyFont="1">
      <alignment vertical="center"/>
    </xf>
    <xf numFmtId="3" fontId="2" fillId="0" borderId="32" xfId="0" applyNumberFormat="1" applyFont="1" applyBorder="1" applyAlignment="1">
      <alignment horizontal="center" vertical="center"/>
    </xf>
    <xf numFmtId="10" fontId="12" fillId="0" borderId="33" xfId="0" applyNumberFormat="1" applyFont="1" applyBorder="1" applyAlignment="1">
      <alignment horizontal="center" vertical="center"/>
    </xf>
    <xf numFmtId="10" fontId="12" fillId="0" borderId="34" xfId="0" applyNumberFormat="1" applyFont="1" applyBorder="1" applyAlignment="1">
      <alignment horizontal="center" vertical="center"/>
    </xf>
    <xf numFmtId="177" fontId="12" fillId="0" borderId="35" xfId="0" applyNumberFormat="1" applyFont="1" applyBorder="1" applyAlignment="1">
      <alignment horizontal="center" vertical="center"/>
    </xf>
    <xf numFmtId="3" fontId="5" fillId="5" borderId="36" xfId="0" applyNumberFormat="1" applyFont="1" applyFill="1" applyBorder="1">
      <alignment vertical="center"/>
    </xf>
    <xf numFmtId="3" fontId="6" fillId="0" borderId="37" xfId="0" applyNumberFormat="1" applyFont="1" applyBorder="1">
      <alignment vertical="center"/>
    </xf>
    <xf numFmtId="177" fontId="12" fillId="0" borderId="38" xfId="0" applyNumberFormat="1" applyFont="1" applyBorder="1" applyAlignment="1">
      <alignment horizontal="center" vertical="center"/>
    </xf>
    <xf numFmtId="3" fontId="5" fillId="5" borderId="39" xfId="0" applyNumberFormat="1" applyFont="1" applyFill="1" applyBorder="1">
      <alignment vertical="center"/>
    </xf>
    <xf numFmtId="3" fontId="6" fillId="0" borderId="11" xfId="0" applyNumberFormat="1" applyFont="1" applyBorder="1">
      <alignment vertical="center"/>
    </xf>
    <xf numFmtId="3" fontId="6" fillId="0" borderId="40" xfId="0" applyNumberFormat="1" applyFont="1" applyBorder="1">
      <alignment vertical="center"/>
    </xf>
    <xf numFmtId="0" fontId="5" fillId="5" borderId="41" xfId="0" applyFont="1" applyFill="1" applyBorder="1" applyAlignment="1">
      <alignment horizontal="left" vertical="center"/>
    </xf>
    <xf numFmtId="0" fontId="5" fillId="5" borderId="42" xfId="0" applyFont="1" applyFill="1" applyBorder="1" applyAlignment="1">
      <alignment horizontal="right" vertical="center"/>
    </xf>
    <xf numFmtId="0" fontId="5" fillId="7" borderId="43" xfId="0" applyFont="1" applyFill="1" applyBorder="1" applyAlignment="1">
      <alignment horizontal="right" vertical="center"/>
    </xf>
    <xf numFmtId="0" fontId="5" fillId="0" borderId="44" xfId="0" applyFont="1" applyBorder="1">
      <alignment vertical="center"/>
    </xf>
    <xf numFmtId="3" fontId="5" fillId="0" borderId="45" xfId="0" applyNumberFormat="1" applyFont="1" applyBorder="1">
      <alignment vertical="center"/>
    </xf>
    <xf numFmtId="0" fontId="4" fillId="0" borderId="46" xfId="0" applyFont="1" applyBorder="1">
      <alignment vertical="center"/>
    </xf>
    <xf numFmtId="0" fontId="4" fillId="0" borderId="47" xfId="0" applyFont="1" applyBorder="1">
      <alignment vertical="center"/>
    </xf>
    <xf numFmtId="0" fontId="4" fillId="0" borderId="44" xfId="0" applyFont="1" applyBorder="1">
      <alignment vertical="center"/>
    </xf>
    <xf numFmtId="0" fontId="4" fillId="0" borderId="45" xfId="0" applyFont="1" applyBorder="1">
      <alignment vertical="center"/>
    </xf>
    <xf numFmtId="0" fontId="4" fillId="0" borderId="48" xfId="0" applyFont="1" applyBorder="1">
      <alignment vertical="center"/>
    </xf>
    <xf numFmtId="0" fontId="4" fillId="0" borderId="49" xfId="0" applyFont="1" applyBorder="1">
      <alignment vertical="center"/>
    </xf>
    <xf numFmtId="0" fontId="5" fillId="0" borderId="45" xfId="0" applyFont="1" applyBorder="1">
      <alignment vertical="center"/>
    </xf>
    <xf numFmtId="0" fontId="4" fillId="0" borderId="50" xfId="0" applyFont="1" applyBorder="1">
      <alignment vertical="center"/>
    </xf>
    <xf numFmtId="176" fontId="4" fillId="0" borderId="51" xfId="0" applyNumberFormat="1" applyFont="1" applyBorder="1">
      <alignment vertical="center"/>
    </xf>
    <xf numFmtId="0" fontId="5" fillId="0" borderId="52" xfId="0" applyFont="1" applyBorder="1">
      <alignment vertical="center"/>
    </xf>
    <xf numFmtId="0" fontId="5" fillId="0" borderId="53" xfId="0" applyFont="1" applyBorder="1">
      <alignment vertical="center"/>
    </xf>
    <xf numFmtId="3" fontId="5" fillId="0" borderId="53" xfId="0" applyNumberFormat="1" applyFont="1" applyBorder="1">
      <alignment vertical="center"/>
    </xf>
    <xf numFmtId="3" fontId="5" fillId="0" borderId="54" xfId="0" applyNumberFormat="1" applyFont="1" applyBorder="1">
      <alignment vertical="center"/>
    </xf>
    <xf numFmtId="0" fontId="5" fillId="5" borderId="1" xfId="0" applyFont="1" applyFill="1" applyBorder="1">
      <alignment vertical="center"/>
    </xf>
    <xf numFmtId="0" fontId="5" fillId="5" borderId="55" xfId="0" applyFont="1" applyFill="1" applyBorder="1">
      <alignment vertical="center"/>
    </xf>
    <xf numFmtId="9" fontId="5" fillId="8" borderId="56" xfId="0" applyNumberFormat="1" applyFont="1" applyFill="1" applyBorder="1">
      <alignment vertical="center"/>
    </xf>
    <xf numFmtId="9" fontId="20" fillId="5" borderId="1" xfId="0" applyNumberFormat="1" applyFont="1" applyFill="1" applyBorder="1">
      <alignment vertical="center"/>
    </xf>
    <xf numFmtId="9" fontId="5" fillId="5" borderId="1" xfId="0" applyNumberFormat="1" applyFont="1" applyFill="1" applyBorder="1">
      <alignment vertical="center"/>
    </xf>
    <xf numFmtId="0" fontId="4" fillId="0" borderId="13" xfId="0" applyFont="1" applyBorder="1">
      <alignment vertical="center"/>
    </xf>
    <xf numFmtId="0" fontId="21" fillId="0" borderId="13" xfId="0" applyFont="1" applyBorder="1">
      <alignment vertical="center"/>
    </xf>
    <xf numFmtId="3" fontId="21" fillId="0" borderId="13" xfId="0" applyNumberFormat="1" applyFont="1" applyBorder="1">
      <alignment vertical="center"/>
    </xf>
    <xf numFmtId="3" fontId="21" fillId="0" borderId="0" xfId="0" applyNumberFormat="1" applyFont="1">
      <alignment vertical="center"/>
    </xf>
    <xf numFmtId="3" fontId="21" fillId="0" borderId="11" xfId="0" applyNumberFormat="1" applyFont="1" applyBorder="1">
      <alignment vertical="center"/>
    </xf>
    <xf numFmtId="3" fontId="4" fillId="0" borderId="13" xfId="0" applyNumberFormat="1" applyFont="1" applyBorder="1">
      <alignment vertical="center"/>
    </xf>
    <xf numFmtId="0" fontId="21" fillId="0" borderId="0" xfId="0" applyFont="1">
      <alignment vertical="center"/>
    </xf>
    <xf numFmtId="0" fontId="21" fillId="0" borderId="11" xfId="0" applyFont="1" applyBorder="1">
      <alignment vertical="center"/>
    </xf>
    <xf numFmtId="3" fontId="4" fillId="0" borderId="11" xfId="0" applyNumberFormat="1" applyFont="1" applyBorder="1">
      <alignment vertical="center"/>
    </xf>
    <xf numFmtId="0" fontId="4" fillId="0" borderId="1" xfId="0" applyFont="1" applyBorder="1">
      <alignment vertical="center"/>
    </xf>
    <xf numFmtId="0" fontId="21" fillId="0" borderId="1" xfId="0" applyFont="1" applyBorder="1">
      <alignment vertical="center"/>
    </xf>
    <xf numFmtId="3" fontId="21" fillId="0" borderId="1" xfId="0" applyNumberFormat="1" applyFont="1" applyBorder="1">
      <alignment vertical="center"/>
    </xf>
    <xf numFmtId="3" fontId="4" fillId="0" borderId="1" xfId="0" applyNumberFormat="1" applyFont="1" applyBorder="1">
      <alignment vertical="center"/>
    </xf>
    <xf numFmtId="177" fontId="7" fillId="0" borderId="1" xfId="0" applyNumberFormat="1" applyFont="1" applyBorder="1">
      <alignment vertical="center"/>
    </xf>
    <xf numFmtId="0" fontId="5" fillId="0" borderId="1" xfId="0" applyFont="1" applyBorder="1">
      <alignment vertical="center"/>
    </xf>
    <xf numFmtId="9" fontId="22" fillId="5" borderId="32" xfId="0" applyNumberFormat="1" applyFont="1" applyFill="1" applyBorder="1">
      <alignment vertical="center"/>
    </xf>
    <xf numFmtId="9" fontId="5" fillId="5" borderId="13" xfId="0" applyNumberFormat="1" applyFont="1" applyFill="1" applyBorder="1">
      <alignment vertical="center"/>
    </xf>
    <xf numFmtId="3" fontId="2" fillId="5" borderId="13" xfId="0" applyNumberFormat="1" applyFont="1" applyFill="1" applyBorder="1">
      <alignment vertical="center"/>
    </xf>
    <xf numFmtId="177" fontId="5" fillId="5" borderId="57" xfId="0" applyNumberFormat="1" applyFont="1" applyFill="1" applyBorder="1">
      <alignment vertical="center"/>
    </xf>
    <xf numFmtId="177" fontId="21" fillId="0" borderId="0" xfId="0" applyNumberFormat="1" applyFont="1">
      <alignment vertical="center"/>
    </xf>
    <xf numFmtId="3" fontId="4" fillId="0" borderId="32" xfId="0" applyNumberFormat="1" applyFont="1" applyBorder="1">
      <alignment vertical="center"/>
    </xf>
    <xf numFmtId="3" fontId="4" fillId="0" borderId="58" xfId="0" applyNumberFormat="1" applyFont="1" applyBorder="1">
      <alignment vertical="center"/>
    </xf>
    <xf numFmtId="3" fontId="4" fillId="0" borderId="57" xfId="0" applyNumberFormat="1" applyFont="1" applyBorder="1">
      <alignment vertical="center"/>
    </xf>
    <xf numFmtId="3" fontId="4" fillId="0" borderId="37" xfId="0" applyNumberFormat="1" applyFont="1" applyBorder="1">
      <alignment vertical="center"/>
    </xf>
    <xf numFmtId="3" fontId="5" fillId="8" borderId="59" xfId="0" applyNumberFormat="1" applyFont="1" applyFill="1" applyBorder="1">
      <alignment vertical="center"/>
    </xf>
    <xf numFmtId="177" fontId="5" fillId="5" borderId="60" xfId="0" applyNumberFormat="1" applyFont="1" applyFill="1" applyBorder="1">
      <alignment vertical="center"/>
    </xf>
    <xf numFmtId="177" fontId="21" fillId="0" borderId="11" xfId="0" applyNumberFormat="1" applyFont="1" applyBorder="1">
      <alignment vertical="center"/>
    </xf>
    <xf numFmtId="3" fontId="4" fillId="0" borderId="60" xfId="0" applyNumberFormat="1" applyFont="1" applyBorder="1">
      <alignment vertical="center"/>
    </xf>
    <xf numFmtId="3" fontId="4" fillId="0" borderId="40" xfId="0" applyNumberFormat="1" applyFont="1" applyBorder="1">
      <alignment vertical="center"/>
    </xf>
    <xf numFmtId="0" fontId="23" fillId="0" borderId="0" xfId="0" applyFont="1">
      <alignment vertical="center"/>
    </xf>
    <xf numFmtId="0" fontId="10" fillId="5" borderId="1" xfId="0" applyFont="1" applyFill="1" applyBorder="1">
      <alignment vertical="center"/>
    </xf>
    <xf numFmtId="0" fontId="10" fillId="5" borderId="1" xfId="0" applyFont="1" applyFill="1" applyBorder="1" applyAlignment="1">
      <alignment horizontal="right" vertical="center"/>
    </xf>
    <xf numFmtId="176" fontId="13" fillId="0" borderId="0" xfId="0" applyNumberFormat="1" applyFont="1">
      <alignment vertical="center"/>
    </xf>
    <xf numFmtId="14" fontId="25" fillId="0" borderId="0" xfId="0" applyNumberFormat="1" applyFont="1" applyAlignment="1">
      <alignment horizontal="right" vertical="center"/>
    </xf>
    <xf numFmtId="14" fontId="13" fillId="0" borderId="0" xfId="0" applyNumberFormat="1" applyFont="1" applyAlignment="1">
      <alignment horizontal="right" vertical="center"/>
    </xf>
    <xf numFmtId="176" fontId="13" fillId="0" borderId="11" xfId="0" applyNumberFormat="1" applyFont="1" applyBorder="1">
      <alignment vertical="center"/>
    </xf>
    <xf numFmtId="180" fontId="26" fillId="0" borderId="11" xfId="0" applyNumberFormat="1" applyFont="1" applyBorder="1" applyAlignment="1">
      <alignment horizontal="right" vertical="center"/>
    </xf>
    <xf numFmtId="0" fontId="5" fillId="5" borderId="24" xfId="0" applyFont="1" applyFill="1" applyBorder="1" applyAlignment="1">
      <alignment horizontal="right" vertical="center"/>
    </xf>
    <xf numFmtId="177" fontId="7" fillId="0" borderId="0" xfId="2" applyNumberFormat="1" applyFont="1" applyFill="1">
      <alignment vertical="center"/>
    </xf>
    <xf numFmtId="177" fontId="7" fillId="6" borderId="25" xfId="2" applyNumberFormat="1" applyFont="1" applyFill="1" applyBorder="1">
      <alignment vertical="center"/>
    </xf>
    <xf numFmtId="177" fontId="7" fillId="6" borderId="0" xfId="2" applyNumberFormat="1" applyFont="1" applyFill="1">
      <alignment vertical="center"/>
    </xf>
    <xf numFmtId="177" fontId="7" fillId="6" borderId="4" xfId="2" applyNumberFormat="1" applyFont="1" applyFill="1" applyBorder="1">
      <alignment vertical="center"/>
    </xf>
    <xf numFmtId="177" fontId="7" fillId="0" borderId="0" xfId="2" applyNumberFormat="1" applyFont="1">
      <alignment vertical="center"/>
    </xf>
    <xf numFmtId="177" fontId="7" fillId="0" borderId="11" xfId="2" applyNumberFormat="1" applyFont="1" applyFill="1" applyBorder="1">
      <alignment vertical="center"/>
    </xf>
    <xf numFmtId="177" fontId="7" fillId="6" borderId="29" xfId="2" applyNumberFormat="1" applyFont="1" applyFill="1" applyBorder="1">
      <alignment vertical="center"/>
    </xf>
    <xf numFmtId="177" fontId="7" fillId="6" borderId="11" xfId="2" applyNumberFormat="1" applyFont="1" applyFill="1" applyBorder="1">
      <alignment vertical="center"/>
    </xf>
    <xf numFmtId="177" fontId="7" fillId="6" borderId="12" xfId="2" applyNumberFormat="1" applyFont="1" applyFill="1" applyBorder="1">
      <alignment vertical="center"/>
    </xf>
    <xf numFmtId="0" fontId="27" fillId="0" borderId="0" xfId="0" applyFont="1">
      <alignment vertical="center"/>
    </xf>
    <xf numFmtId="0" fontId="5" fillId="5" borderId="61" xfId="0" applyFont="1" applyFill="1" applyBorder="1" applyAlignment="1">
      <alignment horizontal="right" vertical="center"/>
    </xf>
    <xf numFmtId="0" fontId="4" fillId="8" borderId="56" xfId="0" applyFont="1" applyFill="1" applyBorder="1" applyAlignment="1">
      <alignment horizontal="center" vertical="center"/>
    </xf>
    <xf numFmtId="176" fontId="4" fillId="0" borderId="62" xfId="0" applyNumberFormat="1" applyFont="1" applyBorder="1">
      <alignment vertical="center"/>
    </xf>
    <xf numFmtId="181" fontId="4" fillId="0" borderId="0" xfId="0" applyNumberFormat="1" applyFont="1">
      <alignment vertical="center"/>
    </xf>
    <xf numFmtId="181" fontId="4" fillId="0" borderId="4" xfId="0" applyNumberFormat="1" applyFont="1" applyBorder="1">
      <alignment vertical="center"/>
    </xf>
    <xf numFmtId="181" fontId="23" fillId="0" borderId="0" xfId="0" applyNumberFormat="1" applyFont="1">
      <alignment vertical="center"/>
    </xf>
    <xf numFmtId="181" fontId="4" fillId="0" borderId="62" xfId="0" applyNumberFormat="1" applyFont="1" applyBorder="1">
      <alignment vertical="center"/>
    </xf>
    <xf numFmtId="181" fontId="4" fillId="0" borderId="11" xfId="0" applyNumberFormat="1" applyFont="1" applyBorder="1">
      <alignment vertical="center"/>
    </xf>
    <xf numFmtId="181" fontId="4" fillId="0" borderId="12" xfId="0" applyNumberFormat="1" applyFont="1" applyBorder="1">
      <alignment vertical="center"/>
    </xf>
    <xf numFmtId="181" fontId="4" fillId="0" borderId="63" xfId="0" applyNumberFormat="1" applyFont="1" applyBorder="1">
      <alignment vertical="center"/>
    </xf>
    <xf numFmtId="0" fontId="6" fillId="4" borderId="0" xfId="0" applyFont="1" applyFill="1">
      <alignment vertical="center"/>
    </xf>
    <xf numFmtId="0" fontId="6" fillId="9" borderId="0" xfId="0" applyFont="1" applyFill="1">
      <alignment vertical="center"/>
    </xf>
    <xf numFmtId="0" fontId="5" fillId="9" borderId="0" xfId="0" applyFont="1" applyFill="1">
      <alignment vertical="center"/>
    </xf>
    <xf numFmtId="0" fontId="6" fillId="9" borderId="0" xfId="0" applyFont="1" applyFill="1" applyAlignment="1">
      <alignment horizontal="center" vertical="center"/>
    </xf>
    <xf numFmtId="0" fontId="28" fillId="0" borderId="0" xfId="0" applyFont="1">
      <alignment vertical="center"/>
    </xf>
    <xf numFmtId="0" fontId="4" fillId="6" borderId="64" xfId="0" applyFont="1" applyFill="1" applyBorder="1">
      <alignment vertical="center"/>
    </xf>
    <xf numFmtId="0" fontId="4" fillId="6" borderId="13" xfId="0" applyFont="1" applyFill="1" applyBorder="1">
      <alignment vertical="center"/>
    </xf>
    <xf numFmtId="0" fontId="4" fillId="6" borderId="3" xfId="0" applyFont="1" applyFill="1" applyBorder="1">
      <alignment vertical="center"/>
    </xf>
    <xf numFmtId="9" fontId="7" fillId="0" borderId="59" xfId="0" applyNumberFormat="1" applyFont="1" applyBorder="1">
      <alignment vertical="center"/>
    </xf>
    <xf numFmtId="0" fontId="4" fillId="6" borderId="25" xfId="0" applyFont="1" applyFill="1" applyBorder="1">
      <alignment vertical="center"/>
    </xf>
    <xf numFmtId="0" fontId="4" fillId="6" borderId="4" xfId="0" applyFont="1" applyFill="1" applyBorder="1">
      <alignment vertical="center"/>
    </xf>
    <xf numFmtId="9" fontId="7" fillId="0" borderId="65" xfId="0" applyNumberFormat="1" applyFont="1" applyBorder="1">
      <alignment vertical="center"/>
    </xf>
    <xf numFmtId="9" fontId="7" fillId="0" borderId="66" xfId="0" applyNumberFormat="1" applyFont="1" applyBorder="1">
      <alignment vertical="center"/>
    </xf>
    <xf numFmtId="9" fontId="7" fillId="0" borderId="67" xfId="0" applyNumberFormat="1" applyFont="1" applyBorder="1">
      <alignment vertical="center"/>
    </xf>
    <xf numFmtId="0" fontId="4" fillId="6" borderId="29" xfId="0" applyFont="1" applyFill="1" applyBorder="1">
      <alignment vertical="center"/>
    </xf>
    <xf numFmtId="0" fontId="4" fillId="6" borderId="11" xfId="0" applyFont="1" applyFill="1" applyBorder="1">
      <alignment vertical="center"/>
    </xf>
    <xf numFmtId="0" fontId="4" fillId="6" borderId="12" xfId="0" applyFont="1" applyFill="1" applyBorder="1">
      <alignment vertical="center"/>
    </xf>
    <xf numFmtId="0" fontId="5" fillId="6" borderId="13" xfId="0" applyFont="1" applyFill="1" applyBorder="1">
      <alignment vertical="center"/>
    </xf>
    <xf numFmtId="0" fontId="5" fillId="6" borderId="3" xfId="0" applyFont="1" applyFill="1" applyBorder="1">
      <alignment vertical="center"/>
    </xf>
    <xf numFmtId="0" fontId="5" fillId="6" borderId="4" xfId="0" applyFont="1" applyFill="1" applyBorder="1">
      <alignment vertical="center"/>
    </xf>
    <xf numFmtId="0" fontId="10" fillId="5" borderId="13" xfId="0" applyFont="1" applyFill="1" applyBorder="1">
      <alignment vertical="center"/>
    </xf>
    <xf numFmtId="9" fontId="5" fillId="0" borderId="56" xfId="0" applyNumberFormat="1" applyFont="1" applyBorder="1">
      <alignment vertical="center"/>
    </xf>
    <xf numFmtId="9" fontId="4" fillId="0" borderId="13" xfId="0" applyNumberFormat="1" applyFont="1" applyBorder="1">
      <alignment vertical="center"/>
    </xf>
    <xf numFmtId="9" fontId="4" fillId="0" borderId="3" xfId="0" applyNumberFormat="1" applyFont="1" applyBorder="1">
      <alignment vertical="center"/>
    </xf>
    <xf numFmtId="181" fontId="4" fillId="6" borderId="0" xfId="0" applyNumberFormat="1" applyFont="1" applyFill="1">
      <alignment vertical="center"/>
    </xf>
    <xf numFmtId="9" fontId="4" fillId="0" borderId="11" xfId="0" applyNumberFormat="1" applyFont="1" applyBorder="1">
      <alignment vertical="center"/>
    </xf>
    <xf numFmtId="181" fontId="4" fillId="6" borderId="11" xfId="0" applyNumberFormat="1" applyFont="1" applyFill="1" applyBorder="1">
      <alignment vertical="center"/>
    </xf>
    <xf numFmtId="176" fontId="4" fillId="6" borderId="11" xfId="0" applyNumberFormat="1" applyFont="1" applyFill="1" applyBorder="1">
      <alignment vertical="center"/>
    </xf>
    <xf numFmtId="0" fontId="29" fillId="0" borderId="0" xfId="0" applyFont="1">
      <alignment vertical="center"/>
    </xf>
    <xf numFmtId="2" fontId="4" fillId="0" borderId="0" xfId="0" applyNumberFormat="1" applyFont="1">
      <alignment vertical="center"/>
    </xf>
    <xf numFmtId="0" fontId="10" fillId="0" borderId="0" xfId="0" applyFont="1">
      <alignment vertical="center"/>
    </xf>
    <xf numFmtId="0" fontId="5" fillId="0" borderId="0" xfId="0" applyFont="1" applyAlignment="1">
      <alignment horizontal="right" vertical="center"/>
    </xf>
    <xf numFmtId="0" fontId="10" fillId="5" borderId="1" xfId="0" applyFont="1" applyFill="1" applyBorder="1" applyAlignment="1">
      <alignment horizontal="center" vertical="center"/>
    </xf>
    <xf numFmtId="0" fontId="10" fillId="5" borderId="11" xfId="0" applyFont="1" applyFill="1" applyBorder="1">
      <alignment vertical="center"/>
    </xf>
    <xf numFmtId="0" fontId="5" fillId="0" borderId="0" xfId="0" applyFont="1" applyAlignment="1">
      <alignment horizontal="center" vertical="center"/>
    </xf>
    <xf numFmtId="176" fontId="4" fillId="0" borderId="64" xfId="0" applyNumberFormat="1" applyFont="1" applyBorder="1">
      <alignment vertical="center"/>
    </xf>
    <xf numFmtId="176" fontId="4" fillId="0" borderId="13" xfId="0" applyNumberFormat="1" applyFont="1" applyBorder="1">
      <alignment vertical="center"/>
    </xf>
    <xf numFmtId="0" fontId="4" fillId="0" borderId="0" xfId="0" applyFont="1" applyAlignment="1">
      <alignment horizontal="center" vertical="center"/>
    </xf>
    <xf numFmtId="176" fontId="4" fillId="0" borderId="25" xfId="0" applyNumberFormat="1" applyFont="1" applyBorder="1">
      <alignment vertical="center"/>
    </xf>
    <xf numFmtId="176" fontId="4" fillId="6" borderId="25" xfId="0" applyNumberFormat="1" applyFont="1" applyFill="1" applyBorder="1">
      <alignment vertical="center"/>
    </xf>
    <xf numFmtId="176" fontId="4" fillId="6" borderId="4" xfId="0" applyNumberFormat="1" applyFont="1" applyFill="1" applyBorder="1">
      <alignment vertical="center"/>
    </xf>
    <xf numFmtId="0" fontId="4" fillId="0" borderId="11" xfId="0" applyFont="1" applyBorder="1" applyAlignment="1">
      <alignment horizontal="center" vertical="center"/>
    </xf>
    <xf numFmtId="176" fontId="4" fillId="0" borderId="29" xfId="0" applyNumberFormat="1" applyFont="1" applyBorder="1">
      <alignment vertical="center"/>
    </xf>
    <xf numFmtId="0" fontId="10" fillId="0" borderId="0" xfId="0" applyFont="1" applyAlignment="1">
      <alignment horizontal="center" vertical="center"/>
    </xf>
    <xf numFmtId="0" fontId="5" fillId="6" borderId="0" xfId="0" applyFont="1" applyFill="1" applyAlignment="1">
      <alignment horizontal="right" vertical="center"/>
    </xf>
    <xf numFmtId="9" fontId="4" fillId="6" borderId="0" xfId="0" applyNumberFormat="1" applyFont="1" applyFill="1">
      <alignment vertical="center"/>
    </xf>
    <xf numFmtId="3" fontId="4" fillId="6" borderId="0" xfId="0" applyNumberFormat="1" applyFont="1" applyFill="1">
      <alignment vertical="center"/>
    </xf>
    <xf numFmtId="9" fontId="4" fillId="6" borderId="11" xfId="0" applyNumberFormat="1" applyFont="1" applyFill="1" applyBorder="1">
      <alignment vertical="center"/>
    </xf>
    <xf numFmtId="0" fontId="5" fillId="9" borderId="0" xfId="0" quotePrefix="1" applyFont="1" applyFill="1">
      <alignment vertical="center"/>
    </xf>
    <xf numFmtId="0" fontId="4" fillId="0" borderId="64" xfId="0" applyFont="1" applyBorder="1">
      <alignment vertical="center"/>
    </xf>
    <xf numFmtId="177" fontId="23" fillId="0" borderId="0" xfId="2" applyNumberFormat="1" applyFont="1">
      <alignment vertical="center"/>
    </xf>
    <xf numFmtId="177" fontId="23" fillId="0" borderId="0" xfId="0" applyNumberFormat="1" applyFont="1">
      <alignment vertical="center"/>
    </xf>
    <xf numFmtId="176" fontId="4" fillId="6" borderId="62" xfId="0" applyNumberFormat="1" applyFont="1" applyFill="1" applyBorder="1">
      <alignment vertical="center"/>
    </xf>
    <xf numFmtId="177" fontId="28" fillId="0" borderId="0" xfId="0" applyNumberFormat="1" applyFont="1">
      <alignment vertical="center"/>
    </xf>
    <xf numFmtId="177" fontId="5" fillId="0" borderId="0" xfId="0" applyNumberFormat="1" applyFont="1">
      <alignment vertical="center"/>
    </xf>
    <xf numFmtId="41" fontId="21" fillId="0" borderId="0" xfId="1" applyFont="1" applyFill="1">
      <alignment vertical="center"/>
    </xf>
    <xf numFmtId="177" fontId="23" fillId="0" borderId="0" xfId="2" applyNumberFormat="1" applyFont="1" applyFill="1">
      <alignment vertical="center"/>
    </xf>
    <xf numFmtId="0" fontId="14" fillId="0" borderId="0" xfId="0" applyFont="1">
      <alignment vertical="center"/>
    </xf>
    <xf numFmtId="3" fontId="4" fillId="0" borderId="25" xfId="0" applyNumberFormat="1" applyFont="1" applyBorder="1">
      <alignment vertical="center"/>
    </xf>
    <xf numFmtId="3" fontId="4" fillId="0" borderId="62" xfId="0" applyNumberFormat="1" applyFont="1" applyBorder="1">
      <alignment vertical="center"/>
    </xf>
    <xf numFmtId="176" fontId="4" fillId="6" borderId="29" xfId="0" applyNumberFormat="1" applyFont="1" applyFill="1" applyBorder="1">
      <alignment vertical="center"/>
    </xf>
    <xf numFmtId="176" fontId="4" fillId="6" borderId="63" xfId="0" applyNumberFormat="1" applyFont="1" applyFill="1" applyBorder="1">
      <alignment vertical="center"/>
    </xf>
    <xf numFmtId="3" fontId="4" fillId="0" borderId="0" xfId="1" applyNumberFormat="1" applyFont="1">
      <alignment vertical="center"/>
    </xf>
    <xf numFmtId="177" fontId="4" fillId="6" borderId="0" xfId="0" applyNumberFormat="1" applyFont="1" applyFill="1">
      <alignment vertical="center"/>
    </xf>
    <xf numFmtId="10" fontId="4" fillId="0" borderId="59" xfId="0" applyNumberFormat="1" applyFont="1" applyBorder="1">
      <alignment vertical="center"/>
    </xf>
    <xf numFmtId="177" fontId="4" fillId="6" borderId="11" xfId="0" applyNumberFormat="1" applyFont="1" applyFill="1" applyBorder="1">
      <alignment vertical="center"/>
    </xf>
    <xf numFmtId="0" fontId="4" fillId="3" borderId="0" xfId="0" applyFont="1" applyFill="1" applyAlignment="1">
      <alignment horizontal="center" vertical="center"/>
    </xf>
    <xf numFmtId="0" fontId="30" fillId="0" borderId="0" xfId="0" applyFont="1">
      <alignment vertical="center"/>
    </xf>
    <xf numFmtId="182" fontId="31" fillId="0" borderId="0" xfId="0" applyNumberFormat="1" applyFont="1">
      <alignment vertical="center"/>
    </xf>
    <xf numFmtId="0" fontId="4" fillId="4" borderId="0" xfId="0" applyFont="1" applyFill="1" applyAlignment="1">
      <alignment horizontal="center" vertical="center"/>
    </xf>
    <xf numFmtId="176" fontId="30" fillId="0" borderId="0" xfId="0" applyNumberFormat="1" applyFont="1">
      <alignment vertical="center"/>
    </xf>
    <xf numFmtId="0" fontId="4" fillId="5" borderId="1" xfId="0" applyFont="1" applyFill="1" applyBorder="1" applyAlignment="1">
      <alignment horizontal="center" vertical="center"/>
    </xf>
    <xf numFmtId="176" fontId="5" fillId="0" borderId="62" xfId="0" applyNumberFormat="1" applyFont="1" applyBorder="1">
      <alignment vertical="center"/>
    </xf>
    <xf numFmtId="0" fontId="32" fillId="0" borderId="0" xfId="0" applyFont="1">
      <alignment vertical="center"/>
    </xf>
    <xf numFmtId="182" fontId="33" fillId="0" borderId="0" xfId="0" applyNumberFormat="1" applyFont="1">
      <alignment vertical="center"/>
    </xf>
    <xf numFmtId="176" fontId="14" fillId="0" borderId="0" xfId="0" applyNumberFormat="1" applyFont="1">
      <alignment vertical="center"/>
    </xf>
    <xf numFmtId="176" fontId="4" fillId="0" borderId="63" xfId="0" applyNumberFormat="1" applyFont="1" applyBorder="1">
      <alignment vertical="center"/>
    </xf>
    <xf numFmtId="9" fontId="32" fillId="0" borderId="0" xfId="0" applyNumberFormat="1" applyFont="1">
      <alignment vertical="center"/>
    </xf>
    <xf numFmtId="0" fontId="4" fillId="0" borderId="5" xfId="0" applyFont="1" applyBorder="1" applyAlignment="1">
      <alignment horizontal="center" vertical="center"/>
    </xf>
    <xf numFmtId="176" fontId="4" fillId="0" borderId="5" xfId="0" applyNumberFormat="1" applyFont="1" applyBorder="1">
      <alignment vertical="center"/>
    </xf>
    <xf numFmtId="176" fontId="4" fillId="0" borderId="6" xfId="0" applyNumberFormat="1" applyFont="1" applyBorder="1">
      <alignment vertical="center"/>
    </xf>
    <xf numFmtId="176" fontId="4" fillId="0" borderId="68" xfId="0" applyNumberFormat="1" applyFont="1" applyBorder="1">
      <alignment vertical="center"/>
    </xf>
    <xf numFmtId="0" fontId="4" fillId="0" borderId="7" xfId="0" applyFont="1" applyBorder="1" applyAlignment="1">
      <alignment horizontal="center" vertical="center"/>
    </xf>
    <xf numFmtId="176" fontId="4" fillId="0" borderId="69" xfId="0" applyNumberFormat="1" applyFont="1" applyBorder="1">
      <alignment vertical="center"/>
    </xf>
    <xf numFmtId="0" fontId="31" fillId="0" borderId="0" xfId="0" applyFont="1">
      <alignment vertical="center"/>
    </xf>
    <xf numFmtId="9" fontId="4" fillId="0" borderId="59" xfId="0" applyNumberFormat="1" applyFont="1" applyBorder="1" applyAlignment="1">
      <alignment horizontal="right" vertical="center"/>
    </xf>
    <xf numFmtId="9" fontId="7" fillId="0" borderId="62" xfId="0" applyNumberFormat="1" applyFont="1" applyBorder="1">
      <alignment vertical="center"/>
    </xf>
    <xf numFmtId="0" fontId="4" fillId="0" borderId="0" xfId="0" applyFont="1" applyAlignment="1">
      <alignment horizontal="right" vertical="center"/>
    </xf>
    <xf numFmtId="176" fontId="4" fillId="0" borderId="59" xfId="1" applyNumberFormat="1" applyFont="1" applyBorder="1" applyAlignment="1">
      <alignment horizontal="right" vertical="center"/>
    </xf>
    <xf numFmtId="9" fontId="4" fillId="0" borderId="4" xfId="0" applyNumberFormat="1" applyFont="1" applyBorder="1">
      <alignment vertical="center"/>
    </xf>
    <xf numFmtId="9" fontId="30" fillId="0" borderId="0" xfId="0" applyNumberFormat="1" applyFont="1">
      <alignment vertical="center"/>
    </xf>
    <xf numFmtId="9" fontId="4" fillId="0" borderId="66" xfId="0" applyNumberFormat="1" applyFont="1" applyBorder="1" applyAlignment="1">
      <alignment horizontal="right" vertical="center"/>
    </xf>
    <xf numFmtId="181" fontId="7" fillId="0" borderId="0" xfId="0" applyNumberFormat="1" applyFont="1">
      <alignment vertical="center"/>
    </xf>
    <xf numFmtId="181" fontId="32" fillId="0" borderId="0" xfId="0" applyNumberFormat="1" applyFont="1">
      <alignment vertical="center"/>
    </xf>
    <xf numFmtId="9" fontId="4" fillId="0" borderId="70" xfId="0" applyNumberFormat="1" applyFont="1" applyBorder="1" applyAlignment="1">
      <alignment horizontal="right" vertical="center"/>
    </xf>
    <xf numFmtId="9" fontId="4" fillId="8" borderId="56" xfId="0" applyNumberFormat="1" applyFont="1" applyFill="1" applyBorder="1" applyAlignment="1">
      <alignment horizontal="right" vertical="center"/>
    </xf>
    <xf numFmtId="9" fontId="4" fillId="0" borderId="62" xfId="0" applyNumberFormat="1" applyFont="1" applyBorder="1">
      <alignment vertical="center"/>
    </xf>
    <xf numFmtId="9" fontId="34" fillId="0" borderId="0" xfId="0" applyNumberFormat="1" applyFont="1">
      <alignment vertical="center"/>
    </xf>
    <xf numFmtId="176" fontId="5" fillId="6" borderId="62" xfId="0" applyNumberFormat="1" applyFont="1" applyFill="1" applyBorder="1">
      <alignment vertical="center"/>
    </xf>
    <xf numFmtId="181" fontId="4" fillId="0" borderId="59" xfId="0" applyNumberFormat="1" applyFont="1" applyBorder="1" applyAlignment="1">
      <alignment horizontal="right" vertical="center"/>
    </xf>
    <xf numFmtId="183" fontId="4" fillId="8" borderId="56" xfId="0" applyNumberFormat="1" applyFont="1" applyFill="1" applyBorder="1" applyAlignment="1">
      <alignment horizontal="right" vertical="center"/>
    </xf>
    <xf numFmtId="183" fontId="4" fillId="0" borderId="0" xfId="0" applyNumberFormat="1" applyFont="1">
      <alignment vertical="center"/>
    </xf>
    <xf numFmtId="3" fontId="4" fillId="4" borderId="0" xfId="0" applyNumberFormat="1" applyFont="1" applyFill="1">
      <alignment vertical="center"/>
    </xf>
    <xf numFmtId="0" fontId="5" fillId="5" borderId="63" xfId="0" applyFont="1" applyFill="1" applyBorder="1" applyAlignment="1">
      <alignment horizontal="right" vertical="center"/>
    </xf>
    <xf numFmtId="0" fontId="33" fillId="0" borderId="0" xfId="0" applyFont="1">
      <alignment vertical="center"/>
    </xf>
    <xf numFmtId="176" fontId="5" fillId="0" borderId="25" xfId="0" applyNumberFormat="1" applyFont="1" applyBorder="1">
      <alignment vertical="center"/>
    </xf>
    <xf numFmtId="0" fontId="35" fillId="0" borderId="0" xfId="0" applyFont="1">
      <alignment vertical="center"/>
    </xf>
    <xf numFmtId="9" fontId="4" fillId="0" borderId="59" xfId="0" applyNumberFormat="1" applyFont="1" applyBorder="1" applyAlignment="1">
      <alignment horizontal="center" vertical="center"/>
    </xf>
    <xf numFmtId="9" fontId="4" fillId="0" borderId="62" xfId="2" applyFont="1" applyFill="1" applyBorder="1">
      <alignment vertical="center"/>
    </xf>
    <xf numFmtId="9" fontId="4" fillId="0" borderId="0" xfId="2" applyFont="1" applyFill="1">
      <alignment vertical="center"/>
    </xf>
    <xf numFmtId="9" fontId="4" fillId="0" borderId="25" xfId="2" applyFont="1" applyFill="1" applyBorder="1">
      <alignment vertical="center"/>
    </xf>
    <xf numFmtId="181" fontId="4" fillId="0" borderId="59" xfId="0" applyNumberFormat="1" applyFont="1" applyBorder="1" applyAlignment="1">
      <alignment horizontal="center" vertical="center"/>
    </xf>
    <xf numFmtId="181" fontId="4" fillId="0" borderId="25" xfId="0" applyNumberFormat="1" applyFont="1" applyBorder="1">
      <alignment vertical="center"/>
    </xf>
    <xf numFmtId="9" fontId="35" fillId="0" borderId="0" xfId="2" applyFont="1">
      <alignment vertical="center"/>
    </xf>
    <xf numFmtId="9" fontId="5" fillId="0" borderId="0" xfId="2" applyFont="1">
      <alignment vertical="center"/>
    </xf>
    <xf numFmtId="9" fontId="4" fillId="0" borderId="4" xfId="2" applyFont="1" applyBorder="1">
      <alignment vertical="center"/>
    </xf>
    <xf numFmtId="9" fontId="7" fillId="0" borderId="0" xfId="2" applyFont="1" applyFill="1">
      <alignment vertical="center"/>
    </xf>
    <xf numFmtId="182" fontId="31" fillId="0" borderId="0" xfId="2" applyNumberFormat="1" applyFont="1" applyFill="1">
      <alignment vertical="center"/>
    </xf>
    <xf numFmtId="9" fontId="4" fillId="0" borderId="25" xfId="2" applyFont="1" applyBorder="1">
      <alignment vertical="center"/>
    </xf>
    <xf numFmtId="9" fontId="4" fillId="0" borderId="62" xfId="2" applyFont="1" applyBorder="1">
      <alignment vertical="center"/>
    </xf>
    <xf numFmtId="9" fontId="4" fillId="0" borderId="4" xfId="2" applyFont="1" applyFill="1" applyBorder="1">
      <alignment vertical="center"/>
    </xf>
    <xf numFmtId="177" fontId="7" fillId="0" borderId="4" xfId="0" applyNumberFormat="1" applyFont="1" applyBorder="1">
      <alignment vertical="center"/>
    </xf>
    <xf numFmtId="177" fontId="7" fillId="0" borderId="62" xfId="0" applyNumberFormat="1" applyFont="1" applyBorder="1">
      <alignment vertical="center"/>
    </xf>
    <xf numFmtId="177" fontId="7" fillId="0" borderId="25" xfId="0" applyNumberFormat="1" applyFont="1" applyBorder="1">
      <alignment vertical="center"/>
    </xf>
    <xf numFmtId="176" fontId="5" fillId="0" borderId="13" xfId="0" applyNumberFormat="1" applyFont="1" applyBorder="1">
      <alignment vertical="center"/>
    </xf>
    <xf numFmtId="0" fontId="4" fillId="0" borderId="0" xfId="0" applyFont="1" applyAlignment="1">
      <alignment horizontal="left" vertical="center" indent="1"/>
    </xf>
    <xf numFmtId="9" fontId="4" fillId="0" borderId="59" xfId="0" applyNumberFormat="1" applyFont="1" applyBorder="1">
      <alignment vertical="center"/>
    </xf>
    <xf numFmtId="181" fontId="31" fillId="0" borderId="0" xfId="0" applyNumberFormat="1" applyFont="1">
      <alignment vertical="center"/>
    </xf>
    <xf numFmtId="181" fontId="5" fillId="0" borderId="0" xfId="0" applyNumberFormat="1" applyFont="1">
      <alignment vertical="center"/>
    </xf>
    <xf numFmtId="181" fontId="4" fillId="0" borderId="0" xfId="0" applyNumberFormat="1" applyFont="1" applyAlignment="1">
      <alignment horizontal="left" vertical="center" indent="1"/>
    </xf>
    <xf numFmtId="9" fontId="31" fillId="0" borderId="0" xfId="2" applyFont="1" applyFill="1">
      <alignment vertical="center"/>
    </xf>
    <xf numFmtId="9" fontId="7" fillId="0" borderId="59" xfId="2" applyFont="1" applyFill="1" applyBorder="1">
      <alignment vertical="center"/>
    </xf>
    <xf numFmtId="9" fontId="4" fillId="0" borderId="11" xfId="2" applyFont="1" applyFill="1" applyBorder="1">
      <alignment vertical="center"/>
    </xf>
    <xf numFmtId="9" fontId="4" fillId="0" borderId="12" xfId="2" applyFont="1" applyFill="1" applyBorder="1">
      <alignment vertical="center"/>
    </xf>
    <xf numFmtId="9" fontId="4" fillId="0" borderId="63" xfId="2" applyFont="1" applyFill="1" applyBorder="1">
      <alignment vertical="center"/>
    </xf>
    <xf numFmtId="9" fontId="4" fillId="0" borderId="29" xfId="2" applyFont="1" applyFill="1" applyBorder="1">
      <alignment vertical="center"/>
    </xf>
    <xf numFmtId="176" fontId="4" fillId="4" borderId="0" xfId="0" applyNumberFormat="1" applyFont="1" applyFill="1">
      <alignment vertical="center"/>
    </xf>
    <xf numFmtId="177" fontId="7" fillId="0" borderId="0" xfId="0" applyNumberFormat="1" applyFont="1" applyAlignment="1">
      <alignment horizontal="right" vertical="center"/>
    </xf>
    <xf numFmtId="177" fontId="7" fillId="0" borderId="4" xfId="0" applyNumberFormat="1" applyFont="1" applyBorder="1" applyAlignment="1">
      <alignment horizontal="right" vertical="center"/>
    </xf>
    <xf numFmtId="176" fontId="4" fillId="10" borderId="0" xfId="0" applyNumberFormat="1" applyFont="1" applyFill="1">
      <alignment vertical="center"/>
    </xf>
    <xf numFmtId="176" fontId="4" fillId="6" borderId="12" xfId="0" applyNumberFormat="1" applyFont="1" applyFill="1" applyBorder="1">
      <alignment vertical="center"/>
    </xf>
    <xf numFmtId="176" fontId="5" fillId="0" borderId="71" xfId="0" applyNumberFormat="1" applyFont="1" applyBorder="1">
      <alignment vertical="center"/>
    </xf>
    <xf numFmtId="176" fontId="5" fillId="0" borderId="64" xfId="0" applyNumberFormat="1" applyFont="1" applyBorder="1">
      <alignment vertical="center"/>
    </xf>
    <xf numFmtId="0" fontId="34" fillId="0" borderId="0" xfId="0" applyFont="1">
      <alignment vertical="center"/>
    </xf>
    <xf numFmtId="41" fontId="4" fillId="4" borderId="0" xfId="1" applyFont="1" applyFill="1">
      <alignment vertical="center"/>
    </xf>
    <xf numFmtId="181" fontId="4" fillId="8" borderId="56" xfId="0" applyNumberFormat="1" applyFont="1" applyFill="1" applyBorder="1">
      <alignment vertical="center"/>
    </xf>
    <xf numFmtId="9" fontId="4" fillId="6" borderId="0" xfId="2" applyFont="1" applyFill="1">
      <alignment vertical="center"/>
    </xf>
    <xf numFmtId="9" fontId="4" fillId="0" borderId="0" xfId="2" applyFont="1" applyBorder="1">
      <alignment vertical="center"/>
    </xf>
    <xf numFmtId="9" fontId="4" fillId="0" borderId="0" xfId="2" applyFont="1" applyFill="1" applyBorder="1">
      <alignment vertical="center"/>
    </xf>
    <xf numFmtId="9" fontId="27" fillId="0" borderId="0" xfId="2" applyFont="1" applyFill="1">
      <alignment vertical="center"/>
    </xf>
    <xf numFmtId="41" fontId="14" fillId="0" borderId="0" xfId="1" applyFont="1" applyFill="1">
      <alignment vertical="center"/>
    </xf>
    <xf numFmtId="0" fontId="4" fillId="11" borderId="0" xfId="0" applyFont="1" applyFill="1">
      <alignment vertical="center"/>
    </xf>
    <xf numFmtId="0" fontId="4" fillId="8" borderId="0" xfId="0" applyFont="1" applyFill="1">
      <alignment vertical="center"/>
    </xf>
    <xf numFmtId="0" fontId="5" fillId="5" borderId="71" xfId="0" applyFont="1" applyFill="1" applyBorder="1" applyAlignment="1">
      <alignment horizontal="right" vertical="center"/>
    </xf>
    <xf numFmtId="0" fontId="5" fillId="5" borderId="1" xfId="0" applyFont="1" applyFill="1" applyBorder="1" applyAlignment="1">
      <alignment horizontal="center" vertical="center"/>
    </xf>
    <xf numFmtId="176" fontId="5" fillId="0" borderId="29" xfId="0" applyNumberFormat="1" applyFont="1" applyBorder="1">
      <alignment vertical="center"/>
    </xf>
    <xf numFmtId="0" fontId="8" fillId="0" borderId="13" xfId="0" applyFont="1" applyBorder="1">
      <alignment vertical="center"/>
    </xf>
    <xf numFmtId="176" fontId="8" fillId="0" borderId="13" xfId="0" applyNumberFormat="1" applyFont="1" applyBorder="1">
      <alignment vertical="center"/>
    </xf>
    <xf numFmtId="176" fontId="8" fillId="0" borderId="64" xfId="0" applyNumberFormat="1" applyFont="1" applyBorder="1">
      <alignment vertical="center"/>
    </xf>
    <xf numFmtId="176" fontId="8" fillId="0" borderId="3" xfId="0" applyNumberFormat="1" applyFont="1" applyBorder="1">
      <alignment vertical="center"/>
    </xf>
    <xf numFmtId="41" fontId="6" fillId="0" borderId="25" xfId="1" applyFont="1" applyBorder="1">
      <alignment vertical="center"/>
    </xf>
    <xf numFmtId="184" fontId="6" fillId="0" borderId="0" xfId="0" applyNumberFormat="1" applyFont="1">
      <alignment vertical="center"/>
    </xf>
    <xf numFmtId="184" fontId="6" fillId="6" borderId="0" xfId="0" applyNumberFormat="1" applyFont="1" applyFill="1">
      <alignment vertical="center"/>
    </xf>
    <xf numFmtId="184" fontId="6" fillId="0" borderId="25" xfId="0" applyNumberFormat="1" applyFont="1" applyBorder="1">
      <alignment vertical="center"/>
    </xf>
    <xf numFmtId="184" fontId="6" fillId="6" borderId="4" xfId="0" applyNumberFormat="1" applyFont="1" applyFill="1" applyBorder="1">
      <alignment vertical="center"/>
    </xf>
    <xf numFmtId="184" fontId="6" fillId="0" borderId="59" xfId="0" applyNumberFormat="1" applyFont="1" applyBorder="1">
      <alignment vertical="center"/>
    </xf>
    <xf numFmtId="176" fontId="6" fillId="0" borderId="25" xfId="0" applyNumberFormat="1" applyFont="1" applyBorder="1">
      <alignment vertical="center"/>
    </xf>
    <xf numFmtId="176" fontId="6" fillId="6" borderId="4" xfId="0" applyNumberFormat="1" applyFont="1" applyFill="1" applyBorder="1">
      <alignment vertical="center"/>
    </xf>
    <xf numFmtId="184" fontId="6" fillId="0" borderId="11" xfId="0" applyNumberFormat="1" applyFont="1" applyBorder="1">
      <alignment vertical="center"/>
    </xf>
    <xf numFmtId="184" fontId="6" fillId="6" borderId="11" xfId="0" applyNumberFormat="1" applyFont="1" applyFill="1" applyBorder="1">
      <alignment vertical="center"/>
    </xf>
    <xf numFmtId="184" fontId="6" fillId="0" borderId="29" xfId="0" applyNumberFormat="1" applyFont="1" applyBorder="1">
      <alignment vertical="center"/>
    </xf>
    <xf numFmtId="184" fontId="6" fillId="6" borderId="12" xfId="0" applyNumberFormat="1" applyFont="1" applyFill="1" applyBorder="1">
      <alignment vertical="center"/>
    </xf>
    <xf numFmtId="176" fontId="6" fillId="0" borderId="11" xfId="0" applyNumberFormat="1" applyFont="1" applyBorder="1">
      <alignment vertical="center"/>
    </xf>
    <xf numFmtId="176" fontId="6" fillId="0" borderId="29" xfId="0" applyNumberFormat="1" applyFont="1" applyBorder="1">
      <alignment vertical="center"/>
    </xf>
    <xf numFmtId="176" fontId="6" fillId="0" borderId="12" xfId="0" applyNumberFormat="1" applyFont="1" applyBorder="1">
      <alignment vertical="center"/>
    </xf>
    <xf numFmtId="176" fontId="5" fillId="0" borderId="68" xfId="0" applyNumberFormat="1" applyFont="1" applyBorder="1">
      <alignment vertical="center"/>
    </xf>
    <xf numFmtId="9" fontId="7" fillId="0" borderId="69" xfId="2" applyFont="1" applyFill="1" applyBorder="1">
      <alignment vertical="center"/>
    </xf>
    <xf numFmtId="9" fontId="7" fillId="0" borderId="7" xfId="2" applyFont="1" applyFill="1" applyBorder="1">
      <alignment vertical="center"/>
    </xf>
    <xf numFmtId="9" fontId="7" fillId="0" borderId="8" xfId="2" applyFont="1" applyFill="1" applyBorder="1">
      <alignment vertical="center"/>
    </xf>
    <xf numFmtId="9" fontId="7" fillId="0" borderId="7" xfId="2" applyFont="1" applyBorder="1">
      <alignment vertical="center"/>
    </xf>
    <xf numFmtId="182" fontId="38" fillId="0" borderId="0" xfId="0" applyNumberFormat="1" applyFont="1">
      <alignment vertical="center"/>
    </xf>
    <xf numFmtId="176" fontId="4" fillId="0" borderId="10" xfId="0" applyNumberFormat="1" applyFont="1" applyBorder="1">
      <alignment vertical="center"/>
    </xf>
    <xf numFmtId="176" fontId="4" fillId="0" borderId="72" xfId="0" applyNumberFormat="1" applyFont="1" applyBorder="1">
      <alignment vertical="center"/>
    </xf>
    <xf numFmtId="9" fontId="7" fillId="0" borderId="63" xfId="2" applyFont="1" applyBorder="1">
      <alignment vertical="center"/>
    </xf>
    <xf numFmtId="9" fontId="7" fillId="0" borderId="11" xfId="2" applyFont="1" applyBorder="1">
      <alignment vertical="center"/>
    </xf>
    <xf numFmtId="9" fontId="7" fillId="0" borderId="12" xfId="2" applyFont="1" applyBorder="1">
      <alignment vertical="center"/>
    </xf>
    <xf numFmtId="181" fontId="4" fillId="0" borderId="70" xfId="0" applyNumberFormat="1" applyFont="1" applyBorder="1" applyAlignment="1">
      <alignment horizontal="right" vertical="center"/>
    </xf>
    <xf numFmtId="177" fontId="4" fillId="0" borderId="59" xfId="2" applyNumberFormat="1" applyFont="1" applyBorder="1" applyAlignment="1">
      <alignment horizontal="right" vertical="center"/>
    </xf>
    <xf numFmtId="177" fontId="4" fillId="0" borderId="0" xfId="2" applyNumberFormat="1" applyFont="1" applyBorder="1" applyAlignment="1">
      <alignment horizontal="right" vertical="center"/>
    </xf>
    <xf numFmtId="9" fontId="4" fillId="0" borderId="63" xfId="0" applyNumberFormat="1" applyFont="1" applyBorder="1">
      <alignment vertical="center"/>
    </xf>
    <xf numFmtId="176" fontId="4" fillId="0" borderId="62" xfId="2" applyNumberFormat="1" applyFont="1" applyBorder="1">
      <alignment vertical="center"/>
    </xf>
    <xf numFmtId="176" fontId="7" fillId="0" borderId="0" xfId="2" applyNumberFormat="1" applyFont="1">
      <alignment vertical="center"/>
    </xf>
    <xf numFmtId="176" fontId="4" fillId="0" borderId="0" xfId="2" applyNumberFormat="1" applyFont="1">
      <alignment vertical="center"/>
    </xf>
    <xf numFmtId="176" fontId="4" fillId="0" borderId="4" xfId="2" applyNumberFormat="1" applyFont="1" applyBorder="1">
      <alignment vertical="center"/>
    </xf>
    <xf numFmtId="176" fontId="4" fillId="10" borderId="0" xfId="2" applyNumberFormat="1" applyFont="1" applyFill="1">
      <alignment vertical="center"/>
    </xf>
    <xf numFmtId="176" fontId="4" fillId="10" borderId="4" xfId="2" applyNumberFormat="1" applyFont="1" applyFill="1" applyBorder="1">
      <alignment vertical="center"/>
    </xf>
    <xf numFmtId="176" fontId="7" fillId="0" borderId="62" xfId="2" applyNumberFormat="1" applyFont="1" applyBorder="1">
      <alignment vertical="center"/>
    </xf>
    <xf numFmtId="9" fontId="4" fillId="10" borderId="0" xfId="2" applyFont="1" applyFill="1">
      <alignment vertical="center"/>
    </xf>
    <xf numFmtId="9" fontId="4" fillId="10" borderId="4" xfId="2" applyFont="1" applyFill="1" applyBorder="1">
      <alignment vertical="center"/>
    </xf>
    <xf numFmtId="9" fontId="7" fillId="0" borderId="62" xfId="2" applyFont="1" applyBorder="1">
      <alignment vertical="center"/>
    </xf>
    <xf numFmtId="9" fontId="7" fillId="0" borderId="4" xfId="2" applyFont="1" applyBorder="1">
      <alignment vertical="center"/>
    </xf>
    <xf numFmtId="9" fontId="4" fillId="0" borderId="11" xfId="2" applyFont="1" applyBorder="1">
      <alignment vertical="center"/>
    </xf>
    <xf numFmtId="176" fontId="4" fillId="0" borderId="11" xfId="2" applyNumberFormat="1" applyFont="1" applyBorder="1">
      <alignment vertical="center"/>
    </xf>
    <xf numFmtId="176" fontId="4" fillId="0" borderId="12" xfId="2" applyNumberFormat="1" applyFont="1" applyBorder="1">
      <alignment vertical="center"/>
    </xf>
    <xf numFmtId="176" fontId="4" fillId="0" borderId="63" xfId="2" applyNumberFormat="1" applyFont="1" applyBorder="1">
      <alignment vertical="center"/>
    </xf>
    <xf numFmtId="9" fontId="7" fillId="0" borderId="0" xfId="2" applyFont="1" applyFill="1" applyBorder="1">
      <alignment vertical="center"/>
    </xf>
    <xf numFmtId="176" fontId="4" fillId="0" borderId="0" xfId="2" applyNumberFormat="1" applyFont="1" applyFill="1" applyBorder="1">
      <alignment vertical="center"/>
    </xf>
    <xf numFmtId="176" fontId="7" fillId="0" borderId="0" xfId="2" applyNumberFormat="1" applyFont="1" applyFill="1" applyBorder="1">
      <alignment vertical="center"/>
    </xf>
    <xf numFmtId="9" fontId="4" fillId="0" borderId="63" xfId="2" applyFont="1" applyBorder="1">
      <alignment vertical="center"/>
    </xf>
    <xf numFmtId="0" fontId="39" fillId="0" borderId="0" xfId="0" applyFont="1">
      <alignment vertical="center"/>
    </xf>
    <xf numFmtId="183" fontId="4" fillId="0" borderId="62" xfId="0" applyNumberFormat="1" applyFont="1" applyBorder="1">
      <alignment vertical="center"/>
    </xf>
    <xf numFmtId="176" fontId="7" fillId="0" borderId="59" xfId="0" applyNumberFormat="1" applyFont="1" applyBorder="1">
      <alignment vertical="center"/>
    </xf>
    <xf numFmtId="177" fontId="7" fillId="0" borderId="59" xfId="0" applyNumberFormat="1" applyFont="1" applyBorder="1">
      <alignment vertical="center"/>
    </xf>
    <xf numFmtId="176" fontId="7" fillId="0" borderId="62" xfId="0" applyNumberFormat="1" applyFont="1" applyBorder="1">
      <alignment vertical="center"/>
    </xf>
    <xf numFmtId="9" fontId="7" fillId="0" borderId="11" xfId="0" applyNumberFormat="1" applyFont="1" applyBorder="1">
      <alignment vertical="center"/>
    </xf>
    <xf numFmtId="9" fontId="7" fillId="0" borderId="12" xfId="0" applyNumberFormat="1" applyFont="1" applyBorder="1">
      <alignment vertical="center"/>
    </xf>
    <xf numFmtId="176" fontId="7" fillId="0" borderId="63" xfId="0" applyNumberFormat="1" applyFont="1" applyBorder="1">
      <alignment vertical="center"/>
    </xf>
    <xf numFmtId="9" fontId="7" fillId="0" borderId="0" xfId="2" applyFont="1" applyBorder="1">
      <alignment vertical="center"/>
    </xf>
    <xf numFmtId="9" fontId="4" fillId="6" borderId="11" xfId="2" applyFont="1" applyFill="1" applyBorder="1">
      <alignment vertical="center"/>
    </xf>
    <xf numFmtId="9" fontId="7" fillId="6" borderId="11" xfId="2" applyFont="1" applyFill="1" applyBorder="1">
      <alignment vertical="center"/>
    </xf>
    <xf numFmtId="9" fontId="7" fillId="6" borderId="63" xfId="2" applyFont="1" applyFill="1" applyBorder="1">
      <alignment vertical="center"/>
    </xf>
    <xf numFmtId="0" fontId="5" fillId="5" borderId="13" xfId="0" applyFont="1" applyFill="1" applyBorder="1" applyAlignment="1">
      <alignment horizontal="right" vertical="center"/>
    </xf>
    <xf numFmtId="176" fontId="5" fillId="0" borderId="26" xfId="0" applyNumberFormat="1" applyFont="1" applyBorder="1">
      <alignment vertical="center"/>
    </xf>
    <xf numFmtId="9" fontId="7" fillId="0" borderId="69" xfId="2" applyFont="1" applyBorder="1">
      <alignment vertical="center"/>
    </xf>
    <xf numFmtId="9" fontId="7" fillId="0" borderId="27" xfId="2" applyFont="1" applyBorder="1">
      <alignment vertical="center"/>
    </xf>
    <xf numFmtId="9" fontId="7" fillId="0" borderId="29" xfId="2" applyFont="1" applyBorder="1">
      <alignment vertical="center"/>
    </xf>
    <xf numFmtId="9" fontId="4" fillId="0" borderId="25" xfId="0" applyNumberFormat="1" applyFont="1" applyBorder="1">
      <alignment vertical="center"/>
    </xf>
    <xf numFmtId="176" fontId="4" fillId="0" borderId="25" xfId="2" applyNumberFormat="1" applyFont="1" applyBorder="1">
      <alignment vertical="center"/>
    </xf>
    <xf numFmtId="176" fontId="7" fillId="0" borderId="11" xfId="2" applyNumberFormat="1" applyFont="1" applyBorder="1">
      <alignment vertical="center"/>
    </xf>
    <xf numFmtId="176" fontId="4" fillId="0" borderId="29" xfId="2" applyNumberFormat="1" applyFont="1" applyBorder="1">
      <alignment vertical="center"/>
    </xf>
    <xf numFmtId="181" fontId="4" fillId="0" borderId="29" xfId="0" applyNumberFormat="1" applyFont="1" applyBorder="1">
      <alignment vertical="center"/>
    </xf>
    <xf numFmtId="176" fontId="4" fillId="10" borderId="62" xfId="0" applyNumberFormat="1" applyFont="1" applyFill="1" applyBorder="1">
      <alignment vertical="center"/>
    </xf>
    <xf numFmtId="176" fontId="4" fillId="10" borderId="63" xfId="0" applyNumberFormat="1" applyFont="1" applyFill="1" applyBorder="1">
      <alignment vertical="center"/>
    </xf>
    <xf numFmtId="9" fontId="27" fillId="0" borderId="0" xfId="2" applyFont="1">
      <alignment vertical="center"/>
    </xf>
    <xf numFmtId="9" fontId="7" fillId="0" borderId="25" xfId="2" applyFont="1" applyBorder="1">
      <alignment vertical="center"/>
    </xf>
    <xf numFmtId="9" fontId="7" fillId="0" borderId="11" xfId="2" applyFont="1" applyFill="1" applyBorder="1">
      <alignment vertical="center"/>
    </xf>
    <xf numFmtId="9" fontId="7" fillId="0" borderId="12" xfId="2" applyFont="1" applyFill="1" applyBorder="1">
      <alignment vertical="center"/>
    </xf>
    <xf numFmtId="9" fontId="7" fillId="0" borderId="63" xfId="2" applyFont="1" applyFill="1" applyBorder="1">
      <alignment vertical="center"/>
    </xf>
    <xf numFmtId="10" fontId="27" fillId="0" borderId="0" xfId="0" applyNumberFormat="1" applyFont="1">
      <alignment vertical="center"/>
    </xf>
    <xf numFmtId="176" fontId="4" fillId="0" borderId="0" xfId="2" applyNumberFormat="1" applyFont="1" applyFill="1">
      <alignment vertical="center"/>
    </xf>
    <xf numFmtId="9" fontId="18" fillId="0" borderId="0" xfId="2" applyFont="1" applyFill="1">
      <alignment vertical="center"/>
    </xf>
    <xf numFmtId="176" fontId="4" fillId="0" borderId="4" xfId="2" applyNumberFormat="1" applyFont="1" applyFill="1" applyBorder="1">
      <alignment vertical="center"/>
    </xf>
    <xf numFmtId="176" fontId="4" fillId="0" borderId="62" xfId="2" applyNumberFormat="1" applyFont="1" applyFill="1" applyBorder="1">
      <alignment vertical="center"/>
    </xf>
    <xf numFmtId="9" fontId="32" fillId="0" borderId="0" xfId="2" applyFont="1">
      <alignment vertical="center"/>
    </xf>
    <xf numFmtId="176" fontId="4" fillId="0" borderId="11" xfId="2" applyNumberFormat="1" applyFont="1" applyFill="1" applyBorder="1">
      <alignment vertical="center"/>
    </xf>
    <xf numFmtId="176" fontId="4" fillId="0" borderId="12" xfId="2" applyNumberFormat="1" applyFont="1" applyFill="1" applyBorder="1">
      <alignment vertical="center"/>
    </xf>
    <xf numFmtId="176" fontId="4" fillId="0" borderId="63" xfId="2" applyNumberFormat="1" applyFont="1" applyFill="1" applyBorder="1">
      <alignment vertical="center"/>
    </xf>
    <xf numFmtId="9" fontId="4" fillId="6" borderId="63" xfId="2" applyFont="1" applyFill="1" applyBorder="1">
      <alignment vertical="center"/>
    </xf>
    <xf numFmtId="176" fontId="4" fillId="0" borderId="71" xfId="0" applyNumberFormat="1" applyFont="1" applyBorder="1">
      <alignment vertical="center"/>
    </xf>
    <xf numFmtId="176" fontId="4" fillId="6" borderId="71" xfId="0" applyNumberFormat="1" applyFont="1" applyFill="1" applyBorder="1">
      <alignment vertical="center"/>
    </xf>
    <xf numFmtId="176" fontId="4" fillId="10" borderId="25" xfId="0" applyNumberFormat="1" applyFont="1" applyFill="1" applyBorder="1">
      <alignment vertical="center"/>
    </xf>
    <xf numFmtId="0" fontId="5" fillId="5" borderId="64" xfId="0" applyFont="1" applyFill="1" applyBorder="1" applyAlignment="1">
      <alignment horizontal="right" vertical="center"/>
    </xf>
    <xf numFmtId="176" fontId="6" fillId="0" borderId="62" xfId="0" applyNumberFormat="1" applyFont="1" applyBorder="1">
      <alignment vertical="center"/>
    </xf>
    <xf numFmtId="176" fontId="6" fillId="6" borderId="25" xfId="0" applyNumberFormat="1" applyFont="1" applyFill="1" applyBorder="1">
      <alignment vertical="center"/>
    </xf>
    <xf numFmtId="176" fontId="6" fillId="6" borderId="62" xfId="0" applyNumberFormat="1" applyFont="1" applyFill="1" applyBorder="1">
      <alignment vertical="center"/>
    </xf>
    <xf numFmtId="176" fontId="6" fillId="6" borderId="29" xfId="0" applyNumberFormat="1" applyFont="1" applyFill="1" applyBorder="1">
      <alignment vertical="center"/>
    </xf>
    <xf numFmtId="176" fontId="6" fillId="6" borderId="63" xfId="0" applyNumberFormat="1" applyFont="1" applyFill="1" applyBorder="1">
      <alignment vertical="center"/>
    </xf>
    <xf numFmtId="0" fontId="40" fillId="0" borderId="0" xfId="0" applyFont="1">
      <alignment vertical="center"/>
    </xf>
    <xf numFmtId="9" fontId="40" fillId="0" borderId="0" xfId="0" applyNumberFormat="1" applyFont="1">
      <alignment vertical="center"/>
    </xf>
    <xf numFmtId="0" fontId="41" fillId="5" borderId="1" xfId="0" applyFont="1" applyFill="1" applyBorder="1" applyAlignment="1">
      <alignment horizontal="right" vertical="center"/>
    </xf>
    <xf numFmtId="41" fontId="40" fillId="0" borderId="0" xfId="1" applyFont="1">
      <alignment vertical="center"/>
    </xf>
    <xf numFmtId="0" fontId="10" fillId="5" borderId="17" xfId="0" applyFont="1" applyFill="1" applyBorder="1" applyAlignment="1">
      <alignment horizontal="center" vertical="center"/>
    </xf>
    <xf numFmtId="0" fontId="10" fillId="5" borderId="22" xfId="0" applyFont="1" applyFill="1" applyBorder="1" applyAlignment="1">
      <alignment horizontal="center" vertical="center"/>
    </xf>
    <xf numFmtId="0" fontId="10" fillId="5" borderId="30" xfId="0" applyFont="1" applyFill="1" applyBorder="1" applyAlignment="1">
      <alignment horizontal="center" vertical="center"/>
    </xf>
    <xf numFmtId="0" fontId="5" fillId="5" borderId="1" xfId="0" applyFont="1" applyFill="1" applyBorder="1" applyAlignment="1">
      <alignment horizontal="center" vertical="center"/>
    </xf>
  </cellXfs>
  <cellStyles count="3">
    <cellStyle name="백분율" xfId="2" builtinId="5"/>
    <cellStyle name="쉼표 [0]" xfId="1" builtinId="6"/>
    <cellStyle name="표준"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Equtiy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bar"/>
        <c:grouping val="stacked"/>
        <c:varyColors val="0"/>
        <c:ser>
          <c:idx val="0"/>
          <c:order val="0"/>
          <c:spPr>
            <a:noFill/>
            <a:ln>
              <a:noFill/>
            </a:ln>
            <a:effectLst/>
          </c:spPr>
          <c:invertIfNegative val="0"/>
          <c:cat>
            <c:strRef>
              <c:f>Summary!$M$75:$M$77</c:f>
              <c:strCache>
                <c:ptCount val="3"/>
                <c:pt idx="0">
                  <c:v>Trading</c:v>
                </c:pt>
                <c:pt idx="1">
                  <c:v>Transaction</c:v>
                </c:pt>
                <c:pt idx="2">
                  <c:v>DCF</c:v>
                </c:pt>
              </c:strCache>
            </c:strRef>
          </c:cat>
          <c:val>
            <c:numRef>
              <c:f>Summary!$P$75:$P$77</c:f>
              <c:numCache>
                <c:formatCode>#,##0;[Red]\(#,##0\);"-"</c:formatCode>
                <c:ptCount val="3"/>
                <c:pt idx="0">
                  <c:v>1197.4193419735973</c:v>
                </c:pt>
                <c:pt idx="1">
                  <c:v>2366.7450999171942</c:v>
                </c:pt>
                <c:pt idx="2">
                  <c:v>2862.1844624145697</c:v>
                </c:pt>
              </c:numCache>
            </c:numRef>
          </c:val>
          <c:extLst>
            <c:ext xmlns:c16="http://schemas.microsoft.com/office/drawing/2014/chart" uri="{C3380CC4-5D6E-409C-BE32-E72D297353CC}">
              <c16:uniqueId val="{00000000-4D29-45BB-9717-E7A8C55E0C6A}"/>
            </c:ext>
          </c:extLst>
        </c:ser>
        <c:ser>
          <c:idx val="1"/>
          <c:order val="1"/>
          <c:spPr>
            <a:solidFill>
              <a:srgbClr val="00B0F0"/>
            </a:solidFill>
            <a:ln>
              <a:noFill/>
            </a:ln>
            <a:effectLst/>
          </c:spPr>
          <c:invertIfNegative val="0"/>
          <c:cat>
            <c:strRef>
              <c:f>Summary!$M$75:$M$77</c:f>
              <c:strCache>
                <c:ptCount val="3"/>
                <c:pt idx="0">
                  <c:v>Trading</c:v>
                </c:pt>
                <c:pt idx="1">
                  <c:v>Transaction</c:v>
                </c:pt>
                <c:pt idx="2">
                  <c:v>DCF</c:v>
                </c:pt>
              </c:strCache>
            </c:strRef>
          </c:cat>
          <c:val>
            <c:numRef>
              <c:f>Summary!$Q$75:$Q$77</c:f>
              <c:numCache>
                <c:formatCode>#,##0;[Red]\(#,##0\);"-"</c:formatCode>
                <c:ptCount val="3"/>
                <c:pt idx="0">
                  <c:v>584.66287897179882</c:v>
                </c:pt>
                <c:pt idx="1">
                  <c:v>584.66287897179836</c:v>
                </c:pt>
                <c:pt idx="2">
                  <c:v>364.38296147070241</c:v>
                </c:pt>
              </c:numCache>
            </c:numRef>
          </c:val>
          <c:extLst>
            <c:ext xmlns:c16="http://schemas.microsoft.com/office/drawing/2014/chart" uri="{C3380CC4-5D6E-409C-BE32-E72D297353CC}">
              <c16:uniqueId val="{00000001-4D29-45BB-9717-E7A8C55E0C6A}"/>
            </c:ext>
          </c:extLst>
        </c:ser>
        <c:ser>
          <c:idx val="2"/>
          <c:order val="2"/>
          <c:spPr>
            <a:noFill/>
            <a:ln>
              <a:noFill/>
            </a:ln>
            <a:effectLst/>
          </c:spPr>
          <c:invertIfNegative val="0"/>
          <c:cat>
            <c:strRef>
              <c:f>Summary!$M$75:$M$77</c:f>
              <c:strCache>
                <c:ptCount val="3"/>
                <c:pt idx="0">
                  <c:v>Trading</c:v>
                </c:pt>
                <c:pt idx="1">
                  <c:v>Transaction</c:v>
                </c:pt>
                <c:pt idx="2">
                  <c:v>DCF</c:v>
                </c:pt>
              </c:strCache>
            </c:strRef>
          </c:cat>
          <c:val>
            <c:numRef>
              <c:f>Summary!$R$75:$R$77</c:f>
              <c:numCache>
                <c:formatCode>#,##0;[Red]\(#,##0\);"-"</c:formatCode>
                <c:ptCount val="3"/>
                <c:pt idx="0">
                  <c:v>1782.0822209453961</c:v>
                </c:pt>
                <c:pt idx="1">
                  <c:v>2951.4079788889926</c:v>
                </c:pt>
                <c:pt idx="2">
                  <c:v>3226.5674238852721</c:v>
                </c:pt>
              </c:numCache>
            </c:numRef>
          </c:val>
          <c:extLst>
            <c:ext xmlns:c16="http://schemas.microsoft.com/office/drawing/2014/chart" uri="{C3380CC4-5D6E-409C-BE32-E72D297353CC}">
              <c16:uniqueId val="{00000002-4D29-45BB-9717-E7A8C55E0C6A}"/>
            </c:ext>
          </c:extLst>
        </c:ser>
        <c:dLbls>
          <c:showLegendKey val="0"/>
          <c:showVal val="0"/>
          <c:showCatName val="0"/>
          <c:showSerName val="0"/>
          <c:showPercent val="0"/>
          <c:showBubbleSize val="0"/>
        </c:dLbls>
        <c:gapWidth val="150"/>
        <c:overlap val="100"/>
        <c:axId val="553878224"/>
        <c:axId val="553878704"/>
      </c:barChart>
      <c:catAx>
        <c:axId val="55387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53878704"/>
        <c:crosses val="autoZero"/>
        <c:auto val="1"/>
        <c:lblAlgn val="ctr"/>
        <c:lblOffset val="100"/>
        <c:noMultiLvlLbl val="0"/>
      </c:catAx>
      <c:valAx>
        <c:axId val="553878704"/>
        <c:scaling>
          <c:orientation val="minMax"/>
          <c:max val="3500"/>
          <c:min val="1000"/>
        </c:scaling>
        <c:delete val="0"/>
        <c:axPos val="b"/>
        <c:numFmt formatCode="#,##0;[Red]\(#,##0\);&quot;-&quot;" sourceLinked="1"/>
        <c:majorTickMark val="none"/>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53878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Equtiy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manualLayout>
          <c:layoutTarget val="inner"/>
          <c:xMode val="edge"/>
          <c:yMode val="edge"/>
          <c:x val="0.18342513523837689"/>
          <c:y val="0.15460317460317463"/>
          <c:w val="0.75321799563786918"/>
          <c:h val="0.72658381987965792"/>
        </c:manualLayout>
      </c:layout>
      <c:barChart>
        <c:barDir val="bar"/>
        <c:grouping val="stacked"/>
        <c:varyColors val="0"/>
        <c:ser>
          <c:idx val="0"/>
          <c:order val="0"/>
          <c:spPr>
            <a:noFill/>
            <a:ln>
              <a:noFill/>
            </a:ln>
            <a:effectLst/>
          </c:spPr>
          <c:invertIfNegative val="0"/>
          <c:cat>
            <c:strRef>
              <c:f>Summary!$M$75:$M$77</c:f>
              <c:strCache>
                <c:ptCount val="3"/>
                <c:pt idx="0">
                  <c:v>Trading</c:v>
                </c:pt>
                <c:pt idx="1">
                  <c:v>Transaction</c:v>
                </c:pt>
                <c:pt idx="2">
                  <c:v>DCF</c:v>
                </c:pt>
              </c:strCache>
            </c:strRef>
          </c:cat>
          <c:val>
            <c:numRef>
              <c:f>Summary!$P$75:$P$77</c:f>
              <c:numCache>
                <c:formatCode>#,##0;[Red]\(#,##0\);"-"</c:formatCode>
                <c:ptCount val="3"/>
                <c:pt idx="0">
                  <c:v>1197.4193419735973</c:v>
                </c:pt>
                <c:pt idx="1">
                  <c:v>2366.7450999171942</c:v>
                </c:pt>
                <c:pt idx="2">
                  <c:v>2862.1844624145697</c:v>
                </c:pt>
              </c:numCache>
            </c:numRef>
          </c:val>
          <c:extLst>
            <c:ext xmlns:c16="http://schemas.microsoft.com/office/drawing/2014/chart" uri="{C3380CC4-5D6E-409C-BE32-E72D297353CC}">
              <c16:uniqueId val="{00000000-D96D-4075-9451-AA0F8FFB1FC1}"/>
            </c:ext>
          </c:extLst>
        </c:ser>
        <c:ser>
          <c:idx val="1"/>
          <c:order val="1"/>
          <c:spPr>
            <a:solidFill>
              <a:srgbClr val="00B0F0"/>
            </a:solidFill>
            <a:ln>
              <a:noFill/>
            </a:ln>
            <a:effectLst/>
          </c:spPr>
          <c:invertIfNegative val="0"/>
          <c:cat>
            <c:strRef>
              <c:f>Summary!$M$75:$M$77</c:f>
              <c:strCache>
                <c:ptCount val="3"/>
                <c:pt idx="0">
                  <c:v>Trading</c:v>
                </c:pt>
                <c:pt idx="1">
                  <c:v>Transaction</c:v>
                </c:pt>
                <c:pt idx="2">
                  <c:v>DCF</c:v>
                </c:pt>
              </c:strCache>
            </c:strRef>
          </c:cat>
          <c:val>
            <c:numRef>
              <c:f>Summary!$Q$75:$Q$77</c:f>
              <c:numCache>
                <c:formatCode>#,##0;[Red]\(#,##0\);"-"</c:formatCode>
                <c:ptCount val="3"/>
                <c:pt idx="0">
                  <c:v>584.66287897179882</c:v>
                </c:pt>
                <c:pt idx="1">
                  <c:v>584.66287897179836</c:v>
                </c:pt>
                <c:pt idx="2">
                  <c:v>364.38296147070241</c:v>
                </c:pt>
              </c:numCache>
            </c:numRef>
          </c:val>
          <c:extLst>
            <c:ext xmlns:c16="http://schemas.microsoft.com/office/drawing/2014/chart" uri="{C3380CC4-5D6E-409C-BE32-E72D297353CC}">
              <c16:uniqueId val="{00000001-D96D-4075-9451-AA0F8FFB1FC1}"/>
            </c:ext>
          </c:extLst>
        </c:ser>
        <c:ser>
          <c:idx val="2"/>
          <c:order val="2"/>
          <c:spPr>
            <a:noFill/>
            <a:ln>
              <a:noFill/>
            </a:ln>
            <a:effectLst/>
          </c:spPr>
          <c:invertIfNegative val="0"/>
          <c:cat>
            <c:strRef>
              <c:f>Summary!$M$75:$M$77</c:f>
              <c:strCache>
                <c:ptCount val="3"/>
                <c:pt idx="0">
                  <c:v>Trading</c:v>
                </c:pt>
                <c:pt idx="1">
                  <c:v>Transaction</c:v>
                </c:pt>
                <c:pt idx="2">
                  <c:v>DCF</c:v>
                </c:pt>
              </c:strCache>
            </c:strRef>
          </c:cat>
          <c:val>
            <c:numRef>
              <c:f>Summary!$R$75:$R$77</c:f>
              <c:numCache>
                <c:formatCode>#,##0;[Red]\(#,##0\);"-"</c:formatCode>
                <c:ptCount val="3"/>
                <c:pt idx="0">
                  <c:v>1782.0822209453961</c:v>
                </c:pt>
                <c:pt idx="1">
                  <c:v>2951.4079788889926</c:v>
                </c:pt>
                <c:pt idx="2">
                  <c:v>3226.5674238852721</c:v>
                </c:pt>
              </c:numCache>
            </c:numRef>
          </c:val>
          <c:extLst>
            <c:ext xmlns:c16="http://schemas.microsoft.com/office/drawing/2014/chart" uri="{C3380CC4-5D6E-409C-BE32-E72D297353CC}">
              <c16:uniqueId val="{00000002-D96D-4075-9451-AA0F8FFB1FC1}"/>
            </c:ext>
          </c:extLst>
        </c:ser>
        <c:dLbls>
          <c:showLegendKey val="0"/>
          <c:showVal val="0"/>
          <c:showCatName val="0"/>
          <c:showSerName val="0"/>
          <c:showPercent val="0"/>
          <c:showBubbleSize val="0"/>
        </c:dLbls>
        <c:gapWidth val="150"/>
        <c:overlap val="100"/>
        <c:axId val="553878224"/>
        <c:axId val="553878704"/>
      </c:barChart>
      <c:catAx>
        <c:axId val="55387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53878704"/>
        <c:crosses val="autoZero"/>
        <c:auto val="1"/>
        <c:lblAlgn val="ctr"/>
        <c:lblOffset val="100"/>
        <c:noMultiLvlLbl val="0"/>
      </c:catAx>
      <c:valAx>
        <c:axId val="553878704"/>
        <c:scaling>
          <c:orientation val="minMax"/>
          <c:max val="3500"/>
          <c:min val="1000"/>
        </c:scaling>
        <c:delete val="0"/>
        <c:axPos val="b"/>
        <c:numFmt formatCode="#,##0;[Red]\(#,##0\);&quot;-&quot;" sourceLinked="1"/>
        <c:majorTickMark val="none"/>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53878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28575</xdr:colOff>
      <xdr:row>71</xdr:row>
      <xdr:rowOff>142875</xdr:rowOff>
    </xdr:from>
    <xdr:to>
      <xdr:col>11</xdr:col>
      <xdr:colOff>161925</xdr:colOff>
      <xdr:row>90</xdr:row>
      <xdr:rowOff>47625</xdr:rowOff>
    </xdr:to>
    <xdr:graphicFrame macro="">
      <xdr:nvGraphicFramePr>
        <xdr:cNvPr id="2" name="차트 1">
          <a:extLst>
            <a:ext uri="{FF2B5EF4-FFF2-40B4-BE49-F238E27FC236}">
              <a16:creationId xmlns:a16="http://schemas.microsoft.com/office/drawing/2014/main" id="{E673766C-6B7D-4B77-B579-D6946B566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71</xdr:row>
      <xdr:rowOff>142875</xdr:rowOff>
    </xdr:from>
    <xdr:to>
      <xdr:col>11</xdr:col>
      <xdr:colOff>161925</xdr:colOff>
      <xdr:row>90</xdr:row>
      <xdr:rowOff>47625</xdr:rowOff>
    </xdr:to>
    <xdr:graphicFrame macro="">
      <xdr:nvGraphicFramePr>
        <xdr:cNvPr id="3" name="차트 2">
          <a:extLst>
            <a:ext uri="{FF2B5EF4-FFF2-40B4-BE49-F238E27FC236}">
              <a16:creationId xmlns:a16="http://schemas.microsoft.com/office/drawing/2014/main" id="{C2AE0B90-6CAE-4250-B27B-3A787B617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D168D-45E5-4EDA-BA49-FE8A05C31008}">
  <sheetPr>
    <tabColor rgb="FFFF0000"/>
  </sheetPr>
  <dimension ref="A1:W77"/>
  <sheetViews>
    <sheetView showGridLines="0" tabSelected="1" topLeftCell="A49" workbookViewId="0">
      <selection activeCell="M45" sqref="M45"/>
    </sheetView>
  </sheetViews>
  <sheetFormatPr defaultRowHeight="12" x14ac:dyDescent="0.3"/>
  <cols>
    <col min="1" max="1" width="2.625" style="6" customWidth="1"/>
    <col min="2" max="6" width="1.625" style="6" customWidth="1"/>
    <col min="7" max="20" width="9" style="6"/>
    <col min="21" max="21" width="9" style="6" customWidth="1"/>
    <col min="22" max="16384" width="9" style="6"/>
  </cols>
  <sheetData>
    <row r="1" spans="1:23" s="3" customFormat="1" x14ac:dyDescent="0.3">
      <c r="A1" s="1" t="str">
        <f ca="1">MID(CELL("filename",A1),FIND("]",CELL("filename",A1))+1,255)</f>
        <v>Summary</v>
      </c>
      <c r="B1" s="2"/>
      <c r="C1" s="2"/>
      <c r="D1" s="2"/>
      <c r="E1" s="2"/>
      <c r="F1" s="2"/>
      <c r="G1" s="2"/>
      <c r="H1" s="2"/>
      <c r="I1" s="2"/>
      <c r="J1" s="2"/>
      <c r="K1" s="2"/>
      <c r="L1" s="2"/>
      <c r="M1" s="2"/>
      <c r="N1" s="2"/>
      <c r="O1" s="2"/>
      <c r="P1" s="2"/>
      <c r="Q1" s="2"/>
      <c r="R1" s="2"/>
      <c r="S1" s="2"/>
      <c r="T1" s="2"/>
      <c r="U1" s="2"/>
      <c r="V1" s="2"/>
    </row>
    <row r="2" spans="1:23" s="3" customFormat="1" x14ac:dyDescent="0.3"/>
    <row r="3" spans="1:23" s="3" customFormat="1" x14ac:dyDescent="0.3">
      <c r="A3" s="4"/>
      <c r="B3" s="5" t="s">
        <v>0</v>
      </c>
      <c r="C3" s="4"/>
      <c r="D3" s="4"/>
      <c r="E3" s="4"/>
      <c r="F3" s="4"/>
      <c r="G3" s="4"/>
      <c r="H3" s="4"/>
      <c r="I3" s="4"/>
      <c r="J3" s="4"/>
      <c r="K3" s="4"/>
      <c r="L3" s="4"/>
      <c r="M3" s="4"/>
      <c r="N3" s="4"/>
      <c r="O3" s="4"/>
      <c r="P3" s="4"/>
      <c r="Q3" s="4"/>
      <c r="R3" s="4"/>
      <c r="S3" s="4"/>
      <c r="T3" s="4"/>
      <c r="U3" s="4"/>
      <c r="V3" s="4"/>
    </row>
    <row r="4" spans="1:23" x14ac:dyDescent="0.3">
      <c r="Q4" s="7"/>
      <c r="R4" s="7"/>
      <c r="S4" s="7"/>
      <c r="T4" s="7"/>
      <c r="U4" s="7"/>
    </row>
    <row r="5" spans="1:23" x14ac:dyDescent="0.3">
      <c r="B5" s="8"/>
      <c r="C5" s="8"/>
      <c r="D5" s="8"/>
      <c r="E5" s="8"/>
      <c r="F5" s="8"/>
      <c r="G5" s="8"/>
      <c r="H5" s="8"/>
      <c r="I5" s="8"/>
      <c r="J5" s="8"/>
      <c r="K5" s="8"/>
      <c r="L5" s="9" t="s">
        <v>1</v>
      </c>
      <c r="M5" s="9" t="s">
        <v>2</v>
      </c>
      <c r="N5" s="9" t="s">
        <v>3</v>
      </c>
      <c r="O5" s="10" t="s">
        <v>4</v>
      </c>
      <c r="P5" s="9" t="s">
        <v>5</v>
      </c>
      <c r="Q5" s="9" t="s">
        <v>6</v>
      </c>
      <c r="R5" s="9" t="s">
        <v>7</v>
      </c>
      <c r="S5" s="9" t="s">
        <v>8</v>
      </c>
      <c r="T5" s="9" t="s">
        <v>9</v>
      </c>
      <c r="U5" s="9" t="s">
        <v>10</v>
      </c>
    </row>
    <row r="6" spans="1:23" s="11" customFormat="1" x14ac:dyDescent="0.3">
      <c r="B6" s="11" t="s">
        <v>11</v>
      </c>
      <c r="O6" s="12">
        <f>'Proforma PL'!O6</f>
        <v>89716.379084731394</v>
      </c>
      <c r="P6" s="13">
        <f>'Proforma PL'!P6</f>
        <v>312170.77605210256</v>
      </c>
      <c r="Q6" s="13">
        <f>'Proforma PL'!Q6</f>
        <v>401887.15513683402</v>
      </c>
      <c r="R6" s="13">
        <f>'Proforma PL'!R6</f>
        <v>384025.10637721978</v>
      </c>
      <c r="S6" s="13">
        <f>'Proforma PL'!S6</f>
        <v>433849.87990566273</v>
      </c>
      <c r="T6" s="13">
        <f>'Proforma PL'!T6</f>
        <v>483807.53659513569</v>
      </c>
      <c r="U6" s="13">
        <f>'Proforma PL'!U6</f>
        <v>535532.0850870295</v>
      </c>
      <c r="W6" s="14"/>
    </row>
    <row r="7" spans="1:23" s="3" customFormat="1" x14ac:dyDescent="0.3">
      <c r="C7" s="3" t="s">
        <v>12</v>
      </c>
      <c r="O7" s="15">
        <f>'Proforma PL'!O7</f>
        <v>32117.6253</v>
      </c>
      <c r="P7" s="16">
        <f>'Proforma PL'!P7</f>
        <v>134103.48589778284</v>
      </c>
      <c r="Q7" s="16">
        <f>'Proforma PL'!Q7</f>
        <v>166221.11119778286</v>
      </c>
      <c r="R7" s="16">
        <f>'Proforma PL'!R7</f>
        <v>162076.5052755654</v>
      </c>
      <c r="S7" s="16">
        <f>'Proforma PL'!S7</f>
        <v>186135.91226740219</v>
      </c>
      <c r="T7" s="16">
        <f>'Proforma PL'!T7</f>
        <v>207378.78167579672</v>
      </c>
      <c r="U7" s="16">
        <f>'Proforma PL'!U7</f>
        <v>232356.8175947381</v>
      </c>
      <c r="W7" s="17"/>
    </row>
    <row r="8" spans="1:23" s="3" customFormat="1" x14ac:dyDescent="0.3">
      <c r="C8" s="3" t="s">
        <v>13</v>
      </c>
      <c r="O8" s="15">
        <f>'Proforma PL'!O8</f>
        <v>13939.072788328</v>
      </c>
      <c r="P8" s="16">
        <f>'Proforma PL'!P8</f>
        <v>52334.223630335378</v>
      </c>
      <c r="Q8" s="16">
        <f>'Proforma PL'!Q8</f>
        <v>66273.296418663376</v>
      </c>
      <c r="R8" s="16">
        <f>'Proforma PL'!R8</f>
        <v>59731.02624433981</v>
      </c>
      <c r="S8" s="16">
        <f>'Proforma PL'!S8</f>
        <v>64926.092912396052</v>
      </c>
      <c r="T8" s="16">
        <f>'Proforma PL'!T8</f>
        <v>69442.615535731893</v>
      </c>
      <c r="U8" s="16">
        <f>'Proforma PL'!U8</f>
        <v>76922.962902153507</v>
      </c>
      <c r="W8" s="17"/>
    </row>
    <row r="9" spans="1:23" s="3" customFormat="1" x14ac:dyDescent="0.3">
      <c r="C9" s="3" t="s">
        <v>14</v>
      </c>
      <c r="O9" s="15">
        <f>'Proforma PL'!O9</f>
        <v>13488.451227600997</v>
      </c>
      <c r="P9" s="16">
        <f>'Proforma PL'!P9</f>
        <v>48793.040018504325</v>
      </c>
      <c r="Q9" s="16">
        <f>'Proforma PL'!Q9</f>
        <v>62281.491246105325</v>
      </c>
      <c r="R9" s="16">
        <f>'Proforma PL'!R9</f>
        <v>59615.669835615299</v>
      </c>
      <c r="S9" s="16">
        <f>'Proforma PL'!S9</f>
        <v>66472.549535427155</v>
      </c>
      <c r="T9" s="16">
        <f>'Proforma PL'!T9</f>
        <v>72281.457198912423</v>
      </c>
      <c r="U9" s="16">
        <f>'Proforma PL'!U9</f>
        <v>78126.58912295998</v>
      </c>
      <c r="W9" s="17"/>
    </row>
    <row r="10" spans="1:23" s="3" customFormat="1" x14ac:dyDescent="0.3">
      <c r="C10" s="3" t="s">
        <v>15</v>
      </c>
      <c r="O10" s="15">
        <f>'Proforma PL'!O10</f>
        <v>14020.1908588024</v>
      </c>
      <c r="P10" s="16">
        <f>'Proforma PL'!P10</f>
        <v>36602.449027482406</v>
      </c>
      <c r="Q10" s="16">
        <f>'Proforma PL'!Q10</f>
        <v>50622.6398862848</v>
      </c>
      <c r="R10" s="16">
        <f>'Proforma PL'!R10</f>
        <v>53388.539805503831</v>
      </c>
      <c r="S10" s="16">
        <f>'Proforma PL'!S10</f>
        <v>63265.92361202943</v>
      </c>
      <c r="T10" s="16">
        <f>'Proforma PL'!T10</f>
        <v>76460.227854483906</v>
      </c>
      <c r="U10" s="16">
        <f>'Proforma PL'!U10</f>
        <v>83020.200299313408</v>
      </c>
      <c r="W10" s="17"/>
    </row>
    <row r="11" spans="1:23" s="3" customFormat="1" x14ac:dyDescent="0.3">
      <c r="C11" s="3" t="s">
        <v>16</v>
      </c>
      <c r="O11" s="15">
        <f>'Proforma PL'!O11</f>
        <v>16151.038909999999</v>
      </c>
      <c r="P11" s="16">
        <f>'Proforma PL'!P11</f>
        <v>40337.57747799762</v>
      </c>
      <c r="Q11" s="16">
        <f>'Proforma PL'!Q11</f>
        <v>56488.616387997623</v>
      </c>
      <c r="R11" s="16">
        <f>'Proforma PL'!R11</f>
        <v>49213.365216195329</v>
      </c>
      <c r="S11" s="16">
        <f>'Proforma PL'!S11</f>
        <v>53049.401578407924</v>
      </c>
      <c r="T11" s="16">
        <f>'Proforma PL'!T11</f>
        <v>58244.454330210785</v>
      </c>
      <c r="U11" s="16">
        <f>'Proforma PL'!U11</f>
        <v>65105.51516786452</v>
      </c>
      <c r="W11" s="17"/>
    </row>
    <row r="12" spans="1:23" x14ac:dyDescent="0.3">
      <c r="B12" s="6" t="s">
        <v>17</v>
      </c>
      <c r="O12" s="18">
        <f>'Proforma PL'!O12</f>
        <v>68482.371076247568</v>
      </c>
      <c r="P12" s="19">
        <f>'Proforma PL'!P12</f>
        <v>231123.95444469014</v>
      </c>
      <c r="Q12" s="19">
        <f>'Proforma PL'!Q12</f>
        <v>299606.70396143768</v>
      </c>
      <c r="R12" s="19">
        <f>'Proforma PL'!R12</f>
        <v>279432.08733203728</v>
      </c>
      <c r="S12" s="19">
        <f>'Proforma PL'!S12</f>
        <v>317959.04708066391</v>
      </c>
      <c r="T12" s="19">
        <f>'Proforma PL'!T12</f>
        <v>356180.13347561721</v>
      </c>
      <c r="U12" s="19">
        <f>'Proforma PL'!U12</f>
        <v>393810.56964087498</v>
      </c>
    </row>
    <row r="13" spans="1:23" s="11" customFormat="1" x14ac:dyDescent="0.3">
      <c r="B13" s="20" t="s">
        <v>18</v>
      </c>
      <c r="C13" s="20"/>
      <c r="D13" s="20"/>
      <c r="E13" s="20"/>
      <c r="F13" s="20"/>
      <c r="G13" s="20"/>
      <c r="H13" s="20"/>
      <c r="I13" s="20"/>
      <c r="J13" s="20"/>
      <c r="K13" s="20"/>
      <c r="L13" s="20"/>
      <c r="M13" s="20"/>
      <c r="N13" s="20"/>
      <c r="O13" s="21">
        <f>'Proforma PL'!O13</f>
        <v>21234.008008483826</v>
      </c>
      <c r="P13" s="22">
        <f>'Proforma PL'!P13</f>
        <v>81046.821607412421</v>
      </c>
      <c r="Q13" s="22">
        <f>'Proforma PL'!Q13</f>
        <v>102280.45117539633</v>
      </c>
      <c r="R13" s="22">
        <f>'Proforma PL'!R13</f>
        <v>104593.0190451825</v>
      </c>
      <c r="S13" s="22">
        <f>'Proforma PL'!S13</f>
        <v>115890.83282499883</v>
      </c>
      <c r="T13" s="22">
        <f>'Proforma PL'!T13</f>
        <v>127627.40311951848</v>
      </c>
      <c r="U13" s="22">
        <f>'Proforma PL'!U13</f>
        <v>141721.51544615452</v>
      </c>
    </row>
    <row r="14" spans="1:23" s="23" customFormat="1" x14ac:dyDescent="0.3">
      <c r="B14" s="24" t="s">
        <v>19</v>
      </c>
      <c r="C14" s="24"/>
      <c r="D14" s="24"/>
      <c r="E14" s="24"/>
      <c r="F14" s="24"/>
      <c r="G14" s="24"/>
      <c r="H14" s="24"/>
      <c r="I14" s="24"/>
      <c r="J14" s="24"/>
      <c r="K14" s="24"/>
      <c r="L14" s="24"/>
      <c r="M14" s="24"/>
      <c r="N14" s="24"/>
      <c r="O14" s="25">
        <f>'Proforma PL'!O14</f>
        <v>0.23667928002789393</v>
      </c>
      <c r="P14" s="26">
        <f>'Proforma PL'!P14</f>
        <v>0.25962334665780945</v>
      </c>
      <c r="Q14" s="26">
        <f>'Proforma PL'!Q14</f>
        <v>0.25450042348472673</v>
      </c>
      <c r="R14" s="26">
        <f>'Proforma PL'!R14</f>
        <v>0.27235984655243606</v>
      </c>
      <c r="S14" s="26">
        <f>'Proforma PL'!S14</f>
        <v>0.26712196589796999</v>
      </c>
      <c r="T14" s="26">
        <f>'Proforma PL'!T14</f>
        <v>0.26379788131808463</v>
      </c>
      <c r="U14" s="26">
        <f>'Proforma PL'!U14</f>
        <v>0.26463683389413223</v>
      </c>
    </row>
    <row r="15" spans="1:23" x14ac:dyDescent="0.3">
      <c r="B15" s="6" t="s">
        <v>20</v>
      </c>
      <c r="O15" s="18">
        <f>'Proforma PL'!O15</f>
        <v>18313.220758887575</v>
      </c>
      <c r="P15" s="19">
        <f>'Proforma PL'!P15</f>
        <v>60236.141953667546</v>
      </c>
      <c r="Q15" s="19">
        <f>'Proforma PL'!Q15</f>
        <v>78549.362712555099</v>
      </c>
      <c r="R15" s="19">
        <f>'Proforma PL'!R15</f>
        <v>79066.552726676862</v>
      </c>
      <c r="S15" s="19">
        <f>'Proforma PL'!S15</f>
        <v>83876.936076966536</v>
      </c>
      <c r="T15" s="19">
        <f>'Proforma PL'!T15</f>
        <v>88454.287497459751</v>
      </c>
      <c r="U15" s="19">
        <f>'Proforma PL'!U15</f>
        <v>93105.563033504557</v>
      </c>
    </row>
    <row r="16" spans="1:23" s="11" customFormat="1" x14ac:dyDescent="0.3">
      <c r="B16" s="20" t="s">
        <v>21</v>
      </c>
      <c r="C16" s="20"/>
      <c r="D16" s="20"/>
      <c r="E16" s="20"/>
      <c r="F16" s="20"/>
      <c r="G16" s="20"/>
      <c r="H16" s="20"/>
      <c r="I16" s="20"/>
      <c r="J16" s="20"/>
      <c r="K16" s="20"/>
      <c r="L16" s="20"/>
      <c r="M16" s="20"/>
      <c r="N16" s="20"/>
      <c r="O16" s="21">
        <f>'Proforma PL'!O16</f>
        <v>2920.7872495962511</v>
      </c>
      <c r="P16" s="22">
        <f>'Proforma PL'!P16</f>
        <v>20810.679653744875</v>
      </c>
      <c r="Q16" s="22">
        <f>'Proforma PL'!Q16</f>
        <v>23731.088462841231</v>
      </c>
      <c r="R16" s="22">
        <f>'Proforma PL'!R16</f>
        <v>25526.466318505642</v>
      </c>
      <c r="S16" s="22">
        <f>'Proforma PL'!S16</f>
        <v>32013.89674803229</v>
      </c>
      <c r="T16" s="22">
        <f>'Proforma PL'!T16</f>
        <v>39173.115622058729</v>
      </c>
      <c r="U16" s="22">
        <f>'Proforma PL'!U16</f>
        <v>48615.95241264996</v>
      </c>
    </row>
    <row r="17" spans="1:23" s="23" customFormat="1" x14ac:dyDescent="0.3">
      <c r="B17" s="24" t="s">
        <v>22</v>
      </c>
      <c r="C17" s="24"/>
      <c r="D17" s="24"/>
      <c r="E17" s="24"/>
      <c r="F17" s="24"/>
      <c r="G17" s="24"/>
      <c r="H17" s="24"/>
      <c r="I17" s="24"/>
      <c r="J17" s="24"/>
      <c r="K17" s="24"/>
      <c r="L17" s="24"/>
      <c r="M17" s="24"/>
      <c r="N17" s="24"/>
      <c r="O17" s="25">
        <f>'Proforma PL'!O17</f>
        <v>3.2555786127277317E-2</v>
      </c>
      <c r="P17" s="26">
        <f>'Proforma PL'!P17</f>
        <v>6.6664406953556368E-2</v>
      </c>
      <c r="Q17" s="26">
        <f>'Proforma PL'!Q17</f>
        <v>5.9049133965879803E-2</v>
      </c>
      <c r="R17" s="26">
        <f>'Proforma PL'!R17</f>
        <v>6.6470826762642779E-2</v>
      </c>
      <c r="S17" s="26">
        <f>'Proforma PL'!S17</f>
        <v>7.3790263016768526E-2</v>
      </c>
      <c r="T17" s="26">
        <f>'Proforma PL'!T17</f>
        <v>8.0968386515317847E-2</v>
      </c>
      <c r="U17" s="26">
        <f>'Proforma PL'!U17</f>
        <v>9.0780653048545851E-2</v>
      </c>
    </row>
    <row r="18" spans="1:23" x14ac:dyDescent="0.3">
      <c r="B18" s="27" t="s">
        <v>23</v>
      </c>
      <c r="C18" s="27"/>
      <c r="D18" s="27"/>
      <c r="E18" s="27"/>
      <c r="F18" s="27"/>
      <c r="G18" s="27"/>
      <c r="H18" s="27"/>
      <c r="I18" s="27"/>
      <c r="J18" s="27"/>
      <c r="K18" s="27"/>
      <c r="L18" s="27"/>
      <c r="M18" s="27"/>
      <c r="N18" s="27"/>
      <c r="O18" s="28">
        <f>'Proforma PL'!O26</f>
        <v>1114.4191370999999</v>
      </c>
      <c r="P18" s="29">
        <f>'Proforma PL'!P26</f>
        <v>4387.6363486486989</v>
      </c>
      <c r="Q18" s="29">
        <f>'Proforma PL'!Q26</f>
        <v>5502.0554857486995</v>
      </c>
      <c r="R18" s="29">
        <f>'Proforma PL'!R26</f>
        <v>4388.9114303982815</v>
      </c>
      <c r="S18" s="29">
        <f>'Proforma PL'!S26</f>
        <v>4406.3455330952484</v>
      </c>
      <c r="T18" s="29">
        <f>'Proforma PL'!T26</f>
        <v>4431.8655648404119</v>
      </c>
      <c r="U18" s="29">
        <f>'Proforma PL'!U26</f>
        <v>4510.3794523034721</v>
      </c>
    </row>
    <row r="19" spans="1:23" s="11" customFormat="1" x14ac:dyDescent="0.3">
      <c r="B19" s="20" t="s">
        <v>24</v>
      </c>
      <c r="C19" s="20"/>
      <c r="D19" s="20"/>
      <c r="E19" s="20"/>
      <c r="F19" s="20"/>
      <c r="G19" s="20"/>
      <c r="H19" s="20"/>
      <c r="I19" s="20"/>
      <c r="J19" s="20"/>
      <c r="K19" s="20"/>
      <c r="L19" s="20"/>
      <c r="M19" s="20"/>
      <c r="N19" s="20"/>
      <c r="O19" s="30">
        <f>'Proforma PL'!O27</f>
        <v>4035.2063866962508</v>
      </c>
      <c r="P19" s="31">
        <f>'Proforma PL'!P27</f>
        <v>25198.316002393574</v>
      </c>
      <c r="Q19" s="22">
        <f>'Proforma PL'!Q27</f>
        <v>29233.143948589932</v>
      </c>
      <c r="R19" s="22">
        <f>'Proforma PL'!R27</f>
        <v>29915.377748903924</v>
      </c>
      <c r="S19" s="22">
        <f>'Proforma PL'!S27</f>
        <v>36420.242281127539</v>
      </c>
      <c r="T19" s="22">
        <f>'Proforma PL'!T27</f>
        <v>43604.981186899138</v>
      </c>
      <c r="U19" s="22">
        <f>'Proforma PL'!U27</f>
        <v>53126.331864953434</v>
      </c>
    </row>
    <row r="20" spans="1:23" s="23" customFormat="1" x14ac:dyDescent="0.3">
      <c r="B20" s="32" t="s">
        <v>25</v>
      </c>
      <c r="C20" s="32"/>
      <c r="D20" s="32"/>
      <c r="E20" s="32"/>
      <c r="F20" s="32"/>
      <c r="G20" s="32"/>
      <c r="H20" s="32"/>
      <c r="I20" s="32"/>
      <c r="J20" s="32"/>
      <c r="K20" s="32"/>
      <c r="L20" s="32"/>
      <c r="M20" s="32"/>
      <c r="N20" s="32"/>
      <c r="O20" s="33">
        <f>'Proforma PL'!O28</f>
        <v>4.4977365647862984E-2</v>
      </c>
      <c r="P20" s="34">
        <f>'Proforma PL'!P28</f>
        <v>8.0719650702306203E-2</v>
      </c>
      <c r="Q20" s="34">
        <f>'Proforma PL'!Q28</f>
        <v>7.2739682209143189E-2</v>
      </c>
      <c r="R20" s="34">
        <f>'Proforma PL'!R28</f>
        <v>7.7899536389994972E-2</v>
      </c>
      <c r="S20" s="34">
        <f>'Proforma PL'!S28</f>
        <v>8.3946645989729993E-2</v>
      </c>
      <c r="T20" s="34">
        <f>'Proforma PL'!T28</f>
        <v>9.0128776194301125E-2</v>
      </c>
      <c r="U20" s="34">
        <f>'Proforma PL'!U28</f>
        <v>9.9202892495824702E-2</v>
      </c>
    </row>
    <row r="21" spans="1:23" x14ac:dyDescent="0.3">
      <c r="O21" s="35"/>
      <c r="P21" s="35"/>
      <c r="Q21" s="35"/>
      <c r="R21" s="35"/>
      <c r="S21" s="35"/>
      <c r="T21" s="35"/>
      <c r="U21" s="35"/>
    </row>
    <row r="22" spans="1:23" s="3" customFormat="1" x14ac:dyDescent="0.3">
      <c r="A22" s="4"/>
      <c r="B22" s="5" t="s">
        <v>26</v>
      </c>
      <c r="C22" s="4"/>
      <c r="D22" s="4"/>
      <c r="E22" s="4"/>
      <c r="F22" s="4"/>
      <c r="G22" s="4"/>
      <c r="H22" s="4"/>
      <c r="I22" s="4"/>
      <c r="J22" s="4"/>
      <c r="K22" s="4"/>
      <c r="L22" s="4"/>
      <c r="M22" s="4"/>
      <c r="N22" s="4"/>
      <c r="O22" s="4"/>
      <c r="P22" s="4"/>
      <c r="Q22" s="4"/>
      <c r="R22" s="4"/>
      <c r="S22" s="4"/>
      <c r="T22" s="4"/>
      <c r="U22" s="4"/>
      <c r="V22" s="4"/>
    </row>
    <row r="24" spans="1:23" x14ac:dyDescent="0.3">
      <c r="B24" s="8"/>
      <c r="C24" s="8"/>
      <c r="D24" s="8"/>
      <c r="E24" s="8"/>
      <c r="F24" s="8"/>
      <c r="G24" s="8"/>
      <c r="H24" s="8"/>
      <c r="I24" s="8"/>
      <c r="J24" s="8"/>
      <c r="K24" s="8"/>
      <c r="L24" s="9" t="s">
        <v>1</v>
      </c>
      <c r="M24" s="9" t="s">
        <v>2</v>
      </c>
      <c r="N24" s="9" t="s">
        <v>3</v>
      </c>
      <c r="O24" s="10" t="s">
        <v>4</v>
      </c>
      <c r="P24" s="9" t="s">
        <v>5</v>
      </c>
      <c r="Q24" s="9" t="s">
        <v>6</v>
      </c>
      <c r="R24" s="9" t="s">
        <v>7</v>
      </c>
      <c r="S24" s="9" t="s">
        <v>8</v>
      </c>
      <c r="T24" s="9" t="s">
        <v>9</v>
      </c>
      <c r="U24" s="9" t="s">
        <v>10</v>
      </c>
      <c r="V24" s="9" t="s">
        <v>27</v>
      </c>
      <c r="W24" s="3"/>
    </row>
    <row r="25" spans="1:23" x14ac:dyDescent="0.3">
      <c r="B25" s="36" t="s">
        <v>28</v>
      </c>
      <c r="C25" s="36"/>
      <c r="D25" s="36"/>
      <c r="E25" s="36"/>
      <c r="F25" s="36"/>
      <c r="G25" s="36"/>
      <c r="H25" s="36"/>
      <c r="I25" s="36"/>
      <c r="J25" s="36"/>
      <c r="K25" s="36"/>
      <c r="L25" s="36"/>
      <c r="M25" s="36"/>
      <c r="N25" s="36"/>
      <c r="O25" s="37"/>
      <c r="P25" s="38">
        <f>P6</f>
        <v>312170.77605210256</v>
      </c>
      <c r="Q25" s="38">
        <f t="shared" ref="Q25:U25" si="0">Q6</f>
        <v>401887.15513683402</v>
      </c>
      <c r="R25" s="38">
        <f t="shared" si="0"/>
        <v>384025.10637721978</v>
      </c>
      <c r="S25" s="38">
        <f t="shared" si="0"/>
        <v>433849.87990566273</v>
      </c>
      <c r="T25" s="38">
        <f t="shared" si="0"/>
        <v>483807.53659513569</v>
      </c>
      <c r="U25" s="38">
        <f t="shared" si="0"/>
        <v>535532.0850870295</v>
      </c>
      <c r="V25" s="38">
        <f>U25*(1+$I$45)</f>
        <v>538209.74551246455</v>
      </c>
      <c r="W25" s="3"/>
    </row>
    <row r="26" spans="1:23" x14ac:dyDescent="0.3">
      <c r="B26" s="39" t="s">
        <v>29</v>
      </c>
      <c r="C26" s="39"/>
      <c r="D26" s="39"/>
      <c r="E26" s="39"/>
      <c r="F26" s="39"/>
      <c r="G26" s="39"/>
      <c r="H26" s="39"/>
      <c r="I26" s="39"/>
      <c r="J26" s="39"/>
      <c r="K26" s="39"/>
      <c r="L26" s="39"/>
      <c r="M26" s="39"/>
      <c r="N26" s="39"/>
      <c r="O26" s="40"/>
      <c r="P26" s="41">
        <f>P12</f>
        <v>231123.95444469014</v>
      </c>
      <c r="Q26" s="41">
        <f t="shared" ref="Q26:U26" si="1">Q12</f>
        <v>299606.70396143768</v>
      </c>
      <c r="R26" s="41">
        <f t="shared" si="1"/>
        <v>279432.08733203728</v>
      </c>
      <c r="S26" s="41">
        <f t="shared" si="1"/>
        <v>317959.04708066391</v>
      </c>
      <c r="T26" s="41">
        <f t="shared" si="1"/>
        <v>356180.13347561721</v>
      </c>
      <c r="U26" s="41">
        <f t="shared" si="1"/>
        <v>393810.56964087498</v>
      </c>
      <c r="V26" s="41">
        <f>U26*(1+$I$45)</f>
        <v>395779.62248907931</v>
      </c>
      <c r="W26" s="3"/>
    </row>
    <row r="27" spans="1:23" x14ac:dyDescent="0.3">
      <c r="B27" s="20" t="s">
        <v>30</v>
      </c>
      <c r="C27" s="20"/>
      <c r="D27" s="20"/>
      <c r="E27" s="20"/>
      <c r="F27" s="20"/>
      <c r="G27" s="20"/>
      <c r="H27" s="20"/>
      <c r="I27" s="20"/>
      <c r="J27" s="20"/>
      <c r="K27" s="20"/>
      <c r="L27" s="20"/>
      <c r="M27" s="20"/>
      <c r="N27" s="20"/>
      <c r="O27" s="42"/>
      <c r="P27" s="31">
        <f t="shared" ref="P27:V27" si="2">P25-P26</f>
        <v>81046.821607412421</v>
      </c>
      <c r="Q27" s="31">
        <f t="shared" si="2"/>
        <v>102280.45117539633</v>
      </c>
      <c r="R27" s="31">
        <f t="shared" si="2"/>
        <v>104593.0190451825</v>
      </c>
      <c r="S27" s="31">
        <f t="shared" si="2"/>
        <v>115890.83282499883</v>
      </c>
      <c r="T27" s="31">
        <f t="shared" si="2"/>
        <v>127627.40311951848</v>
      </c>
      <c r="U27" s="31">
        <f t="shared" si="2"/>
        <v>141721.51544615452</v>
      </c>
      <c r="V27" s="31">
        <f t="shared" si="2"/>
        <v>142430.12302338524</v>
      </c>
      <c r="W27" s="3"/>
    </row>
    <row r="28" spans="1:23" x14ac:dyDescent="0.3">
      <c r="B28" s="43" t="s">
        <v>31</v>
      </c>
      <c r="C28" s="43"/>
      <c r="D28" s="43"/>
      <c r="E28" s="43"/>
      <c r="F28" s="43"/>
      <c r="G28" s="43"/>
      <c r="H28" s="43"/>
      <c r="I28" s="43"/>
      <c r="J28" s="43"/>
      <c r="K28" s="43"/>
      <c r="L28" s="43"/>
      <c r="M28" s="43"/>
      <c r="N28" s="43"/>
      <c r="O28" s="44"/>
      <c r="P28" s="45">
        <f>P27/P$25</f>
        <v>0.25962334665780945</v>
      </c>
      <c r="Q28" s="45">
        <f t="shared" ref="Q28:V28" si="3">Q27/Q$25</f>
        <v>0.25450042348472673</v>
      </c>
      <c r="R28" s="45">
        <f t="shared" si="3"/>
        <v>0.27235984655243606</v>
      </c>
      <c r="S28" s="45">
        <f t="shared" si="3"/>
        <v>0.26712196589796999</v>
      </c>
      <c r="T28" s="45">
        <f t="shared" si="3"/>
        <v>0.26379788131808463</v>
      </c>
      <c r="U28" s="45">
        <f t="shared" si="3"/>
        <v>0.26463683389413223</v>
      </c>
      <c r="V28" s="45">
        <f t="shared" si="3"/>
        <v>0.26463683389413217</v>
      </c>
      <c r="W28" s="3"/>
    </row>
    <row r="29" spans="1:23" x14ac:dyDescent="0.3">
      <c r="B29" s="39" t="s">
        <v>32</v>
      </c>
      <c r="C29" s="39"/>
      <c r="D29" s="39"/>
      <c r="E29" s="39"/>
      <c r="F29" s="39"/>
      <c r="G29" s="39"/>
      <c r="H29" s="39"/>
      <c r="I29" s="39"/>
      <c r="J29" s="39"/>
      <c r="K29" s="39"/>
      <c r="L29" s="39"/>
      <c r="M29" s="39"/>
      <c r="N29" s="39"/>
      <c r="O29" s="40"/>
      <c r="P29" s="41">
        <f>P15</f>
        <v>60236.141953667546</v>
      </c>
      <c r="Q29" s="41">
        <f t="shared" ref="Q29:U29" si="4">Q15</f>
        <v>78549.362712555099</v>
      </c>
      <c r="R29" s="41">
        <f t="shared" si="4"/>
        <v>79066.552726676862</v>
      </c>
      <c r="S29" s="41">
        <f t="shared" si="4"/>
        <v>83876.936076966536</v>
      </c>
      <c r="T29" s="41">
        <f t="shared" si="4"/>
        <v>88454.287497459751</v>
      </c>
      <c r="U29" s="41">
        <f t="shared" si="4"/>
        <v>93105.563033504557</v>
      </c>
      <c r="V29" s="41">
        <f>U29*(1+$I$45)</f>
        <v>93571.090848672073</v>
      </c>
      <c r="W29" s="3"/>
    </row>
    <row r="30" spans="1:23" x14ac:dyDescent="0.3">
      <c r="B30" s="11" t="s">
        <v>33</v>
      </c>
      <c r="C30" s="11"/>
      <c r="D30" s="11"/>
      <c r="E30" s="11"/>
      <c r="F30" s="11"/>
      <c r="G30" s="11"/>
      <c r="H30" s="11"/>
      <c r="I30" s="11"/>
      <c r="J30" s="11"/>
      <c r="K30" s="11"/>
      <c r="L30" s="11"/>
      <c r="M30" s="11"/>
      <c r="N30" s="11"/>
      <c r="O30" s="46"/>
      <c r="P30" s="47">
        <f t="shared" ref="P30:V30" si="5">P27-P29</f>
        <v>20810.679653744875</v>
      </c>
      <c r="Q30" s="47">
        <f t="shared" si="5"/>
        <v>23731.088462841231</v>
      </c>
      <c r="R30" s="47">
        <f t="shared" si="5"/>
        <v>25526.466318505642</v>
      </c>
      <c r="S30" s="47">
        <f t="shared" si="5"/>
        <v>32013.89674803229</v>
      </c>
      <c r="T30" s="47">
        <f t="shared" si="5"/>
        <v>39173.115622058729</v>
      </c>
      <c r="U30" s="47">
        <f t="shared" si="5"/>
        <v>48615.95241264996</v>
      </c>
      <c r="V30" s="47">
        <f t="shared" si="5"/>
        <v>48859.032174713167</v>
      </c>
      <c r="W30" s="3"/>
    </row>
    <row r="31" spans="1:23" x14ac:dyDescent="0.3">
      <c r="B31" s="43" t="s">
        <v>31</v>
      </c>
      <c r="C31" s="43"/>
      <c r="D31" s="43"/>
      <c r="E31" s="43"/>
      <c r="F31" s="43"/>
      <c r="G31" s="43"/>
      <c r="H31" s="43"/>
      <c r="I31" s="43"/>
      <c r="J31" s="43"/>
      <c r="K31" s="43"/>
      <c r="L31" s="43"/>
      <c r="M31" s="43"/>
      <c r="N31" s="43"/>
      <c r="O31" s="44"/>
      <c r="P31" s="45">
        <f>P30/P$25</f>
        <v>6.6664406953556368E-2</v>
      </c>
      <c r="Q31" s="45">
        <f t="shared" ref="Q31:V31" si="6">Q30/Q$25</f>
        <v>5.9049133965879803E-2</v>
      </c>
      <c r="R31" s="45">
        <f t="shared" si="6"/>
        <v>6.6470826762642779E-2</v>
      </c>
      <c r="S31" s="45">
        <f t="shared" si="6"/>
        <v>7.3790263016768526E-2</v>
      </c>
      <c r="T31" s="45">
        <f t="shared" si="6"/>
        <v>8.0968386515317847E-2</v>
      </c>
      <c r="U31" s="45">
        <f t="shared" si="6"/>
        <v>9.0780653048545851E-2</v>
      </c>
      <c r="V31" s="45">
        <f t="shared" si="6"/>
        <v>9.0780653048545781E-2</v>
      </c>
      <c r="W31" s="3"/>
    </row>
    <row r="32" spans="1:23" x14ac:dyDescent="0.3">
      <c r="B32" s="39" t="s">
        <v>34</v>
      </c>
      <c r="C32" s="39"/>
      <c r="D32" s="39"/>
      <c r="E32" s="39"/>
      <c r="F32" s="39"/>
      <c r="G32" s="39"/>
      <c r="H32" s="39"/>
      <c r="I32" s="39"/>
      <c r="J32" s="39"/>
      <c r="K32" s="39"/>
      <c r="L32" s="39"/>
      <c r="M32" s="39"/>
      <c r="N32" s="39"/>
      <c r="O32" s="40"/>
      <c r="P32" s="41">
        <v>4303.9004800594566</v>
      </c>
      <c r="Q32" s="48"/>
      <c r="R32" s="41">
        <v>5729.4689738873667</v>
      </c>
      <c r="S32" s="41">
        <v>7118.5538283881333</v>
      </c>
      <c r="T32" s="41">
        <v>9031.9654345918825</v>
      </c>
      <c r="U32" s="41">
        <v>11315.371526650248</v>
      </c>
      <c r="V32" s="41">
        <v>11374.258384283497</v>
      </c>
      <c r="W32" s="3"/>
    </row>
    <row r="33" spans="2:23" x14ac:dyDescent="0.3">
      <c r="B33" s="11" t="s">
        <v>35</v>
      </c>
      <c r="O33" s="49"/>
      <c r="P33" s="47">
        <f>P30-P32</f>
        <v>16506.77917368542</v>
      </c>
      <c r="Q33" s="50"/>
      <c r="R33" s="47">
        <f>R30-R32</f>
        <v>19796.997344618274</v>
      </c>
      <c r="S33" s="47">
        <f>S30-S32</f>
        <v>24895.342919644158</v>
      </c>
      <c r="T33" s="47">
        <f>T30-T32</f>
        <v>30141.150187466847</v>
      </c>
      <c r="U33" s="47">
        <f>U30-U32</f>
        <v>37300.580885999712</v>
      </c>
      <c r="V33" s="47">
        <f>V30-V32</f>
        <v>37484.773790429666</v>
      </c>
      <c r="W33" s="3"/>
    </row>
    <row r="34" spans="2:23" x14ac:dyDescent="0.3">
      <c r="B34" s="6" t="s">
        <v>36</v>
      </c>
      <c r="O34" s="49"/>
      <c r="P34" s="51">
        <f>P18</f>
        <v>4387.6363486486989</v>
      </c>
      <c r="Q34" s="52"/>
      <c r="R34" s="51">
        <f t="shared" ref="R34:U34" si="7">R18</f>
        <v>4388.9114303982815</v>
      </c>
      <c r="S34" s="51">
        <f t="shared" si="7"/>
        <v>4406.3455330952484</v>
      </c>
      <c r="T34" s="51">
        <f t="shared" si="7"/>
        <v>4431.8655648404119</v>
      </c>
      <c r="U34" s="51">
        <f t="shared" si="7"/>
        <v>4510.3794523034721</v>
      </c>
      <c r="V34" s="52"/>
      <c r="W34" s="3"/>
    </row>
    <row r="35" spans="2:23" x14ac:dyDescent="0.3">
      <c r="B35" s="6" t="s">
        <v>37</v>
      </c>
      <c r="O35" s="49"/>
      <c r="P35" s="51">
        <f>CAPEX_HW!Y6+CAPEX_강소!Y6+Projection_미국!Y274+Projection_중국!Y272+Projection_유럽!Y166</f>
        <v>4294.9395664620961</v>
      </c>
      <c r="Q35" s="53"/>
      <c r="R35" s="51">
        <f>CAPEX_HW!AA6+CAPEX_강소!AA6+Projection_미국!AA274+Projection_중국!AA272+Projection_유럽!AA166</f>
        <v>4357.0403518870799</v>
      </c>
      <c r="S35" s="51">
        <f>CAPEX_HW!AB6+CAPEX_강소!AB6+Projection_미국!AB274+Projection_중국!AB272+Projection_유럽!AB166</f>
        <v>4375.1867066705036</v>
      </c>
      <c r="T35" s="51">
        <f>CAPEX_HW!AC6+CAPEX_강소!AC6+Projection_미국!AC274+Projection_중국!AC272+Projection_유럽!AC166</f>
        <v>4403.435393900817</v>
      </c>
      <c r="U35" s="51">
        <f>CAPEX_HW!AD6+CAPEX_강소!AD6+Projection_미국!AD274+Projection_중국!AD272+Projection_유럽!AD166</f>
        <v>4480.7549098636064</v>
      </c>
      <c r="V35" s="53"/>
      <c r="W35" s="3"/>
    </row>
    <row r="36" spans="2:23" x14ac:dyDescent="0.3">
      <c r="B36" s="39" t="s">
        <v>38</v>
      </c>
      <c r="C36" s="39"/>
      <c r="D36" s="39"/>
      <c r="E36" s="39"/>
      <c r="F36" s="39"/>
      <c r="G36" s="39"/>
      <c r="H36" s="39"/>
      <c r="I36" s="39"/>
      <c r="J36" s="39"/>
      <c r="K36" s="39"/>
      <c r="L36" s="39"/>
      <c r="M36" s="39"/>
      <c r="N36" s="39"/>
      <c r="O36" s="40"/>
      <c r="P36" s="54">
        <f>NWC_연결!P6</f>
        <v>-16257.033508374094</v>
      </c>
      <c r="Q36" s="55"/>
      <c r="R36" s="54">
        <f>NWC_연결!R6</f>
        <v>-9574.7874443378532</v>
      </c>
      <c r="S36" s="54">
        <f>NWC_연결!S6</f>
        <v>20834.398655807949</v>
      </c>
      <c r="T36" s="54">
        <f>NWC_연결!T6</f>
        <v>20951.381015220279</v>
      </c>
      <c r="U36" s="54">
        <f>NWC_연결!U6</f>
        <v>20590.111461572145</v>
      </c>
      <c r="V36" s="54">
        <f>NWC_연결!V6</f>
        <v>1079.4050529595115</v>
      </c>
      <c r="W36" s="3"/>
    </row>
    <row r="37" spans="2:23" x14ac:dyDescent="0.3">
      <c r="B37" s="56" t="s">
        <v>39</v>
      </c>
      <c r="C37" s="27"/>
      <c r="D37" s="27"/>
      <c r="E37" s="27"/>
      <c r="F37" s="27"/>
      <c r="G37" s="27"/>
      <c r="H37" s="27"/>
      <c r="I37" s="27"/>
      <c r="J37" s="27"/>
      <c r="K37" s="27"/>
      <c r="L37" s="27"/>
      <c r="M37" s="27"/>
      <c r="N37" s="27"/>
      <c r="O37" s="57"/>
      <c r="P37" s="58">
        <f>P33+P34-P35-P36</f>
        <v>32856.509464246119</v>
      </c>
      <c r="Q37" s="59"/>
      <c r="R37" s="58">
        <f>R33+R34-R35-R36</f>
        <v>29403.655867467329</v>
      </c>
      <c r="S37" s="58">
        <f>S33+S34-S35-S36</f>
        <v>4092.1030902609564</v>
      </c>
      <c r="T37" s="58">
        <f>T33+T34-T35-T36</f>
        <v>9218.1993431861592</v>
      </c>
      <c r="U37" s="58">
        <f>U33+U34-U35-U36</f>
        <v>16740.093966867433</v>
      </c>
      <c r="V37" s="58">
        <f>V33+V34-V35-V36</f>
        <v>36405.368737470155</v>
      </c>
      <c r="W37" s="3"/>
    </row>
    <row r="38" spans="2:23" x14ac:dyDescent="0.3">
      <c r="B38" s="6" t="s">
        <v>40</v>
      </c>
      <c r="O38" s="49"/>
      <c r="P38" s="60">
        <f>'Key Assumption'!$I$9/2</f>
        <v>0.37671232876712329</v>
      </c>
      <c r="Q38" s="61"/>
      <c r="R38" s="60">
        <f>'Key Assumption'!$I$9+0.5</f>
        <v>1.2534246575342465</v>
      </c>
      <c r="S38" s="60">
        <f t="shared" ref="S38:U38" si="8">R38+1</f>
        <v>2.2534246575342465</v>
      </c>
      <c r="T38" s="60">
        <f t="shared" si="8"/>
        <v>3.2534246575342465</v>
      </c>
      <c r="U38" s="60">
        <f t="shared" si="8"/>
        <v>4.2534246575342465</v>
      </c>
      <c r="V38" s="60">
        <f>U38</f>
        <v>4.2534246575342465</v>
      </c>
      <c r="W38" s="3"/>
    </row>
    <row r="39" spans="2:23" x14ac:dyDescent="0.3">
      <c r="B39" s="6" t="s">
        <v>41</v>
      </c>
      <c r="O39" s="49"/>
      <c r="P39" s="60">
        <f>1/(1+$I$46)^P38</f>
        <v>0.96144905103256273</v>
      </c>
      <c r="Q39" s="3"/>
      <c r="R39" s="60">
        <f>1/(1+$I$46)^R38</f>
        <v>0.87738672835667175</v>
      </c>
      <c r="S39" s="60">
        <f>1/(1+$I$46)^S38</f>
        <v>0.79043849401501953</v>
      </c>
      <c r="T39" s="60">
        <f>1/(1+$I$46)^T38</f>
        <v>0.71210675136488244</v>
      </c>
      <c r="U39" s="60">
        <f>1/(1+$I$46)^U38</f>
        <v>0.6415376138422364</v>
      </c>
      <c r="V39" s="60">
        <f>U39</f>
        <v>0.6415376138422364</v>
      </c>
      <c r="W39" s="3"/>
    </row>
    <row r="40" spans="2:23" x14ac:dyDescent="0.3">
      <c r="B40" s="56" t="s">
        <v>42</v>
      </c>
      <c r="C40" s="56"/>
      <c r="D40" s="56"/>
      <c r="E40" s="56"/>
      <c r="F40" s="56"/>
      <c r="G40" s="56"/>
      <c r="H40" s="56"/>
      <c r="I40" s="56"/>
      <c r="J40" s="56"/>
      <c r="K40" s="56"/>
      <c r="L40" s="56"/>
      <c r="M40" s="56"/>
      <c r="N40" s="56"/>
      <c r="O40" s="62"/>
      <c r="P40" s="63">
        <f>P37*P39</f>
        <v>31589.859844641847</v>
      </c>
      <c r="Q40" s="64"/>
      <c r="R40" s="63">
        <f>R37*R39</f>
        <v>25798.377423282614</v>
      </c>
      <c r="S40" s="63">
        <f>S37*S39</f>
        <v>3234.5558040200781</v>
      </c>
      <c r="T40" s="63">
        <f>T37*T39</f>
        <v>6564.3419877101887</v>
      </c>
      <c r="U40" s="63">
        <f>U37*U39</f>
        <v>10739.399938998951</v>
      </c>
      <c r="V40" s="63">
        <f>V37*V39/(I46-I45)</f>
        <v>222432.50848460337</v>
      </c>
      <c r="W40" s="3"/>
    </row>
    <row r="41" spans="2:23" x14ac:dyDescent="0.3">
      <c r="B41" s="6" t="s">
        <v>43</v>
      </c>
      <c r="O41" s="49"/>
      <c r="P41" s="51">
        <f>SUM(P40:U40)</f>
        <v>77926.534998653675</v>
      </c>
      <c r="W41" s="3"/>
    </row>
    <row r="42" spans="2:23" x14ac:dyDescent="0.3">
      <c r="B42" s="6" t="s">
        <v>44</v>
      </c>
      <c r="O42" s="49"/>
      <c r="P42" s="51">
        <f>V40</f>
        <v>222432.50848460337</v>
      </c>
      <c r="W42" s="3"/>
    </row>
    <row r="43" spans="2:23" x14ac:dyDescent="0.3">
      <c r="B43" s="65" t="s">
        <v>45</v>
      </c>
      <c r="C43" s="66"/>
      <c r="D43" s="66"/>
      <c r="E43" s="66"/>
      <c r="F43" s="66"/>
      <c r="G43" s="66"/>
      <c r="H43" s="66"/>
      <c r="I43" s="66"/>
      <c r="J43" s="66"/>
      <c r="K43" s="66"/>
      <c r="L43" s="66"/>
      <c r="M43" s="66"/>
      <c r="N43" s="66"/>
      <c r="O43" s="67"/>
      <c r="P43" s="68">
        <f>P42+P41</f>
        <v>300359.04348325706</v>
      </c>
      <c r="Q43" s="66"/>
      <c r="R43" s="66"/>
      <c r="S43" s="66"/>
      <c r="T43" s="66"/>
      <c r="U43" s="66"/>
      <c r="V43" s="66"/>
      <c r="W43" s="3"/>
    </row>
    <row r="44" spans="2:23" x14ac:dyDescent="0.3">
      <c r="B44" s="3"/>
      <c r="C44" s="3"/>
      <c r="D44" s="3"/>
      <c r="E44" s="3"/>
      <c r="F44" s="3"/>
      <c r="G44" s="3"/>
      <c r="H44" s="3"/>
      <c r="I44" s="3"/>
      <c r="J44" s="3"/>
      <c r="K44" s="3"/>
      <c r="L44" s="3"/>
      <c r="M44" s="3"/>
      <c r="N44" s="3"/>
      <c r="O44" s="3"/>
      <c r="P44" s="3"/>
      <c r="Q44" s="3"/>
      <c r="R44" s="3"/>
      <c r="S44" s="3"/>
      <c r="T44" s="3"/>
      <c r="U44" s="3"/>
      <c r="V44" s="3"/>
      <c r="W44" s="3"/>
    </row>
    <row r="45" spans="2:23" x14ac:dyDescent="0.3">
      <c r="B45" s="69" t="s">
        <v>46</v>
      </c>
      <c r="C45" s="69"/>
      <c r="D45" s="69"/>
      <c r="E45" s="69"/>
      <c r="F45" s="69"/>
      <c r="G45" s="70"/>
      <c r="H45" s="70"/>
      <c r="I45" s="71">
        <v>5.0000000000000001E-3</v>
      </c>
      <c r="J45" s="3"/>
      <c r="K45" s="3"/>
      <c r="L45" s="3"/>
      <c r="M45" s="3"/>
      <c r="N45" s="3"/>
      <c r="O45" s="3"/>
      <c r="P45" s="17"/>
      <c r="Q45" s="3"/>
      <c r="R45" s="17"/>
      <c r="S45" s="17"/>
      <c r="T45" s="17"/>
      <c r="U45" s="17"/>
      <c r="V45" s="17"/>
      <c r="W45" s="3"/>
    </row>
    <row r="46" spans="2:23" x14ac:dyDescent="0.3">
      <c r="B46" s="72" t="s">
        <v>47</v>
      </c>
      <c r="C46" s="72"/>
      <c r="D46" s="72"/>
      <c r="E46" s="72"/>
      <c r="F46" s="72"/>
      <c r="G46" s="73"/>
      <c r="H46" s="73"/>
      <c r="I46" s="74">
        <f>DCF!I27</f>
        <v>0.11</v>
      </c>
      <c r="J46" s="3"/>
      <c r="K46" s="3"/>
      <c r="L46" s="3"/>
      <c r="M46" s="3"/>
      <c r="N46" s="3"/>
      <c r="O46" s="3"/>
      <c r="P46" s="75"/>
      <c r="Q46" s="75"/>
      <c r="R46" s="76"/>
      <c r="S46" s="76"/>
      <c r="T46" s="77" t="s">
        <v>48</v>
      </c>
      <c r="U46" s="75"/>
      <c r="V46" s="75"/>
      <c r="W46" s="3"/>
    </row>
    <row r="47" spans="2:23" x14ac:dyDescent="0.3">
      <c r="B47" s="3"/>
      <c r="C47" s="3"/>
      <c r="D47" s="3"/>
      <c r="E47" s="3"/>
      <c r="F47" s="3"/>
      <c r="G47" s="3"/>
      <c r="H47" s="3"/>
      <c r="I47" s="3"/>
      <c r="J47" s="3"/>
      <c r="K47" s="3"/>
      <c r="L47" s="3"/>
      <c r="M47" s="3"/>
      <c r="N47" s="3"/>
      <c r="O47" s="3"/>
      <c r="P47" s="76"/>
      <c r="Q47" s="78">
        <f>$I$53</f>
        <v>303168.40188625705</v>
      </c>
      <c r="R47" s="79">
        <v>0</v>
      </c>
      <c r="S47" s="79">
        <v>2.5000000000000001E-3</v>
      </c>
      <c r="T47" s="79">
        <v>5.0000000000000001E-3</v>
      </c>
      <c r="U47" s="79">
        <v>7.4999999999999997E-3</v>
      </c>
      <c r="V47" s="79">
        <v>0.01</v>
      </c>
      <c r="W47" s="3"/>
    </row>
    <row r="48" spans="2:23" x14ac:dyDescent="0.3">
      <c r="B48" s="80" t="s">
        <v>49</v>
      </c>
      <c r="C48" s="9"/>
      <c r="D48" s="9"/>
      <c r="E48" s="9"/>
      <c r="F48" s="9"/>
      <c r="G48" s="9"/>
      <c r="H48" s="9"/>
      <c r="I48" s="9"/>
      <c r="J48" s="3"/>
      <c r="K48" s="3"/>
      <c r="L48" s="3"/>
      <c r="M48" s="3"/>
      <c r="N48" s="3"/>
      <c r="O48" s="3"/>
      <c r="P48" s="76"/>
      <c r="Q48" s="81">
        <v>9.9999999999999992E-2</v>
      </c>
      <c r="R48" s="82">
        <f>DCF!R29</f>
        <v>330117.76236531709</v>
      </c>
      <c r="S48" s="83">
        <f>DCF!S29</f>
        <v>333624.87917473173</v>
      </c>
      <c r="T48" s="83">
        <f>DCF!T29</f>
        <v>337316.58107937948</v>
      </c>
      <c r="U48" s="83">
        <f>DCF!U29</f>
        <v>341207.83443833323</v>
      </c>
      <c r="V48" s="84">
        <f>DCF!V29</f>
        <v>345315.26853944996</v>
      </c>
      <c r="W48" s="3"/>
    </row>
    <row r="49" spans="1:23" x14ac:dyDescent="0.3">
      <c r="B49" s="11" t="s">
        <v>50</v>
      </c>
      <c r="C49" s="3"/>
      <c r="D49" s="3"/>
      <c r="E49" s="3"/>
      <c r="F49" s="3"/>
      <c r="G49" s="3"/>
      <c r="H49" s="3"/>
      <c r="I49" s="13">
        <f>P43</f>
        <v>300359.04348325706</v>
      </c>
      <c r="J49" s="3"/>
      <c r="K49" s="3"/>
      <c r="L49" s="3"/>
      <c r="M49" s="3"/>
      <c r="N49" s="3"/>
      <c r="O49" s="3"/>
      <c r="P49" s="76"/>
      <c r="Q49" s="81">
        <v>0.105</v>
      </c>
      <c r="R49" s="85">
        <f>DCF!R30</f>
        <v>313228.53413994337</v>
      </c>
      <c r="S49" s="51">
        <f>DCF!S30</f>
        <v>316217.96602364007</v>
      </c>
      <c r="T49" s="51">
        <f>DCF!T30</f>
        <v>319356.86950152222</v>
      </c>
      <c r="U49" s="86">
        <f>DCF!U30</f>
        <v>322656.7423885272</v>
      </c>
      <c r="V49" s="87">
        <f>DCF!V30</f>
        <v>326130.29279589996</v>
      </c>
      <c r="W49" s="3"/>
    </row>
    <row r="50" spans="1:23" x14ac:dyDescent="0.3">
      <c r="B50" s="3" t="s">
        <v>51</v>
      </c>
      <c r="C50" s="3"/>
      <c r="D50" s="3"/>
      <c r="E50" s="3"/>
      <c r="F50" s="3"/>
      <c r="G50" s="3"/>
      <c r="H50" s="3"/>
      <c r="I50" s="16">
        <f>DCF!I31</f>
        <v>38139.885755000003</v>
      </c>
      <c r="J50" s="3"/>
      <c r="K50" s="3"/>
      <c r="L50" s="3"/>
      <c r="M50" s="3"/>
      <c r="N50" s="3"/>
      <c r="O50" s="3"/>
      <c r="P50" s="77" t="s">
        <v>52</v>
      </c>
      <c r="Q50" s="81">
        <v>0.11</v>
      </c>
      <c r="R50" s="85">
        <f>DCF!R31</f>
        <v>297935.41633257078</v>
      </c>
      <c r="S50" s="51">
        <f>DCF!S31</f>
        <v>300491.06044018472</v>
      </c>
      <c r="T50" s="86">
        <f>DCF!T31</f>
        <v>303168.40188625705</v>
      </c>
      <c r="U50" s="51">
        <f>DCF!U31</f>
        <v>305976.34535408963</v>
      </c>
      <c r="V50" s="87">
        <f>DCF!V31</f>
        <v>308924.68599531293</v>
      </c>
      <c r="W50" s="3"/>
    </row>
    <row r="51" spans="1:23" x14ac:dyDescent="0.3">
      <c r="B51" s="11" t="s">
        <v>53</v>
      </c>
      <c r="C51" s="3"/>
      <c r="D51" s="3"/>
      <c r="E51" s="3"/>
      <c r="F51" s="3"/>
      <c r="G51" s="3"/>
      <c r="H51" s="3"/>
      <c r="I51" s="13">
        <f>I49+I50</f>
        <v>338498.92923825706</v>
      </c>
      <c r="J51" s="3"/>
      <c r="K51" s="3"/>
      <c r="L51" s="3"/>
      <c r="M51" s="3"/>
      <c r="N51" s="3"/>
      <c r="O51" s="3"/>
      <c r="P51" s="76"/>
      <c r="Q51" s="81">
        <v>0.115</v>
      </c>
      <c r="R51" s="85">
        <f>DCF!R32</f>
        <v>284028.50770225824</v>
      </c>
      <c r="S51" s="86">
        <f>DCF!S32</f>
        <v>286218.44624145696</v>
      </c>
      <c r="T51" s="51">
        <f>DCF!T32</f>
        <v>288507.927441529</v>
      </c>
      <c r="U51" s="51">
        <f>DCF!U32</f>
        <v>290903.89613927936</v>
      </c>
      <c r="V51" s="87">
        <f>DCF!V32</f>
        <v>293413.95858454081</v>
      </c>
      <c r="W51" s="3"/>
    </row>
    <row r="52" spans="1:23" x14ac:dyDescent="0.3">
      <c r="B52" s="3" t="s">
        <v>54</v>
      </c>
      <c r="C52" s="3"/>
      <c r="D52" s="3"/>
      <c r="E52" s="3"/>
      <c r="F52" s="3"/>
      <c r="G52" s="3"/>
      <c r="H52" s="3"/>
      <c r="I52" s="16">
        <f>DCF!I33</f>
        <v>35330.527351999997</v>
      </c>
      <c r="J52" s="3"/>
      <c r="K52" s="3"/>
      <c r="L52" s="3"/>
      <c r="M52" s="3"/>
      <c r="N52" s="3"/>
      <c r="O52" s="3"/>
      <c r="P52" s="88"/>
      <c r="Q52" s="81">
        <v>0.12000000000000001</v>
      </c>
      <c r="R52" s="89">
        <f>DCF!R33</f>
        <v>271332.94363679743</v>
      </c>
      <c r="S52" s="90">
        <f>DCF!S33</f>
        <v>273212.88014938129</v>
      </c>
      <c r="T52" s="90">
        <f>DCF!T33</f>
        <v>275174.55303207797</v>
      </c>
      <c r="U52" s="90">
        <f>DCF!U33</f>
        <v>277223.41137622838</v>
      </c>
      <c r="V52" s="91">
        <f>DCF!V33</f>
        <v>279365.39964511222</v>
      </c>
      <c r="W52" s="3"/>
    </row>
    <row r="53" spans="1:23" x14ac:dyDescent="0.3">
      <c r="B53" s="65" t="s">
        <v>55</v>
      </c>
      <c r="C53" s="92"/>
      <c r="D53" s="92"/>
      <c r="E53" s="92"/>
      <c r="F53" s="92"/>
      <c r="G53" s="92"/>
      <c r="H53" s="92"/>
      <c r="I53" s="93">
        <f>I51-I52</f>
        <v>303168.40188625705</v>
      </c>
      <c r="J53" s="3"/>
      <c r="K53" s="3"/>
      <c r="L53" s="3"/>
      <c r="M53" s="3"/>
      <c r="N53" s="3"/>
      <c r="O53" s="3"/>
      <c r="W53" s="3"/>
    </row>
    <row r="54" spans="1:23" x14ac:dyDescent="0.3">
      <c r="B54" s="3"/>
      <c r="C54" s="3"/>
      <c r="D54" s="3"/>
      <c r="E54" s="3"/>
      <c r="F54" s="3"/>
      <c r="G54" s="3"/>
      <c r="H54" s="3"/>
      <c r="I54" s="3"/>
      <c r="J54" s="3"/>
      <c r="K54" s="3"/>
      <c r="L54" s="3"/>
      <c r="M54" s="3"/>
      <c r="N54" s="3"/>
      <c r="O54" s="3"/>
      <c r="P54" s="3"/>
      <c r="Q54" s="3"/>
      <c r="R54" s="3"/>
      <c r="S54" s="3"/>
      <c r="T54" s="3"/>
      <c r="U54" s="3"/>
      <c r="V54" s="3"/>
      <c r="W54" s="3"/>
    </row>
    <row r="55" spans="1:23" s="3" customFormat="1" x14ac:dyDescent="0.3">
      <c r="A55" s="4"/>
      <c r="B55" s="5" t="s">
        <v>56</v>
      </c>
      <c r="C55" s="4"/>
      <c r="D55" s="4"/>
      <c r="E55" s="4"/>
      <c r="F55" s="4"/>
      <c r="G55" s="4"/>
      <c r="H55" s="4"/>
      <c r="I55" s="4"/>
      <c r="J55" s="4"/>
      <c r="K55" s="4"/>
      <c r="L55" s="4"/>
      <c r="M55" s="4"/>
      <c r="N55" s="4"/>
      <c r="O55" s="4"/>
      <c r="P55" s="4"/>
      <c r="Q55" s="4"/>
      <c r="R55" s="4"/>
      <c r="S55" s="4"/>
      <c r="T55" s="4"/>
      <c r="U55" s="4"/>
      <c r="V55" s="4"/>
    </row>
    <row r="56" spans="1:23" x14ac:dyDescent="0.3">
      <c r="B56" s="3"/>
      <c r="C56" s="3"/>
      <c r="D56" s="3"/>
      <c r="E56" s="3"/>
      <c r="F56" s="3"/>
      <c r="G56" s="3"/>
      <c r="H56" s="3"/>
      <c r="I56" s="3"/>
      <c r="J56" s="3"/>
      <c r="K56" s="3"/>
      <c r="L56" s="3"/>
      <c r="M56" s="3"/>
      <c r="N56" s="3"/>
      <c r="O56" s="3"/>
      <c r="P56" s="3"/>
      <c r="Q56" s="3"/>
      <c r="R56" s="3"/>
      <c r="S56" s="3"/>
      <c r="T56" s="3"/>
      <c r="U56" s="3"/>
      <c r="V56" s="3"/>
      <c r="W56" s="3"/>
    </row>
    <row r="57" spans="1:23" x14ac:dyDescent="0.3">
      <c r="B57" s="80"/>
      <c r="C57" s="9"/>
      <c r="D57" s="9"/>
      <c r="E57" s="9"/>
      <c r="F57" s="9"/>
      <c r="G57" s="9"/>
      <c r="H57" s="9" t="s">
        <v>57</v>
      </c>
      <c r="I57" s="94" t="s">
        <v>58</v>
      </c>
      <c r="J57" s="95">
        <v>1.3</v>
      </c>
      <c r="K57" s="95">
        <v>1.2</v>
      </c>
      <c r="L57" s="95">
        <v>1.1000000000000001</v>
      </c>
      <c r="M57" s="95">
        <v>1</v>
      </c>
      <c r="N57" s="95">
        <v>0.9</v>
      </c>
      <c r="O57" s="95">
        <v>0.8</v>
      </c>
      <c r="P57" s="95">
        <v>0.7</v>
      </c>
      <c r="Q57" s="95">
        <v>0.6</v>
      </c>
      <c r="R57" s="95">
        <v>0.5</v>
      </c>
      <c r="S57" s="3"/>
      <c r="T57" s="3"/>
      <c r="U57" s="3"/>
      <c r="V57" s="3"/>
      <c r="W57" s="3"/>
    </row>
    <row r="58" spans="1:23" x14ac:dyDescent="0.3">
      <c r="B58" s="11" t="s">
        <v>59</v>
      </c>
      <c r="C58" s="11"/>
      <c r="D58" s="11"/>
      <c r="E58" s="11"/>
      <c r="F58" s="11"/>
      <c r="G58" s="11"/>
      <c r="H58" s="47">
        <f>Q19</f>
        <v>29233.143948589932</v>
      </c>
      <c r="I58" s="96">
        <f>H58</f>
        <v>29233.143948589932</v>
      </c>
      <c r="J58" s="47">
        <f>$I$58*J57</f>
        <v>38003.087133166911</v>
      </c>
      <c r="K58" s="47">
        <f t="shared" ref="K58:R58" si="9">$I$58*K57</f>
        <v>35079.772738307918</v>
      </c>
      <c r="L58" s="47">
        <f t="shared" si="9"/>
        <v>32156.458343448929</v>
      </c>
      <c r="M58" s="47">
        <f t="shared" si="9"/>
        <v>29233.143948589932</v>
      </c>
      <c r="N58" s="47">
        <f t="shared" si="9"/>
        <v>26309.829553730939</v>
      </c>
      <c r="O58" s="47">
        <f t="shared" si="9"/>
        <v>23386.515158871945</v>
      </c>
      <c r="P58" s="47">
        <f t="shared" si="9"/>
        <v>20463.200764012952</v>
      </c>
      <c r="Q58" s="47">
        <f t="shared" si="9"/>
        <v>17539.886369153959</v>
      </c>
      <c r="R58" s="47">
        <f t="shared" si="9"/>
        <v>14616.571974294966</v>
      </c>
      <c r="S58" s="11"/>
      <c r="T58" s="11"/>
      <c r="U58" s="11"/>
      <c r="V58" s="11"/>
      <c r="W58" s="11"/>
    </row>
    <row r="59" spans="1:23" x14ac:dyDescent="0.3">
      <c r="B59" s="97" t="s">
        <v>60</v>
      </c>
      <c r="C59" s="97"/>
      <c r="D59" s="97"/>
      <c r="E59" s="97"/>
      <c r="F59" s="97"/>
      <c r="G59" s="97"/>
      <c r="H59" s="97"/>
      <c r="I59" s="98"/>
      <c r="J59" s="97"/>
      <c r="K59" s="97"/>
      <c r="L59" s="97"/>
      <c r="M59" s="97"/>
      <c r="N59" s="97"/>
      <c r="O59" s="97"/>
      <c r="P59" s="97"/>
      <c r="Q59" s="97"/>
      <c r="R59" s="97"/>
      <c r="S59" s="3"/>
      <c r="T59" s="3"/>
      <c r="U59" s="3"/>
      <c r="V59" s="3"/>
      <c r="W59" s="3"/>
    </row>
    <row r="60" spans="1:23" x14ac:dyDescent="0.3">
      <c r="B60" s="3"/>
      <c r="C60" s="3" t="s">
        <v>61</v>
      </c>
      <c r="D60" s="3"/>
      <c r="E60" s="3"/>
      <c r="F60" s="3"/>
      <c r="G60" s="3"/>
      <c r="H60" s="3">
        <v>4</v>
      </c>
      <c r="I60" s="99">
        <v>8</v>
      </c>
      <c r="J60" s="3">
        <f t="shared" ref="J60:R61" si="10">I60</f>
        <v>8</v>
      </c>
      <c r="K60" s="3">
        <f t="shared" si="10"/>
        <v>8</v>
      </c>
      <c r="L60" s="3">
        <f t="shared" si="10"/>
        <v>8</v>
      </c>
      <c r="M60" s="3">
        <f t="shared" si="10"/>
        <v>8</v>
      </c>
      <c r="N60" s="3">
        <f t="shared" si="10"/>
        <v>8</v>
      </c>
      <c r="O60" s="3">
        <f t="shared" si="10"/>
        <v>8</v>
      </c>
      <c r="P60" s="3">
        <f t="shared" si="10"/>
        <v>8</v>
      </c>
      <c r="Q60" s="3">
        <f t="shared" si="10"/>
        <v>8</v>
      </c>
      <c r="R60" s="3">
        <f t="shared" si="10"/>
        <v>8</v>
      </c>
      <c r="S60" s="3"/>
      <c r="T60" s="3"/>
      <c r="U60" s="3"/>
      <c r="V60" s="3"/>
      <c r="W60" s="3"/>
    </row>
    <row r="61" spans="1:23" x14ac:dyDescent="0.3">
      <c r="B61" s="100"/>
      <c r="C61" s="100" t="s">
        <v>62</v>
      </c>
      <c r="D61" s="100"/>
      <c r="E61" s="100"/>
      <c r="F61" s="100"/>
      <c r="G61" s="100"/>
      <c r="H61" s="100">
        <v>6</v>
      </c>
      <c r="I61" s="101">
        <v>10</v>
      </c>
      <c r="J61" s="100">
        <f t="shared" si="10"/>
        <v>10</v>
      </c>
      <c r="K61" s="100">
        <f t="shared" si="10"/>
        <v>10</v>
      </c>
      <c r="L61" s="100">
        <f t="shared" si="10"/>
        <v>10</v>
      </c>
      <c r="M61" s="100">
        <f>L61</f>
        <v>10</v>
      </c>
      <c r="N61" s="100">
        <f t="shared" si="10"/>
        <v>10</v>
      </c>
      <c r="O61" s="100">
        <f t="shared" si="10"/>
        <v>10</v>
      </c>
      <c r="P61" s="100">
        <f t="shared" si="10"/>
        <v>10</v>
      </c>
      <c r="Q61" s="100">
        <f t="shared" si="10"/>
        <v>10</v>
      </c>
      <c r="R61" s="100">
        <f t="shared" si="10"/>
        <v>10</v>
      </c>
      <c r="S61" s="3"/>
      <c r="T61" s="3"/>
      <c r="U61" s="3"/>
      <c r="V61" s="3"/>
      <c r="W61" s="3"/>
    </row>
    <row r="62" spans="1:23" x14ac:dyDescent="0.3">
      <c r="B62" s="11" t="s">
        <v>63</v>
      </c>
      <c r="C62" s="11"/>
      <c r="D62" s="11"/>
      <c r="E62" s="11"/>
      <c r="F62" s="11"/>
      <c r="G62" s="11"/>
      <c r="H62" s="11"/>
      <c r="I62" s="102"/>
      <c r="J62" s="11"/>
      <c r="K62" s="11"/>
      <c r="L62" s="11"/>
      <c r="M62" s="11"/>
      <c r="N62" s="11"/>
      <c r="O62" s="11"/>
      <c r="P62" s="11"/>
      <c r="Q62" s="11"/>
      <c r="R62" s="11"/>
      <c r="S62" s="11"/>
      <c r="T62" s="11"/>
      <c r="U62" s="11"/>
      <c r="V62" s="11"/>
      <c r="W62" s="11"/>
    </row>
    <row r="63" spans="1:23" x14ac:dyDescent="0.3">
      <c r="B63" s="11"/>
      <c r="C63" s="11" t="s">
        <v>61</v>
      </c>
      <c r="D63" s="11"/>
      <c r="E63" s="11"/>
      <c r="F63" s="11"/>
      <c r="G63" s="11"/>
      <c r="H63" s="47">
        <f t="shared" ref="H63:R64" si="11">H$58*H60</f>
        <v>116932.57579435973</v>
      </c>
      <c r="I63" s="96">
        <f t="shared" si="11"/>
        <v>233865.15158871945</v>
      </c>
      <c r="J63" s="47">
        <f t="shared" si="11"/>
        <v>304024.69706533529</v>
      </c>
      <c r="K63" s="47">
        <f t="shared" si="11"/>
        <v>280638.18190646335</v>
      </c>
      <c r="L63" s="47">
        <f t="shared" si="11"/>
        <v>257251.66674759143</v>
      </c>
      <c r="M63" s="47">
        <f t="shared" si="11"/>
        <v>233865.15158871945</v>
      </c>
      <c r="N63" s="47">
        <f t="shared" si="11"/>
        <v>210478.63642984751</v>
      </c>
      <c r="O63" s="47">
        <f t="shared" si="11"/>
        <v>187092.12127097556</v>
      </c>
      <c r="P63" s="47">
        <f t="shared" si="11"/>
        <v>163705.60611210362</v>
      </c>
      <c r="Q63" s="47">
        <f t="shared" si="11"/>
        <v>140319.09095323167</v>
      </c>
      <c r="R63" s="47">
        <f t="shared" si="11"/>
        <v>116932.57579435973</v>
      </c>
      <c r="S63" s="11"/>
      <c r="T63" s="11"/>
      <c r="U63" s="11"/>
      <c r="V63" s="11"/>
      <c r="W63" s="11"/>
    </row>
    <row r="64" spans="1:23" x14ac:dyDescent="0.3">
      <c r="B64" s="11"/>
      <c r="C64" s="11" t="s">
        <v>62</v>
      </c>
      <c r="D64" s="11"/>
      <c r="E64" s="11"/>
      <c r="F64" s="11"/>
      <c r="G64" s="11"/>
      <c r="H64" s="47">
        <f t="shared" si="11"/>
        <v>175398.86369153959</v>
      </c>
      <c r="I64" s="96">
        <f t="shared" si="11"/>
        <v>292331.43948589929</v>
      </c>
      <c r="J64" s="47">
        <f t="shared" si="11"/>
        <v>380030.8713316691</v>
      </c>
      <c r="K64" s="47">
        <f t="shared" si="11"/>
        <v>350797.72738307918</v>
      </c>
      <c r="L64" s="47">
        <f t="shared" si="11"/>
        <v>321564.58343448926</v>
      </c>
      <c r="M64" s="47">
        <f t="shared" si="11"/>
        <v>292331.43948589929</v>
      </c>
      <c r="N64" s="47">
        <f t="shared" si="11"/>
        <v>263098.29553730937</v>
      </c>
      <c r="O64" s="47">
        <f t="shared" si="11"/>
        <v>233865.15158871945</v>
      </c>
      <c r="P64" s="47">
        <f t="shared" si="11"/>
        <v>204632.00764012954</v>
      </c>
      <c r="Q64" s="47">
        <f t="shared" si="11"/>
        <v>175398.86369153959</v>
      </c>
      <c r="R64" s="47">
        <f t="shared" si="11"/>
        <v>146165.71974294964</v>
      </c>
      <c r="S64" s="11"/>
      <c r="T64" s="11"/>
      <c r="U64" s="11"/>
      <c r="V64" s="11"/>
      <c r="W64" s="11"/>
    </row>
    <row r="65" spans="1:23" x14ac:dyDescent="0.3">
      <c r="B65" s="103" t="s">
        <v>64</v>
      </c>
      <c r="C65" s="103"/>
      <c r="D65" s="103"/>
      <c r="E65" s="103"/>
      <c r="F65" s="103"/>
      <c r="G65" s="103"/>
      <c r="H65" s="104">
        <f>I52-I50</f>
        <v>-2809.3584030000056</v>
      </c>
      <c r="I65" s="105">
        <f t="shared" ref="I65:O65" si="12">H65</f>
        <v>-2809.3584030000056</v>
      </c>
      <c r="J65" s="104">
        <f t="shared" si="12"/>
        <v>-2809.3584030000056</v>
      </c>
      <c r="K65" s="104">
        <f t="shared" si="12"/>
        <v>-2809.3584030000056</v>
      </c>
      <c r="L65" s="104">
        <f t="shared" si="12"/>
        <v>-2809.3584030000056</v>
      </c>
      <c r="M65" s="104">
        <f t="shared" si="12"/>
        <v>-2809.3584030000056</v>
      </c>
      <c r="N65" s="104">
        <f t="shared" si="12"/>
        <v>-2809.3584030000056</v>
      </c>
      <c r="O65" s="104">
        <f t="shared" si="12"/>
        <v>-2809.3584030000056</v>
      </c>
      <c r="P65" s="104">
        <f>O65</f>
        <v>-2809.3584030000056</v>
      </c>
      <c r="Q65" s="104">
        <f>P65</f>
        <v>-2809.3584030000056</v>
      </c>
      <c r="R65" s="104">
        <f>Q65</f>
        <v>-2809.3584030000056</v>
      </c>
      <c r="S65" s="3"/>
      <c r="T65" s="3"/>
      <c r="U65" s="3"/>
      <c r="V65" s="3"/>
      <c r="W65" s="3"/>
    </row>
    <row r="66" spans="1:23" x14ac:dyDescent="0.3">
      <c r="B66" s="11" t="s">
        <v>65</v>
      </c>
      <c r="C66" s="11"/>
      <c r="D66" s="11"/>
      <c r="E66" s="11"/>
      <c r="F66" s="11"/>
      <c r="G66" s="11"/>
      <c r="H66" s="11"/>
      <c r="I66" s="102"/>
      <c r="J66" s="11"/>
      <c r="K66" s="11"/>
      <c r="L66" s="11"/>
      <c r="M66" s="11"/>
      <c r="N66" s="11"/>
      <c r="O66" s="11"/>
      <c r="P66" s="11"/>
      <c r="Q66" s="11"/>
      <c r="R66" s="11"/>
      <c r="S66" s="11"/>
      <c r="T66" s="11"/>
      <c r="U66" s="11"/>
      <c r="V66" s="11"/>
      <c r="W66" s="11"/>
    </row>
    <row r="67" spans="1:23" x14ac:dyDescent="0.3">
      <c r="B67" s="11"/>
      <c r="C67" s="11" t="s">
        <v>61</v>
      </c>
      <c r="D67" s="11"/>
      <c r="E67" s="11"/>
      <c r="F67" s="11"/>
      <c r="G67" s="11"/>
      <c r="H67" s="47">
        <f t="shared" ref="H67:R68" si="13">H63-H$65</f>
        <v>119741.93419735973</v>
      </c>
      <c r="I67" s="96">
        <f t="shared" si="13"/>
        <v>236674.50999171945</v>
      </c>
      <c r="J67" s="47">
        <f t="shared" si="13"/>
        <v>306834.05546833528</v>
      </c>
      <c r="K67" s="47">
        <f t="shared" si="13"/>
        <v>283447.54030946334</v>
      </c>
      <c r="L67" s="47">
        <f t="shared" si="13"/>
        <v>260061.02515059145</v>
      </c>
      <c r="M67" s="47">
        <f t="shared" si="13"/>
        <v>236674.50999171945</v>
      </c>
      <c r="N67" s="47">
        <f t="shared" si="13"/>
        <v>213287.9948328475</v>
      </c>
      <c r="O67" s="47">
        <f t="shared" si="13"/>
        <v>189901.47967397555</v>
      </c>
      <c r="P67" s="47">
        <f t="shared" si="13"/>
        <v>166514.96451510361</v>
      </c>
      <c r="Q67" s="47">
        <f t="shared" si="13"/>
        <v>143128.44935623166</v>
      </c>
      <c r="R67" s="47">
        <f t="shared" si="13"/>
        <v>119741.93419735973</v>
      </c>
      <c r="S67" s="11"/>
      <c r="T67" s="11"/>
      <c r="U67" s="11"/>
      <c r="V67" s="11"/>
      <c r="W67" s="11"/>
    </row>
    <row r="68" spans="1:23" x14ac:dyDescent="0.3">
      <c r="B68" s="65"/>
      <c r="C68" s="65" t="s">
        <v>62</v>
      </c>
      <c r="D68" s="65"/>
      <c r="E68" s="65"/>
      <c r="F68" s="65"/>
      <c r="G68" s="65"/>
      <c r="H68" s="68">
        <f t="shared" si="13"/>
        <v>178208.22209453961</v>
      </c>
      <c r="I68" s="106">
        <f t="shared" si="13"/>
        <v>295140.79788889928</v>
      </c>
      <c r="J68" s="68">
        <f t="shared" si="13"/>
        <v>382840.22973466909</v>
      </c>
      <c r="K68" s="68">
        <f t="shared" si="13"/>
        <v>353607.08578607917</v>
      </c>
      <c r="L68" s="68">
        <f t="shared" si="13"/>
        <v>324373.94183748926</v>
      </c>
      <c r="M68" s="68">
        <f t="shared" si="13"/>
        <v>295140.79788889928</v>
      </c>
      <c r="N68" s="68">
        <f t="shared" si="13"/>
        <v>265907.65394030936</v>
      </c>
      <c r="O68" s="68">
        <f t="shared" si="13"/>
        <v>236674.50999171945</v>
      </c>
      <c r="P68" s="68">
        <f t="shared" si="13"/>
        <v>207441.36604312953</v>
      </c>
      <c r="Q68" s="68">
        <f t="shared" si="13"/>
        <v>178208.22209453961</v>
      </c>
      <c r="R68" s="68">
        <f t="shared" si="13"/>
        <v>148975.07814594964</v>
      </c>
      <c r="S68" s="11"/>
      <c r="T68" s="11"/>
      <c r="U68" s="11"/>
      <c r="V68" s="11"/>
      <c r="W68" s="11"/>
    </row>
    <row r="69" spans="1:23" x14ac:dyDescent="0.3">
      <c r="B69" s="3"/>
      <c r="C69" s="3"/>
      <c r="D69" s="3"/>
      <c r="E69" s="3"/>
      <c r="F69" s="3"/>
      <c r="G69" s="3"/>
      <c r="H69" s="3"/>
      <c r="I69" s="3"/>
      <c r="J69" s="3"/>
      <c r="K69" s="3"/>
      <c r="L69" s="3"/>
      <c r="M69" s="3"/>
      <c r="N69" s="3"/>
      <c r="O69" s="3"/>
      <c r="P69" s="3"/>
      <c r="Q69" s="3"/>
      <c r="R69" s="3"/>
      <c r="S69" s="3"/>
      <c r="T69" s="3"/>
      <c r="U69" s="3"/>
      <c r="V69" s="3"/>
      <c r="W69" s="3"/>
    </row>
    <row r="70" spans="1:23" s="3" customFormat="1" x14ac:dyDescent="0.3">
      <c r="A70" s="4"/>
      <c r="B70" s="5" t="s">
        <v>66</v>
      </c>
      <c r="C70" s="4"/>
      <c r="D70" s="4"/>
      <c r="E70" s="4"/>
      <c r="F70" s="4"/>
      <c r="G70" s="4"/>
      <c r="H70" s="4"/>
      <c r="I70" s="4"/>
      <c r="J70" s="4"/>
      <c r="K70" s="4"/>
      <c r="L70" s="4"/>
      <c r="M70" s="4"/>
      <c r="N70" s="4"/>
      <c r="O70" s="4"/>
      <c r="P70" s="4"/>
      <c r="Q70" s="4"/>
      <c r="R70" s="4"/>
      <c r="S70" s="4"/>
      <c r="T70" s="4"/>
      <c r="U70" s="4"/>
      <c r="V70" s="4"/>
    </row>
    <row r="71" spans="1:23" x14ac:dyDescent="0.3">
      <c r="B71" s="3"/>
      <c r="C71" s="3"/>
      <c r="D71" s="3"/>
      <c r="E71" s="3"/>
      <c r="F71" s="3"/>
      <c r="G71" s="3"/>
      <c r="H71" s="3"/>
      <c r="I71" s="3"/>
      <c r="J71" s="3"/>
      <c r="K71" s="3"/>
      <c r="L71" s="3"/>
      <c r="M71" s="3"/>
      <c r="N71" s="3"/>
      <c r="O71" s="3"/>
      <c r="P71" s="3"/>
      <c r="Q71" s="3"/>
      <c r="R71" s="3"/>
      <c r="S71" s="3"/>
      <c r="T71" s="3"/>
      <c r="U71" s="3"/>
      <c r="V71" s="3"/>
      <c r="W71" s="3"/>
    </row>
    <row r="73" spans="1:23" x14ac:dyDescent="0.3">
      <c r="M73" s="515" t="s">
        <v>65</v>
      </c>
      <c r="N73" s="515"/>
      <c r="O73" s="515"/>
      <c r="P73" s="517" t="s">
        <v>65</v>
      </c>
      <c r="Q73" s="517"/>
      <c r="R73" s="517"/>
    </row>
    <row r="74" spans="1:23" x14ac:dyDescent="0.3">
      <c r="M74" s="516"/>
      <c r="N74" s="516"/>
      <c r="O74" s="516"/>
      <c r="P74" s="107" t="s">
        <v>61</v>
      </c>
      <c r="Q74" s="107" t="s">
        <v>67</v>
      </c>
      <c r="R74" s="107" t="s">
        <v>62</v>
      </c>
    </row>
    <row r="75" spans="1:23" x14ac:dyDescent="0.3">
      <c r="M75" s="3" t="s">
        <v>68</v>
      </c>
      <c r="P75" s="108">
        <f>H67/100</f>
        <v>1197.4193419735973</v>
      </c>
      <c r="Q75" s="108">
        <f t="shared" ref="Q75:Q77" si="14">R75-P75</f>
        <v>584.66287897179882</v>
      </c>
      <c r="R75" s="108">
        <f>H68/100</f>
        <v>1782.0822209453961</v>
      </c>
    </row>
    <row r="76" spans="1:23" x14ac:dyDescent="0.3">
      <c r="M76" s="3" t="s">
        <v>69</v>
      </c>
      <c r="P76" s="108">
        <f>I67/100</f>
        <v>2366.7450999171942</v>
      </c>
      <c r="Q76" s="108">
        <f t="shared" si="14"/>
        <v>584.66287897179836</v>
      </c>
      <c r="R76" s="108">
        <f>I68/100</f>
        <v>2951.4079788889926</v>
      </c>
    </row>
    <row r="77" spans="1:23" x14ac:dyDescent="0.3">
      <c r="M77" s="109" t="s">
        <v>70</v>
      </c>
      <c r="N77" s="109"/>
      <c r="O77" s="109"/>
      <c r="P77" s="110">
        <f>S51/100</f>
        <v>2862.1844624145697</v>
      </c>
      <c r="Q77" s="110">
        <f t="shared" si="14"/>
        <v>364.38296147070241</v>
      </c>
      <c r="R77" s="110">
        <f>U49/100</f>
        <v>3226.5674238852721</v>
      </c>
    </row>
  </sheetData>
  <mergeCells count="2">
    <mergeCell ref="M73:O74"/>
    <mergeCell ref="P73:R73"/>
  </mergeCells>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E5085-5897-4E14-9BDB-69EA9171DBAF}">
  <sheetPr>
    <tabColor theme="8" tint="-0.249977111117893"/>
  </sheetPr>
  <dimension ref="A1:W26"/>
  <sheetViews>
    <sheetView showGridLines="0" topLeftCell="A19" workbookViewId="0">
      <selection activeCell="O26" sqref="O26"/>
    </sheetView>
  </sheetViews>
  <sheetFormatPr defaultRowHeight="12" x14ac:dyDescent="0.3"/>
  <cols>
    <col min="1" max="1" width="2.625" style="6" customWidth="1"/>
    <col min="2" max="6" width="1.625" style="6" customWidth="1"/>
    <col min="7" max="14" width="9" style="6"/>
    <col min="15" max="15" width="9" style="6" customWidth="1"/>
    <col min="16" max="16384" width="9" style="6"/>
  </cols>
  <sheetData>
    <row r="1" spans="1:23" s="3" customFormat="1" x14ac:dyDescent="0.3">
      <c r="A1" s="1" t="str">
        <f ca="1">MID(CELL("filename",A1),FIND("]",CELL("filename",A1))+1,255)</f>
        <v>Proforma BS</v>
      </c>
      <c r="B1" s="2"/>
      <c r="C1" s="2"/>
      <c r="D1" s="2"/>
      <c r="E1" s="2"/>
      <c r="F1" s="2"/>
      <c r="G1" s="2"/>
      <c r="H1" s="2"/>
      <c r="I1" s="2"/>
      <c r="J1" s="2"/>
      <c r="K1" s="2"/>
      <c r="L1" s="2"/>
      <c r="M1" s="2"/>
      <c r="N1" s="2"/>
      <c r="O1" s="2"/>
      <c r="P1" s="2"/>
      <c r="Q1" s="2"/>
      <c r="R1" s="2"/>
      <c r="S1" s="2"/>
      <c r="T1" s="2"/>
      <c r="U1" s="2"/>
    </row>
    <row r="2" spans="1:23" s="3" customFormat="1" x14ac:dyDescent="0.3"/>
    <row r="3" spans="1:23" s="3" customFormat="1" x14ac:dyDescent="0.3">
      <c r="A3" s="4"/>
      <c r="B3" s="5" t="s">
        <v>71</v>
      </c>
      <c r="C3" s="4"/>
      <c r="D3" s="4"/>
      <c r="E3" s="4"/>
      <c r="F3" s="4"/>
      <c r="G3" s="4"/>
      <c r="H3" s="4"/>
      <c r="I3" s="4"/>
      <c r="J3" s="4"/>
      <c r="K3" s="4"/>
      <c r="L3" s="4"/>
      <c r="M3" s="4"/>
      <c r="N3" s="4"/>
      <c r="O3" s="4"/>
      <c r="P3" s="4"/>
      <c r="Q3" s="4"/>
      <c r="R3" s="4"/>
      <c r="S3" s="4"/>
      <c r="T3" s="4"/>
      <c r="U3" s="4"/>
    </row>
    <row r="4" spans="1:23" x14ac:dyDescent="0.3">
      <c r="N4" s="19"/>
    </row>
    <row r="5" spans="1:23" x14ac:dyDescent="0.3">
      <c r="B5" s="8"/>
      <c r="C5" s="8"/>
      <c r="D5" s="8"/>
      <c r="E5" s="8"/>
      <c r="F5" s="8"/>
      <c r="G5" s="8"/>
      <c r="H5" s="8"/>
      <c r="I5" s="8"/>
      <c r="J5" s="8"/>
      <c r="K5" s="8"/>
      <c r="L5" s="9" t="s">
        <v>1</v>
      </c>
      <c r="M5" s="9" t="s">
        <v>2</v>
      </c>
      <c r="N5" s="9" t="s">
        <v>3</v>
      </c>
      <c r="O5" s="111" t="s">
        <v>4</v>
      </c>
      <c r="P5" s="9" t="s">
        <v>5</v>
      </c>
      <c r="Q5" s="9" t="s">
        <v>6</v>
      </c>
      <c r="R5" s="9" t="s">
        <v>7</v>
      </c>
      <c r="S5" s="9" t="s">
        <v>8</v>
      </c>
      <c r="T5" s="9" t="s">
        <v>9</v>
      </c>
      <c r="U5" s="9" t="s">
        <v>10</v>
      </c>
    </row>
    <row r="6" spans="1:23" s="11" customFormat="1" x14ac:dyDescent="0.3">
      <c r="B6" s="6" t="s">
        <v>72</v>
      </c>
      <c r="C6" s="6"/>
      <c r="D6" s="6"/>
      <c r="E6" s="6"/>
      <c r="F6" s="6"/>
      <c r="G6" s="6"/>
      <c r="L6" s="16">
        <v>348659.323615</v>
      </c>
      <c r="M6" s="16">
        <v>326604.66073100001</v>
      </c>
      <c r="N6" s="16">
        <v>261417.96459665801</v>
      </c>
      <c r="O6" s="112">
        <v>261289.835766276</v>
      </c>
      <c r="P6" s="16">
        <f t="shared" ref="P6:U6" si="0">SUM(P7:P9)</f>
        <v>290129.70005375217</v>
      </c>
      <c r="Q6" s="16">
        <f t="shared" si="0"/>
        <v>290129.32161325228</v>
      </c>
      <c r="R6" s="16">
        <f t="shared" si="0"/>
        <v>306079.42612893635</v>
      </c>
      <c r="S6" s="16">
        <f t="shared" si="0"/>
        <v>338454.86357042752</v>
      </c>
      <c r="T6" s="16">
        <f t="shared" si="0"/>
        <v>376176.48402416077</v>
      </c>
      <c r="U6" s="16">
        <f t="shared" si="0"/>
        <v>421085.34084255144</v>
      </c>
      <c r="V6" s="113"/>
      <c r="W6" s="14"/>
    </row>
    <row r="7" spans="1:23" s="11" customFormat="1" x14ac:dyDescent="0.3">
      <c r="B7" s="6"/>
      <c r="C7" s="114" t="s">
        <v>73</v>
      </c>
      <c r="D7" s="114"/>
      <c r="E7" s="114"/>
      <c r="F7" s="114"/>
      <c r="G7" s="114"/>
      <c r="L7" s="16">
        <v>49615.269735000002</v>
      </c>
      <c r="M7" s="16">
        <v>47352.204605999999</v>
      </c>
      <c r="N7" s="16">
        <v>33949.400569999998</v>
      </c>
      <c r="O7" s="15">
        <v>32054.349636999999</v>
      </c>
      <c r="P7" s="16">
        <f>'Proforma CF'!P28</f>
        <v>63667.582974977013</v>
      </c>
      <c r="Q7" s="16">
        <f>'Proforma CF'!Q28</f>
        <v>63667.20453447711</v>
      </c>
      <c r="R7" s="16">
        <f>'Proforma CF'!R28</f>
        <v>92904.806547576387</v>
      </c>
      <c r="S7" s="16">
        <f>'Proforma CF'!S28</f>
        <v>96863.43708915553</v>
      </c>
      <c r="T7" s="16">
        <f>'Proforma CF'!T28</f>
        <v>106081.63643234169</v>
      </c>
      <c r="U7" s="16">
        <f>'Proforma CF'!U28</f>
        <v>122821.73039920913</v>
      </c>
      <c r="V7" s="113"/>
      <c r="W7" s="14"/>
    </row>
    <row r="8" spans="1:23" s="11" customFormat="1" x14ac:dyDescent="0.3">
      <c r="B8" s="6"/>
      <c r="C8" s="114" t="s">
        <v>74</v>
      </c>
      <c r="D8" s="114"/>
      <c r="E8" s="114"/>
      <c r="F8" s="114"/>
      <c r="G8" s="114"/>
      <c r="L8" s="16">
        <f>NWC_연결!L8</f>
        <v>296182.390013</v>
      </c>
      <c r="M8" s="16">
        <f>NWC_연결!M8</f>
        <v>275437.11626000004</v>
      </c>
      <c r="N8" s="16">
        <f>NWC_연결!N8</f>
        <v>224805.55161165798</v>
      </c>
      <c r="O8" s="15">
        <f>NWC_연결!O8</f>
        <v>225839.02918327597</v>
      </c>
      <c r="P8" s="16">
        <f>NWC_연결!P8</f>
        <v>223065.66013277517</v>
      </c>
      <c r="Q8" s="16">
        <f>NWC_연결!Q8</f>
        <v>223065.66013277517</v>
      </c>
      <c r="R8" s="16">
        <f>NWC_연결!R8</f>
        <v>209778.16263536</v>
      </c>
      <c r="S8" s="16">
        <f>NWC_연결!S8</f>
        <v>238194.96953527193</v>
      </c>
      <c r="T8" s="16">
        <f>NWC_연결!T8</f>
        <v>266698.39064581908</v>
      </c>
      <c r="U8" s="16">
        <f>NWC_연결!U8</f>
        <v>294867.15349734231</v>
      </c>
      <c r="V8" s="113"/>
      <c r="W8" s="14"/>
    </row>
    <row r="9" spans="1:23" s="11" customFormat="1" x14ac:dyDescent="0.3">
      <c r="B9" s="6"/>
      <c r="C9" s="114" t="s">
        <v>75</v>
      </c>
      <c r="D9" s="114"/>
      <c r="E9" s="114"/>
      <c r="F9" s="114"/>
      <c r="G9" s="114"/>
      <c r="L9" s="16">
        <f t="shared" ref="L9:N9" si="1">L6-SUM(L7:L8)</f>
        <v>2861.6638670000248</v>
      </c>
      <c r="M9" s="16">
        <f t="shared" si="1"/>
        <v>3815.3398649999872</v>
      </c>
      <c r="N9" s="16">
        <f t="shared" si="1"/>
        <v>2663.0124150000338</v>
      </c>
      <c r="O9" s="15">
        <f>O6-SUM(O7:O8)</f>
        <v>3396.4569460000203</v>
      </c>
      <c r="P9" s="16">
        <f t="shared" ref="P9:U9" si="2">O9</f>
        <v>3396.4569460000203</v>
      </c>
      <c r="Q9" s="16">
        <f t="shared" si="2"/>
        <v>3396.4569460000203</v>
      </c>
      <c r="R9" s="16">
        <f t="shared" si="2"/>
        <v>3396.4569460000203</v>
      </c>
      <c r="S9" s="16">
        <f t="shared" si="2"/>
        <v>3396.4569460000203</v>
      </c>
      <c r="T9" s="16">
        <f t="shared" si="2"/>
        <v>3396.4569460000203</v>
      </c>
      <c r="U9" s="16">
        <f t="shared" si="2"/>
        <v>3396.4569460000203</v>
      </c>
      <c r="V9" s="113"/>
      <c r="W9" s="14"/>
    </row>
    <row r="10" spans="1:23" s="11" customFormat="1" x14ac:dyDescent="0.3">
      <c r="B10" s="6" t="s">
        <v>76</v>
      </c>
      <c r="C10" s="114"/>
      <c r="D10" s="114"/>
      <c r="E10" s="114"/>
      <c r="F10" s="114"/>
      <c r="G10" s="114"/>
      <c r="L10" s="16">
        <v>48763.271395000003</v>
      </c>
      <c r="M10" s="16">
        <v>55075.956381000004</v>
      </c>
      <c r="N10" s="16">
        <v>49991.269523000003</v>
      </c>
      <c r="O10" s="15">
        <v>49896.043846</v>
      </c>
      <c r="P10" s="16">
        <f t="shared" ref="P10:U10" si="3">SUM(P11:P12)</f>
        <v>49803.347063813402</v>
      </c>
      <c r="Q10" s="16">
        <f t="shared" si="3"/>
        <v>49803.347063813402</v>
      </c>
      <c r="R10" s="16">
        <f t="shared" si="3"/>
        <v>49771.475985302204</v>
      </c>
      <c r="S10" s="16">
        <f t="shared" si="3"/>
        <v>49740.317158877457</v>
      </c>
      <c r="T10" s="16">
        <f t="shared" si="3"/>
        <v>49711.886987937862</v>
      </c>
      <c r="U10" s="16">
        <f t="shared" si="3"/>
        <v>49682.262445497996</v>
      </c>
      <c r="V10" s="113"/>
      <c r="W10" s="14"/>
    </row>
    <row r="11" spans="1:23" s="11" customFormat="1" x14ac:dyDescent="0.3">
      <c r="B11" s="6"/>
      <c r="C11" s="114" t="s">
        <v>77</v>
      </c>
      <c r="D11" s="114"/>
      <c r="E11" s="114"/>
      <c r="F11" s="114"/>
      <c r="G11" s="114"/>
      <c r="L11" s="16">
        <v>45847.264593</v>
      </c>
      <c r="M11" s="16">
        <v>44335.771735000002</v>
      </c>
      <c r="N11" s="16">
        <v>41352.385070999997</v>
      </c>
      <c r="O11" s="15">
        <v>40759.558994999999</v>
      </c>
      <c r="P11" s="16">
        <f>O11-'Proforma CF'!P21-'Proforma CF'!P10</f>
        <v>40666.862212813401</v>
      </c>
      <c r="Q11" s="16">
        <f>P11</f>
        <v>40666.862212813401</v>
      </c>
      <c r="R11" s="16">
        <f>Q11-'Proforma CF'!R21-'Proforma CF'!R10</f>
        <v>40634.991134302203</v>
      </c>
      <c r="S11" s="16">
        <f>R11-'Proforma CF'!S21-'Proforma CF'!S10</f>
        <v>40603.832307877456</v>
      </c>
      <c r="T11" s="16">
        <f>S11-'Proforma CF'!T21-'Proforma CF'!T10</f>
        <v>40575.402136937861</v>
      </c>
      <c r="U11" s="16">
        <f>T11-'Proforma CF'!U21-'Proforma CF'!U10</f>
        <v>40545.777594497995</v>
      </c>
      <c r="V11" s="113"/>
      <c r="W11" s="14"/>
    </row>
    <row r="12" spans="1:23" s="11" customFormat="1" x14ac:dyDescent="0.3">
      <c r="B12" s="6"/>
      <c r="C12" s="6" t="s">
        <v>78</v>
      </c>
      <c r="D12" s="6"/>
      <c r="E12" s="6"/>
      <c r="F12" s="6"/>
      <c r="G12" s="6"/>
      <c r="L12" s="16">
        <f t="shared" ref="L12:N12" si="4">L10-L11</f>
        <v>2916.0068020000035</v>
      </c>
      <c r="M12" s="16">
        <f t="shared" si="4"/>
        <v>10740.184646000002</v>
      </c>
      <c r="N12" s="16">
        <f t="shared" si="4"/>
        <v>8638.8844520000057</v>
      </c>
      <c r="O12" s="15">
        <f>O10-O11</f>
        <v>9136.4848510000011</v>
      </c>
      <c r="P12" s="16">
        <f t="shared" ref="P12:U12" si="5">O12</f>
        <v>9136.4848510000011</v>
      </c>
      <c r="Q12" s="16">
        <f t="shared" si="5"/>
        <v>9136.4848510000011</v>
      </c>
      <c r="R12" s="16">
        <f t="shared" si="5"/>
        <v>9136.4848510000011</v>
      </c>
      <c r="S12" s="16">
        <f t="shared" si="5"/>
        <v>9136.4848510000011</v>
      </c>
      <c r="T12" s="16">
        <f t="shared" si="5"/>
        <v>9136.4848510000011</v>
      </c>
      <c r="U12" s="16">
        <f t="shared" si="5"/>
        <v>9136.4848510000011</v>
      </c>
      <c r="V12" s="113"/>
      <c r="W12" s="14"/>
    </row>
    <row r="13" spans="1:23" s="11" customFormat="1" x14ac:dyDescent="0.3">
      <c r="B13" s="56" t="s">
        <v>79</v>
      </c>
      <c r="C13" s="56"/>
      <c r="D13" s="56"/>
      <c r="E13" s="56"/>
      <c r="F13" s="56"/>
      <c r="G13" s="56"/>
      <c r="H13" s="56"/>
      <c r="I13" s="56"/>
      <c r="J13" s="56"/>
      <c r="K13" s="56"/>
      <c r="L13" s="58">
        <f t="shared" ref="L13:U13" si="6">L6+L10</f>
        <v>397422.59500999999</v>
      </c>
      <c r="M13" s="58">
        <f t="shared" si="6"/>
        <v>381680.61711200001</v>
      </c>
      <c r="N13" s="58">
        <f t="shared" si="6"/>
        <v>311409.23411965801</v>
      </c>
      <c r="O13" s="115">
        <f t="shared" si="6"/>
        <v>311185.87961227598</v>
      </c>
      <c r="P13" s="58">
        <f t="shared" si="6"/>
        <v>339933.04711756558</v>
      </c>
      <c r="Q13" s="58">
        <f t="shared" si="6"/>
        <v>339932.6686770657</v>
      </c>
      <c r="R13" s="58">
        <f t="shared" si="6"/>
        <v>355850.90211423853</v>
      </c>
      <c r="S13" s="58">
        <f t="shared" si="6"/>
        <v>388195.18072930496</v>
      </c>
      <c r="T13" s="58">
        <f t="shared" si="6"/>
        <v>425888.37101209862</v>
      </c>
      <c r="U13" s="58">
        <f t="shared" si="6"/>
        <v>470767.60328804946</v>
      </c>
      <c r="V13" s="113"/>
      <c r="W13" s="14"/>
    </row>
    <row r="14" spans="1:23" s="11" customFormat="1" x14ac:dyDescent="0.3">
      <c r="B14" s="6" t="s">
        <v>80</v>
      </c>
      <c r="C14" s="6"/>
      <c r="D14" s="6"/>
      <c r="E14" s="6"/>
      <c r="F14" s="6"/>
      <c r="G14" s="6"/>
      <c r="L14" s="16">
        <v>133932.14214000001</v>
      </c>
      <c r="M14" s="16">
        <v>142933.394187</v>
      </c>
      <c r="N14" s="16">
        <v>76739.877813658008</v>
      </c>
      <c r="O14" s="15">
        <v>77804.858218276</v>
      </c>
      <c r="P14" s="16">
        <f t="shared" ref="P14:U14" si="7">SUM(P15:P17)</f>
        <v>91288.522676149281</v>
      </c>
      <c r="Q14" s="16">
        <f t="shared" si="7"/>
        <v>91288.522676149281</v>
      </c>
      <c r="R14" s="16">
        <f t="shared" si="7"/>
        <v>87575.812623071979</v>
      </c>
      <c r="S14" s="16">
        <f t="shared" si="7"/>
        <v>95158.220867175958</v>
      </c>
      <c r="T14" s="16">
        <f t="shared" si="7"/>
        <v>102710.26096250283</v>
      </c>
      <c r="U14" s="16">
        <f t="shared" si="7"/>
        <v>110288.9123524539</v>
      </c>
      <c r="V14" s="113"/>
      <c r="W14" s="14"/>
    </row>
    <row r="15" spans="1:23" s="11" customFormat="1" x14ac:dyDescent="0.3">
      <c r="B15" s="6"/>
      <c r="C15" s="6" t="s">
        <v>81</v>
      </c>
      <c r="D15" s="6"/>
      <c r="E15" s="6"/>
      <c r="F15" s="6"/>
      <c r="G15" s="6"/>
      <c r="L15" s="16">
        <f>NWC_연결!L36</f>
        <v>78564.101685999995</v>
      </c>
      <c r="M15" s="16">
        <f>NWC_연결!M36</f>
        <v>87002.548536000002</v>
      </c>
      <c r="N15" s="16">
        <f>NWC_연결!N36</f>
        <v>49260.643625658005</v>
      </c>
      <c r="O15" s="15">
        <f>NWC_연결!O36</f>
        <v>46502.088771276001</v>
      </c>
      <c r="P15" s="16">
        <f>NWC_연결!P36</f>
        <v>59985.753229149283</v>
      </c>
      <c r="Q15" s="16">
        <f>NWC_연결!Q36</f>
        <v>59985.753229149283</v>
      </c>
      <c r="R15" s="16">
        <f>NWC_연결!R36</f>
        <v>56273.04317607198</v>
      </c>
      <c r="S15" s="16">
        <f>NWC_연결!S36</f>
        <v>63855.451420175959</v>
      </c>
      <c r="T15" s="16">
        <f>NWC_연결!T36</f>
        <v>71407.491515502828</v>
      </c>
      <c r="U15" s="16">
        <f>NWC_연결!U36</f>
        <v>78986.142905453904</v>
      </c>
      <c r="V15" s="113"/>
      <c r="W15" s="14"/>
    </row>
    <row r="16" spans="1:23" s="11" customFormat="1" x14ac:dyDescent="0.3">
      <c r="C16" s="3" t="s">
        <v>82</v>
      </c>
      <c r="L16" s="16">
        <v>43377.942118999999</v>
      </c>
      <c r="M16" s="16">
        <v>44481.343784999997</v>
      </c>
      <c r="N16" s="16">
        <v>15294.991085</v>
      </c>
      <c r="O16" s="15">
        <v>18319.887352000002</v>
      </c>
      <c r="P16" s="16">
        <f t="shared" ref="P16:U17" si="8">O16</f>
        <v>18319.887352000002</v>
      </c>
      <c r="Q16" s="16">
        <f t="shared" si="8"/>
        <v>18319.887352000002</v>
      </c>
      <c r="R16" s="16">
        <f t="shared" si="8"/>
        <v>18319.887352000002</v>
      </c>
      <c r="S16" s="16">
        <f t="shared" si="8"/>
        <v>18319.887352000002</v>
      </c>
      <c r="T16" s="16">
        <f t="shared" si="8"/>
        <v>18319.887352000002</v>
      </c>
      <c r="U16" s="16">
        <f t="shared" si="8"/>
        <v>18319.887352000002</v>
      </c>
      <c r="V16" s="113"/>
      <c r="W16" s="14"/>
    </row>
    <row r="17" spans="2:23" s="11" customFormat="1" x14ac:dyDescent="0.3">
      <c r="C17" s="3" t="s">
        <v>83</v>
      </c>
      <c r="L17" s="16">
        <f t="shared" ref="L17:N17" si="9">L14-SUM(L15:L16)</f>
        <v>11990.098335000017</v>
      </c>
      <c r="M17" s="16">
        <f t="shared" si="9"/>
        <v>11449.501866000006</v>
      </c>
      <c r="N17" s="16">
        <f t="shared" si="9"/>
        <v>12184.243103000001</v>
      </c>
      <c r="O17" s="15">
        <f>O14-SUM(O15:O16)</f>
        <v>12982.882094999994</v>
      </c>
      <c r="P17" s="16">
        <f t="shared" si="8"/>
        <v>12982.882094999994</v>
      </c>
      <c r="Q17" s="16">
        <f t="shared" si="8"/>
        <v>12982.882094999994</v>
      </c>
      <c r="R17" s="16">
        <f t="shared" si="8"/>
        <v>12982.882094999994</v>
      </c>
      <c r="S17" s="16">
        <f t="shared" si="8"/>
        <v>12982.882094999994</v>
      </c>
      <c r="T17" s="16">
        <f t="shared" si="8"/>
        <v>12982.882094999994</v>
      </c>
      <c r="U17" s="16">
        <f t="shared" si="8"/>
        <v>12982.882094999994</v>
      </c>
      <c r="V17" s="113"/>
      <c r="W17" s="14"/>
    </row>
    <row r="18" spans="2:23" s="11" customFormat="1" x14ac:dyDescent="0.3">
      <c r="B18" s="3" t="s">
        <v>84</v>
      </c>
      <c r="L18" s="16">
        <v>48887.946892</v>
      </c>
      <c r="M18" s="16">
        <v>13028.575628000001</v>
      </c>
      <c r="N18" s="16">
        <v>26775.729920999998</v>
      </c>
      <c r="O18" s="15">
        <v>22430.026891000001</v>
      </c>
      <c r="P18" s="16">
        <f t="shared" ref="P18:U18" si="10">SUM(P19:P20)</f>
        <v>22430.026891000001</v>
      </c>
      <c r="Q18" s="16">
        <f t="shared" si="10"/>
        <v>22430.026891000001</v>
      </c>
      <c r="R18" s="16">
        <f t="shared" si="10"/>
        <v>22430.026891000001</v>
      </c>
      <c r="S18" s="16">
        <f t="shared" si="10"/>
        <v>22430.026891000001</v>
      </c>
      <c r="T18" s="16">
        <f t="shared" si="10"/>
        <v>22430.026891000001</v>
      </c>
      <c r="U18" s="16">
        <f t="shared" si="10"/>
        <v>22430.026891000001</v>
      </c>
      <c r="V18" s="113"/>
      <c r="W18" s="14"/>
    </row>
    <row r="19" spans="2:23" s="11" customFormat="1" x14ac:dyDescent="0.3">
      <c r="C19" s="3" t="s">
        <v>85</v>
      </c>
      <c r="L19" s="16">
        <v>41160.42</v>
      </c>
      <c r="M19" s="16">
        <v>6756</v>
      </c>
      <c r="N19" s="16">
        <v>21727.919999999998</v>
      </c>
      <c r="O19" s="15">
        <v>17010.64</v>
      </c>
      <c r="P19" s="16">
        <f t="shared" ref="P19:U20" si="11">O19</f>
        <v>17010.64</v>
      </c>
      <c r="Q19" s="16">
        <f t="shared" si="11"/>
        <v>17010.64</v>
      </c>
      <c r="R19" s="16">
        <f t="shared" si="11"/>
        <v>17010.64</v>
      </c>
      <c r="S19" s="16">
        <f t="shared" si="11"/>
        <v>17010.64</v>
      </c>
      <c r="T19" s="16">
        <f t="shared" si="11"/>
        <v>17010.64</v>
      </c>
      <c r="U19" s="16">
        <f t="shared" si="11"/>
        <v>17010.64</v>
      </c>
      <c r="V19" s="113"/>
      <c r="W19" s="14"/>
    </row>
    <row r="20" spans="2:23" s="11" customFormat="1" x14ac:dyDescent="0.3">
      <c r="C20" s="3" t="s">
        <v>86</v>
      </c>
      <c r="L20" s="16">
        <f t="shared" ref="L20:N20" si="12">L18-L19</f>
        <v>7727.5268920000017</v>
      </c>
      <c r="M20" s="16">
        <f t="shared" si="12"/>
        <v>6272.5756280000005</v>
      </c>
      <c r="N20" s="16">
        <f t="shared" si="12"/>
        <v>5047.809921</v>
      </c>
      <c r="O20" s="15">
        <f>O18-O19</f>
        <v>5419.3868910000019</v>
      </c>
      <c r="P20" s="16">
        <f t="shared" si="11"/>
        <v>5419.3868910000019</v>
      </c>
      <c r="Q20" s="16">
        <f t="shared" si="11"/>
        <v>5419.3868910000019</v>
      </c>
      <c r="R20" s="16">
        <f t="shared" si="11"/>
        <v>5419.3868910000019</v>
      </c>
      <c r="S20" s="16">
        <f t="shared" si="11"/>
        <v>5419.3868910000019</v>
      </c>
      <c r="T20" s="16">
        <f t="shared" si="11"/>
        <v>5419.3868910000019</v>
      </c>
      <c r="U20" s="16">
        <f t="shared" si="11"/>
        <v>5419.3868910000019</v>
      </c>
      <c r="V20" s="113"/>
      <c r="W20" s="14"/>
    </row>
    <row r="21" spans="2:23" s="11" customFormat="1" x14ac:dyDescent="0.3">
      <c r="B21" s="56" t="s">
        <v>87</v>
      </c>
      <c r="C21" s="56"/>
      <c r="D21" s="56"/>
      <c r="E21" s="56"/>
      <c r="F21" s="56"/>
      <c r="G21" s="56"/>
      <c r="H21" s="56"/>
      <c r="I21" s="56"/>
      <c r="J21" s="56"/>
      <c r="K21" s="56"/>
      <c r="L21" s="58">
        <f t="shared" ref="L21:U21" si="13">L14+L18</f>
        <v>182820.08903200002</v>
      </c>
      <c r="M21" s="58">
        <f t="shared" si="13"/>
        <v>155961.96981499999</v>
      </c>
      <c r="N21" s="58">
        <f t="shared" si="13"/>
        <v>103515.607734658</v>
      </c>
      <c r="O21" s="115">
        <f t="shared" si="13"/>
        <v>100234.885109276</v>
      </c>
      <c r="P21" s="58">
        <f t="shared" si="13"/>
        <v>113718.54956714928</v>
      </c>
      <c r="Q21" s="58">
        <f t="shared" si="13"/>
        <v>113718.54956714928</v>
      </c>
      <c r="R21" s="58">
        <f t="shared" si="13"/>
        <v>110005.83951407198</v>
      </c>
      <c r="S21" s="58">
        <f t="shared" si="13"/>
        <v>117588.24775817596</v>
      </c>
      <c r="T21" s="58">
        <f t="shared" si="13"/>
        <v>125140.28785350283</v>
      </c>
      <c r="U21" s="58">
        <f t="shared" si="13"/>
        <v>132718.9392434539</v>
      </c>
      <c r="V21" s="113"/>
      <c r="W21" s="14"/>
    </row>
    <row r="22" spans="2:23" s="11" customFormat="1" x14ac:dyDescent="0.3">
      <c r="B22" s="65" t="s">
        <v>88</v>
      </c>
      <c r="C22" s="65"/>
      <c r="D22" s="65"/>
      <c r="E22" s="65"/>
      <c r="F22" s="65"/>
      <c r="G22" s="65"/>
      <c r="H22" s="65"/>
      <c r="I22" s="65"/>
      <c r="J22" s="65"/>
      <c r="K22" s="65"/>
      <c r="L22" s="93">
        <f t="shared" ref="L22:U22" si="14">L13-L21</f>
        <v>214602.50597799997</v>
      </c>
      <c r="M22" s="93">
        <f t="shared" si="14"/>
        <v>225718.64729700002</v>
      </c>
      <c r="N22" s="93">
        <f t="shared" si="14"/>
        <v>207893.62638500001</v>
      </c>
      <c r="O22" s="116">
        <f t="shared" si="14"/>
        <v>210950.99450299999</v>
      </c>
      <c r="P22" s="93">
        <f t="shared" si="14"/>
        <v>226214.4975504163</v>
      </c>
      <c r="Q22" s="93">
        <f t="shared" si="14"/>
        <v>226214.11910991641</v>
      </c>
      <c r="R22" s="93">
        <f t="shared" si="14"/>
        <v>245845.06260016654</v>
      </c>
      <c r="S22" s="93">
        <f t="shared" si="14"/>
        <v>270606.93297112902</v>
      </c>
      <c r="T22" s="93">
        <f t="shared" si="14"/>
        <v>300748.08315859578</v>
      </c>
      <c r="U22" s="93">
        <f t="shared" si="14"/>
        <v>338048.66404459556</v>
      </c>
      <c r="V22" s="113"/>
      <c r="W22" s="14"/>
    </row>
    <row r="23" spans="2:23" s="11" customFormat="1" x14ac:dyDescent="0.3">
      <c r="O23" s="13"/>
      <c r="P23" s="13"/>
      <c r="Q23" s="13"/>
      <c r="R23" s="13"/>
      <c r="S23" s="13"/>
      <c r="T23" s="13"/>
      <c r="U23" s="13"/>
      <c r="V23" s="113"/>
      <c r="W23" s="14"/>
    </row>
    <row r="24" spans="2:23" s="11" customFormat="1" x14ac:dyDescent="0.3">
      <c r="O24" s="13"/>
      <c r="P24" s="13"/>
      <c r="Q24" s="13"/>
      <c r="R24" s="13"/>
      <c r="S24" s="13"/>
      <c r="T24" s="13"/>
      <c r="U24" s="13"/>
      <c r="V24" s="113"/>
      <c r="W24" s="14"/>
    </row>
    <row r="25" spans="2:23" x14ac:dyDescent="0.3">
      <c r="P25" s="19"/>
      <c r="R25" s="19"/>
    </row>
    <row r="26" spans="2:23" x14ac:dyDescent="0.3">
      <c r="P26" s="19"/>
      <c r="R26" s="19"/>
      <c r="S26" s="19"/>
      <c r="T26" s="19"/>
      <c r="U26" s="19"/>
    </row>
  </sheetData>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48D91-CE2A-4458-A1ED-BF624F766B43}">
  <sheetPr>
    <tabColor theme="8" tint="-0.249977111117893"/>
  </sheetPr>
  <dimension ref="A1:W28"/>
  <sheetViews>
    <sheetView showGridLines="0" workbookViewId="0">
      <selection activeCell="M24" sqref="M24:N24"/>
    </sheetView>
  </sheetViews>
  <sheetFormatPr defaultRowHeight="12" x14ac:dyDescent="0.3"/>
  <cols>
    <col min="1" max="1" width="2.625" style="6" customWidth="1"/>
    <col min="2" max="6" width="1.625" style="6" customWidth="1"/>
    <col min="7" max="16384" width="9" style="6"/>
  </cols>
  <sheetData>
    <row r="1" spans="1:23" s="3" customFormat="1" x14ac:dyDescent="0.3">
      <c r="A1" s="1" t="str">
        <f ca="1">MID(CELL("filename",A1),FIND("]",CELL("filename",A1))+1,255)</f>
        <v>Proforma CF</v>
      </c>
      <c r="B1" s="2"/>
      <c r="C1" s="2"/>
      <c r="D1" s="2"/>
      <c r="E1" s="2"/>
      <c r="F1" s="2"/>
      <c r="G1" s="2"/>
      <c r="H1" s="2"/>
      <c r="I1" s="2"/>
      <c r="J1" s="2"/>
      <c r="K1" s="2"/>
      <c r="L1" s="2"/>
      <c r="M1" s="2"/>
      <c r="N1" s="2"/>
      <c r="O1" s="2"/>
      <c r="P1" s="2"/>
      <c r="Q1" s="2"/>
      <c r="R1" s="2"/>
      <c r="S1" s="2"/>
      <c r="T1" s="2"/>
      <c r="U1" s="2"/>
    </row>
    <row r="2" spans="1:23" s="3" customFormat="1" x14ac:dyDescent="0.3"/>
    <row r="3" spans="1:23" s="3" customFormat="1" x14ac:dyDescent="0.3">
      <c r="A3" s="4"/>
      <c r="B3" s="5" t="s">
        <v>71</v>
      </c>
      <c r="C3" s="4"/>
      <c r="D3" s="4"/>
      <c r="E3" s="4"/>
      <c r="F3" s="4"/>
      <c r="G3" s="4"/>
      <c r="H3" s="4"/>
      <c r="I3" s="4"/>
      <c r="J3" s="4"/>
      <c r="K3" s="4"/>
      <c r="L3" s="4"/>
      <c r="M3" s="4"/>
      <c r="N3" s="4"/>
      <c r="O3" s="4"/>
      <c r="P3" s="4"/>
      <c r="Q3" s="4"/>
      <c r="R3" s="4"/>
      <c r="S3" s="4"/>
      <c r="T3" s="4"/>
      <c r="U3" s="4"/>
    </row>
    <row r="5" spans="1:23" x14ac:dyDescent="0.3">
      <c r="B5" s="8"/>
      <c r="C5" s="8"/>
      <c r="D5" s="8"/>
      <c r="E5" s="8"/>
      <c r="F5" s="8"/>
      <c r="G5" s="8"/>
      <c r="H5" s="8"/>
      <c r="I5" s="8"/>
      <c r="J5" s="8"/>
      <c r="K5" s="8"/>
      <c r="L5" s="9" t="s">
        <v>1</v>
      </c>
      <c r="M5" s="9" t="s">
        <v>2</v>
      </c>
      <c r="N5" s="9" t="s">
        <v>3</v>
      </c>
      <c r="O5" s="111" t="s">
        <v>4</v>
      </c>
      <c r="P5" s="9" t="s">
        <v>5</v>
      </c>
      <c r="Q5" s="9" t="s">
        <v>6</v>
      </c>
      <c r="R5" s="9" t="s">
        <v>7</v>
      </c>
      <c r="S5" s="9" t="s">
        <v>8</v>
      </c>
      <c r="T5" s="9" t="s">
        <v>9</v>
      </c>
      <c r="U5" s="9" t="s">
        <v>10</v>
      </c>
    </row>
    <row r="6" spans="1:23" x14ac:dyDescent="0.3">
      <c r="B6" s="11" t="s">
        <v>89</v>
      </c>
      <c r="C6" s="11"/>
      <c r="D6" s="11"/>
      <c r="E6" s="11"/>
      <c r="F6" s="11"/>
      <c r="G6" s="11"/>
      <c r="H6" s="11"/>
      <c r="I6" s="11"/>
      <c r="J6" s="11"/>
      <c r="K6" s="11"/>
      <c r="L6" s="117"/>
      <c r="M6" s="13">
        <f>M7+M8+M17+M18+M19</f>
        <v>29526.460346999982</v>
      </c>
      <c r="N6" s="13">
        <f>N7+N8+N17+N18+N19</f>
        <v>-2171.7579999999934</v>
      </c>
      <c r="O6" s="12">
        <f t="shared" ref="O6:U6" si="0">O7+O8+O17+O18+O19</f>
        <v>318.92586110001196</v>
      </c>
      <c r="P6" s="13">
        <f t="shared" si="0"/>
        <v>35908.172904439096</v>
      </c>
      <c r="Q6" s="13">
        <f t="shared" si="0"/>
        <v>36226.720325039205</v>
      </c>
      <c r="R6" s="13">
        <f t="shared" si="0"/>
        <v>33594.64236498635</v>
      </c>
      <c r="S6" s="13">
        <f t="shared" si="0"/>
        <v>8333.8172482496484</v>
      </c>
      <c r="T6" s="13">
        <f t="shared" si="0"/>
        <v>13621.634737086981</v>
      </c>
      <c r="U6" s="13">
        <f t="shared" si="0"/>
        <v>21220.848876731041</v>
      </c>
      <c r="V6" s="118"/>
      <c r="W6" s="19"/>
    </row>
    <row r="7" spans="1:23" x14ac:dyDescent="0.3">
      <c r="B7" s="11"/>
      <c r="C7" s="3" t="s">
        <v>90</v>
      </c>
      <c r="D7" s="3"/>
      <c r="E7" s="3"/>
      <c r="F7" s="3"/>
      <c r="G7" s="3"/>
      <c r="H7" s="3"/>
      <c r="I7" s="3"/>
      <c r="J7" s="3"/>
      <c r="K7" s="3"/>
      <c r="L7" s="119"/>
      <c r="M7" s="16">
        <f>'Proforma PL'!M24</f>
        <v>-17269.008508539373</v>
      </c>
      <c r="N7" s="16">
        <f>'Proforma PL'!N24</f>
        <v>-5710.2659402709141</v>
      </c>
      <c r="O7" s="15">
        <f>'Proforma PL'!O24</f>
        <v>1784.2966875962511</v>
      </c>
      <c r="P7" s="16">
        <f>'Proforma PL'!P24</f>
        <v>15263.5030474163</v>
      </c>
      <c r="Q7" s="16">
        <f>'Proforma PL'!Q24</f>
        <v>17047.421294512656</v>
      </c>
      <c r="R7" s="16">
        <f>'Proforma PL'!R24</f>
        <v>19630.943490250218</v>
      </c>
      <c r="S7" s="16">
        <f>'Proforma PL'!S24</f>
        <v>24761.870370962348</v>
      </c>
      <c r="T7" s="16">
        <f>'Proforma PL'!T24</f>
        <v>30141.150187466847</v>
      </c>
      <c r="U7" s="16">
        <f>'Proforma PL'!U24</f>
        <v>37300.580885999712</v>
      </c>
      <c r="W7" s="19"/>
    </row>
    <row r="8" spans="1:23" x14ac:dyDescent="0.3">
      <c r="B8" s="11"/>
      <c r="C8" s="3" t="s">
        <v>91</v>
      </c>
      <c r="D8" s="3"/>
      <c r="E8" s="3"/>
      <c r="F8" s="3"/>
      <c r="G8" s="3"/>
      <c r="H8" s="3"/>
      <c r="I8" s="3"/>
      <c r="J8" s="3"/>
      <c r="K8" s="3"/>
      <c r="L8" s="119"/>
      <c r="M8" s="16">
        <f>SUM(M9:M16)</f>
        <v>46418.570737539354</v>
      </c>
      <c r="N8" s="16">
        <f>SUM(N9:N16)</f>
        <v>3618.9728352709208</v>
      </c>
      <c r="O8" s="15">
        <f t="shared" ref="O8:U8" si="1">SUM(O9:O16)</f>
        <v>-1753.8766814962391</v>
      </c>
      <c r="P8" s="16">
        <f t="shared" si="1"/>
        <v>26191.846463351369</v>
      </c>
      <c r="Q8" s="16">
        <f t="shared" si="1"/>
        <v>24437.969781855132</v>
      </c>
      <c r="R8" s="16">
        <f t="shared" si="1"/>
        <v>19859.221702991559</v>
      </c>
      <c r="S8" s="16">
        <f t="shared" si="1"/>
        <v>-9176.0267456427573</v>
      </c>
      <c r="T8" s="16">
        <f t="shared" si="1"/>
        <v>-7487.5500157879833</v>
      </c>
      <c r="U8" s="16">
        <f t="shared" si="1"/>
        <v>-4764.3604826184255</v>
      </c>
      <c r="V8" s="118"/>
      <c r="W8" s="19"/>
    </row>
    <row r="9" spans="1:23" x14ac:dyDescent="0.3">
      <c r="D9" s="6" t="s">
        <v>92</v>
      </c>
      <c r="L9" s="120"/>
      <c r="M9" s="19">
        <f>-NWC_연결!M6</f>
        <v>29183.720602999965</v>
      </c>
      <c r="N9" s="19">
        <f>-NWC_연결!N6</f>
        <v>12889.659738000046</v>
      </c>
      <c r="O9" s="18">
        <f>-NWC_연결!O6</f>
        <v>-3792.0324259999907</v>
      </c>
      <c r="P9" s="16">
        <f>-NWC_연결!P6</f>
        <v>16257.033508374094</v>
      </c>
      <c r="Q9" s="19">
        <f>-NWC_연결!Q6</f>
        <v>12465.001082374103</v>
      </c>
      <c r="R9" s="19">
        <f>-NWC_연결!R6</f>
        <v>9574.7874443378532</v>
      </c>
      <c r="S9" s="19">
        <f>-NWC_연결!S6</f>
        <v>-20834.398655807949</v>
      </c>
      <c r="T9" s="19">
        <f>-NWC_연결!T6</f>
        <v>-20951.381015220279</v>
      </c>
      <c r="U9" s="19">
        <f>-NWC_연결!U6</f>
        <v>-20590.111461572145</v>
      </c>
      <c r="W9" s="19"/>
    </row>
    <row r="10" spans="1:23" x14ac:dyDescent="0.3">
      <c r="D10" s="6" t="s">
        <v>93</v>
      </c>
      <c r="L10" s="120"/>
      <c r="M10" s="19">
        <f>'Proforma PL'!M26</f>
        <v>0</v>
      </c>
      <c r="N10" s="19">
        <f>'Proforma PL'!N26</f>
        <v>0</v>
      </c>
      <c r="O10" s="18">
        <f>'Proforma PL'!O26</f>
        <v>1114.4191370999999</v>
      </c>
      <c r="P10" s="19">
        <f>'Proforma PL'!P26</f>
        <v>4387.6363486486989</v>
      </c>
      <c r="Q10" s="19">
        <f>'Proforma PL'!Q26</f>
        <v>5502.0554857486995</v>
      </c>
      <c r="R10" s="19">
        <f>'Proforma PL'!R26</f>
        <v>4388.9114303982815</v>
      </c>
      <c r="S10" s="19">
        <f>'Proforma PL'!S26</f>
        <v>4406.3455330952484</v>
      </c>
      <c r="T10" s="19">
        <f>'Proforma PL'!T26</f>
        <v>4431.8655648404119</v>
      </c>
      <c r="U10" s="19">
        <f>'Proforma PL'!U26</f>
        <v>4510.3794523034721</v>
      </c>
      <c r="V10" s="118"/>
      <c r="W10" s="19"/>
    </row>
    <row r="11" spans="1:23" x14ac:dyDescent="0.3">
      <c r="D11" s="6" t="s">
        <v>94</v>
      </c>
      <c r="L11" s="120"/>
      <c r="M11" s="19">
        <f>'Proforma PL'!M19</f>
        <v>2387.6218819999999</v>
      </c>
      <c r="N11" s="19">
        <f>'Proforma PL'!N19</f>
        <v>2951.232524</v>
      </c>
      <c r="O11" s="18">
        <f>'Proforma PL'!O19</f>
        <v>605.25419999999997</v>
      </c>
      <c r="P11" s="19">
        <v>0</v>
      </c>
      <c r="Q11" s="19">
        <f>O11+P11</f>
        <v>605.25419999999997</v>
      </c>
      <c r="R11" s="19">
        <v>0</v>
      </c>
      <c r="S11" s="19">
        <v>0</v>
      </c>
      <c r="T11" s="19">
        <v>0</v>
      </c>
      <c r="U11" s="19">
        <v>0</v>
      </c>
      <c r="W11" s="19"/>
    </row>
    <row r="12" spans="1:23" x14ac:dyDescent="0.3">
      <c r="D12" s="6" t="s">
        <v>95</v>
      </c>
      <c r="L12" s="120"/>
      <c r="M12" s="19">
        <f>'Proforma PL'!M20</f>
        <v>-3903.9999109999999</v>
      </c>
      <c r="N12" s="19">
        <f>'Proforma PL'!N20</f>
        <v>-3906.604034</v>
      </c>
      <c r="O12" s="18">
        <f>'Proforma PL'!O20</f>
        <v>-893.76005499999997</v>
      </c>
      <c r="P12" s="19">
        <v>0</v>
      </c>
      <c r="Q12" s="19">
        <f>O12+P12</f>
        <v>-893.76005499999997</v>
      </c>
      <c r="R12" s="19">
        <v>0</v>
      </c>
      <c r="S12" s="19">
        <v>0</v>
      </c>
      <c r="T12" s="19">
        <v>0</v>
      </c>
      <c r="U12" s="19">
        <v>0</v>
      </c>
      <c r="W12" s="19"/>
    </row>
    <row r="13" spans="1:23" x14ac:dyDescent="0.3">
      <c r="D13" s="6" t="s">
        <v>96</v>
      </c>
      <c r="L13" s="120"/>
      <c r="M13" s="19">
        <f>'Proforma PL'!M23</f>
        <v>1139.4799109999999</v>
      </c>
      <c r="N13" s="19">
        <f>'Proforma PL'!N23</f>
        <v>1035.836405</v>
      </c>
      <c r="O13" s="18">
        <f>'Proforma PL'!O23</f>
        <v>0</v>
      </c>
      <c r="P13" s="19">
        <f>'Proforma PL'!P23</f>
        <v>5547.176606328575</v>
      </c>
      <c r="Q13" s="19">
        <f>'Proforma PL'!Q23</f>
        <v>5547.176606328575</v>
      </c>
      <c r="R13" s="19">
        <f>'Proforma PL'!R23</f>
        <v>5895.5228282554235</v>
      </c>
      <c r="S13" s="19">
        <f>'Proforma PL'!S23</f>
        <v>7252.0263770699412</v>
      </c>
      <c r="T13" s="19">
        <f>'Proforma PL'!T23</f>
        <v>9031.9654345918825</v>
      </c>
      <c r="U13" s="19">
        <f>'Proforma PL'!U23</f>
        <v>11315.371526650248</v>
      </c>
      <c r="W13" s="19"/>
    </row>
    <row r="14" spans="1:23" x14ac:dyDescent="0.3">
      <c r="D14" s="6" t="s">
        <v>97</v>
      </c>
      <c r="L14" s="120"/>
      <c r="M14" s="19">
        <f>'Proforma BS'!M17+'Proforma BS'!M20-'Proforma BS'!L17-'Proforma BS'!L20</f>
        <v>-1995.547733000014</v>
      </c>
      <c r="N14" s="19">
        <f>'Proforma BS'!N17+'Proforma BS'!N20-'Proforma BS'!M17-'Proforma BS'!M20</f>
        <v>-490.02447000000575</v>
      </c>
      <c r="O14" s="18">
        <f>'Proforma BS'!O17+'Proforma BS'!O20-'Proforma BS'!N17-'Proforma BS'!N20</f>
        <v>1170.2159619999948</v>
      </c>
      <c r="P14" s="19">
        <f>'Proforma BS'!P17+'Proforma BS'!P20-'Proforma BS'!O17-'Proforma BS'!O20</f>
        <v>0</v>
      </c>
      <c r="Q14" s="19">
        <f>'Proforma BS'!Q17+'Proforma BS'!Q20-'Proforma BS'!N17-'Proforma BS'!N20</f>
        <v>1170.2159619999948</v>
      </c>
      <c r="R14" s="19">
        <f>'Proforma BS'!R17+'Proforma BS'!R20-'Proforma BS'!Q17-'Proforma BS'!Q20</f>
        <v>0</v>
      </c>
      <c r="S14" s="19">
        <f>'Proforma BS'!S17+'Proforma BS'!S20-'Proforma BS'!R17-'Proforma BS'!R20</f>
        <v>0</v>
      </c>
      <c r="T14" s="19">
        <f>'Proforma BS'!T17+'Proforma BS'!T20-'Proforma BS'!S17-'Proforma BS'!S20</f>
        <v>0</v>
      </c>
      <c r="U14" s="19">
        <f>'Proforma BS'!U17+'Proforma BS'!U20-'Proforma BS'!T17-'Proforma BS'!T20</f>
        <v>0</v>
      </c>
      <c r="W14" s="19"/>
    </row>
    <row r="15" spans="1:23" x14ac:dyDescent="0.3">
      <c r="D15" s="6" t="s">
        <v>98</v>
      </c>
      <c r="L15" s="120"/>
      <c r="M15" s="19">
        <f>-('Proforma BS'!M9+'Proforma BS'!M12-'Proforma BS'!L9-'Proforma BS'!L12)</f>
        <v>-8777.8538419999604</v>
      </c>
      <c r="N15" s="19">
        <f>-('Proforma BS'!N9+'Proforma BS'!N12-'Proforma BS'!M9-'Proforma BS'!M12)</f>
        <v>3253.6276439999492</v>
      </c>
      <c r="O15" s="18">
        <f>-('Proforma BS'!O9+'Proforma BS'!O12-'Proforma BS'!N9-'Proforma BS'!N12)</f>
        <v>-1231.0449299999818</v>
      </c>
      <c r="P15" s="19">
        <f>-('Proforma BS'!P9+'Proforma BS'!P12-'Proforma BS'!O9-'Proforma BS'!O12)</f>
        <v>0</v>
      </c>
      <c r="Q15" s="19">
        <f>-('Proforma BS'!Q9+'Proforma BS'!Q12-'Proforma BS'!N9-'Proforma BS'!N12)</f>
        <v>-1231.0449299999818</v>
      </c>
      <c r="R15" s="19">
        <f>-('Proforma BS'!R9+'Proforma BS'!R12-'Proforma BS'!Q9-'Proforma BS'!Q12)</f>
        <v>0</v>
      </c>
      <c r="S15" s="19">
        <f>-('Proforma BS'!S9+'Proforma BS'!S12-'Proforma BS'!R9-'Proforma BS'!R12)</f>
        <v>0</v>
      </c>
      <c r="T15" s="19">
        <f>-('Proforma BS'!T9+'Proforma BS'!T12-'Proforma BS'!S9-'Proforma BS'!S12)</f>
        <v>0</v>
      </c>
      <c r="U15" s="19">
        <f>-('Proforma BS'!U9+'Proforma BS'!U12-'Proforma BS'!T9-'Proforma BS'!T12)</f>
        <v>0</v>
      </c>
      <c r="W15" s="19"/>
    </row>
    <row r="16" spans="1:23" x14ac:dyDescent="0.3">
      <c r="D16" s="6" t="s">
        <v>99</v>
      </c>
      <c r="L16" s="120"/>
      <c r="M16" s="19">
        <f>'Proforma CE'!M9</f>
        <v>28385.149827539368</v>
      </c>
      <c r="N16" s="19">
        <f>'Proforma CE'!N9</f>
        <v>-12114.754971729068</v>
      </c>
      <c r="O16" s="18">
        <f>'Proforma CE'!O9</f>
        <v>1273.0714304037392</v>
      </c>
      <c r="P16" s="19">
        <v>0</v>
      </c>
      <c r="Q16" s="16">
        <f>O16+P16</f>
        <v>1273.0714304037392</v>
      </c>
      <c r="R16" s="19">
        <v>0</v>
      </c>
      <c r="S16" s="19">
        <v>0</v>
      </c>
      <c r="T16" s="19">
        <v>0</v>
      </c>
      <c r="U16" s="19">
        <v>0</v>
      </c>
      <c r="W16" s="19"/>
    </row>
    <row r="17" spans="2:23" x14ac:dyDescent="0.3">
      <c r="B17" s="121"/>
      <c r="C17" s="121" t="s">
        <v>100</v>
      </c>
      <c r="D17" s="121"/>
      <c r="E17" s="121"/>
      <c r="F17" s="121"/>
      <c r="G17" s="121"/>
      <c r="H17" s="121"/>
      <c r="I17" s="121"/>
      <c r="J17" s="121"/>
      <c r="K17" s="121"/>
      <c r="L17" s="120"/>
      <c r="M17" s="19">
        <f t="shared" ref="M17:U19" si="2">-M11</f>
        <v>-2387.6218819999999</v>
      </c>
      <c r="N17" s="19">
        <f t="shared" si="2"/>
        <v>-2951.232524</v>
      </c>
      <c r="O17" s="18">
        <f t="shared" si="2"/>
        <v>-605.25419999999997</v>
      </c>
      <c r="P17" s="16">
        <f t="shared" si="2"/>
        <v>0</v>
      </c>
      <c r="Q17" s="16">
        <f t="shared" si="2"/>
        <v>-605.25419999999997</v>
      </c>
      <c r="R17" s="16">
        <f t="shared" si="2"/>
        <v>0</v>
      </c>
      <c r="S17" s="16">
        <f t="shared" si="2"/>
        <v>0</v>
      </c>
      <c r="T17" s="16">
        <f t="shared" si="2"/>
        <v>0</v>
      </c>
      <c r="U17" s="16">
        <f t="shared" si="2"/>
        <v>0</v>
      </c>
      <c r="W17" s="19"/>
    </row>
    <row r="18" spans="2:23" x14ac:dyDescent="0.3">
      <c r="C18" s="6" t="s">
        <v>101</v>
      </c>
      <c r="L18" s="120"/>
      <c r="M18" s="19">
        <f t="shared" si="2"/>
        <v>3903.9999109999999</v>
      </c>
      <c r="N18" s="19">
        <f t="shared" si="2"/>
        <v>3906.604034</v>
      </c>
      <c r="O18" s="18">
        <f t="shared" si="2"/>
        <v>893.76005499999997</v>
      </c>
      <c r="P18" s="16">
        <f t="shared" si="2"/>
        <v>0</v>
      </c>
      <c r="Q18" s="16">
        <f t="shared" si="2"/>
        <v>893.76005499999997</v>
      </c>
      <c r="R18" s="16">
        <f t="shared" si="2"/>
        <v>0</v>
      </c>
      <c r="S18" s="16">
        <f t="shared" si="2"/>
        <v>0</v>
      </c>
      <c r="T18" s="16">
        <f t="shared" si="2"/>
        <v>0</v>
      </c>
      <c r="U18" s="16">
        <f t="shared" si="2"/>
        <v>0</v>
      </c>
      <c r="W18" s="19"/>
    </row>
    <row r="19" spans="2:23" x14ac:dyDescent="0.3">
      <c r="C19" s="6" t="s">
        <v>102</v>
      </c>
      <c r="L19" s="120"/>
      <c r="M19" s="19">
        <f t="shared" si="2"/>
        <v>-1139.4799109999999</v>
      </c>
      <c r="N19" s="19">
        <f t="shared" si="2"/>
        <v>-1035.836405</v>
      </c>
      <c r="O19" s="18">
        <f t="shared" si="2"/>
        <v>0</v>
      </c>
      <c r="P19" s="16">
        <f t="shared" si="2"/>
        <v>-5547.176606328575</v>
      </c>
      <c r="Q19" s="16">
        <f t="shared" si="2"/>
        <v>-5547.176606328575</v>
      </c>
      <c r="R19" s="16">
        <f t="shared" si="2"/>
        <v>-5895.5228282554235</v>
      </c>
      <c r="S19" s="16">
        <f t="shared" si="2"/>
        <v>-7252.0263770699412</v>
      </c>
      <c r="T19" s="16">
        <f t="shared" si="2"/>
        <v>-9031.9654345918825</v>
      </c>
      <c r="U19" s="16">
        <f t="shared" si="2"/>
        <v>-11315.371526650248</v>
      </c>
      <c r="W19" s="19"/>
    </row>
    <row r="20" spans="2:23" x14ac:dyDescent="0.3">
      <c r="B20" s="11" t="s">
        <v>103</v>
      </c>
      <c r="C20" s="11"/>
      <c r="D20" s="11"/>
      <c r="E20" s="11"/>
      <c r="F20" s="11"/>
      <c r="G20" s="11"/>
      <c r="H20" s="11"/>
      <c r="I20" s="11"/>
      <c r="J20" s="11"/>
      <c r="K20" s="11"/>
      <c r="L20" s="122"/>
      <c r="M20" s="123">
        <f>SUM(M21:M22)</f>
        <v>1511.4928579999978</v>
      </c>
      <c r="N20" s="13">
        <f>SUM(N21:N22)</f>
        <v>2983.3866640000051</v>
      </c>
      <c r="O20" s="124">
        <f t="shared" ref="O20:U20" si="3">SUM(O21:O22)</f>
        <v>-521.59306110000239</v>
      </c>
      <c r="P20" s="13">
        <f t="shared" si="3"/>
        <v>-4294.9395664620961</v>
      </c>
      <c r="Q20" s="13">
        <f t="shared" si="3"/>
        <v>-4816.5326275620982</v>
      </c>
      <c r="R20" s="13">
        <f t="shared" si="3"/>
        <v>-4357.0403518870799</v>
      </c>
      <c r="S20" s="13">
        <f t="shared" si="3"/>
        <v>-4375.1867066705036</v>
      </c>
      <c r="T20" s="13">
        <f t="shared" si="3"/>
        <v>-4403.435393900817</v>
      </c>
      <c r="U20" s="13">
        <f t="shared" si="3"/>
        <v>-4480.7549098636064</v>
      </c>
      <c r="W20" s="19"/>
    </row>
    <row r="21" spans="2:23" x14ac:dyDescent="0.3">
      <c r="B21" s="3"/>
      <c r="C21" s="3" t="s">
        <v>104</v>
      </c>
      <c r="D21" s="3"/>
      <c r="E21" s="3"/>
      <c r="F21" s="3"/>
      <c r="G21" s="3"/>
      <c r="H21" s="3"/>
      <c r="I21" s="3"/>
      <c r="J21" s="3"/>
      <c r="K21" s="3"/>
      <c r="L21" s="120"/>
      <c r="M21" s="19">
        <f>-('Proforma BS'!M11-'Proforma BS'!L11+M10)</f>
        <v>1511.4928579999978</v>
      </c>
      <c r="N21" s="19">
        <f>-('Proforma BS'!N11-'Proforma BS'!M11+N10)</f>
        <v>2983.3866640000051</v>
      </c>
      <c r="O21" s="18">
        <f>-('Proforma BS'!O11-'Proforma BS'!N11+O10)</f>
        <v>-521.59306110000239</v>
      </c>
      <c r="P21" s="16">
        <f>-(CAPEX_HW!Y6+CAPEX_강소!Y6+Projection_미국!Y274+Projection_중국!Y272+Projection_유럽!Y166)</f>
        <v>-4294.9395664620961</v>
      </c>
      <c r="Q21" s="16">
        <f>O21+P21</f>
        <v>-4816.5326275620982</v>
      </c>
      <c r="R21" s="16">
        <f>-(CAPEX_HW!AA6+CAPEX_강소!AA6+Projection_미국!AA274+Projection_중국!AA272+Projection_유럽!AA166)</f>
        <v>-4357.0403518870799</v>
      </c>
      <c r="S21" s="16">
        <f>-(CAPEX_HW!AB6+CAPEX_강소!AB6+Projection_미국!AB274+Projection_중국!AB272+Projection_유럽!AB166)</f>
        <v>-4375.1867066705036</v>
      </c>
      <c r="T21" s="16">
        <f>-(CAPEX_HW!AC6+CAPEX_강소!AC6+Projection_미국!AC274+Projection_중국!AC272+Projection_유럽!AC166)</f>
        <v>-4403.435393900817</v>
      </c>
      <c r="U21" s="16">
        <f>-(CAPEX_HW!AD6+CAPEX_강소!AD6+Projection_미국!AD274+Projection_중국!AD272+Projection_유럽!AD166)</f>
        <v>-4480.7549098636064</v>
      </c>
      <c r="W21" s="19"/>
    </row>
    <row r="22" spans="2:23" x14ac:dyDescent="0.3">
      <c r="B22" s="3"/>
      <c r="C22" s="3" t="s">
        <v>105</v>
      </c>
      <c r="D22" s="3"/>
      <c r="E22" s="3"/>
      <c r="F22" s="3"/>
      <c r="G22" s="3"/>
      <c r="H22" s="3"/>
      <c r="I22" s="3"/>
      <c r="J22" s="3"/>
      <c r="K22" s="3"/>
      <c r="L22" s="120"/>
      <c r="M22" s="19">
        <v>0</v>
      </c>
      <c r="N22" s="19">
        <v>0</v>
      </c>
      <c r="O22" s="18">
        <v>0</v>
      </c>
      <c r="P22" s="16">
        <v>0</v>
      </c>
      <c r="Q22" s="16">
        <f>O22+P22</f>
        <v>0</v>
      </c>
      <c r="R22" s="16">
        <v>0</v>
      </c>
      <c r="S22" s="16">
        <v>0</v>
      </c>
      <c r="T22" s="16">
        <v>0</v>
      </c>
      <c r="U22" s="16">
        <v>0</v>
      </c>
      <c r="W22" s="19"/>
    </row>
    <row r="23" spans="2:23" x14ac:dyDescent="0.3">
      <c r="B23" s="11" t="s">
        <v>106</v>
      </c>
      <c r="C23" s="11"/>
      <c r="D23" s="11"/>
      <c r="E23" s="11"/>
      <c r="F23" s="11"/>
      <c r="G23" s="11"/>
      <c r="H23" s="11"/>
      <c r="I23" s="11"/>
      <c r="J23" s="11"/>
      <c r="K23" s="11"/>
      <c r="L23" s="122"/>
      <c r="M23" s="123">
        <f>SUM(M24:M25)</f>
        <v>-33301.018334</v>
      </c>
      <c r="N23" s="13">
        <f>SUM(N24:N25)</f>
        <v>-14214.432699999998</v>
      </c>
      <c r="O23" s="124">
        <f t="shared" ref="O23:U23" si="4">SUM(O24:O25)</f>
        <v>-1692.3837329999951</v>
      </c>
      <c r="P23" s="13">
        <f t="shared" si="4"/>
        <v>0</v>
      </c>
      <c r="Q23" s="13">
        <f t="shared" si="4"/>
        <v>-1692.3837329999951</v>
      </c>
      <c r="R23" s="13">
        <f t="shared" si="4"/>
        <v>0</v>
      </c>
      <c r="S23" s="13">
        <f t="shared" si="4"/>
        <v>0</v>
      </c>
      <c r="T23" s="13">
        <f t="shared" si="4"/>
        <v>0</v>
      </c>
      <c r="U23" s="13">
        <f t="shared" si="4"/>
        <v>0</v>
      </c>
      <c r="W23" s="19"/>
    </row>
    <row r="24" spans="2:23" x14ac:dyDescent="0.3">
      <c r="B24" s="3"/>
      <c r="C24" s="3" t="s">
        <v>107</v>
      </c>
      <c r="D24" s="3"/>
      <c r="E24" s="3"/>
      <c r="F24" s="3"/>
      <c r="G24" s="3"/>
      <c r="H24" s="3"/>
      <c r="I24" s="3"/>
      <c r="J24" s="3"/>
      <c r="K24" s="3"/>
      <c r="L24" s="120"/>
      <c r="M24" s="19">
        <f>('Proforma BS'!M16+'Proforma BS'!M19)-('Proforma BS'!L16+'Proforma BS'!L19)</f>
        <v>-33301.018334</v>
      </c>
      <c r="N24" s="19">
        <f>('Proforma BS'!N16+'Proforma BS'!N19)-('Proforma BS'!M16+'Proforma BS'!M19)</f>
        <v>-14214.432699999998</v>
      </c>
      <c r="O24" s="18">
        <f>('Proforma BS'!O16+'Proforma BS'!O19)-('Proforma BS'!N16+'Proforma BS'!N19)</f>
        <v>-1692.3837329999951</v>
      </c>
      <c r="P24" s="16">
        <v>0</v>
      </c>
      <c r="Q24" s="16">
        <f>O24+P24</f>
        <v>-1692.3837329999951</v>
      </c>
      <c r="R24" s="16">
        <f>('Proforma BS'!R16+'Proforma BS'!R19)-('Proforma BS'!Q16+'Proforma BS'!Q19)</f>
        <v>0</v>
      </c>
      <c r="S24" s="16">
        <f>('Proforma BS'!S16+'Proforma BS'!S19)-('Proforma BS'!R16+'Proforma BS'!R19)</f>
        <v>0</v>
      </c>
      <c r="T24" s="16">
        <f>('Proforma BS'!T16+'Proforma BS'!T19)-('Proforma BS'!S16+'Proforma BS'!S19)</f>
        <v>0</v>
      </c>
      <c r="U24" s="16">
        <f>('Proforma BS'!U16+'Proforma BS'!U19)-('Proforma BS'!T16+'Proforma BS'!T19)</f>
        <v>0</v>
      </c>
      <c r="W24" s="19"/>
    </row>
    <row r="25" spans="2:23" x14ac:dyDescent="0.3">
      <c r="B25" s="100"/>
      <c r="C25" s="100" t="s">
        <v>105</v>
      </c>
      <c r="D25" s="100"/>
      <c r="E25" s="100"/>
      <c r="F25" s="100"/>
      <c r="G25" s="100"/>
      <c r="H25" s="100"/>
      <c r="I25" s="100"/>
      <c r="J25" s="100"/>
      <c r="K25" s="100"/>
      <c r="L25" s="55"/>
      <c r="M25" s="54">
        <v>0</v>
      </c>
      <c r="N25" s="54">
        <v>0</v>
      </c>
      <c r="O25" s="125">
        <v>0</v>
      </c>
      <c r="P25" s="126">
        <v>0</v>
      </c>
      <c r="Q25" s="126">
        <f>O25+P25</f>
        <v>0</v>
      </c>
      <c r="R25" s="126">
        <v>0</v>
      </c>
      <c r="S25" s="126">
        <v>0</v>
      </c>
      <c r="T25" s="126">
        <v>0</v>
      </c>
      <c r="U25" s="126">
        <v>0</v>
      </c>
      <c r="W25" s="19"/>
    </row>
    <row r="26" spans="2:23" x14ac:dyDescent="0.3">
      <c r="B26" s="11" t="s">
        <v>108</v>
      </c>
      <c r="C26" s="11"/>
      <c r="D26" s="11"/>
      <c r="E26" s="11"/>
      <c r="F26" s="11"/>
      <c r="G26" s="11"/>
      <c r="H26" s="11"/>
      <c r="I26" s="11"/>
      <c r="J26" s="11"/>
      <c r="K26" s="11"/>
      <c r="L26" s="120"/>
      <c r="M26" s="13">
        <f>M6+M20+M23</f>
        <v>-2263.0651290000205</v>
      </c>
      <c r="N26" s="13">
        <f>N6+N20+N23</f>
        <v>-13402.804035999987</v>
      </c>
      <c r="O26" s="124">
        <f t="shared" ref="O26:U26" si="5">O6+O20+O23</f>
        <v>-1895.0509329999854</v>
      </c>
      <c r="P26" s="22">
        <f t="shared" si="5"/>
        <v>31613.233337976999</v>
      </c>
      <c r="Q26" s="22">
        <f t="shared" si="5"/>
        <v>29717.803964477112</v>
      </c>
      <c r="R26" s="22">
        <f t="shared" si="5"/>
        <v>29237.602013099269</v>
      </c>
      <c r="S26" s="22">
        <f t="shared" si="5"/>
        <v>3958.6305415791448</v>
      </c>
      <c r="T26" s="22">
        <f t="shared" si="5"/>
        <v>9218.1993431861629</v>
      </c>
      <c r="U26" s="22">
        <f t="shared" si="5"/>
        <v>16740.093966867433</v>
      </c>
      <c r="V26" s="118"/>
      <c r="W26" s="19"/>
    </row>
    <row r="27" spans="2:23" x14ac:dyDescent="0.3">
      <c r="B27" s="11" t="s">
        <v>109</v>
      </c>
      <c r="C27" s="11"/>
      <c r="D27" s="11"/>
      <c r="E27" s="11"/>
      <c r="F27" s="11"/>
      <c r="G27" s="11"/>
      <c r="H27" s="11"/>
      <c r="I27" s="11"/>
      <c r="J27" s="11"/>
      <c r="K27" s="11"/>
      <c r="L27" s="120"/>
      <c r="M27" s="13">
        <f>'Proforma BS'!L7</f>
        <v>49615.269735000002</v>
      </c>
      <c r="N27" s="13">
        <f>'Proforma BS'!M7</f>
        <v>47352.204605999999</v>
      </c>
      <c r="O27" s="124">
        <f>'Proforma BS'!N7</f>
        <v>33949.400569999998</v>
      </c>
      <c r="P27" s="13">
        <f>O28</f>
        <v>32054.349637000014</v>
      </c>
      <c r="Q27" s="13">
        <f>'Proforma BS'!N7</f>
        <v>33949.400569999998</v>
      </c>
      <c r="R27" s="13">
        <f>Q28</f>
        <v>63667.20453447711</v>
      </c>
      <c r="S27" s="13">
        <f>R28</f>
        <v>92904.806547576387</v>
      </c>
      <c r="T27" s="13">
        <f>S28</f>
        <v>96863.43708915553</v>
      </c>
      <c r="U27" s="13">
        <f>T28</f>
        <v>106081.63643234169</v>
      </c>
      <c r="V27" s="118"/>
      <c r="W27" s="19"/>
    </row>
    <row r="28" spans="2:23" x14ac:dyDescent="0.3">
      <c r="B28" s="65" t="s">
        <v>110</v>
      </c>
      <c r="C28" s="65"/>
      <c r="D28" s="65"/>
      <c r="E28" s="65"/>
      <c r="F28" s="65"/>
      <c r="G28" s="65"/>
      <c r="H28" s="65"/>
      <c r="I28" s="65"/>
      <c r="J28" s="65"/>
      <c r="K28" s="65"/>
      <c r="L28" s="127"/>
      <c r="M28" s="93">
        <f t="shared" ref="M28:U28" si="6">SUM(M26:M27)</f>
        <v>47352.204605999985</v>
      </c>
      <c r="N28" s="93">
        <f t="shared" si="6"/>
        <v>33949.400570000013</v>
      </c>
      <c r="O28" s="116">
        <f t="shared" si="6"/>
        <v>32054.349637000014</v>
      </c>
      <c r="P28" s="93">
        <f t="shared" si="6"/>
        <v>63667.582974977013</v>
      </c>
      <c r="Q28" s="93">
        <f t="shared" si="6"/>
        <v>63667.20453447711</v>
      </c>
      <c r="R28" s="93">
        <f t="shared" si="6"/>
        <v>92904.806547576387</v>
      </c>
      <c r="S28" s="93">
        <f t="shared" si="6"/>
        <v>96863.43708915553</v>
      </c>
      <c r="T28" s="93">
        <f t="shared" si="6"/>
        <v>106081.63643234169</v>
      </c>
      <c r="U28" s="93">
        <f t="shared" si="6"/>
        <v>122821.73039920913</v>
      </c>
      <c r="V28" s="118"/>
      <c r="W28" s="19"/>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FBDF7-D95C-4627-9A7E-622B10EBA97A}">
  <sheetPr>
    <tabColor theme="8" tint="-0.249977111117893"/>
  </sheetPr>
  <dimension ref="A1:W15"/>
  <sheetViews>
    <sheetView showGridLines="0" workbookViewId="0">
      <selection activeCell="M24" sqref="M24:N24"/>
    </sheetView>
  </sheetViews>
  <sheetFormatPr defaultRowHeight="12" x14ac:dyDescent="0.3"/>
  <cols>
    <col min="1" max="1" width="2.625" style="6" customWidth="1"/>
    <col min="2" max="6" width="1.625" style="6" customWidth="1"/>
    <col min="7" max="16384" width="9" style="6"/>
  </cols>
  <sheetData>
    <row r="1" spans="1:23" s="3" customFormat="1" x14ac:dyDescent="0.3">
      <c r="A1" s="1" t="str">
        <f ca="1">MID(CELL("filename",A1),FIND("]",CELL("filename",A1))+1,255)</f>
        <v>Proforma CE</v>
      </c>
      <c r="B1" s="2"/>
      <c r="C1" s="2"/>
      <c r="D1" s="2"/>
      <c r="E1" s="2"/>
      <c r="F1" s="2"/>
      <c r="G1" s="2"/>
      <c r="H1" s="2"/>
      <c r="I1" s="2"/>
      <c r="J1" s="2"/>
      <c r="K1" s="2"/>
      <c r="L1" s="2"/>
      <c r="M1" s="2"/>
      <c r="N1" s="2"/>
      <c r="O1" s="2"/>
      <c r="P1" s="2"/>
      <c r="Q1" s="2"/>
      <c r="R1" s="2"/>
      <c r="S1" s="2"/>
      <c r="T1" s="2"/>
      <c r="U1" s="2"/>
    </row>
    <row r="2" spans="1:23" s="3" customFormat="1" x14ac:dyDescent="0.3"/>
    <row r="3" spans="1:23" s="3" customFormat="1" x14ac:dyDescent="0.3">
      <c r="A3" s="4"/>
      <c r="B3" s="5" t="s">
        <v>71</v>
      </c>
      <c r="C3" s="4"/>
      <c r="D3" s="4"/>
      <c r="E3" s="4"/>
      <c r="F3" s="4"/>
      <c r="G3" s="4"/>
      <c r="H3" s="4"/>
      <c r="I3" s="4"/>
      <c r="J3" s="4"/>
      <c r="K3" s="4"/>
      <c r="L3" s="4"/>
      <c r="M3" s="4"/>
      <c r="N3" s="4"/>
      <c r="O3" s="4"/>
      <c r="P3" s="4"/>
      <c r="Q3" s="4"/>
      <c r="R3" s="4"/>
      <c r="S3" s="4"/>
      <c r="T3" s="4"/>
      <c r="U3" s="4"/>
    </row>
    <row r="5" spans="1:23" x14ac:dyDescent="0.3">
      <c r="B5" s="8"/>
      <c r="C5" s="8"/>
      <c r="D5" s="8"/>
      <c r="E5" s="8"/>
      <c r="F5" s="8"/>
      <c r="G5" s="8"/>
      <c r="H5" s="8"/>
      <c r="I5" s="8"/>
      <c r="J5" s="8"/>
      <c r="K5" s="8"/>
      <c r="L5" s="9" t="s">
        <v>1</v>
      </c>
      <c r="M5" s="9" t="s">
        <v>2</v>
      </c>
      <c r="N5" s="9" t="s">
        <v>3</v>
      </c>
      <c r="O5" s="111" t="s">
        <v>4</v>
      </c>
      <c r="P5" s="9" t="s">
        <v>5</v>
      </c>
      <c r="Q5" s="9" t="s">
        <v>6</v>
      </c>
      <c r="R5" s="9" t="s">
        <v>7</v>
      </c>
      <c r="S5" s="9" t="s">
        <v>8</v>
      </c>
      <c r="T5" s="9" t="s">
        <v>9</v>
      </c>
      <c r="U5" s="9" t="s">
        <v>10</v>
      </c>
    </row>
    <row r="6" spans="1:23" s="11" customFormat="1" x14ac:dyDescent="0.3">
      <c r="B6" s="11" t="s">
        <v>111</v>
      </c>
      <c r="L6" s="117"/>
      <c r="M6" s="13">
        <v>214602.505978</v>
      </c>
      <c r="N6" s="13">
        <v>225718.64729699999</v>
      </c>
      <c r="O6" s="12">
        <v>207893.62638500001</v>
      </c>
      <c r="P6" s="13">
        <f>O10</f>
        <v>210950.99450299999</v>
      </c>
      <c r="Q6" s="13">
        <f>O6</f>
        <v>207893.62638500001</v>
      </c>
      <c r="R6" s="13">
        <f>Q10</f>
        <v>226214.11910991641</v>
      </c>
      <c r="S6" s="13">
        <f>R10</f>
        <v>245845.06260016662</v>
      </c>
      <c r="T6" s="13">
        <f t="shared" ref="T6:U6" si="0">S10</f>
        <v>270606.93297112896</v>
      </c>
      <c r="U6" s="13">
        <f t="shared" si="0"/>
        <v>300748.08315859584</v>
      </c>
      <c r="V6" s="113"/>
      <c r="W6" s="14"/>
    </row>
    <row r="7" spans="1:23" s="11" customFormat="1" x14ac:dyDescent="0.3">
      <c r="B7" s="3" t="s">
        <v>112</v>
      </c>
      <c r="L7" s="119"/>
      <c r="M7" s="16">
        <f>'Proforma PL'!M24</f>
        <v>-17269.008508539373</v>
      </c>
      <c r="N7" s="16">
        <f>'Proforma PL'!N24</f>
        <v>-5710.2659402709141</v>
      </c>
      <c r="O7" s="15">
        <f>'Proforma PL'!O24</f>
        <v>1784.2966875962511</v>
      </c>
      <c r="P7" s="16">
        <f>'Proforma PL'!P24</f>
        <v>15263.5030474163</v>
      </c>
      <c r="Q7" s="16">
        <f>'Proforma PL'!Q24</f>
        <v>17047.421294512656</v>
      </c>
      <c r="R7" s="16">
        <f>'Proforma PL'!R24</f>
        <v>19630.943490250218</v>
      </c>
      <c r="S7" s="16">
        <f>'Proforma PL'!S24</f>
        <v>24761.870370962348</v>
      </c>
      <c r="T7" s="16">
        <f>'Proforma PL'!T24</f>
        <v>30141.150187466847</v>
      </c>
      <c r="U7" s="16">
        <f>'Proforma PL'!U24</f>
        <v>37300.580885999712</v>
      </c>
      <c r="V7" s="128"/>
      <c r="W7" s="14"/>
    </row>
    <row r="8" spans="1:23" s="11" customFormat="1" x14ac:dyDescent="0.3">
      <c r="B8" s="3" t="s">
        <v>113</v>
      </c>
      <c r="L8" s="117"/>
      <c r="M8" s="13">
        <v>0</v>
      </c>
      <c r="N8" s="13">
        <v>0</v>
      </c>
      <c r="O8" s="15">
        <v>0</v>
      </c>
      <c r="P8" s="16">
        <v>0</v>
      </c>
      <c r="Q8" s="16">
        <f>O8+P8</f>
        <v>0</v>
      </c>
      <c r="R8" s="16">
        <v>0</v>
      </c>
      <c r="S8" s="16">
        <v>0</v>
      </c>
      <c r="T8" s="16">
        <v>0</v>
      </c>
      <c r="U8" s="16">
        <v>0</v>
      </c>
      <c r="V8" s="128"/>
      <c r="W8" s="14"/>
    </row>
    <row r="9" spans="1:23" s="11" customFormat="1" x14ac:dyDescent="0.3">
      <c r="B9" s="92" t="s">
        <v>114</v>
      </c>
      <c r="C9" s="65"/>
      <c r="D9" s="65"/>
      <c r="E9" s="65"/>
      <c r="F9" s="65"/>
      <c r="G9" s="65"/>
      <c r="H9" s="65"/>
      <c r="I9" s="65"/>
      <c r="J9" s="65"/>
      <c r="K9" s="65"/>
      <c r="L9" s="129"/>
      <c r="M9" s="130">
        <f>-(M6+M7-M10)</f>
        <v>28385.149827539368</v>
      </c>
      <c r="N9" s="130">
        <f>-(N6+N7-N10)</f>
        <v>-12114.754971729068</v>
      </c>
      <c r="O9" s="131">
        <f>-(O6+O7-O10)</f>
        <v>1273.0714304037392</v>
      </c>
      <c r="P9" s="130">
        <f>-'Proforma PL'!$X$26</f>
        <v>0</v>
      </c>
      <c r="Q9" s="130">
        <f>O9+P9</f>
        <v>1273.0714304037392</v>
      </c>
      <c r="R9" s="130">
        <v>0</v>
      </c>
      <c r="S9" s="130">
        <v>0</v>
      </c>
      <c r="T9" s="130">
        <v>0</v>
      </c>
      <c r="U9" s="130">
        <v>0</v>
      </c>
      <c r="V9" s="128"/>
      <c r="W9" s="14"/>
    </row>
    <row r="10" spans="1:23" s="23" customFormat="1" x14ac:dyDescent="0.3">
      <c r="B10" s="65" t="s">
        <v>115</v>
      </c>
      <c r="C10" s="32"/>
      <c r="D10" s="32"/>
      <c r="E10" s="32"/>
      <c r="F10" s="32"/>
      <c r="G10" s="32"/>
      <c r="H10" s="32"/>
      <c r="I10" s="32"/>
      <c r="J10" s="32"/>
      <c r="K10" s="32"/>
      <c r="L10" s="129"/>
      <c r="M10" s="93">
        <v>225718.64729699999</v>
      </c>
      <c r="N10" s="93">
        <v>207893.62638500001</v>
      </c>
      <c r="O10" s="116">
        <v>210950.99450299999</v>
      </c>
      <c r="P10" s="93">
        <f t="shared" ref="P10:U10" si="1">SUM(P6:P9)</f>
        <v>226214.4975504163</v>
      </c>
      <c r="Q10" s="93">
        <f t="shared" si="1"/>
        <v>226214.11910991641</v>
      </c>
      <c r="R10" s="93">
        <f t="shared" si="1"/>
        <v>245845.06260016662</v>
      </c>
      <c r="S10" s="93">
        <f t="shared" si="1"/>
        <v>270606.93297112896</v>
      </c>
      <c r="T10" s="93">
        <f t="shared" si="1"/>
        <v>300748.08315859584</v>
      </c>
      <c r="U10" s="93">
        <f t="shared" si="1"/>
        <v>338048.66404459556</v>
      </c>
    </row>
    <row r="15" spans="1:23" x14ac:dyDescent="0.3">
      <c r="N15" s="19"/>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35A79-948F-46CD-9736-4F17766643A6}">
  <sheetPr>
    <tabColor theme="8" tint="-0.249977111117893"/>
  </sheetPr>
  <dimension ref="A1:AC164"/>
  <sheetViews>
    <sheetView showGridLines="0" topLeftCell="A10" zoomScale="115" zoomScaleNormal="115" workbookViewId="0">
      <selection activeCell="M24" sqref="M24:N24"/>
    </sheetView>
  </sheetViews>
  <sheetFormatPr defaultColWidth="9" defaultRowHeight="12" x14ac:dyDescent="0.3"/>
  <cols>
    <col min="1" max="1" width="2.625" style="6" customWidth="1"/>
    <col min="2" max="6" width="1.625" style="6" customWidth="1"/>
    <col min="7" max="10" width="9" style="6"/>
    <col min="11" max="11" width="9" style="6" customWidth="1"/>
    <col min="12" max="14" width="9" style="6" hidden="1" customWidth="1"/>
    <col min="15" max="15" width="9.25" style="6" customWidth="1"/>
    <col min="16" max="16" width="9" style="6"/>
    <col min="17" max="17" width="9" style="6" customWidth="1"/>
    <col min="18" max="16384" width="9" style="6"/>
  </cols>
  <sheetData>
    <row r="1" spans="1:25" s="3" customFormat="1" x14ac:dyDescent="0.3">
      <c r="A1" s="1" t="str">
        <f ca="1">MID(CELL("filename",A1),FIND("]",CELL("filename",A1))+1,255)</f>
        <v>Proforma PL</v>
      </c>
      <c r="B1" s="2"/>
      <c r="C1" s="2"/>
      <c r="D1" s="2"/>
      <c r="E1" s="2"/>
      <c r="F1" s="2"/>
      <c r="G1" s="2"/>
      <c r="H1" s="2"/>
      <c r="I1" s="2"/>
      <c r="J1" s="2"/>
      <c r="K1" s="2"/>
      <c r="L1" s="2"/>
      <c r="M1" s="2"/>
      <c r="N1" s="2"/>
      <c r="O1" s="2"/>
      <c r="P1" s="2"/>
      <c r="Q1" s="2"/>
      <c r="R1" s="2"/>
      <c r="S1" s="2"/>
      <c r="T1" s="2"/>
      <c r="U1" s="2"/>
    </row>
    <row r="2" spans="1:25" s="3" customFormat="1" x14ac:dyDescent="0.3">
      <c r="O2" s="132"/>
    </row>
    <row r="3" spans="1:25" s="3" customFormat="1" x14ac:dyDescent="0.3">
      <c r="A3" s="4"/>
      <c r="B3" s="5" t="s">
        <v>71</v>
      </c>
      <c r="C3" s="4"/>
      <c r="D3" s="4"/>
      <c r="E3" s="4"/>
      <c r="F3" s="4"/>
      <c r="G3" s="4"/>
      <c r="H3" s="4"/>
      <c r="I3" s="4"/>
      <c r="J3" s="4"/>
      <c r="K3" s="4"/>
      <c r="L3" s="4"/>
      <c r="M3" s="4"/>
      <c r="N3" s="4"/>
      <c r="O3" s="4"/>
      <c r="P3" s="4"/>
      <c r="Q3" s="4"/>
      <c r="R3" s="4"/>
      <c r="S3" s="4"/>
      <c r="T3" s="4"/>
      <c r="U3" s="4"/>
    </row>
    <row r="5" spans="1:25" x14ac:dyDescent="0.3">
      <c r="B5" s="8"/>
      <c r="C5" s="8"/>
      <c r="D5" s="8"/>
      <c r="E5" s="8"/>
      <c r="F5" s="8"/>
      <c r="G5" s="8"/>
      <c r="H5" s="8"/>
      <c r="I5" s="8"/>
      <c r="J5" s="8"/>
      <c r="K5" s="8"/>
      <c r="L5" s="9" t="s">
        <v>1</v>
      </c>
      <c r="M5" s="9" t="s">
        <v>2</v>
      </c>
      <c r="N5" s="9" t="s">
        <v>3</v>
      </c>
      <c r="O5" s="10" t="s">
        <v>4</v>
      </c>
      <c r="P5" s="9" t="s">
        <v>5</v>
      </c>
      <c r="Q5" s="9" t="s">
        <v>6</v>
      </c>
      <c r="R5" s="9" t="s">
        <v>7</v>
      </c>
      <c r="S5" s="9" t="s">
        <v>8</v>
      </c>
      <c r="T5" s="9" t="s">
        <v>9</v>
      </c>
      <c r="U5" s="9" t="s">
        <v>10</v>
      </c>
    </row>
    <row r="6" spans="1:25" s="11" customFormat="1" x14ac:dyDescent="0.3">
      <c r="B6" s="11" t="s">
        <v>11</v>
      </c>
      <c r="L6" s="13">
        <v>452648.36750599998</v>
      </c>
      <c r="M6" s="13">
        <v>440670.04317399999</v>
      </c>
      <c r="N6" s="13">
        <v>424735.37824200001</v>
      </c>
      <c r="O6" s="12">
        <f t="shared" ref="O6:U6" si="0">SUM(O34,O59,O81,O103,O125,O147)</f>
        <v>89716.379084731394</v>
      </c>
      <c r="P6" s="13">
        <f t="shared" si="0"/>
        <v>312170.77605210256</v>
      </c>
      <c r="Q6" s="13">
        <f t="shared" si="0"/>
        <v>401887.15513683402</v>
      </c>
      <c r="R6" s="13">
        <f t="shared" si="0"/>
        <v>384025.10637721978</v>
      </c>
      <c r="S6" s="13">
        <f t="shared" si="0"/>
        <v>433849.87990566273</v>
      </c>
      <c r="T6" s="13">
        <f t="shared" si="0"/>
        <v>483807.53659513569</v>
      </c>
      <c r="U6" s="13">
        <f t="shared" si="0"/>
        <v>535532.0850870295</v>
      </c>
      <c r="W6" s="14"/>
    </row>
    <row r="7" spans="1:25" s="3" customFormat="1" x14ac:dyDescent="0.3">
      <c r="C7" s="3" t="s">
        <v>12</v>
      </c>
      <c r="L7" s="119"/>
      <c r="M7" s="119"/>
      <c r="N7" s="119"/>
      <c r="O7" s="15">
        <f>O35</f>
        <v>32117.6253</v>
      </c>
      <c r="P7" s="16">
        <f t="shared" ref="P7:U7" si="1">P35</f>
        <v>134103.48589778284</v>
      </c>
      <c r="Q7" s="16">
        <f t="shared" si="1"/>
        <v>166221.11119778286</v>
      </c>
      <c r="R7" s="16">
        <f t="shared" si="1"/>
        <v>162076.5052755654</v>
      </c>
      <c r="S7" s="16">
        <f t="shared" si="1"/>
        <v>186135.91226740219</v>
      </c>
      <c r="T7" s="16">
        <f t="shared" si="1"/>
        <v>207378.78167579672</v>
      </c>
      <c r="U7" s="16">
        <f t="shared" si="1"/>
        <v>232356.8175947381</v>
      </c>
      <c r="V7" s="133"/>
      <c r="W7" s="17"/>
    </row>
    <row r="8" spans="1:25" s="3" customFormat="1" x14ac:dyDescent="0.3">
      <c r="C8" s="3" t="s">
        <v>13</v>
      </c>
      <c r="L8" s="119"/>
      <c r="M8" s="119"/>
      <c r="N8" s="119"/>
      <c r="O8" s="15">
        <v>13939.072788328</v>
      </c>
      <c r="P8" s="16">
        <f t="shared" ref="P8:U8" si="2">P59</f>
        <v>52334.223630335378</v>
      </c>
      <c r="Q8" s="16">
        <v>66273.296418663376</v>
      </c>
      <c r="R8" s="16">
        <f t="shared" si="2"/>
        <v>59731.02624433981</v>
      </c>
      <c r="S8" s="16">
        <f t="shared" si="2"/>
        <v>64926.092912396052</v>
      </c>
      <c r="T8" s="16">
        <f t="shared" si="2"/>
        <v>69442.615535731893</v>
      </c>
      <c r="U8" s="16">
        <f t="shared" si="2"/>
        <v>76922.962902153507</v>
      </c>
      <c r="V8" s="133"/>
      <c r="W8" s="17"/>
    </row>
    <row r="9" spans="1:25" s="3" customFormat="1" x14ac:dyDescent="0.3">
      <c r="C9" s="3" t="s">
        <v>14</v>
      </c>
      <c r="L9" s="119"/>
      <c r="M9" s="119"/>
      <c r="N9" s="119"/>
      <c r="O9" s="15">
        <v>13488.451227600997</v>
      </c>
      <c r="P9" s="16">
        <f t="shared" ref="P9:U9" si="3">P81</f>
        <v>48793.040018504325</v>
      </c>
      <c r="Q9" s="16">
        <v>62281.491246105325</v>
      </c>
      <c r="R9" s="16">
        <f t="shared" si="3"/>
        <v>59615.669835615299</v>
      </c>
      <c r="S9" s="16">
        <f t="shared" si="3"/>
        <v>66472.549535427155</v>
      </c>
      <c r="T9" s="16">
        <f t="shared" si="3"/>
        <v>72281.457198912423</v>
      </c>
      <c r="U9" s="16">
        <f t="shared" si="3"/>
        <v>78126.58912295998</v>
      </c>
      <c r="V9" s="133"/>
      <c r="W9" s="17"/>
    </row>
    <row r="10" spans="1:25" s="3" customFormat="1" x14ac:dyDescent="0.3">
      <c r="C10" s="3" t="s">
        <v>15</v>
      </c>
      <c r="L10" s="119"/>
      <c r="M10" s="119"/>
      <c r="N10" s="119"/>
      <c r="O10" s="15">
        <v>14020.1908588024</v>
      </c>
      <c r="P10" s="16">
        <f t="shared" ref="P10:U10" si="4">P103</f>
        <v>36602.449027482406</v>
      </c>
      <c r="Q10" s="16">
        <v>50622.6398862848</v>
      </c>
      <c r="R10" s="16">
        <f t="shared" si="4"/>
        <v>53388.539805503831</v>
      </c>
      <c r="S10" s="16">
        <f t="shared" si="4"/>
        <v>63265.92361202943</v>
      </c>
      <c r="T10" s="16">
        <f t="shared" si="4"/>
        <v>76460.227854483906</v>
      </c>
      <c r="U10" s="16">
        <f t="shared" si="4"/>
        <v>83020.200299313408</v>
      </c>
      <c r="V10" s="133"/>
      <c r="W10" s="17"/>
    </row>
    <row r="11" spans="1:25" s="3" customFormat="1" x14ac:dyDescent="0.3">
      <c r="C11" s="3" t="s">
        <v>16</v>
      </c>
      <c r="L11" s="119"/>
      <c r="M11" s="119"/>
      <c r="N11" s="119"/>
      <c r="O11" s="15">
        <f>O36</f>
        <v>16151.038909999999</v>
      </c>
      <c r="P11" s="16">
        <f t="shared" ref="P11:U11" si="5">P36</f>
        <v>40337.57747799762</v>
      </c>
      <c r="Q11" s="16">
        <f t="shared" si="5"/>
        <v>56488.616387997623</v>
      </c>
      <c r="R11" s="16">
        <f t="shared" si="5"/>
        <v>49213.365216195329</v>
      </c>
      <c r="S11" s="16">
        <f t="shared" si="5"/>
        <v>53049.401578407924</v>
      </c>
      <c r="T11" s="16">
        <f t="shared" si="5"/>
        <v>58244.454330210785</v>
      </c>
      <c r="U11" s="16">
        <f t="shared" si="5"/>
        <v>65105.51516786452</v>
      </c>
      <c r="V11" s="133"/>
      <c r="W11" s="17"/>
    </row>
    <row r="12" spans="1:25" x14ac:dyDescent="0.3">
      <c r="B12" s="6" t="s">
        <v>17</v>
      </c>
      <c r="L12" s="19">
        <v>409694.76710348367</v>
      </c>
      <c r="M12" s="19">
        <v>360581.45657000603</v>
      </c>
      <c r="N12" s="19">
        <v>345731.00268732395</v>
      </c>
      <c r="O12" s="18">
        <f>SUM(O38,O60,O82,O104,O126,O148)</f>
        <v>68482.371076247568</v>
      </c>
      <c r="P12" s="19">
        <f t="shared" ref="P12:U12" si="6">SUM(P38,P60,P82,P104,P126,P148)</f>
        <v>231123.95444469014</v>
      </c>
      <c r="Q12" s="19">
        <f>SUM(Q38,Q60,Q82,Q104,Q126,Q148)+0.378440499999897</f>
        <v>299606.70396143768</v>
      </c>
      <c r="R12" s="19">
        <f t="shared" si="6"/>
        <v>279432.08733203728</v>
      </c>
      <c r="S12" s="19">
        <f t="shared" si="6"/>
        <v>317959.04708066391</v>
      </c>
      <c r="T12" s="19">
        <f t="shared" si="6"/>
        <v>356180.13347561721</v>
      </c>
      <c r="U12" s="19">
        <f t="shared" si="6"/>
        <v>393810.56964087498</v>
      </c>
      <c r="V12" s="133"/>
      <c r="W12" s="19"/>
    </row>
    <row r="13" spans="1:25" s="11" customFormat="1" x14ac:dyDescent="0.3">
      <c r="B13" s="20" t="s">
        <v>18</v>
      </c>
      <c r="C13" s="20"/>
      <c r="D13" s="20"/>
      <c r="E13" s="20"/>
      <c r="F13" s="20"/>
      <c r="G13" s="20"/>
      <c r="H13" s="20"/>
      <c r="I13" s="20"/>
      <c r="J13" s="20"/>
      <c r="K13" s="20"/>
      <c r="L13" s="22">
        <f>L6-L12</f>
        <v>42953.600402516313</v>
      </c>
      <c r="M13" s="22">
        <f>M6-M12</f>
        <v>80088.586603993957</v>
      </c>
      <c r="N13" s="22">
        <f>N6-N12</f>
        <v>79004.375554676051</v>
      </c>
      <c r="O13" s="21">
        <f>O6-O12</f>
        <v>21234.008008483826</v>
      </c>
      <c r="P13" s="22">
        <f>P6-P12</f>
        <v>81046.821607412421</v>
      </c>
      <c r="Q13" s="22">
        <f t="shared" ref="Q13:U13" si="7">Q6-Q12</f>
        <v>102280.45117539633</v>
      </c>
      <c r="R13" s="22">
        <f t="shared" si="7"/>
        <v>104593.0190451825</v>
      </c>
      <c r="S13" s="22">
        <f t="shared" si="7"/>
        <v>115890.83282499883</v>
      </c>
      <c r="T13" s="22">
        <f t="shared" si="7"/>
        <v>127627.40311951848</v>
      </c>
      <c r="U13" s="22">
        <f t="shared" si="7"/>
        <v>141721.51544615452</v>
      </c>
      <c r="V13" s="133"/>
    </row>
    <row r="14" spans="1:25" s="45" customFormat="1" x14ac:dyDescent="0.3">
      <c r="B14" s="26" t="s">
        <v>19</v>
      </c>
      <c r="C14" s="26"/>
      <c r="D14" s="26"/>
      <c r="E14" s="26"/>
      <c r="F14" s="26"/>
      <c r="G14" s="26"/>
      <c r="H14" s="26"/>
      <c r="I14" s="26"/>
      <c r="J14" s="26"/>
      <c r="K14" s="26"/>
      <c r="L14" s="26">
        <f>L13/L6</f>
        <v>9.4893969548994234E-2</v>
      </c>
      <c r="M14" s="26">
        <f>M13/M6</f>
        <v>0.18174275253008457</v>
      </c>
      <c r="N14" s="26">
        <f>N13/N6</f>
        <v>0.18600846456840711</v>
      </c>
      <c r="O14" s="25">
        <f>O13/O6</f>
        <v>0.23667928002789393</v>
      </c>
      <c r="P14" s="26">
        <f t="shared" ref="P14:U14" si="8">P13/P6</f>
        <v>0.25962334665780945</v>
      </c>
      <c r="Q14" s="26">
        <f t="shared" si="8"/>
        <v>0.25450042348472673</v>
      </c>
      <c r="R14" s="26">
        <f t="shared" si="8"/>
        <v>0.27235984655243606</v>
      </c>
      <c r="S14" s="26">
        <f t="shared" si="8"/>
        <v>0.26712196589796999</v>
      </c>
      <c r="T14" s="26">
        <f>T13/T6</f>
        <v>0.26379788131808463</v>
      </c>
      <c r="U14" s="26">
        <f t="shared" si="8"/>
        <v>0.26463683389413223</v>
      </c>
      <c r="V14" s="133"/>
    </row>
    <row r="15" spans="1:25" x14ac:dyDescent="0.3">
      <c r="B15" s="6" t="s">
        <v>20</v>
      </c>
      <c r="L15" s="19">
        <v>100840.94440777207</v>
      </c>
      <c r="M15" s="19">
        <v>96440.797938533331</v>
      </c>
      <c r="N15" s="19">
        <v>80346.347918946965</v>
      </c>
      <c r="O15" s="18">
        <f t="shared" ref="O15:U15" si="9">SUM(O41,O63,O85,O107,O129,O151)</f>
        <v>18313.220758887575</v>
      </c>
      <c r="P15" s="19">
        <f t="shared" si="9"/>
        <v>60236.141953667546</v>
      </c>
      <c r="Q15" s="19">
        <f t="shared" si="9"/>
        <v>78549.362712555099</v>
      </c>
      <c r="R15" s="19">
        <f t="shared" si="9"/>
        <v>79066.552726676862</v>
      </c>
      <c r="S15" s="19">
        <f t="shared" si="9"/>
        <v>83876.936076966536</v>
      </c>
      <c r="T15" s="19">
        <f t="shared" si="9"/>
        <v>88454.287497459751</v>
      </c>
      <c r="U15" s="19">
        <f t="shared" si="9"/>
        <v>93105.563033504557</v>
      </c>
      <c r="V15" s="133"/>
      <c r="W15" s="51"/>
      <c r="Y15" s="134"/>
    </row>
    <row r="16" spans="1:25" s="11" customFormat="1" x14ac:dyDescent="0.3">
      <c r="B16" s="20" t="s">
        <v>21</v>
      </c>
      <c r="C16" s="20"/>
      <c r="D16" s="20"/>
      <c r="E16" s="20"/>
      <c r="F16" s="20"/>
      <c r="G16" s="20"/>
      <c r="H16" s="20"/>
      <c r="I16" s="20"/>
      <c r="J16" s="20"/>
      <c r="K16" s="20"/>
      <c r="L16" s="22">
        <f>L13-L15</f>
        <v>-57887.344005255756</v>
      </c>
      <c r="M16" s="22">
        <f>M13-M15</f>
        <v>-16352.211334539374</v>
      </c>
      <c r="N16" s="22">
        <f>N13-N15</f>
        <v>-1341.9723642709141</v>
      </c>
      <c r="O16" s="21">
        <f>O13-O15</f>
        <v>2920.7872495962511</v>
      </c>
      <c r="P16" s="22">
        <f t="shared" ref="P16:U16" si="10">P13-P15</f>
        <v>20810.679653744875</v>
      </c>
      <c r="Q16" s="22">
        <f t="shared" si="10"/>
        <v>23731.088462841231</v>
      </c>
      <c r="R16" s="22">
        <f t="shared" si="10"/>
        <v>25526.466318505642</v>
      </c>
      <c r="S16" s="22">
        <f t="shared" si="10"/>
        <v>32013.89674803229</v>
      </c>
      <c r="T16" s="22">
        <f t="shared" si="10"/>
        <v>39173.115622058729</v>
      </c>
      <c r="U16" s="22">
        <f t="shared" si="10"/>
        <v>48615.95241264996</v>
      </c>
      <c r="V16" s="133"/>
    </row>
    <row r="17" spans="1:24" s="23" customFormat="1" x14ac:dyDescent="0.3">
      <c r="B17" s="24" t="s">
        <v>22</v>
      </c>
      <c r="C17" s="24"/>
      <c r="D17" s="24"/>
      <c r="E17" s="24"/>
      <c r="F17" s="24"/>
      <c r="G17" s="24"/>
      <c r="H17" s="24"/>
      <c r="I17" s="24"/>
      <c r="J17" s="24"/>
      <c r="K17" s="24"/>
      <c r="L17" s="26">
        <f t="shared" ref="L17:U17" si="11">L16/L$6</f>
        <v>-0.12788590031640498</v>
      </c>
      <c r="M17" s="26">
        <f t="shared" si="11"/>
        <v>-3.7107608261182957E-2</v>
      </c>
      <c r="N17" s="26">
        <f t="shared" si="11"/>
        <v>-3.1595492935516741E-3</v>
      </c>
      <c r="O17" s="25">
        <f t="shared" si="11"/>
        <v>3.2555786127277317E-2</v>
      </c>
      <c r="P17" s="26">
        <f t="shared" si="11"/>
        <v>6.6664406953556368E-2</v>
      </c>
      <c r="Q17" s="26">
        <f t="shared" si="11"/>
        <v>5.9049133965879803E-2</v>
      </c>
      <c r="R17" s="26">
        <f t="shared" si="11"/>
        <v>6.6470826762642779E-2</v>
      </c>
      <c r="S17" s="26">
        <f>S16/S$6</f>
        <v>7.3790263016768526E-2</v>
      </c>
      <c r="T17" s="26">
        <f t="shared" si="11"/>
        <v>8.0968386515317847E-2</v>
      </c>
      <c r="U17" s="26">
        <f t="shared" si="11"/>
        <v>9.0780653048545851E-2</v>
      </c>
      <c r="V17" s="133"/>
    </row>
    <row r="18" spans="1:24" s="23" customFormat="1" x14ac:dyDescent="0.3">
      <c r="A18" s="3"/>
      <c r="B18" s="3" t="s">
        <v>116</v>
      </c>
      <c r="C18" s="3"/>
      <c r="D18" s="3"/>
      <c r="E18" s="3"/>
      <c r="F18" s="3"/>
      <c r="G18" s="3"/>
      <c r="H18" s="3"/>
      <c r="I18" s="3"/>
      <c r="J18" s="3"/>
      <c r="K18" s="3"/>
      <c r="L18" s="16">
        <v>-1319.74449</v>
      </c>
      <c r="M18" s="16">
        <v>222.682737</v>
      </c>
      <c r="N18" s="16">
        <v>-3332.457171</v>
      </c>
      <c r="O18" s="15">
        <v>-1136.490562</v>
      </c>
      <c r="P18" s="16">
        <f>SUM(P19:P21)</f>
        <v>0</v>
      </c>
      <c r="Q18" s="16">
        <f t="shared" ref="Q18" si="12">SUM(Q19:Q21)</f>
        <v>-1136.490562</v>
      </c>
      <c r="R18" s="16">
        <f>SUM(R19:R21)</f>
        <v>0</v>
      </c>
      <c r="S18" s="16">
        <f>SUM(S19:S21)</f>
        <v>0</v>
      </c>
      <c r="T18" s="16">
        <f>SUM(T19:T21)</f>
        <v>0</v>
      </c>
      <c r="U18" s="16">
        <f>SUM(U19:U21)</f>
        <v>0</v>
      </c>
      <c r="V18" s="133"/>
    </row>
    <row r="19" spans="1:24" s="23" customFormat="1" x14ac:dyDescent="0.3">
      <c r="A19" s="3"/>
      <c r="B19" s="3"/>
      <c r="C19" s="3" t="s">
        <v>94</v>
      </c>
      <c r="D19" s="3"/>
      <c r="E19" s="3"/>
      <c r="F19" s="3"/>
      <c r="G19" s="3"/>
      <c r="H19" s="3"/>
      <c r="I19" s="3"/>
      <c r="J19" s="3"/>
      <c r="K19" s="3"/>
      <c r="L19" s="16">
        <v>2286.8083630000001</v>
      </c>
      <c r="M19" s="16">
        <v>2387.6218819999999</v>
      </c>
      <c r="N19" s="16">
        <v>2951.232524</v>
      </c>
      <c r="O19" s="15">
        <v>605.25419999999997</v>
      </c>
      <c r="P19" s="16">
        <v>0</v>
      </c>
      <c r="Q19" s="16">
        <f>O19+P19</f>
        <v>605.25419999999997</v>
      </c>
      <c r="R19" s="16">
        <f t="shared" ref="R19:U21" si="13">SUM(R45,R67,R89,R111,R133,R155)</f>
        <v>0</v>
      </c>
      <c r="S19" s="16">
        <f t="shared" si="13"/>
        <v>0</v>
      </c>
      <c r="T19" s="16">
        <f t="shared" si="13"/>
        <v>0</v>
      </c>
      <c r="U19" s="16">
        <f t="shared" si="13"/>
        <v>0</v>
      </c>
      <c r="V19" s="133"/>
    </row>
    <row r="20" spans="1:24" s="23" customFormat="1" x14ac:dyDescent="0.3">
      <c r="A20" s="3"/>
      <c r="B20" s="3"/>
      <c r="C20" s="3" t="s">
        <v>95</v>
      </c>
      <c r="D20" s="3"/>
      <c r="E20" s="3"/>
      <c r="F20" s="3"/>
      <c r="G20" s="3"/>
      <c r="H20" s="3"/>
      <c r="I20" s="3"/>
      <c r="J20" s="3"/>
      <c r="K20" s="3"/>
      <c r="L20" s="16">
        <v>-4213.3726390000002</v>
      </c>
      <c r="M20" s="16">
        <v>-3903.9999109999999</v>
      </c>
      <c r="N20" s="16">
        <v>-3906.604034</v>
      </c>
      <c r="O20" s="15">
        <v>-893.76005499999997</v>
      </c>
      <c r="P20" s="16">
        <v>0</v>
      </c>
      <c r="Q20" s="16">
        <f>O20+P20</f>
        <v>-893.76005499999997</v>
      </c>
      <c r="R20" s="16">
        <f t="shared" si="13"/>
        <v>0</v>
      </c>
      <c r="S20" s="16">
        <f t="shared" si="13"/>
        <v>0</v>
      </c>
      <c r="T20" s="16">
        <f t="shared" si="13"/>
        <v>0</v>
      </c>
      <c r="U20" s="16">
        <f t="shared" si="13"/>
        <v>0</v>
      </c>
      <c r="V20" s="133"/>
    </row>
    <row r="21" spans="1:24" s="23" customFormat="1" x14ac:dyDescent="0.3">
      <c r="A21" s="3"/>
      <c r="B21" s="100"/>
      <c r="C21" s="100" t="s">
        <v>117</v>
      </c>
      <c r="D21" s="100"/>
      <c r="E21" s="100"/>
      <c r="F21" s="100"/>
      <c r="G21" s="100"/>
      <c r="H21" s="100"/>
      <c r="I21" s="100"/>
      <c r="J21" s="100"/>
      <c r="K21" s="100"/>
      <c r="L21" s="126">
        <f>L18-SUM(L19:L20)</f>
        <v>606.81978600000002</v>
      </c>
      <c r="M21" s="126">
        <f>M18-SUM(M19:M20)</f>
        <v>1739.0607660000001</v>
      </c>
      <c r="N21" s="126">
        <f>N18-SUM(N19:N20)</f>
        <v>-2377.0856610000001</v>
      </c>
      <c r="O21" s="135">
        <f>O18-SUM(O19:O20)</f>
        <v>-847.98470699999996</v>
      </c>
      <c r="P21" s="126">
        <v>0</v>
      </c>
      <c r="Q21" s="126">
        <f>O21+P21</f>
        <v>-847.98470699999996</v>
      </c>
      <c r="R21" s="126">
        <f t="shared" si="13"/>
        <v>0</v>
      </c>
      <c r="S21" s="126">
        <f t="shared" si="13"/>
        <v>0</v>
      </c>
      <c r="T21" s="126">
        <f t="shared" si="13"/>
        <v>0</v>
      </c>
      <c r="U21" s="126">
        <f t="shared" si="13"/>
        <v>0</v>
      </c>
      <c r="V21" s="133"/>
    </row>
    <row r="22" spans="1:24" s="23" customFormat="1" x14ac:dyDescent="0.3">
      <c r="A22" s="3"/>
      <c r="B22" s="11" t="s">
        <v>118</v>
      </c>
      <c r="C22" s="3"/>
      <c r="D22" s="3"/>
      <c r="E22" s="3"/>
      <c r="F22" s="3"/>
      <c r="G22" s="3"/>
      <c r="H22" s="3"/>
      <c r="I22" s="3"/>
      <c r="J22" s="3"/>
      <c r="K22" s="3"/>
      <c r="L22" s="13">
        <f>L16+L18</f>
        <v>-59207.088495255754</v>
      </c>
      <c r="M22" s="13">
        <f>M16+M18</f>
        <v>-16129.528597539374</v>
      </c>
      <c r="N22" s="13">
        <f>N16+N18</f>
        <v>-4674.4295352709141</v>
      </c>
      <c r="O22" s="124">
        <f>O16+O18</f>
        <v>1784.2966875962511</v>
      </c>
      <c r="P22" s="13">
        <f t="shared" ref="P22:U22" si="14">P16+P18</f>
        <v>20810.679653744875</v>
      </c>
      <c r="Q22" s="13">
        <f t="shared" si="14"/>
        <v>22594.597900841232</v>
      </c>
      <c r="R22" s="13">
        <f t="shared" si="14"/>
        <v>25526.466318505642</v>
      </c>
      <c r="S22" s="13">
        <f t="shared" si="14"/>
        <v>32013.89674803229</v>
      </c>
      <c r="T22" s="13">
        <f t="shared" si="14"/>
        <v>39173.115622058729</v>
      </c>
      <c r="U22" s="13">
        <f t="shared" si="14"/>
        <v>48615.95241264996</v>
      </c>
      <c r="V22" s="133"/>
    </row>
    <row r="23" spans="1:24" s="23" customFormat="1" x14ac:dyDescent="0.3">
      <c r="A23" s="3"/>
      <c r="B23" s="100" t="s">
        <v>96</v>
      </c>
      <c r="C23" s="100"/>
      <c r="D23" s="100"/>
      <c r="E23" s="100"/>
      <c r="F23" s="100"/>
      <c r="G23" s="100"/>
      <c r="H23" s="100"/>
      <c r="I23" s="100"/>
      <c r="J23" s="100"/>
      <c r="K23" s="100"/>
      <c r="L23" s="126">
        <v>309.50149599999997</v>
      </c>
      <c r="M23" s="126">
        <v>1139.4799109999999</v>
      </c>
      <c r="N23" s="126">
        <v>1035.836405</v>
      </c>
      <c r="O23" s="135">
        <v>0</v>
      </c>
      <c r="P23" s="126">
        <f>Q23-O23</f>
        <v>5547.176606328575</v>
      </c>
      <c r="Q23" s="126">
        <f>SUM(Q49,Q71,Q93,Q115,Q137,Q159)</f>
        <v>5547.176606328575</v>
      </c>
      <c r="R23" s="126">
        <f>SUM(R49,R71,R93,R115,R137,R159)</f>
        <v>5895.5228282554235</v>
      </c>
      <c r="S23" s="126">
        <f>SUM(S49,S71,S93,S115,S137,S159)</f>
        <v>7252.0263770699412</v>
      </c>
      <c r="T23" s="126">
        <f>SUM(T49,T71,T93,T115,T137,T159)</f>
        <v>9031.9654345918825</v>
      </c>
      <c r="U23" s="126">
        <f>SUM(U49,U71,U93,U115,U137,U159)</f>
        <v>11315.371526650248</v>
      </c>
      <c r="V23" s="133"/>
    </row>
    <row r="24" spans="1:24" s="23" customFormat="1" x14ac:dyDescent="0.3">
      <c r="A24" s="3"/>
      <c r="B24" s="11" t="s">
        <v>90</v>
      </c>
      <c r="C24" s="3"/>
      <c r="D24" s="3"/>
      <c r="E24" s="3"/>
      <c r="F24" s="3"/>
      <c r="G24" s="3"/>
      <c r="H24" s="3"/>
      <c r="I24" s="3"/>
      <c r="J24" s="3"/>
      <c r="K24" s="136"/>
      <c r="L24" s="13">
        <f>L22-L23</f>
        <v>-59516.589991255751</v>
      </c>
      <c r="M24" s="13">
        <f>M22-M23</f>
        <v>-17269.008508539373</v>
      </c>
      <c r="N24" s="13">
        <f>N22-N23</f>
        <v>-5710.2659402709141</v>
      </c>
      <c r="O24" s="124">
        <f>O22</f>
        <v>1784.2966875962511</v>
      </c>
      <c r="P24" s="13">
        <f>P22-P23</f>
        <v>15263.5030474163</v>
      </c>
      <c r="Q24" s="13">
        <f t="shared" ref="Q24:U24" si="15">Q22-Q23</f>
        <v>17047.421294512656</v>
      </c>
      <c r="R24" s="13">
        <f t="shared" si="15"/>
        <v>19630.943490250218</v>
      </c>
      <c r="S24" s="13">
        <f t="shared" si="15"/>
        <v>24761.870370962348</v>
      </c>
      <c r="T24" s="13">
        <f t="shared" si="15"/>
        <v>30141.150187466847</v>
      </c>
      <c r="U24" s="13">
        <f t="shared" si="15"/>
        <v>37300.580885999712</v>
      </c>
      <c r="V24" s="133"/>
    </row>
    <row r="25" spans="1:24" s="141" customFormat="1" x14ac:dyDescent="0.3">
      <c r="A25" s="137"/>
      <c r="B25" s="137" t="s">
        <v>119</v>
      </c>
      <c r="C25" s="137"/>
      <c r="D25" s="137"/>
      <c r="E25" s="137"/>
      <c r="F25" s="137"/>
      <c r="G25" s="137"/>
      <c r="H25" s="137"/>
      <c r="I25" s="137"/>
      <c r="J25" s="137"/>
      <c r="K25" s="137"/>
      <c r="L25" s="138">
        <f>L24/L$6</f>
        <v>-0.13148526375822364</v>
      </c>
      <c r="M25" s="138">
        <f>M24/M$6</f>
        <v>-3.9188070022088267E-2</v>
      </c>
      <c r="N25" s="138">
        <f>N24/N$6</f>
        <v>-1.3444290805032483E-2</v>
      </c>
      <c r="O25" s="139">
        <f>O24/O$6</f>
        <v>1.9888193279747689E-2</v>
      </c>
      <c r="P25" s="138">
        <f>P24/P$6</f>
        <v>4.8894721153746816E-2</v>
      </c>
      <c r="Q25" s="138">
        <f t="shared" ref="Q25:U25" si="16">Q24/Q$6</f>
        <v>4.2418427851241905E-2</v>
      </c>
      <c r="R25" s="138">
        <f t="shared" si="16"/>
        <v>5.1118906457556332E-2</v>
      </c>
      <c r="S25" s="140">
        <f t="shared" si="16"/>
        <v>5.7074742941836523E-2</v>
      </c>
      <c r="T25" s="140">
        <f t="shared" si="16"/>
        <v>6.2299877342939868E-2</v>
      </c>
      <c r="U25" s="140">
        <f t="shared" si="16"/>
        <v>6.9651439987835614E-2</v>
      </c>
      <c r="V25" s="133"/>
    </row>
    <row r="26" spans="1:24" x14ac:dyDescent="0.3">
      <c r="B26" s="27" t="s">
        <v>23</v>
      </c>
      <c r="C26" s="27"/>
      <c r="D26" s="27"/>
      <c r="E26" s="27"/>
      <c r="F26" s="27"/>
      <c r="G26" s="27"/>
      <c r="H26" s="27"/>
      <c r="I26" s="27"/>
      <c r="J26" s="27"/>
      <c r="K26" s="27"/>
      <c r="L26" s="29"/>
      <c r="M26" s="29"/>
      <c r="N26" s="29"/>
      <c r="O26" s="28">
        <f>SUM(O52,O74,O96,O118,O140)+-0.378440499999897</f>
        <v>1114.4191370999999</v>
      </c>
      <c r="P26" s="29">
        <f t="shared" ref="P26:U26" si="17">SUM(P52,P74,P96,P118,P140)</f>
        <v>4387.6363486486989</v>
      </c>
      <c r="Q26" s="29">
        <f>SUM(Q52,Q74,Q96,Q118,Q140)+-0.378440499999897</f>
        <v>5502.0554857486995</v>
      </c>
      <c r="R26" s="29">
        <f t="shared" si="17"/>
        <v>4388.9114303982815</v>
      </c>
      <c r="S26" s="29">
        <f t="shared" si="17"/>
        <v>4406.3455330952484</v>
      </c>
      <c r="T26" s="29">
        <f t="shared" si="17"/>
        <v>4431.8655648404119</v>
      </c>
      <c r="U26" s="29">
        <f t="shared" si="17"/>
        <v>4510.3794523034721</v>
      </c>
      <c r="V26" s="133"/>
      <c r="X26" s="23"/>
    </row>
    <row r="27" spans="1:24" s="11" customFormat="1" x14ac:dyDescent="0.3">
      <c r="B27" s="20" t="s">
        <v>24</v>
      </c>
      <c r="C27" s="20"/>
      <c r="D27" s="20"/>
      <c r="E27" s="20"/>
      <c r="F27" s="20"/>
      <c r="G27" s="20"/>
      <c r="H27" s="20"/>
      <c r="I27" s="20"/>
      <c r="J27" s="20"/>
      <c r="K27" s="20"/>
      <c r="L27" s="22"/>
      <c r="M27" s="22"/>
      <c r="N27" s="22"/>
      <c r="O27" s="30">
        <f t="shared" ref="O27:U27" si="18">O16+O26</f>
        <v>4035.2063866962508</v>
      </c>
      <c r="P27" s="31">
        <f t="shared" si="18"/>
        <v>25198.316002393574</v>
      </c>
      <c r="Q27" s="22">
        <f t="shared" si="18"/>
        <v>29233.143948589932</v>
      </c>
      <c r="R27" s="22">
        <f t="shared" si="18"/>
        <v>29915.377748903924</v>
      </c>
      <c r="S27" s="22">
        <f t="shared" si="18"/>
        <v>36420.242281127539</v>
      </c>
      <c r="T27" s="22">
        <f t="shared" si="18"/>
        <v>43604.981186899138</v>
      </c>
      <c r="U27" s="22">
        <f t="shared" si="18"/>
        <v>53126.331864953434</v>
      </c>
      <c r="V27" s="133"/>
      <c r="X27" s="141"/>
    </row>
    <row r="28" spans="1:24" s="23" customFormat="1" x14ac:dyDescent="0.3">
      <c r="B28" s="32" t="s">
        <v>25</v>
      </c>
      <c r="C28" s="32"/>
      <c r="D28" s="32"/>
      <c r="E28" s="32"/>
      <c r="F28" s="32"/>
      <c r="G28" s="32"/>
      <c r="H28" s="32"/>
      <c r="I28" s="32"/>
      <c r="J28" s="32"/>
      <c r="K28" s="32"/>
      <c r="L28" s="34"/>
      <c r="M28" s="34"/>
      <c r="N28" s="34"/>
      <c r="O28" s="33">
        <f>O27/O$6</f>
        <v>4.4977365647862984E-2</v>
      </c>
      <c r="P28" s="34">
        <f t="shared" ref="P28:U28" si="19">P27/P$6</f>
        <v>8.0719650702306203E-2</v>
      </c>
      <c r="Q28" s="34">
        <f t="shared" si="19"/>
        <v>7.2739682209143189E-2</v>
      </c>
      <c r="R28" s="34">
        <f t="shared" si="19"/>
        <v>7.7899536389994972E-2</v>
      </c>
      <c r="S28" s="34">
        <f t="shared" si="19"/>
        <v>8.3946645989729993E-2</v>
      </c>
      <c r="T28" s="34">
        <f t="shared" si="19"/>
        <v>9.0128776194301125E-2</v>
      </c>
      <c r="U28" s="34">
        <f t="shared" si="19"/>
        <v>9.9202892495824702E-2</v>
      </c>
      <c r="V28" s="133"/>
    </row>
    <row r="29" spans="1:24" s="23" customFormat="1" x14ac:dyDescent="0.3">
      <c r="O29" s="142"/>
      <c r="P29" s="45"/>
      <c r="Q29" s="45"/>
      <c r="R29" s="45"/>
      <c r="S29" s="45"/>
      <c r="T29" s="45"/>
      <c r="U29" s="45"/>
      <c r="W29" s="143"/>
    </row>
    <row r="30" spans="1:24" s="23" customFormat="1" x14ac:dyDescent="0.3">
      <c r="O30" s="142"/>
      <c r="P30" s="45"/>
      <c r="Q30" s="45"/>
      <c r="R30" s="45"/>
      <c r="S30" s="45"/>
      <c r="T30" s="45"/>
      <c r="U30" s="45"/>
    </row>
    <row r="31" spans="1:24" x14ac:dyDescent="0.3">
      <c r="B31" s="5" t="s">
        <v>120</v>
      </c>
      <c r="C31" s="4"/>
      <c r="D31" s="4"/>
      <c r="E31" s="4"/>
      <c r="F31" s="4"/>
      <c r="G31" s="4"/>
      <c r="H31" s="4"/>
      <c r="I31" s="4"/>
      <c r="J31" s="4"/>
      <c r="K31" s="4"/>
      <c r="L31" s="4"/>
      <c r="M31" s="4"/>
      <c r="N31" s="4"/>
      <c r="O31" s="4"/>
      <c r="P31" s="4"/>
      <c r="Q31" s="4"/>
      <c r="R31" s="4"/>
      <c r="S31" s="4"/>
      <c r="T31" s="4"/>
      <c r="U31" s="4"/>
    </row>
    <row r="33" spans="2:29" x14ac:dyDescent="0.3">
      <c r="B33" s="8"/>
      <c r="C33" s="8"/>
      <c r="D33" s="8"/>
      <c r="E33" s="8"/>
      <c r="F33" s="8"/>
      <c r="G33" s="8"/>
      <c r="H33" s="8"/>
      <c r="I33" s="8"/>
      <c r="J33" s="8"/>
      <c r="K33" s="8"/>
      <c r="L33" s="9" t="s">
        <v>1</v>
      </c>
      <c r="M33" s="9" t="s">
        <v>2</v>
      </c>
      <c r="N33" s="9" t="s">
        <v>3</v>
      </c>
      <c r="O33" s="111" t="s">
        <v>4</v>
      </c>
      <c r="P33" s="9" t="s">
        <v>5</v>
      </c>
      <c r="Q33" s="9" t="s">
        <v>6</v>
      </c>
      <c r="R33" s="9" t="s">
        <v>7</v>
      </c>
      <c r="S33" s="9" t="s">
        <v>8</v>
      </c>
      <c r="T33" s="9" t="s">
        <v>9</v>
      </c>
      <c r="U33" s="9" t="s">
        <v>10</v>
      </c>
    </row>
    <row r="34" spans="2:29" x14ac:dyDescent="0.3">
      <c r="B34" s="11" t="s">
        <v>11</v>
      </c>
      <c r="C34" s="11"/>
      <c r="D34" s="11"/>
      <c r="E34" s="11"/>
      <c r="F34" s="11"/>
      <c r="G34" s="11"/>
      <c r="H34" s="11"/>
      <c r="I34" s="11"/>
      <c r="J34" s="11"/>
      <c r="K34" s="11"/>
      <c r="L34" s="13"/>
      <c r="M34" s="13"/>
      <c r="N34" s="13"/>
      <c r="O34" s="12">
        <f>O35+O36+O37</f>
        <v>75922.088577000002</v>
      </c>
      <c r="P34" s="13">
        <f t="shared" ref="P34:U34" si="20">P35+P36+P37</f>
        <v>256926.49891286879</v>
      </c>
      <c r="Q34" s="13">
        <f t="shared" si="20"/>
        <v>332848.58748986875</v>
      </c>
      <c r="R34" s="13">
        <f t="shared" si="20"/>
        <v>313819.47198984504</v>
      </c>
      <c r="S34" s="13">
        <f t="shared" si="20"/>
        <v>352044.1393995852</v>
      </c>
      <c r="T34" s="13">
        <f t="shared" si="20"/>
        <v>388249.08514210011</v>
      </c>
      <c r="U34" s="13">
        <f t="shared" si="20"/>
        <v>431347.15280604432</v>
      </c>
      <c r="V34" s="144"/>
      <c r="X34" s="7"/>
    </row>
    <row r="35" spans="2:29" s="3" customFormat="1" x14ac:dyDescent="0.3">
      <c r="C35" s="3" t="s">
        <v>12</v>
      </c>
      <c r="L35" s="16"/>
      <c r="M35" s="16"/>
      <c r="N35" s="16"/>
      <c r="O35" s="15">
        <f>Revenue_HW!O7</f>
        <v>32117.6253</v>
      </c>
      <c r="P35" s="16">
        <f>Revenue_HW!Y7</f>
        <v>134103.48589778284</v>
      </c>
      <c r="Q35" s="16">
        <f>Revenue_HW!Z7</f>
        <v>166221.11119778286</v>
      </c>
      <c r="R35" s="16">
        <f>Revenue_HW!AA7</f>
        <v>162076.5052755654</v>
      </c>
      <c r="S35" s="16">
        <f>Revenue_HW!AB7</f>
        <v>186135.91226740219</v>
      </c>
      <c r="T35" s="16">
        <f>Revenue_HW!AC7</f>
        <v>207378.78167579672</v>
      </c>
      <c r="U35" s="16">
        <f>Revenue_HW!AD7</f>
        <v>232356.8175947381</v>
      </c>
      <c r="AB35" s="6"/>
    </row>
    <row r="36" spans="2:29" s="3" customFormat="1" x14ac:dyDescent="0.3">
      <c r="C36" s="3" t="s">
        <v>16</v>
      </c>
      <c r="L36" s="16"/>
      <c r="M36" s="16"/>
      <c r="N36" s="16"/>
      <c r="O36" s="15">
        <f>Revenue_HW!O10</f>
        <v>16151.038909999999</v>
      </c>
      <c r="P36" s="16">
        <f>Revenue_HW!Y10</f>
        <v>40337.57747799762</v>
      </c>
      <c r="Q36" s="16">
        <f>Revenue_HW!Z10</f>
        <v>56488.616387997623</v>
      </c>
      <c r="R36" s="16">
        <f>Revenue_HW!AA10</f>
        <v>49213.365216195329</v>
      </c>
      <c r="S36" s="16">
        <f>Revenue_HW!AB10</f>
        <v>53049.401578407924</v>
      </c>
      <c r="T36" s="16">
        <f>Revenue_HW!AC10</f>
        <v>58244.454330210785</v>
      </c>
      <c r="U36" s="16">
        <f>Revenue_HW!AD10</f>
        <v>65105.51516786452</v>
      </c>
      <c r="AC36" s="6"/>
    </row>
    <row r="37" spans="2:29" s="3" customFormat="1" x14ac:dyDescent="0.3">
      <c r="C37" s="3" t="s">
        <v>121</v>
      </c>
      <c r="L37" s="16"/>
      <c r="M37" s="16"/>
      <c r="N37" s="16"/>
      <c r="O37" s="15">
        <f>Revenue_HW!O11</f>
        <v>27653.424367</v>
      </c>
      <c r="P37" s="16">
        <f>Revenue_HW!Y11</f>
        <v>82485.435537088299</v>
      </c>
      <c r="Q37" s="16">
        <f>Revenue_HW!Z11</f>
        <v>110138.85990408828</v>
      </c>
      <c r="R37" s="16">
        <f>Revenue_HW!AA11</f>
        <v>102529.60149808433</v>
      </c>
      <c r="S37" s="16">
        <f>Revenue_HW!AB11</f>
        <v>112858.82555377504</v>
      </c>
      <c r="T37" s="16">
        <f>Revenue_HW!AC11</f>
        <v>122625.8491360926</v>
      </c>
      <c r="U37" s="16">
        <f>Revenue_HW!AD11</f>
        <v>133884.82004344169</v>
      </c>
      <c r="AC37" s="6"/>
    </row>
    <row r="38" spans="2:29" x14ac:dyDescent="0.3">
      <c r="B38" s="6" t="s">
        <v>17</v>
      </c>
      <c r="L38" s="19"/>
      <c r="M38" s="19"/>
      <c r="N38" s="19"/>
      <c r="O38" s="18">
        <f>COGS_HW!O6</f>
        <v>60294.781502187092</v>
      </c>
      <c r="P38" s="19">
        <f>COGS_HW!Y6</f>
        <v>201130.51203719448</v>
      </c>
      <c r="Q38" s="19">
        <f>COGS_HW!Z6</f>
        <v>261425.29353938159</v>
      </c>
      <c r="R38" s="19">
        <f>COGS_HW!AA6</f>
        <v>238001.55847920338</v>
      </c>
      <c r="S38" s="19">
        <f>COGS_HW!AB6</f>
        <v>269199.44874648046</v>
      </c>
      <c r="T38" s="19">
        <f>COGS_HW!AC6</f>
        <v>298232.3206525459</v>
      </c>
      <c r="U38" s="19">
        <f>COGS_HW!AD6</f>
        <v>331122.79634165636</v>
      </c>
      <c r="V38" s="133"/>
      <c r="X38" s="7"/>
    </row>
    <row r="39" spans="2:29" x14ac:dyDescent="0.3">
      <c r="B39" s="20" t="s">
        <v>18</v>
      </c>
      <c r="C39" s="20"/>
      <c r="D39" s="20"/>
      <c r="E39" s="20"/>
      <c r="F39" s="20"/>
      <c r="G39" s="20"/>
      <c r="H39" s="20"/>
      <c r="I39" s="20"/>
      <c r="J39" s="20"/>
      <c r="K39" s="20"/>
      <c r="L39" s="22"/>
      <c r="M39" s="22"/>
      <c r="N39" s="22"/>
      <c r="O39" s="21">
        <f t="shared" ref="O39:U39" si="21">O34-O38</f>
        <v>15627.30707481291</v>
      </c>
      <c r="P39" s="22">
        <f t="shared" si="21"/>
        <v>55795.986875674309</v>
      </c>
      <c r="Q39" s="22">
        <f t="shared" si="21"/>
        <v>71423.293950487161</v>
      </c>
      <c r="R39" s="22">
        <f t="shared" si="21"/>
        <v>75817.913510641665</v>
      </c>
      <c r="S39" s="22">
        <f t="shared" si="21"/>
        <v>82844.690653104743</v>
      </c>
      <c r="T39" s="22">
        <f t="shared" si="21"/>
        <v>90016.764489554218</v>
      </c>
      <c r="U39" s="22">
        <f t="shared" si="21"/>
        <v>100224.35646438797</v>
      </c>
    </row>
    <row r="40" spans="2:29" x14ac:dyDescent="0.3">
      <c r="B40" s="26" t="s">
        <v>19</v>
      </c>
      <c r="C40" s="26"/>
      <c r="D40" s="26"/>
      <c r="E40" s="26"/>
      <c r="F40" s="26"/>
      <c r="G40" s="26"/>
      <c r="H40" s="26"/>
      <c r="I40" s="26"/>
      <c r="J40" s="26"/>
      <c r="K40" s="26"/>
      <c r="L40" s="26"/>
      <c r="M40" s="26"/>
      <c r="N40" s="26"/>
      <c r="O40" s="25">
        <f t="shared" ref="O40:U40" si="22">IFERROR(O39/O$34,)</f>
        <v>0.20583347175655914</v>
      </c>
      <c r="P40" s="26">
        <f t="shared" si="22"/>
        <v>0.21716711632223012</v>
      </c>
      <c r="Q40" s="26">
        <f t="shared" si="22"/>
        <v>0.214581934954617</v>
      </c>
      <c r="R40" s="26">
        <f t="shared" si="22"/>
        <v>0.24159722476715872</v>
      </c>
      <c r="S40" s="26">
        <f t="shared" si="22"/>
        <v>0.23532472602554097</v>
      </c>
      <c r="T40" s="26">
        <f t="shared" si="22"/>
        <v>0.23185312711453746</v>
      </c>
      <c r="U40" s="26">
        <f t="shared" si="22"/>
        <v>0.2323519601610862</v>
      </c>
    </row>
    <row r="41" spans="2:29" x14ac:dyDescent="0.3">
      <c r="B41" s="6" t="s">
        <v>20</v>
      </c>
      <c r="L41" s="19"/>
      <c r="M41" s="19"/>
      <c r="N41" s="19"/>
      <c r="O41" s="18">
        <f>'SG&amp;A_HW'!O6</f>
        <v>11854.107231887574</v>
      </c>
      <c r="P41" s="19">
        <f>'SG&amp;A_HW'!Y6</f>
        <v>39349.783942701251</v>
      </c>
      <c r="Q41" s="19">
        <f>'SG&amp;A_HW'!Z6</f>
        <v>51203.891174588818</v>
      </c>
      <c r="R41" s="19">
        <f>'SG&amp;A_HW'!AA6</f>
        <v>51425.309813150561</v>
      </c>
      <c r="S41" s="19">
        <f>'SG&amp;A_HW'!AB6</f>
        <v>54986.492875570446</v>
      </c>
      <c r="T41" s="19">
        <f>'SG&amp;A_HW'!AC6</f>
        <v>58307.096891749075</v>
      </c>
      <c r="U41" s="19">
        <f>'SG&amp;A_HW'!AD6</f>
        <v>61720.693216472297</v>
      </c>
      <c r="V41" s="133"/>
    </row>
    <row r="42" spans="2:29" x14ac:dyDescent="0.3">
      <c r="B42" s="20" t="s">
        <v>21</v>
      </c>
      <c r="C42" s="20"/>
      <c r="D42" s="20"/>
      <c r="E42" s="20"/>
      <c r="F42" s="20"/>
      <c r="G42" s="20"/>
      <c r="H42" s="20"/>
      <c r="I42" s="20"/>
      <c r="J42" s="20"/>
      <c r="K42" s="20"/>
      <c r="L42" s="22"/>
      <c r="M42" s="22"/>
      <c r="N42" s="22"/>
      <c r="O42" s="21">
        <f t="shared" ref="O42:U42" si="23">O39-O41</f>
        <v>3773.1998429253363</v>
      </c>
      <c r="P42" s="22">
        <f t="shared" si="23"/>
        <v>16446.202932973058</v>
      </c>
      <c r="Q42" s="22">
        <f t="shared" si="23"/>
        <v>20219.402775898343</v>
      </c>
      <c r="R42" s="22">
        <f t="shared" si="23"/>
        <v>24392.603697491104</v>
      </c>
      <c r="S42" s="22">
        <f t="shared" si="23"/>
        <v>27858.197777534297</v>
      </c>
      <c r="T42" s="22">
        <f t="shared" si="23"/>
        <v>31709.667597805143</v>
      </c>
      <c r="U42" s="22">
        <f t="shared" si="23"/>
        <v>38503.663247915669</v>
      </c>
    </row>
    <row r="43" spans="2:29" s="35" customFormat="1" x14ac:dyDescent="0.3">
      <c r="B43" s="24" t="s">
        <v>22</v>
      </c>
      <c r="C43" s="24"/>
      <c r="D43" s="24"/>
      <c r="E43" s="24"/>
      <c r="F43" s="24"/>
      <c r="G43" s="24"/>
      <c r="H43" s="24"/>
      <c r="I43" s="24"/>
      <c r="J43" s="24"/>
      <c r="K43" s="24"/>
      <c r="L43" s="26"/>
      <c r="M43" s="26"/>
      <c r="N43" s="26"/>
      <c r="O43" s="25">
        <f t="shared" ref="O43:U43" si="24">IFERROR(O42/O$34,)</f>
        <v>4.9698314596529652E-2</v>
      </c>
      <c r="P43" s="26">
        <f t="shared" si="24"/>
        <v>6.401131452988211E-2</v>
      </c>
      <c r="Q43" s="26">
        <f t="shared" si="24"/>
        <v>6.0746548237984581E-2</v>
      </c>
      <c r="R43" s="26">
        <f t="shared" si="24"/>
        <v>7.7728139502702465E-2</v>
      </c>
      <c r="S43" s="26">
        <f t="shared" si="24"/>
        <v>7.9132684398742534E-2</v>
      </c>
      <c r="T43" s="26">
        <f t="shared" si="24"/>
        <v>8.1673515305771618E-2</v>
      </c>
      <c r="U43" s="26">
        <f t="shared" si="24"/>
        <v>8.9263747302926744E-2</v>
      </c>
    </row>
    <row r="44" spans="2:29" s="35" customFormat="1" hidden="1" x14ac:dyDescent="0.3">
      <c r="B44" s="3" t="s">
        <v>116</v>
      </c>
      <c r="C44" s="3"/>
      <c r="D44" s="3"/>
      <c r="E44" s="3"/>
      <c r="F44" s="3"/>
      <c r="G44" s="3"/>
      <c r="H44" s="3"/>
      <c r="I44" s="3"/>
      <c r="J44" s="3"/>
      <c r="K44" s="3"/>
      <c r="L44" s="16"/>
      <c r="M44" s="16"/>
      <c r="N44" s="16"/>
      <c r="O44" s="15"/>
      <c r="P44" s="16">
        <f t="shared" ref="P44:U44" si="25">SUM(P45:P47)</f>
        <v>0</v>
      </c>
      <c r="Q44" s="16">
        <f t="shared" si="25"/>
        <v>0</v>
      </c>
      <c r="R44" s="16">
        <f t="shared" si="25"/>
        <v>0</v>
      </c>
      <c r="S44" s="16">
        <f t="shared" si="25"/>
        <v>0</v>
      </c>
      <c r="T44" s="16">
        <f t="shared" si="25"/>
        <v>0</v>
      </c>
      <c r="U44" s="16">
        <f t="shared" si="25"/>
        <v>0</v>
      </c>
    </row>
    <row r="45" spans="2:29" s="35" customFormat="1" hidden="1" x14ac:dyDescent="0.3">
      <c r="B45" s="3"/>
      <c r="C45" s="3" t="s">
        <v>94</v>
      </c>
      <c r="D45" s="3"/>
      <c r="E45" s="3"/>
      <c r="F45" s="3"/>
      <c r="G45" s="3"/>
      <c r="H45" s="3"/>
      <c r="I45" s="3"/>
      <c r="J45" s="3"/>
      <c r="K45" s="3"/>
      <c r="L45" s="16"/>
      <c r="M45" s="16"/>
      <c r="N45" s="16"/>
      <c r="O45" s="15"/>
      <c r="P45" s="16"/>
      <c r="Q45" s="16"/>
      <c r="R45" s="16"/>
      <c r="S45" s="16"/>
      <c r="T45" s="16"/>
      <c r="U45" s="16"/>
    </row>
    <row r="46" spans="2:29" s="35" customFormat="1" hidden="1" x14ac:dyDescent="0.3">
      <c r="B46" s="3"/>
      <c r="C46" s="3" t="s">
        <v>95</v>
      </c>
      <c r="D46" s="3"/>
      <c r="E46" s="3"/>
      <c r="F46" s="3"/>
      <c r="G46" s="3"/>
      <c r="H46" s="3"/>
      <c r="I46" s="3"/>
      <c r="J46" s="3"/>
      <c r="K46" s="3"/>
      <c r="L46" s="16"/>
      <c r="M46" s="16"/>
      <c r="N46" s="16"/>
      <c r="O46" s="15"/>
      <c r="P46" s="16"/>
      <c r="Q46" s="16"/>
      <c r="R46" s="16"/>
      <c r="S46" s="16"/>
      <c r="T46" s="16"/>
      <c r="U46" s="16"/>
    </row>
    <row r="47" spans="2:29" s="35" customFormat="1" hidden="1" x14ac:dyDescent="0.3">
      <c r="B47" s="100"/>
      <c r="C47" s="100" t="s">
        <v>117</v>
      </c>
      <c r="D47" s="100"/>
      <c r="E47" s="100"/>
      <c r="F47" s="100"/>
      <c r="G47" s="100"/>
      <c r="H47" s="100"/>
      <c r="I47" s="100"/>
      <c r="J47" s="100"/>
      <c r="K47" s="100"/>
      <c r="L47" s="126"/>
      <c r="M47" s="126"/>
      <c r="N47" s="126"/>
      <c r="O47" s="135"/>
      <c r="P47" s="126"/>
      <c r="Q47" s="126"/>
      <c r="R47" s="126"/>
      <c r="S47" s="126"/>
      <c r="T47" s="126"/>
      <c r="U47" s="126"/>
    </row>
    <row r="48" spans="2:29" s="35" customFormat="1" x14ac:dyDescent="0.3">
      <c r="B48" s="11" t="s">
        <v>118</v>
      </c>
      <c r="C48" s="3"/>
      <c r="D48" s="3"/>
      <c r="E48" s="3"/>
      <c r="F48" s="3"/>
      <c r="G48" s="3"/>
      <c r="H48" s="3"/>
      <c r="I48" s="3"/>
      <c r="J48" s="3"/>
      <c r="K48" s="3"/>
      <c r="L48" s="16"/>
      <c r="M48" s="16"/>
      <c r="N48" s="16"/>
      <c r="O48" s="15"/>
      <c r="P48" s="13">
        <f t="shared" ref="P48:U48" si="26">P42+P44</f>
        <v>16446.202932973058</v>
      </c>
      <c r="Q48" s="13">
        <f t="shared" si="26"/>
        <v>20219.402775898343</v>
      </c>
      <c r="R48" s="13">
        <f t="shared" si="26"/>
        <v>24392.603697491104</v>
      </c>
      <c r="S48" s="13">
        <f t="shared" si="26"/>
        <v>27858.197777534297</v>
      </c>
      <c r="T48" s="13">
        <f t="shared" si="26"/>
        <v>31709.667597805143</v>
      </c>
      <c r="U48" s="13">
        <f t="shared" si="26"/>
        <v>38503.663247915669</v>
      </c>
    </row>
    <row r="49" spans="2:22" s="35" customFormat="1" x14ac:dyDescent="0.3">
      <c r="B49" s="100" t="s">
        <v>96</v>
      </c>
      <c r="C49" s="100"/>
      <c r="D49" s="100"/>
      <c r="E49" s="100"/>
      <c r="F49" s="100"/>
      <c r="G49" s="100"/>
      <c r="H49" s="100"/>
      <c r="I49" s="100"/>
      <c r="J49" s="100"/>
      <c r="K49" s="100"/>
      <c r="L49" s="126"/>
      <c r="M49" s="126"/>
      <c r="N49" s="126"/>
      <c r="O49" s="135"/>
      <c r="P49" s="126">
        <f>Q49-O49</f>
        <v>4208.6820412325178</v>
      </c>
      <c r="Q49" s="126">
        <f>IF(Q48&lt;0,0,IF(Q48&lt;200,Q48*9%*1.1,IF(Q48&lt;20000,(200*9%*1.1+(Q48-200)*19%*1.1),(200*9%*1.1+(20000-200)*19%*1.1+(Q48-20000)*21%*1.1))))</f>
        <v>4208.6820412325178</v>
      </c>
      <c r="R49" s="126">
        <f>IF(R48&lt;0,0,IF(R48&lt;200,R48*9%*1.1,IF(R48&lt;20000,(200*9%*1.1+(R48-200)*19%*1.1),(200*9%*1.1+(20000-200)*19%*1.1+(R48-20000)*21%*1.1))))</f>
        <v>5172.691454120446</v>
      </c>
      <c r="S49" s="126">
        <f>IF(S48&lt;0,0,IF(S48&lt;200,S48*9%*1.1,IF(S48&lt;20000,(200*9%*1.1+(S48-200)*19%*1.1),(200*9%*1.1+(20000-200)*19%*1.1+(S48-20000)*21%*1.1))))</f>
        <v>5973.2436866104235</v>
      </c>
      <c r="T49" s="126">
        <f>IF(T48&lt;0,0,IF(T48&lt;200,T48*9%*1.1,IF(T48&lt;20000,(200*9%*1.1+(T48-200)*19%*1.1),(200*9%*1.1+(20000-200)*19%*1.1+(T48-20000)*21%*1.1))))</f>
        <v>6862.9332150929895</v>
      </c>
      <c r="U49" s="126">
        <f>IF(U48&lt;0,0,IF(U48&lt;200,U48*9%*1.1,IF(U48&lt;20000,(200*9%*1.1+(U48-200)*19%*1.1),(200*9%*1.1+(20000-200)*19%*1.1+(U48-20000)*21%*1.1))))</f>
        <v>8432.3462102685207</v>
      </c>
    </row>
    <row r="50" spans="2:22" s="35" customFormat="1" x14ac:dyDescent="0.3">
      <c r="B50" s="11" t="s">
        <v>90</v>
      </c>
      <c r="C50" s="3"/>
      <c r="D50" s="3"/>
      <c r="E50" s="3"/>
      <c r="F50" s="3"/>
      <c r="G50" s="3"/>
      <c r="H50" s="3"/>
      <c r="I50" s="3"/>
      <c r="J50" s="3"/>
      <c r="K50" s="3"/>
      <c r="L50" s="16"/>
      <c r="M50" s="16"/>
      <c r="N50" s="16"/>
      <c r="O50" s="15"/>
      <c r="P50" s="13">
        <f t="shared" ref="P50:U50" si="27">P48-P49</f>
        <v>12237.52089174054</v>
      </c>
      <c r="Q50" s="13">
        <f t="shared" si="27"/>
        <v>16010.720734665825</v>
      </c>
      <c r="R50" s="13">
        <f t="shared" si="27"/>
        <v>19219.912243370658</v>
      </c>
      <c r="S50" s="13">
        <f t="shared" si="27"/>
        <v>21884.954090923871</v>
      </c>
      <c r="T50" s="13">
        <f t="shared" si="27"/>
        <v>24846.734382712151</v>
      </c>
      <c r="U50" s="13">
        <f t="shared" si="27"/>
        <v>30071.317037647146</v>
      </c>
    </row>
    <row r="51" spans="2:22" s="35" customFormat="1" x14ac:dyDescent="0.3">
      <c r="B51" s="137" t="s">
        <v>119</v>
      </c>
      <c r="C51" s="137"/>
      <c r="D51" s="137"/>
      <c r="E51" s="137"/>
      <c r="F51" s="137"/>
      <c r="G51" s="137"/>
      <c r="H51" s="137"/>
      <c r="I51" s="137"/>
      <c r="J51" s="137"/>
      <c r="K51" s="137"/>
      <c r="L51" s="140"/>
      <c r="M51" s="140"/>
      <c r="N51" s="138"/>
      <c r="O51" s="139"/>
      <c r="P51" s="138">
        <f t="shared" ref="P51:U51" si="28">P50/P34</f>
        <v>4.7630434943538608E-2</v>
      </c>
      <c r="Q51" s="140">
        <f t="shared" si="28"/>
        <v>4.810211410361824E-2</v>
      </c>
      <c r="R51" s="140">
        <f t="shared" si="28"/>
        <v>6.1245123259886819E-2</v>
      </c>
      <c r="S51" s="140">
        <f t="shared" si="28"/>
        <v>6.2165369740990094E-2</v>
      </c>
      <c r="T51" s="140">
        <f t="shared" si="28"/>
        <v>6.3996891000060396E-2</v>
      </c>
      <c r="U51" s="140">
        <f t="shared" si="28"/>
        <v>6.9714884732689414E-2</v>
      </c>
    </row>
    <row r="52" spans="2:22" x14ac:dyDescent="0.3">
      <c r="B52" s="27" t="s">
        <v>23</v>
      </c>
      <c r="C52" s="27"/>
      <c r="D52" s="27"/>
      <c r="E52" s="27"/>
      <c r="F52" s="27"/>
      <c r="G52" s="27"/>
      <c r="H52" s="27"/>
      <c r="I52" s="27"/>
      <c r="J52" s="27"/>
      <c r="K52" s="27"/>
      <c r="L52" s="29"/>
      <c r="M52" s="29"/>
      <c r="N52" s="29"/>
      <c r="O52" s="28">
        <f>CAPEX_HW!O13</f>
        <v>457.46184899999997</v>
      </c>
      <c r="P52" s="29">
        <f>CAPEX_HW!Y13</f>
        <v>1372.3855469999996</v>
      </c>
      <c r="Q52" s="29">
        <f>CAPEX_HW!Z13</f>
        <v>1829.8473959999997</v>
      </c>
      <c r="R52" s="29">
        <f>CAPEX_HW!AA13</f>
        <v>1859.1249543359997</v>
      </c>
      <c r="S52" s="29">
        <f>CAPEX_HW!AB13</f>
        <v>1896.3074534227198</v>
      </c>
      <c r="T52" s="29">
        <f>CAPEX_HW!AC13</f>
        <v>1928.5446801309058</v>
      </c>
      <c r="U52" s="29">
        <f>CAPEX_HW!AD13</f>
        <v>1963.2584843732623</v>
      </c>
      <c r="V52" s="133"/>
    </row>
    <row r="53" spans="2:22" x14ac:dyDescent="0.3">
      <c r="B53" s="20" t="s">
        <v>24</v>
      </c>
      <c r="C53" s="20"/>
      <c r="D53" s="20"/>
      <c r="E53" s="20"/>
      <c r="F53" s="20"/>
      <c r="G53" s="20"/>
      <c r="H53" s="20"/>
      <c r="I53" s="20"/>
      <c r="J53" s="20"/>
      <c r="K53" s="20"/>
      <c r="L53" s="22"/>
      <c r="M53" s="22"/>
      <c r="N53" s="22"/>
      <c r="O53" s="30">
        <f t="shared" ref="O53:U53" si="29">O42+O52</f>
        <v>4230.6616919253365</v>
      </c>
      <c r="P53" s="31">
        <f t="shared" si="29"/>
        <v>17818.588479973056</v>
      </c>
      <c r="Q53" s="22">
        <f t="shared" si="29"/>
        <v>22049.250171898344</v>
      </c>
      <c r="R53" s="22">
        <f t="shared" si="29"/>
        <v>26251.728651827103</v>
      </c>
      <c r="S53" s="22">
        <f t="shared" si="29"/>
        <v>29754.505230957016</v>
      </c>
      <c r="T53" s="22">
        <f t="shared" si="29"/>
        <v>33638.212277936051</v>
      </c>
      <c r="U53" s="22">
        <f t="shared" si="29"/>
        <v>40466.921732288931</v>
      </c>
    </row>
    <row r="54" spans="2:22" x14ac:dyDescent="0.3">
      <c r="B54" s="32" t="s">
        <v>25</v>
      </c>
      <c r="C54" s="32"/>
      <c r="D54" s="32"/>
      <c r="E54" s="32"/>
      <c r="F54" s="32"/>
      <c r="G54" s="32"/>
      <c r="H54" s="32"/>
      <c r="I54" s="32"/>
      <c r="J54" s="32"/>
      <c r="K54" s="32"/>
      <c r="L54" s="34"/>
      <c r="M54" s="34"/>
      <c r="N54" s="34"/>
      <c r="O54" s="33">
        <f t="shared" ref="O54:U54" si="30">IFERROR(O53/O$34,)</f>
        <v>5.5723726404531264E-2</v>
      </c>
      <c r="P54" s="34">
        <f t="shared" si="30"/>
        <v>6.9352863777651264E-2</v>
      </c>
      <c r="Q54" s="34">
        <f t="shared" si="30"/>
        <v>6.6244085150487464E-2</v>
      </c>
      <c r="R54" s="34">
        <f t="shared" si="30"/>
        <v>8.3652325604182357E-2</v>
      </c>
      <c r="S54" s="34">
        <f t="shared" si="30"/>
        <v>8.4519246028931544E-2</v>
      </c>
      <c r="T54" s="34">
        <f t="shared" si="30"/>
        <v>8.6640802426165106E-2</v>
      </c>
      <c r="U54" s="34">
        <f t="shared" si="30"/>
        <v>9.381520538396812E-2</v>
      </c>
    </row>
    <row r="56" spans="2:22" x14ac:dyDescent="0.3">
      <c r="B56" s="5" t="s">
        <v>122</v>
      </c>
      <c r="C56" s="4"/>
      <c r="D56" s="4"/>
      <c r="E56" s="4"/>
      <c r="F56" s="4"/>
      <c r="G56" s="4"/>
      <c r="H56" s="4"/>
      <c r="I56" s="4"/>
      <c r="J56" s="4"/>
      <c r="K56" s="4"/>
      <c r="L56" s="4"/>
      <c r="M56" s="4"/>
      <c r="N56" s="4"/>
      <c r="O56" s="4"/>
      <c r="P56" s="4"/>
      <c r="Q56" s="4"/>
      <c r="R56" s="4"/>
      <c r="S56" s="4"/>
      <c r="T56" s="4"/>
      <c r="U56" s="4"/>
    </row>
    <row r="58" spans="2:22" x14ac:dyDescent="0.3">
      <c r="B58" s="8"/>
      <c r="C58" s="8"/>
      <c r="D58" s="8"/>
      <c r="E58" s="8"/>
      <c r="F58" s="8"/>
      <c r="G58" s="8"/>
      <c r="H58" s="8"/>
      <c r="I58" s="8"/>
      <c r="J58" s="8"/>
      <c r="K58" s="8"/>
      <c r="L58" s="9" t="s">
        <v>1</v>
      </c>
      <c r="M58" s="9" t="s">
        <v>2</v>
      </c>
      <c r="N58" s="9" t="s">
        <v>3</v>
      </c>
      <c r="O58" s="111" t="s">
        <v>4</v>
      </c>
      <c r="P58" s="9" t="s">
        <v>5</v>
      </c>
      <c r="Q58" s="9" t="s">
        <v>6</v>
      </c>
      <c r="R58" s="9" t="s">
        <v>7</v>
      </c>
      <c r="S58" s="9" t="s">
        <v>8</v>
      </c>
      <c r="T58" s="9" t="s">
        <v>9</v>
      </c>
      <c r="U58" s="9" t="s">
        <v>10</v>
      </c>
    </row>
    <row r="59" spans="2:22" x14ac:dyDescent="0.3">
      <c r="B59" s="11" t="s">
        <v>11</v>
      </c>
      <c r="C59" s="11"/>
      <c r="D59" s="11"/>
      <c r="E59" s="11"/>
      <c r="F59" s="11"/>
      <c r="G59" s="11"/>
      <c r="H59" s="11"/>
      <c r="I59" s="11"/>
      <c r="J59" s="11"/>
      <c r="K59" s="11"/>
      <c r="L59" s="13"/>
      <c r="M59" s="13"/>
      <c r="N59" s="13"/>
      <c r="O59" s="12">
        <f>Projection_미국!O6</f>
        <v>13953.786713328</v>
      </c>
      <c r="P59" s="13">
        <f>Projection_미국!Y6</f>
        <v>52334.223630335378</v>
      </c>
      <c r="Q59" s="13">
        <f>Projection_미국!Z6</f>
        <v>66288.01034366338</v>
      </c>
      <c r="R59" s="13">
        <f>Projection_미국!AA6</f>
        <v>59731.02624433981</v>
      </c>
      <c r="S59" s="13">
        <f>Projection_미국!AB6</f>
        <v>64926.092912396052</v>
      </c>
      <c r="T59" s="13">
        <f>Projection_미국!AC6</f>
        <v>69442.615535731893</v>
      </c>
      <c r="U59" s="13">
        <f>Projection_미국!AD6</f>
        <v>76922.962902153507</v>
      </c>
    </row>
    <row r="60" spans="2:22" x14ac:dyDescent="0.3">
      <c r="B60" s="6" t="s">
        <v>17</v>
      </c>
      <c r="L60" s="19"/>
      <c r="M60" s="19"/>
      <c r="N60" s="19"/>
      <c r="O60" s="18">
        <f>Projection_미국!O7</f>
        <v>10605.122745560488</v>
      </c>
      <c r="P60" s="19">
        <f>Projection_미국!Y7</f>
        <v>41905.984376786218</v>
      </c>
      <c r="Q60" s="19">
        <f>Projection_미국!Z7</f>
        <v>52511.107122346708</v>
      </c>
      <c r="R60" s="19">
        <f>Projection_미국!AA7</f>
        <v>48000.829126445729</v>
      </c>
      <c r="S60" s="19">
        <f>Projection_미국!AB7</f>
        <v>52173.483283722948</v>
      </c>
      <c r="T60" s="19">
        <f>Projection_미국!AC7</f>
        <v>55812.689790735312</v>
      </c>
      <c r="U60" s="19">
        <f>Projection_미국!AD7</f>
        <v>61789.765206033611</v>
      </c>
    </row>
    <row r="61" spans="2:22" x14ac:dyDescent="0.3">
      <c r="B61" s="20" t="s">
        <v>18</v>
      </c>
      <c r="C61" s="20"/>
      <c r="D61" s="20"/>
      <c r="E61" s="20"/>
      <c r="F61" s="20"/>
      <c r="G61" s="20"/>
      <c r="H61" s="20"/>
      <c r="I61" s="20"/>
      <c r="J61" s="20"/>
      <c r="K61" s="20"/>
      <c r="L61" s="22"/>
      <c r="M61" s="22"/>
      <c r="N61" s="22"/>
      <c r="O61" s="21">
        <f t="shared" ref="O61:U61" si="31">O59-O60</f>
        <v>3348.6639677675121</v>
      </c>
      <c r="P61" s="22">
        <f t="shared" si="31"/>
        <v>10428.23925354916</v>
      </c>
      <c r="Q61" s="22">
        <f t="shared" si="31"/>
        <v>13776.903221316672</v>
      </c>
      <c r="R61" s="22">
        <f t="shared" si="31"/>
        <v>11730.19711789408</v>
      </c>
      <c r="S61" s="22">
        <f t="shared" si="31"/>
        <v>12752.609628673104</v>
      </c>
      <c r="T61" s="22">
        <f t="shared" si="31"/>
        <v>13629.925744996581</v>
      </c>
      <c r="U61" s="22">
        <f t="shared" si="31"/>
        <v>15133.197696119896</v>
      </c>
    </row>
    <row r="62" spans="2:22" x14ac:dyDescent="0.3">
      <c r="B62" s="26" t="s">
        <v>19</v>
      </c>
      <c r="C62" s="26"/>
      <c r="D62" s="26"/>
      <c r="E62" s="26"/>
      <c r="F62" s="26"/>
      <c r="G62" s="26"/>
      <c r="H62" s="26"/>
      <c r="I62" s="26"/>
      <c r="J62" s="26"/>
      <c r="K62" s="26"/>
      <c r="L62" s="26"/>
      <c r="M62" s="26"/>
      <c r="N62" s="26"/>
      <c r="O62" s="25">
        <f t="shared" ref="O62:U62" si="32">IFERROR(O61/O$59,)</f>
        <v>0.23998245326259904</v>
      </c>
      <c r="P62" s="26">
        <f t="shared" si="32"/>
        <v>0.19926232836106242</v>
      </c>
      <c r="Q62" s="26">
        <f t="shared" si="32"/>
        <v>0.20783401326863987</v>
      </c>
      <c r="R62" s="26">
        <f t="shared" si="32"/>
        <v>0.196383652775523</v>
      </c>
      <c r="S62" s="26">
        <f t="shared" si="32"/>
        <v>0.19641732709651938</v>
      </c>
      <c r="T62" s="26">
        <f t="shared" si="32"/>
        <v>0.19627609991134715</v>
      </c>
      <c r="U62" s="26">
        <f t="shared" si="32"/>
        <v>0.19673186165968956</v>
      </c>
    </row>
    <row r="63" spans="2:22" x14ac:dyDescent="0.3">
      <c r="B63" s="6" t="s">
        <v>20</v>
      </c>
      <c r="L63" s="19"/>
      <c r="M63" s="19"/>
      <c r="N63" s="19"/>
      <c r="O63" s="18">
        <f>Projection_미국!O10</f>
        <v>2235.3252950000001</v>
      </c>
      <c r="P63" s="19">
        <f>Projection_미국!Y10</f>
        <v>7490.7322069142247</v>
      </c>
      <c r="Q63" s="19">
        <f>Projection_미국!Z10</f>
        <v>9726.057501914227</v>
      </c>
      <c r="R63" s="19">
        <f>Projection_미국!AA10</f>
        <v>9896.5172026808905</v>
      </c>
      <c r="S63" s="19">
        <f>Projection_미국!AB10</f>
        <v>10285.701689146033</v>
      </c>
      <c r="T63" s="19">
        <f>Projection_미국!AC10</f>
        <v>10692.279620059278</v>
      </c>
      <c r="U63" s="19">
        <f>Projection_미국!AD10</f>
        <v>11166.186312562717</v>
      </c>
    </row>
    <row r="64" spans="2:22" x14ac:dyDescent="0.3">
      <c r="B64" s="20" t="s">
        <v>21</v>
      </c>
      <c r="C64" s="20"/>
      <c r="D64" s="20"/>
      <c r="E64" s="20"/>
      <c r="F64" s="20"/>
      <c r="G64" s="20"/>
      <c r="H64" s="20"/>
      <c r="I64" s="20"/>
      <c r="J64" s="20"/>
      <c r="K64" s="20"/>
      <c r="L64" s="22"/>
      <c r="M64" s="22"/>
      <c r="N64" s="22"/>
      <c r="O64" s="21">
        <f t="shared" ref="O64:U64" si="33">O61-O63</f>
        <v>1113.338672767512</v>
      </c>
      <c r="P64" s="22">
        <f t="shared" si="33"/>
        <v>2937.5070466349353</v>
      </c>
      <c r="Q64" s="22">
        <f t="shared" si="33"/>
        <v>4050.845719402445</v>
      </c>
      <c r="R64" s="22">
        <f t="shared" si="33"/>
        <v>1833.6799152131898</v>
      </c>
      <c r="S64" s="22">
        <f t="shared" si="33"/>
        <v>2466.907939527071</v>
      </c>
      <c r="T64" s="22">
        <f t="shared" si="33"/>
        <v>2937.6461249373024</v>
      </c>
      <c r="U64" s="22">
        <f t="shared" si="33"/>
        <v>3967.0113835571792</v>
      </c>
    </row>
    <row r="65" spans="2:22" x14ac:dyDescent="0.3">
      <c r="B65" s="24" t="s">
        <v>22</v>
      </c>
      <c r="C65" s="24"/>
      <c r="D65" s="24"/>
      <c r="E65" s="24"/>
      <c r="F65" s="24"/>
      <c r="G65" s="24"/>
      <c r="H65" s="24"/>
      <c r="I65" s="24"/>
      <c r="J65" s="24"/>
      <c r="K65" s="24"/>
      <c r="L65" s="26"/>
      <c r="M65" s="26"/>
      <c r="N65" s="26"/>
      <c r="O65" s="25">
        <f t="shared" ref="O65:U65" si="34">IFERROR(O64/O$59,)</f>
        <v>7.978756560067693E-2</v>
      </c>
      <c r="P65" s="26">
        <f t="shared" si="34"/>
        <v>5.6129753015619746E-2</v>
      </c>
      <c r="Q65" s="26">
        <f t="shared" si="34"/>
        <v>6.1109779859151774E-2</v>
      </c>
      <c r="R65" s="26">
        <f t="shared" si="34"/>
        <v>3.0698952127696813E-2</v>
      </c>
      <c r="S65" s="26">
        <f t="shared" si="34"/>
        <v>3.7995632092872711E-2</v>
      </c>
      <c r="T65" s="26">
        <f t="shared" si="34"/>
        <v>4.2303218308730441E-2</v>
      </c>
      <c r="U65" s="26">
        <f t="shared" si="34"/>
        <v>5.1571224428825536E-2</v>
      </c>
    </row>
    <row r="66" spans="2:22" hidden="1" x14ac:dyDescent="0.3">
      <c r="B66" s="3" t="s">
        <v>116</v>
      </c>
      <c r="C66" s="3"/>
      <c r="D66" s="3"/>
      <c r="E66" s="3"/>
      <c r="F66" s="3"/>
      <c r="G66" s="3"/>
      <c r="H66" s="3"/>
      <c r="I66" s="3"/>
      <c r="J66" s="3"/>
      <c r="K66" s="3"/>
      <c r="L66" s="16"/>
      <c r="M66" s="16"/>
      <c r="N66" s="16"/>
      <c r="O66" s="15"/>
      <c r="P66" s="16">
        <f t="shared" ref="P66:U66" si="35">SUM(P67:P69)</f>
        <v>0</v>
      </c>
      <c r="Q66" s="16">
        <f t="shared" si="35"/>
        <v>0</v>
      </c>
      <c r="R66" s="16">
        <f t="shared" si="35"/>
        <v>0</v>
      </c>
      <c r="S66" s="16">
        <f t="shared" si="35"/>
        <v>0</v>
      </c>
      <c r="T66" s="16">
        <f t="shared" si="35"/>
        <v>0</v>
      </c>
      <c r="U66" s="16">
        <f t="shared" si="35"/>
        <v>0</v>
      </c>
    </row>
    <row r="67" spans="2:22" hidden="1" x14ac:dyDescent="0.3">
      <c r="B67" s="3"/>
      <c r="C67" s="3" t="s">
        <v>94</v>
      </c>
      <c r="D67" s="3"/>
      <c r="E67" s="3"/>
      <c r="F67" s="3"/>
      <c r="G67" s="3"/>
      <c r="H67" s="3"/>
      <c r="I67" s="3"/>
      <c r="J67" s="3"/>
      <c r="K67" s="3"/>
      <c r="L67" s="16"/>
      <c r="M67" s="16"/>
      <c r="N67" s="16"/>
      <c r="O67" s="15"/>
      <c r="P67" s="16"/>
      <c r="Q67" s="16"/>
      <c r="R67" s="16"/>
      <c r="S67" s="16"/>
      <c r="T67" s="16"/>
      <c r="U67" s="16"/>
    </row>
    <row r="68" spans="2:22" hidden="1" x14ac:dyDescent="0.3">
      <c r="B68" s="3"/>
      <c r="C68" s="3" t="s">
        <v>95</v>
      </c>
      <c r="D68" s="3"/>
      <c r="E68" s="3"/>
      <c r="F68" s="3"/>
      <c r="G68" s="3"/>
      <c r="H68" s="3"/>
      <c r="I68" s="3"/>
      <c r="J68" s="3"/>
      <c r="K68" s="3"/>
      <c r="L68" s="16"/>
      <c r="M68" s="16"/>
      <c r="N68" s="16"/>
      <c r="O68" s="15"/>
      <c r="P68" s="16"/>
      <c r="Q68" s="16"/>
      <c r="R68" s="16"/>
      <c r="S68" s="16"/>
      <c r="T68" s="16"/>
      <c r="U68" s="16"/>
    </row>
    <row r="69" spans="2:22" hidden="1" x14ac:dyDescent="0.3">
      <c r="B69" s="100"/>
      <c r="C69" s="100" t="s">
        <v>117</v>
      </c>
      <c r="D69" s="100"/>
      <c r="E69" s="100"/>
      <c r="F69" s="100"/>
      <c r="G69" s="100"/>
      <c r="H69" s="100"/>
      <c r="I69" s="100"/>
      <c r="J69" s="100"/>
      <c r="K69" s="100"/>
      <c r="L69" s="126"/>
      <c r="M69" s="126"/>
      <c r="N69" s="126"/>
      <c r="O69" s="135"/>
      <c r="P69" s="126"/>
      <c r="Q69" s="126"/>
      <c r="R69" s="126"/>
      <c r="S69" s="126"/>
      <c r="T69" s="126"/>
      <c r="U69" s="126"/>
    </row>
    <row r="70" spans="2:22" x14ac:dyDescent="0.3">
      <c r="B70" s="11" t="s">
        <v>118</v>
      </c>
      <c r="C70" s="3"/>
      <c r="D70" s="3"/>
      <c r="E70" s="3"/>
      <c r="F70" s="3"/>
      <c r="G70" s="3"/>
      <c r="H70" s="3"/>
      <c r="I70" s="3"/>
      <c r="J70" s="3"/>
      <c r="K70" s="3"/>
      <c r="L70" s="16"/>
      <c r="M70" s="16"/>
      <c r="N70" s="16"/>
      <c r="O70" s="15"/>
      <c r="P70" s="13">
        <f t="shared" ref="P70:U70" si="36">P64+P66</f>
        <v>2937.5070466349353</v>
      </c>
      <c r="Q70" s="13">
        <f t="shared" si="36"/>
        <v>4050.845719402445</v>
      </c>
      <c r="R70" s="13">
        <f t="shared" si="36"/>
        <v>1833.6799152131898</v>
      </c>
      <c r="S70" s="13">
        <f t="shared" si="36"/>
        <v>2466.907939527071</v>
      </c>
      <c r="T70" s="13">
        <f t="shared" si="36"/>
        <v>2937.6461249373024</v>
      </c>
      <c r="U70" s="13">
        <f t="shared" si="36"/>
        <v>3967.0113835571792</v>
      </c>
    </row>
    <row r="71" spans="2:22" x14ac:dyDescent="0.3">
      <c r="B71" s="100" t="s">
        <v>96</v>
      </c>
      <c r="C71" s="100"/>
      <c r="D71" s="100"/>
      <c r="E71" s="100"/>
      <c r="F71" s="100"/>
      <c r="G71" s="100"/>
      <c r="H71" s="100"/>
      <c r="I71" s="100"/>
      <c r="J71" s="100"/>
      <c r="K71" s="100"/>
      <c r="L71" s="126"/>
      <c r="M71" s="126"/>
      <c r="N71" s="126"/>
      <c r="O71" s="135"/>
      <c r="P71" s="126">
        <f>Q71-O71</f>
        <v>1138.2876471520872</v>
      </c>
      <c r="Q71" s="126">
        <v>1138.2876471520872</v>
      </c>
      <c r="R71" s="126">
        <v>515.26405617490639</v>
      </c>
      <c r="S71" s="126">
        <v>693.20113100710705</v>
      </c>
      <c r="T71" s="126">
        <v>825.47856110738201</v>
      </c>
      <c r="U71" s="126">
        <v>1114.7301987795674</v>
      </c>
    </row>
    <row r="72" spans="2:22" x14ac:dyDescent="0.3">
      <c r="B72" s="11" t="s">
        <v>90</v>
      </c>
      <c r="C72" s="3"/>
      <c r="D72" s="3"/>
      <c r="E72" s="3"/>
      <c r="F72" s="3"/>
      <c r="G72" s="3"/>
      <c r="H72" s="3"/>
      <c r="I72" s="3"/>
      <c r="J72" s="3"/>
      <c r="K72" s="3"/>
      <c r="L72" s="16"/>
      <c r="M72" s="16"/>
      <c r="N72" s="16"/>
      <c r="O72" s="15"/>
      <c r="P72" s="13">
        <f t="shared" ref="P72:U72" si="37">P70-P71</f>
        <v>1799.2193994828481</v>
      </c>
      <c r="Q72" s="13">
        <f t="shared" si="37"/>
        <v>2912.5580722503578</v>
      </c>
      <c r="R72" s="13">
        <f t="shared" si="37"/>
        <v>1318.4158590382835</v>
      </c>
      <c r="S72" s="13">
        <f t="shared" si="37"/>
        <v>1773.7068085199639</v>
      </c>
      <c r="T72" s="13">
        <f t="shared" si="37"/>
        <v>2112.1675638299203</v>
      </c>
      <c r="U72" s="13">
        <f t="shared" si="37"/>
        <v>2852.281184777612</v>
      </c>
    </row>
    <row r="73" spans="2:22" x14ac:dyDescent="0.3">
      <c r="B73" s="137" t="s">
        <v>119</v>
      </c>
      <c r="C73" s="137"/>
      <c r="D73" s="137"/>
      <c r="E73" s="137"/>
      <c r="F73" s="137"/>
      <c r="G73" s="137"/>
      <c r="H73" s="137"/>
      <c r="I73" s="137"/>
      <c r="J73" s="137"/>
      <c r="K73" s="137"/>
      <c r="L73" s="140"/>
      <c r="M73" s="140"/>
      <c r="N73" s="140"/>
      <c r="O73" s="145"/>
      <c r="P73" s="140">
        <f t="shared" ref="P73:U73" si="38">IFERROR(P72/P$59,)</f>
        <v>3.4379403661200694E-2</v>
      </c>
      <c r="Q73" s="140">
        <f t="shared" si="38"/>
        <v>4.3937931718730124E-2</v>
      </c>
      <c r="R73" s="140">
        <f t="shared" si="38"/>
        <v>2.2072546579814011E-2</v>
      </c>
      <c r="S73" s="140">
        <f t="shared" si="38"/>
        <v>2.731885947477548E-2</v>
      </c>
      <c r="T73" s="140">
        <f t="shared" si="38"/>
        <v>3.0416013963977185E-2</v>
      </c>
      <c r="U73" s="140">
        <f t="shared" si="38"/>
        <v>3.7079710364325558E-2</v>
      </c>
    </row>
    <row r="74" spans="2:22" x14ac:dyDescent="0.3">
      <c r="B74" s="27" t="s">
        <v>23</v>
      </c>
      <c r="C74" s="27"/>
      <c r="D74" s="27"/>
      <c r="E74" s="27"/>
      <c r="F74" s="27"/>
      <c r="G74" s="27"/>
      <c r="H74" s="27"/>
      <c r="I74" s="27"/>
      <c r="J74" s="27"/>
      <c r="K74" s="27"/>
      <c r="L74" s="29"/>
      <c r="M74" s="29"/>
      <c r="N74" s="29"/>
      <c r="O74" s="28">
        <f>Projection_미국!O13</f>
        <v>282.80612200000002</v>
      </c>
      <c r="P74" s="29">
        <f>Projection_미국!Y13</f>
        <v>895.232206914225</v>
      </c>
      <c r="Q74" s="29">
        <f>Projection_미국!Z13</f>
        <v>1178.0383289142251</v>
      </c>
      <c r="R74" s="29">
        <f>Projection_미국!AA13</f>
        <v>1189.5051509390667</v>
      </c>
      <c r="S74" s="29">
        <f>Projection_미국!AB13</f>
        <v>1172.4708965469558</v>
      </c>
      <c r="T74" s="29">
        <f>Projection_미국!AC13</f>
        <v>1181.3922032496102</v>
      </c>
      <c r="U74" s="29">
        <f>Projection_미국!AD13</f>
        <v>1201.6200969591571</v>
      </c>
      <c r="V74" s="133"/>
    </row>
    <row r="75" spans="2:22" x14ac:dyDescent="0.3">
      <c r="B75" s="20" t="s">
        <v>24</v>
      </c>
      <c r="C75" s="20"/>
      <c r="D75" s="20"/>
      <c r="E75" s="20"/>
      <c r="F75" s="20"/>
      <c r="G75" s="20"/>
      <c r="H75" s="20"/>
      <c r="I75" s="20"/>
      <c r="J75" s="20"/>
      <c r="K75" s="20"/>
      <c r="L75" s="22"/>
      <c r="M75" s="22"/>
      <c r="N75" s="22"/>
      <c r="O75" s="30">
        <f t="shared" ref="O75:U75" si="39">O64+O74</f>
        <v>1396.1447947675119</v>
      </c>
      <c r="P75" s="31">
        <f t="shared" si="39"/>
        <v>3832.7392535491604</v>
      </c>
      <c r="Q75" s="22">
        <f t="shared" si="39"/>
        <v>5228.8840483166696</v>
      </c>
      <c r="R75" s="22">
        <f t="shared" si="39"/>
        <v>3023.1850661522567</v>
      </c>
      <c r="S75" s="22">
        <f t="shared" si="39"/>
        <v>3639.3788360740268</v>
      </c>
      <c r="T75" s="22">
        <f t="shared" si="39"/>
        <v>4119.0383281869126</v>
      </c>
      <c r="U75" s="22">
        <f t="shared" si="39"/>
        <v>5168.6314805163365</v>
      </c>
      <c r="V75" s="146"/>
    </row>
    <row r="76" spans="2:22" x14ac:dyDescent="0.3">
      <c r="B76" s="32" t="s">
        <v>25</v>
      </c>
      <c r="C76" s="32"/>
      <c r="D76" s="32"/>
      <c r="E76" s="32"/>
      <c r="F76" s="32"/>
      <c r="G76" s="32"/>
      <c r="H76" s="32"/>
      <c r="I76" s="32"/>
      <c r="J76" s="32"/>
      <c r="K76" s="32"/>
      <c r="L76" s="34"/>
      <c r="M76" s="34"/>
      <c r="N76" s="34"/>
      <c r="O76" s="33">
        <f t="shared" ref="O76:U76" si="40">IFERROR(O75/O$59,)</f>
        <v>0.10005490433890467</v>
      </c>
      <c r="P76" s="34">
        <f t="shared" si="40"/>
        <v>7.3235809909436095E-2</v>
      </c>
      <c r="Q76" s="34">
        <f t="shared" si="40"/>
        <v>7.8881294237193991E-2</v>
      </c>
      <c r="R76" s="34">
        <f t="shared" si="40"/>
        <v>5.0613311979362446E-2</v>
      </c>
      <c r="S76" s="34">
        <f t="shared" si="40"/>
        <v>5.605417903376065E-2</v>
      </c>
      <c r="T76" s="34">
        <f t="shared" si="40"/>
        <v>5.9315714081469899E-2</v>
      </c>
      <c r="U76" s="34">
        <f t="shared" si="40"/>
        <v>6.7192308843990689E-2</v>
      </c>
    </row>
    <row r="78" spans="2:22" x14ac:dyDescent="0.3">
      <c r="B78" s="5" t="s">
        <v>123</v>
      </c>
      <c r="C78" s="4"/>
      <c r="D78" s="4"/>
      <c r="E78" s="4"/>
      <c r="F78" s="4"/>
      <c r="G78" s="4"/>
      <c r="H78" s="4"/>
      <c r="I78" s="4"/>
      <c r="J78" s="4"/>
      <c r="K78" s="4"/>
      <c r="L78" s="4"/>
      <c r="M78" s="4"/>
      <c r="N78" s="4"/>
      <c r="O78" s="4"/>
      <c r="P78" s="4"/>
      <c r="Q78" s="4"/>
      <c r="R78" s="4"/>
      <c r="S78" s="4"/>
      <c r="T78" s="4"/>
      <c r="U78" s="4"/>
    </row>
    <row r="80" spans="2:22" x14ac:dyDescent="0.3">
      <c r="B80" s="8"/>
      <c r="C80" s="8"/>
      <c r="D80" s="8"/>
      <c r="E80" s="8"/>
      <c r="F80" s="8"/>
      <c r="G80" s="8"/>
      <c r="H80" s="8"/>
      <c r="I80" s="8"/>
      <c r="J80" s="8"/>
      <c r="K80" s="8"/>
      <c r="L80" s="9" t="s">
        <v>1</v>
      </c>
      <c r="M80" s="9" t="s">
        <v>2</v>
      </c>
      <c r="N80" s="9" t="s">
        <v>3</v>
      </c>
      <c r="O80" s="111" t="s">
        <v>4</v>
      </c>
      <c r="P80" s="9" t="s">
        <v>5</v>
      </c>
      <c r="Q80" s="9" t="s">
        <v>6</v>
      </c>
      <c r="R80" s="9" t="s">
        <v>7</v>
      </c>
      <c r="S80" s="9" t="s">
        <v>8</v>
      </c>
      <c r="T80" s="9" t="s">
        <v>9</v>
      </c>
      <c r="U80" s="9" t="s">
        <v>10</v>
      </c>
    </row>
    <row r="81" spans="2:22" x14ac:dyDescent="0.3">
      <c r="B81" s="11" t="s">
        <v>11</v>
      </c>
      <c r="C81" s="11"/>
      <c r="D81" s="11"/>
      <c r="E81" s="11"/>
      <c r="F81" s="11"/>
      <c r="G81" s="11"/>
      <c r="H81" s="11"/>
      <c r="I81" s="11"/>
      <c r="J81" s="11"/>
      <c r="K81" s="11"/>
      <c r="L81" s="13"/>
      <c r="M81" s="13"/>
      <c r="N81" s="13"/>
      <c r="O81" s="12">
        <f>Projection_유럽!O6</f>
        <v>13509.220899600998</v>
      </c>
      <c r="P81" s="13">
        <f>Projection_유럽!Y6</f>
        <v>48793.040018504325</v>
      </c>
      <c r="Q81" s="13">
        <f>Projection_유럽!Z6</f>
        <v>62302.260918105327</v>
      </c>
      <c r="R81" s="13">
        <f>Projection_유럽!AA6</f>
        <v>59615.669835615299</v>
      </c>
      <c r="S81" s="13">
        <f>Projection_유럽!AB6</f>
        <v>66472.549535427155</v>
      </c>
      <c r="T81" s="13">
        <f>Projection_유럽!AC6</f>
        <v>72281.457198912423</v>
      </c>
      <c r="U81" s="13">
        <f>Projection_유럽!AD6</f>
        <v>78126.58912295998</v>
      </c>
    </row>
    <row r="82" spans="2:22" x14ac:dyDescent="0.3">
      <c r="B82" s="6" t="s">
        <v>17</v>
      </c>
      <c r="L82" s="19"/>
      <c r="M82" s="19"/>
      <c r="N82" s="19"/>
      <c r="O82" s="18">
        <f>Projection_유럽!O7</f>
        <v>11220.599908</v>
      </c>
      <c r="P82" s="19">
        <f>Projection_유럽!Y7</f>
        <v>42356.998227812837</v>
      </c>
      <c r="Q82" s="19">
        <f>Projection_유럽!Z7</f>
        <v>53577.598135812841</v>
      </c>
      <c r="R82" s="19">
        <f>Projection_유럽!AA7</f>
        <v>52494.47107528826</v>
      </c>
      <c r="S82" s="19">
        <f>Projection_유럽!AB7</f>
        <v>58529.708904604413</v>
      </c>
      <c r="T82" s="19">
        <f>Projection_유럽!AC7</f>
        <v>63638.29939570673</v>
      </c>
      <c r="U82" s="19">
        <f>Projection_유럽!AD7</f>
        <v>68777.064664945152</v>
      </c>
    </row>
    <row r="83" spans="2:22" x14ac:dyDescent="0.3">
      <c r="B83" s="20" t="s">
        <v>18</v>
      </c>
      <c r="C83" s="20"/>
      <c r="D83" s="20"/>
      <c r="E83" s="20"/>
      <c r="F83" s="20"/>
      <c r="G83" s="20"/>
      <c r="H83" s="20"/>
      <c r="I83" s="20"/>
      <c r="J83" s="20"/>
      <c r="K83" s="20"/>
      <c r="L83" s="22"/>
      <c r="M83" s="22"/>
      <c r="N83" s="22"/>
      <c r="O83" s="21">
        <f t="shared" ref="O83:U83" si="41">O81-O82</f>
        <v>2288.6209916009975</v>
      </c>
      <c r="P83" s="22">
        <f t="shared" si="41"/>
        <v>6436.0417906914881</v>
      </c>
      <c r="Q83" s="22">
        <f t="shared" si="41"/>
        <v>8724.6627822924856</v>
      </c>
      <c r="R83" s="22">
        <f t="shared" si="41"/>
        <v>7121.1987603270391</v>
      </c>
      <c r="S83" s="22">
        <f t="shared" si="41"/>
        <v>7942.8406308227422</v>
      </c>
      <c r="T83" s="22">
        <f t="shared" si="41"/>
        <v>8643.1578032056932</v>
      </c>
      <c r="U83" s="22">
        <f t="shared" si="41"/>
        <v>9349.5244580148283</v>
      </c>
    </row>
    <row r="84" spans="2:22" x14ac:dyDescent="0.3">
      <c r="B84" s="26" t="s">
        <v>19</v>
      </c>
      <c r="C84" s="26"/>
      <c r="D84" s="26"/>
      <c r="E84" s="26"/>
      <c r="F84" s="26"/>
      <c r="G84" s="26"/>
      <c r="H84" s="26"/>
      <c r="I84" s="26"/>
      <c r="J84" s="26"/>
      <c r="K84" s="26"/>
      <c r="L84" s="26"/>
      <c r="M84" s="26"/>
      <c r="N84" s="26"/>
      <c r="O84" s="25">
        <f t="shared" ref="O84:U84" si="42">IFERROR(O83/O$81,)</f>
        <v>0.16941176760745641</v>
      </c>
      <c r="P84" s="26">
        <f t="shared" si="42"/>
        <v>0.13190491488644029</v>
      </c>
      <c r="Q84" s="26">
        <f t="shared" si="42"/>
        <v>0.14003765920727698</v>
      </c>
      <c r="R84" s="26">
        <f t="shared" si="42"/>
        <v>0.11945179480433729</v>
      </c>
      <c r="S84" s="26">
        <f t="shared" si="42"/>
        <v>0.11949053686574083</v>
      </c>
      <c r="T84" s="26">
        <f t="shared" si="42"/>
        <v>0.11957641887905578</v>
      </c>
      <c r="U84" s="26">
        <f t="shared" si="42"/>
        <v>0.11967147885209765</v>
      </c>
    </row>
    <row r="85" spans="2:22" x14ac:dyDescent="0.3">
      <c r="B85" s="6" t="s">
        <v>20</v>
      </c>
      <c r="L85" s="19"/>
      <c r="M85" s="19"/>
      <c r="N85" s="19"/>
      <c r="O85" s="18">
        <f>Projection_유럽!O10</f>
        <v>1831.946555</v>
      </c>
      <c r="P85" s="19">
        <f>Projection_유럽!Y10</f>
        <v>6225.3598341459192</v>
      </c>
      <c r="Q85" s="19">
        <f>Projection_유럽!Z10</f>
        <v>8057.3063891459187</v>
      </c>
      <c r="R85" s="19">
        <f>Projection_유럽!AA10</f>
        <v>7748.0762344042359</v>
      </c>
      <c r="S85" s="19">
        <f>Projection_유럽!AB10</f>
        <v>8040.5478016309098</v>
      </c>
      <c r="T85" s="19">
        <f>Projection_유럽!AC10</f>
        <v>8326.3218860771904</v>
      </c>
      <c r="U85" s="19">
        <f>Projection_유럽!AD10</f>
        <v>8600.768808803874</v>
      </c>
    </row>
    <row r="86" spans="2:22" x14ac:dyDescent="0.3">
      <c r="B86" s="20" t="s">
        <v>21</v>
      </c>
      <c r="C86" s="20"/>
      <c r="D86" s="20"/>
      <c r="E86" s="20"/>
      <c r="F86" s="20"/>
      <c r="G86" s="20"/>
      <c r="H86" s="20"/>
      <c r="I86" s="20"/>
      <c r="J86" s="20"/>
      <c r="K86" s="20"/>
      <c r="L86" s="22"/>
      <c r="M86" s="22"/>
      <c r="N86" s="22"/>
      <c r="O86" s="21">
        <f t="shared" ref="O86:U86" si="43">O83-O85</f>
        <v>456.67443660099752</v>
      </c>
      <c r="P86" s="22">
        <f t="shared" si="43"/>
        <v>210.68195654556894</v>
      </c>
      <c r="Q86" s="22">
        <f t="shared" si="43"/>
        <v>667.35639314656692</v>
      </c>
      <c r="R86" s="22">
        <f t="shared" si="43"/>
        <v>-626.87747407719689</v>
      </c>
      <c r="S86" s="22">
        <f t="shared" si="43"/>
        <v>-97.707170808167575</v>
      </c>
      <c r="T86" s="22">
        <f t="shared" si="43"/>
        <v>316.83591712850284</v>
      </c>
      <c r="U86" s="22">
        <f t="shared" si="43"/>
        <v>748.75564921095429</v>
      </c>
    </row>
    <row r="87" spans="2:22" x14ac:dyDescent="0.3">
      <c r="B87" s="24" t="s">
        <v>22</v>
      </c>
      <c r="C87" s="24"/>
      <c r="D87" s="24"/>
      <c r="E87" s="24"/>
      <c r="F87" s="24"/>
      <c r="G87" s="24"/>
      <c r="H87" s="24"/>
      <c r="I87" s="24"/>
      <c r="J87" s="24"/>
      <c r="K87" s="24"/>
      <c r="L87" s="26"/>
      <c r="M87" s="26"/>
      <c r="N87" s="26"/>
      <c r="O87" s="25">
        <f t="shared" ref="O87:U87" si="44">IFERROR(O86/O$81,)</f>
        <v>3.3804646470359044E-2</v>
      </c>
      <c r="P87" s="26">
        <f t="shared" si="44"/>
        <v>4.3178690334865315E-3</v>
      </c>
      <c r="Q87" s="26">
        <f t="shared" si="44"/>
        <v>1.0711591895899078E-2</v>
      </c>
      <c r="R87" s="26">
        <f t="shared" si="44"/>
        <v>-1.051531377246542E-2</v>
      </c>
      <c r="S87" s="26">
        <f t="shared" si="44"/>
        <v>-1.4698875173441879E-3</v>
      </c>
      <c r="T87" s="26">
        <f t="shared" si="44"/>
        <v>4.3833637201944799E-3</v>
      </c>
      <c r="U87" s="26">
        <f t="shared" si="44"/>
        <v>9.5838773664177375E-3</v>
      </c>
    </row>
    <row r="88" spans="2:22" hidden="1" x14ac:dyDescent="0.3">
      <c r="B88" s="3" t="s">
        <v>116</v>
      </c>
      <c r="C88" s="3"/>
      <c r="D88" s="3"/>
      <c r="E88" s="3"/>
      <c r="F88" s="3"/>
      <c r="G88" s="3"/>
      <c r="H88" s="3"/>
      <c r="I88" s="3"/>
      <c r="J88" s="3"/>
      <c r="K88" s="3"/>
      <c r="L88" s="16"/>
      <c r="M88" s="16"/>
      <c r="N88" s="16"/>
      <c r="O88" s="15"/>
      <c r="P88" s="16">
        <f t="shared" ref="P88:U88" si="45">SUM(P89:P91)</f>
        <v>0</v>
      </c>
      <c r="Q88" s="16">
        <f t="shared" si="45"/>
        <v>0</v>
      </c>
      <c r="R88" s="16">
        <f t="shared" si="45"/>
        <v>0</v>
      </c>
      <c r="S88" s="16">
        <f t="shared" si="45"/>
        <v>0</v>
      </c>
      <c r="T88" s="16">
        <f t="shared" si="45"/>
        <v>0</v>
      </c>
      <c r="U88" s="16">
        <f t="shared" si="45"/>
        <v>0</v>
      </c>
    </row>
    <row r="89" spans="2:22" hidden="1" x14ac:dyDescent="0.3">
      <c r="B89" s="3"/>
      <c r="C89" s="3" t="s">
        <v>94</v>
      </c>
      <c r="D89" s="3"/>
      <c r="E89" s="3"/>
      <c r="F89" s="3"/>
      <c r="G89" s="3"/>
      <c r="H89" s="3"/>
      <c r="I89" s="3"/>
      <c r="J89" s="3"/>
      <c r="K89" s="3"/>
      <c r="L89" s="16"/>
      <c r="M89" s="16"/>
      <c r="N89" s="16"/>
      <c r="O89" s="15"/>
      <c r="P89" s="16"/>
      <c r="Q89" s="16"/>
      <c r="R89" s="16"/>
      <c r="S89" s="16"/>
      <c r="T89" s="16"/>
      <c r="U89" s="16"/>
    </row>
    <row r="90" spans="2:22" hidden="1" x14ac:dyDescent="0.3">
      <c r="B90" s="3"/>
      <c r="C90" s="3" t="s">
        <v>95</v>
      </c>
      <c r="D90" s="3"/>
      <c r="E90" s="3"/>
      <c r="F90" s="3"/>
      <c r="G90" s="3"/>
      <c r="H90" s="3"/>
      <c r="I90" s="3"/>
      <c r="J90" s="3"/>
      <c r="K90" s="3"/>
      <c r="L90" s="16"/>
      <c r="M90" s="16"/>
      <c r="N90" s="16"/>
      <c r="O90" s="15"/>
      <c r="P90" s="16"/>
      <c r="Q90" s="16"/>
      <c r="R90" s="16"/>
      <c r="S90" s="16"/>
      <c r="T90" s="16"/>
      <c r="U90" s="16"/>
    </row>
    <row r="91" spans="2:22" hidden="1" x14ac:dyDescent="0.3">
      <c r="B91" s="100"/>
      <c r="C91" s="100" t="s">
        <v>117</v>
      </c>
      <c r="D91" s="100"/>
      <c r="E91" s="100"/>
      <c r="F91" s="100"/>
      <c r="G91" s="100"/>
      <c r="H91" s="100"/>
      <c r="I91" s="100"/>
      <c r="J91" s="100"/>
      <c r="K91" s="100"/>
      <c r="L91" s="126"/>
      <c r="M91" s="126"/>
      <c r="N91" s="126"/>
      <c r="O91" s="135"/>
      <c r="P91" s="126"/>
      <c r="Q91" s="126"/>
      <c r="R91" s="126"/>
      <c r="S91" s="126"/>
      <c r="T91" s="126"/>
      <c r="U91" s="126"/>
    </row>
    <row r="92" spans="2:22" x14ac:dyDescent="0.3">
      <c r="B92" s="11" t="s">
        <v>118</v>
      </c>
      <c r="C92" s="3"/>
      <c r="D92" s="3"/>
      <c r="E92" s="3"/>
      <c r="F92" s="3"/>
      <c r="G92" s="3"/>
      <c r="H92" s="3"/>
      <c r="I92" s="3"/>
      <c r="J92" s="3"/>
      <c r="K92" s="3"/>
      <c r="L92" s="16"/>
      <c r="M92" s="16"/>
      <c r="N92" s="16"/>
      <c r="O92" s="15"/>
      <c r="P92" s="13">
        <f t="shared" ref="P92:U92" si="46">P86+P88</f>
        <v>210.68195654556894</v>
      </c>
      <c r="Q92" s="13">
        <f t="shared" si="46"/>
        <v>667.35639314656692</v>
      </c>
      <c r="R92" s="13">
        <f t="shared" si="46"/>
        <v>-626.87747407719689</v>
      </c>
      <c r="S92" s="13">
        <f t="shared" si="46"/>
        <v>-97.707170808167575</v>
      </c>
      <c r="T92" s="13">
        <f t="shared" si="46"/>
        <v>316.83591712850284</v>
      </c>
      <c r="U92" s="13">
        <f t="shared" si="46"/>
        <v>748.75564921095429</v>
      </c>
    </row>
    <row r="93" spans="2:22" x14ac:dyDescent="0.3">
      <c r="B93" s="100" t="s">
        <v>96</v>
      </c>
      <c r="C93" s="100"/>
      <c r="D93" s="100"/>
      <c r="E93" s="100"/>
      <c r="F93" s="100"/>
      <c r="G93" s="100"/>
      <c r="H93" s="100"/>
      <c r="I93" s="100"/>
      <c r="J93" s="100"/>
      <c r="K93" s="100"/>
      <c r="L93" s="126"/>
      <c r="M93" s="126"/>
      <c r="N93" s="126"/>
      <c r="O93" s="135"/>
      <c r="P93" s="126">
        <f>Q93-O93</f>
        <v>200.20691794397007</v>
      </c>
      <c r="Q93" s="126">
        <v>200.20691794397007</v>
      </c>
      <c r="R93" s="126">
        <v>0</v>
      </c>
      <c r="S93" s="126">
        <v>0</v>
      </c>
      <c r="T93" s="126">
        <v>95.050775138550847</v>
      </c>
      <c r="U93" s="126">
        <v>224.62669476328628</v>
      </c>
    </row>
    <row r="94" spans="2:22" x14ac:dyDescent="0.3">
      <c r="B94" s="11" t="s">
        <v>90</v>
      </c>
      <c r="C94" s="3"/>
      <c r="D94" s="3"/>
      <c r="E94" s="3"/>
      <c r="F94" s="3"/>
      <c r="G94" s="3"/>
      <c r="H94" s="3"/>
      <c r="I94" s="3"/>
      <c r="J94" s="3"/>
      <c r="K94" s="3"/>
      <c r="L94" s="16"/>
      <c r="M94" s="16"/>
      <c r="N94" s="16"/>
      <c r="O94" s="15"/>
      <c r="P94" s="13">
        <f t="shared" ref="P94:U94" si="47">P92-P93</f>
        <v>10.475038601598868</v>
      </c>
      <c r="Q94" s="13">
        <f t="shared" si="47"/>
        <v>467.14947520259682</v>
      </c>
      <c r="R94" s="13">
        <f t="shared" si="47"/>
        <v>-626.87747407719689</v>
      </c>
      <c r="S94" s="13">
        <f t="shared" si="47"/>
        <v>-97.707170808167575</v>
      </c>
      <c r="T94" s="13">
        <f t="shared" si="47"/>
        <v>221.785141989952</v>
      </c>
      <c r="U94" s="13">
        <f t="shared" si="47"/>
        <v>524.12895444766798</v>
      </c>
    </row>
    <row r="95" spans="2:22" x14ac:dyDescent="0.3">
      <c r="B95" s="137" t="s">
        <v>119</v>
      </c>
      <c r="C95" s="137"/>
      <c r="D95" s="137"/>
      <c r="E95" s="137"/>
      <c r="F95" s="137"/>
      <c r="G95" s="137"/>
      <c r="H95" s="137"/>
      <c r="I95" s="137"/>
      <c r="J95" s="137"/>
      <c r="K95" s="137"/>
      <c r="L95" s="140"/>
      <c r="M95" s="140"/>
      <c r="N95" s="140"/>
      <c r="O95" s="145"/>
      <c r="P95" s="140">
        <f t="shared" ref="P95:U95" si="48">IFERROR(P94/P$81,)</f>
        <v>2.1468304900916819E-4</v>
      </c>
      <c r="Q95" s="140">
        <f t="shared" si="48"/>
        <v>7.498114327129355E-3</v>
      </c>
      <c r="R95" s="140">
        <f t="shared" si="48"/>
        <v>-1.051531377246542E-2</v>
      </c>
      <c r="S95" s="140">
        <f t="shared" si="48"/>
        <v>-1.4698875173441879E-3</v>
      </c>
      <c r="T95" s="140">
        <f t="shared" si="48"/>
        <v>3.0683546041361362E-3</v>
      </c>
      <c r="U95" s="140">
        <f t="shared" si="48"/>
        <v>6.7087141564924156E-3</v>
      </c>
    </row>
    <row r="96" spans="2:22" x14ac:dyDescent="0.3">
      <c r="B96" s="27" t="s">
        <v>23</v>
      </c>
      <c r="C96" s="27"/>
      <c r="D96" s="27"/>
      <c r="E96" s="27"/>
      <c r="F96" s="27"/>
      <c r="G96" s="27"/>
      <c r="H96" s="27"/>
      <c r="I96" s="27"/>
      <c r="J96" s="27"/>
      <c r="K96" s="27"/>
      <c r="L96" s="29"/>
      <c r="M96" s="29"/>
      <c r="N96" s="29"/>
      <c r="O96" s="28">
        <f>Projection_유럽!O13</f>
        <v>205.40436</v>
      </c>
      <c r="P96" s="29">
        <f>Projection_유럽!Y13</f>
        <v>723.60190006591904</v>
      </c>
      <c r="Q96" s="29">
        <f>Projection_유럽!Z13</f>
        <v>929.00626006591904</v>
      </c>
      <c r="R96" s="29">
        <f>Projection_유럽!AA13</f>
        <v>641.7506648065156</v>
      </c>
      <c r="S96" s="29">
        <f>Projection_유럽!AB13</f>
        <v>643.80317069940884</v>
      </c>
      <c r="T96" s="29">
        <f>Projection_유럽!AC13</f>
        <v>646.54457096415558</v>
      </c>
      <c r="U96" s="29">
        <f>Projection_유럽!AD13</f>
        <v>650.35060013128316</v>
      </c>
      <c r="V96" s="133"/>
    </row>
    <row r="97" spans="2:22" x14ac:dyDescent="0.3">
      <c r="B97" s="20" t="s">
        <v>24</v>
      </c>
      <c r="C97" s="20"/>
      <c r="D97" s="20"/>
      <c r="E97" s="20"/>
      <c r="F97" s="20"/>
      <c r="G97" s="20"/>
      <c r="H97" s="20"/>
      <c r="I97" s="20"/>
      <c r="J97" s="20"/>
      <c r="K97" s="20"/>
      <c r="L97" s="22"/>
      <c r="M97" s="22"/>
      <c r="N97" s="22"/>
      <c r="O97" s="30">
        <f t="shared" ref="O97:U97" si="49">O86+O96</f>
        <v>662.07879660099752</v>
      </c>
      <c r="P97" s="31">
        <f t="shared" si="49"/>
        <v>934.28385661148798</v>
      </c>
      <c r="Q97" s="22">
        <f t="shared" si="49"/>
        <v>1596.3626532124858</v>
      </c>
      <c r="R97" s="22">
        <f t="shared" si="49"/>
        <v>14.873190729318708</v>
      </c>
      <c r="S97" s="22">
        <f t="shared" si="49"/>
        <v>546.09599989124126</v>
      </c>
      <c r="T97" s="22">
        <f t="shared" si="49"/>
        <v>963.38048809265842</v>
      </c>
      <c r="U97" s="22">
        <f t="shared" si="49"/>
        <v>1399.1062493422373</v>
      </c>
    </row>
    <row r="98" spans="2:22" x14ac:dyDescent="0.3">
      <c r="B98" s="32" t="s">
        <v>25</v>
      </c>
      <c r="C98" s="32"/>
      <c r="D98" s="32"/>
      <c r="E98" s="32"/>
      <c r="F98" s="32"/>
      <c r="G98" s="32"/>
      <c r="H98" s="32"/>
      <c r="I98" s="32"/>
      <c r="J98" s="32"/>
      <c r="K98" s="32"/>
      <c r="L98" s="34"/>
      <c r="M98" s="34"/>
      <c r="N98" s="34"/>
      <c r="O98" s="33">
        <f t="shared" ref="O98:U98" si="50">IFERROR(O97/O$81,)</f>
        <v>4.9009398952129975E-2</v>
      </c>
      <c r="P98" s="34">
        <f t="shared" si="50"/>
        <v>1.9147891917723699E-2</v>
      </c>
      <c r="Q98" s="34">
        <f t="shared" si="50"/>
        <v>2.5622868732017003E-2</v>
      </c>
      <c r="R98" s="34">
        <f t="shared" si="50"/>
        <v>2.494845863567441E-4</v>
      </c>
      <c r="S98" s="34">
        <f t="shared" si="50"/>
        <v>8.2153611333982968E-3</v>
      </c>
      <c r="T98" s="34">
        <f t="shared" si="50"/>
        <v>1.3328182986703177E-2</v>
      </c>
      <c r="U98" s="34">
        <f t="shared" si="50"/>
        <v>1.7908195725020656E-2</v>
      </c>
    </row>
    <row r="100" spans="2:22" x14ac:dyDescent="0.3">
      <c r="B100" s="5" t="s">
        <v>124</v>
      </c>
      <c r="C100" s="4"/>
      <c r="D100" s="4"/>
      <c r="E100" s="4"/>
      <c r="F100" s="4"/>
      <c r="G100" s="4"/>
      <c r="H100" s="4"/>
      <c r="I100" s="4"/>
      <c r="J100" s="4"/>
      <c r="K100" s="4"/>
      <c r="L100" s="4"/>
      <c r="M100" s="4"/>
      <c r="N100" s="4"/>
      <c r="O100" s="4"/>
      <c r="P100" s="4"/>
      <c r="Q100" s="4"/>
      <c r="R100" s="4"/>
      <c r="S100" s="4"/>
      <c r="T100" s="4"/>
      <c r="U100" s="4"/>
    </row>
    <row r="101" spans="2:22" x14ac:dyDescent="0.3">
      <c r="Q101" s="147"/>
    </row>
    <row r="102" spans="2:22" x14ac:dyDescent="0.3">
      <c r="B102" s="8"/>
      <c r="C102" s="8"/>
      <c r="D102" s="8"/>
      <c r="E102" s="8"/>
      <c r="F102" s="8"/>
      <c r="G102" s="8"/>
      <c r="H102" s="8"/>
      <c r="I102" s="8"/>
      <c r="J102" s="8"/>
      <c r="K102" s="8"/>
      <c r="L102" s="9" t="s">
        <v>1</v>
      </c>
      <c r="M102" s="9" t="s">
        <v>2</v>
      </c>
      <c r="N102" s="9" t="s">
        <v>3</v>
      </c>
      <c r="O102" s="111" t="s">
        <v>4</v>
      </c>
      <c r="P102" s="9" t="s">
        <v>5</v>
      </c>
      <c r="Q102" s="9" t="s">
        <v>6</v>
      </c>
      <c r="R102" s="9" t="s">
        <v>7</v>
      </c>
      <c r="S102" s="9" t="s">
        <v>8</v>
      </c>
      <c r="T102" s="9" t="s">
        <v>9</v>
      </c>
      <c r="U102" s="9" t="s">
        <v>10</v>
      </c>
    </row>
    <row r="103" spans="2:22" x14ac:dyDescent="0.3">
      <c r="B103" s="11" t="s">
        <v>11</v>
      </c>
      <c r="C103" s="11"/>
      <c r="D103" s="11"/>
      <c r="E103" s="11"/>
      <c r="F103" s="11"/>
      <c r="G103" s="11"/>
      <c r="H103" s="11"/>
      <c r="I103" s="11"/>
      <c r="J103" s="11"/>
      <c r="K103" s="11"/>
      <c r="L103" s="13"/>
      <c r="M103" s="13"/>
      <c r="N103" s="13"/>
      <c r="O103" s="12">
        <f>Projection_중국!O6</f>
        <v>14141.9701278024</v>
      </c>
      <c r="P103" s="13">
        <f>Projection_중국!Y6</f>
        <v>36602.449027482406</v>
      </c>
      <c r="Q103" s="13">
        <f>Projection_중국!Z6</f>
        <v>50744.419155284799</v>
      </c>
      <c r="R103" s="13">
        <f>Projection_중국!AA6</f>
        <v>53388.539805503831</v>
      </c>
      <c r="S103" s="13">
        <f>Projection_중국!AB6</f>
        <v>63265.92361202943</v>
      </c>
      <c r="T103" s="13">
        <f>Projection_중국!AC6</f>
        <v>76460.227854483906</v>
      </c>
      <c r="U103" s="13">
        <f>Projection_중국!AD6</f>
        <v>83020.200299313408</v>
      </c>
    </row>
    <row r="104" spans="2:22" x14ac:dyDescent="0.3">
      <c r="B104" s="6" t="s">
        <v>17</v>
      </c>
      <c r="L104" s="19"/>
      <c r="M104" s="19"/>
      <c r="N104" s="19"/>
      <c r="O104" s="18">
        <f>Projection_중국!O7</f>
        <v>12472.529006000001</v>
      </c>
      <c r="P104" s="19">
        <f>Projection_중국!Y7</f>
        <v>32333.406512773581</v>
      </c>
      <c r="Q104" s="19">
        <f>Projection_중국!Z7</f>
        <v>44805.935518773578</v>
      </c>
      <c r="R104" s="19">
        <f>Projection_중국!AA7</f>
        <v>45839.184908821844</v>
      </c>
      <c r="S104" s="19">
        <f>Projection_중국!AB7</f>
        <v>54442.28954503662</v>
      </c>
      <c r="T104" s="19">
        <f>Projection_중국!AC7</f>
        <v>65789.152216749018</v>
      </c>
      <c r="U104" s="19">
        <f>Projection_중국!AD7</f>
        <v>71372.569506134474</v>
      </c>
    </row>
    <row r="105" spans="2:22" x14ac:dyDescent="0.3">
      <c r="B105" s="20" t="s">
        <v>18</v>
      </c>
      <c r="C105" s="20"/>
      <c r="D105" s="20"/>
      <c r="E105" s="20"/>
      <c r="F105" s="20"/>
      <c r="G105" s="20"/>
      <c r="H105" s="20"/>
      <c r="I105" s="20"/>
      <c r="J105" s="20"/>
      <c r="K105" s="20"/>
      <c r="L105" s="22"/>
      <c r="M105" s="22"/>
      <c r="N105" s="22"/>
      <c r="O105" s="21">
        <f t="shared" ref="O105:U105" si="51">O103-O104</f>
        <v>1669.4411218023997</v>
      </c>
      <c r="P105" s="22">
        <f t="shared" si="51"/>
        <v>4269.0425147088245</v>
      </c>
      <c r="Q105" s="22">
        <f t="shared" si="51"/>
        <v>5938.4836365112205</v>
      </c>
      <c r="R105" s="22">
        <f t="shared" si="51"/>
        <v>7549.3548966819872</v>
      </c>
      <c r="S105" s="22">
        <f t="shared" si="51"/>
        <v>8823.6340669928104</v>
      </c>
      <c r="T105" s="22">
        <f t="shared" si="51"/>
        <v>10671.075637734888</v>
      </c>
      <c r="U105" s="22">
        <f t="shared" si="51"/>
        <v>11647.630793178934</v>
      </c>
      <c r="V105" s="146"/>
    </row>
    <row r="106" spans="2:22" x14ac:dyDescent="0.3">
      <c r="B106" s="26" t="s">
        <v>19</v>
      </c>
      <c r="C106" s="26"/>
      <c r="D106" s="26"/>
      <c r="E106" s="26"/>
      <c r="F106" s="26"/>
      <c r="G106" s="26"/>
      <c r="H106" s="26"/>
      <c r="I106" s="26"/>
      <c r="J106" s="26"/>
      <c r="K106" s="26"/>
      <c r="L106" s="26"/>
      <c r="M106" s="26"/>
      <c r="N106" s="26"/>
      <c r="O106" s="25">
        <f t="shared" ref="O106:U106" si="52">IFERROR(O105/O$103,)</f>
        <v>0.11804869524652457</v>
      </c>
      <c r="P106" s="26">
        <f t="shared" si="52"/>
        <v>0.116632701585172</v>
      </c>
      <c r="Q106" s="26">
        <f t="shared" si="52"/>
        <v>0.11702732508058977</v>
      </c>
      <c r="R106" s="26">
        <f t="shared" si="52"/>
        <v>0.14140403397778867</v>
      </c>
      <c r="S106" s="26">
        <f t="shared" si="52"/>
        <v>0.13946898366809077</v>
      </c>
      <c r="T106" s="26">
        <f t="shared" si="52"/>
        <v>0.13956374362424945</v>
      </c>
      <c r="U106" s="26">
        <f t="shared" si="52"/>
        <v>0.1402987556183391</v>
      </c>
    </row>
    <row r="107" spans="2:22" x14ac:dyDescent="0.3">
      <c r="B107" s="6" t="s">
        <v>20</v>
      </c>
      <c r="L107" s="19"/>
      <c r="M107" s="19"/>
      <c r="N107" s="19"/>
      <c r="O107" s="18">
        <f>Projection_중국!O10</f>
        <v>1653.320459</v>
      </c>
      <c r="P107" s="19">
        <f>Projection_중국!Y10</f>
        <v>4816.3729746849122</v>
      </c>
      <c r="Q107" s="19">
        <f>Projection_중국!Z10</f>
        <v>6469.6934336849117</v>
      </c>
      <c r="R107" s="19">
        <f>Projection_중국!AA10</f>
        <v>6719.0856248417049</v>
      </c>
      <c r="S107" s="19">
        <f>Projection_중국!AB10</f>
        <v>7148.6705725922038</v>
      </c>
      <c r="T107" s="19">
        <f>Projection_중국!AC10</f>
        <v>7578.0618385075522</v>
      </c>
      <c r="U107" s="19">
        <f>Projection_중국!AD10</f>
        <v>7934.7163177232278</v>
      </c>
    </row>
    <row r="108" spans="2:22" x14ac:dyDescent="0.3">
      <c r="B108" s="20" t="s">
        <v>21</v>
      </c>
      <c r="C108" s="20"/>
      <c r="D108" s="20"/>
      <c r="E108" s="20"/>
      <c r="F108" s="20"/>
      <c r="G108" s="20"/>
      <c r="H108" s="20"/>
      <c r="I108" s="20"/>
      <c r="J108" s="20"/>
      <c r="K108" s="20"/>
      <c r="L108" s="22"/>
      <c r="M108" s="22"/>
      <c r="N108" s="22"/>
      <c r="O108" s="21">
        <f t="shared" ref="O108:U108" si="53">O105-O107</f>
        <v>16.120662802399693</v>
      </c>
      <c r="P108" s="22">
        <f t="shared" si="53"/>
        <v>-547.3304599760877</v>
      </c>
      <c r="Q108" s="22">
        <f t="shared" si="53"/>
        <v>-531.20979717369119</v>
      </c>
      <c r="R108" s="22">
        <f t="shared" si="53"/>
        <v>830.26927184028227</v>
      </c>
      <c r="S108" s="22">
        <f t="shared" si="53"/>
        <v>1674.9634944006066</v>
      </c>
      <c r="T108" s="22">
        <f t="shared" si="53"/>
        <v>3093.0137992273358</v>
      </c>
      <c r="U108" s="22">
        <f t="shared" si="53"/>
        <v>3712.9144754557065</v>
      </c>
    </row>
    <row r="109" spans="2:22" x14ac:dyDescent="0.3">
      <c r="B109" s="24" t="s">
        <v>22</v>
      </c>
      <c r="C109" s="24"/>
      <c r="D109" s="24"/>
      <c r="E109" s="24"/>
      <c r="F109" s="24"/>
      <c r="G109" s="24"/>
      <c r="H109" s="24"/>
      <c r="I109" s="24"/>
      <c r="J109" s="24"/>
      <c r="K109" s="24"/>
      <c r="L109" s="26"/>
      <c r="M109" s="26"/>
      <c r="N109" s="26"/>
      <c r="O109" s="25">
        <f t="shared" ref="O109:U109" si="54">IFERROR(O108/O$103,)</f>
        <v>1.1399163381562575E-3</v>
      </c>
      <c r="P109" s="26">
        <f t="shared" si="54"/>
        <v>-1.4953383571824189E-2</v>
      </c>
      <c r="Q109" s="26">
        <f t="shared" si="54"/>
        <v>-1.0468339297531758E-2</v>
      </c>
      <c r="R109" s="26">
        <f t="shared" si="54"/>
        <v>1.5551451207786914E-2</v>
      </c>
      <c r="S109" s="26">
        <f t="shared" si="54"/>
        <v>2.6474971023455158E-2</v>
      </c>
      <c r="T109" s="26">
        <f t="shared" si="54"/>
        <v>4.0452584121431573E-2</v>
      </c>
      <c r="U109" s="26">
        <f t="shared" si="54"/>
        <v>4.4723024782757755E-2</v>
      </c>
    </row>
    <row r="110" spans="2:22" hidden="1" x14ac:dyDescent="0.3">
      <c r="B110" s="3" t="s">
        <v>116</v>
      </c>
      <c r="C110" s="3"/>
      <c r="D110" s="3"/>
      <c r="E110" s="3"/>
      <c r="F110" s="3"/>
      <c r="G110" s="3"/>
      <c r="H110" s="3"/>
      <c r="I110" s="3"/>
      <c r="J110" s="3"/>
      <c r="K110" s="3"/>
      <c r="L110" s="16"/>
      <c r="M110" s="16"/>
      <c r="N110" s="16"/>
      <c r="O110" s="15"/>
      <c r="P110" s="16">
        <f t="shared" ref="P110:U110" si="55">SUM(P111:P113)</f>
        <v>0</v>
      </c>
      <c r="Q110" s="16">
        <f t="shared" si="55"/>
        <v>0</v>
      </c>
      <c r="R110" s="16">
        <f t="shared" si="55"/>
        <v>0</v>
      </c>
      <c r="S110" s="16">
        <f t="shared" si="55"/>
        <v>0</v>
      </c>
      <c r="T110" s="16">
        <f t="shared" si="55"/>
        <v>0</v>
      </c>
      <c r="U110" s="16">
        <f t="shared" si="55"/>
        <v>0</v>
      </c>
    </row>
    <row r="111" spans="2:22" hidden="1" x14ac:dyDescent="0.3">
      <c r="B111" s="3"/>
      <c r="C111" s="3" t="s">
        <v>94</v>
      </c>
      <c r="D111" s="3"/>
      <c r="E111" s="3"/>
      <c r="F111" s="3"/>
      <c r="G111" s="3"/>
      <c r="H111" s="3"/>
      <c r="I111" s="3"/>
      <c r="J111" s="3"/>
      <c r="K111" s="3"/>
      <c r="L111" s="16"/>
      <c r="M111" s="16"/>
      <c r="N111" s="16"/>
      <c r="O111" s="15"/>
      <c r="P111" s="16"/>
      <c r="Q111" s="16"/>
      <c r="R111" s="16"/>
      <c r="S111" s="16"/>
      <c r="T111" s="16"/>
      <c r="U111" s="16"/>
    </row>
    <row r="112" spans="2:22" hidden="1" x14ac:dyDescent="0.3">
      <c r="B112" s="3"/>
      <c r="C112" s="3" t="s">
        <v>95</v>
      </c>
      <c r="D112" s="3"/>
      <c r="E112" s="3"/>
      <c r="F112" s="3"/>
      <c r="G112" s="3"/>
      <c r="H112" s="3"/>
      <c r="I112" s="3"/>
      <c r="J112" s="3"/>
      <c r="K112" s="3"/>
      <c r="L112" s="16"/>
      <c r="M112" s="16"/>
      <c r="N112" s="16"/>
      <c r="O112" s="15"/>
      <c r="P112" s="16"/>
      <c r="Q112" s="16"/>
      <c r="R112" s="16"/>
      <c r="S112" s="16"/>
      <c r="T112" s="16"/>
      <c r="U112" s="16"/>
    </row>
    <row r="113" spans="2:22" hidden="1" x14ac:dyDescent="0.3">
      <c r="B113" s="100"/>
      <c r="C113" s="100" t="s">
        <v>117</v>
      </c>
      <c r="D113" s="100"/>
      <c r="E113" s="100"/>
      <c r="F113" s="100"/>
      <c r="G113" s="100"/>
      <c r="H113" s="100"/>
      <c r="I113" s="100"/>
      <c r="J113" s="100"/>
      <c r="K113" s="100"/>
      <c r="L113" s="126"/>
      <c r="M113" s="126"/>
      <c r="N113" s="126"/>
      <c r="O113" s="135"/>
      <c r="P113" s="126"/>
      <c r="Q113" s="126"/>
      <c r="R113" s="126"/>
      <c r="S113" s="126"/>
      <c r="T113" s="126"/>
      <c r="U113" s="126"/>
    </row>
    <row r="114" spans="2:22" x14ac:dyDescent="0.3">
      <c r="B114" s="11" t="s">
        <v>118</v>
      </c>
      <c r="C114" s="3"/>
      <c r="D114" s="3"/>
      <c r="E114" s="3"/>
      <c r="F114" s="3"/>
      <c r="G114" s="3"/>
      <c r="H114" s="3"/>
      <c r="I114" s="3"/>
      <c r="J114" s="3"/>
      <c r="K114" s="3"/>
      <c r="L114" s="16"/>
      <c r="M114" s="16"/>
      <c r="N114" s="16"/>
      <c r="O114" s="15"/>
      <c r="P114" s="13">
        <f t="shared" ref="P114:U114" si="56">P108+P110</f>
        <v>-547.3304599760877</v>
      </c>
      <c r="Q114" s="13">
        <f t="shared" si="56"/>
        <v>-531.20979717369119</v>
      </c>
      <c r="R114" s="13">
        <f t="shared" si="56"/>
        <v>830.26927184028227</v>
      </c>
      <c r="S114" s="13">
        <f t="shared" si="56"/>
        <v>1674.9634944006066</v>
      </c>
      <c r="T114" s="13">
        <f t="shared" si="56"/>
        <v>3093.0137992273358</v>
      </c>
      <c r="U114" s="13">
        <f t="shared" si="56"/>
        <v>3712.9144754557065</v>
      </c>
    </row>
    <row r="115" spans="2:22" x14ac:dyDescent="0.3">
      <c r="B115" s="100" t="s">
        <v>96</v>
      </c>
      <c r="C115" s="100"/>
      <c r="D115" s="100"/>
      <c r="E115" s="100"/>
      <c r="F115" s="100"/>
      <c r="G115" s="100"/>
      <c r="H115" s="100"/>
      <c r="I115" s="100"/>
      <c r="J115" s="100"/>
      <c r="K115" s="100"/>
      <c r="L115" s="126"/>
      <c r="M115" s="126"/>
      <c r="N115" s="126"/>
      <c r="O115" s="135"/>
      <c r="P115" s="126">
        <f>Q115-O115</f>
        <v>0</v>
      </c>
      <c r="Q115" s="126">
        <v>0</v>
      </c>
      <c r="R115" s="126">
        <v>207.56731796007057</v>
      </c>
      <c r="S115" s="126">
        <v>418.74087360015164</v>
      </c>
      <c r="T115" s="126">
        <v>773.25344980683394</v>
      </c>
      <c r="U115" s="126">
        <v>928.22861886392661</v>
      </c>
    </row>
    <row r="116" spans="2:22" x14ac:dyDescent="0.3">
      <c r="B116" s="11" t="s">
        <v>90</v>
      </c>
      <c r="C116" s="3"/>
      <c r="D116" s="3"/>
      <c r="E116" s="3"/>
      <c r="F116" s="3"/>
      <c r="G116" s="3"/>
      <c r="H116" s="3"/>
      <c r="I116" s="3"/>
      <c r="J116" s="3"/>
      <c r="K116" s="3"/>
      <c r="L116" s="16"/>
      <c r="M116" s="16"/>
      <c r="N116" s="16"/>
      <c r="O116" s="15"/>
      <c r="P116" s="13">
        <f t="shared" ref="P116:U116" si="57">P114-P115</f>
        <v>-547.3304599760877</v>
      </c>
      <c r="Q116" s="13">
        <f t="shared" si="57"/>
        <v>-531.20979717369119</v>
      </c>
      <c r="R116" s="13">
        <f t="shared" si="57"/>
        <v>622.7019538802117</v>
      </c>
      <c r="S116" s="13">
        <f t="shared" si="57"/>
        <v>1256.2226208004549</v>
      </c>
      <c r="T116" s="13">
        <f t="shared" si="57"/>
        <v>2319.7603494205018</v>
      </c>
      <c r="U116" s="13">
        <f t="shared" si="57"/>
        <v>2784.6858565917801</v>
      </c>
    </row>
    <row r="117" spans="2:22" x14ac:dyDescent="0.3">
      <c r="B117" s="137" t="s">
        <v>119</v>
      </c>
      <c r="C117" s="137"/>
      <c r="D117" s="137"/>
      <c r="E117" s="137"/>
      <c r="F117" s="137"/>
      <c r="G117" s="137"/>
      <c r="H117" s="137"/>
      <c r="I117" s="137"/>
      <c r="J117" s="137"/>
      <c r="K117" s="137"/>
      <c r="L117" s="140"/>
      <c r="M117" s="140"/>
      <c r="N117" s="140"/>
      <c r="O117" s="145"/>
      <c r="P117" s="140">
        <f t="shared" ref="P117:U117" si="58">IFERROR(P116/P$103,)</f>
        <v>-1.4953383571824189E-2</v>
      </c>
      <c r="Q117" s="140">
        <f t="shared" si="58"/>
        <v>-1.0468339297531758E-2</v>
      </c>
      <c r="R117" s="140">
        <f t="shared" si="58"/>
        <v>1.1663588405840185E-2</v>
      </c>
      <c r="S117" s="140">
        <f t="shared" si="58"/>
        <v>1.9856228267591369E-2</v>
      </c>
      <c r="T117" s="140">
        <f t="shared" si="58"/>
        <v>3.033943809107368E-2</v>
      </c>
      <c r="U117" s="140">
        <f t="shared" si="58"/>
        <v>3.3542268587068318E-2</v>
      </c>
    </row>
    <row r="118" spans="2:22" x14ac:dyDescent="0.3">
      <c r="B118" s="27" t="s">
        <v>23</v>
      </c>
      <c r="C118" s="27"/>
      <c r="D118" s="27"/>
      <c r="E118" s="27"/>
      <c r="F118" s="27"/>
      <c r="G118" s="27"/>
      <c r="H118" s="27"/>
      <c r="I118" s="27"/>
      <c r="J118" s="27"/>
      <c r="K118" s="27"/>
      <c r="L118" s="29"/>
      <c r="M118" s="29"/>
      <c r="N118" s="29"/>
      <c r="O118" s="28">
        <f>Projection_중국!O13</f>
        <v>47.821341000000004</v>
      </c>
      <c r="P118" s="29">
        <f>Projection_중국!Y13</f>
        <v>134.12382999732438</v>
      </c>
      <c r="Q118" s="29">
        <f>Projection_중국!Z13</f>
        <v>181.94517099732437</v>
      </c>
      <c r="R118" s="29">
        <f>Projection_중국!AA13</f>
        <v>34.512728091086274</v>
      </c>
      <c r="S118" s="29">
        <f>Projection_중국!AB13</f>
        <v>27.991789709649119</v>
      </c>
      <c r="T118" s="29">
        <f>Projection_중국!AC13</f>
        <v>22.264509666508523</v>
      </c>
      <c r="U118" s="29">
        <f>Projection_중국!AD13</f>
        <v>13.018404693498457</v>
      </c>
      <c r="V118" s="133"/>
    </row>
    <row r="119" spans="2:22" x14ac:dyDescent="0.3">
      <c r="B119" s="20" t="s">
        <v>24</v>
      </c>
      <c r="C119" s="20"/>
      <c r="D119" s="20"/>
      <c r="E119" s="20"/>
      <c r="F119" s="20"/>
      <c r="G119" s="20"/>
      <c r="H119" s="20"/>
      <c r="I119" s="20"/>
      <c r="J119" s="20"/>
      <c r="K119" s="20"/>
      <c r="L119" s="22"/>
      <c r="M119" s="22"/>
      <c r="N119" s="22"/>
      <c r="O119" s="30">
        <f t="shared" ref="O119:U119" si="59">O108+O118</f>
        <v>63.942003802399697</v>
      </c>
      <c r="P119" s="31">
        <f t="shared" si="59"/>
        <v>-413.20662997876332</v>
      </c>
      <c r="Q119" s="22">
        <f t="shared" si="59"/>
        <v>-349.26462617636685</v>
      </c>
      <c r="R119" s="22">
        <f t="shared" si="59"/>
        <v>864.78199993136855</v>
      </c>
      <c r="S119" s="22">
        <f t="shared" si="59"/>
        <v>1702.9552841102557</v>
      </c>
      <c r="T119" s="22">
        <f t="shared" si="59"/>
        <v>3115.2783088938445</v>
      </c>
      <c r="U119" s="22">
        <f t="shared" si="59"/>
        <v>3725.9328801492047</v>
      </c>
    </row>
    <row r="120" spans="2:22" x14ac:dyDescent="0.3">
      <c r="B120" s="32" t="s">
        <v>25</v>
      </c>
      <c r="C120" s="32"/>
      <c r="D120" s="32"/>
      <c r="E120" s="32"/>
      <c r="F120" s="32"/>
      <c r="G120" s="32"/>
      <c r="H120" s="32"/>
      <c r="I120" s="32"/>
      <c r="J120" s="32"/>
      <c r="K120" s="32"/>
      <c r="L120" s="34"/>
      <c r="M120" s="34"/>
      <c r="N120" s="34"/>
      <c r="O120" s="33">
        <f t="shared" ref="O120:U120" si="60">IFERROR(O119/O$103,)</f>
        <v>4.5214353604589325E-3</v>
      </c>
      <c r="P120" s="34">
        <f t="shared" si="60"/>
        <v>-1.1289043245945462E-2</v>
      </c>
      <c r="Q120" s="34">
        <f t="shared" si="60"/>
        <v>-6.8828184850745809E-3</v>
      </c>
      <c r="R120" s="34">
        <f t="shared" si="60"/>
        <v>1.6197895710985864E-2</v>
      </c>
      <c r="S120" s="34">
        <f t="shared" si="60"/>
        <v>2.6917417574639731E-2</v>
      </c>
      <c r="T120" s="34">
        <f t="shared" si="60"/>
        <v>4.0743774852760303E-2</v>
      </c>
      <c r="U120" s="34">
        <f t="shared" si="60"/>
        <v>4.4879834868093167E-2</v>
      </c>
    </row>
    <row r="122" spans="2:22" x14ac:dyDescent="0.3">
      <c r="B122" s="5" t="s">
        <v>125</v>
      </c>
      <c r="C122" s="4"/>
      <c r="D122" s="4"/>
      <c r="E122" s="4"/>
      <c r="F122" s="4"/>
      <c r="G122" s="4"/>
      <c r="H122" s="4"/>
      <c r="I122" s="4"/>
      <c r="J122" s="4"/>
      <c r="K122" s="4"/>
      <c r="L122" s="4"/>
      <c r="M122" s="4"/>
      <c r="N122" s="4"/>
      <c r="O122" s="4"/>
      <c r="P122" s="4"/>
      <c r="Q122" s="4"/>
      <c r="R122" s="4"/>
      <c r="S122" s="4"/>
      <c r="T122" s="4"/>
      <c r="U122" s="4"/>
    </row>
    <row r="123" spans="2:22" x14ac:dyDescent="0.3">
      <c r="Q123" s="147"/>
    </row>
    <row r="124" spans="2:22" x14ac:dyDescent="0.3">
      <c r="B124" s="8"/>
      <c r="C124" s="8"/>
      <c r="D124" s="8"/>
      <c r="E124" s="8"/>
      <c r="F124" s="8"/>
      <c r="G124" s="8"/>
      <c r="H124" s="8"/>
      <c r="I124" s="8"/>
      <c r="J124" s="8"/>
      <c r="K124" s="8"/>
      <c r="L124" s="9" t="s">
        <v>1</v>
      </c>
      <c r="M124" s="9" t="s">
        <v>2</v>
      </c>
      <c r="N124" s="9" t="s">
        <v>3</v>
      </c>
      <c r="O124" s="111" t="s">
        <v>4</v>
      </c>
      <c r="P124" s="9" t="s">
        <v>5</v>
      </c>
      <c r="Q124" s="9" t="s">
        <v>6</v>
      </c>
      <c r="R124" s="9" t="s">
        <v>7</v>
      </c>
      <c r="S124" s="9" t="s">
        <v>8</v>
      </c>
      <c r="T124" s="9" t="s">
        <v>9</v>
      </c>
      <c r="U124" s="9" t="s">
        <v>10</v>
      </c>
    </row>
    <row r="125" spans="2:22" x14ac:dyDescent="0.3">
      <c r="B125" s="11" t="s">
        <v>11</v>
      </c>
      <c r="C125" s="11"/>
      <c r="D125" s="11"/>
      <c r="E125" s="11"/>
      <c r="F125" s="11"/>
      <c r="G125" s="11"/>
      <c r="H125" s="11"/>
      <c r="I125" s="11"/>
      <c r="J125" s="11"/>
      <c r="K125" s="11"/>
      <c r="L125" s="13"/>
      <c r="M125" s="13"/>
      <c r="N125" s="13"/>
      <c r="O125" s="12">
        <f>Projection_강소!O6</f>
        <v>9979.8575250000013</v>
      </c>
      <c r="P125" s="13">
        <f>Projection_강소!Y6</f>
        <v>30546.550668416967</v>
      </c>
      <c r="Q125" s="13">
        <f>Projection_강소!Z6</f>
        <v>40526.408193416959</v>
      </c>
      <c r="R125" s="13">
        <f>Projection_강소!AA6</f>
        <v>43581.694601710493</v>
      </c>
      <c r="S125" s="13">
        <f>Projection_강소!AB6</f>
        <v>52034.381725812229</v>
      </c>
      <c r="T125" s="13">
        <f>Projection_강소!AC6</f>
        <v>62520.702520545805</v>
      </c>
      <c r="U125" s="13">
        <f>Projection_강소!AD6</f>
        <v>67883.146173821049</v>
      </c>
    </row>
    <row r="126" spans="2:22" x14ac:dyDescent="0.3">
      <c r="B126" s="6" t="s">
        <v>17</v>
      </c>
      <c r="L126" s="19"/>
      <c r="M126" s="19"/>
      <c r="N126" s="19"/>
      <c r="O126" s="18">
        <f>Projection_강소!O7</f>
        <v>9742.0559979999998</v>
      </c>
      <c r="P126" s="19">
        <f>Projection_강소!Y7</f>
        <v>29408.631781076117</v>
      </c>
      <c r="Q126" s="19">
        <f>Projection_강소!Z7</f>
        <v>39150.687779076121</v>
      </c>
      <c r="R126" s="19">
        <f>Projection_강소!AA7</f>
        <v>40705.753118066583</v>
      </c>
      <c r="S126" s="19">
        <f>Projection_강소!AB7</f>
        <v>47951.495844376252</v>
      </c>
      <c r="T126" s="19">
        <f>Projection_강소!AC7</f>
        <v>57069.177525694642</v>
      </c>
      <c r="U126" s="19">
        <f>Projection_강소!AD7</f>
        <v>61738.188579978814</v>
      </c>
    </row>
    <row r="127" spans="2:22" x14ac:dyDescent="0.3">
      <c r="B127" s="20" t="s">
        <v>18</v>
      </c>
      <c r="C127" s="20"/>
      <c r="D127" s="20"/>
      <c r="E127" s="20"/>
      <c r="F127" s="20"/>
      <c r="G127" s="20"/>
      <c r="H127" s="20"/>
      <c r="I127" s="20"/>
      <c r="J127" s="20"/>
      <c r="K127" s="20"/>
      <c r="L127" s="22"/>
      <c r="M127" s="22"/>
      <c r="N127" s="22"/>
      <c r="O127" s="21">
        <f t="shared" ref="O127:U127" si="61">O125-O126</f>
        <v>237.80152700000144</v>
      </c>
      <c r="P127" s="22">
        <f t="shared" si="61"/>
        <v>1137.9188873408493</v>
      </c>
      <c r="Q127" s="22">
        <f t="shared" si="61"/>
        <v>1375.720414340838</v>
      </c>
      <c r="R127" s="22">
        <f t="shared" si="61"/>
        <v>2875.94148364391</v>
      </c>
      <c r="S127" s="22">
        <f t="shared" si="61"/>
        <v>4082.8858814359774</v>
      </c>
      <c r="T127" s="22">
        <f t="shared" si="61"/>
        <v>5451.5249948511628</v>
      </c>
      <c r="U127" s="22">
        <f t="shared" si="61"/>
        <v>6144.9575938422349</v>
      </c>
    </row>
    <row r="128" spans="2:22" x14ac:dyDescent="0.3">
      <c r="B128" s="26" t="s">
        <v>19</v>
      </c>
      <c r="C128" s="26"/>
      <c r="D128" s="26"/>
      <c r="E128" s="26"/>
      <c r="F128" s="26"/>
      <c r="G128" s="26"/>
      <c r="H128" s="26"/>
      <c r="I128" s="26"/>
      <c r="J128" s="26"/>
      <c r="K128" s="26"/>
      <c r="L128" s="26"/>
      <c r="M128" s="26"/>
      <c r="N128" s="26"/>
      <c r="O128" s="25">
        <f t="shared" ref="O128:U128" si="62">IFERROR(O127/O$125,)</f>
        <v>2.3828148488522778E-2</v>
      </c>
      <c r="P128" s="26">
        <f t="shared" si="62"/>
        <v>3.7251960121225051E-2</v>
      </c>
      <c r="Q128" s="26">
        <f t="shared" si="62"/>
        <v>3.3946270485532636E-2</v>
      </c>
      <c r="R128" s="26">
        <f t="shared" si="62"/>
        <v>6.5989666302031208E-2</v>
      </c>
      <c r="S128" s="26">
        <f t="shared" si="62"/>
        <v>7.8465156037601513E-2</v>
      </c>
      <c r="T128" s="26">
        <f t="shared" si="62"/>
        <v>8.7195517245822071E-2</v>
      </c>
      <c r="U128" s="26">
        <f t="shared" si="62"/>
        <v>9.0522580937947475E-2</v>
      </c>
    </row>
    <row r="129" spans="1:22" x14ac:dyDescent="0.3">
      <c r="B129" s="6" t="s">
        <v>20</v>
      </c>
      <c r="L129" s="19"/>
      <c r="M129" s="19"/>
      <c r="N129" s="19"/>
      <c r="O129" s="18">
        <f>Projection_강소!O10</f>
        <v>958.56811500000003</v>
      </c>
      <c r="P129" s="19">
        <f>Projection_강소!Y10</f>
        <v>2353.892995221237</v>
      </c>
      <c r="Q129" s="19">
        <f>Projection_강소!Z10</f>
        <v>3312.4611102212375</v>
      </c>
      <c r="R129" s="19">
        <f>Projection_강소!AA10</f>
        <v>3277.5638515994674</v>
      </c>
      <c r="S129" s="19">
        <f>Projection_강소!AB10</f>
        <v>3415.5231380269402</v>
      </c>
      <c r="T129" s="19">
        <f>Projection_강소!AC10</f>
        <v>3550.5272610666561</v>
      </c>
      <c r="U129" s="19">
        <f>Projection_강소!AD10</f>
        <v>3683.198377942449</v>
      </c>
    </row>
    <row r="130" spans="1:22" x14ac:dyDescent="0.3">
      <c r="B130" s="20" t="s">
        <v>21</v>
      </c>
      <c r="C130" s="20"/>
      <c r="D130" s="20"/>
      <c r="E130" s="20"/>
      <c r="F130" s="20"/>
      <c r="G130" s="20"/>
      <c r="H130" s="20"/>
      <c r="I130" s="20"/>
      <c r="J130" s="20"/>
      <c r="K130" s="20"/>
      <c r="L130" s="22"/>
      <c r="M130" s="22"/>
      <c r="N130" s="22"/>
      <c r="O130" s="21">
        <f t="shared" ref="O130:U130" si="63">O127-O129</f>
        <v>-720.76658799999859</v>
      </c>
      <c r="P130" s="22">
        <f t="shared" si="63"/>
        <v>-1215.9741078803877</v>
      </c>
      <c r="Q130" s="22">
        <f t="shared" si="63"/>
        <v>-1936.7406958803995</v>
      </c>
      <c r="R130" s="22">
        <f t="shared" si="63"/>
        <v>-401.62236795555737</v>
      </c>
      <c r="S130" s="22">
        <f t="shared" si="63"/>
        <v>667.36274340903719</v>
      </c>
      <c r="T130" s="22">
        <f t="shared" si="63"/>
        <v>1900.9977337845066</v>
      </c>
      <c r="U130" s="22">
        <f t="shared" si="63"/>
        <v>2461.7592158997859</v>
      </c>
    </row>
    <row r="131" spans="1:22" x14ac:dyDescent="0.3">
      <c r="B131" s="24" t="s">
        <v>22</v>
      </c>
      <c r="C131" s="24"/>
      <c r="D131" s="24"/>
      <c r="E131" s="24"/>
      <c r="F131" s="24"/>
      <c r="G131" s="24"/>
      <c r="H131" s="24"/>
      <c r="I131" s="24"/>
      <c r="J131" s="24"/>
      <c r="K131" s="24"/>
      <c r="L131" s="26"/>
      <c r="M131" s="26"/>
      <c r="N131" s="26"/>
      <c r="O131" s="25">
        <f t="shared" ref="O131:U131" si="64">IFERROR(O130/O$125,)</f>
        <v>-7.2222132048924068E-2</v>
      </c>
      <c r="P131" s="26">
        <f t="shared" si="64"/>
        <v>-3.9807247668641729E-2</v>
      </c>
      <c r="Q131" s="26">
        <f t="shared" si="64"/>
        <v>-4.7789596517833037E-2</v>
      </c>
      <c r="R131" s="26">
        <f t="shared" si="64"/>
        <v>-9.2153912697968948E-3</v>
      </c>
      <c r="S131" s="26">
        <f t="shared" si="64"/>
        <v>1.2825418911011766E-2</v>
      </c>
      <c r="T131" s="26">
        <f t="shared" si="64"/>
        <v>3.0405892082863161E-2</v>
      </c>
      <c r="U131" s="26">
        <f t="shared" si="64"/>
        <v>3.6264660002590696E-2</v>
      </c>
    </row>
    <row r="132" spans="1:22" hidden="1" x14ac:dyDescent="0.3">
      <c r="B132" s="3" t="s">
        <v>116</v>
      </c>
      <c r="C132" s="3"/>
      <c r="D132" s="3"/>
      <c r="E132" s="3"/>
      <c r="F132" s="3"/>
      <c r="G132" s="3"/>
      <c r="H132" s="3"/>
      <c r="I132" s="3"/>
      <c r="J132" s="3"/>
      <c r="K132" s="3"/>
      <c r="L132" s="16"/>
      <c r="M132" s="16"/>
      <c r="N132" s="16"/>
      <c r="O132" s="15"/>
      <c r="P132" s="16">
        <f t="shared" ref="P132:U132" si="65">SUM(P133:P135)</f>
        <v>0</v>
      </c>
      <c r="Q132" s="16">
        <f t="shared" si="65"/>
        <v>0</v>
      </c>
      <c r="R132" s="16">
        <f t="shared" si="65"/>
        <v>0</v>
      </c>
      <c r="S132" s="16">
        <f t="shared" si="65"/>
        <v>0</v>
      </c>
      <c r="T132" s="16">
        <f t="shared" si="65"/>
        <v>0</v>
      </c>
      <c r="U132" s="16">
        <f t="shared" si="65"/>
        <v>0</v>
      </c>
    </row>
    <row r="133" spans="1:22" s="23" customFormat="1" hidden="1" x14ac:dyDescent="0.3">
      <c r="A133" s="3"/>
      <c r="B133" s="3"/>
      <c r="C133" s="3" t="s">
        <v>94</v>
      </c>
      <c r="D133" s="3"/>
      <c r="E133" s="3"/>
      <c r="F133" s="3"/>
      <c r="G133" s="3"/>
      <c r="H133" s="3"/>
      <c r="I133" s="3"/>
      <c r="J133" s="3"/>
      <c r="K133" s="3"/>
      <c r="L133" s="16"/>
      <c r="M133" s="16"/>
      <c r="N133" s="16"/>
      <c r="O133" s="15"/>
      <c r="P133" s="16"/>
      <c r="Q133" s="16"/>
      <c r="R133" s="16"/>
      <c r="S133" s="16"/>
      <c r="T133" s="16"/>
      <c r="U133" s="16"/>
    </row>
    <row r="134" spans="1:22" s="23" customFormat="1" hidden="1" x14ac:dyDescent="0.3">
      <c r="A134" s="3"/>
      <c r="B134" s="3"/>
      <c r="C134" s="3" t="s">
        <v>95</v>
      </c>
      <c r="D134" s="3"/>
      <c r="E134" s="3"/>
      <c r="F134" s="3"/>
      <c r="G134" s="3"/>
      <c r="H134" s="3"/>
      <c r="I134" s="3"/>
      <c r="J134" s="3"/>
      <c r="K134" s="3"/>
      <c r="L134" s="16"/>
      <c r="M134" s="16"/>
      <c r="N134" s="16"/>
      <c r="O134" s="15"/>
      <c r="P134" s="16"/>
      <c r="Q134" s="16"/>
      <c r="R134" s="16"/>
      <c r="S134" s="16"/>
      <c r="T134" s="16"/>
      <c r="U134" s="16"/>
    </row>
    <row r="135" spans="1:22" s="23" customFormat="1" hidden="1" x14ac:dyDescent="0.3">
      <c r="A135" s="3"/>
      <c r="B135" s="100"/>
      <c r="C135" s="100" t="s">
        <v>117</v>
      </c>
      <c r="D135" s="100"/>
      <c r="E135" s="100"/>
      <c r="F135" s="100"/>
      <c r="G135" s="100"/>
      <c r="H135" s="100"/>
      <c r="I135" s="100"/>
      <c r="J135" s="100"/>
      <c r="K135" s="100"/>
      <c r="L135" s="126"/>
      <c r="M135" s="126"/>
      <c r="N135" s="126"/>
      <c r="O135" s="135"/>
      <c r="P135" s="126"/>
      <c r="Q135" s="126"/>
      <c r="R135" s="126"/>
      <c r="S135" s="126"/>
      <c r="T135" s="126"/>
      <c r="U135" s="126"/>
    </row>
    <row r="136" spans="1:22" s="23" customFormat="1" x14ac:dyDescent="0.3">
      <c r="A136" s="3"/>
      <c r="B136" s="11" t="s">
        <v>118</v>
      </c>
      <c r="C136" s="3"/>
      <c r="D136" s="3"/>
      <c r="E136" s="3"/>
      <c r="F136" s="3"/>
      <c r="G136" s="3"/>
      <c r="H136" s="3"/>
      <c r="I136" s="3"/>
      <c r="J136" s="3"/>
      <c r="K136" s="3"/>
      <c r="L136" s="16"/>
      <c r="M136" s="16"/>
      <c r="N136" s="16"/>
      <c r="O136" s="15"/>
      <c r="P136" s="13">
        <f t="shared" ref="P136:U136" si="66">P130+P132</f>
        <v>-1215.9741078803877</v>
      </c>
      <c r="Q136" s="13">
        <f t="shared" si="66"/>
        <v>-1936.7406958803995</v>
      </c>
      <c r="R136" s="13">
        <f t="shared" si="66"/>
        <v>-401.62236795555737</v>
      </c>
      <c r="S136" s="13">
        <f t="shared" si="66"/>
        <v>667.36274340903719</v>
      </c>
      <c r="T136" s="13">
        <f t="shared" si="66"/>
        <v>1900.9977337845066</v>
      </c>
      <c r="U136" s="13">
        <f t="shared" si="66"/>
        <v>2461.7592158997859</v>
      </c>
    </row>
    <row r="137" spans="1:22" s="23" customFormat="1" x14ac:dyDescent="0.3">
      <c r="A137" s="3"/>
      <c r="B137" s="100" t="s">
        <v>96</v>
      </c>
      <c r="C137" s="100"/>
      <c r="D137" s="100"/>
      <c r="E137" s="100"/>
      <c r="F137" s="100"/>
      <c r="G137" s="100"/>
      <c r="H137" s="100"/>
      <c r="I137" s="100"/>
      <c r="J137" s="100"/>
      <c r="K137" s="100"/>
      <c r="L137" s="126"/>
      <c r="M137" s="126"/>
      <c r="N137" s="126"/>
      <c r="O137" s="135"/>
      <c r="P137" s="126">
        <f>Q137-O137</f>
        <v>0</v>
      </c>
      <c r="Q137" s="126">
        <v>0</v>
      </c>
      <c r="R137" s="126">
        <v>0</v>
      </c>
      <c r="S137" s="126">
        <v>166.8406858522593</v>
      </c>
      <c r="T137" s="126">
        <v>475.24943344612666</v>
      </c>
      <c r="U137" s="126">
        <v>615.43980397494647</v>
      </c>
    </row>
    <row r="138" spans="1:22" s="23" customFormat="1" x14ac:dyDescent="0.3">
      <c r="A138" s="3"/>
      <c r="B138" s="11" t="s">
        <v>90</v>
      </c>
      <c r="C138" s="3"/>
      <c r="D138" s="3"/>
      <c r="E138" s="3"/>
      <c r="F138" s="3"/>
      <c r="G138" s="3"/>
      <c r="H138" s="3"/>
      <c r="I138" s="3"/>
      <c r="J138" s="3"/>
      <c r="K138" s="3"/>
      <c r="L138" s="16"/>
      <c r="M138" s="16"/>
      <c r="N138" s="16"/>
      <c r="O138" s="15"/>
      <c r="P138" s="13">
        <f t="shared" ref="P138:U138" si="67">P136-P137</f>
        <v>-1215.9741078803877</v>
      </c>
      <c r="Q138" s="13">
        <f t="shared" si="67"/>
        <v>-1936.7406958803995</v>
      </c>
      <c r="R138" s="13">
        <f t="shared" si="67"/>
        <v>-401.62236795555737</v>
      </c>
      <c r="S138" s="13">
        <f t="shared" si="67"/>
        <v>500.5220575567779</v>
      </c>
      <c r="T138" s="13">
        <f t="shared" si="67"/>
        <v>1425.74830033838</v>
      </c>
      <c r="U138" s="13">
        <f t="shared" si="67"/>
        <v>1846.3194119248394</v>
      </c>
    </row>
    <row r="139" spans="1:22" s="23" customFormat="1" x14ac:dyDescent="0.3">
      <c r="A139" s="3"/>
      <c r="B139" s="137" t="s">
        <v>119</v>
      </c>
      <c r="C139" s="137"/>
      <c r="D139" s="137"/>
      <c r="E139" s="137"/>
      <c r="F139" s="137"/>
      <c r="G139" s="137"/>
      <c r="H139" s="137"/>
      <c r="I139" s="137"/>
      <c r="J139" s="137"/>
      <c r="K139" s="137"/>
      <c r="L139" s="140"/>
      <c r="M139" s="140"/>
      <c r="N139" s="140"/>
      <c r="O139" s="145"/>
      <c r="P139" s="140">
        <f t="shared" ref="P139:U139" si="68">IFERROR(P138/P$125,)</f>
        <v>-3.9807247668641729E-2</v>
      </c>
      <c r="Q139" s="140">
        <f t="shared" si="68"/>
        <v>-4.7789596517833037E-2</v>
      </c>
      <c r="R139" s="140">
        <f t="shared" si="68"/>
        <v>-9.2153912697968948E-3</v>
      </c>
      <c r="S139" s="140">
        <f t="shared" si="68"/>
        <v>9.6190641832588249E-3</v>
      </c>
      <c r="T139" s="140">
        <f t="shared" si="68"/>
        <v>2.280441906214737E-2</v>
      </c>
      <c r="U139" s="140">
        <f t="shared" si="68"/>
        <v>2.7198495001943022E-2</v>
      </c>
    </row>
    <row r="140" spans="1:22" x14ac:dyDescent="0.3">
      <c r="B140" s="27" t="s">
        <v>23</v>
      </c>
      <c r="C140" s="27"/>
      <c r="D140" s="27"/>
      <c r="E140" s="27"/>
      <c r="F140" s="27"/>
      <c r="G140" s="27"/>
      <c r="H140" s="27"/>
      <c r="I140" s="27"/>
      <c r="J140" s="27"/>
      <c r="K140" s="27"/>
      <c r="L140" s="29"/>
      <c r="M140" s="29"/>
      <c r="N140" s="29"/>
      <c r="O140" s="28">
        <f>Projection_강소!O13</f>
        <v>121.30390560000001</v>
      </c>
      <c r="P140" s="29">
        <f>Projection_강소!Y13</f>
        <v>1262.2928646712314</v>
      </c>
      <c r="Q140" s="29">
        <f>Projection_강소!Z13</f>
        <v>1383.5967702712312</v>
      </c>
      <c r="R140" s="29">
        <f>Projection_강소!AA13</f>
        <v>664.01793222561321</v>
      </c>
      <c r="S140" s="29">
        <f>Projection_강소!AB13</f>
        <v>665.77222271651431</v>
      </c>
      <c r="T140" s="29">
        <f>Projection_강소!AC13</f>
        <v>653.11960082923167</v>
      </c>
      <c r="U140" s="29">
        <f>Projection_강소!AD13</f>
        <v>682.13186614627193</v>
      </c>
      <c r="V140" s="133"/>
    </row>
    <row r="141" spans="1:22" x14ac:dyDescent="0.3">
      <c r="B141" s="20" t="s">
        <v>24</v>
      </c>
      <c r="C141" s="20"/>
      <c r="D141" s="20"/>
      <c r="E141" s="20"/>
      <c r="F141" s="20"/>
      <c r="G141" s="20"/>
      <c r="H141" s="20"/>
      <c r="I141" s="20"/>
      <c r="J141" s="20"/>
      <c r="K141" s="20"/>
      <c r="L141" s="22"/>
      <c r="M141" s="22"/>
      <c r="N141" s="22"/>
      <c r="O141" s="30">
        <f t="shared" ref="O141:U141" si="69">O130+O140</f>
        <v>-599.46268239999858</v>
      </c>
      <c r="P141" s="31">
        <f t="shared" si="69"/>
        <v>46.318756790843736</v>
      </c>
      <c r="Q141" s="22">
        <f t="shared" si="69"/>
        <v>-553.14392560916826</v>
      </c>
      <c r="R141" s="22">
        <f t="shared" si="69"/>
        <v>262.39556427005584</v>
      </c>
      <c r="S141" s="22">
        <f t="shared" si="69"/>
        <v>1333.1349661255515</v>
      </c>
      <c r="T141" s="22">
        <f t="shared" si="69"/>
        <v>2554.1173346137384</v>
      </c>
      <c r="U141" s="22">
        <f t="shared" si="69"/>
        <v>3143.8910820460578</v>
      </c>
    </row>
    <row r="142" spans="1:22" x14ac:dyDescent="0.3">
      <c r="B142" s="32" t="s">
        <v>25</v>
      </c>
      <c r="C142" s="32"/>
      <c r="D142" s="32"/>
      <c r="E142" s="32"/>
      <c r="F142" s="32"/>
      <c r="G142" s="32"/>
      <c r="H142" s="32"/>
      <c r="I142" s="32"/>
      <c r="J142" s="32"/>
      <c r="K142" s="32"/>
      <c r="L142" s="34"/>
      <c r="M142" s="34"/>
      <c r="N142" s="34"/>
      <c r="O142" s="33">
        <f t="shared" ref="O142:U142" si="70">IFERROR(O141/O$125,)</f>
        <v>-6.0067258565397054E-2</v>
      </c>
      <c r="P142" s="34">
        <f t="shared" si="70"/>
        <v>1.516333457536145E-3</v>
      </c>
      <c r="Q142" s="34">
        <f t="shared" si="70"/>
        <v>-1.3648974835599174E-2</v>
      </c>
      <c r="R142" s="34">
        <f t="shared" si="70"/>
        <v>6.0207747006642866E-3</v>
      </c>
      <c r="S142" s="34">
        <f t="shared" si="70"/>
        <v>2.5620271095951837E-2</v>
      </c>
      <c r="T142" s="34">
        <f t="shared" si="70"/>
        <v>4.0852345409496865E-2</v>
      </c>
      <c r="U142" s="34">
        <f t="shared" si="70"/>
        <v>4.6313278910141184E-2</v>
      </c>
    </row>
    <row r="144" spans="1:22" x14ac:dyDescent="0.3">
      <c r="B144" s="5" t="s">
        <v>126</v>
      </c>
      <c r="C144" s="4"/>
      <c r="D144" s="4"/>
      <c r="E144" s="4"/>
      <c r="F144" s="4"/>
      <c r="G144" s="4"/>
      <c r="H144" s="4"/>
      <c r="I144" s="4"/>
      <c r="J144" s="4"/>
      <c r="K144" s="4"/>
      <c r="L144" s="4"/>
      <c r="M144" s="4"/>
      <c r="N144" s="4"/>
      <c r="O144" s="4"/>
      <c r="P144" s="4"/>
      <c r="Q144" s="4"/>
      <c r="R144" s="4"/>
      <c r="S144" s="4"/>
      <c r="T144" s="4"/>
      <c r="U144" s="4"/>
    </row>
    <row r="145" spans="2:21" x14ac:dyDescent="0.3">
      <c r="R145" s="51"/>
    </row>
    <row r="146" spans="2:21" x14ac:dyDescent="0.3">
      <c r="B146" s="8"/>
      <c r="C146" s="8"/>
      <c r="D146" s="8"/>
      <c r="E146" s="8"/>
      <c r="F146" s="8"/>
      <c r="G146" s="8"/>
      <c r="H146" s="8"/>
      <c r="I146" s="8"/>
      <c r="J146" s="8"/>
      <c r="K146" s="8"/>
      <c r="L146" s="9" t="s">
        <v>1</v>
      </c>
      <c r="M146" s="9" t="s">
        <v>2</v>
      </c>
      <c r="N146" s="9" t="s">
        <v>3</v>
      </c>
      <c r="O146" s="111" t="s">
        <v>4</v>
      </c>
      <c r="P146" s="9" t="s">
        <v>5</v>
      </c>
      <c r="Q146" s="9" t="s">
        <v>6</v>
      </c>
      <c r="R146" s="9" t="s">
        <v>7</v>
      </c>
      <c r="S146" s="9" t="s">
        <v>8</v>
      </c>
      <c r="T146" s="9" t="s">
        <v>9</v>
      </c>
      <c r="U146" s="9" t="s">
        <v>10</v>
      </c>
    </row>
    <row r="147" spans="2:21" x14ac:dyDescent="0.3">
      <c r="B147" s="11" t="s">
        <v>11</v>
      </c>
      <c r="C147" s="11"/>
      <c r="D147" s="11"/>
      <c r="E147" s="11"/>
      <c r="F147" s="11"/>
      <c r="G147" s="11"/>
      <c r="H147" s="11"/>
      <c r="I147" s="11"/>
      <c r="J147" s="11"/>
      <c r="K147" s="11"/>
      <c r="L147" s="11"/>
      <c r="M147" s="11"/>
      <c r="N147" s="11"/>
      <c r="O147" s="12">
        <v>-37790.544758000004</v>
      </c>
      <c r="P147" s="13">
        <f>-(Revenue_HW!Y395+Projection_강소!Y20)</f>
        <v>-113031.98620550527</v>
      </c>
      <c r="Q147" s="13">
        <f>P147+O147</f>
        <v>-150822.53096350527</v>
      </c>
      <c r="R147" s="13">
        <f>-(Revenue_HW!AA395+Projection_강소!AA20)</f>
        <v>-146111.29609979482</v>
      </c>
      <c r="S147" s="13">
        <f>-(Revenue_HW!AB395+Projection_강소!AB20)</f>
        <v>-164893.20727958728</v>
      </c>
      <c r="T147" s="13">
        <f>-(Revenue_HW!AC395+Projection_강소!AC20)</f>
        <v>-185146.55165663839</v>
      </c>
      <c r="U147" s="13">
        <f>-(Revenue_HW!AD395+Projection_강소!AD20)</f>
        <v>-201767.96621726273</v>
      </c>
    </row>
    <row r="148" spans="2:21" x14ac:dyDescent="0.3">
      <c r="B148" s="6" t="s">
        <v>17</v>
      </c>
      <c r="O148" s="18">
        <v>-35852.718083500011</v>
      </c>
      <c r="P148" s="19">
        <f>-(Projection_미국!Y147+Projection_미국!Y183+Projection_유럽!Y74+Projection_중국!Y145)</f>
        <v>-116011.57849095312</v>
      </c>
      <c r="Q148" s="19">
        <f>P148+O148</f>
        <v>-151864.29657445312</v>
      </c>
      <c r="R148" s="19">
        <f>-(Projection_미국!AA147+Projection_미국!AA183+Projection_유럽!AA74+Projection_중국!AA145)</f>
        <v>-145609.70937578852</v>
      </c>
      <c r="S148" s="19">
        <f>-(Projection_미국!AB147+Projection_미국!AB183+Projection_유럽!AB74+Projection_중국!AB145)</f>
        <v>-164337.37924355682</v>
      </c>
      <c r="T148" s="19">
        <f>-(Projection_미국!AC147+Projection_미국!AC183+Projection_유럽!AC74+Projection_중국!AC145)</f>
        <v>-184361.50610581442</v>
      </c>
      <c r="U148" s="19">
        <f>-(Projection_미국!AD147+Projection_미국!AD183+Projection_유럽!AD74+Projection_중국!AD145)</f>
        <v>-200989.81465787336</v>
      </c>
    </row>
    <row r="149" spans="2:21" x14ac:dyDescent="0.3">
      <c r="B149" s="20" t="s">
        <v>18</v>
      </c>
      <c r="C149" s="20"/>
      <c r="D149" s="20"/>
      <c r="E149" s="20"/>
      <c r="F149" s="20"/>
      <c r="G149" s="20"/>
      <c r="H149" s="20"/>
      <c r="I149" s="20"/>
      <c r="J149" s="20"/>
      <c r="K149" s="20"/>
      <c r="L149" s="20"/>
      <c r="M149" s="20"/>
      <c r="N149" s="20"/>
      <c r="O149" s="21">
        <f t="shared" ref="O149:U149" si="71">O147-O148</f>
        <v>-1937.8266744999928</v>
      </c>
      <c r="P149" s="22">
        <f t="shared" si="71"/>
        <v>2979.5922854478558</v>
      </c>
      <c r="Q149" s="22">
        <f t="shared" si="71"/>
        <v>1041.7656109478557</v>
      </c>
      <c r="R149" s="22">
        <f t="shared" si="71"/>
        <v>-501.58672400630894</v>
      </c>
      <c r="S149" s="22">
        <f t="shared" si="71"/>
        <v>-555.82803603046341</v>
      </c>
      <c r="T149" s="22">
        <f t="shared" si="71"/>
        <v>-785.04555082396837</v>
      </c>
      <c r="U149" s="22">
        <f t="shared" si="71"/>
        <v>-778.15155938937096</v>
      </c>
    </row>
    <row r="150" spans="2:21" x14ac:dyDescent="0.3">
      <c r="B150" s="24" t="s">
        <v>19</v>
      </c>
      <c r="C150" s="24"/>
      <c r="D150" s="24"/>
      <c r="E150" s="24"/>
      <c r="F150" s="24"/>
      <c r="G150" s="24"/>
      <c r="H150" s="24"/>
      <c r="I150" s="24"/>
      <c r="J150" s="24"/>
      <c r="K150" s="24"/>
      <c r="L150" s="24"/>
      <c r="M150" s="24"/>
      <c r="N150" s="24"/>
      <c r="O150" s="148"/>
      <c r="P150" s="149"/>
      <c r="Q150" s="149"/>
      <c r="R150" s="149"/>
      <c r="S150" s="149"/>
      <c r="T150" s="149"/>
      <c r="U150" s="149"/>
    </row>
    <row r="151" spans="2:21" x14ac:dyDescent="0.3">
      <c r="B151" s="6" t="s">
        <v>20</v>
      </c>
      <c r="L151" s="19"/>
      <c r="M151" s="19"/>
      <c r="N151" s="19"/>
      <c r="O151" s="18">
        <v>-220.04689700000017</v>
      </c>
      <c r="P151" s="19">
        <v>0</v>
      </c>
      <c r="Q151" s="19">
        <f>P151+O151</f>
        <v>-220.04689700000017</v>
      </c>
      <c r="R151" s="19">
        <v>0</v>
      </c>
      <c r="S151" s="19">
        <v>0</v>
      </c>
      <c r="T151" s="19">
        <v>0</v>
      </c>
      <c r="U151" s="19">
        <v>0</v>
      </c>
    </row>
    <row r="152" spans="2:21" x14ac:dyDescent="0.3">
      <c r="B152" s="20" t="s">
        <v>21</v>
      </c>
      <c r="C152" s="20"/>
      <c r="D152" s="20"/>
      <c r="E152" s="20"/>
      <c r="F152" s="20"/>
      <c r="G152" s="20"/>
      <c r="H152" s="20"/>
      <c r="I152" s="20"/>
      <c r="J152" s="20"/>
      <c r="K152" s="20"/>
      <c r="L152" s="22"/>
      <c r="M152" s="22"/>
      <c r="N152" s="22"/>
      <c r="O152" s="21"/>
      <c r="P152" s="22"/>
      <c r="Q152" s="22"/>
      <c r="R152" s="22"/>
      <c r="S152" s="22"/>
      <c r="T152" s="22"/>
      <c r="U152" s="22"/>
    </row>
    <row r="153" spans="2:21" x14ac:dyDescent="0.3">
      <c r="B153" s="32" t="s">
        <v>22</v>
      </c>
      <c r="C153" s="32"/>
      <c r="D153" s="32"/>
      <c r="E153" s="32"/>
      <c r="F153" s="32"/>
      <c r="G153" s="32"/>
      <c r="H153" s="32"/>
      <c r="I153" s="32"/>
      <c r="J153" s="32"/>
      <c r="K153" s="32"/>
      <c r="L153" s="34"/>
      <c r="M153" s="34"/>
      <c r="N153" s="34"/>
      <c r="O153" s="33"/>
      <c r="P153" s="34"/>
      <c r="Q153" s="34"/>
      <c r="R153" s="34"/>
      <c r="S153" s="34"/>
      <c r="T153" s="34"/>
      <c r="U153" s="34"/>
    </row>
    <row r="154" spans="2:21" hidden="1" x14ac:dyDescent="0.3">
      <c r="B154" s="6" t="s">
        <v>127</v>
      </c>
      <c r="O154" s="18"/>
      <c r="P154" s="19"/>
      <c r="Q154" s="19"/>
      <c r="R154" s="19"/>
      <c r="S154" s="19"/>
      <c r="T154" s="19"/>
      <c r="U154" s="19"/>
    </row>
    <row r="155" spans="2:21" hidden="1" x14ac:dyDescent="0.3">
      <c r="C155" s="3" t="s">
        <v>94</v>
      </c>
      <c r="D155" s="3"/>
      <c r="E155" s="3"/>
      <c r="F155" s="3"/>
      <c r="G155" s="3"/>
      <c r="O155" s="18"/>
      <c r="P155" s="19"/>
      <c r="Q155" s="19"/>
      <c r="R155" s="19"/>
      <c r="S155" s="19"/>
      <c r="T155" s="19"/>
      <c r="U155" s="19"/>
    </row>
    <row r="156" spans="2:21" hidden="1" x14ac:dyDescent="0.3">
      <c r="C156" s="3" t="s">
        <v>95</v>
      </c>
      <c r="D156" s="3"/>
      <c r="E156" s="3"/>
      <c r="F156" s="3"/>
      <c r="G156" s="3"/>
      <c r="O156" s="18"/>
      <c r="P156" s="19"/>
      <c r="Q156" s="19"/>
      <c r="R156" s="19"/>
      <c r="S156" s="19"/>
      <c r="T156" s="19"/>
      <c r="U156" s="19"/>
    </row>
    <row r="157" spans="2:21" hidden="1" x14ac:dyDescent="0.3">
      <c r="C157" s="100" t="s">
        <v>117</v>
      </c>
      <c r="D157" s="100"/>
      <c r="E157" s="100"/>
      <c r="F157" s="100"/>
      <c r="G157" s="100"/>
      <c r="O157" s="18"/>
      <c r="P157" s="19"/>
      <c r="Q157" s="19"/>
      <c r="R157" s="19"/>
      <c r="S157" s="19"/>
      <c r="T157" s="19"/>
      <c r="U157" s="19"/>
    </row>
    <row r="158" spans="2:21" hidden="1" x14ac:dyDescent="0.3">
      <c r="B158" s="56" t="s">
        <v>128</v>
      </c>
      <c r="C158" s="3"/>
      <c r="D158" s="3"/>
      <c r="E158" s="3"/>
      <c r="F158" s="3"/>
      <c r="G158" s="3"/>
      <c r="H158" s="56"/>
      <c r="I158" s="56"/>
      <c r="J158" s="56"/>
      <c r="K158" s="56"/>
      <c r="L158" s="56"/>
      <c r="M158" s="56"/>
      <c r="N158" s="56"/>
      <c r="O158" s="115"/>
      <c r="P158" s="58"/>
      <c r="Q158" s="58"/>
      <c r="R158" s="58"/>
      <c r="S158" s="58"/>
      <c r="T158" s="58"/>
      <c r="U158" s="58"/>
    </row>
    <row r="159" spans="2:21" hidden="1" x14ac:dyDescent="0.3">
      <c r="B159" s="27" t="s">
        <v>129</v>
      </c>
      <c r="C159" s="27"/>
      <c r="D159" s="27"/>
      <c r="E159" s="27"/>
      <c r="F159" s="27"/>
      <c r="G159" s="27"/>
      <c r="H159" s="27"/>
      <c r="I159" s="27"/>
      <c r="J159" s="27"/>
      <c r="K159" s="27"/>
      <c r="L159" s="27"/>
      <c r="M159" s="27"/>
      <c r="N159" s="27"/>
      <c r="O159" s="28"/>
      <c r="P159" s="29"/>
      <c r="Q159" s="29"/>
      <c r="R159" s="29"/>
      <c r="S159" s="29"/>
      <c r="T159" s="29"/>
      <c r="U159" s="29"/>
    </row>
    <row r="160" spans="2:21" hidden="1" x14ac:dyDescent="0.3">
      <c r="B160" s="11" t="s">
        <v>112</v>
      </c>
      <c r="O160" s="18"/>
      <c r="P160" s="19"/>
      <c r="Q160" s="19"/>
      <c r="R160" s="19"/>
      <c r="S160" s="19"/>
      <c r="T160" s="19"/>
      <c r="U160" s="19"/>
    </row>
    <row r="161" spans="2:21" hidden="1" x14ac:dyDescent="0.3">
      <c r="B161" s="23" t="s">
        <v>130</v>
      </c>
      <c r="C161" s="23"/>
      <c r="D161" s="23"/>
      <c r="E161" s="23"/>
      <c r="F161" s="23"/>
      <c r="G161" s="23"/>
      <c r="H161" s="23"/>
      <c r="I161" s="23"/>
      <c r="J161" s="23"/>
      <c r="K161" s="23"/>
      <c r="L161" s="23"/>
      <c r="M161" s="23"/>
      <c r="N161" s="23"/>
      <c r="O161" s="150"/>
      <c r="P161" s="151"/>
      <c r="Q161" s="151"/>
      <c r="R161" s="151"/>
      <c r="S161" s="151"/>
      <c r="T161" s="151"/>
      <c r="U161" s="151"/>
    </row>
    <row r="162" spans="2:21" hidden="1" x14ac:dyDescent="0.3">
      <c r="B162" s="27" t="s">
        <v>23</v>
      </c>
      <c r="C162" s="27"/>
      <c r="D162" s="27"/>
      <c r="E162" s="27"/>
      <c r="F162" s="27"/>
      <c r="G162" s="27"/>
      <c r="H162" s="27"/>
      <c r="I162" s="27"/>
      <c r="J162" s="27"/>
      <c r="K162" s="27"/>
      <c r="L162" s="27"/>
      <c r="M162" s="27"/>
      <c r="N162" s="27"/>
      <c r="O162" s="28"/>
      <c r="P162" s="29"/>
      <c r="Q162" s="29"/>
      <c r="R162" s="29"/>
      <c r="S162" s="29"/>
      <c r="T162" s="29"/>
      <c r="U162" s="29"/>
    </row>
    <row r="163" spans="2:21" hidden="1" x14ac:dyDescent="0.3">
      <c r="B163" s="20" t="s">
        <v>24</v>
      </c>
      <c r="C163" s="20"/>
      <c r="D163" s="20"/>
      <c r="E163" s="20"/>
      <c r="F163" s="20"/>
      <c r="G163" s="20"/>
      <c r="H163" s="20"/>
      <c r="I163" s="20"/>
      <c r="J163" s="20"/>
      <c r="K163" s="20"/>
      <c r="L163" s="20"/>
      <c r="M163" s="20"/>
      <c r="N163" s="20"/>
      <c r="O163" s="21"/>
      <c r="P163" s="22"/>
      <c r="Q163" s="22"/>
      <c r="R163" s="22"/>
      <c r="S163" s="22"/>
      <c r="T163" s="22"/>
      <c r="U163" s="22"/>
    </row>
    <row r="164" spans="2:21" hidden="1" x14ac:dyDescent="0.3">
      <c r="B164" s="32" t="s">
        <v>25</v>
      </c>
      <c r="C164" s="32"/>
      <c r="D164" s="32"/>
      <c r="E164" s="32"/>
      <c r="F164" s="32"/>
      <c r="G164" s="32"/>
      <c r="H164" s="32"/>
      <c r="I164" s="32"/>
      <c r="J164" s="32"/>
      <c r="K164" s="32"/>
      <c r="L164" s="32"/>
      <c r="M164" s="32"/>
      <c r="N164" s="32"/>
      <c r="O164" s="152"/>
      <c r="P164" s="153"/>
      <c r="Q164" s="153"/>
      <c r="R164" s="153"/>
      <c r="S164" s="153"/>
      <c r="T164" s="153"/>
      <c r="U164" s="153"/>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B4F5-DC9B-4AD9-A3C3-4179CE8733C5}">
  <sheetPr>
    <tabColor theme="8" tint="-0.249977111117893"/>
  </sheetPr>
  <dimension ref="A1:AB99"/>
  <sheetViews>
    <sheetView showGridLines="0" topLeftCell="A25" workbookViewId="0">
      <selection activeCell="O59" sqref="O59"/>
    </sheetView>
  </sheetViews>
  <sheetFormatPr defaultRowHeight="12" x14ac:dyDescent="0.3"/>
  <cols>
    <col min="1" max="1" width="2.625" style="3" customWidth="1"/>
    <col min="2" max="2" width="5.125" style="3" customWidth="1"/>
    <col min="3" max="6" width="1.625" style="3" customWidth="1"/>
    <col min="7" max="22" width="9" style="3"/>
    <col min="23" max="23" width="9" style="3" customWidth="1"/>
    <col min="24" max="16384" width="9" style="3"/>
  </cols>
  <sheetData>
    <row r="1" spans="1:28" x14ac:dyDescent="0.3">
      <c r="A1" s="1" t="str">
        <f ca="1">MID(CELL("filename",A1),FIND("]",CELL("filename",A1))+1,255)</f>
        <v>DCF</v>
      </c>
      <c r="B1" s="2"/>
      <c r="C1" s="2"/>
      <c r="D1" s="2"/>
      <c r="E1" s="2"/>
      <c r="F1" s="2"/>
      <c r="G1" s="2"/>
      <c r="H1" s="2"/>
      <c r="I1" s="2"/>
      <c r="J1" s="2"/>
      <c r="K1" s="2"/>
      <c r="L1" s="2"/>
      <c r="M1" s="2"/>
      <c r="N1" s="2"/>
      <c r="O1" s="2"/>
      <c r="P1" s="2"/>
      <c r="Q1" s="2"/>
      <c r="R1" s="2"/>
      <c r="S1" s="2"/>
      <c r="T1" s="2"/>
      <c r="U1" s="2"/>
      <c r="V1" s="2"/>
    </row>
    <row r="3" spans="1:28" x14ac:dyDescent="0.3">
      <c r="A3" s="4"/>
      <c r="B3" s="161" t="s">
        <v>71</v>
      </c>
      <c r="C3" s="4"/>
      <c r="D3" s="4"/>
      <c r="E3" s="4"/>
      <c r="F3" s="4"/>
      <c r="G3" s="4"/>
      <c r="H3" s="4"/>
      <c r="I3" s="4"/>
      <c r="J3" s="4"/>
      <c r="K3" s="4"/>
      <c r="L3" s="4"/>
      <c r="M3" s="4"/>
      <c r="N3" s="4"/>
      <c r="O3" s="4"/>
      <c r="P3" s="4"/>
      <c r="Q3" s="4"/>
      <c r="R3" s="4"/>
      <c r="S3" s="4"/>
      <c r="T3" s="4"/>
      <c r="U3" s="4"/>
      <c r="V3" s="4"/>
    </row>
    <row r="4" spans="1:28" x14ac:dyDescent="0.3">
      <c r="R4" s="137"/>
      <c r="S4" s="137"/>
      <c r="T4" s="137"/>
      <c r="U4" s="137"/>
    </row>
    <row r="5" spans="1:28" x14ac:dyDescent="0.3">
      <c r="B5" s="8"/>
      <c r="C5" s="8"/>
      <c r="D5" s="8"/>
      <c r="E5" s="8"/>
      <c r="F5" s="8"/>
      <c r="G5" s="8"/>
      <c r="H5" s="8"/>
      <c r="I5" s="8"/>
      <c r="J5" s="8"/>
      <c r="K5" s="8"/>
      <c r="L5" s="9" t="s">
        <v>1</v>
      </c>
      <c r="M5" s="9" t="s">
        <v>2</v>
      </c>
      <c r="N5" s="9" t="s">
        <v>3</v>
      </c>
      <c r="O5" s="10" t="s">
        <v>4</v>
      </c>
      <c r="P5" s="9" t="s">
        <v>5</v>
      </c>
      <c r="Q5" s="9" t="s">
        <v>6</v>
      </c>
      <c r="R5" s="9" t="s">
        <v>7</v>
      </c>
      <c r="S5" s="9" t="s">
        <v>8</v>
      </c>
      <c r="T5" s="9" t="s">
        <v>9</v>
      </c>
      <c r="U5" s="9" t="s">
        <v>10</v>
      </c>
      <c r="V5" s="9" t="s">
        <v>27</v>
      </c>
    </row>
    <row r="6" spans="1:28" x14ac:dyDescent="0.3">
      <c r="B6" s="36" t="s">
        <v>28</v>
      </c>
      <c r="C6" s="36"/>
      <c r="D6" s="36"/>
      <c r="E6" s="36"/>
      <c r="F6" s="36"/>
      <c r="G6" s="36"/>
      <c r="H6" s="36"/>
      <c r="I6" s="36"/>
      <c r="J6" s="36"/>
      <c r="K6" s="36"/>
      <c r="L6" s="36"/>
      <c r="M6" s="36"/>
      <c r="N6" s="36"/>
      <c r="O6" s="37"/>
      <c r="P6" s="38">
        <f>'Proforma PL'!P6</f>
        <v>312170.77605210256</v>
      </c>
      <c r="Q6" s="38">
        <f>'Proforma PL'!Q6</f>
        <v>401887.15513683402</v>
      </c>
      <c r="R6" s="38">
        <f>'Proforma PL'!R6</f>
        <v>384025.10637721978</v>
      </c>
      <c r="S6" s="38">
        <f>'Proforma PL'!S6</f>
        <v>433849.87990566273</v>
      </c>
      <c r="T6" s="38">
        <f>'Proforma PL'!T6</f>
        <v>483807.53659513569</v>
      </c>
      <c r="U6" s="38">
        <f>'Proforma PL'!U6</f>
        <v>535532.0850870295</v>
      </c>
      <c r="V6" s="38">
        <f>U6*(1+$I$26)</f>
        <v>538209.74551246455</v>
      </c>
      <c r="X6" s="121"/>
      <c r="Y6" s="121"/>
    </row>
    <row r="7" spans="1:28" x14ac:dyDescent="0.3">
      <c r="B7" s="39" t="s">
        <v>29</v>
      </c>
      <c r="C7" s="39"/>
      <c r="D7" s="39"/>
      <c r="E7" s="39"/>
      <c r="F7" s="39"/>
      <c r="G7" s="39"/>
      <c r="H7" s="39"/>
      <c r="I7" s="39"/>
      <c r="J7" s="39"/>
      <c r="K7" s="39"/>
      <c r="L7" s="39"/>
      <c r="M7" s="39"/>
      <c r="N7" s="39"/>
      <c r="O7" s="40"/>
      <c r="P7" s="41">
        <f>'Proforma PL'!P12</f>
        <v>231123.95444469014</v>
      </c>
      <c r="Q7" s="41">
        <f>'Proforma PL'!Q12</f>
        <v>299606.70396143768</v>
      </c>
      <c r="R7" s="41">
        <f>'Proforma PL'!R12</f>
        <v>279432.08733203728</v>
      </c>
      <c r="S7" s="41">
        <f>'Proforma PL'!S12</f>
        <v>317959.04708066391</v>
      </c>
      <c r="T7" s="41">
        <f>'Proforma PL'!T12</f>
        <v>356180.13347561721</v>
      </c>
      <c r="U7" s="41">
        <f>'Proforma PL'!U12</f>
        <v>393810.56964087498</v>
      </c>
      <c r="V7" s="41">
        <f>U7*(1+$I$26)</f>
        <v>395779.62248907931</v>
      </c>
      <c r="X7" s="162"/>
      <c r="Y7" s="162"/>
      <c r="Z7" s="162"/>
      <c r="AA7" s="162"/>
      <c r="AB7" s="162"/>
    </row>
    <row r="8" spans="1:28" x14ac:dyDescent="0.3">
      <c r="B8" s="20" t="s">
        <v>30</v>
      </c>
      <c r="C8" s="20"/>
      <c r="D8" s="20"/>
      <c r="E8" s="20"/>
      <c r="F8" s="20"/>
      <c r="G8" s="20"/>
      <c r="H8" s="20"/>
      <c r="I8" s="20"/>
      <c r="J8" s="20"/>
      <c r="K8" s="20"/>
      <c r="L8" s="20"/>
      <c r="M8" s="20"/>
      <c r="N8" s="20"/>
      <c r="O8" s="42"/>
      <c r="P8" s="31">
        <f t="shared" ref="P8:V8" si="0">P6-P7</f>
        <v>81046.821607412421</v>
      </c>
      <c r="Q8" s="31">
        <f t="shared" si="0"/>
        <v>102280.45117539633</v>
      </c>
      <c r="R8" s="31">
        <f t="shared" si="0"/>
        <v>104593.0190451825</v>
      </c>
      <c r="S8" s="31">
        <f t="shared" si="0"/>
        <v>115890.83282499883</v>
      </c>
      <c r="T8" s="31">
        <f t="shared" si="0"/>
        <v>127627.40311951848</v>
      </c>
      <c r="U8" s="31">
        <f t="shared" si="0"/>
        <v>141721.51544615452</v>
      </c>
      <c r="V8" s="31">
        <f t="shared" si="0"/>
        <v>142430.12302338524</v>
      </c>
    </row>
    <row r="9" spans="1:28" x14ac:dyDescent="0.3">
      <c r="B9" s="43" t="s">
        <v>31</v>
      </c>
      <c r="C9" s="43"/>
      <c r="D9" s="43"/>
      <c r="E9" s="43"/>
      <c r="F9" s="43"/>
      <c r="G9" s="43"/>
      <c r="H9" s="43"/>
      <c r="I9" s="43"/>
      <c r="J9" s="43"/>
      <c r="K9" s="43"/>
      <c r="L9" s="43"/>
      <c r="M9" s="43"/>
      <c r="N9" s="43"/>
      <c r="O9" s="44"/>
      <c r="P9" s="45">
        <f t="shared" ref="P9:V9" si="1">P8/P$6</f>
        <v>0.25962334665780945</v>
      </c>
      <c r="Q9" s="45">
        <f t="shared" si="1"/>
        <v>0.25450042348472673</v>
      </c>
      <c r="R9" s="45">
        <f t="shared" si="1"/>
        <v>0.27235984655243606</v>
      </c>
      <c r="S9" s="45">
        <f t="shared" si="1"/>
        <v>0.26712196589796999</v>
      </c>
      <c r="T9" s="45">
        <f t="shared" si="1"/>
        <v>0.26379788131808463</v>
      </c>
      <c r="U9" s="45">
        <f t="shared" si="1"/>
        <v>0.26463683389413223</v>
      </c>
      <c r="V9" s="45">
        <f t="shared" si="1"/>
        <v>0.26463683389413217</v>
      </c>
    </row>
    <row r="10" spans="1:28" x14ac:dyDescent="0.3">
      <c r="B10" s="39" t="s">
        <v>32</v>
      </c>
      <c r="C10" s="39"/>
      <c r="D10" s="39"/>
      <c r="E10" s="39"/>
      <c r="F10" s="39"/>
      <c r="G10" s="39"/>
      <c r="H10" s="39"/>
      <c r="I10" s="39"/>
      <c r="J10" s="39"/>
      <c r="K10" s="39"/>
      <c r="L10" s="39"/>
      <c r="M10" s="39"/>
      <c r="N10" s="39"/>
      <c r="O10" s="40"/>
      <c r="P10" s="41">
        <f>'Proforma PL'!P15</f>
        <v>60236.141953667546</v>
      </c>
      <c r="Q10" s="41">
        <f>'Proforma PL'!Q15</f>
        <v>78549.362712555099</v>
      </c>
      <c r="R10" s="41">
        <f>'Proforma PL'!R15</f>
        <v>79066.552726676862</v>
      </c>
      <c r="S10" s="41">
        <f>'Proforma PL'!S15</f>
        <v>83876.936076966536</v>
      </c>
      <c r="T10" s="41">
        <f>'Proforma PL'!T15</f>
        <v>88454.287497459751</v>
      </c>
      <c r="U10" s="41">
        <f>'Proforma PL'!U15</f>
        <v>93105.563033504557</v>
      </c>
      <c r="V10" s="41">
        <f>U10*(1+$I$26)</f>
        <v>93571.090848672073</v>
      </c>
    </row>
    <row r="11" spans="1:28" x14ac:dyDescent="0.3">
      <c r="B11" s="11" t="s">
        <v>33</v>
      </c>
      <c r="C11" s="11"/>
      <c r="D11" s="11"/>
      <c r="E11" s="11"/>
      <c r="F11" s="11"/>
      <c r="G11" s="11"/>
      <c r="H11" s="11"/>
      <c r="I11" s="11"/>
      <c r="J11" s="11"/>
      <c r="K11" s="11"/>
      <c r="L11" s="11"/>
      <c r="M11" s="11"/>
      <c r="N11" s="11"/>
      <c r="O11" s="46"/>
      <c r="P11" s="47">
        <f t="shared" ref="P11:V11" si="2">P8-P10</f>
        <v>20810.679653744875</v>
      </c>
      <c r="Q11" s="47">
        <f t="shared" si="2"/>
        <v>23731.088462841231</v>
      </c>
      <c r="R11" s="47">
        <f t="shared" si="2"/>
        <v>25526.466318505642</v>
      </c>
      <c r="S11" s="47">
        <f t="shared" si="2"/>
        <v>32013.89674803229</v>
      </c>
      <c r="T11" s="47">
        <f t="shared" si="2"/>
        <v>39173.115622058729</v>
      </c>
      <c r="U11" s="47">
        <f t="shared" si="2"/>
        <v>48615.95241264996</v>
      </c>
      <c r="V11" s="47">
        <f t="shared" si="2"/>
        <v>48859.032174713167</v>
      </c>
    </row>
    <row r="12" spans="1:28" x14ac:dyDescent="0.3">
      <c r="B12" s="43" t="s">
        <v>31</v>
      </c>
      <c r="C12" s="43"/>
      <c r="D12" s="43"/>
      <c r="E12" s="43"/>
      <c r="F12" s="43"/>
      <c r="G12" s="43"/>
      <c r="H12" s="43"/>
      <c r="I12" s="43"/>
      <c r="J12" s="43"/>
      <c r="K12" s="43"/>
      <c r="L12" s="43"/>
      <c r="M12" s="43"/>
      <c r="N12" s="43"/>
      <c r="O12" s="44"/>
      <c r="P12" s="45">
        <f t="shared" ref="P12:V12" si="3">P11/P$6</f>
        <v>6.6664406953556368E-2</v>
      </c>
      <c r="Q12" s="45">
        <f t="shared" si="3"/>
        <v>5.9049133965879803E-2</v>
      </c>
      <c r="R12" s="45">
        <f t="shared" si="3"/>
        <v>6.6470826762642779E-2</v>
      </c>
      <c r="S12" s="45">
        <f t="shared" si="3"/>
        <v>7.3790263016768526E-2</v>
      </c>
      <c r="T12" s="45">
        <f t="shared" si="3"/>
        <v>8.0968386515317847E-2</v>
      </c>
      <c r="U12" s="45">
        <f t="shared" si="3"/>
        <v>9.0780653048545851E-2</v>
      </c>
      <c r="V12" s="45">
        <f t="shared" si="3"/>
        <v>9.0780653048545781E-2</v>
      </c>
    </row>
    <row r="13" spans="1:28" x14ac:dyDescent="0.3">
      <c r="B13" s="39" t="s">
        <v>34</v>
      </c>
      <c r="C13" s="39"/>
      <c r="D13" s="39"/>
      <c r="E13" s="39"/>
      <c r="F13" s="39"/>
      <c r="G13" s="39"/>
      <c r="H13" s="39"/>
      <c r="I13" s="39"/>
      <c r="J13" s="39"/>
      <c r="K13" s="39"/>
      <c r="L13" s="39"/>
      <c r="M13" s="39"/>
      <c r="N13" s="39"/>
      <c r="O13" s="40"/>
      <c r="P13" s="41">
        <v>4303.9004800594566</v>
      </c>
      <c r="Q13" s="48"/>
      <c r="R13" s="41">
        <v>5729.4689738873667</v>
      </c>
      <c r="S13" s="41">
        <v>7118.5538283881333</v>
      </c>
      <c r="T13" s="41">
        <v>9031.9654345918825</v>
      </c>
      <c r="U13" s="41">
        <v>11315.371526650248</v>
      </c>
      <c r="V13" s="41">
        <v>11374.258384283497</v>
      </c>
    </row>
    <row r="14" spans="1:28" x14ac:dyDescent="0.3">
      <c r="B14" s="11" t="s">
        <v>35</v>
      </c>
      <c r="C14" s="6"/>
      <c r="D14" s="6"/>
      <c r="E14" s="6"/>
      <c r="F14" s="6"/>
      <c r="G14" s="6"/>
      <c r="H14" s="6"/>
      <c r="I14" s="6"/>
      <c r="J14" s="6"/>
      <c r="K14" s="6"/>
      <c r="L14" s="6"/>
      <c r="M14" s="6"/>
      <c r="N14" s="6"/>
      <c r="O14" s="49"/>
      <c r="P14" s="47">
        <f>P11-P13</f>
        <v>16506.77917368542</v>
      </c>
      <c r="Q14" s="50"/>
      <c r="R14" s="47">
        <f>R11-R13</f>
        <v>19796.997344618274</v>
      </c>
      <c r="S14" s="47">
        <f>S11-S13</f>
        <v>24895.342919644158</v>
      </c>
      <c r="T14" s="47">
        <f>T11-T13</f>
        <v>30141.150187466847</v>
      </c>
      <c r="U14" s="47">
        <f>U11-U13</f>
        <v>37300.580885999712</v>
      </c>
      <c r="V14" s="47">
        <f>V11-V13</f>
        <v>37484.773790429666</v>
      </c>
    </row>
    <row r="15" spans="1:28" x14ac:dyDescent="0.3">
      <c r="B15" s="6" t="s">
        <v>36</v>
      </c>
      <c r="C15" s="6"/>
      <c r="D15" s="6"/>
      <c r="E15" s="6"/>
      <c r="F15" s="6"/>
      <c r="G15" s="6"/>
      <c r="H15" s="6"/>
      <c r="I15" s="6"/>
      <c r="J15" s="6"/>
      <c r="K15" s="6"/>
      <c r="L15" s="6"/>
      <c r="M15" s="6"/>
      <c r="N15" s="6"/>
      <c r="O15" s="49"/>
      <c r="P15" s="51">
        <f>'Proforma PL'!P26</f>
        <v>4387.6363486486989</v>
      </c>
      <c r="Q15" s="52"/>
      <c r="R15" s="51">
        <f>'Proforma PL'!R26</f>
        <v>4388.9114303982815</v>
      </c>
      <c r="S15" s="51">
        <f>'Proforma PL'!S26</f>
        <v>4406.3455330952484</v>
      </c>
      <c r="T15" s="51">
        <f>'Proforma PL'!T26</f>
        <v>4431.8655648404119</v>
      </c>
      <c r="U15" s="51">
        <f>'Proforma PL'!U26</f>
        <v>4510.3794523034721</v>
      </c>
      <c r="V15" s="52"/>
    </row>
    <row r="16" spans="1:28" x14ac:dyDescent="0.3">
      <c r="B16" s="6" t="s">
        <v>37</v>
      </c>
      <c r="C16" s="6"/>
      <c r="D16" s="6"/>
      <c r="E16" s="6"/>
      <c r="F16" s="6"/>
      <c r="G16" s="6"/>
      <c r="H16" s="6"/>
      <c r="I16" s="6"/>
      <c r="J16" s="6"/>
      <c r="K16" s="6"/>
      <c r="L16" s="6"/>
      <c r="M16" s="6"/>
      <c r="N16" s="6"/>
      <c r="O16" s="49"/>
      <c r="P16" s="19">
        <f>CAPEX_HW!Y6+CAPEX_강소!Y6+Projection_미국!Y274+Projection_중국!Y272+Projection_유럽!Y166</f>
        <v>4294.9395664620961</v>
      </c>
      <c r="Q16" s="53"/>
      <c r="R16" s="51">
        <f>CAPEX_HW!AA6+CAPEX_강소!AA6+Projection_미국!AA274+Projection_중국!AA272+Projection_유럽!AA166</f>
        <v>4357.0403518870799</v>
      </c>
      <c r="S16" s="51">
        <f>CAPEX_HW!AB6+CAPEX_강소!AB6+Projection_미국!AB274+Projection_중국!AB272+Projection_유럽!AB166</f>
        <v>4375.1867066705036</v>
      </c>
      <c r="T16" s="51">
        <f>CAPEX_HW!AC6+CAPEX_강소!AC6+Projection_미국!AC274+Projection_중국!AC272+Projection_유럽!AC166</f>
        <v>4403.435393900817</v>
      </c>
      <c r="U16" s="51">
        <f>CAPEX_HW!AD6+CAPEX_강소!AD6+Projection_미국!AD274+Projection_중국!AD272+Projection_유럽!AD166</f>
        <v>4480.7549098636064</v>
      </c>
      <c r="V16" s="53"/>
    </row>
    <row r="17" spans="2:22" x14ac:dyDescent="0.3">
      <c r="B17" s="39" t="s">
        <v>38</v>
      </c>
      <c r="C17" s="39"/>
      <c r="D17" s="39"/>
      <c r="E17" s="39"/>
      <c r="F17" s="39"/>
      <c r="G17" s="39"/>
      <c r="H17" s="39"/>
      <c r="I17" s="39"/>
      <c r="J17" s="39"/>
      <c r="K17" s="39"/>
      <c r="L17" s="39"/>
      <c r="M17" s="39"/>
      <c r="N17" s="39"/>
      <c r="O17" s="40"/>
      <c r="P17" s="54">
        <f>NWC_연결!P6</f>
        <v>-16257.033508374094</v>
      </c>
      <c r="Q17" s="55"/>
      <c r="R17" s="54">
        <f>NWC_연결!R6</f>
        <v>-9574.7874443378532</v>
      </c>
      <c r="S17" s="54">
        <f>NWC_연결!S6</f>
        <v>20834.398655807949</v>
      </c>
      <c r="T17" s="54">
        <f>NWC_연결!T6</f>
        <v>20951.381015220279</v>
      </c>
      <c r="U17" s="54">
        <f>NWC_연결!U6</f>
        <v>20590.111461572145</v>
      </c>
      <c r="V17" s="54">
        <f>NWC_연결!V6</f>
        <v>1079.4050529595115</v>
      </c>
    </row>
    <row r="18" spans="2:22" x14ac:dyDescent="0.3">
      <c r="B18" s="56" t="s">
        <v>39</v>
      </c>
      <c r="C18" s="27"/>
      <c r="D18" s="27"/>
      <c r="E18" s="27"/>
      <c r="F18" s="27"/>
      <c r="G18" s="27"/>
      <c r="H18" s="27"/>
      <c r="I18" s="27"/>
      <c r="J18" s="27"/>
      <c r="K18" s="27"/>
      <c r="L18" s="27"/>
      <c r="M18" s="27"/>
      <c r="N18" s="27"/>
      <c r="O18" s="57"/>
      <c r="P18" s="58">
        <f>P14+P15-P16-P17</f>
        <v>32856.509464246119</v>
      </c>
      <c r="Q18" s="59"/>
      <c r="R18" s="58">
        <f>R14+R15-R16-R17</f>
        <v>29403.655867467329</v>
      </c>
      <c r="S18" s="58">
        <f>S14+S15-S16-S17</f>
        <v>4092.1030902609564</v>
      </c>
      <c r="T18" s="58">
        <f>T14+T15-T16-T17</f>
        <v>9218.1993431861592</v>
      </c>
      <c r="U18" s="58">
        <f>U14+U15-U16-U17</f>
        <v>16740.093966867433</v>
      </c>
      <c r="V18" s="58">
        <f>V14+V15-V16-V17</f>
        <v>36405.368737470155</v>
      </c>
    </row>
    <row r="19" spans="2:22" x14ac:dyDescent="0.3">
      <c r="B19" s="6" t="s">
        <v>40</v>
      </c>
      <c r="C19" s="6"/>
      <c r="D19" s="6"/>
      <c r="E19" s="6"/>
      <c r="F19" s="6"/>
      <c r="G19" s="6"/>
      <c r="H19" s="6"/>
      <c r="I19" s="6"/>
      <c r="J19" s="6"/>
      <c r="K19" s="6"/>
      <c r="L19" s="6"/>
      <c r="M19" s="6"/>
      <c r="N19" s="6"/>
      <c r="O19" s="49"/>
      <c r="P19" s="60">
        <f>'Key Assumption'!$I$9/2</f>
        <v>0.37671232876712329</v>
      </c>
      <c r="Q19" s="61"/>
      <c r="R19" s="60">
        <f>'Key Assumption'!$I$9+0.5</f>
        <v>1.2534246575342465</v>
      </c>
      <c r="S19" s="60">
        <f t="shared" ref="S19:U19" si="4">R19+1</f>
        <v>2.2534246575342465</v>
      </c>
      <c r="T19" s="60">
        <f t="shared" si="4"/>
        <v>3.2534246575342465</v>
      </c>
      <c r="U19" s="60">
        <f t="shared" si="4"/>
        <v>4.2534246575342465</v>
      </c>
      <c r="V19" s="60">
        <f>U19</f>
        <v>4.2534246575342465</v>
      </c>
    </row>
    <row r="20" spans="2:22" x14ac:dyDescent="0.3">
      <c r="B20" s="6" t="s">
        <v>41</v>
      </c>
      <c r="C20" s="6"/>
      <c r="D20" s="6"/>
      <c r="E20" s="6"/>
      <c r="F20" s="6"/>
      <c r="G20" s="6"/>
      <c r="H20" s="6"/>
      <c r="I20" s="6"/>
      <c r="J20" s="6"/>
      <c r="K20" s="6"/>
      <c r="L20" s="6"/>
      <c r="M20" s="6"/>
      <c r="N20" s="6"/>
      <c r="O20" s="49"/>
      <c r="P20" s="60">
        <f>1/(1+$I$27)^P19</f>
        <v>0.96144905103256273</v>
      </c>
      <c r="Q20" s="61"/>
      <c r="R20" s="60">
        <f t="shared" ref="R20:U20" si="5">1/(1+$I$27)^R19</f>
        <v>0.87738672835667175</v>
      </c>
      <c r="S20" s="60">
        <f t="shared" si="5"/>
        <v>0.79043849401501953</v>
      </c>
      <c r="T20" s="60">
        <f t="shared" si="5"/>
        <v>0.71210675136488244</v>
      </c>
      <c r="U20" s="60">
        <f t="shared" si="5"/>
        <v>0.6415376138422364</v>
      </c>
      <c r="V20" s="60">
        <f>U20</f>
        <v>0.6415376138422364</v>
      </c>
    </row>
    <row r="21" spans="2:22" x14ac:dyDescent="0.3">
      <c r="B21" s="56" t="s">
        <v>42</v>
      </c>
      <c r="C21" s="56"/>
      <c r="D21" s="56"/>
      <c r="E21" s="56"/>
      <c r="F21" s="56"/>
      <c r="G21" s="56"/>
      <c r="H21" s="56"/>
      <c r="I21" s="56"/>
      <c r="J21" s="56"/>
      <c r="K21" s="56"/>
      <c r="L21" s="56"/>
      <c r="M21" s="56"/>
      <c r="N21" s="56"/>
      <c r="O21" s="62"/>
      <c r="P21" s="58">
        <f>P18*P20</f>
        <v>31589.859844641847</v>
      </c>
      <c r="Q21" s="59"/>
      <c r="R21" s="58">
        <f>R18*R20</f>
        <v>25798.377423282614</v>
      </c>
      <c r="S21" s="58">
        <f>S18*S20</f>
        <v>3234.5558040200781</v>
      </c>
      <c r="T21" s="58">
        <f>T18*T20</f>
        <v>6564.3419877101887</v>
      </c>
      <c r="U21" s="58">
        <f>U18*U20</f>
        <v>10739.399938998951</v>
      </c>
      <c r="V21" s="58">
        <f>V18*V20/(I27-I26)</f>
        <v>222432.50848460337</v>
      </c>
    </row>
    <row r="22" spans="2:22" x14ac:dyDescent="0.3">
      <c r="B22" s="6" t="s">
        <v>43</v>
      </c>
      <c r="C22" s="6"/>
      <c r="D22" s="6"/>
      <c r="E22" s="6"/>
      <c r="F22" s="6"/>
      <c r="G22" s="6"/>
      <c r="H22" s="6"/>
      <c r="I22" s="6"/>
      <c r="J22" s="6"/>
      <c r="K22" s="6"/>
      <c r="L22" s="6"/>
      <c r="M22" s="6"/>
      <c r="N22" s="6"/>
      <c r="O22" s="49"/>
      <c r="P22" s="51">
        <f>SUM(P21:U21)</f>
        <v>77926.534998653675</v>
      </c>
      <c r="Q22" s="6"/>
      <c r="R22" s="6"/>
      <c r="S22" s="6"/>
      <c r="T22" s="6"/>
      <c r="U22" s="6"/>
      <c r="V22" s="6"/>
    </row>
    <row r="23" spans="2:22" x14ac:dyDescent="0.3">
      <c r="B23" s="6" t="s">
        <v>44</v>
      </c>
      <c r="C23" s="6"/>
      <c r="D23" s="6"/>
      <c r="E23" s="6"/>
      <c r="F23" s="6"/>
      <c r="G23" s="6"/>
      <c r="H23" s="6"/>
      <c r="I23" s="6"/>
      <c r="J23" s="6"/>
      <c r="K23" s="6"/>
      <c r="L23" s="6"/>
      <c r="M23" s="6"/>
      <c r="N23" s="6"/>
      <c r="O23" s="49"/>
      <c r="P23" s="51">
        <f>V21</f>
        <v>222432.50848460337</v>
      </c>
      <c r="Q23" s="6"/>
      <c r="R23" s="6"/>
      <c r="S23" s="6"/>
      <c r="T23" s="6"/>
      <c r="U23" s="6"/>
      <c r="V23" s="6"/>
    </row>
    <row r="24" spans="2:22" x14ac:dyDescent="0.3">
      <c r="B24" s="65" t="s">
        <v>45</v>
      </c>
      <c r="C24" s="66"/>
      <c r="D24" s="66"/>
      <c r="E24" s="66"/>
      <c r="F24" s="66"/>
      <c r="G24" s="66"/>
      <c r="H24" s="66"/>
      <c r="I24" s="66"/>
      <c r="J24" s="66"/>
      <c r="K24" s="66"/>
      <c r="L24" s="66"/>
      <c r="M24" s="66"/>
      <c r="N24" s="66"/>
      <c r="O24" s="67"/>
      <c r="P24" s="68">
        <f>P23+P22</f>
        <v>300359.04348325706</v>
      </c>
      <c r="Q24" s="66"/>
      <c r="R24" s="66"/>
      <c r="S24" s="66"/>
      <c r="T24" s="66"/>
      <c r="U24" s="66"/>
      <c r="V24" s="66"/>
    </row>
    <row r="26" spans="2:22" x14ac:dyDescent="0.3">
      <c r="B26" s="69" t="s">
        <v>46</v>
      </c>
      <c r="C26" s="69"/>
      <c r="D26" s="69"/>
      <c r="E26" s="69"/>
      <c r="F26" s="69"/>
      <c r="G26" s="70"/>
      <c r="H26" s="70"/>
      <c r="I26" s="71">
        <v>5.0000000000000001E-3</v>
      </c>
      <c r="P26" s="132"/>
      <c r="R26" s="132"/>
      <c r="S26" s="132"/>
      <c r="T26" s="132"/>
      <c r="U26" s="132"/>
      <c r="V26" s="17"/>
    </row>
    <row r="27" spans="2:22" x14ac:dyDescent="0.3">
      <c r="B27" s="72" t="s">
        <v>47</v>
      </c>
      <c r="C27" s="72"/>
      <c r="D27" s="72"/>
      <c r="E27" s="72"/>
      <c r="F27" s="72"/>
      <c r="G27" s="73"/>
      <c r="H27" s="73"/>
      <c r="I27" s="74">
        <v>0.11</v>
      </c>
      <c r="K27" s="17"/>
      <c r="P27" s="75"/>
      <c r="Q27" s="75"/>
      <c r="R27" s="76"/>
      <c r="S27" s="76"/>
      <c r="T27" s="77" t="s">
        <v>48</v>
      </c>
      <c r="U27" s="75"/>
      <c r="V27" s="75"/>
    </row>
    <row r="28" spans="2:22" x14ac:dyDescent="0.3">
      <c r="P28" s="76"/>
      <c r="Q28" s="163">
        <f>$I$34</f>
        <v>303168.40188625705</v>
      </c>
      <c r="R28" s="164">
        <v>0</v>
      </c>
      <c r="S28" s="164">
        <v>2.5000000000000001E-3</v>
      </c>
      <c r="T28" s="164">
        <v>5.0000000000000001E-3</v>
      </c>
      <c r="U28" s="164">
        <v>7.4999999999999997E-3</v>
      </c>
      <c r="V28" s="165">
        <v>0.01</v>
      </c>
    </row>
    <row r="29" spans="2:22" x14ac:dyDescent="0.3">
      <c r="B29" s="80" t="s">
        <v>49</v>
      </c>
      <c r="C29" s="9"/>
      <c r="D29" s="9"/>
      <c r="E29" s="9"/>
      <c r="F29" s="9"/>
      <c r="G29" s="9"/>
      <c r="H29" s="9"/>
      <c r="I29" s="9"/>
      <c r="P29" s="76"/>
      <c r="Q29" s="166">
        <f>Q30-0.5%</f>
        <v>9.9999999999999992E-2</v>
      </c>
      <c r="R29" s="82">
        <f t="dataTable" ref="R29:V33" dt2D="1" dtr="1" r1="I26" r2="I27" ca="1"/>
        <v>330117.76236531709</v>
      </c>
      <c r="S29" s="83">
        <v>333624.87917473173</v>
      </c>
      <c r="T29" s="83">
        <v>337316.58107937948</v>
      </c>
      <c r="U29" s="83">
        <v>341207.83443833323</v>
      </c>
      <c r="V29" s="167">
        <v>345315.26853944996</v>
      </c>
    </row>
    <row r="30" spans="2:22" x14ac:dyDescent="0.3">
      <c r="B30" s="11" t="s">
        <v>50</v>
      </c>
      <c r="I30" s="13">
        <f>P24</f>
        <v>300359.04348325706</v>
      </c>
      <c r="P30" s="76"/>
      <c r="Q30" s="166">
        <f>Q31-0.5%</f>
        <v>0.105</v>
      </c>
      <c r="R30" s="85">
        <v>313228.53413994337</v>
      </c>
      <c r="S30" s="51">
        <v>316217.96602364007</v>
      </c>
      <c r="T30" s="51">
        <v>319356.86950152222</v>
      </c>
      <c r="U30" s="86">
        <v>322656.7423885272</v>
      </c>
      <c r="V30" s="168">
        <v>326130.29279589996</v>
      </c>
    </row>
    <row r="31" spans="2:22" x14ac:dyDescent="0.3">
      <c r="B31" s="3" t="s">
        <v>51</v>
      </c>
      <c r="I31" s="16">
        <v>38139.885755000003</v>
      </c>
      <c r="P31" s="77" t="s">
        <v>52</v>
      </c>
      <c r="Q31" s="166">
        <v>0.11</v>
      </c>
      <c r="R31" s="85">
        <v>297935.41633257078</v>
      </c>
      <c r="S31" s="51">
        <v>300491.06044018472</v>
      </c>
      <c r="T31" s="86">
        <v>303168.40188625705</v>
      </c>
      <c r="U31" s="51">
        <v>305976.34535408963</v>
      </c>
      <c r="V31" s="168">
        <v>308924.68599531293</v>
      </c>
    </row>
    <row r="32" spans="2:22" x14ac:dyDescent="0.3">
      <c r="B32" s="11" t="s">
        <v>53</v>
      </c>
      <c r="I32" s="13">
        <f>I30+I31</f>
        <v>338498.92923825706</v>
      </c>
      <c r="P32" s="76"/>
      <c r="Q32" s="166">
        <f>Q31+0.5%</f>
        <v>0.115</v>
      </c>
      <c r="R32" s="85">
        <v>284028.50770225824</v>
      </c>
      <c r="S32" s="86">
        <v>286218.44624145696</v>
      </c>
      <c r="T32" s="51">
        <v>288507.927441529</v>
      </c>
      <c r="U32" s="51">
        <v>290903.89613927936</v>
      </c>
      <c r="V32" s="168">
        <v>293413.95858454081</v>
      </c>
    </row>
    <row r="33" spans="2:22" x14ac:dyDescent="0.3">
      <c r="B33" s="3" t="s">
        <v>54</v>
      </c>
      <c r="I33" s="16">
        <v>35330.527351999997</v>
      </c>
      <c r="P33" s="76"/>
      <c r="Q33" s="169">
        <f>Q32+0.5%</f>
        <v>0.12000000000000001</v>
      </c>
      <c r="R33" s="170">
        <v>271332.94363679743</v>
      </c>
      <c r="S33" s="171">
        <v>273212.88014938129</v>
      </c>
      <c r="T33" s="171">
        <v>275174.55303207797</v>
      </c>
      <c r="U33" s="171">
        <v>277223.41137622838</v>
      </c>
      <c r="V33" s="172">
        <v>279365.39964511222</v>
      </c>
    </row>
    <row r="34" spans="2:22" x14ac:dyDescent="0.3">
      <c r="B34" s="65" t="s">
        <v>55</v>
      </c>
      <c r="C34" s="92"/>
      <c r="D34" s="92"/>
      <c r="E34" s="92"/>
      <c r="F34" s="92"/>
      <c r="G34" s="92"/>
      <c r="H34" s="92"/>
      <c r="I34" s="93">
        <f>I32-I33</f>
        <v>303168.40188625705</v>
      </c>
      <c r="M34" s="121"/>
      <c r="P34" s="6"/>
      <c r="Q34" s="6"/>
      <c r="R34" s="6"/>
      <c r="S34" s="6"/>
      <c r="T34" s="6"/>
      <c r="U34" s="6"/>
      <c r="V34" s="6"/>
    </row>
    <row r="35" spans="2:22" ht="12.75" thickBot="1" x14ac:dyDescent="0.35">
      <c r="B35" s="11"/>
      <c r="I35" s="13"/>
      <c r="M35" s="121"/>
      <c r="P35" s="6"/>
      <c r="Q35" s="6"/>
      <c r="R35" s="6"/>
      <c r="S35" s="6"/>
      <c r="T35" s="6"/>
      <c r="U35" s="6"/>
      <c r="V35" s="6"/>
    </row>
    <row r="36" spans="2:22" x14ac:dyDescent="0.3">
      <c r="B36" s="173"/>
      <c r="C36" s="174"/>
      <c r="D36" s="174"/>
      <c r="E36" s="174"/>
      <c r="F36" s="174"/>
      <c r="G36" s="174"/>
      <c r="H36" s="174"/>
      <c r="I36" s="174" t="s">
        <v>57</v>
      </c>
      <c r="J36" s="175" t="s">
        <v>58</v>
      </c>
      <c r="K36" s="11"/>
      <c r="L36" s="11"/>
      <c r="M36" s="11"/>
      <c r="N36" s="11"/>
      <c r="O36" s="11"/>
      <c r="P36" s="11"/>
      <c r="Q36" s="11"/>
      <c r="R36" s="11"/>
      <c r="S36" s="11"/>
      <c r="T36" s="11"/>
    </row>
    <row r="37" spans="2:22" s="11" customFormat="1" x14ac:dyDescent="0.3">
      <c r="B37" s="176" t="s">
        <v>59</v>
      </c>
      <c r="I37" s="47">
        <f>'Proforma PL'!Q27</f>
        <v>29233.143948589932</v>
      </c>
      <c r="J37" s="177">
        <f>I37</f>
        <v>29233.143948589932</v>
      </c>
    </row>
    <row r="38" spans="2:22" x14ac:dyDescent="0.3">
      <c r="B38" s="178" t="s">
        <v>60</v>
      </c>
      <c r="C38" s="97"/>
      <c r="D38" s="97"/>
      <c r="E38" s="97"/>
      <c r="F38" s="97"/>
      <c r="G38" s="97"/>
      <c r="H38" s="97"/>
      <c r="I38" s="97"/>
      <c r="J38" s="179"/>
      <c r="K38" s="11"/>
      <c r="L38" s="11"/>
      <c r="M38" s="11"/>
      <c r="N38" s="11"/>
      <c r="O38" s="11"/>
      <c r="P38" s="11"/>
      <c r="Q38" s="11"/>
      <c r="R38" s="11"/>
      <c r="S38" s="11"/>
      <c r="T38" s="11"/>
    </row>
    <row r="39" spans="2:22" x14ac:dyDescent="0.3">
      <c r="B39" s="180"/>
      <c r="C39" s="3" t="s">
        <v>61</v>
      </c>
      <c r="I39" s="3">
        <v>4</v>
      </c>
      <c r="J39" s="181">
        <v>8</v>
      </c>
      <c r="K39" s="11"/>
      <c r="L39" s="11"/>
      <c r="M39" s="11"/>
      <c r="N39" s="11"/>
      <c r="O39" s="11"/>
      <c r="P39" s="11"/>
      <c r="Q39" s="11"/>
      <c r="R39" s="11"/>
      <c r="S39" s="11"/>
      <c r="T39" s="11"/>
    </row>
    <row r="40" spans="2:22" x14ac:dyDescent="0.3">
      <c r="B40" s="182"/>
      <c r="C40" s="100" t="s">
        <v>62</v>
      </c>
      <c r="D40" s="100"/>
      <c r="E40" s="100"/>
      <c r="F40" s="100"/>
      <c r="G40" s="100"/>
      <c r="H40" s="100"/>
      <c r="I40" s="100">
        <v>6</v>
      </c>
      <c r="J40" s="183">
        <v>10</v>
      </c>
      <c r="K40" s="11"/>
      <c r="L40" s="11"/>
      <c r="M40" s="11"/>
      <c r="N40" s="11"/>
      <c r="O40" s="11"/>
      <c r="P40" s="11"/>
      <c r="Q40" s="11"/>
      <c r="R40" s="11"/>
      <c r="S40" s="11"/>
      <c r="T40" s="11"/>
    </row>
    <row r="41" spans="2:22" s="11" customFormat="1" x14ac:dyDescent="0.3">
      <c r="B41" s="176" t="s">
        <v>63</v>
      </c>
      <c r="J41" s="184"/>
    </row>
    <row r="42" spans="2:22" s="11" customFormat="1" x14ac:dyDescent="0.3">
      <c r="B42" s="176"/>
      <c r="C42" s="11" t="s">
        <v>61</v>
      </c>
      <c r="I42" s="47">
        <f t="shared" ref="I42:J43" si="6">I$37*I39</f>
        <v>116932.57579435973</v>
      </c>
      <c r="J42" s="177">
        <f t="shared" si="6"/>
        <v>233865.15158871945</v>
      </c>
    </row>
    <row r="43" spans="2:22" s="11" customFormat="1" x14ac:dyDescent="0.3">
      <c r="B43" s="176"/>
      <c r="C43" s="11" t="s">
        <v>62</v>
      </c>
      <c r="I43" s="47">
        <f t="shared" si="6"/>
        <v>175398.86369153959</v>
      </c>
      <c r="J43" s="177">
        <f t="shared" si="6"/>
        <v>292331.43948589929</v>
      </c>
    </row>
    <row r="44" spans="2:22" x14ac:dyDescent="0.3">
      <c r="B44" s="185" t="s">
        <v>64</v>
      </c>
      <c r="C44" s="103"/>
      <c r="D44" s="103"/>
      <c r="E44" s="103"/>
      <c r="F44" s="103"/>
      <c r="G44" s="103"/>
      <c r="H44" s="103"/>
      <c r="I44" s="104">
        <f>I33-I31</f>
        <v>-2809.3584030000056</v>
      </c>
      <c r="J44" s="186">
        <f t="shared" ref="J44" si="7">I44</f>
        <v>-2809.3584030000056</v>
      </c>
      <c r="K44" s="11"/>
      <c r="L44" s="11"/>
      <c r="M44" s="11"/>
      <c r="N44" s="11"/>
      <c r="O44" s="11"/>
      <c r="P44" s="11"/>
      <c r="Q44" s="11"/>
      <c r="R44" s="11"/>
      <c r="S44" s="11"/>
      <c r="T44" s="11"/>
    </row>
    <row r="45" spans="2:22" s="11" customFormat="1" x14ac:dyDescent="0.3">
      <c r="B45" s="176" t="s">
        <v>65</v>
      </c>
      <c r="J45" s="184"/>
    </row>
    <row r="46" spans="2:22" s="11" customFormat="1" x14ac:dyDescent="0.3">
      <c r="B46" s="176"/>
      <c r="C46" s="11" t="s">
        <v>61</v>
      </c>
      <c r="I46" s="47">
        <f t="shared" ref="I46:J47" si="8">I42-I$44</f>
        <v>119741.93419735973</v>
      </c>
      <c r="J46" s="177">
        <f t="shared" si="8"/>
        <v>236674.50999171945</v>
      </c>
    </row>
    <row r="47" spans="2:22" s="11" customFormat="1" ht="12.75" thickBot="1" x14ac:dyDescent="0.35">
      <c r="B47" s="187"/>
      <c r="C47" s="188" t="s">
        <v>62</v>
      </c>
      <c r="D47" s="188"/>
      <c r="E47" s="188"/>
      <c r="F47" s="188"/>
      <c r="G47" s="188"/>
      <c r="H47" s="188"/>
      <c r="I47" s="189">
        <f t="shared" si="8"/>
        <v>178208.22209453961</v>
      </c>
      <c r="J47" s="190">
        <f t="shared" si="8"/>
        <v>295140.79788889928</v>
      </c>
    </row>
    <row r="48" spans="2:22" s="11" customFormat="1" x14ac:dyDescent="0.3">
      <c r="H48" s="47"/>
      <c r="I48" s="47"/>
      <c r="J48" s="47"/>
    </row>
    <row r="49" spans="1:22" x14ac:dyDescent="0.3">
      <c r="A49" s="161"/>
      <c r="B49" s="161" t="s">
        <v>153</v>
      </c>
      <c r="C49" s="4"/>
      <c r="D49" s="4"/>
      <c r="E49" s="4"/>
      <c r="F49" s="4"/>
      <c r="G49" s="4"/>
      <c r="H49" s="4"/>
      <c r="I49" s="4"/>
      <c r="J49" s="4"/>
      <c r="K49" s="4"/>
      <c r="L49" s="4"/>
      <c r="M49" s="4"/>
      <c r="N49" s="4"/>
      <c r="O49" s="4"/>
      <c r="P49" s="4"/>
      <c r="Q49" s="4"/>
      <c r="R49" s="4"/>
      <c r="S49" s="4"/>
      <c r="T49" s="4"/>
      <c r="U49" s="4"/>
      <c r="V49" s="4"/>
    </row>
    <row r="50" spans="1:22" ht="12.75" thickBot="1" x14ac:dyDescent="0.35">
      <c r="R50" s="137"/>
      <c r="S50" s="137"/>
      <c r="T50" s="137"/>
      <c r="U50" s="137"/>
      <c r="V50" s="137"/>
    </row>
    <row r="51" spans="1:22" s="11" customFormat="1" ht="12.75" thickBot="1" x14ac:dyDescent="0.35">
      <c r="B51" s="191" t="s">
        <v>154</v>
      </c>
      <c r="C51" s="191"/>
      <c r="D51" s="191"/>
      <c r="E51" s="191"/>
      <c r="F51" s="191"/>
      <c r="G51" s="192"/>
      <c r="H51" s="193">
        <v>0.9</v>
      </c>
      <c r="I51" s="47"/>
      <c r="J51" s="47"/>
      <c r="K51" s="47"/>
      <c r="L51" s="47"/>
      <c r="M51" s="47"/>
      <c r="N51" s="47"/>
      <c r="O51" s="47"/>
      <c r="P51" s="47"/>
      <c r="Q51" s="47"/>
      <c r="R51" s="47"/>
    </row>
    <row r="52" spans="1:22" s="11" customFormat="1" x14ac:dyDescent="0.3">
      <c r="H52" s="47"/>
      <c r="I52" s="47"/>
      <c r="J52" s="47"/>
      <c r="K52" s="47"/>
      <c r="L52" s="47"/>
      <c r="M52" s="47"/>
      <c r="N52" s="47"/>
      <c r="O52" s="47"/>
      <c r="P52" s="47"/>
      <c r="Q52" s="47"/>
      <c r="R52" s="47"/>
    </row>
    <row r="53" spans="1:22" s="11" customFormat="1" x14ac:dyDescent="0.3">
      <c r="B53" s="194"/>
      <c r="C53" s="195"/>
      <c r="D53" s="195"/>
      <c r="E53" s="195"/>
      <c r="F53" s="195"/>
      <c r="G53" s="195"/>
      <c r="H53" s="195"/>
      <c r="I53" s="195">
        <v>1</v>
      </c>
      <c r="J53" s="195">
        <f>I53-5%</f>
        <v>0.95</v>
      </c>
      <c r="K53" s="195">
        <f t="shared" ref="K53:O53" si="9">J53-5%</f>
        <v>0.89999999999999991</v>
      </c>
      <c r="L53" s="195">
        <f t="shared" si="9"/>
        <v>0.84999999999999987</v>
      </c>
      <c r="M53" s="195">
        <f t="shared" si="9"/>
        <v>0.79999999999999982</v>
      </c>
      <c r="N53" s="195">
        <f t="shared" si="9"/>
        <v>0.74999999999999978</v>
      </c>
      <c r="O53" s="195">
        <f t="shared" si="9"/>
        <v>0.69999999999999973</v>
      </c>
      <c r="P53" s="47"/>
      <c r="Q53" s="47"/>
      <c r="R53" s="47"/>
    </row>
    <row r="54" spans="1:22" s="11" customFormat="1" x14ac:dyDescent="0.3">
      <c r="B54" s="196" t="s">
        <v>155</v>
      </c>
      <c r="C54" s="196"/>
      <c r="D54" s="196"/>
      <c r="E54" s="196"/>
      <c r="F54" s="196"/>
      <c r="G54" s="197"/>
      <c r="H54" s="198" cm="1">
        <f t="array" ref="H54:H58">TRANSPOSE('Proforma PL'!Q6:U6)</f>
        <v>401887.15513683402</v>
      </c>
      <c r="I54" s="201">
        <f t="dataTable" ref="I54:O58" dt2D="0" dtr="1" r1="H51"/>
        <v>429596.24052159907</v>
      </c>
      <c r="J54" s="201">
        <v>418892.61574245966</v>
      </c>
      <c r="K54" s="201">
        <v>401887.15513683402</v>
      </c>
      <c r="L54" s="201">
        <v>387819.45766234514</v>
      </c>
      <c r="M54" s="201">
        <v>371567.71646746172</v>
      </c>
      <c r="N54" s="201">
        <v>358874.83108494047</v>
      </c>
      <c r="O54" s="201">
        <v>336856.79305922211</v>
      </c>
      <c r="P54" s="47"/>
      <c r="Q54" s="47"/>
      <c r="R54" s="47"/>
    </row>
    <row r="55" spans="1:22" s="11" customFormat="1" x14ac:dyDescent="0.3">
      <c r="B55" s="3" t="s">
        <v>156</v>
      </c>
      <c r="C55" s="3"/>
      <c r="D55" s="3"/>
      <c r="E55" s="3"/>
      <c r="F55" s="3"/>
      <c r="G55" s="202"/>
      <c r="H55" s="199">
        <v>384025.10637721978</v>
      </c>
      <c r="I55" s="121">
        <v>412815.1721599201</v>
      </c>
      <c r="J55" s="121">
        <v>401605.71689026023</v>
      </c>
      <c r="K55" s="121">
        <v>384025.10637721978</v>
      </c>
      <c r="L55" s="121">
        <v>369386.54410411749</v>
      </c>
      <c r="M55" s="121">
        <v>352431.80036119942</v>
      </c>
      <c r="N55" s="121">
        <v>338770.27980850067</v>
      </c>
      <c r="O55" s="121">
        <v>315421.18825608364</v>
      </c>
      <c r="P55" s="47"/>
      <c r="Q55" s="47"/>
      <c r="R55" s="47"/>
    </row>
    <row r="56" spans="1:22" s="11" customFormat="1" x14ac:dyDescent="0.3">
      <c r="B56" s="3" t="s">
        <v>157</v>
      </c>
      <c r="C56" s="3"/>
      <c r="D56" s="3"/>
      <c r="E56" s="3"/>
      <c r="F56" s="3"/>
      <c r="G56" s="202"/>
      <c r="H56" s="199">
        <v>433849.87990566273</v>
      </c>
      <c r="I56" s="121">
        <v>466937.22900950373</v>
      </c>
      <c r="J56" s="121">
        <v>454145.65749549656</v>
      </c>
      <c r="K56" s="121">
        <v>433849.87990566273</v>
      </c>
      <c r="L56" s="121">
        <v>417241.83894172753</v>
      </c>
      <c r="M56" s="121">
        <v>397510.69458784699</v>
      </c>
      <c r="N56" s="121">
        <v>382561.82487084321</v>
      </c>
      <c r="O56" s="121">
        <v>357209.34013332735</v>
      </c>
      <c r="P56" s="47"/>
      <c r="Q56" s="47"/>
      <c r="R56" s="47"/>
    </row>
    <row r="57" spans="1:22" s="11" customFormat="1" x14ac:dyDescent="0.3">
      <c r="B57" s="3" t="s">
        <v>158</v>
      </c>
      <c r="C57" s="3"/>
      <c r="D57" s="3"/>
      <c r="E57" s="3"/>
      <c r="F57" s="3"/>
      <c r="G57" s="202"/>
      <c r="H57" s="199">
        <v>483807.53659513569</v>
      </c>
      <c r="I57" s="121">
        <v>520332.64729375631</v>
      </c>
      <c r="J57" s="121">
        <v>506217.81419576204</v>
      </c>
      <c r="K57" s="121">
        <v>483807.53659513569</v>
      </c>
      <c r="L57" s="121">
        <v>465540.13346687547</v>
      </c>
      <c r="M57" s="121">
        <v>443364.92693825043</v>
      </c>
      <c r="N57" s="121">
        <v>426843.57764678833</v>
      </c>
      <c r="O57" s="121">
        <v>397183.98031037563</v>
      </c>
      <c r="P57" s="47"/>
      <c r="Q57" s="47"/>
      <c r="R57" s="47"/>
    </row>
    <row r="58" spans="1:22" s="11" customFormat="1" x14ac:dyDescent="0.3">
      <c r="B58" s="92" t="s">
        <v>159</v>
      </c>
      <c r="C58" s="92"/>
      <c r="D58" s="92"/>
      <c r="E58" s="92"/>
      <c r="F58" s="92"/>
      <c r="G58" s="203"/>
      <c r="H58" s="200">
        <v>535532.0850870295</v>
      </c>
      <c r="I58" s="204">
        <v>575302.71200064593</v>
      </c>
      <c r="J58" s="204">
        <v>559816.82154848415</v>
      </c>
      <c r="K58" s="204">
        <v>535532.0850870295</v>
      </c>
      <c r="L58" s="204">
        <v>515057.80882298009</v>
      </c>
      <c r="M58" s="204">
        <v>490560.40155628754</v>
      </c>
      <c r="N58" s="204">
        <v>472507.50362528948</v>
      </c>
      <c r="O58" s="204">
        <v>439289.11429963494</v>
      </c>
      <c r="P58" s="47"/>
      <c r="Q58" s="47"/>
      <c r="R58" s="47"/>
    </row>
    <row r="59" spans="1:22" s="11" customFormat="1" x14ac:dyDescent="0.3">
      <c r="B59" s="3"/>
      <c r="H59" s="47"/>
      <c r="I59" s="47"/>
      <c r="J59" s="47"/>
      <c r="K59" s="47"/>
      <c r="L59" s="47"/>
      <c r="M59" s="47"/>
      <c r="N59" s="47"/>
      <c r="O59" s="47"/>
      <c r="P59" s="47"/>
      <c r="Q59" s="47"/>
      <c r="R59" s="47"/>
    </row>
    <row r="60" spans="1:22" x14ac:dyDescent="0.3">
      <c r="B60" s="194"/>
      <c r="C60" s="195"/>
      <c r="D60" s="195"/>
      <c r="E60" s="195"/>
      <c r="F60" s="195"/>
      <c r="G60" s="195"/>
      <c r="H60" s="195"/>
      <c r="I60" s="195">
        <v>1</v>
      </c>
      <c r="J60" s="195">
        <f>I60-5%</f>
        <v>0.95</v>
      </c>
      <c r="K60" s="195">
        <f t="shared" ref="K60:O60" si="10">J60-5%</f>
        <v>0.89999999999999991</v>
      </c>
      <c r="L60" s="195">
        <f t="shared" si="10"/>
        <v>0.84999999999999987</v>
      </c>
      <c r="M60" s="195">
        <f t="shared" si="10"/>
        <v>0.79999999999999982</v>
      </c>
      <c r="N60" s="195">
        <f t="shared" si="10"/>
        <v>0.74999999999999978</v>
      </c>
      <c r="O60" s="195">
        <f t="shared" si="10"/>
        <v>0.69999999999999973</v>
      </c>
      <c r="P60" s="17"/>
      <c r="Q60" s="17"/>
    </row>
    <row r="61" spans="1:22" x14ac:dyDescent="0.3">
      <c r="B61" s="205" t="s">
        <v>160</v>
      </c>
      <c r="C61" s="205"/>
      <c r="D61" s="205"/>
      <c r="E61" s="205"/>
      <c r="F61" s="205"/>
      <c r="G61" s="206"/>
      <c r="H61" s="207">
        <f>'Proforma PL'!Q16</f>
        <v>23731.088462841231</v>
      </c>
      <c r="I61" s="208">
        <f t="dataTable" ref="I61:O61" dt2D="0" dtr="1" r1="H51" ca="1"/>
        <v>37017.00401885371</v>
      </c>
      <c r="J61" s="208">
        <v>31910.756194161368</v>
      </c>
      <c r="K61" s="208">
        <v>23731.088462841231</v>
      </c>
      <c r="L61" s="208">
        <v>16309.189666291262</v>
      </c>
      <c r="M61" s="208">
        <v>8174.8309926465445</v>
      </c>
      <c r="N61" s="208">
        <v>2320.2843577144959</v>
      </c>
      <c r="O61" s="208">
        <v>-9535.735574624181</v>
      </c>
    </row>
    <row r="62" spans="1:22" x14ac:dyDescent="0.3">
      <c r="J62" s="121"/>
      <c r="K62" s="121"/>
      <c r="L62" s="121"/>
      <c r="M62" s="121"/>
      <c r="N62" s="121"/>
      <c r="O62" s="121"/>
    </row>
    <row r="63" spans="1:22" x14ac:dyDescent="0.3">
      <c r="B63" s="194"/>
      <c r="C63" s="195"/>
      <c r="D63" s="195"/>
      <c r="E63" s="195"/>
      <c r="F63" s="195"/>
      <c r="G63" s="195"/>
      <c r="H63" s="195"/>
      <c r="I63" s="195">
        <v>1</v>
      </c>
      <c r="J63" s="195">
        <f>I63-5%</f>
        <v>0.95</v>
      </c>
      <c r="K63" s="195">
        <f t="shared" ref="K63:O63" si="11">J63-5%</f>
        <v>0.89999999999999991</v>
      </c>
      <c r="L63" s="195">
        <f t="shared" si="11"/>
        <v>0.84999999999999987</v>
      </c>
      <c r="M63" s="195">
        <f t="shared" si="11"/>
        <v>0.79999999999999982</v>
      </c>
      <c r="N63" s="195">
        <f t="shared" si="11"/>
        <v>0.74999999999999978</v>
      </c>
      <c r="O63" s="195">
        <f t="shared" si="11"/>
        <v>0.69999999999999973</v>
      </c>
    </row>
    <row r="64" spans="1:22" x14ac:dyDescent="0.3">
      <c r="B64" s="205" t="s">
        <v>161</v>
      </c>
      <c r="C64" s="205"/>
      <c r="D64" s="205"/>
      <c r="E64" s="205"/>
      <c r="F64" s="205"/>
      <c r="G64" s="206"/>
      <c r="H64" s="207">
        <f>'Proforma PL'!Q17</f>
        <v>5.9049133965879803E-2</v>
      </c>
      <c r="I64" s="209">
        <f t="dataTable" ref="I64:O64" dt2D="0" dtr="1" r1="H51" ca="1"/>
        <v>8.6166964529086898E-2</v>
      </c>
      <c r="J64" s="209">
        <v>7.6178846307905543E-2</v>
      </c>
      <c r="K64" s="209">
        <v>5.9049133965879803E-2</v>
      </c>
      <c r="L64" s="209">
        <v>4.2053562151311272E-2</v>
      </c>
      <c r="M64" s="209">
        <v>2.2000918353094909E-2</v>
      </c>
      <c r="N64" s="209">
        <v>6.4654418664576623E-3</v>
      </c>
      <c r="O64" s="209">
        <v>-2.8307980634808581E-2</v>
      </c>
    </row>
    <row r="65" spans="2:15" x14ac:dyDescent="0.3">
      <c r="B65" s="205"/>
      <c r="C65" s="205"/>
      <c r="D65" s="205"/>
      <c r="E65" s="205"/>
      <c r="F65" s="205"/>
      <c r="G65" s="206"/>
      <c r="H65" s="207"/>
      <c r="I65" s="208"/>
      <c r="J65" s="208"/>
      <c r="K65" s="208"/>
      <c r="L65" s="208"/>
      <c r="M65" s="208"/>
      <c r="N65" s="208"/>
      <c r="O65" s="208"/>
    </row>
    <row r="66" spans="2:15" x14ac:dyDescent="0.3">
      <c r="B66" s="194"/>
      <c r="C66" s="195"/>
      <c r="D66" s="195"/>
      <c r="E66" s="195"/>
      <c r="F66" s="195"/>
      <c r="G66" s="195"/>
      <c r="H66" s="195"/>
      <c r="I66" s="195">
        <v>1</v>
      </c>
      <c r="J66" s="195">
        <f>I66-5%</f>
        <v>0.95</v>
      </c>
      <c r="K66" s="195">
        <f t="shared" ref="K66:O66" si="12">J66-5%</f>
        <v>0.89999999999999991</v>
      </c>
      <c r="L66" s="195">
        <f t="shared" si="12"/>
        <v>0.84999999999999987</v>
      </c>
      <c r="M66" s="195">
        <f t="shared" si="12"/>
        <v>0.79999999999999982</v>
      </c>
      <c r="N66" s="195">
        <f t="shared" si="12"/>
        <v>0.74999999999999978</v>
      </c>
      <c r="O66" s="195">
        <f t="shared" si="12"/>
        <v>0.69999999999999973</v>
      </c>
    </row>
    <row r="67" spans="2:15" x14ac:dyDescent="0.3">
      <c r="B67" s="196" t="s">
        <v>162</v>
      </c>
      <c r="C67" s="196"/>
      <c r="D67" s="196"/>
      <c r="E67" s="196"/>
      <c r="F67" s="196"/>
      <c r="G67" s="197"/>
      <c r="H67" s="198" cm="1">
        <f t="array" ref="H67:H71">TRANSPOSE('Proforma PL'!Q27:U27)</f>
        <v>29233.143948589932</v>
      </c>
      <c r="I67" s="201">
        <f t="dataTable" ref="I67:O71" dt2D="0" dtr="1" r1="H51" ca="1"/>
        <v>42519.05950460241</v>
      </c>
      <c r="J67" s="201">
        <v>37412.811679910068</v>
      </c>
      <c r="K67" s="201">
        <v>29233.143948589932</v>
      </c>
      <c r="L67" s="201">
        <v>21811.245152039963</v>
      </c>
      <c r="M67" s="201">
        <v>13676.886478395245</v>
      </c>
      <c r="N67" s="201">
        <v>7822.3398434631954</v>
      </c>
      <c r="O67" s="201">
        <v>-4033.6800888754815</v>
      </c>
    </row>
    <row r="68" spans="2:15" x14ac:dyDescent="0.3">
      <c r="B68" s="3" t="s">
        <v>163</v>
      </c>
      <c r="G68" s="202"/>
      <c r="H68" s="199">
        <v>29915.377748903924</v>
      </c>
      <c r="I68" s="121">
        <v>38516.305607177681</v>
      </c>
      <c r="J68" s="121">
        <v>35163.950848010572</v>
      </c>
      <c r="K68" s="121">
        <v>29915.377748903924</v>
      </c>
      <c r="L68" s="121">
        <v>25169.138940232766</v>
      </c>
      <c r="M68" s="121">
        <v>19843.554870362368</v>
      </c>
      <c r="N68" s="121">
        <v>15893.177025687957</v>
      </c>
      <c r="O68" s="121">
        <v>8359.6009323128274</v>
      </c>
    </row>
    <row r="69" spans="2:15" x14ac:dyDescent="0.3">
      <c r="B69" s="3" t="s">
        <v>164</v>
      </c>
      <c r="G69" s="202"/>
      <c r="H69" s="199">
        <v>36420.242281127539</v>
      </c>
      <c r="I69" s="121">
        <v>45830.155063456179</v>
      </c>
      <c r="J69" s="121">
        <v>42190.965247261476</v>
      </c>
      <c r="K69" s="121">
        <v>36420.242281127539</v>
      </c>
      <c r="L69" s="121">
        <v>31206.113652962151</v>
      </c>
      <c r="M69" s="121">
        <v>25112.346300598241</v>
      </c>
      <c r="N69" s="121">
        <v>20948.551993066147</v>
      </c>
      <c r="O69" s="121">
        <v>13147.801200779686</v>
      </c>
    </row>
    <row r="70" spans="2:15" x14ac:dyDescent="0.3">
      <c r="B70" s="3" t="s">
        <v>165</v>
      </c>
      <c r="G70" s="202"/>
      <c r="H70" s="199">
        <v>43604.981186899138</v>
      </c>
      <c r="I70" s="121">
        <v>53808.495467814166</v>
      </c>
      <c r="J70" s="121">
        <v>49872.912470031428</v>
      </c>
      <c r="K70" s="121">
        <v>43604.981186899138</v>
      </c>
      <c r="L70" s="121">
        <v>38081.97500208742</v>
      </c>
      <c r="M70" s="121">
        <v>31437.741262437998</v>
      </c>
      <c r="N70" s="121">
        <v>26966.876264313181</v>
      </c>
      <c r="O70" s="121">
        <v>18074.646459881918</v>
      </c>
    </row>
    <row r="71" spans="2:15" x14ac:dyDescent="0.3">
      <c r="B71" s="92" t="s">
        <v>166</v>
      </c>
      <c r="C71" s="65"/>
      <c r="D71" s="92"/>
      <c r="E71" s="92"/>
      <c r="F71" s="92"/>
      <c r="G71" s="203"/>
      <c r="H71" s="200">
        <v>53126.331864953434</v>
      </c>
      <c r="I71" s="204">
        <v>64063.033501291997</v>
      </c>
      <c r="J71" s="204">
        <v>59860.734247224376</v>
      </c>
      <c r="K71" s="204">
        <v>53126.331864953434</v>
      </c>
      <c r="L71" s="204">
        <v>47033.953590948251</v>
      </c>
      <c r="M71" s="204">
        <v>39655.251516133256</v>
      </c>
      <c r="N71" s="204">
        <v>34846.123956630981</v>
      </c>
      <c r="O71" s="204">
        <v>24938.056095294713</v>
      </c>
    </row>
    <row r="72" spans="2:15" x14ac:dyDescent="0.3">
      <c r="B72" s="205"/>
      <c r="C72" s="210"/>
      <c r="D72" s="205"/>
      <c r="E72" s="205"/>
      <c r="F72" s="205"/>
      <c r="G72" s="206"/>
      <c r="H72" s="207"/>
      <c r="I72" s="208"/>
      <c r="J72" s="208"/>
      <c r="K72" s="208"/>
      <c r="L72" s="208"/>
      <c r="M72" s="208"/>
      <c r="N72" s="208"/>
      <c r="O72" s="208"/>
    </row>
    <row r="73" spans="2:15" x14ac:dyDescent="0.3">
      <c r="B73" s="194"/>
      <c r="C73" s="195"/>
      <c r="D73" s="195"/>
      <c r="E73" s="195"/>
      <c r="F73" s="195"/>
      <c r="G73" s="195"/>
      <c r="H73" s="195"/>
      <c r="I73" s="195">
        <v>1</v>
      </c>
      <c r="J73" s="195">
        <f>I73-5%</f>
        <v>0.95</v>
      </c>
      <c r="K73" s="195">
        <f t="shared" ref="K73:O73" si="13">J73-5%</f>
        <v>0.89999999999999991</v>
      </c>
      <c r="L73" s="195">
        <f t="shared" si="13"/>
        <v>0.84999999999999987</v>
      </c>
      <c r="M73" s="195">
        <f t="shared" si="13"/>
        <v>0.79999999999999982</v>
      </c>
      <c r="N73" s="195">
        <f t="shared" si="13"/>
        <v>0.74999999999999978</v>
      </c>
      <c r="O73" s="195">
        <f t="shared" si="13"/>
        <v>0.69999999999999973</v>
      </c>
    </row>
    <row r="74" spans="2:15" x14ac:dyDescent="0.3">
      <c r="B74" s="205" t="s">
        <v>167</v>
      </c>
      <c r="C74" s="210"/>
      <c r="D74" s="205"/>
      <c r="E74" s="205"/>
      <c r="F74" s="205"/>
      <c r="G74" s="206"/>
      <c r="H74" s="207">
        <f>I34</f>
        <v>303168.40188625705</v>
      </c>
      <c r="I74" s="208">
        <f t="dataTable" ref="I74:O74" dt2D="0" dtr="1" r1="H51" ca="1"/>
        <v>398443.2037170268</v>
      </c>
      <c r="J74" s="208">
        <v>361897.46253034385</v>
      </c>
      <c r="K74" s="208">
        <v>303168.40188625705</v>
      </c>
      <c r="L74" s="208">
        <v>249433.29349646164</v>
      </c>
      <c r="M74" s="208">
        <v>185647.36544658279</v>
      </c>
      <c r="N74" s="208">
        <v>143896.74119917303</v>
      </c>
      <c r="O74" s="208">
        <v>57278.08930802963</v>
      </c>
    </row>
    <row r="75" spans="2:15" x14ac:dyDescent="0.3">
      <c r="C75" s="11"/>
      <c r="H75" s="17"/>
    </row>
    <row r="76" spans="2:15" x14ac:dyDescent="0.3">
      <c r="B76" s="194"/>
      <c r="C76" s="195"/>
      <c r="D76" s="195"/>
      <c r="E76" s="195"/>
      <c r="F76" s="195"/>
      <c r="G76" s="195"/>
      <c r="H76" s="195"/>
      <c r="I76" s="195">
        <v>1</v>
      </c>
      <c r="J76" s="195">
        <f t="shared" ref="J76:O76" si="14">I76-5%</f>
        <v>0.95</v>
      </c>
      <c r="K76" s="195">
        <f t="shared" si="14"/>
        <v>0.89999999999999991</v>
      </c>
      <c r="L76" s="195">
        <f t="shared" si="14"/>
        <v>0.84999999999999987</v>
      </c>
      <c r="M76" s="195">
        <f t="shared" si="14"/>
        <v>0.79999999999999982</v>
      </c>
      <c r="N76" s="195">
        <f t="shared" si="14"/>
        <v>0.74999999999999978</v>
      </c>
      <c r="O76" s="195">
        <f t="shared" si="14"/>
        <v>0.69999999999999973</v>
      </c>
    </row>
    <row r="77" spans="2:15" x14ac:dyDescent="0.3">
      <c r="B77" s="196" t="s">
        <v>168</v>
      </c>
      <c r="C77" s="36"/>
      <c r="D77" s="196"/>
      <c r="E77" s="196"/>
      <c r="F77" s="196"/>
      <c r="G77" s="197"/>
      <c r="H77" s="198"/>
      <c r="I77" s="201">
        <f t="shared" ref="I77:O77" si="15">I$67*$I$39-$I$44</f>
        <v>172885.59642140963</v>
      </c>
      <c r="J77" s="201">
        <f t="shared" si="15"/>
        <v>152460.60512264026</v>
      </c>
      <c r="K77" s="201">
        <f t="shared" si="15"/>
        <v>119741.93419735973</v>
      </c>
      <c r="L77" s="201">
        <f t="shared" si="15"/>
        <v>90054.339011159856</v>
      </c>
      <c r="M77" s="201">
        <f t="shared" si="15"/>
        <v>57516.904316580985</v>
      </c>
      <c r="N77" s="201">
        <f t="shared" si="15"/>
        <v>34098.717776852791</v>
      </c>
      <c r="O77" s="201">
        <f t="shared" si="15"/>
        <v>-13325.36195250192</v>
      </c>
    </row>
    <row r="78" spans="2:15" x14ac:dyDescent="0.3">
      <c r="B78" s="92" t="s">
        <v>169</v>
      </c>
      <c r="C78" s="65"/>
      <c r="D78" s="92"/>
      <c r="E78" s="92"/>
      <c r="F78" s="92"/>
      <c r="G78" s="203"/>
      <c r="H78" s="200"/>
      <c r="I78" s="204">
        <f t="shared" ref="I78:O78" si="16">I$67*$I$40-$I$44</f>
        <v>257923.71543061448</v>
      </c>
      <c r="J78" s="204">
        <f t="shared" si="16"/>
        <v>227286.22848246043</v>
      </c>
      <c r="K78" s="204">
        <f t="shared" si="16"/>
        <v>178208.22209453961</v>
      </c>
      <c r="L78" s="204">
        <f t="shared" si="16"/>
        <v>133676.8293152398</v>
      </c>
      <c r="M78" s="204">
        <f t="shared" si="16"/>
        <v>84870.677273371475</v>
      </c>
      <c r="N78" s="204">
        <f t="shared" si="16"/>
        <v>49743.397463779176</v>
      </c>
      <c r="O78" s="204">
        <f t="shared" si="16"/>
        <v>-21392.722130252885</v>
      </c>
    </row>
    <row r="79" spans="2:15" x14ac:dyDescent="0.3">
      <c r="C79" s="11"/>
      <c r="H79" s="17"/>
    </row>
    <row r="80" spans="2:15" x14ac:dyDescent="0.3">
      <c r="B80" s="194"/>
      <c r="C80" s="195"/>
      <c r="D80" s="195"/>
      <c r="E80" s="195"/>
      <c r="F80" s="195"/>
      <c r="G80" s="195"/>
      <c r="H80" s="195"/>
      <c r="I80" s="195">
        <v>1</v>
      </c>
      <c r="J80" s="195">
        <f t="shared" ref="J80:O80" si="17">I80-5%</f>
        <v>0.95</v>
      </c>
      <c r="K80" s="195">
        <f t="shared" si="17"/>
        <v>0.89999999999999991</v>
      </c>
      <c r="L80" s="195">
        <f t="shared" si="17"/>
        <v>0.84999999999999987</v>
      </c>
      <c r="M80" s="195">
        <f t="shared" si="17"/>
        <v>0.79999999999999982</v>
      </c>
      <c r="N80" s="195">
        <f t="shared" si="17"/>
        <v>0.74999999999999978</v>
      </c>
      <c r="O80" s="195">
        <f t="shared" si="17"/>
        <v>0.69999999999999973</v>
      </c>
    </row>
    <row r="81" spans="2:18" x14ac:dyDescent="0.3">
      <c r="B81" s="196" t="s">
        <v>170</v>
      </c>
      <c r="C81" s="36"/>
      <c r="D81" s="196"/>
      <c r="E81" s="196"/>
      <c r="F81" s="196"/>
      <c r="G81" s="197"/>
      <c r="H81" s="198"/>
      <c r="I81" s="201">
        <f t="shared" ref="I81:O81" si="18">I$67*$J$39-$J$44</f>
        <v>342961.83443981927</v>
      </c>
      <c r="J81" s="201">
        <f t="shared" si="18"/>
        <v>302111.85184228054</v>
      </c>
      <c r="K81" s="201">
        <f t="shared" si="18"/>
        <v>236674.50999171945</v>
      </c>
      <c r="L81" s="201">
        <f t="shared" si="18"/>
        <v>177299.31961931969</v>
      </c>
      <c r="M81" s="201">
        <f t="shared" si="18"/>
        <v>112224.45023016197</v>
      </c>
      <c r="N81" s="201">
        <f t="shared" si="18"/>
        <v>65388.077150705569</v>
      </c>
      <c r="O81" s="201">
        <f t="shared" si="18"/>
        <v>-29460.082308003846</v>
      </c>
    </row>
    <row r="82" spans="2:18" x14ac:dyDescent="0.3">
      <c r="B82" s="92" t="s">
        <v>171</v>
      </c>
      <c r="C82" s="65"/>
      <c r="D82" s="92"/>
      <c r="E82" s="92"/>
      <c r="F82" s="92"/>
      <c r="G82" s="203"/>
      <c r="H82" s="200"/>
      <c r="I82" s="204">
        <f t="shared" ref="I82:O82" si="19">I$67*$J$40-$J$44</f>
        <v>427999.95344902406</v>
      </c>
      <c r="J82" s="204">
        <f t="shared" si="19"/>
        <v>376937.47520210064</v>
      </c>
      <c r="K82" s="204">
        <f t="shared" si="19"/>
        <v>295140.79788889928</v>
      </c>
      <c r="L82" s="204">
        <f t="shared" si="19"/>
        <v>220921.80992339965</v>
      </c>
      <c r="M82" s="204">
        <f t="shared" si="19"/>
        <v>139578.22318695247</v>
      </c>
      <c r="N82" s="204">
        <f t="shared" si="19"/>
        <v>81032.756837631954</v>
      </c>
      <c r="O82" s="204">
        <f t="shared" si="19"/>
        <v>-37527.442485754807</v>
      </c>
    </row>
    <row r="83" spans="2:18" x14ac:dyDescent="0.3">
      <c r="B83" s="11"/>
      <c r="C83" s="11"/>
      <c r="H83" s="17"/>
    </row>
    <row r="84" spans="2:18" x14ac:dyDescent="0.3">
      <c r="B84" s="158" t="s">
        <v>172</v>
      </c>
      <c r="C84" s="92"/>
      <c r="D84" s="92"/>
      <c r="E84" s="92"/>
      <c r="F84" s="92"/>
      <c r="G84" s="92"/>
      <c r="H84" s="92"/>
      <c r="I84" s="92"/>
    </row>
    <row r="85" spans="2:18" x14ac:dyDescent="0.3">
      <c r="B85" s="11" t="s">
        <v>173</v>
      </c>
      <c r="I85" s="13"/>
    </row>
    <row r="86" spans="2:18" x14ac:dyDescent="0.3">
      <c r="B86" s="65" t="s">
        <v>174</v>
      </c>
      <c r="C86" s="92"/>
      <c r="D86" s="92"/>
      <c r="E86" s="92"/>
      <c r="F86" s="92"/>
      <c r="G86" s="92"/>
      <c r="H86" s="92"/>
      <c r="I86" s="92"/>
    </row>
    <row r="88" spans="2:18" x14ac:dyDescent="0.3">
      <c r="B88" s="211"/>
      <c r="C88" s="212"/>
      <c r="D88" s="212"/>
      <c r="E88" s="212"/>
      <c r="F88" s="212"/>
      <c r="G88" s="212"/>
      <c r="H88" s="213">
        <f>I34/100</f>
        <v>3031.6840188625706</v>
      </c>
      <c r="I88" s="195">
        <f>J88-10%</f>
        <v>-0.30000000000000004</v>
      </c>
      <c r="J88" s="195">
        <f>K88-10%</f>
        <v>-0.2</v>
      </c>
      <c r="K88" s="195">
        <f>L88-10%</f>
        <v>-0.1</v>
      </c>
      <c r="L88" s="195">
        <v>0</v>
      </c>
      <c r="M88" s="195">
        <f>L88+10%</f>
        <v>0.1</v>
      </c>
      <c r="N88" s="195">
        <f>M88+10%</f>
        <v>0.2</v>
      </c>
      <c r="O88" s="195">
        <f>N88+10%</f>
        <v>0.30000000000000004</v>
      </c>
    </row>
    <row r="89" spans="2:18" x14ac:dyDescent="0.3">
      <c r="B89" s="214">
        <f>B90-0.5%</f>
        <v>-2.5000000000000001E-2</v>
      </c>
      <c r="H89" s="215">
        <f t="shared" ref="H89:H99" si="20">B89</f>
        <v>-2.5000000000000001E-2</v>
      </c>
      <c r="I89" s="216">
        <f t="dataTable" ref="I89:O99" dt2D="1" dtr="1" r1="I85" r2="I86" ca="1"/>
        <v>5045.4990190353446</v>
      </c>
      <c r="J89" s="201">
        <v>5045.4990190353446</v>
      </c>
      <c r="K89" s="201">
        <v>5045.4990190353446</v>
      </c>
      <c r="L89" s="201">
        <v>5045.4990190353446</v>
      </c>
      <c r="M89" s="201">
        <v>5045.4990190353446</v>
      </c>
      <c r="N89" s="201">
        <v>5045.4990190353446</v>
      </c>
      <c r="O89" s="217">
        <v>5045.4990190353446</v>
      </c>
    </row>
    <row r="90" spans="2:18" x14ac:dyDescent="0.3">
      <c r="B90" s="214">
        <f>B91-0.5%</f>
        <v>-0.02</v>
      </c>
      <c r="H90" s="215">
        <f t="shared" si="20"/>
        <v>-0.02</v>
      </c>
      <c r="I90" s="218">
        <v>4654.0704136169843</v>
      </c>
      <c r="J90" s="121">
        <v>4654.0704136169843</v>
      </c>
      <c r="K90" s="121">
        <v>4654.0704136169843</v>
      </c>
      <c r="L90" s="121">
        <v>4654.0704136169843</v>
      </c>
      <c r="M90" s="121">
        <v>4654.0704136169843</v>
      </c>
      <c r="N90" s="121">
        <v>4654.0704136169843</v>
      </c>
      <c r="O90" s="219">
        <v>4654.0704136169843</v>
      </c>
    </row>
    <row r="91" spans="2:18" x14ac:dyDescent="0.3">
      <c r="B91" s="214">
        <f>B92-0.5%</f>
        <v>-1.4999999999999999E-2</v>
      </c>
      <c r="H91" s="215">
        <f t="shared" si="20"/>
        <v>-1.4999999999999999E-2</v>
      </c>
      <c r="I91" s="218">
        <v>4257.0299941470766</v>
      </c>
      <c r="J91" s="121">
        <v>4257.0299941470766</v>
      </c>
      <c r="K91" s="121">
        <v>4257.0299941470766</v>
      </c>
      <c r="L91" s="121">
        <v>4257.0299941470766</v>
      </c>
      <c r="M91" s="121">
        <v>4257.0299941470766</v>
      </c>
      <c r="N91" s="121">
        <v>4257.0299941470766</v>
      </c>
      <c r="O91" s="219">
        <v>4257.0299941470766</v>
      </c>
    </row>
    <row r="92" spans="2:18" x14ac:dyDescent="0.3">
      <c r="B92" s="214">
        <f>B93-0.5%</f>
        <v>-0.01</v>
      </c>
      <c r="H92" s="215">
        <f t="shared" si="20"/>
        <v>-0.01</v>
      </c>
      <c r="I92" s="218">
        <v>3854.322514671298</v>
      </c>
      <c r="J92" s="121">
        <v>3854.322514671298</v>
      </c>
      <c r="K92" s="121">
        <v>3854.322514671298</v>
      </c>
      <c r="L92" s="121">
        <v>3854.322514671298</v>
      </c>
      <c r="M92" s="121">
        <v>3854.322514671298</v>
      </c>
      <c r="N92" s="121">
        <v>3854.322514671298</v>
      </c>
      <c r="O92" s="219">
        <v>3854.322514671298</v>
      </c>
    </row>
    <row r="93" spans="2:18" x14ac:dyDescent="0.3">
      <c r="B93" s="214">
        <f>B94-0.5%</f>
        <v>-5.0000000000000001E-3</v>
      </c>
      <c r="H93" s="215">
        <f t="shared" si="20"/>
        <v>-5.0000000000000001E-3</v>
      </c>
      <c r="I93" s="218">
        <v>3445.8924546308685</v>
      </c>
      <c r="J93" s="121">
        <v>3445.8924546308685</v>
      </c>
      <c r="K93" s="121">
        <v>3445.8924546308685</v>
      </c>
      <c r="L93" s="121">
        <v>3445.8924546308685</v>
      </c>
      <c r="M93" s="121">
        <v>3445.8924546308685</v>
      </c>
      <c r="N93" s="121">
        <v>3445.8924546308685</v>
      </c>
      <c r="O93" s="219">
        <v>3445.8924546308685</v>
      </c>
    </row>
    <row r="94" spans="2:18" x14ac:dyDescent="0.3">
      <c r="B94" s="214">
        <v>0</v>
      </c>
      <c r="H94" s="215">
        <f t="shared" si="20"/>
        <v>0</v>
      </c>
      <c r="I94" s="218">
        <v>3031.6840188625706</v>
      </c>
      <c r="J94" s="121">
        <v>3031.6840188625706</v>
      </c>
      <c r="K94" s="121">
        <v>3031.6840188625706</v>
      </c>
      <c r="L94" s="220">
        <v>3031.6840188625706</v>
      </c>
      <c r="M94" s="121">
        <v>3031.6840188625706</v>
      </c>
      <c r="N94" s="121">
        <v>3031.6840188625706</v>
      </c>
      <c r="O94" s="219">
        <v>3031.6840188625706</v>
      </c>
      <c r="Q94" s="121"/>
      <c r="R94" s="121"/>
    </row>
    <row r="95" spans="2:18" x14ac:dyDescent="0.3">
      <c r="B95" s="214">
        <f>B94+0.5%</f>
        <v>5.0000000000000001E-3</v>
      </c>
      <c r="H95" s="215">
        <f t="shared" si="20"/>
        <v>5.0000000000000001E-3</v>
      </c>
      <c r="I95" s="218">
        <v>2611.6411375987241</v>
      </c>
      <c r="J95" s="121">
        <v>2611.6411375987241</v>
      </c>
      <c r="K95" s="121">
        <v>2611.6411375987241</v>
      </c>
      <c r="L95" s="121">
        <v>2611.6411375987241</v>
      </c>
      <c r="M95" s="121">
        <v>2611.6411375987241</v>
      </c>
      <c r="N95" s="121">
        <v>2611.6411375987241</v>
      </c>
      <c r="O95" s="219">
        <v>2611.6411375987241</v>
      </c>
    </row>
    <row r="96" spans="2:18" x14ac:dyDescent="0.3">
      <c r="B96" s="214">
        <f>B95+0.5%</f>
        <v>0.01</v>
      </c>
      <c r="H96" s="215">
        <f t="shared" si="20"/>
        <v>0.01</v>
      </c>
      <c r="I96" s="218">
        <v>2185.7074664671395</v>
      </c>
      <c r="J96" s="121">
        <v>2185.7074664671395</v>
      </c>
      <c r="K96" s="121">
        <v>2185.7074664671395</v>
      </c>
      <c r="L96" s="121">
        <v>2185.7074664671395</v>
      </c>
      <c r="M96" s="121">
        <v>2185.7074664671395</v>
      </c>
      <c r="N96" s="121">
        <v>2185.7074664671395</v>
      </c>
      <c r="O96" s="219">
        <v>2185.7074664671395</v>
      </c>
    </row>
    <row r="97" spans="2:15" x14ac:dyDescent="0.3">
      <c r="B97" s="214">
        <f>B96+0.5%</f>
        <v>1.4999999999999999E-2</v>
      </c>
      <c r="H97" s="215">
        <f t="shared" si="20"/>
        <v>1.4999999999999999E-2</v>
      </c>
      <c r="I97" s="218">
        <v>1753.8263864912356</v>
      </c>
      <c r="J97" s="121">
        <v>1753.8263864912356</v>
      </c>
      <c r="K97" s="121">
        <v>1753.8263864912356</v>
      </c>
      <c r="L97" s="121">
        <v>1753.8263864912356</v>
      </c>
      <c r="M97" s="121">
        <v>1753.8263864912356</v>
      </c>
      <c r="N97" s="121">
        <v>1753.8263864912356</v>
      </c>
      <c r="O97" s="219">
        <v>1753.8263864912356</v>
      </c>
    </row>
    <row r="98" spans="2:15" x14ac:dyDescent="0.3">
      <c r="B98" s="214">
        <f>B97+0.5%</f>
        <v>0.02</v>
      </c>
      <c r="H98" s="215">
        <f t="shared" si="20"/>
        <v>0.02</v>
      </c>
      <c r="I98" s="218">
        <v>1315.9410040898856</v>
      </c>
      <c r="J98" s="121">
        <v>1315.9410040898856</v>
      </c>
      <c r="K98" s="121">
        <v>1315.9410040898856</v>
      </c>
      <c r="L98" s="121">
        <v>1315.9410040898856</v>
      </c>
      <c r="M98" s="121">
        <v>1315.9410040898856</v>
      </c>
      <c r="N98" s="121">
        <v>1315.9410040898856</v>
      </c>
      <c r="O98" s="219">
        <v>1315.9410040898856</v>
      </c>
    </row>
    <row r="99" spans="2:15" x14ac:dyDescent="0.3">
      <c r="B99" s="221">
        <f>B98+0.5%</f>
        <v>2.5000000000000001E-2</v>
      </c>
      <c r="C99" s="92"/>
      <c r="D99" s="92"/>
      <c r="E99" s="92"/>
      <c r="F99" s="92"/>
      <c r="G99" s="92"/>
      <c r="H99" s="222">
        <f t="shared" si="20"/>
        <v>2.5000000000000001E-2</v>
      </c>
      <c r="I99" s="223">
        <v>871.99415107758216</v>
      </c>
      <c r="J99" s="204">
        <v>871.99415107758216</v>
      </c>
      <c r="K99" s="204">
        <v>871.99415107758216</v>
      </c>
      <c r="L99" s="204">
        <v>871.99415107758216</v>
      </c>
      <c r="M99" s="204">
        <v>871.99415107758216</v>
      </c>
      <c r="N99" s="204">
        <v>871.99415107758216</v>
      </c>
      <c r="O99" s="224">
        <v>871.99415107758216</v>
      </c>
    </row>
  </sheetData>
  <phoneticPr fontId="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687E-B8C8-4482-8FDA-979816F504EA}">
  <sheetPr>
    <tabColor theme="8" tint="-0.249977111117893"/>
  </sheetPr>
  <dimension ref="A1:AL500"/>
  <sheetViews>
    <sheetView showGridLines="0" zoomScale="85" zoomScaleNormal="85" workbookViewId="0">
      <selection activeCell="I43" sqref="I43"/>
    </sheetView>
  </sheetViews>
  <sheetFormatPr defaultRowHeight="12" outlineLevelRow="1" outlineLevelCol="1" x14ac:dyDescent="0.3"/>
  <cols>
    <col min="1" max="1" width="2.625" style="3" customWidth="1"/>
    <col min="2" max="6" width="1.625" style="3" customWidth="1"/>
    <col min="7" max="8" width="9" style="3"/>
    <col min="9" max="9" width="9.75" style="3" bestFit="1" customWidth="1"/>
    <col min="10" max="11" width="9" style="3"/>
    <col min="12" max="14" width="0" style="3" hidden="1" customWidth="1"/>
    <col min="15" max="26" width="9" style="3" customWidth="1" outlineLevel="1"/>
    <col min="27" max="31" width="9" style="3"/>
    <col min="32" max="32" width="9" style="225"/>
    <col min="33" max="16384" width="9" style="3"/>
  </cols>
  <sheetData>
    <row r="1" spans="1:31" x14ac:dyDescent="0.3">
      <c r="A1" s="1" t="str">
        <f ca="1">MID(CELL("filename",A1),FIND("]",CELL("filename",A1))+1,255)</f>
        <v>Key Assumption</v>
      </c>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3" spans="1:31" x14ac:dyDescent="0.3">
      <c r="A3" s="4"/>
      <c r="B3" s="161" t="s">
        <v>175</v>
      </c>
      <c r="C3" s="4"/>
      <c r="D3" s="4"/>
      <c r="E3" s="4"/>
      <c r="F3" s="4"/>
      <c r="G3" s="4"/>
      <c r="H3" s="4"/>
      <c r="I3" s="4"/>
      <c r="J3" s="4"/>
      <c r="K3" s="4"/>
      <c r="L3" s="4"/>
      <c r="M3" s="4"/>
      <c r="N3" s="4"/>
      <c r="O3" s="4"/>
      <c r="P3" s="4"/>
      <c r="Q3" s="4"/>
      <c r="R3" s="4"/>
      <c r="S3" s="4"/>
      <c r="T3" s="4"/>
      <c r="U3" s="4"/>
      <c r="V3" s="4"/>
      <c r="W3" s="4"/>
      <c r="X3" s="4"/>
      <c r="Y3" s="4"/>
      <c r="Z3" s="4"/>
      <c r="AA3" s="4"/>
      <c r="AB3" s="4"/>
      <c r="AC3" s="4"/>
      <c r="AD3" s="4"/>
      <c r="AE3" s="4"/>
    </row>
    <row r="5" spans="1:31" x14ac:dyDescent="0.3">
      <c r="B5" s="226" t="s">
        <v>176</v>
      </c>
      <c r="C5" s="226"/>
      <c r="D5" s="226"/>
      <c r="E5" s="226"/>
      <c r="F5" s="226"/>
      <c r="G5" s="226"/>
      <c r="H5" s="227"/>
      <c r="I5" s="227"/>
      <c r="AA5" s="6"/>
      <c r="AB5" s="6"/>
      <c r="AC5" s="6"/>
      <c r="AD5" s="6"/>
      <c r="AE5" s="6"/>
    </row>
    <row r="6" spans="1:31" x14ac:dyDescent="0.3">
      <c r="B6" s="228" t="s">
        <v>177</v>
      </c>
      <c r="C6" s="228"/>
      <c r="D6" s="228"/>
      <c r="E6" s="228"/>
      <c r="F6" s="228"/>
      <c r="G6" s="228"/>
      <c r="H6" s="229"/>
      <c r="I6" s="229">
        <v>45382</v>
      </c>
      <c r="AA6" s="6"/>
      <c r="AB6" s="6"/>
      <c r="AC6" s="6"/>
      <c r="AD6" s="6"/>
      <c r="AE6" s="6"/>
    </row>
    <row r="7" spans="1:31" x14ac:dyDescent="0.3">
      <c r="B7" s="228" t="s">
        <v>178</v>
      </c>
      <c r="C7" s="228"/>
      <c r="D7" s="228"/>
      <c r="E7" s="228"/>
      <c r="F7" s="228"/>
      <c r="G7" s="228"/>
      <c r="H7" s="230"/>
      <c r="I7" s="230">
        <f>I6</f>
        <v>45382</v>
      </c>
      <c r="AA7" s="6"/>
      <c r="AB7" s="6"/>
      <c r="AC7" s="6"/>
      <c r="AD7" s="6"/>
      <c r="AE7" s="6"/>
    </row>
    <row r="8" spans="1:31" x14ac:dyDescent="0.3">
      <c r="B8" s="228" t="s">
        <v>179</v>
      </c>
      <c r="C8" s="228"/>
      <c r="D8" s="228"/>
      <c r="E8" s="228"/>
      <c r="F8" s="228"/>
      <c r="G8" s="228"/>
      <c r="H8" s="230"/>
      <c r="I8" s="230">
        <v>45657</v>
      </c>
      <c r="AA8" s="6"/>
      <c r="AB8" s="6"/>
      <c r="AC8" s="6"/>
      <c r="AD8" s="6"/>
      <c r="AE8" s="6"/>
    </row>
    <row r="9" spans="1:31" ht="13.5" x14ac:dyDescent="0.3">
      <c r="B9" s="231" t="s">
        <v>180</v>
      </c>
      <c r="C9" s="231"/>
      <c r="D9" s="231"/>
      <c r="E9" s="231"/>
      <c r="F9" s="231"/>
      <c r="G9" s="231"/>
      <c r="H9" s="232"/>
      <c r="I9" s="232">
        <f>(I8-I7)/365</f>
        <v>0.75342465753424659</v>
      </c>
      <c r="AA9" s="6"/>
      <c r="AB9" s="6"/>
      <c r="AC9" s="6"/>
      <c r="AD9" s="6"/>
      <c r="AE9" s="6"/>
    </row>
    <row r="10" spans="1:31" x14ac:dyDescent="0.3">
      <c r="N10" s="6"/>
      <c r="O10" s="6"/>
      <c r="P10" s="6"/>
      <c r="Q10" s="6"/>
      <c r="R10" s="6"/>
      <c r="S10" s="6"/>
      <c r="T10" s="6"/>
      <c r="U10" s="6"/>
      <c r="V10" s="6"/>
      <c r="W10" s="6"/>
      <c r="X10" s="6"/>
      <c r="Y10" s="6"/>
      <c r="Z10" s="6"/>
      <c r="AA10" s="6"/>
      <c r="AB10" s="6"/>
      <c r="AC10" s="6"/>
      <c r="AD10" s="6"/>
      <c r="AE10" s="6"/>
    </row>
    <row r="11" spans="1:31" x14ac:dyDescent="0.3">
      <c r="B11" s="226" t="s">
        <v>181</v>
      </c>
      <c r="C11" s="226"/>
      <c r="D11" s="226"/>
      <c r="E11" s="226"/>
      <c r="F11" s="226"/>
      <c r="G11" s="226"/>
      <c r="H11" s="226"/>
      <c r="I11" s="226"/>
      <c r="J11" s="226"/>
      <c r="K11" s="226"/>
      <c r="L11" s="9" t="s">
        <v>182</v>
      </c>
      <c r="M11" s="9" t="s">
        <v>183</v>
      </c>
      <c r="N11" s="10" t="s">
        <v>184</v>
      </c>
      <c r="O11" s="233" t="s">
        <v>185</v>
      </c>
      <c r="P11" s="9" t="s">
        <v>186</v>
      </c>
      <c r="Q11" s="9" t="s">
        <v>187</v>
      </c>
      <c r="R11" s="9" t="s">
        <v>188</v>
      </c>
      <c r="S11" s="9" t="s">
        <v>189</v>
      </c>
      <c r="T11" s="9" t="s">
        <v>190</v>
      </c>
      <c r="U11" s="9" t="s">
        <v>191</v>
      </c>
      <c r="V11" s="9" t="s">
        <v>192</v>
      </c>
      <c r="W11" s="9" t="s">
        <v>193</v>
      </c>
      <c r="X11" s="9" t="s">
        <v>194</v>
      </c>
      <c r="Y11" s="9" t="s">
        <v>195</v>
      </c>
      <c r="Z11" s="10" t="s">
        <v>196</v>
      </c>
      <c r="AA11" s="9" t="s">
        <v>197</v>
      </c>
      <c r="AB11" s="9" t="s">
        <v>198</v>
      </c>
      <c r="AC11" s="9" t="s">
        <v>199</v>
      </c>
      <c r="AD11" s="9" t="s">
        <v>200</v>
      </c>
      <c r="AE11" s="9" t="s">
        <v>201</v>
      </c>
    </row>
    <row r="12" spans="1:31" x14ac:dyDescent="0.3">
      <c r="B12" s="3" t="s">
        <v>202</v>
      </c>
      <c r="L12" s="234"/>
      <c r="M12" s="234"/>
      <c r="N12" s="234"/>
      <c r="O12" s="235"/>
      <c r="P12" s="236"/>
      <c r="Q12" s="236"/>
      <c r="R12" s="236"/>
      <c r="S12" s="236"/>
      <c r="T12" s="236"/>
      <c r="U12" s="236"/>
      <c r="V12" s="236"/>
      <c r="W12" s="236"/>
      <c r="X12" s="236"/>
      <c r="Y12" s="236"/>
      <c r="Z12" s="237"/>
      <c r="AA12" s="234"/>
      <c r="AB12" s="234"/>
      <c r="AC12" s="234"/>
      <c r="AD12" s="234"/>
      <c r="AE12" s="234"/>
    </row>
    <row r="13" spans="1:31" x14ac:dyDescent="0.3">
      <c r="C13" s="3" t="s">
        <v>203</v>
      </c>
      <c r="L13" s="234">
        <v>2.5000000000000001E-2</v>
      </c>
      <c r="M13" s="234">
        <v>5.0890000000000005E-2</v>
      </c>
      <c r="N13" s="234">
        <v>3.5910000000000004E-2</v>
      </c>
      <c r="O13" s="235"/>
      <c r="P13" s="236"/>
      <c r="Q13" s="236"/>
      <c r="R13" s="236"/>
      <c r="S13" s="236"/>
      <c r="T13" s="236"/>
      <c r="U13" s="236"/>
      <c r="V13" s="236"/>
      <c r="W13" s="236"/>
      <c r="X13" s="236"/>
      <c r="Y13" s="236"/>
      <c r="Z13" s="237"/>
      <c r="AA13" s="234">
        <v>2.1000000000000001E-2</v>
      </c>
      <c r="AB13" s="234">
        <v>1.6E-2</v>
      </c>
      <c r="AC13" s="234">
        <v>0.02</v>
      </c>
      <c r="AD13" s="234">
        <v>1.7000000000000001E-2</v>
      </c>
      <c r="AE13" s="234">
        <v>1.8000000000000002E-2</v>
      </c>
    </row>
    <row r="14" spans="1:31" x14ac:dyDescent="0.3">
      <c r="C14" s="3" t="s">
        <v>204</v>
      </c>
      <c r="L14" s="234">
        <v>6.3789999999999999E-2</v>
      </c>
      <c r="M14" s="234">
        <v>8.3760000000000001E-2</v>
      </c>
      <c r="N14" s="234">
        <v>1.609E-2</v>
      </c>
      <c r="O14" s="235"/>
      <c r="P14" s="236"/>
      <c r="Q14" s="236"/>
      <c r="R14" s="236"/>
      <c r="S14" s="236"/>
      <c r="T14" s="236"/>
      <c r="U14" s="236"/>
      <c r="V14" s="236"/>
      <c r="W14" s="236"/>
      <c r="X14" s="236"/>
      <c r="Y14" s="236"/>
      <c r="Z14" s="237"/>
      <c r="AA14" s="234">
        <v>2.2000000000000002E-2</v>
      </c>
      <c r="AB14" s="234">
        <v>1.9E-2</v>
      </c>
      <c r="AC14" s="234">
        <v>1.6E-2</v>
      </c>
      <c r="AD14" s="234">
        <v>0.02</v>
      </c>
      <c r="AE14" s="234">
        <v>1.8000000000000002E-2</v>
      </c>
    </row>
    <row r="15" spans="1:31" x14ac:dyDescent="0.3">
      <c r="C15" s="3" t="s">
        <v>205</v>
      </c>
      <c r="L15" s="238">
        <v>5.024E-2</v>
      </c>
      <c r="M15" s="238">
        <v>4.897E-2</v>
      </c>
      <c r="N15" s="238">
        <v>2.5000000000000001E-2</v>
      </c>
      <c r="O15" s="235"/>
      <c r="P15" s="236"/>
      <c r="Q15" s="236"/>
      <c r="R15" s="236"/>
      <c r="S15" s="236"/>
      <c r="T15" s="236"/>
      <c r="U15" s="236"/>
      <c r="V15" s="236"/>
      <c r="W15" s="236"/>
      <c r="X15" s="236"/>
      <c r="Y15" s="236"/>
      <c r="Z15" s="237"/>
      <c r="AA15" s="234">
        <v>3.2000000000000001E-2</v>
      </c>
      <c r="AB15" s="234">
        <v>2.7999999999999997E-2</v>
      </c>
      <c r="AC15" s="234">
        <v>4.0999999999999995E-2</v>
      </c>
      <c r="AD15" s="234">
        <v>3.4000000000000002E-2</v>
      </c>
      <c r="AE15" s="234">
        <v>3.5000000000000003E-2</v>
      </c>
    </row>
    <row r="16" spans="1:31" x14ac:dyDescent="0.3">
      <c r="B16" s="3" t="s">
        <v>206</v>
      </c>
      <c r="L16" s="234"/>
      <c r="M16" s="234"/>
      <c r="N16" s="234"/>
      <c r="O16" s="235"/>
      <c r="P16" s="236"/>
      <c r="Q16" s="236"/>
      <c r="R16" s="236"/>
      <c r="S16" s="236"/>
      <c r="T16" s="236"/>
      <c r="U16" s="236"/>
      <c r="V16" s="236"/>
      <c r="W16" s="236"/>
      <c r="X16" s="236"/>
      <c r="Y16" s="236"/>
      <c r="Z16" s="237"/>
      <c r="AA16" s="234"/>
      <c r="AB16" s="234"/>
      <c r="AC16" s="234"/>
      <c r="AD16" s="234"/>
      <c r="AE16" s="234"/>
    </row>
    <row r="17" spans="2:31" x14ac:dyDescent="0.3">
      <c r="C17" s="3" t="s">
        <v>203</v>
      </c>
      <c r="L17" s="234">
        <v>-2.33E-3</v>
      </c>
      <c r="M17" s="234">
        <v>2.4980000000000002E-2</v>
      </c>
      <c r="N17" s="234">
        <v>3.2680000000000001E-2</v>
      </c>
      <c r="O17" s="235"/>
      <c r="P17" s="236"/>
      <c r="Q17" s="236"/>
      <c r="R17" s="236"/>
      <c r="S17" s="236"/>
      <c r="T17" s="236"/>
      <c r="U17" s="236"/>
      <c r="V17" s="236"/>
      <c r="W17" s="236"/>
      <c r="X17" s="236"/>
      <c r="Y17" s="236"/>
      <c r="Z17" s="237"/>
      <c r="AA17" s="234">
        <v>2.3E-2</v>
      </c>
      <c r="AB17" s="234">
        <v>1.3999999999999999E-2</v>
      </c>
      <c r="AC17" s="234">
        <v>1.3000000000000001E-2</v>
      </c>
      <c r="AD17" s="234">
        <v>1.3999999999999999E-2</v>
      </c>
      <c r="AE17" s="234">
        <v>1.2E-2</v>
      </c>
    </row>
    <row r="18" spans="2:31" x14ac:dyDescent="0.3">
      <c r="C18" s="3" t="s">
        <v>204</v>
      </c>
      <c r="L18" s="234">
        <v>4.6079999999999996E-2</v>
      </c>
      <c r="M18" s="234">
        <v>9.8140000000000005E-2</v>
      </c>
      <c r="N18" s="234">
        <v>4.1779999999999998E-2</v>
      </c>
      <c r="O18" s="235"/>
      <c r="P18" s="236"/>
      <c r="Q18" s="236"/>
      <c r="R18" s="236"/>
      <c r="S18" s="236"/>
      <c r="T18" s="236"/>
      <c r="U18" s="236"/>
      <c r="V18" s="236"/>
      <c r="W18" s="236"/>
      <c r="X18" s="236"/>
      <c r="Y18" s="236"/>
      <c r="Z18" s="237"/>
      <c r="AA18" s="234">
        <v>1.6E-2</v>
      </c>
      <c r="AB18" s="234">
        <v>1.1000000000000001E-2</v>
      </c>
      <c r="AC18" s="234">
        <v>1.3000000000000001E-2</v>
      </c>
      <c r="AD18" s="234">
        <v>1.2E-2</v>
      </c>
      <c r="AE18" s="234">
        <v>1.3999999999999999E-2</v>
      </c>
    </row>
    <row r="19" spans="2:31" x14ac:dyDescent="0.3">
      <c r="C19" s="3" t="s">
        <v>205</v>
      </c>
      <c r="L19" s="234">
        <v>9.0100000000000006E-3</v>
      </c>
      <c r="M19" s="234">
        <v>2.9990000000000003E-2</v>
      </c>
      <c r="N19" s="234">
        <v>1.883E-2</v>
      </c>
      <c r="O19" s="235"/>
      <c r="P19" s="236"/>
      <c r="Q19" s="236"/>
      <c r="R19" s="236"/>
      <c r="S19" s="236"/>
      <c r="T19" s="236"/>
      <c r="U19" s="236"/>
      <c r="V19" s="236"/>
      <c r="W19" s="236"/>
      <c r="X19" s="236"/>
      <c r="Y19" s="236"/>
      <c r="Z19" s="237"/>
      <c r="AA19" s="234">
        <v>0.03</v>
      </c>
      <c r="AB19" s="234">
        <v>1.8000000000000002E-2</v>
      </c>
      <c r="AC19" s="234">
        <v>1.7000000000000001E-2</v>
      </c>
      <c r="AD19" s="234">
        <v>1.7000000000000001E-2</v>
      </c>
      <c r="AE19" s="234">
        <v>1.6E-2</v>
      </c>
    </row>
    <row r="20" spans="2:31" x14ac:dyDescent="0.3">
      <c r="B20" s="3" t="s">
        <v>207</v>
      </c>
      <c r="L20" s="234"/>
      <c r="M20" s="234"/>
      <c r="N20" s="234"/>
      <c r="O20" s="235"/>
      <c r="P20" s="236"/>
      <c r="Q20" s="236"/>
      <c r="R20" s="236"/>
      <c r="S20" s="236"/>
      <c r="T20" s="236"/>
      <c r="U20" s="236"/>
      <c r="V20" s="236"/>
      <c r="W20" s="236"/>
      <c r="X20" s="236"/>
      <c r="Y20" s="236"/>
      <c r="Z20" s="237"/>
      <c r="AA20" s="234"/>
      <c r="AB20" s="234"/>
      <c r="AC20" s="234"/>
      <c r="AD20" s="234"/>
      <c r="AE20" s="234"/>
    </row>
    <row r="21" spans="2:31" x14ac:dyDescent="0.3">
      <c r="C21" s="3" t="s">
        <v>203</v>
      </c>
      <c r="L21" s="234">
        <v>4.6820000000000001E-2</v>
      </c>
      <c r="M21" s="234">
        <v>7.9920000000000005E-2</v>
      </c>
      <c r="N21" s="234">
        <v>4.1280000000000004E-2</v>
      </c>
      <c r="O21" s="235"/>
      <c r="P21" s="236"/>
      <c r="Q21" s="236"/>
      <c r="R21" s="236"/>
      <c r="S21" s="236"/>
      <c r="T21" s="236"/>
      <c r="U21" s="236"/>
      <c r="V21" s="236"/>
      <c r="W21" s="236"/>
      <c r="X21" s="236"/>
      <c r="Y21" s="236"/>
      <c r="Z21" s="237"/>
      <c r="AA21" s="234">
        <v>2.5000000000000001E-2</v>
      </c>
      <c r="AB21" s="234">
        <v>2.1000000000000001E-2</v>
      </c>
      <c r="AC21" s="234">
        <v>2.3E-2</v>
      </c>
      <c r="AD21" s="234">
        <v>2.3E-2</v>
      </c>
      <c r="AE21" s="234">
        <v>2.4E-2</v>
      </c>
    </row>
    <row r="22" spans="2:31" x14ac:dyDescent="0.3">
      <c r="C22" s="3" t="s">
        <v>204</v>
      </c>
      <c r="L22" s="234">
        <v>6.9790000000000005E-2</v>
      </c>
      <c r="M22" s="234">
        <v>9.4789999999999985E-2</v>
      </c>
      <c r="N22" s="234">
        <v>2.0240000000000001E-2</v>
      </c>
      <c r="O22" s="235"/>
      <c r="P22" s="236"/>
      <c r="Q22" s="236"/>
      <c r="R22" s="236"/>
      <c r="S22" s="236"/>
      <c r="T22" s="236"/>
      <c r="U22" s="236"/>
      <c r="V22" s="236"/>
      <c r="W22" s="236"/>
      <c r="X22" s="236"/>
      <c r="Y22" s="236"/>
      <c r="Z22" s="237"/>
      <c r="AA22" s="234">
        <v>1.4999999999999999E-2</v>
      </c>
      <c r="AB22" s="234">
        <v>1.9E-2</v>
      </c>
      <c r="AC22" s="234">
        <v>2.2000000000000002E-2</v>
      </c>
      <c r="AD22" s="234">
        <v>0.02</v>
      </c>
      <c r="AE22" s="234">
        <v>0.02</v>
      </c>
    </row>
    <row r="23" spans="2:31" x14ac:dyDescent="0.3">
      <c r="C23" s="3" t="s">
        <v>205</v>
      </c>
      <c r="L23" s="234">
        <v>4.9550000000000004E-2</v>
      </c>
      <c r="M23" s="234">
        <v>6.3909999999999995E-2</v>
      </c>
      <c r="N23" s="234">
        <v>4.9640000000000004E-2</v>
      </c>
      <c r="O23" s="235"/>
      <c r="P23" s="236"/>
      <c r="Q23" s="236"/>
      <c r="R23" s="236"/>
      <c r="S23" s="236"/>
      <c r="T23" s="236"/>
      <c r="U23" s="236"/>
      <c r="V23" s="236"/>
      <c r="W23" s="236"/>
      <c r="X23" s="236"/>
      <c r="Y23" s="236"/>
      <c r="Z23" s="237"/>
      <c r="AA23" s="234">
        <v>2.8999999999999998E-2</v>
      </c>
      <c r="AB23" s="234">
        <v>2.5000000000000001E-2</v>
      </c>
      <c r="AC23" s="234">
        <v>2.8999999999999998E-2</v>
      </c>
      <c r="AD23" s="234">
        <v>2.8999999999999998E-2</v>
      </c>
      <c r="AE23" s="234">
        <v>3.1E-2</v>
      </c>
    </row>
    <row r="24" spans="2:31" x14ac:dyDescent="0.3">
      <c r="B24" s="3" t="s">
        <v>15</v>
      </c>
      <c r="L24" s="234"/>
      <c r="M24" s="234"/>
      <c r="N24" s="234"/>
      <c r="O24" s="235"/>
      <c r="P24" s="236"/>
      <c r="Q24" s="236"/>
      <c r="R24" s="236"/>
      <c r="S24" s="236"/>
      <c r="T24" s="236"/>
      <c r="U24" s="236"/>
      <c r="V24" s="236"/>
      <c r="W24" s="236"/>
      <c r="X24" s="236"/>
      <c r="Y24" s="236"/>
      <c r="Z24" s="237"/>
      <c r="AA24" s="234"/>
      <c r="AB24" s="234"/>
      <c r="AC24" s="234"/>
      <c r="AD24" s="234"/>
      <c r="AE24" s="234"/>
    </row>
    <row r="25" spans="2:31" x14ac:dyDescent="0.3">
      <c r="C25" s="3" t="s">
        <v>203</v>
      </c>
      <c r="L25" s="234">
        <v>8.5100000000000002E-3</v>
      </c>
      <c r="M25" s="234">
        <v>1.8779999999999998E-2</v>
      </c>
      <c r="N25" s="234">
        <v>3.3300000000000001E-3</v>
      </c>
      <c r="O25" s="235"/>
      <c r="P25" s="236"/>
      <c r="Q25" s="236"/>
      <c r="R25" s="236"/>
      <c r="S25" s="236"/>
      <c r="T25" s="236"/>
      <c r="U25" s="236"/>
      <c r="V25" s="236"/>
      <c r="W25" s="236"/>
      <c r="X25" s="236"/>
      <c r="Y25" s="236"/>
      <c r="Z25" s="237"/>
      <c r="AA25" s="234">
        <v>0.01</v>
      </c>
      <c r="AB25" s="234">
        <v>1.3000000000000001E-2</v>
      </c>
      <c r="AC25" s="234">
        <v>1.4999999999999999E-2</v>
      </c>
      <c r="AD25" s="234">
        <v>1.6E-2</v>
      </c>
      <c r="AE25" s="234">
        <v>1.8000000000000002E-2</v>
      </c>
    </row>
    <row r="26" spans="2:31" x14ac:dyDescent="0.3">
      <c r="C26" s="3" t="s">
        <v>204</v>
      </c>
      <c r="L26" s="234">
        <v>8.1259999999999999E-2</v>
      </c>
      <c r="M26" s="234">
        <v>3.9550000000000002E-2</v>
      </c>
      <c r="N26" s="234">
        <v>-3.0089999999999999E-2</v>
      </c>
      <c r="O26" s="235"/>
      <c r="P26" s="236"/>
      <c r="Q26" s="236"/>
      <c r="R26" s="236"/>
      <c r="S26" s="236"/>
      <c r="T26" s="236"/>
      <c r="U26" s="236"/>
      <c r="V26" s="236"/>
      <c r="W26" s="236"/>
      <c r="X26" s="236"/>
      <c r="Y26" s="236"/>
      <c r="Z26" s="237"/>
      <c r="AA26" s="234">
        <v>0.02</v>
      </c>
      <c r="AB26" s="234">
        <v>1.6E-2</v>
      </c>
      <c r="AC26" s="234">
        <v>0.01</v>
      </c>
      <c r="AD26" s="234">
        <v>1.4999999999999999E-2</v>
      </c>
      <c r="AE26" s="234">
        <v>6.9999999999999993E-3</v>
      </c>
    </row>
    <row r="27" spans="2:31" x14ac:dyDescent="0.3">
      <c r="C27" s="3" t="s">
        <v>205</v>
      </c>
      <c r="L27" s="234">
        <v>9.7129999999999994E-2</v>
      </c>
      <c r="M27" s="234">
        <v>6.7320000000000005E-2</v>
      </c>
      <c r="N27" s="234">
        <v>7.2999999999999995E-2</v>
      </c>
      <c r="O27" s="235"/>
      <c r="P27" s="236"/>
      <c r="Q27" s="236"/>
      <c r="R27" s="236"/>
      <c r="S27" s="236"/>
      <c r="T27" s="236"/>
      <c r="U27" s="236"/>
      <c r="V27" s="236"/>
      <c r="W27" s="236"/>
      <c r="X27" s="236"/>
      <c r="Y27" s="236"/>
      <c r="Z27" s="237"/>
      <c r="AA27" s="234">
        <v>6.4000000000000001E-2</v>
      </c>
      <c r="AB27" s="234">
        <v>0.06</v>
      </c>
      <c r="AC27" s="234">
        <v>5.5E-2</v>
      </c>
      <c r="AD27" s="234">
        <v>0.05</v>
      </c>
      <c r="AE27" s="234">
        <v>4.7E-2</v>
      </c>
    </row>
    <row r="28" spans="2:31" x14ac:dyDescent="0.3">
      <c r="B28" s="3" t="s">
        <v>14</v>
      </c>
      <c r="L28" s="234"/>
      <c r="M28" s="234"/>
      <c r="N28" s="234"/>
      <c r="O28" s="235"/>
      <c r="P28" s="236"/>
      <c r="Q28" s="236"/>
      <c r="R28" s="236"/>
      <c r="S28" s="236"/>
      <c r="T28" s="236"/>
      <c r="U28" s="236"/>
      <c r="V28" s="236"/>
      <c r="W28" s="236"/>
      <c r="X28" s="236"/>
      <c r="Y28" s="236"/>
      <c r="Z28" s="237"/>
      <c r="AA28" s="234"/>
      <c r="AB28" s="234"/>
      <c r="AC28" s="234"/>
      <c r="AD28" s="234"/>
      <c r="AE28" s="234"/>
    </row>
    <row r="29" spans="2:31" x14ac:dyDescent="0.3">
      <c r="C29" s="3" t="s">
        <v>203</v>
      </c>
      <c r="L29" s="234">
        <v>3.2120000000000003E-2</v>
      </c>
      <c r="M29" s="234">
        <v>8.657999999999999E-2</v>
      </c>
      <c r="N29" s="234">
        <v>6.0159999999999998E-2</v>
      </c>
      <c r="O29" s="235"/>
      <c r="P29" s="236"/>
      <c r="Q29" s="236"/>
      <c r="R29" s="236"/>
      <c r="S29" s="236"/>
      <c r="T29" s="236"/>
      <c r="U29" s="236"/>
      <c r="V29" s="236"/>
      <c r="W29" s="236"/>
      <c r="X29" s="236"/>
      <c r="Y29" s="236"/>
      <c r="Z29" s="237"/>
      <c r="AA29" s="234">
        <v>2.1000000000000001E-2</v>
      </c>
      <c r="AB29" s="234">
        <v>1.9E-2</v>
      </c>
      <c r="AC29" s="234">
        <v>1.9E-2</v>
      </c>
      <c r="AD29" s="234">
        <v>0.02</v>
      </c>
      <c r="AE29" s="234">
        <v>0.02</v>
      </c>
    </row>
    <row r="30" spans="2:31" x14ac:dyDescent="0.3">
      <c r="C30" s="3" t="s">
        <v>204</v>
      </c>
      <c r="L30" s="234">
        <v>9.6930000000000002E-2</v>
      </c>
      <c r="M30" s="234">
        <v>0.33281999999999995</v>
      </c>
      <c r="N30" s="234">
        <v>-2.044E-2</v>
      </c>
      <c r="O30" s="235"/>
      <c r="P30" s="236"/>
      <c r="Q30" s="236"/>
      <c r="R30" s="236"/>
      <c r="S30" s="236"/>
      <c r="T30" s="236"/>
      <c r="U30" s="236"/>
      <c r="V30" s="236"/>
      <c r="W30" s="236"/>
      <c r="X30" s="236"/>
      <c r="Y30" s="236"/>
      <c r="Z30" s="237"/>
      <c r="AA30" s="234">
        <v>-2E-3</v>
      </c>
      <c r="AB30" s="234">
        <v>1.4999999999999999E-2</v>
      </c>
      <c r="AC30" s="234">
        <v>1.1000000000000001E-2</v>
      </c>
      <c r="AD30" s="234">
        <v>0.01</v>
      </c>
      <c r="AE30" s="234">
        <v>9.0000000000000011E-3</v>
      </c>
    </row>
    <row r="31" spans="2:31" x14ac:dyDescent="0.3">
      <c r="B31" s="92"/>
      <c r="C31" s="92" t="s">
        <v>205</v>
      </c>
      <c r="D31" s="92"/>
      <c r="E31" s="92"/>
      <c r="F31" s="92"/>
      <c r="G31" s="92"/>
      <c r="H31" s="92"/>
      <c r="I31" s="92"/>
      <c r="J31" s="92"/>
      <c r="K31" s="92"/>
      <c r="L31" s="239">
        <v>1.5180000000000001E-2</v>
      </c>
      <c r="M31" s="239">
        <v>2.6419999999999999E-2</v>
      </c>
      <c r="N31" s="239">
        <v>0.04</v>
      </c>
      <c r="O31" s="240"/>
      <c r="P31" s="241"/>
      <c r="Q31" s="241"/>
      <c r="R31" s="241"/>
      <c r="S31" s="241"/>
      <c r="T31" s="241"/>
      <c r="U31" s="241"/>
      <c r="V31" s="241"/>
      <c r="W31" s="241"/>
      <c r="X31" s="241"/>
      <c r="Y31" s="241"/>
      <c r="Z31" s="242"/>
      <c r="AA31" s="239">
        <v>2.4E-2</v>
      </c>
      <c r="AB31" s="239">
        <v>2.8999999999999998E-2</v>
      </c>
      <c r="AC31" s="239">
        <v>2.6000000000000002E-2</v>
      </c>
      <c r="AD31" s="239">
        <v>2.7000000000000003E-2</v>
      </c>
      <c r="AE31" s="239">
        <v>2.7000000000000003E-2</v>
      </c>
    </row>
    <row r="33" spans="1:32" x14ac:dyDescent="0.3">
      <c r="H33" s="23" t="s">
        <v>208</v>
      </c>
      <c r="I33" s="243"/>
    </row>
    <row r="34" spans="1:32" ht="12.75" thickBot="1" x14ac:dyDescent="0.35">
      <c r="B34" s="8"/>
      <c r="C34" s="8"/>
      <c r="D34" s="8"/>
      <c r="E34" s="8"/>
      <c r="F34" s="8"/>
      <c r="G34" s="8"/>
      <c r="H34" s="8"/>
      <c r="I34" s="9" t="s">
        <v>209</v>
      </c>
      <c r="J34" s="9" t="s">
        <v>210</v>
      </c>
      <c r="K34" s="9" t="s">
        <v>211</v>
      </c>
      <c r="L34" s="9" t="s">
        <v>182</v>
      </c>
      <c r="M34" s="9" t="s">
        <v>183</v>
      </c>
      <c r="N34" s="10" t="s">
        <v>184</v>
      </c>
      <c r="O34" s="9" t="s">
        <v>212</v>
      </c>
      <c r="P34" s="9" t="s">
        <v>213</v>
      </c>
      <c r="Q34" s="9" t="s">
        <v>214</v>
      </c>
      <c r="R34" s="9" t="s">
        <v>215</v>
      </c>
      <c r="S34" s="9" t="s">
        <v>216</v>
      </c>
      <c r="T34" s="9" t="s">
        <v>217</v>
      </c>
      <c r="U34" s="9" t="s">
        <v>218</v>
      </c>
      <c r="V34" s="9" t="s">
        <v>219</v>
      </c>
      <c r="W34" s="9" t="s">
        <v>220</v>
      </c>
      <c r="X34" s="9" t="s">
        <v>221</v>
      </c>
      <c r="Y34" s="9" t="s">
        <v>222</v>
      </c>
      <c r="Z34" s="9" t="s">
        <v>223</v>
      </c>
      <c r="AA34" s="244" t="s">
        <v>197</v>
      </c>
      <c r="AB34" s="9" t="s">
        <v>198</v>
      </c>
      <c r="AC34" s="9" t="s">
        <v>199</v>
      </c>
      <c r="AD34" s="9" t="s">
        <v>200</v>
      </c>
      <c r="AE34" s="9" t="s">
        <v>201</v>
      </c>
    </row>
    <row r="35" spans="1:32" ht="12.75" thickBot="1" x14ac:dyDescent="0.35">
      <c r="B35" s="3" t="s">
        <v>224</v>
      </c>
      <c r="H35" s="245">
        <v>2</v>
      </c>
      <c r="I35" s="16">
        <f t="shared" ref="I35:N35" si="0">CHOOSE($H$35,I36,I37)</f>
        <v>1100.163333</v>
      </c>
      <c r="J35" s="16">
        <f t="shared" si="0"/>
        <v>1165.3575000000001</v>
      </c>
      <c r="K35" s="16">
        <f t="shared" si="0"/>
        <v>1180.2658329999999</v>
      </c>
      <c r="L35" s="16">
        <f t="shared" si="0"/>
        <v>1143.958333</v>
      </c>
      <c r="M35" s="16">
        <f t="shared" si="0"/>
        <v>1291.4466669999999</v>
      </c>
      <c r="N35" s="15">
        <f t="shared" si="0"/>
        <v>1305.6624999999999</v>
      </c>
      <c r="O35" s="16">
        <f t="shared" ref="O35:AE35" si="1">CHOOSE($H35,O36,O37,AVERAGE(O36:O37))</f>
        <v>1330.6</v>
      </c>
      <c r="P35" s="16">
        <f t="shared" si="1"/>
        <v>1330.6</v>
      </c>
      <c r="Q35" s="16">
        <f t="shared" si="1"/>
        <v>1330.6</v>
      </c>
      <c r="R35" s="16">
        <f t="shared" si="1"/>
        <v>1308.5999999999999</v>
      </c>
      <c r="S35" s="16">
        <f t="shared" si="1"/>
        <v>1308.5999999999999</v>
      </c>
      <c r="T35" s="16">
        <f t="shared" si="1"/>
        <v>1308.5999999999999</v>
      </c>
      <c r="U35" s="16">
        <f t="shared" si="1"/>
        <v>1289.8</v>
      </c>
      <c r="V35" s="16">
        <f t="shared" si="1"/>
        <v>1289.8</v>
      </c>
      <c r="W35" s="16">
        <f t="shared" si="1"/>
        <v>1289.8</v>
      </c>
      <c r="X35" s="16">
        <f t="shared" si="1"/>
        <v>1259.9000000000001</v>
      </c>
      <c r="Y35" s="16">
        <f t="shared" si="1"/>
        <v>1259.9000000000001</v>
      </c>
      <c r="Z35" s="16">
        <f t="shared" si="1"/>
        <v>1259.9000000000001</v>
      </c>
      <c r="AA35" s="246">
        <f t="shared" si="1"/>
        <v>1289.2</v>
      </c>
      <c r="AB35" s="16">
        <f t="shared" si="1"/>
        <v>1214.2</v>
      </c>
      <c r="AC35" s="16">
        <f t="shared" si="1"/>
        <v>1201.8</v>
      </c>
      <c r="AD35" s="16">
        <f t="shared" si="1"/>
        <v>1199.3</v>
      </c>
      <c r="AE35" s="16">
        <f t="shared" si="1"/>
        <v>1212</v>
      </c>
    </row>
    <row r="36" spans="1:32" x14ac:dyDescent="0.3">
      <c r="C36" s="3" t="s">
        <v>225</v>
      </c>
      <c r="I36" s="16">
        <v>1100.163333</v>
      </c>
      <c r="J36" s="16">
        <v>1165.3575000000001</v>
      </c>
      <c r="K36" s="16">
        <v>1180.2658329999999</v>
      </c>
      <c r="L36" s="16">
        <v>1143.958333</v>
      </c>
      <c r="M36" s="16">
        <v>1291.4466669999999</v>
      </c>
      <c r="N36" s="15">
        <v>1305.6624999999999</v>
      </c>
      <c r="O36" s="16">
        <v>1270</v>
      </c>
      <c r="P36" s="16">
        <v>1270</v>
      </c>
      <c r="Q36" s="16">
        <v>1270</v>
      </c>
      <c r="R36" s="16">
        <v>1369.8630136986303</v>
      </c>
      <c r="S36" s="16">
        <f>R36</f>
        <v>1369.8630136986303</v>
      </c>
      <c r="T36" s="16">
        <f>S36</f>
        <v>1369.8630136986303</v>
      </c>
      <c r="U36" s="16">
        <v>1351.3513513513515</v>
      </c>
      <c r="V36" s="16">
        <f>U36</f>
        <v>1351.3513513513515</v>
      </c>
      <c r="W36" s="16">
        <f>V36</f>
        <v>1351.3513513513515</v>
      </c>
      <c r="X36" s="16">
        <v>1333.3333333333335</v>
      </c>
      <c r="Y36" s="16">
        <f>X36</f>
        <v>1333.3333333333335</v>
      </c>
      <c r="Z36" s="16">
        <f>Y36</f>
        <v>1333.3333333333335</v>
      </c>
      <c r="AA36" s="246">
        <f>Z36</f>
        <v>1333.3333333333335</v>
      </c>
      <c r="AB36" s="16">
        <v>1265.8227848101267</v>
      </c>
      <c r="AC36" s="16">
        <v>1234.5679012345679</v>
      </c>
      <c r="AD36" s="16">
        <v>1282.0512820512822</v>
      </c>
      <c r="AE36" s="16">
        <f>AD36</f>
        <v>1282.0512820512822</v>
      </c>
    </row>
    <row r="37" spans="1:32" ht="12.75" thickBot="1" x14ac:dyDescent="0.35">
      <c r="C37" s="3" t="s">
        <v>226</v>
      </c>
      <c r="I37" s="16">
        <f>I36</f>
        <v>1100.163333</v>
      </c>
      <c r="J37" s="16">
        <f t="shared" ref="J37:N37" si="2">J36</f>
        <v>1165.3575000000001</v>
      </c>
      <c r="K37" s="16">
        <f t="shared" si="2"/>
        <v>1180.2658329999999</v>
      </c>
      <c r="L37" s="16">
        <f t="shared" si="2"/>
        <v>1143.958333</v>
      </c>
      <c r="M37" s="16">
        <f t="shared" si="2"/>
        <v>1291.4466669999999</v>
      </c>
      <c r="N37" s="15">
        <f t="shared" si="2"/>
        <v>1305.6624999999999</v>
      </c>
      <c r="O37" s="16">
        <f>P37</f>
        <v>1330.6</v>
      </c>
      <c r="P37" s="16">
        <f>Q37</f>
        <v>1330.6</v>
      </c>
      <c r="Q37" s="16">
        <v>1330.6</v>
      </c>
      <c r="R37" s="16">
        <f>S37</f>
        <v>1308.5999999999999</v>
      </c>
      <c r="S37" s="16">
        <f>T37</f>
        <v>1308.5999999999999</v>
      </c>
      <c r="T37" s="16">
        <v>1308.5999999999999</v>
      </c>
      <c r="U37" s="16">
        <f>V37</f>
        <v>1289.8</v>
      </c>
      <c r="V37" s="16">
        <f>W37</f>
        <v>1289.8</v>
      </c>
      <c r="W37" s="16">
        <v>1289.8</v>
      </c>
      <c r="X37" s="16">
        <f>Y37</f>
        <v>1259.9000000000001</v>
      </c>
      <c r="Y37" s="16">
        <f>Z37</f>
        <v>1259.9000000000001</v>
      </c>
      <c r="Z37" s="16">
        <v>1259.9000000000001</v>
      </c>
      <c r="AA37" s="246">
        <v>1289.2</v>
      </c>
      <c r="AB37" s="16">
        <v>1214.2</v>
      </c>
      <c r="AC37" s="16">
        <v>1201.8</v>
      </c>
      <c r="AD37" s="16">
        <v>1199.3</v>
      </c>
      <c r="AE37" s="16">
        <v>1212</v>
      </c>
    </row>
    <row r="38" spans="1:32" s="247" customFormat="1" ht="12.75" thickBot="1" x14ac:dyDescent="0.35">
      <c r="B38" s="247" t="s">
        <v>227</v>
      </c>
      <c r="H38" s="245">
        <v>2</v>
      </c>
      <c r="I38" s="247">
        <f t="shared" ref="I38:N38" si="3">CHOOSE($H$35,I39,I40)</f>
        <v>9.9623899818518531</v>
      </c>
      <c r="J38" s="247">
        <f t="shared" si="3"/>
        <v>10.688574867965743</v>
      </c>
      <c r="K38" s="247">
        <f t="shared" si="3"/>
        <v>11.054714788765802</v>
      </c>
      <c r="L38" s="247">
        <f t="shared" si="3"/>
        <v>10.421174091871826</v>
      </c>
      <c r="M38" s="247">
        <f t="shared" si="3"/>
        <v>9.8236886336407707</v>
      </c>
      <c r="N38" s="248">
        <f t="shared" si="3"/>
        <v>9.2937432747529272</v>
      </c>
      <c r="O38" s="16">
        <f t="shared" ref="O38:AE38" si="4">CHOOSE($H38,O39,O40,AVERAGE(O39:O40))</f>
        <v>8.9422043010752681</v>
      </c>
      <c r="P38" s="16">
        <f t="shared" si="4"/>
        <v>8.9422043010752681</v>
      </c>
      <c r="Q38" s="16">
        <f t="shared" si="4"/>
        <v>8.9422043010752681</v>
      </c>
      <c r="R38" s="16">
        <f t="shared" si="4"/>
        <v>9.2025316455696196</v>
      </c>
      <c r="S38" s="16">
        <f t="shared" si="4"/>
        <v>9.2025316455696196</v>
      </c>
      <c r="T38" s="16">
        <f t="shared" si="4"/>
        <v>9.2025316455696196</v>
      </c>
      <c r="U38" s="16">
        <f t="shared" si="4"/>
        <v>9.6110283159463492</v>
      </c>
      <c r="V38" s="16">
        <f t="shared" si="4"/>
        <v>9.6110283159463492</v>
      </c>
      <c r="W38" s="16">
        <f t="shared" si="4"/>
        <v>9.6110283159463492</v>
      </c>
      <c r="X38" s="16">
        <f t="shared" si="4"/>
        <v>9.6470137825421141</v>
      </c>
      <c r="Y38" s="16">
        <f t="shared" si="4"/>
        <v>9.6470137825421141</v>
      </c>
      <c r="Z38" s="16">
        <f t="shared" si="4"/>
        <v>9.6470137825421141</v>
      </c>
      <c r="AA38" s="246">
        <f t="shared" si="4"/>
        <v>9.2748201438848916</v>
      </c>
      <c r="AB38" s="16">
        <f t="shared" si="4"/>
        <v>10.413379073756433</v>
      </c>
      <c r="AC38" s="16">
        <f t="shared" si="4"/>
        <v>11.148423005565862</v>
      </c>
      <c r="AD38" s="16">
        <f t="shared" si="4"/>
        <v>11.389363722697055</v>
      </c>
      <c r="AE38" s="16">
        <f t="shared" si="4"/>
        <v>11.564885496183207</v>
      </c>
      <c r="AF38" s="249"/>
    </row>
    <row r="39" spans="1:32" s="247" customFormat="1" x14ac:dyDescent="0.3">
      <c r="C39" s="3" t="s">
        <v>225</v>
      </c>
      <c r="I39" s="247">
        <v>9.9623899818518531</v>
      </c>
      <c r="J39" s="247">
        <v>10.688574867965743</v>
      </c>
      <c r="K39" s="247">
        <v>11.054714788765802</v>
      </c>
      <c r="L39" s="247">
        <v>10.421174091871826</v>
      </c>
      <c r="M39" s="247">
        <v>9.8236886336407707</v>
      </c>
      <c r="N39" s="248">
        <v>9.2937432747529272</v>
      </c>
      <c r="O39" s="247">
        <v>9.5380000000000003</v>
      </c>
      <c r="P39" s="247">
        <v>9.5380000000000003</v>
      </c>
      <c r="Q39" s="247">
        <v>9.5380000000000003</v>
      </c>
      <c r="R39" s="247">
        <v>11.1</v>
      </c>
      <c r="S39" s="247">
        <v>11.1</v>
      </c>
      <c r="T39" s="247">
        <v>11.1</v>
      </c>
      <c r="U39" s="247">
        <v>11</v>
      </c>
      <c r="V39" s="247">
        <v>11</v>
      </c>
      <c r="W39" s="247">
        <v>11</v>
      </c>
      <c r="X39" s="247">
        <v>11</v>
      </c>
      <c r="Y39" s="247">
        <v>11</v>
      </c>
      <c r="Z39" s="247">
        <v>11</v>
      </c>
      <c r="AA39" s="250">
        <f>Z39</f>
        <v>11</v>
      </c>
      <c r="AB39" s="247">
        <v>11</v>
      </c>
      <c r="AC39" s="247">
        <v>10.6</v>
      </c>
      <c r="AD39" s="247">
        <v>9.6</v>
      </c>
      <c r="AE39" s="247">
        <f>AD39</f>
        <v>9.6</v>
      </c>
      <c r="AF39" s="249"/>
    </row>
    <row r="40" spans="1:32" s="247" customFormat="1" ht="12.75" thickBot="1" x14ac:dyDescent="0.35">
      <c r="C40" s="3" t="s">
        <v>226</v>
      </c>
      <c r="I40" s="247">
        <f t="shared" ref="I40:N40" si="5">I39</f>
        <v>9.9623899818518531</v>
      </c>
      <c r="J40" s="247">
        <f t="shared" si="5"/>
        <v>10.688574867965743</v>
      </c>
      <c r="K40" s="247">
        <f t="shared" si="5"/>
        <v>11.054714788765802</v>
      </c>
      <c r="L40" s="247">
        <f t="shared" si="5"/>
        <v>10.421174091871826</v>
      </c>
      <c r="M40" s="247">
        <f t="shared" si="5"/>
        <v>9.8236886336407707</v>
      </c>
      <c r="N40" s="248">
        <f t="shared" si="5"/>
        <v>9.2937432747529272</v>
      </c>
      <c r="O40" s="247">
        <f>P40</f>
        <v>8.9422043010752681</v>
      </c>
      <c r="P40" s="247">
        <f>Q40</f>
        <v>8.9422043010752681</v>
      </c>
      <c r="Q40" s="247">
        <v>8.9422043010752681</v>
      </c>
      <c r="R40" s="247">
        <f>S40</f>
        <v>9.2025316455696196</v>
      </c>
      <c r="S40" s="247">
        <f>T40</f>
        <v>9.2025316455696196</v>
      </c>
      <c r="T40" s="247">
        <v>9.2025316455696196</v>
      </c>
      <c r="U40" s="247">
        <f>V40</f>
        <v>9.6110283159463492</v>
      </c>
      <c r="V40" s="247">
        <f>W40</f>
        <v>9.6110283159463492</v>
      </c>
      <c r="W40" s="247">
        <v>9.6110283159463492</v>
      </c>
      <c r="X40" s="247">
        <f>Y40</f>
        <v>9.6470137825421141</v>
      </c>
      <c r="Y40" s="247">
        <f>Z40</f>
        <v>9.6470137825421141</v>
      </c>
      <c r="Z40" s="247">
        <v>9.6470137825421141</v>
      </c>
      <c r="AA40" s="250">
        <v>9.2748201438848916</v>
      </c>
      <c r="AB40" s="247">
        <v>10.413379073756433</v>
      </c>
      <c r="AC40" s="247">
        <v>11.148423005565862</v>
      </c>
      <c r="AD40" s="247">
        <v>11.389363722697055</v>
      </c>
      <c r="AE40" s="247">
        <v>11.564885496183207</v>
      </c>
      <c r="AF40" s="249"/>
    </row>
    <row r="41" spans="1:32" ht="12.75" thickBot="1" x14ac:dyDescent="0.35">
      <c r="B41" s="3" t="s">
        <v>228</v>
      </c>
      <c r="H41" s="245">
        <v>2</v>
      </c>
      <c r="I41" s="16">
        <f t="shared" ref="I41:N41" si="6">CHOOSE($H$35,I42,I43)</f>
        <v>1299.8317948366532</v>
      </c>
      <c r="J41" s="16">
        <f t="shared" si="6"/>
        <v>1304.7315316767767</v>
      </c>
      <c r="K41" s="16">
        <f t="shared" si="6"/>
        <v>1347.0155864817486</v>
      </c>
      <c r="L41" s="16">
        <f t="shared" si="6"/>
        <v>1353.9057971529071</v>
      </c>
      <c r="M41" s="16">
        <f t="shared" si="6"/>
        <v>1361.0264207057394</v>
      </c>
      <c r="N41" s="15">
        <f t="shared" si="6"/>
        <v>1413.3789354267428</v>
      </c>
      <c r="O41" s="16">
        <f t="shared" ref="O41:AE41" si="7">CHOOSE($H41,O42,O43,AVERAGE(O42:O43))</f>
        <v>1444.7339847991311</v>
      </c>
      <c r="P41" s="16">
        <f t="shared" si="7"/>
        <v>1444.7339847991311</v>
      </c>
      <c r="Q41" s="16">
        <f t="shared" si="7"/>
        <v>1444.7339847991311</v>
      </c>
      <c r="R41" s="16">
        <f t="shared" si="7"/>
        <v>1426.4224983649444</v>
      </c>
      <c r="S41" s="16">
        <f t="shared" si="7"/>
        <v>1426.4224983649444</v>
      </c>
      <c r="T41" s="16">
        <f t="shared" si="7"/>
        <v>1426.4224983649444</v>
      </c>
      <c r="U41" s="16">
        <f t="shared" si="7"/>
        <v>1431.6794316794317</v>
      </c>
      <c r="V41" s="16">
        <f t="shared" si="7"/>
        <v>1431.6794316794317</v>
      </c>
      <c r="W41" s="16">
        <f t="shared" si="7"/>
        <v>1431.6794316794317</v>
      </c>
      <c r="X41" s="16">
        <f t="shared" si="7"/>
        <v>1398.4903984903985</v>
      </c>
      <c r="Y41" s="16">
        <f t="shared" si="7"/>
        <v>1398.4903984903985</v>
      </c>
      <c r="Z41" s="16">
        <f t="shared" si="7"/>
        <v>1398.4903984903985</v>
      </c>
      <c r="AA41" s="246">
        <f t="shared" si="7"/>
        <v>1418.1058189418106</v>
      </c>
      <c r="AB41" s="16">
        <f t="shared" si="7"/>
        <v>1381.1853031509499</v>
      </c>
      <c r="AC41" s="16">
        <f t="shared" si="7"/>
        <v>1388.080388080388</v>
      </c>
      <c r="AD41" s="16">
        <f t="shared" si="7"/>
        <v>1397.1342031686859</v>
      </c>
      <c r="AE41" s="16">
        <f t="shared" si="7"/>
        <v>1418.041418041418</v>
      </c>
    </row>
    <row r="42" spans="1:32" x14ac:dyDescent="0.3">
      <c r="C42" s="3" t="s">
        <v>225</v>
      </c>
      <c r="I42" s="16">
        <v>1299.8317948366532</v>
      </c>
      <c r="J42" s="16">
        <v>1304.7315316767767</v>
      </c>
      <c r="K42" s="16">
        <v>1347.0155864817486</v>
      </c>
      <c r="L42" s="16">
        <v>1353.9057971529071</v>
      </c>
      <c r="M42" s="16">
        <v>1361.0264207057394</v>
      </c>
      <c r="N42" s="15">
        <v>1413.3789354267428</v>
      </c>
      <c r="O42" s="16">
        <v>1401</v>
      </c>
      <c r="P42" s="16">
        <v>1401</v>
      </c>
      <c r="Q42" s="16">
        <v>1401</v>
      </c>
      <c r="R42" s="16">
        <v>1466.2756598240467</v>
      </c>
      <c r="S42" s="16">
        <v>1466.2756598240467</v>
      </c>
      <c r="T42" s="16">
        <v>1466.2756598240467</v>
      </c>
      <c r="U42" s="16">
        <v>1445.0867052023123</v>
      </c>
      <c r="V42" s="16">
        <v>1445.0867052023123</v>
      </c>
      <c r="W42" s="16">
        <v>1445.0867052023123</v>
      </c>
      <c r="X42" s="16">
        <v>1449.2753623188407</v>
      </c>
      <c r="Y42" s="16">
        <v>1449.2753623188407</v>
      </c>
      <c r="Z42" s="16">
        <v>1449.2753623188407</v>
      </c>
      <c r="AA42" s="246">
        <v>1401</v>
      </c>
      <c r="AB42" s="16">
        <v>1422.4751066856331</v>
      </c>
      <c r="AC42" s="16">
        <v>1390.8205841446454</v>
      </c>
      <c r="AD42" s="16">
        <v>1466.2756598240467</v>
      </c>
      <c r="AE42" s="16">
        <f>AD42</f>
        <v>1466.2756598240467</v>
      </c>
    </row>
    <row r="43" spans="1:32" ht="12.75" thickBot="1" x14ac:dyDescent="0.35">
      <c r="C43" s="3" t="s">
        <v>226</v>
      </c>
      <c r="I43" s="16">
        <f t="shared" ref="I43:N43" si="8">I42</f>
        <v>1299.8317948366532</v>
      </c>
      <c r="J43" s="16">
        <f t="shared" si="8"/>
        <v>1304.7315316767767</v>
      </c>
      <c r="K43" s="16">
        <f t="shared" si="8"/>
        <v>1347.0155864817486</v>
      </c>
      <c r="L43" s="16">
        <f t="shared" si="8"/>
        <v>1353.9057971529071</v>
      </c>
      <c r="M43" s="16">
        <f t="shared" si="8"/>
        <v>1361.0264207057394</v>
      </c>
      <c r="N43" s="15">
        <f t="shared" si="8"/>
        <v>1413.3789354267428</v>
      </c>
      <c r="O43" s="16">
        <f>P43</f>
        <v>1444.7339847991311</v>
      </c>
      <c r="P43" s="16">
        <f>Q43</f>
        <v>1444.7339847991311</v>
      </c>
      <c r="Q43" s="16">
        <v>1444.7339847991311</v>
      </c>
      <c r="R43" s="16">
        <f>S43</f>
        <v>1426.4224983649444</v>
      </c>
      <c r="S43" s="16">
        <f>T43</f>
        <v>1426.4224983649444</v>
      </c>
      <c r="T43" s="16">
        <v>1426.4224983649444</v>
      </c>
      <c r="U43" s="16">
        <f>V43</f>
        <v>1431.6794316794317</v>
      </c>
      <c r="V43" s="16">
        <f>W43</f>
        <v>1431.6794316794317</v>
      </c>
      <c r="W43" s="16">
        <v>1431.6794316794317</v>
      </c>
      <c r="X43" s="16">
        <f>Y43</f>
        <v>1398.4903984903985</v>
      </c>
      <c r="Y43" s="16">
        <f>Z43</f>
        <v>1398.4903984903985</v>
      </c>
      <c r="Z43" s="16">
        <v>1398.4903984903985</v>
      </c>
      <c r="AA43" s="246">
        <v>1418.1058189418106</v>
      </c>
      <c r="AB43" s="16">
        <v>1381.1853031509499</v>
      </c>
      <c r="AC43" s="16">
        <v>1388.080388080388</v>
      </c>
      <c r="AD43" s="16">
        <v>1397.1342031686859</v>
      </c>
      <c r="AE43" s="16">
        <v>1418.041418041418</v>
      </c>
    </row>
    <row r="44" spans="1:32" ht="12.75" thickBot="1" x14ac:dyDescent="0.35">
      <c r="B44" s="3" t="s">
        <v>229</v>
      </c>
      <c r="H44" s="245">
        <v>2</v>
      </c>
      <c r="I44" s="247">
        <f t="shared" ref="I44:N44" si="9">CHOOSE($H$35,I45,I46)</f>
        <v>166.28829096130593</v>
      </c>
      <c r="J44" s="247">
        <f t="shared" si="9"/>
        <v>168.68661807762908</v>
      </c>
      <c r="K44" s="247">
        <f t="shared" si="9"/>
        <v>171.03442857660397</v>
      </c>
      <c r="L44" s="247">
        <f t="shared" si="9"/>
        <v>177.38766571193273</v>
      </c>
      <c r="M44" s="247">
        <f t="shared" si="9"/>
        <v>191.69226013691681</v>
      </c>
      <c r="N44" s="248">
        <f t="shared" si="9"/>
        <v>184.31147656691135</v>
      </c>
      <c r="O44" s="16">
        <f t="shared" ref="O44:AE44" si="10">CHOOSE($H44,O45,O46,AVERAGE(O45:O46))</f>
        <v>185.26872737399052</v>
      </c>
      <c r="P44" s="16">
        <f t="shared" si="10"/>
        <v>185.26872737399052</v>
      </c>
      <c r="Q44" s="16">
        <f t="shared" si="10"/>
        <v>185.26872737399052</v>
      </c>
      <c r="R44" s="16">
        <f t="shared" si="10"/>
        <v>182.15478841870822</v>
      </c>
      <c r="S44" s="16">
        <f t="shared" si="10"/>
        <v>182.15478841870822</v>
      </c>
      <c r="T44" s="16">
        <f t="shared" si="10"/>
        <v>182.15478841870822</v>
      </c>
      <c r="U44" s="16">
        <f t="shared" si="10"/>
        <v>180.89761570827488</v>
      </c>
      <c r="V44" s="16">
        <f t="shared" si="10"/>
        <v>180.89761570827488</v>
      </c>
      <c r="W44" s="16">
        <f t="shared" si="10"/>
        <v>180.89761570827488</v>
      </c>
      <c r="X44" s="16">
        <f t="shared" si="10"/>
        <v>177.57575757575759</v>
      </c>
      <c r="Y44" s="16">
        <f t="shared" si="10"/>
        <v>177.57575757575759</v>
      </c>
      <c r="Z44" s="16">
        <f t="shared" si="10"/>
        <v>177.57575757575759</v>
      </c>
      <c r="AA44" s="246">
        <f t="shared" si="10"/>
        <v>182.27060653188181</v>
      </c>
      <c r="AB44" s="16">
        <f t="shared" si="10"/>
        <v>174.00401261106336</v>
      </c>
      <c r="AC44" s="16">
        <f t="shared" si="10"/>
        <v>175.7017543859649</v>
      </c>
      <c r="AD44" s="16">
        <f t="shared" si="10"/>
        <v>177.80578206078576</v>
      </c>
      <c r="AE44" s="16">
        <f t="shared" si="10"/>
        <v>178.68199911543564</v>
      </c>
    </row>
    <row r="45" spans="1:32" x14ac:dyDescent="0.3">
      <c r="C45" s="3" t="s">
        <v>225</v>
      </c>
      <c r="I45" s="247">
        <v>166.28829096130593</v>
      </c>
      <c r="J45" s="247">
        <v>168.68661807762908</v>
      </c>
      <c r="K45" s="247">
        <v>171.03442857660397</v>
      </c>
      <c r="L45" s="247">
        <v>177.38766571193273</v>
      </c>
      <c r="M45" s="247">
        <v>191.69226013691681</v>
      </c>
      <c r="N45" s="248">
        <v>184.31147656691135</v>
      </c>
      <c r="O45" s="247">
        <v>185.1</v>
      </c>
      <c r="P45" s="247">
        <v>185.1</v>
      </c>
      <c r="Q45" s="247">
        <v>185.1</v>
      </c>
      <c r="R45" s="247">
        <v>188.86811339641528</v>
      </c>
      <c r="S45" s="247">
        <v>188.86811339641528</v>
      </c>
      <c r="T45" s="247">
        <v>188.86811339641528</v>
      </c>
      <c r="U45" s="247">
        <v>187.4414245548266</v>
      </c>
      <c r="V45" s="247">
        <v>187.4414245548266</v>
      </c>
      <c r="W45" s="247">
        <v>187.4414245548266</v>
      </c>
      <c r="X45" s="247">
        <v>184.39977872026554</v>
      </c>
      <c r="Y45" s="247">
        <v>184.39977872026554</v>
      </c>
      <c r="Z45" s="247">
        <v>184.39977872026554</v>
      </c>
      <c r="AA45" s="250">
        <v>185.1</v>
      </c>
      <c r="AB45" s="247">
        <v>180.7337791433219</v>
      </c>
      <c r="AC45" s="247">
        <v>179.69451931716083</v>
      </c>
      <c r="AD45" s="247">
        <v>187.35011990407676</v>
      </c>
      <c r="AE45" s="247">
        <f>AD45</f>
        <v>187.35011990407676</v>
      </c>
    </row>
    <row r="46" spans="1:32" x14ac:dyDescent="0.3">
      <c r="B46" s="92"/>
      <c r="C46" s="92" t="s">
        <v>230</v>
      </c>
      <c r="D46" s="92"/>
      <c r="E46" s="92"/>
      <c r="F46" s="92"/>
      <c r="G46" s="92"/>
      <c r="H46" s="92"/>
      <c r="I46" s="251">
        <f t="shared" ref="I46:N46" si="11">I45</f>
        <v>166.28829096130593</v>
      </c>
      <c r="J46" s="251">
        <f t="shared" si="11"/>
        <v>168.68661807762908</v>
      </c>
      <c r="K46" s="251">
        <f t="shared" si="11"/>
        <v>171.03442857660397</v>
      </c>
      <c r="L46" s="251">
        <f t="shared" si="11"/>
        <v>177.38766571193273</v>
      </c>
      <c r="M46" s="251">
        <f t="shared" si="11"/>
        <v>191.69226013691681</v>
      </c>
      <c r="N46" s="252">
        <f t="shared" si="11"/>
        <v>184.31147656691135</v>
      </c>
      <c r="O46" s="251">
        <f>P46</f>
        <v>185.26872737399052</v>
      </c>
      <c r="P46" s="251">
        <f>Q46</f>
        <v>185.26872737399052</v>
      </c>
      <c r="Q46" s="251">
        <v>185.26872737399052</v>
      </c>
      <c r="R46" s="251">
        <f>S46</f>
        <v>182.15478841870822</v>
      </c>
      <c r="S46" s="251">
        <f>T46</f>
        <v>182.15478841870822</v>
      </c>
      <c r="T46" s="251">
        <v>182.15478841870822</v>
      </c>
      <c r="U46" s="251">
        <f>V46</f>
        <v>180.89761570827488</v>
      </c>
      <c r="V46" s="251">
        <f>W46</f>
        <v>180.89761570827488</v>
      </c>
      <c r="W46" s="251">
        <v>180.89761570827488</v>
      </c>
      <c r="X46" s="251">
        <f>Y46</f>
        <v>177.57575757575759</v>
      </c>
      <c r="Y46" s="251">
        <f>Z46</f>
        <v>177.57575757575759</v>
      </c>
      <c r="Z46" s="251">
        <v>177.57575757575759</v>
      </c>
      <c r="AA46" s="253">
        <v>182.27060653188181</v>
      </c>
      <c r="AB46" s="251">
        <v>174.00401261106336</v>
      </c>
      <c r="AC46" s="251">
        <v>175.7017543859649</v>
      </c>
      <c r="AD46" s="251">
        <v>177.80578206078576</v>
      </c>
      <c r="AE46" s="251">
        <v>178.68199911543564</v>
      </c>
    </row>
    <row r="48" spans="1:32" x14ac:dyDescent="0.3">
      <c r="A48" s="161" t="s">
        <v>231</v>
      </c>
      <c r="B48" s="161"/>
      <c r="C48" s="254"/>
      <c r="D48" s="254"/>
      <c r="E48" s="254"/>
      <c r="F48" s="254"/>
      <c r="G48" s="254"/>
      <c r="H48" s="254"/>
      <c r="I48" s="254"/>
      <c r="J48" s="254"/>
      <c r="K48" s="254"/>
      <c r="L48" s="254"/>
      <c r="M48" s="254"/>
      <c r="N48" s="254"/>
      <c r="O48" s="254"/>
      <c r="P48" s="254"/>
      <c r="Q48" s="254"/>
      <c r="R48" s="254"/>
      <c r="S48" s="254"/>
      <c r="T48" s="254"/>
      <c r="U48" s="254"/>
      <c r="V48" s="254"/>
      <c r="W48" s="254"/>
      <c r="X48" s="254"/>
      <c r="Y48" s="254"/>
      <c r="Z48" s="254"/>
      <c r="AA48" s="254"/>
      <c r="AB48" s="254"/>
      <c r="AC48" s="254"/>
      <c r="AD48" s="254"/>
      <c r="AE48" s="254"/>
    </row>
    <row r="49" spans="1:32" x14ac:dyDescent="0.3">
      <c r="A49" s="255"/>
      <c r="B49" s="256" t="s">
        <v>232</v>
      </c>
      <c r="C49" s="255"/>
      <c r="D49" s="255"/>
      <c r="E49" s="255"/>
      <c r="F49" s="255"/>
      <c r="G49" s="255"/>
      <c r="H49" s="257"/>
      <c r="I49" s="257"/>
      <c r="J49" s="255"/>
      <c r="K49" s="255"/>
      <c r="L49" s="255"/>
      <c r="M49" s="255"/>
      <c r="N49" s="255"/>
      <c r="O49" s="255"/>
      <c r="P49" s="255"/>
      <c r="Q49" s="255"/>
      <c r="R49" s="255"/>
      <c r="S49" s="255"/>
      <c r="T49" s="255"/>
      <c r="U49" s="255"/>
      <c r="V49" s="255"/>
      <c r="W49" s="255"/>
      <c r="X49" s="255"/>
      <c r="Y49" s="255"/>
      <c r="Z49" s="255"/>
      <c r="AA49" s="255"/>
      <c r="AB49" s="255"/>
      <c r="AC49" s="255"/>
      <c r="AD49" s="255"/>
      <c r="AE49" s="255"/>
    </row>
    <row r="51" spans="1:32" x14ac:dyDescent="0.3">
      <c r="B51" s="11" t="s">
        <v>233</v>
      </c>
    </row>
    <row r="52" spans="1:32" x14ac:dyDescent="0.3">
      <c r="B52" s="226"/>
      <c r="C52" s="226"/>
      <c r="D52" s="226"/>
      <c r="E52" s="226"/>
      <c r="F52" s="226"/>
      <c r="G52" s="226"/>
      <c r="H52" s="226"/>
      <c r="I52" s="226"/>
      <c r="J52" s="226"/>
      <c r="K52" s="226"/>
      <c r="L52" s="9" t="s">
        <v>182</v>
      </c>
      <c r="M52" s="9" t="s">
        <v>183</v>
      </c>
      <c r="N52" s="9" t="s">
        <v>234</v>
      </c>
      <c r="O52" s="233" t="s">
        <v>185</v>
      </c>
      <c r="P52" s="9" t="s">
        <v>186</v>
      </c>
      <c r="Q52" s="9" t="s">
        <v>187</v>
      </c>
      <c r="R52" s="9" t="s">
        <v>188</v>
      </c>
      <c r="S52" s="9" t="s">
        <v>189</v>
      </c>
      <c r="T52" s="9" t="s">
        <v>190</v>
      </c>
      <c r="U52" s="9" t="s">
        <v>191</v>
      </c>
      <c r="V52" s="9" t="s">
        <v>192</v>
      </c>
      <c r="W52" s="9" t="s">
        <v>193</v>
      </c>
      <c r="X52" s="9" t="s">
        <v>194</v>
      </c>
      <c r="Y52" s="9" t="s">
        <v>195</v>
      </c>
      <c r="Z52" s="10" t="s">
        <v>196</v>
      </c>
      <c r="AA52" s="9" t="s">
        <v>197</v>
      </c>
      <c r="AB52" s="9" t="s">
        <v>198</v>
      </c>
      <c r="AC52" s="9" t="s">
        <v>199</v>
      </c>
      <c r="AD52" s="9" t="s">
        <v>200</v>
      </c>
      <c r="AE52" s="9" t="s">
        <v>201</v>
      </c>
      <c r="AF52" s="258"/>
    </row>
    <row r="53" spans="1:32" x14ac:dyDescent="0.3">
      <c r="B53" s="3" t="s">
        <v>12</v>
      </c>
      <c r="O53" s="259"/>
      <c r="P53" s="260"/>
      <c r="Q53" s="260"/>
      <c r="R53" s="260"/>
      <c r="S53" s="260"/>
      <c r="T53" s="260"/>
      <c r="U53" s="260"/>
      <c r="V53" s="260"/>
      <c r="W53" s="260"/>
      <c r="X53" s="260"/>
      <c r="Y53" s="260"/>
      <c r="Z53" s="261"/>
      <c r="AA53" s="13">
        <f>SUM(AA54:AA57)</f>
        <v>94</v>
      </c>
      <c r="AB53" s="13">
        <f>SUM(AB54:AB57)</f>
        <v>95</v>
      </c>
      <c r="AC53" s="13">
        <f>SUM(AC54:AC57)</f>
        <v>101</v>
      </c>
      <c r="AD53" s="13">
        <f>SUM(AD54:AD57)</f>
        <v>104</v>
      </c>
      <c r="AE53" s="13">
        <f>SUM(AE54:AE57)</f>
        <v>107</v>
      </c>
    </row>
    <row r="54" spans="1:32" x14ac:dyDescent="0.3">
      <c r="C54" s="3" t="s">
        <v>131</v>
      </c>
      <c r="I54" s="262">
        <f>AA54/$AA$122</f>
        <v>1</v>
      </c>
      <c r="O54" s="263"/>
      <c r="P54" s="61"/>
      <c r="Q54" s="61"/>
      <c r="R54" s="61"/>
      <c r="S54" s="61"/>
      <c r="T54" s="61"/>
      <c r="U54" s="61"/>
      <c r="V54" s="61"/>
      <c r="W54" s="61"/>
      <c r="X54" s="61"/>
      <c r="Y54" s="61"/>
      <c r="Z54" s="264"/>
      <c r="AA54" s="16">
        <v>5</v>
      </c>
      <c r="AB54" s="16">
        <f>INT($I54*AB$122)</f>
        <v>6</v>
      </c>
      <c r="AC54" s="16">
        <f>INT($I54*AC$122)</f>
        <v>7</v>
      </c>
      <c r="AD54" s="16">
        <f>INT($I54*AD$122)</f>
        <v>7</v>
      </c>
      <c r="AE54" s="16">
        <f>INT($I54*AE$122)</f>
        <v>8</v>
      </c>
    </row>
    <row r="55" spans="1:32" x14ac:dyDescent="0.3">
      <c r="C55" s="3" t="s">
        <v>132</v>
      </c>
      <c r="I55" s="265">
        <f>AA55/$AA$123</f>
        <v>0.42399999999999999</v>
      </c>
      <c r="O55" s="263"/>
      <c r="P55" s="61"/>
      <c r="Q55" s="61"/>
      <c r="R55" s="61"/>
      <c r="S55" s="61"/>
      <c r="T55" s="61"/>
      <c r="U55" s="61"/>
      <c r="V55" s="61"/>
      <c r="W55" s="61"/>
      <c r="X55" s="61"/>
      <c r="Y55" s="61"/>
      <c r="Z55" s="264"/>
      <c r="AA55" s="16">
        <v>53</v>
      </c>
      <c r="AB55" s="16">
        <f>INT($I55*AB$123)</f>
        <v>53</v>
      </c>
      <c r="AC55" s="16">
        <f>INT($I55*AC$123)</f>
        <v>55</v>
      </c>
      <c r="AD55" s="16">
        <f>INT($I55*AD$123)</f>
        <v>56</v>
      </c>
      <c r="AE55" s="16">
        <f>INT($I55*AE$123)</f>
        <v>56</v>
      </c>
    </row>
    <row r="56" spans="1:32" x14ac:dyDescent="0.3">
      <c r="C56" s="3" t="s">
        <v>133</v>
      </c>
      <c r="I56" s="262">
        <f>AA56/$AA$124</f>
        <v>1</v>
      </c>
      <c r="O56" s="263"/>
      <c r="P56" s="61"/>
      <c r="Q56" s="61"/>
      <c r="R56" s="61"/>
      <c r="S56" s="61"/>
      <c r="T56" s="61"/>
      <c r="U56" s="61"/>
      <c r="V56" s="61"/>
      <c r="W56" s="61"/>
      <c r="X56" s="61"/>
      <c r="Y56" s="61"/>
      <c r="Z56" s="264"/>
      <c r="AA56" s="16">
        <v>24</v>
      </c>
      <c r="AB56" s="16">
        <f>INT($I56*AB$124)</f>
        <v>24</v>
      </c>
      <c r="AC56" s="16">
        <f>INT($I56*AC$124)</f>
        <v>27</v>
      </c>
      <c r="AD56" s="16">
        <f>INT($I56*AD$124)</f>
        <v>29</v>
      </c>
      <c r="AE56" s="16">
        <f>INT($I56*AE$124)</f>
        <v>31</v>
      </c>
    </row>
    <row r="57" spans="1:32" x14ac:dyDescent="0.3">
      <c r="C57" s="3" t="s">
        <v>134</v>
      </c>
      <c r="I57" s="266">
        <f>AA57/$AA$125</f>
        <v>1</v>
      </c>
      <c r="O57" s="263"/>
      <c r="P57" s="61"/>
      <c r="Q57" s="61"/>
      <c r="R57" s="61"/>
      <c r="S57" s="61"/>
      <c r="T57" s="61"/>
      <c r="U57" s="61"/>
      <c r="V57" s="61"/>
      <c r="W57" s="61"/>
      <c r="X57" s="61"/>
      <c r="Y57" s="61"/>
      <c r="Z57" s="264"/>
      <c r="AA57" s="16">
        <v>12</v>
      </c>
      <c r="AB57" s="16">
        <f>INT($I57*AB$125)</f>
        <v>12</v>
      </c>
      <c r="AC57" s="16">
        <f>INT($I57*AC$125)</f>
        <v>12</v>
      </c>
      <c r="AD57" s="16">
        <f>INT($I57*AD$125)</f>
        <v>12</v>
      </c>
      <c r="AE57" s="16">
        <f>INT($I57*AE$125)</f>
        <v>12</v>
      </c>
    </row>
    <row r="58" spans="1:32" x14ac:dyDescent="0.3">
      <c r="C58" s="3" t="s">
        <v>135</v>
      </c>
      <c r="I58" s="266">
        <f>AA58/$AA$126</f>
        <v>0.70370370370370372</v>
      </c>
      <c r="O58" s="263"/>
      <c r="P58" s="61"/>
      <c r="Q58" s="61"/>
      <c r="R58" s="61"/>
      <c r="S58" s="61"/>
      <c r="T58" s="61"/>
      <c r="U58" s="61"/>
      <c r="V58" s="61"/>
      <c r="W58" s="61"/>
      <c r="X58" s="61"/>
      <c r="Y58" s="61"/>
      <c r="Z58" s="264"/>
      <c r="AA58" s="16">
        <v>19</v>
      </c>
      <c r="AB58" s="16">
        <f>INT($I58*AB$126)</f>
        <v>0</v>
      </c>
      <c r="AC58" s="16">
        <f t="shared" ref="AC58:AE58" si="12">INT($I58*AC$126)</f>
        <v>0</v>
      </c>
      <c r="AD58" s="16">
        <f t="shared" si="12"/>
        <v>0</v>
      </c>
      <c r="AE58" s="16">
        <f t="shared" si="12"/>
        <v>0</v>
      </c>
    </row>
    <row r="59" spans="1:32" x14ac:dyDescent="0.3">
      <c r="B59" s="3" t="s">
        <v>235</v>
      </c>
      <c r="O59" s="263"/>
      <c r="P59" s="61"/>
      <c r="Q59" s="61"/>
      <c r="R59" s="61"/>
      <c r="S59" s="61"/>
      <c r="T59" s="61"/>
      <c r="U59" s="61"/>
      <c r="V59" s="61"/>
      <c r="W59" s="61"/>
      <c r="X59" s="61"/>
      <c r="Y59" s="61"/>
      <c r="Z59" s="264"/>
      <c r="AA59" s="16">
        <f>SUM(AA60:AA63)</f>
        <v>43</v>
      </c>
      <c r="AB59" s="16">
        <f>SUM(AB60:AB63)</f>
        <v>43</v>
      </c>
      <c r="AC59" s="16">
        <f>SUM(AC60:AC63)</f>
        <v>44</v>
      </c>
      <c r="AD59" s="16">
        <f>SUM(AD60:AD63)</f>
        <v>45</v>
      </c>
      <c r="AE59" s="16">
        <f>SUM(AE60:AE63)</f>
        <v>47</v>
      </c>
    </row>
    <row r="60" spans="1:32" x14ac:dyDescent="0.3">
      <c r="C60" s="3" t="s">
        <v>131</v>
      </c>
      <c r="I60" s="262">
        <f>AA60/$AA$122</f>
        <v>0.4</v>
      </c>
      <c r="O60" s="263"/>
      <c r="P60" s="61"/>
      <c r="Q60" s="61"/>
      <c r="R60" s="61"/>
      <c r="S60" s="61"/>
      <c r="T60" s="61"/>
      <c r="U60" s="61"/>
      <c r="V60" s="61"/>
      <c r="W60" s="61"/>
      <c r="X60" s="61"/>
      <c r="Y60" s="61"/>
      <c r="Z60" s="264"/>
      <c r="AA60" s="16">
        <v>2</v>
      </c>
      <c r="AB60" s="16">
        <f>INT($I60*AB$122)</f>
        <v>2</v>
      </c>
      <c r="AC60" s="16">
        <f>INT($I60*AC$122)</f>
        <v>2</v>
      </c>
      <c r="AD60" s="16">
        <f>INT($I60*AD$122)</f>
        <v>2</v>
      </c>
      <c r="AE60" s="16">
        <f>INT($I60*AE$122)</f>
        <v>3</v>
      </c>
    </row>
    <row r="61" spans="1:32" x14ac:dyDescent="0.3">
      <c r="C61" s="3" t="s">
        <v>132</v>
      </c>
      <c r="I61" s="265">
        <f>AA61/$AA$123</f>
        <v>0.27200000000000002</v>
      </c>
      <c r="O61" s="263"/>
      <c r="P61" s="61"/>
      <c r="Q61" s="61"/>
      <c r="R61" s="61"/>
      <c r="S61" s="61"/>
      <c r="T61" s="61"/>
      <c r="U61" s="61"/>
      <c r="V61" s="61"/>
      <c r="W61" s="61"/>
      <c r="X61" s="61"/>
      <c r="Y61" s="61"/>
      <c r="Z61" s="264"/>
      <c r="AA61" s="16">
        <v>34</v>
      </c>
      <c r="AB61" s="16">
        <f>INT($I61*AB$123)</f>
        <v>34</v>
      </c>
      <c r="AC61" s="16">
        <f>INT($I61*AC$123)</f>
        <v>35</v>
      </c>
      <c r="AD61" s="16">
        <f>INT($I61*AD$123)</f>
        <v>36</v>
      </c>
      <c r="AE61" s="16">
        <f>INT($I61*AE$123)</f>
        <v>36</v>
      </c>
    </row>
    <row r="62" spans="1:32" x14ac:dyDescent="0.3">
      <c r="C62" s="3" t="s">
        <v>133</v>
      </c>
      <c r="I62" s="262">
        <f>AA62/$AA$124</f>
        <v>0.16666666666666666</v>
      </c>
      <c r="O62" s="263"/>
      <c r="P62" s="61"/>
      <c r="Q62" s="61"/>
      <c r="R62" s="61"/>
      <c r="S62" s="61"/>
      <c r="T62" s="61"/>
      <c r="U62" s="61"/>
      <c r="V62" s="61"/>
      <c r="W62" s="61"/>
      <c r="X62" s="61"/>
      <c r="Y62" s="61"/>
      <c r="Z62" s="264"/>
      <c r="AA62" s="16">
        <v>4</v>
      </c>
      <c r="AB62" s="16">
        <f>INT($I62*AB$124)</f>
        <v>4</v>
      </c>
      <c r="AC62" s="16">
        <f>INT($I62*AC$124)</f>
        <v>4</v>
      </c>
      <c r="AD62" s="16">
        <f>INT($I62*AD$124)</f>
        <v>4</v>
      </c>
      <c r="AE62" s="16">
        <f>INT($I62*AE$124)</f>
        <v>5</v>
      </c>
    </row>
    <row r="63" spans="1:32" x14ac:dyDescent="0.3">
      <c r="C63" s="3" t="s">
        <v>134</v>
      </c>
      <c r="I63" s="266">
        <f>AA63/$AA$125</f>
        <v>0.25</v>
      </c>
      <c r="O63" s="263"/>
      <c r="P63" s="61"/>
      <c r="Q63" s="61"/>
      <c r="R63" s="61"/>
      <c r="S63" s="61"/>
      <c r="T63" s="61"/>
      <c r="U63" s="61"/>
      <c r="V63" s="61"/>
      <c r="W63" s="61"/>
      <c r="X63" s="61"/>
      <c r="Y63" s="61"/>
      <c r="Z63" s="264"/>
      <c r="AA63" s="16">
        <v>3</v>
      </c>
      <c r="AB63" s="16">
        <f>INT($I63*AB$125)</f>
        <v>3</v>
      </c>
      <c r="AC63" s="16">
        <f>INT($I63*AC$125)</f>
        <v>3</v>
      </c>
      <c r="AD63" s="16">
        <f>INT($I63*AD$125)</f>
        <v>3</v>
      </c>
      <c r="AE63" s="16">
        <f>INT($I63*AE$125)</f>
        <v>3</v>
      </c>
    </row>
    <row r="64" spans="1:32" x14ac:dyDescent="0.3">
      <c r="C64" s="3" t="s">
        <v>135</v>
      </c>
      <c r="I64" s="266">
        <f>AA64/$AA$126</f>
        <v>0.22222222222222221</v>
      </c>
      <c r="O64" s="263"/>
      <c r="P64" s="61"/>
      <c r="Q64" s="61"/>
      <c r="R64" s="61"/>
      <c r="S64" s="61"/>
      <c r="T64" s="61"/>
      <c r="U64" s="61"/>
      <c r="V64" s="61"/>
      <c r="W64" s="61"/>
      <c r="X64" s="61"/>
      <c r="Y64" s="61"/>
      <c r="Z64" s="264"/>
      <c r="AA64" s="16">
        <v>6</v>
      </c>
      <c r="AB64" s="16">
        <f>INT($I64*AB$126)</f>
        <v>0</v>
      </c>
      <c r="AC64" s="16">
        <f t="shared" ref="AC64:AE64" si="13">INT($I64*AC$126)</f>
        <v>0</v>
      </c>
      <c r="AD64" s="16">
        <f t="shared" si="13"/>
        <v>0</v>
      </c>
      <c r="AE64" s="16">
        <f t="shared" si="13"/>
        <v>0</v>
      </c>
    </row>
    <row r="65" spans="2:31" x14ac:dyDescent="0.3">
      <c r="B65" s="3" t="s">
        <v>236</v>
      </c>
      <c r="O65" s="263"/>
      <c r="P65" s="61"/>
      <c r="Q65" s="61"/>
      <c r="R65" s="61"/>
      <c r="S65" s="61"/>
      <c r="T65" s="61"/>
      <c r="U65" s="61"/>
      <c r="V65" s="61"/>
      <c r="W65" s="61"/>
      <c r="X65" s="61"/>
      <c r="Y65" s="61"/>
      <c r="Z65" s="264"/>
      <c r="AA65" s="16">
        <f>SUM(AA66:AA69)</f>
        <v>45</v>
      </c>
      <c r="AB65" s="16">
        <f>SUM(AB66:AB69)</f>
        <v>45</v>
      </c>
      <c r="AC65" s="16">
        <f>SUM(AC66:AC69)</f>
        <v>47</v>
      </c>
      <c r="AD65" s="16">
        <f>SUM(AD66:AD69)</f>
        <v>48</v>
      </c>
      <c r="AE65" s="16">
        <f>SUM(AE66:AE69)</f>
        <v>48</v>
      </c>
    </row>
    <row r="66" spans="2:31" x14ac:dyDescent="0.3">
      <c r="C66" s="3" t="s">
        <v>131</v>
      </c>
      <c r="I66" s="267">
        <f>AA66/$AA$122</f>
        <v>0.6</v>
      </c>
      <c r="O66" s="263"/>
      <c r="P66" s="61"/>
      <c r="Q66" s="61"/>
      <c r="R66" s="61"/>
      <c r="S66" s="61"/>
      <c r="T66" s="61"/>
      <c r="U66" s="61"/>
      <c r="V66" s="61"/>
      <c r="W66" s="61"/>
      <c r="X66" s="61"/>
      <c r="Y66" s="61"/>
      <c r="Z66" s="264"/>
      <c r="AA66" s="16">
        <v>3</v>
      </c>
      <c r="AB66" s="16">
        <f>INT($I66*AB$122)</f>
        <v>3</v>
      </c>
      <c r="AC66" s="16">
        <f>INT($I66*AC$122)</f>
        <v>4</v>
      </c>
      <c r="AD66" s="16">
        <f>INT($I66*AD$122)</f>
        <v>4</v>
      </c>
      <c r="AE66" s="16">
        <f>INT($I66*AE$122)</f>
        <v>4</v>
      </c>
    </row>
    <row r="67" spans="2:31" x14ac:dyDescent="0.3">
      <c r="C67" s="3" t="s">
        <v>132</v>
      </c>
      <c r="I67" s="262">
        <f>AA67/$AA$123</f>
        <v>0.23200000000000001</v>
      </c>
      <c r="O67" s="263"/>
      <c r="P67" s="61"/>
      <c r="Q67" s="61"/>
      <c r="R67" s="61"/>
      <c r="S67" s="61"/>
      <c r="T67" s="61"/>
      <c r="U67" s="61"/>
      <c r="V67" s="61"/>
      <c r="W67" s="61"/>
      <c r="X67" s="61"/>
      <c r="Y67" s="61"/>
      <c r="Z67" s="264"/>
      <c r="AA67" s="16">
        <v>29</v>
      </c>
      <c r="AB67" s="16">
        <f>INT($I67*AB$123)</f>
        <v>29</v>
      </c>
      <c r="AC67" s="16">
        <f>INT($I67*AC$123)</f>
        <v>30</v>
      </c>
      <c r="AD67" s="16">
        <f>INT($I67*AD$123)</f>
        <v>30</v>
      </c>
      <c r="AE67" s="16">
        <f>INT($I67*AE$123)</f>
        <v>30</v>
      </c>
    </row>
    <row r="68" spans="2:31" x14ac:dyDescent="0.3">
      <c r="C68" s="3" t="s">
        <v>133</v>
      </c>
      <c r="I68" s="265">
        <f>AA68/$AA$124</f>
        <v>0.20833333333333334</v>
      </c>
      <c r="O68" s="263"/>
      <c r="P68" s="61"/>
      <c r="Q68" s="61"/>
      <c r="R68" s="61"/>
      <c r="S68" s="61"/>
      <c r="T68" s="61"/>
      <c r="U68" s="61"/>
      <c r="V68" s="61"/>
      <c r="W68" s="61"/>
      <c r="X68" s="61"/>
      <c r="Y68" s="61"/>
      <c r="Z68" s="264"/>
      <c r="AA68" s="16">
        <v>5</v>
      </c>
      <c r="AB68" s="16">
        <f>INT($I68*AB$124)</f>
        <v>5</v>
      </c>
      <c r="AC68" s="16">
        <f>INT($I68*AC$124)</f>
        <v>5</v>
      </c>
      <c r="AD68" s="16">
        <f>INT($I68*AD$124)</f>
        <v>6</v>
      </c>
      <c r="AE68" s="16">
        <f>INT($I68*AE$124)</f>
        <v>6</v>
      </c>
    </row>
    <row r="69" spans="2:31" x14ac:dyDescent="0.3">
      <c r="C69" s="3" t="s">
        <v>134</v>
      </c>
      <c r="I69" s="262">
        <f>AA69/$AA$125</f>
        <v>0.66666666666666663</v>
      </c>
      <c r="O69" s="263"/>
      <c r="P69" s="61"/>
      <c r="Q69" s="61"/>
      <c r="R69" s="61"/>
      <c r="S69" s="61"/>
      <c r="T69" s="61"/>
      <c r="U69" s="61"/>
      <c r="V69" s="61"/>
      <c r="W69" s="61"/>
      <c r="X69" s="61"/>
      <c r="Y69" s="61"/>
      <c r="Z69" s="264"/>
      <c r="AA69" s="16">
        <v>8</v>
      </c>
      <c r="AB69" s="16">
        <f>INT($I69*AB$125)</f>
        <v>8</v>
      </c>
      <c r="AC69" s="16">
        <f>INT($I69*AC$125)</f>
        <v>8</v>
      </c>
      <c r="AD69" s="16">
        <f>INT($I69*AD$125)</f>
        <v>8</v>
      </c>
      <c r="AE69" s="16">
        <f>INT($I69*AE$125)</f>
        <v>8</v>
      </c>
    </row>
    <row r="70" spans="2:31" x14ac:dyDescent="0.3">
      <c r="C70" s="3" t="s">
        <v>135</v>
      </c>
      <c r="I70" s="266">
        <f>AA70/$AA$126</f>
        <v>0.14814814814814814</v>
      </c>
      <c r="O70" s="263"/>
      <c r="P70" s="61"/>
      <c r="Q70" s="61"/>
      <c r="R70" s="61"/>
      <c r="S70" s="61"/>
      <c r="T70" s="61"/>
      <c r="U70" s="61"/>
      <c r="V70" s="61"/>
      <c r="W70" s="61"/>
      <c r="X70" s="61"/>
      <c r="Y70" s="61"/>
      <c r="Z70" s="264"/>
      <c r="AA70" s="16">
        <v>4</v>
      </c>
      <c r="AB70" s="16">
        <f>INT($I70*AB$126)</f>
        <v>0</v>
      </c>
      <c r="AC70" s="16">
        <f t="shared" ref="AC70:AE70" si="14">INT($I70*AC$126)</f>
        <v>0</v>
      </c>
      <c r="AD70" s="16">
        <f t="shared" si="14"/>
        <v>0</v>
      </c>
      <c r="AE70" s="16">
        <f t="shared" si="14"/>
        <v>0</v>
      </c>
    </row>
    <row r="71" spans="2:31" x14ac:dyDescent="0.3">
      <c r="B71" s="3" t="s">
        <v>237</v>
      </c>
      <c r="O71" s="263"/>
      <c r="P71" s="61"/>
      <c r="Q71" s="61"/>
      <c r="R71" s="61"/>
      <c r="S71" s="61"/>
      <c r="T71" s="61"/>
      <c r="U71" s="61"/>
      <c r="V71" s="61"/>
      <c r="W71" s="61"/>
      <c r="X71" s="61"/>
      <c r="Y71" s="61"/>
      <c r="Z71" s="264"/>
      <c r="AA71" s="16">
        <f>SUM(AA72:AA75)</f>
        <v>17</v>
      </c>
      <c r="AB71" s="16">
        <f>SUM(AB72:AB75)</f>
        <v>17</v>
      </c>
      <c r="AC71" s="16">
        <f>SUM(AC72:AC75)</f>
        <v>17</v>
      </c>
      <c r="AD71" s="16">
        <f>SUM(AD72:AD75)</f>
        <v>17</v>
      </c>
      <c r="AE71" s="16">
        <f>SUM(AE72:AE75)</f>
        <v>18</v>
      </c>
    </row>
    <row r="72" spans="2:31" x14ac:dyDescent="0.3">
      <c r="C72" s="3" t="s">
        <v>131</v>
      </c>
      <c r="I72" s="267">
        <f>AA72/$AA$122</f>
        <v>0.2</v>
      </c>
      <c r="O72" s="263"/>
      <c r="P72" s="61"/>
      <c r="Q72" s="61"/>
      <c r="R72" s="61"/>
      <c r="S72" s="61"/>
      <c r="T72" s="61"/>
      <c r="U72" s="61"/>
      <c r="V72" s="61"/>
      <c r="W72" s="61"/>
      <c r="X72" s="61"/>
      <c r="Y72" s="61"/>
      <c r="Z72" s="264"/>
      <c r="AA72" s="16">
        <v>1</v>
      </c>
      <c r="AB72" s="16">
        <f>INT($I72*AB$122)</f>
        <v>1</v>
      </c>
      <c r="AC72" s="16">
        <f>INT($I72*AC$122)</f>
        <v>1</v>
      </c>
      <c r="AD72" s="16">
        <f>INT($I72*AD$122)</f>
        <v>1</v>
      </c>
      <c r="AE72" s="16">
        <f>INT($I72*AE$122)</f>
        <v>1</v>
      </c>
    </row>
    <row r="73" spans="2:31" x14ac:dyDescent="0.3">
      <c r="C73" s="3" t="s">
        <v>132</v>
      </c>
      <c r="I73" s="262">
        <f>AA73/$AA$123</f>
        <v>8.7999999999999995E-2</v>
      </c>
      <c r="O73" s="263"/>
      <c r="P73" s="61"/>
      <c r="Q73" s="61"/>
      <c r="R73" s="61"/>
      <c r="S73" s="61"/>
      <c r="T73" s="61"/>
      <c r="U73" s="61"/>
      <c r="V73" s="61"/>
      <c r="W73" s="61"/>
      <c r="X73" s="61"/>
      <c r="Y73" s="61"/>
      <c r="Z73" s="264"/>
      <c r="AA73" s="16">
        <v>11</v>
      </c>
      <c r="AB73" s="16">
        <f>INT($I73*AB$123)</f>
        <v>11</v>
      </c>
      <c r="AC73" s="16">
        <f>INT($I73*AC$123)</f>
        <v>11</v>
      </c>
      <c r="AD73" s="16">
        <f>INT($I73*AD$123)</f>
        <v>11</v>
      </c>
      <c r="AE73" s="16">
        <f>INT($I73*AE$123)</f>
        <v>11</v>
      </c>
    </row>
    <row r="74" spans="2:31" x14ac:dyDescent="0.3">
      <c r="C74" s="3" t="s">
        <v>133</v>
      </c>
      <c r="I74" s="266">
        <f>AA74/$AA$124</f>
        <v>0.16666666666666666</v>
      </c>
      <c r="O74" s="263"/>
      <c r="P74" s="61"/>
      <c r="Q74" s="61"/>
      <c r="R74" s="61"/>
      <c r="S74" s="61"/>
      <c r="T74" s="61"/>
      <c r="U74" s="61"/>
      <c r="V74" s="61"/>
      <c r="W74" s="61"/>
      <c r="X74" s="61"/>
      <c r="Y74" s="61"/>
      <c r="Z74" s="264"/>
      <c r="AA74" s="16">
        <v>4</v>
      </c>
      <c r="AB74" s="16">
        <f>INT($I74*AB$124)</f>
        <v>4</v>
      </c>
      <c r="AC74" s="16">
        <f>INT($I74*AC$124)</f>
        <v>4</v>
      </c>
      <c r="AD74" s="16">
        <f>INT($I74*AD$124)</f>
        <v>4</v>
      </c>
      <c r="AE74" s="16">
        <f>INT($I74*AE$124)</f>
        <v>5</v>
      </c>
    </row>
    <row r="75" spans="2:31" x14ac:dyDescent="0.3">
      <c r="C75" s="3" t="s">
        <v>134</v>
      </c>
      <c r="I75" s="262">
        <f>AA75/$AA$125</f>
        <v>8.3333333333333329E-2</v>
      </c>
      <c r="O75" s="263"/>
      <c r="P75" s="61"/>
      <c r="Q75" s="61"/>
      <c r="R75" s="61"/>
      <c r="S75" s="61"/>
      <c r="T75" s="61"/>
      <c r="U75" s="61"/>
      <c r="V75" s="61"/>
      <c r="W75" s="61"/>
      <c r="X75" s="61"/>
      <c r="Y75" s="61"/>
      <c r="Z75" s="264"/>
      <c r="AA75" s="16">
        <v>1</v>
      </c>
      <c r="AB75" s="16">
        <f>INT($I75*AB$125)</f>
        <v>1</v>
      </c>
      <c r="AC75" s="16">
        <f>INT($I75*AC$125)</f>
        <v>1</v>
      </c>
      <c r="AD75" s="16">
        <f>INT($I75*AD$125)</f>
        <v>1</v>
      </c>
      <c r="AE75" s="16">
        <f>INT($I75*AE$125)</f>
        <v>1</v>
      </c>
    </row>
    <row r="76" spans="2:31" x14ac:dyDescent="0.3">
      <c r="C76" s="3" t="s">
        <v>135</v>
      </c>
      <c r="I76" s="266">
        <f>AA76/$AA$126</f>
        <v>0.1111111111111111</v>
      </c>
      <c r="O76" s="263"/>
      <c r="P76" s="61"/>
      <c r="Q76" s="61"/>
      <c r="R76" s="61"/>
      <c r="S76" s="61"/>
      <c r="T76" s="61"/>
      <c r="U76" s="61"/>
      <c r="V76" s="61"/>
      <c r="W76" s="61"/>
      <c r="X76" s="61"/>
      <c r="Y76" s="61"/>
      <c r="Z76" s="264"/>
      <c r="AA76" s="16">
        <v>3</v>
      </c>
      <c r="AB76" s="16">
        <f>INT($I76*AB$126)</f>
        <v>0</v>
      </c>
      <c r="AC76" s="16">
        <f t="shared" ref="AC76:AE76" si="15">INT($I76*AC$126)</f>
        <v>0</v>
      </c>
      <c r="AD76" s="16">
        <f t="shared" si="15"/>
        <v>0</v>
      </c>
      <c r="AE76" s="16">
        <f t="shared" si="15"/>
        <v>0</v>
      </c>
    </row>
    <row r="77" spans="2:31" x14ac:dyDescent="0.3">
      <c r="B77" s="3" t="s">
        <v>238</v>
      </c>
      <c r="O77" s="263"/>
      <c r="P77" s="61"/>
      <c r="Q77" s="61"/>
      <c r="R77" s="61"/>
      <c r="S77" s="61"/>
      <c r="T77" s="61"/>
      <c r="U77" s="61"/>
      <c r="V77" s="61"/>
      <c r="W77" s="61"/>
      <c r="X77" s="61"/>
      <c r="Y77" s="61"/>
      <c r="Z77" s="264"/>
      <c r="AA77" s="16">
        <f>SUM(AA78:AA81)</f>
        <v>13</v>
      </c>
      <c r="AB77" s="16">
        <f>SUM(AB78:AB81)</f>
        <v>13</v>
      </c>
      <c r="AC77" s="16">
        <f>SUM(AC78:AC81)</f>
        <v>13</v>
      </c>
      <c r="AD77" s="16">
        <f>SUM(AD78:AD81)</f>
        <v>13</v>
      </c>
      <c r="AE77" s="16">
        <f>SUM(AE78:AE81)</f>
        <v>14</v>
      </c>
    </row>
    <row r="78" spans="2:31" x14ac:dyDescent="0.3">
      <c r="C78" s="3" t="s">
        <v>131</v>
      </c>
      <c r="I78" s="267">
        <f>AA78/$AA$122</f>
        <v>0.4</v>
      </c>
      <c r="O78" s="263"/>
      <c r="P78" s="61"/>
      <c r="Q78" s="61"/>
      <c r="R78" s="61"/>
      <c r="S78" s="61"/>
      <c r="T78" s="61"/>
      <c r="U78" s="61"/>
      <c r="V78" s="61"/>
      <c r="W78" s="61"/>
      <c r="X78" s="61"/>
      <c r="Y78" s="61"/>
      <c r="Z78" s="264"/>
      <c r="AA78" s="16">
        <v>2</v>
      </c>
      <c r="AB78" s="16">
        <f>INT($I78*AB$122)</f>
        <v>2</v>
      </c>
      <c r="AC78" s="16">
        <f>INT($I78*AC$122)</f>
        <v>2</v>
      </c>
      <c r="AD78" s="16">
        <f>INT($I78*AD$122)</f>
        <v>2</v>
      </c>
      <c r="AE78" s="16">
        <f>INT($I78*AE$122)</f>
        <v>3</v>
      </c>
    </row>
    <row r="79" spans="2:31" x14ac:dyDescent="0.3">
      <c r="C79" s="3" t="s">
        <v>132</v>
      </c>
      <c r="I79" s="262">
        <f>AA79/$AA$123</f>
        <v>0.04</v>
      </c>
      <c r="O79" s="263"/>
      <c r="P79" s="61"/>
      <c r="Q79" s="61"/>
      <c r="R79" s="61"/>
      <c r="S79" s="61"/>
      <c r="T79" s="61"/>
      <c r="U79" s="61"/>
      <c r="V79" s="61"/>
      <c r="W79" s="61"/>
      <c r="X79" s="61"/>
      <c r="Y79" s="61"/>
      <c r="Z79" s="264"/>
      <c r="AA79" s="16">
        <v>5</v>
      </c>
      <c r="AB79" s="16">
        <f>INT($I79*AB$123)</f>
        <v>5</v>
      </c>
      <c r="AC79" s="16">
        <f>INT($I79*AC$123)</f>
        <v>5</v>
      </c>
      <c r="AD79" s="16">
        <f>INT($I79*AD$123)</f>
        <v>5</v>
      </c>
      <c r="AE79" s="16">
        <f>INT($I79*AE$123)</f>
        <v>5</v>
      </c>
    </row>
    <row r="80" spans="2:31" x14ac:dyDescent="0.3">
      <c r="C80" s="3" t="s">
        <v>133</v>
      </c>
      <c r="I80" s="265">
        <f>AA80/$AA$124</f>
        <v>0.125</v>
      </c>
      <c r="O80" s="263"/>
      <c r="P80" s="61"/>
      <c r="Q80" s="61"/>
      <c r="R80" s="61"/>
      <c r="S80" s="61"/>
      <c r="T80" s="61"/>
      <c r="U80" s="61"/>
      <c r="V80" s="61"/>
      <c r="W80" s="61"/>
      <c r="X80" s="61"/>
      <c r="Y80" s="61"/>
      <c r="Z80" s="264"/>
      <c r="AA80" s="16">
        <v>3</v>
      </c>
      <c r="AB80" s="16">
        <f>INT($I80*AB$124)</f>
        <v>3</v>
      </c>
      <c r="AC80" s="16">
        <f>INT($I80*AC$124)</f>
        <v>3</v>
      </c>
      <c r="AD80" s="16">
        <f>INT($I80*AD$124)</f>
        <v>3</v>
      </c>
      <c r="AE80" s="16">
        <f>INT($I80*AE$124)</f>
        <v>3</v>
      </c>
    </row>
    <row r="81" spans="2:31" x14ac:dyDescent="0.3">
      <c r="C81" s="3" t="s">
        <v>134</v>
      </c>
      <c r="I81" s="262">
        <f>AA81/$AA$125</f>
        <v>0.25</v>
      </c>
      <c r="O81" s="263"/>
      <c r="P81" s="61"/>
      <c r="Q81" s="61"/>
      <c r="R81" s="61"/>
      <c r="S81" s="61"/>
      <c r="T81" s="61"/>
      <c r="U81" s="61"/>
      <c r="V81" s="61"/>
      <c r="W81" s="61"/>
      <c r="X81" s="61"/>
      <c r="Y81" s="61"/>
      <c r="Z81" s="264"/>
      <c r="AA81" s="16">
        <v>3</v>
      </c>
      <c r="AB81" s="16">
        <f>INT($I81*AB$125)</f>
        <v>3</v>
      </c>
      <c r="AC81" s="16">
        <f>INT($I81*AC$125)</f>
        <v>3</v>
      </c>
      <c r="AD81" s="16">
        <f>INT($I81*AD$125)</f>
        <v>3</v>
      </c>
      <c r="AE81" s="16">
        <f>INT($I81*AE$125)</f>
        <v>3</v>
      </c>
    </row>
    <row r="82" spans="2:31" x14ac:dyDescent="0.3">
      <c r="C82" s="3" t="s">
        <v>135</v>
      </c>
      <c r="I82" s="266">
        <f>AA82/$AA$126</f>
        <v>3.7037037037037035E-2</v>
      </c>
      <c r="O82" s="263"/>
      <c r="P82" s="61"/>
      <c r="Q82" s="61"/>
      <c r="R82" s="61"/>
      <c r="S82" s="61"/>
      <c r="T82" s="61"/>
      <c r="U82" s="61"/>
      <c r="V82" s="61"/>
      <c r="W82" s="61"/>
      <c r="X82" s="61"/>
      <c r="Y82" s="61"/>
      <c r="Z82" s="264"/>
      <c r="AA82" s="16">
        <v>1</v>
      </c>
      <c r="AB82" s="16">
        <f>INT($I82*AB$126)</f>
        <v>0</v>
      </c>
      <c r="AC82" s="16">
        <f t="shared" ref="AC82:AE82" si="16">INT($I82*AC$126)</f>
        <v>0</v>
      </c>
      <c r="AD82" s="16">
        <f t="shared" si="16"/>
        <v>0</v>
      </c>
      <c r="AE82" s="16">
        <f t="shared" si="16"/>
        <v>0</v>
      </c>
    </row>
    <row r="83" spans="2:31" x14ac:dyDescent="0.3">
      <c r="B83" s="3" t="s">
        <v>136</v>
      </c>
      <c r="O83" s="263"/>
      <c r="P83" s="61"/>
      <c r="Q83" s="61"/>
      <c r="R83" s="61"/>
      <c r="S83" s="61"/>
      <c r="T83" s="61"/>
      <c r="U83" s="61"/>
      <c r="V83" s="61"/>
      <c r="W83" s="61"/>
      <c r="X83" s="61"/>
      <c r="Y83" s="61"/>
      <c r="Z83" s="264"/>
      <c r="AA83" s="16">
        <f>SUM(AA84:AA87)</f>
        <v>10</v>
      </c>
      <c r="AB83" s="16">
        <f>SUM(AB84:AB87)</f>
        <v>10</v>
      </c>
      <c r="AC83" s="16">
        <f>SUM(AC84:AC87)</f>
        <v>10</v>
      </c>
      <c r="AD83" s="16">
        <f>SUM(AD84:AD87)</f>
        <v>10</v>
      </c>
      <c r="AE83" s="16">
        <f>SUM(AE84:AE87)</f>
        <v>11</v>
      </c>
    </row>
    <row r="84" spans="2:31" x14ac:dyDescent="0.3">
      <c r="C84" s="3" t="s">
        <v>131</v>
      </c>
      <c r="I84" s="267">
        <f>AA84/$AA$122</f>
        <v>0.2</v>
      </c>
      <c r="O84" s="263"/>
      <c r="P84" s="61"/>
      <c r="Q84" s="61"/>
      <c r="R84" s="61"/>
      <c r="S84" s="61"/>
      <c r="T84" s="61"/>
      <c r="U84" s="61"/>
      <c r="V84" s="61"/>
      <c r="W84" s="61"/>
      <c r="X84" s="61"/>
      <c r="Y84" s="61"/>
      <c r="Z84" s="264"/>
      <c r="AA84" s="16">
        <v>1</v>
      </c>
      <c r="AB84" s="16">
        <f>INT($I84*AB$122)</f>
        <v>1</v>
      </c>
      <c r="AC84" s="16">
        <f>INT($I84*AC$122)</f>
        <v>1</v>
      </c>
      <c r="AD84" s="16">
        <f>INT($I84*AD$122)</f>
        <v>1</v>
      </c>
      <c r="AE84" s="16">
        <f>INT($I84*AE$122)</f>
        <v>1</v>
      </c>
    </row>
    <row r="85" spans="2:31" x14ac:dyDescent="0.3">
      <c r="C85" s="3" t="s">
        <v>132</v>
      </c>
      <c r="I85" s="262">
        <f>AA85/$AA$123</f>
        <v>3.2000000000000001E-2</v>
      </c>
      <c r="O85" s="263"/>
      <c r="P85" s="61"/>
      <c r="Q85" s="61"/>
      <c r="R85" s="61"/>
      <c r="S85" s="61"/>
      <c r="T85" s="61"/>
      <c r="U85" s="61"/>
      <c r="V85" s="61"/>
      <c r="W85" s="61"/>
      <c r="X85" s="61"/>
      <c r="Y85" s="61"/>
      <c r="Z85" s="264"/>
      <c r="AA85" s="16">
        <v>4</v>
      </c>
      <c r="AB85" s="16">
        <f>INT($I85*AB$123)</f>
        <v>4</v>
      </c>
      <c r="AC85" s="16">
        <f>INT($I85*AC$123)</f>
        <v>4</v>
      </c>
      <c r="AD85" s="16">
        <f>INT($I85*AD$123)</f>
        <v>4</v>
      </c>
      <c r="AE85" s="16">
        <f>INT($I85*AE$123)</f>
        <v>4</v>
      </c>
    </row>
    <row r="86" spans="2:31" x14ac:dyDescent="0.3">
      <c r="C86" s="3" t="s">
        <v>133</v>
      </c>
      <c r="I86" s="265">
        <f>AA86/$AA$124</f>
        <v>0.16666666666666666</v>
      </c>
      <c r="O86" s="263"/>
      <c r="P86" s="61"/>
      <c r="Q86" s="61"/>
      <c r="R86" s="61"/>
      <c r="S86" s="61"/>
      <c r="T86" s="61"/>
      <c r="U86" s="61"/>
      <c r="V86" s="61"/>
      <c r="W86" s="61"/>
      <c r="X86" s="61"/>
      <c r="Y86" s="61"/>
      <c r="Z86" s="264"/>
      <c r="AA86" s="16">
        <v>4</v>
      </c>
      <c r="AB86" s="16">
        <f>INT($I86*AB$124)</f>
        <v>4</v>
      </c>
      <c r="AC86" s="16">
        <f>INT($I86*AC$124)</f>
        <v>4</v>
      </c>
      <c r="AD86" s="16">
        <f>INT($I86*AD$124)</f>
        <v>4</v>
      </c>
      <c r="AE86" s="16">
        <f>INT($I86*AE$124)</f>
        <v>5</v>
      </c>
    </row>
    <row r="87" spans="2:31" x14ac:dyDescent="0.3">
      <c r="C87" s="3" t="s">
        <v>134</v>
      </c>
      <c r="I87" s="262">
        <f>AA87/$AA$125</f>
        <v>8.3333333333333329E-2</v>
      </c>
      <c r="O87" s="263"/>
      <c r="P87" s="61"/>
      <c r="Q87" s="61"/>
      <c r="R87" s="61"/>
      <c r="S87" s="61"/>
      <c r="T87" s="61"/>
      <c r="U87" s="61"/>
      <c r="V87" s="61"/>
      <c r="W87" s="61"/>
      <c r="X87" s="61"/>
      <c r="Y87" s="61"/>
      <c r="Z87" s="264"/>
      <c r="AA87" s="16">
        <v>1</v>
      </c>
      <c r="AB87" s="16">
        <f>INT($I87*AB$125)</f>
        <v>1</v>
      </c>
      <c r="AC87" s="16">
        <f>INT($I87*AC$125)</f>
        <v>1</v>
      </c>
      <c r="AD87" s="16">
        <f>INT($I87*AD$125)</f>
        <v>1</v>
      </c>
      <c r="AE87" s="16">
        <f>INT($I87*AE$125)</f>
        <v>1</v>
      </c>
    </row>
    <row r="88" spans="2:31" x14ac:dyDescent="0.3">
      <c r="C88" s="3" t="s">
        <v>135</v>
      </c>
      <c r="I88" s="266">
        <f>AA88/$AA$126</f>
        <v>3.7037037037037035E-2</v>
      </c>
      <c r="O88" s="263"/>
      <c r="P88" s="61"/>
      <c r="Q88" s="61"/>
      <c r="R88" s="61"/>
      <c r="S88" s="61"/>
      <c r="T88" s="61"/>
      <c r="U88" s="61"/>
      <c r="V88" s="61"/>
      <c r="W88" s="61"/>
      <c r="X88" s="61"/>
      <c r="Y88" s="61"/>
      <c r="Z88" s="264"/>
      <c r="AA88" s="16">
        <v>1</v>
      </c>
      <c r="AB88" s="16">
        <f>INT($I88*AB$126)</f>
        <v>0</v>
      </c>
      <c r="AC88" s="16">
        <f t="shared" ref="AC88:AE88" si="17">INT($I88*AC$126)</f>
        <v>0</v>
      </c>
      <c r="AD88" s="16">
        <f t="shared" si="17"/>
        <v>0</v>
      </c>
      <c r="AE88" s="16">
        <f t="shared" si="17"/>
        <v>0</v>
      </c>
    </row>
    <row r="89" spans="2:31" x14ac:dyDescent="0.3">
      <c r="B89" s="3" t="s">
        <v>239</v>
      </c>
      <c r="O89" s="263"/>
      <c r="P89" s="61"/>
      <c r="Q89" s="61"/>
      <c r="R89" s="61"/>
      <c r="S89" s="61"/>
      <c r="T89" s="61"/>
      <c r="U89" s="61"/>
      <c r="V89" s="61"/>
      <c r="W89" s="61"/>
      <c r="X89" s="61"/>
      <c r="Y89" s="61"/>
      <c r="Z89" s="264"/>
      <c r="AA89" s="16">
        <f>SUM(AA90:AA93)</f>
        <v>84</v>
      </c>
      <c r="AB89" s="16">
        <f>SUM(AB90:AB93)</f>
        <v>84</v>
      </c>
      <c r="AC89" s="16">
        <f>SUM(AC90:AC93)</f>
        <v>88</v>
      </c>
      <c r="AD89" s="16">
        <f>SUM(AD90:AD93)</f>
        <v>90</v>
      </c>
      <c r="AE89" s="16">
        <f>SUM(AE90:AE93)</f>
        <v>93</v>
      </c>
    </row>
    <row r="90" spans="2:31" x14ac:dyDescent="0.3">
      <c r="C90" s="3" t="s">
        <v>131</v>
      </c>
      <c r="I90" s="267">
        <f>AA90/$AA$122</f>
        <v>0.4</v>
      </c>
      <c r="O90" s="263"/>
      <c r="P90" s="61"/>
      <c r="Q90" s="61"/>
      <c r="R90" s="61"/>
      <c r="S90" s="61"/>
      <c r="T90" s="61"/>
      <c r="U90" s="61"/>
      <c r="V90" s="61"/>
      <c r="W90" s="61"/>
      <c r="X90" s="61"/>
      <c r="Y90" s="61"/>
      <c r="Z90" s="264"/>
      <c r="AA90" s="16">
        <v>2</v>
      </c>
      <c r="AB90" s="16">
        <f>INT($I90*AB$122)</f>
        <v>2</v>
      </c>
      <c r="AC90" s="16">
        <f>INT($I90*AC$122)</f>
        <v>2</v>
      </c>
      <c r="AD90" s="16">
        <f>INT($I90*AD$122)</f>
        <v>2</v>
      </c>
      <c r="AE90" s="16">
        <f>INT($I90*AE$122)</f>
        <v>3</v>
      </c>
    </row>
    <row r="91" spans="2:31" x14ac:dyDescent="0.3">
      <c r="C91" s="3" t="s">
        <v>132</v>
      </c>
      <c r="I91" s="262">
        <f>AA91/$AA$123</f>
        <v>0.504</v>
      </c>
      <c r="O91" s="263"/>
      <c r="P91" s="61"/>
      <c r="Q91" s="61"/>
      <c r="R91" s="61"/>
      <c r="S91" s="61"/>
      <c r="T91" s="61"/>
      <c r="U91" s="61"/>
      <c r="V91" s="61"/>
      <c r="W91" s="61"/>
      <c r="X91" s="61"/>
      <c r="Y91" s="61"/>
      <c r="Z91" s="264"/>
      <c r="AA91" s="16">
        <v>63</v>
      </c>
      <c r="AB91" s="16">
        <f>INT($I91*AB$123)</f>
        <v>63</v>
      </c>
      <c r="AC91" s="16">
        <f>INT($I91*AC$123)</f>
        <v>66</v>
      </c>
      <c r="AD91" s="16">
        <f>INT($I91*AD$123)</f>
        <v>67</v>
      </c>
      <c r="AE91" s="16">
        <f>INT($I91*AE$123)</f>
        <v>67</v>
      </c>
    </row>
    <row r="92" spans="2:31" x14ac:dyDescent="0.3">
      <c r="C92" s="3" t="s">
        <v>133</v>
      </c>
      <c r="I92" s="265">
        <f>AA92/$AA$124</f>
        <v>0.58333333333333337</v>
      </c>
      <c r="O92" s="263"/>
      <c r="P92" s="61"/>
      <c r="Q92" s="61"/>
      <c r="R92" s="61"/>
      <c r="S92" s="61"/>
      <c r="T92" s="61"/>
      <c r="U92" s="61"/>
      <c r="V92" s="61"/>
      <c r="W92" s="61"/>
      <c r="X92" s="61"/>
      <c r="Y92" s="61"/>
      <c r="Z92" s="264"/>
      <c r="AA92" s="16">
        <v>14</v>
      </c>
      <c r="AB92" s="16">
        <f>INT($I92*AB$124)</f>
        <v>14</v>
      </c>
      <c r="AC92" s="16">
        <f>INT($I92*AC$124)</f>
        <v>15</v>
      </c>
      <c r="AD92" s="16">
        <f>INT($I92*AD$124)</f>
        <v>16</v>
      </c>
      <c r="AE92" s="16">
        <f>INT($I92*AE$124)</f>
        <v>18</v>
      </c>
    </row>
    <row r="93" spans="2:31" x14ac:dyDescent="0.3">
      <c r="C93" s="3" t="s">
        <v>134</v>
      </c>
      <c r="I93" s="262">
        <f>AA93/$AA$125</f>
        <v>0.41666666666666669</v>
      </c>
      <c r="O93" s="263"/>
      <c r="P93" s="61"/>
      <c r="Q93" s="61"/>
      <c r="R93" s="61"/>
      <c r="S93" s="61"/>
      <c r="T93" s="61"/>
      <c r="U93" s="61"/>
      <c r="V93" s="61"/>
      <c r="W93" s="61"/>
      <c r="X93" s="61"/>
      <c r="Y93" s="61"/>
      <c r="Z93" s="264"/>
      <c r="AA93" s="16">
        <v>5</v>
      </c>
      <c r="AB93" s="16">
        <f>INT($I93*AB$125)</f>
        <v>5</v>
      </c>
      <c r="AC93" s="16">
        <f>INT($I93*AC$125)</f>
        <v>5</v>
      </c>
      <c r="AD93" s="16">
        <f>INT($I93*AD$125)</f>
        <v>5</v>
      </c>
      <c r="AE93" s="16">
        <f>INT($I93*AE$125)</f>
        <v>5</v>
      </c>
    </row>
    <row r="94" spans="2:31" x14ac:dyDescent="0.3">
      <c r="C94" s="3" t="s">
        <v>135</v>
      </c>
      <c r="I94" s="266">
        <f>AA94/$AA$126</f>
        <v>0.25925925925925924</v>
      </c>
      <c r="O94" s="263"/>
      <c r="P94" s="61"/>
      <c r="Q94" s="61"/>
      <c r="R94" s="61"/>
      <c r="S94" s="61"/>
      <c r="T94" s="61"/>
      <c r="U94" s="61"/>
      <c r="V94" s="61"/>
      <c r="W94" s="61"/>
      <c r="X94" s="61"/>
      <c r="Y94" s="61"/>
      <c r="Z94" s="264"/>
      <c r="AA94" s="16">
        <v>7</v>
      </c>
      <c r="AB94" s="16">
        <f>INT($I94*AB$126)</f>
        <v>0</v>
      </c>
      <c r="AC94" s="16">
        <f t="shared" ref="AC94:AE94" si="18">INT($I94*AC$126)</f>
        <v>0</v>
      </c>
      <c r="AD94" s="16">
        <f t="shared" si="18"/>
        <v>0</v>
      </c>
      <c r="AE94" s="16">
        <f t="shared" si="18"/>
        <v>0</v>
      </c>
    </row>
    <row r="95" spans="2:31" x14ac:dyDescent="0.3">
      <c r="B95" s="3" t="s">
        <v>240</v>
      </c>
      <c r="O95" s="263"/>
      <c r="P95" s="61"/>
      <c r="Q95" s="61"/>
      <c r="R95" s="61"/>
      <c r="S95" s="61"/>
      <c r="T95" s="61"/>
      <c r="U95" s="61"/>
      <c r="V95" s="61"/>
      <c r="W95" s="61"/>
      <c r="X95" s="61"/>
      <c r="Y95" s="61"/>
      <c r="Z95" s="264"/>
      <c r="AA95" s="16">
        <f>SUM(AA96:AA99)</f>
        <v>37</v>
      </c>
      <c r="AB95" s="16">
        <f>SUM(AB96:AB99)</f>
        <v>37</v>
      </c>
      <c r="AC95" s="16">
        <f>SUM(AC96:AC99)</f>
        <v>38</v>
      </c>
      <c r="AD95" s="16">
        <f>SUM(AD96:AD99)</f>
        <v>39</v>
      </c>
      <c r="AE95" s="16">
        <f>SUM(AE96:AE99)</f>
        <v>40</v>
      </c>
    </row>
    <row r="96" spans="2:31" x14ac:dyDescent="0.3">
      <c r="C96" s="3" t="s">
        <v>131</v>
      </c>
      <c r="I96" s="267">
        <f>AA96/$AA$122</f>
        <v>0.4</v>
      </c>
      <c r="O96" s="263"/>
      <c r="P96" s="61"/>
      <c r="Q96" s="61"/>
      <c r="R96" s="61"/>
      <c r="S96" s="61"/>
      <c r="T96" s="61"/>
      <c r="U96" s="61"/>
      <c r="V96" s="61"/>
      <c r="W96" s="61"/>
      <c r="X96" s="61"/>
      <c r="Y96" s="61"/>
      <c r="Z96" s="264"/>
      <c r="AA96" s="16">
        <v>2</v>
      </c>
      <c r="AB96" s="16">
        <f>INT($I96*AB$122)</f>
        <v>2</v>
      </c>
      <c r="AC96" s="16">
        <f>INT($I96*AC$122)</f>
        <v>2</v>
      </c>
      <c r="AD96" s="16">
        <f>INT($I96*AD$122)</f>
        <v>2</v>
      </c>
      <c r="AE96" s="16">
        <f>INT($I96*AE$122)</f>
        <v>3</v>
      </c>
    </row>
    <row r="97" spans="2:31" x14ac:dyDescent="0.3">
      <c r="C97" s="3" t="s">
        <v>132</v>
      </c>
      <c r="I97" s="262">
        <f>AA97/$AA$123</f>
        <v>0.24</v>
      </c>
      <c r="O97" s="263"/>
      <c r="P97" s="61"/>
      <c r="Q97" s="61"/>
      <c r="R97" s="61"/>
      <c r="S97" s="61"/>
      <c r="T97" s="61"/>
      <c r="U97" s="61"/>
      <c r="V97" s="61"/>
      <c r="W97" s="61"/>
      <c r="X97" s="61"/>
      <c r="Y97" s="61"/>
      <c r="Z97" s="264"/>
      <c r="AA97" s="16">
        <v>30</v>
      </c>
      <c r="AB97" s="16">
        <f>INT($I97*AB$123)</f>
        <v>30</v>
      </c>
      <c r="AC97" s="16">
        <f>INT($I97*AC$123)</f>
        <v>31</v>
      </c>
      <c r="AD97" s="16">
        <f>INT($I97*AD$123)</f>
        <v>31</v>
      </c>
      <c r="AE97" s="16">
        <f>INT($I97*AE$123)</f>
        <v>31</v>
      </c>
    </row>
    <row r="98" spans="2:31" x14ac:dyDescent="0.3">
      <c r="C98" s="3" t="s">
        <v>133</v>
      </c>
      <c r="I98" s="265">
        <f>AA98/$AA$124</f>
        <v>0.20833333333333334</v>
      </c>
      <c r="O98" s="263"/>
      <c r="P98" s="61"/>
      <c r="Q98" s="61"/>
      <c r="R98" s="61"/>
      <c r="S98" s="61"/>
      <c r="T98" s="61"/>
      <c r="U98" s="61"/>
      <c r="V98" s="61"/>
      <c r="W98" s="61"/>
      <c r="X98" s="61"/>
      <c r="Y98" s="61"/>
      <c r="Z98" s="264"/>
      <c r="AA98" s="16">
        <v>5</v>
      </c>
      <c r="AB98" s="16">
        <f>INT($I98*AB$124)</f>
        <v>5</v>
      </c>
      <c r="AC98" s="16">
        <f>INT($I98*AC$124)</f>
        <v>5</v>
      </c>
      <c r="AD98" s="16">
        <f>INT($I98*AD$124)</f>
        <v>6</v>
      </c>
      <c r="AE98" s="16">
        <f>INT($I98*AE$124)</f>
        <v>6</v>
      </c>
    </row>
    <row r="99" spans="2:31" x14ac:dyDescent="0.3">
      <c r="C99" s="3" t="s">
        <v>134</v>
      </c>
      <c r="I99" s="262">
        <f>AA99/$AA$125</f>
        <v>0</v>
      </c>
      <c r="O99" s="263"/>
      <c r="P99" s="61"/>
      <c r="Q99" s="61"/>
      <c r="R99" s="61"/>
      <c r="S99" s="61"/>
      <c r="T99" s="61"/>
      <c r="U99" s="61"/>
      <c r="V99" s="61"/>
      <c r="W99" s="61"/>
      <c r="X99" s="61"/>
      <c r="Y99" s="61"/>
      <c r="Z99" s="264"/>
      <c r="AA99" s="16">
        <v>0</v>
      </c>
      <c r="AB99" s="16">
        <f>INT($I99*AB$125)</f>
        <v>0</v>
      </c>
      <c r="AC99" s="16">
        <f>INT($I99*AC$125)</f>
        <v>0</v>
      </c>
      <c r="AD99" s="16">
        <f>INT($I99*AD$125)</f>
        <v>0</v>
      </c>
      <c r="AE99" s="16">
        <f>INT($I99*AE$125)</f>
        <v>0</v>
      </c>
    </row>
    <row r="100" spans="2:31" x14ac:dyDescent="0.3">
      <c r="C100" s="3" t="s">
        <v>135</v>
      </c>
      <c r="I100" s="266">
        <f>AA100/$AA$126</f>
        <v>3.7037037037037035E-2</v>
      </c>
      <c r="O100" s="263"/>
      <c r="P100" s="61"/>
      <c r="Q100" s="61"/>
      <c r="R100" s="61"/>
      <c r="S100" s="61"/>
      <c r="T100" s="61"/>
      <c r="U100" s="61"/>
      <c r="V100" s="61"/>
      <c r="W100" s="61"/>
      <c r="X100" s="61"/>
      <c r="Y100" s="61"/>
      <c r="Z100" s="264"/>
      <c r="AA100" s="16">
        <v>1</v>
      </c>
      <c r="AB100" s="16">
        <f>INT($I100*AB$126)</f>
        <v>0</v>
      </c>
      <c r="AC100" s="16">
        <f t="shared" ref="AC100:AE100" si="19">INT($I100*AC$126)</f>
        <v>0</v>
      </c>
      <c r="AD100" s="16">
        <f t="shared" si="19"/>
        <v>0</v>
      </c>
      <c r="AE100" s="16">
        <f t="shared" si="19"/>
        <v>0</v>
      </c>
    </row>
    <row r="101" spans="2:31" x14ac:dyDescent="0.3">
      <c r="B101" s="3" t="s">
        <v>14</v>
      </c>
      <c r="O101" s="263"/>
      <c r="P101" s="61"/>
      <c r="Q101" s="61"/>
      <c r="R101" s="61"/>
      <c r="S101" s="61"/>
      <c r="T101" s="61"/>
      <c r="U101" s="61"/>
      <c r="V101" s="61"/>
      <c r="W101" s="61"/>
      <c r="X101" s="61"/>
      <c r="Y101" s="61"/>
      <c r="Z101" s="264"/>
      <c r="AA101" s="16">
        <f>SUM(AA102:AA105)</f>
        <v>139</v>
      </c>
      <c r="AB101" s="16">
        <f>SUM(AB102:AB105)</f>
        <v>139</v>
      </c>
      <c r="AC101" s="16">
        <f>SUM(AC102:AC105)</f>
        <v>146</v>
      </c>
      <c r="AD101" s="16">
        <f>SUM(AD102:AD105)</f>
        <v>150</v>
      </c>
      <c r="AE101" s="16">
        <f>SUM(AE102:AE105)</f>
        <v>151</v>
      </c>
    </row>
    <row r="102" spans="2:31" x14ac:dyDescent="0.3">
      <c r="C102" s="3" t="s">
        <v>131</v>
      </c>
      <c r="I102" s="267">
        <f>AA102/$AA$122</f>
        <v>0.2</v>
      </c>
      <c r="O102" s="263"/>
      <c r="P102" s="61"/>
      <c r="Q102" s="61"/>
      <c r="R102" s="61"/>
      <c r="S102" s="61"/>
      <c r="T102" s="61"/>
      <c r="U102" s="61"/>
      <c r="V102" s="61"/>
      <c r="W102" s="61"/>
      <c r="X102" s="61"/>
      <c r="Y102" s="61"/>
      <c r="Z102" s="264"/>
      <c r="AA102" s="16">
        <v>1</v>
      </c>
      <c r="AB102" s="16">
        <f>INT($I102*AB$122)</f>
        <v>1</v>
      </c>
      <c r="AC102" s="16">
        <f>INT($I102*AC$122)</f>
        <v>1</v>
      </c>
      <c r="AD102" s="16">
        <f>INT($I102*AD$122)</f>
        <v>1</v>
      </c>
      <c r="AE102" s="16">
        <f>INT($I102*AE$122)</f>
        <v>1</v>
      </c>
    </row>
    <row r="103" spans="2:31" x14ac:dyDescent="0.3">
      <c r="C103" s="3" t="s">
        <v>132</v>
      </c>
      <c r="I103" s="262">
        <f>AA103/$AA$123</f>
        <v>0.90400000000000003</v>
      </c>
      <c r="O103" s="263"/>
      <c r="P103" s="61"/>
      <c r="Q103" s="61"/>
      <c r="R103" s="61"/>
      <c r="S103" s="61"/>
      <c r="T103" s="61"/>
      <c r="U103" s="61"/>
      <c r="V103" s="61"/>
      <c r="W103" s="61"/>
      <c r="X103" s="61"/>
      <c r="Y103" s="61"/>
      <c r="Z103" s="264"/>
      <c r="AA103" s="16">
        <v>113</v>
      </c>
      <c r="AB103" s="16">
        <f>INT($I103*AB$123)</f>
        <v>113</v>
      </c>
      <c r="AC103" s="16">
        <f>INT($I103*AC$123)</f>
        <v>118</v>
      </c>
      <c r="AD103" s="16">
        <f>INT($I103*AD$123)</f>
        <v>120</v>
      </c>
      <c r="AE103" s="16">
        <f>INT($I103*AE$123)</f>
        <v>120</v>
      </c>
    </row>
    <row r="104" spans="2:31" x14ac:dyDescent="0.3">
      <c r="C104" s="3" t="s">
        <v>133</v>
      </c>
      <c r="I104" s="265">
        <f>AA104/$AA$124</f>
        <v>0.83333333333333337</v>
      </c>
      <c r="O104" s="263"/>
      <c r="P104" s="61"/>
      <c r="Q104" s="61"/>
      <c r="R104" s="61"/>
      <c r="S104" s="61"/>
      <c r="T104" s="61"/>
      <c r="U104" s="61"/>
      <c r="V104" s="61"/>
      <c r="W104" s="61"/>
      <c r="X104" s="61"/>
      <c r="Y104" s="61"/>
      <c r="Z104" s="264"/>
      <c r="AA104" s="16">
        <v>20</v>
      </c>
      <c r="AB104" s="16">
        <f>INT($I104*AB$124)</f>
        <v>20</v>
      </c>
      <c r="AC104" s="16">
        <f>INT($I104*AC$124)</f>
        <v>22</v>
      </c>
      <c r="AD104" s="16">
        <f>INT($I104*AD$124)</f>
        <v>24</v>
      </c>
      <c r="AE104" s="16">
        <f>INT($I104*AE$124)</f>
        <v>25</v>
      </c>
    </row>
    <row r="105" spans="2:31" x14ac:dyDescent="0.3">
      <c r="C105" s="3" t="s">
        <v>134</v>
      </c>
      <c r="I105" s="262">
        <f>AA105/$AA$125</f>
        <v>0.41666666666666669</v>
      </c>
      <c r="O105" s="263"/>
      <c r="P105" s="61"/>
      <c r="Q105" s="61"/>
      <c r="R105" s="61"/>
      <c r="S105" s="61"/>
      <c r="T105" s="61"/>
      <c r="U105" s="61"/>
      <c r="V105" s="61"/>
      <c r="W105" s="61"/>
      <c r="X105" s="61"/>
      <c r="Y105" s="61"/>
      <c r="Z105" s="264"/>
      <c r="AA105" s="16">
        <v>5</v>
      </c>
      <c r="AB105" s="16">
        <f>INT($I105*AB$125)</f>
        <v>5</v>
      </c>
      <c r="AC105" s="16">
        <f>INT($I105*AC$125)</f>
        <v>5</v>
      </c>
      <c r="AD105" s="16">
        <f>INT($I105*AD$125)</f>
        <v>5</v>
      </c>
      <c r="AE105" s="16">
        <f>INT($I105*AE$125)</f>
        <v>5</v>
      </c>
    </row>
    <row r="106" spans="2:31" x14ac:dyDescent="0.3">
      <c r="C106" s="3" t="s">
        <v>135</v>
      </c>
      <c r="I106" s="266">
        <f>AA106/$AA$126</f>
        <v>0.25925925925925924</v>
      </c>
      <c r="O106" s="263"/>
      <c r="P106" s="61"/>
      <c r="Q106" s="61"/>
      <c r="R106" s="61"/>
      <c r="S106" s="61"/>
      <c r="T106" s="61"/>
      <c r="U106" s="61"/>
      <c r="V106" s="61"/>
      <c r="W106" s="61"/>
      <c r="X106" s="61"/>
      <c r="Y106" s="61"/>
      <c r="Z106" s="264"/>
      <c r="AA106" s="16">
        <v>7</v>
      </c>
      <c r="AB106" s="16">
        <f>INT($I106*AB$126)</f>
        <v>0</v>
      </c>
      <c r="AC106" s="16">
        <f t="shared" ref="AC106:AE106" si="20">INT($I106*AC$126)</f>
        <v>0</v>
      </c>
      <c r="AD106" s="16">
        <f t="shared" si="20"/>
        <v>0</v>
      </c>
      <c r="AE106" s="16">
        <f t="shared" si="20"/>
        <v>0</v>
      </c>
    </row>
    <row r="107" spans="2:31" x14ac:dyDescent="0.3">
      <c r="B107" s="3" t="s">
        <v>241</v>
      </c>
      <c r="O107" s="263"/>
      <c r="P107" s="61"/>
      <c r="Q107" s="61"/>
      <c r="R107" s="61"/>
      <c r="S107" s="61"/>
      <c r="T107" s="61"/>
      <c r="U107" s="61"/>
      <c r="V107" s="61"/>
      <c r="W107" s="61"/>
      <c r="X107" s="61"/>
      <c r="Y107" s="61"/>
      <c r="Z107" s="264"/>
      <c r="AA107" s="16">
        <f>SUM(AA108:AA111)</f>
        <v>7</v>
      </c>
      <c r="AB107" s="16">
        <f>SUM(AB108:AB111)</f>
        <v>7</v>
      </c>
      <c r="AC107" s="16">
        <f>SUM(AC108:AC111)</f>
        <v>7</v>
      </c>
      <c r="AD107" s="16">
        <f>SUM(AD108:AD111)</f>
        <v>8</v>
      </c>
      <c r="AE107" s="16">
        <f>SUM(AE108:AE111)</f>
        <v>8</v>
      </c>
    </row>
    <row r="108" spans="2:31" x14ac:dyDescent="0.3">
      <c r="C108" s="3" t="s">
        <v>131</v>
      </c>
      <c r="I108" s="262">
        <f>AA108/$AA$122</f>
        <v>0.2</v>
      </c>
      <c r="O108" s="263"/>
      <c r="P108" s="61"/>
      <c r="Q108" s="61"/>
      <c r="R108" s="61"/>
      <c r="S108" s="61"/>
      <c r="T108" s="61"/>
      <c r="U108" s="61"/>
      <c r="V108" s="61"/>
      <c r="W108" s="61"/>
      <c r="X108" s="61"/>
      <c r="Y108" s="61"/>
      <c r="Z108" s="264"/>
      <c r="AA108" s="16">
        <v>1</v>
      </c>
      <c r="AB108" s="16">
        <f>INT($I108*AB$122)</f>
        <v>1</v>
      </c>
      <c r="AC108" s="16">
        <f>INT($I108*AC$122)</f>
        <v>1</v>
      </c>
      <c r="AD108" s="16">
        <f>INT($I108*AD$122)</f>
        <v>1</v>
      </c>
      <c r="AE108" s="16">
        <f>INT($I108*AE$122)</f>
        <v>1</v>
      </c>
    </row>
    <row r="109" spans="2:31" x14ac:dyDescent="0.3">
      <c r="C109" s="3" t="s">
        <v>132</v>
      </c>
      <c r="I109" s="265">
        <f>AA109/$AA$123</f>
        <v>8.0000000000000002E-3</v>
      </c>
      <c r="O109" s="263"/>
      <c r="P109" s="61"/>
      <c r="Q109" s="61"/>
      <c r="R109" s="61"/>
      <c r="S109" s="61"/>
      <c r="T109" s="61"/>
      <c r="U109" s="61"/>
      <c r="V109" s="61"/>
      <c r="W109" s="61"/>
      <c r="X109" s="61"/>
      <c r="Y109" s="61"/>
      <c r="Z109" s="264"/>
      <c r="AA109" s="16">
        <v>1</v>
      </c>
      <c r="AB109" s="16">
        <f>INT($I109*AB$123)</f>
        <v>1</v>
      </c>
      <c r="AC109" s="16">
        <f>INT($I109*AC$123)</f>
        <v>1</v>
      </c>
      <c r="AD109" s="16">
        <f>INT($I109*AD$123)</f>
        <v>1</v>
      </c>
      <c r="AE109" s="16">
        <f>INT($I109*AE$123)</f>
        <v>1</v>
      </c>
    </row>
    <row r="110" spans="2:31" x14ac:dyDescent="0.3">
      <c r="C110" s="3" t="s">
        <v>133</v>
      </c>
      <c r="I110" s="262">
        <f>AA110/$AA$124</f>
        <v>0.20833333333333334</v>
      </c>
      <c r="O110" s="263"/>
      <c r="P110" s="61"/>
      <c r="Q110" s="61"/>
      <c r="R110" s="61"/>
      <c r="S110" s="61"/>
      <c r="T110" s="61"/>
      <c r="U110" s="61"/>
      <c r="V110" s="61"/>
      <c r="W110" s="61"/>
      <c r="X110" s="61"/>
      <c r="Y110" s="61"/>
      <c r="Z110" s="264"/>
      <c r="AA110" s="16">
        <v>5</v>
      </c>
      <c r="AB110" s="16">
        <f>INT($I110*AB$124)</f>
        <v>5</v>
      </c>
      <c r="AC110" s="16">
        <f>INT($I110*AC$124)</f>
        <v>5</v>
      </c>
      <c r="AD110" s="16">
        <f>INT($I110*AD$124)</f>
        <v>6</v>
      </c>
      <c r="AE110" s="16">
        <f>INT($I110*AE$124)</f>
        <v>6</v>
      </c>
    </row>
    <row r="111" spans="2:31" x14ac:dyDescent="0.3">
      <c r="C111" s="3" t="s">
        <v>134</v>
      </c>
      <c r="I111" s="266">
        <f>AA111/$AA$125</f>
        <v>0</v>
      </c>
      <c r="O111" s="263"/>
      <c r="P111" s="61"/>
      <c r="Q111" s="61"/>
      <c r="R111" s="61"/>
      <c r="S111" s="61"/>
      <c r="T111" s="61"/>
      <c r="U111" s="61"/>
      <c r="V111" s="61"/>
      <c r="W111" s="61"/>
      <c r="X111" s="61"/>
      <c r="Y111" s="61"/>
      <c r="Z111" s="264"/>
      <c r="AA111" s="16">
        <v>0</v>
      </c>
      <c r="AB111" s="16">
        <f>INT($I111*AB$125)</f>
        <v>0</v>
      </c>
      <c r="AC111" s="16">
        <f>INT($I111*AC$125)</f>
        <v>0</v>
      </c>
      <c r="AD111" s="16">
        <f>INT($I111*AD$125)</f>
        <v>0</v>
      </c>
      <c r="AE111" s="16">
        <f>INT($I111*AE$125)</f>
        <v>0</v>
      </c>
    </row>
    <row r="112" spans="2:31" x14ac:dyDescent="0.3">
      <c r="C112" s="3" t="s">
        <v>135</v>
      </c>
      <c r="I112" s="266">
        <f>AA112/$AA$126</f>
        <v>0</v>
      </c>
      <c r="O112" s="263"/>
      <c r="P112" s="61"/>
      <c r="Q112" s="61"/>
      <c r="R112" s="61"/>
      <c r="S112" s="61"/>
      <c r="T112" s="61"/>
      <c r="U112" s="61"/>
      <c r="V112" s="61"/>
      <c r="W112" s="61"/>
      <c r="X112" s="61"/>
      <c r="Y112" s="61"/>
      <c r="Z112" s="264"/>
      <c r="AA112" s="16">
        <v>0</v>
      </c>
      <c r="AB112" s="16">
        <f>INT($I112*AB$126)</f>
        <v>0</v>
      </c>
      <c r="AC112" s="16">
        <f t="shared" ref="AC112:AE112" si="21">INT($I112*AC$126)</f>
        <v>0</v>
      </c>
      <c r="AD112" s="16">
        <f t="shared" si="21"/>
        <v>0</v>
      </c>
      <c r="AE112" s="16">
        <f t="shared" si="21"/>
        <v>0</v>
      </c>
    </row>
    <row r="113" spans="2:32" x14ac:dyDescent="0.3">
      <c r="B113" s="3" t="s">
        <v>242</v>
      </c>
      <c r="O113" s="263"/>
      <c r="P113" s="61"/>
      <c r="Q113" s="61"/>
      <c r="R113" s="61"/>
      <c r="S113" s="61"/>
      <c r="T113" s="61"/>
      <c r="U113" s="61"/>
      <c r="V113" s="61"/>
      <c r="W113" s="61"/>
      <c r="X113" s="61"/>
      <c r="Y113" s="61"/>
      <c r="Z113" s="264"/>
      <c r="AA113" s="16">
        <f>SUM(AA114:AA117)</f>
        <v>34</v>
      </c>
      <c r="AB113" s="16">
        <f>SUM(AB114:AB117)</f>
        <v>36</v>
      </c>
      <c r="AC113" s="16">
        <f>SUM(AC114:AC117)</f>
        <v>39</v>
      </c>
      <c r="AD113" s="16">
        <f>SUM(AD114:AD117)</f>
        <v>41</v>
      </c>
      <c r="AE113" s="16">
        <f>SUM(AE114:AE117)</f>
        <v>41</v>
      </c>
    </row>
    <row r="114" spans="2:32" x14ac:dyDescent="0.3">
      <c r="C114" s="3" t="s">
        <v>131</v>
      </c>
      <c r="I114" s="267">
        <v>0</v>
      </c>
      <c r="O114" s="263"/>
      <c r="P114" s="61"/>
      <c r="Q114" s="61"/>
      <c r="R114" s="61"/>
      <c r="S114" s="61"/>
      <c r="T114" s="61"/>
      <c r="U114" s="61"/>
      <c r="V114" s="61"/>
      <c r="W114" s="61"/>
      <c r="X114" s="61"/>
      <c r="Y114" s="61"/>
      <c r="Z114" s="264"/>
      <c r="AA114" s="16">
        <v>0</v>
      </c>
      <c r="AB114" s="16">
        <f>AA114</f>
        <v>0</v>
      </c>
      <c r="AC114" s="16">
        <f>AB114</f>
        <v>0</v>
      </c>
      <c r="AD114" s="16">
        <f>AC114</f>
        <v>0</v>
      </c>
      <c r="AE114" s="16">
        <f>AD114</f>
        <v>0</v>
      </c>
    </row>
    <row r="115" spans="2:32" x14ac:dyDescent="0.3">
      <c r="C115" s="3" t="s">
        <v>132</v>
      </c>
      <c r="I115" s="262">
        <f>AA115/AA128</f>
        <v>1</v>
      </c>
      <c r="O115" s="263"/>
      <c r="P115" s="61"/>
      <c r="Q115" s="61"/>
      <c r="R115" s="61"/>
      <c r="S115" s="61"/>
      <c r="T115" s="61"/>
      <c r="U115" s="61"/>
      <c r="V115" s="61"/>
      <c r="W115" s="61"/>
      <c r="X115" s="61"/>
      <c r="Y115" s="61"/>
      <c r="Z115" s="264"/>
      <c r="AA115" s="16">
        <v>25</v>
      </c>
      <c r="AB115" s="16">
        <f t="shared" ref="AB115:AE117" si="22">INT($I115*AB128)</f>
        <v>27</v>
      </c>
      <c r="AC115" s="16">
        <f t="shared" si="22"/>
        <v>29</v>
      </c>
      <c r="AD115" s="16">
        <f t="shared" si="22"/>
        <v>29</v>
      </c>
      <c r="AE115" s="16">
        <f t="shared" si="22"/>
        <v>29</v>
      </c>
    </row>
    <row r="116" spans="2:32" x14ac:dyDescent="0.3">
      <c r="C116" s="3" t="s">
        <v>133</v>
      </c>
      <c r="I116" s="265">
        <f>AA116/AA129</f>
        <v>1</v>
      </c>
      <c r="O116" s="263"/>
      <c r="P116" s="61"/>
      <c r="Q116" s="61"/>
      <c r="R116" s="61"/>
      <c r="S116" s="61"/>
      <c r="T116" s="61"/>
      <c r="U116" s="61"/>
      <c r="V116" s="61"/>
      <c r="W116" s="61"/>
      <c r="X116" s="61"/>
      <c r="Y116" s="61"/>
      <c r="Z116" s="264"/>
      <c r="AA116" s="16">
        <v>8</v>
      </c>
      <c r="AB116" s="16">
        <f t="shared" si="22"/>
        <v>8</v>
      </c>
      <c r="AC116" s="16">
        <f t="shared" si="22"/>
        <v>9</v>
      </c>
      <c r="AD116" s="16">
        <f t="shared" si="22"/>
        <v>10</v>
      </c>
      <c r="AE116" s="16">
        <f t="shared" si="22"/>
        <v>10</v>
      </c>
    </row>
    <row r="117" spans="2:32" x14ac:dyDescent="0.3">
      <c r="B117" s="92"/>
      <c r="C117" s="92" t="s">
        <v>134</v>
      </c>
      <c r="D117" s="92"/>
      <c r="E117" s="92"/>
      <c r="F117" s="92"/>
      <c r="G117" s="92"/>
      <c r="H117" s="92"/>
      <c r="I117" s="262">
        <f>AA117/AA130</f>
        <v>1</v>
      </c>
      <c r="J117" s="92"/>
      <c r="K117" s="92"/>
      <c r="L117" s="92"/>
      <c r="M117" s="92"/>
      <c r="N117" s="92"/>
      <c r="O117" s="268"/>
      <c r="P117" s="269"/>
      <c r="Q117" s="269"/>
      <c r="R117" s="269"/>
      <c r="S117" s="269"/>
      <c r="T117" s="269"/>
      <c r="U117" s="269"/>
      <c r="V117" s="269"/>
      <c r="W117" s="269"/>
      <c r="X117" s="269"/>
      <c r="Y117" s="269"/>
      <c r="Z117" s="270"/>
      <c r="AA117" s="130">
        <v>1</v>
      </c>
      <c r="AB117" s="130">
        <f t="shared" si="22"/>
        <v>1</v>
      </c>
      <c r="AC117" s="130">
        <f t="shared" si="22"/>
        <v>1</v>
      </c>
      <c r="AD117" s="130">
        <f t="shared" si="22"/>
        <v>2</v>
      </c>
      <c r="AE117" s="130">
        <f t="shared" si="22"/>
        <v>2</v>
      </c>
    </row>
    <row r="119" spans="2:32" outlineLevel="1" x14ac:dyDescent="0.3">
      <c r="B119" s="226"/>
      <c r="C119" s="226"/>
      <c r="D119" s="226"/>
      <c r="E119" s="226"/>
      <c r="F119" s="226"/>
      <c r="G119" s="226"/>
      <c r="H119" s="226"/>
      <c r="I119" s="226"/>
      <c r="J119" s="226"/>
      <c r="K119" s="226"/>
      <c r="L119" s="9" t="s">
        <v>182</v>
      </c>
      <c r="M119" s="9" t="s">
        <v>183</v>
      </c>
      <c r="N119" s="9" t="s">
        <v>234</v>
      </c>
      <c r="O119" s="233" t="s">
        <v>185</v>
      </c>
      <c r="P119" s="9" t="s">
        <v>186</v>
      </c>
      <c r="Q119" s="9" t="s">
        <v>187</v>
      </c>
      <c r="R119" s="9" t="s">
        <v>188</v>
      </c>
      <c r="S119" s="9" t="s">
        <v>189</v>
      </c>
      <c r="T119" s="9" t="s">
        <v>190</v>
      </c>
      <c r="U119" s="9" t="s">
        <v>191</v>
      </c>
      <c r="V119" s="9" t="s">
        <v>192</v>
      </c>
      <c r="W119" s="9" t="s">
        <v>193</v>
      </c>
      <c r="X119" s="9" t="s">
        <v>194</v>
      </c>
      <c r="Y119" s="9" t="s">
        <v>195</v>
      </c>
      <c r="Z119" s="10" t="s">
        <v>196</v>
      </c>
      <c r="AA119" s="9" t="s">
        <v>197</v>
      </c>
      <c r="AB119" s="9" t="s">
        <v>198</v>
      </c>
      <c r="AC119" s="9" t="s">
        <v>199</v>
      </c>
      <c r="AD119" s="9" t="s">
        <v>200</v>
      </c>
      <c r="AE119" s="9" t="s">
        <v>201</v>
      </c>
    </row>
    <row r="120" spans="2:32" s="11" customFormat="1" outlineLevel="1" x14ac:dyDescent="0.3">
      <c r="B120" s="11" t="s">
        <v>243</v>
      </c>
      <c r="L120" s="157"/>
      <c r="M120" s="271"/>
      <c r="N120" s="272"/>
      <c r="O120" s="157"/>
      <c r="P120" s="157"/>
      <c r="Q120" s="157"/>
      <c r="R120" s="157"/>
      <c r="S120" s="157"/>
      <c r="T120" s="157"/>
      <c r="U120" s="157"/>
      <c r="V120" s="157"/>
      <c r="W120" s="157"/>
      <c r="X120" s="157"/>
      <c r="Y120" s="157"/>
      <c r="Z120" s="157"/>
      <c r="AA120" s="11">
        <f>AA121+AA127</f>
        <v>200</v>
      </c>
      <c r="AB120" s="11">
        <f>AB121+AB127</f>
        <v>203</v>
      </c>
      <c r="AC120" s="11">
        <f>AC121+AC127</f>
        <v>216</v>
      </c>
      <c r="AD120" s="11">
        <f>AD121+AD127</f>
        <v>222</v>
      </c>
      <c r="AE120" s="11">
        <f>AE121+AE127</f>
        <v>225</v>
      </c>
      <c r="AF120" s="258"/>
    </row>
    <row r="121" spans="2:32" outlineLevel="1" x14ac:dyDescent="0.3">
      <c r="C121" s="3" t="s">
        <v>244</v>
      </c>
      <c r="L121" s="61"/>
      <c r="M121" s="61"/>
      <c r="N121" s="264"/>
      <c r="O121" s="61"/>
      <c r="P121" s="61"/>
      <c r="Q121" s="61"/>
      <c r="R121" s="61"/>
      <c r="S121" s="61"/>
      <c r="T121" s="61"/>
      <c r="U121" s="61"/>
      <c r="V121" s="61"/>
      <c r="W121" s="61"/>
      <c r="X121" s="61"/>
      <c r="Y121" s="61"/>
      <c r="Z121" s="61"/>
      <c r="AA121" s="3">
        <f>SUM(AA122:AA125)</f>
        <v>166</v>
      </c>
      <c r="AB121" s="3">
        <f>SUM(AB122:AB125)</f>
        <v>167</v>
      </c>
      <c r="AC121" s="3">
        <f>SUM(AC122:AC125)</f>
        <v>177</v>
      </c>
      <c r="AD121" s="3">
        <f>SUM(AD122:AD125)</f>
        <v>181</v>
      </c>
      <c r="AE121" s="3">
        <f>SUM(AE122:AE125)</f>
        <v>184</v>
      </c>
    </row>
    <row r="122" spans="2:32" outlineLevel="1" x14ac:dyDescent="0.3">
      <c r="D122" s="3" t="s">
        <v>131</v>
      </c>
      <c r="L122" s="61"/>
      <c r="M122" s="61"/>
      <c r="N122" s="264"/>
      <c r="O122" s="61"/>
      <c r="P122" s="61"/>
      <c r="Q122" s="61"/>
      <c r="R122" s="61"/>
      <c r="S122" s="61"/>
      <c r="T122" s="61"/>
      <c r="U122" s="61"/>
      <c r="V122" s="61"/>
      <c r="W122" s="61"/>
      <c r="X122" s="61"/>
      <c r="Y122" s="61"/>
      <c r="Z122" s="61"/>
      <c r="AA122" s="3">
        <v>5</v>
      </c>
      <c r="AB122" s="16">
        <f>AA122+AB138</f>
        <v>6</v>
      </c>
      <c r="AC122" s="16">
        <f>AB122+AC138</f>
        <v>7</v>
      </c>
      <c r="AD122" s="16">
        <f>AC122+AD138</f>
        <v>7</v>
      </c>
      <c r="AE122" s="16">
        <f>AD122+AE138</f>
        <v>8</v>
      </c>
    </row>
    <row r="123" spans="2:32" outlineLevel="1" x14ac:dyDescent="0.3">
      <c r="D123" s="3" t="s">
        <v>132</v>
      </c>
      <c r="L123" s="61"/>
      <c r="M123" s="61"/>
      <c r="N123" s="264"/>
      <c r="O123" s="61"/>
      <c r="P123" s="61"/>
      <c r="Q123" s="61"/>
      <c r="R123" s="61"/>
      <c r="S123" s="61"/>
      <c r="T123" s="61"/>
      <c r="U123" s="61"/>
      <c r="V123" s="61"/>
      <c r="W123" s="61"/>
      <c r="X123" s="61"/>
      <c r="Y123" s="61"/>
      <c r="Z123" s="61"/>
      <c r="AA123" s="3">
        <v>125</v>
      </c>
      <c r="AB123" s="16">
        <f t="shared" ref="AB123:AE125" si="23">AA123+AB134-AB134+AB139</f>
        <v>125</v>
      </c>
      <c r="AC123" s="16">
        <f>AB123+AC134-AC134+AC139</f>
        <v>131</v>
      </c>
      <c r="AD123" s="16">
        <f t="shared" si="23"/>
        <v>133</v>
      </c>
      <c r="AE123" s="16">
        <f t="shared" si="23"/>
        <v>133</v>
      </c>
    </row>
    <row r="124" spans="2:32" outlineLevel="1" x14ac:dyDescent="0.3">
      <c r="D124" s="3" t="s">
        <v>133</v>
      </c>
      <c r="L124" s="61"/>
      <c r="M124" s="61"/>
      <c r="N124" s="264"/>
      <c r="O124" s="61"/>
      <c r="P124" s="61"/>
      <c r="Q124" s="61"/>
      <c r="R124" s="61"/>
      <c r="S124" s="61"/>
      <c r="T124" s="61"/>
      <c r="U124" s="61"/>
      <c r="V124" s="61"/>
      <c r="W124" s="61"/>
      <c r="X124" s="61"/>
      <c r="Y124" s="61"/>
      <c r="Z124" s="61"/>
      <c r="AA124" s="3">
        <v>24</v>
      </c>
      <c r="AB124" s="16">
        <f t="shared" si="23"/>
        <v>24</v>
      </c>
      <c r="AC124" s="16">
        <f>AB124+AC135-AC135+AC140</f>
        <v>27</v>
      </c>
      <c r="AD124" s="16">
        <f t="shared" si="23"/>
        <v>29</v>
      </c>
      <c r="AE124" s="16">
        <f t="shared" si="23"/>
        <v>31</v>
      </c>
    </row>
    <row r="125" spans="2:32" outlineLevel="1" x14ac:dyDescent="0.3">
      <c r="D125" s="3" t="s">
        <v>134</v>
      </c>
      <c r="L125" s="61"/>
      <c r="M125" s="61"/>
      <c r="N125" s="264"/>
      <c r="O125" s="61"/>
      <c r="P125" s="61"/>
      <c r="Q125" s="61"/>
      <c r="R125" s="61"/>
      <c r="S125" s="61"/>
      <c r="T125" s="61"/>
      <c r="U125" s="61"/>
      <c r="V125" s="61"/>
      <c r="W125" s="61"/>
      <c r="X125" s="61"/>
      <c r="Y125" s="61"/>
      <c r="Z125" s="61"/>
      <c r="AA125" s="3">
        <v>12</v>
      </c>
      <c r="AB125" s="16">
        <f>AA125+AB136-AB136+AB141</f>
        <v>12</v>
      </c>
      <c r="AC125" s="16">
        <f t="shared" si="23"/>
        <v>12</v>
      </c>
      <c r="AD125" s="16">
        <f t="shared" si="23"/>
        <v>12</v>
      </c>
      <c r="AE125" s="16">
        <f t="shared" si="23"/>
        <v>12</v>
      </c>
    </row>
    <row r="126" spans="2:32" outlineLevel="1" x14ac:dyDescent="0.3">
      <c r="D126" s="3" t="s">
        <v>135</v>
      </c>
      <c r="L126" s="61"/>
      <c r="M126" s="61"/>
      <c r="N126" s="264"/>
      <c r="O126" s="61"/>
      <c r="P126" s="61"/>
      <c r="Q126" s="61"/>
      <c r="R126" s="61"/>
      <c r="S126" s="61"/>
      <c r="T126" s="61"/>
      <c r="U126" s="61"/>
      <c r="V126" s="61"/>
      <c r="W126" s="61"/>
      <c r="X126" s="61"/>
      <c r="Y126" s="61"/>
      <c r="Z126" s="61"/>
      <c r="AA126" s="3">
        <v>27</v>
      </c>
      <c r="AB126" s="16">
        <v>0</v>
      </c>
      <c r="AC126" s="16">
        <v>0</v>
      </c>
      <c r="AD126" s="16">
        <v>0</v>
      </c>
      <c r="AE126" s="16">
        <v>0</v>
      </c>
    </row>
    <row r="127" spans="2:32" outlineLevel="1" x14ac:dyDescent="0.3">
      <c r="C127" s="3" t="s">
        <v>245</v>
      </c>
      <c r="L127" s="61"/>
      <c r="M127" s="61"/>
      <c r="N127" s="264"/>
      <c r="O127" s="61"/>
      <c r="P127" s="61"/>
      <c r="Q127" s="61"/>
      <c r="R127" s="61"/>
      <c r="S127" s="61"/>
      <c r="T127" s="61"/>
      <c r="U127" s="61"/>
      <c r="V127" s="61"/>
      <c r="W127" s="61"/>
      <c r="X127" s="61"/>
      <c r="Y127" s="61"/>
      <c r="Z127" s="61"/>
      <c r="AA127" s="3">
        <f>SUM(AA128:AA130)</f>
        <v>34</v>
      </c>
      <c r="AB127" s="3">
        <f>SUM(AB128:AB130)</f>
        <v>36</v>
      </c>
      <c r="AC127" s="3">
        <f>SUM(AC128:AC130)</f>
        <v>39</v>
      </c>
      <c r="AD127" s="3">
        <f>SUM(AD128:AD130)</f>
        <v>41</v>
      </c>
      <c r="AE127" s="3">
        <f>SUM(AE128:AE130)</f>
        <v>41</v>
      </c>
    </row>
    <row r="128" spans="2:32" outlineLevel="1" x14ac:dyDescent="0.3">
      <c r="D128" s="3" t="s">
        <v>132</v>
      </c>
      <c r="L128" s="61"/>
      <c r="M128" s="61"/>
      <c r="N128" s="264"/>
      <c r="O128" s="61"/>
      <c r="P128" s="61"/>
      <c r="Q128" s="61"/>
      <c r="R128" s="61"/>
      <c r="S128" s="61"/>
      <c r="T128" s="61"/>
      <c r="U128" s="61"/>
      <c r="V128" s="61"/>
      <c r="W128" s="61"/>
      <c r="X128" s="61"/>
      <c r="Y128" s="61"/>
      <c r="Z128" s="61"/>
      <c r="AA128" s="3">
        <v>25</v>
      </c>
      <c r="AB128" s="16">
        <f t="shared" ref="AB128:AE129" si="24">AA128+AB144-AB144+AB147</f>
        <v>27</v>
      </c>
      <c r="AC128" s="16">
        <f t="shared" si="24"/>
        <v>29</v>
      </c>
      <c r="AD128" s="16">
        <f t="shared" si="24"/>
        <v>29</v>
      </c>
      <c r="AE128" s="16">
        <f t="shared" si="24"/>
        <v>29</v>
      </c>
    </row>
    <row r="129" spans="2:37" outlineLevel="1" x14ac:dyDescent="0.3">
      <c r="D129" s="3" t="s">
        <v>133</v>
      </c>
      <c r="L129" s="61"/>
      <c r="M129" s="61"/>
      <c r="N129" s="264"/>
      <c r="O129" s="61"/>
      <c r="P129" s="61"/>
      <c r="Q129" s="61"/>
      <c r="R129" s="61"/>
      <c r="S129" s="61"/>
      <c r="T129" s="61"/>
      <c r="U129" s="61"/>
      <c r="V129" s="61"/>
      <c r="W129" s="61"/>
      <c r="X129" s="61"/>
      <c r="Y129" s="61"/>
      <c r="Z129" s="61"/>
      <c r="AA129" s="3">
        <v>8</v>
      </c>
      <c r="AB129" s="16">
        <f t="shared" si="24"/>
        <v>8</v>
      </c>
      <c r="AC129" s="16">
        <f t="shared" si="24"/>
        <v>9</v>
      </c>
      <c r="AD129" s="16">
        <f t="shared" si="24"/>
        <v>10</v>
      </c>
      <c r="AE129" s="16">
        <f t="shared" si="24"/>
        <v>10</v>
      </c>
    </row>
    <row r="130" spans="2:37" outlineLevel="1" x14ac:dyDescent="0.3">
      <c r="D130" s="3" t="s">
        <v>134</v>
      </c>
      <c r="L130" s="61"/>
      <c r="M130" s="61"/>
      <c r="N130" s="264"/>
      <c r="O130" s="61"/>
      <c r="P130" s="61"/>
      <c r="Q130" s="61"/>
      <c r="R130" s="61"/>
      <c r="S130" s="61"/>
      <c r="T130" s="61"/>
      <c r="U130" s="61"/>
      <c r="V130" s="61"/>
      <c r="W130" s="61"/>
      <c r="X130" s="61"/>
      <c r="Y130" s="61"/>
      <c r="Z130" s="61"/>
      <c r="AA130" s="3">
        <v>1</v>
      </c>
      <c r="AB130" s="16">
        <f>AA130+AB149</f>
        <v>1</v>
      </c>
      <c r="AC130" s="16">
        <f>AB130+AC149</f>
        <v>1</v>
      </c>
      <c r="AD130" s="16">
        <f>AC130+AD149</f>
        <v>2</v>
      </c>
      <c r="AE130" s="16">
        <f>AD130+AE149</f>
        <v>2</v>
      </c>
    </row>
    <row r="131" spans="2:37" s="11" customFormat="1" outlineLevel="1" x14ac:dyDescent="0.3">
      <c r="B131" s="11" t="s">
        <v>246</v>
      </c>
      <c r="L131" s="157"/>
      <c r="M131" s="157"/>
      <c r="N131" s="273"/>
      <c r="O131" s="157"/>
      <c r="P131" s="157"/>
      <c r="Q131" s="157"/>
      <c r="R131" s="157"/>
      <c r="S131" s="157"/>
      <c r="T131" s="157"/>
      <c r="U131" s="157"/>
      <c r="V131" s="157"/>
      <c r="W131" s="157"/>
      <c r="X131" s="157"/>
      <c r="Y131" s="157"/>
      <c r="Z131" s="157"/>
      <c r="AA131" s="157"/>
      <c r="AB131" s="13">
        <f>AB132+AB142</f>
        <v>8</v>
      </c>
      <c r="AC131" s="13">
        <f>AC132+AC142</f>
        <v>24</v>
      </c>
      <c r="AD131" s="13">
        <f>AD132+AD142</f>
        <v>20</v>
      </c>
      <c r="AE131" s="13">
        <f>AE132+AE142</f>
        <v>3</v>
      </c>
      <c r="AF131" s="258"/>
    </row>
    <row r="132" spans="2:37" outlineLevel="1" x14ac:dyDescent="0.3">
      <c r="C132" s="3" t="s">
        <v>244</v>
      </c>
      <c r="L132" s="61"/>
      <c r="M132" s="61"/>
      <c r="N132" s="264"/>
      <c r="O132" s="61"/>
      <c r="P132" s="61"/>
      <c r="Q132" s="61"/>
      <c r="R132" s="61"/>
      <c r="S132" s="61"/>
      <c r="T132" s="61"/>
      <c r="U132" s="61"/>
      <c r="V132" s="61"/>
      <c r="W132" s="61"/>
      <c r="X132" s="61"/>
      <c r="Y132" s="61"/>
      <c r="Z132" s="61"/>
      <c r="AA132" s="61"/>
      <c r="AB132" s="16">
        <f>AB133+AB137</f>
        <v>4</v>
      </c>
      <c r="AC132" s="16">
        <f>AC133+AC137</f>
        <v>20</v>
      </c>
      <c r="AD132" s="16">
        <f>AD133+AD137</f>
        <v>18</v>
      </c>
      <c r="AE132" s="16">
        <f>AE133+AE137</f>
        <v>3</v>
      </c>
    </row>
    <row r="133" spans="2:37" outlineLevel="1" x14ac:dyDescent="0.3">
      <c r="D133" s="3" t="s">
        <v>247</v>
      </c>
      <c r="L133" s="61"/>
      <c r="M133" s="61"/>
      <c r="N133" s="264"/>
      <c r="O133" s="61"/>
      <c r="P133" s="61"/>
      <c r="Q133" s="61"/>
      <c r="R133" s="61"/>
      <c r="S133" s="61"/>
      <c r="T133" s="61"/>
      <c r="U133" s="61"/>
      <c r="V133" s="61"/>
      <c r="W133" s="61"/>
      <c r="X133" s="61"/>
      <c r="Y133" s="61"/>
      <c r="Z133" s="61"/>
      <c r="AA133" s="61"/>
      <c r="AB133" s="16">
        <f>SUM(AB134:AB136)</f>
        <v>3</v>
      </c>
      <c r="AC133" s="16">
        <f>SUM(AC134:AC136)</f>
        <v>10</v>
      </c>
      <c r="AD133" s="16">
        <f>SUM(AD134:AD136)</f>
        <v>14</v>
      </c>
      <c r="AE133" s="16">
        <f>SUM(AE134:AE136)</f>
        <v>0</v>
      </c>
    </row>
    <row r="134" spans="2:37" outlineLevel="1" x14ac:dyDescent="0.3">
      <c r="E134" s="3" t="s">
        <v>132</v>
      </c>
      <c r="L134" s="61"/>
      <c r="M134" s="61"/>
      <c r="N134" s="264"/>
      <c r="O134" s="61"/>
      <c r="P134" s="61"/>
      <c r="Q134" s="61"/>
      <c r="R134" s="61"/>
      <c r="S134" s="61"/>
      <c r="T134" s="61"/>
      <c r="U134" s="61"/>
      <c r="V134" s="61"/>
      <c r="W134" s="61"/>
      <c r="X134" s="61"/>
      <c r="Y134" s="61"/>
      <c r="Z134" s="61"/>
      <c r="AA134" s="61"/>
      <c r="AB134" s="16">
        <v>0</v>
      </c>
      <c r="AC134" s="16">
        <v>8</v>
      </c>
      <c r="AD134" s="16">
        <v>14</v>
      </c>
      <c r="AE134" s="16">
        <v>0</v>
      </c>
      <c r="AH134" s="16"/>
      <c r="AI134" s="16"/>
      <c r="AJ134" s="16"/>
      <c r="AK134" s="16"/>
    </row>
    <row r="135" spans="2:37" outlineLevel="1" x14ac:dyDescent="0.3">
      <c r="E135" s="3" t="s">
        <v>133</v>
      </c>
      <c r="L135" s="61"/>
      <c r="M135" s="61"/>
      <c r="N135" s="264"/>
      <c r="O135" s="61"/>
      <c r="P135" s="61"/>
      <c r="Q135" s="61"/>
      <c r="R135" s="61"/>
      <c r="S135" s="61"/>
      <c r="T135" s="61"/>
      <c r="U135" s="61"/>
      <c r="V135" s="61"/>
      <c r="W135" s="61"/>
      <c r="X135" s="61"/>
      <c r="Y135" s="61"/>
      <c r="Z135" s="61"/>
      <c r="AA135" s="61"/>
      <c r="AB135" s="16">
        <v>3</v>
      </c>
      <c r="AC135" s="16">
        <v>2</v>
      </c>
      <c r="AD135" s="16">
        <v>0</v>
      </c>
      <c r="AE135" s="16">
        <v>0</v>
      </c>
      <c r="AH135" s="16"/>
      <c r="AI135" s="16"/>
      <c r="AJ135" s="16"/>
      <c r="AK135" s="16"/>
    </row>
    <row r="136" spans="2:37" outlineLevel="1" x14ac:dyDescent="0.3">
      <c r="E136" s="3" t="s">
        <v>134</v>
      </c>
      <c r="L136" s="61"/>
      <c r="M136" s="61"/>
      <c r="N136" s="264"/>
      <c r="O136" s="61"/>
      <c r="P136" s="61"/>
      <c r="Q136" s="61"/>
      <c r="R136" s="61"/>
      <c r="S136" s="61"/>
      <c r="T136" s="61"/>
      <c r="U136" s="61"/>
      <c r="V136" s="61"/>
      <c r="W136" s="61"/>
      <c r="X136" s="61"/>
      <c r="Y136" s="61"/>
      <c r="Z136" s="61"/>
      <c r="AA136" s="61"/>
      <c r="AB136" s="16">
        <v>0</v>
      </c>
      <c r="AC136" s="16">
        <v>0</v>
      </c>
      <c r="AD136" s="16">
        <v>0</v>
      </c>
      <c r="AE136" s="16">
        <v>0</v>
      </c>
      <c r="AH136" s="16"/>
      <c r="AI136" s="16"/>
      <c r="AJ136" s="16"/>
      <c r="AK136" s="16"/>
    </row>
    <row r="137" spans="2:37" outlineLevel="1" x14ac:dyDescent="0.3">
      <c r="D137" s="3" t="s">
        <v>248</v>
      </c>
      <c r="L137" s="61"/>
      <c r="M137" s="61"/>
      <c r="N137" s="264"/>
      <c r="O137" s="61"/>
      <c r="P137" s="61"/>
      <c r="Q137" s="61"/>
      <c r="R137" s="61"/>
      <c r="S137" s="61"/>
      <c r="T137" s="61"/>
      <c r="U137" s="61"/>
      <c r="V137" s="61"/>
      <c r="W137" s="61"/>
      <c r="X137" s="61"/>
      <c r="Y137" s="61"/>
      <c r="Z137" s="61"/>
      <c r="AA137" s="61"/>
      <c r="AB137" s="16">
        <f>SUM(AB138:AB141)</f>
        <v>1</v>
      </c>
      <c r="AC137" s="16">
        <f>SUM(AC138:AC141)</f>
        <v>10</v>
      </c>
      <c r="AD137" s="16">
        <f>SUM(AD138:AD141)</f>
        <v>4</v>
      </c>
      <c r="AE137" s="16">
        <f>SUM(AE138:AE141)</f>
        <v>3</v>
      </c>
    </row>
    <row r="138" spans="2:37" outlineLevel="1" x14ac:dyDescent="0.3">
      <c r="E138" s="3" t="s">
        <v>131</v>
      </c>
      <c r="L138" s="61"/>
      <c r="M138" s="61"/>
      <c r="N138" s="264"/>
      <c r="O138" s="61"/>
      <c r="P138" s="61"/>
      <c r="Q138" s="61"/>
      <c r="R138" s="61"/>
      <c r="S138" s="61"/>
      <c r="T138" s="61"/>
      <c r="U138" s="61"/>
      <c r="V138" s="61"/>
      <c r="W138" s="61"/>
      <c r="X138" s="61"/>
      <c r="Y138" s="61"/>
      <c r="Z138" s="61"/>
      <c r="AA138" s="61"/>
      <c r="AB138" s="16">
        <v>1</v>
      </c>
      <c r="AC138" s="16">
        <v>1</v>
      </c>
      <c r="AD138" s="16">
        <v>0</v>
      </c>
      <c r="AE138" s="16">
        <v>1</v>
      </c>
      <c r="AH138" s="16"/>
      <c r="AI138" s="16"/>
      <c r="AJ138" s="16"/>
      <c r="AK138" s="16"/>
    </row>
    <row r="139" spans="2:37" outlineLevel="1" x14ac:dyDescent="0.3">
      <c r="E139" s="3" t="s">
        <v>132</v>
      </c>
      <c r="L139" s="61"/>
      <c r="M139" s="61"/>
      <c r="N139" s="264"/>
      <c r="O139" s="61"/>
      <c r="P139" s="61"/>
      <c r="Q139" s="61"/>
      <c r="R139" s="61"/>
      <c r="S139" s="61"/>
      <c r="T139" s="61"/>
      <c r="U139" s="61"/>
      <c r="V139" s="61"/>
      <c r="W139" s="61"/>
      <c r="X139" s="61"/>
      <c r="Y139" s="61"/>
      <c r="Z139" s="61"/>
      <c r="AA139" s="61"/>
      <c r="AB139" s="16">
        <v>0</v>
      </c>
      <c r="AC139" s="16">
        <v>6</v>
      </c>
      <c r="AD139" s="16">
        <v>2</v>
      </c>
      <c r="AE139" s="16">
        <v>0</v>
      </c>
      <c r="AH139" s="16"/>
      <c r="AI139" s="16"/>
      <c r="AJ139" s="16"/>
      <c r="AK139" s="16"/>
    </row>
    <row r="140" spans="2:37" outlineLevel="1" x14ac:dyDescent="0.3">
      <c r="E140" s="3" t="s">
        <v>133</v>
      </c>
      <c r="L140" s="61"/>
      <c r="M140" s="61"/>
      <c r="N140" s="264"/>
      <c r="O140" s="61"/>
      <c r="P140" s="61"/>
      <c r="Q140" s="61"/>
      <c r="R140" s="61"/>
      <c r="S140" s="61"/>
      <c r="T140" s="61"/>
      <c r="U140" s="61"/>
      <c r="V140" s="61"/>
      <c r="W140" s="61"/>
      <c r="X140" s="61"/>
      <c r="Y140" s="61"/>
      <c r="Z140" s="61"/>
      <c r="AA140" s="61"/>
      <c r="AB140" s="16">
        <v>0</v>
      </c>
      <c r="AC140" s="16">
        <v>3</v>
      </c>
      <c r="AD140" s="16">
        <v>2</v>
      </c>
      <c r="AE140" s="16">
        <v>2</v>
      </c>
      <c r="AH140" s="16"/>
      <c r="AI140" s="16"/>
      <c r="AJ140" s="16"/>
      <c r="AK140" s="16"/>
    </row>
    <row r="141" spans="2:37" outlineLevel="1" x14ac:dyDescent="0.3">
      <c r="E141" s="3" t="s">
        <v>134</v>
      </c>
      <c r="L141" s="61"/>
      <c r="M141" s="61"/>
      <c r="N141" s="264"/>
      <c r="O141" s="61"/>
      <c r="P141" s="61"/>
      <c r="Q141" s="61"/>
      <c r="R141" s="61"/>
      <c r="S141" s="61"/>
      <c r="T141" s="61"/>
      <c r="U141" s="61"/>
      <c r="V141" s="61"/>
      <c r="W141" s="61"/>
      <c r="X141" s="61"/>
      <c r="Y141" s="61"/>
      <c r="Z141" s="61"/>
      <c r="AA141" s="61"/>
      <c r="AB141" s="16">
        <v>0</v>
      </c>
      <c r="AC141" s="16">
        <v>0</v>
      </c>
      <c r="AD141" s="16">
        <v>0</v>
      </c>
      <c r="AE141" s="16">
        <v>0</v>
      </c>
      <c r="AH141" s="16"/>
      <c r="AI141" s="16"/>
      <c r="AJ141" s="16"/>
      <c r="AK141" s="16"/>
    </row>
    <row r="142" spans="2:37" outlineLevel="1" x14ac:dyDescent="0.3">
      <c r="C142" s="3" t="s">
        <v>245</v>
      </c>
      <c r="L142" s="61"/>
      <c r="M142" s="61"/>
      <c r="N142" s="264"/>
      <c r="O142" s="61"/>
      <c r="P142" s="61"/>
      <c r="Q142" s="61"/>
      <c r="R142" s="61"/>
      <c r="S142" s="61"/>
      <c r="T142" s="61"/>
      <c r="U142" s="61"/>
      <c r="V142" s="61"/>
      <c r="W142" s="61"/>
      <c r="X142" s="61"/>
      <c r="Y142" s="61"/>
      <c r="Z142" s="61"/>
      <c r="AA142" s="61"/>
      <c r="AB142" s="16">
        <f>AB143+AB146</f>
        <v>4</v>
      </c>
      <c r="AC142" s="16">
        <f>AC143+AC146</f>
        <v>4</v>
      </c>
      <c r="AD142" s="16">
        <f>AD143+AD146</f>
        <v>2</v>
      </c>
      <c r="AE142" s="16">
        <f>AE143+AE146</f>
        <v>0</v>
      </c>
    </row>
    <row r="143" spans="2:37" outlineLevel="1" x14ac:dyDescent="0.3">
      <c r="D143" s="3" t="s">
        <v>247</v>
      </c>
      <c r="L143" s="61"/>
      <c r="M143" s="61"/>
      <c r="N143" s="264"/>
      <c r="O143" s="61"/>
      <c r="P143" s="61"/>
      <c r="Q143" s="61"/>
      <c r="R143" s="61"/>
      <c r="S143" s="61"/>
      <c r="T143" s="61"/>
      <c r="U143" s="61"/>
      <c r="V143" s="61"/>
      <c r="W143" s="61"/>
      <c r="X143" s="61"/>
      <c r="Y143" s="61"/>
      <c r="Z143" s="61"/>
      <c r="AA143" s="61"/>
      <c r="AB143" s="16">
        <f>SUM(AB144:AB145)</f>
        <v>2</v>
      </c>
      <c r="AC143" s="16">
        <f>SUM(AC144:AC145)</f>
        <v>1</v>
      </c>
      <c r="AD143" s="16">
        <f>SUM(AD144:AD145)</f>
        <v>0</v>
      </c>
      <c r="AE143" s="16">
        <f>SUM(AE144:AE145)</f>
        <v>0</v>
      </c>
    </row>
    <row r="144" spans="2:37" outlineLevel="1" x14ac:dyDescent="0.3">
      <c r="E144" s="3" t="s">
        <v>132</v>
      </c>
      <c r="L144" s="61"/>
      <c r="M144" s="61"/>
      <c r="N144" s="264"/>
      <c r="O144" s="61"/>
      <c r="P144" s="61"/>
      <c r="Q144" s="61"/>
      <c r="R144" s="61"/>
      <c r="S144" s="61"/>
      <c r="T144" s="61"/>
      <c r="U144" s="61"/>
      <c r="V144" s="61"/>
      <c r="W144" s="61"/>
      <c r="X144" s="61"/>
      <c r="Y144" s="61"/>
      <c r="Z144" s="61"/>
      <c r="AA144" s="61"/>
      <c r="AB144" s="16">
        <v>2</v>
      </c>
      <c r="AC144" s="16">
        <v>0</v>
      </c>
      <c r="AD144" s="16">
        <v>0</v>
      </c>
      <c r="AE144" s="16">
        <v>0</v>
      </c>
    </row>
    <row r="145" spans="1:36" outlineLevel="1" x14ac:dyDescent="0.3">
      <c r="E145" s="3" t="s">
        <v>133</v>
      </c>
      <c r="L145" s="61"/>
      <c r="M145" s="61"/>
      <c r="N145" s="264"/>
      <c r="O145" s="61"/>
      <c r="P145" s="61"/>
      <c r="Q145" s="61"/>
      <c r="R145" s="61"/>
      <c r="S145" s="61"/>
      <c r="T145" s="61"/>
      <c r="U145" s="61"/>
      <c r="V145" s="61"/>
      <c r="W145" s="61"/>
      <c r="X145" s="61"/>
      <c r="Y145" s="61"/>
      <c r="Z145" s="61"/>
      <c r="AA145" s="61"/>
      <c r="AB145" s="16">
        <v>0</v>
      </c>
      <c r="AC145" s="16">
        <v>1</v>
      </c>
      <c r="AD145" s="16">
        <v>0</v>
      </c>
      <c r="AE145" s="16">
        <v>0</v>
      </c>
    </row>
    <row r="146" spans="1:36" outlineLevel="1" x14ac:dyDescent="0.3">
      <c r="D146" s="3" t="s">
        <v>248</v>
      </c>
      <c r="L146" s="61"/>
      <c r="M146" s="61"/>
      <c r="N146" s="264"/>
      <c r="O146" s="61"/>
      <c r="P146" s="61"/>
      <c r="Q146" s="61"/>
      <c r="R146" s="61"/>
      <c r="S146" s="61"/>
      <c r="T146" s="61"/>
      <c r="U146" s="61"/>
      <c r="V146" s="61"/>
      <c r="W146" s="61"/>
      <c r="X146" s="61"/>
      <c r="Y146" s="61"/>
      <c r="Z146" s="61"/>
      <c r="AA146" s="61"/>
      <c r="AB146" s="16">
        <f>SUM(AB147:AB149)</f>
        <v>2</v>
      </c>
      <c r="AC146" s="16">
        <f>SUM(AC147:AC149)</f>
        <v>3</v>
      </c>
      <c r="AD146" s="16">
        <f>SUM(AD147:AD149)</f>
        <v>2</v>
      </c>
      <c r="AE146" s="16">
        <f>SUM(AE147:AE149)</f>
        <v>0</v>
      </c>
    </row>
    <row r="147" spans="1:36" outlineLevel="1" x14ac:dyDescent="0.3">
      <c r="E147" s="3" t="s">
        <v>132</v>
      </c>
      <c r="L147" s="61"/>
      <c r="M147" s="61"/>
      <c r="N147" s="264"/>
      <c r="O147" s="61"/>
      <c r="P147" s="61"/>
      <c r="Q147" s="61"/>
      <c r="R147" s="61"/>
      <c r="S147" s="61"/>
      <c r="T147" s="61"/>
      <c r="U147" s="61"/>
      <c r="V147" s="61"/>
      <c r="W147" s="61"/>
      <c r="X147" s="61"/>
      <c r="Y147" s="61"/>
      <c r="Z147" s="61"/>
      <c r="AA147" s="61"/>
      <c r="AB147" s="16">
        <v>2</v>
      </c>
      <c r="AC147" s="16">
        <v>2</v>
      </c>
      <c r="AD147" s="16">
        <v>0</v>
      </c>
      <c r="AE147" s="16">
        <v>0</v>
      </c>
    </row>
    <row r="148" spans="1:36" outlineLevel="1" x14ac:dyDescent="0.3">
      <c r="E148" s="3" t="s">
        <v>133</v>
      </c>
      <c r="L148" s="61"/>
      <c r="M148" s="61"/>
      <c r="N148" s="264"/>
      <c r="O148" s="61"/>
      <c r="P148" s="61"/>
      <c r="Q148" s="61"/>
      <c r="R148" s="61"/>
      <c r="S148" s="61"/>
      <c r="T148" s="61"/>
      <c r="U148" s="61"/>
      <c r="V148" s="61"/>
      <c r="W148" s="61"/>
      <c r="X148" s="61"/>
      <c r="Y148" s="61"/>
      <c r="Z148" s="61"/>
      <c r="AA148" s="61"/>
      <c r="AB148" s="16">
        <v>0</v>
      </c>
      <c r="AC148" s="16">
        <v>1</v>
      </c>
      <c r="AD148" s="16">
        <v>1</v>
      </c>
      <c r="AE148" s="16">
        <v>0</v>
      </c>
    </row>
    <row r="149" spans="1:36" outlineLevel="1" x14ac:dyDescent="0.3">
      <c r="B149" s="92"/>
      <c r="C149" s="92"/>
      <c r="D149" s="92"/>
      <c r="E149" s="92" t="s">
        <v>134</v>
      </c>
      <c r="F149" s="92"/>
      <c r="G149" s="92"/>
      <c r="H149" s="92"/>
      <c r="I149" s="92"/>
      <c r="J149" s="92"/>
      <c r="K149" s="92"/>
      <c r="L149" s="269"/>
      <c r="M149" s="269"/>
      <c r="N149" s="270"/>
      <c r="O149" s="269"/>
      <c r="P149" s="269"/>
      <c r="Q149" s="269"/>
      <c r="R149" s="269"/>
      <c r="S149" s="269"/>
      <c r="T149" s="269"/>
      <c r="U149" s="269"/>
      <c r="V149" s="269"/>
      <c r="W149" s="269"/>
      <c r="X149" s="269"/>
      <c r="Y149" s="269"/>
      <c r="Z149" s="269"/>
      <c r="AA149" s="269"/>
      <c r="AB149" s="130">
        <v>0</v>
      </c>
      <c r="AC149" s="130">
        <v>0</v>
      </c>
      <c r="AD149" s="130">
        <v>1</v>
      </c>
      <c r="AE149" s="130">
        <v>0</v>
      </c>
    </row>
    <row r="150" spans="1:36" outlineLevel="1" x14ac:dyDescent="0.3"/>
    <row r="151" spans="1:36" x14ac:dyDescent="0.3">
      <c r="B151" s="11" t="s">
        <v>249</v>
      </c>
      <c r="I151" s="243"/>
      <c r="J151" s="243"/>
    </row>
    <row r="152" spans="1:36" ht="12.75" thickBot="1" x14ac:dyDescent="0.35">
      <c r="B152" s="226"/>
      <c r="C152" s="226"/>
      <c r="D152" s="226"/>
      <c r="E152" s="226"/>
      <c r="F152" s="226"/>
      <c r="G152" s="226"/>
      <c r="H152" s="226"/>
      <c r="I152" s="274"/>
      <c r="J152" s="226"/>
      <c r="K152" s="226"/>
      <c r="L152" s="9"/>
      <c r="M152" s="9"/>
      <c r="N152" s="9"/>
      <c r="O152" s="233" t="s">
        <v>185</v>
      </c>
      <c r="P152" s="9" t="s">
        <v>186</v>
      </c>
      <c r="Q152" s="9" t="s">
        <v>187</v>
      </c>
      <c r="R152" s="9" t="s">
        <v>188</v>
      </c>
      <c r="S152" s="9" t="s">
        <v>189</v>
      </c>
      <c r="T152" s="9" t="s">
        <v>190</v>
      </c>
      <c r="U152" s="9" t="s">
        <v>191</v>
      </c>
      <c r="V152" s="9" t="s">
        <v>192</v>
      </c>
      <c r="W152" s="9" t="s">
        <v>193</v>
      </c>
      <c r="X152" s="9" t="s">
        <v>194</v>
      </c>
      <c r="Y152" s="9" t="s">
        <v>195</v>
      </c>
      <c r="Z152" s="10" t="s">
        <v>196</v>
      </c>
      <c r="AA152" s="9" t="s">
        <v>197</v>
      </c>
      <c r="AB152" s="9" t="s">
        <v>198</v>
      </c>
      <c r="AC152" s="9" t="s">
        <v>199</v>
      </c>
      <c r="AD152" s="9" t="s">
        <v>200</v>
      </c>
      <c r="AE152" s="9" t="s">
        <v>201</v>
      </c>
    </row>
    <row r="153" spans="1:36" ht="12.75" thickBot="1" x14ac:dyDescent="0.35">
      <c r="B153" s="3" t="s">
        <v>250</v>
      </c>
      <c r="C153" s="11"/>
      <c r="D153" s="11"/>
      <c r="E153" s="11"/>
      <c r="F153" s="11"/>
      <c r="G153" s="11"/>
      <c r="H153" s="11"/>
      <c r="I153" s="275">
        <f>DCF!H51</f>
        <v>0.9</v>
      </c>
      <c r="J153" s="11"/>
      <c r="K153" s="11"/>
      <c r="L153" s="11"/>
      <c r="M153" s="11"/>
      <c r="N153" s="11"/>
      <c r="O153" s="263"/>
      <c r="P153" s="61"/>
      <c r="Q153" s="61"/>
      <c r="R153" s="276">
        <f>$I$153</f>
        <v>0.9</v>
      </c>
      <c r="S153" s="276">
        <f t="shared" ref="S153:Z153" si="25">$I$153</f>
        <v>0.9</v>
      </c>
      <c r="T153" s="276">
        <f t="shared" si="25"/>
        <v>0.9</v>
      </c>
      <c r="U153" s="276">
        <f t="shared" si="25"/>
        <v>0.9</v>
      </c>
      <c r="V153" s="276">
        <f t="shared" si="25"/>
        <v>0.9</v>
      </c>
      <c r="W153" s="276">
        <f t="shared" si="25"/>
        <v>0.9</v>
      </c>
      <c r="X153" s="276">
        <f t="shared" si="25"/>
        <v>0.9</v>
      </c>
      <c r="Y153" s="276">
        <f t="shared" si="25"/>
        <v>0.9</v>
      </c>
      <c r="Z153" s="277">
        <f t="shared" si="25"/>
        <v>0.9</v>
      </c>
      <c r="AA153" s="117"/>
      <c r="AB153" s="117"/>
      <c r="AC153" s="117"/>
      <c r="AD153" s="117"/>
      <c r="AE153" s="117"/>
    </row>
    <row r="154" spans="1:36" x14ac:dyDescent="0.3">
      <c r="C154" s="3" t="s">
        <v>251</v>
      </c>
      <c r="I154" s="3">
        <v>642</v>
      </c>
      <c r="J154" s="17"/>
      <c r="O154" s="263"/>
      <c r="P154" s="61"/>
      <c r="Q154" s="61"/>
      <c r="R154" s="61"/>
      <c r="S154" s="61"/>
      <c r="T154" s="61"/>
      <c r="U154" s="61"/>
      <c r="V154" s="61"/>
      <c r="W154" s="61"/>
      <c r="X154" s="61"/>
      <c r="Y154" s="61"/>
      <c r="Z154" s="61"/>
      <c r="AA154" s="278"/>
      <c r="AB154" s="119"/>
      <c r="AC154" s="119"/>
      <c r="AD154" s="119"/>
      <c r="AE154" s="119"/>
    </row>
    <row r="155" spans="1:36" x14ac:dyDescent="0.3">
      <c r="B155" s="92"/>
      <c r="C155" s="92" t="s">
        <v>252</v>
      </c>
      <c r="D155" s="92"/>
      <c r="E155" s="92"/>
      <c r="F155" s="92"/>
      <c r="G155" s="92"/>
      <c r="H155" s="92"/>
      <c r="I155" s="92">
        <v>761</v>
      </c>
      <c r="J155" s="279"/>
      <c r="K155" s="92"/>
      <c r="L155" s="92"/>
      <c r="M155" s="92"/>
      <c r="N155" s="92"/>
      <c r="O155" s="268"/>
      <c r="P155" s="269"/>
      <c r="Q155" s="269"/>
      <c r="R155" s="269"/>
      <c r="S155" s="269"/>
      <c r="T155" s="269"/>
      <c r="U155" s="269"/>
      <c r="V155" s="269"/>
      <c r="W155" s="269"/>
      <c r="X155" s="269"/>
      <c r="Y155" s="269"/>
      <c r="Z155" s="269"/>
      <c r="AA155" s="280"/>
      <c r="AB155" s="281"/>
      <c r="AC155" s="281"/>
      <c r="AD155" s="281"/>
      <c r="AE155" s="281"/>
    </row>
    <row r="156" spans="1:36" x14ac:dyDescent="0.3">
      <c r="I156" s="121"/>
    </row>
    <row r="157" spans="1:36" x14ac:dyDescent="0.3">
      <c r="B157" s="11" t="s">
        <v>253</v>
      </c>
      <c r="I157" s="243"/>
      <c r="J157" s="243"/>
    </row>
    <row r="158" spans="1:36" x14ac:dyDescent="0.3">
      <c r="B158" s="226"/>
      <c r="C158" s="226"/>
      <c r="D158" s="226"/>
      <c r="E158" s="226"/>
      <c r="F158" s="226"/>
      <c r="G158" s="226"/>
      <c r="H158" s="226"/>
      <c r="I158" s="226"/>
      <c r="J158" s="226"/>
      <c r="K158" s="226"/>
      <c r="L158" s="9" t="s">
        <v>182</v>
      </c>
      <c r="M158" s="9" t="s">
        <v>183</v>
      </c>
      <c r="N158" s="9" t="s">
        <v>234</v>
      </c>
      <c r="O158" s="233" t="s">
        <v>185</v>
      </c>
      <c r="P158" s="9" t="s">
        <v>186</v>
      </c>
      <c r="Q158" s="9" t="s">
        <v>187</v>
      </c>
      <c r="R158" s="9" t="s">
        <v>188</v>
      </c>
      <c r="S158" s="9" t="s">
        <v>189</v>
      </c>
      <c r="T158" s="9" t="s">
        <v>190</v>
      </c>
      <c r="U158" s="9" t="s">
        <v>191</v>
      </c>
      <c r="V158" s="9" t="s">
        <v>192</v>
      </c>
      <c r="W158" s="9" t="s">
        <v>193</v>
      </c>
      <c r="X158" s="9" t="s">
        <v>194</v>
      </c>
      <c r="Y158" s="9" t="s">
        <v>195</v>
      </c>
      <c r="Z158" s="10" t="s">
        <v>196</v>
      </c>
      <c r="AA158" s="9" t="s">
        <v>197</v>
      </c>
      <c r="AB158" s="9" t="s">
        <v>198</v>
      </c>
      <c r="AC158" s="9" t="s">
        <v>199</v>
      </c>
      <c r="AD158" s="9" t="s">
        <v>200</v>
      </c>
      <c r="AE158" s="9" t="s">
        <v>201</v>
      </c>
    </row>
    <row r="159" spans="1:36" x14ac:dyDescent="0.3">
      <c r="A159" s="282" t="str">
        <f t="shared" ref="A159:A222" si="26">IF(COUNTA(B159)=1,B159,A158)</f>
        <v>국내_Captive</v>
      </c>
      <c r="B159" s="3" t="s">
        <v>254</v>
      </c>
      <c r="C159" s="11"/>
      <c r="D159" s="11"/>
      <c r="E159" s="11"/>
      <c r="F159" s="11"/>
      <c r="G159" s="11"/>
      <c r="H159" s="11"/>
      <c r="I159" s="11"/>
      <c r="J159" s="11"/>
      <c r="K159" s="11"/>
      <c r="L159" s="11"/>
      <c r="M159" s="11"/>
      <c r="N159" s="11"/>
      <c r="O159" s="259"/>
      <c r="P159" s="260"/>
      <c r="Q159" s="260"/>
      <c r="R159" s="260"/>
      <c r="S159" s="260"/>
      <c r="T159" s="260"/>
      <c r="U159" s="260"/>
      <c r="V159" s="260"/>
      <c r="W159" s="260"/>
      <c r="X159" s="260"/>
      <c r="Y159" s="260"/>
      <c r="Z159" s="261"/>
      <c r="AA159" s="13"/>
      <c r="AB159" s="13"/>
      <c r="AC159" s="13"/>
      <c r="AD159" s="13"/>
      <c r="AE159" s="13"/>
      <c r="AI159" s="283"/>
      <c r="AJ159" s="283"/>
    </row>
    <row r="160" spans="1:36" x14ac:dyDescent="0.3">
      <c r="A160" s="282" t="str">
        <f t="shared" si="26"/>
        <v>국내_Captive</v>
      </c>
      <c r="C160" s="3" t="s">
        <v>146</v>
      </c>
      <c r="O160" s="263"/>
      <c r="P160" s="61"/>
      <c r="Q160" s="61"/>
      <c r="R160" s="61"/>
      <c r="S160" s="61"/>
      <c r="T160" s="61"/>
      <c r="U160" s="61"/>
      <c r="V160" s="61"/>
      <c r="W160" s="61"/>
      <c r="X160" s="61"/>
      <c r="Y160" s="61"/>
      <c r="Z160" s="264"/>
      <c r="AA160" s="16">
        <f>Revenue_HW!Z91</f>
        <v>1.6</v>
      </c>
      <c r="AB160" s="16">
        <f>AA160*(1+AB238)</f>
        <v>1.7093069306930695</v>
      </c>
      <c r="AC160" s="16">
        <f>AB160*(1+AC238)</f>
        <v>1.8534653465346536</v>
      </c>
      <c r="AD160" s="16">
        <f t="shared" ref="AB160:AE163" si="27">AC160*(1+AD238)</f>
        <v>2.0055445544554455</v>
      </c>
      <c r="AE160" s="16">
        <f>AD160*(1+AE238)</f>
        <v>2.1560396039603962</v>
      </c>
    </row>
    <row r="161" spans="1:36" x14ac:dyDescent="0.3">
      <c r="A161" s="282" t="str">
        <f t="shared" si="26"/>
        <v>국내_Captive</v>
      </c>
      <c r="C161" s="3" t="s">
        <v>147</v>
      </c>
      <c r="O161" s="263"/>
      <c r="P161" s="61"/>
      <c r="Q161" s="61"/>
      <c r="R161" s="61"/>
      <c r="S161" s="61"/>
      <c r="T161" s="61"/>
      <c r="U161" s="61"/>
      <c r="V161" s="61"/>
      <c r="W161" s="61"/>
      <c r="X161" s="61"/>
      <c r="Y161" s="61"/>
      <c r="Z161" s="264"/>
      <c r="AA161" s="16">
        <f>Revenue_HW!Z96</f>
        <v>6.9811320754716979</v>
      </c>
      <c r="AB161" s="16">
        <f>AA161*(1+AB239)</f>
        <v>7.3644803833483081</v>
      </c>
      <c r="AC161" s="16">
        <f t="shared" si="27"/>
        <v>7.8796046720575026</v>
      </c>
      <c r="AD161" s="16">
        <f t="shared" si="27"/>
        <v>8.421683138664271</v>
      </c>
      <c r="AE161" s="16">
        <f t="shared" si="27"/>
        <v>8.9757412398921836</v>
      </c>
    </row>
    <row r="162" spans="1:36" x14ac:dyDescent="0.3">
      <c r="A162" s="282" t="str">
        <f t="shared" si="26"/>
        <v>국내_Captive</v>
      </c>
      <c r="C162" s="3" t="s">
        <v>148</v>
      </c>
      <c r="O162" s="263"/>
      <c r="P162" s="61"/>
      <c r="Q162" s="61"/>
      <c r="R162" s="61"/>
      <c r="S162" s="61"/>
      <c r="T162" s="61"/>
      <c r="U162" s="61"/>
      <c r="V162" s="61"/>
      <c r="W162" s="61"/>
      <c r="X162" s="61"/>
      <c r="Y162" s="61"/>
      <c r="Z162" s="264"/>
      <c r="AA162" s="16">
        <f>Revenue_HW!Z101</f>
        <v>11.208333333333334</v>
      </c>
      <c r="AB162" s="16">
        <f t="shared" si="27"/>
        <v>11.900481407702523</v>
      </c>
      <c r="AC162" s="16">
        <f t="shared" si="27"/>
        <v>12.793575697211155</v>
      </c>
      <c r="AD162" s="16">
        <f t="shared" si="27"/>
        <v>13.753652058432934</v>
      </c>
      <c r="AE162" s="16">
        <f t="shared" si="27"/>
        <v>14.776245019920317</v>
      </c>
    </row>
    <row r="163" spans="1:36" x14ac:dyDescent="0.3">
      <c r="A163" s="282" t="str">
        <f t="shared" si="26"/>
        <v>국내_Captive</v>
      </c>
      <c r="C163" s="3" t="s">
        <v>149</v>
      </c>
      <c r="O163" s="263"/>
      <c r="P163" s="61"/>
      <c r="Q163" s="61"/>
      <c r="R163" s="61"/>
      <c r="S163" s="61"/>
      <c r="T163" s="61"/>
      <c r="U163" s="61"/>
      <c r="V163" s="61"/>
      <c r="W163" s="61"/>
      <c r="X163" s="61"/>
      <c r="Y163" s="61"/>
      <c r="Z163" s="264"/>
      <c r="AA163" s="16">
        <f>Revenue_HW!Z106</f>
        <v>2.4166666666666665</v>
      </c>
      <c r="AB163" s="16">
        <f t="shared" si="27"/>
        <v>2.5560897435897436</v>
      </c>
      <c r="AC163" s="16">
        <f t="shared" si="27"/>
        <v>2.7419871794871797</v>
      </c>
      <c r="AD163" s="16">
        <f t="shared" si="27"/>
        <v>2.9390384615384617</v>
      </c>
      <c r="AE163" s="16">
        <f t="shared" si="27"/>
        <v>3.1453846153846157</v>
      </c>
      <c r="AJ163" s="283"/>
    </row>
    <row r="164" spans="1:36" x14ac:dyDescent="0.3">
      <c r="A164" s="282" t="str">
        <f t="shared" si="26"/>
        <v>국내_Captive</v>
      </c>
      <c r="C164" s="3" t="s">
        <v>135</v>
      </c>
      <c r="O164" s="263"/>
      <c r="P164" s="61"/>
      <c r="Q164" s="61"/>
      <c r="R164" s="61"/>
      <c r="S164" s="61"/>
      <c r="T164" s="61"/>
      <c r="U164" s="61"/>
      <c r="V164" s="61"/>
      <c r="W164" s="61"/>
      <c r="X164" s="61"/>
      <c r="Y164" s="61"/>
      <c r="Z164" s="264"/>
      <c r="AA164" s="16">
        <f>Revenue_HW!Z91</f>
        <v>1.6</v>
      </c>
      <c r="AB164" s="16">
        <v>0</v>
      </c>
      <c r="AC164" s="16">
        <v>0</v>
      </c>
      <c r="AD164" s="16">
        <v>0</v>
      </c>
      <c r="AE164" s="16">
        <v>0</v>
      </c>
    </row>
    <row r="165" spans="1:36" x14ac:dyDescent="0.3">
      <c r="A165" s="282"/>
      <c r="B165" s="3" t="s">
        <v>255</v>
      </c>
      <c r="C165" s="11"/>
      <c r="O165" s="263"/>
      <c r="P165" s="61"/>
      <c r="Q165" s="61"/>
      <c r="R165" s="61"/>
      <c r="S165" s="61"/>
      <c r="T165" s="61"/>
      <c r="U165" s="61"/>
      <c r="V165" s="61"/>
      <c r="W165" s="61"/>
      <c r="X165" s="61"/>
      <c r="Y165" s="61"/>
      <c r="Z165" s="264"/>
      <c r="AA165" s="16"/>
      <c r="AB165" s="16"/>
      <c r="AC165" s="16"/>
      <c r="AD165" s="16"/>
      <c r="AE165" s="16"/>
    </row>
    <row r="166" spans="1:36" x14ac:dyDescent="0.3">
      <c r="A166" s="282"/>
      <c r="C166" s="3" t="s">
        <v>146</v>
      </c>
      <c r="O166" s="263"/>
      <c r="P166" s="61"/>
      <c r="Q166" s="61"/>
      <c r="R166" s="61"/>
      <c r="S166" s="61"/>
      <c r="T166" s="61"/>
      <c r="U166" s="61"/>
      <c r="V166" s="61"/>
      <c r="W166" s="61"/>
      <c r="X166" s="61"/>
      <c r="Y166" s="61"/>
      <c r="Z166" s="264"/>
      <c r="AA166" s="16">
        <f>Revenue_HW!Z129</f>
        <v>3.8</v>
      </c>
      <c r="AB166" s="16">
        <f t="shared" ref="AB166:AE169" si="28">AA166*(1+AB243)</f>
        <v>4.0643478260869568</v>
      </c>
      <c r="AC166" s="16">
        <f t="shared" si="28"/>
        <v>4.3149275362318846</v>
      </c>
      <c r="AD166" s="16">
        <f t="shared" si="28"/>
        <v>4.6288405797101451</v>
      </c>
      <c r="AE166" s="16">
        <f t="shared" si="28"/>
        <v>4.9675362318840586</v>
      </c>
    </row>
    <row r="167" spans="1:36" x14ac:dyDescent="0.3">
      <c r="A167" s="282"/>
      <c r="C167" s="3" t="s">
        <v>147</v>
      </c>
      <c r="O167" s="263"/>
      <c r="P167" s="61"/>
      <c r="Q167" s="61"/>
      <c r="R167" s="61"/>
      <c r="S167" s="61"/>
      <c r="T167" s="61"/>
      <c r="U167" s="61"/>
      <c r="V167" s="61"/>
      <c r="W167" s="61"/>
      <c r="X167" s="61"/>
      <c r="Y167" s="61"/>
      <c r="Z167" s="264"/>
      <c r="AA167" s="16">
        <f>Revenue_HW!Z134</f>
        <v>10.452830188679245</v>
      </c>
      <c r="AB167" s="16">
        <f t="shared" si="28"/>
        <v>11.051093269817882</v>
      </c>
      <c r="AC167" s="16">
        <f t="shared" si="28"/>
        <v>11.545918341600771</v>
      </c>
      <c r="AD167" s="16">
        <f t="shared" si="28"/>
        <v>12.191706994605559</v>
      </c>
      <c r="AE167" s="16">
        <f t="shared" si="28"/>
        <v>12.921364303844737</v>
      </c>
    </row>
    <row r="168" spans="1:36" x14ac:dyDescent="0.3">
      <c r="A168" s="282"/>
      <c r="C168" s="3" t="s">
        <v>148</v>
      </c>
      <c r="O168" s="263"/>
      <c r="P168" s="61"/>
      <c r="Q168" s="61"/>
      <c r="R168" s="61"/>
      <c r="S168" s="61"/>
      <c r="T168" s="61"/>
      <c r="U168" s="61"/>
      <c r="V168" s="61"/>
      <c r="W168" s="61"/>
      <c r="X168" s="61"/>
      <c r="Y168" s="61"/>
      <c r="Z168" s="264"/>
      <c r="AA168" s="16">
        <f>Revenue_HW!Z139</f>
        <v>15.083333333333334</v>
      </c>
      <c r="AB168" s="16">
        <f t="shared" si="28"/>
        <v>16.02292105527134</v>
      </c>
      <c r="AC168" s="16">
        <f t="shared" si="28"/>
        <v>16.839953856956566</v>
      </c>
      <c r="AD168" s="16">
        <f t="shared" si="28"/>
        <v>17.888479285785937</v>
      </c>
      <c r="AE168" s="16">
        <f t="shared" si="28"/>
        <v>19.068637777109039</v>
      </c>
    </row>
    <row r="169" spans="1:36" x14ac:dyDescent="0.3">
      <c r="A169" s="282"/>
      <c r="C169" s="3" t="s">
        <v>149</v>
      </c>
      <c r="O169" s="263"/>
      <c r="P169" s="61"/>
      <c r="Q169" s="61"/>
      <c r="R169" s="61"/>
      <c r="S169" s="61"/>
      <c r="T169" s="61"/>
      <c r="U169" s="61"/>
      <c r="V169" s="61"/>
      <c r="W169" s="61"/>
      <c r="X169" s="61"/>
      <c r="Y169" s="61"/>
      <c r="Z169" s="264"/>
      <c r="AA169" s="16">
        <f>Revenue_HW!Z144</f>
        <v>2.4166666666666665</v>
      </c>
      <c r="AB169" s="16">
        <f t="shared" si="28"/>
        <v>2.5602962559069424</v>
      </c>
      <c r="AC169" s="16">
        <f t="shared" si="28"/>
        <v>2.6815249000363499</v>
      </c>
      <c r="AD169" s="16">
        <f t="shared" si="28"/>
        <v>2.8436023264267538</v>
      </c>
      <c r="AE169" s="16">
        <f t="shared" si="28"/>
        <v>3.0254452926208653</v>
      </c>
    </row>
    <row r="170" spans="1:36" x14ac:dyDescent="0.3">
      <c r="A170" s="282"/>
      <c r="C170" s="3" t="s">
        <v>135</v>
      </c>
      <c r="O170" s="263"/>
      <c r="P170" s="61"/>
      <c r="Q170" s="61"/>
      <c r="R170" s="61"/>
      <c r="S170" s="61"/>
      <c r="T170" s="61"/>
      <c r="U170" s="61"/>
      <c r="V170" s="61"/>
      <c r="W170" s="61"/>
      <c r="X170" s="61"/>
      <c r="Y170" s="61"/>
      <c r="Z170" s="264"/>
      <c r="AA170" s="16">
        <f>Revenue_HW!Z149</f>
        <v>2.7894736842105261</v>
      </c>
      <c r="AB170" s="16">
        <v>0</v>
      </c>
      <c r="AC170" s="16">
        <v>0</v>
      </c>
      <c r="AD170" s="16">
        <v>0</v>
      </c>
      <c r="AE170" s="16">
        <v>0</v>
      </c>
    </row>
    <row r="171" spans="1:36" x14ac:dyDescent="0.3">
      <c r="A171" s="282" t="str">
        <f>IF(COUNTA(B171)=1,B171,A163)</f>
        <v>인도</v>
      </c>
      <c r="B171" s="3" t="s">
        <v>256</v>
      </c>
      <c r="O171" s="263"/>
      <c r="P171" s="61"/>
      <c r="Q171" s="61"/>
      <c r="R171" s="61"/>
      <c r="S171" s="61"/>
      <c r="T171" s="61"/>
      <c r="U171" s="61"/>
      <c r="V171" s="61"/>
      <c r="W171" s="61"/>
      <c r="X171" s="61"/>
      <c r="Y171" s="61"/>
      <c r="Z171" s="264"/>
      <c r="AA171" s="16"/>
      <c r="AB171" s="16"/>
      <c r="AC171" s="16"/>
      <c r="AD171" s="16"/>
      <c r="AE171" s="16"/>
    </row>
    <row r="172" spans="1:36" x14ac:dyDescent="0.3">
      <c r="A172" s="282" t="str">
        <f t="shared" si="26"/>
        <v>인도</v>
      </c>
      <c r="C172" s="3" t="s">
        <v>146</v>
      </c>
      <c r="O172" s="263"/>
      <c r="P172" s="61"/>
      <c r="Q172" s="61"/>
      <c r="R172" s="61"/>
      <c r="S172" s="61"/>
      <c r="T172" s="61"/>
      <c r="U172" s="61"/>
      <c r="V172" s="61"/>
      <c r="W172" s="61"/>
      <c r="X172" s="61"/>
      <c r="Y172" s="61"/>
      <c r="Z172" s="264"/>
      <c r="AA172" s="16">
        <f>Revenue_HW!Z180</f>
        <v>1.5</v>
      </c>
      <c r="AB172" s="16">
        <f t="shared" ref="AB172:AE175" si="29">AA172*(1+AB248)</f>
        <v>1.6234434217650242</v>
      </c>
      <c r="AC172" s="16">
        <f t="shared" si="29"/>
        <v>1.7574445046020573</v>
      </c>
      <c r="AD172" s="16">
        <f t="shared" si="29"/>
        <v>1.9158094206821874</v>
      </c>
      <c r="AE172" s="16">
        <f t="shared" si="29"/>
        <v>2.0814834867352467</v>
      </c>
    </row>
    <row r="173" spans="1:36" x14ac:dyDescent="0.3">
      <c r="A173" s="282" t="str">
        <f t="shared" si="26"/>
        <v>인도</v>
      </c>
      <c r="C173" s="3" t="s">
        <v>147</v>
      </c>
      <c r="O173" s="263"/>
      <c r="P173" s="61"/>
      <c r="Q173" s="61"/>
      <c r="R173" s="61"/>
      <c r="S173" s="61"/>
      <c r="T173" s="61"/>
      <c r="U173" s="61"/>
      <c r="V173" s="61"/>
      <c r="W173" s="61"/>
      <c r="X173" s="61"/>
      <c r="Y173" s="61"/>
      <c r="Z173" s="264"/>
      <c r="AA173" s="16">
        <f>Revenue_HW!Z186</f>
        <v>1.9705882352941178</v>
      </c>
      <c r="AB173" s="16">
        <f t="shared" si="29"/>
        <v>2.104039676105256</v>
      </c>
      <c r="AC173" s="16">
        <f t="shared" si="29"/>
        <v>2.2438619143420517</v>
      </c>
      <c r="AD173" s="16">
        <f t="shared" si="29"/>
        <v>2.4108438679198074</v>
      </c>
      <c r="AE173" s="16">
        <f t="shared" si="29"/>
        <v>2.5919086368595425</v>
      </c>
    </row>
    <row r="174" spans="1:36" x14ac:dyDescent="0.3">
      <c r="A174" s="282" t="str">
        <f t="shared" si="26"/>
        <v>인도</v>
      </c>
      <c r="C174" s="3" t="s">
        <v>148</v>
      </c>
      <c r="O174" s="263"/>
      <c r="P174" s="61"/>
      <c r="Q174" s="61"/>
      <c r="R174" s="61"/>
      <c r="S174" s="61"/>
      <c r="T174" s="61"/>
      <c r="U174" s="61"/>
      <c r="V174" s="61"/>
      <c r="W174" s="61"/>
      <c r="X174" s="61"/>
      <c r="Y174" s="61"/>
      <c r="Z174" s="264"/>
      <c r="AA174" s="16">
        <f>Revenue_HW!Z192</f>
        <v>3</v>
      </c>
      <c r="AB174" s="16">
        <f t="shared" si="29"/>
        <v>3.2225935828877006</v>
      </c>
      <c r="AC174" s="16">
        <f t="shared" si="29"/>
        <v>3.4552139037433158</v>
      </c>
      <c r="AD174" s="16">
        <f t="shared" si="29"/>
        <v>3.7299465240641716</v>
      </c>
      <c r="AE174" s="16">
        <f t="shared" si="29"/>
        <v>4.0357620320855618</v>
      </c>
    </row>
    <row r="175" spans="1:36" x14ac:dyDescent="0.3">
      <c r="A175" s="282" t="str">
        <f t="shared" si="26"/>
        <v>인도</v>
      </c>
      <c r="C175" s="3" t="s">
        <v>149</v>
      </c>
      <c r="O175" s="263"/>
      <c r="P175" s="61"/>
      <c r="Q175" s="61"/>
      <c r="R175" s="61"/>
      <c r="S175" s="61"/>
      <c r="T175" s="61"/>
      <c r="U175" s="61"/>
      <c r="V175" s="61"/>
      <c r="W175" s="61"/>
      <c r="X175" s="61"/>
      <c r="Y175" s="61"/>
      <c r="Z175" s="264"/>
      <c r="AA175" s="16">
        <f>Revenue_HW!Z198</f>
        <v>1</v>
      </c>
      <c r="AB175" s="16">
        <f t="shared" si="29"/>
        <v>1.0705845771144278</v>
      </c>
      <c r="AC175" s="16">
        <f t="shared" si="29"/>
        <v>1.1455223880597014</v>
      </c>
      <c r="AD175" s="16">
        <f t="shared" si="29"/>
        <v>1.2344527363184079</v>
      </c>
      <c r="AE175" s="16">
        <f t="shared" si="29"/>
        <v>1.3324004975124377</v>
      </c>
    </row>
    <row r="176" spans="1:36" x14ac:dyDescent="0.3">
      <c r="A176" s="282" t="str">
        <f t="shared" si="26"/>
        <v>인도</v>
      </c>
      <c r="C176" s="3" t="s">
        <v>135</v>
      </c>
      <c r="O176" s="263"/>
      <c r="P176" s="61"/>
      <c r="Q176" s="61"/>
      <c r="R176" s="61"/>
      <c r="S176" s="61"/>
      <c r="T176" s="61"/>
      <c r="U176" s="61"/>
      <c r="V176" s="61"/>
      <c r="W176" s="61"/>
      <c r="X176" s="61"/>
      <c r="Y176" s="61"/>
      <c r="Z176" s="264"/>
      <c r="AA176" s="16">
        <f>Revenue_HW!Z204</f>
        <v>1</v>
      </c>
      <c r="AB176" s="16">
        <v>0</v>
      </c>
      <c r="AC176" s="16">
        <v>0</v>
      </c>
      <c r="AD176" s="16">
        <v>0</v>
      </c>
      <c r="AE176" s="16">
        <v>0</v>
      </c>
    </row>
    <row r="177" spans="1:31" x14ac:dyDescent="0.3">
      <c r="A177" s="282" t="str">
        <f>IF(COUNTA(B177)=1,B177,A175)</f>
        <v>CIS</v>
      </c>
      <c r="B177" s="3" t="s">
        <v>257</v>
      </c>
      <c r="O177" s="263"/>
      <c r="P177" s="61"/>
      <c r="Q177" s="61"/>
      <c r="R177" s="61"/>
      <c r="S177" s="61"/>
      <c r="T177" s="61"/>
      <c r="U177" s="61"/>
      <c r="V177" s="61"/>
      <c r="W177" s="61"/>
      <c r="X177" s="61"/>
      <c r="Y177" s="61"/>
      <c r="Z177" s="264"/>
      <c r="AA177" s="16"/>
      <c r="AB177" s="16"/>
      <c r="AC177" s="16"/>
      <c r="AD177" s="16"/>
      <c r="AE177" s="16"/>
    </row>
    <row r="178" spans="1:31" x14ac:dyDescent="0.3">
      <c r="A178" s="282" t="str">
        <f t="shared" si="26"/>
        <v>CIS</v>
      </c>
      <c r="C178" s="3" t="s">
        <v>146</v>
      </c>
      <c r="O178" s="263"/>
      <c r="P178" s="61"/>
      <c r="Q178" s="61"/>
      <c r="R178" s="61"/>
      <c r="S178" s="61"/>
      <c r="T178" s="61"/>
      <c r="U178" s="61"/>
      <c r="V178" s="61"/>
      <c r="W178" s="61"/>
      <c r="X178" s="61"/>
      <c r="Y178" s="61"/>
      <c r="Z178" s="264"/>
      <c r="AA178" s="16">
        <f>Revenue_HW!Z223</f>
        <v>1.3333333333333333</v>
      </c>
      <c r="AB178" s="16">
        <f t="shared" ref="AB178:AE181" si="30">AA178*(1+AB253)</f>
        <v>1.447302955855313</v>
      </c>
      <c r="AC178" s="16">
        <f t="shared" si="30"/>
        <v>1.5457647891017605</v>
      </c>
      <c r="AD178" s="16">
        <f t="shared" si="30"/>
        <v>1.6513210339139999</v>
      </c>
      <c r="AE178" s="16">
        <f t="shared" si="30"/>
        <v>1.760145007689877</v>
      </c>
    </row>
    <row r="179" spans="1:31" x14ac:dyDescent="0.3">
      <c r="A179" s="282" t="str">
        <f t="shared" si="26"/>
        <v>CIS</v>
      </c>
      <c r="C179" s="3" t="s">
        <v>147</v>
      </c>
      <c r="O179" s="263"/>
      <c r="P179" s="61"/>
      <c r="Q179" s="61"/>
      <c r="R179" s="61"/>
      <c r="S179" s="61"/>
      <c r="T179" s="61"/>
      <c r="U179" s="61"/>
      <c r="V179" s="61"/>
      <c r="W179" s="61"/>
      <c r="X179" s="61"/>
      <c r="Y179" s="61"/>
      <c r="Z179" s="264"/>
      <c r="AA179" s="16">
        <f>Revenue_HW!Z229</f>
        <v>2.4137931034482758</v>
      </c>
      <c r="AB179" s="16">
        <f t="shared" si="30"/>
        <v>2.5442572605220208</v>
      </c>
      <c r="AC179" s="16">
        <f t="shared" si="30"/>
        <v>2.6805685919419249</v>
      </c>
      <c r="AD179" s="16">
        <f t="shared" si="30"/>
        <v>2.825628592282782</v>
      </c>
      <c r="AE179" s="16">
        <f t="shared" si="30"/>
        <v>2.9821767437319617</v>
      </c>
    </row>
    <row r="180" spans="1:31" x14ac:dyDescent="0.3">
      <c r="A180" s="282" t="str">
        <f t="shared" si="26"/>
        <v>CIS</v>
      </c>
      <c r="C180" s="3" t="s">
        <v>148</v>
      </c>
      <c r="O180" s="263"/>
      <c r="P180" s="61"/>
      <c r="Q180" s="61"/>
      <c r="R180" s="61"/>
      <c r="S180" s="61"/>
      <c r="T180" s="61"/>
      <c r="U180" s="61"/>
      <c r="V180" s="61"/>
      <c r="W180" s="61"/>
      <c r="X180" s="61"/>
      <c r="Y180" s="61"/>
      <c r="Z180" s="264"/>
      <c r="AA180" s="16">
        <f>Revenue_HW!Z235</f>
        <v>7.6</v>
      </c>
      <c r="AB180" s="16">
        <f t="shared" si="30"/>
        <v>8.0566525698370626</v>
      </c>
      <c r="AC180" s="16">
        <f t="shared" si="30"/>
        <v>8.5319360572943079</v>
      </c>
      <c r="AD180" s="16">
        <f t="shared" si="30"/>
        <v>9.039750492533388</v>
      </c>
      <c r="AE180" s="16">
        <f t="shared" si="30"/>
        <v>9.5992145135310327</v>
      </c>
    </row>
    <row r="181" spans="1:31" x14ac:dyDescent="0.3">
      <c r="A181" s="282" t="str">
        <f t="shared" si="26"/>
        <v>CIS</v>
      </c>
      <c r="C181" s="3" t="s">
        <v>149</v>
      </c>
      <c r="O181" s="263"/>
      <c r="P181" s="61"/>
      <c r="Q181" s="61"/>
      <c r="R181" s="61"/>
      <c r="S181" s="61"/>
      <c r="T181" s="61"/>
      <c r="U181" s="61"/>
      <c r="V181" s="61"/>
      <c r="W181" s="61"/>
      <c r="X181" s="61"/>
      <c r="Y181" s="61"/>
      <c r="Z181" s="264"/>
      <c r="AA181" s="16">
        <f>Revenue_HW!Z241</f>
        <v>1.375</v>
      </c>
      <c r="AB181" s="16">
        <f t="shared" si="30"/>
        <v>1.4520988333292135</v>
      </c>
      <c r="AC181" s="16">
        <f t="shared" si="30"/>
        <v>1.534227698544133</v>
      </c>
      <c r="AD181" s="16">
        <f t="shared" si="30"/>
        <v>1.6221173097362629</v>
      </c>
      <c r="AE181" s="16">
        <f t="shared" si="30"/>
        <v>1.7182996761994214</v>
      </c>
    </row>
    <row r="182" spans="1:31" x14ac:dyDescent="0.3">
      <c r="A182" s="282" t="str">
        <f t="shared" si="26"/>
        <v>CIS</v>
      </c>
      <c r="C182" s="3" t="s">
        <v>135</v>
      </c>
      <c r="O182" s="263"/>
      <c r="P182" s="61"/>
      <c r="Q182" s="61"/>
      <c r="R182" s="61"/>
      <c r="S182" s="61"/>
      <c r="T182" s="61"/>
      <c r="U182" s="61"/>
      <c r="V182" s="61"/>
      <c r="W182" s="61"/>
      <c r="X182" s="61"/>
      <c r="Y182" s="61"/>
      <c r="Z182" s="264"/>
      <c r="AA182" s="16">
        <f>Revenue_HW!Z247</f>
        <v>3.25</v>
      </c>
      <c r="AB182" s="16">
        <v>0</v>
      </c>
      <c r="AC182" s="16">
        <v>0</v>
      </c>
      <c r="AD182" s="16">
        <v>0</v>
      </c>
      <c r="AE182" s="16">
        <v>0</v>
      </c>
    </row>
    <row r="183" spans="1:31" x14ac:dyDescent="0.3">
      <c r="A183" s="282" t="str">
        <f>IF(COUNTA(B183)=1,B183,A181)</f>
        <v>동남아</v>
      </c>
      <c r="B183" s="3" t="s">
        <v>258</v>
      </c>
      <c r="O183" s="263"/>
      <c r="P183" s="61"/>
      <c r="Q183" s="61"/>
      <c r="R183" s="61"/>
      <c r="S183" s="61"/>
      <c r="T183" s="61"/>
      <c r="U183" s="61"/>
      <c r="V183" s="61"/>
      <c r="W183" s="61"/>
      <c r="X183" s="61"/>
      <c r="Y183" s="61"/>
      <c r="Z183" s="264"/>
      <c r="AA183" s="16"/>
      <c r="AB183" s="16"/>
      <c r="AC183" s="16"/>
      <c r="AD183" s="16"/>
      <c r="AE183" s="16"/>
    </row>
    <row r="184" spans="1:31" x14ac:dyDescent="0.3">
      <c r="A184" s="282" t="str">
        <f t="shared" si="26"/>
        <v>동남아</v>
      </c>
      <c r="C184" s="3" t="s">
        <v>146</v>
      </c>
      <c r="O184" s="263"/>
      <c r="P184" s="61"/>
      <c r="Q184" s="61"/>
      <c r="R184" s="61"/>
      <c r="S184" s="61"/>
      <c r="T184" s="61"/>
      <c r="U184" s="61"/>
      <c r="V184" s="61"/>
      <c r="W184" s="61"/>
      <c r="X184" s="61"/>
      <c r="Y184" s="61"/>
      <c r="Z184" s="264"/>
      <c r="AA184" s="16">
        <f>Revenue_HW!Z266</f>
        <v>2</v>
      </c>
      <c r="AB184" s="16">
        <f t="shared" ref="AB184:AE187" si="31">AA184*(1+AB258)</f>
        <v>2.0953783833548147</v>
      </c>
      <c r="AC184" s="16">
        <f t="shared" si="31"/>
        <v>2.2091695820290922</v>
      </c>
      <c r="AD184" s="16">
        <f t="shared" si="31"/>
        <v>2.3273798563800403</v>
      </c>
      <c r="AE184" s="16">
        <f t="shared" si="31"/>
        <v>2.4312281347818079</v>
      </c>
    </row>
    <row r="185" spans="1:31" x14ac:dyDescent="0.3">
      <c r="A185" s="282" t="str">
        <f t="shared" si="26"/>
        <v>동남아</v>
      </c>
      <c r="C185" s="3" t="s">
        <v>147</v>
      </c>
      <c r="O185" s="263"/>
      <c r="P185" s="61"/>
      <c r="Q185" s="61"/>
      <c r="R185" s="61"/>
      <c r="S185" s="61"/>
      <c r="T185" s="61"/>
      <c r="U185" s="61"/>
      <c r="V185" s="61"/>
      <c r="W185" s="61"/>
      <c r="X185" s="61"/>
      <c r="Y185" s="61"/>
      <c r="Z185" s="264"/>
      <c r="AA185" s="16">
        <f>Revenue_HW!Z272</f>
        <v>2</v>
      </c>
      <c r="AB185" s="16">
        <f t="shared" si="31"/>
        <v>2.0701088865472426</v>
      </c>
      <c r="AC185" s="16">
        <f t="shared" si="31"/>
        <v>2.1504741833508958</v>
      </c>
      <c r="AD185" s="16">
        <f t="shared" si="31"/>
        <v>2.2333684580259923</v>
      </c>
      <c r="AE185" s="16">
        <f t="shared" si="31"/>
        <v>2.3082543027748508</v>
      </c>
    </row>
    <row r="186" spans="1:31" x14ac:dyDescent="0.3">
      <c r="A186" s="282" t="str">
        <f t="shared" si="26"/>
        <v>동남아</v>
      </c>
      <c r="C186" s="3" t="s">
        <v>148</v>
      </c>
      <c r="O186" s="263"/>
      <c r="P186" s="61"/>
      <c r="Q186" s="61"/>
      <c r="R186" s="61"/>
      <c r="S186" s="61"/>
      <c r="T186" s="61"/>
      <c r="U186" s="61"/>
      <c r="V186" s="61"/>
      <c r="W186" s="61"/>
      <c r="X186" s="61"/>
      <c r="Y186" s="61"/>
      <c r="Z186" s="264"/>
      <c r="AA186" s="16">
        <f>Revenue_HW!Z278</f>
        <v>2.75</v>
      </c>
      <c r="AB186" s="16">
        <f t="shared" si="31"/>
        <v>2.8631141045958794</v>
      </c>
      <c r="AC186" s="16">
        <f t="shared" si="31"/>
        <v>2.9896988906497621</v>
      </c>
      <c r="AD186" s="16">
        <f t="shared" si="31"/>
        <v>3.1212361331220282</v>
      </c>
      <c r="AE186" s="16">
        <f t="shared" si="31"/>
        <v>3.2456418383518226</v>
      </c>
    </row>
    <row r="187" spans="1:31" x14ac:dyDescent="0.3">
      <c r="A187" s="282" t="str">
        <f t="shared" si="26"/>
        <v>동남아</v>
      </c>
      <c r="C187" s="3" t="s">
        <v>149</v>
      </c>
      <c r="O187" s="263"/>
      <c r="P187" s="61"/>
      <c r="Q187" s="61"/>
      <c r="R187" s="61"/>
      <c r="S187" s="61"/>
      <c r="T187" s="61"/>
      <c r="U187" s="61"/>
      <c r="V187" s="61"/>
      <c r="W187" s="61"/>
      <c r="X187" s="61"/>
      <c r="Y187" s="61"/>
      <c r="Z187" s="264"/>
      <c r="AA187" s="16">
        <f>Revenue_HW!Z284</f>
        <v>1</v>
      </c>
      <c r="AB187" s="16">
        <f t="shared" si="31"/>
        <v>1.0372909240471619</v>
      </c>
      <c r="AC187" s="16">
        <f t="shared" si="31"/>
        <v>1.0804771044694268</v>
      </c>
      <c r="AD187" s="16">
        <f t="shared" si="31"/>
        <v>1.1255826706882368</v>
      </c>
      <c r="AE187" s="16">
        <f t="shared" si="31"/>
        <v>1.1676720592267615</v>
      </c>
    </row>
    <row r="188" spans="1:31" x14ac:dyDescent="0.3">
      <c r="A188" s="282" t="str">
        <f t="shared" si="26"/>
        <v>동남아</v>
      </c>
      <c r="C188" s="3" t="s">
        <v>135</v>
      </c>
      <c r="O188" s="263"/>
      <c r="P188" s="61"/>
      <c r="Q188" s="61"/>
      <c r="R188" s="61"/>
      <c r="S188" s="61"/>
      <c r="T188" s="61"/>
      <c r="U188" s="61"/>
      <c r="V188" s="61"/>
      <c r="W188" s="61"/>
      <c r="X188" s="61"/>
      <c r="Y188" s="61"/>
      <c r="Z188" s="264"/>
      <c r="AA188" s="16">
        <f>Revenue_HW!Z290</f>
        <v>2</v>
      </c>
      <c r="AB188" s="16">
        <v>0</v>
      </c>
      <c r="AC188" s="16">
        <v>0</v>
      </c>
      <c r="AD188" s="16">
        <v>0</v>
      </c>
      <c r="AE188" s="16">
        <v>0</v>
      </c>
    </row>
    <row r="189" spans="1:31" x14ac:dyDescent="0.3">
      <c r="A189" s="282" t="str">
        <f>IF(COUNTA(B189)=1,B189,A187)</f>
        <v>중동</v>
      </c>
      <c r="B189" s="3" t="s">
        <v>259</v>
      </c>
      <c r="O189" s="263"/>
      <c r="P189" s="61"/>
      <c r="Q189" s="61"/>
      <c r="R189" s="61"/>
      <c r="S189" s="61"/>
      <c r="T189" s="61"/>
      <c r="U189" s="61"/>
      <c r="V189" s="61"/>
      <c r="W189" s="61"/>
      <c r="X189" s="61"/>
      <c r="Y189" s="61"/>
      <c r="Z189" s="264"/>
      <c r="AA189" s="16"/>
      <c r="AB189" s="16"/>
      <c r="AC189" s="16"/>
      <c r="AD189" s="16"/>
      <c r="AE189" s="16"/>
    </row>
    <row r="190" spans="1:31" x14ac:dyDescent="0.3">
      <c r="A190" s="282" t="str">
        <f t="shared" si="26"/>
        <v>중동</v>
      </c>
      <c r="C190" s="3" t="s">
        <v>146</v>
      </c>
      <c r="O190" s="263"/>
      <c r="P190" s="61"/>
      <c r="Q190" s="61"/>
      <c r="R190" s="61"/>
      <c r="S190" s="61"/>
      <c r="T190" s="61"/>
      <c r="U190" s="61"/>
      <c r="V190" s="61"/>
      <c r="W190" s="61"/>
      <c r="X190" s="61"/>
      <c r="Y190" s="61"/>
      <c r="Z190" s="264"/>
      <c r="AA190" s="16">
        <f>Revenue_HW!Z309</f>
        <v>1</v>
      </c>
      <c r="AB190" s="16">
        <f t="shared" ref="AB190:AE193" si="32">AA190*(1+AB263)</f>
        <v>1.054766734279919</v>
      </c>
      <c r="AC190" s="16">
        <f t="shared" si="32"/>
        <v>1.1075050709939149</v>
      </c>
      <c r="AD190" s="16">
        <f t="shared" si="32"/>
        <v>1.1683569979716026</v>
      </c>
      <c r="AE190" s="16">
        <f t="shared" si="32"/>
        <v>1.2413793103448278</v>
      </c>
    </row>
    <row r="191" spans="1:31" x14ac:dyDescent="0.3">
      <c r="A191" s="282" t="str">
        <f t="shared" si="26"/>
        <v>중동</v>
      </c>
      <c r="C191" s="3" t="s">
        <v>147</v>
      </c>
      <c r="O191" s="263"/>
      <c r="P191" s="61"/>
      <c r="Q191" s="61"/>
      <c r="R191" s="61"/>
      <c r="S191" s="61"/>
      <c r="T191" s="61"/>
      <c r="U191" s="61"/>
      <c r="V191" s="61"/>
      <c r="W191" s="61"/>
      <c r="X191" s="61"/>
      <c r="Y191" s="61"/>
      <c r="Z191" s="264"/>
      <c r="AA191" s="16">
        <f>Revenue_HW!Z315</f>
        <v>1.8</v>
      </c>
      <c r="AB191" s="16">
        <f t="shared" si="32"/>
        <v>1.8661278471711975</v>
      </c>
      <c r="AC191" s="16">
        <f t="shared" si="32"/>
        <v>1.9428361498897868</v>
      </c>
      <c r="AD191" s="16">
        <f t="shared" si="32"/>
        <v>2.0221895664952241</v>
      </c>
      <c r="AE191" s="16">
        <f t="shared" si="32"/>
        <v>2.1279941219691403</v>
      </c>
    </row>
    <row r="192" spans="1:31" x14ac:dyDescent="0.3">
      <c r="A192" s="282" t="str">
        <f t="shared" si="26"/>
        <v>중동</v>
      </c>
      <c r="C192" s="3" t="s">
        <v>148</v>
      </c>
      <c r="O192" s="263"/>
      <c r="P192" s="61"/>
      <c r="Q192" s="61"/>
      <c r="R192" s="61"/>
      <c r="S192" s="61"/>
      <c r="T192" s="61"/>
      <c r="U192" s="61"/>
      <c r="V192" s="61"/>
      <c r="W192" s="61"/>
      <c r="X192" s="61"/>
      <c r="Y192" s="61"/>
      <c r="Z192" s="264"/>
      <c r="AA192" s="16">
        <f>Revenue_HW!Z321</f>
        <v>0</v>
      </c>
      <c r="AB192" s="16">
        <f t="shared" si="32"/>
        <v>0</v>
      </c>
      <c r="AC192" s="16">
        <f t="shared" si="32"/>
        <v>0</v>
      </c>
      <c r="AD192" s="16">
        <f t="shared" si="32"/>
        <v>0</v>
      </c>
      <c r="AE192" s="16">
        <f t="shared" si="32"/>
        <v>0</v>
      </c>
    </row>
    <row r="193" spans="1:31" x14ac:dyDescent="0.3">
      <c r="A193" s="282" t="str">
        <f t="shared" si="26"/>
        <v>중동</v>
      </c>
      <c r="C193" s="3" t="s">
        <v>149</v>
      </c>
      <c r="O193" s="263"/>
      <c r="P193" s="61"/>
      <c r="Q193" s="61"/>
      <c r="R193" s="61"/>
      <c r="S193" s="61"/>
      <c r="T193" s="61"/>
      <c r="U193" s="61"/>
      <c r="V193" s="61"/>
      <c r="W193" s="61"/>
      <c r="X193" s="61"/>
      <c r="Y193" s="61"/>
      <c r="Z193" s="264"/>
      <c r="AA193" s="16">
        <f>Revenue_HW!Z327</f>
        <v>1</v>
      </c>
      <c r="AB193" s="16">
        <f t="shared" si="32"/>
        <v>1.0433526011560694</v>
      </c>
      <c r="AC193" s="16">
        <f t="shared" si="32"/>
        <v>1.0895953757225434</v>
      </c>
      <c r="AD193" s="16">
        <f t="shared" si="32"/>
        <v>1.1401734104046242</v>
      </c>
      <c r="AE193" s="16">
        <f t="shared" si="32"/>
        <v>1.1979768786127165</v>
      </c>
    </row>
    <row r="194" spans="1:31" x14ac:dyDescent="0.3">
      <c r="A194" s="282" t="str">
        <f t="shared" si="26"/>
        <v>중동</v>
      </c>
      <c r="C194" s="3" t="s">
        <v>135</v>
      </c>
      <c r="O194" s="263"/>
      <c r="P194" s="61"/>
      <c r="Q194" s="61"/>
      <c r="R194" s="61"/>
      <c r="S194" s="61"/>
      <c r="T194" s="61"/>
      <c r="U194" s="61"/>
      <c r="V194" s="61"/>
      <c r="W194" s="61"/>
      <c r="X194" s="61"/>
      <c r="Y194" s="61"/>
      <c r="Z194" s="264"/>
      <c r="AA194" s="16">
        <f>Revenue_HW!Z333</f>
        <v>1</v>
      </c>
      <c r="AB194" s="16">
        <v>0</v>
      </c>
      <c r="AC194" s="16">
        <v>0</v>
      </c>
      <c r="AD194" s="16">
        <v>0</v>
      </c>
      <c r="AE194" s="16">
        <v>0</v>
      </c>
    </row>
    <row r="195" spans="1:31" x14ac:dyDescent="0.3">
      <c r="A195" s="282" t="str">
        <f>IF(COUNTA(B195)=1,B195,A193)</f>
        <v>기타</v>
      </c>
      <c r="B195" s="3" t="s">
        <v>105</v>
      </c>
      <c r="O195" s="263"/>
      <c r="P195" s="61"/>
      <c r="Q195" s="61"/>
      <c r="R195" s="61"/>
      <c r="S195" s="61"/>
      <c r="T195" s="61"/>
      <c r="U195" s="61"/>
      <c r="V195" s="61"/>
      <c r="W195" s="61"/>
      <c r="X195" s="61"/>
      <c r="Y195" s="61"/>
      <c r="Z195" s="264"/>
      <c r="AA195" s="16"/>
      <c r="AB195" s="16"/>
      <c r="AC195" s="16"/>
      <c r="AD195" s="16"/>
      <c r="AE195" s="16"/>
    </row>
    <row r="196" spans="1:31" x14ac:dyDescent="0.3">
      <c r="A196" s="282" t="str">
        <f t="shared" si="26"/>
        <v>기타</v>
      </c>
      <c r="C196" s="3" t="s">
        <v>146</v>
      </c>
      <c r="O196" s="263"/>
      <c r="P196" s="61"/>
      <c r="Q196" s="61"/>
      <c r="R196" s="61"/>
      <c r="S196" s="61"/>
      <c r="T196" s="61"/>
      <c r="U196" s="61"/>
      <c r="V196" s="61"/>
      <c r="W196" s="61"/>
      <c r="X196" s="61"/>
      <c r="Y196" s="61"/>
      <c r="Z196" s="264"/>
      <c r="AA196" s="16">
        <f>Revenue_HW!Z352</f>
        <v>1</v>
      </c>
      <c r="AB196" s="16">
        <f t="shared" ref="AB196:AE199" si="33">AA196*(1+AB233)</f>
        <v>1.0665040238261201</v>
      </c>
      <c r="AC196" s="16">
        <f t="shared" si="33"/>
        <v>1.1390596286673851</v>
      </c>
      <c r="AD196" s="16">
        <f t="shared" si="33"/>
        <v>1.2168430390976492</v>
      </c>
      <c r="AE196" s="16">
        <f t="shared" si="33"/>
        <v>1.2970344084658769</v>
      </c>
    </row>
    <row r="197" spans="1:31" x14ac:dyDescent="0.3">
      <c r="A197" s="282" t="str">
        <f t="shared" si="26"/>
        <v>기타</v>
      </c>
      <c r="C197" s="3" t="s">
        <v>147</v>
      </c>
      <c r="O197" s="263"/>
      <c r="P197" s="61"/>
      <c r="Q197" s="61"/>
      <c r="R197" s="61"/>
      <c r="S197" s="61"/>
      <c r="T197" s="61"/>
      <c r="U197" s="61"/>
      <c r="V197" s="61"/>
      <c r="W197" s="61"/>
      <c r="X197" s="61"/>
      <c r="Y197" s="61"/>
      <c r="Z197" s="264"/>
      <c r="AA197" s="16">
        <f>Revenue_HW!Z358</f>
        <v>1.25</v>
      </c>
      <c r="AB197" s="16">
        <f t="shared" si="33"/>
        <v>1.3175617956274752</v>
      </c>
      <c r="AC197" s="16">
        <f t="shared" si="33"/>
        <v>1.3881515922556398</v>
      </c>
      <c r="AD197" s="16">
        <f t="shared" si="33"/>
        <v>1.4632719495750122</v>
      </c>
      <c r="AE197" s="16">
        <f t="shared" si="33"/>
        <v>1.5443415280040518</v>
      </c>
    </row>
    <row r="198" spans="1:31" x14ac:dyDescent="0.3">
      <c r="A198" s="282" t="str">
        <f t="shared" si="26"/>
        <v>기타</v>
      </c>
      <c r="C198" s="3" t="s">
        <v>148</v>
      </c>
      <c r="O198" s="263"/>
      <c r="P198" s="61"/>
      <c r="Q198" s="61"/>
      <c r="R198" s="61"/>
      <c r="S198" s="61"/>
      <c r="T198" s="61"/>
      <c r="U198" s="61"/>
      <c r="V198" s="61"/>
      <c r="W198" s="61"/>
      <c r="X198" s="61"/>
      <c r="Y198" s="61"/>
      <c r="Z198" s="264"/>
      <c r="AA198" s="16">
        <f>Revenue_HW!Z364</f>
        <v>1.25</v>
      </c>
      <c r="AB198" s="16">
        <f t="shared" si="33"/>
        <v>1.3251073305653063</v>
      </c>
      <c r="AC198" s="16">
        <f t="shared" si="33"/>
        <v>1.4032789567918269</v>
      </c>
      <c r="AD198" s="16">
        <f t="shared" si="33"/>
        <v>1.4868010678508861</v>
      </c>
      <c r="AE198" s="16">
        <f t="shared" si="33"/>
        <v>1.5788181765676039</v>
      </c>
    </row>
    <row r="199" spans="1:31" x14ac:dyDescent="0.3">
      <c r="A199" s="282" t="str">
        <f t="shared" si="26"/>
        <v>기타</v>
      </c>
      <c r="C199" s="3" t="s">
        <v>149</v>
      </c>
      <c r="O199" s="263"/>
      <c r="P199" s="61"/>
      <c r="Q199" s="61"/>
      <c r="R199" s="61"/>
      <c r="S199" s="61"/>
      <c r="T199" s="61"/>
      <c r="U199" s="61"/>
      <c r="V199" s="61"/>
      <c r="W199" s="61"/>
      <c r="X199" s="61"/>
      <c r="Y199" s="61"/>
      <c r="Z199" s="264"/>
      <c r="AA199" s="16">
        <f>Revenue_HW!Z370</f>
        <v>1</v>
      </c>
      <c r="AB199" s="16">
        <f t="shared" si="33"/>
        <v>1.0560718787848826</v>
      </c>
      <c r="AC199" s="16">
        <f t="shared" si="33"/>
        <v>1.1158019625775515</v>
      </c>
      <c r="AD199" s="16">
        <f t="shared" si="33"/>
        <v>1.1797216798081913</v>
      </c>
      <c r="AE199" s="16">
        <f t="shared" si="33"/>
        <v>1.2496724917813975</v>
      </c>
    </row>
    <row r="200" spans="1:31" x14ac:dyDescent="0.3">
      <c r="A200" s="282" t="str">
        <f t="shared" si="26"/>
        <v>기타</v>
      </c>
      <c r="C200" s="3" t="s">
        <v>135</v>
      </c>
      <c r="O200" s="263"/>
      <c r="P200" s="61"/>
      <c r="Q200" s="61"/>
      <c r="R200" s="61"/>
      <c r="S200" s="61"/>
      <c r="T200" s="61"/>
      <c r="U200" s="61"/>
      <c r="V200" s="61"/>
      <c r="W200" s="61"/>
      <c r="X200" s="61"/>
      <c r="Y200" s="61"/>
      <c r="Z200" s="264"/>
      <c r="AA200" s="16">
        <f>Revenue_HW!Z376</f>
        <v>1</v>
      </c>
      <c r="AB200" s="16">
        <v>0</v>
      </c>
      <c r="AC200" s="16">
        <v>0</v>
      </c>
      <c r="AD200" s="16">
        <v>0</v>
      </c>
      <c r="AE200" s="16">
        <v>0</v>
      </c>
    </row>
    <row r="201" spans="1:31" x14ac:dyDescent="0.3">
      <c r="A201" s="282" t="str">
        <f>IF(COUNTA(B201)=1,B201,A199)</f>
        <v>북미</v>
      </c>
      <c r="B201" s="3" t="s">
        <v>260</v>
      </c>
      <c r="O201" s="263"/>
      <c r="P201" s="61"/>
      <c r="Q201" s="61"/>
      <c r="R201" s="61"/>
      <c r="S201" s="61"/>
      <c r="T201" s="61"/>
      <c r="U201" s="61"/>
      <c r="V201" s="61"/>
      <c r="W201" s="61"/>
      <c r="X201" s="61"/>
      <c r="Y201" s="61"/>
      <c r="Z201" s="264"/>
      <c r="AA201" s="16"/>
      <c r="AB201" s="16"/>
      <c r="AC201" s="16"/>
      <c r="AD201" s="16"/>
      <c r="AE201" s="16"/>
    </row>
    <row r="202" spans="1:31" x14ac:dyDescent="0.3">
      <c r="A202" s="282" t="str">
        <f t="shared" si="26"/>
        <v>북미</v>
      </c>
      <c r="C202" s="3" t="s">
        <v>146</v>
      </c>
      <c r="O202" s="263"/>
      <c r="P202" s="61"/>
      <c r="Q202" s="61"/>
      <c r="R202" s="61"/>
      <c r="S202" s="61"/>
      <c r="T202" s="61"/>
      <c r="U202" s="61"/>
      <c r="V202" s="61"/>
      <c r="W202" s="61"/>
      <c r="X202" s="61"/>
      <c r="Y202" s="61"/>
      <c r="Z202" s="264"/>
      <c r="AA202" s="16">
        <f>Projection_미국!Z48</f>
        <v>3.5</v>
      </c>
      <c r="AB202" s="16">
        <f t="shared" ref="AB202:AE205" si="34">AA202*(1+AB268)</f>
        <v>3.663515016685206</v>
      </c>
      <c r="AC202" s="16">
        <f t="shared" si="34"/>
        <v>3.8479118212154919</v>
      </c>
      <c r="AD202" s="16">
        <f t="shared" si="34"/>
        <v>4.0503589847305088</v>
      </c>
      <c r="AE202" s="16">
        <f t="shared" si="34"/>
        <v>4.2574072201435937</v>
      </c>
    </row>
    <row r="203" spans="1:31" x14ac:dyDescent="0.3">
      <c r="A203" s="282" t="str">
        <f t="shared" si="26"/>
        <v>북미</v>
      </c>
      <c r="C203" s="3" t="s">
        <v>147</v>
      </c>
      <c r="O203" s="263"/>
      <c r="P203" s="61"/>
      <c r="Q203" s="61"/>
      <c r="R203" s="61"/>
      <c r="S203" s="61"/>
      <c r="T203" s="61"/>
      <c r="U203" s="61"/>
      <c r="V203" s="61"/>
      <c r="W203" s="61"/>
      <c r="X203" s="61"/>
      <c r="Y203" s="61"/>
      <c r="Z203" s="264"/>
      <c r="AA203" s="16">
        <f>Projection_미국!Z55</f>
        <v>3.3333333333333335</v>
      </c>
      <c r="AB203" s="16">
        <f t="shared" si="34"/>
        <v>3.4468067155994264</v>
      </c>
      <c r="AC203" s="16">
        <f t="shared" si="34"/>
        <v>3.5689980033184288</v>
      </c>
      <c r="AD203" s="16">
        <f t="shared" si="34"/>
        <v>3.7056722629995225</v>
      </c>
      <c r="AE203" s="16">
        <f t="shared" si="34"/>
        <v>3.8540172670772521</v>
      </c>
    </row>
    <row r="204" spans="1:31" x14ac:dyDescent="0.3">
      <c r="A204" s="282" t="str">
        <f t="shared" si="26"/>
        <v>북미</v>
      </c>
      <c r="C204" s="3" t="s">
        <v>148</v>
      </c>
      <c r="O204" s="263"/>
      <c r="P204" s="61"/>
      <c r="Q204" s="61"/>
      <c r="R204" s="61"/>
      <c r="S204" s="61"/>
      <c r="T204" s="61"/>
      <c r="U204" s="61"/>
      <c r="V204" s="61"/>
      <c r="W204" s="61"/>
      <c r="X204" s="61"/>
      <c r="Y204" s="61"/>
      <c r="Z204" s="264"/>
      <c r="AA204" s="16">
        <f>Projection_미국!Z62</f>
        <v>3.6428571428571428</v>
      </c>
      <c r="AB204" s="16">
        <f t="shared" si="34"/>
        <v>3.7883300609494817</v>
      </c>
      <c r="AC204" s="16">
        <f t="shared" si="34"/>
        <v>3.9417942043630361</v>
      </c>
      <c r="AD204" s="16">
        <f t="shared" si="34"/>
        <v>4.1128716607294749</v>
      </c>
      <c r="AE204" s="16">
        <f t="shared" si="34"/>
        <v>4.3048241546697028</v>
      </c>
    </row>
    <row r="205" spans="1:31" x14ac:dyDescent="0.3">
      <c r="A205" s="282" t="str">
        <f t="shared" si="26"/>
        <v>북미</v>
      </c>
      <c r="C205" s="3" t="s">
        <v>149</v>
      </c>
      <c r="O205" s="263"/>
      <c r="P205" s="61"/>
      <c r="Q205" s="61"/>
      <c r="R205" s="61"/>
      <c r="S205" s="61"/>
      <c r="T205" s="61"/>
      <c r="U205" s="61"/>
      <c r="V205" s="61"/>
      <c r="W205" s="61"/>
      <c r="X205" s="61"/>
      <c r="Y205" s="61"/>
      <c r="Z205" s="264"/>
      <c r="AA205" s="16">
        <f>Projection_미국!Z69</f>
        <v>2.2000000000000002</v>
      </c>
      <c r="AB205" s="16">
        <f t="shared" si="34"/>
        <v>2.2781462733461337</v>
      </c>
      <c r="AC205" s="16">
        <f t="shared" si="34"/>
        <v>2.3658928259731189</v>
      </c>
      <c r="AD205" s="16">
        <f t="shared" si="34"/>
        <v>2.4640076802234243</v>
      </c>
      <c r="AE205" s="16">
        <f t="shared" si="34"/>
        <v>2.5713388025833477</v>
      </c>
    </row>
    <row r="206" spans="1:31" x14ac:dyDescent="0.3">
      <c r="A206" s="282"/>
      <c r="C206" s="3" t="s">
        <v>135</v>
      </c>
      <c r="O206" s="263"/>
      <c r="P206" s="61"/>
      <c r="Q206" s="61"/>
      <c r="R206" s="61"/>
      <c r="S206" s="61"/>
      <c r="T206" s="61"/>
      <c r="U206" s="61"/>
      <c r="V206" s="61"/>
      <c r="W206" s="61"/>
      <c r="X206" s="61"/>
      <c r="Y206" s="61"/>
      <c r="Z206" s="264"/>
      <c r="AA206" s="16">
        <f>Projection_미국!Z76</f>
        <v>1.8571428571428572</v>
      </c>
      <c r="AB206" s="16">
        <v>0</v>
      </c>
      <c r="AC206" s="16">
        <v>0</v>
      </c>
      <c r="AD206" s="16">
        <v>0</v>
      </c>
      <c r="AE206" s="16">
        <v>0</v>
      </c>
    </row>
    <row r="207" spans="1:31" x14ac:dyDescent="0.3">
      <c r="A207" s="282" t="str">
        <f>IF(COUNTA(B207)=1,B207,A205)</f>
        <v>남미</v>
      </c>
      <c r="B207" s="3" t="s">
        <v>261</v>
      </c>
      <c r="O207" s="263"/>
      <c r="P207" s="61"/>
      <c r="Q207" s="61"/>
      <c r="R207" s="61"/>
      <c r="S207" s="61"/>
      <c r="T207" s="61"/>
      <c r="U207" s="61"/>
      <c r="V207" s="61"/>
      <c r="W207" s="61"/>
      <c r="X207" s="61"/>
      <c r="Y207" s="61"/>
      <c r="Z207" s="264"/>
      <c r="AA207" s="16"/>
      <c r="AB207" s="16"/>
      <c r="AC207" s="16"/>
      <c r="AD207" s="16"/>
      <c r="AE207" s="16"/>
    </row>
    <row r="208" spans="1:31" x14ac:dyDescent="0.3">
      <c r="A208" s="282" t="str">
        <f t="shared" si="26"/>
        <v>남미</v>
      </c>
      <c r="C208" s="3" t="s">
        <v>146</v>
      </c>
      <c r="O208" s="263"/>
      <c r="P208" s="61"/>
      <c r="Q208" s="61"/>
      <c r="R208" s="61"/>
      <c r="S208" s="61"/>
      <c r="T208" s="61"/>
      <c r="U208" s="61"/>
      <c r="V208" s="61"/>
      <c r="W208" s="61"/>
      <c r="X208" s="61"/>
      <c r="Y208" s="61"/>
      <c r="Z208" s="264"/>
      <c r="AA208" s="16">
        <f>Projection_미국!Z98</f>
        <v>1.5</v>
      </c>
      <c r="AB208" s="16">
        <f t="shared" ref="AB208:AE211" si="35">AA208*(1+AB273)</f>
        <v>1.5985663082437276</v>
      </c>
      <c r="AC208" s="16">
        <f t="shared" si="35"/>
        <v>1.7168458781362008</v>
      </c>
      <c r="AD208" s="16">
        <f t="shared" si="35"/>
        <v>1.8566308243727601</v>
      </c>
      <c r="AE208" s="16">
        <f t="shared" si="35"/>
        <v>1.9749103942652331</v>
      </c>
    </row>
    <row r="209" spans="1:31" x14ac:dyDescent="0.3">
      <c r="A209" s="282" t="str">
        <f t="shared" si="26"/>
        <v>남미</v>
      </c>
      <c r="C209" s="3" t="s">
        <v>147</v>
      </c>
      <c r="O209" s="263"/>
      <c r="P209" s="61"/>
      <c r="Q209" s="61"/>
      <c r="R209" s="61"/>
      <c r="S209" s="61"/>
      <c r="T209" s="61"/>
      <c r="U209" s="61"/>
      <c r="V209" s="61"/>
      <c r="W209" s="61"/>
      <c r="X209" s="61"/>
      <c r="Y209" s="61"/>
      <c r="Z209" s="264"/>
      <c r="AA209" s="16">
        <f>Projection_미국!Z105</f>
        <v>2.1</v>
      </c>
      <c r="AB209" s="16">
        <f t="shared" si="35"/>
        <v>2.2066696113074205</v>
      </c>
      <c r="AC209" s="16">
        <f t="shared" si="35"/>
        <v>2.3226148409893996</v>
      </c>
      <c r="AD209" s="16">
        <f t="shared" si="35"/>
        <v>2.4348498233215548</v>
      </c>
      <c r="AE209" s="16">
        <f t="shared" si="35"/>
        <v>2.5665636042402831</v>
      </c>
    </row>
    <row r="210" spans="1:31" x14ac:dyDescent="0.3">
      <c r="A210" s="282" t="str">
        <f t="shared" si="26"/>
        <v>남미</v>
      </c>
      <c r="C210" s="3" t="s">
        <v>148</v>
      </c>
      <c r="O210" s="263"/>
      <c r="P210" s="61"/>
      <c r="Q210" s="61"/>
      <c r="R210" s="61"/>
      <c r="S210" s="61"/>
      <c r="T210" s="61"/>
      <c r="U210" s="61"/>
      <c r="V210" s="61"/>
      <c r="W210" s="61"/>
      <c r="X210" s="61"/>
      <c r="Y210" s="61"/>
      <c r="Z210" s="264"/>
      <c r="AA210" s="16">
        <f>Projection_미국!Z112</f>
        <v>4.2</v>
      </c>
      <c r="AB210" s="16">
        <f t="shared" si="35"/>
        <v>4.4496370235934668</v>
      </c>
      <c r="AC210" s="16">
        <f t="shared" si="35"/>
        <v>4.682123411978222</v>
      </c>
      <c r="AD210" s="16">
        <f t="shared" si="35"/>
        <v>4.9222323049001826</v>
      </c>
      <c r="AE210" s="16">
        <f t="shared" si="35"/>
        <v>5.2042649727767705</v>
      </c>
    </row>
    <row r="211" spans="1:31" x14ac:dyDescent="0.3">
      <c r="A211" s="282" t="str">
        <f t="shared" si="26"/>
        <v>남미</v>
      </c>
      <c r="C211" s="3" t="s">
        <v>149</v>
      </c>
      <c r="O211" s="263"/>
      <c r="P211" s="61"/>
      <c r="Q211" s="61"/>
      <c r="R211" s="61"/>
      <c r="S211" s="61"/>
      <c r="T211" s="61"/>
      <c r="U211" s="61"/>
      <c r="V211" s="61"/>
      <c r="W211" s="61"/>
      <c r="X211" s="61"/>
      <c r="Y211" s="61"/>
      <c r="Z211" s="264"/>
      <c r="AA211" s="16">
        <f>Projection_미국!Z119</f>
        <v>0</v>
      </c>
      <c r="AB211" s="16">
        <f t="shared" si="35"/>
        <v>0</v>
      </c>
      <c r="AC211" s="16">
        <f t="shared" si="35"/>
        <v>0</v>
      </c>
      <c r="AD211" s="16">
        <f t="shared" si="35"/>
        <v>0</v>
      </c>
      <c r="AE211" s="16">
        <f t="shared" si="35"/>
        <v>0</v>
      </c>
    </row>
    <row r="212" spans="1:31" x14ac:dyDescent="0.3">
      <c r="A212" s="282"/>
      <c r="C212" s="3" t="s">
        <v>135</v>
      </c>
      <c r="O212" s="263"/>
      <c r="P212" s="61"/>
      <c r="Q212" s="61"/>
      <c r="R212" s="61"/>
      <c r="S212" s="61"/>
      <c r="T212" s="61"/>
      <c r="U212" s="61"/>
      <c r="V212" s="61"/>
      <c r="W212" s="61"/>
      <c r="X212" s="61"/>
      <c r="Y212" s="61"/>
      <c r="Z212" s="264"/>
      <c r="AA212" s="16">
        <f>Projection_미국!Z126</f>
        <v>0.13259668508287292</v>
      </c>
      <c r="AB212" s="16">
        <v>0</v>
      </c>
      <c r="AC212" s="16">
        <v>0</v>
      </c>
      <c r="AD212" s="16">
        <v>0</v>
      </c>
      <c r="AE212" s="16">
        <v>0</v>
      </c>
    </row>
    <row r="213" spans="1:31" x14ac:dyDescent="0.3">
      <c r="A213" s="282" t="str">
        <f>IF(COUNTA(B213)=1,B213,A211)</f>
        <v>유럽</v>
      </c>
      <c r="B213" s="3" t="s">
        <v>262</v>
      </c>
      <c r="O213" s="263"/>
      <c r="P213" s="61"/>
      <c r="Q213" s="61"/>
      <c r="R213" s="61"/>
      <c r="S213" s="61"/>
      <c r="T213" s="61"/>
      <c r="U213" s="61"/>
      <c r="V213" s="61"/>
      <c r="W213" s="61"/>
      <c r="X213" s="61"/>
      <c r="Y213" s="61"/>
      <c r="Z213" s="264"/>
      <c r="AA213" s="16"/>
      <c r="AB213" s="16"/>
      <c r="AC213" s="16"/>
      <c r="AD213" s="16"/>
      <c r="AE213" s="16"/>
    </row>
    <row r="214" spans="1:31" x14ac:dyDescent="0.3">
      <c r="A214" s="282" t="str">
        <f t="shared" si="26"/>
        <v>유럽</v>
      </c>
      <c r="C214" s="3" t="s">
        <v>146</v>
      </c>
      <c r="O214" s="263"/>
      <c r="P214" s="61"/>
      <c r="Q214" s="61"/>
      <c r="R214" s="61"/>
      <c r="S214" s="61"/>
      <c r="T214" s="61"/>
      <c r="U214" s="61"/>
      <c r="V214" s="61"/>
      <c r="W214" s="61"/>
      <c r="X214" s="61"/>
      <c r="Y214" s="61"/>
      <c r="Z214" s="264"/>
      <c r="AA214" s="16">
        <f>Projection_유럽!Z25</f>
        <v>3</v>
      </c>
      <c r="AB214" s="16">
        <f t="shared" ref="AB214:AE217" si="36">AA214*(1+AB278)</f>
        <v>3.1711780404117418</v>
      </c>
      <c r="AC214" s="16">
        <f t="shared" si="36"/>
        <v>3.3574151734654967</v>
      </c>
      <c r="AD214" s="16">
        <f t="shared" si="36"/>
        <v>3.5522302706824238</v>
      </c>
      <c r="AE214" s="16">
        <f t="shared" si="36"/>
        <v>3.7508577964163168</v>
      </c>
    </row>
    <row r="215" spans="1:31" x14ac:dyDescent="0.3">
      <c r="A215" s="282" t="str">
        <f t="shared" si="26"/>
        <v>유럽</v>
      </c>
      <c r="C215" s="3" t="s">
        <v>147</v>
      </c>
      <c r="O215" s="263"/>
      <c r="P215" s="61"/>
      <c r="Q215" s="61"/>
      <c r="R215" s="61"/>
      <c r="S215" s="61"/>
      <c r="T215" s="61"/>
      <c r="U215" s="61"/>
      <c r="V215" s="61"/>
      <c r="W215" s="61"/>
      <c r="X215" s="61"/>
      <c r="Y215" s="61"/>
      <c r="Z215" s="264"/>
      <c r="AA215" s="16">
        <f>Projection_유럽!Z32</f>
        <v>2.7699115044247788</v>
      </c>
      <c r="AB215" s="16">
        <f t="shared" si="36"/>
        <v>2.8943355545059095</v>
      </c>
      <c r="AC215" s="16">
        <f t="shared" si="36"/>
        <v>3.0214069248015325</v>
      </c>
      <c r="AD215" s="16">
        <f t="shared" si="36"/>
        <v>3.1535014155041408</v>
      </c>
      <c r="AE215" s="16">
        <f t="shared" si="36"/>
        <v>3.2944881869272225</v>
      </c>
    </row>
    <row r="216" spans="1:31" x14ac:dyDescent="0.3">
      <c r="A216" s="282" t="str">
        <f t="shared" si="26"/>
        <v>유럽</v>
      </c>
      <c r="C216" s="3" t="s">
        <v>148</v>
      </c>
      <c r="O216" s="263"/>
      <c r="P216" s="61"/>
      <c r="Q216" s="61"/>
      <c r="R216" s="61"/>
      <c r="S216" s="61"/>
      <c r="T216" s="61"/>
      <c r="U216" s="61"/>
      <c r="V216" s="61"/>
      <c r="W216" s="61"/>
      <c r="X216" s="61"/>
      <c r="Y216" s="61"/>
      <c r="Z216" s="264"/>
      <c r="AA216" s="16">
        <f>Projection_유럽!Z39</f>
        <v>4.3</v>
      </c>
      <c r="AB216" s="16">
        <f t="shared" si="36"/>
        <v>4.5190139767394406</v>
      </c>
      <c r="AC216" s="16">
        <f t="shared" si="36"/>
        <v>4.74285349928586</v>
      </c>
      <c r="AD216" s="16">
        <f t="shared" si="36"/>
        <v>4.9777698428892059</v>
      </c>
      <c r="AE216" s="16">
        <f t="shared" si="36"/>
        <v>5.2329754131809825</v>
      </c>
    </row>
    <row r="217" spans="1:31" x14ac:dyDescent="0.3">
      <c r="A217" s="282" t="str">
        <f t="shared" si="26"/>
        <v>유럽</v>
      </c>
      <c r="C217" s="3" t="s">
        <v>149</v>
      </c>
      <c r="O217" s="263"/>
      <c r="P217" s="61"/>
      <c r="Q217" s="61"/>
      <c r="R217" s="61"/>
      <c r="S217" s="61"/>
      <c r="T217" s="61"/>
      <c r="U217" s="61"/>
      <c r="V217" s="61"/>
      <c r="W217" s="61"/>
      <c r="X217" s="61"/>
      <c r="Y217" s="61"/>
      <c r="Z217" s="264"/>
      <c r="AA217" s="16">
        <f>Projection_유럽!Z46</f>
        <v>2</v>
      </c>
      <c r="AB217" s="16">
        <f t="shared" si="36"/>
        <v>2.094266516258767</v>
      </c>
      <c r="AC217" s="16">
        <f t="shared" si="36"/>
        <v>2.1923586247486391</v>
      </c>
      <c r="AD217" s="16">
        <f t="shared" si="36"/>
        <v>2.2967286281818629</v>
      </c>
      <c r="AE217" s="16">
        <f t="shared" si="36"/>
        <v>2.4090440924027661</v>
      </c>
    </row>
    <row r="218" spans="1:31" x14ac:dyDescent="0.3">
      <c r="A218" s="282" t="s">
        <v>263</v>
      </c>
      <c r="C218" s="3" t="s">
        <v>135</v>
      </c>
      <c r="O218" s="263"/>
      <c r="P218" s="61"/>
      <c r="Q218" s="61"/>
      <c r="R218" s="61"/>
      <c r="S218" s="61"/>
      <c r="T218" s="61"/>
      <c r="U218" s="61"/>
      <c r="V218" s="61"/>
      <c r="W218" s="61"/>
      <c r="X218" s="61"/>
      <c r="Y218" s="61"/>
      <c r="Z218" s="264"/>
      <c r="AA218" s="16">
        <f>Projection_유럽!Z53</f>
        <v>2.2857142857142856</v>
      </c>
      <c r="AB218" s="16">
        <v>0</v>
      </c>
      <c r="AC218" s="16">
        <v>0</v>
      </c>
      <c r="AD218" s="16">
        <v>0</v>
      </c>
      <c r="AE218" s="16">
        <v>0</v>
      </c>
    </row>
    <row r="219" spans="1:31" x14ac:dyDescent="0.3">
      <c r="A219" s="282" t="str">
        <f>IF(COUNTA(B219)=1,B219,A217)</f>
        <v>중국(상품)</v>
      </c>
      <c r="B219" s="3" t="s">
        <v>264</v>
      </c>
      <c r="O219" s="263"/>
      <c r="P219" s="61"/>
      <c r="Q219" s="61"/>
      <c r="R219" s="61"/>
      <c r="S219" s="61"/>
      <c r="T219" s="61"/>
      <c r="U219" s="61"/>
      <c r="V219" s="61"/>
      <c r="W219" s="61"/>
      <c r="X219" s="61"/>
      <c r="Y219" s="61"/>
      <c r="Z219" s="264"/>
      <c r="AA219" s="16"/>
      <c r="AB219" s="16"/>
      <c r="AC219" s="16"/>
      <c r="AD219" s="16"/>
      <c r="AE219" s="16"/>
    </row>
    <row r="220" spans="1:31" x14ac:dyDescent="0.3">
      <c r="A220" s="282" t="str">
        <f t="shared" si="26"/>
        <v>중국(상품)</v>
      </c>
      <c r="C220" s="3" t="s">
        <v>146</v>
      </c>
      <c r="O220" s="263"/>
      <c r="P220" s="61"/>
      <c r="Q220" s="61"/>
      <c r="R220" s="61"/>
      <c r="S220" s="61"/>
      <c r="T220" s="61"/>
      <c r="U220" s="61"/>
      <c r="V220" s="61"/>
      <c r="W220" s="61"/>
      <c r="X220" s="61"/>
      <c r="Y220" s="61"/>
      <c r="Z220" s="264"/>
      <c r="AA220" s="16">
        <f>Projection_중국!Z48</f>
        <v>2</v>
      </c>
      <c r="AB220" s="16">
        <f t="shared" ref="AB220:AE223" si="37">AA220*(1+AB283)</f>
        <v>2.1709544337829696</v>
      </c>
      <c r="AC220" s="16">
        <f t="shared" si="37"/>
        <v>2.3532193019051593</v>
      </c>
      <c r="AD220" s="16">
        <f t="shared" si="37"/>
        <v>2.5440133500208595</v>
      </c>
      <c r="AE220" s="16">
        <f t="shared" si="37"/>
        <v>2.745746998563019</v>
      </c>
    </row>
    <row r="221" spans="1:31" x14ac:dyDescent="0.3">
      <c r="A221" s="282" t="str">
        <f t="shared" si="26"/>
        <v>중국(상품)</v>
      </c>
      <c r="C221" s="3" t="s">
        <v>147</v>
      </c>
      <c r="O221" s="263"/>
      <c r="P221" s="61"/>
      <c r="Q221" s="61"/>
      <c r="R221" s="61"/>
      <c r="S221" s="61"/>
      <c r="T221" s="61"/>
      <c r="U221" s="61"/>
      <c r="V221" s="61"/>
      <c r="W221" s="61"/>
      <c r="X221" s="61"/>
      <c r="Y221" s="61"/>
      <c r="Z221" s="264"/>
      <c r="AA221" s="16">
        <f>Projection_중국!Z55</f>
        <v>2</v>
      </c>
      <c r="AB221" s="16">
        <f t="shared" si="37"/>
        <v>2.1445253181127928</v>
      </c>
      <c r="AC221" s="16">
        <f t="shared" si="37"/>
        <v>2.2940426943149888</v>
      </c>
      <c r="AD221" s="16">
        <f t="shared" si="37"/>
        <v>2.4482030336353007</v>
      </c>
      <c r="AE221" s="16">
        <f t="shared" si="37"/>
        <v>2.6169206332582782</v>
      </c>
    </row>
    <row r="222" spans="1:31" x14ac:dyDescent="0.3">
      <c r="A222" s="282" t="str">
        <f t="shared" si="26"/>
        <v>중국(상품)</v>
      </c>
      <c r="C222" s="3" t="s">
        <v>148</v>
      </c>
      <c r="O222" s="263"/>
      <c r="P222" s="61"/>
      <c r="Q222" s="61"/>
      <c r="R222" s="61"/>
      <c r="S222" s="61"/>
      <c r="T222" s="61"/>
      <c r="U222" s="61"/>
      <c r="V222" s="61"/>
      <c r="W222" s="61"/>
      <c r="X222" s="61"/>
      <c r="Y222" s="61"/>
      <c r="Z222" s="264"/>
      <c r="AA222" s="16">
        <f>Projection_중국!Z62</f>
        <v>2.8</v>
      </c>
      <c r="AB222" s="16">
        <f t="shared" si="37"/>
        <v>3.0199188587881163</v>
      </c>
      <c r="AC222" s="16">
        <f t="shared" si="37"/>
        <v>3.2469572045543775</v>
      </c>
      <c r="AD222" s="16">
        <f t="shared" si="37"/>
        <v>3.4821096715089643</v>
      </c>
      <c r="AE222" s="16">
        <f t="shared" si="37"/>
        <v>3.7449024996728171</v>
      </c>
    </row>
    <row r="223" spans="1:31" x14ac:dyDescent="0.3">
      <c r="A223" s="282" t="str">
        <f t="shared" ref="A223:A228" si="38">IF(COUNTA(B223)=1,B223,A222)</f>
        <v>중국(상품)</v>
      </c>
      <c r="C223" s="3" t="s">
        <v>149</v>
      </c>
      <c r="O223" s="263"/>
      <c r="P223" s="61"/>
      <c r="Q223" s="61"/>
      <c r="R223" s="61"/>
      <c r="S223" s="61"/>
      <c r="T223" s="61"/>
      <c r="U223" s="61"/>
      <c r="V223" s="61"/>
      <c r="W223" s="61"/>
      <c r="X223" s="61"/>
      <c r="Y223" s="61"/>
      <c r="Z223" s="264"/>
      <c r="AA223" s="16">
        <f>Projection_중국!Z69</f>
        <v>0</v>
      </c>
      <c r="AB223" s="16">
        <f>AA223*(1+AB286)</f>
        <v>0</v>
      </c>
      <c r="AC223" s="16">
        <f t="shared" si="37"/>
        <v>0</v>
      </c>
      <c r="AD223" s="16">
        <f t="shared" si="37"/>
        <v>0</v>
      </c>
      <c r="AE223" s="16">
        <f t="shared" si="37"/>
        <v>0</v>
      </c>
    </row>
    <row r="224" spans="1:31" x14ac:dyDescent="0.3">
      <c r="A224" s="282" t="str">
        <f>IF(COUNTA(B224)=1,B224,A223)</f>
        <v>중국(강소)</v>
      </c>
      <c r="B224" s="3" t="s">
        <v>265</v>
      </c>
      <c r="O224" s="263"/>
      <c r="P224" s="61"/>
      <c r="Q224" s="61"/>
      <c r="R224" s="61"/>
      <c r="S224" s="61"/>
      <c r="T224" s="61"/>
      <c r="U224" s="61"/>
      <c r="V224" s="61"/>
      <c r="W224" s="61"/>
      <c r="X224" s="61"/>
      <c r="Y224" s="61"/>
      <c r="Z224" s="264"/>
      <c r="AA224" s="16"/>
      <c r="AB224" s="16"/>
      <c r="AC224" s="16"/>
      <c r="AD224" s="16"/>
      <c r="AE224" s="16"/>
    </row>
    <row r="225" spans="1:38" x14ac:dyDescent="0.3">
      <c r="A225" s="282" t="str">
        <f t="shared" si="38"/>
        <v>중국(강소)</v>
      </c>
      <c r="C225" s="3" t="s">
        <v>146</v>
      </c>
      <c r="O225" s="263"/>
      <c r="P225" s="61"/>
      <c r="Q225" s="61"/>
      <c r="R225" s="61"/>
      <c r="S225" s="61"/>
      <c r="T225" s="61"/>
      <c r="U225" s="61"/>
      <c r="V225" s="61"/>
      <c r="W225" s="61"/>
      <c r="X225" s="61"/>
      <c r="Y225" s="61"/>
      <c r="Z225" s="264"/>
      <c r="AA225" s="16">
        <f>Projection_중국!Z98</f>
        <v>0</v>
      </c>
      <c r="AB225" s="16">
        <f t="shared" ref="AB225:AE228" si="39">AA225*(1+AB283)</f>
        <v>0</v>
      </c>
      <c r="AC225" s="16">
        <f t="shared" si="39"/>
        <v>0</v>
      </c>
      <c r="AD225" s="16">
        <f t="shared" si="39"/>
        <v>0</v>
      </c>
      <c r="AE225" s="16">
        <f t="shared" si="39"/>
        <v>0</v>
      </c>
    </row>
    <row r="226" spans="1:38" x14ac:dyDescent="0.3">
      <c r="A226" s="282" t="str">
        <f t="shared" si="38"/>
        <v>중국(강소)</v>
      </c>
      <c r="C226" s="3" t="s">
        <v>147</v>
      </c>
      <c r="O226" s="263"/>
      <c r="P226" s="61"/>
      <c r="Q226" s="61"/>
      <c r="R226" s="61"/>
      <c r="S226" s="61"/>
      <c r="T226" s="61"/>
      <c r="U226" s="61"/>
      <c r="V226" s="61"/>
      <c r="W226" s="61"/>
      <c r="X226" s="61"/>
      <c r="Y226" s="61"/>
      <c r="Z226" s="264"/>
      <c r="AA226" s="16">
        <f>Projection_중국!Z105</f>
        <v>13.96</v>
      </c>
      <c r="AB226" s="16">
        <f t="shared" si="39"/>
        <v>14.968786720427294</v>
      </c>
      <c r="AC226" s="16">
        <f t="shared" si="39"/>
        <v>16.012418006318622</v>
      </c>
      <c r="AD226" s="16">
        <f t="shared" si="39"/>
        <v>17.088457174774401</v>
      </c>
      <c r="AE226" s="16">
        <f t="shared" si="39"/>
        <v>18.266106020142786</v>
      </c>
    </row>
    <row r="227" spans="1:38" x14ac:dyDescent="0.3">
      <c r="A227" s="282" t="str">
        <f t="shared" si="38"/>
        <v>중국(강소)</v>
      </c>
      <c r="C227" s="3" t="s">
        <v>148</v>
      </c>
      <c r="O227" s="263"/>
      <c r="P227" s="61"/>
      <c r="Q227" s="61"/>
      <c r="R227" s="61"/>
      <c r="S227" s="61"/>
      <c r="T227" s="61"/>
      <c r="U227" s="61"/>
      <c r="V227" s="61"/>
      <c r="W227" s="61"/>
      <c r="X227" s="61"/>
      <c r="Y227" s="61"/>
      <c r="Z227" s="264"/>
      <c r="AA227" s="16">
        <f>Projection_중국!Z112</f>
        <v>40.625</v>
      </c>
      <c r="AB227" s="16">
        <f t="shared" si="39"/>
        <v>43.815787013666871</v>
      </c>
      <c r="AC227" s="16">
        <f t="shared" si="39"/>
        <v>47.10987015536486</v>
      </c>
      <c r="AD227" s="16">
        <f t="shared" si="39"/>
        <v>50.521680501804177</v>
      </c>
      <c r="AE227" s="16">
        <f t="shared" si="39"/>
        <v>54.334522874717216</v>
      </c>
    </row>
    <row r="228" spans="1:38" x14ac:dyDescent="0.3">
      <c r="A228" s="282" t="str">
        <f t="shared" si="38"/>
        <v>중국(강소)</v>
      </c>
      <c r="B228" s="92"/>
      <c r="C228" s="92" t="s">
        <v>149</v>
      </c>
      <c r="D228" s="92"/>
      <c r="E228" s="92"/>
      <c r="F228" s="92"/>
      <c r="G228" s="92"/>
      <c r="H228" s="92"/>
      <c r="I228" s="92"/>
      <c r="J228" s="92"/>
      <c r="K228" s="92"/>
      <c r="L228" s="92"/>
      <c r="M228" s="92"/>
      <c r="N228" s="92"/>
      <c r="O228" s="268"/>
      <c r="P228" s="269"/>
      <c r="Q228" s="269"/>
      <c r="R228" s="269"/>
      <c r="S228" s="269"/>
      <c r="T228" s="269"/>
      <c r="U228" s="269"/>
      <c r="V228" s="269"/>
      <c r="W228" s="269"/>
      <c r="X228" s="269"/>
      <c r="Y228" s="269"/>
      <c r="Z228" s="270"/>
      <c r="AA228" s="130">
        <f>Projection_중국!Z119</f>
        <v>11</v>
      </c>
      <c r="AB228" s="130">
        <f t="shared" si="39"/>
        <v>11.82038359740401</v>
      </c>
      <c r="AC228" s="130">
        <f t="shared" si="39"/>
        <v>12.679453246800332</v>
      </c>
      <c r="AD228" s="130">
        <f t="shared" si="39"/>
        <v>13.568035966788731</v>
      </c>
      <c r="AE228" s="130">
        <f t="shared" si="39"/>
        <v>14.558319132736303</v>
      </c>
    </row>
    <row r="229" spans="1:38" ht="12.75" thickBot="1" x14ac:dyDescent="0.35"/>
    <row r="230" spans="1:38" ht="12.75" thickBot="1" x14ac:dyDescent="0.35">
      <c r="B230" s="11" t="s">
        <v>266</v>
      </c>
      <c r="J230" s="245">
        <v>1</v>
      </c>
      <c r="K230" s="243" t="s">
        <v>267</v>
      </c>
    </row>
    <row r="231" spans="1:38" x14ac:dyDescent="0.3">
      <c r="B231" s="226"/>
      <c r="C231" s="226"/>
      <c r="D231" s="226"/>
      <c r="E231" s="226"/>
      <c r="F231" s="226"/>
      <c r="G231" s="226"/>
      <c r="H231" s="226"/>
      <c r="I231" s="226"/>
      <c r="J231" s="226"/>
      <c r="K231" s="226"/>
      <c r="L231" s="9" t="s">
        <v>182</v>
      </c>
      <c r="M231" s="9" t="s">
        <v>183</v>
      </c>
      <c r="N231" s="9" t="s">
        <v>234</v>
      </c>
      <c r="O231" s="233" t="s">
        <v>185</v>
      </c>
      <c r="P231" s="9" t="s">
        <v>186</v>
      </c>
      <c r="Q231" s="9" t="s">
        <v>187</v>
      </c>
      <c r="R231" s="9" t="s">
        <v>188</v>
      </c>
      <c r="S231" s="9" t="s">
        <v>189</v>
      </c>
      <c r="T231" s="9" t="s">
        <v>190</v>
      </c>
      <c r="U231" s="9" t="s">
        <v>191</v>
      </c>
      <c r="V231" s="9" t="s">
        <v>192</v>
      </c>
      <c r="W231" s="9" t="s">
        <v>193</v>
      </c>
      <c r="X231" s="9" t="s">
        <v>194</v>
      </c>
      <c r="Y231" s="9" t="s">
        <v>195</v>
      </c>
      <c r="Z231" s="10" t="s">
        <v>196</v>
      </c>
      <c r="AA231" s="9" t="s">
        <v>197</v>
      </c>
      <c r="AB231" s="9" t="s">
        <v>198</v>
      </c>
      <c r="AC231" s="9" t="s">
        <v>199</v>
      </c>
      <c r="AD231" s="9" t="s">
        <v>200</v>
      </c>
      <c r="AE231" s="9" t="s">
        <v>201</v>
      </c>
    </row>
    <row r="232" spans="1:38" x14ac:dyDescent="0.3">
      <c r="B232" s="114" t="s">
        <v>268</v>
      </c>
      <c r="C232" s="284"/>
      <c r="D232" s="284"/>
      <c r="E232" s="284"/>
      <c r="F232" s="284"/>
      <c r="G232" s="284"/>
      <c r="H232" s="284"/>
      <c r="I232" s="284"/>
      <c r="J232" s="284"/>
      <c r="K232" s="284"/>
      <c r="L232" s="285"/>
      <c r="M232" s="285"/>
      <c r="N232" s="285"/>
      <c r="O232" s="259"/>
      <c r="P232" s="260"/>
      <c r="Q232" s="260"/>
      <c r="R232" s="260"/>
      <c r="S232" s="260"/>
      <c r="T232" s="260"/>
      <c r="U232" s="260"/>
      <c r="V232" s="260"/>
      <c r="W232" s="260"/>
      <c r="X232" s="260"/>
      <c r="Y232" s="260"/>
      <c r="Z232" s="261"/>
      <c r="AA232" s="285"/>
      <c r="AB232" s="285"/>
      <c r="AC232" s="285"/>
      <c r="AD232" s="285"/>
      <c r="AE232" s="285"/>
    </row>
    <row r="233" spans="1:38" x14ac:dyDescent="0.3">
      <c r="B233" s="284"/>
      <c r="C233" s="3" t="s">
        <v>146</v>
      </c>
      <c r="E233" s="284"/>
      <c r="F233" s="284"/>
      <c r="G233" s="284"/>
      <c r="H233" s="284"/>
      <c r="I233" s="284"/>
      <c r="J233" s="284"/>
      <c r="K233" s="284"/>
      <c r="L233" s="285"/>
      <c r="M233" s="285"/>
      <c r="N233" s="285"/>
      <c r="O233" s="263"/>
      <c r="P233" s="61"/>
      <c r="Q233" s="61"/>
      <c r="R233" s="61"/>
      <c r="S233" s="61"/>
      <c r="T233" s="61"/>
      <c r="U233" s="61"/>
      <c r="V233" s="61"/>
      <c r="W233" s="61"/>
      <c r="X233" s="61"/>
      <c r="Y233" s="61"/>
      <c r="Z233" s="264"/>
      <c r="AA233" s="17"/>
      <c r="AB233" s="17">
        <v>6.6504023826120084E-2</v>
      </c>
      <c r="AC233" s="17">
        <v>6.8031252785122343E-2</v>
      </c>
      <c r="AD233" s="17">
        <v>6.8287391171316436E-2</v>
      </c>
      <c r="AE233" s="17">
        <v>6.5901161276883835E-2</v>
      </c>
      <c r="AF233" s="225" t="s">
        <v>136</v>
      </c>
      <c r="AI233" s="121"/>
      <c r="AJ233" s="121"/>
      <c r="AK233" s="121"/>
      <c r="AL233" s="121"/>
    </row>
    <row r="234" spans="1:38" x14ac:dyDescent="0.3">
      <c r="B234" s="284"/>
      <c r="C234" s="3" t="s">
        <v>147</v>
      </c>
      <c r="E234" s="284"/>
      <c r="F234" s="284"/>
      <c r="G234" s="284"/>
      <c r="H234" s="284"/>
      <c r="I234" s="284"/>
      <c r="J234" s="284"/>
      <c r="K234" s="284"/>
      <c r="L234" s="285"/>
      <c r="M234" s="285"/>
      <c r="N234" s="285"/>
      <c r="O234" s="263"/>
      <c r="P234" s="61"/>
      <c r="Q234" s="61"/>
      <c r="R234" s="61"/>
      <c r="S234" s="61"/>
      <c r="T234" s="61"/>
      <c r="U234" s="61"/>
      <c r="V234" s="61"/>
      <c r="W234" s="61"/>
      <c r="X234" s="61"/>
      <c r="Y234" s="61"/>
      <c r="Z234" s="264"/>
      <c r="AA234" s="17"/>
      <c r="AB234" s="17">
        <v>5.404943650198013E-2</v>
      </c>
      <c r="AC234" s="17">
        <v>5.3576080349648336E-2</v>
      </c>
      <c r="AD234" s="17">
        <v>5.4115384615384565E-2</v>
      </c>
      <c r="AE234" s="17">
        <v>5.5402947109445488E-2</v>
      </c>
    </row>
    <row r="235" spans="1:38" x14ac:dyDescent="0.3">
      <c r="B235" s="284"/>
      <c r="C235" s="3" t="s">
        <v>148</v>
      </c>
      <c r="E235" s="284"/>
      <c r="F235" s="284"/>
      <c r="G235" s="284"/>
      <c r="H235" s="284"/>
      <c r="I235" s="284"/>
      <c r="J235" s="284"/>
      <c r="K235" s="284"/>
      <c r="L235" s="285"/>
      <c r="M235" s="285"/>
      <c r="N235" s="285"/>
      <c r="O235" s="263"/>
      <c r="P235" s="61"/>
      <c r="Q235" s="61"/>
      <c r="R235" s="61"/>
      <c r="S235" s="61"/>
      <c r="T235" s="61"/>
      <c r="U235" s="61"/>
      <c r="V235" s="61"/>
      <c r="W235" s="61"/>
      <c r="X235" s="61"/>
      <c r="Y235" s="61"/>
      <c r="Z235" s="264"/>
      <c r="AA235" s="17"/>
      <c r="AB235" s="17">
        <v>6.0085864452245064E-2</v>
      </c>
      <c r="AC235" s="17">
        <v>5.8992675101398495E-2</v>
      </c>
      <c r="AD235" s="17">
        <v>5.951925000714553E-2</v>
      </c>
      <c r="AE235" s="17">
        <v>6.1889321111213036E-2</v>
      </c>
    </row>
    <row r="236" spans="1:38" x14ac:dyDescent="0.3">
      <c r="B236" s="284"/>
      <c r="C236" s="3" t="s">
        <v>149</v>
      </c>
      <c r="E236" s="284"/>
      <c r="F236" s="284"/>
      <c r="G236" s="284"/>
      <c r="H236" s="284"/>
      <c r="I236" s="284"/>
      <c r="J236" s="284"/>
      <c r="K236" s="284"/>
      <c r="L236" s="285"/>
      <c r="M236" s="285"/>
      <c r="N236" s="285"/>
      <c r="O236" s="263"/>
      <c r="P236" s="61"/>
      <c r="Q236" s="61"/>
      <c r="R236" s="61"/>
      <c r="S236" s="61"/>
      <c r="T236" s="61"/>
      <c r="U236" s="61"/>
      <c r="V236" s="61"/>
      <c r="W236" s="61"/>
      <c r="X236" s="61"/>
      <c r="Y236" s="61"/>
      <c r="Z236" s="264"/>
      <c r="AA236" s="17"/>
      <c r="AB236" s="17">
        <v>5.6071878784882623E-2</v>
      </c>
      <c r="AC236" s="17">
        <v>5.6558729564311738E-2</v>
      </c>
      <c r="AD236" s="17">
        <v>5.728589783350313E-2</v>
      </c>
      <c r="AE236" s="17">
        <v>5.9294334562520978E-2</v>
      </c>
    </row>
    <row r="237" spans="1:38" x14ac:dyDescent="0.3">
      <c r="B237" s="3" t="s">
        <v>254</v>
      </c>
      <c r="C237" s="11"/>
      <c r="D237" s="11"/>
      <c r="E237" s="11"/>
      <c r="F237" s="11"/>
      <c r="G237" s="11"/>
      <c r="H237" s="11"/>
      <c r="I237" s="11"/>
      <c r="J237" s="11"/>
      <c r="K237" s="11"/>
      <c r="L237" s="11"/>
      <c r="M237" s="11"/>
      <c r="N237" s="11"/>
      <c r="O237" s="263"/>
      <c r="P237" s="61"/>
      <c r="Q237" s="61"/>
      <c r="R237" s="61"/>
      <c r="S237" s="61"/>
      <c r="T237" s="61"/>
      <c r="U237" s="61"/>
      <c r="V237" s="61"/>
      <c r="W237" s="61"/>
      <c r="X237" s="61"/>
      <c r="Y237" s="61"/>
      <c r="Z237" s="264"/>
      <c r="AA237" s="11"/>
      <c r="AB237" s="11"/>
      <c r="AC237" s="11"/>
      <c r="AD237" s="11"/>
      <c r="AE237" s="11"/>
    </row>
    <row r="238" spans="1:38" x14ac:dyDescent="0.3">
      <c r="C238" s="3" t="s">
        <v>146</v>
      </c>
      <c r="O238" s="263"/>
      <c r="P238" s="61"/>
      <c r="Q238" s="61"/>
      <c r="R238" s="61"/>
      <c r="S238" s="61"/>
      <c r="T238" s="61"/>
      <c r="U238" s="61"/>
      <c r="V238" s="61"/>
      <c r="W238" s="61"/>
      <c r="X238" s="61"/>
      <c r="Y238" s="61"/>
      <c r="Z238" s="264"/>
      <c r="AA238" s="17"/>
      <c r="AB238" s="17">
        <v>6.8316831683168378E-2</v>
      </c>
      <c r="AC238" s="17">
        <v>8.43373493975903E-2</v>
      </c>
      <c r="AD238" s="17">
        <v>8.2051282051281982E-2</v>
      </c>
      <c r="AE238" s="17">
        <v>7.5039494470774182E-2</v>
      </c>
    </row>
    <row r="239" spans="1:38" x14ac:dyDescent="0.3">
      <c r="C239" s="3" t="s">
        <v>147</v>
      </c>
      <c r="O239" s="263"/>
      <c r="P239" s="61"/>
      <c r="Q239" s="61"/>
      <c r="R239" s="61"/>
      <c r="S239" s="61"/>
      <c r="T239" s="61"/>
      <c r="U239" s="61"/>
      <c r="V239" s="61"/>
      <c r="W239" s="61"/>
      <c r="X239" s="61"/>
      <c r="Y239" s="61"/>
      <c r="Z239" s="264"/>
      <c r="AA239" s="17"/>
      <c r="AB239" s="17">
        <v>5.4912054912054975E-2</v>
      </c>
      <c r="AC239" s="17">
        <v>6.9947132980886506E-2</v>
      </c>
      <c r="AD239" s="17">
        <v>6.8795134929684476E-2</v>
      </c>
      <c r="AE239" s="17">
        <v>6.578947368421062E-2</v>
      </c>
    </row>
    <row r="240" spans="1:38" x14ac:dyDescent="0.3">
      <c r="C240" s="3" t="s">
        <v>148</v>
      </c>
      <c r="O240" s="263"/>
      <c r="P240" s="61"/>
      <c r="Q240" s="61"/>
      <c r="R240" s="61"/>
      <c r="S240" s="61"/>
      <c r="T240" s="61"/>
      <c r="U240" s="61"/>
      <c r="V240" s="61"/>
      <c r="W240" s="61"/>
      <c r="X240" s="61"/>
      <c r="Y240" s="61"/>
      <c r="Z240" s="264"/>
      <c r="AA240" s="17"/>
      <c r="AB240" s="17">
        <v>6.175298804780871E-2</v>
      </c>
      <c r="AC240" s="17">
        <v>7.5046904315196894E-2</v>
      </c>
      <c r="AD240" s="17">
        <v>7.5043630017451957E-2</v>
      </c>
      <c r="AE240" s="17">
        <v>7.4350649350649389E-2</v>
      </c>
    </row>
    <row r="241" spans="2:32" x14ac:dyDescent="0.3">
      <c r="C241" s="3" t="s">
        <v>149</v>
      </c>
      <c r="O241" s="263"/>
      <c r="P241" s="61"/>
      <c r="Q241" s="61"/>
      <c r="R241" s="61"/>
      <c r="S241" s="61"/>
      <c r="T241" s="61"/>
      <c r="U241" s="61"/>
      <c r="V241" s="61"/>
      <c r="W241" s="61"/>
      <c r="X241" s="61"/>
      <c r="Y241" s="61"/>
      <c r="Z241" s="264"/>
      <c r="AA241" s="17"/>
      <c r="AB241" s="17">
        <v>5.7692307692307709E-2</v>
      </c>
      <c r="AC241" s="17">
        <v>7.2727272727272751E-2</v>
      </c>
      <c r="AD241" s="17">
        <v>7.1864406779660994E-2</v>
      </c>
      <c r="AE241" s="17">
        <v>7.0208728652751518E-2</v>
      </c>
    </row>
    <row r="242" spans="2:32" x14ac:dyDescent="0.3">
      <c r="B242" s="3" t="s">
        <v>255</v>
      </c>
      <c r="C242" s="11"/>
      <c r="O242" s="263"/>
      <c r="P242" s="61"/>
      <c r="Q242" s="61"/>
      <c r="R242" s="61"/>
      <c r="S242" s="61"/>
      <c r="T242" s="61"/>
      <c r="U242" s="61"/>
      <c r="V242" s="61"/>
      <c r="W242" s="61"/>
      <c r="X242" s="61"/>
      <c r="Y242" s="61"/>
      <c r="Z242" s="264"/>
      <c r="AA242" s="121"/>
    </row>
    <row r="243" spans="2:32" x14ac:dyDescent="0.3">
      <c r="C243" s="3" t="s">
        <v>146</v>
      </c>
      <c r="O243" s="263"/>
      <c r="P243" s="61"/>
      <c r="Q243" s="61"/>
      <c r="R243" s="61"/>
      <c r="S243" s="61"/>
      <c r="T243" s="61"/>
      <c r="U243" s="61"/>
      <c r="V243" s="61"/>
      <c r="W243" s="61"/>
      <c r="X243" s="61"/>
      <c r="Y243" s="61"/>
      <c r="Z243" s="264"/>
      <c r="AA243" s="17"/>
      <c r="AB243" s="17">
        <v>6.956521739130439E-2</v>
      </c>
      <c r="AC243" s="17">
        <v>6.1653116531165342E-2</v>
      </c>
      <c r="AD243" s="17">
        <v>7.2750478621569803E-2</v>
      </c>
      <c r="AE243" s="17">
        <v>7.3170731707317138E-2</v>
      </c>
    </row>
    <row r="244" spans="2:32" x14ac:dyDescent="0.3">
      <c r="C244" s="3" t="s">
        <v>147</v>
      </c>
      <c r="O244" s="263"/>
      <c r="P244" s="61"/>
      <c r="Q244" s="61"/>
      <c r="R244" s="61"/>
      <c r="S244" s="61"/>
      <c r="T244" s="61"/>
      <c r="U244" s="61"/>
      <c r="V244" s="61"/>
      <c r="W244" s="61"/>
      <c r="X244" s="61"/>
      <c r="Y244" s="61"/>
      <c r="Z244" s="264"/>
      <c r="AA244" s="17"/>
      <c r="AB244" s="17">
        <v>5.723455469376848E-2</v>
      </c>
      <c r="AC244" s="17">
        <v>4.4776119402984982E-2</v>
      </c>
      <c r="AD244" s="17">
        <v>5.5932203389830404E-2</v>
      </c>
      <c r="AE244" s="17">
        <v>5.9848658564549462E-2</v>
      </c>
    </row>
    <row r="245" spans="2:32" x14ac:dyDescent="0.3">
      <c r="C245" s="3" t="s">
        <v>148</v>
      </c>
      <c r="O245" s="263"/>
      <c r="P245" s="61"/>
      <c r="Q245" s="61"/>
      <c r="R245" s="61"/>
      <c r="S245" s="61"/>
      <c r="T245" s="61"/>
      <c r="U245" s="61"/>
      <c r="V245" s="61"/>
      <c r="W245" s="61"/>
      <c r="X245" s="61"/>
      <c r="Y245" s="61"/>
      <c r="Z245" s="264"/>
      <c r="AA245" s="17"/>
      <c r="AB245" s="17">
        <v>6.2293108636773953E-2</v>
      </c>
      <c r="AC245" s="17">
        <v>5.0991501416430607E-2</v>
      </c>
      <c r="AD245" s="17">
        <v>6.2264150943396324E-2</v>
      </c>
      <c r="AE245" s="17">
        <v>6.5973103273280875E-2</v>
      </c>
    </row>
    <row r="246" spans="2:32" x14ac:dyDescent="0.3">
      <c r="C246" s="3" t="s">
        <v>149</v>
      </c>
      <c r="O246" s="263"/>
      <c r="P246" s="61"/>
      <c r="Q246" s="61"/>
      <c r="R246" s="61"/>
      <c r="S246" s="61"/>
      <c r="T246" s="61"/>
      <c r="U246" s="61"/>
      <c r="V246" s="61"/>
      <c r="W246" s="61"/>
      <c r="X246" s="61"/>
      <c r="Y246" s="61"/>
      <c r="Z246" s="264"/>
      <c r="AA246" s="17"/>
      <c r="AB246" s="17">
        <v>5.9432933478734906E-2</v>
      </c>
      <c r="AC246" s="17">
        <v>4.7349459598558852E-2</v>
      </c>
      <c r="AD246" s="17">
        <v>6.0442260442260531E-2</v>
      </c>
      <c r="AE246" s="17">
        <v>6.3948100092678484E-2</v>
      </c>
    </row>
    <row r="247" spans="2:32" x14ac:dyDescent="0.3">
      <c r="B247" s="3" t="s">
        <v>256</v>
      </c>
      <c r="O247" s="263"/>
      <c r="P247" s="61"/>
      <c r="Q247" s="61"/>
      <c r="R247" s="61"/>
      <c r="S247" s="61"/>
      <c r="T247" s="61"/>
      <c r="U247" s="61"/>
      <c r="V247" s="61"/>
      <c r="W247" s="61"/>
      <c r="X247" s="61"/>
      <c r="Y247" s="61"/>
      <c r="Z247" s="264"/>
      <c r="AA247" s="121"/>
    </row>
    <row r="248" spans="2:32" x14ac:dyDescent="0.3">
      <c r="C248" s="3" t="s">
        <v>146</v>
      </c>
      <c r="O248" s="263"/>
      <c r="P248" s="61"/>
      <c r="Q248" s="61"/>
      <c r="R248" s="61"/>
      <c r="S248" s="61"/>
      <c r="T248" s="61"/>
      <c r="U248" s="61"/>
      <c r="V248" s="61"/>
      <c r="W248" s="61"/>
      <c r="X248" s="61"/>
      <c r="Y248" s="61"/>
      <c r="Z248" s="264"/>
      <c r="AA248" s="17"/>
      <c r="AB248" s="17">
        <v>8.2295614510016213E-2</v>
      </c>
      <c r="AC248" s="17">
        <v>8.2541270635317687E-2</v>
      </c>
      <c r="AD248" s="17">
        <v>9.0110905730129476E-2</v>
      </c>
      <c r="AE248" s="17">
        <v>8.6477320898685983E-2</v>
      </c>
    </row>
    <row r="249" spans="2:32" x14ac:dyDescent="0.3">
      <c r="C249" s="3" t="s">
        <v>147</v>
      </c>
      <c r="O249" s="263"/>
      <c r="P249" s="61"/>
      <c r="Q249" s="61"/>
      <c r="R249" s="61"/>
      <c r="S249" s="61"/>
      <c r="T249" s="61"/>
      <c r="U249" s="61"/>
      <c r="V249" s="61"/>
      <c r="W249" s="61"/>
      <c r="X249" s="61"/>
      <c r="Y249" s="61"/>
      <c r="Z249" s="264"/>
      <c r="AA249" s="17"/>
      <c r="AB249" s="17">
        <v>6.7721626680279146E-2</v>
      </c>
      <c r="AC249" s="17">
        <v>6.645418326693231E-2</v>
      </c>
      <c r="AD249" s="17">
        <v>7.4417214584578506E-2</v>
      </c>
      <c r="AE249" s="17">
        <v>7.5104311543810809E-2</v>
      </c>
    </row>
    <row r="250" spans="2:32" x14ac:dyDescent="0.3">
      <c r="C250" s="3" t="s">
        <v>148</v>
      </c>
      <c r="O250" s="263"/>
      <c r="P250" s="61"/>
      <c r="Q250" s="61"/>
      <c r="R250" s="61"/>
      <c r="S250" s="61"/>
      <c r="T250" s="61"/>
      <c r="U250" s="61"/>
      <c r="V250" s="61"/>
      <c r="W250" s="61"/>
      <c r="X250" s="61"/>
      <c r="Y250" s="61"/>
      <c r="Z250" s="264"/>
      <c r="AA250" s="17"/>
      <c r="AB250" s="17">
        <v>7.4197860962566864E-2</v>
      </c>
      <c r="AC250" s="17">
        <v>7.2184194150591185E-2</v>
      </c>
      <c r="AD250" s="17">
        <v>7.9512478235635564E-2</v>
      </c>
      <c r="AE250" s="17">
        <v>8.1989247311827995E-2</v>
      </c>
    </row>
    <row r="251" spans="2:32" x14ac:dyDescent="0.3">
      <c r="C251" s="3" t="s">
        <v>149</v>
      </c>
      <c r="O251" s="263"/>
      <c r="P251" s="61"/>
      <c r="Q251" s="61"/>
      <c r="R251" s="61"/>
      <c r="S251" s="61"/>
      <c r="T251" s="61"/>
      <c r="U251" s="61"/>
      <c r="V251" s="61"/>
      <c r="W251" s="61"/>
      <c r="X251" s="61"/>
      <c r="Y251" s="61"/>
      <c r="Z251" s="264"/>
      <c r="AA251" s="17"/>
      <c r="AB251" s="17">
        <v>7.0584577114427782E-2</v>
      </c>
      <c r="AC251" s="17">
        <v>6.9997095556201039E-2</v>
      </c>
      <c r="AD251" s="17">
        <v>7.7633007600434345E-2</v>
      </c>
      <c r="AE251" s="17">
        <v>7.9345088161208999E-2</v>
      </c>
    </row>
    <row r="252" spans="2:32" x14ac:dyDescent="0.3">
      <c r="B252" s="3" t="s">
        <v>236</v>
      </c>
      <c r="O252" s="263"/>
      <c r="P252" s="61"/>
      <c r="Q252" s="61"/>
      <c r="R252" s="61"/>
      <c r="S252" s="61"/>
      <c r="T252" s="61"/>
      <c r="U252" s="61"/>
      <c r="V252" s="61"/>
      <c r="W252" s="61"/>
      <c r="X252" s="61"/>
      <c r="Y252" s="61"/>
      <c r="Z252" s="264"/>
      <c r="AA252" s="17"/>
      <c r="AB252" s="17"/>
      <c r="AC252" s="17"/>
      <c r="AD252" s="17"/>
      <c r="AE252" s="17"/>
      <c r="AF252" s="225" t="s">
        <v>268</v>
      </c>
    </row>
    <row r="253" spans="2:32" x14ac:dyDescent="0.3">
      <c r="C253" s="3" t="s">
        <v>146</v>
      </c>
      <c r="O253" s="263"/>
      <c r="P253" s="61"/>
      <c r="Q253" s="61"/>
      <c r="R253" s="61"/>
      <c r="S253" s="61"/>
      <c r="T253" s="61"/>
      <c r="U253" s="61"/>
      <c r="V253" s="61"/>
      <c r="W253" s="61"/>
      <c r="X253" s="61"/>
      <c r="Y253" s="61"/>
      <c r="Z253" s="264"/>
      <c r="AA253" s="17"/>
      <c r="AB253" s="17">
        <v>8.5477216891484797E-2</v>
      </c>
      <c r="AC253" s="17">
        <v>6.8031252785122343E-2</v>
      </c>
      <c r="AD253" s="17">
        <v>6.8287391171316436E-2</v>
      </c>
      <c r="AE253" s="17">
        <v>6.5901161276883835E-2</v>
      </c>
    </row>
    <row r="254" spans="2:32" x14ac:dyDescent="0.3">
      <c r="C254" s="3" t="s">
        <v>147</v>
      </c>
      <c r="O254" s="263"/>
      <c r="P254" s="61"/>
      <c r="Q254" s="61"/>
      <c r="R254" s="61"/>
      <c r="S254" s="61"/>
      <c r="T254" s="61"/>
      <c r="U254" s="61"/>
      <c r="V254" s="61"/>
      <c r="W254" s="61"/>
      <c r="X254" s="61"/>
      <c r="Y254" s="61"/>
      <c r="Z254" s="264"/>
      <c r="AA254" s="17"/>
      <c r="AB254" s="17">
        <v>5.404943650198013E-2</v>
      </c>
      <c r="AC254" s="17">
        <v>5.3576080349648336E-2</v>
      </c>
      <c r="AD254" s="17">
        <v>5.4115384615384565E-2</v>
      </c>
      <c r="AE254" s="17">
        <v>5.5402947109445488E-2</v>
      </c>
    </row>
    <row r="255" spans="2:32" x14ac:dyDescent="0.3">
      <c r="C255" s="3" t="s">
        <v>148</v>
      </c>
      <c r="O255" s="263"/>
      <c r="P255" s="61"/>
      <c r="Q255" s="61"/>
      <c r="R255" s="61"/>
      <c r="S255" s="61"/>
      <c r="T255" s="61"/>
      <c r="U255" s="61"/>
      <c r="V255" s="61"/>
      <c r="W255" s="61"/>
      <c r="X255" s="61"/>
      <c r="Y255" s="61"/>
      <c r="Z255" s="264"/>
      <c r="AA255" s="17"/>
      <c r="AB255" s="17">
        <v>6.0085864452245064E-2</v>
      </c>
      <c r="AC255" s="17">
        <v>5.8992675101398495E-2</v>
      </c>
      <c r="AD255" s="17">
        <v>5.951925000714553E-2</v>
      </c>
      <c r="AE255" s="17">
        <v>6.1889321111213036E-2</v>
      </c>
    </row>
    <row r="256" spans="2:32" x14ac:dyDescent="0.3">
      <c r="C256" s="3" t="s">
        <v>149</v>
      </c>
      <c r="O256" s="263"/>
      <c r="P256" s="61"/>
      <c r="Q256" s="61"/>
      <c r="R256" s="61"/>
      <c r="S256" s="61"/>
      <c r="T256" s="61"/>
      <c r="U256" s="61"/>
      <c r="V256" s="61"/>
      <c r="W256" s="61"/>
      <c r="X256" s="61"/>
      <c r="Y256" s="61"/>
      <c r="Z256" s="264"/>
      <c r="AA256" s="17"/>
      <c r="AB256" s="17">
        <v>5.6071878784882623E-2</v>
      </c>
      <c r="AC256" s="17">
        <v>5.6558729564311738E-2</v>
      </c>
      <c r="AD256" s="17">
        <v>5.728589783350313E-2</v>
      </c>
      <c r="AE256" s="17">
        <v>5.9294334562520978E-2</v>
      </c>
    </row>
    <row r="257" spans="2:32" x14ac:dyDescent="0.3">
      <c r="B257" s="3" t="s">
        <v>237</v>
      </c>
      <c r="O257" s="263"/>
      <c r="P257" s="61"/>
      <c r="Q257" s="61"/>
      <c r="R257" s="61"/>
      <c r="S257" s="61"/>
      <c r="T257" s="61"/>
      <c r="U257" s="61"/>
      <c r="V257" s="61"/>
      <c r="W257" s="61"/>
      <c r="X257" s="61"/>
      <c r="Y257" s="61"/>
      <c r="Z257" s="264"/>
      <c r="AF257" s="225" t="s">
        <v>269</v>
      </c>
    </row>
    <row r="258" spans="2:32" x14ac:dyDescent="0.3">
      <c r="C258" s="3" t="s">
        <v>146</v>
      </c>
      <c r="O258" s="263"/>
      <c r="P258" s="61"/>
      <c r="Q258" s="61"/>
      <c r="R258" s="61"/>
      <c r="S258" s="61"/>
      <c r="T258" s="61"/>
      <c r="U258" s="61"/>
      <c r="V258" s="61"/>
      <c r="W258" s="61"/>
      <c r="X258" s="61"/>
      <c r="Y258" s="61"/>
      <c r="Z258" s="264"/>
      <c r="AA258" s="17"/>
      <c r="AB258" s="17">
        <v>4.7689191677407372E-2</v>
      </c>
      <c r="AC258" s="17">
        <v>5.4305799648506126E-2</v>
      </c>
      <c r="AD258" s="17">
        <v>5.3508918153025498E-2</v>
      </c>
      <c r="AE258" s="17">
        <v>4.4620253164556978E-2</v>
      </c>
    </row>
    <row r="259" spans="2:32" x14ac:dyDescent="0.3">
      <c r="C259" s="3" t="s">
        <v>147</v>
      </c>
      <c r="O259" s="263"/>
      <c r="P259" s="61"/>
      <c r="Q259" s="61"/>
      <c r="R259" s="61"/>
      <c r="S259" s="61"/>
      <c r="T259" s="61"/>
      <c r="U259" s="61"/>
      <c r="V259" s="61"/>
      <c r="W259" s="61"/>
      <c r="X259" s="61"/>
      <c r="Y259" s="61"/>
      <c r="Z259" s="264"/>
      <c r="AA259" s="17"/>
      <c r="AB259" s="17">
        <v>3.5054443273621283E-2</v>
      </c>
      <c r="AC259" s="17">
        <v>3.8821772770462948E-2</v>
      </c>
      <c r="AD259" s="17">
        <v>3.8546975042466958E-2</v>
      </c>
      <c r="AE259" s="17">
        <v>3.3530447911424233E-2</v>
      </c>
    </row>
    <row r="260" spans="2:32" x14ac:dyDescent="0.3">
      <c r="C260" s="3" t="s">
        <v>148</v>
      </c>
      <c r="O260" s="263"/>
      <c r="P260" s="61"/>
      <c r="Q260" s="61"/>
      <c r="R260" s="61"/>
      <c r="S260" s="61"/>
      <c r="T260" s="61"/>
      <c r="U260" s="61"/>
      <c r="V260" s="61"/>
      <c r="W260" s="61"/>
      <c r="X260" s="61"/>
      <c r="Y260" s="61"/>
      <c r="Z260" s="264"/>
      <c r="AA260" s="17"/>
      <c r="AB260" s="17">
        <v>4.1132401671228891E-2</v>
      </c>
      <c r="AC260" s="17">
        <v>4.4212274268317975E-2</v>
      </c>
      <c r="AD260" s="17">
        <v>4.3996819507023499E-2</v>
      </c>
      <c r="AE260" s="17">
        <v>3.9857831937039956E-2</v>
      </c>
    </row>
    <row r="261" spans="2:32" x14ac:dyDescent="0.3">
      <c r="C261" s="3" t="s">
        <v>149</v>
      </c>
      <c r="O261" s="263"/>
      <c r="P261" s="61"/>
      <c r="Q261" s="61"/>
      <c r="R261" s="61"/>
      <c r="S261" s="61"/>
      <c r="T261" s="61"/>
      <c r="U261" s="61"/>
      <c r="V261" s="61"/>
      <c r="W261" s="61"/>
      <c r="X261" s="61"/>
      <c r="Y261" s="61"/>
      <c r="Z261" s="264"/>
      <c r="AA261" s="17"/>
      <c r="AB261" s="17">
        <v>3.7290924047161944E-2</v>
      </c>
      <c r="AC261" s="17">
        <v>4.1633624107850986E-2</v>
      </c>
      <c r="AD261" s="17">
        <v>4.1745971323436049E-2</v>
      </c>
      <c r="AE261" s="17">
        <v>3.7393422655298325E-2</v>
      </c>
    </row>
    <row r="262" spans="2:32" x14ac:dyDescent="0.3">
      <c r="B262" s="3" t="s">
        <v>238</v>
      </c>
      <c r="O262" s="263"/>
      <c r="P262" s="61"/>
      <c r="Q262" s="61"/>
      <c r="R262" s="61"/>
      <c r="S262" s="61"/>
      <c r="T262" s="61"/>
      <c r="U262" s="61"/>
      <c r="V262" s="61"/>
      <c r="W262" s="61"/>
      <c r="X262" s="61"/>
      <c r="Y262" s="61"/>
      <c r="Z262" s="264"/>
      <c r="AA262" s="17"/>
      <c r="AB262" s="17"/>
      <c r="AC262" s="17"/>
      <c r="AD262" s="17"/>
      <c r="AE262" s="17"/>
    </row>
    <row r="263" spans="2:32" x14ac:dyDescent="0.3">
      <c r="C263" s="3" t="s">
        <v>146</v>
      </c>
      <c r="O263" s="263"/>
      <c r="P263" s="61"/>
      <c r="Q263" s="61"/>
      <c r="R263" s="61"/>
      <c r="S263" s="61"/>
      <c r="T263" s="61"/>
      <c r="U263" s="61"/>
      <c r="V263" s="61"/>
      <c r="W263" s="61"/>
      <c r="X263" s="61"/>
      <c r="Y263" s="61"/>
      <c r="Z263" s="264"/>
      <c r="AA263" s="17"/>
      <c r="AB263" s="17">
        <v>5.476673427991896E-2</v>
      </c>
      <c r="AC263" s="17">
        <v>5.0000000000000044E-2</v>
      </c>
      <c r="AD263" s="17">
        <v>5.4945054945054972E-2</v>
      </c>
      <c r="AE263" s="17">
        <v>6.25E-2</v>
      </c>
    </row>
    <row r="264" spans="2:32" x14ac:dyDescent="0.3">
      <c r="C264" s="3" t="s">
        <v>147</v>
      </c>
      <c r="O264" s="263"/>
      <c r="P264" s="61"/>
      <c r="Q264" s="61"/>
      <c r="R264" s="61"/>
      <c r="S264" s="61"/>
      <c r="T264" s="61"/>
      <c r="U264" s="61"/>
      <c r="V264" s="61"/>
      <c r="W264" s="61"/>
      <c r="X264" s="61"/>
      <c r="Y264" s="61"/>
      <c r="Z264" s="264"/>
      <c r="AA264" s="17"/>
      <c r="AB264" s="17">
        <v>3.6737692872887528E-2</v>
      </c>
      <c r="AC264" s="17">
        <v>4.1105598866052473E-2</v>
      </c>
      <c r="AD264" s="17">
        <v>4.0844111640571779E-2</v>
      </c>
      <c r="AE264" s="17">
        <v>5.2321778940483954E-2</v>
      </c>
    </row>
    <row r="265" spans="2:32" x14ac:dyDescent="0.3">
      <c r="C265" s="3" t="s">
        <v>148</v>
      </c>
      <c r="O265" s="263"/>
      <c r="P265" s="61"/>
      <c r="Q265" s="61"/>
      <c r="R265" s="61"/>
      <c r="S265" s="61"/>
      <c r="T265" s="61"/>
      <c r="U265" s="61"/>
      <c r="V265" s="61"/>
      <c r="W265" s="61"/>
      <c r="X265" s="61"/>
      <c r="Y265" s="61"/>
      <c r="Z265" s="264"/>
      <c r="AA265" s="17"/>
      <c r="AB265" s="17">
        <v>4.8448145344436089E-2</v>
      </c>
      <c r="AC265" s="17">
        <v>4.6209386281588438E-2</v>
      </c>
      <c r="AD265" s="17">
        <v>4.554865424430643E-2</v>
      </c>
      <c r="AE265" s="17">
        <v>5.8085808580857989E-2</v>
      </c>
    </row>
    <row r="266" spans="2:32" x14ac:dyDescent="0.3">
      <c r="C266" s="3" t="s">
        <v>149</v>
      </c>
      <c r="O266" s="263"/>
      <c r="P266" s="61"/>
      <c r="Q266" s="61"/>
      <c r="R266" s="61"/>
      <c r="S266" s="61"/>
      <c r="T266" s="61"/>
      <c r="U266" s="61"/>
      <c r="V266" s="61"/>
      <c r="W266" s="61"/>
      <c r="X266" s="61"/>
      <c r="Y266" s="61"/>
      <c r="Z266" s="264"/>
      <c r="AA266" s="17"/>
      <c r="AB266" s="17">
        <v>4.3352601156069426E-2</v>
      </c>
      <c r="AC266" s="17">
        <v>4.4321329639889218E-2</v>
      </c>
      <c r="AD266" s="17">
        <v>4.6419098143235971E-2</v>
      </c>
      <c r="AE266" s="17">
        <v>5.0697084917617152E-2</v>
      </c>
    </row>
    <row r="267" spans="2:32" x14ac:dyDescent="0.3">
      <c r="B267" s="3" t="s">
        <v>239</v>
      </c>
      <c r="O267" s="263"/>
      <c r="P267" s="61"/>
      <c r="Q267" s="61"/>
      <c r="R267" s="61"/>
      <c r="S267" s="61"/>
      <c r="T267" s="61"/>
      <c r="U267" s="61"/>
      <c r="V267" s="61"/>
      <c r="W267" s="61"/>
      <c r="X267" s="61"/>
      <c r="Y267" s="61"/>
      <c r="Z267" s="264"/>
    </row>
    <row r="268" spans="2:32" x14ac:dyDescent="0.3">
      <c r="C268" s="3" t="s">
        <v>146</v>
      </c>
      <c r="O268" s="263"/>
      <c r="P268" s="61"/>
      <c r="Q268" s="61"/>
      <c r="R268" s="61"/>
      <c r="S268" s="61"/>
      <c r="T268" s="61"/>
      <c r="U268" s="61"/>
      <c r="V268" s="61"/>
      <c r="W268" s="61"/>
      <c r="X268" s="61"/>
      <c r="Y268" s="61"/>
      <c r="Z268" s="264"/>
      <c r="AA268" s="137"/>
      <c r="AB268" s="137">
        <v>4.6718576195773132E-2</v>
      </c>
      <c r="AC268" s="137">
        <v>5.0333301130325525E-2</v>
      </c>
      <c r="AD268" s="137">
        <v>5.2612214863870577E-2</v>
      </c>
      <c r="AE268" s="137">
        <v>5.1118490038448039E-2</v>
      </c>
    </row>
    <row r="269" spans="2:32" x14ac:dyDescent="0.3">
      <c r="C269" s="3" t="s">
        <v>147</v>
      </c>
      <c r="O269" s="263"/>
      <c r="P269" s="61"/>
      <c r="Q269" s="61"/>
      <c r="R269" s="61"/>
      <c r="S269" s="61"/>
      <c r="T269" s="61"/>
      <c r="U269" s="61"/>
      <c r="V269" s="61"/>
      <c r="W269" s="61"/>
      <c r="X269" s="61"/>
      <c r="Y269" s="61"/>
      <c r="Z269" s="264"/>
      <c r="AA269" s="137"/>
      <c r="AB269" s="137">
        <v>3.4042014679827926E-2</v>
      </c>
      <c r="AC269" s="137">
        <v>3.5450577244727333E-2</v>
      </c>
      <c r="AD269" s="137">
        <v>3.8294854621385266E-2</v>
      </c>
      <c r="AE269" s="137">
        <v>4.0031873719359456E-2</v>
      </c>
    </row>
    <row r="270" spans="2:32" x14ac:dyDescent="0.3">
      <c r="C270" s="3" t="s">
        <v>148</v>
      </c>
      <c r="O270" s="263"/>
      <c r="P270" s="61"/>
      <c r="Q270" s="61"/>
      <c r="R270" s="61"/>
      <c r="S270" s="61"/>
      <c r="T270" s="61"/>
      <c r="U270" s="61"/>
      <c r="V270" s="61"/>
      <c r="W270" s="61"/>
      <c r="X270" s="61"/>
      <c r="Y270" s="61"/>
      <c r="Z270" s="264"/>
      <c r="AA270" s="137"/>
      <c r="AB270" s="137">
        <v>3.9933742221426316E-2</v>
      </c>
      <c r="AC270" s="137">
        <v>4.050970769296991E-2</v>
      </c>
      <c r="AD270" s="137">
        <v>4.3400910219280053E-2</v>
      </c>
      <c r="AE270" s="137">
        <v>4.6671160632856257E-2</v>
      </c>
    </row>
    <row r="271" spans="2:32" x14ac:dyDescent="0.3">
      <c r="C271" s="3" t="s">
        <v>149</v>
      </c>
      <c r="O271" s="263"/>
      <c r="P271" s="61"/>
      <c r="Q271" s="61"/>
      <c r="R271" s="61"/>
      <c r="S271" s="61"/>
      <c r="T271" s="61"/>
      <c r="U271" s="61"/>
      <c r="V271" s="61"/>
      <c r="W271" s="61"/>
      <c r="X271" s="61"/>
      <c r="Y271" s="61"/>
      <c r="Z271" s="264"/>
      <c r="AA271" s="137"/>
      <c r="AB271" s="137">
        <v>3.5521033339151575E-2</v>
      </c>
      <c r="AC271" s="137">
        <v>3.8516645596291532E-2</v>
      </c>
      <c r="AD271" s="137">
        <v>4.1470540496672648E-2</v>
      </c>
      <c r="AE271" s="137">
        <v>4.3559572975921501E-2</v>
      </c>
    </row>
    <row r="272" spans="2:32" x14ac:dyDescent="0.3">
      <c r="B272" s="3" t="s">
        <v>240</v>
      </c>
      <c r="O272" s="263"/>
      <c r="P272" s="61"/>
      <c r="Q272" s="61"/>
      <c r="R272" s="61"/>
      <c r="S272" s="61"/>
      <c r="T272" s="61"/>
      <c r="U272" s="61"/>
      <c r="V272" s="61"/>
      <c r="W272" s="61"/>
      <c r="X272" s="61"/>
      <c r="Y272" s="61"/>
      <c r="Z272" s="264"/>
    </row>
    <row r="273" spans="2:31" x14ac:dyDescent="0.3">
      <c r="C273" s="3" t="s">
        <v>146</v>
      </c>
      <c r="O273" s="263"/>
      <c r="P273" s="61"/>
      <c r="Q273" s="61"/>
      <c r="R273" s="61"/>
      <c r="S273" s="61"/>
      <c r="T273" s="61"/>
      <c r="U273" s="61"/>
      <c r="V273" s="61"/>
      <c r="W273" s="61"/>
      <c r="X273" s="61"/>
      <c r="Y273" s="61"/>
      <c r="Z273" s="264"/>
      <c r="AA273" s="17"/>
      <c r="AB273" s="17">
        <v>6.5710872162485057E-2</v>
      </c>
      <c r="AC273" s="17">
        <v>7.3991031390134632E-2</v>
      </c>
      <c r="AD273" s="17">
        <v>8.1419624217119013E-2</v>
      </c>
      <c r="AE273" s="17">
        <v>6.370656370656369E-2</v>
      </c>
    </row>
    <row r="274" spans="2:31" x14ac:dyDescent="0.3">
      <c r="C274" s="3" t="s">
        <v>147</v>
      </c>
      <c r="O274" s="263"/>
      <c r="P274" s="61"/>
      <c r="Q274" s="61"/>
      <c r="R274" s="61"/>
      <c r="S274" s="61"/>
      <c r="T274" s="61"/>
      <c r="U274" s="61"/>
      <c r="V274" s="61"/>
      <c r="W274" s="61"/>
      <c r="X274" s="61"/>
      <c r="Y274" s="61"/>
      <c r="Z274" s="264"/>
      <c r="AA274" s="17"/>
      <c r="AB274" s="17">
        <v>5.0795053003533486E-2</v>
      </c>
      <c r="AC274" s="17">
        <v>5.2543085329970651E-2</v>
      </c>
      <c r="AD274" s="17">
        <v>4.832268370607018E-2</v>
      </c>
      <c r="AE274" s="17">
        <v>5.4095238095238196E-2</v>
      </c>
    </row>
    <row r="275" spans="2:31" x14ac:dyDescent="0.3">
      <c r="C275" s="3" t="s">
        <v>148</v>
      </c>
      <c r="O275" s="263"/>
      <c r="P275" s="61"/>
      <c r="Q275" s="61"/>
      <c r="R275" s="61"/>
      <c r="S275" s="61"/>
      <c r="T275" s="61"/>
      <c r="U275" s="61"/>
      <c r="V275" s="61"/>
      <c r="W275" s="61"/>
      <c r="X275" s="61"/>
      <c r="Y275" s="61"/>
      <c r="Z275" s="264"/>
      <c r="AA275" s="17"/>
      <c r="AB275" s="17">
        <v>5.9437386569872963E-2</v>
      </c>
      <c r="AC275" s="17">
        <v>5.2248394004282606E-2</v>
      </c>
      <c r="AD275" s="17">
        <v>5.1282051282051322E-2</v>
      </c>
      <c r="AE275" s="17">
        <v>5.7297715834301099E-2</v>
      </c>
    </row>
    <row r="276" spans="2:31" x14ac:dyDescent="0.3">
      <c r="C276" s="3" t="s">
        <v>149</v>
      </c>
      <c r="O276" s="263"/>
      <c r="P276" s="61"/>
      <c r="Q276" s="61"/>
      <c r="R276" s="61"/>
      <c r="S276" s="61"/>
      <c r="T276" s="61"/>
      <c r="U276" s="61"/>
      <c r="V276" s="61"/>
      <c r="W276" s="61"/>
      <c r="X276" s="61"/>
      <c r="Y276" s="61"/>
      <c r="Z276" s="264"/>
      <c r="AA276" s="17"/>
      <c r="AB276" s="17">
        <v>5.4640069384215062E-2</v>
      </c>
      <c r="AC276" s="17">
        <v>5.1809210526315708E-2</v>
      </c>
      <c r="AD276" s="17">
        <v>4.3784206411258797E-2</v>
      </c>
      <c r="AE276" s="17">
        <v>5.4681647940074907E-2</v>
      </c>
    </row>
    <row r="277" spans="2:31" x14ac:dyDescent="0.3">
      <c r="B277" s="3" t="s">
        <v>14</v>
      </c>
      <c r="O277" s="263"/>
      <c r="P277" s="61"/>
      <c r="Q277" s="61"/>
      <c r="R277" s="61"/>
      <c r="S277" s="61"/>
      <c r="T277" s="61"/>
      <c r="U277" s="61"/>
      <c r="V277" s="61"/>
      <c r="W277" s="61"/>
      <c r="X277" s="61"/>
      <c r="Y277" s="61"/>
      <c r="Z277" s="264"/>
    </row>
    <row r="278" spans="2:31" x14ac:dyDescent="0.3">
      <c r="C278" s="3" t="s">
        <v>146</v>
      </c>
      <c r="O278" s="263"/>
      <c r="P278" s="61"/>
      <c r="Q278" s="61"/>
      <c r="R278" s="61"/>
      <c r="S278" s="61"/>
      <c r="T278" s="61"/>
      <c r="U278" s="61"/>
      <c r="V278" s="61"/>
      <c r="W278" s="61"/>
      <c r="X278" s="61"/>
      <c r="Y278" s="61"/>
      <c r="Z278" s="264"/>
      <c r="AA278" s="17"/>
      <c r="AB278" s="17">
        <v>5.7059346803914002E-2</v>
      </c>
      <c r="AC278" s="17">
        <v>5.872805962971861E-2</v>
      </c>
      <c r="AD278" s="17">
        <v>5.8025322205189411E-2</v>
      </c>
      <c r="AE278" s="17">
        <v>5.5916286557553097E-2</v>
      </c>
    </row>
    <row r="279" spans="2:31" x14ac:dyDescent="0.3">
      <c r="C279" s="3" t="s">
        <v>147</v>
      </c>
      <c r="O279" s="263"/>
      <c r="P279" s="61"/>
      <c r="Q279" s="61"/>
      <c r="R279" s="61"/>
      <c r="S279" s="61"/>
      <c r="T279" s="61"/>
      <c r="U279" s="61"/>
      <c r="V279" s="61"/>
      <c r="W279" s="61"/>
      <c r="X279" s="61"/>
      <c r="Y279" s="61"/>
      <c r="Z279" s="264"/>
      <c r="AA279" s="17"/>
      <c r="AB279" s="17">
        <v>4.4919864725775582E-2</v>
      </c>
      <c r="AC279" s="17">
        <v>4.3903468655456246E-2</v>
      </c>
      <c r="AD279" s="17">
        <v>4.371953000381934E-2</v>
      </c>
      <c r="AE279" s="17">
        <v>4.4708009557224981E-2</v>
      </c>
    </row>
    <row r="280" spans="2:31" x14ac:dyDescent="0.3">
      <c r="C280" s="3" t="s">
        <v>148</v>
      </c>
      <c r="O280" s="263"/>
      <c r="P280" s="61"/>
      <c r="Q280" s="61"/>
      <c r="R280" s="61"/>
      <c r="S280" s="61"/>
      <c r="T280" s="61"/>
      <c r="U280" s="61"/>
      <c r="V280" s="61"/>
      <c r="W280" s="61"/>
      <c r="X280" s="61"/>
      <c r="Y280" s="61"/>
      <c r="Z280" s="264"/>
      <c r="AA280" s="17"/>
      <c r="AB280" s="17">
        <v>5.0933482962660648E-2</v>
      </c>
      <c r="AC280" s="17">
        <v>4.9532823686445848E-2</v>
      </c>
      <c r="AD280" s="17">
        <v>4.95305924247329E-2</v>
      </c>
      <c r="AE280" s="17">
        <v>5.1269057900766635E-2</v>
      </c>
    </row>
    <row r="281" spans="2:31" x14ac:dyDescent="0.3">
      <c r="C281" s="3" t="s">
        <v>149</v>
      </c>
      <c r="O281" s="263"/>
      <c r="P281" s="61"/>
      <c r="Q281" s="61"/>
      <c r="R281" s="61"/>
      <c r="S281" s="61"/>
      <c r="T281" s="61"/>
      <c r="U281" s="61"/>
      <c r="V281" s="61"/>
      <c r="W281" s="61"/>
      <c r="X281" s="61"/>
      <c r="Y281" s="61"/>
      <c r="Z281" s="264"/>
      <c r="AA281" s="17"/>
      <c r="AB281" s="17">
        <v>4.7133258129383515E-2</v>
      </c>
      <c r="AC281" s="17">
        <v>4.6838407494145251E-2</v>
      </c>
      <c r="AD281" s="17">
        <v>4.7606263982102881E-2</v>
      </c>
      <c r="AE281" s="17">
        <v>4.8902366105748607E-2</v>
      </c>
    </row>
    <row r="282" spans="2:31" x14ac:dyDescent="0.3">
      <c r="B282" s="3" t="s">
        <v>15</v>
      </c>
      <c r="O282" s="263"/>
      <c r="P282" s="61"/>
      <c r="Q282" s="61"/>
      <c r="R282" s="61"/>
      <c r="S282" s="61"/>
      <c r="T282" s="61"/>
      <c r="U282" s="61"/>
      <c r="V282" s="61"/>
      <c r="W282" s="61"/>
      <c r="X282" s="61"/>
      <c r="Y282" s="61"/>
      <c r="Z282" s="264"/>
    </row>
    <row r="283" spans="2:31" x14ac:dyDescent="0.3">
      <c r="C283" s="3" t="s">
        <v>146</v>
      </c>
      <c r="O283" s="263"/>
      <c r="P283" s="61"/>
      <c r="Q283" s="61"/>
      <c r="R283" s="61"/>
      <c r="S283" s="61"/>
      <c r="T283" s="61"/>
      <c r="U283" s="61"/>
      <c r="V283" s="61"/>
      <c r="W283" s="61"/>
      <c r="X283" s="61"/>
      <c r="Y283" s="61"/>
      <c r="Z283" s="264"/>
      <c r="AA283" s="17"/>
      <c r="AB283" s="17">
        <v>8.5477216891484797E-2</v>
      </c>
      <c r="AC283" s="17">
        <v>8.3956100269035216E-2</v>
      </c>
      <c r="AD283" s="17">
        <v>8.1077886774612917E-2</v>
      </c>
      <c r="AE283" s="17">
        <v>7.9297401698188885E-2</v>
      </c>
    </row>
    <row r="284" spans="2:31" x14ac:dyDescent="0.3">
      <c r="C284" s="3" t="s">
        <v>147</v>
      </c>
      <c r="O284" s="263"/>
      <c r="P284" s="61"/>
      <c r="Q284" s="61"/>
      <c r="R284" s="61"/>
      <c r="S284" s="61"/>
      <c r="T284" s="61"/>
      <c r="U284" s="61"/>
      <c r="V284" s="61"/>
      <c r="W284" s="61"/>
      <c r="X284" s="61"/>
      <c r="Y284" s="61"/>
      <c r="Z284" s="264"/>
      <c r="AA284" s="17"/>
      <c r="AB284" s="17">
        <v>7.2262659056396394E-2</v>
      </c>
      <c r="AC284" s="17">
        <v>6.9720499422115889E-2</v>
      </c>
      <c r="AD284" s="17">
        <v>6.7200292175183307E-2</v>
      </c>
      <c r="AE284" s="17">
        <v>6.8914872379866043E-2</v>
      </c>
    </row>
    <row r="285" spans="2:31" x14ac:dyDescent="0.3">
      <c r="C285" s="3" t="s">
        <v>148</v>
      </c>
      <c r="O285" s="263"/>
      <c r="P285" s="61"/>
      <c r="Q285" s="61"/>
      <c r="R285" s="61"/>
      <c r="S285" s="61"/>
      <c r="T285" s="61"/>
      <c r="U285" s="61"/>
      <c r="V285" s="61"/>
      <c r="W285" s="61"/>
      <c r="X285" s="61"/>
      <c r="Y285" s="61"/>
      <c r="Z285" s="264"/>
      <c r="AA285" s="17"/>
      <c r="AB285" s="17">
        <v>7.854244956718448E-2</v>
      </c>
      <c r="AC285" s="17">
        <v>7.5180280127582932E-2</v>
      </c>
      <c r="AD285" s="17">
        <v>7.2422410318419894E-2</v>
      </c>
      <c r="AE285" s="17">
        <v>7.5469428867808164E-2</v>
      </c>
    </row>
    <row r="286" spans="2:31" x14ac:dyDescent="0.3">
      <c r="B286" s="92"/>
      <c r="C286" s="92" t="s">
        <v>149</v>
      </c>
      <c r="D286" s="92"/>
      <c r="E286" s="92"/>
      <c r="F286" s="92"/>
      <c r="G286" s="92"/>
      <c r="H286" s="92"/>
      <c r="I286" s="92"/>
      <c r="J286" s="92"/>
      <c r="K286" s="92"/>
      <c r="L286" s="92"/>
      <c r="M286" s="92"/>
      <c r="N286" s="92"/>
      <c r="O286" s="268"/>
      <c r="P286" s="269"/>
      <c r="Q286" s="269"/>
      <c r="R286" s="269"/>
      <c r="S286" s="269"/>
      <c r="T286" s="269"/>
      <c r="U286" s="269"/>
      <c r="V286" s="269"/>
      <c r="W286" s="269"/>
      <c r="X286" s="269"/>
      <c r="Y286" s="269"/>
      <c r="Z286" s="270"/>
      <c r="AA286" s="279"/>
      <c r="AB286" s="279">
        <v>7.4580327036728233E-2</v>
      </c>
      <c r="AC286" s="279">
        <v>7.2676968756326232E-2</v>
      </c>
      <c r="AD286" s="279">
        <v>7.0080523402113792E-2</v>
      </c>
      <c r="AE286" s="279">
        <v>7.2986478542033995E-2</v>
      </c>
    </row>
    <row r="287" spans="2:31" ht="12.75" thickBot="1" x14ac:dyDescent="0.35"/>
    <row r="288" spans="2:31" ht="12.75" thickBot="1" x14ac:dyDescent="0.35">
      <c r="B288" s="11" t="s">
        <v>270</v>
      </c>
      <c r="I288" s="92"/>
      <c r="J288" s="245">
        <v>1</v>
      </c>
      <c r="K288" s="243" t="s">
        <v>271</v>
      </c>
    </row>
    <row r="289" spans="1:32" x14ac:dyDescent="0.3">
      <c r="B289" s="226"/>
      <c r="C289" s="226"/>
      <c r="D289" s="226"/>
      <c r="E289" s="226"/>
      <c r="F289" s="226"/>
      <c r="G289" s="226"/>
      <c r="H289" s="286" t="s">
        <v>272</v>
      </c>
      <c r="I289" s="287"/>
      <c r="J289" s="226"/>
      <c r="K289" s="226"/>
      <c r="L289" s="9" t="s">
        <v>182</v>
      </c>
      <c r="M289" s="9" t="s">
        <v>183</v>
      </c>
      <c r="N289" s="9" t="s">
        <v>234</v>
      </c>
      <c r="O289" s="233" t="s">
        <v>185</v>
      </c>
      <c r="P289" s="9" t="s">
        <v>186</v>
      </c>
      <c r="Q289" s="9" t="s">
        <v>187</v>
      </c>
      <c r="R289" s="9" t="s">
        <v>188</v>
      </c>
      <c r="S289" s="9" t="s">
        <v>189</v>
      </c>
      <c r="T289" s="9" t="s">
        <v>190</v>
      </c>
      <c r="U289" s="9" t="s">
        <v>191</v>
      </c>
      <c r="V289" s="9" t="s">
        <v>192</v>
      </c>
      <c r="W289" s="9" t="s">
        <v>193</v>
      </c>
      <c r="X289" s="9" t="s">
        <v>194</v>
      </c>
      <c r="Y289" s="9" t="s">
        <v>195</v>
      </c>
      <c r="Z289" s="10" t="s">
        <v>196</v>
      </c>
      <c r="AA289" s="9" t="s">
        <v>197</v>
      </c>
      <c r="AB289" s="9" t="s">
        <v>198</v>
      </c>
      <c r="AC289" s="9" t="s">
        <v>199</v>
      </c>
      <c r="AD289" s="9" t="s">
        <v>200</v>
      </c>
      <c r="AE289" s="9" t="s">
        <v>201</v>
      </c>
    </row>
    <row r="290" spans="1:32" x14ac:dyDescent="0.3">
      <c r="A290" s="282" t="str">
        <f t="shared" ref="A290:A307" si="40">IF(COUNTA(B290)=1,B290,A289)</f>
        <v>국내</v>
      </c>
      <c r="B290" s="3" t="s">
        <v>12</v>
      </c>
      <c r="C290" s="11"/>
      <c r="D290" s="11"/>
      <c r="E290" s="11"/>
      <c r="F290" s="11"/>
      <c r="G290" s="11"/>
      <c r="H290" s="288"/>
      <c r="I290" s="11"/>
      <c r="J290" s="11"/>
      <c r="K290" s="11"/>
      <c r="L290" s="11"/>
      <c r="M290" s="11"/>
      <c r="N290" s="11"/>
      <c r="O290" s="289"/>
      <c r="P290" s="290"/>
      <c r="Q290" s="290"/>
      <c r="R290" s="290"/>
      <c r="S290" s="290"/>
      <c r="T290" s="290"/>
      <c r="U290" s="290"/>
      <c r="V290" s="290"/>
      <c r="W290" s="290"/>
      <c r="X290" s="290"/>
      <c r="Y290" s="290"/>
      <c r="Z290" s="112"/>
      <c r="AA290" s="13"/>
      <c r="AB290" s="13"/>
      <c r="AC290" s="13"/>
      <c r="AD290" s="13"/>
      <c r="AE290" s="13"/>
    </row>
    <row r="291" spans="1:32" x14ac:dyDescent="0.3">
      <c r="A291" s="282" t="str">
        <f t="shared" si="40"/>
        <v>국내</v>
      </c>
      <c r="C291" s="3" t="s">
        <v>146</v>
      </c>
      <c r="H291" s="291" t="s">
        <v>273</v>
      </c>
      <c r="O291" s="292">
        <v>301.73695223005802</v>
      </c>
      <c r="P291" s="16">
        <v>301.73695223005802</v>
      </c>
      <c r="Q291" s="16">
        <v>301.73695223005802</v>
      </c>
      <c r="R291" s="16">
        <v>301.73695223005802</v>
      </c>
      <c r="S291" s="16">
        <v>301.73695223005802</v>
      </c>
      <c r="T291" s="16">
        <v>301.73695223005802</v>
      </c>
      <c r="U291" s="16">
        <v>301.73695223005802</v>
      </c>
      <c r="V291" s="16">
        <v>301.73695223005802</v>
      </c>
      <c r="W291" s="16">
        <v>301.73695223005802</v>
      </c>
      <c r="X291" s="16">
        <v>301.73695223005802</v>
      </c>
      <c r="Y291" s="16">
        <v>301.73695223005802</v>
      </c>
      <c r="Z291" s="15">
        <v>301.73695223005802</v>
      </c>
      <c r="AA291" s="119"/>
      <c r="AB291" s="119"/>
      <c r="AC291" s="119"/>
      <c r="AD291" s="119"/>
      <c r="AE291" s="119"/>
    </row>
    <row r="292" spans="1:32" x14ac:dyDescent="0.3">
      <c r="A292" s="282" t="str">
        <f t="shared" si="40"/>
        <v>국내</v>
      </c>
      <c r="C292" s="3" t="s">
        <v>147</v>
      </c>
      <c r="H292" s="291" t="s">
        <v>273</v>
      </c>
      <c r="O292" s="292">
        <v>57.302130510645789</v>
      </c>
      <c r="P292" s="16">
        <v>57.302130510645789</v>
      </c>
      <c r="Q292" s="16">
        <v>57.302130510645789</v>
      </c>
      <c r="R292" s="16">
        <v>57.302130510645789</v>
      </c>
      <c r="S292" s="16">
        <v>57.302130510645789</v>
      </c>
      <c r="T292" s="16">
        <v>57.302130510645789</v>
      </c>
      <c r="U292" s="16">
        <v>57.302130510645789</v>
      </c>
      <c r="V292" s="16">
        <v>57.302130510645789</v>
      </c>
      <c r="W292" s="16">
        <v>57.302130510645789</v>
      </c>
      <c r="X292" s="16">
        <v>57.302130510645789</v>
      </c>
      <c r="Y292" s="16">
        <v>57.302130510645789</v>
      </c>
      <c r="Z292" s="15">
        <v>57.302130510645789</v>
      </c>
      <c r="AA292" s="119"/>
      <c r="AB292" s="119"/>
      <c r="AC292" s="119"/>
      <c r="AD292" s="119"/>
      <c r="AE292" s="119"/>
    </row>
    <row r="293" spans="1:32" x14ac:dyDescent="0.3">
      <c r="A293" s="282" t="str">
        <f t="shared" si="40"/>
        <v>국내</v>
      </c>
      <c r="C293" s="3" t="s">
        <v>148</v>
      </c>
      <c r="H293" s="291" t="s">
        <v>273</v>
      </c>
      <c r="O293" s="292">
        <v>81.239327971742824</v>
      </c>
      <c r="P293" s="16">
        <v>81.239327971742824</v>
      </c>
      <c r="Q293" s="16">
        <v>81.239327971742824</v>
      </c>
      <c r="R293" s="16">
        <v>81.239327971742824</v>
      </c>
      <c r="S293" s="16">
        <v>81.239327971742824</v>
      </c>
      <c r="T293" s="16">
        <v>81.239327971742824</v>
      </c>
      <c r="U293" s="16">
        <v>81.239327971742824</v>
      </c>
      <c r="V293" s="16">
        <v>81.239327971742824</v>
      </c>
      <c r="W293" s="16">
        <v>81.239327971742824</v>
      </c>
      <c r="X293" s="16">
        <v>81.239327971742824</v>
      </c>
      <c r="Y293" s="16">
        <v>81.239327971742824</v>
      </c>
      <c r="Z293" s="15">
        <v>81.239327971742824</v>
      </c>
      <c r="AA293" s="119"/>
      <c r="AB293" s="119"/>
      <c r="AC293" s="119"/>
      <c r="AD293" s="119"/>
      <c r="AE293" s="119"/>
    </row>
    <row r="294" spans="1:32" x14ac:dyDescent="0.3">
      <c r="A294" s="282" t="str">
        <f t="shared" si="40"/>
        <v>국내</v>
      </c>
      <c r="C294" s="3" t="s">
        <v>149</v>
      </c>
      <c r="H294" s="291" t="s">
        <v>273</v>
      </c>
      <c r="O294" s="292">
        <v>259.43934644410785</v>
      </c>
      <c r="P294" s="16">
        <v>259.43934644410785</v>
      </c>
      <c r="Q294" s="16">
        <v>259.43934644410785</v>
      </c>
      <c r="R294" s="16">
        <v>259.43934644410785</v>
      </c>
      <c r="S294" s="16">
        <v>259.43934644410785</v>
      </c>
      <c r="T294" s="16">
        <v>259.43934644410785</v>
      </c>
      <c r="U294" s="16">
        <v>259.43934644410785</v>
      </c>
      <c r="V294" s="16">
        <v>259.43934644410785</v>
      </c>
      <c r="W294" s="16">
        <v>259.43934644410785</v>
      </c>
      <c r="X294" s="16">
        <v>259.43934644410785</v>
      </c>
      <c r="Y294" s="16">
        <v>259.43934644410785</v>
      </c>
      <c r="Z294" s="15">
        <v>259.43934644410785</v>
      </c>
      <c r="AA294" s="119"/>
      <c r="AB294" s="119"/>
      <c r="AC294" s="119"/>
      <c r="AD294" s="119"/>
      <c r="AE294" s="119"/>
    </row>
    <row r="295" spans="1:32" x14ac:dyDescent="0.3">
      <c r="A295" s="282" t="str">
        <f t="shared" si="40"/>
        <v>국내</v>
      </c>
      <c r="C295" s="3" t="s">
        <v>135</v>
      </c>
      <c r="H295" s="291" t="s">
        <v>273</v>
      </c>
      <c r="O295" s="292">
        <v>116.00274131424239</v>
      </c>
      <c r="P295" s="16">
        <v>116.00274131424239</v>
      </c>
      <c r="Q295" s="16">
        <v>116.00274131424239</v>
      </c>
      <c r="R295" s="16">
        <v>116.00274131424239</v>
      </c>
      <c r="S295" s="16">
        <v>116.00274131424239</v>
      </c>
      <c r="T295" s="16">
        <v>116.00274131424239</v>
      </c>
      <c r="U295" s="16">
        <v>116.00274131424239</v>
      </c>
      <c r="V295" s="16">
        <v>116.00274131424239</v>
      </c>
      <c r="W295" s="16">
        <v>116.00274131424239</v>
      </c>
      <c r="X295" s="16">
        <v>116.00274131424239</v>
      </c>
      <c r="Y295" s="16">
        <v>116.00274131424239</v>
      </c>
      <c r="Z295" s="15">
        <v>116.00274131424239</v>
      </c>
      <c r="AA295" s="119"/>
      <c r="AB295" s="119"/>
      <c r="AC295" s="119"/>
      <c r="AD295" s="119"/>
      <c r="AE295" s="119"/>
    </row>
    <row r="296" spans="1:32" x14ac:dyDescent="0.3">
      <c r="A296" s="282" t="str">
        <f t="shared" si="40"/>
        <v>국내_Captive</v>
      </c>
      <c r="B296" s="3" t="s">
        <v>254</v>
      </c>
      <c r="C296" s="11"/>
      <c r="D296" s="11"/>
      <c r="E296" s="11"/>
      <c r="F296" s="11"/>
      <c r="G296" s="11"/>
      <c r="H296" s="288"/>
      <c r="I296" s="11"/>
      <c r="J296" s="11"/>
      <c r="K296" s="11"/>
      <c r="L296" s="11"/>
      <c r="M296" s="11"/>
      <c r="N296" s="11"/>
      <c r="O296" s="292"/>
      <c r="P296" s="16"/>
      <c r="Q296" s="16"/>
      <c r="R296" s="16"/>
      <c r="S296" s="16"/>
      <c r="T296" s="16"/>
      <c r="U296" s="16"/>
      <c r="V296" s="16"/>
      <c r="W296" s="16"/>
      <c r="X296" s="16"/>
      <c r="Y296" s="16"/>
      <c r="Z296" s="15"/>
      <c r="AA296" s="13"/>
      <c r="AB296" s="13"/>
      <c r="AC296" s="13"/>
      <c r="AD296" s="13"/>
      <c r="AE296" s="13"/>
    </row>
    <row r="297" spans="1:32" x14ac:dyDescent="0.3">
      <c r="A297" s="282" t="str">
        <f t="shared" si="40"/>
        <v>국내_Captive</v>
      </c>
      <c r="C297" s="3" t="s">
        <v>146</v>
      </c>
      <c r="H297" s="291" t="s">
        <v>273</v>
      </c>
      <c r="O297" s="293"/>
      <c r="P297" s="119"/>
      <c r="Q297" s="119"/>
      <c r="R297" s="119"/>
      <c r="S297" s="119"/>
      <c r="T297" s="119"/>
      <c r="U297" s="119"/>
      <c r="V297" s="119"/>
      <c r="W297" s="119"/>
      <c r="X297" s="119"/>
      <c r="Y297" s="119"/>
      <c r="Z297" s="294"/>
      <c r="AA297" s="16">
        <f>Revenue_HW!Z92</f>
        <v>238.73789087107181</v>
      </c>
      <c r="AB297" s="16">
        <f>AA297*(1+AB377)</f>
        <v>240.13467704140481</v>
      </c>
      <c r="AC297" s="16">
        <f t="shared" ref="AC297:AE297" si="41">AB297*(1+AC377)</f>
        <v>241.49024936120344</v>
      </c>
      <c r="AD297" s="16">
        <f t="shared" si="41"/>
        <v>242.95989596707463</v>
      </c>
      <c r="AE297" s="16">
        <f t="shared" si="41"/>
        <v>244.16590196375441</v>
      </c>
    </row>
    <row r="298" spans="1:32" x14ac:dyDescent="0.3">
      <c r="A298" s="282" t="str">
        <f t="shared" si="40"/>
        <v>국내_Captive</v>
      </c>
      <c r="C298" s="3" t="s">
        <v>147</v>
      </c>
      <c r="H298" s="291" t="s">
        <v>273</v>
      </c>
      <c r="O298" s="293"/>
      <c r="P298" s="119"/>
      <c r="Q298" s="119"/>
      <c r="R298" s="119"/>
      <c r="S298" s="119"/>
      <c r="T298" s="119"/>
      <c r="U298" s="119"/>
      <c r="V298" s="119"/>
      <c r="W298" s="119"/>
      <c r="X298" s="119"/>
      <c r="Y298" s="119"/>
      <c r="Z298" s="294"/>
      <c r="AA298" s="16">
        <f>Revenue_HW!Z97</f>
        <v>62.377404264910091</v>
      </c>
      <c r="AB298" s="16">
        <f t="shared" ref="AB298:AE300" si="42">AA298*(1+AB378)</f>
        <v>62.745900929668601</v>
      </c>
      <c r="AC298" s="16">
        <f t="shared" si="42"/>
        <v>63.076738691851006</v>
      </c>
      <c r="AD298" s="16">
        <f t="shared" si="42"/>
        <v>63.4701258438267</v>
      </c>
      <c r="AE298" s="16">
        <f t="shared" si="42"/>
        <v>63.890246562809885</v>
      </c>
    </row>
    <row r="299" spans="1:32" x14ac:dyDescent="0.3">
      <c r="A299" s="282" t="str">
        <f t="shared" si="40"/>
        <v>국내_Captive</v>
      </c>
      <c r="C299" s="3" t="s">
        <v>148</v>
      </c>
      <c r="H299" s="291" t="s">
        <v>273</v>
      </c>
      <c r="O299" s="293"/>
      <c r="P299" s="119"/>
      <c r="Q299" s="119"/>
      <c r="R299" s="119"/>
      <c r="S299" s="119"/>
      <c r="T299" s="119"/>
      <c r="U299" s="119"/>
      <c r="V299" s="119"/>
      <c r="W299" s="119"/>
      <c r="X299" s="119"/>
      <c r="Y299" s="119"/>
      <c r="Z299" s="294"/>
      <c r="AA299" s="16">
        <f>Revenue_HW!Z102</f>
        <v>84.35278921981589</v>
      </c>
      <c r="AB299" s="16">
        <f t="shared" si="42"/>
        <v>84.903400806263747</v>
      </c>
      <c r="AC299" s="16">
        <f t="shared" si="42"/>
        <v>85.502443375888575</v>
      </c>
      <c r="AD299" s="16">
        <f t="shared" si="42"/>
        <v>86.16644002497695</v>
      </c>
      <c r="AE299" s="16">
        <f t="shared" si="42"/>
        <v>86.795324444654426</v>
      </c>
    </row>
    <row r="300" spans="1:32" x14ac:dyDescent="0.3">
      <c r="A300" s="282" t="str">
        <f t="shared" si="40"/>
        <v>국내_Captive</v>
      </c>
      <c r="C300" s="3" t="s">
        <v>149</v>
      </c>
      <c r="H300" s="291" t="s">
        <v>273</v>
      </c>
      <c r="O300" s="293"/>
      <c r="P300" s="119"/>
      <c r="Q300" s="119"/>
      <c r="R300" s="119"/>
      <c r="S300" s="119"/>
      <c r="T300" s="119"/>
      <c r="U300" s="119"/>
      <c r="V300" s="119"/>
      <c r="W300" s="119"/>
      <c r="X300" s="119"/>
      <c r="Y300" s="119"/>
      <c r="Z300" s="294"/>
      <c r="AA300" s="16">
        <f>Revenue_HW!Z107</f>
        <v>263.81706506115813</v>
      </c>
      <c r="AB300" s="16">
        <f t="shared" si="42"/>
        <v>265.72127229184167</v>
      </c>
      <c r="AC300" s="16">
        <f t="shared" si="42"/>
        <v>267.2774030238034</v>
      </c>
      <c r="AD300" s="16">
        <f t="shared" si="42"/>
        <v>269.25156964817086</v>
      </c>
      <c r="AE300" s="16">
        <f t="shared" si="42"/>
        <v>271.19546207483438</v>
      </c>
    </row>
    <row r="301" spans="1:32" x14ac:dyDescent="0.3">
      <c r="A301" s="282" t="str">
        <f t="shared" si="40"/>
        <v>국내_Captive</v>
      </c>
      <c r="C301" s="3" t="s">
        <v>135</v>
      </c>
      <c r="H301" s="291" t="s">
        <v>273</v>
      </c>
      <c r="O301" s="293"/>
      <c r="P301" s="119"/>
      <c r="Q301" s="119"/>
      <c r="R301" s="119"/>
      <c r="S301" s="119"/>
      <c r="T301" s="119"/>
      <c r="U301" s="119"/>
      <c r="V301" s="119"/>
      <c r="W301" s="119"/>
      <c r="X301" s="119"/>
      <c r="Y301" s="119"/>
      <c r="Z301" s="294"/>
      <c r="AA301" s="16">
        <f>Revenue_HW!Z112</f>
        <v>103.32091917395672</v>
      </c>
      <c r="AB301" s="16">
        <v>0</v>
      </c>
      <c r="AC301" s="16">
        <v>0</v>
      </c>
      <c r="AD301" s="16">
        <v>0</v>
      </c>
      <c r="AE301" s="16">
        <v>0</v>
      </c>
    </row>
    <row r="302" spans="1:32" x14ac:dyDescent="0.3">
      <c r="A302" s="282" t="str">
        <f t="shared" si="40"/>
        <v>국내_Non-Captive</v>
      </c>
      <c r="B302" s="3" t="s">
        <v>255</v>
      </c>
      <c r="C302" s="11"/>
      <c r="D302" s="11"/>
      <c r="E302" s="11"/>
      <c r="F302" s="11"/>
      <c r="G302" s="11"/>
      <c r="H302" s="288"/>
      <c r="O302" s="292"/>
      <c r="P302" s="16"/>
      <c r="Q302" s="16"/>
      <c r="R302" s="16"/>
      <c r="S302" s="16"/>
      <c r="T302" s="16"/>
      <c r="U302" s="16"/>
      <c r="V302" s="16"/>
      <c r="W302" s="16"/>
      <c r="X302" s="16"/>
      <c r="Y302" s="16"/>
      <c r="Z302" s="15"/>
      <c r="AA302" s="16"/>
      <c r="AB302" s="16"/>
      <c r="AC302" s="16"/>
      <c r="AD302" s="16"/>
      <c r="AE302" s="16"/>
    </row>
    <row r="303" spans="1:32" x14ac:dyDescent="0.3">
      <c r="A303" s="282" t="str">
        <f t="shared" si="40"/>
        <v>국내_Non-Captive</v>
      </c>
      <c r="C303" s="3" t="s">
        <v>146</v>
      </c>
      <c r="H303" s="291" t="s">
        <v>273</v>
      </c>
      <c r="O303" s="293"/>
      <c r="P303" s="119"/>
      <c r="Q303" s="119"/>
      <c r="R303" s="119"/>
      <c r="S303" s="119"/>
      <c r="T303" s="119"/>
      <c r="U303" s="119"/>
      <c r="V303" s="119"/>
      <c r="W303" s="119"/>
      <c r="X303" s="119"/>
      <c r="Y303" s="119"/>
      <c r="Z303" s="294"/>
      <c r="AA303" s="16">
        <f>Revenue_HW!Z130</f>
        <v>314.4623013975168</v>
      </c>
      <c r="AB303" s="16">
        <f>AA303*(1+AB382)</f>
        <v>316.17098653400694</v>
      </c>
      <c r="AC303" s="16">
        <f t="shared" ref="AC303:AE303" si="43">AB303*(1+AC382)</f>
        <v>318.12795084956321</v>
      </c>
      <c r="AD303" s="16">
        <f t="shared" si="43"/>
        <v>320.16366322741573</v>
      </c>
      <c r="AE303" s="16">
        <f t="shared" si="43"/>
        <v>322.51052373214003</v>
      </c>
      <c r="AF303" s="225" t="s">
        <v>274</v>
      </c>
    </row>
    <row r="304" spans="1:32" x14ac:dyDescent="0.3">
      <c r="A304" s="282" t="str">
        <f t="shared" si="40"/>
        <v>국내_Non-Captive</v>
      </c>
      <c r="C304" s="3" t="s">
        <v>147</v>
      </c>
      <c r="H304" s="291" t="s">
        <v>273</v>
      </c>
      <c r="O304" s="293"/>
      <c r="P304" s="119"/>
      <c r="Q304" s="119"/>
      <c r="R304" s="119"/>
      <c r="S304" s="119"/>
      <c r="T304" s="119"/>
      <c r="U304" s="119"/>
      <c r="V304" s="119"/>
      <c r="W304" s="119"/>
      <c r="X304" s="119"/>
      <c r="Y304" s="119"/>
      <c r="Z304" s="294"/>
      <c r="AA304" s="16">
        <f>Revenue_HW!Z135</f>
        <v>53.97595460448094</v>
      </c>
      <c r="AB304" s="16">
        <f t="shared" ref="AB304:AE306" si="44">AA304*(1+AB383)</f>
        <v>54.238007238687381</v>
      </c>
      <c r="AC304" s="16">
        <f t="shared" si="44"/>
        <v>54.608712012032576</v>
      </c>
      <c r="AD304" s="16">
        <f t="shared" si="44"/>
        <v>54.975369774852993</v>
      </c>
      <c r="AE304" s="16">
        <f t="shared" si="44"/>
        <v>55.372252217726725</v>
      </c>
    </row>
    <row r="305" spans="1:31" x14ac:dyDescent="0.3">
      <c r="A305" s="282" t="str">
        <f t="shared" si="40"/>
        <v>국내_Non-Captive</v>
      </c>
      <c r="C305" s="3" t="s">
        <v>148</v>
      </c>
      <c r="H305" s="291" t="s">
        <v>273</v>
      </c>
      <c r="O305" s="293"/>
      <c r="P305" s="119"/>
      <c r="Q305" s="119"/>
      <c r="R305" s="119"/>
      <c r="S305" s="119"/>
      <c r="T305" s="119"/>
      <c r="U305" s="119"/>
      <c r="V305" s="119"/>
      <c r="W305" s="119"/>
      <c r="X305" s="119"/>
      <c r="Y305" s="119"/>
      <c r="Z305" s="294"/>
      <c r="AA305" s="16">
        <f>Revenue_HW!Z140</f>
        <v>77.532276877503222</v>
      </c>
      <c r="AB305" s="16">
        <f t="shared" si="44"/>
        <v>78.072370527915112</v>
      </c>
      <c r="AC305" s="16">
        <f t="shared" si="44"/>
        <v>78.680287559252207</v>
      </c>
      <c r="AD305" s="16">
        <f t="shared" si="44"/>
        <v>79.335196872761387</v>
      </c>
      <c r="AE305" s="16">
        <f t="shared" si="44"/>
        <v>79.993300579761495</v>
      </c>
    </row>
    <row r="306" spans="1:31" x14ac:dyDescent="0.3">
      <c r="A306" s="282" t="str">
        <f t="shared" si="40"/>
        <v>국내_Non-Captive</v>
      </c>
      <c r="C306" s="3" t="s">
        <v>149</v>
      </c>
      <c r="H306" s="291" t="s">
        <v>273</v>
      </c>
      <c r="O306" s="293"/>
      <c r="P306" s="119"/>
      <c r="Q306" s="119"/>
      <c r="R306" s="119"/>
      <c r="S306" s="119"/>
      <c r="T306" s="119"/>
      <c r="U306" s="119"/>
      <c r="V306" s="119"/>
      <c r="W306" s="119"/>
      <c r="X306" s="119"/>
      <c r="Y306" s="119"/>
      <c r="Z306" s="294"/>
      <c r="AA306" s="16">
        <f>Revenue_HW!Z145</f>
        <v>252.49930417959447</v>
      </c>
      <c r="AB306" s="16">
        <f t="shared" si="44"/>
        <v>253.93046753600902</v>
      </c>
      <c r="AC306" s="16">
        <f t="shared" si="44"/>
        <v>256.0831652711758</v>
      </c>
      <c r="AD306" s="16">
        <f t="shared" si="44"/>
        <v>257.90272436948811</v>
      </c>
      <c r="AE306" s="16">
        <f t="shared" si="44"/>
        <v>259.87533757919851</v>
      </c>
    </row>
    <row r="307" spans="1:31" x14ac:dyDescent="0.3">
      <c r="A307" s="282" t="str">
        <f t="shared" si="40"/>
        <v>국내_Non-Captive</v>
      </c>
      <c r="C307" s="3" t="s">
        <v>135</v>
      </c>
      <c r="H307" s="291" t="s">
        <v>273</v>
      </c>
      <c r="O307" s="293"/>
      <c r="P307" s="119"/>
      <c r="Q307" s="119"/>
      <c r="R307" s="119"/>
      <c r="S307" s="119"/>
      <c r="T307" s="119"/>
      <c r="U307" s="119"/>
      <c r="V307" s="119"/>
      <c r="W307" s="119"/>
      <c r="X307" s="119"/>
      <c r="Y307" s="119"/>
      <c r="Z307" s="294"/>
      <c r="AA307" s="16">
        <f>Revenue_HW!Z150</f>
        <v>129.3432512859506</v>
      </c>
      <c r="AB307" s="16">
        <v>0</v>
      </c>
      <c r="AC307" s="16">
        <v>0</v>
      </c>
      <c r="AD307" s="16">
        <v>0</v>
      </c>
      <c r="AE307" s="16">
        <v>0</v>
      </c>
    </row>
    <row r="308" spans="1:31" x14ac:dyDescent="0.3">
      <c r="A308" s="282" t="str">
        <f>IF(COUNTA(B308)=1,B308,A294)</f>
        <v>인도</v>
      </c>
      <c r="B308" s="3" t="s">
        <v>256</v>
      </c>
      <c r="H308" s="291"/>
      <c r="O308" s="292"/>
      <c r="P308" s="16"/>
      <c r="Q308" s="16"/>
      <c r="R308" s="16"/>
      <c r="S308" s="16"/>
      <c r="T308" s="16"/>
      <c r="U308" s="16"/>
      <c r="V308" s="16"/>
      <c r="W308" s="16"/>
      <c r="X308" s="16"/>
      <c r="Y308" s="16"/>
      <c r="Z308" s="15"/>
      <c r="AA308" s="16"/>
      <c r="AB308" s="16"/>
      <c r="AC308" s="16"/>
      <c r="AD308" s="16"/>
      <c r="AE308" s="16"/>
    </row>
    <row r="309" spans="1:31" x14ac:dyDescent="0.3">
      <c r="A309" s="282" t="str">
        <f>IF(COUNTA(B309)=1,B309,A308)</f>
        <v>인도</v>
      </c>
      <c r="C309" s="3" t="s">
        <v>146</v>
      </c>
      <c r="H309" s="291" t="s">
        <v>275</v>
      </c>
      <c r="O309" s="292">
        <v>260025.64743796625</v>
      </c>
      <c r="P309" s="16">
        <v>260025.64743796625</v>
      </c>
      <c r="Q309" s="16">
        <v>260025.64743796625</v>
      </c>
      <c r="R309" s="16">
        <v>260025.64743796625</v>
      </c>
      <c r="S309" s="16">
        <v>260025.64743796625</v>
      </c>
      <c r="T309" s="16">
        <v>260025.64743796625</v>
      </c>
      <c r="U309" s="16">
        <v>260025.64743796625</v>
      </c>
      <c r="V309" s="16">
        <v>260025.64743796625</v>
      </c>
      <c r="W309" s="16">
        <v>260025.64743796625</v>
      </c>
      <c r="X309" s="16">
        <v>260025.64743796625</v>
      </c>
      <c r="Y309" s="16">
        <v>260025.64743796625</v>
      </c>
      <c r="Z309" s="15">
        <v>260025.64743796625</v>
      </c>
      <c r="AA309" s="16">
        <f>Revenue_HW!Z182</f>
        <v>241317.09829197751</v>
      </c>
      <c r="AB309" s="16">
        <f>AA309*(1+AB387)</f>
        <v>242499.11421021802</v>
      </c>
      <c r="AC309" s="16">
        <f t="shared" ref="AB309:AE312" si="45">AB309*(1+AC387)</f>
        <v>244126.82820850596</v>
      </c>
      <c r="AD309" s="16">
        <f t="shared" si="45"/>
        <v>245770.24095579324</v>
      </c>
      <c r="AE309" s="16">
        <f t="shared" si="45"/>
        <v>247373.25409013586</v>
      </c>
    </row>
    <row r="310" spans="1:31" x14ac:dyDescent="0.3">
      <c r="A310" s="282" t="str">
        <f>IF(COUNTA(B310)=1,B310,A309)</f>
        <v>인도</v>
      </c>
      <c r="C310" s="3" t="s">
        <v>147</v>
      </c>
      <c r="H310" s="291" t="s">
        <v>275</v>
      </c>
      <c r="O310" s="292">
        <v>93155.41943955273</v>
      </c>
      <c r="P310" s="16">
        <v>93155.41943955273</v>
      </c>
      <c r="Q310" s="16">
        <v>93155.41943955273</v>
      </c>
      <c r="R310" s="16">
        <v>93155.41943955273</v>
      </c>
      <c r="S310" s="16">
        <v>93155.41943955273</v>
      </c>
      <c r="T310" s="16">
        <v>93155.41943955273</v>
      </c>
      <c r="U310" s="16">
        <v>93155.41943955273</v>
      </c>
      <c r="V310" s="16">
        <v>93155.41943955273</v>
      </c>
      <c r="W310" s="16">
        <v>93155.41943955273</v>
      </c>
      <c r="X310" s="16">
        <v>93155.41943955273</v>
      </c>
      <c r="Y310" s="16">
        <v>93155.41943955273</v>
      </c>
      <c r="Z310" s="15">
        <v>93155.41943955273</v>
      </c>
      <c r="AA310" s="16">
        <f>Revenue_HW!Z188</f>
        <v>92680.799282632826</v>
      </c>
      <c r="AB310" s="16">
        <f t="shared" si="45"/>
        <v>93169.677574205314</v>
      </c>
      <c r="AC310" s="16">
        <f t="shared" si="45"/>
        <v>93809.415497670518</v>
      </c>
      <c r="AD310" s="16">
        <f t="shared" si="45"/>
        <v>94405.472790787913</v>
      </c>
      <c r="AE310" s="16">
        <f t="shared" si="45"/>
        <v>95035.068622342515</v>
      </c>
    </row>
    <row r="311" spans="1:31" x14ac:dyDescent="0.3">
      <c r="A311" s="282" t="str">
        <f>IF(COUNTA(B311)=1,B311,A310)</f>
        <v>인도</v>
      </c>
      <c r="C311" s="3" t="s">
        <v>148</v>
      </c>
      <c r="H311" s="291" t="s">
        <v>275</v>
      </c>
      <c r="O311" s="292">
        <v>73467.088100278517</v>
      </c>
      <c r="P311" s="16">
        <v>73467.088100278517</v>
      </c>
      <c r="Q311" s="16">
        <v>73467.088100278517</v>
      </c>
      <c r="R311" s="16">
        <v>73467.088100278517</v>
      </c>
      <c r="S311" s="16">
        <v>73467.088100278517</v>
      </c>
      <c r="T311" s="16">
        <v>73467.088100278517</v>
      </c>
      <c r="U311" s="16">
        <v>73467.088100278517</v>
      </c>
      <c r="V311" s="16">
        <v>73467.088100278517</v>
      </c>
      <c r="W311" s="16">
        <v>73467.088100278517</v>
      </c>
      <c r="X311" s="16">
        <v>73467.088100278517</v>
      </c>
      <c r="Y311" s="16">
        <v>73467.088100278517</v>
      </c>
      <c r="Z311" s="15">
        <v>73467.088100278517</v>
      </c>
      <c r="AA311" s="16">
        <f>Revenue_HW!Z194</f>
        <v>71553.649408542216</v>
      </c>
      <c r="AB311" s="16">
        <f t="shared" si="45"/>
        <v>72020.051067469918</v>
      </c>
      <c r="AC311" s="16">
        <f t="shared" si="45"/>
        <v>72602.313030469362</v>
      </c>
      <c r="AD311" s="16">
        <f t="shared" si="45"/>
        <v>73169.770959632748</v>
      </c>
      <c r="AE311" s="16">
        <f t="shared" si="45"/>
        <v>73734.067630078862</v>
      </c>
    </row>
    <row r="312" spans="1:31" x14ac:dyDescent="0.3">
      <c r="A312" s="282" t="str">
        <f>IF(COUNTA(B312)=1,B312,A311)</f>
        <v>인도</v>
      </c>
      <c r="C312" s="3" t="s">
        <v>149</v>
      </c>
      <c r="H312" s="291" t="s">
        <v>275</v>
      </c>
      <c r="O312" s="292">
        <v>273281.39832542418</v>
      </c>
      <c r="P312" s="16">
        <v>273281.39832542418</v>
      </c>
      <c r="Q312" s="16">
        <v>273281.39832542418</v>
      </c>
      <c r="R312" s="16">
        <v>273281.39832542418</v>
      </c>
      <c r="S312" s="16">
        <v>273281.39832542418</v>
      </c>
      <c r="T312" s="16">
        <v>273281.39832542418</v>
      </c>
      <c r="U312" s="16">
        <v>273281.39832542418</v>
      </c>
      <c r="V312" s="16">
        <v>273281.39832542418</v>
      </c>
      <c r="W312" s="16">
        <v>273281.39832542418</v>
      </c>
      <c r="X312" s="16">
        <v>273281.39832542418</v>
      </c>
      <c r="Y312" s="16">
        <v>273281.39832542418</v>
      </c>
      <c r="Z312" s="15">
        <v>273281.39832542418</v>
      </c>
      <c r="AA312" s="16">
        <f>Revenue_HW!Z200</f>
        <v>273281.39832542418</v>
      </c>
      <c r="AB312" s="16">
        <f t="shared" si="45"/>
        <v>275016.26633686718</v>
      </c>
      <c r="AC312" s="16">
        <f t="shared" si="45"/>
        <v>277034.74494145357</v>
      </c>
      <c r="AD312" s="16">
        <f t="shared" si="45"/>
        <v>279119.10165580793</v>
      </c>
      <c r="AE312" s="16">
        <f t="shared" si="45"/>
        <v>281241.8387603623</v>
      </c>
    </row>
    <row r="313" spans="1:31" x14ac:dyDescent="0.3">
      <c r="A313" s="282" t="str">
        <f>IF(COUNTA(B313)=1,B313,A312)</f>
        <v>인도</v>
      </c>
      <c r="C313" s="3" t="s">
        <v>135</v>
      </c>
      <c r="H313" s="291" t="s">
        <v>275</v>
      </c>
      <c r="O313" s="292">
        <v>119636.00065081839</v>
      </c>
      <c r="P313" s="16">
        <v>119636.00065081839</v>
      </c>
      <c r="Q313" s="16">
        <v>119636.00065081839</v>
      </c>
      <c r="R313" s="16">
        <v>119636.00065081839</v>
      </c>
      <c r="S313" s="16">
        <v>119636.00065081839</v>
      </c>
      <c r="T313" s="16">
        <v>119636.00065081839</v>
      </c>
      <c r="U313" s="16">
        <v>119636.00065081839</v>
      </c>
      <c r="V313" s="16">
        <v>119636.00065081839</v>
      </c>
      <c r="W313" s="16">
        <v>119636.00065081839</v>
      </c>
      <c r="X313" s="16">
        <v>119636.00065081839</v>
      </c>
      <c r="Y313" s="16">
        <v>119636.00065081839</v>
      </c>
      <c r="Z313" s="15">
        <v>119636.00065081839</v>
      </c>
      <c r="AA313" s="16">
        <f>Revenue_HW!Z206</f>
        <v>119636.00065081839</v>
      </c>
      <c r="AB313" s="16">
        <v>0</v>
      </c>
      <c r="AC313" s="16">
        <v>0</v>
      </c>
      <c r="AD313" s="16">
        <v>0</v>
      </c>
      <c r="AE313" s="16">
        <v>0</v>
      </c>
    </row>
    <row r="314" spans="1:31" x14ac:dyDescent="0.3">
      <c r="A314" s="282" t="str">
        <f>IF(COUNTA(B314)=1,B314,A312)</f>
        <v>CIS</v>
      </c>
      <c r="B314" s="3" t="s">
        <v>257</v>
      </c>
      <c r="H314" s="291"/>
      <c r="O314" s="292"/>
      <c r="P314" s="16"/>
      <c r="Q314" s="16"/>
      <c r="R314" s="16"/>
      <c r="S314" s="16"/>
      <c r="T314" s="16"/>
      <c r="U314" s="16"/>
      <c r="V314" s="16"/>
      <c r="W314" s="16"/>
      <c r="X314" s="16"/>
      <c r="Y314" s="16"/>
      <c r="Z314" s="15"/>
      <c r="AA314" s="16"/>
      <c r="AB314" s="16"/>
      <c r="AC314" s="16"/>
      <c r="AD314" s="16"/>
      <c r="AE314" s="16"/>
    </row>
    <row r="315" spans="1:31" x14ac:dyDescent="0.3">
      <c r="A315" s="282" t="str">
        <f>IF(COUNTA(B315)=1,B315,A314)</f>
        <v>CIS</v>
      </c>
      <c r="C315" s="3" t="s">
        <v>146</v>
      </c>
      <c r="H315" s="291" t="s">
        <v>275</v>
      </c>
      <c r="O315" s="292">
        <v>177571.3488272219</v>
      </c>
      <c r="P315" s="16">
        <v>177571.3488272219</v>
      </c>
      <c r="Q315" s="16">
        <v>177571.3488272219</v>
      </c>
      <c r="R315" s="16">
        <v>177571.3488272219</v>
      </c>
      <c r="S315" s="16">
        <v>177571.3488272219</v>
      </c>
      <c r="T315" s="16">
        <v>177571.3488272219</v>
      </c>
      <c r="U315" s="16">
        <v>177571.3488272219</v>
      </c>
      <c r="V315" s="16">
        <v>177571.3488272219</v>
      </c>
      <c r="W315" s="16">
        <v>177571.3488272219</v>
      </c>
      <c r="X315" s="16">
        <v>177571.3488272219</v>
      </c>
      <c r="Y315" s="16">
        <v>177571.3488272219</v>
      </c>
      <c r="Z315" s="15">
        <v>177571.3488272219</v>
      </c>
      <c r="AA315" s="16">
        <f>Revenue_HW!Z225</f>
        <v>177571.3488272219</v>
      </c>
      <c r="AB315" s="16">
        <f t="shared" ref="AB315:AE318" si="46">AA315*(1+AB392)</f>
        <v>178417.62013378929</v>
      </c>
      <c r="AC315" s="16">
        <f t="shared" si="46"/>
        <v>179412.81200035106</v>
      </c>
      <c r="AD315" s="16">
        <f t="shared" si="46"/>
        <v>180487.04541352647</v>
      </c>
      <c r="AE315" s="16">
        <f t="shared" si="46"/>
        <v>181598.79132987285</v>
      </c>
    </row>
    <row r="316" spans="1:31" x14ac:dyDescent="0.3">
      <c r="A316" s="282" t="str">
        <f>IF(COUNTA(B316)=1,B316,A315)</f>
        <v>CIS</v>
      </c>
      <c r="C316" s="3" t="s">
        <v>147</v>
      </c>
      <c r="H316" s="291" t="s">
        <v>275</v>
      </c>
      <c r="O316" s="292">
        <v>99904.873735832312</v>
      </c>
      <c r="P316" s="16">
        <v>99904.873735832312</v>
      </c>
      <c r="Q316" s="16">
        <v>99904.873735832312</v>
      </c>
      <c r="R316" s="16">
        <v>99904.873735832312</v>
      </c>
      <c r="S316" s="16">
        <v>99904.873735832312</v>
      </c>
      <c r="T316" s="16">
        <v>99904.873735832312</v>
      </c>
      <c r="U316" s="16">
        <v>99904.873735832312</v>
      </c>
      <c r="V316" s="16">
        <v>99904.873735832312</v>
      </c>
      <c r="W316" s="16">
        <v>99904.873735832312</v>
      </c>
      <c r="X316" s="16">
        <v>99904.873735832312</v>
      </c>
      <c r="Y316" s="16">
        <v>99904.873735832312</v>
      </c>
      <c r="Z316" s="15">
        <v>99904.873735832312</v>
      </c>
      <c r="AA316" s="16">
        <f>Revenue_HW!Z231</f>
        <v>97453.499121380839</v>
      </c>
      <c r="AB316" s="16">
        <f t="shared" si="46"/>
        <v>97925.895981165857</v>
      </c>
      <c r="AC316" s="16">
        <f t="shared" si="46"/>
        <v>98492.728683243389</v>
      </c>
      <c r="AD316" s="16">
        <f t="shared" si="46"/>
        <v>99105.036738648152</v>
      </c>
      <c r="AE316" s="16">
        <f t="shared" si="46"/>
        <v>99724.024738153181</v>
      </c>
    </row>
    <row r="317" spans="1:31" x14ac:dyDescent="0.3">
      <c r="A317" s="282" t="str">
        <f>IF(COUNTA(B317)=1,B317,A316)</f>
        <v>CIS</v>
      </c>
      <c r="C317" s="3" t="s">
        <v>148</v>
      </c>
      <c r="H317" s="291" t="s">
        <v>275</v>
      </c>
      <c r="O317" s="292">
        <v>76296.955310159945</v>
      </c>
      <c r="P317" s="16">
        <v>76296.955310159945</v>
      </c>
      <c r="Q317" s="16">
        <v>76296.955310159945</v>
      </c>
      <c r="R317" s="16">
        <v>76296.955310159945</v>
      </c>
      <c r="S317" s="16">
        <v>76296.955310159945</v>
      </c>
      <c r="T317" s="16">
        <v>76296.955310159945</v>
      </c>
      <c r="U317" s="16">
        <v>76296.955310159945</v>
      </c>
      <c r="V317" s="16">
        <v>76296.955310159945</v>
      </c>
      <c r="W317" s="16">
        <v>76296.955310159945</v>
      </c>
      <c r="X317" s="16">
        <v>76296.955310159945</v>
      </c>
      <c r="Y317" s="16">
        <v>76296.955310159945</v>
      </c>
      <c r="Z317" s="15">
        <v>76296.955310159945</v>
      </c>
      <c r="AA317" s="16">
        <f>Revenue_HW!Z237</f>
        <v>88194.736073264037</v>
      </c>
      <c r="AB317" s="16">
        <f t="shared" si="46"/>
        <v>88741.41875335497</v>
      </c>
      <c r="AC317" s="16">
        <f t="shared" si="46"/>
        <v>89376.809255899439</v>
      </c>
      <c r="AD317" s="16">
        <f t="shared" si="46"/>
        <v>90043.213319241302</v>
      </c>
      <c r="AE317" s="16">
        <f t="shared" si="46"/>
        <v>90728.653943272759</v>
      </c>
    </row>
    <row r="318" spans="1:31" x14ac:dyDescent="0.3">
      <c r="A318" s="282" t="str">
        <f>IF(COUNTA(B318)=1,B318,A317)</f>
        <v>CIS</v>
      </c>
      <c r="C318" s="3" t="s">
        <v>149</v>
      </c>
      <c r="H318" s="291" t="s">
        <v>275</v>
      </c>
      <c r="O318" s="292">
        <v>322754.68356211978</v>
      </c>
      <c r="P318" s="16">
        <v>322754.68356211978</v>
      </c>
      <c r="Q318" s="16">
        <v>322754.68356211978</v>
      </c>
      <c r="R318" s="16">
        <v>322754.68356211978</v>
      </c>
      <c r="S318" s="16">
        <v>322754.68356211978</v>
      </c>
      <c r="T318" s="16">
        <v>322754.68356211978</v>
      </c>
      <c r="U318" s="16">
        <v>322754.68356211978</v>
      </c>
      <c r="V318" s="16">
        <v>322754.68356211978</v>
      </c>
      <c r="W318" s="16">
        <v>322754.68356211978</v>
      </c>
      <c r="X318" s="16">
        <v>322754.68356211978</v>
      </c>
      <c r="Y318" s="16">
        <v>322754.68356211978</v>
      </c>
      <c r="Z318" s="15">
        <v>322754.68356211978</v>
      </c>
      <c r="AA318" s="16">
        <f>Revenue_HW!Z243</f>
        <v>338506.07596556342</v>
      </c>
      <c r="AB318" s="16">
        <f t="shared" si="46"/>
        <v>340443.08681233576</v>
      </c>
      <c r="AC318" s="16">
        <f t="shared" si="46"/>
        <v>342709.0623727811</v>
      </c>
      <c r="AD318" s="16">
        <f t="shared" si="46"/>
        <v>345071.55372704053</v>
      </c>
      <c r="AE318" s="16">
        <f t="shared" si="46"/>
        <v>347565.5972824273</v>
      </c>
    </row>
    <row r="319" spans="1:31" x14ac:dyDescent="0.3">
      <c r="A319" s="282" t="str">
        <f>IF(COUNTA(B319)=1,B319,A318)</f>
        <v>CIS</v>
      </c>
      <c r="C319" s="3" t="s">
        <v>135</v>
      </c>
      <c r="H319" s="291" t="s">
        <v>275</v>
      </c>
      <c r="O319" s="292">
        <v>186106.35525053082</v>
      </c>
      <c r="P319" s="16">
        <v>186106.35525053082</v>
      </c>
      <c r="Q319" s="16">
        <v>186106.35525053082</v>
      </c>
      <c r="R319" s="16">
        <v>186106.35525053082</v>
      </c>
      <c r="S319" s="16">
        <v>186106.35525053082</v>
      </c>
      <c r="T319" s="16">
        <v>186106.35525053082</v>
      </c>
      <c r="U319" s="16">
        <v>186106.35525053082</v>
      </c>
      <c r="V319" s="16">
        <v>186106.35525053082</v>
      </c>
      <c r="W319" s="16">
        <v>186106.35525053082</v>
      </c>
      <c r="X319" s="16">
        <v>186106.35525053082</v>
      </c>
      <c r="Y319" s="16">
        <v>186106.35525053082</v>
      </c>
      <c r="Z319" s="15">
        <v>186106.35525053082</v>
      </c>
      <c r="AA319" s="16">
        <f>Revenue_HW!Z249</f>
        <v>195556.98784648051</v>
      </c>
      <c r="AB319" s="16">
        <v>0</v>
      </c>
      <c r="AC319" s="16">
        <v>0</v>
      </c>
      <c r="AD319" s="16">
        <v>0</v>
      </c>
      <c r="AE319" s="16">
        <v>0</v>
      </c>
    </row>
    <row r="320" spans="1:31" x14ac:dyDescent="0.3">
      <c r="A320" s="282" t="str">
        <f>IF(COUNTA(B320)=1,B320,A318)</f>
        <v>동남아</v>
      </c>
      <c r="B320" s="3" t="s">
        <v>258</v>
      </c>
      <c r="H320" s="291"/>
      <c r="O320" s="292"/>
      <c r="P320" s="16"/>
      <c r="Q320" s="16"/>
      <c r="R320" s="16"/>
      <c r="S320" s="16"/>
      <c r="T320" s="16"/>
      <c r="U320" s="16"/>
      <c r="V320" s="16"/>
      <c r="W320" s="16"/>
      <c r="X320" s="16"/>
      <c r="Y320" s="16"/>
      <c r="Z320" s="15"/>
      <c r="AA320" s="16"/>
      <c r="AB320" s="16"/>
      <c r="AC320" s="16"/>
      <c r="AD320" s="16"/>
      <c r="AE320" s="16"/>
    </row>
    <row r="321" spans="1:31" x14ac:dyDescent="0.3">
      <c r="A321" s="282" t="str">
        <f>IF(COUNTA(B321)=1,B321,A320)</f>
        <v>동남아</v>
      </c>
      <c r="C321" s="3" t="s">
        <v>146</v>
      </c>
      <c r="H321" s="291" t="s">
        <v>275</v>
      </c>
      <c r="O321" s="292">
        <v>203906.70535564949</v>
      </c>
      <c r="P321" s="16">
        <v>203906.70535564949</v>
      </c>
      <c r="Q321" s="16">
        <v>203906.70535564949</v>
      </c>
      <c r="R321" s="16">
        <v>203906.70535564949</v>
      </c>
      <c r="S321" s="16">
        <v>203906.70535564949</v>
      </c>
      <c r="T321" s="16">
        <v>203906.70535564949</v>
      </c>
      <c r="U321" s="16">
        <v>203906.70535564949</v>
      </c>
      <c r="V321" s="16">
        <v>203906.70535564949</v>
      </c>
      <c r="W321" s="16">
        <v>203906.70535564949</v>
      </c>
      <c r="X321" s="16">
        <v>203906.70535564949</v>
      </c>
      <c r="Y321" s="16">
        <v>203906.70535564949</v>
      </c>
      <c r="Z321" s="15">
        <v>203906.70535564949</v>
      </c>
      <c r="AA321" s="16">
        <f>Revenue_HW!Z268</f>
        <v>203906.70535564949</v>
      </c>
      <c r="AB321" s="16">
        <f t="shared" ref="AB321:AE324" si="47">AA321*(1+AB397)</f>
        <v>204995.36792869959</v>
      </c>
      <c r="AC321" s="16">
        <f t="shared" si="47"/>
        <v>206183.63970370629</v>
      </c>
      <c r="AD321" s="16">
        <f t="shared" si="47"/>
        <v>207481.45211657934</v>
      </c>
      <c r="AE321" s="16">
        <f t="shared" si="47"/>
        <v>208912.13736850399</v>
      </c>
    </row>
    <row r="322" spans="1:31" x14ac:dyDescent="0.3">
      <c r="A322" s="282" t="str">
        <f>IF(COUNTA(B322)=1,B322,A321)</f>
        <v>동남아</v>
      </c>
      <c r="C322" s="3" t="s">
        <v>147</v>
      </c>
      <c r="H322" s="291" t="s">
        <v>275</v>
      </c>
      <c r="O322" s="292">
        <v>59333.037681329915</v>
      </c>
      <c r="P322" s="16">
        <v>59333.037681329915</v>
      </c>
      <c r="Q322" s="16">
        <v>59333.037681329915</v>
      </c>
      <c r="R322" s="16">
        <v>59333.037681329915</v>
      </c>
      <c r="S322" s="16">
        <v>59333.037681329915</v>
      </c>
      <c r="T322" s="16">
        <v>59333.037681329915</v>
      </c>
      <c r="U322" s="16">
        <v>59333.037681329915</v>
      </c>
      <c r="V322" s="16">
        <v>59333.037681329915</v>
      </c>
      <c r="W322" s="16">
        <v>59333.037681329915</v>
      </c>
      <c r="X322" s="16">
        <v>59333.037681329915</v>
      </c>
      <c r="Y322" s="16">
        <v>59333.037681329915</v>
      </c>
      <c r="Z322" s="15">
        <v>59333.037681329915</v>
      </c>
      <c r="AA322" s="16">
        <f>Revenue_HW!Z274</f>
        <v>68349.57971029992</v>
      </c>
      <c r="AB322" s="16">
        <f t="shared" si="47"/>
        <v>68735.69496883692</v>
      </c>
      <c r="AC322" s="16">
        <f t="shared" si="47"/>
        <v>69172.341633944452</v>
      </c>
      <c r="AD322" s="16">
        <f t="shared" si="47"/>
        <v>69633.337532826117</v>
      </c>
      <c r="AE322" s="16">
        <f t="shared" si="47"/>
        <v>70115.580458497847</v>
      </c>
    </row>
    <row r="323" spans="1:31" x14ac:dyDescent="0.3">
      <c r="A323" s="282" t="str">
        <f>IF(COUNTA(B323)=1,B323,A322)</f>
        <v>동남아</v>
      </c>
      <c r="C323" s="3" t="s">
        <v>148</v>
      </c>
      <c r="H323" s="291" t="s">
        <v>275</v>
      </c>
      <c r="O323" s="292">
        <v>53604.853304177952</v>
      </c>
      <c r="P323" s="16">
        <v>53604.853304177952</v>
      </c>
      <c r="Q323" s="16">
        <v>53604.853304177952</v>
      </c>
      <c r="R323" s="16">
        <v>53604.853304177952</v>
      </c>
      <c r="S323" s="16">
        <v>53604.853304177952</v>
      </c>
      <c r="T323" s="16">
        <v>53604.853304177952</v>
      </c>
      <c r="U323" s="16">
        <v>53604.853304177952</v>
      </c>
      <c r="V323" s="16">
        <v>53604.853304177952</v>
      </c>
      <c r="W323" s="16">
        <v>53604.853304177952</v>
      </c>
      <c r="X323" s="16">
        <v>53604.853304177952</v>
      </c>
      <c r="Y323" s="16">
        <v>53604.853304177952</v>
      </c>
      <c r="Z323" s="15">
        <v>53604.853304177952</v>
      </c>
      <c r="AA323" s="16">
        <f>Revenue_HW!Z280</f>
        <v>53604.853304177959</v>
      </c>
      <c r="AB323" s="16">
        <f t="shared" si="47"/>
        <v>53976.619533125282</v>
      </c>
      <c r="AC323" s="16">
        <f t="shared" si="47"/>
        <v>54388.296027847668</v>
      </c>
      <c r="AD323" s="16">
        <f t="shared" si="47"/>
        <v>54815.222598506814</v>
      </c>
      <c r="AE323" s="16">
        <f t="shared" si="47"/>
        <v>55274.023019914464</v>
      </c>
    </row>
    <row r="324" spans="1:31" x14ac:dyDescent="0.3">
      <c r="A324" s="282" t="str">
        <f>IF(COUNTA(B324)=1,B324,A323)</f>
        <v>동남아</v>
      </c>
      <c r="C324" s="3" t="s">
        <v>149</v>
      </c>
      <c r="H324" s="291" t="s">
        <v>275</v>
      </c>
      <c r="O324" s="292">
        <v>416940.46568144002</v>
      </c>
      <c r="P324" s="16">
        <v>416940.46568144002</v>
      </c>
      <c r="Q324" s="16">
        <v>416940.46568144002</v>
      </c>
      <c r="R324" s="16">
        <v>416940.46568144002</v>
      </c>
      <c r="S324" s="16">
        <v>416940.46568144002</v>
      </c>
      <c r="T324" s="16">
        <v>416940.46568144002</v>
      </c>
      <c r="U324" s="16">
        <v>416940.46568144002</v>
      </c>
      <c r="V324" s="16">
        <v>416940.46568144002</v>
      </c>
      <c r="W324" s="16">
        <v>416940.46568144002</v>
      </c>
      <c r="X324" s="16">
        <v>416940.46568144002</v>
      </c>
      <c r="Y324" s="16">
        <v>416940.46568144002</v>
      </c>
      <c r="Z324" s="15">
        <v>416940.46568144002</v>
      </c>
      <c r="AA324" s="16">
        <f>Revenue_HW!Z286</f>
        <v>416940.46568144002</v>
      </c>
      <c r="AB324" s="16">
        <f t="shared" si="47"/>
        <v>419603.35462959332</v>
      </c>
      <c r="AC324" s="16">
        <f t="shared" si="47"/>
        <v>422514.63133127405</v>
      </c>
      <c r="AD324" s="16">
        <f t="shared" si="47"/>
        <v>425578.49446666386</v>
      </c>
      <c r="AE324" s="16">
        <f t="shared" si="47"/>
        <v>429104.5049881654</v>
      </c>
    </row>
    <row r="325" spans="1:31" x14ac:dyDescent="0.3">
      <c r="A325" s="282" t="str">
        <f>IF(COUNTA(B325)=1,B325,A324)</f>
        <v>동남아</v>
      </c>
      <c r="C325" s="3" t="s">
        <v>135</v>
      </c>
      <c r="H325" s="291" t="s">
        <v>275</v>
      </c>
      <c r="O325" s="292">
        <v>63557.491882981696</v>
      </c>
      <c r="P325" s="16">
        <v>63557.491882981696</v>
      </c>
      <c r="Q325" s="16">
        <v>63557.491882981696</v>
      </c>
      <c r="R325" s="16">
        <v>63557.491882981696</v>
      </c>
      <c r="S325" s="16">
        <v>63557.491882981696</v>
      </c>
      <c r="T325" s="16">
        <v>63557.491882981696</v>
      </c>
      <c r="U325" s="16">
        <v>63557.491882981696</v>
      </c>
      <c r="V325" s="16">
        <v>63557.491882981696</v>
      </c>
      <c r="W325" s="16">
        <v>63557.491882981696</v>
      </c>
      <c r="X325" s="16">
        <v>63557.491882981696</v>
      </c>
      <c r="Y325" s="16">
        <v>63557.491882981696</v>
      </c>
      <c r="Z325" s="15">
        <v>63557.491882981696</v>
      </c>
      <c r="AA325" s="16">
        <f>Revenue_HW!Z292</f>
        <v>64621.661255321138</v>
      </c>
      <c r="AB325" s="16">
        <v>0</v>
      </c>
      <c r="AC325" s="16">
        <v>0</v>
      </c>
      <c r="AD325" s="16">
        <v>0</v>
      </c>
      <c r="AE325" s="16">
        <v>0</v>
      </c>
    </row>
    <row r="326" spans="1:31" x14ac:dyDescent="0.3">
      <c r="A326" s="282" t="str">
        <f>IF(COUNTA(B326)=1,B326,A324)</f>
        <v>중동</v>
      </c>
      <c r="B326" s="3" t="s">
        <v>259</v>
      </c>
      <c r="H326" s="291"/>
      <c r="O326" s="292"/>
      <c r="P326" s="16"/>
      <c r="Q326" s="16"/>
      <c r="R326" s="16"/>
      <c r="S326" s="16"/>
      <c r="T326" s="16"/>
      <c r="U326" s="16"/>
      <c r="V326" s="16"/>
      <c r="W326" s="16"/>
      <c r="X326" s="16"/>
      <c r="Y326" s="16"/>
      <c r="Z326" s="15"/>
      <c r="AA326" s="16"/>
      <c r="AB326" s="16"/>
      <c r="AC326" s="16"/>
      <c r="AD326" s="16"/>
      <c r="AE326" s="16"/>
    </row>
    <row r="327" spans="1:31" x14ac:dyDescent="0.3">
      <c r="A327" s="282" t="str">
        <f>IF(COUNTA(B327)=1,B327,A326)</f>
        <v>중동</v>
      </c>
      <c r="C327" s="3" t="s">
        <v>146</v>
      </c>
      <c r="H327" s="291" t="s">
        <v>275</v>
      </c>
      <c r="O327" s="292">
        <v>258306.02730836472</v>
      </c>
      <c r="P327" s="16">
        <v>258306.02730836472</v>
      </c>
      <c r="Q327" s="16">
        <v>258306.02730836472</v>
      </c>
      <c r="R327" s="16">
        <v>258306.02730836472</v>
      </c>
      <c r="S327" s="16">
        <v>258306.02730836472</v>
      </c>
      <c r="T327" s="16">
        <v>258306.02730836472</v>
      </c>
      <c r="U327" s="16">
        <v>258306.02730836472</v>
      </c>
      <c r="V327" s="16">
        <v>258306.02730836472</v>
      </c>
      <c r="W327" s="16">
        <v>258306.02730836472</v>
      </c>
      <c r="X327" s="16">
        <v>258306.02730836472</v>
      </c>
      <c r="Y327" s="16">
        <v>258306.02730836472</v>
      </c>
      <c r="Z327" s="15">
        <v>258306.02730836472</v>
      </c>
      <c r="AA327" s="16">
        <f>Revenue_HW!Z311</f>
        <v>258306.02730836472</v>
      </c>
      <c r="AB327" s="16">
        <f t="shared" ref="AB327:AE330" si="48">AA327*(1+AB402)</f>
        <v>258983.77441900523</v>
      </c>
      <c r="AC327" s="16">
        <f t="shared" si="48"/>
        <v>261348.04771125861</v>
      </c>
      <c r="AD327" s="16">
        <f t="shared" si="48"/>
        <v>262878.96791739122</v>
      </c>
      <c r="AE327" s="16">
        <f t="shared" si="48"/>
        <v>264517.95307925082</v>
      </c>
    </row>
    <row r="328" spans="1:31" x14ac:dyDescent="0.3">
      <c r="A328" s="282" t="str">
        <f>IF(COUNTA(B328)=1,B328,A327)</f>
        <v>중동</v>
      </c>
      <c r="C328" s="3" t="s">
        <v>147</v>
      </c>
      <c r="H328" s="291" t="s">
        <v>275</v>
      </c>
      <c r="O328" s="292">
        <v>114065.36948933684</v>
      </c>
      <c r="P328" s="16">
        <v>114065.36948933684</v>
      </c>
      <c r="Q328" s="16">
        <v>114065.36948933684</v>
      </c>
      <c r="R328" s="16">
        <v>114065.36948933684</v>
      </c>
      <c r="S328" s="16">
        <v>114065.36948933684</v>
      </c>
      <c r="T328" s="16">
        <v>114065.36948933684</v>
      </c>
      <c r="U328" s="16">
        <v>114065.36948933684</v>
      </c>
      <c r="V328" s="16">
        <v>114065.36948933684</v>
      </c>
      <c r="W328" s="16">
        <v>114065.36948933684</v>
      </c>
      <c r="X328" s="16">
        <v>114065.36948933684</v>
      </c>
      <c r="Y328" s="16">
        <v>114065.36948933684</v>
      </c>
      <c r="Z328" s="15">
        <v>114065.36948933684</v>
      </c>
      <c r="AA328" s="16">
        <f>Revenue_HW!Z317</f>
        <v>106227.20530505349</v>
      </c>
      <c r="AB328" s="16">
        <f t="shared" si="48"/>
        <v>107215.19383789976</v>
      </c>
      <c r="AC328" s="16">
        <f t="shared" si="48"/>
        <v>107657.99675057673</v>
      </c>
      <c r="AD328" s="16">
        <f t="shared" si="48"/>
        <v>108139.73134098214</v>
      </c>
      <c r="AE328" s="16">
        <f t="shared" si="48"/>
        <v>108963.32755121125</v>
      </c>
    </row>
    <row r="329" spans="1:31" x14ac:dyDescent="0.3">
      <c r="A329" s="282" t="str">
        <f>IF(COUNTA(B329)=1,B329,A328)</f>
        <v>중동</v>
      </c>
      <c r="C329" s="3" t="s">
        <v>148</v>
      </c>
      <c r="H329" s="291" t="s">
        <v>275</v>
      </c>
      <c r="O329" s="292">
        <v>85261.905179400259</v>
      </c>
      <c r="P329" s="16">
        <v>85261.905179400259</v>
      </c>
      <c r="Q329" s="16">
        <v>85261.905179400259</v>
      </c>
      <c r="R329" s="16">
        <v>85261.905179400259</v>
      </c>
      <c r="S329" s="16">
        <v>85261.905179400259</v>
      </c>
      <c r="T329" s="16">
        <v>85261.905179400259</v>
      </c>
      <c r="U329" s="16">
        <v>85261.905179400259</v>
      </c>
      <c r="V329" s="16">
        <v>85261.905179400259</v>
      </c>
      <c r="W329" s="16">
        <v>85261.905179400259</v>
      </c>
      <c r="X329" s="16">
        <v>85261.905179400259</v>
      </c>
      <c r="Y329" s="16">
        <v>85261.905179400259</v>
      </c>
      <c r="Z329" s="15">
        <v>85261.905179400259</v>
      </c>
      <c r="AA329" s="16">
        <f>Revenue_HW!Z323</f>
        <v>0</v>
      </c>
      <c r="AB329" s="16">
        <f t="shared" si="48"/>
        <v>0</v>
      </c>
      <c r="AC329" s="16">
        <f t="shared" si="48"/>
        <v>0</v>
      </c>
      <c r="AD329" s="16">
        <f t="shared" si="48"/>
        <v>0</v>
      </c>
      <c r="AE329" s="16">
        <f t="shared" si="48"/>
        <v>0</v>
      </c>
    </row>
    <row r="330" spans="1:31" x14ac:dyDescent="0.3">
      <c r="A330" s="282" t="str">
        <f>IF(COUNTA(B330)=1,B330,A329)</f>
        <v>중동</v>
      </c>
      <c r="C330" s="3" t="s">
        <v>149</v>
      </c>
      <c r="H330" s="291" t="s">
        <v>275</v>
      </c>
      <c r="O330" s="292">
        <v>355367.41681090562</v>
      </c>
      <c r="P330" s="16">
        <v>355367.41681090562</v>
      </c>
      <c r="Q330" s="16">
        <v>355367.41681090562</v>
      </c>
      <c r="R330" s="16">
        <v>355367.41681090562</v>
      </c>
      <c r="S330" s="16">
        <v>355367.41681090562</v>
      </c>
      <c r="T330" s="16">
        <v>355367.41681090562</v>
      </c>
      <c r="U330" s="16">
        <v>355367.41681090562</v>
      </c>
      <c r="V330" s="16">
        <v>355367.41681090562</v>
      </c>
      <c r="W330" s="16">
        <v>355367.41681090562</v>
      </c>
      <c r="X330" s="16">
        <v>355367.41681090562</v>
      </c>
      <c r="Y330" s="16">
        <v>355367.41681090562</v>
      </c>
      <c r="Z330" s="15">
        <v>355367.41681090562</v>
      </c>
      <c r="AA330" s="16">
        <f>Revenue_HW!Z329</f>
        <v>355367.41681090562</v>
      </c>
      <c r="AB330" s="16">
        <f t="shared" si="48"/>
        <v>357470.86948188435</v>
      </c>
      <c r="AC330" s="16">
        <f t="shared" si="48"/>
        <v>359222.37339935289</v>
      </c>
      <c r="AD330" s="16">
        <f t="shared" si="48"/>
        <v>360194.36979052145</v>
      </c>
      <c r="AE330" s="16">
        <f t="shared" si="48"/>
        <v>365202.56210626173</v>
      </c>
    </row>
    <row r="331" spans="1:31" x14ac:dyDescent="0.3">
      <c r="A331" s="282" t="str">
        <f>IF(COUNTA(B331)=1,B331,A330)</f>
        <v>중동</v>
      </c>
      <c r="C331" s="3" t="s">
        <v>135</v>
      </c>
      <c r="H331" s="291" t="s">
        <v>275</v>
      </c>
      <c r="O331" s="292">
        <v>251637.05418813677</v>
      </c>
      <c r="P331" s="16">
        <v>251637.05418813677</v>
      </c>
      <c r="Q331" s="16">
        <v>251637.05418813677</v>
      </c>
      <c r="R331" s="16">
        <v>251637.05418813677</v>
      </c>
      <c r="S331" s="16">
        <v>251637.05418813677</v>
      </c>
      <c r="T331" s="16">
        <v>251637.05418813677</v>
      </c>
      <c r="U331" s="16">
        <v>251637.05418813677</v>
      </c>
      <c r="V331" s="16">
        <v>251637.05418813677</v>
      </c>
      <c r="W331" s="16">
        <v>251637.05418813677</v>
      </c>
      <c r="X331" s="16">
        <v>251637.05418813677</v>
      </c>
      <c r="Y331" s="16">
        <v>251637.05418813677</v>
      </c>
      <c r="Z331" s="15">
        <v>251637.05418813677</v>
      </c>
      <c r="AA331" s="16">
        <f>Revenue_HW!Z335</f>
        <v>251637.05418813677</v>
      </c>
      <c r="AB331" s="16">
        <v>0</v>
      </c>
      <c r="AC331" s="16">
        <v>0</v>
      </c>
      <c r="AD331" s="16">
        <v>0</v>
      </c>
      <c r="AE331" s="16">
        <v>0</v>
      </c>
    </row>
    <row r="332" spans="1:31" x14ac:dyDescent="0.3">
      <c r="A332" s="282" t="str">
        <f>IF(COUNTA(B332)=1,B332,A330)</f>
        <v>기타</v>
      </c>
      <c r="B332" s="3" t="s">
        <v>105</v>
      </c>
      <c r="H332" s="291"/>
      <c r="O332" s="292"/>
      <c r="P332" s="16"/>
      <c r="Q332" s="16"/>
      <c r="R332" s="16"/>
      <c r="S332" s="16"/>
      <c r="T332" s="16"/>
      <c r="U332" s="16"/>
      <c r="V332" s="16"/>
      <c r="W332" s="16"/>
      <c r="X332" s="16"/>
      <c r="Y332" s="16"/>
      <c r="Z332" s="15"/>
      <c r="AA332" s="16"/>
      <c r="AB332" s="16"/>
      <c r="AC332" s="16"/>
      <c r="AD332" s="16"/>
      <c r="AE332" s="16"/>
    </row>
    <row r="333" spans="1:31" x14ac:dyDescent="0.3">
      <c r="A333" s="282" t="str">
        <f>IF(COUNTA(B333)=1,B333,A332)</f>
        <v>기타</v>
      </c>
      <c r="C333" s="3" t="s">
        <v>146</v>
      </c>
      <c r="H333" s="291" t="s">
        <v>275</v>
      </c>
      <c r="O333" s="292">
        <v>114969.77766365081</v>
      </c>
      <c r="P333" s="16">
        <v>114969.77766365081</v>
      </c>
      <c r="Q333" s="16">
        <v>114969.77766365081</v>
      </c>
      <c r="R333" s="16">
        <v>114969.77766365081</v>
      </c>
      <c r="S333" s="16">
        <v>114969.77766365081</v>
      </c>
      <c r="T333" s="16">
        <v>114969.77766365081</v>
      </c>
      <c r="U333" s="16">
        <v>114969.77766365081</v>
      </c>
      <c r="V333" s="16">
        <v>114969.77766365081</v>
      </c>
      <c r="W333" s="16">
        <v>114969.77766365081</v>
      </c>
      <c r="X333" s="16">
        <v>114969.77766365081</v>
      </c>
      <c r="Y333" s="16">
        <v>114969.77766365081</v>
      </c>
      <c r="Z333" s="15">
        <v>114969.77766365081</v>
      </c>
      <c r="AA333" s="16">
        <f>Revenue_HW!Z354</f>
        <v>114969.77766365081</v>
      </c>
      <c r="AB333" s="16">
        <f t="shared" ref="AB333:AE336" si="49">AA333*(1+AB372)</f>
        <v>115517.70177754515</v>
      </c>
      <c r="AC333" s="16">
        <f t="shared" si="49"/>
        <v>116162.0455209866</v>
      </c>
      <c r="AD333" s="16">
        <f t="shared" si="49"/>
        <v>116857.56525143485</v>
      </c>
      <c r="AE333" s="16">
        <f>AD333*(1+AE372)</f>
        <v>117577.3727072265</v>
      </c>
    </row>
    <row r="334" spans="1:31" x14ac:dyDescent="0.3">
      <c r="A334" s="282" t="str">
        <f>IF(COUNTA(B334)=1,B334,A333)</f>
        <v>기타</v>
      </c>
      <c r="C334" s="3" t="s">
        <v>147</v>
      </c>
      <c r="H334" s="291" t="s">
        <v>275</v>
      </c>
      <c r="O334" s="292">
        <v>111088.18638799709</v>
      </c>
      <c r="P334" s="16">
        <v>111088.18638799709</v>
      </c>
      <c r="Q334" s="16">
        <v>111088.18638799709</v>
      </c>
      <c r="R334" s="16">
        <v>111088.18638799709</v>
      </c>
      <c r="S334" s="16">
        <v>111088.18638799709</v>
      </c>
      <c r="T334" s="16">
        <v>111088.18638799709</v>
      </c>
      <c r="U334" s="16">
        <v>111088.18638799709</v>
      </c>
      <c r="V334" s="16">
        <v>111088.18638799709</v>
      </c>
      <c r="W334" s="16">
        <v>111088.18638799709</v>
      </c>
      <c r="X334" s="16">
        <v>111088.18638799709</v>
      </c>
      <c r="Y334" s="16">
        <v>111088.18638799709</v>
      </c>
      <c r="Z334" s="15">
        <v>111088.18638799709</v>
      </c>
      <c r="AA334" s="16">
        <f>Revenue_HW!Z360</f>
        <v>114600.91183279824</v>
      </c>
      <c r="AB334" s="16">
        <f t="shared" si="49"/>
        <v>115156.42919611924</v>
      </c>
      <c r="AC334" s="16">
        <f t="shared" si="49"/>
        <v>115822.99884318573</v>
      </c>
      <c r="AD334" s="16">
        <f t="shared" si="49"/>
        <v>116543.04545110233</v>
      </c>
      <c r="AE334" s="16">
        <f t="shared" si="49"/>
        <v>117270.9473714683</v>
      </c>
    </row>
    <row r="335" spans="1:31" x14ac:dyDescent="0.3">
      <c r="A335" s="282" t="str">
        <f>IF(COUNTA(B335)=1,B335,A334)</f>
        <v>기타</v>
      </c>
      <c r="C335" s="3" t="s">
        <v>148</v>
      </c>
      <c r="H335" s="291" t="s">
        <v>275</v>
      </c>
      <c r="O335" s="292">
        <v>77976.682987798151</v>
      </c>
      <c r="P335" s="16">
        <v>77976.682987798151</v>
      </c>
      <c r="Q335" s="16">
        <v>77976.682987798151</v>
      </c>
      <c r="R335" s="16">
        <v>77976.682987798151</v>
      </c>
      <c r="S335" s="16">
        <v>77976.682987798151</v>
      </c>
      <c r="T335" s="16">
        <v>77976.682987798151</v>
      </c>
      <c r="U335" s="16">
        <v>77976.682987798151</v>
      </c>
      <c r="V335" s="16">
        <v>77976.682987798151</v>
      </c>
      <c r="W335" s="16">
        <v>77976.682987798151</v>
      </c>
      <c r="X335" s="16">
        <v>77976.682987798151</v>
      </c>
      <c r="Y335" s="16">
        <v>77976.682987798151</v>
      </c>
      <c r="Z335" s="15">
        <v>77976.682987798151</v>
      </c>
      <c r="AA335" s="16">
        <f>Revenue_HW!Z366</f>
        <v>75363.346390238527</v>
      </c>
      <c r="AB335" s="16">
        <f t="shared" si="49"/>
        <v>75830.492594418014</v>
      </c>
      <c r="AC335" s="16">
        <f t="shared" si="49"/>
        <v>76373.440582793963</v>
      </c>
      <c r="AD335" s="16">
        <f t="shared" si="49"/>
        <v>76942.889990973781</v>
      </c>
      <c r="AE335" s="16">
        <f t="shared" si="49"/>
        <v>77528.60634411205</v>
      </c>
    </row>
    <row r="336" spans="1:31" x14ac:dyDescent="0.3">
      <c r="A336" s="282" t="str">
        <f>IF(COUNTA(B336)=1,B336,A335)</f>
        <v>기타</v>
      </c>
      <c r="C336" s="3" t="s">
        <v>149</v>
      </c>
      <c r="H336" s="291" t="s">
        <v>275</v>
      </c>
      <c r="O336" s="292">
        <v>377777.10253683501</v>
      </c>
      <c r="P336" s="16">
        <v>377777.10253683501</v>
      </c>
      <c r="Q336" s="16">
        <v>377777.10253683501</v>
      </c>
      <c r="R336" s="16">
        <v>377777.10253683501</v>
      </c>
      <c r="S336" s="16">
        <v>377777.10253683501</v>
      </c>
      <c r="T336" s="16">
        <v>377777.10253683501</v>
      </c>
      <c r="U336" s="16">
        <v>377777.10253683501</v>
      </c>
      <c r="V336" s="16">
        <v>377777.10253683501</v>
      </c>
      <c r="W336" s="16">
        <v>377777.10253683501</v>
      </c>
      <c r="X336" s="16">
        <v>377777.10253683501</v>
      </c>
      <c r="Y336" s="16">
        <v>377777.10253683501</v>
      </c>
      <c r="Z336" s="15">
        <v>377777.10253683501</v>
      </c>
      <c r="AA336" s="16">
        <f>Revenue_HW!Z372</f>
        <v>393190</v>
      </c>
      <c r="AB336" s="16">
        <f t="shared" si="49"/>
        <v>395439.92503508239</v>
      </c>
      <c r="AC336" s="16">
        <f t="shared" si="49"/>
        <v>398071.95734962833</v>
      </c>
      <c r="AD336" s="16">
        <f t="shared" si="49"/>
        <v>400816.09709049301</v>
      </c>
      <c r="AE336" s="16">
        <f t="shared" si="49"/>
        <v>403713.04061726824</v>
      </c>
    </row>
    <row r="337" spans="1:31" x14ac:dyDescent="0.3">
      <c r="A337" s="282" t="str">
        <f>IF(COUNTA(B337)=1,B337,A336)</f>
        <v>기타</v>
      </c>
      <c r="C337" s="3" t="s">
        <v>135</v>
      </c>
      <c r="H337" s="291" t="s">
        <v>275</v>
      </c>
      <c r="O337" s="292">
        <v>68353.608880816842</v>
      </c>
      <c r="P337" s="16">
        <v>68353.608880816842</v>
      </c>
      <c r="Q337" s="16">
        <v>68353.608880816842</v>
      </c>
      <c r="R337" s="16">
        <v>68353.608880816842</v>
      </c>
      <c r="S337" s="16">
        <v>68353.608880816842</v>
      </c>
      <c r="T337" s="16">
        <v>68353.608880816842</v>
      </c>
      <c r="U337" s="16">
        <v>68353.608880816842</v>
      </c>
      <c r="V337" s="16">
        <v>68353.608880816842</v>
      </c>
      <c r="W337" s="16">
        <v>68353.608880816842</v>
      </c>
      <c r="X337" s="16">
        <v>68353.608880816842</v>
      </c>
      <c r="Y337" s="16">
        <v>68353.608880816842</v>
      </c>
      <c r="Z337" s="15">
        <v>68353.608880816842</v>
      </c>
      <c r="AA337" s="16">
        <f>Revenue_HW!Z378</f>
        <v>68353.608880816842</v>
      </c>
      <c r="AB337" s="16">
        <v>0</v>
      </c>
      <c r="AC337" s="16">
        <v>0</v>
      </c>
      <c r="AD337" s="16">
        <v>0</v>
      </c>
      <c r="AE337" s="16">
        <v>0</v>
      </c>
    </row>
    <row r="338" spans="1:31" x14ac:dyDescent="0.3">
      <c r="A338" s="282" t="str">
        <f>IF(COUNTA(B338)=1,B338,A336)</f>
        <v>북미</v>
      </c>
      <c r="B338" s="3" t="s">
        <v>260</v>
      </c>
      <c r="H338" s="291"/>
      <c r="O338" s="292"/>
      <c r="P338" s="16"/>
      <c r="Q338" s="16"/>
      <c r="R338" s="16"/>
      <c r="S338" s="16"/>
      <c r="T338" s="16"/>
      <c r="U338" s="16"/>
      <c r="V338" s="16"/>
      <c r="W338" s="16"/>
      <c r="X338" s="16"/>
      <c r="Y338" s="16"/>
      <c r="Z338" s="15"/>
      <c r="AA338" s="16"/>
      <c r="AB338" s="16"/>
      <c r="AC338" s="16"/>
      <c r="AD338" s="16"/>
      <c r="AE338" s="16"/>
    </row>
    <row r="339" spans="1:31" x14ac:dyDescent="0.3">
      <c r="A339" s="282" t="str">
        <f>IF(COUNTA(B339)=1,B339,A338)</f>
        <v>북미</v>
      </c>
      <c r="C339" s="3" t="s">
        <v>146</v>
      </c>
      <c r="H339" s="291" t="s">
        <v>275</v>
      </c>
      <c r="O339" s="292">
        <v>202923.15148901238</v>
      </c>
      <c r="P339" s="16">
        <v>202923.15148901238</v>
      </c>
      <c r="Q339" s="16">
        <v>202923.15148901238</v>
      </c>
      <c r="R339" s="16">
        <v>202923.15148901238</v>
      </c>
      <c r="S339" s="16">
        <v>202923.15148901238</v>
      </c>
      <c r="T339" s="16">
        <v>202923.15148901238</v>
      </c>
      <c r="U339" s="16">
        <v>202923.15148901238</v>
      </c>
      <c r="V339" s="16">
        <v>202923.15148901238</v>
      </c>
      <c r="W339" s="16">
        <v>202923.15148901238</v>
      </c>
      <c r="X339" s="16">
        <v>202923.15148901238</v>
      </c>
      <c r="Y339" s="16">
        <v>202923.15148901238</v>
      </c>
      <c r="Z339" s="15">
        <v>202923.15148901238</v>
      </c>
      <c r="AA339" s="16">
        <f>Projection_미국!Z49</f>
        <v>202923.15148901238</v>
      </c>
      <c r="AB339" s="16">
        <f t="shared" ref="AB339:AE342" si="50">AA339*(1+AB407)</f>
        <v>204096.53946650575</v>
      </c>
      <c r="AC339" s="16">
        <f t="shared" si="50"/>
        <v>205353.31814664725</v>
      </c>
      <c r="AD339" s="16">
        <f t="shared" si="50"/>
        <v>206644.40170377595</v>
      </c>
      <c r="AE339" s="16">
        <f t="shared" si="50"/>
        <v>207986.12255905685</v>
      </c>
    </row>
    <row r="340" spans="1:31" x14ac:dyDescent="0.3">
      <c r="A340" s="282" t="str">
        <f>IF(COUNTA(B340)=1,B340,A339)</f>
        <v>북미</v>
      </c>
      <c r="C340" s="3" t="s">
        <v>147</v>
      </c>
      <c r="H340" s="291" t="s">
        <v>275</v>
      </c>
      <c r="O340" s="292">
        <v>113145.5237094981</v>
      </c>
      <c r="P340" s="16">
        <v>113145.5237094981</v>
      </c>
      <c r="Q340" s="16">
        <v>113145.5237094981</v>
      </c>
      <c r="R340" s="16">
        <v>113145.5237094981</v>
      </c>
      <c r="S340" s="16">
        <v>113145.5237094981</v>
      </c>
      <c r="T340" s="16">
        <v>113145.5237094981</v>
      </c>
      <c r="U340" s="16">
        <v>113145.5237094981</v>
      </c>
      <c r="V340" s="16">
        <v>113145.5237094981</v>
      </c>
      <c r="W340" s="16">
        <v>113145.5237094981</v>
      </c>
      <c r="X340" s="16">
        <v>113145.5237094981</v>
      </c>
      <c r="Y340" s="16">
        <v>113145.5237094981</v>
      </c>
      <c r="Z340" s="15">
        <v>113145.5237094981</v>
      </c>
      <c r="AA340" s="16">
        <f>Projection_미국!Z56</f>
        <v>111392.6112110675</v>
      </c>
      <c r="AB340" s="16">
        <f t="shared" si="50"/>
        <v>111992.85063257918</v>
      </c>
      <c r="AC340" s="16">
        <f t="shared" si="50"/>
        <v>112693.33854126398</v>
      </c>
      <c r="AD340" s="16">
        <f t="shared" si="50"/>
        <v>113454.3406827561</v>
      </c>
      <c r="AE340" s="16">
        <f t="shared" si="50"/>
        <v>114222.67958742645</v>
      </c>
    </row>
    <row r="341" spans="1:31" x14ac:dyDescent="0.3">
      <c r="A341" s="282" t="str">
        <f>IF(COUNTA(B341)=1,B341,A340)</f>
        <v>북미</v>
      </c>
      <c r="C341" s="3" t="s">
        <v>148</v>
      </c>
      <c r="H341" s="291" t="s">
        <v>275</v>
      </c>
      <c r="O341" s="292">
        <v>100329.47233025559</v>
      </c>
      <c r="P341" s="16">
        <v>100329.47233025559</v>
      </c>
      <c r="Q341" s="16">
        <v>100329.47233025559</v>
      </c>
      <c r="R341" s="16">
        <v>100329.47233025559</v>
      </c>
      <c r="S341" s="16">
        <v>100329.47233025559</v>
      </c>
      <c r="T341" s="16">
        <v>100329.47233025559</v>
      </c>
      <c r="U341" s="16">
        <v>100329.47233025559</v>
      </c>
      <c r="V341" s="16">
        <v>100329.47233025559</v>
      </c>
      <c r="W341" s="16">
        <v>100329.47233025559</v>
      </c>
      <c r="X341" s="16">
        <v>100329.47233025559</v>
      </c>
      <c r="Y341" s="16">
        <v>100329.47233025559</v>
      </c>
      <c r="Z341" s="15">
        <v>100329.47233025559</v>
      </c>
      <c r="AA341" s="16">
        <f>Projection_미국!Z63</f>
        <v>96889.361193724864</v>
      </c>
      <c r="AB341" s="16">
        <f t="shared" si="50"/>
        <v>97556.441002809603</v>
      </c>
      <c r="AC341" s="16">
        <f t="shared" si="50"/>
        <v>98296.436804622586</v>
      </c>
      <c r="AD341" s="16">
        <f t="shared" si="50"/>
        <v>99080.549238075429</v>
      </c>
      <c r="AE341" s="16">
        <f t="shared" si="50"/>
        <v>99877.031729990893</v>
      </c>
    </row>
    <row r="342" spans="1:31" x14ac:dyDescent="0.3">
      <c r="A342" s="282" t="str">
        <f>IF(COUNTA(B342)=1,B342,A341)</f>
        <v>북미</v>
      </c>
      <c r="C342" s="3" t="s">
        <v>149</v>
      </c>
      <c r="H342" s="291" t="s">
        <v>275</v>
      </c>
      <c r="O342" s="292">
        <v>323882.29334829509</v>
      </c>
      <c r="P342" s="16">
        <v>323882.29334829509</v>
      </c>
      <c r="Q342" s="16">
        <v>323882.29334829509</v>
      </c>
      <c r="R342" s="16">
        <v>323882.29334829509</v>
      </c>
      <c r="S342" s="16">
        <v>323882.29334829509</v>
      </c>
      <c r="T342" s="16">
        <v>323882.29334829509</v>
      </c>
      <c r="U342" s="16">
        <v>323882.29334829509</v>
      </c>
      <c r="V342" s="16">
        <v>323882.29334829509</v>
      </c>
      <c r="W342" s="16">
        <v>323882.29334829509</v>
      </c>
      <c r="X342" s="16">
        <v>323882.29334829509</v>
      </c>
      <c r="Y342" s="16">
        <v>323882.29334829509</v>
      </c>
      <c r="Z342" s="15">
        <v>323882.29334829509</v>
      </c>
      <c r="AA342" s="16">
        <f>Projection_미국!Z70</f>
        <v>321625.66788966913</v>
      </c>
      <c r="AB342" s="16">
        <f t="shared" si="50"/>
        <v>323680.23180029303</v>
      </c>
      <c r="AC342" s="16">
        <f t="shared" si="50"/>
        <v>325982.49912523763</v>
      </c>
      <c r="AD342" s="16">
        <f t="shared" si="50"/>
        <v>328376.69402415137</v>
      </c>
      <c r="AE342" s="16">
        <f t="shared" si="50"/>
        <v>330933.30038667523</v>
      </c>
    </row>
    <row r="343" spans="1:31" x14ac:dyDescent="0.3">
      <c r="A343" s="282" t="str">
        <f>IF(COUNTA(B343)=1,B343,A342)</f>
        <v>북미</v>
      </c>
      <c r="C343" s="3" t="s">
        <v>135</v>
      </c>
      <c r="H343" s="291" t="s">
        <v>275</v>
      </c>
      <c r="O343" s="292">
        <v>154182.35082924584</v>
      </c>
      <c r="P343" s="16">
        <v>154182.35082924584</v>
      </c>
      <c r="Q343" s="16">
        <v>154182.35082924584</v>
      </c>
      <c r="R343" s="16">
        <v>154182.35082924584</v>
      </c>
      <c r="S343" s="16">
        <v>154182.35082924584</v>
      </c>
      <c r="T343" s="16">
        <v>154182.35082924584</v>
      </c>
      <c r="U343" s="16">
        <v>154182.35082924584</v>
      </c>
      <c r="V343" s="16">
        <v>154182.35082924584</v>
      </c>
      <c r="W343" s="16">
        <v>154182.35082924584</v>
      </c>
      <c r="X343" s="16">
        <v>154182.35082924584</v>
      </c>
      <c r="Y343" s="16">
        <v>154182.35082924584</v>
      </c>
      <c r="Z343" s="15">
        <v>154182.35082924584</v>
      </c>
      <c r="AA343" s="16">
        <f>Projection_미국!Z77</f>
        <v>141864.26986865065</v>
      </c>
      <c r="AB343" s="16">
        <v>0</v>
      </c>
      <c r="AC343" s="16">
        <v>0</v>
      </c>
      <c r="AD343" s="16">
        <v>0</v>
      </c>
      <c r="AE343" s="16">
        <v>0</v>
      </c>
    </row>
    <row r="344" spans="1:31" x14ac:dyDescent="0.3">
      <c r="A344" s="282" t="str">
        <f>IF(COUNTA(B344)=1,B344,A342)</f>
        <v>남미</v>
      </c>
      <c r="B344" s="3" t="s">
        <v>261</v>
      </c>
      <c r="H344" s="291"/>
      <c r="O344" s="292"/>
      <c r="P344" s="16"/>
      <c r="Q344" s="16"/>
      <c r="R344" s="16"/>
      <c r="S344" s="16"/>
      <c r="T344" s="16"/>
      <c r="U344" s="16"/>
      <c r="V344" s="16"/>
      <c r="W344" s="16"/>
      <c r="X344" s="16"/>
      <c r="Y344" s="16"/>
      <c r="Z344" s="15"/>
      <c r="AA344" s="16"/>
      <c r="AB344" s="16"/>
      <c r="AC344" s="16"/>
      <c r="AD344" s="16"/>
      <c r="AE344" s="16"/>
    </row>
    <row r="345" spans="1:31" x14ac:dyDescent="0.3">
      <c r="A345" s="282" t="str">
        <f>IF(COUNTA(B345)=1,B345,A344)</f>
        <v>남미</v>
      </c>
      <c r="C345" s="3" t="s">
        <v>146</v>
      </c>
      <c r="H345" s="291" t="s">
        <v>275</v>
      </c>
      <c r="O345" s="292">
        <v>184173.09589620805</v>
      </c>
      <c r="P345" s="16">
        <v>184173.09589620805</v>
      </c>
      <c r="Q345" s="16">
        <v>184173.09589620805</v>
      </c>
      <c r="R345" s="16">
        <v>184173.09589620805</v>
      </c>
      <c r="S345" s="16">
        <v>184173.09589620805</v>
      </c>
      <c r="T345" s="16">
        <v>184173.09589620805</v>
      </c>
      <c r="U345" s="16">
        <v>184173.09589620805</v>
      </c>
      <c r="V345" s="16">
        <v>184173.09589620805</v>
      </c>
      <c r="W345" s="16">
        <v>184173.09589620805</v>
      </c>
      <c r="X345" s="16">
        <v>184173.09589620805</v>
      </c>
      <c r="Y345" s="16">
        <v>184173.09589620805</v>
      </c>
      <c r="Z345" s="15">
        <v>184173.09589620805</v>
      </c>
      <c r="AA345" s="16">
        <f>Projection_미국!Z99</f>
        <v>184173.09589620805</v>
      </c>
      <c r="AB345" s="16">
        <f t="shared" ref="AB345:AE348" si="51">AA345*(1+AB412)</f>
        <v>184822.19875380059</v>
      </c>
      <c r="AC345" s="16">
        <f t="shared" si="51"/>
        <v>185606.72177041572</v>
      </c>
      <c r="AD345" s="16">
        <f t="shared" si="51"/>
        <v>187257.27525641257</v>
      </c>
      <c r="AE345" s="16">
        <f t="shared" si="51"/>
        <v>188697.383603289</v>
      </c>
    </row>
    <row r="346" spans="1:31" x14ac:dyDescent="0.3">
      <c r="A346" s="282" t="str">
        <f>IF(COUNTA(B346)=1,B346,A345)</f>
        <v>남미</v>
      </c>
      <c r="C346" s="3" t="s">
        <v>147</v>
      </c>
      <c r="H346" s="291" t="s">
        <v>275</v>
      </c>
      <c r="O346" s="292">
        <v>101099.59437610145</v>
      </c>
      <c r="P346" s="16">
        <v>101099.59437610145</v>
      </c>
      <c r="Q346" s="16">
        <v>101099.59437610145</v>
      </c>
      <c r="R346" s="16">
        <v>101099.59437610145</v>
      </c>
      <c r="S346" s="16">
        <v>101099.59437610145</v>
      </c>
      <c r="T346" s="16">
        <v>101099.59437610145</v>
      </c>
      <c r="U346" s="16">
        <v>101099.59437610145</v>
      </c>
      <c r="V346" s="16">
        <v>101099.59437610145</v>
      </c>
      <c r="W346" s="16">
        <v>101099.59437610145</v>
      </c>
      <c r="X346" s="16">
        <v>101099.59437610145</v>
      </c>
      <c r="Y346" s="16">
        <v>101099.59437610145</v>
      </c>
      <c r="Z346" s="15">
        <v>101099.59437610145</v>
      </c>
      <c r="AA346" s="16">
        <f>Projection_미국!Z106</f>
        <v>95013.906826236038</v>
      </c>
      <c r="AB346" s="16">
        <f t="shared" si="51"/>
        <v>95591.398726201471</v>
      </c>
      <c r="AC346" s="16">
        <f t="shared" si="51"/>
        <v>96024.185254484735</v>
      </c>
      <c r="AD346" s="16">
        <f t="shared" si="51"/>
        <v>96841.657896147779</v>
      </c>
      <c r="AE346" s="16">
        <f t="shared" si="51"/>
        <v>97269.82860341332</v>
      </c>
    </row>
    <row r="347" spans="1:31" x14ac:dyDescent="0.3">
      <c r="A347" s="282" t="str">
        <f>IF(COUNTA(B347)=1,B347,A346)</f>
        <v>남미</v>
      </c>
      <c r="C347" s="3" t="s">
        <v>148</v>
      </c>
      <c r="H347" s="291" t="s">
        <v>275</v>
      </c>
      <c r="O347" s="292">
        <v>74239.026366203761</v>
      </c>
      <c r="P347" s="16">
        <v>74239.026366203761</v>
      </c>
      <c r="Q347" s="16">
        <v>74239.026366203761</v>
      </c>
      <c r="R347" s="16">
        <v>74239.026366203761</v>
      </c>
      <c r="S347" s="16">
        <v>74239.026366203761</v>
      </c>
      <c r="T347" s="16">
        <v>74239.026366203761</v>
      </c>
      <c r="U347" s="16">
        <v>74239.026366203761</v>
      </c>
      <c r="V347" s="16">
        <v>74239.026366203761</v>
      </c>
      <c r="W347" s="16">
        <v>74239.026366203761</v>
      </c>
      <c r="X347" s="16">
        <v>74239.026366203761</v>
      </c>
      <c r="Y347" s="16">
        <v>74239.026366203761</v>
      </c>
      <c r="Z347" s="15">
        <v>74239.026366203761</v>
      </c>
      <c r="AA347" s="16">
        <f>Projection_미국!Z113</f>
        <v>76126.06896311733</v>
      </c>
      <c r="AB347" s="16">
        <f t="shared" si="51"/>
        <v>76501.864745154409</v>
      </c>
      <c r="AC347" s="16">
        <f t="shared" si="51"/>
        <v>77119.191031811366</v>
      </c>
      <c r="AD347" s="16">
        <f t="shared" si="51"/>
        <v>77740.45280755595</v>
      </c>
      <c r="AE347" s="16">
        <f t="shared" si="51"/>
        <v>78364.072883485744</v>
      </c>
    </row>
    <row r="348" spans="1:31" x14ac:dyDescent="0.3">
      <c r="A348" s="282" t="str">
        <f>IF(COUNTA(B348)=1,B348,A347)</f>
        <v>남미</v>
      </c>
      <c r="C348" s="3" t="s">
        <v>149</v>
      </c>
      <c r="H348" s="291" t="s">
        <v>275</v>
      </c>
      <c r="O348" s="292">
        <v>0</v>
      </c>
      <c r="P348" s="16">
        <v>0</v>
      </c>
      <c r="Q348" s="16">
        <v>0</v>
      </c>
      <c r="R348" s="16">
        <v>0</v>
      </c>
      <c r="S348" s="16">
        <v>0</v>
      </c>
      <c r="T348" s="16">
        <v>0</v>
      </c>
      <c r="U348" s="16">
        <v>0</v>
      </c>
      <c r="V348" s="16">
        <v>0</v>
      </c>
      <c r="W348" s="16">
        <v>0</v>
      </c>
      <c r="X348" s="16">
        <v>0</v>
      </c>
      <c r="Y348" s="16">
        <v>0</v>
      </c>
      <c r="Z348" s="15">
        <v>0</v>
      </c>
      <c r="AA348" s="16">
        <f>Projection_미국!Z120</f>
        <v>0</v>
      </c>
      <c r="AB348" s="16">
        <f t="shared" si="51"/>
        <v>0</v>
      </c>
      <c r="AC348" s="16">
        <f t="shared" si="51"/>
        <v>0</v>
      </c>
      <c r="AD348" s="16">
        <f t="shared" si="51"/>
        <v>0</v>
      </c>
      <c r="AE348" s="16">
        <f t="shared" si="51"/>
        <v>0</v>
      </c>
    </row>
    <row r="349" spans="1:31" x14ac:dyDescent="0.3">
      <c r="A349" s="282" t="str">
        <f>IF(COUNTA(B349)=1,B349,A348)</f>
        <v>남미</v>
      </c>
      <c r="C349" s="3" t="s">
        <v>135</v>
      </c>
      <c r="H349" s="291" t="s">
        <v>275</v>
      </c>
      <c r="O349" s="292">
        <v>225291.36564997403</v>
      </c>
      <c r="P349" s="16">
        <v>225291.36564997403</v>
      </c>
      <c r="Q349" s="16">
        <v>225291.36564997403</v>
      </c>
      <c r="R349" s="16">
        <v>225291.36564997403</v>
      </c>
      <c r="S349" s="16">
        <v>225291.36564997403</v>
      </c>
      <c r="T349" s="16">
        <v>225291.36564997403</v>
      </c>
      <c r="U349" s="16">
        <v>225291.36564997403</v>
      </c>
      <c r="V349" s="16">
        <v>225291.36564997403</v>
      </c>
      <c r="W349" s="16">
        <v>225291.36564997403</v>
      </c>
      <c r="X349" s="16">
        <v>225291.36564997403</v>
      </c>
      <c r="Y349" s="16">
        <v>225291.36564997403</v>
      </c>
      <c r="Z349" s="15">
        <v>225291.36564997403</v>
      </c>
      <c r="AA349" s="16">
        <f>Projection_미국!Z127</f>
        <v>149878.68282498702</v>
      </c>
      <c r="AB349" s="16">
        <v>0</v>
      </c>
      <c r="AC349" s="16">
        <v>0</v>
      </c>
      <c r="AD349" s="16">
        <v>0</v>
      </c>
      <c r="AE349" s="16">
        <v>0</v>
      </c>
    </row>
    <row r="350" spans="1:31" x14ac:dyDescent="0.3">
      <c r="A350" s="282" t="str">
        <f>IF(COUNTA(B350)=1,B350,A348)</f>
        <v>유럽</v>
      </c>
      <c r="B350" s="3" t="s">
        <v>262</v>
      </c>
      <c r="H350" s="291"/>
      <c r="O350" s="292"/>
      <c r="P350" s="16"/>
      <c r="Q350" s="16"/>
      <c r="R350" s="16"/>
      <c r="S350" s="16"/>
      <c r="T350" s="16"/>
      <c r="U350" s="16"/>
      <c r="V350" s="16"/>
      <c r="W350" s="16"/>
      <c r="X350" s="16"/>
      <c r="Y350" s="16"/>
      <c r="Z350" s="15"/>
      <c r="AA350" s="16"/>
      <c r="AB350" s="16"/>
      <c r="AC350" s="16"/>
      <c r="AD350" s="16"/>
      <c r="AE350" s="16"/>
    </row>
    <row r="351" spans="1:31" x14ac:dyDescent="0.3">
      <c r="A351" s="282" t="str">
        <f>IF(COUNTA(B351)=1,B351,A350)</f>
        <v>유럽</v>
      </c>
      <c r="C351" s="3" t="s">
        <v>146</v>
      </c>
      <c r="H351" s="291" t="s">
        <v>276</v>
      </c>
      <c r="O351" s="292">
        <v>191389.25205208719</v>
      </c>
      <c r="P351" s="16">
        <v>191389.25205208719</v>
      </c>
      <c r="Q351" s="16">
        <v>191389.25205208719</v>
      </c>
      <c r="R351" s="16">
        <v>191389.25205208719</v>
      </c>
      <c r="S351" s="16">
        <v>191389.25205208719</v>
      </c>
      <c r="T351" s="16">
        <v>191389.25205208719</v>
      </c>
      <c r="U351" s="16">
        <v>191389.25205208719</v>
      </c>
      <c r="V351" s="16">
        <v>191389.25205208719</v>
      </c>
      <c r="W351" s="16">
        <v>191389.25205208719</v>
      </c>
      <c r="X351" s="16">
        <v>191389.25205208719</v>
      </c>
      <c r="Y351" s="16">
        <v>191389.25205208719</v>
      </c>
      <c r="Z351" s="15">
        <v>191389.25205208719</v>
      </c>
      <c r="AA351" s="16">
        <f>Projection_유럽!Z26</f>
        <v>155784.68401736239</v>
      </c>
      <c r="AB351" s="16">
        <f t="shared" ref="AB351:AE354" si="52">AA351*(1+AB417)</f>
        <v>156605.15944298773</v>
      </c>
      <c r="AC351" s="16">
        <f t="shared" si="52"/>
        <v>157526.80368195171</v>
      </c>
      <c r="AD351" s="16">
        <f t="shared" si="52"/>
        <v>158566.09914305335</v>
      </c>
      <c r="AE351" s="16">
        <f t="shared" si="52"/>
        <v>159617.86215242874</v>
      </c>
    </row>
    <row r="352" spans="1:31" x14ac:dyDescent="0.3">
      <c r="A352" s="282" t="str">
        <f>IF(COUNTA(B352)=1,B352,A351)</f>
        <v>유럽</v>
      </c>
      <c r="C352" s="3" t="s">
        <v>147</v>
      </c>
      <c r="H352" s="291" t="s">
        <v>276</v>
      </c>
      <c r="O352" s="292">
        <v>76223.041555933669</v>
      </c>
      <c r="P352" s="16">
        <v>76223.041555933669</v>
      </c>
      <c r="Q352" s="16">
        <v>76223.041555933669</v>
      </c>
      <c r="R352" s="16">
        <v>76223.041555933669</v>
      </c>
      <c r="S352" s="16">
        <v>76223.041555933669</v>
      </c>
      <c r="T352" s="16">
        <v>76223.041555933669</v>
      </c>
      <c r="U352" s="16">
        <v>76223.041555933669</v>
      </c>
      <c r="V352" s="16">
        <v>76223.041555933669</v>
      </c>
      <c r="W352" s="16">
        <v>76223.041555933669</v>
      </c>
      <c r="X352" s="16">
        <v>76223.041555933669</v>
      </c>
      <c r="Y352" s="16">
        <v>76223.041555933669</v>
      </c>
      <c r="Z352" s="15">
        <v>76223.041555933669</v>
      </c>
      <c r="AA352" s="16">
        <f>Projection_유럽!Z33</f>
        <v>77278.842693248633</v>
      </c>
      <c r="AB352" s="16">
        <f t="shared" si="52"/>
        <v>77685.560542448729</v>
      </c>
      <c r="AC352" s="16">
        <f t="shared" si="52"/>
        <v>78167.314719623362</v>
      </c>
      <c r="AD352" s="16">
        <f t="shared" si="52"/>
        <v>78698.108935423399</v>
      </c>
      <c r="AE352" s="16">
        <f t="shared" si="52"/>
        <v>79229.833422196505</v>
      </c>
    </row>
    <row r="353" spans="1:31" x14ac:dyDescent="0.3">
      <c r="A353" s="282" t="str">
        <f>IF(COUNTA(B353)=1,B353,A352)</f>
        <v>유럽</v>
      </c>
      <c r="C353" s="3" t="s">
        <v>148</v>
      </c>
      <c r="H353" s="291" t="s">
        <v>276</v>
      </c>
      <c r="O353" s="292">
        <v>66126.976453346389</v>
      </c>
      <c r="P353" s="16">
        <v>66126.976453346389</v>
      </c>
      <c r="Q353" s="16">
        <v>66126.976453346389</v>
      </c>
      <c r="R353" s="16">
        <v>66126.976453346389</v>
      </c>
      <c r="S353" s="16">
        <v>66126.976453346389</v>
      </c>
      <c r="T353" s="16">
        <v>66126.976453346389</v>
      </c>
      <c r="U353" s="16">
        <v>66126.976453346389</v>
      </c>
      <c r="V353" s="16">
        <v>66126.976453346389</v>
      </c>
      <c r="W353" s="16">
        <v>66126.976453346389</v>
      </c>
      <c r="X353" s="16">
        <v>66126.976453346389</v>
      </c>
      <c r="Y353" s="16">
        <v>66126.976453346389</v>
      </c>
      <c r="Z353" s="15">
        <v>66126.976453346389</v>
      </c>
      <c r="AA353" s="16">
        <f>Projection_유럽!Z40</f>
        <v>64282.124063575771</v>
      </c>
      <c r="AB353" s="16">
        <f t="shared" si="52"/>
        <v>64717.794903499023</v>
      </c>
      <c r="AC353" s="16">
        <f t="shared" si="52"/>
        <v>65209.441056803094</v>
      </c>
      <c r="AD353" s="16">
        <f t="shared" si="52"/>
        <v>65726.328160826699</v>
      </c>
      <c r="AE353" s="16">
        <f t="shared" si="52"/>
        <v>66258.203125758868</v>
      </c>
    </row>
    <row r="354" spans="1:31" x14ac:dyDescent="0.3">
      <c r="A354" s="282" t="str">
        <f>IF(COUNTA(B354)=1,B354,A353)</f>
        <v>유럽</v>
      </c>
      <c r="C354" s="3" t="s">
        <v>149</v>
      </c>
      <c r="H354" s="291" t="s">
        <v>276</v>
      </c>
      <c r="O354" s="292">
        <v>255842.7031575632</v>
      </c>
      <c r="P354" s="16">
        <v>255842.7031575632</v>
      </c>
      <c r="Q354" s="16">
        <v>255842.7031575632</v>
      </c>
      <c r="R354" s="16">
        <v>255842.7031575632</v>
      </c>
      <c r="S354" s="16">
        <v>255842.7031575632</v>
      </c>
      <c r="T354" s="16">
        <v>255842.7031575632</v>
      </c>
      <c r="U354" s="16">
        <v>255842.7031575632</v>
      </c>
      <c r="V354" s="16">
        <v>255842.7031575632</v>
      </c>
      <c r="W354" s="16">
        <v>255842.7031575632</v>
      </c>
      <c r="X354" s="16">
        <v>255842.7031575632</v>
      </c>
      <c r="Y354" s="16">
        <v>255842.7031575632</v>
      </c>
      <c r="Z354" s="15">
        <v>255842.7031575632</v>
      </c>
      <c r="AA354" s="16">
        <f>Projection_유럽!Z47</f>
        <v>255517.18189453791</v>
      </c>
      <c r="AB354" s="16">
        <f t="shared" si="52"/>
        <v>257115.07312580422</v>
      </c>
      <c r="AC354" s="16">
        <f t="shared" si="52"/>
        <v>258993.80976856378</v>
      </c>
      <c r="AD354" s="16">
        <f t="shared" si="52"/>
        <v>260846.11871903748</v>
      </c>
      <c r="AE354" s="16">
        <f t="shared" si="52"/>
        <v>262850.63825562684</v>
      </c>
    </row>
    <row r="355" spans="1:31" x14ac:dyDescent="0.3">
      <c r="A355" s="282" t="str">
        <f>IF(COUNTA(B355)=1,B355,A354)</f>
        <v>유럽</v>
      </c>
      <c r="C355" s="3" t="s">
        <v>135</v>
      </c>
      <c r="H355" s="291" t="s">
        <v>276</v>
      </c>
      <c r="O355" s="292">
        <v>102483.18892754475</v>
      </c>
      <c r="P355" s="16">
        <v>102483.18892754475</v>
      </c>
      <c r="Q355" s="16">
        <v>102483.18892754475</v>
      </c>
      <c r="R355" s="16">
        <v>102483.18892754475</v>
      </c>
      <c r="S355" s="16">
        <v>102483.18892754475</v>
      </c>
      <c r="T355" s="16">
        <v>102483.18892754475</v>
      </c>
      <c r="U355" s="16">
        <v>102483.18892754475</v>
      </c>
      <c r="V355" s="16">
        <v>102483.18892754475</v>
      </c>
      <c r="W355" s="16">
        <v>102483.18892754475</v>
      </c>
      <c r="X355" s="16">
        <v>102483.18892754475</v>
      </c>
      <c r="Y355" s="16">
        <v>102483.18892754475</v>
      </c>
      <c r="Z355" s="15">
        <v>102483.18892754475</v>
      </c>
      <c r="AA355" s="16">
        <f>Projection_유럽!Z54</f>
        <v>102621.79169565855</v>
      </c>
      <c r="AB355" s="16">
        <v>0</v>
      </c>
      <c r="AC355" s="16">
        <v>0</v>
      </c>
      <c r="AD355" s="16">
        <v>0</v>
      </c>
      <c r="AE355" s="16">
        <v>0</v>
      </c>
    </row>
    <row r="356" spans="1:31" x14ac:dyDescent="0.3">
      <c r="A356" s="282" t="str">
        <f>IF(COUNTA(B356)=1,B356,A354)</f>
        <v>중국(상품)</v>
      </c>
      <c r="B356" s="3" t="s">
        <v>264</v>
      </c>
      <c r="H356" s="291"/>
      <c r="O356" s="292"/>
      <c r="P356" s="16"/>
      <c r="Q356" s="16"/>
      <c r="R356" s="16"/>
      <c r="S356" s="16"/>
      <c r="T356" s="16"/>
      <c r="U356" s="16"/>
      <c r="V356" s="16"/>
      <c r="W356" s="16"/>
      <c r="X356" s="16"/>
      <c r="Y356" s="16"/>
      <c r="Z356" s="15"/>
      <c r="AA356" s="16"/>
      <c r="AB356" s="16"/>
      <c r="AC356" s="16"/>
      <c r="AD356" s="16"/>
      <c r="AE356" s="16"/>
    </row>
    <row r="357" spans="1:31" x14ac:dyDescent="0.3">
      <c r="A357" s="282" t="str">
        <f>IF(COUNTA(B357)=1,B357,A356)</f>
        <v>중국(상품)</v>
      </c>
      <c r="C357" s="3" t="s">
        <v>146</v>
      </c>
      <c r="H357" s="291" t="s">
        <v>277</v>
      </c>
      <c r="O357" s="292">
        <v>910849.99999999988</v>
      </c>
      <c r="P357" s="16">
        <v>910849.99999999988</v>
      </c>
      <c r="Q357" s="16">
        <v>910849.99999999988</v>
      </c>
      <c r="R357" s="16">
        <v>910849.99999999988</v>
      </c>
      <c r="S357" s="16">
        <v>910849.99999999988</v>
      </c>
      <c r="T357" s="16">
        <v>910849.99999999988</v>
      </c>
      <c r="U357" s="16">
        <v>910849.99999999988</v>
      </c>
      <c r="V357" s="16">
        <v>910849.99999999988</v>
      </c>
      <c r="W357" s="16">
        <v>910849.99999999988</v>
      </c>
      <c r="X357" s="16">
        <v>910849.99999999988</v>
      </c>
      <c r="Y357" s="16">
        <v>910849.99999999988</v>
      </c>
      <c r="Z357" s="15">
        <v>910849.99999999988</v>
      </c>
      <c r="AA357" s="16">
        <f>Projection_중국!Z49</f>
        <v>729761.28499999992</v>
      </c>
      <c r="AB357" s="16">
        <f t="shared" ref="AB357:AE360" si="53">AA357*(1+AB422)</f>
        <v>733583.66982964135</v>
      </c>
      <c r="AC357" s="16">
        <f t="shared" si="53"/>
        <v>738128.11422187858</v>
      </c>
      <c r="AD357" s="16">
        <f t="shared" si="53"/>
        <v>742924.1652570779</v>
      </c>
      <c r="AE357" s="16">
        <f>AD357*(1+AE422)</f>
        <v>747818.48371009587</v>
      </c>
    </row>
    <row r="358" spans="1:31" x14ac:dyDescent="0.3">
      <c r="A358" s="282" t="str">
        <f>IF(COUNTA(B358)=1,B358,A357)</f>
        <v>중국(상품)</v>
      </c>
      <c r="C358" s="3" t="s">
        <v>147</v>
      </c>
      <c r="H358" s="291" t="s">
        <v>277</v>
      </c>
      <c r="O358" s="292">
        <v>1259100</v>
      </c>
      <c r="P358" s="16">
        <v>1259100</v>
      </c>
      <c r="Q358" s="16">
        <v>1259100</v>
      </c>
      <c r="R358" s="16">
        <v>1259100</v>
      </c>
      <c r="S358" s="16">
        <v>1259100</v>
      </c>
      <c r="T358" s="16">
        <v>1259100</v>
      </c>
      <c r="U358" s="16">
        <v>1259100</v>
      </c>
      <c r="V358" s="16">
        <v>1259100</v>
      </c>
      <c r="W358" s="16">
        <v>1259100</v>
      </c>
      <c r="X358" s="16">
        <v>1259100</v>
      </c>
      <c r="Y358" s="16">
        <v>1259100</v>
      </c>
      <c r="Z358" s="15">
        <v>1259100</v>
      </c>
      <c r="AA358" s="16">
        <f>Projection_중국!Z56</f>
        <v>512695.57499999995</v>
      </c>
      <c r="AB358" s="16">
        <f t="shared" si="53"/>
        <v>515439.06588845508</v>
      </c>
      <c r="AC358" s="16">
        <f t="shared" si="53"/>
        <v>518719.70306301519</v>
      </c>
      <c r="AD358" s="16">
        <f t="shared" si="53"/>
        <v>522171.59039688658</v>
      </c>
      <c r="AE358" s="16">
        <f t="shared" si="53"/>
        <v>525683.80656352406</v>
      </c>
    </row>
    <row r="359" spans="1:31" x14ac:dyDescent="0.3">
      <c r="A359" s="282" t="str">
        <f>IF(COUNTA(B359)=1,B359,A358)</f>
        <v>중국(상품)</v>
      </c>
      <c r="C359" s="3" t="s">
        <v>148</v>
      </c>
      <c r="H359" s="291" t="s">
        <v>277</v>
      </c>
      <c r="O359" s="292">
        <v>526246.66666666674</v>
      </c>
      <c r="P359" s="16">
        <v>526246.66666666674</v>
      </c>
      <c r="Q359" s="16">
        <v>526246.66666666674</v>
      </c>
      <c r="R359" s="16">
        <v>526246.66666666674</v>
      </c>
      <c r="S359" s="16">
        <v>526246.66666666674</v>
      </c>
      <c r="T359" s="16">
        <v>526246.66666666674</v>
      </c>
      <c r="U359" s="16">
        <v>526246.66666666674</v>
      </c>
      <c r="V359" s="16">
        <v>526246.66666666674</v>
      </c>
      <c r="W359" s="16">
        <v>526246.66666666674</v>
      </c>
      <c r="X359" s="16">
        <v>526246.66666666674</v>
      </c>
      <c r="Y359" s="16">
        <v>526246.66666666674</v>
      </c>
      <c r="Z359" s="15">
        <v>526246.66666666674</v>
      </c>
      <c r="AA359" s="16">
        <f>Projection_중국!Z63</f>
        <v>511388.20785714296</v>
      </c>
      <c r="AB359" s="16">
        <f t="shared" si="53"/>
        <v>514856.84188306401</v>
      </c>
      <c r="AC359" s="16">
        <f t="shared" si="53"/>
        <v>518828.59485752718</v>
      </c>
      <c r="AD359" s="16">
        <f t="shared" si="53"/>
        <v>522963.96647878672</v>
      </c>
      <c r="AE359" s="16">
        <f t="shared" si="53"/>
        <v>527191.75461162941</v>
      </c>
    </row>
    <row r="360" spans="1:31" x14ac:dyDescent="0.3">
      <c r="A360" s="282" t="str">
        <f>IF(COUNTA(B360)=1,B360,A359)</f>
        <v>중국(상품)</v>
      </c>
      <c r="C360" s="3" t="s">
        <v>149</v>
      </c>
      <c r="H360" s="291" t="s">
        <v>277</v>
      </c>
      <c r="O360" s="292">
        <v>0</v>
      </c>
      <c r="P360" s="16">
        <v>0</v>
      </c>
      <c r="Q360" s="16">
        <v>0</v>
      </c>
      <c r="R360" s="16">
        <v>0</v>
      </c>
      <c r="S360" s="16">
        <v>0</v>
      </c>
      <c r="T360" s="16">
        <v>0</v>
      </c>
      <c r="U360" s="16">
        <v>0</v>
      </c>
      <c r="V360" s="16">
        <v>0</v>
      </c>
      <c r="W360" s="16">
        <v>0</v>
      </c>
      <c r="X360" s="16">
        <v>0</v>
      </c>
      <c r="Y360" s="16">
        <v>0</v>
      </c>
      <c r="Z360" s="15">
        <v>0</v>
      </c>
      <c r="AA360" s="16">
        <f>Projection_중국!Z70</f>
        <v>0</v>
      </c>
      <c r="AB360" s="16">
        <f t="shared" si="53"/>
        <v>0</v>
      </c>
      <c r="AC360" s="16">
        <f t="shared" si="53"/>
        <v>0</v>
      </c>
      <c r="AD360" s="16">
        <f t="shared" si="53"/>
        <v>0</v>
      </c>
      <c r="AE360" s="16">
        <f t="shared" si="53"/>
        <v>0</v>
      </c>
    </row>
    <row r="361" spans="1:31" x14ac:dyDescent="0.3">
      <c r="A361" s="282" t="str">
        <f>IF(COUNTA(B361)=1,B361,A360)</f>
        <v>중국(상품)</v>
      </c>
      <c r="C361" s="3" t="s">
        <v>135</v>
      </c>
      <c r="H361" s="291" t="s">
        <v>277</v>
      </c>
      <c r="O361" s="292">
        <v>0</v>
      </c>
      <c r="P361" s="16">
        <v>0</v>
      </c>
      <c r="Q361" s="16">
        <v>0</v>
      </c>
      <c r="R361" s="16">
        <v>0</v>
      </c>
      <c r="S361" s="16">
        <v>0</v>
      </c>
      <c r="T361" s="16">
        <v>0</v>
      </c>
      <c r="U361" s="16">
        <v>0</v>
      </c>
      <c r="V361" s="16">
        <v>0</v>
      </c>
      <c r="W361" s="16">
        <v>0</v>
      </c>
      <c r="X361" s="16">
        <v>0</v>
      </c>
      <c r="Y361" s="16">
        <v>0</v>
      </c>
      <c r="Z361" s="15">
        <v>0</v>
      </c>
      <c r="AA361" s="16">
        <f>Projection_중국!Z77</f>
        <v>1181061.95</v>
      </c>
      <c r="AB361" s="16">
        <v>0</v>
      </c>
      <c r="AC361" s="16">
        <v>0</v>
      </c>
      <c r="AD361" s="16">
        <v>0</v>
      </c>
      <c r="AE361" s="16">
        <v>0</v>
      </c>
    </row>
    <row r="362" spans="1:31" x14ac:dyDescent="0.3">
      <c r="A362" s="282" t="str">
        <f>IF(COUNTA(B362)=1,B362,A360)</f>
        <v>중국(제품)</v>
      </c>
      <c r="B362" s="3" t="s">
        <v>278</v>
      </c>
      <c r="H362" s="291"/>
      <c r="O362" s="292"/>
      <c r="P362" s="16"/>
      <c r="Q362" s="16"/>
      <c r="R362" s="16"/>
      <c r="S362" s="16"/>
      <c r="T362" s="16"/>
      <c r="U362" s="16"/>
      <c r="V362" s="16"/>
      <c r="W362" s="16"/>
      <c r="X362" s="16"/>
      <c r="Y362" s="16"/>
      <c r="Z362" s="15"/>
      <c r="AA362" s="16"/>
      <c r="AB362" s="16"/>
      <c r="AC362" s="16"/>
      <c r="AD362" s="16"/>
      <c r="AE362" s="16"/>
    </row>
    <row r="363" spans="1:31" x14ac:dyDescent="0.3">
      <c r="A363" s="282" t="str">
        <f>IF(COUNTA(B363)=1,B363,A362)</f>
        <v>중국(제품)</v>
      </c>
      <c r="C363" s="3" t="s">
        <v>146</v>
      </c>
      <c r="H363" s="291" t="s">
        <v>279</v>
      </c>
      <c r="O363" s="292">
        <v>0</v>
      </c>
      <c r="P363" s="16">
        <v>0</v>
      </c>
      <c r="Q363" s="16">
        <v>0</v>
      </c>
      <c r="R363" s="16">
        <v>0</v>
      </c>
      <c r="S363" s="16">
        <v>0</v>
      </c>
      <c r="T363" s="16">
        <v>0</v>
      </c>
      <c r="U363" s="16">
        <v>0</v>
      </c>
      <c r="V363" s="16">
        <v>0</v>
      </c>
      <c r="W363" s="16">
        <v>0</v>
      </c>
      <c r="X363" s="16">
        <v>0</v>
      </c>
      <c r="Y363" s="16">
        <v>0</v>
      </c>
      <c r="Z363" s="15">
        <v>0</v>
      </c>
      <c r="AA363" s="16">
        <f>Projection_중국!Z99</f>
        <v>0</v>
      </c>
      <c r="AB363" s="16">
        <f t="shared" ref="AB363:AE366" si="54">AA363*(1+AB422)</f>
        <v>0</v>
      </c>
      <c r="AC363" s="16">
        <f t="shared" si="54"/>
        <v>0</v>
      </c>
      <c r="AD363" s="16">
        <f t="shared" si="54"/>
        <v>0</v>
      </c>
      <c r="AE363" s="16">
        <f t="shared" si="54"/>
        <v>0</v>
      </c>
    </row>
    <row r="364" spans="1:31" x14ac:dyDescent="0.3">
      <c r="A364" s="282" t="str">
        <f>IF(COUNTA(B364)=1,B364,A363)</f>
        <v>중국(제품)</v>
      </c>
      <c r="C364" s="3" t="s">
        <v>147</v>
      </c>
      <c r="H364" s="291" t="s">
        <v>279</v>
      </c>
      <c r="O364" s="292">
        <v>313634.68468468462</v>
      </c>
      <c r="P364" s="16">
        <v>313634.68468468462</v>
      </c>
      <c r="Q364" s="16">
        <v>313634.68468468462</v>
      </c>
      <c r="R364" s="16">
        <v>313634.68468468462</v>
      </c>
      <c r="S364" s="16">
        <v>313634.68468468462</v>
      </c>
      <c r="T364" s="16">
        <v>313634.68468468462</v>
      </c>
      <c r="U364" s="16">
        <v>313634.68468468462</v>
      </c>
      <c r="V364" s="16">
        <v>313634.68468468462</v>
      </c>
      <c r="W364" s="16">
        <v>313634.68468468462</v>
      </c>
      <c r="X364" s="16">
        <v>313634.68468468462</v>
      </c>
      <c r="Y364" s="16">
        <v>313634.68468468462</v>
      </c>
      <c r="Z364" s="15">
        <v>313634.68468468462</v>
      </c>
      <c r="AA364" s="16">
        <f>Projection_중국!Z106</f>
        <v>317049.15688324417</v>
      </c>
      <c r="AB364" s="16">
        <f t="shared" si="54"/>
        <v>318745.72208785231</v>
      </c>
      <c r="AC364" s="16">
        <f t="shared" si="54"/>
        <v>320774.45668388251</v>
      </c>
      <c r="AD364" s="16">
        <f t="shared" si="54"/>
        <v>322909.09178163984</v>
      </c>
      <c r="AE364" s="16">
        <f t="shared" si="54"/>
        <v>325081.03401933931</v>
      </c>
    </row>
    <row r="365" spans="1:31" x14ac:dyDescent="0.3">
      <c r="A365" s="282" t="str">
        <f>IF(COUNTA(B365)=1,B365,A364)</f>
        <v>중국(제품)</v>
      </c>
      <c r="C365" s="3" t="s">
        <v>148</v>
      </c>
      <c r="H365" s="291" t="s">
        <v>279</v>
      </c>
      <c r="O365" s="292">
        <v>366292.8143712575</v>
      </c>
      <c r="P365" s="16">
        <v>366292.8143712575</v>
      </c>
      <c r="Q365" s="16">
        <v>366292.8143712575</v>
      </c>
      <c r="R365" s="16">
        <v>366292.8143712575</v>
      </c>
      <c r="S365" s="16">
        <v>366292.8143712575</v>
      </c>
      <c r="T365" s="16">
        <v>366292.8143712575</v>
      </c>
      <c r="U365" s="16">
        <v>366292.8143712575</v>
      </c>
      <c r="V365" s="16">
        <v>366292.8143712575</v>
      </c>
      <c r="W365" s="16">
        <v>366292.8143712575</v>
      </c>
      <c r="X365" s="16">
        <v>366292.8143712575</v>
      </c>
      <c r="Y365" s="16">
        <v>366292.8143712575</v>
      </c>
      <c r="Z365" s="15">
        <v>366292.8143712575</v>
      </c>
      <c r="AA365" s="16">
        <f>Projection_중국!Z113</f>
        <v>373433.90628779359</v>
      </c>
      <c r="AB365" s="16">
        <f t="shared" si="54"/>
        <v>375966.82655048434</v>
      </c>
      <c r="AC365" s="16">
        <f t="shared" si="54"/>
        <v>378867.14221141615</v>
      </c>
      <c r="AD365" s="16">
        <f t="shared" si="54"/>
        <v>381886.93804313784</v>
      </c>
      <c r="AE365" s="16">
        <f t="shared" si="54"/>
        <v>384974.21970733622</v>
      </c>
    </row>
    <row r="366" spans="1:31" x14ac:dyDescent="0.3">
      <c r="A366" s="282" t="str">
        <f>IF(COUNTA(B366)=1,B366,A364)</f>
        <v>중국(제품)</v>
      </c>
      <c r="C366" s="3" t="s">
        <v>149</v>
      </c>
      <c r="H366" s="291" t="s">
        <v>279</v>
      </c>
      <c r="O366" s="292">
        <v>1179000</v>
      </c>
      <c r="P366" s="16">
        <v>1179000</v>
      </c>
      <c r="Q366" s="16">
        <v>1179000</v>
      </c>
      <c r="R366" s="16">
        <v>1179000</v>
      </c>
      <c r="S366" s="16">
        <v>1179000</v>
      </c>
      <c r="T366" s="16">
        <v>1179000</v>
      </c>
      <c r="U366" s="16">
        <v>1179000</v>
      </c>
      <c r="V366" s="16">
        <v>1179000</v>
      </c>
      <c r="W366" s="16">
        <v>1179000</v>
      </c>
      <c r="X366" s="16">
        <v>1179000</v>
      </c>
      <c r="Y366" s="16">
        <v>1179000</v>
      </c>
      <c r="Z366" s="15">
        <v>1179000</v>
      </c>
      <c r="AA366" s="16">
        <f>Projection_중국!Z120</f>
        <v>1179000</v>
      </c>
      <c r="AB366" s="16">
        <f t="shared" si="54"/>
        <v>1186315.6207096677</v>
      </c>
      <c r="AC366" s="16">
        <f t="shared" si="54"/>
        <v>1194845.1165379093</v>
      </c>
      <c r="AD366" s="16">
        <f t="shared" si="54"/>
        <v>1203834.1177461285</v>
      </c>
      <c r="AE366" s="16">
        <f t="shared" si="54"/>
        <v>1212967.4319071937</v>
      </c>
    </row>
    <row r="367" spans="1:31" x14ac:dyDescent="0.3">
      <c r="A367" s="282" t="str">
        <f>IF(COUNTA(B367)=1,B367,A365)</f>
        <v>중국(제품)</v>
      </c>
      <c r="B367" s="92"/>
      <c r="C367" s="92" t="s">
        <v>135</v>
      </c>
      <c r="D367" s="92"/>
      <c r="E367" s="92"/>
      <c r="F367" s="92"/>
      <c r="G367" s="92"/>
      <c r="H367" s="295" t="s">
        <v>279</v>
      </c>
      <c r="I367" s="92"/>
      <c r="J367" s="92"/>
      <c r="K367" s="92"/>
      <c r="L367" s="92"/>
      <c r="M367" s="92"/>
      <c r="N367" s="92"/>
      <c r="O367" s="296">
        <v>0</v>
      </c>
      <c r="P367" s="130">
        <v>0</v>
      </c>
      <c r="Q367" s="130">
        <v>0</v>
      </c>
      <c r="R367" s="130">
        <v>0</v>
      </c>
      <c r="S367" s="130">
        <v>0</v>
      </c>
      <c r="T367" s="130">
        <v>0</v>
      </c>
      <c r="U367" s="130">
        <v>0</v>
      </c>
      <c r="V367" s="130">
        <v>0</v>
      </c>
      <c r="W367" s="130">
        <v>0</v>
      </c>
      <c r="X367" s="130">
        <v>0</v>
      </c>
      <c r="Y367" s="130">
        <v>0</v>
      </c>
      <c r="Z367" s="131">
        <v>0</v>
      </c>
      <c r="AA367" s="130">
        <f>Projection_중국!Z127</f>
        <v>0</v>
      </c>
      <c r="AB367" s="281"/>
      <c r="AC367" s="281"/>
      <c r="AD367" s="281"/>
      <c r="AE367" s="281"/>
    </row>
    <row r="368" spans="1:31" ht="12.75" thickBot="1" x14ac:dyDescent="0.35"/>
    <row r="369" spans="2:31" ht="12.75" outlineLevel="1" thickBot="1" x14ac:dyDescent="0.35">
      <c r="B369" s="11" t="s">
        <v>280</v>
      </c>
      <c r="J369" s="245">
        <v>1</v>
      </c>
      <c r="K369" s="243" t="s">
        <v>281</v>
      </c>
    </row>
    <row r="370" spans="2:31" outlineLevel="1" x14ac:dyDescent="0.3">
      <c r="B370" s="226"/>
      <c r="C370" s="226"/>
      <c r="D370" s="226"/>
      <c r="E370" s="226"/>
      <c r="F370" s="226"/>
      <c r="G370" s="226"/>
      <c r="H370" s="286" t="s">
        <v>272</v>
      </c>
      <c r="I370" s="226"/>
      <c r="J370" s="287"/>
      <c r="K370" s="226"/>
      <c r="L370" s="9" t="s">
        <v>182</v>
      </c>
      <c r="M370" s="9" t="s">
        <v>183</v>
      </c>
      <c r="N370" s="9" t="s">
        <v>234</v>
      </c>
      <c r="O370" s="233" t="s">
        <v>185</v>
      </c>
      <c r="P370" s="9" t="s">
        <v>186</v>
      </c>
      <c r="Q370" s="9" t="s">
        <v>187</v>
      </c>
      <c r="R370" s="9" t="s">
        <v>188</v>
      </c>
      <c r="S370" s="9" t="s">
        <v>189</v>
      </c>
      <c r="T370" s="9" t="s">
        <v>190</v>
      </c>
      <c r="U370" s="9" t="s">
        <v>191</v>
      </c>
      <c r="V370" s="9" t="s">
        <v>192</v>
      </c>
      <c r="W370" s="9" t="s">
        <v>193</v>
      </c>
      <c r="X370" s="9" t="s">
        <v>194</v>
      </c>
      <c r="Y370" s="9" t="s">
        <v>195</v>
      </c>
      <c r="Z370" s="10" t="s">
        <v>196</v>
      </c>
      <c r="AA370" s="9" t="s">
        <v>197</v>
      </c>
      <c r="AB370" s="9" t="s">
        <v>198</v>
      </c>
      <c r="AC370" s="9" t="s">
        <v>199</v>
      </c>
      <c r="AD370" s="9" t="s">
        <v>200</v>
      </c>
      <c r="AE370" s="9" t="s">
        <v>201</v>
      </c>
    </row>
    <row r="371" spans="2:31" outlineLevel="1" x14ac:dyDescent="0.3">
      <c r="B371" s="114" t="s">
        <v>268</v>
      </c>
      <c r="C371" s="284"/>
      <c r="D371" s="284"/>
      <c r="E371" s="284"/>
      <c r="F371" s="284"/>
      <c r="G371" s="284"/>
      <c r="H371" s="297"/>
      <c r="I371" s="284"/>
      <c r="J371" s="284"/>
      <c r="K371" s="284"/>
      <c r="L371" s="285"/>
      <c r="M371" s="285"/>
      <c r="N371" s="285"/>
      <c r="O371" s="263"/>
      <c r="P371" s="61"/>
      <c r="Q371" s="61"/>
      <c r="R371" s="61"/>
      <c r="S371" s="61"/>
      <c r="T371" s="61"/>
      <c r="U371" s="61"/>
      <c r="V371" s="61"/>
      <c r="W371" s="61"/>
      <c r="X371" s="61"/>
      <c r="Y371" s="61"/>
      <c r="Z371" s="264"/>
      <c r="AA371" s="298"/>
      <c r="AB371" s="285"/>
      <c r="AC371" s="285"/>
      <c r="AD371" s="285"/>
      <c r="AE371" s="285"/>
    </row>
    <row r="372" spans="2:31" outlineLevel="1" x14ac:dyDescent="0.3">
      <c r="B372" s="284"/>
      <c r="C372" s="3" t="s">
        <v>146</v>
      </c>
      <c r="H372" s="297"/>
      <c r="I372" s="284"/>
      <c r="J372" s="284"/>
      <c r="K372" s="284"/>
      <c r="L372" s="285"/>
      <c r="M372" s="285"/>
      <c r="N372" s="285"/>
      <c r="O372" s="263"/>
      <c r="P372" s="61"/>
      <c r="Q372" s="61"/>
      <c r="R372" s="61"/>
      <c r="S372" s="61"/>
      <c r="T372" s="61"/>
      <c r="U372" s="61"/>
      <c r="V372" s="61"/>
      <c r="W372" s="61"/>
      <c r="X372" s="61"/>
      <c r="Y372" s="61"/>
      <c r="Z372" s="264"/>
      <c r="AA372" s="299"/>
      <c r="AB372" s="17">
        <v>4.765809980926683E-3</v>
      </c>
      <c r="AC372" s="17">
        <v>5.5778788317852879E-3</v>
      </c>
      <c r="AD372" s="17">
        <v>5.987495548385402E-3</v>
      </c>
      <c r="AE372" s="17">
        <v>6.1596992393508909E-3</v>
      </c>
    </row>
    <row r="373" spans="2:31" outlineLevel="1" x14ac:dyDescent="0.3">
      <c r="B373" s="284"/>
      <c r="C373" s="3" t="s">
        <v>147</v>
      </c>
      <c r="H373" s="297"/>
      <c r="I373" s="284"/>
      <c r="J373" s="284"/>
      <c r="K373" s="284"/>
      <c r="L373" s="285"/>
      <c r="M373" s="285"/>
      <c r="N373" s="285"/>
      <c r="O373" s="263"/>
      <c r="P373" s="61"/>
      <c r="Q373" s="61"/>
      <c r="R373" s="61"/>
      <c r="S373" s="61"/>
      <c r="T373" s="61"/>
      <c r="U373" s="61"/>
      <c r="V373" s="61"/>
      <c r="W373" s="61"/>
      <c r="X373" s="61"/>
      <c r="Y373" s="61"/>
      <c r="Z373" s="264"/>
      <c r="AA373" s="299"/>
      <c r="AB373" s="17">
        <v>4.8474078821596489E-3</v>
      </c>
      <c r="AC373" s="17">
        <v>5.7883841286123783E-3</v>
      </c>
      <c r="AD373" s="17">
        <v>6.2167843615539287E-3</v>
      </c>
      <c r="AE373" s="17">
        <v>6.2457774082398387E-3</v>
      </c>
    </row>
    <row r="374" spans="2:31" outlineLevel="1" x14ac:dyDescent="0.3">
      <c r="B374" s="284"/>
      <c r="C374" s="3" t="s">
        <v>148</v>
      </c>
      <c r="H374" s="297"/>
      <c r="I374" s="284"/>
      <c r="J374" s="284"/>
      <c r="K374" s="284"/>
      <c r="L374" s="285"/>
      <c r="M374" s="285"/>
      <c r="N374" s="285"/>
      <c r="O374" s="263"/>
      <c r="P374" s="61"/>
      <c r="Q374" s="61"/>
      <c r="R374" s="61"/>
      <c r="S374" s="61"/>
      <c r="T374" s="61"/>
      <c r="U374" s="61"/>
      <c r="V374" s="61"/>
      <c r="W374" s="61"/>
      <c r="X374" s="61"/>
      <c r="Y374" s="61"/>
      <c r="Z374" s="264"/>
      <c r="AA374" s="299"/>
      <c r="AB374" s="17">
        <v>6.1985862697837568E-3</v>
      </c>
      <c r="AC374" s="17">
        <v>7.1600219093910233E-3</v>
      </c>
      <c r="AD374" s="17">
        <v>7.4561183028345468E-3</v>
      </c>
      <c r="AE374" s="17">
        <v>7.6123518782174049E-3</v>
      </c>
    </row>
    <row r="375" spans="2:31" outlineLevel="1" x14ac:dyDescent="0.3">
      <c r="B375" s="284"/>
      <c r="C375" s="3" t="s">
        <v>149</v>
      </c>
      <c r="H375" s="297"/>
      <c r="I375" s="284"/>
      <c r="J375" s="284"/>
      <c r="K375" s="284"/>
      <c r="L375" s="285"/>
      <c r="M375" s="285"/>
      <c r="N375" s="285"/>
      <c r="O375" s="263"/>
      <c r="P375" s="61"/>
      <c r="Q375" s="61"/>
      <c r="R375" s="61"/>
      <c r="S375" s="61"/>
      <c r="T375" s="61"/>
      <c r="U375" s="61"/>
      <c r="V375" s="61"/>
      <c r="W375" s="61"/>
      <c r="X375" s="61"/>
      <c r="Y375" s="61"/>
      <c r="Z375" s="264"/>
      <c r="AA375" s="299"/>
      <c r="AB375" s="17">
        <v>5.7222336150013486E-3</v>
      </c>
      <c r="AC375" s="17">
        <v>6.6559599775173339E-3</v>
      </c>
      <c r="AD375" s="17">
        <v>6.8935771289573289E-3</v>
      </c>
      <c r="AE375" s="17">
        <v>7.2276127326322825E-3</v>
      </c>
    </row>
    <row r="376" spans="2:31" outlineLevel="1" x14ac:dyDescent="0.3">
      <c r="B376" s="3" t="s">
        <v>254</v>
      </c>
      <c r="C376" s="11"/>
      <c r="D376" s="11"/>
      <c r="E376" s="11"/>
      <c r="F376" s="11"/>
      <c r="G376" s="11"/>
      <c r="H376" s="11"/>
      <c r="I376" s="11"/>
      <c r="J376" s="11"/>
      <c r="K376" s="11"/>
      <c r="L376" s="11"/>
      <c r="M376" s="11"/>
      <c r="N376" s="11"/>
      <c r="O376" s="263"/>
      <c r="P376" s="61"/>
      <c r="Q376" s="61"/>
      <c r="R376" s="61"/>
      <c r="S376" s="61"/>
      <c r="T376" s="61"/>
      <c r="U376" s="61"/>
      <c r="V376" s="61"/>
      <c r="W376" s="61"/>
      <c r="X376" s="61"/>
      <c r="Y376" s="61"/>
      <c r="Z376" s="264"/>
      <c r="AA376" s="157"/>
      <c r="AB376" s="11"/>
      <c r="AC376" s="11"/>
      <c r="AD376" s="11"/>
      <c r="AE376" s="11"/>
    </row>
    <row r="377" spans="2:31" outlineLevel="1" x14ac:dyDescent="0.3">
      <c r="C377" s="3" t="s">
        <v>146</v>
      </c>
      <c r="O377" s="263"/>
      <c r="P377" s="61"/>
      <c r="Q377" s="61"/>
      <c r="R377" s="61"/>
      <c r="S377" s="61"/>
      <c r="T377" s="61"/>
      <c r="U377" s="61"/>
      <c r="V377" s="61"/>
      <c r="W377" s="61"/>
      <c r="X377" s="61"/>
      <c r="Y377" s="61"/>
      <c r="Z377" s="264"/>
      <c r="AA377" s="299"/>
      <c r="AB377" s="17">
        <v>5.8507100202511708E-3</v>
      </c>
      <c r="AC377" s="17">
        <v>5.6450502547156223E-3</v>
      </c>
      <c r="AD377" s="17">
        <v>6.0857389056441225E-3</v>
      </c>
      <c r="AE377" s="17">
        <v>4.9638068533055524E-3</v>
      </c>
    </row>
    <row r="378" spans="2:31" outlineLevel="1" x14ac:dyDescent="0.3">
      <c r="C378" s="3" t="s">
        <v>147</v>
      </c>
      <c r="O378" s="263"/>
      <c r="P378" s="61"/>
      <c r="Q378" s="61"/>
      <c r="R378" s="61"/>
      <c r="S378" s="61"/>
      <c r="T378" s="61"/>
      <c r="U378" s="61"/>
      <c r="V378" s="61"/>
      <c r="W378" s="61"/>
      <c r="X378" s="61"/>
      <c r="Y378" s="61"/>
      <c r="Z378" s="264"/>
      <c r="AA378" s="299"/>
      <c r="AB378" s="17">
        <v>5.9075344525967299E-3</v>
      </c>
      <c r="AC378" s="17">
        <v>5.2726593654817133E-3</v>
      </c>
      <c r="AD378" s="17">
        <v>6.2366438109222599E-3</v>
      </c>
      <c r="AE378" s="17">
        <v>6.6191883724466827E-3</v>
      </c>
    </row>
    <row r="379" spans="2:31" outlineLevel="1" x14ac:dyDescent="0.3">
      <c r="C379" s="3" t="s">
        <v>148</v>
      </c>
      <c r="O379" s="263"/>
      <c r="P379" s="61"/>
      <c r="Q379" s="61"/>
      <c r="R379" s="61"/>
      <c r="S379" s="61"/>
      <c r="T379" s="61"/>
      <c r="U379" s="61"/>
      <c r="V379" s="61"/>
      <c r="W379" s="61"/>
      <c r="X379" s="61"/>
      <c r="Y379" s="61"/>
      <c r="Z379" s="264"/>
      <c r="AA379" s="299"/>
      <c r="AB379" s="17">
        <v>6.5274852383720994E-3</v>
      </c>
      <c r="AC379" s="17">
        <v>7.0555780326366779E-3</v>
      </c>
      <c r="AD379" s="17">
        <v>7.7658207516864142E-3</v>
      </c>
      <c r="AE379" s="17">
        <v>7.2984844156864792E-3</v>
      </c>
    </row>
    <row r="380" spans="2:31" outlineLevel="1" x14ac:dyDescent="0.3">
      <c r="C380" s="3" t="s">
        <v>149</v>
      </c>
      <c r="O380" s="263"/>
      <c r="P380" s="61"/>
      <c r="Q380" s="61"/>
      <c r="R380" s="61"/>
      <c r="S380" s="61"/>
      <c r="T380" s="61"/>
      <c r="U380" s="61"/>
      <c r="V380" s="61"/>
      <c r="W380" s="61"/>
      <c r="X380" s="61"/>
      <c r="Y380" s="61"/>
      <c r="Z380" s="264"/>
      <c r="AA380" s="299"/>
      <c r="AB380" s="17">
        <v>7.2179077204201914E-3</v>
      </c>
      <c r="AC380" s="17">
        <v>5.8562519987208628E-3</v>
      </c>
      <c r="AD380" s="17">
        <v>7.3862084936213712E-3</v>
      </c>
      <c r="AE380" s="17">
        <v>7.2196140925142593E-3</v>
      </c>
    </row>
    <row r="381" spans="2:31" outlineLevel="1" x14ac:dyDescent="0.3">
      <c r="B381" s="3" t="s">
        <v>255</v>
      </c>
      <c r="C381" s="11"/>
      <c r="O381" s="263"/>
      <c r="P381" s="61"/>
      <c r="Q381" s="61"/>
      <c r="R381" s="61"/>
      <c r="S381" s="61"/>
      <c r="T381" s="61"/>
      <c r="U381" s="61"/>
      <c r="V381" s="61"/>
      <c r="W381" s="61"/>
      <c r="X381" s="61"/>
      <c r="Y381" s="61"/>
      <c r="Z381" s="264"/>
      <c r="AA381" s="300"/>
    </row>
    <row r="382" spans="2:31" outlineLevel="1" x14ac:dyDescent="0.3">
      <c r="C382" s="3" t="s">
        <v>146</v>
      </c>
      <c r="O382" s="263"/>
      <c r="P382" s="61"/>
      <c r="Q382" s="61"/>
      <c r="R382" s="61"/>
      <c r="S382" s="61"/>
      <c r="T382" s="61"/>
      <c r="U382" s="61"/>
      <c r="V382" s="61"/>
      <c r="W382" s="61"/>
      <c r="X382" s="61"/>
      <c r="Y382" s="61"/>
      <c r="Z382" s="264"/>
      <c r="AA382" s="299"/>
      <c r="AB382" s="17">
        <v>5.4336724271764059E-3</v>
      </c>
      <c r="AC382" s="17">
        <v>6.1895758905941012E-3</v>
      </c>
      <c r="AD382" s="17">
        <v>6.399036527334756E-3</v>
      </c>
      <c r="AE382" s="17">
        <v>7.3301900692499533E-3</v>
      </c>
    </row>
    <row r="383" spans="2:31" outlineLevel="1" x14ac:dyDescent="0.3">
      <c r="C383" s="3" t="s">
        <v>147</v>
      </c>
      <c r="O383" s="263"/>
      <c r="P383" s="61"/>
      <c r="Q383" s="61"/>
      <c r="R383" s="61"/>
      <c r="S383" s="61"/>
      <c r="T383" s="61"/>
      <c r="U383" s="61"/>
      <c r="V383" s="61"/>
      <c r="W383" s="61"/>
      <c r="X383" s="61"/>
      <c r="Y383" s="61"/>
      <c r="Z383" s="264"/>
      <c r="AA383" s="299"/>
      <c r="AB383" s="17">
        <v>4.854988413390382E-3</v>
      </c>
      <c r="AC383" s="17">
        <v>6.8347786398903487E-3</v>
      </c>
      <c r="AD383" s="17">
        <v>6.714272307679181E-3</v>
      </c>
      <c r="AE383" s="17">
        <v>7.2192773691042156E-3</v>
      </c>
    </row>
    <row r="384" spans="2:31" outlineLevel="1" x14ac:dyDescent="0.3">
      <c r="C384" s="3" t="s">
        <v>148</v>
      </c>
      <c r="O384" s="263"/>
      <c r="P384" s="61"/>
      <c r="Q384" s="61"/>
      <c r="R384" s="61"/>
      <c r="S384" s="61"/>
      <c r="T384" s="61"/>
      <c r="U384" s="61"/>
      <c r="V384" s="61"/>
      <c r="W384" s="61"/>
      <c r="X384" s="61"/>
      <c r="Y384" s="61"/>
      <c r="Z384" s="264"/>
      <c r="AA384" s="299"/>
      <c r="AB384" s="17">
        <v>6.9660491367382615E-3</v>
      </c>
      <c r="AC384" s="17">
        <v>7.7865834894783603E-3</v>
      </c>
      <c r="AD384" s="17">
        <v>8.3236771728367742E-3</v>
      </c>
      <c r="AE384" s="17">
        <v>8.2952300232592702E-3</v>
      </c>
    </row>
    <row r="385" spans="2:31" outlineLevel="1" x14ac:dyDescent="0.3">
      <c r="C385" s="3" t="s">
        <v>149</v>
      </c>
      <c r="O385" s="263"/>
      <c r="P385" s="61"/>
      <c r="Q385" s="61"/>
      <c r="R385" s="61"/>
      <c r="S385" s="61"/>
      <c r="T385" s="61"/>
      <c r="U385" s="61"/>
      <c r="V385" s="61"/>
      <c r="W385" s="61"/>
      <c r="X385" s="61"/>
      <c r="Y385" s="61"/>
      <c r="Z385" s="264"/>
      <c r="AA385" s="299"/>
      <c r="AB385" s="17">
        <v>5.6679893081867938E-3</v>
      </c>
      <c r="AC385" s="17">
        <v>8.4775086505186614E-3</v>
      </c>
      <c r="AD385" s="17">
        <v>7.1053444547419797E-3</v>
      </c>
      <c r="AE385" s="17">
        <v>7.6486714691865743E-3</v>
      </c>
    </row>
    <row r="386" spans="2:31" outlineLevel="1" x14ac:dyDescent="0.3">
      <c r="B386" s="3" t="s">
        <v>256</v>
      </c>
      <c r="O386" s="263"/>
      <c r="P386" s="61"/>
      <c r="Q386" s="61"/>
      <c r="R386" s="61"/>
      <c r="S386" s="61"/>
      <c r="T386" s="61"/>
      <c r="U386" s="61"/>
      <c r="V386" s="61"/>
      <c r="W386" s="61"/>
      <c r="X386" s="61"/>
      <c r="Y386" s="61"/>
      <c r="Z386" s="264"/>
      <c r="AA386" s="300"/>
    </row>
    <row r="387" spans="2:31" outlineLevel="1" x14ac:dyDescent="0.3">
      <c r="C387" s="3" t="s">
        <v>146</v>
      </c>
      <c r="O387" s="263"/>
      <c r="P387" s="61"/>
      <c r="Q387" s="61"/>
      <c r="R387" s="61"/>
      <c r="S387" s="61"/>
      <c r="T387" s="61"/>
      <c r="U387" s="61"/>
      <c r="V387" s="61"/>
      <c r="W387" s="61"/>
      <c r="X387" s="61"/>
      <c r="Y387" s="61"/>
      <c r="Z387" s="264"/>
      <c r="AA387" s="299"/>
      <c r="AB387" s="17">
        <v>4.8981855268719343E-3</v>
      </c>
      <c r="AC387" s="17">
        <v>6.7122471914553561E-3</v>
      </c>
      <c r="AD387" s="17">
        <v>6.731799038013353E-3</v>
      </c>
      <c r="AE387" s="17">
        <v>6.5224053494374878E-3</v>
      </c>
    </row>
    <row r="388" spans="2:31" outlineLevel="1" x14ac:dyDescent="0.3">
      <c r="C388" s="3" t="s">
        <v>147</v>
      </c>
      <c r="O388" s="263"/>
      <c r="P388" s="61"/>
      <c r="Q388" s="61"/>
      <c r="R388" s="61"/>
      <c r="S388" s="61"/>
      <c r="T388" s="61"/>
      <c r="U388" s="61"/>
      <c r="V388" s="61"/>
      <c r="W388" s="61"/>
      <c r="X388" s="61"/>
      <c r="Y388" s="61"/>
      <c r="Z388" s="264"/>
      <c r="AA388" s="299"/>
      <c r="AB388" s="17">
        <v>5.2748605466990117E-3</v>
      </c>
      <c r="AC388" s="17">
        <v>6.8663747704362788E-3</v>
      </c>
      <c r="AD388" s="17">
        <v>6.3539175673916759E-3</v>
      </c>
      <c r="AE388" s="17">
        <v>6.6690607328439011E-3</v>
      </c>
    </row>
    <row r="389" spans="2:31" outlineLevel="1" x14ac:dyDescent="0.3">
      <c r="C389" s="3" t="s">
        <v>148</v>
      </c>
      <c r="O389" s="263"/>
      <c r="P389" s="61"/>
      <c r="Q389" s="61"/>
      <c r="R389" s="61"/>
      <c r="S389" s="61"/>
      <c r="T389" s="61"/>
      <c r="U389" s="61"/>
      <c r="V389" s="61"/>
      <c r="W389" s="61"/>
      <c r="X389" s="61"/>
      <c r="Y389" s="61"/>
      <c r="Z389" s="264"/>
      <c r="AA389" s="299"/>
      <c r="AB389" s="17">
        <v>6.5182092427562566E-3</v>
      </c>
      <c r="AC389" s="17">
        <v>8.0847202184564093E-3</v>
      </c>
      <c r="AD389" s="17">
        <v>7.8159759032090381E-3</v>
      </c>
      <c r="AE389" s="17">
        <v>7.7121557583859079E-3</v>
      </c>
    </row>
    <row r="390" spans="2:31" outlineLevel="1" x14ac:dyDescent="0.3">
      <c r="C390" s="3" t="s">
        <v>149</v>
      </c>
      <c r="O390" s="263"/>
      <c r="P390" s="61"/>
      <c r="Q390" s="61"/>
      <c r="R390" s="61"/>
      <c r="S390" s="61"/>
      <c r="T390" s="61"/>
      <c r="U390" s="61"/>
      <c r="V390" s="61"/>
      <c r="W390" s="61"/>
      <c r="X390" s="61"/>
      <c r="Y390" s="61"/>
      <c r="Z390" s="264"/>
      <c r="AA390" s="299"/>
      <c r="AB390" s="17">
        <v>6.3482843035556069E-3</v>
      </c>
      <c r="AC390" s="17">
        <v>7.3394880654584771E-3</v>
      </c>
      <c r="AD390" s="17">
        <v>7.5238097473833143E-3</v>
      </c>
      <c r="AE390" s="17">
        <v>7.6051301826414175E-3</v>
      </c>
    </row>
    <row r="391" spans="2:31" outlineLevel="1" x14ac:dyDescent="0.3">
      <c r="B391" s="3" t="s">
        <v>236</v>
      </c>
      <c r="O391" s="263"/>
      <c r="P391" s="61"/>
      <c r="Q391" s="61"/>
      <c r="R391" s="61"/>
      <c r="S391" s="61"/>
      <c r="T391" s="61"/>
      <c r="U391" s="61"/>
      <c r="V391" s="61"/>
      <c r="W391" s="61"/>
      <c r="X391" s="61"/>
      <c r="Y391" s="61"/>
      <c r="Z391" s="264"/>
      <c r="AA391" s="299"/>
      <c r="AB391" s="17"/>
      <c r="AC391" s="17"/>
      <c r="AD391" s="17"/>
      <c r="AE391" s="17"/>
    </row>
    <row r="392" spans="2:31" outlineLevel="1" x14ac:dyDescent="0.3">
      <c r="C392" s="3" t="s">
        <v>146</v>
      </c>
      <c r="O392" s="263"/>
      <c r="P392" s="61"/>
      <c r="Q392" s="61"/>
      <c r="R392" s="61"/>
      <c r="S392" s="61"/>
      <c r="T392" s="61"/>
      <c r="U392" s="61"/>
      <c r="V392" s="61"/>
      <c r="W392" s="61"/>
      <c r="X392" s="61"/>
      <c r="Y392" s="61"/>
      <c r="Z392" s="264"/>
      <c r="AA392" s="299"/>
      <c r="AB392" s="17">
        <v>4.765809980926683E-3</v>
      </c>
      <c r="AC392" s="17">
        <v>5.5778788317852879E-3</v>
      </c>
      <c r="AD392" s="17">
        <v>5.987495548385402E-3</v>
      </c>
      <c r="AE392" s="17">
        <v>6.1596992393508909E-3</v>
      </c>
    </row>
    <row r="393" spans="2:31" outlineLevel="1" x14ac:dyDescent="0.3">
      <c r="C393" s="3" t="s">
        <v>147</v>
      </c>
      <c r="O393" s="263"/>
      <c r="P393" s="61"/>
      <c r="Q393" s="61"/>
      <c r="R393" s="61"/>
      <c r="S393" s="61"/>
      <c r="T393" s="61"/>
      <c r="U393" s="61"/>
      <c r="V393" s="61"/>
      <c r="W393" s="61"/>
      <c r="X393" s="61"/>
      <c r="Y393" s="61"/>
      <c r="Z393" s="264"/>
      <c r="AA393" s="299"/>
      <c r="AB393" s="17">
        <v>4.8474078821596489E-3</v>
      </c>
      <c r="AC393" s="17">
        <v>5.7883841286123783E-3</v>
      </c>
      <c r="AD393" s="17">
        <v>6.2167843615539287E-3</v>
      </c>
      <c r="AE393" s="17">
        <v>6.2457774082398387E-3</v>
      </c>
    </row>
    <row r="394" spans="2:31" outlineLevel="1" x14ac:dyDescent="0.3">
      <c r="C394" s="3" t="s">
        <v>148</v>
      </c>
      <c r="O394" s="263"/>
      <c r="P394" s="61"/>
      <c r="Q394" s="61"/>
      <c r="R394" s="61"/>
      <c r="S394" s="61"/>
      <c r="T394" s="61"/>
      <c r="U394" s="61"/>
      <c r="V394" s="61"/>
      <c r="W394" s="61"/>
      <c r="X394" s="61"/>
      <c r="Y394" s="61"/>
      <c r="Z394" s="264"/>
      <c r="AA394" s="299"/>
      <c r="AB394" s="17">
        <v>6.1985862697837568E-3</v>
      </c>
      <c r="AC394" s="17">
        <v>7.1600219093910233E-3</v>
      </c>
      <c r="AD394" s="17">
        <v>7.4561183028345468E-3</v>
      </c>
      <c r="AE394" s="17">
        <v>7.6123518782174049E-3</v>
      </c>
    </row>
    <row r="395" spans="2:31" outlineLevel="1" x14ac:dyDescent="0.3">
      <c r="C395" s="3" t="s">
        <v>149</v>
      </c>
      <c r="O395" s="263"/>
      <c r="P395" s="61"/>
      <c r="Q395" s="61"/>
      <c r="R395" s="61"/>
      <c r="S395" s="61"/>
      <c r="T395" s="61"/>
      <c r="U395" s="61"/>
      <c r="V395" s="61"/>
      <c r="W395" s="61"/>
      <c r="X395" s="61"/>
      <c r="Y395" s="61"/>
      <c r="Z395" s="264"/>
      <c r="AA395" s="299"/>
      <c r="AB395" s="17">
        <v>5.7222336150013486E-3</v>
      </c>
      <c r="AC395" s="17">
        <v>6.6559599775173339E-3</v>
      </c>
      <c r="AD395" s="17">
        <v>6.8935771289573289E-3</v>
      </c>
      <c r="AE395" s="17">
        <v>7.2276127326322825E-3</v>
      </c>
    </row>
    <row r="396" spans="2:31" outlineLevel="1" x14ac:dyDescent="0.3">
      <c r="B396" s="3" t="s">
        <v>237</v>
      </c>
      <c r="O396" s="263"/>
      <c r="P396" s="61"/>
      <c r="Q396" s="61"/>
      <c r="R396" s="61"/>
      <c r="S396" s="61"/>
      <c r="T396" s="61"/>
      <c r="U396" s="61"/>
      <c r="V396" s="61"/>
      <c r="W396" s="61"/>
      <c r="X396" s="61"/>
      <c r="Y396" s="61"/>
      <c r="Z396" s="264"/>
      <c r="AA396" s="61"/>
    </row>
    <row r="397" spans="2:31" outlineLevel="1" x14ac:dyDescent="0.3">
      <c r="C397" s="3" t="s">
        <v>146</v>
      </c>
      <c r="O397" s="263"/>
      <c r="P397" s="61"/>
      <c r="Q397" s="61"/>
      <c r="R397" s="61"/>
      <c r="S397" s="61"/>
      <c r="T397" s="61"/>
      <c r="U397" s="61"/>
      <c r="V397" s="61"/>
      <c r="W397" s="61"/>
      <c r="X397" s="61"/>
      <c r="Y397" s="61"/>
      <c r="Z397" s="264"/>
      <c r="AA397" s="299"/>
      <c r="AB397" s="17">
        <v>5.339022918109837E-3</v>
      </c>
      <c r="AC397" s="17">
        <v>5.7965786593772162E-3</v>
      </c>
      <c r="AD397" s="17">
        <v>6.2944490394003516E-3</v>
      </c>
      <c r="AE397" s="17">
        <v>6.8954850533857748E-3</v>
      </c>
    </row>
    <row r="398" spans="2:31" outlineLevel="1" x14ac:dyDescent="0.3">
      <c r="C398" s="3" t="s">
        <v>147</v>
      </c>
      <c r="O398" s="263"/>
      <c r="P398" s="61"/>
      <c r="Q398" s="61"/>
      <c r="R398" s="61"/>
      <c r="S398" s="61"/>
      <c r="T398" s="61"/>
      <c r="U398" s="61"/>
      <c r="V398" s="61"/>
      <c r="W398" s="61"/>
      <c r="X398" s="61"/>
      <c r="Y398" s="61"/>
      <c r="Z398" s="264"/>
      <c r="AA398" s="299"/>
      <c r="AB398" s="17">
        <v>5.6491241083493904E-3</v>
      </c>
      <c r="AC398" s="17">
        <v>6.3525460141997669E-3</v>
      </c>
      <c r="AD398" s="17">
        <v>6.6644541444211836E-3</v>
      </c>
      <c r="AE398" s="17">
        <v>6.9254604584247925E-3</v>
      </c>
    </row>
    <row r="399" spans="2:31" outlineLevel="1" x14ac:dyDescent="0.3">
      <c r="C399" s="3" t="s">
        <v>148</v>
      </c>
      <c r="O399" s="263"/>
      <c r="P399" s="61"/>
      <c r="Q399" s="61"/>
      <c r="R399" s="61"/>
      <c r="S399" s="61"/>
      <c r="T399" s="61"/>
      <c r="U399" s="61"/>
      <c r="V399" s="61"/>
      <c r="W399" s="61"/>
      <c r="X399" s="61"/>
      <c r="Y399" s="61"/>
      <c r="Z399" s="264"/>
      <c r="AA399" s="299"/>
      <c r="AB399" s="17">
        <v>6.9353091377333254E-3</v>
      </c>
      <c r="AC399" s="17">
        <v>7.6269410400875426E-3</v>
      </c>
      <c r="AD399" s="17">
        <v>7.8496037169568655E-3</v>
      </c>
      <c r="AE399" s="17">
        <v>8.369945421331737E-3</v>
      </c>
    </row>
    <row r="400" spans="2:31" outlineLevel="1" x14ac:dyDescent="0.3">
      <c r="C400" s="3" t="s">
        <v>149</v>
      </c>
      <c r="O400" s="263"/>
      <c r="P400" s="61"/>
      <c r="Q400" s="61"/>
      <c r="R400" s="61"/>
      <c r="S400" s="61"/>
      <c r="T400" s="61"/>
      <c r="U400" s="61"/>
      <c r="V400" s="61"/>
      <c r="W400" s="61"/>
      <c r="X400" s="61"/>
      <c r="Y400" s="61"/>
      <c r="Z400" s="264"/>
      <c r="AA400" s="299"/>
      <c r="AB400" s="17">
        <v>6.3867366382899249E-3</v>
      </c>
      <c r="AC400" s="17">
        <v>6.9381635526977181E-3</v>
      </c>
      <c r="AD400" s="17">
        <v>7.2514959440246329E-3</v>
      </c>
      <c r="AE400" s="17">
        <v>8.2852178090444539E-3</v>
      </c>
    </row>
    <row r="401" spans="2:31" outlineLevel="1" x14ac:dyDescent="0.3">
      <c r="B401" s="3" t="s">
        <v>238</v>
      </c>
      <c r="O401" s="263"/>
      <c r="P401" s="61"/>
      <c r="Q401" s="61"/>
      <c r="R401" s="61"/>
      <c r="S401" s="61"/>
      <c r="T401" s="61"/>
      <c r="U401" s="61"/>
      <c r="V401" s="61"/>
      <c r="W401" s="61"/>
      <c r="X401" s="61"/>
      <c r="Y401" s="61"/>
      <c r="Z401" s="264"/>
      <c r="AA401" s="299"/>
      <c r="AB401" s="17"/>
      <c r="AC401" s="17"/>
      <c r="AD401" s="17"/>
      <c r="AE401" s="17"/>
    </row>
    <row r="402" spans="2:31" outlineLevel="1" x14ac:dyDescent="0.3">
      <c r="C402" s="3" t="s">
        <v>146</v>
      </c>
      <c r="O402" s="263"/>
      <c r="P402" s="61"/>
      <c r="Q402" s="61"/>
      <c r="R402" s="61"/>
      <c r="S402" s="61"/>
      <c r="T402" s="61"/>
      <c r="U402" s="61"/>
      <c r="V402" s="61"/>
      <c r="W402" s="61"/>
      <c r="X402" s="61"/>
      <c r="Y402" s="61"/>
      <c r="Z402" s="264"/>
      <c r="AA402" s="299"/>
      <c r="AB402" s="17">
        <v>2.6238145416228598E-3</v>
      </c>
      <c r="AC402" s="17">
        <v>9.1290402171229079E-3</v>
      </c>
      <c r="AD402" s="17">
        <v>5.8577832110839889E-3</v>
      </c>
      <c r="AE402" s="17">
        <v>6.2347519653023209E-3</v>
      </c>
    </row>
    <row r="403" spans="2:31" outlineLevel="1" x14ac:dyDescent="0.3">
      <c r="C403" s="3" t="s">
        <v>147</v>
      </c>
      <c r="O403" s="263"/>
      <c r="P403" s="61"/>
      <c r="Q403" s="61"/>
      <c r="R403" s="61"/>
      <c r="S403" s="61"/>
      <c r="T403" s="61"/>
      <c r="U403" s="61"/>
      <c r="V403" s="61"/>
      <c r="W403" s="61"/>
      <c r="X403" s="61"/>
      <c r="Y403" s="61"/>
      <c r="Z403" s="264"/>
      <c r="AA403" s="299"/>
      <c r="AB403" s="17">
        <v>9.3007109620275585E-3</v>
      </c>
      <c r="AC403" s="17">
        <v>4.1300388203042715E-3</v>
      </c>
      <c r="AD403" s="17">
        <v>4.4746754068023531E-3</v>
      </c>
      <c r="AE403" s="17">
        <v>7.6160371402456128E-3</v>
      </c>
    </row>
    <row r="404" spans="2:31" outlineLevel="1" x14ac:dyDescent="0.3">
      <c r="C404" s="3" t="s">
        <v>148</v>
      </c>
      <c r="O404" s="263"/>
      <c r="P404" s="61"/>
      <c r="Q404" s="61"/>
      <c r="R404" s="61"/>
      <c r="S404" s="61"/>
      <c r="T404" s="61"/>
      <c r="U404" s="61"/>
      <c r="V404" s="61"/>
      <c r="W404" s="61"/>
      <c r="X404" s="61"/>
      <c r="Y404" s="61"/>
      <c r="Z404" s="264"/>
      <c r="AA404" s="299"/>
      <c r="AB404" s="17">
        <v>4.3028892112868533E-3</v>
      </c>
      <c r="AC404" s="17">
        <v>8.1478350709118796E-3</v>
      </c>
      <c r="AD404" s="17">
        <v>6.0683487703609984E-3</v>
      </c>
      <c r="AE404" s="17">
        <v>9.3699313786650418E-3</v>
      </c>
    </row>
    <row r="405" spans="2:31" outlineLevel="1" x14ac:dyDescent="0.3">
      <c r="C405" s="3" t="s">
        <v>149</v>
      </c>
      <c r="O405" s="263"/>
      <c r="P405" s="61"/>
      <c r="Q405" s="61"/>
      <c r="R405" s="61"/>
      <c r="S405" s="61"/>
      <c r="T405" s="61"/>
      <c r="U405" s="61"/>
      <c r="V405" s="61"/>
      <c r="W405" s="61"/>
      <c r="X405" s="61"/>
      <c r="Y405" s="61"/>
      <c r="Z405" s="264"/>
      <c r="AA405" s="299"/>
      <c r="AB405" s="17">
        <v>5.919092667119763E-3</v>
      </c>
      <c r="AC405" s="17">
        <v>4.8997109051351906E-3</v>
      </c>
      <c r="AD405" s="17">
        <v>2.7058347785258174E-3</v>
      </c>
      <c r="AE405" s="17">
        <v>1.3904138253612697E-2</v>
      </c>
    </row>
    <row r="406" spans="2:31" outlineLevel="1" x14ac:dyDescent="0.3">
      <c r="B406" s="3" t="s">
        <v>239</v>
      </c>
      <c r="O406" s="263"/>
      <c r="P406" s="61"/>
      <c r="Q406" s="61"/>
      <c r="R406" s="61"/>
      <c r="S406" s="61"/>
      <c r="T406" s="61"/>
      <c r="U406" s="61"/>
      <c r="V406" s="61"/>
      <c r="W406" s="61"/>
      <c r="X406" s="61"/>
      <c r="Y406" s="61"/>
      <c r="Z406" s="264"/>
      <c r="AA406" s="61"/>
    </row>
    <row r="407" spans="2:31" outlineLevel="1" x14ac:dyDescent="0.3">
      <c r="C407" s="3" t="s">
        <v>146</v>
      </c>
      <c r="O407" s="263"/>
      <c r="P407" s="61"/>
      <c r="Q407" s="61"/>
      <c r="R407" s="61"/>
      <c r="S407" s="61"/>
      <c r="T407" s="61"/>
      <c r="U407" s="61"/>
      <c r="V407" s="61"/>
      <c r="W407" s="61"/>
      <c r="X407" s="61"/>
      <c r="Y407" s="61"/>
      <c r="Z407" s="264"/>
      <c r="AA407" s="299"/>
      <c r="AB407" s="17">
        <v>5.7824253609470855E-3</v>
      </c>
      <c r="AC407" s="17">
        <v>6.1577657486335813E-3</v>
      </c>
      <c r="AD407" s="17">
        <v>6.2871326783564552E-3</v>
      </c>
      <c r="AE407" s="17">
        <v>6.4928971906252908E-3</v>
      </c>
    </row>
    <row r="408" spans="2:31" outlineLevel="1" x14ac:dyDescent="0.3">
      <c r="C408" s="3" t="s">
        <v>147</v>
      </c>
      <c r="O408" s="263"/>
      <c r="P408" s="61"/>
      <c r="Q408" s="61"/>
      <c r="R408" s="61"/>
      <c r="S408" s="61"/>
      <c r="T408" s="61"/>
      <c r="U408" s="61"/>
      <c r="V408" s="61"/>
      <c r="W408" s="61"/>
      <c r="X408" s="61"/>
      <c r="Y408" s="61"/>
      <c r="Z408" s="264"/>
      <c r="AA408" s="299"/>
      <c r="AB408" s="17">
        <v>5.38850301636562E-3</v>
      </c>
      <c r="AC408" s="17">
        <v>6.2547555913450292E-3</v>
      </c>
      <c r="AD408" s="17">
        <v>6.7528582553570971E-3</v>
      </c>
      <c r="AE408" s="17">
        <v>6.7722301328143608E-3</v>
      </c>
    </row>
    <row r="409" spans="2:31" outlineLevel="1" x14ac:dyDescent="0.3">
      <c r="C409" s="3" t="s">
        <v>148</v>
      </c>
      <c r="O409" s="263"/>
      <c r="P409" s="61"/>
      <c r="Q409" s="61"/>
      <c r="R409" s="61"/>
      <c r="S409" s="61"/>
      <c r="T409" s="61"/>
      <c r="U409" s="61"/>
      <c r="V409" s="61"/>
      <c r="W409" s="61"/>
      <c r="X409" s="61"/>
      <c r="Y409" s="61"/>
      <c r="Z409" s="264"/>
      <c r="AA409" s="299"/>
      <c r="AB409" s="17">
        <v>6.884964467367638E-3</v>
      </c>
      <c r="AC409" s="17">
        <v>7.5853095316553709E-3</v>
      </c>
      <c r="AD409" s="17">
        <v>7.9770178751379373E-3</v>
      </c>
      <c r="AE409" s="17">
        <v>8.0387371491212889E-3</v>
      </c>
    </row>
    <row r="410" spans="2:31" outlineLevel="1" x14ac:dyDescent="0.3">
      <c r="C410" s="3" t="s">
        <v>149</v>
      </c>
      <c r="O410" s="263"/>
      <c r="P410" s="61"/>
      <c r="Q410" s="61"/>
      <c r="R410" s="61"/>
      <c r="S410" s="61"/>
      <c r="T410" s="61"/>
      <c r="U410" s="61"/>
      <c r="V410" s="61"/>
      <c r="W410" s="61"/>
      <c r="X410" s="61"/>
      <c r="Y410" s="61"/>
      <c r="Z410" s="264"/>
      <c r="AA410" s="299"/>
      <c r="AB410" s="17">
        <v>6.3880595230623172E-3</v>
      </c>
      <c r="AC410" s="17">
        <v>7.1127832309669792E-3</v>
      </c>
      <c r="AD410" s="17">
        <v>7.3445504140206008E-3</v>
      </c>
      <c r="AE410" s="17">
        <v>7.7855901744836586E-3</v>
      </c>
    </row>
    <row r="411" spans="2:31" outlineLevel="1" x14ac:dyDescent="0.3">
      <c r="B411" s="3" t="s">
        <v>240</v>
      </c>
      <c r="O411" s="263"/>
      <c r="P411" s="61"/>
      <c r="Q411" s="61"/>
      <c r="R411" s="61"/>
      <c r="S411" s="61"/>
      <c r="T411" s="61"/>
      <c r="U411" s="61"/>
      <c r="V411" s="61"/>
      <c r="W411" s="61"/>
      <c r="X411" s="61"/>
      <c r="Y411" s="61"/>
      <c r="Z411" s="264"/>
      <c r="AA411" s="61"/>
    </row>
    <row r="412" spans="2:31" outlineLevel="1" x14ac:dyDescent="0.3">
      <c r="C412" s="3" t="s">
        <v>146</v>
      </c>
      <c r="O412" s="263"/>
      <c r="P412" s="61"/>
      <c r="Q412" s="61"/>
      <c r="R412" s="61"/>
      <c r="S412" s="61"/>
      <c r="T412" s="61"/>
      <c r="U412" s="61"/>
      <c r="V412" s="61"/>
      <c r="W412" s="61"/>
      <c r="X412" s="61"/>
      <c r="Y412" s="61"/>
      <c r="Z412" s="264"/>
      <c r="AA412" s="299"/>
      <c r="AB412" s="17">
        <v>3.5244173663582234E-3</v>
      </c>
      <c r="AC412" s="17">
        <v>4.2447445269286899E-3</v>
      </c>
      <c r="AD412" s="17">
        <v>8.8927462877044228E-3</v>
      </c>
      <c r="AE412" s="17">
        <v>7.6905334914463275E-3</v>
      </c>
    </row>
    <row r="413" spans="2:31" outlineLevel="1" x14ac:dyDescent="0.3">
      <c r="C413" s="3" t="s">
        <v>147</v>
      </c>
      <c r="O413" s="263"/>
      <c r="P413" s="61"/>
      <c r="Q413" s="61"/>
      <c r="R413" s="61"/>
      <c r="S413" s="61"/>
      <c r="T413" s="61"/>
      <c r="U413" s="61"/>
      <c r="V413" s="61"/>
      <c r="W413" s="61"/>
      <c r="X413" s="61"/>
      <c r="Y413" s="61"/>
      <c r="Z413" s="264"/>
      <c r="AA413" s="299"/>
      <c r="AB413" s="17">
        <v>6.0779723648409778E-3</v>
      </c>
      <c r="AC413" s="17">
        <v>4.5274630777489833E-3</v>
      </c>
      <c r="AD413" s="17">
        <v>8.5131952902965935E-3</v>
      </c>
      <c r="AE413" s="17">
        <v>4.4213483801021081E-3</v>
      </c>
    </row>
    <row r="414" spans="2:31" outlineLevel="1" x14ac:dyDescent="0.3">
      <c r="C414" s="3" t="s">
        <v>148</v>
      </c>
      <c r="O414" s="263"/>
      <c r="P414" s="61"/>
      <c r="Q414" s="61"/>
      <c r="R414" s="61"/>
      <c r="S414" s="61"/>
      <c r="T414" s="61"/>
      <c r="U414" s="61"/>
      <c r="V414" s="61"/>
      <c r="W414" s="61"/>
      <c r="X414" s="61"/>
      <c r="Y414" s="61"/>
      <c r="Z414" s="264"/>
      <c r="AA414" s="299"/>
      <c r="AB414" s="17">
        <v>4.9364926779438267E-3</v>
      </c>
      <c r="AC414" s="17">
        <v>8.0694279637942845E-3</v>
      </c>
      <c r="AD414" s="17">
        <v>8.0558647910131675E-3</v>
      </c>
      <c r="AE414" s="17">
        <v>8.0218220168275511E-3</v>
      </c>
    </row>
    <row r="415" spans="2:31" outlineLevel="1" x14ac:dyDescent="0.3">
      <c r="C415" s="3" t="s">
        <v>149</v>
      </c>
      <c r="O415" s="263"/>
      <c r="P415" s="61"/>
      <c r="Q415" s="61"/>
      <c r="R415" s="61"/>
      <c r="S415" s="61"/>
      <c r="T415" s="61"/>
      <c r="U415" s="61"/>
      <c r="V415" s="61"/>
      <c r="W415" s="61"/>
      <c r="X415" s="61"/>
      <c r="Y415" s="61"/>
      <c r="Z415" s="264"/>
      <c r="AA415" s="299"/>
      <c r="AB415" s="17">
        <v>5.0010792852317465E-3</v>
      </c>
      <c r="AC415" s="17">
        <v>8.324765836364767E-3</v>
      </c>
      <c r="AD415" s="17">
        <v>7.9003403106523429E-3</v>
      </c>
      <c r="AE415" s="17">
        <v>7.6274468143433527E-3</v>
      </c>
    </row>
    <row r="416" spans="2:31" outlineLevel="1" x14ac:dyDescent="0.3">
      <c r="B416" s="3" t="s">
        <v>14</v>
      </c>
      <c r="O416" s="263"/>
      <c r="P416" s="61"/>
      <c r="Q416" s="61"/>
      <c r="R416" s="61"/>
      <c r="S416" s="61"/>
      <c r="T416" s="61"/>
      <c r="U416" s="61"/>
      <c r="V416" s="61"/>
      <c r="W416" s="61"/>
      <c r="X416" s="61"/>
      <c r="Y416" s="61"/>
      <c r="Z416" s="264"/>
      <c r="AA416" s="61"/>
    </row>
    <row r="417" spans="2:31" outlineLevel="1" x14ac:dyDescent="0.3">
      <c r="C417" s="3" t="s">
        <v>146</v>
      </c>
      <c r="O417" s="263"/>
      <c r="P417" s="61"/>
      <c r="Q417" s="61"/>
      <c r="R417" s="61"/>
      <c r="S417" s="61"/>
      <c r="T417" s="61"/>
      <c r="U417" s="61"/>
      <c r="V417" s="61"/>
      <c r="W417" s="61"/>
      <c r="X417" s="61"/>
      <c r="Y417" s="61"/>
      <c r="Z417" s="264"/>
      <c r="AA417" s="299"/>
      <c r="AB417" s="17">
        <v>5.2667271548587635E-3</v>
      </c>
      <c r="AC417" s="17">
        <v>5.8851460720839022E-3</v>
      </c>
      <c r="AD417" s="17">
        <v>6.5975785505048012E-3</v>
      </c>
      <c r="AE417" s="17">
        <v>6.6329626260561714E-3</v>
      </c>
    </row>
    <row r="418" spans="2:31" outlineLevel="1" x14ac:dyDescent="0.3">
      <c r="C418" s="3" t="s">
        <v>147</v>
      </c>
      <c r="O418" s="263"/>
      <c r="P418" s="61"/>
      <c r="Q418" s="61"/>
      <c r="R418" s="61"/>
      <c r="S418" s="61"/>
      <c r="T418" s="61"/>
      <c r="U418" s="61"/>
      <c r="V418" s="61"/>
      <c r="W418" s="61"/>
      <c r="X418" s="61"/>
      <c r="Y418" s="61"/>
      <c r="Z418" s="264"/>
      <c r="AA418" s="299"/>
      <c r="AB418" s="17">
        <v>5.2629909432588828E-3</v>
      </c>
      <c r="AC418" s="17">
        <v>6.2013348917189237E-3</v>
      </c>
      <c r="AD418" s="17">
        <v>6.7904880409916935E-3</v>
      </c>
      <c r="AE418" s="17">
        <v>6.7565090694798879E-3</v>
      </c>
    </row>
    <row r="419" spans="2:31" outlineLevel="1" x14ac:dyDescent="0.3">
      <c r="C419" s="3" t="s">
        <v>148</v>
      </c>
      <c r="O419" s="263"/>
      <c r="P419" s="61"/>
      <c r="Q419" s="61"/>
      <c r="R419" s="61"/>
      <c r="S419" s="61"/>
      <c r="T419" s="61"/>
      <c r="U419" s="61"/>
      <c r="V419" s="61"/>
      <c r="W419" s="61"/>
      <c r="X419" s="61"/>
      <c r="Y419" s="61"/>
      <c r="Z419" s="264"/>
      <c r="AA419" s="299"/>
      <c r="AB419" s="17">
        <v>6.777480462412333E-3</v>
      </c>
      <c r="AC419" s="17">
        <v>7.5967692353728911E-3</v>
      </c>
      <c r="AD419" s="17">
        <v>7.9265685404870112E-3</v>
      </c>
      <c r="AE419" s="17">
        <v>8.0922665211224931E-3</v>
      </c>
    </row>
    <row r="420" spans="2:31" outlineLevel="1" x14ac:dyDescent="0.3">
      <c r="C420" s="3" t="s">
        <v>149</v>
      </c>
      <c r="O420" s="263"/>
      <c r="P420" s="61"/>
      <c r="Q420" s="61"/>
      <c r="R420" s="61"/>
      <c r="S420" s="61"/>
      <c r="T420" s="61"/>
      <c r="U420" s="61"/>
      <c r="V420" s="61"/>
      <c r="W420" s="61"/>
      <c r="X420" s="61"/>
      <c r="Y420" s="61"/>
      <c r="Z420" s="264"/>
      <c r="AA420" s="299"/>
      <c r="AB420" s="17">
        <v>6.253556881845368E-3</v>
      </c>
      <c r="AC420" s="17">
        <v>7.3069875675484397E-3</v>
      </c>
      <c r="AD420" s="17">
        <v>7.1519429446167404E-3</v>
      </c>
      <c r="AE420" s="17">
        <v>7.6846822426692718E-3</v>
      </c>
    </row>
    <row r="421" spans="2:31" outlineLevel="1" x14ac:dyDescent="0.3">
      <c r="B421" s="3" t="s">
        <v>15</v>
      </c>
      <c r="O421" s="263"/>
      <c r="P421" s="61"/>
      <c r="Q421" s="61"/>
      <c r="R421" s="61"/>
      <c r="S421" s="61"/>
      <c r="T421" s="61"/>
      <c r="U421" s="61"/>
      <c r="V421" s="61"/>
      <c r="W421" s="61"/>
      <c r="X421" s="61"/>
      <c r="Y421" s="61"/>
      <c r="Z421" s="264"/>
      <c r="AA421" s="61"/>
    </row>
    <row r="422" spans="2:31" outlineLevel="1" x14ac:dyDescent="0.3">
      <c r="C422" s="3" t="s">
        <v>146</v>
      </c>
      <c r="O422" s="263"/>
      <c r="P422" s="61"/>
      <c r="Q422" s="61"/>
      <c r="R422" s="61"/>
      <c r="S422" s="61"/>
      <c r="T422" s="61"/>
      <c r="U422" s="61"/>
      <c r="V422" s="61"/>
      <c r="W422" s="61"/>
      <c r="X422" s="61"/>
      <c r="Y422" s="61"/>
      <c r="Z422" s="264"/>
      <c r="AA422" s="299"/>
      <c r="AB422" s="17">
        <v>5.2378564171726705E-3</v>
      </c>
      <c r="AC422" s="17">
        <v>6.1948549008630227E-3</v>
      </c>
      <c r="AD422" s="17">
        <v>6.4975861815739222E-3</v>
      </c>
      <c r="AE422" s="17">
        <v>6.5879112322646538E-3</v>
      </c>
    </row>
    <row r="423" spans="2:31" outlineLevel="1" x14ac:dyDescent="0.3">
      <c r="C423" s="3" t="s">
        <v>147</v>
      </c>
      <c r="O423" s="263"/>
      <c r="P423" s="61"/>
      <c r="Q423" s="61"/>
      <c r="R423" s="61"/>
      <c r="S423" s="61"/>
      <c r="T423" s="61"/>
      <c r="U423" s="61"/>
      <c r="V423" s="61"/>
      <c r="W423" s="61"/>
      <c r="X423" s="61"/>
      <c r="Y423" s="61"/>
      <c r="Z423" s="264"/>
      <c r="AA423" s="299"/>
      <c r="AB423" s="17">
        <v>5.3511109169512849E-3</v>
      </c>
      <c r="AC423" s="17">
        <v>6.3647429767577091E-3</v>
      </c>
      <c r="AD423" s="17">
        <v>6.6546292988065581E-3</v>
      </c>
      <c r="AE423" s="17">
        <v>6.726172452177881E-3</v>
      </c>
    </row>
    <row r="424" spans="2:31" outlineLevel="1" x14ac:dyDescent="0.3">
      <c r="C424" s="3" t="s">
        <v>148</v>
      </c>
      <c r="O424" s="263"/>
      <c r="P424" s="61"/>
      <c r="Q424" s="61"/>
      <c r="R424" s="61"/>
      <c r="S424" s="61"/>
      <c r="T424" s="61"/>
      <c r="U424" s="61"/>
      <c r="V424" s="61"/>
      <c r="W424" s="61"/>
      <c r="X424" s="61"/>
      <c r="Y424" s="61"/>
      <c r="Z424" s="264"/>
      <c r="AA424" s="299"/>
      <c r="AB424" s="17">
        <v>6.7827806207256813E-3</v>
      </c>
      <c r="AC424" s="17">
        <v>7.7142860915213607E-3</v>
      </c>
      <c r="AD424" s="17">
        <v>7.9705931057927337E-3</v>
      </c>
      <c r="AE424" s="17">
        <v>8.0842819081956563E-3</v>
      </c>
    </row>
    <row r="425" spans="2:31" outlineLevel="1" x14ac:dyDescent="0.3">
      <c r="B425" s="92"/>
      <c r="C425" s="92" t="s">
        <v>149</v>
      </c>
      <c r="D425" s="92"/>
      <c r="E425" s="92"/>
      <c r="F425" s="92"/>
      <c r="G425" s="92"/>
      <c r="H425" s="92"/>
      <c r="I425" s="92"/>
      <c r="J425" s="92"/>
      <c r="K425" s="92"/>
      <c r="L425" s="92"/>
      <c r="M425" s="92"/>
      <c r="N425" s="92"/>
      <c r="O425" s="268"/>
      <c r="P425" s="269"/>
      <c r="Q425" s="269"/>
      <c r="R425" s="269"/>
      <c r="S425" s="269"/>
      <c r="T425" s="269"/>
      <c r="U425" s="269"/>
      <c r="V425" s="269"/>
      <c r="W425" s="269"/>
      <c r="X425" s="269"/>
      <c r="Y425" s="269"/>
      <c r="Z425" s="270"/>
      <c r="AA425" s="301"/>
      <c r="AB425" s="279">
        <v>6.2049369886918448E-3</v>
      </c>
      <c r="AC425" s="279">
        <v>7.189904338559705E-3</v>
      </c>
      <c r="AD425" s="279">
        <v>7.5231518159148969E-3</v>
      </c>
      <c r="AE425" s="279">
        <v>7.5868543900092789E-3</v>
      </c>
    </row>
    <row r="427" spans="2:31" hidden="1" x14ac:dyDescent="0.3">
      <c r="B427" s="11" t="s">
        <v>282</v>
      </c>
    </row>
    <row r="428" spans="2:31" hidden="1" x14ac:dyDescent="0.3">
      <c r="B428" s="226"/>
      <c r="C428" s="226"/>
      <c r="D428" s="226"/>
      <c r="E428" s="226"/>
      <c r="F428" s="226"/>
      <c r="G428" s="226"/>
      <c r="H428" s="226"/>
      <c r="I428" s="226"/>
      <c r="J428" s="226"/>
      <c r="K428" s="226"/>
      <c r="L428" s="9" t="s">
        <v>182</v>
      </c>
      <c r="M428" s="9" t="s">
        <v>183</v>
      </c>
      <c r="N428" s="9" t="s">
        <v>234</v>
      </c>
      <c r="O428" s="233" t="s">
        <v>185</v>
      </c>
      <c r="P428" s="9" t="s">
        <v>186</v>
      </c>
      <c r="Q428" s="9" t="s">
        <v>187</v>
      </c>
      <c r="R428" s="9" t="s">
        <v>188</v>
      </c>
      <c r="S428" s="9" t="s">
        <v>189</v>
      </c>
      <c r="T428" s="9" t="s">
        <v>190</v>
      </c>
      <c r="U428" s="9" t="s">
        <v>191</v>
      </c>
      <c r="V428" s="9" t="s">
        <v>192</v>
      </c>
      <c r="W428" s="9" t="s">
        <v>193</v>
      </c>
      <c r="X428" s="9" t="s">
        <v>194</v>
      </c>
      <c r="Y428" s="9" t="s">
        <v>195</v>
      </c>
      <c r="Z428" s="10" t="s">
        <v>196</v>
      </c>
      <c r="AA428" s="9" t="s">
        <v>197</v>
      </c>
      <c r="AB428" s="9" t="s">
        <v>198</v>
      </c>
      <c r="AC428" s="9" t="s">
        <v>199</v>
      </c>
      <c r="AD428" s="9" t="s">
        <v>200</v>
      </c>
      <c r="AE428" s="9" t="s">
        <v>201</v>
      </c>
    </row>
    <row r="429" spans="2:31" x14ac:dyDescent="0.3">
      <c r="B429" s="302" t="s">
        <v>283</v>
      </c>
      <c r="C429" s="255"/>
      <c r="D429" s="255"/>
      <c r="E429" s="255"/>
      <c r="F429" s="255"/>
      <c r="G429" s="255"/>
      <c r="H429" s="257"/>
      <c r="I429" s="257"/>
      <c r="J429" s="255"/>
      <c r="K429" s="255"/>
      <c r="L429" s="255"/>
      <c r="M429" s="255"/>
      <c r="N429" s="255"/>
      <c r="O429" s="255"/>
      <c r="P429" s="255"/>
      <c r="Q429" s="255"/>
      <c r="R429" s="255"/>
      <c r="S429" s="255"/>
      <c r="T429" s="255"/>
      <c r="U429" s="255"/>
      <c r="V429" s="255"/>
      <c r="W429" s="255"/>
      <c r="X429" s="255"/>
      <c r="Y429" s="255"/>
      <c r="Z429" s="255"/>
      <c r="AA429" s="255"/>
      <c r="AB429" s="255"/>
      <c r="AC429" s="255"/>
      <c r="AD429" s="255"/>
      <c r="AE429" s="255"/>
    </row>
    <row r="431" spans="2:31" x14ac:dyDescent="0.3">
      <c r="B431" s="11" t="s">
        <v>284</v>
      </c>
      <c r="AB431" s="140"/>
      <c r="AC431" s="140"/>
      <c r="AD431" s="140"/>
      <c r="AE431" s="140"/>
    </row>
    <row r="432" spans="2:31" x14ac:dyDescent="0.3">
      <c r="B432" s="226"/>
      <c r="C432" s="226"/>
      <c r="D432" s="226"/>
      <c r="E432" s="226"/>
      <c r="F432" s="226"/>
      <c r="G432" s="226"/>
      <c r="H432" s="226"/>
      <c r="I432" s="226"/>
      <c r="J432" s="226"/>
      <c r="K432" s="226"/>
      <c r="L432" s="9" t="s">
        <v>182</v>
      </c>
      <c r="M432" s="9" t="s">
        <v>183</v>
      </c>
      <c r="N432" s="9" t="s">
        <v>234</v>
      </c>
      <c r="O432" s="233" t="s">
        <v>185</v>
      </c>
      <c r="P432" s="9" t="s">
        <v>186</v>
      </c>
      <c r="Q432" s="9" t="s">
        <v>187</v>
      </c>
      <c r="R432" s="9" t="s">
        <v>188</v>
      </c>
      <c r="S432" s="9" t="s">
        <v>189</v>
      </c>
      <c r="T432" s="9" t="s">
        <v>190</v>
      </c>
      <c r="U432" s="9" t="s">
        <v>191</v>
      </c>
      <c r="V432" s="9" t="s">
        <v>192</v>
      </c>
      <c r="W432" s="9" t="s">
        <v>193</v>
      </c>
      <c r="X432" s="9" t="s">
        <v>194</v>
      </c>
      <c r="Y432" s="9" t="s">
        <v>195</v>
      </c>
      <c r="Z432" s="9" t="s">
        <v>196</v>
      </c>
      <c r="AA432" s="244" t="s">
        <v>197</v>
      </c>
      <c r="AB432" s="9" t="s">
        <v>198</v>
      </c>
      <c r="AC432" s="9" t="s">
        <v>199</v>
      </c>
      <c r="AD432" s="9" t="s">
        <v>200</v>
      </c>
      <c r="AE432" s="9" t="s">
        <v>201</v>
      </c>
    </row>
    <row r="433" spans="2:35" x14ac:dyDescent="0.3">
      <c r="B433" s="11" t="s">
        <v>285</v>
      </c>
      <c r="O433" s="303"/>
      <c r="P433" s="196"/>
      <c r="Q433" s="196"/>
      <c r="R433" s="196"/>
      <c r="S433" s="196"/>
      <c r="T433" s="196"/>
      <c r="U433" s="196"/>
      <c r="V433" s="196"/>
      <c r="W433" s="196"/>
      <c r="X433" s="196"/>
      <c r="Y433" s="196"/>
      <c r="Z433" s="196"/>
      <c r="AA433" s="246"/>
      <c r="AB433" s="16"/>
      <c r="AC433" s="16"/>
      <c r="AD433" s="16"/>
      <c r="AE433" s="16"/>
    </row>
    <row r="434" spans="2:35" x14ac:dyDescent="0.3">
      <c r="C434" s="3" t="s">
        <v>131</v>
      </c>
      <c r="O434" s="292">
        <v>1982608.4725155036</v>
      </c>
      <c r="P434" s="16">
        <v>1982608.4725155036</v>
      </c>
      <c r="Q434" s="16">
        <v>1982608.4725155036</v>
      </c>
      <c r="R434" s="16">
        <v>1982608.4725155036</v>
      </c>
      <c r="S434" s="16">
        <v>1982608.4725155036</v>
      </c>
      <c r="T434" s="16">
        <v>1982608.4725155036</v>
      </c>
      <c r="U434" s="16">
        <v>1982608.4725155036</v>
      </c>
      <c r="V434" s="16">
        <v>1982608.4725155036</v>
      </c>
      <c r="W434" s="16">
        <v>1982608.4725155036</v>
      </c>
      <c r="X434" s="16">
        <v>1982608.4725155036</v>
      </c>
      <c r="Y434" s="16">
        <v>1982608.4725155036</v>
      </c>
      <c r="Z434" s="16">
        <v>1982608.4725155036</v>
      </c>
      <c r="AA434" s="246">
        <f>COGS_HW!Z40</f>
        <v>1982608.4725155036</v>
      </c>
      <c r="AB434" s="16">
        <f>AA434*(1+AB$18)*(1-AB466)*(1+DCF!$I$86)</f>
        <v>2004417.165713174</v>
      </c>
      <c r="AC434" s="16">
        <f>AB434*(1+AC$18)*(1-AC466)*(1+DCF!$I$86)</f>
        <v>2030474.588867445</v>
      </c>
      <c r="AD434" s="16">
        <f>AC434*(1+AD$18)*(1-AD466)*(1+DCF!$I$86)</f>
        <v>2054840.2839338544</v>
      </c>
      <c r="AE434" s="16">
        <f>AD434*(1+AE$18)*(1-AE466)*(1+DCF!$I$86)</f>
        <v>2083608.0479089285</v>
      </c>
      <c r="AF434" s="304"/>
      <c r="AG434" s="304"/>
      <c r="AH434" s="304"/>
      <c r="AI434" s="304"/>
    </row>
    <row r="435" spans="2:35" x14ac:dyDescent="0.3">
      <c r="C435" s="3" t="s">
        <v>132</v>
      </c>
      <c r="O435" s="292">
        <v>1255473.0653411124</v>
      </c>
      <c r="P435" s="16">
        <v>1255473.0653411124</v>
      </c>
      <c r="Q435" s="16">
        <v>1255473.0653411124</v>
      </c>
      <c r="R435" s="16">
        <v>1255473.0653411124</v>
      </c>
      <c r="S435" s="16">
        <v>1255473.0653411124</v>
      </c>
      <c r="T435" s="16">
        <v>1255473.0653411124</v>
      </c>
      <c r="U435" s="16">
        <v>1255473.0653411124</v>
      </c>
      <c r="V435" s="16">
        <v>1255473.0653411124</v>
      </c>
      <c r="W435" s="16">
        <v>1255473.0653411124</v>
      </c>
      <c r="X435" s="16">
        <v>1255473.0653411124</v>
      </c>
      <c r="Y435" s="16">
        <v>1255473.0653411124</v>
      </c>
      <c r="Z435" s="16">
        <v>1255473.0653411124</v>
      </c>
      <c r="AA435" s="246">
        <f>COGS_HW!Z59</f>
        <v>1255473.0653411127</v>
      </c>
      <c r="AB435" s="16">
        <f>AA435*(1+AB$18)*(1-AB467)*(1+DCF!$I$86)</f>
        <v>1269283.2690598648</v>
      </c>
      <c r="AC435" s="16">
        <f>AB435*(1+AC$18)*(1-AC467)*(1+DCF!$I$86)</f>
        <v>1285783.951557643</v>
      </c>
      <c r="AD435" s="16">
        <f>AC435*(1+AD$18)*(1-AD467)*(1+DCF!$I$86)</f>
        <v>1301213.3589763348</v>
      </c>
      <c r="AE435" s="16">
        <f>AD435*(1+AE$18)*(1-AE467)*(1+DCF!$I$86)</f>
        <v>1319430.3460020034</v>
      </c>
      <c r="AF435" s="304"/>
      <c r="AG435" s="304"/>
      <c r="AH435" s="304"/>
      <c r="AI435" s="304"/>
    </row>
    <row r="436" spans="2:35" x14ac:dyDescent="0.3">
      <c r="C436" s="3" t="s">
        <v>133</v>
      </c>
      <c r="O436" s="292">
        <v>1290255.7002217434</v>
      </c>
      <c r="P436" s="16">
        <v>1290255.7002217434</v>
      </c>
      <c r="Q436" s="16">
        <v>1290255.7002217434</v>
      </c>
      <c r="R436" s="16">
        <v>1290255.7002217434</v>
      </c>
      <c r="S436" s="16">
        <v>1290255.7002217434</v>
      </c>
      <c r="T436" s="16">
        <v>1290255.7002217434</v>
      </c>
      <c r="U436" s="16">
        <v>1290255.7002217434</v>
      </c>
      <c r="V436" s="16">
        <v>1290255.7002217434</v>
      </c>
      <c r="W436" s="16">
        <v>1290255.7002217434</v>
      </c>
      <c r="X436" s="16">
        <v>1290255.7002217434</v>
      </c>
      <c r="Y436" s="16">
        <v>1290255.7002217434</v>
      </c>
      <c r="Z436" s="16">
        <v>1290255.7002217434</v>
      </c>
      <c r="AA436" s="246">
        <f>COGS_HW!Z78</f>
        <v>1290255.7002217434</v>
      </c>
      <c r="AB436" s="16">
        <f>AA436*(1+AB$18)*(1-AB468)*(1+DCF!$I$86)</f>
        <v>1304448.5129241825</v>
      </c>
      <c r="AC436" s="16">
        <f>AB436*(1+AC$18)*(1-AC468)*(1+DCF!$I$86)</f>
        <v>1321406.3435921967</v>
      </c>
      <c r="AD436" s="16">
        <f>AC436*(1+AD$18)*(1-AD468)*(1+DCF!$I$86)</f>
        <v>1337263.219715303</v>
      </c>
      <c r="AE436" s="16">
        <f>AD436*(1+AE$18)*(1-AE468)*(1+DCF!$I$86)</f>
        <v>1355984.9047913174</v>
      </c>
      <c r="AF436" s="304"/>
      <c r="AG436" s="304"/>
      <c r="AH436" s="304"/>
      <c r="AI436" s="304"/>
    </row>
    <row r="437" spans="2:35" x14ac:dyDescent="0.3">
      <c r="C437" s="3" t="s">
        <v>134</v>
      </c>
      <c r="O437" s="292">
        <v>3260747.3728700182</v>
      </c>
      <c r="P437" s="16">
        <v>3260747.3728700182</v>
      </c>
      <c r="Q437" s="16">
        <v>3260747.3728700182</v>
      </c>
      <c r="R437" s="16">
        <v>3260747.3728700182</v>
      </c>
      <c r="S437" s="16">
        <v>3260747.3728700182</v>
      </c>
      <c r="T437" s="16">
        <v>3260747.3728700182</v>
      </c>
      <c r="U437" s="16">
        <v>3260747.3728700182</v>
      </c>
      <c r="V437" s="16">
        <v>3260747.3728700182</v>
      </c>
      <c r="W437" s="16">
        <v>3260747.3728700182</v>
      </c>
      <c r="X437" s="16">
        <v>3260747.3728700182</v>
      </c>
      <c r="Y437" s="16">
        <v>3260747.3728700182</v>
      </c>
      <c r="Z437" s="16">
        <v>3260747.3728700182</v>
      </c>
      <c r="AA437" s="246">
        <f>COGS_HW!Z97</f>
        <v>3260747.3728700178</v>
      </c>
      <c r="AB437" s="16">
        <f>AA437*(1+AB$18)*(1-AB469)*(1+DCF!$I$86)</f>
        <v>3296615.5939715877</v>
      </c>
      <c r="AC437" s="16">
        <f>AB437*(1+AC$18)*(1-AC469)*(1+DCF!$I$86)</f>
        <v>3339471.5966932182</v>
      </c>
      <c r="AD437" s="16">
        <f>AC437*(1+AD$18)*(1-AD469)*(1+DCF!$I$86)</f>
        <v>3379545.255853537</v>
      </c>
      <c r="AE437" s="16">
        <f>AD437*(1+AE$18)*(1-AE469)*(1+DCF!$I$86)</f>
        <v>3426858.8894354864</v>
      </c>
      <c r="AF437" s="304"/>
      <c r="AG437" s="304"/>
      <c r="AH437" s="304"/>
      <c r="AI437" s="304"/>
    </row>
    <row r="438" spans="2:35" x14ac:dyDescent="0.3">
      <c r="C438" s="3" t="s">
        <v>135</v>
      </c>
      <c r="O438" s="292">
        <v>2177803.493675563</v>
      </c>
      <c r="P438" s="16">
        <v>2177803.493675563</v>
      </c>
      <c r="Q438" s="16">
        <v>2177803.493675563</v>
      </c>
      <c r="R438" s="16">
        <v>2177803.493675563</v>
      </c>
      <c r="S438" s="16">
        <v>2177803.493675563</v>
      </c>
      <c r="T438" s="16">
        <v>2177803.493675563</v>
      </c>
      <c r="U438" s="16">
        <v>2177803.493675563</v>
      </c>
      <c r="V438" s="16">
        <v>2177803.493675563</v>
      </c>
      <c r="W438" s="16">
        <v>2177803.493675563</v>
      </c>
      <c r="X438" s="16">
        <v>2177803.493675563</v>
      </c>
      <c r="Y438" s="16">
        <v>2177803.493675563</v>
      </c>
      <c r="Z438" s="16">
        <v>2177803.493675563</v>
      </c>
      <c r="AA438" s="246">
        <f>COGS_HW!Z116</f>
        <v>2177803.493675563</v>
      </c>
      <c r="AB438" s="16">
        <v>0</v>
      </c>
      <c r="AC438" s="16">
        <v>0</v>
      </c>
      <c r="AD438" s="16">
        <v>0</v>
      </c>
      <c r="AE438" s="16">
        <v>0</v>
      </c>
      <c r="AF438" s="305"/>
      <c r="AG438" s="162"/>
      <c r="AH438" s="162"/>
      <c r="AI438" s="162"/>
    </row>
    <row r="439" spans="2:35" x14ac:dyDescent="0.3">
      <c r="B439" s="11" t="s">
        <v>286</v>
      </c>
      <c r="O439" s="292"/>
      <c r="P439" s="16"/>
      <c r="Q439" s="16"/>
      <c r="R439" s="16"/>
      <c r="S439" s="16"/>
      <c r="T439" s="16"/>
      <c r="U439" s="16"/>
      <c r="V439" s="16"/>
      <c r="W439" s="16"/>
      <c r="X439" s="16"/>
      <c r="Y439" s="16"/>
      <c r="Z439" s="16"/>
      <c r="AA439" s="246"/>
      <c r="AB439" s="16"/>
      <c r="AC439" s="16"/>
      <c r="AD439" s="16"/>
      <c r="AF439" s="305"/>
      <c r="AG439" s="162"/>
      <c r="AH439" s="162"/>
      <c r="AI439" s="162"/>
    </row>
    <row r="440" spans="2:35" x14ac:dyDescent="0.3">
      <c r="C440" s="3" t="s">
        <v>131</v>
      </c>
      <c r="O440" s="292">
        <v>64345.760000000009</v>
      </c>
      <c r="P440" s="16">
        <v>64345.760000000009</v>
      </c>
      <c r="Q440" s="16">
        <v>64345.760000000009</v>
      </c>
      <c r="R440" s="16">
        <v>64345.760000000009</v>
      </c>
      <c r="S440" s="16">
        <v>64345.760000000009</v>
      </c>
      <c r="T440" s="16">
        <v>64345.760000000009</v>
      </c>
      <c r="U440" s="16">
        <v>64345.760000000009</v>
      </c>
      <c r="V440" s="16">
        <v>64345.760000000009</v>
      </c>
      <c r="W440" s="16">
        <v>64345.760000000009</v>
      </c>
      <c r="X440" s="16">
        <v>64345.760000000009</v>
      </c>
      <c r="Y440" s="16">
        <v>64345.760000000009</v>
      </c>
      <c r="Z440" s="16">
        <v>64345.760000000009</v>
      </c>
      <c r="AA440" s="246">
        <f>COGS_HW!Z45</f>
        <v>64345.760000000009</v>
      </c>
      <c r="AB440" s="16">
        <f>AA440*(1+AB$30)*(1-AB472)*(1+DCF!$I$86)</f>
        <v>65310.946400000001</v>
      </c>
      <c r="AC440" s="16">
        <f>AB440*(1+AC$30)*(1-AC472)*(1+DCF!$I$86)</f>
        <v>66029.366810399995</v>
      </c>
      <c r="AD440" s="16">
        <f>AC440*(1+AD$30)*(1-AD472)*(1+DCF!$I$86)</f>
        <v>66689.660478503996</v>
      </c>
      <c r="AE440" s="16">
        <f>AD440*(1+AE$30)*(1-AE472)*(1+DCF!$I$86)</f>
        <v>67289.867422810523</v>
      </c>
      <c r="AF440" s="304"/>
      <c r="AG440" s="304"/>
      <c r="AH440" s="304"/>
      <c r="AI440" s="304"/>
    </row>
    <row r="441" spans="2:35" x14ac:dyDescent="0.3">
      <c r="C441" s="3" t="s">
        <v>132</v>
      </c>
      <c r="O441" s="293"/>
      <c r="P441" s="119"/>
      <c r="Q441" s="119"/>
      <c r="R441" s="119"/>
      <c r="S441" s="119"/>
      <c r="T441" s="119"/>
      <c r="U441" s="119"/>
      <c r="V441" s="119"/>
      <c r="W441" s="119"/>
      <c r="X441" s="119"/>
      <c r="Y441" s="119"/>
      <c r="Z441" s="119"/>
      <c r="AA441" s="306"/>
      <c r="AB441" s="119"/>
      <c r="AC441" s="119"/>
      <c r="AD441" s="119"/>
      <c r="AE441" s="119"/>
      <c r="AF441" s="305"/>
      <c r="AG441" s="162"/>
      <c r="AH441" s="162"/>
      <c r="AI441" s="162"/>
    </row>
    <row r="442" spans="2:35" x14ac:dyDescent="0.3">
      <c r="C442" s="3" t="s">
        <v>133</v>
      </c>
      <c r="O442" s="292">
        <v>8269.0000000000018</v>
      </c>
      <c r="P442" s="16">
        <v>8269.0000000000018</v>
      </c>
      <c r="Q442" s="16">
        <v>8269.0000000000018</v>
      </c>
      <c r="R442" s="16">
        <v>8269.0000000000018</v>
      </c>
      <c r="S442" s="16">
        <v>8269.0000000000018</v>
      </c>
      <c r="T442" s="16">
        <v>8269.0000000000018</v>
      </c>
      <c r="U442" s="16">
        <v>8269.0000000000018</v>
      </c>
      <c r="V442" s="16">
        <v>8269.0000000000018</v>
      </c>
      <c r="W442" s="16">
        <v>8269.0000000000018</v>
      </c>
      <c r="X442" s="16">
        <v>8269.0000000000018</v>
      </c>
      <c r="Y442" s="16">
        <v>8269.0000000000018</v>
      </c>
      <c r="Z442" s="16">
        <v>8269.0000000000018</v>
      </c>
      <c r="AA442" s="246">
        <f>COGS_HW!Z83</f>
        <v>8269.0000000000018</v>
      </c>
      <c r="AB442" s="16">
        <f>AA442*(1+AB$30)*(1-AB474)*(1+DCF!$I$86)</f>
        <v>8393.0350000000017</v>
      </c>
      <c r="AC442" s="16">
        <f>AB442*(1+AC$30)*(1-AC474)*(1+DCF!$I$86)</f>
        <v>8485.3583850000014</v>
      </c>
      <c r="AD442" s="16">
        <f>AC442*(1+AD$30)*(1-AD474)*(1+DCF!$I$86)</f>
        <v>8570.2119688500006</v>
      </c>
      <c r="AE442" s="16">
        <f>AD442*(1+AE$30)*(1-AE474)*(1+DCF!$I$86)</f>
        <v>8647.3438765696501</v>
      </c>
      <c r="AF442" s="304"/>
      <c r="AG442" s="304"/>
      <c r="AH442" s="304"/>
      <c r="AI442" s="304"/>
    </row>
    <row r="443" spans="2:35" x14ac:dyDescent="0.3">
      <c r="C443" s="3" t="s">
        <v>134</v>
      </c>
      <c r="O443" s="293"/>
      <c r="P443" s="119"/>
      <c r="Q443" s="119"/>
      <c r="R443" s="119"/>
      <c r="S443" s="119"/>
      <c r="T443" s="119"/>
      <c r="U443" s="119"/>
      <c r="V443" s="119"/>
      <c r="W443" s="119"/>
      <c r="X443" s="119"/>
      <c r="Y443" s="119"/>
      <c r="Z443" s="119"/>
      <c r="AA443" s="306"/>
      <c r="AB443" s="119"/>
      <c r="AC443" s="119"/>
      <c r="AD443" s="119"/>
      <c r="AE443" s="61"/>
      <c r="AF443" s="305"/>
      <c r="AG443" s="162"/>
      <c r="AH443" s="162"/>
      <c r="AI443" s="162"/>
    </row>
    <row r="444" spans="2:35" x14ac:dyDescent="0.3">
      <c r="C444" s="3" t="s">
        <v>135</v>
      </c>
      <c r="O444" s="292">
        <v>12638.612903225807</v>
      </c>
      <c r="P444" s="16">
        <v>12638.612903225807</v>
      </c>
      <c r="Q444" s="16">
        <v>12638.612903225807</v>
      </c>
      <c r="R444" s="16">
        <v>12638.612903225807</v>
      </c>
      <c r="S444" s="16">
        <v>12638.612903225807</v>
      </c>
      <c r="T444" s="16">
        <v>12638.612903225807</v>
      </c>
      <c r="U444" s="16">
        <v>12638.612903225807</v>
      </c>
      <c r="V444" s="16">
        <v>12638.612903225807</v>
      </c>
      <c r="W444" s="16">
        <v>12638.612903225807</v>
      </c>
      <c r="X444" s="16">
        <v>12638.612903225807</v>
      </c>
      <c r="Y444" s="16">
        <v>12638.612903225807</v>
      </c>
      <c r="Z444" s="16">
        <v>12638.612903225807</v>
      </c>
      <c r="AA444" s="246">
        <f>COGS_HW!Z121</f>
        <v>12638.612903225807</v>
      </c>
      <c r="AB444" s="16">
        <v>0</v>
      </c>
      <c r="AC444" s="16">
        <v>0</v>
      </c>
      <c r="AD444" s="16">
        <v>0</v>
      </c>
      <c r="AE444" s="16">
        <v>0</v>
      </c>
      <c r="AF444" s="305"/>
      <c r="AG444" s="162"/>
      <c r="AH444" s="162"/>
      <c r="AI444" s="162"/>
    </row>
    <row r="445" spans="2:35" s="11" customFormat="1" x14ac:dyDescent="0.3">
      <c r="B445" s="11" t="s">
        <v>287</v>
      </c>
      <c r="L445" s="3"/>
      <c r="M445" s="3"/>
      <c r="N445" s="3"/>
      <c r="O445" s="292"/>
      <c r="P445" s="16"/>
      <c r="Q445" s="16"/>
      <c r="R445" s="16"/>
      <c r="S445" s="16"/>
      <c r="T445" s="16"/>
      <c r="U445" s="16"/>
      <c r="V445" s="16"/>
      <c r="W445" s="16"/>
      <c r="X445" s="16"/>
      <c r="Y445" s="16"/>
      <c r="Z445" s="16"/>
      <c r="AA445" s="246"/>
      <c r="AB445" s="16"/>
      <c r="AC445" s="16"/>
      <c r="AD445" s="16"/>
      <c r="AF445" s="307"/>
      <c r="AG445" s="308"/>
      <c r="AH445" s="308"/>
      <c r="AI445" s="308"/>
    </row>
    <row r="446" spans="2:35" x14ac:dyDescent="0.3">
      <c r="C446" s="3" t="s">
        <v>131</v>
      </c>
      <c r="J446" s="146"/>
      <c r="N446" s="309">
        <f>COGS_HW!O49</f>
        <v>122.2920100254558</v>
      </c>
      <c r="O446" s="292">
        <v>67.978071680769574</v>
      </c>
      <c r="P446" s="16">
        <v>67.978071680769574</v>
      </c>
      <c r="Q446" s="16">
        <v>67.978071680769574</v>
      </c>
      <c r="R446" s="16">
        <f>$N446</f>
        <v>122.2920100254558</v>
      </c>
      <c r="S446" s="16">
        <f t="shared" ref="S446:T446" si="55">$N446</f>
        <v>122.2920100254558</v>
      </c>
      <c r="T446" s="16">
        <f t="shared" si="55"/>
        <v>122.2920100254558</v>
      </c>
      <c r="U446" s="16">
        <v>122.2920100254558</v>
      </c>
      <c r="V446" s="16">
        <v>122.2920100254558</v>
      </c>
      <c r="W446" s="16">
        <v>122.2920100254558</v>
      </c>
      <c r="X446" s="16">
        <v>122.2920100254558</v>
      </c>
      <c r="Y446" s="16">
        <v>122.2920100254558</v>
      </c>
      <c r="Z446" s="15">
        <v>122.2920100254558</v>
      </c>
      <c r="AA446" s="246">
        <f>COGS_HW!Z49</f>
        <v>122.29201002545578</v>
      </c>
      <c r="AB446" s="16">
        <f>$O446*(1+AB$14)*(1-AB478)*(1+DCF!$I$86)</f>
        <v>67.884261941850099</v>
      </c>
      <c r="AC446" s="16">
        <f>AB446*(1+AC$14)*(1-AC478)*(1+DCF!$I$86)</f>
        <v>67.935853980925899</v>
      </c>
      <c r="AD446" s="16">
        <f>AC446*(1+AD$14)*(1-AD478)*(1+DCF!$I$86)</f>
        <v>68.601625349938971</v>
      </c>
      <c r="AE446" s="16">
        <f>AD446*(1+AE$14)*(1-AE478)*(1+DCF!$I$86)</f>
        <v>69.48727233320669</v>
      </c>
      <c r="AF446" s="310"/>
      <c r="AG446" s="304"/>
      <c r="AH446" s="304"/>
      <c r="AI446" s="304"/>
    </row>
    <row r="447" spans="2:35" x14ac:dyDescent="0.3">
      <c r="C447" s="3" t="s">
        <v>132</v>
      </c>
      <c r="J447" s="146"/>
      <c r="N447" s="309">
        <f>COGS_HW!O68</f>
        <v>13.154392007513886</v>
      </c>
      <c r="O447" s="292">
        <v>10.483143430963489</v>
      </c>
      <c r="P447" s="16">
        <v>10.483143430963489</v>
      </c>
      <c r="Q447" s="16">
        <v>10.483143430963489</v>
      </c>
      <c r="R447" s="16">
        <v>10.483143430963489</v>
      </c>
      <c r="S447" s="16">
        <v>10.483143430963489</v>
      </c>
      <c r="T447" s="16">
        <v>10.483143430963489</v>
      </c>
      <c r="U447" s="16">
        <v>10.483143430963489</v>
      </c>
      <c r="V447" s="16">
        <v>10.483143430963489</v>
      </c>
      <c r="W447" s="16">
        <v>10.483143430963489</v>
      </c>
      <c r="X447" s="16">
        <v>10.483143430963489</v>
      </c>
      <c r="Y447" s="16">
        <v>10.483143430963489</v>
      </c>
      <c r="Z447" s="16">
        <v>10.483143430963489</v>
      </c>
      <c r="AA447" s="246">
        <f>COGS_HW!Z68</f>
        <v>11.082085029529539</v>
      </c>
      <c r="AB447" s="16">
        <f>Z447*(1+AB$14)*(1-AB479)*(1+DCF!$I$86)</f>
        <v>10.468676693028758</v>
      </c>
      <c r="AC447" s="16">
        <f>AB447*(1+AC$14)*(1-AC479)*(1+DCF!$I$86)</f>
        <v>10.476632887315461</v>
      </c>
      <c r="AD447" s="16">
        <f>AC447*(1+AD$14)*(1-AD479)*(1+DCF!$I$86)</f>
        <v>10.579303889611152</v>
      </c>
      <c r="AE447" s="16">
        <f>AD447*(1+AE$14)*(1-AE479)*(1+DCF!$I$86)</f>
        <v>10.715882702826033</v>
      </c>
      <c r="AF447" s="310"/>
      <c r="AG447" s="304"/>
      <c r="AH447" s="304"/>
      <c r="AI447" s="304"/>
    </row>
    <row r="448" spans="2:35" x14ac:dyDescent="0.3">
      <c r="C448" s="3" t="s">
        <v>133</v>
      </c>
      <c r="J448" s="146"/>
      <c r="N448" s="309">
        <f>COGS_HW!O87</f>
        <v>23.579527556975368</v>
      </c>
      <c r="O448" s="292">
        <v>21.769671433135258</v>
      </c>
      <c r="P448" s="16">
        <v>21.769671433135258</v>
      </c>
      <c r="Q448" s="16">
        <v>21.769671433135258</v>
      </c>
      <c r="R448" s="16">
        <v>21.769671433135258</v>
      </c>
      <c r="S448" s="16">
        <v>21.769671433135258</v>
      </c>
      <c r="T448" s="16">
        <v>21.769671433135258</v>
      </c>
      <c r="U448" s="16">
        <v>21.769671433135258</v>
      </c>
      <c r="V448" s="16">
        <v>21.769671433135258</v>
      </c>
      <c r="W448" s="16">
        <v>21.769671433135258</v>
      </c>
      <c r="X448" s="16">
        <v>21.769671433135258</v>
      </c>
      <c r="Y448" s="16">
        <v>21.769671433135258</v>
      </c>
      <c r="Z448" s="16">
        <v>21.769671433135258</v>
      </c>
      <c r="AA448" s="246">
        <f>COGS_HW!Z87</f>
        <v>22.202463114923113</v>
      </c>
      <c r="AB448" s="16">
        <f>Z448*(1+AB$14)*(1-AB480)*(1+DCF!$I$86)</f>
        <v>21.73962928655753</v>
      </c>
      <c r="AC448" s="16">
        <f>AB448*(1+AC$14)*(1-AC480)*(1+DCF!$I$86)</f>
        <v>21.756151404815313</v>
      </c>
      <c r="AD448" s="16">
        <f>AC448*(1+AD$14)*(1-AD480)*(1+DCF!$I$86)</f>
        <v>21.969361688582502</v>
      </c>
      <c r="AE448" s="16">
        <f>AD448*(1+AE$14)*(1-AE480)*(1+DCF!$I$86)</f>
        <v>22.252986147982103</v>
      </c>
      <c r="AF448" s="310"/>
      <c r="AG448" s="304"/>
      <c r="AH448" s="304"/>
      <c r="AI448" s="304"/>
    </row>
    <row r="449" spans="2:36" x14ac:dyDescent="0.3">
      <c r="C449" s="3" t="s">
        <v>134</v>
      </c>
      <c r="J449" s="146"/>
      <c r="N449" s="309">
        <f>COGS_HW!O106</f>
        <v>162.62418879986996</v>
      </c>
      <c r="O449" s="292">
        <v>97.640209488626382</v>
      </c>
      <c r="P449" s="16">
        <v>97.640209488626382</v>
      </c>
      <c r="Q449" s="16">
        <v>97.640209488626382</v>
      </c>
      <c r="R449" s="16">
        <f>$N449</f>
        <v>162.62418879986996</v>
      </c>
      <c r="S449" s="16">
        <f t="shared" ref="S449:T449" si="56">$N449</f>
        <v>162.62418879986996</v>
      </c>
      <c r="T449" s="16">
        <f t="shared" si="56"/>
        <v>162.62418879986996</v>
      </c>
      <c r="U449" s="16">
        <v>162.62418879986996</v>
      </c>
      <c r="V449" s="16">
        <v>162.62418879986996</v>
      </c>
      <c r="W449" s="16">
        <v>162.62418879986996</v>
      </c>
      <c r="X449" s="16">
        <v>162.62418879986996</v>
      </c>
      <c r="Y449" s="16">
        <v>162.62418879986996</v>
      </c>
      <c r="Z449" s="15">
        <v>162.62418879986996</v>
      </c>
      <c r="AA449" s="246">
        <f>COGS_HW!Z106</f>
        <v>162.62418879986996</v>
      </c>
      <c r="AB449" s="16">
        <f>O449*(1+AB$14)*(1-AB481)*(1+DCF!$I$86)</f>
        <v>97.505465999532063</v>
      </c>
      <c r="AC449" s="16">
        <f>AB449*(1+AC$14)*(1-AC481)*(1+DCF!$I$86)</f>
        <v>97.579570153691705</v>
      </c>
      <c r="AD449" s="16">
        <f>AC449*(1+AD$14)*(1-AD481)*(1+DCF!$I$86)</f>
        <v>98.535849941197881</v>
      </c>
      <c r="AE449" s="16">
        <f>AD449*(1+AE$14)*(1-AE481)*(1+DCF!$I$86)</f>
        <v>99.807947763938742</v>
      </c>
      <c r="AF449" s="310"/>
      <c r="AG449" s="304"/>
      <c r="AH449" s="304"/>
      <c r="AI449" s="304"/>
    </row>
    <row r="450" spans="2:36" x14ac:dyDescent="0.3">
      <c r="C450" s="3" t="s">
        <v>135</v>
      </c>
      <c r="J450" s="146"/>
      <c r="N450" s="309">
        <f>COGS_HW!O125</f>
        <v>58.989765475786655</v>
      </c>
      <c r="O450" s="292">
        <v>51.474160529976267</v>
      </c>
      <c r="P450" s="16">
        <v>51.474160529976267</v>
      </c>
      <c r="Q450" s="16">
        <v>51.474160529976267</v>
      </c>
      <c r="R450" s="16">
        <v>51.474160529976267</v>
      </c>
      <c r="S450" s="16">
        <v>51.474160529976267</v>
      </c>
      <c r="T450" s="16">
        <v>51.474160529976267</v>
      </c>
      <c r="U450" s="16">
        <v>51.474160529976267</v>
      </c>
      <c r="V450" s="16">
        <v>51.474160529976267</v>
      </c>
      <c r="W450" s="16">
        <v>51.474160529976267</v>
      </c>
      <c r="X450" s="16">
        <v>51.474160529976267</v>
      </c>
      <c r="Y450" s="16">
        <v>51.474160529976267</v>
      </c>
      <c r="Z450" s="16">
        <v>51.474160529976267</v>
      </c>
      <c r="AA450" s="246">
        <f>COGS_HW!Z125</f>
        <v>53.161337150464313</v>
      </c>
      <c r="AB450" s="16">
        <v>0</v>
      </c>
      <c r="AC450" s="16">
        <v>0</v>
      </c>
      <c r="AD450" s="16">
        <v>0</v>
      </c>
      <c r="AE450" s="16">
        <v>0</v>
      </c>
      <c r="AF450" s="305"/>
      <c r="AG450" s="162"/>
      <c r="AH450" s="162"/>
      <c r="AI450" s="162"/>
    </row>
    <row r="451" spans="2:36" s="11" customFormat="1" x14ac:dyDescent="0.3">
      <c r="B451" s="11" t="s">
        <v>288</v>
      </c>
      <c r="J451" s="311"/>
      <c r="L451" s="3"/>
      <c r="M451" s="3"/>
      <c r="N451" s="202"/>
      <c r="O451" s="292"/>
      <c r="P451" s="16"/>
      <c r="Q451" s="16"/>
      <c r="R451" s="16"/>
      <c r="S451" s="16"/>
      <c r="T451" s="16"/>
      <c r="U451" s="16"/>
      <c r="V451" s="16"/>
      <c r="W451" s="16"/>
      <c r="X451" s="16"/>
      <c r="Y451" s="16"/>
      <c r="Z451" s="16"/>
      <c r="AA451" s="246"/>
      <c r="AB451" s="16"/>
      <c r="AC451" s="16"/>
      <c r="AD451" s="16"/>
      <c r="AF451" s="307"/>
      <c r="AG451" s="308"/>
      <c r="AH451" s="308"/>
      <c r="AI451" s="308"/>
    </row>
    <row r="452" spans="2:36" x14ac:dyDescent="0.3">
      <c r="C452" s="3" t="s">
        <v>131</v>
      </c>
      <c r="J452" s="146"/>
      <c r="N452" s="309">
        <f>COGS_HW!O52</f>
        <v>63.335470804926992</v>
      </c>
      <c r="O452" s="292">
        <v>76.732785553926476</v>
      </c>
      <c r="P452" s="16">
        <v>76.732785553926476</v>
      </c>
      <c r="Q452" s="16">
        <v>76.732785553926476</v>
      </c>
      <c r="R452" s="16">
        <f>$N452</f>
        <v>63.335470804926992</v>
      </c>
      <c r="S452" s="16">
        <f t="shared" ref="S452:T452" si="57">$N452</f>
        <v>63.335470804926992</v>
      </c>
      <c r="T452" s="16">
        <f t="shared" si="57"/>
        <v>63.335470804926992</v>
      </c>
      <c r="U452" s="16">
        <v>63.335470804926992</v>
      </c>
      <c r="V452" s="16">
        <v>63.335470804926992</v>
      </c>
      <c r="W452" s="16">
        <v>63.335470804926992</v>
      </c>
      <c r="X452" s="16">
        <v>63.335470804926992</v>
      </c>
      <c r="Y452" s="16">
        <v>63.335470804926992</v>
      </c>
      <c r="Z452" s="15">
        <v>63.335470804926992</v>
      </c>
      <c r="AA452" s="246">
        <f>COGS_HW!Z52</f>
        <v>63.335470804926999</v>
      </c>
      <c r="AB452" s="16">
        <f>$O452*(1+AB$14)*(1-AB484)*(1+DCF!$I$86)</f>
        <v>78.190708479451075</v>
      </c>
      <c r="AC452" s="16">
        <f>AB452*(1+AC$14)*(1-AC484)*(1+DCF!$I$86)</f>
        <v>79.441759815122296</v>
      </c>
      <c r="AD452" s="16">
        <f>AC452*(1+AD$14)*(1-AD484)*(1+DCF!$I$86)</f>
        <v>81.030595011424737</v>
      </c>
      <c r="AE452" s="16">
        <f>AD452*(1+AE$14)*(1-AE484)*(1+DCF!$I$86)</f>
        <v>82.489145721630379</v>
      </c>
      <c r="AF452" s="310"/>
      <c r="AG452" s="304"/>
      <c r="AH452" s="304"/>
      <c r="AI452" s="304"/>
    </row>
    <row r="453" spans="2:36" x14ac:dyDescent="0.3">
      <c r="C453" s="3" t="s">
        <v>132</v>
      </c>
      <c r="J453" s="146"/>
      <c r="N453" s="309">
        <f>COGS_HW!O71</f>
        <v>29.849173352876623</v>
      </c>
      <c r="O453" s="292">
        <v>29.21096177320241</v>
      </c>
      <c r="P453" s="16">
        <v>29.21096177320241</v>
      </c>
      <c r="Q453" s="16">
        <v>29.21096177320241</v>
      </c>
      <c r="R453" s="16">
        <v>29.21096177320241</v>
      </c>
      <c r="S453" s="16">
        <v>29.21096177320241</v>
      </c>
      <c r="T453" s="16">
        <v>29.21096177320241</v>
      </c>
      <c r="U453" s="16">
        <v>29.21096177320241</v>
      </c>
      <c r="V453" s="16">
        <v>29.21096177320241</v>
      </c>
      <c r="W453" s="16">
        <v>29.21096177320241</v>
      </c>
      <c r="X453" s="16">
        <v>29.21096177320241</v>
      </c>
      <c r="Y453" s="16">
        <v>29.21096177320241</v>
      </c>
      <c r="Z453" s="16">
        <v>29.21096177320241</v>
      </c>
      <c r="AA453" s="246">
        <f>COGS_HW!Z71</f>
        <v>29.354060198077217</v>
      </c>
      <c r="AB453" s="16">
        <f>Z453*(1+AB$14)*(1-AB491)*(1+DCF!$I$86)</f>
        <v>29.170650645955387</v>
      </c>
      <c r="AC453" s="16">
        <f>AB453*(1+AC$14)*(1-AC485)*(1+DCF!$I$86)</f>
        <v>29.637381056290675</v>
      </c>
      <c r="AD453" s="16">
        <f>AC453*(1+AD$14)*(1-AD485)*(1+DCF!$I$86)</f>
        <v>30.230128677416488</v>
      </c>
      <c r="AE453" s="16">
        <f>AD453*(1+AE$14)*(1-AE485)*(1+DCF!$I$86)</f>
        <v>30.774270993609985</v>
      </c>
      <c r="AF453" s="310"/>
      <c r="AG453" s="304"/>
      <c r="AH453" s="304"/>
      <c r="AI453" s="304"/>
    </row>
    <row r="454" spans="2:36" x14ac:dyDescent="0.3">
      <c r="C454" s="3" t="s">
        <v>133</v>
      </c>
      <c r="J454" s="146"/>
      <c r="N454" s="309">
        <f>COGS_HW!O90</f>
        <v>23.871113295112494</v>
      </c>
      <c r="O454" s="292">
        <v>23.643975470569472</v>
      </c>
      <c r="P454" s="16">
        <v>23.643975470569472</v>
      </c>
      <c r="Q454" s="16">
        <v>23.643975470569472</v>
      </c>
      <c r="R454" s="16">
        <v>23.643975470569472</v>
      </c>
      <c r="S454" s="16">
        <v>23.643975470569472</v>
      </c>
      <c r="T454" s="16">
        <v>23.643975470569472</v>
      </c>
      <c r="U454" s="16">
        <v>23.643975470569472</v>
      </c>
      <c r="V454" s="16">
        <v>23.643975470569472</v>
      </c>
      <c r="W454" s="16">
        <v>23.643975470569472</v>
      </c>
      <c r="X454" s="16">
        <v>23.643975470569472</v>
      </c>
      <c r="Y454" s="16">
        <v>23.643975470569472</v>
      </c>
      <c r="Z454" s="16">
        <v>23.643975470569472</v>
      </c>
      <c r="AA454" s="246">
        <f>COGS_HW!Z90</f>
        <v>23.698291037308017</v>
      </c>
      <c r="AB454" s="16">
        <f>Z454*(1+AB$14)*(1-AB492)*(1+DCF!$I$86)</f>
        <v>23.611346784420085</v>
      </c>
      <c r="AC454" s="16">
        <f>AB454*(1+AC$14)*(1-AC486)*(1+DCF!$I$86)</f>
        <v>23.989128332970807</v>
      </c>
      <c r="AD454" s="16">
        <f>AC454*(1+AD$14)*(1-AD486)*(1+DCF!$I$86)</f>
        <v>24.468910899630224</v>
      </c>
      <c r="AE454" s="16">
        <f>AD454*(1+AE$14)*(1-AE486)*(1+DCF!$I$86)</f>
        <v>24.909351295823569</v>
      </c>
      <c r="AF454" s="310"/>
      <c r="AG454" s="304"/>
      <c r="AH454" s="304"/>
      <c r="AI454" s="304"/>
    </row>
    <row r="455" spans="2:36" x14ac:dyDescent="0.3">
      <c r="C455" s="3" t="s">
        <v>134</v>
      </c>
      <c r="J455" s="146"/>
      <c r="N455" s="309">
        <f>COGS_HW!O109</f>
        <v>19.707103684398547</v>
      </c>
      <c r="O455" s="292">
        <v>86.387739758840254</v>
      </c>
      <c r="P455" s="16">
        <v>86.387739758840254</v>
      </c>
      <c r="Q455" s="16">
        <v>86.387739758840254</v>
      </c>
      <c r="R455" s="16">
        <f>$N455</f>
        <v>19.707103684398547</v>
      </c>
      <c r="S455" s="16">
        <f t="shared" ref="S455:Z455" si="58">$N455</f>
        <v>19.707103684398547</v>
      </c>
      <c r="T455" s="16">
        <f t="shared" si="58"/>
        <v>19.707103684398547</v>
      </c>
      <c r="U455" s="16">
        <f t="shared" si="58"/>
        <v>19.707103684398547</v>
      </c>
      <c r="V455" s="16">
        <f t="shared" si="58"/>
        <v>19.707103684398547</v>
      </c>
      <c r="W455" s="16">
        <f t="shared" si="58"/>
        <v>19.707103684398547</v>
      </c>
      <c r="X455" s="16">
        <f t="shared" si="58"/>
        <v>19.707103684398547</v>
      </c>
      <c r="Y455" s="16">
        <f t="shared" si="58"/>
        <v>19.707103684398547</v>
      </c>
      <c r="Z455" s="15">
        <f t="shared" si="58"/>
        <v>19.707103684398547</v>
      </c>
      <c r="AA455" s="246">
        <f>COGS_HW!Z109</f>
        <v>19.707103684398547</v>
      </c>
      <c r="AB455" s="16">
        <f>O455*(1+AB$14)*(1-AB487)*(1+DCF!$I$86)</f>
        <v>88.029106814258213</v>
      </c>
      <c r="AC455" s="16">
        <f>AB455*(1+AC$14)*(1-AC487)*(1+DCF!$I$86)</f>
        <v>89.437572523286349</v>
      </c>
      <c r="AD455" s="16">
        <f>AC455*(1+AD$14)*(1-AD487)*(1+DCF!$I$86)</f>
        <v>91.226323973752073</v>
      </c>
      <c r="AE455" s="16">
        <f>AD455*(1+AE$14)*(1-AE487)*(1+DCF!$I$86)</f>
        <v>92.868397805279614</v>
      </c>
      <c r="AF455" s="310"/>
      <c r="AG455" s="304"/>
      <c r="AH455" s="304"/>
      <c r="AI455" s="304"/>
    </row>
    <row r="456" spans="2:36" x14ac:dyDescent="0.3">
      <c r="C456" s="3" t="s">
        <v>135</v>
      </c>
      <c r="N456" s="309">
        <f>COGS_HW!O128</f>
        <v>19.19152580741244</v>
      </c>
      <c r="O456" s="292">
        <v>25.117701331835711</v>
      </c>
      <c r="P456" s="16">
        <v>25.117701331835711</v>
      </c>
      <c r="Q456" s="16">
        <v>25.117701331835711</v>
      </c>
      <c r="R456" s="16">
        <v>25.117701331835711</v>
      </c>
      <c r="S456" s="16">
        <v>25.117701331835711</v>
      </c>
      <c r="T456" s="16">
        <v>25.117701331835711</v>
      </c>
      <c r="U456" s="16">
        <v>25.117701331835711</v>
      </c>
      <c r="V456" s="16">
        <v>25.117701331835711</v>
      </c>
      <c r="W456" s="16">
        <v>25.117701331835711</v>
      </c>
      <c r="X456" s="16">
        <v>25.117701331835711</v>
      </c>
      <c r="Y456" s="16">
        <v>25.117701331835711</v>
      </c>
      <c r="Z456" s="16">
        <v>25.117701331835711</v>
      </c>
      <c r="AA456" s="246">
        <f>COGS_HW!Z128</f>
        <v>23.33984867450873</v>
      </c>
      <c r="AB456" s="16">
        <v>0</v>
      </c>
      <c r="AC456" s="16">
        <v>0</v>
      </c>
      <c r="AD456" s="16">
        <v>0</v>
      </c>
      <c r="AE456" s="16">
        <v>0</v>
      </c>
    </row>
    <row r="457" spans="2:36" s="11" customFormat="1" x14ac:dyDescent="0.3">
      <c r="B457" s="11" t="s">
        <v>289</v>
      </c>
      <c r="L457" s="3"/>
      <c r="M457" s="3"/>
      <c r="N457" s="202"/>
      <c r="O457" s="292"/>
      <c r="P457" s="16"/>
      <c r="Q457" s="16"/>
      <c r="R457" s="16"/>
      <c r="S457" s="16"/>
      <c r="T457" s="16"/>
      <c r="U457" s="16"/>
      <c r="V457" s="16"/>
      <c r="W457" s="16"/>
      <c r="X457" s="16"/>
      <c r="Y457" s="16"/>
      <c r="Z457" s="16"/>
      <c r="AA457" s="246"/>
      <c r="AB457" s="16"/>
      <c r="AC457" s="16"/>
      <c r="AD457" s="16"/>
      <c r="AF457" s="258"/>
    </row>
    <row r="458" spans="2:36" x14ac:dyDescent="0.3">
      <c r="C458" s="3" t="s">
        <v>146</v>
      </c>
      <c r="O458" s="293"/>
      <c r="P458" s="119"/>
      <c r="Q458" s="119"/>
      <c r="R458" s="119"/>
      <c r="S458" s="119"/>
      <c r="T458" s="119"/>
      <c r="U458" s="119"/>
      <c r="V458" s="119"/>
      <c r="W458" s="119"/>
      <c r="X458" s="119"/>
      <c r="Y458" s="119"/>
      <c r="Z458" s="119"/>
      <c r="AA458" s="306"/>
      <c r="AB458" s="119"/>
      <c r="AC458" s="119"/>
      <c r="AD458" s="119"/>
      <c r="AE458" s="61"/>
    </row>
    <row r="459" spans="2:36" x14ac:dyDescent="0.3">
      <c r="C459" s="3" t="s">
        <v>147</v>
      </c>
      <c r="O459" s="312">
        <v>209330.90923480646</v>
      </c>
      <c r="P459" s="121">
        <v>209330.90923480646</v>
      </c>
      <c r="Q459" s="121">
        <v>209330.90923480646</v>
      </c>
      <c r="R459" s="121">
        <v>209330.90923480646</v>
      </c>
      <c r="S459" s="121">
        <v>209330.90923480646</v>
      </c>
      <c r="T459" s="121">
        <v>209330.90923480646</v>
      </c>
      <c r="U459" s="121">
        <v>209330.90923480646</v>
      </c>
      <c r="V459" s="121">
        <v>209330.90923480646</v>
      </c>
      <c r="W459" s="121">
        <v>209330.90923480646</v>
      </c>
      <c r="X459" s="121">
        <v>209330.90923480646</v>
      </c>
      <c r="Y459" s="121">
        <v>209330.90923480646</v>
      </c>
      <c r="Z459" s="121">
        <v>209330.90923480646</v>
      </c>
      <c r="AA459" s="313">
        <f>Projection_강소!Z79</f>
        <v>209330.90923480646</v>
      </c>
      <c r="AB459" s="16">
        <f t="shared" ref="AB459:AE461" si="59">AA459*(1+AB$26)</f>
        <v>212680.20378256336</v>
      </c>
      <c r="AC459" s="16">
        <f t="shared" si="59"/>
        <v>214807.00582038899</v>
      </c>
      <c r="AD459" s="16">
        <f t="shared" si="59"/>
        <v>218029.11090769482</v>
      </c>
      <c r="AE459" s="16">
        <f t="shared" si="59"/>
        <v>219555.31468404867</v>
      </c>
    </row>
    <row r="460" spans="2:36" x14ac:dyDescent="0.3">
      <c r="C460" s="3" t="s">
        <v>148</v>
      </c>
      <c r="O460" s="292">
        <v>245107.3723795049</v>
      </c>
      <c r="P460" s="16">
        <v>245107.3723795049</v>
      </c>
      <c r="Q460" s="16">
        <v>245107.3723795049</v>
      </c>
      <c r="R460" s="16">
        <v>245107.3723795049</v>
      </c>
      <c r="S460" s="16">
        <v>245107.3723795049</v>
      </c>
      <c r="T460" s="16">
        <v>245107.3723795049</v>
      </c>
      <c r="U460" s="16">
        <v>245107.3723795049</v>
      </c>
      <c r="V460" s="16">
        <v>245107.3723795049</v>
      </c>
      <c r="W460" s="16">
        <v>245107.3723795049</v>
      </c>
      <c r="X460" s="16">
        <v>245107.3723795049</v>
      </c>
      <c r="Y460" s="16">
        <v>245107.3723795049</v>
      </c>
      <c r="Z460" s="16">
        <v>245107.3723795049</v>
      </c>
      <c r="AA460" s="246">
        <f>Projection_강소!Z83</f>
        <v>245107.3723795049</v>
      </c>
      <c r="AB460" s="16">
        <f>AA460*(1+AB$26)</f>
        <v>249029.09033757698</v>
      </c>
      <c r="AC460" s="16">
        <f t="shared" si="59"/>
        <v>251519.38124095276</v>
      </c>
      <c r="AD460" s="16">
        <f t="shared" si="59"/>
        <v>255292.17195956703</v>
      </c>
      <c r="AE460" s="16">
        <f t="shared" si="59"/>
        <v>257079.21716328396</v>
      </c>
    </row>
    <row r="461" spans="2:36" x14ac:dyDescent="0.3">
      <c r="C461" s="3" t="s">
        <v>149</v>
      </c>
      <c r="O461" s="292">
        <v>827277.83408101823</v>
      </c>
      <c r="P461" s="16">
        <v>827277.83408101823</v>
      </c>
      <c r="Q461" s="16">
        <v>827277.83408101823</v>
      </c>
      <c r="R461" s="16">
        <v>827277.83408101823</v>
      </c>
      <c r="S461" s="16">
        <v>827277.83408101823</v>
      </c>
      <c r="T461" s="16">
        <v>827277.83408101823</v>
      </c>
      <c r="U461" s="16">
        <v>827277.83408101823</v>
      </c>
      <c r="V461" s="16">
        <v>827277.83408101823</v>
      </c>
      <c r="W461" s="16">
        <v>827277.83408101823</v>
      </c>
      <c r="X461" s="16">
        <v>827277.83408101823</v>
      </c>
      <c r="Y461" s="16">
        <v>827277.83408101823</v>
      </c>
      <c r="Z461" s="16">
        <v>827277.83408101823</v>
      </c>
      <c r="AA461" s="246">
        <f>Projection_강소!Z87</f>
        <v>827277.83408101823</v>
      </c>
      <c r="AB461" s="16">
        <f t="shared" si="59"/>
        <v>840514.27942631452</v>
      </c>
      <c r="AC461" s="16">
        <f t="shared" si="59"/>
        <v>848919.42222057772</v>
      </c>
      <c r="AD461" s="16">
        <f t="shared" si="59"/>
        <v>861653.21355388628</v>
      </c>
      <c r="AE461" s="16">
        <f t="shared" si="59"/>
        <v>867684.78604876343</v>
      </c>
    </row>
    <row r="462" spans="2:36" x14ac:dyDescent="0.3">
      <c r="B462" s="92"/>
      <c r="C462" s="92" t="s">
        <v>150</v>
      </c>
      <c r="D462" s="92"/>
      <c r="E462" s="92"/>
      <c r="F462" s="92"/>
      <c r="G462" s="92"/>
      <c r="H462" s="92"/>
      <c r="I462" s="92"/>
      <c r="J462" s="92"/>
      <c r="K462" s="92"/>
      <c r="L462" s="92"/>
      <c r="M462" s="92"/>
      <c r="N462" s="92"/>
      <c r="O462" s="314"/>
      <c r="P462" s="281"/>
      <c r="Q462" s="281"/>
      <c r="R462" s="281"/>
      <c r="S462" s="281"/>
      <c r="T462" s="281"/>
      <c r="U462" s="281"/>
      <c r="V462" s="281"/>
      <c r="W462" s="281"/>
      <c r="X462" s="281"/>
      <c r="Y462" s="281"/>
      <c r="Z462" s="281"/>
      <c r="AA462" s="315"/>
      <c r="AB462" s="281"/>
      <c r="AC462" s="281"/>
      <c r="AD462" s="281"/>
      <c r="AE462" s="269"/>
    </row>
    <row r="464" spans="2:36" x14ac:dyDescent="0.3">
      <c r="B464" s="226"/>
      <c r="C464" s="226"/>
      <c r="D464" s="226"/>
      <c r="E464" s="226"/>
      <c r="F464" s="226"/>
      <c r="G464" s="226"/>
      <c r="H464" s="226"/>
      <c r="I464" s="226"/>
      <c r="J464" s="226"/>
      <c r="K464" s="226"/>
      <c r="L464" s="9"/>
      <c r="M464" s="9"/>
      <c r="N464" s="9"/>
      <c r="O464" s="233"/>
      <c r="P464" s="9"/>
      <c r="Q464" s="9"/>
      <c r="R464" s="9"/>
      <c r="S464" s="9"/>
      <c r="T464" s="9"/>
      <c r="U464" s="9"/>
      <c r="V464" s="9"/>
      <c r="W464" s="9"/>
      <c r="X464" s="9"/>
      <c r="Y464" s="9"/>
      <c r="Z464" s="9"/>
      <c r="AA464" s="9" t="s">
        <v>197</v>
      </c>
      <c r="AB464" s="9" t="s">
        <v>198</v>
      </c>
      <c r="AC464" s="9" t="s">
        <v>199</v>
      </c>
      <c r="AD464" s="9" t="s">
        <v>200</v>
      </c>
      <c r="AE464" s="9" t="s">
        <v>201</v>
      </c>
      <c r="AG464" s="147"/>
      <c r="AH464" s="147"/>
      <c r="AI464" s="147"/>
      <c r="AJ464" s="147"/>
    </row>
    <row r="465" spans="2:36" x14ac:dyDescent="0.3">
      <c r="B465" s="11" t="s">
        <v>285</v>
      </c>
      <c r="O465" s="303"/>
      <c r="P465" s="196"/>
      <c r="Q465" s="196"/>
      <c r="R465" s="196"/>
      <c r="S465" s="196"/>
      <c r="T465" s="196"/>
      <c r="U465" s="196"/>
      <c r="V465" s="196"/>
      <c r="W465" s="196"/>
      <c r="X465" s="196"/>
      <c r="Y465" s="196"/>
      <c r="Z465" s="196"/>
      <c r="AA465" s="246"/>
      <c r="AB465" s="162"/>
      <c r="AC465" s="162"/>
      <c r="AD465" s="162"/>
      <c r="AE465" s="162"/>
      <c r="AG465" s="132"/>
      <c r="AH465" s="132"/>
      <c r="AI465" s="132"/>
      <c r="AJ465" s="132"/>
    </row>
    <row r="466" spans="2:36" x14ac:dyDescent="0.3">
      <c r="C466" s="3" t="s">
        <v>131</v>
      </c>
      <c r="O466" s="292"/>
      <c r="P466" s="16"/>
      <c r="Q466" s="16"/>
      <c r="R466" s="16"/>
      <c r="S466" s="16"/>
      <c r="T466" s="16"/>
      <c r="U466" s="16"/>
      <c r="V466" s="16"/>
      <c r="W466" s="16"/>
      <c r="X466" s="16"/>
      <c r="Y466" s="16"/>
      <c r="Z466" s="16"/>
      <c r="AA466" s="246"/>
      <c r="AB466" s="162">
        <f>$I466</f>
        <v>0</v>
      </c>
      <c r="AC466" s="162">
        <f t="shared" ref="AC466:AE469" si="60">AB466+$J466</f>
        <v>0</v>
      </c>
      <c r="AD466" s="162">
        <f t="shared" si="60"/>
        <v>0</v>
      </c>
      <c r="AE466" s="162">
        <f t="shared" si="60"/>
        <v>0</v>
      </c>
      <c r="AG466" s="316"/>
      <c r="AH466" s="316"/>
      <c r="AI466" s="316"/>
      <c r="AJ466" s="316"/>
    </row>
    <row r="467" spans="2:36" x14ac:dyDescent="0.3">
      <c r="C467" s="3" t="s">
        <v>132</v>
      </c>
      <c r="O467" s="292"/>
      <c r="P467" s="16"/>
      <c r="Q467" s="16"/>
      <c r="R467" s="16"/>
      <c r="S467" s="16"/>
      <c r="T467" s="16"/>
      <c r="U467" s="16"/>
      <c r="V467" s="16"/>
      <c r="W467" s="16"/>
      <c r="X467" s="16"/>
      <c r="Y467" s="16"/>
      <c r="Z467" s="16"/>
      <c r="AA467" s="246"/>
      <c r="AB467" s="162">
        <f>$I467</f>
        <v>0</v>
      </c>
      <c r="AC467" s="162">
        <f t="shared" si="60"/>
        <v>0</v>
      </c>
      <c r="AD467" s="162">
        <f t="shared" si="60"/>
        <v>0</v>
      </c>
      <c r="AE467" s="162">
        <f t="shared" si="60"/>
        <v>0</v>
      </c>
      <c r="AG467" s="316"/>
      <c r="AH467" s="316"/>
      <c r="AI467" s="316"/>
      <c r="AJ467" s="316"/>
    </row>
    <row r="468" spans="2:36" x14ac:dyDescent="0.3">
      <c r="C468" s="3" t="s">
        <v>133</v>
      </c>
      <c r="O468" s="292"/>
      <c r="P468" s="16"/>
      <c r="Q468" s="16"/>
      <c r="R468" s="16"/>
      <c r="S468" s="16"/>
      <c r="T468" s="16"/>
      <c r="U468" s="16"/>
      <c r="V468" s="16"/>
      <c r="W468" s="16"/>
      <c r="X468" s="16"/>
      <c r="Y468" s="16"/>
      <c r="Z468" s="16"/>
      <c r="AA468" s="246"/>
      <c r="AB468" s="162">
        <f t="shared" ref="AB468:AB469" si="61">$I468</f>
        <v>0</v>
      </c>
      <c r="AC468" s="162">
        <f t="shared" si="60"/>
        <v>0</v>
      </c>
      <c r="AD468" s="162">
        <f t="shared" si="60"/>
        <v>0</v>
      </c>
      <c r="AE468" s="162">
        <f t="shared" si="60"/>
        <v>0</v>
      </c>
      <c r="AG468" s="316"/>
      <c r="AH468" s="316"/>
      <c r="AI468" s="316"/>
      <c r="AJ468" s="316"/>
    </row>
    <row r="469" spans="2:36" x14ac:dyDescent="0.3">
      <c r="C469" s="3" t="s">
        <v>134</v>
      </c>
      <c r="O469" s="292"/>
      <c r="P469" s="16"/>
      <c r="Q469" s="16"/>
      <c r="R469" s="16"/>
      <c r="S469" s="16"/>
      <c r="T469" s="16"/>
      <c r="U469" s="16"/>
      <c r="V469" s="16"/>
      <c r="W469" s="16"/>
      <c r="X469" s="16"/>
      <c r="Y469" s="16"/>
      <c r="Z469" s="16"/>
      <c r="AA469" s="246"/>
      <c r="AB469" s="162">
        <f t="shared" si="61"/>
        <v>0</v>
      </c>
      <c r="AC469" s="162">
        <f t="shared" si="60"/>
        <v>0</v>
      </c>
      <c r="AD469" s="162">
        <f t="shared" si="60"/>
        <v>0</v>
      </c>
      <c r="AE469" s="162">
        <f t="shared" si="60"/>
        <v>0</v>
      </c>
      <c r="AG469" s="316"/>
      <c r="AH469" s="316"/>
      <c r="AI469" s="316"/>
      <c r="AJ469" s="316"/>
    </row>
    <row r="470" spans="2:36" x14ac:dyDescent="0.3">
      <c r="C470" s="3" t="s">
        <v>135</v>
      </c>
      <c r="O470" s="292"/>
      <c r="P470" s="16"/>
      <c r="Q470" s="16"/>
      <c r="R470" s="16"/>
      <c r="S470" s="16"/>
      <c r="T470" s="16"/>
      <c r="U470" s="16"/>
      <c r="V470" s="16"/>
      <c r="W470" s="16"/>
      <c r="X470" s="16"/>
      <c r="Y470" s="16"/>
      <c r="Z470" s="16"/>
      <c r="AA470" s="306"/>
      <c r="AB470" s="317"/>
      <c r="AC470" s="317"/>
      <c r="AD470" s="317"/>
      <c r="AE470" s="317"/>
    </row>
    <row r="471" spans="2:36" x14ac:dyDescent="0.3">
      <c r="B471" s="11" t="s">
        <v>286</v>
      </c>
      <c r="O471" s="292"/>
      <c r="P471" s="16"/>
      <c r="Q471" s="16"/>
      <c r="R471" s="16"/>
      <c r="S471" s="16"/>
      <c r="T471" s="16"/>
      <c r="U471" s="16"/>
      <c r="V471" s="16"/>
      <c r="W471" s="16"/>
      <c r="X471" s="16"/>
      <c r="Y471" s="16"/>
      <c r="Z471" s="16"/>
      <c r="AA471" s="246"/>
      <c r="AB471" s="162"/>
      <c r="AC471" s="162"/>
      <c r="AD471" s="162"/>
      <c r="AE471" s="162"/>
    </row>
    <row r="472" spans="2:36" x14ac:dyDescent="0.3">
      <c r="C472" s="3" t="s">
        <v>131</v>
      </c>
      <c r="O472" s="292"/>
      <c r="P472" s="16"/>
      <c r="Q472" s="16"/>
      <c r="R472" s="16"/>
      <c r="S472" s="16"/>
      <c r="T472" s="16"/>
      <c r="U472" s="16"/>
      <c r="V472" s="16"/>
      <c r="W472" s="16"/>
      <c r="X472" s="16"/>
      <c r="Y472" s="16"/>
      <c r="Z472" s="16"/>
      <c r="AA472" s="246"/>
      <c r="AB472" s="162">
        <f t="shared" ref="AB472" si="62">$I472</f>
        <v>0</v>
      </c>
      <c r="AC472" s="162">
        <f>AB472+$J472</f>
        <v>0</v>
      </c>
      <c r="AD472" s="162">
        <f>AC472+$J472</f>
        <v>0</v>
      </c>
      <c r="AE472" s="162">
        <f>AD472+$J472</f>
        <v>0</v>
      </c>
    </row>
    <row r="473" spans="2:36" x14ac:dyDescent="0.3">
      <c r="C473" s="3" t="s">
        <v>132</v>
      </c>
      <c r="O473" s="293"/>
      <c r="P473" s="119"/>
      <c r="Q473" s="119"/>
      <c r="R473" s="119"/>
      <c r="S473" s="119"/>
      <c r="T473" s="119"/>
      <c r="U473" s="119"/>
      <c r="V473" s="119"/>
      <c r="W473" s="119"/>
      <c r="X473" s="119"/>
      <c r="Y473" s="119"/>
      <c r="Z473" s="119"/>
      <c r="AA473" s="306"/>
      <c r="AB473" s="317"/>
      <c r="AC473" s="317"/>
      <c r="AD473" s="317"/>
      <c r="AE473" s="317"/>
    </row>
    <row r="474" spans="2:36" x14ac:dyDescent="0.3">
      <c r="C474" s="3" t="s">
        <v>133</v>
      </c>
      <c r="O474" s="292"/>
      <c r="P474" s="16"/>
      <c r="Q474" s="16"/>
      <c r="R474" s="16"/>
      <c r="S474" s="16"/>
      <c r="T474" s="16"/>
      <c r="U474" s="16"/>
      <c r="V474" s="16"/>
      <c r="W474" s="16"/>
      <c r="X474" s="16"/>
      <c r="Y474" s="16"/>
      <c r="Z474" s="16"/>
      <c r="AA474" s="246"/>
      <c r="AB474" s="162">
        <f t="shared" ref="AB474" si="63">$I474</f>
        <v>0</v>
      </c>
      <c r="AC474" s="162">
        <f>AB474+$J474</f>
        <v>0</v>
      </c>
      <c r="AD474" s="162">
        <f>AC474+$J474</f>
        <v>0</v>
      </c>
      <c r="AE474" s="162">
        <f>AD474+$J474</f>
        <v>0</v>
      </c>
    </row>
    <row r="475" spans="2:36" x14ac:dyDescent="0.3">
      <c r="C475" s="3" t="s">
        <v>134</v>
      </c>
      <c r="O475" s="293"/>
      <c r="P475" s="119"/>
      <c r="Q475" s="119"/>
      <c r="R475" s="119"/>
      <c r="S475" s="119"/>
      <c r="T475" s="119"/>
      <c r="U475" s="119"/>
      <c r="V475" s="119"/>
      <c r="W475" s="119"/>
      <c r="X475" s="119"/>
      <c r="Y475" s="119"/>
      <c r="Z475" s="119"/>
      <c r="AA475" s="306"/>
      <c r="AB475" s="317"/>
      <c r="AC475" s="317"/>
      <c r="AD475" s="317"/>
      <c r="AE475" s="317"/>
    </row>
    <row r="476" spans="2:36" x14ac:dyDescent="0.3">
      <c r="C476" s="3" t="s">
        <v>135</v>
      </c>
      <c r="O476" s="292"/>
      <c r="P476" s="16"/>
      <c r="Q476" s="16"/>
      <c r="R476" s="16"/>
      <c r="S476" s="16"/>
      <c r="T476" s="16"/>
      <c r="U476" s="16"/>
      <c r="V476" s="16"/>
      <c r="W476" s="16"/>
      <c r="X476" s="16"/>
      <c r="Y476" s="16"/>
      <c r="Z476" s="16"/>
      <c r="AA476" s="306"/>
      <c r="AB476" s="317"/>
      <c r="AC476" s="317"/>
      <c r="AD476" s="317"/>
      <c r="AE476" s="317"/>
    </row>
    <row r="477" spans="2:36" x14ac:dyDescent="0.3">
      <c r="B477" s="11" t="s">
        <v>287</v>
      </c>
      <c r="C477" s="11"/>
      <c r="D477" s="11"/>
      <c r="E477" s="11"/>
      <c r="F477" s="11"/>
      <c r="G477" s="11"/>
      <c r="H477" s="11"/>
      <c r="I477" s="11"/>
      <c r="J477" s="11"/>
      <c r="K477" s="11"/>
      <c r="O477" s="292"/>
      <c r="P477" s="16"/>
      <c r="Q477" s="16"/>
      <c r="R477" s="16"/>
      <c r="S477" s="16"/>
      <c r="T477" s="16"/>
      <c r="U477" s="16"/>
      <c r="V477" s="16"/>
      <c r="W477" s="16"/>
      <c r="X477" s="16"/>
      <c r="Y477" s="16"/>
      <c r="Z477" s="16"/>
      <c r="AA477" s="246"/>
      <c r="AB477" s="162"/>
      <c r="AC477" s="162"/>
      <c r="AD477" s="162"/>
      <c r="AE477" s="308"/>
    </row>
    <row r="478" spans="2:36" x14ac:dyDescent="0.3">
      <c r="C478" s="3" t="s">
        <v>131</v>
      </c>
      <c r="I478" s="318">
        <v>0.02</v>
      </c>
      <c r="J478" s="318">
        <v>-5.0000000000000001E-3</v>
      </c>
      <c r="O478" s="292"/>
      <c r="P478" s="16"/>
      <c r="Q478" s="16"/>
      <c r="R478" s="16"/>
      <c r="S478" s="16"/>
      <c r="T478" s="16"/>
      <c r="U478" s="16"/>
      <c r="V478" s="16"/>
      <c r="W478" s="16"/>
      <c r="X478" s="16"/>
      <c r="Y478" s="16"/>
      <c r="Z478" s="16"/>
      <c r="AA478" s="246"/>
      <c r="AB478" s="162">
        <f t="shared" ref="AB478:AB481" si="64">$I478</f>
        <v>0.02</v>
      </c>
      <c r="AC478" s="162">
        <f t="shared" ref="AC478:AE481" si="65">AB478+$J478</f>
        <v>1.4999999999999999E-2</v>
      </c>
      <c r="AD478" s="162">
        <f t="shared" si="65"/>
        <v>9.9999999999999985E-3</v>
      </c>
      <c r="AE478" s="162">
        <f t="shared" si="65"/>
        <v>4.9999999999999984E-3</v>
      </c>
      <c r="AG478" s="316"/>
      <c r="AH478" s="316"/>
      <c r="AI478" s="316"/>
      <c r="AJ478" s="316"/>
    </row>
    <row r="479" spans="2:36" x14ac:dyDescent="0.3">
      <c r="C479" s="3" t="s">
        <v>132</v>
      </c>
      <c r="I479" s="318">
        <f>I478</f>
        <v>0.02</v>
      </c>
      <c r="J479" s="318">
        <v>-5.0000000000000001E-3</v>
      </c>
      <c r="O479" s="292"/>
      <c r="P479" s="16"/>
      <c r="Q479" s="16"/>
      <c r="R479" s="16"/>
      <c r="S479" s="16"/>
      <c r="T479" s="16"/>
      <c r="U479" s="16"/>
      <c r="V479" s="16"/>
      <c r="W479" s="16"/>
      <c r="X479" s="16"/>
      <c r="Y479" s="16"/>
      <c r="Z479" s="16"/>
      <c r="AA479" s="246"/>
      <c r="AB479" s="162">
        <f t="shared" si="64"/>
        <v>0.02</v>
      </c>
      <c r="AC479" s="162">
        <f t="shared" si="65"/>
        <v>1.4999999999999999E-2</v>
      </c>
      <c r="AD479" s="162">
        <f t="shared" si="65"/>
        <v>9.9999999999999985E-3</v>
      </c>
      <c r="AE479" s="162">
        <f t="shared" si="65"/>
        <v>4.9999999999999984E-3</v>
      </c>
      <c r="AG479" s="121"/>
      <c r="AH479" s="121"/>
      <c r="AI479" s="121"/>
      <c r="AJ479" s="121"/>
    </row>
    <row r="480" spans="2:36" x14ac:dyDescent="0.3">
      <c r="C480" s="3" t="s">
        <v>133</v>
      </c>
      <c r="I480" s="318">
        <f>I479</f>
        <v>0.02</v>
      </c>
      <c r="J480" s="318">
        <v>-5.0000000000000001E-3</v>
      </c>
      <c r="O480" s="292"/>
      <c r="P480" s="16"/>
      <c r="Q480" s="16"/>
      <c r="R480" s="16"/>
      <c r="S480" s="16"/>
      <c r="T480" s="16"/>
      <c r="U480" s="16"/>
      <c r="V480" s="16"/>
      <c r="W480" s="16"/>
      <c r="X480" s="16"/>
      <c r="Y480" s="16"/>
      <c r="Z480" s="16"/>
      <c r="AA480" s="246"/>
      <c r="AB480" s="162">
        <f t="shared" si="64"/>
        <v>0.02</v>
      </c>
      <c r="AC480" s="162">
        <f t="shared" si="65"/>
        <v>1.4999999999999999E-2</v>
      </c>
      <c r="AD480" s="162">
        <f t="shared" si="65"/>
        <v>9.9999999999999985E-3</v>
      </c>
      <c r="AE480" s="162">
        <f t="shared" si="65"/>
        <v>4.9999999999999984E-3</v>
      </c>
      <c r="AG480" s="121"/>
      <c r="AH480" s="121"/>
      <c r="AI480" s="121"/>
      <c r="AJ480" s="121"/>
    </row>
    <row r="481" spans="2:36" x14ac:dyDescent="0.3">
      <c r="C481" s="3" t="s">
        <v>134</v>
      </c>
      <c r="I481" s="318">
        <f>I480</f>
        <v>0.02</v>
      </c>
      <c r="J481" s="318">
        <v>-5.0000000000000001E-3</v>
      </c>
      <c r="O481" s="292"/>
      <c r="P481" s="16"/>
      <c r="Q481" s="16"/>
      <c r="R481" s="16"/>
      <c r="S481" s="16"/>
      <c r="T481" s="16"/>
      <c r="U481" s="16"/>
      <c r="V481" s="16"/>
      <c r="W481" s="16"/>
      <c r="X481" s="16"/>
      <c r="Y481" s="16"/>
      <c r="Z481" s="16"/>
      <c r="AA481" s="246"/>
      <c r="AB481" s="162">
        <f t="shared" si="64"/>
        <v>0.02</v>
      </c>
      <c r="AC481" s="162">
        <f t="shared" si="65"/>
        <v>1.4999999999999999E-2</v>
      </c>
      <c r="AD481" s="162">
        <f t="shared" si="65"/>
        <v>9.9999999999999985E-3</v>
      </c>
      <c r="AE481" s="162">
        <f t="shared" si="65"/>
        <v>4.9999999999999984E-3</v>
      </c>
      <c r="AG481" s="121"/>
      <c r="AH481" s="121"/>
      <c r="AI481" s="121"/>
      <c r="AJ481" s="121"/>
    </row>
    <row r="482" spans="2:36" x14ac:dyDescent="0.3">
      <c r="C482" s="3" t="s">
        <v>135</v>
      </c>
      <c r="O482" s="292"/>
      <c r="P482" s="16"/>
      <c r="Q482" s="16"/>
      <c r="R482" s="16"/>
      <c r="S482" s="16"/>
      <c r="T482" s="16"/>
      <c r="U482" s="16"/>
      <c r="V482" s="16"/>
      <c r="W482" s="16"/>
      <c r="X482" s="16"/>
      <c r="Y482" s="16"/>
      <c r="Z482" s="16"/>
      <c r="AA482" s="306"/>
      <c r="AB482" s="317"/>
      <c r="AC482" s="317"/>
      <c r="AD482" s="317"/>
      <c r="AE482" s="317"/>
    </row>
    <row r="483" spans="2:36" x14ac:dyDescent="0.3">
      <c r="B483" s="11" t="s">
        <v>290</v>
      </c>
      <c r="C483" s="11"/>
      <c r="D483" s="11"/>
      <c r="E483" s="11"/>
      <c r="F483" s="11"/>
      <c r="G483" s="11"/>
      <c r="H483" s="11"/>
      <c r="I483" s="11"/>
      <c r="J483" s="11"/>
      <c r="K483" s="11"/>
      <c r="O483" s="292"/>
      <c r="P483" s="16"/>
      <c r="Q483" s="16"/>
      <c r="R483" s="16"/>
      <c r="S483" s="16"/>
      <c r="T483" s="16"/>
      <c r="U483" s="16"/>
      <c r="V483" s="16"/>
      <c r="W483" s="16"/>
      <c r="X483" s="16"/>
      <c r="Y483" s="16"/>
      <c r="Z483" s="16"/>
      <c r="AA483" s="246"/>
      <c r="AB483" s="162"/>
      <c r="AC483" s="162"/>
      <c r="AD483" s="162"/>
      <c r="AE483" s="308"/>
    </row>
    <row r="484" spans="2:36" x14ac:dyDescent="0.3">
      <c r="C484" s="3" t="s">
        <v>131</v>
      </c>
      <c r="O484" s="292"/>
      <c r="P484" s="16"/>
      <c r="Q484" s="16"/>
      <c r="R484" s="16"/>
      <c r="S484" s="16"/>
      <c r="T484" s="16"/>
      <c r="U484" s="16"/>
      <c r="V484" s="16"/>
      <c r="W484" s="16"/>
      <c r="X484" s="16"/>
      <c r="Y484" s="16"/>
      <c r="Z484" s="16"/>
      <c r="AA484" s="306"/>
      <c r="AB484" s="317"/>
      <c r="AC484" s="317"/>
      <c r="AD484" s="317"/>
      <c r="AE484" s="317"/>
    </row>
    <row r="485" spans="2:36" x14ac:dyDescent="0.3">
      <c r="C485" s="3" t="s">
        <v>132</v>
      </c>
      <c r="O485" s="292"/>
      <c r="P485" s="16"/>
      <c r="Q485" s="16"/>
      <c r="R485" s="16"/>
      <c r="S485" s="16"/>
      <c r="T485" s="16"/>
      <c r="U485" s="16"/>
      <c r="V485" s="16"/>
      <c r="W485" s="16"/>
      <c r="X485" s="16"/>
      <c r="Y485" s="16"/>
      <c r="Z485" s="16"/>
      <c r="AA485" s="306"/>
      <c r="AB485" s="317"/>
      <c r="AC485" s="317"/>
      <c r="AD485" s="317"/>
      <c r="AE485" s="317"/>
    </row>
    <row r="486" spans="2:36" x14ac:dyDescent="0.3">
      <c r="C486" s="3" t="s">
        <v>133</v>
      </c>
      <c r="O486" s="292"/>
      <c r="P486" s="16"/>
      <c r="Q486" s="16"/>
      <c r="R486" s="16"/>
      <c r="S486" s="16"/>
      <c r="T486" s="16"/>
      <c r="U486" s="16"/>
      <c r="V486" s="16"/>
      <c r="W486" s="16"/>
      <c r="X486" s="16"/>
      <c r="Y486" s="16"/>
      <c r="Z486" s="16"/>
      <c r="AA486" s="306"/>
      <c r="AB486" s="317"/>
      <c r="AC486" s="317"/>
      <c r="AD486" s="317"/>
      <c r="AE486" s="317"/>
    </row>
    <row r="487" spans="2:36" x14ac:dyDescent="0.3">
      <c r="C487" s="3" t="s">
        <v>134</v>
      </c>
      <c r="O487" s="292"/>
      <c r="P487" s="16"/>
      <c r="Q487" s="16"/>
      <c r="R487" s="16"/>
      <c r="S487" s="16"/>
      <c r="T487" s="16"/>
      <c r="U487" s="16"/>
      <c r="V487" s="16"/>
      <c r="W487" s="16"/>
      <c r="X487" s="16"/>
      <c r="Y487" s="16"/>
      <c r="Z487" s="16"/>
      <c r="AA487" s="306"/>
      <c r="AB487" s="317"/>
      <c r="AC487" s="317"/>
      <c r="AD487" s="317"/>
      <c r="AE487" s="317"/>
    </row>
    <row r="488" spans="2:36" x14ac:dyDescent="0.3">
      <c r="C488" s="3" t="s">
        <v>135</v>
      </c>
      <c r="O488" s="292"/>
      <c r="P488" s="16"/>
      <c r="Q488" s="16"/>
      <c r="R488" s="16"/>
      <c r="S488" s="16"/>
      <c r="T488" s="16"/>
      <c r="U488" s="16"/>
      <c r="V488" s="16"/>
      <c r="W488" s="16"/>
      <c r="X488" s="16"/>
      <c r="Y488" s="16"/>
      <c r="Z488" s="16"/>
      <c r="AA488" s="306"/>
      <c r="AB488" s="317"/>
      <c r="AC488" s="317"/>
      <c r="AD488" s="317"/>
      <c r="AE488" s="317"/>
    </row>
    <row r="489" spans="2:36" x14ac:dyDescent="0.3">
      <c r="B489" s="11" t="s">
        <v>288</v>
      </c>
      <c r="C489" s="11"/>
      <c r="D489" s="11"/>
      <c r="E489" s="11"/>
      <c r="F489" s="11"/>
      <c r="G489" s="11"/>
      <c r="H489" s="11"/>
      <c r="I489" s="11"/>
      <c r="J489" s="11"/>
      <c r="K489" s="11"/>
      <c r="O489" s="292"/>
      <c r="P489" s="16"/>
      <c r="Q489" s="16"/>
      <c r="R489" s="16"/>
      <c r="S489" s="16"/>
      <c r="T489" s="16"/>
      <c r="U489" s="16"/>
      <c r="V489" s="16"/>
      <c r="W489" s="16"/>
      <c r="X489" s="16"/>
      <c r="Y489" s="16"/>
      <c r="Z489" s="16"/>
      <c r="AA489" s="246"/>
      <c r="AB489" s="162"/>
      <c r="AC489" s="162"/>
      <c r="AD489" s="162"/>
      <c r="AE489" s="308"/>
      <c r="AG489" s="132"/>
    </row>
    <row r="490" spans="2:36" x14ac:dyDescent="0.3">
      <c r="C490" s="3" t="s">
        <v>131</v>
      </c>
      <c r="I490" s="318">
        <v>0.02</v>
      </c>
      <c r="J490" s="318">
        <v>-5.0000000000000001E-3</v>
      </c>
      <c r="O490" s="292"/>
      <c r="P490" s="16"/>
      <c r="Q490" s="16"/>
      <c r="R490" s="16"/>
      <c r="S490" s="16"/>
      <c r="T490" s="16"/>
      <c r="U490" s="16"/>
      <c r="V490" s="16"/>
      <c r="W490" s="16"/>
      <c r="X490" s="16"/>
      <c r="Y490" s="16"/>
      <c r="Z490" s="16"/>
      <c r="AA490" s="246"/>
      <c r="AB490" s="162">
        <f t="shared" ref="AB490:AB493" si="66">$I490</f>
        <v>0.02</v>
      </c>
      <c r="AC490" s="162">
        <f t="shared" ref="AC490:AE493" si="67">AB490+$J490</f>
        <v>1.4999999999999999E-2</v>
      </c>
      <c r="AD490" s="162">
        <f t="shared" si="67"/>
        <v>9.9999999999999985E-3</v>
      </c>
      <c r="AE490" s="162">
        <f t="shared" si="67"/>
        <v>4.9999999999999984E-3</v>
      </c>
      <c r="AG490" s="316"/>
      <c r="AH490" s="316"/>
      <c r="AI490" s="316"/>
      <c r="AJ490" s="316"/>
    </row>
    <row r="491" spans="2:36" x14ac:dyDescent="0.3">
      <c r="C491" s="3" t="s">
        <v>132</v>
      </c>
      <c r="I491" s="318">
        <v>0.02</v>
      </c>
      <c r="J491" s="318">
        <v>-5.0000000000000001E-3</v>
      </c>
      <c r="O491" s="292"/>
      <c r="P491" s="16"/>
      <c r="Q491" s="16"/>
      <c r="R491" s="16"/>
      <c r="S491" s="16"/>
      <c r="T491" s="16"/>
      <c r="U491" s="16"/>
      <c r="V491" s="16"/>
      <c r="W491" s="16"/>
      <c r="X491" s="16"/>
      <c r="Y491" s="16"/>
      <c r="Z491" s="16"/>
      <c r="AA491" s="246"/>
      <c r="AB491" s="162">
        <f t="shared" si="66"/>
        <v>0.02</v>
      </c>
      <c r="AC491" s="162">
        <f t="shared" si="67"/>
        <v>1.4999999999999999E-2</v>
      </c>
      <c r="AD491" s="162">
        <f t="shared" si="67"/>
        <v>9.9999999999999985E-3</v>
      </c>
      <c r="AE491" s="162">
        <f t="shared" si="67"/>
        <v>4.9999999999999984E-3</v>
      </c>
      <c r="AG491" s="121"/>
      <c r="AH491" s="121"/>
      <c r="AI491" s="121"/>
      <c r="AJ491" s="121"/>
    </row>
    <row r="492" spans="2:36" x14ac:dyDescent="0.3">
      <c r="C492" s="3" t="s">
        <v>133</v>
      </c>
      <c r="I492" s="318">
        <v>0.02</v>
      </c>
      <c r="J492" s="318">
        <v>-5.0000000000000001E-3</v>
      </c>
      <c r="O492" s="292"/>
      <c r="P492" s="16"/>
      <c r="Q492" s="16"/>
      <c r="R492" s="16"/>
      <c r="S492" s="16"/>
      <c r="T492" s="16"/>
      <c r="U492" s="16"/>
      <c r="V492" s="16"/>
      <c r="W492" s="16"/>
      <c r="X492" s="16"/>
      <c r="Y492" s="16"/>
      <c r="Z492" s="16"/>
      <c r="AA492" s="246"/>
      <c r="AB492" s="162">
        <f t="shared" si="66"/>
        <v>0.02</v>
      </c>
      <c r="AC492" s="162">
        <f t="shared" si="67"/>
        <v>1.4999999999999999E-2</v>
      </c>
      <c r="AD492" s="162">
        <f t="shared" si="67"/>
        <v>9.9999999999999985E-3</v>
      </c>
      <c r="AE492" s="162">
        <f t="shared" si="67"/>
        <v>4.9999999999999984E-3</v>
      </c>
      <c r="AG492" s="121"/>
      <c r="AH492" s="121"/>
      <c r="AI492" s="121"/>
      <c r="AJ492" s="121"/>
    </row>
    <row r="493" spans="2:36" x14ac:dyDescent="0.3">
      <c r="C493" s="3" t="s">
        <v>134</v>
      </c>
      <c r="I493" s="318">
        <v>0.02</v>
      </c>
      <c r="J493" s="318">
        <v>-5.0000000000000001E-3</v>
      </c>
      <c r="O493" s="292"/>
      <c r="P493" s="16"/>
      <c r="Q493" s="16"/>
      <c r="R493" s="16"/>
      <c r="S493" s="16"/>
      <c r="T493" s="16"/>
      <c r="U493" s="16"/>
      <c r="V493" s="16"/>
      <c r="W493" s="16"/>
      <c r="X493" s="16"/>
      <c r="Y493" s="16"/>
      <c r="Z493" s="16"/>
      <c r="AA493" s="246"/>
      <c r="AB493" s="162">
        <f t="shared" si="66"/>
        <v>0.02</v>
      </c>
      <c r="AC493" s="162">
        <f t="shared" si="67"/>
        <v>1.4999999999999999E-2</v>
      </c>
      <c r="AD493" s="162">
        <f t="shared" si="67"/>
        <v>9.9999999999999985E-3</v>
      </c>
      <c r="AE493" s="162">
        <f t="shared" si="67"/>
        <v>4.9999999999999984E-3</v>
      </c>
      <c r="AG493" s="121"/>
      <c r="AH493" s="121"/>
      <c r="AI493" s="121"/>
      <c r="AJ493" s="121"/>
    </row>
    <row r="494" spans="2:36" x14ac:dyDescent="0.3">
      <c r="C494" s="3" t="s">
        <v>135</v>
      </c>
      <c r="O494" s="292"/>
      <c r="P494" s="16"/>
      <c r="Q494" s="16"/>
      <c r="R494" s="16"/>
      <c r="S494" s="16"/>
      <c r="T494" s="16"/>
      <c r="U494" s="16"/>
      <c r="V494" s="16"/>
      <c r="W494" s="16"/>
      <c r="X494" s="16"/>
      <c r="Y494" s="16"/>
      <c r="Z494" s="16"/>
      <c r="AA494" s="246"/>
      <c r="AB494" s="317"/>
      <c r="AC494" s="317"/>
      <c r="AD494" s="317"/>
      <c r="AE494" s="317"/>
    </row>
    <row r="495" spans="2:36" x14ac:dyDescent="0.3">
      <c r="B495" s="11" t="s">
        <v>291</v>
      </c>
      <c r="C495" s="11"/>
      <c r="D495" s="11"/>
      <c r="E495" s="11"/>
      <c r="F495" s="11"/>
      <c r="G495" s="11"/>
      <c r="H495" s="11"/>
      <c r="I495" s="11"/>
      <c r="J495" s="11"/>
      <c r="K495" s="11"/>
      <c r="O495" s="292"/>
      <c r="P495" s="16"/>
      <c r="Q495" s="16"/>
      <c r="R495" s="16"/>
      <c r="S495" s="16"/>
      <c r="T495" s="16"/>
      <c r="U495" s="16"/>
      <c r="V495" s="16"/>
      <c r="W495" s="16"/>
      <c r="X495" s="16"/>
      <c r="Y495" s="16"/>
      <c r="Z495" s="16"/>
      <c r="AA495" s="246"/>
      <c r="AB495" s="162"/>
      <c r="AC495" s="162"/>
      <c r="AD495" s="162"/>
      <c r="AE495" s="308"/>
    </row>
    <row r="496" spans="2:36" x14ac:dyDescent="0.3">
      <c r="C496" s="3" t="s">
        <v>146</v>
      </c>
      <c r="O496" s="293"/>
      <c r="P496" s="119"/>
      <c r="Q496" s="119"/>
      <c r="R496" s="119"/>
      <c r="S496" s="119"/>
      <c r="T496" s="119"/>
      <c r="U496" s="119"/>
      <c r="V496" s="119"/>
      <c r="W496" s="119"/>
      <c r="X496" s="119"/>
      <c r="Y496" s="119"/>
      <c r="Z496" s="119"/>
      <c r="AA496" s="306"/>
      <c r="AB496" s="317"/>
      <c r="AC496" s="317"/>
      <c r="AD496" s="317"/>
      <c r="AE496" s="317"/>
    </row>
    <row r="497" spans="2:31" x14ac:dyDescent="0.3">
      <c r="C497" s="3" t="s">
        <v>147</v>
      </c>
      <c r="O497" s="312"/>
      <c r="P497" s="121"/>
      <c r="Q497" s="121"/>
      <c r="R497" s="121"/>
      <c r="S497" s="121"/>
      <c r="T497" s="121"/>
      <c r="U497" s="121"/>
      <c r="V497" s="121"/>
      <c r="W497" s="121"/>
      <c r="X497" s="121"/>
      <c r="Y497" s="121"/>
      <c r="Z497" s="121"/>
      <c r="AA497" s="313"/>
      <c r="AB497" s="162">
        <v>0</v>
      </c>
      <c r="AC497" s="162">
        <f t="shared" ref="AC497:AE499" si="68">AB497</f>
        <v>0</v>
      </c>
      <c r="AD497" s="162">
        <f t="shared" si="68"/>
        <v>0</v>
      </c>
      <c r="AE497" s="162">
        <f t="shared" si="68"/>
        <v>0</v>
      </c>
    </row>
    <row r="498" spans="2:31" x14ac:dyDescent="0.3">
      <c r="C498" s="3" t="s">
        <v>148</v>
      </c>
      <c r="O498" s="292"/>
      <c r="P498" s="16"/>
      <c r="Q498" s="16"/>
      <c r="R498" s="16"/>
      <c r="S498" s="16"/>
      <c r="T498" s="16"/>
      <c r="U498" s="16"/>
      <c r="V498" s="16"/>
      <c r="W498" s="16"/>
      <c r="X498" s="16"/>
      <c r="Y498" s="16"/>
      <c r="Z498" s="16"/>
      <c r="AA498" s="246"/>
      <c r="AB498" s="162">
        <v>0</v>
      </c>
      <c r="AC498" s="162">
        <f t="shared" si="68"/>
        <v>0</v>
      </c>
      <c r="AD498" s="162">
        <f t="shared" si="68"/>
        <v>0</v>
      </c>
      <c r="AE498" s="162">
        <f t="shared" si="68"/>
        <v>0</v>
      </c>
    </row>
    <row r="499" spans="2:31" x14ac:dyDescent="0.3">
      <c r="C499" s="3" t="s">
        <v>149</v>
      </c>
      <c r="O499" s="292"/>
      <c r="P499" s="16"/>
      <c r="Q499" s="16"/>
      <c r="R499" s="16"/>
      <c r="S499" s="16"/>
      <c r="T499" s="16"/>
      <c r="U499" s="16"/>
      <c r="V499" s="16"/>
      <c r="W499" s="16"/>
      <c r="X499" s="16"/>
      <c r="Y499" s="16"/>
      <c r="Z499" s="16"/>
      <c r="AA499" s="246"/>
      <c r="AB499" s="162">
        <v>0</v>
      </c>
      <c r="AC499" s="162">
        <f t="shared" si="68"/>
        <v>0</v>
      </c>
      <c r="AD499" s="162">
        <f t="shared" si="68"/>
        <v>0</v>
      </c>
      <c r="AE499" s="162">
        <f t="shared" si="68"/>
        <v>0</v>
      </c>
    </row>
    <row r="500" spans="2:31" x14ac:dyDescent="0.3">
      <c r="B500" s="92"/>
      <c r="C500" s="92" t="s">
        <v>150</v>
      </c>
      <c r="D500" s="92"/>
      <c r="E500" s="92"/>
      <c r="F500" s="92"/>
      <c r="G500" s="92"/>
      <c r="H500" s="92"/>
      <c r="I500" s="92"/>
      <c r="J500" s="92"/>
      <c r="K500" s="92"/>
      <c r="L500" s="92"/>
      <c r="M500" s="92"/>
      <c r="N500" s="92"/>
      <c r="O500" s="314"/>
      <c r="P500" s="281"/>
      <c r="Q500" s="281"/>
      <c r="R500" s="281"/>
      <c r="S500" s="281"/>
      <c r="T500" s="281"/>
      <c r="U500" s="281"/>
      <c r="V500" s="281"/>
      <c r="W500" s="281"/>
      <c r="X500" s="281"/>
      <c r="Y500" s="281"/>
      <c r="Z500" s="281"/>
      <c r="AA500" s="315"/>
      <c r="AB500" s="319"/>
      <c r="AC500" s="319"/>
      <c r="AD500" s="319"/>
      <c r="AE500" s="319"/>
    </row>
  </sheetData>
  <phoneticPr fontId="3" type="noConversion"/>
  <dataValidations count="1">
    <dataValidation type="list" allowBlank="1" showInputMessage="1" showErrorMessage="1" sqref="J369" xr:uid="{63C57D5F-B050-4457-8A55-A0F74C87892A}">
      <formula1>"1,2,3"</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CA30F-78D8-42C8-A472-CD32466A19E7}">
  <sheetPr>
    <tabColor theme="8" tint="-0.249977111117893"/>
  </sheetPr>
  <dimension ref="A1:AI555"/>
  <sheetViews>
    <sheetView showGridLines="0" topLeftCell="A34" zoomScale="85" zoomScaleNormal="85" workbookViewId="0">
      <selection activeCell="M24" sqref="M24:N24"/>
    </sheetView>
  </sheetViews>
  <sheetFormatPr defaultRowHeight="12" outlineLevelRow="1" outlineLevelCol="1" x14ac:dyDescent="0.3"/>
  <cols>
    <col min="1" max="1" width="2.625" style="3" customWidth="1"/>
    <col min="2" max="6" width="1.625" style="3" customWidth="1"/>
    <col min="7" max="8" width="9" style="3"/>
    <col min="9" max="9" width="9" style="291"/>
    <col min="10" max="11" width="9" style="3"/>
    <col min="12" max="14" width="9" style="3" hidden="1" customWidth="1"/>
    <col min="15" max="18" width="9" style="3" customWidth="1" outlineLevel="1"/>
    <col min="19" max="19" width="8.875" style="3" customWidth="1" outlineLevel="1"/>
    <col min="20" max="25" width="9" style="3" customWidth="1" outlineLevel="1"/>
    <col min="26" max="26" width="9.25" style="3" bestFit="1" customWidth="1"/>
    <col min="27" max="31" width="9" style="3"/>
    <col min="32" max="32" width="9" style="321"/>
    <col min="33" max="33" width="9" style="322"/>
    <col min="34" max="16384" width="9" style="3"/>
  </cols>
  <sheetData>
    <row r="1" spans="1:35" x14ac:dyDescent="0.3">
      <c r="A1" s="1" t="str">
        <f ca="1">MID(CELL("filename",A1),FIND("]",CELL("filename",A1))+1,255)</f>
        <v>Revenue_HW</v>
      </c>
      <c r="B1" s="2"/>
      <c r="C1" s="2"/>
      <c r="D1" s="2"/>
      <c r="E1" s="2"/>
      <c r="F1" s="2"/>
      <c r="G1" s="2"/>
      <c r="H1" s="2"/>
      <c r="I1" s="320"/>
      <c r="J1" s="2"/>
      <c r="K1" s="2"/>
      <c r="L1" s="2"/>
      <c r="M1" s="2"/>
      <c r="N1" s="2"/>
      <c r="O1" s="2"/>
      <c r="P1" s="2"/>
      <c r="Q1" s="2"/>
      <c r="R1" s="2"/>
      <c r="S1" s="2"/>
      <c r="T1" s="2"/>
      <c r="U1" s="2"/>
      <c r="V1" s="2"/>
      <c r="W1" s="2"/>
      <c r="X1" s="2"/>
      <c r="Y1" s="2"/>
      <c r="Z1" s="2"/>
      <c r="AA1" s="2"/>
      <c r="AB1" s="2"/>
      <c r="AC1" s="2"/>
      <c r="AD1" s="2"/>
      <c r="AE1" s="16"/>
    </row>
    <row r="2" spans="1:35" x14ac:dyDescent="0.3">
      <c r="AE2" s="121"/>
    </row>
    <row r="3" spans="1:35" x14ac:dyDescent="0.3">
      <c r="A3" s="4"/>
      <c r="B3" s="161" t="s">
        <v>292</v>
      </c>
      <c r="C3" s="4"/>
      <c r="D3" s="4"/>
      <c r="E3" s="4"/>
      <c r="F3" s="4"/>
      <c r="G3" s="4"/>
      <c r="H3" s="4"/>
      <c r="I3" s="323"/>
      <c r="J3" s="4"/>
      <c r="K3" s="4"/>
      <c r="L3" s="4"/>
      <c r="M3" s="4"/>
      <c r="N3" s="4"/>
      <c r="O3" s="4"/>
      <c r="P3" s="4"/>
      <c r="Q3" s="4"/>
      <c r="R3" s="4"/>
      <c r="S3" s="4"/>
      <c r="T3" s="4"/>
      <c r="U3" s="4"/>
      <c r="V3" s="4"/>
      <c r="W3" s="4"/>
      <c r="X3" s="4"/>
      <c r="Y3" s="4"/>
      <c r="Z3" s="4"/>
      <c r="AA3" s="4"/>
      <c r="AB3" s="4"/>
      <c r="AC3" s="4"/>
      <c r="AD3" s="4"/>
      <c r="AE3" s="121"/>
      <c r="AF3" s="324"/>
    </row>
    <row r="4" spans="1:35" x14ac:dyDescent="0.3">
      <c r="AA4" s="17"/>
      <c r="AB4" s="17"/>
      <c r="AC4" s="17"/>
      <c r="AD4" s="17"/>
      <c r="AE4" s="16"/>
    </row>
    <row r="5" spans="1:35" x14ac:dyDescent="0.3">
      <c r="B5" s="8"/>
      <c r="C5" s="8"/>
      <c r="D5" s="8"/>
      <c r="E5" s="8"/>
      <c r="F5" s="8"/>
      <c r="G5" s="8"/>
      <c r="H5" s="8"/>
      <c r="I5" s="325"/>
      <c r="J5" s="8"/>
      <c r="K5" s="8"/>
      <c r="L5" s="9" t="s">
        <v>182</v>
      </c>
      <c r="M5" s="9" t="s">
        <v>183</v>
      </c>
      <c r="N5" s="10" t="s">
        <v>184</v>
      </c>
      <c r="O5" s="244" t="s">
        <v>293</v>
      </c>
      <c r="P5" s="9" t="s">
        <v>215</v>
      </c>
      <c r="Q5" s="9" t="s">
        <v>216</v>
      </c>
      <c r="R5" s="9" t="s">
        <v>217</v>
      </c>
      <c r="S5" s="9" t="s">
        <v>218</v>
      </c>
      <c r="T5" s="9" t="s">
        <v>219</v>
      </c>
      <c r="U5" s="9" t="s">
        <v>220</v>
      </c>
      <c r="V5" s="9" t="s">
        <v>221</v>
      </c>
      <c r="W5" s="9" t="s">
        <v>222</v>
      </c>
      <c r="X5" s="9" t="s">
        <v>223</v>
      </c>
      <c r="Y5" s="244" t="s">
        <v>294</v>
      </c>
      <c r="Z5" s="244" t="s">
        <v>197</v>
      </c>
      <c r="AA5" s="9" t="s">
        <v>198</v>
      </c>
      <c r="AB5" s="9" t="s">
        <v>199</v>
      </c>
      <c r="AC5" s="9" t="s">
        <v>200</v>
      </c>
      <c r="AD5" s="9" t="s">
        <v>201</v>
      </c>
      <c r="AE5" s="16"/>
    </row>
    <row r="6" spans="1:35" s="11" customFormat="1" x14ac:dyDescent="0.3">
      <c r="B6" s="11" t="s">
        <v>28</v>
      </c>
      <c r="I6" s="288"/>
      <c r="L6" s="13"/>
      <c r="M6" s="13"/>
      <c r="N6" s="124"/>
      <c r="O6" s="326">
        <f>SUM(O7,O10:O11)</f>
        <v>75922.088577000002</v>
      </c>
      <c r="P6" s="13">
        <f t="shared" ref="P6:AD6" si="0">SUM(P7,P10:P11)</f>
        <v>31185.781053299157</v>
      </c>
      <c r="Q6" s="13">
        <f t="shared" si="0"/>
        <v>28388.614550039536</v>
      </c>
      <c r="R6" s="13">
        <f t="shared" si="0"/>
        <v>30236.480585150708</v>
      </c>
      <c r="S6" s="13">
        <f t="shared" si="0"/>
        <v>27502.328683815562</v>
      </c>
      <c r="T6" s="13">
        <f t="shared" si="0"/>
        <v>29479.607097949221</v>
      </c>
      <c r="U6" s="13">
        <f t="shared" si="0"/>
        <v>28030.158934302941</v>
      </c>
      <c r="V6" s="13">
        <f t="shared" si="0"/>
        <v>27965.980965813535</v>
      </c>
      <c r="W6" s="13">
        <f t="shared" si="0"/>
        <v>27546.704919563461</v>
      </c>
      <c r="X6" s="13">
        <f t="shared" si="0"/>
        <v>26590.842122934664</v>
      </c>
      <c r="Y6" s="326">
        <f t="shared" si="0"/>
        <v>256926.49891286879</v>
      </c>
      <c r="Z6" s="326">
        <f>SUM(Z7,Z10:Z11)</f>
        <v>332848.58748986875</v>
      </c>
      <c r="AA6" s="13">
        <f t="shared" si="0"/>
        <v>313819.47198984504</v>
      </c>
      <c r="AB6" s="13">
        <f t="shared" si="0"/>
        <v>352044.1393995852</v>
      </c>
      <c r="AC6" s="13">
        <f t="shared" si="0"/>
        <v>388249.08514210011</v>
      </c>
      <c r="AD6" s="13">
        <f t="shared" si="0"/>
        <v>431347.15280604432</v>
      </c>
      <c r="AE6" s="151"/>
      <c r="AF6" s="327"/>
      <c r="AG6" s="328"/>
      <c r="AI6" s="329"/>
    </row>
    <row r="7" spans="1:35" x14ac:dyDescent="0.3">
      <c r="C7" s="3" t="s">
        <v>12</v>
      </c>
      <c r="L7" s="16"/>
      <c r="M7" s="16"/>
      <c r="N7" s="15"/>
      <c r="O7" s="246">
        <f>O8+O9</f>
        <v>32117.6253</v>
      </c>
      <c r="P7" s="16">
        <f t="shared" ref="P7:AD7" si="1">P8+P9</f>
        <v>16095.788606408241</v>
      </c>
      <c r="Q7" s="16">
        <f t="shared" si="1"/>
        <v>16190.455492401305</v>
      </c>
      <c r="R7" s="16">
        <f t="shared" si="1"/>
        <v>16128.55944291491</v>
      </c>
      <c r="S7" s="16">
        <f t="shared" si="1"/>
        <v>13851.137609627604</v>
      </c>
      <c r="T7" s="16">
        <f t="shared" si="1"/>
        <v>15176.666787091843</v>
      </c>
      <c r="U7" s="16">
        <f t="shared" si="1"/>
        <v>14644.101540197576</v>
      </c>
      <c r="V7" s="16">
        <f t="shared" si="1"/>
        <v>14837.581291651148</v>
      </c>
      <c r="W7" s="16">
        <f t="shared" si="1"/>
        <v>14367.355651462705</v>
      </c>
      <c r="X7" s="16">
        <f t="shared" si="1"/>
        <v>12811.839476027533</v>
      </c>
      <c r="Y7" s="246">
        <f t="shared" si="1"/>
        <v>134103.48589778284</v>
      </c>
      <c r="Z7" s="246">
        <f t="shared" si="1"/>
        <v>166221.11119778286</v>
      </c>
      <c r="AA7" s="16">
        <f t="shared" si="1"/>
        <v>162076.5052755654</v>
      </c>
      <c r="AB7" s="16">
        <f t="shared" si="1"/>
        <v>186135.91226740219</v>
      </c>
      <c r="AC7" s="16">
        <f t="shared" si="1"/>
        <v>207378.78167579672</v>
      </c>
      <c r="AD7" s="16">
        <f t="shared" si="1"/>
        <v>232356.8175947381</v>
      </c>
      <c r="AE7" s="151"/>
      <c r="AF7" s="327"/>
    </row>
    <row r="8" spans="1:35" x14ac:dyDescent="0.3">
      <c r="D8" s="3" t="s">
        <v>295</v>
      </c>
      <c r="L8" s="16"/>
      <c r="M8" s="16"/>
      <c r="N8" s="15"/>
      <c r="O8" s="246">
        <f>O32</f>
        <v>2474.7736</v>
      </c>
      <c r="P8" s="16">
        <f t="shared" ref="P8:AD8" si="2">P32</f>
        <v>8168.4689243909806</v>
      </c>
      <c r="Q8" s="16">
        <f t="shared" si="2"/>
        <v>8227.6115461242061</v>
      </c>
      <c r="R8" s="16">
        <f t="shared" si="2"/>
        <v>8150.1618644674454</v>
      </c>
      <c r="S8" s="16">
        <f t="shared" si="2"/>
        <v>7159.7659774337972</v>
      </c>
      <c r="T8" s="16">
        <f t="shared" si="2"/>
        <v>7813.6521205952276</v>
      </c>
      <c r="U8" s="16">
        <f t="shared" si="2"/>
        <v>7407.2577044796963</v>
      </c>
      <c r="V8" s="16">
        <f t="shared" si="2"/>
        <v>7550.3173726699733</v>
      </c>
      <c r="W8" s="16">
        <f t="shared" si="2"/>
        <v>7287.330769860775</v>
      </c>
      <c r="X8" s="16">
        <f t="shared" si="2"/>
        <v>6648.7296837597814</v>
      </c>
      <c r="Y8" s="246">
        <f t="shared" si="2"/>
        <v>68413.295963781871</v>
      </c>
      <c r="Z8" s="246">
        <f t="shared" si="2"/>
        <v>70888.069563781886</v>
      </c>
      <c r="AA8" s="16">
        <f t="shared" si="2"/>
        <v>70420.768095462437</v>
      </c>
      <c r="AB8" s="16">
        <f t="shared" si="2"/>
        <v>81540.354973986803</v>
      </c>
      <c r="AC8" s="16">
        <f t="shared" si="2"/>
        <v>91492.430690897803</v>
      </c>
      <c r="AD8" s="16">
        <f t="shared" si="2"/>
        <v>102379.1825483206</v>
      </c>
      <c r="AE8" s="151"/>
      <c r="AF8" s="327"/>
    </row>
    <row r="9" spans="1:35" x14ac:dyDescent="0.3">
      <c r="D9" s="3" t="s">
        <v>296</v>
      </c>
      <c r="L9" s="16"/>
      <c r="M9" s="16"/>
      <c r="N9" s="15"/>
      <c r="O9" s="246">
        <f>O39</f>
        <v>29642.851699999999</v>
      </c>
      <c r="P9" s="16">
        <f t="shared" ref="P9:AD9" si="3">P39</f>
        <v>7927.3196820172616</v>
      </c>
      <c r="Q9" s="16">
        <f t="shared" si="3"/>
        <v>7962.8439462770984</v>
      </c>
      <c r="R9" s="16">
        <f t="shared" si="3"/>
        <v>7978.3975784474642</v>
      </c>
      <c r="S9" s="16">
        <f t="shared" si="3"/>
        <v>6691.3716321938073</v>
      </c>
      <c r="T9" s="16">
        <f t="shared" si="3"/>
        <v>7363.0146664966142</v>
      </c>
      <c r="U9" s="16">
        <f t="shared" si="3"/>
        <v>7236.8438357178802</v>
      </c>
      <c r="V9" s="16">
        <f t="shared" si="3"/>
        <v>7287.2639189811744</v>
      </c>
      <c r="W9" s="16">
        <f t="shared" si="3"/>
        <v>7080.0248816019302</v>
      </c>
      <c r="X9" s="16">
        <f t="shared" si="3"/>
        <v>6163.1097922677527</v>
      </c>
      <c r="Y9" s="246">
        <f t="shared" si="3"/>
        <v>65690.189934000984</v>
      </c>
      <c r="Z9" s="246">
        <f t="shared" si="3"/>
        <v>95333.041634000983</v>
      </c>
      <c r="AA9" s="16">
        <f t="shared" si="3"/>
        <v>91655.737180102966</v>
      </c>
      <c r="AB9" s="16">
        <f t="shared" si="3"/>
        <v>104595.55729341539</v>
      </c>
      <c r="AC9" s="16">
        <f t="shared" si="3"/>
        <v>115886.35098489892</v>
      </c>
      <c r="AD9" s="16">
        <f t="shared" si="3"/>
        <v>129977.63504641749</v>
      </c>
      <c r="AE9" s="151"/>
      <c r="AF9" s="327"/>
    </row>
    <row r="10" spans="1:35" x14ac:dyDescent="0.3">
      <c r="C10" s="3" t="s">
        <v>16</v>
      </c>
      <c r="L10" s="16"/>
      <c r="M10" s="16"/>
      <c r="N10" s="15"/>
      <c r="O10" s="246">
        <f>O167</f>
        <v>16151.038909999999</v>
      </c>
      <c r="P10" s="16">
        <f t="shared" ref="P10:AD10" si="4">P167</f>
        <v>4029.1141634731925</v>
      </c>
      <c r="Q10" s="16">
        <f t="shared" si="4"/>
        <v>3985.5460480039887</v>
      </c>
      <c r="R10" s="16">
        <f t="shared" si="4"/>
        <v>5271.1353733534424</v>
      </c>
      <c r="S10" s="16">
        <f t="shared" si="4"/>
        <v>4023.8946054905432</v>
      </c>
      <c r="T10" s="16">
        <f t="shared" si="4"/>
        <v>3887.8391639445158</v>
      </c>
      <c r="U10" s="16">
        <f t="shared" si="4"/>
        <v>4352.3323224614005</v>
      </c>
      <c r="V10" s="16">
        <f t="shared" si="4"/>
        <v>3853.2826967344067</v>
      </c>
      <c r="W10" s="16">
        <f t="shared" si="4"/>
        <v>5092.6546407690776</v>
      </c>
      <c r="X10" s="16">
        <f t="shared" si="4"/>
        <v>5841.7784637670547</v>
      </c>
      <c r="Y10" s="246">
        <f t="shared" si="4"/>
        <v>40337.57747799762</v>
      </c>
      <c r="Z10" s="246">
        <f t="shared" si="4"/>
        <v>56488.616387997623</v>
      </c>
      <c r="AA10" s="16">
        <f>AA167</f>
        <v>49213.365216195329</v>
      </c>
      <c r="AB10" s="16">
        <f t="shared" si="4"/>
        <v>53049.401578407924</v>
      </c>
      <c r="AC10" s="16">
        <f t="shared" si="4"/>
        <v>58244.454330210785</v>
      </c>
      <c r="AD10" s="16">
        <f t="shared" si="4"/>
        <v>65105.51516786452</v>
      </c>
      <c r="AE10" s="151"/>
      <c r="AF10" s="327"/>
    </row>
    <row r="11" spans="1:35" x14ac:dyDescent="0.3">
      <c r="B11" s="92"/>
      <c r="C11" s="92" t="s">
        <v>297</v>
      </c>
      <c r="D11" s="92"/>
      <c r="E11" s="92"/>
      <c r="F11" s="92"/>
      <c r="G11" s="92"/>
      <c r="H11" s="92"/>
      <c r="I11" s="295"/>
      <c r="J11" s="92"/>
      <c r="K11" s="92"/>
      <c r="L11" s="130"/>
      <c r="M11" s="130"/>
      <c r="N11" s="131"/>
      <c r="O11" s="330">
        <f>O395</f>
        <v>27653.424367</v>
      </c>
      <c r="P11" s="130">
        <f t="shared" ref="P11:AD11" si="5">P395</f>
        <v>11060.878283417722</v>
      </c>
      <c r="Q11" s="130">
        <f t="shared" si="5"/>
        <v>8212.6130096342404</v>
      </c>
      <c r="R11" s="130">
        <f t="shared" si="5"/>
        <v>8836.7857688823569</v>
      </c>
      <c r="S11" s="130">
        <f t="shared" si="5"/>
        <v>9627.2964686974174</v>
      </c>
      <c r="T11" s="130">
        <f t="shared" si="5"/>
        <v>10415.101146912863</v>
      </c>
      <c r="U11" s="130">
        <f t="shared" si="5"/>
        <v>9033.7250716439648</v>
      </c>
      <c r="V11" s="130">
        <f t="shared" si="5"/>
        <v>9275.1169774279824</v>
      </c>
      <c r="W11" s="130">
        <f t="shared" si="5"/>
        <v>8086.6946273316789</v>
      </c>
      <c r="X11" s="130">
        <f t="shared" si="5"/>
        <v>7937.2241831400743</v>
      </c>
      <c r="Y11" s="330">
        <f t="shared" si="5"/>
        <v>82485.435537088299</v>
      </c>
      <c r="Z11" s="330">
        <f t="shared" si="5"/>
        <v>110138.85990408828</v>
      </c>
      <c r="AA11" s="130">
        <f t="shared" si="5"/>
        <v>102529.60149808433</v>
      </c>
      <c r="AB11" s="130">
        <f t="shared" si="5"/>
        <v>112858.82555377504</v>
      </c>
      <c r="AC11" s="130">
        <f t="shared" si="5"/>
        <v>122625.8491360926</v>
      </c>
      <c r="AD11" s="130">
        <f t="shared" si="5"/>
        <v>133884.82004344169</v>
      </c>
      <c r="AE11" s="151"/>
      <c r="AF11" s="327"/>
    </row>
    <row r="12" spans="1:35" x14ac:dyDescent="0.3">
      <c r="Z12" s="16"/>
      <c r="AA12" s="16"/>
      <c r="AB12" s="16"/>
      <c r="AC12" s="16"/>
      <c r="AD12" s="16"/>
    </row>
    <row r="13" spans="1:35" x14ac:dyDescent="0.3">
      <c r="B13" s="8"/>
      <c r="C13" s="8"/>
      <c r="D13" s="8"/>
      <c r="E13" s="8"/>
      <c r="F13" s="8"/>
      <c r="G13" s="8"/>
      <c r="H13" s="8"/>
      <c r="I13" s="325"/>
      <c r="J13" s="8"/>
      <c r="K13" s="8"/>
      <c r="L13" s="9" t="s">
        <v>182</v>
      </c>
      <c r="M13" s="9" t="s">
        <v>183</v>
      </c>
      <c r="N13" s="10" t="s">
        <v>184</v>
      </c>
      <c r="O13" s="244" t="s">
        <v>293</v>
      </c>
      <c r="P13" s="9" t="s">
        <v>215</v>
      </c>
      <c r="Q13" s="9" t="s">
        <v>216</v>
      </c>
      <c r="R13" s="9" t="s">
        <v>217</v>
      </c>
      <c r="S13" s="9" t="s">
        <v>218</v>
      </c>
      <c r="T13" s="9" t="s">
        <v>219</v>
      </c>
      <c r="U13" s="9" t="s">
        <v>220</v>
      </c>
      <c r="V13" s="9" t="s">
        <v>221</v>
      </c>
      <c r="W13" s="9" t="s">
        <v>222</v>
      </c>
      <c r="X13" s="9" t="s">
        <v>223</v>
      </c>
      <c r="Y13" s="244" t="s">
        <v>294</v>
      </c>
      <c r="Z13" s="244" t="s">
        <v>197</v>
      </c>
      <c r="AA13" s="9" t="s">
        <v>198</v>
      </c>
      <c r="AB13" s="9" t="s">
        <v>199</v>
      </c>
      <c r="AC13" s="9" t="s">
        <v>200</v>
      </c>
      <c r="AD13" s="9" t="s">
        <v>201</v>
      </c>
    </row>
    <row r="14" spans="1:35" s="11" customFormat="1" x14ac:dyDescent="0.3">
      <c r="B14" s="11" t="s">
        <v>298</v>
      </c>
      <c r="I14" s="288"/>
      <c r="L14" s="13"/>
      <c r="M14" s="13"/>
      <c r="N14" s="124"/>
      <c r="O14" s="326">
        <f t="shared" ref="O14" si="6">SUM(O15:O19)</f>
        <v>642</v>
      </c>
      <c r="P14" s="13">
        <f t="shared" ref="P14:AD14" si="7">SUM(P15:P19)</f>
        <v>272</v>
      </c>
      <c r="Q14" s="13">
        <f t="shared" si="7"/>
        <v>254</v>
      </c>
      <c r="R14" s="13">
        <f t="shared" si="7"/>
        <v>257</v>
      </c>
      <c r="S14" s="13">
        <f t="shared" si="7"/>
        <v>251</v>
      </c>
      <c r="T14" s="13">
        <f t="shared" si="7"/>
        <v>257</v>
      </c>
      <c r="U14" s="13">
        <f t="shared" si="7"/>
        <v>239</v>
      </c>
      <c r="V14" s="13">
        <f t="shared" si="7"/>
        <v>251</v>
      </c>
      <c r="W14" s="13">
        <f t="shared" si="7"/>
        <v>237</v>
      </c>
      <c r="X14" s="13">
        <f t="shared" si="7"/>
        <v>230</v>
      </c>
      <c r="Y14" s="326">
        <f t="shared" si="7"/>
        <v>2248</v>
      </c>
      <c r="Z14" s="326">
        <f t="shared" si="7"/>
        <v>2890</v>
      </c>
      <c r="AA14" s="13">
        <f t="shared" si="7"/>
        <v>2853</v>
      </c>
      <c r="AB14" s="13">
        <f t="shared" si="7"/>
        <v>3191</v>
      </c>
      <c r="AC14" s="13">
        <f t="shared" si="7"/>
        <v>3505</v>
      </c>
      <c r="AD14" s="13">
        <f t="shared" si="7"/>
        <v>3822</v>
      </c>
      <c r="AF14" s="327"/>
      <c r="AG14" s="328"/>
    </row>
    <row r="15" spans="1:35" x14ac:dyDescent="0.3">
      <c r="C15" s="3" t="s">
        <v>131</v>
      </c>
      <c r="L15" s="16"/>
      <c r="M15" s="16"/>
      <c r="N15" s="15"/>
      <c r="O15" s="246">
        <f>SUM(Revenue_HW!O51,Revenue_HW!O178,Revenue_HW!O221,Revenue_HW!O264,Revenue_HW!O307,Revenue_HW!O350,Revenue_HW!O399,Revenue_HW!O437,Revenue_HW!O475,Revenue_HW!O513)</f>
        <v>4</v>
      </c>
      <c r="P15" s="16">
        <f>SUM(Revenue_HW!P51,Revenue_HW!P178,Revenue_HW!P221,Revenue_HW!P264,Revenue_HW!P307,Revenue_HW!P350,Revenue_HW!P399,Revenue_HW!P437,Revenue_HW!P475,Revenue_HW!P513)</f>
        <v>3</v>
      </c>
      <c r="Q15" s="16">
        <f>SUM(Revenue_HW!Q51,Revenue_HW!Q178,Revenue_HW!Q221,Revenue_HW!Q264,Revenue_HW!Q307,Revenue_HW!Q350,Revenue_HW!Q399,Revenue_HW!Q437,Revenue_HW!Q475,Revenue_HW!Q513)</f>
        <v>7</v>
      </c>
      <c r="R15" s="16">
        <f>SUM(Revenue_HW!R51,Revenue_HW!R178,Revenue_HW!R221,Revenue_HW!R264,Revenue_HW!R307,Revenue_HW!R350,Revenue_HW!R399,Revenue_HW!R437,Revenue_HW!R475,Revenue_HW!R513)</f>
        <v>7</v>
      </c>
      <c r="S15" s="16">
        <f>SUM(Revenue_HW!S51,Revenue_HW!S178,Revenue_HW!S221,Revenue_HW!S264,Revenue_HW!S307,Revenue_HW!S350,Revenue_HW!S399,Revenue_HW!S437,Revenue_HW!S475,Revenue_HW!S513)</f>
        <v>5</v>
      </c>
      <c r="T15" s="16">
        <f>SUM(Revenue_HW!T51,Revenue_HW!T178,Revenue_HW!T221,Revenue_HW!T264,Revenue_HW!T307,Revenue_HW!T350,Revenue_HW!T399,Revenue_HW!T437,Revenue_HW!T475,Revenue_HW!T513)</f>
        <v>3</v>
      </c>
      <c r="U15" s="16">
        <f>SUM(Revenue_HW!U51,Revenue_HW!U178,Revenue_HW!U221,Revenue_HW!U264,Revenue_HW!U307,Revenue_HW!U350,Revenue_HW!U399,Revenue_HW!U437,Revenue_HW!U475,Revenue_HW!U513)</f>
        <v>6</v>
      </c>
      <c r="V15" s="16">
        <f>SUM(Revenue_HW!V51,Revenue_HW!V178,Revenue_HW!V221,Revenue_HW!V264,Revenue_HW!V307,Revenue_HW!V350,Revenue_HW!V399,Revenue_HW!V437,Revenue_HW!V475,Revenue_HW!V513)</f>
        <v>5</v>
      </c>
      <c r="W15" s="16">
        <f>SUM(Revenue_HW!W51,Revenue_HW!W178,Revenue_HW!W221,Revenue_HW!W264,Revenue_HW!W307,Revenue_HW!W350,Revenue_HW!W399,Revenue_HW!W437,Revenue_HW!W475,Revenue_HW!W513)</f>
        <v>8</v>
      </c>
      <c r="X15" s="16">
        <f>SUM(Revenue_HW!X51,Revenue_HW!X178,Revenue_HW!X221,Revenue_HW!X264,Revenue_HW!X307,Revenue_HW!X350,Revenue_HW!X399,Revenue_HW!X437,Revenue_HW!X475,Revenue_HW!X513)</f>
        <v>3</v>
      </c>
      <c r="Y15" s="246">
        <f>SUM(Revenue_HW!Y51,Revenue_HW!Y178,Revenue_HW!Y221,Revenue_HW!Y264,Revenue_HW!Y307,Revenue_HW!Y350,Revenue_HW!Y399,Revenue_HW!Y437,Revenue_HW!Y475,Revenue_HW!Y513)</f>
        <v>47</v>
      </c>
      <c r="Z15" s="246">
        <f>SUM(Revenue_HW!Z51,Revenue_HW!Z178,Revenue_HW!Z221,Revenue_HW!Z264,Revenue_HW!Z307,Revenue_HW!Z350,Revenue_HW!Z399,Revenue_HW!Z437,Revenue_HW!Z475,Revenue_HW!Z513)</f>
        <v>51</v>
      </c>
      <c r="AA15" s="16">
        <f>SUM(Revenue_HW!AA51,Revenue_HW!AA178,Revenue_HW!AA221,Revenue_HW!AA264,Revenue_HW!AA307,Revenue_HW!AA350,Revenue_HW!AA399,Revenue_HW!AA437,Revenue_HW!AA475,Revenue_HW!AA513)</f>
        <v>61</v>
      </c>
      <c r="AB15" s="16">
        <f>SUM(Revenue_HW!AB51,Revenue_HW!AB178,Revenue_HW!AB221,Revenue_HW!AB264,Revenue_HW!AB307,Revenue_HW!AB350,Revenue_HW!AB399,Revenue_HW!AB437,Revenue_HW!AB475,Revenue_HW!AB513)</f>
        <v>74</v>
      </c>
      <c r="AC15" s="16">
        <f>SUM(Revenue_HW!AC51,Revenue_HW!AC178,Revenue_HW!AC221,Revenue_HW!AC264,Revenue_HW!AC307,Revenue_HW!AC350,Revenue_HW!AC399,Revenue_HW!AC437,Revenue_HW!AC475,Revenue_HW!AC513)</f>
        <v>81</v>
      </c>
      <c r="AD15" s="16">
        <f>SUM(Revenue_HW!AD51,Revenue_HW!AD178,Revenue_HW!AD221,Revenue_HW!AD264,Revenue_HW!AD307,Revenue_HW!AD350,Revenue_HW!AD399,Revenue_HW!AD437,Revenue_HW!AD475,Revenue_HW!AD513)</f>
        <v>103</v>
      </c>
      <c r="AE15" s="121"/>
      <c r="AF15" s="331"/>
    </row>
    <row r="16" spans="1:35" x14ac:dyDescent="0.3">
      <c r="C16" s="3" t="s">
        <v>132</v>
      </c>
      <c r="L16" s="16"/>
      <c r="M16" s="16"/>
      <c r="N16" s="15"/>
      <c r="O16" s="246">
        <f t="shared" ref="O16:AD16" si="8">SUM(O56,O184,O227,O270,O313,O356,O404,O442,O480,O518)</f>
        <v>387</v>
      </c>
      <c r="P16" s="16">
        <f t="shared" si="8"/>
        <v>167</v>
      </c>
      <c r="Q16" s="16">
        <f t="shared" si="8"/>
        <v>144</v>
      </c>
      <c r="R16" s="16">
        <f t="shared" si="8"/>
        <v>149</v>
      </c>
      <c r="S16" s="16">
        <f t="shared" si="8"/>
        <v>152</v>
      </c>
      <c r="T16" s="16">
        <f t="shared" si="8"/>
        <v>149</v>
      </c>
      <c r="U16" s="16">
        <f t="shared" si="8"/>
        <v>141</v>
      </c>
      <c r="V16" s="16">
        <f t="shared" si="8"/>
        <v>154</v>
      </c>
      <c r="W16" s="16">
        <f t="shared" si="8"/>
        <v>143</v>
      </c>
      <c r="X16" s="16">
        <f t="shared" si="8"/>
        <v>140</v>
      </c>
      <c r="Y16" s="246">
        <f t="shared" si="8"/>
        <v>1339</v>
      </c>
      <c r="Z16" s="246">
        <f t="shared" si="8"/>
        <v>1726</v>
      </c>
      <c r="AA16" s="16">
        <f t="shared" si="8"/>
        <v>1769</v>
      </c>
      <c r="AB16" s="16">
        <f t="shared" si="8"/>
        <v>1932</v>
      </c>
      <c r="AC16" s="16">
        <f t="shared" si="8"/>
        <v>2069</v>
      </c>
      <c r="AD16" s="16">
        <f t="shared" si="8"/>
        <v>2184</v>
      </c>
      <c r="AE16" s="121"/>
      <c r="AF16" s="331"/>
    </row>
    <row r="17" spans="2:33" x14ac:dyDescent="0.3">
      <c r="C17" s="3" t="s">
        <v>133</v>
      </c>
      <c r="L17" s="16"/>
      <c r="M17" s="16"/>
      <c r="N17" s="15"/>
      <c r="O17" s="246">
        <f t="shared" ref="O17:AD17" si="9">SUM(O61,O190,O233,O276,O319,O362,O409,O447,O485,O523)</f>
        <v>209</v>
      </c>
      <c r="P17" s="16">
        <f t="shared" si="9"/>
        <v>77</v>
      </c>
      <c r="Q17" s="16">
        <f t="shared" si="9"/>
        <v>81</v>
      </c>
      <c r="R17" s="16">
        <f t="shared" si="9"/>
        <v>80</v>
      </c>
      <c r="S17" s="16">
        <f t="shared" si="9"/>
        <v>82</v>
      </c>
      <c r="T17" s="16">
        <f t="shared" si="9"/>
        <v>80</v>
      </c>
      <c r="U17" s="16">
        <f t="shared" si="9"/>
        <v>67</v>
      </c>
      <c r="V17" s="16">
        <f t="shared" si="9"/>
        <v>69</v>
      </c>
      <c r="W17" s="16">
        <f t="shared" si="9"/>
        <v>65</v>
      </c>
      <c r="X17" s="16">
        <f t="shared" si="9"/>
        <v>64</v>
      </c>
      <c r="Y17" s="246">
        <f t="shared" si="9"/>
        <v>665</v>
      </c>
      <c r="Z17" s="246">
        <f t="shared" si="9"/>
        <v>874</v>
      </c>
      <c r="AA17" s="16">
        <f t="shared" si="9"/>
        <v>920</v>
      </c>
      <c r="AB17" s="16">
        <f t="shared" si="9"/>
        <v>1077</v>
      </c>
      <c r="AC17" s="16">
        <f t="shared" si="9"/>
        <v>1241</v>
      </c>
      <c r="AD17" s="16">
        <f t="shared" si="9"/>
        <v>1412</v>
      </c>
      <c r="AE17" s="121"/>
      <c r="AF17" s="331"/>
    </row>
    <row r="18" spans="2:33" x14ac:dyDescent="0.3">
      <c r="C18" s="3" t="s">
        <v>134</v>
      </c>
      <c r="L18" s="16"/>
      <c r="M18" s="16"/>
      <c r="N18" s="15"/>
      <c r="O18" s="246">
        <f t="shared" ref="O18:AD18" si="10">SUM(O66,O196,O239,O282,O325,O368,O414,O452,O490,O528)</f>
        <v>9</v>
      </c>
      <c r="P18" s="16">
        <f t="shared" si="10"/>
        <v>10</v>
      </c>
      <c r="Q18" s="16">
        <f t="shared" si="10"/>
        <v>8</v>
      </c>
      <c r="R18" s="16">
        <f t="shared" si="10"/>
        <v>11</v>
      </c>
      <c r="S18" s="16">
        <f t="shared" si="10"/>
        <v>6</v>
      </c>
      <c r="T18" s="16">
        <f t="shared" si="10"/>
        <v>12</v>
      </c>
      <c r="U18" s="16">
        <f t="shared" si="10"/>
        <v>9</v>
      </c>
      <c r="V18" s="16">
        <f t="shared" si="10"/>
        <v>8</v>
      </c>
      <c r="W18" s="16">
        <f t="shared" si="10"/>
        <v>9</v>
      </c>
      <c r="X18" s="16">
        <f t="shared" si="10"/>
        <v>10</v>
      </c>
      <c r="Y18" s="246">
        <f t="shared" si="10"/>
        <v>83</v>
      </c>
      <c r="Z18" s="246">
        <f t="shared" si="10"/>
        <v>92</v>
      </c>
      <c r="AA18" s="16">
        <f t="shared" si="10"/>
        <v>103</v>
      </c>
      <c r="AB18" s="16">
        <f t="shared" si="10"/>
        <v>108</v>
      </c>
      <c r="AC18" s="16">
        <f t="shared" si="10"/>
        <v>114</v>
      </c>
      <c r="AD18" s="16">
        <f t="shared" si="10"/>
        <v>123</v>
      </c>
      <c r="AE18" s="121"/>
      <c r="AF18" s="331"/>
    </row>
    <row r="19" spans="2:33" x14ac:dyDescent="0.3">
      <c r="B19" s="92"/>
      <c r="C19" s="92" t="s">
        <v>135</v>
      </c>
      <c r="D19" s="92"/>
      <c r="E19" s="92"/>
      <c r="F19" s="92"/>
      <c r="G19" s="92"/>
      <c r="H19" s="92"/>
      <c r="I19" s="295"/>
      <c r="J19" s="92"/>
      <c r="K19" s="92"/>
      <c r="L19" s="130"/>
      <c r="M19" s="130"/>
      <c r="N19" s="131"/>
      <c r="O19" s="330">
        <f t="shared" ref="O19:AD19" si="11">SUM(O71,O202,O245,O288,O331,O374,O419,O457,O495,O533)</f>
        <v>33</v>
      </c>
      <c r="P19" s="130">
        <f t="shared" si="11"/>
        <v>15</v>
      </c>
      <c r="Q19" s="130">
        <f t="shared" si="11"/>
        <v>14</v>
      </c>
      <c r="R19" s="130">
        <f t="shared" si="11"/>
        <v>10</v>
      </c>
      <c r="S19" s="130">
        <f t="shared" si="11"/>
        <v>6</v>
      </c>
      <c r="T19" s="130">
        <f t="shared" si="11"/>
        <v>13</v>
      </c>
      <c r="U19" s="130">
        <f t="shared" si="11"/>
        <v>16</v>
      </c>
      <c r="V19" s="130">
        <f t="shared" si="11"/>
        <v>15</v>
      </c>
      <c r="W19" s="130">
        <f t="shared" si="11"/>
        <v>12</v>
      </c>
      <c r="X19" s="130">
        <f t="shared" si="11"/>
        <v>13</v>
      </c>
      <c r="Y19" s="330">
        <f t="shared" si="11"/>
        <v>114</v>
      </c>
      <c r="Z19" s="330">
        <f t="shared" si="11"/>
        <v>147</v>
      </c>
      <c r="AA19" s="130">
        <f t="shared" si="11"/>
        <v>0</v>
      </c>
      <c r="AB19" s="130">
        <f t="shared" si="11"/>
        <v>0</v>
      </c>
      <c r="AC19" s="130">
        <f t="shared" si="11"/>
        <v>0</v>
      </c>
      <c r="AD19" s="130">
        <f t="shared" si="11"/>
        <v>0</v>
      </c>
      <c r="AE19" s="121"/>
      <c r="AF19" s="331"/>
    </row>
    <row r="20" spans="2:33" x14ac:dyDescent="0.3">
      <c r="Z20" s="121"/>
      <c r="AA20" s="121"/>
      <c r="AB20" s="121"/>
      <c r="AC20" s="121"/>
      <c r="AD20" s="121"/>
    </row>
    <row r="21" spans="2:33" x14ac:dyDescent="0.3">
      <c r="B21" s="161" t="s">
        <v>299</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23"/>
    </row>
    <row r="22" spans="2:33" x14ac:dyDescent="0.3">
      <c r="AA22" s="17">
        <f>AA24/Z24-1</f>
        <v>-2.4934293197486079E-2</v>
      </c>
      <c r="AB22" s="17">
        <f>AB24/AA24-1</f>
        <v>0.14844475422844616</v>
      </c>
      <c r="AC22" s="17">
        <f>AC24/AB24-1</f>
        <v>0.11412558248231619</v>
      </c>
      <c r="AD22" s="17">
        <f>AD24/AC24-1</f>
        <v>0.1204464396844156</v>
      </c>
      <c r="AE22" s="23"/>
    </row>
    <row r="23" spans="2:33" x14ac:dyDescent="0.3">
      <c r="B23" s="8"/>
      <c r="C23" s="8"/>
      <c r="D23" s="8"/>
      <c r="E23" s="8"/>
      <c r="F23" s="8"/>
      <c r="G23" s="8"/>
      <c r="H23" s="8"/>
      <c r="I23" s="325"/>
      <c r="J23" s="8"/>
      <c r="K23" s="8"/>
      <c r="L23" s="9" t="s">
        <v>182</v>
      </c>
      <c r="M23" s="9" t="s">
        <v>183</v>
      </c>
      <c r="N23" s="10" t="s">
        <v>184</v>
      </c>
      <c r="O23" s="244" t="s">
        <v>293</v>
      </c>
      <c r="P23" s="9" t="s">
        <v>215</v>
      </c>
      <c r="Q23" s="9" t="s">
        <v>216</v>
      </c>
      <c r="R23" s="9" t="s">
        <v>217</v>
      </c>
      <c r="S23" s="9" t="s">
        <v>218</v>
      </c>
      <c r="T23" s="9" t="s">
        <v>219</v>
      </c>
      <c r="U23" s="9" t="s">
        <v>220</v>
      </c>
      <c r="V23" s="9" t="s">
        <v>221</v>
      </c>
      <c r="W23" s="9" t="s">
        <v>222</v>
      </c>
      <c r="X23" s="9" t="s">
        <v>223</v>
      </c>
      <c r="Y23" s="244" t="s">
        <v>294</v>
      </c>
      <c r="Z23" s="244" t="s">
        <v>197</v>
      </c>
      <c r="AA23" s="9" t="s">
        <v>198</v>
      </c>
      <c r="AB23" s="9" t="s">
        <v>199</v>
      </c>
      <c r="AC23" s="9" t="s">
        <v>200</v>
      </c>
      <c r="AD23" s="9" t="s">
        <v>201</v>
      </c>
      <c r="AE23" s="23"/>
    </row>
    <row r="24" spans="2:33" s="11" customFormat="1" x14ac:dyDescent="0.3">
      <c r="B24" s="11" t="s">
        <v>300</v>
      </c>
      <c r="I24" s="288"/>
      <c r="L24" s="13"/>
      <c r="M24" s="13"/>
      <c r="N24" s="124"/>
      <c r="O24" s="326">
        <f>O25</f>
        <v>32117.6253</v>
      </c>
      <c r="P24" s="13">
        <f>P25</f>
        <v>16095.788606408241</v>
      </c>
      <c r="Q24" s="13">
        <f t="shared" ref="Q24:AD24" si="12">Q25</f>
        <v>16190.455492401305</v>
      </c>
      <c r="R24" s="13">
        <f t="shared" si="12"/>
        <v>16128.55944291491</v>
      </c>
      <c r="S24" s="13">
        <f t="shared" si="12"/>
        <v>13851.137609627604</v>
      </c>
      <c r="T24" s="13">
        <f t="shared" si="12"/>
        <v>15176.666787091843</v>
      </c>
      <c r="U24" s="13">
        <f t="shared" si="12"/>
        <v>14644.101540197576</v>
      </c>
      <c r="V24" s="13">
        <f t="shared" si="12"/>
        <v>14837.581291651148</v>
      </c>
      <c r="W24" s="13">
        <f t="shared" si="12"/>
        <v>14367.355651462707</v>
      </c>
      <c r="X24" s="13">
        <f t="shared" si="12"/>
        <v>12811.839476027533</v>
      </c>
      <c r="Y24" s="326">
        <f t="shared" si="12"/>
        <v>134103.48589778287</v>
      </c>
      <c r="Z24" s="326">
        <f t="shared" si="12"/>
        <v>166221.11119778286</v>
      </c>
      <c r="AA24" s="13">
        <f t="shared" si="12"/>
        <v>162076.5052755654</v>
      </c>
      <c r="AB24" s="13">
        <f t="shared" si="12"/>
        <v>186135.91226740216</v>
      </c>
      <c r="AC24" s="13">
        <f t="shared" si="12"/>
        <v>207378.78167579672</v>
      </c>
      <c r="AD24" s="13">
        <f t="shared" si="12"/>
        <v>232356.81759473815</v>
      </c>
      <c r="AE24" s="160"/>
      <c r="AF24" s="327"/>
      <c r="AG24" s="328"/>
    </row>
    <row r="25" spans="2:33" x14ac:dyDescent="0.3">
      <c r="B25" s="11"/>
      <c r="C25" s="98" t="s">
        <v>301</v>
      </c>
      <c r="D25" s="97"/>
      <c r="E25" s="97"/>
      <c r="F25" s="97"/>
      <c r="G25" s="97"/>
      <c r="H25" s="97"/>
      <c r="I25" s="332"/>
      <c r="J25" s="97"/>
      <c r="K25" s="97"/>
      <c r="L25" s="333"/>
      <c r="M25" s="333"/>
      <c r="N25" s="334"/>
      <c r="O25" s="335">
        <f>O26+O27+O28+O29+O30+O31</f>
        <v>32117.6253</v>
      </c>
      <c r="P25" s="333">
        <f>P26+P27+P28+P29+P30+P31</f>
        <v>16095.788606408241</v>
      </c>
      <c r="Q25" s="333">
        <f t="shared" ref="Q25:AD25" si="13">Q26+Q27+Q28+Q29+Q30+Q31</f>
        <v>16190.455492401305</v>
      </c>
      <c r="R25" s="333">
        <f t="shared" si="13"/>
        <v>16128.55944291491</v>
      </c>
      <c r="S25" s="333">
        <f t="shared" si="13"/>
        <v>13851.137609627604</v>
      </c>
      <c r="T25" s="333">
        <f t="shared" si="13"/>
        <v>15176.666787091843</v>
      </c>
      <c r="U25" s="333">
        <f t="shared" si="13"/>
        <v>14644.101540197576</v>
      </c>
      <c r="V25" s="333">
        <f t="shared" si="13"/>
        <v>14837.581291651148</v>
      </c>
      <c r="W25" s="333">
        <f t="shared" si="13"/>
        <v>14367.355651462707</v>
      </c>
      <c r="X25" s="333">
        <f t="shared" si="13"/>
        <v>12811.839476027533</v>
      </c>
      <c r="Y25" s="335">
        <f t="shared" si="13"/>
        <v>134103.48589778287</v>
      </c>
      <c r="Z25" s="335">
        <f t="shared" si="13"/>
        <v>166221.11119778286</v>
      </c>
      <c r="AA25" s="333">
        <f t="shared" si="13"/>
        <v>162076.5052755654</v>
      </c>
      <c r="AB25" s="333">
        <f t="shared" si="13"/>
        <v>186135.91226740216</v>
      </c>
      <c r="AC25" s="333">
        <f t="shared" si="13"/>
        <v>207378.78167579672</v>
      </c>
      <c r="AD25" s="334">
        <f t="shared" si="13"/>
        <v>232356.81759473815</v>
      </c>
      <c r="AE25" s="23"/>
      <c r="AF25" s="327"/>
    </row>
    <row r="26" spans="2:33" x14ac:dyDescent="0.3">
      <c r="B26" s="11"/>
      <c r="C26" s="99"/>
      <c r="D26" s="3" t="s">
        <v>146</v>
      </c>
      <c r="L26" s="16"/>
      <c r="M26" s="16"/>
      <c r="N26" s="15"/>
      <c r="O26" s="246">
        <f t="shared" ref="O26:X26" si="14">O50</f>
        <v>643</v>
      </c>
      <c r="P26" s="16">
        <f t="shared" si="14"/>
        <v>905.21085669017407</v>
      </c>
      <c r="Q26" s="16">
        <f t="shared" si="14"/>
        <v>905.21085669017407</v>
      </c>
      <c r="R26" s="16">
        <f t="shared" si="14"/>
        <v>1206.9478089202321</v>
      </c>
      <c r="S26" s="16">
        <f t="shared" si="14"/>
        <v>603.47390446011605</v>
      </c>
      <c r="T26" s="16">
        <f t="shared" si="14"/>
        <v>603.47390446011605</v>
      </c>
      <c r="U26" s="16">
        <f t="shared" si="14"/>
        <v>905.21085669017407</v>
      </c>
      <c r="V26" s="16">
        <f t="shared" si="14"/>
        <v>905.21085669017407</v>
      </c>
      <c r="W26" s="16">
        <f t="shared" si="14"/>
        <v>905.21085669017407</v>
      </c>
      <c r="X26" s="16">
        <f t="shared" si="14"/>
        <v>301.73695223005802</v>
      </c>
      <c r="Y26" s="246">
        <f>SUM(P26:X26)</f>
        <v>7241.6868535213935</v>
      </c>
      <c r="Z26" s="246">
        <f t="shared" ref="Z26:AD26" si="15">Z50</f>
        <v>7884.6868535213935</v>
      </c>
      <c r="AA26" s="16">
        <f t="shared" si="15"/>
        <v>9989.4504472302142</v>
      </c>
      <c r="AB26" s="16">
        <f t="shared" si="15"/>
        <v>12683.21176718254</v>
      </c>
      <c r="AC26" s="16">
        <f t="shared" si="15"/>
        <v>13646.675766816348</v>
      </c>
      <c r="AD26" s="15">
        <f t="shared" si="15"/>
        <v>17051.241282669427</v>
      </c>
      <c r="AE26" s="23"/>
      <c r="AF26" s="327"/>
    </row>
    <row r="27" spans="2:33" x14ac:dyDescent="0.3">
      <c r="B27" s="11"/>
      <c r="C27" s="99"/>
      <c r="D27" s="3" t="s">
        <v>147</v>
      </c>
      <c r="L27" s="16"/>
      <c r="M27" s="16"/>
      <c r="N27" s="15"/>
      <c r="O27" s="246">
        <f>O55</f>
        <v>10464.13759</v>
      </c>
      <c r="P27" s="16">
        <f>P55</f>
        <v>4927.9832239155376</v>
      </c>
      <c r="Q27" s="16">
        <f t="shared" ref="Q27:X27" si="16">Q55</f>
        <v>5042.5874849368292</v>
      </c>
      <c r="R27" s="16">
        <f t="shared" si="16"/>
        <v>4927.9832239155376</v>
      </c>
      <c r="S27" s="16">
        <f t="shared" si="16"/>
        <v>4756.0768323836</v>
      </c>
      <c r="T27" s="16">
        <f t="shared" si="16"/>
        <v>4756.0768323836</v>
      </c>
      <c r="U27" s="16">
        <f t="shared" si="16"/>
        <v>4469.5661798303718</v>
      </c>
      <c r="V27" s="16">
        <f t="shared" si="16"/>
        <v>4756.0768323836</v>
      </c>
      <c r="W27" s="16">
        <f t="shared" si="16"/>
        <v>4584.1704408516634</v>
      </c>
      <c r="X27" s="16">
        <f t="shared" si="16"/>
        <v>4297.6597882984343</v>
      </c>
      <c r="Y27" s="246">
        <f t="shared" ref="Y27:Y45" si="17">SUM(P27:X27)</f>
        <v>42518.180838899178</v>
      </c>
      <c r="Z27" s="246">
        <f t="shared" ref="Z27:AD27" si="18">Z55</f>
        <v>52982.318428899176</v>
      </c>
      <c r="AA27" s="16">
        <f t="shared" si="18"/>
        <v>56254.373604441556</v>
      </c>
      <c r="AB27" s="16">
        <f t="shared" si="18"/>
        <v>61988.75998121217</v>
      </c>
      <c r="AC27" s="16">
        <f t="shared" si="18"/>
        <v>67506.076954510791</v>
      </c>
      <c r="AD27" s="15">
        <f t="shared" si="18"/>
        <v>72226.30462672752</v>
      </c>
      <c r="AE27" s="23"/>
      <c r="AF27" s="327"/>
    </row>
    <row r="28" spans="2:33" x14ac:dyDescent="0.3">
      <c r="B28" s="11"/>
      <c r="C28" s="99"/>
      <c r="D28" s="3" t="s">
        <v>148</v>
      </c>
      <c r="L28" s="16"/>
      <c r="M28" s="16"/>
      <c r="N28" s="15"/>
      <c r="O28" s="246">
        <f>O60</f>
        <v>9894.2025599999997</v>
      </c>
      <c r="P28" s="16">
        <f>P60</f>
        <v>4793.120350332827</v>
      </c>
      <c r="Q28" s="16">
        <f t="shared" ref="Q28:X28" si="19">Q60</f>
        <v>4874.3596783045696</v>
      </c>
      <c r="R28" s="16">
        <f t="shared" si="19"/>
        <v>4955.5990062763121</v>
      </c>
      <c r="S28" s="16">
        <f t="shared" si="19"/>
        <v>4793.120350332827</v>
      </c>
      <c r="T28" s="16">
        <f t="shared" si="19"/>
        <v>4955.5990062763121</v>
      </c>
      <c r="U28" s="16">
        <f t="shared" si="19"/>
        <v>4143.2057265588837</v>
      </c>
      <c r="V28" s="16">
        <f t="shared" si="19"/>
        <v>4224.4450545306272</v>
      </c>
      <c r="W28" s="16">
        <f t="shared" si="19"/>
        <v>4143.2057265588837</v>
      </c>
      <c r="X28" s="16">
        <f t="shared" si="19"/>
        <v>3980.7270706153986</v>
      </c>
      <c r="Y28" s="246">
        <f t="shared" si="17"/>
        <v>40863.381969786649</v>
      </c>
      <c r="Z28" s="246">
        <f t="shared" ref="Z28:AD28" si="20">Z60</f>
        <v>50757.584529786647</v>
      </c>
      <c r="AA28" s="16">
        <f t="shared" si="20"/>
        <v>54340.235283838745</v>
      </c>
      <c r="AB28" s="16">
        <f t="shared" si="20"/>
        <v>65297.873804141309</v>
      </c>
      <c r="AC28" s="16">
        <f t="shared" si="20"/>
        <v>75555.37674692896</v>
      </c>
      <c r="AD28" s="15">
        <f t="shared" si="20"/>
        <v>87028.299238290783</v>
      </c>
      <c r="AE28" s="23"/>
      <c r="AF28" s="327"/>
    </row>
    <row r="29" spans="2:33" x14ac:dyDescent="0.3">
      <c r="B29" s="11"/>
      <c r="C29" s="99"/>
      <c r="D29" s="3" t="s">
        <v>149</v>
      </c>
      <c r="L29" s="16"/>
      <c r="M29" s="16"/>
      <c r="N29" s="15"/>
      <c r="O29" s="246">
        <f>O65</f>
        <v>963.45</v>
      </c>
      <c r="P29" s="16">
        <f>P65</f>
        <v>1556.6360786646471</v>
      </c>
      <c r="Q29" s="16">
        <f t="shared" ref="Q29:X29" si="21">Q65</f>
        <v>1556.6360786646471</v>
      </c>
      <c r="R29" s="16">
        <f t="shared" si="21"/>
        <v>1816.0754251087551</v>
      </c>
      <c r="S29" s="16">
        <f t="shared" si="21"/>
        <v>1297.1967322205392</v>
      </c>
      <c r="T29" s="16">
        <f t="shared" si="21"/>
        <v>1556.6360786646471</v>
      </c>
      <c r="U29" s="16">
        <f t="shared" si="21"/>
        <v>1556.6360786646471</v>
      </c>
      <c r="V29" s="16">
        <f t="shared" si="21"/>
        <v>1816.0754251087551</v>
      </c>
      <c r="W29" s="16">
        <f t="shared" si="21"/>
        <v>1556.6360786646471</v>
      </c>
      <c r="X29" s="16">
        <f t="shared" si="21"/>
        <v>1297.1967322205392</v>
      </c>
      <c r="Y29" s="246">
        <f t="shared" si="17"/>
        <v>14009.724707981823</v>
      </c>
      <c r="Z29" s="246">
        <f t="shared" ref="Z29:AD29" si="22">Z65</f>
        <v>14973.174707981823</v>
      </c>
      <c r="AA29" s="16">
        <f t="shared" si="22"/>
        <v>16109.203934663372</v>
      </c>
      <c r="AB29" s="16">
        <f t="shared" si="22"/>
        <v>17014.815588463138</v>
      </c>
      <c r="AC29" s="16">
        <f t="shared" si="22"/>
        <v>18192.497566248574</v>
      </c>
      <c r="AD29" s="15">
        <f t="shared" si="22"/>
        <v>19660.939711694853</v>
      </c>
      <c r="AE29" s="23"/>
      <c r="AF29" s="327"/>
    </row>
    <row r="30" spans="2:33" x14ac:dyDescent="0.3">
      <c r="B30" s="11"/>
      <c r="C30" s="99"/>
      <c r="D30" s="3" t="s">
        <v>135</v>
      </c>
      <c r="L30" s="16"/>
      <c r="M30" s="16"/>
      <c r="N30" s="15"/>
      <c r="O30" s="246">
        <f>O70</f>
        <v>2416.5080499999999</v>
      </c>
      <c r="P30" s="16">
        <f>P70</f>
        <v>1392.0328957709087</v>
      </c>
      <c r="Q30" s="16">
        <f t="shared" ref="Q30:X30" si="23">Q70</f>
        <v>1276.0301544566662</v>
      </c>
      <c r="R30" s="16">
        <f t="shared" si="23"/>
        <v>696.01644788545434</v>
      </c>
      <c r="S30" s="16">
        <f t="shared" si="23"/>
        <v>232.00548262848477</v>
      </c>
      <c r="T30" s="16">
        <f t="shared" si="23"/>
        <v>928.02193051393908</v>
      </c>
      <c r="U30" s="16">
        <f t="shared" si="23"/>
        <v>1276.0301544566662</v>
      </c>
      <c r="V30" s="16">
        <f t="shared" si="23"/>
        <v>812.01918919969671</v>
      </c>
      <c r="W30" s="16">
        <f t="shared" si="23"/>
        <v>928.02193051393908</v>
      </c>
      <c r="X30" s="16">
        <f t="shared" si="23"/>
        <v>928.02193051393908</v>
      </c>
      <c r="Y30" s="246">
        <f t="shared" si="17"/>
        <v>8468.200115939695</v>
      </c>
      <c r="Z30" s="246">
        <f t="shared" ref="Z30:AD30" si="24">Z70</f>
        <v>10884.708165939695</v>
      </c>
      <c r="AA30" s="16">
        <f t="shared" si="24"/>
        <v>0</v>
      </c>
      <c r="AB30" s="16">
        <f t="shared" si="24"/>
        <v>0</v>
      </c>
      <c r="AC30" s="16">
        <f t="shared" si="24"/>
        <v>0</v>
      </c>
      <c r="AD30" s="15">
        <f t="shared" si="24"/>
        <v>0</v>
      </c>
      <c r="AE30" s="23"/>
      <c r="AF30" s="327"/>
    </row>
    <row r="31" spans="2:33" x14ac:dyDescent="0.3">
      <c r="B31" s="11"/>
      <c r="C31" s="101"/>
      <c r="D31" s="100" t="s">
        <v>136</v>
      </c>
      <c r="E31" s="100"/>
      <c r="F31" s="100"/>
      <c r="G31" s="100"/>
      <c r="H31" s="100"/>
      <c r="I31" s="336"/>
      <c r="J31" s="100"/>
      <c r="K31" s="100"/>
      <c r="L31" s="126"/>
      <c r="M31" s="126"/>
      <c r="N31" s="135"/>
      <c r="O31" s="337">
        <f>O75</f>
        <v>7736.3271000000004</v>
      </c>
      <c r="P31" s="126">
        <f>P75</f>
        <v>2520.805201034148</v>
      </c>
      <c r="Q31" s="126">
        <f t="shared" ref="Q31:X31" si="25">Q75</f>
        <v>2535.6312393484191</v>
      </c>
      <c r="R31" s="126">
        <f t="shared" si="25"/>
        <v>2525.9375308086178</v>
      </c>
      <c r="S31" s="126">
        <f t="shared" si="25"/>
        <v>2169.2643076020386</v>
      </c>
      <c r="T31" s="126">
        <f t="shared" si="25"/>
        <v>2376.8590347932277</v>
      </c>
      <c r="U31" s="126">
        <f t="shared" si="25"/>
        <v>2293.4525439968334</v>
      </c>
      <c r="V31" s="126">
        <f t="shared" si="25"/>
        <v>2323.753933738295</v>
      </c>
      <c r="W31" s="126">
        <f t="shared" si="25"/>
        <v>2250.1106181833984</v>
      </c>
      <c r="X31" s="126">
        <f t="shared" si="25"/>
        <v>2006.4970021491647</v>
      </c>
      <c r="Y31" s="337">
        <f t="shared" si="17"/>
        <v>21002.311411654144</v>
      </c>
      <c r="Z31" s="337">
        <f t="shared" ref="Z31:AD31" si="26">Z75</f>
        <v>28738.638511654142</v>
      </c>
      <c r="AA31" s="126">
        <f t="shared" si="26"/>
        <v>25383.242005391512</v>
      </c>
      <c r="AB31" s="126">
        <f t="shared" si="26"/>
        <v>29151.251126403025</v>
      </c>
      <c r="AC31" s="126">
        <f t="shared" si="26"/>
        <v>32478.154641292043</v>
      </c>
      <c r="AD31" s="135">
        <f t="shared" si="26"/>
        <v>36390.032735355533</v>
      </c>
      <c r="AE31" s="23"/>
      <c r="AF31" s="327"/>
    </row>
    <row r="32" spans="2:33" s="11" customFormat="1" x14ac:dyDescent="0.3">
      <c r="C32" s="11" t="s">
        <v>302</v>
      </c>
      <c r="I32" s="288"/>
      <c r="L32" s="13"/>
      <c r="M32" s="13"/>
      <c r="N32" s="124"/>
      <c r="O32" s="326">
        <f>SUM(O33:O38)</f>
        <v>2474.7736</v>
      </c>
      <c r="P32" s="13">
        <f t="shared" ref="P32:AD32" si="27">SUM(P33:P38)</f>
        <v>8168.4689243909806</v>
      </c>
      <c r="Q32" s="13">
        <f t="shared" si="27"/>
        <v>8227.6115461242061</v>
      </c>
      <c r="R32" s="13">
        <f t="shared" si="27"/>
        <v>8150.1618644674454</v>
      </c>
      <c r="S32" s="13">
        <f t="shared" si="27"/>
        <v>7159.7659774337972</v>
      </c>
      <c r="T32" s="13">
        <f t="shared" si="27"/>
        <v>7813.6521205952276</v>
      </c>
      <c r="U32" s="13">
        <f t="shared" si="27"/>
        <v>7407.2577044796963</v>
      </c>
      <c r="V32" s="13">
        <f t="shared" si="27"/>
        <v>7550.3173726699733</v>
      </c>
      <c r="W32" s="13">
        <f t="shared" si="27"/>
        <v>7287.330769860775</v>
      </c>
      <c r="X32" s="13">
        <f t="shared" si="27"/>
        <v>6648.7296837597814</v>
      </c>
      <c r="Y32" s="326">
        <f t="shared" si="27"/>
        <v>68413.295963781871</v>
      </c>
      <c r="Z32" s="326">
        <f t="shared" si="27"/>
        <v>70888.069563781886</v>
      </c>
      <c r="AA32" s="13">
        <f t="shared" si="27"/>
        <v>70420.768095462437</v>
      </c>
      <c r="AB32" s="13">
        <f t="shared" si="27"/>
        <v>81540.354973986803</v>
      </c>
      <c r="AC32" s="13">
        <f t="shared" si="27"/>
        <v>91492.430690897803</v>
      </c>
      <c r="AD32" s="13">
        <f t="shared" si="27"/>
        <v>102379.1825483206</v>
      </c>
      <c r="AE32" s="160"/>
      <c r="AF32" s="327"/>
      <c r="AG32" s="328"/>
    </row>
    <row r="33" spans="1:33" x14ac:dyDescent="0.3">
      <c r="D33" s="3" t="s">
        <v>146</v>
      </c>
      <c r="L33" s="16"/>
      <c r="M33" s="16"/>
      <c r="N33" s="15"/>
      <c r="O33" s="246">
        <f>O88</f>
        <v>0</v>
      </c>
      <c r="P33" s="16">
        <f t="shared" ref="P33:X33" si="28">P88</f>
        <v>238.73789087107181</v>
      </c>
      <c r="Q33" s="16">
        <f t="shared" si="28"/>
        <v>238.73789087107181</v>
      </c>
      <c r="R33" s="16">
        <f t="shared" si="28"/>
        <v>318.31718782809577</v>
      </c>
      <c r="S33" s="16">
        <f t="shared" si="28"/>
        <v>159.15859391404788</v>
      </c>
      <c r="T33" s="16">
        <f t="shared" si="28"/>
        <v>159.15859391404788</v>
      </c>
      <c r="U33" s="16">
        <f t="shared" si="28"/>
        <v>238.73789087107181</v>
      </c>
      <c r="V33" s="16">
        <f t="shared" si="28"/>
        <v>238.73789087107181</v>
      </c>
      <c r="W33" s="16">
        <f t="shared" si="28"/>
        <v>238.73789087107181</v>
      </c>
      <c r="X33" s="16">
        <f t="shared" si="28"/>
        <v>79.579296957023942</v>
      </c>
      <c r="Y33" s="246">
        <f t="shared" si="17"/>
        <v>1909.9031269685745</v>
      </c>
      <c r="Z33" s="246">
        <f t="shared" ref="Z33:AD33" si="29">Z88</f>
        <v>1909.9031269685745</v>
      </c>
      <c r="AA33" s="16">
        <f t="shared" si="29"/>
        <v>2401.346770414048</v>
      </c>
      <c r="AB33" s="16">
        <f t="shared" si="29"/>
        <v>3139.3732416956445</v>
      </c>
      <c r="AC33" s="16">
        <f t="shared" si="29"/>
        <v>3401.438543539045</v>
      </c>
      <c r="AD33" s="16">
        <f t="shared" si="29"/>
        <v>4150.8203333838246</v>
      </c>
      <c r="AE33" s="23"/>
      <c r="AF33" s="327"/>
    </row>
    <row r="34" spans="1:33" x14ac:dyDescent="0.3">
      <c r="D34" s="3" t="s">
        <v>147</v>
      </c>
      <c r="L34" s="16"/>
      <c r="M34" s="16"/>
      <c r="N34" s="15"/>
      <c r="O34" s="246">
        <f>O93</f>
        <v>641.64400000000001</v>
      </c>
      <c r="P34" s="16">
        <f t="shared" ref="P34:X34" si="30">P93</f>
        <v>2600.630215241832</v>
      </c>
      <c r="Q34" s="16">
        <f t="shared" si="30"/>
        <v>2661.1099876893163</v>
      </c>
      <c r="R34" s="16">
        <f t="shared" si="30"/>
        <v>2600.630215241832</v>
      </c>
      <c r="S34" s="16">
        <f t="shared" si="30"/>
        <v>2509.910556570605</v>
      </c>
      <c r="T34" s="16">
        <f t="shared" si="30"/>
        <v>2509.910556570605</v>
      </c>
      <c r="U34" s="16">
        <f t="shared" si="30"/>
        <v>2358.7111254518941</v>
      </c>
      <c r="V34" s="16">
        <f t="shared" si="30"/>
        <v>2509.910556570605</v>
      </c>
      <c r="W34" s="16">
        <f t="shared" si="30"/>
        <v>2419.1908978993788</v>
      </c>
      <c r="X34" s="16">
        <f t="shared" si="30"/>
        <v>2267.9914667806675</v>
      </c>
      <c r="Y34" s="246">
        <f t="shared" si="17"/>
        <v>22437.995578016733</v>
      </c>
      <c r="Z34" s="246">
        <f t="shared" ref="Z34:AD34" si="31">Z93</f>
        <v>23079.639578016733</v>
      </c>
      <c r="AA34" s="16">
        <f t="shared" si="31"/>
        <v>24470.901362570756</v>
      </c>
      <c r="AB34" s="16">
        <f t="shared" si="31"/>
        <v>27312.227853571487</v>
      </c>
      <c r="AC34" s="16">
        <f t="shared" si="31"/>
        <v>29957.899398286201</v>
      </c>
      <c r="AD34" s="16">
        <f t="shared" si="31"/>
        <v>32136.794021093374</v>
      </c>
      <c r="AE34" s="23"/>
      <c r="AF34" s="327"/>
    </row>
    <row r="35" spans="1:33" x14ac:dyDescent="0.3">
      <c r="D35" s="3" t="s">
        <v>148</v>
      </c>
      <c r="L35" s="16"/>
      <c r="M35" s="16"/>
      <c r="N35" s="15"/>
      <c r="O35" s="246">
        <f>O98</f>
        <v>923.45600000000002</v>
      </c>
      <c r="P35" s="16">
        <f t="shared" ref="P35:X35" si="32">P98</f>
        <v>2553.2389934546686</v>
      </c>
      <c r="Q35" s="16">
        <f t="shared" si="32"/>
        <v>2596.5142306318662</v>
      </c>
      <c r="R35" s="16">
        <f t="shared" si="32"/>
        <v>2639.7894678090638</v>
      </c>
      <c r="S35" s="16">
        <f t="shared" si="32"/>
        <v>2553.2389934546686</v>
      </c>
      <c r="T35" s="16">
        <f t="shared" si="32"/>
        <v>2639.7894678090638</v>
      </c>
      <c r="U35" s="16">
        <f t="shared" si="32"/>
        <v>2207.037096037086</v>
      </c>
      <c r="V35" s="16">
        <f t="shared" si="32"/>
        <v>2250.3123332142841</v>
      </c>
      <c r="W35" s="16">
        <f t="shared" si="32"/>
        <v>2207.037096037086</v>
      </c>
      <c r="X35" s="16">
        <f t="shared" si="32"/>
        <v>2120.4866216826908</v>
      </c>
      <c r="Y35" s="246">
        <f t="shared" si="17"/>
        <v>21767.444300130475</v>
      </c>
      <c r="Z35" s="246">
        <f t="shared" ref="Z35:AD35" si="33">Z98</f>
        <v>22690.900300130474</v>
      </c>
      <c r="AA35" s="16">
        <f t="shared" si="33"/>
        <v>24282.372630591432</v>
      </c>
      <c r="AB35" s="16">
        <f t="shared" si="33"/>
        <v>29498.342964681557</v>
      </c>
      <c r="AC35" s="16">
        <f t="shared" si="33"/>
        <v>34380.409569965806</v>
      </c>
      <c r="AD35" s="16">
        <f t="shared" si="33"/>
        <v>39752.258595651729</v>
      </c>
      <c r="AE35" s="23"/>
      <c r="AF35" s="327"/>
    </row>
    <row r="36" spans="1:33" x14ac:dyDescent="0.3">
      <c r="D36" s="3" t="s">
        <v>149</v>
      </c>
      <c r="L36" s="16"/>
      <c r="M36" s="16"/>
      <c r="N36" s="15"/>
      <c r="O36" s="246">
        <f>O103</f>
        <v>0</v>
      </c>
      <c r="P36" s="16">
        <f t="shared" ref="P36:X36" si="34">P103</f>
        <v>850.07720964150951</v>
      </c>
      <c r="Q36" s="16">
        <f t="shared" si="34"/>
        <v>850.07720964150951</v>
      </c>
      <c r="R36" s="16">
        <f t="shared" si="34"/>
        <v>991.75674458176115</v>
      </c>
      <c r="S36" s="16">
        <f t="shared" si="34"/>
        <v>708.39767470125787</v>
      </c>
      <c r="T36" s="16">
        <f t="shared" si="34"/>
        <v>850.07720964150951</v>
      </c>
      <c r="U36" s="16">
        <f t="shared" si="34"/>
        <v>850.07720964150951</v>
      </c>
      <c r="V36" s="16">
        <f t="shared" si="34"/>
        <v>991.75674458176115</v>
      </c>
      <c r="W36" s="16">
        <f t="shared" si="34"/>
        <v>850.07720964150951</v>
      </c>
      <c r="X36" s="16">
        <f t="shared" si="34"/>
        <v>708.39767470125787</v>
      </c>
      <c r="Y36" s="246">
        <f t="shared" si="17"/>
        <v>7650.6948867735855</v>
      </c>
      <c r="Z36" s="246">
        <f t="shared" ref="Z36:AD36" si="35">Z103</f>
        <v>7650.6948867735855</v>
      </c>
      <c r="AA36" s="16">
        <f t="shared" si="35"/>
        <v>8237.3594410470923</v>
      </c>
      <c r="AB36" s="16">
        <f t="shared" si="35"/>
        <v>8820.1542997855122</v>
      </c>
      <c r="AC36" s="16">
        <f t="shared" si="35"/>
        <v>9423.8049376859799</v>
      </c>
      <c r="AD36" s="16">
        <f t="shared" si="35"/>
        <v>10305.427558843707</v>
      </c>
      <c r="AE36" s="23"/>
      <c r="AF36" s="327"/>
    </row>
    <row r="37" spans="1:33" x14ac:dyDescent="0.3">
      <c r="D37" s="3" t="s">
        <v>135</v>
      </c>
      <c r="L37" s="16"/>
      <c r="M37" s="16"/>
      <c r="N37" s="15"/>
      <c r="O37" s="246">
        <f>O108</f>
        <v>96.65</v>
      </c>
      <c r="P37" s="16">
        <f t="shared" ref="P37:X37" si="36">P108</f>
        <v>646.49849552618844</v>
      </c>
      <c r="Q37" s="16">
        <f t="shared" si="36"/>
        <v>592.62362089900603</v>
      </c>
      <c r="R37" s="16">
        <f t="shared" si="36"/>
        <v>323.24924776309422</v>
      </c>
      <c r="S37" s="16">
        <f t="shared" si="36"/>
        <v>107.74974925436474</v>
      </c>
      <c r="T37" s="16">
        <f t="shared" si="36"/>
        <v>430.99899701745898</v>
      </c>
      <c r="U37" s="16">
        <f t="shared" si="36"/>
        <v>592.62362089900603</v>
      </c>
      <c r="V37" s="16">
        <f t="shared" si="36"/>
        <v>377.12412239027663</v>
      </c>
      <c r="W37" s="16">
        <f t="shared" si="36"/>
        <v>430.99899701745898</v>
      </c>
      <c r="X37" s="16">
        <f t="shared" si="36"/>
        <v>430.99899701745898</v>
      </c>
      <c r="Y37" s="246">
        <f t="shared" si="17"/>
        <v>3932.8658477843123</v>
      </c>
      <c r="Z37" s="246">
        <f t="shared" ref="Z37:AD37" si="37">Z108</f>
        <v>4029.5158477843124</v>
      </c>
      <c r="AA37" s="16">
        <f t="shared" si="37"/>
        <v>0</v>
      </c>
      <c r="AB37" s="16">
        <f t="shared" si="37"/>
        <v>0</v>
      </c>
      <c r="AC37" s="16">
        <f t="shared" si="37"/>
        <v>0</v>
      </c>
      <c r="AD37" s="16">
        <f t="shared" si="37"/>
        <v>0</v>
      </c>
      <c r="AE37" s="23"/>
      <c r="AF37" s="327"/>
    </row>
    <row r="38" spans="1:33" x14ac:dyDescent="0.3">
      <c r="D38" s="3" t="s">
        <v>136</v>
      </c>
      <c r="L38" s="16"/>
      <c r="M38" s="16"/>
      <c r="N38" s="15"/>
      <c r="O38" s="246">
        <f>O113</f>
        <v>813.0236000000001</v>
      </c>
      <c r="P38" s="16">
        <f t="shared" ref="P38:X38" si="38">P113</f>
        <v>1279.2861196557103</v>
      </c>
      <c r="Q38" s="16">
        <f t="shared" si="38"/>
        <v>1288.5486063914366</v>
      </c>
      <c r="R38" s="16">
        <f t="shared" si="38"/>
        <v>1276.4190012435986</v>
      </c>
      <c r="S38" s="16">
        <f t="shared" si="38"/>
        <v>1121.3104095388549</v>
      </c>
      <c r="T38" s="16">
        <f t="shared" si="38"/>
        <v>1223.7172956425429</v>
      </c>
      <c r="U38" s="16">
        <f t="shared" si="38"/>
        <v>1160.0707615791293</v>
      </c>
      <c r="V38" s="16">
        <f t="shared" si="38"/>
        <v>1182.4757250419755</v>
      </c>
      <c r="W38" s="16">
        <f t="shared" si="38"/>
        <v>1141.2886783942706</v>
      </c>
      <c r="X38" s="16">
        <f t="shared" si="38"/>
        <v>1041.2756266206823</v>
      </c>
      <c r="Y38" s="246">
        <f t="shared" si="17"/>
        <v>10714.3922241082</v>
      </c>
      <c r="Z38" s="246">
        <f t="shared" ref="Z38:AD38" si="39">Z113</f>
        <v>11527.415824108202</v>
      </c>
      <c r="AA38" s="16">
        <f t="shared" si="39"/>
        <v>11028.787890839107</v>
      </c>
      <c r="AB38" s="16">
        <f t="shared" si="39"/>
        <v>12770.256614252605</v>
      </c>
      <c r="AC38" s="16">
        <f t="shared" si="39"/>
        <v>14328.878241420774</v>
      </c>
      <c r="AD38" s="16">
        <f t="shared" si="39"/>
        <v>16033.882039347985</v>
      </c>
      <c r="AE38" s="23"/>
      <c r="AF38" s="327"/>
    </row>
    <row r="39" spans="1:33" s="11" customFormat="1" x14ac:dyDescent="0.3">
      <c r="C39" s="11" t="s">
        <v>303</v>
      </c>
      <c r="I39" s="288"/>
      <c r="L39" s="13"/>
      <c r="M39" s="13"/>
      <c r="N39" s="124"/>
      <c r="O39" s="326">
        <f>SUM(O40:O45)</f>
        <v>29642.851699999999</v>
      </c>
      <c r="P39" s="13">
        <f t="shared" ref="P39:AD39" si="40">SUM(P40:P45)</f>
        <v>7927.3196820172616</v>
      </c>
      <c r="Q39" s="13">
        <f t="shared" si="40"/>
        <v>7962.8439462770984</v>
      </c>
      <c r="R39" s="13">
        <f t="shared" si="40"/>
        <v>7978.3975784474642</v>
      </c>
      <c r="S39" s="13">
        <f t="shared" si="40"/>
        <v>6691.3716321938073</v>
      </c>
      <c r="T39" s="13">
        <f t="shared" si="40"/>
        <v>7363.0146664966142</v>
      </c>
      <c r="U39" s="13">
        <f t="shared" si="40"/>
        <v>7236.8438357178802</v>
      </c>
      <c r="V39" s="13">
        <f t="shared" si="40"/>
        <v>7287.2639189811744</v>
      </c>
      <c r="W39" s="13">
        <f t="shared" si="40"/>
        <v>7080.0248816019302</v>
      </c>
      <c r="X39" s="13">
        <f t="shared" si="40"/>
        <v>6163.1097922677527</v>
      </c>
      <c r="Y39" s="326">
        <f t="shared" si="40"/>
        <v>65690.189934000984</v>
      </c>
      <c r="Z39" s="326">
        <f t="shared" si="40"/>
        <v>95333.041634000983</v>
      </c>
      <c r="AA39" s="13">
        <f t="shared" si="40"/>
        <v>91655.737180102966</v>
      </c>
      <c r="AB39" s="13">
        <f t="shared" si="40"/>
        <v>104595.55729341539</v>
      </c>
      <c r="AC39" s="13">
        <f t="shared" si="40"/>
        <v>115886.35098489892</v>
      </c>
      <c r="AD39" s="13">
        <f t="shared" si="40"/>
        <v>129977.63504641749</v>
      </c>
      <c r="AE39" s="160"/>
      <c r="AF39" s="327"/>
      <c r="AG39" s="328"/>
    </row>
    <row r="40" spans="1:33" x14ac:dyDescent="0.3">
      <c r="D40" s="3" t="s">
        <v>146</v>
      </c>
      <c r="L40" s="16"/>
      <c r="M40" s="16"/>
      <c r="N40" s="15"/>
      <c r="O40" s="246">
        <f>O126</f>
        <v>643</v>
      </c>
      <c r="P40" s="16">
        <f t="shared" ref="P40:X40" si="41">P126</f>
        <v>666.47296581910223</v>
      </c>
      <c r="Q40" s="16">
        <f t="shared" si="41"/>
        <v>666.47296581910223</v>
      </c>
      <c r="R40" s="16">
        <f t="shared" si="41"/>
        <v>888.63062109213638</v>
      </c>
      <c r="S40" s="16">
        <f t="shared" si="41"/>
        <v>444.31531054606819</v>
      </c>
      <c r="T40" s="16">
        <f t="shared" si="41"/>
        <v>444.31531054606819</v>
      </c>
      <c r="U40" s="16">
        <f t="shared" si="41"/>
        <v>666.47296581910223</v>
      </c>
      <c r="V40" s="16">
        <f t="shared" si="41"/>
        <v>666.47296581910223</v>
      </c>
      <c r="W40" s="16">
        <f t="shared" si="41"/>
        <v>666.47296581910223</v>
      </c>
      <c r="X40" s="16">
        <f t="shared" si="41"/>
        <v>222.15765527303409</v>
      </c>
      <c r="Y40" s="246">
        <f t="shared" si="17"/>
        <v>5331.7837265528187</v>
      </c>
      <c r="Z40" s="246">
        <f t="shared" ref="Z40:AD40" si="42">Z126</f>
        <v>5974.7837265528187</v>
      </c>
      <c r="AA40" s="16">
        <f t="shared" si="42"/>
        <v>7588.1036768161666</v>
      </c>
      <c r="AB40" s="16">
        <f t="shared" si="42"/>
        <v>9543.8385254868954</v>
      </c>
      <c r="AC40" s="16">
        <f t="shared" si="42"/>
        <v>10245.237223277303</v>
      </c>
      <c r="AD40" s="16">
        <f t="shared" si="42"/>
        <v>12900.420949285601</v>
      </c>
      <c r="AE40" s="23"/>
      <c r="AF40" s="327"/>
    </row>
    <row r="41" spans="1:33" x14ac:dyDescent="0.3">
      <c r="D41" s="3" t="s">
        <v>147</v>
      </c>
      <c r="L41" s="16"/>
      <c r="M41" s="16"/>
      <c r="N41" s="15"/>
      <c r="O41" s="246">
        <f>O131</f>
        <v>9822.49359</v>
      </c>
      <c r="P41" s="16">
        <f t="shared" ref="P41:X41" si="43">P131</f>
        <v>2327.3530086737055</v>
      </c>
      <c r="Q41" s="16">
        <f t="shared" si="43"/>
        <v>2381.4774972475129</v>
      </c>
      <c r="R41" s="16">
        <f t="shared" si="43"/>
        <v>2327.3530086737055</v>
      </c>
      <c r="S41" s="16">
        <f t="shared" si="43"/>
        <v>2246.1662758129951</v>
      </c>
      <c r="T41" s="16">
        <f t="shared" si="43"/>
        <v>2246.1662758129951</v>
      </c>
      <c r="U41" s="16">
        <f t="shared" si="43"/>
        <v>2110.8550543784777</v>
      </c>
      <c r="V41" s="16">
        <f t="shared" si="43"/>
        <v>2246.1662758129951</v>
      </c>
      <c r="W41" s="16">
        <f t="shared" si="43"/>
        <v>2164.9795429522846</v>
      </c>
      <c r="X41" s="16">
        <f t="shared" si="43"/>
        <v>2029.6683215177668</v>
      </c>
      <c r="Y41" s="246">
        <f t="shared" si="17"/>
        <v>20080.185260882437</v>
      </c>
      <c r="Z41" s="246">
        <f t="shared" ref="Z41:AD41" si="44">Z131</f>
        <v>29902.678850882439</v>
      </c>
      <c r="AA41" s="16">
        <f t="shared" si="44"/>
        <v>31783.472241870804</v>
      </c>
      <c r="AB41" s="16">
        <f t="shared" si="44"/>
        <v>34676.532127640683</v>
      </c>
      <c r="AC41" s="16">
        <f t="shared" si="44"/>
        <v>37548.177556224597</v>
      </c>
      <c r="AD41" s="16">
        <f t="shared" si="44"/>
        <v>40089.510605634146</v>
      </c>
      <c r="AE41" s="23"/>
      <c r="AF41" s="327"/>
    </row>
    <row r="42" spans="1:33" x14ac:dyDescent="0.3">
      <c r="D42" s="3" t="s">
        <v>148</v>
      </c>
      <c r="L42" s="16"/>
      <c r="M42" s="16"/>
      <c r="N42" s="15"/>
      <c r="O42" s="246">
        <f>O136</f>
        <v>8970.7465599999996</v>
      </c>
      <c r="P42" s="16">
        <f t="shared" ref="P42:X42" si="45">P136</f>
        <v>2239.8813568781584</v>
      </c>
      <c r="Q42" s="16">
        <f t="shared" si="45"/>
        <v>2277.8454476727034</v>
      </c>
      <c r="R42" s="16">
        <f t="shared" si="45"/>
        <v>2315.8095384672483</v>
      </c>
      <c r="S42" s="16">
        <f t="shared" si="45"/>
        <v>2239.8813568781584</v>
      </c>
      <c r="T42" s="16">
        <f t="shared" si="45"/>
        <v>2315.8095384672483</v>
      </c>
      <c r="U42" s="16">
        <f t="shared" si="45"/>
        <v>1936.1686305217977</v>
      </c>
      <c r="V42" s="16">
        <f t="shared" si="45"/>
        <v>1974.1327213163431</v>
      </c>
      <c r="W42" s="16">
        <f t="shared" si="45"/>
        <v>1936.1686305217977</v>
      </c>
      <c r="X42" s="16">
        <f t="shared" si="45"/>
        <v>1860.2404489327077</v>
      </c>
      <c r="Y42" s="246">
        <f>SUM(P42:X42)</f>
        <v>19095.937669656167</v>
      </c>
      <c r="Z42" s="246">
        <f t="shared" ref="Z42:AD42" si="46">Z136</f>
        <v>28066.684229656166</v>
      </c>
      <c r="AA42" s="16">
        <f t="shared" si="46"/>
        <v>30057.862653247317</v>
      </c>
      <c r="AB42" s="16">
        <f t="shared" si="46"/>
        <v>35799.530839459752</v>
      </c>
      <c r="AC42" s="16">
        <f t="shared" si="46"/>
        <v>41174.96717696316</v>
      </c>
      <c r="AD42" s="16">
        <f t="shared" si="46"/>
        <v>47276.040642639047</v>
      </c>
      <c r="AE42" s="23"/>
      <c r="AF42" s="327"/>
    </row>
    <row r="43" spans="1:33" x14ac:dyDescent="0.3">
      <c r="D43" s="3" t="s">
        <v>149</v>
      </c>
      <c r="N43" s="15"/>
      <c r="O43" s="246">
        <f>O141</f>
        <v>963.45</v>
      </c>
      <c r="P43" s="16">
        <f t="shared" ref="P43:X43" si="47">P141</f>
        <v>706.55886902313762</v>
      </c>
      <c r="Q43" s="16">
        <f t="shared" si="47"/>
        <v>706.55886902313762</v>
      </c>
      <c r="R43" s="16">
        <f t="shared" si="47"/>
        <v>824.31868052699394</v>
      </c>
      <c r="S43" s="16">
        <f t="shared" si="47"/>
        <v>588.79905751928129</v>
      </c>
      <c r="T43" s="16">
        <f t="shared" si="47"/>
        <v>706.55886902313762</v>
      </c>
      <c r="U43" s="16">
        <f t="shared" si="47"/>
        <v>706.55886902313762</v>
      </c>
      <c r="V43" s="16">
        <f t="shared" si="47"/>
        <v>824.31868052699394</v>
      </c>
      <c r="W43" s="16">
        <f t="shared" si="47"/>
        <v>706.55886902313762</v>
      </c>
      <c r="X43" s="16">
        <f t="shared" si="47"/>
        <v>588.79905751928129</v>
      </c>
      <c r="Y43" s="246">
        <f t="shared" si="17"/>
        <v>6359.0298212082398</v>
      </c>
      <c r="Z43" s="246">
        <f t="shared" ref="Z43:AD43" si="48">Z141</f>
        <v>7322.4798212082396</v>
      </c>
      <c r="AA43" s="16">
        <f t="shared" si="48"/>
        <v>7871.8444936162796</v>
      </c>
      <c r="AB43" s="16">
        <f t="shared" si="48"/>
        <v>8194.6612886776256</v>
      </c>
      <c r="AC43" s="16">
        <f t="shared" si="48"/>
        <v>8768.6926285625959</v>
      </c>
      <c r="AD43" s="16">
        <f t="shared" si="48"/>
        <v>9355.5121528511463</v>
      </c>
      <c r="AE43" s="23"/>
      <c r="AF43" s="327"/>
    </row>
    <row r="44" spans="1:33" x14ac:dyDescent="0.3">
      <c r="D44" s="3" t="s">
        <v>135</v>
      </c>
      <c r="N44" s="15"/>
      <c r="O44" s="246">
        <f>O146</f>
        <v>2319.8580499999998</v>
      </c>
      <c r="P44" s="16">
        <f t="shared" ref="P44:X44" si="49">P146</f>
        <v>745.53440024472025</v>
      </c>
      <c r="Q44" s="16">
        <f t="shared" si="49"/>
        <v>683.40653355766017</v>
      </c>
      <c r="R44" s="16">
        <f t="shared" si="49"/>
        <v>372.76720012236012</v>
      </c>
      <c r="S44" s="16">
        <f t="shared" si="49"/>
        <v>124.25573337412003</v>
      </c>
      <c r="T44" s="16">
        <f t="shared" si="49"/>
        <v>497.02293349648011</v>
      </c>
      <c r="U44" s="16">
        <f t="shared" si="49"/>
        <v>683.40653355766017</v>
      </c>
      <c r="V44" s="16">
        <f t="shared" si="49"/>
        <v>434.89506680942009</v>
      </c>
      <c r="W44" s="16">
        <f t="shared" si="49"/>
        <v>497.02293349648011</v>
      </c>
      <c r="X44" s="16">
        <f t="shared" si="49"/>
        <v>497.02293349648011</v>
      </c>
      <c r="Y44" s="246">
        <f t="shared" si="17"/>
        <v>4535.3342681553813</v>
      </c>
      <c r="Z44" s="246">
        <f t="shared" ref="Z44:AD44" si="50">Z146</f>
        <v>6855.1923181553811</v>
      </c>
      <c r="AA44" s="16">
        <f t="shared" si="50"/>
        <v>0</v>
      </c>
      <c r="AB44" s="16">
        <f t="shared" si="50"/>
        <v>0</v>
      </c>
      <c r="AC44" s="16">
        <f t="shared" si="50"/>
        <v>0</v>
      </c>
      <c r="AD44" s="16">
        <f t="shared" si="50"/>
        <v>0</v>
      </c>
      <c r="AE44" s="23"/>
      <c r="AF44" s="327"/>
    </row>
    <row r="45" spans="1:33" x14ac:dyDescent="0.3">
      <c r="B45" s="92"/>
      <c r="C45" s="92"/>
      <c r="D45" s="92" t="s">
        <v>136</v>
      </c>
      <c r="E45" s="92"/>
      <c r="F45" s="92"/>
      <c r="G45" s="92"/>
      <c r="H45" s="92"/>
      <c r="I45" s="92"/>
      <c r="J45" s="92"/>
      <c r="K45" s="92"/>
      <c r="L45" s="92"/>
      <c r="M45" s="92"/>
      <c r="N45" s="131"/>
      <c r="O45" s="330">
        <f>O151</f>
        <v>6923.3035</v>
      </c>
      <c r="P45" s="130">
        <f t="shared" ref="P45:X45" si="51">P151</f>
        <v>1241.5190813784372</v>
      </c>
      <c r="Q45" s="130">
        <f t="shared" si="51"/>
        <v>1247.0826329569825</v>
      </c>
      <c r="R45" s="130">
        <f t="shared" si="51"/>
        <v>1249.5185295650194</v>
      </c>
      <c r="S45" s="130">
        <f t="shared" si="51"/>
        <v>1047.9538980631839</v>
      </c>
      <c r="T45" s="130">
        <f t="shared" si="51"/>
        <v>1153.1417391506848</v>
      </c>
      <c r="U45" s="130">
        <f t="shared" si="51"/>
        <v>1133.3817824177038</v>
      </c>
      <c r="V45" s="130">
        <f t="shared" si="51"/>
        <v>1141.2782086963193</v>
      </c>
      <c r="W45" s="130">
        <f t="shared" si="51"/>
        <v>1108.8219397891276</v>
      </c>
      <c r="X45" s="130">
        <f t="shared" si="51"/>
        <v>965.22137552848244</v>
      </c>
      <c r="Y45" s="330">
        <f t="shared" si="17"/>
        <v>10287.919187545942</v>
      </c>
      <c r="Z45" s="330">
        <f t="shared" ref="Z45:AD45" si="52">Z151</f>
        <v>17211.222687545938</v>
      </c>
      <c r="AA45" s="130">
        <f t="shared" si="52"/>
        <v>14354.454114552404</v>
      </c>
      <c r="AB45" s="130">
        <f t="shared" si="52"/>
        <v>16380.994512150421</v>
      </c>
      <c r="AC45" s="130">
        <f t="shared" si="52"/>
        <v>18149.276399871269</v>
      </c>
      <c r="AD45" s="130">
        <f t="shared" si="52"/>
        <v>20356.150696007549</v>
      </c>
      <c r="AE45" s="23"/>
      <c r="AF45" s="327"/>
    </row>
    <row r="46" spans="1:33" x14ac:dyDescent="0.3">
      <c r="N46" s="16"/>
      <c r="O46" s="16"/>
      <c r="P46" s="16"/>
      <c r="Q46" s="16"/>
      <c r="R46" s="16"/>
      <c r="S46" s="16"/>
      <c r="T46" s="16"/>
      <c r="U46" s="16"/>
      <c r="V46" s="16"/>
      <c r="W46" s="16"/>
      <c r="X46" s="16"/>
      <c r="Y46" s="16"/>
      <c r="Z46" s="16"/>
      <c r="AA46" s="16"/>
      <c r="AB46" s="16"/>
      <c r="AC46" s="16"/>
      <c r="AD46" s="16"/>
      <c r="AE46" s="23"/>
    </row>
    <row r="47" spans="1:33" x14ac:dyDescent="0.3">
      <c r="B47" s="8"/>
      <c r="C47" s="8"/>
      <c r="D47" s="8"/>
      <c r="E47" s="8"/>
      <c r="F47" s="8"/>
      <c r="G47" s="8"/>
      <c r="H47" s="8"/>
      <c r="I47" s="325"/>
      <c r="J47" s="8"/>
      <c r="K47" s="8"/>
      <c r="L47" s="9" t="s">
        <v>182</v>
      </c>
      <c r="M47" s="9" t="s">
        <v>183</v>
      </c>
      <c r="N47" s="10" t="s">
        <v>184</v>
      </c>
      <c r="O47" s="244" t="s">
        <v>293</v>
      </c>
      <c r="P47" s="9" t="s">
        <v>215</v>
      </c>
      <c r="Q47" s="9" t="s">
        <v>216</v>
      </c>
      <c r="R47" s="9" t="s">
        <v>217</v>
      </c>
      <c r="S47" s="9" t="s">
        <v>218</v>
      </c>
      <c r="T47" s="9" t="s">
        <v>219</v>
      </c>
      <c r="U47" s="9" t="s">
        <v>220</v>
      </c>
      <c r="V47" s="9" t="s">
        <v>221</v>
      </c>
      <c r="W47" s="9" t="s">
        <v>222</v>
      </c>
      <c r="X47" s="9" t="s">
        <v>223</v>
      </c>
      <c r="Y47" s="244" t="s">
        <v>294</v>
      </c>
      <c r="Z47" s="244" t="s">
        <v>197</v>
      </c>
      <c r="AA47" s="9" t="s">
        <v>198</v>
      </c>
      <c r="AB47" s="9" t="s">
        <v>199</v>
      </c>
      <c r="AC47" s="9" t="s">
        <v>200</v>
      </c>
      <c r="AD47" s="9" t="s">
        <v>201</v>
      </c>
      <c r="AE47" s="23"/>
    </row>
    <row r="48" spans="1:33" s="11" customFormat="1" x14ac:dyDescent="0.3">
      <c r="A48" s="338" t="s">
        <v>12</v>
      </c>
      <c r="B48" s="11" t="s">
        <v>300</v>
      </c>
      <c r="I48" s="288"/>
      <c r="L48" s="13"/>
      <c r="M48" s="13"/>
      <c r="N48" s="124"/>
      <c r="O48" s="326">
        <f>O49</f>
        <v>32117.625300000003</v>
      </c>
      <c r="P48" s="13">
        <f t="shared" ref="P48:AD48" si="53">P49</f>
        <v>16095.788606408243</v>
      </c>
      <c r="Q48" s="13">
        <f t="shared" si="53"/>
        <v>16190.455492401305</v>
      </c>
      <c r="R48" s="13">
        <f t="shared" si="53"/>
        <v>16128.55944291491</v>
      </c>
      <c r="S48" s="13">
        <f t="shared" si="53"/>
        <v>13851.137609627605</v>
      </c>
      <c r="T48" s="13">
        <f t="shared" si="53"/>
        <v>15176.666787091843</v>
      </c>
      <c r="U48" s="13">
        <f t="shared" si="53"/>
        <v>14644.101540197576</v>
      </c>
      <c r="V48" s="13">
        <f t="shared" si="53"/>
        <v>14837.581291651148</v>
      </c>
      <c r="W48" s="13">
        <f t="shared" si="53"/>
        <v>14367.355651462707</v>
      </c>
      <c r="X48" s="13">
        <f t="shared" si="53"/>
        <v>12811.839476027533</v>
      </c>
      <c r="Y48" s="326">
        <f t="shared" si="53"/>
        <v>134103.48589778287</v>
      </c>
      <c r="Z48" s="326">
        <f t="shared" si="53"/>
        <v>166221.11119778286</v>
      </c>
      <c r="AA48" s="13">
        <f>AA49</f>
        <v>162076.5052755654</v>
      </c>
      <c r="AB48" s="13">
        <f t="shared" si="53"/>
        <v>186135.91226740216</v>
      </c>
      <c r="AC48" s="13">
        <f t="shared" si="53"/>
        <v>207378.78167579672</v>
      </c>
      <c r="AD48" s="13">
        <f t="shared" si="53"/>
        <v>232356.81759473815</v>
      </c>
      <c r="AE48" s="160"/>
      <c r="AF48" s="327"/>
      <c r="AG48" s="328"/>
    </row>
    <row r="49" spans="1:33" x14ac:dyDescent="0.3">
      <c r="A49" s="338" t="s">
        <v>12</v>
      </c>
      <c r="B49" s="11"/>
      <c r="C49" s="3" t="s">
        <v>301</v>
      </c>
      <c r="L49" s="16"/>
      <c r="M49" s="16"/>
      <c r="N49" s="15"/>
      <c r="O49" s="246">
        <f t="shared" ref="O49:AD49" si="54">O50+O55+O60+O65+O75+O70</f>
        <v>32117.625300000003</v>
      </c>
      <c r="P49" s="16">
        <f t="shared" si="54"/>
        <v>16095.788606408243</v>
      </c>
      <c r="Q49" s="16">
        <f t="shared" si="54"/>
        <v>16190.455492401305</v>
      </c>
      <c r="R49" s="16">
        <f t="shared" si="54"/>
        <v>16128.55944291491</v>
      </c>
      <c r="S49" s="16">
        <f t="shared" si="54"/>
        <v>13851.137609627605</v>
      </c>
      <c r="T49" s="16">
        <f t="shared" si="54"/>
        <v>15176.666787091843</v>
      </c>
      <c r="U49" s="16">
        <f t="shared" si="54"/>
        <v>14644.101540197576</v>
      </c>
      <c r="V49" s="16">
        <f t="shared" si="54"/>
        <v>14837.581291651148</v>
      </c>
      <c r="W49" s="16">
        <f t="shared" si="54"/>
        <v>14367.355651462707</v>
      </c>
      <c r="X49" s="16">
        <f t="shared" si="54"/>
        <v>12811.839476027533</v>
      </c>
      <c r="Y49" s="246">
        <f t="shared" si="54"/>
        <v>134103.48589778287</v>
      </c>
      <c r="Z49" s="246">
        <f t="shared" si="54"/>
        <v>166221.11119778286</v>
      </c>
      <c r="AA49" s="16">
        <f>AA50+AA55+AA60+AA65+AA75+AA70</f>
        <v>162076.5052755654</v>
      </c>
      <c r="AB49" s="16">
        <f t="shared" si="54"/>
        <v>186135.91226740216</v>
      </c>
      <c r="AC49" s="16">
        <f t="shared" si="54"/>
        <v>207378.78167579672</v>
      </c>
      <c r="AD49" s="16">
        <f t="shared" si="54"/>
        <v>232356.81759473815</v>
      </c>
      <c r="AE49" s="23"/>
      <c r="AF49" s="327"/>
    </row>
    <row r="50" spans="1:33" x14ac:dyDescent="0.3">
      <c r="A50" s="338" t="s">
        <v>12</v>
      </c>
      <c r="B50" s="11"/>
      <c r="D50" s="3" t="s">
        <v>131</v>
      </c>
      <c r="L50" s="16"/>
      <c r="M50" s="16"/>
      <c r="N50" s="15"/>
      <c r="O50" s="246">
        <f>O88+O126</f>
        <v>643</v>
      </c>
      <c r="P50" s="16">
        <f t="shared" ref="P50:X50" si="55">P51*P54</f>
        <v>905.21085669017407</v>
      </c>
      <c r="Q50" s="16">
        <f t="shared" si="55"/>
        <v>905.21085669017407</v>
      </c>
      <c r="R50" s="16">
        <f>R51*R54</f>
        <v>1206.9478089202321</v>
      </c>
      <c r="S50" s="16">
        <f t="shared" si="55"/>
        <v>603.47390446011605</v>
      </c>
      <c r="T50" s="16">
        <f t="shared" si="55"/>
        <v>603.47390446011605</v>
      </c>
      <c r="U50" s="16">
        <f t="shared" si="55"/>
        <v>905.21085669017407</v>
      </c>
      <c r="V50" s="16">
        <f t="shared" si="55"/>
        <v>905.21085669017407</v>
      </c>
      <c r="W50" s="16">
        <f t="shared" si="55"/>
        <v>905.21085669017407</v>
      </c>
      <c r="X50" s="16">
        <f t="shared" si="55"/>
        <v>301.73695223005802</v>
      </c>
      <c r="Y50" s="246">
        <f>SUM(P50:X50)</f>
        <v>7241.6868535213935</v>
      </c>
      <c r="Z50" s="246">
        <f>Y50+O50</f>
        <v>7884.6868535213935</v>
      </c>
      <c r="AA50" s="16">
        <f t="shared" ref="AA50:AD51" si="56">AA88+AA126</f>
        <v>9989.4504472302142</v>
      </c>
      <c r="AB50" s="16">
        <f t="shared" si="56"/>
        <v>12683.21176718254</v>
      </c>
      <c r="AC50" s="16">
        <f t="shared" si="56"/>
        <v>13646.675766816348</v>
      </c>
      <c r="AD50" s="16">
        <f t="shared" si="56"/>
        <v>17051.241282669427</v>
      </c>
      <c r="AE50" s="23"/>
      <c r="AF50" s="327"/>
    </row>
    <row r="51" spans="1:33" x14ac:dyDescent="0.3">
      <c r="A51" s="338" t="s">
        <v>12</v>
      </c>
      <c r="B51" s="11"/>
      <c r="E51" s="3" t="s">
        <v>298</v>
      </c>
      <c r="L51" s="16"/>
      <c r="M51" s="16"/>
      <c r="N51" s="15"/>
      <c r="O51" s="246">
        <f>O89+O127</f>
        <v>3</v>
      </c>
      <c r="P51" s="16">
        <f>SUMIFS(INDEX(판매수량!$N$2:$V$82,0,MATCH(Revenue_HW!P$47,판매수량!$N$2:$V$2,0)),판매수량!$A$2:$A$82,Revenue_HW!$A51,판매수량!$B$2:$B$82,Revenue_HW!$AG51)</f>
        <v>3</v>
      </c>
      <c r="Q51" s="16">
        <f>SUMIFS(INDEX(판매수량!$N$2:$V$82,0,MATCH(Revenue_HW!Q$47,판매수량!$N$2:$V$2,0)),판매수량!$A$2:$A$82,Revenue_HW!$A51,판매수량!$B$2:$B$82,Revenue_HW!$AG51)</f>
        <v>3</v>
      </c>
      <c r="R51" s="16">
        <f>SUMIFS(INDEX(판매수량!$N$2:$V$82,0,MATCH(Revenue_HW!R$47,판매수량!$N$2:$V$2,0)),판매수량!$A$2:$A$82,Revenue_HW!$A51,판매수량!$B$2:$B$82,Revenue_HW!$AG51)</f>
        <v>4</v>
      </c>
      <c r="S51" s="16">
        <f>SUMIFS(INDEX(판매수량!$N$2:$V$82,0,MATCH(Revenue_HW!S$47,판매수량!$N$2:$V$2,0)),판매수량!$A$2:$A$82,Revenue_HW!$A51,판매수량!$B$2:$B$82,Revenue_HW!$AG51)</f>
        <v>2</v>
      </c>
      <c r="T51" s="16">
        <f>SUMIFS(INDEX(판매수량!$N$2:$V$82,0,MATCH(Revenue_HW!T$47,판매수량!$N$2:$V$2,0)),판매수량!$A$2:$A$82,Revenue_HW!$A51,판매수량!$B$2:$B$82,Revenue_HW!$AG51)</f>
        <v>2</v>
      </c>
      <c r="U51" s="16">
        <f>SUMIFS(INDEX(판매수량!$N$2:$V$82,0,MATCH(Revenue_HW!U$47,판매수량!$N$2:$V$2,0)),판매수량!$A$2:$A$82,Revenue_HW!$A51,판매수량!$B$2:$B$82,Revenue_HW!$AG51)</f>
        <v>3</v>
      </c>
      <c r="V51" s="16">
        <f>SUMIFS(INDEX(판매수량!$N$2:$V$82,0,MATCH(Revenue_HW!V$47,판매수량!$N$2:$V$2,0)),판매수량!$A$2:$A$82,Revenue_HW!$A51,판매수량!$B$2:$B$82,Revenue_HW!$AG51)</f>
        <v>3</v>
      </c>
      <c r="W51" s="16">
        <f>SUMIFS(INDEX(판매수량!$N$2:$V$82,0,MATCH(Revenue_HW!W$47,판매수량!$N$2:$V$2,0)),판매수량!$A$2:$A$82,Revenue_HW!$A51,판매수량!$B$2:$B$82,Revenue_HW!$AG51)</f>
        <v>3</v>
      </c>
      <c r="X51" s="16">
        <f>SUMIFS(INDEX(판매수량!$N$2:$V$82,0,MATCH(Revenue_HW!X$47,판매수량!$N$2:$V$2,0)),판매수량!$A$2:$A$82,Revenue_HW!$A51,판매수량!$B$2:$B$82,Revenue_HW!$AG51)</f>
        <v>1</v>
      </c>
      <c r="Y51" s="246">
        <f>SUM(P51:X51)</f>
        <v>24</v>
      </c>
      <c r="Z51" s="246">
        <f>Y51+O51</f>
        <v>27</v>
      </c>
      <c r="AA51" s="247">
        <f>AA89+AA127</f>
        <v>34</v>
      </c>
      <c r="AB51" s="247">
        <f t="shared" si="56"/>
        <v>43</v>
      </c>
      <c r="AC51" s="247">
        <f t="shared" si="56"/>
        <v>46</v>
      </c>
      <c r="AD51" s="247">
        <f t="shared" si="56"/>
        <v>57</v>
      </c>
      <c r="AE51" s="23"/>
      <c r="AF51" s="327"/>
      <c r="AG51" s="322" t="str">
        <f>IF($E51="판매수량",$D50,)</f>
        <v>5축</v>
      </c>
    </row>
    <row r="52" spans="1:33" x14ac:dyDescent="0.3">
      <c r="A52" s="338" t="s">
        <v>12</v>
      </c>
      <c r="B52" s="11"/>
      <c r="F52" s="3" t="s">
        <v>304</v>
      </c>
      <c r="L52" s="16"/>
      <c r="M52" s="16"/>
      <c r="N52" s="15"/>
      <c r="O52" s="306"/>
      <c r="P52" s="119"/>
      <c r="Q52" s="119"/>
      <c r="R52" s="119"/>
      <c r="S52" s="119"/>
      <c r="T52" s="119"/>
      <c r="U52" s="119"/>
      <c r="V52" s="119"/>
      <c r="W52" s="119"/>
      <c r="X52" s="119"/>
      <c r="Y52" s="306"/>
      <c r="Z52" s="246">
        <f>'Key Assumption'!AA54</f>
        <v>5</v>
      </c>
      <c r="AA52" s="16">
        <f>'Key Assumption'!AB54</f>
        <v>6</v>
      </c>
      <c r="AB52" s="16">
        <f>'Key Assumption'!AC54</f>
        <v>7</v>
      </c>
      <c r="AC52" s="16">
        <f>'Key Assumption'!AD54</f>
        <v>7</v>
      </c>
      <c r="AD52" s="16">
        <f>'Key Assumption'!AE54</f>
        <v>8</v>
      </c>
      <c r="AE52" s="23"/>
      <c r="AF52" s="327"/>
    </row>
    <row r="53" spans="1:33" x14ac:dyDescent="0.3">
      <c r="A53" s="338" t="s">
        <v>12</v>
      </c>
      <c r="B53" s="11"/>
      <c r="F53" s="3" t="s">
        <v>305</v>
      </c>
      <c r="L53" s="16"/>
      <c r="M53" s="16"/>
      <c r="N53" s="15"/>
      <c r="O53" s="306"/>
      <c r="P53" s="119"/>
      <c r="Q53" s="119"/>
      <c r="R53" s="119"/>
      <c r="S53" s="119"/>
      <c r="T53" s="119"/>
      <c r="U53" s="119"/>
      <c r="V53" s="119"/>
      <c r="W53" s="119"/>
      <c r="X53" s="119"/>
      <c r="Y53" s="306"/>
      <c r="Z53" s="246">
        <f>Z51/Z52</f>
        <v>5.4</v>
      </c>
      <c r="AA53" s="16">
        <f>AA51/AA52</f>
        <v>5.666666666666667</v>
      </c>
      <c r="AB53" s="16">
        <f>AB51/AB52</f>
        <v>6.1428571428571432</v>
      </c>
      <c r="AC53" s="16">
        <f>AC51/AC52</f>
        <v>6.5714285714285712</v>
      </c>
      <c r="AD53" s="16">
        <f>AD51/AD52</f>
        <v>7.125</v>
      </c>
      <c r="AE53" s="23"/>
      <c r="AF53" s="327"/>
    </row>
    <row r="54" spans="1:33" x14ac:dyDescent="0.3">
      <c r="A54" s="338" t="s">
        <v>12</v>
      </c>
      <c r="B54" s="11"/>
      <c r="E54" s="3" t="s">
        <v>306</v>
      </c>
      <c r="L54" s="16"/>
      <c r="M54" s="16"/>
      <c r="N54" s="15"/>
      <c r="O54" s="246">
        <f>O50/O51</f>
        <v>214.33333333333334</v>
      </c>
      <c r="P54" s="16">
        <f>'Key Assumption'!R291</f>
        <v>301.73695223005802</v>
      </c>
      <c r="Q54" s="16">
        <f>'Key Assumption'!S291</f>
        <v>301.73695223005802</v>
      </c>
      <c r="R54" s="16">
        <f>'Key Assumption'!T291</f>
        <v>301.73695223005802</v>
      </c>
      <c r="S54" s="16">
        <f>'Key Assumption'!U291</f>
        <v>301.73695223005802</v>
      </c>
      <c r="T54" s="16">
        <f>'Key Assumption'!V291</f>
        <v>301.73695223005802</v>
      </c>
      <c r="U54" s="16">
        <f>'Key Assumption'!W291</f>
        <v>301.73695223005802</v>
      </c>
      <c r="V54" s="16">
        <f>'Key Assumption'!X291</f>
        <v>301.73695223005802</v>
      </c>
      <c r="W54" s="16">
        <f>'Key Assumption'!Y291</f>
        <v>301.73695223005802</v>
      </c>
      <c r="X54" s="16">
        <f>'Key Assumption'!Z291</f>
        <v>301.73695223005802</v>
      </c>
      <c r="Y54" s="246">
        <f t="shared" ref="Y54:AD54" si="57">Y50/Y51</f>
        <v>301.73695223005808</v>
      </c>
      <c r="Z54" s="246">
        <f t="shared" si="57"/>
        <v>292.02543901931085</v>
      </c>
      <c r="AA54" s="16">
        <f t="shared" si="57"/>
        <v>293.80736609500627</v>
      </c>
      <c r="AB54" s="16">
        <f t="shared" si="57"/>
        <v>294.95841319029165</v>
      </c>
      <c r="AC54" s="16">
        <f t="shared" si="57"/>
        <v>296.66686449600758</v>
      </c>
      <c r="AD54" s="16">
        <f t="shared" si="57"/>
        <v>299.14458390648116</v>
      </c>
      <c r="AE54" s="23"/>
      <c r="AF54" s="327"/>
    </row>
    <row r="55" spans="1:33" x14ac:dyDescent="0.3">
      <c r="A55" s="338" t="s">
        <v>12</v>
      </c>
      <c r="B55" s="11"/>
      <c r="D55" s="3" t="s">
        <v>132</v>
      </c>
      <c r="L55" s="16"/>
      <c r="M55" s="16"/>
      <c r="N55" s="15"/>
      <c r="O55" s="246">
        <f>O93+O131</f>
        <v>10464.13759</v>
      </c>
      <c r="P55" s="16">
        <f t="shared" ref="P55:X55" si="58">P56*P59</f>
        <v>4927.9832239155376</v>
      </c>
      <c r="Q55" s="16">
        <f t="shared" si="58"/>
        <v>5042.5874849368292</v>
      </c>
      <c r="R55" s="16">
        <f t="shared" si="58"/>
        <v>4927.9832239155376</v>
      </c>
      <c r="S55" s="16">
        <f t="shared" si="58"/>
        <v>4756.0768323836</v>
      </c>
      <c r="T55" s="16">
        <f t="shared" si="58"/>
        <v>4756.0768323836</v>
      </c>
      <c r="U55" s="16">
        <f t="shared" si="58"/>
        <v>4469.5661798303718</v>
      </c>
      <c r="V55" s="16">
        <f t="shared" si="58"/>
        <v>4756.0768323836</v>
      </c>
      <c r="W55" s="16">
        <f t="shared" si="58"/>
        <v>4584.1704408516634</v>
      </c>
      <c r="X55" s="16">
        <f t="shared" si="58"/>
        <v>4297.6597882984343</v>
      </c>
      <c r="Y55" s="246">
        <f>SUM(P55:X55)</f>
        <v>42518.180838899178</v>
      </c>
      <c r="Z55" s="246">
        <f>Y55+O55</f>
        <v>52982.318428899176</v>
      </c>
      <c r="AA55" s="16">
        <f t="shared" ref="AA55:AD56" si="59">AA93+AA131</f>
        <v>56254.373604441556</v>
      </c>
      <c r="AB55" s="16">
        <f t="shared" si="59"/>
        <v>61988.75998121217</v>
      </c>
      <c r="AC55" s="16">
        <f t="shared" si="59"/>
        <v>67506.076954510791</v>
      </c>
      <c r="AD55" s="16">
        <f t="shared" si="59"/>
        <v>72226.30462672752</v>
      </c>
      <c r="AE55" s="23"/>
      <c r="AF55" s="327"/>
    </row>
    <row r="56" spans="1:33" x14ac:dyDescent="0.3">
      <c r="A56" s="338" t="s">
        <v>12</v>
      </c>
      <c r="B56" s="11"/>
      <c r="E56" s="3" t="s">
        <v>298</v>
      </c>
      <c r="L56" s="16"/>
      <c r="M56" s="16"/>
      <c r="N56" s="15"/>
      <c r="O56" s="246">
        <f>O94+O132</f>
        <v>182</v>
      </c>
      <c r="P56" s="16">
        <f>SUMIFS(INDEX(판매수량!$N$2:$V$82,0,MATCH(Revenue_HW!P$47,판매수량!$N$2:$V$2,0)),판매수량!$A$2:$A$82,Revenue_HW!$A56,판매수량!$B$2:$B$82,Revenue_HW!$AG56)</f>
        <v>86</v>
      </c>
      <c r="Q56" s="16">
        <f>SUMIFS(INDEX(판매수량!$N$2:$V$82,0,MATCH(Revenue_HW!Q$47,판매수량!$N$2:$V$2,0)),판매수량!$A$2:$A$82,Revenue_HW!$A56,판매수량!$B$2:$B$82,Revenue_HW!$AG56)</f>
        <v>88</v>
      </c>
      <c r="R56" s="16">
        <f>SUMIFS(INDEX(판매수량!$N$2:$V$82,0,MATCH(Revenue_HW!R$47,판매수량!$N$2:$V$2,0)),판매수량!$A$2:$A$82,Revenue_HW!$A56,판매수량!$B$2:$B$82,Revenue_HW!$AG56)</f>
        <v>86</v>
      </c>
      <c r="S56" s="16">
        <f>SUMIFS(INDEX(판매수량!$N$2:$V$82,0,MATCH(Revenue_HW!S$47,판매수량!$N$2:$V$2,0)),판매수량!$A$2:$A$82,Revenue_HW!$A56,판매수량!$B$2:$B$82,Revenue_HW!$AG56)</f>
        <v>83</v>
      </c>
      <c r="T56" s="16">
        <f>SUMIFS(INDEX(판매수량!$N$2:$V$82,0,MATCH(Revenue_HW!T$47,판매수량!$N$2:$V$2,0)),판매수량!$A$2:$A$82,Revenue_HW!$A56,판매수량!$B$2:$B$82,Revenue_HW!$AG56)</f>
        <v>83</v>
      </c>
      <c r="U56" s="16">
        <f>SUMIFS(INDEX(판매수량!$N$2:$V$82,0,MATCH(Revenue_HW!U$47,판매수량!$N$2:$V$2,0)),판매수량!$A$2:$A$82,Revenue_HW!$A56,판매수량!$B$2:$B$82,Revenue_HW!$AG56)</f>
        <v>78</v>
      </c>
      <c r="V56" s="16">
        <f>SUMIFS(INDEX(판매수량!$N$2:$V$82,0,MATCH(Revenue_HW!V$47,판매수량!$N$2:$V$2,0)),판매수량!$A$2:$A$82,Revenue_HW!$A56,판매수량!$B$2:$B$82,Revenue_HW!$AG56)</f>
        <v>83</v>
      </c>
      <c r="W56" s="16">
        <f>SUMIFS(INDEX(판매수량!$N$2:$V$82,0,MATCH(Revenue_HW!W$47,판매수량!$N$2:$V$2,0)),판매수량!$A$2:$A$82,Revenue_HW!$A56,판매수량!$B$2:$B$82,Revenue_HW!$AG56)</f>
        <v>80</v>
      </c>
      <c r="X56" s="16">
        <f>SUMIFS(INDEX(판매수량!$N$2:$V$82,0,MATCH(Revenue_HW!X$47,판매수량!$N$2:$V$2,0)),판매수량!$A$2:$A$82,Revenue_HW!$A56,판매수량!$B$2:$B$82,Revenue_HW!$AG56)</f>
        <v>75</v>
      </c>
      <c r="Y56" s="246">
        <f>SUM(P56:X56)</f>
        <v>742</v>
      </c>
      <c r="Z56" s="246">
        <f>Y56+O56</f>
        <v>924</v>
      </c>
      <c r="AA56" s="16">
        <f>AA94+AA132</f>
        <v>976</v>
      </c>
      <c r="AB56" s="16">
        <f t="shared" si="59"/>
        <v>1068</v>
      </c>
      <c r="AC56" s="16">
        <f t="shared" si="59"/>
        <v>1155</v>
      </c>
      <c r="AD56" s="16">
        <f t="shared" si="59"/>
        <v>1227</v>
      </c>
      <c r="AE56" s="23"/>
      <c r="AF56" s="327"/>
      <c r="AG56" s="322" t="str">
        <f t="shared" ref="AG56:AG119" si="60">IF($E56="판매수량",$D55,)</f>
        <v>선반</v>
      </c>
    </row>
    <row r="57" spans="1:33" x14ac:dyDescent="0.3">
      <c r="A57" s="338" t="s">
        <v>12</v>
      </c>
      <c r="B57" s="11"/>
      <c r="F57" s="3" t="s">
        <v>304</v>
      </c>
      <c r="L57" s="16"/>
      <c r="M57" s="16"/>
      <c r="N57" s="15"/>
      <c r="O57" s="306"/>
      <c r="P57" s="119"/>
      <c r="Q57" s="119"/>
      <c r="R57" s="119"/>
      <c r="S57" s="119"/>
      <c r="T57" s="119"/>
      <c r="U57" s="119"/>
      <c r="V57" s="119"/>
      <c r="W57" s="119"/>
      <c r="X57" s="119"/>
      <c r="Y57" s="306"/>
      <c r="Z57" s="246">
        <f>'Key Assumption'!AA55</f>
        <v>53</v>
      </c>
      <c r="AA57" s="16">
        <f>'Key Assumption'!AB55</f>
        <v>53</v>
      </c>
      <c r="AB57" s="16">
        <f>'Key Assumption'!AC55</f>
        <v>55</v>
      </c>
      <c r="AC57" s="16">
        <f>'Key Assumption'!AD55</f>
        <v>56</v>
      </c>
      <c r="AD57" s="16">
        <f>'Key Assumption'!AE55</f>
        <v>56</v>
      </c>
      <c r="AE57" s="23"/>
      <c r="AF57" s="327"/>
      <c r="AG57" s="322">
        <f t="shared" si="60"/>
        <v>0</v>
      </c>
    </row>
    <row r="58" spans="1:33" x14ac:dyDescent="0.3">
      <c r="A58" s="338" t="s">
        <v>12</v>
      </c>
      <c r="B58" s="11"/>
      <c r="F58" s="3" t="s">
        <v>305</v>
      </c>
      <c r="L58" s="16"/>
      <c r="M58" s="16"/>
      <c r="N58" s="15"/>
      <c r="O58" s="306"/>
      <c r="P58" s="119"/>
      <c r="Q58" s="119"/>
      <c r="R58" s="119"/>
      <c r="S58" s="119"/>
      <c r="T58" s="119"/>
      <c r="U58" s="119"/>
      <c r="V58" s="119"/>
      <c r="W58" s="119"/>
      <c r="X58" s="119"/>
      <c r="Y58" s="306"/>
      <c r="Z58" s="246">
        <f>Z56/Z57</f>
        <v>17.433962264150942</v>
      </c>
      <c r="AA58" s="16">
        <f>AA56/AA57</f>
        <v>18.415094339622641</v>
      </c>
      <c r="AB58" s="16">
        <f>AB56/AB57</f>
        <v>19.418181818181818</v>
      </c>
      <c r="AC58" s="16">
        <f>AC56/AC57</f>
        <v>20.625</v>
      </c>
      <c r="AD58" s="16">
        <f>AD56/AD57</f>
        <v>21.910714285714285</v>
      </c>
      <c r="AE58" s="23"/>
      <c r="AF58" s="327"/>
      <c r="AG58" s="322">
        <f t="shared" si="60"/>
        <v>0</v>
      </c>
    </row>
    <row r="59" spans="1:33" x14ac:dyDescent="0.3">
      <c r="A59" s="338" t="s">
        <v>12</v>
      </c>
      <c r="B59" s="11"/>
      <c r="E59" s="3" t="s">
        <v>306</v>
      </c>
      <c r="L59" s="16"/>
      <c r="M59" s="16"/>
      <c r="N59" s="15"/>
      <c r="O59" s="246">
        <f>O55/O56</f>
        <v>57.495261483516487</v>
      </c>
      <c r="P59" s="16">
        <f>'Key Assumption'!R292</f>
        <v>57.302130510645789</v>
      </c>
      <c r="Q59" s="16">
        <f>'Key Assumption'!S292</f>
        <v>57.302130510645789</v>
      </c>
      <c r="R59" s="16">
        <f>'Key Assumption'!T292</f>
        <v>57.302130510645789</v>
      </c>
      <c r="S59" s="16">
        <f>'Key Assumption'!U292</f>
        <v>57.302130510645789</v>
      </c>
      <c r="T59" s="16">
        <f>'Key Assumption'!V292</f>
        <v>57.302130510645789</v>
      </c>
      <c r="U59" s="16">
        <f>'Key Assumption'!W292</f>
        <v>57.302130510645789</v>
      </c>
      <c r="V59" s="16">
        <f>'Key Assumption'!X292</f>
        <v>57.302130510645789</v>
      </c>
      <c r="W59" s="16">
        <f>'Key Assumption'!Y292</f>
        <v>57.302130510645789</v>
      </c>
      <c r="X59" s="16">
        <f>'Key Assumption'!Z292</f>
        <v>57.302130510645789</v>
      </c>
      <c r="Y59" s="246">
        <f t="shared" ref="Y59:AD59" si="61">Y55/Y56</f>
        <v>57.302130510645789</v>
      </c>
      <c r="Z59" s="246">
        <f t="shared" si="61"/>
        <v>57.340171459847596</v>
      </c>
      <c r="AA59" s="16">
        <f t="shared" si="61"/>
        <v>57.637677873403234</v>
      </c>
      <c r="AB59" s="16">
        <f t="shared" si="61"/>
        <v>58.04191009476795</v>
      </c>
      <c r="AC59" s="16">
        <f t="shared" si="61"/>
        <v>58.446819874035313</v>
      </c>
      <c r="AD59" s="16">
        <f t="shared" si="61"/>
        <v>58.86414395006318</v>
      </c>
      <c r="AE59" s="23"/>
      <c r="AF59" s="327"/>
      <c r="AG59" s="322">
        <f t="shared" si="60"/>
        <v>0</v>
      </c>
    </row>
    <row r="60" spans="1:33" x14ac:dyDescent="0.3">
      <c r="A60" s="338" t="s">
        <v>12</v>
      </c>
      <c r="B60" s="11"/>
      <c r="D60" s="3" t="s">
        <v>133</v>
      </c>
      <c r="L60" s="16"/>
      <c r="M60" s="16"/>
      <c r="N60" s="15"/>
      <c r="O60" s="246">
        <f>O98+O136</f>
        <v>9894.2025599999997</v>
      </c>
      <c r="P60" s="16">
        <f t="shared" ref="P60:X60" si="62">P61*P64</f>
        <v>4793.120350332827</v>
      </c>
      <c r="Q60" s="16">
        <f t="shared" si="62"/>
        <v>4874.3596783045696</v>
      </c>
      <c r="R60" s="16">
        <f t="shared" si="62"/>
        <v>4955.5990062763121</v>
      </c>
      <c r="S60" s="16">
        <f t="shared" si="62"/>
        <v>4793.120350332827</v>
      </c>
      <c r="T60" s="16">
        <f t="shared" si="62"/>
        <v>4955.5990062763121</v>
      </c>
      <c r="U60" s="16">
        <f t="shared" si="62"/>
        <v>4143.2057265588837</v>
      </c>
      <c r="V60" s="16">
        <f t="shared" si="62"/>
        <v>4224.4450545306272</v>
      </c>
      <c r="W60" s="16">
        <f t="shared" si="62"/>
        <v>4143.2057265588837</v>
      </c>
      <c r="X60" s="16">
        <f t="shared" si="62"/>
        <v>3980.7270706153986</v>
      </c>
      <c r="Y60" s="246">
        <f>SUM(P60:X60)</f>
        <v>40863.381969786649</v>
      </c>
      <c r="Z60" s="246">
        <f>Y60+O60</f>
        <v>50757.584529786647</v>
      </c>
      <c r="AA60" s="16">
        <f t="shared" ref="AA60:AD61" si="63">AA98+AA136</f>
        <v>54340.235283838745</v>
      </c>
      <c r="AB60" s="16">
        <f t="shared" si="63"/>
        <v>65297.873804141309</v>
      </c>
      <c r="AC60" s="16">
        <f t="shared" si="63"/>
        <v>75555.37674692896</v>
      </c>
      <c r="AD60" s="16">
        <f t="shared" si="63"/>
        <v>87028.299238290783</v>
      </c>
      <c r="AE60" s="23"/>
      <c r="AF60" s="327"/>
      <c r="AG60" s="322">
        <f t="shared" si="60"/>
        <v>0</v>
      </c>
    </row>
    <row r="61" spans="1:33" x14ac:dyDescent="0.3">
      <c r="A61" s="338" t="s">
        <v>12</v>
      </c>
      <c r="B61" s="11"/>
      <c r="E61" s="3" t="s">
        <v>298</v>
      </c>
      <c r="L61" s="16"/>
      <c r="M61" s="16"/>
      <c r="N61" s="15"/>
      <c r="O61" s="246">
        <f>O99+O137</f>
        <v>128</v>
      </c>
      <c r="P61" s="16">
        <f>SUMIFS(INDEX(판매수량!$N$2:$V$82,0,MATCH(Revenue_HW!P$47,판매수량!$N$2:$V$2,0)),판매수량!$A$2:$A$82,Revenue_HW!$A61,판매수량!$B$2:$B$82,Revenue_HW!$AG61)</f>
        <v>59</v>
      </c>
      <c r="Q61" s="16">
        <f>SUMIFS(INDEX(판매수량!$N$2:$V$82,0,MATCH(Revenue_HW!Q$47,판매수량!$N$2:$V$2,0)),판매수량!$A$2:$A$82,Revenue_HW!$A61,판매수량!$B$2:$B$82,Revenue_HW!$AG61)</f>
        <v>60</v>
      </c>
      <c r="R61" s="16">
        <f>SUMIFS(INDEX(판매수량!$N$2:$V$82,0,MATCH(Revenue_HW!R$47,판매수량!$N$2:$V$2,0)),판매수량!$A$2:$A$82,Revenue_HW!$A61,판매수량!$B$2:$B$82,Revenue_HW!$AG61)</f>
        <v>61</v>
      </c>
      <c r="S61" s="16">
        <f>SUMIFS(INDEX(판매수량!$N$2:$V$82,0,MATCH(Revenue_HW!S$47,판매수량!$N$2:$V$2,0)),판매수량!$A$2:$A$82,Revenue_HW!$A61,판매수량!$B$2:$B$82,Revenue_HW!$AG61)</f>
        <v>59</v>
      </c>
      <c r="T61" s="16">
        <f>SUMIFS(INDEX(판매수량!$N$2:$V$82,0,MATCH(Revenue_HW!T$47,판매수량!$N$2:$V$2,0)),판매수량!$A$2:$A$82,Revenue_HW!$A61,판매수량!$B$2:$B$82,Revenue_HW!$AG61)</f>
        <v>61</v>
      </c>
      <c r="U61" s="16">
        <f>SUMIFS(INDEX(판매수량!$N$2:$V$82,0,MATCH(Revenue_HW!U$47,판매수량!$N$2:$V$2,0)),판매수량!$A$2:$A$82,Revenue_HW!$A61,판매수량!$B$2:$B$82,Revenue_HW!$AG61)</f>
        <v>51</v>
      </c>
      <c r="V61" s="16">
        <f>SUMIFS(INDEX(판매수량!$N$2:$V$82,0,MATCH(Revenue_HW!V$47,판매수량!$N$2:$V$2,0)),판매수량!$A$2:$A$82,Revenue_HW!$A61,판매수량!$B$2:$B$82,Revenue_HW!$AG61)</f>
        <v>52</v>
      </c>
      <c r="W61" s="16">
        <f>SUMIFS(INDEX(판매수량!$N$2:$V$82,0,MATCH(Revenue_HW!W$47,판매수량!$N$2:$V$2,0)),판매수량!$A$2:$A$82,Revenue_HW!$A61,판매수량!$B$2:$B$82,Revenue_HW!$AG61)</f>
        <v>51</v>
      </c>
      <c r="X61" s="16">
        <f>SUMIFS(INDEX(판매수량!$N$2:$V$82,0,MATCH(Revenue_HW!X$47,판매수량!$N$2:$V$2,0)),판매수량!$A$2:$A$82,Revenue_HW!$A61,판매수량!$B$2:$B$82,Revenue_HW!$AG61)</f>
        <v>49</v>
      </c>
      <c r="Y61" s="246">
        <f>SUM(P61:X61)</f>
        <v>503</v>
      </c>
      <c r="Z61" s="246">
        <f>Y61+O61</f>
        <v>631</v>
      </c>
      <c r="AA61" s="16">
        <f t="shared" si="63"/>
        <v>671</v>
      </c>
      <c r="AB61" s="16">
        <f t="shared" si="63"/>
        <v>800</v>
      </c>
      <c r="AC61" s="16">
        <f t="shared" si="63"/>
        <v>918</v>
      </c>
      <c r="AD61" s="16">
        <f t="shared" si="63"/>
        <v>1049</v>
      </c>
      <c r="AE61" s="23"/>
      <c r="AF61" s="327"/>
      <c r="AG61" s="322" t="str">
        <f t="shared" si="60"/>
        <v>VMC</v>
      </c>
    </row>
    <row r="62" spans="1:33" x14ac:dyDescent="0.3">
      <c r="A62" s="338" t="s">
        <v>12</v>
      </c>
      <c r="B62" s="11"/>
      <c r="F62" s="3" t="s">
        <v>304</v>
      </c>
      <c r="L62" s="16"/>
      <c r="M62" s="16"/>
      <c r="N62" s="15"/>
      <c r="O62" s="306"/>
      <c r="P62" s="119"/>
      <c r="Q62" s="119"/>
      <c r="R62" s="119"/>
      <c r="S62" s="119"/>
      <c r="T62" s="119"/>
      <c r="U62" s="119"/>
      <c r="V62" s="119"/>
      <c r="W62" s="119"/>
      <c r="X62" s="119"/>
      <c r="Y62" s="306"/>
      <c r="Z62" s="246">
        <f>'Key Assumption'!AA56</f>
        <v>24</v>
      </c>
      <c r="AA62" s="16">
        <f>'Key Assumption'!AB56</f>
        <v>24</v>
      </c>
      <c r="AB62" s="16">
        <f>'Key Assumption'!AC56</f>
        <v>27</v>
      </c>
      <c r="AC62" s="16">
        <f>'Key Assumption'!AD56</f>
        <v>29</v>
      </c>
      <c r="AD62" s="16">
        <f>'Key Assumption'!AE56</f>
        <v>31</v>
      </c>
      <c r="AE62" s="23"/>
      <c r="AF62" s="327"/>
      <c r="AG62" s="322">
        <f t="shared" si="60"/>
        <v>0</v>
      </c>
    </row>
    <row r="63" spans="1:33" x14ac:dyDescent="0.3">
      <c r="A63" s="338" t="s">
        <v>12</v>
      </c>
      <c r="B63" s="11"/>
      <c r="F63" s="3" t="s">
        <v>305</v>
      </c>
      <c r="L63" s="16"/>
      <c r="M63" s="16"/>
      <c r="N63" s="15"/>
      <c r="O63" s="306"/>
      <c r="P63" s="119"/>
      <c r="Q63" s="119"/>
      <c r="R63" s="119"/>
      <c r="S63" s="119"/>
      <c r="T63" s="119"/>
      <c r="U63" s="119"/>
      <c r="V63" s="119"/>
      <c r="W63" s="119"/>
      <c r="X63" s="119"/>
      <c r="Y63" s="306"/>
      <c r="Z63" s="246">
        <f>Z61/Z62</f>
        <v>26.291666666666668</v>
      </c>
      <c r="AA63" s="16">
        <f>AA61/AA62</f>
        <v>27.958333333333332</v>
      </c>
      <c r="AB63" s="16">
        <f>AB61/AB62</f>
        <v>29.62962962962963</v>
      </c>
      <c r="AC63" s="16">
        <f>AC61/AC62</f>
        <v>31.655172413793103</v>
      </c>
      <c r="AD63" s="16">
        <f>AD61/AD62</f>
        <v>33.838709677419352</v>
      </c>
      <c r="AE63" s="23"/>
      <c r="AF63" s="327"/>
      <c r="AG63" s="322">
        <f t="shared" si="60"/>
        <v>0</v>
      </c>
    </row>
    <row r="64" spans="1:33" x14ac:dyDescent="0.3">
      <c r="A64" s="338" t="s">
        <v>12</v>
      </c>
      <c r="B64" s="11"/>
      <c r="E64" s="3" t="s">
        <v>306</v>
      </c>
      <c r="L64" s="16"/>
      <c r="M64" s="16"/>
      <c r="N64" s="15"/>
      <c r="O64" s="246">
        <f>O60/O61</f>
        <v>77.298457499999998</v>
      </c>
      <c r="P64" s="16">
        <f>'Key Assumption'!R293</f>
        <v>81.239327971742824</v>
      </c>
      <c r="Q64" s="16">
        <f>'Key Assumption'!S293</f>
        <v>81.239327971742824</v>
      </c>
      <c r="R64" s="16">
        <f>'Key Assumption'!T293</f>
        <v>81.239327971742824</v>
      </c>
      <c r="S64" s="16">
        <f>'Key Assumption'!U293</f>
        <v>81.239327971742824</v>
      </c>
      <c r="T64" s="16">
        <f>'Key Assumption'!V293</f>
        <v>81.239327971742824</v>
      </c>
      <c r="U64" s="16">
        <f>'Key Assumption'!W293</f>
        <v>81.239327971742824</v>
      </c>
      <c r="V64" s="16">
        <f>'Key Assumption'!X293</f>
        <v>81.239327971742824</v>
      </c>
      <c r="W64" s="16">
        <f>'Key Assumption'!Y293</f>
        <v>81.239327971742824</v>
      </c>
      <c r="X64" s="16">
        <f>'Key Assumption'!Z293</f>
        <v>81.239327971742824</v>
      </c>
      <c r="Y64" s="246">
        <f t="shared" ref="Y64:AD64" si="64">Y60/Y61</f>
        <v>81.239327971742838</v>
      </c>
      <c r="Z64" s="246">
        <f t="shared" si="64"/>
        <v>80.439912091579473</v>
      </c>
      <c r="AA64" s="16">
        <f t="shared" si="64"/>
        <v>80.983957203932562</v>
      </c>
      <c r="AB64" s="16">
        <f t="shared" si="64"/>
        <v>81.622342255176633</v>
      </c>
      <c r="AC64" s="16">
        <f t="shared" si="64"/>
        <v>82.304331968332207</v>
      </c>
      <c r="AD64" s="16">
        <f t="shared" si="64"/>
        <v>82.963106995510756</v>
      </c>
      <c r="AE64" s="23"/>
      <c r="AF64" s="327"/>
      <c r="AG64" s="322">
        <f t="shared" si="60"/>
        <v>0</v>
      </c>
    </row>
    <row r="65" spans="1:33" x14ac:dyDescent="0.3">
      <c r="A65" s="338" t="s">
        <v>12</v>
      </c>
      <c r="B65" s="11"/>
      <c r="D65" s="3" t="s">
        <v>134</v>
      </c>
      <c r="L65" s="16"/>
      <c r="M65" s="16"/>
      <c r="N65" s="15"/>
      <c r="O65" s="246">
        <f>O103+O141</f>
        <v>963.45</v>
      </c>
      <c r="P65" s="16">
        <f t="shared" ref="P65:X65" si="65">P66*P69</f>
        <v>1556.6360786646471</v>
      </c>
      <c r="Q65" s="16">
        <f t="shared" si="65"/>
        <v>1556.6360786646471</v>
      </c>
      <c r="R65" s="16">
        <f t="shared" si="65"/>
        <v>1816.0754251087551</v>
      </c>
      <c r="S65" s="16">
        <f t="shared" si="65"/>
        <v>1297.1967322205392</v>
      </c>
      <c r="T65" s="16">
        <f t="shared" si="65"/>
        <v>1556.6360786646471</v>
      </c>
      <c r="U65" s="16">
        <f t="shared" si="65"/>
        <v>1556.6360786646471</v>
      </c>
      <c r="V65" s="16">
        <f t="shared" si="65"/>
        <v>1816.0754251087551</v>
      </c>
      <c r="W65" s="16">
        <f t="shared" si="65"/>
        <v>1556.6360786646471</v>
      </c>
      <c r="X65" s="16">
        <f t="shared" si="65"/>
        <v>1297.1967322205392</v>
      </c>
      <c r="Y65" s="246">
        <f>SUM(P65:X65)</f>
        <v>14009.724707981823</v>
      </c>
      <c r="Z65" s="246">
        <f>Y65+O65</f>
        <v>14973.174707981823</v>
      </c>
      <c r="AA65" s="16">
        <f t="shared" ref="AA65:AD66" si="66">AA103+AA141</f>
        <v>16109.203934663372</v>
      </c>
      <c r="AB65" s="16">
        <f t="shared" si="66"/>
        <v>17014.815588463138</v>
      </c>
      <c r="AC65" s="16">
        <f t="shared" si="66"/>
        <v>18192.497566248574</v>
      </c>
      <c r="AD65" s="16">
        <f t="shared" si="66"/>
        <v>19660.939711694853</v>
      </c>
      <c r="AE65" s="23"/>
      <c r="AF65" s="327"/>
      <c r="AG65" s="322">
        <f t="shared" si="60"/>
        <v>0</v>
      </c>
    </row>
    <row r="66" spans="1:33" x14ac:dyDescent="0.3">
      <c r="A66" s="338" t="s">
        <v>12</v>
      </c>
      <c r="B66" s="11"/>
      <c r="E66" s="3" t="s">
        <v>298</v>
      </c>
      <c r="L66" s="16"/>
      <c r="M66" s="16"/>
      <c r="N66" s="15"/>
      <c r="O66" s="246">
        <f>O104+O142</f>
        <v>4</v>
      </c>
      <c r="P66" s="16">
        <f>SUMIFS(INDEX(판매수량!$N$2:$V$82,0,MATCH(Revenue_HW!P$47,판매수량!$N$2:$V$2,0)),판매수량!$A$2:$A$82,Revenue_HW!$A66,판매수량!$B$2:$B$82,Revenue_HW!$AG66)</f>
        <v>6</v>
      </c>
      <c r="Q66" s="16">
        <f>SUMIFS(INDEX(판매수량!$N$2:$V$82,0,MATCH(Revenue_HW!Q$47,판매수량!$N$2:$V$2,0)),판매수량!$A$2:$A$82,Revenue_HW!$A66,판매수량!$B$2:$B$82,Revenue_HW!$AG66)</f>
        <v>6</v>
      </c>
      <c r="R66" s="16">
        <f>SUMIFS(INDEX(판매수량!$N$2:$V$82,0,MATCH(Revenue_HW!R$47,판매수량!$N$2:$V$2,0)),판매수량!$A$2:$A$82,Revenue_HW!$A66,판매수량!$B$2:$B$82,Revenue_HW!$AG66)</f>
        <v>7</v>
      </c>
      <c r="S66" s="16">
        <f>SUMIFS(INDEX(판매수량!$N$2:$V$82,0,MATCH(Revenue_HW!S$47,판매수량!$N$2:$V$2,0)),판매수량!$A$2:$A$82,Revenue_HW!$A66,판매수량!$B$2:$B$82,Revenue_HW!$AG66)</f>
        <v>5</v>
      </c>
      <c r="T66" s="16">
        <f>SUMIFS(INDEX(판매수량!$N$2:$V$82,0,MATCH(Revenue_HW!T$47,판매수량!$N$2:$V$2,0)),판매수량!$A$2:$A$82,Revenue_HW!$A66,판매수량!$B$2:$B$82,Revenue_HW!$AG66)</f>
        <v>6</v>
      </c>
      <c r="U66" s="16">
        <f>SUMIFS(INDEX(판매수량!$N$2:$V$82,0,MATCH(Revenue_HW!U$47,판매수량!$N$2:$V$2,0)),판매수량!$A$2:$A$82,Revenue_HW!$A66,판매수량!$B$2:$B$82,Revenue_HW!$AG66)</f>
        <v>6</v>
      </c>
      <c r="V66" s="16">
        <f>SUMIFS(INDEX(판매수량!$N$2:$V$82,0,MATCH(Revenue_HW!V$47,판매수량!$N$2:$V$2,0)),판매수량!$A$2:$A$82,Revenue_HW!$A66,판매수량!$B$2:$B$82,Revenue_HW!$AG66)</f>
        <v>7</v>
      </c>
      <c r="W66" s="16">
        <f>SUMIFS(INDEX(판매수량!$N$2:$V$82,0,MATCH(Revenue_HW!W$47,판매수량!$N$2:$V$2,0)),판매수량!$A$2:$A$82,Revenue_HW!$A66,판매수량!$B$2:$B$82,Revenue_HW!$AG66)</f>
        <v>6</v>
      </c>
      <c r="X66" s="16">
        <f>SUMIFS(INDEX(판매수량!$N$2:$V$82,0,MATCH(Revenue_HW!X$47,판매수량!$N$2:$V$2,0)),판매수량!$A$2:$A$82,Revenue_HW!$A66,판매수량!$B$2:$B$82,Revenue_HW!$AG66)</f>
        <v>5</v>
      </c>
      <c r="Y66" s="246">
        <f>SUM(P66:X66)</f>
        <v>54</v>
      </c>
      <c r="Z66" s="246">
        <f>Y66+O66</f>
        <v>58</v>
      </c>
      <c r="AA66" s="16">
        <f t="shared" si="66"/>
        <v>62</v>
      </c>
      <c r="AB66" s="16">
        <f t="shared" si="66"/>
        <v>65</v>
      </c>
      <c r="AC66" s="16">
        <f t="shared" si="66"/>
        <v>69</v>
      </c>
      <c r="AD66" s="16">
        <f t="shared" si="66"/>
        <v>74</v>
      </c>
      <c r="AE66" s="23"/>
      <c r="AF66" s="327"/>
      <c r="AG66" s="322" t="str">
        <f t="shared" si="60"/>
        <v>HMC</v>
      </c>
    </row>
    <row r="67" spans="1:33" x14ac:dyDescent="0.3">
      <c r="A67" s="338" t="s">
        <v>12</v>
      </c>
      <c r="B67" s="11"/>
      <c r="F67" s="3" t="s">
        <v>304</v>
      </c>
      <c r="L67" s="16"/>
      <c r="M67" s="16"/>
      <c r="N67" s="15"/>
      <c r="O67" s="306"/>
      <c r="P67" s="119"/>
      <c r="Q67" s="119"/>
      <c r="R67" s="119"/>
      <c r="S67" s="119"/>
      <c r="T67" s="119"/>
      <c r="U67" s="119"/>
      <c r="V67" s="119"/>
      <c r="W67" s="119"/>
      <c r="X67" s="119"/>
      <c r="Y67" s="306"/>
      <c r="Z67" s="246">
        <f>'Key Assumption'!AA57</f>
        <v>12</v>
      </c>
      <c r="AA67" s="16">
        <f>'Key Assumption'!AB57</f>
        <v>12</v>
      </c>
      <c r="AB67" s="16">
        <f>'Key Assumption'!AC57</f>
        <v>12</v>
      </c>
      <c r="AC67" s="16">
        <f>'Key Assumption'!AD57</f>
        <v>12</v>
      </c>
      <c r="AD67" s="16">
        <f>'Key Assumption'!AE57</f>
        <v>12</v>
      </c>
      <c r="AE67" s="23"/>
      <c r="AF67" s="327"/>
      <c r="AG67" s="322">
        <f t="shared" si="60"/>
        <v>0</v>
      </c>
    </row>
    <row r="68" spans="1:33" x14ac:dyDescent="0.3">
      <c r="A68" s="338" t="s">
        <v>12</v>
      </c>
      <c r="B68" s="11"/>
      <c r="F68" s="3" t="s">
        <v>305</v>
      </c>
      <c r="L68" s="16"/>
      <c r="M68" s="16"/>
      <c r="N68" s="15"/>
      <c r="O68" s="306"/>
      <c r="P68" s="119"/>
      <c r="Q68" s="119"/>
      <c r="R68" s="119"/>
      <c r="S68" s="119"/>
      <c r="T68" s="119"/>
      <c r="U68" s="119"/>
      <c r="V68" s="119"/>
      <c r="W68" s="119"/>
      <c r="X68" s="119"/>
      <c r="Y68" s="306"/>
      <c r="Z68" s="246">
        <f>Z66/Z67</f>
        <v>4.833333333333333</v>
      </c>
      <c r="AA68" s="16">
        <f>AA66/AA67</f>
        <v>5.166666666666667</v>
      </c>
      <c r="AB68" s="16">
        <f>AB66/AB67</f>
        <v>5.416666666666667</v>
      </c>
      <c r="AC68" s="16">
        <f>AC66/AC67</f>
        <v>5.75</v>
      </c>
      <c r="AD68" s="16">
        <f>AD66/AD67</f>
        <v>6.166666666666667</v>
      </c>
      <c r="AE68" s="23"/>
      <c r="AF68" s="327"/>
      <c r="AG68" s="322">
        <f t="shared" si="60"/>
        <v>0</v>
      </c>
    </row>
    <row r="69" spans="1:33" x14ac:dyDescent="0.3">
      <c r="A69" s="338" t="s">
        <v>12</v>
      </c>
      <c r="B69" s="11"/>
      <c r="E69" s="3" t="s">
        <v>306</v>
      </c>
      <c r="L69" s="16"/>
      <c r="M69" s="16"/>
      <c r="N69" s="15"/>
      <c r="O69" s="246">
        <f>O65/O66</f>
        <v>240.86250000000001</v>
      </c>
      <c r="P69" s="16">
        <f>'Key Assumption'!R294</f>
        <v>259.43934644410785</v>
      </c>
      <c r="Q69" s="16">
        <f>'Key Assumption'!S294</f>
        <v>259.43934644410785</v>
      </c>
      <c r="R69" s="16">
        <f>'Key Assumption'!T294</f>
        <v>259.43934644410785</v>
      </c>
      <c r="S69" s="16">
        <f>'Key Assumption'!U294</f>
        <v>259.43934644410785</v>
      </c>
      <c r="T69" s="16">
        <f>'Key Assumption'!V294</f>
        <v>259.43934644410785</v>
      </c>
      <c r="U69" s="16">
        <f>'Key Assumption'!W294</f>
        <v>259.43934644410785</v>
      </c>
      <c r="V69" s="16">
        <f>'Key Assumption'!X294</f>
        <v>259.43934644410785</v>
      </c>
      <c r="W69" s="16">
        <f>'Key Assumption'!Y294</f>
        <v>259.43934644410785</v>
      </c>
      <c r="X69" s="16">
        <f>'Key Assumption'!Z294</f>
        <v>259.43934644410785</v>
      </c>
      <c r="Y69" s="246">
        <f t="shared" ref="Y69:AD69" si="67">Y65/Y66</f>
        <v>259.4393464441078</v>
      </c>
      <c r="Z69" s="246">
        <f t="shared" si="67"/>
        <v>258.15818462037629</v>
      </c>
      <c r="AA69" s="16">
        <f t="shared" si="67"/>
        <v>259.82586991392537</v>
      </c>
      <c r="AB69" s="16">
        <f t="shared" si="67"/>
        <v>261.76639366866368</v>
      </c>
      <c r="AC69" s="16">
        <f t="shared" si="67"/>
        <v>263.65938501809529</v>
      </c>
      <c r="AD69" s="16">
        <f t="shared" si="67"/>
        <v>265.68837448236286</v>
      </c>
      <c r="AE69" s="23"/>
      <c r="AF69" s="327"/>
      <c r="AG69" s="322">
        <f t="shared" si="60"/>
        <v>0</v>
      </c>
    </row>
    <row r="70" spans="1:33" x14ac:dyDescent="0.3">
      <c r="A70" s="338" t="s">
        <v>12</v>
      </c>
      <c r="B70" s="11"/>
      <c r="D70" s="3" t="s">
        <v>135</v>
      </c>
      <c r="L70" s="16"/>
      <c r="M70" s="16"/>
      <c r="N70" s="15"/>
      <c r="O70" s="246">
        <f>O108+O146</f>
        <v>2416.5080499999999</v>
      </c>
      <c r="P70" s="16">
        <f t="shared" ref="P70:X70" si="68">P71*P74</f>
        <v>1392.0328957709087</v>
      </c>
      <c r="Q70" s="16">
        <f t="shared" si="68"/>
        <v>1276.0301544566662</v>
      </c>
      <c r="R70" s="16">
        <f t="shared" si="68"/>
        <v>696.01644788545434</v>
      </c>
      <c r="S70" s="16">
        <f t="shared" si="68"/>
        <v>232.00548262848477</v>
      </c>
      <c r="T70" s="16">
        <f t="shared" si="68"/>
        <v>928.02193051393908</v>
      </c>
      <c r="U70" s="16">
        <f t="shared" si="68"/>
        <v>1276.0301544566662</v>
      </c>
      <c r="V70" s="16">
        <f t="shared" si="68"/>
        <v>812.01918919969671</v>
      </c>
      <c r="W70" s="16">
        <f t="shared" si="68"/>
        <v>928.02193051393908</v>
      </c>
      <c r="X70" s="16">
        <f t="shared" si="68"/>
        <v>928.02193051393908</v>
      </c>
      <c r="Y70" s="246">
        <f>SUM(P70:X70)</f>
        <v>8468.200115939695</v>
      </c>
      <c r="Z70" s="246">
        <f>Y70+O70</f>
        <v>10884.708165939695</v>
      </c>
      <c r="AA70" s="119"/>
      <c r="AB70" s="119"/>
      <c r="AC70" s="119"/>
      <c r="AD70" s="119"/>
      <c r="AE70" s="23"/>
      <c r="AF70" s="327"/>
      <c r="AG70" s="322">
        <f t="shared" si="60"/>
        <v>0</v>
      </c>
    </row>
    <row r="71" spans="1:33" x14ac:dyDescent="0.3">
      <c r="A71" s="338" t="s">
        <v>12</v>
      </c>
      <c r="B71" s="11"/>
      <c r="E71" s="3" t="s">
        <v>298</v>
      </c>
      <c r="L71" s="16"/>
      <c r="M71" s="16"/>
      <c r="N71" s="15"/>
      <c r="O71" s="246">
        <f>O109+O147</f>
        <v>19</v>
      </c>
      <c r="P71" s="16">
        <f>SUMIFS(INDEX(판매수량!$N$2:$V$82,0,MATCH(Revenue_HW!P$47,판매수량!$N$2:$V$2,0)),판매수량!$A$2:$A$82,Revenue_HW!$A71,판매수량!$B$2:$B$82,Revenue_HW!$AG71)</f>
        <v>12</v>
      </c>
      <c r="Q71" s="16">
        <f>SUMIFS(INDEX(판매수량!$N$2:$V$82,0,MATCH(Revenue_HW!Q$47,판매수량!$N$2:$V$2,0)),판매수량!$A$2:$A$82,Revenue_HW!$A71,판매수량!$B$2:$B$82,Revenue_HW!$AG71)</f>
        <v>11</v>
      </c>
      <c r="R71" s="16">
        <f>SUMIFS(INDEX(판매수량!$N$2:$V$82,0,MATCH(Revenue_HW!R$47,판매수량!$N$2:$V$2,0)),판매수량!$A$2:$A$82,Revenue_HW!$A71,판매수량!$B$2:$B$82,Revenue_HW!$AG71)</f>
        <v>6</v>
      </c>
      <c r="S71" s="16">
        <f>SUMIFS(INDEX(판매수량!$N$2:$V$82,0,MATCH(Revenue_HW!S$47,판매수량!$N$2:$V$2,0)),판매수량!$A$2:$A$82,Revenue_HW!$A71,판매수량!$B$2:$B$82,Revenue_HW!$AG71)</f>
        <v>2</v>
      </c>
      <c r="T71" s="16">
        <f>SUMIFS(INDEX(판매수량!$N$2:$V$82,0,MATCH(Revenue_HW!T$47,판매수량!$N$2:$V$2,0)),판매수량!$A$2:$A$82,Revenue_HW!$A71,판매수량!$B$2:$B$82,Revenue_HW!$AG71)</f>
        <v>8</v>
      </c>
      <c r="U71" s="16">
        <f>SUMIFS(INDEX(판매수량!$N$2:$V$82,0,MATCH(Revenue_HW!U$47,판매수량!$N$2:$V$2,0)),판매수량!$A$2:$A$82,Revenue_HW!$A71,판매수량!$B$2:$B$82,Revenue_HW!$AG71)</f>
        <v>11</v>
      </c>
      <c r="V71" s="16">
        <f>SUMIFS(INDEX(판매수량!$N$2:$V$82,0,MATCH(Revenue_HW!V$47,판매수량!$N$2:$V$2,0)),판매수량!$A$2:$A$82,Revenue_HW!$A71,판매수량!$B$2:$B$82,Revenue_HW!$AG71)</f>
        <v>7</v>
      </c>
      <c r="W71" s="16">
        <f>SUMIFS(INDEX(판매수량!$N$2:$V$82,0,MATCH(Revenue_HW!W$47,판매수량!$N$2:$V$2,0)),판매수량!$A$2:$A$82,Revenue_HW!$A71,판매수량!$B$2:$B$82,Revenue_HW!$AG71)</f>
        <v>8</v>
      </c>
      <c r="X71" s="16">
        <f>SUMIFS(INDEX(판매수량!$N$2:$V$82,0,MATCH(Revenue_HW!X$47,판매수량!$N$2:$V$2,0)),판매수량!$A$2:$A$82,Revenue_HW!$A71,판매수량!$B$2:$B$82,Revenue_HW!$AG71)</f>
        <v>8</v>
      </c>
      <c r="Y71" s="246">
        <f>SUM(P71:X71)</f>
        <v>73</v>
      </c>
      <c r="Z71" s="246">
        <f>Y71+O71</f>
        <v>92</v>
      </c>
      <c r="AA71" s="119"/>
      <c r="AB71" s="119"/>
      <c r="AC71" s="119"/>
      <c r="AD71" s="119"/>
      <c r="AE71" s="23"/>
      <c r="AF71" s="327"/>
      <c r="AG71" s="322" t="str">
        <f t="shared" si="60"/>
        <v>단종</v>
      </c>
    </row>
    <row r="72" spans="1:33" x14ac:dyDescent="0.3">
      <c r="A72" s="338" t="s">
        <v>12</v>
      </c>
      <c r="B72" s="11"/>
      <c r="F72" s="3" t="s">
        <v>304</v>
      </c>
      <c r="L72" s="16"/>
      <c r="M72" s="16"/>
      <c r="N72" s="15"/>
      <c r="O72" s="306"/>
      <c r="P72" s="119"/>
      <c r="Q72" s="119"/>
      <c r="R72" s="119"/>
      <c r="S72" s="119"/>
      <c r="T72" s="119"/>
      <c r="U72" s="119"/>
      <c r="V72" s="119"/>
      <c r="W72" s="119"/>
      <c r="X72" s="119"/>
      <c r="Y72" s="306"/>
      <c r="Z72" s="246">
        <v>19</v>
      </c>
      <c r="AA72" s="119"/>
      <c r="AB72" s="119"/>
      <c r="AC72" s="119"/>
      <c r="AD72" s="119"/>
      <c r="AE72" s="23"/>
      <c r="AF72" s="327"/>
      <c r="AG72" s="322">
        <f t="shared" si="60"/>
        <v>0</v>
      </c>
    </row>
    <row r="73" spans="1:33" x14ac:dyDescent="0.3">
      <c r="A73" s="338" t="s">
        <v>12</v>
      </c>
      <c r="B73" s="11"/>
      <c r="F73" s="3" t="s">
        <v>305</v>
      </c>
      <c r="L73" s="16"/>
      <c r="M73" s="16"/>
      <c r="N73" s="15"/>
      <c r="O73" s="306"/>
      <c r="P73" s="119"/>
      <c r="Q73" s="119"/>
      <c r="R73" s="119"/>
      <c r="S73" s="119"/>
      <c r="T73" s="119"/>
      <c r="U73" s="119"/>
      <c r="V73" s="119"/>
      <c r="W73" s="119"/>
      <c r="X73" s="119"/>
      <c r="Y73" s="306"/>
      <c r="Z73" s="246">
        <f>Z71/Z72</f>
        <v>4.8421052631578947</v>
      </c>
      <c r="AA73" s="119"/>
      <c r="AB73" s="119"/>
      <c r="AC73" s="119"/>
      <c r="AD73" s="119"/>
      <c r="AE73" s="23"/>
      <c r="AF73" s="327"/>
      <c r="AG73" s="322">
        <f t="shared" si="60"/>
        <v>0</v>
      </c>
    </row>
    <row r="74" spans="1:33" x14ac:dyDescent="0.3">
      <c r="A74" s="338" t="s">
        <v>12</v>
      </c>
      <c r="B74" s="11"/>
      <c r="E74" s="3" t="s">
        <v>306</v>
      </c>
      <c r="L74" s="16"/>
      <c r="M74" s="16"/>
      <c r="N74" s="15"/>
      <c r="O74" s="246">
        <f>O70/O71</f>
        <v>127.18463421052631</v>
      </c>
      <c r="P74" s="16">
        <f>'Key Assumption'!R295</f>
        <v>116.00274131424239</v>
      </c>
      <c r="Q74" s="16">
        <f>'Key Assumption'!S295</f>
        <v>116.00274131424239</v>
      </c>
      <c r="R74" s="16">
        <f>'Key Assumption'!T295</f>
        <v>116.00274131424239</v>
      </c>
      <c r="S74" s="16">
        <f>'Key Assumption'!U295</f>
        <v>116.00274131424239</v>
      </c>
      <c r="T74" s="16">
        <f>'Key Assumption'!V295</f>
        <v>116.00274131424239</v>
      </c>
      <c r="U74" s="16">
        <f>'Key Assumption'!W295</f>
        <v>116.00274131424239</v>
      </c>
      <c r="V74" s="16">
        <f>'Key Assumption'!X295</f>
        <v>116.00274131424239</v>
      </c>
      <c r="W74" s="16">
        <f>'Key Assumption'!Y295</f>
        <v>116.00274131424239</v>
      </c>
      <c r="X74" s="16">
        <f>'Key Assumption'!Z295</f>
        <v>116.00274131424239</v>
      </c>
      <c r="Y74" s="246">
        <f>Y70/Y71</f>
        <v>116.0027413142424</v>
      </c>
      <c r="Z74" s="246">
        <f>Z70/Z71</f>
        <v>118.31204528195322</v>
      </c>
      <c r="AA74" s="119"/>
      <c r="AB74" s="119"/>
      <c r="AC74" s="119"/>
      <c r="AD74" s="119"/>
      <c r="AE74" s="23"/>
      <c r="AF74" s="327"/>
      <c r="AG74" s="322">
        <f t="shared" si="60"/>
        <v>0</v>
      </c>
    </row>
    <row r="75" spans="1:33" x14ac:dyDescent="0.3">
      <c r="A75" s="338" t="s">
        <v>12</v>
      </c>
      <c r="B75" s="11"/>
      <c r="D75" s="3" t="s">
        <v>136</v>
      </c>
      <c r="L75" s="16"/>
      <c r="M75" s="16"/>
      <c r="N75" s="15"/>
      <c r="O75" s="246">
        <f t="shared" ref="O75:Y75" si="69">O76+O78+O80+O82+O85+O86</f>
        <v>7736.3271000000004</v>
      </c>
      <c r="P75" s="16">
        <f t="shared" si="69"/>
        <v>2520.805201034148</v>
      </c>
      <c r="Q75" s="16">
        <f t="shared" si="69"/>
        <v>2535.6312393484191</v>
      </c>
      <c r="R75" s="16">
        <f t="shared" si="69"/>
        <v>2525.9375308086178</v>
      </c>
      <c r="S75" s="16">
        <f t="shared" si="69"/>
        <v>2169.2643076020386</v>
      </c>
      <c r="T75" s="16">
        <f t="shared" si="69"/>
        <v>2376.8590347932277</v>
      </c>
      <c r="U75" s="16">
        <f t="shared" si="69"/>
        <v>2293.4525439968334</v>
      </c>
      <c r="V75" s="16">
        <f t="shared" si="69"/>
        <v>2323.753933738295</v>
      </c>
      <c r="W75" s="16">
        <f t="shared" si="69"/>
        <v>2250.1106181833984</v>
      </c>
      <c r="X75" s="16">
        <f t="shared" si="69"/>
        <v>2006.4970021491647</v>
      </c>
      <c r="Y75" s="246">
        <f t="shared" si="69"/>
        <v>21002.31141165414</v>
      </c>
      <c r="Z75" s="246">
        <f>Y75+O75</f>
        <v>28738.638511654142</v>
      </c>
      <c r="AA75" s="16">
        <f>AA76+AA78+AA80+AA82+AA85+AA86</f>
        <v>25383.242005391512</v>
      </c>
      <c r="AB75" s="16">
        <f>AB76+AB78+AB80+AB82+AB85+AB86</f>
        <v>29151.251126403025</v>
      </c>
      <c r="AC75" s="16">
        <f>AC76+AC78+AC80+AC82+AC85+AC86</f>
        <v>32478.154641292043</v>
      </c>
      <c r="AD75" s="16">
        <f>AD76+AD78+AD80+AD82+AD85+AD86</f>
        <v>36390.032735355533</v>
      </c>
      <c r="AE75" s="23"/>
      <c r="AF75" s="327"/>
      <c r="AG75" s="322">
        <f t="shared" si="60"/>
        <v>0</v>
      </c>
    </row>
    <row r="76" spans="1:33" x14ac:dyDescent="0.3">
      <c r="A76" s="338" t="s">
        <v>12</v>
      </c>
      <c r="B76" s="11"/>
      <c r="E76" s="3" t="s">
        <v>307</v>
      </c>
      <c r="L76" s="16"/>
      <c r="M76" s="16"/>
      <c r="N76" s="15"/>
      <c r="O76" s="246">
        <f>O114+O152</f>
        <v>3645.8334209999998</v>
      </c>
      <c r="P76" s="16">
        <f t="shared" ref="P76:X76" si="70">SUM(P$50,P$55,P$60,P$65,P$70)*P77</f>
        <v>1390.28157949719</v>
      </c>
      <c r="Q76" s="16">
        <f t="shared" si="70"/>
        <v>1398.4584778774358</v>
      </c>
      <c r="R76" s="16">
        <f t="shared" si="70"/>
        <v>1393.112176459789</v>
      </c>
      <c r="S76" s="16">
        <f t="shared" si="70"/>
        <v>1196.3987565094628</v>
      </c>
      <c r="T76" s="16">
        <f t="shared" si="70"/>
        <v>1310.8919847431446</v>
      </c>
      <c r="U76" s="16">
        <f t="shared" si="70"/>
        <v>1264.8914021843821</v>
      </c>
      <c r="V76" s="16">
        <f t="shared" si="70"/>
        <v>1281.6033099404581</v>
      </c>
      <c r="W76" s="16">
        <f t="shared" si="70"/>
        <v>1240.987341270182</v>
      </c>
      <c r="X76" s="16">
        <f t="shared" si="70"/>
        <v>1106.6288740835269</v>
      </c>
      <c r="Y76" s="246">
        <f>SUM(P76:X76)</f>
        <v>11583.25390256557</v>
      </c>
      <c r="Z76" s="246">
        <f>Y76+O76</f>
        <v>15229.087323565569</v>
      </c>
      <c r="AA76" s="16">
        <f>AA114+AA152</f>
        <v>13999.43707412919</v>
      </c>
      <c r="AB76" s="16">
        <f>AB114+AB152</f>
        <v>16077.580069934897</v>
      </c>
      <c r="AC76" s="16">
        <f>AC114+AC152</f>
        <v>17912.443260322289</v>
      </c>
      <c r="AD76" s="16">
        <f>AD114+AD152</f>
        <v>20069.933277077209</v>
      </c>
      <c r="AE76" s="23"/>
      <c r="AF76" s="327"/>
      <c r="AG76" s="322">
        <f t="shared" si="60"/>
        <v>0</v>
      </c>
    </row>
    <row r="77" spans="1:33" s="23" customFormat="1" x14ac:dyDescent="0.3">
      <c r="A77" s="338" t="s">
        <v>12</v>
      </c>
      <c r="B77" s="160"/>
      <c r="F77" s="23" t="s">
        <v>308</v>
      </c>
      <c r="I77" s="339">
        <v>0.10241497451457675</v>
      </c>
      <c r="L77" s="151"/>
      <c r="M77" s="151"/>
      <c r="N77" s="150"/>
      <c r="O77" s="340">
        <f>O76/SUM(O$50,O$55,O$60,O$65,O$70)</f>
        <v>0.14953401542006486</v>
      </c>
      <c r="P77" s="43">
        <f t="shared" ref="P77:X77" si="71">$I77</f>
        <v>0.10241497451457675</v>
      </c>
      <c r="Q77" s="43">
        <f t="shared" si="71"/>
        <v>0.10241497451457675</v>
      </c>
      <c r="R77" s="43">
        <f t="shared" si="71"/>
        <v>0.10241497451457675</v>
      </c>
      <c r="S77" s="43">
        <f t="shared" si="71"/>
        <v>0.10241497451457675</v>
      </c>
      <c r="T77" s="43">
        <f t="shared" si="71"/>
        <v>0.10241497451457675</v>
      </c>
      <c r="U77" s="43">
        <f t="shared" si="71"/>
        <v>0.10241497451457675</v>
      </c>
      <c r="V77" s="43">
        <f t="shared" si="71"/>
        <v>0.10241497451457675</v>
      </c>
      <c r="W77" s="43">
        <f t="shared" si="71"/>
        <v>0.10241497451457675</v>
      </c>
      <c r="X77" s="43">
        <f t="shared" si="71"/>
        <v>0.10241497451457675</v>
      </c>
      <c r="Y77" s="340">
        <f>IFERROR(Y76/SUM(Y$21,Y$27,Y$33,Y$39,Y$45),)</f>
        <v>9.6201479388656932E-2</v>
      </c>
      <c r="Z77" s="340">
        <f>IFERROR(Z76/SUM(Z$21,Z$27,Z$33,Z$39,Z$45),)</f>
        <v>9.0954413213827509E-2</v>
      </c>
      <c r="AA77" s="43">
        <f>AA76/SUM(AA$50,AA$55,AA$60,AA$65,AA$70)</f>
        <v>0.10241497451457675</v>
      </c>
      <c r="AB77" s="43">
        <f>AB76/SUM(AB$50,AB$55,AB$60,AB$65,AB$70)</f>
        <v>0.10241497451457676</v>
      </c>
      <c r="AC77" s="43">
        <f>AC76/SUM(AC$50,AC$55,AC$60,AC$65,AC$70)</f>
        <v>0.10241497451457675</v>
      </c>
      <c r="AD77" s="43">
        <f>AD76/SUM(AD$50,AD$55,AD$60,AD$65,AD$70)</f>
        <v>0.10241497451457672</v>
      </c>
      <c r="AF77" s="327"/>
      <c r="AG77" s="322">
        <f t="shared" si="60"/>
        <v>0</v>
      </c>
    </row>
    <row r="78" spans="1:33" x14ac:dyDescent="0.3">
      <c r="A78" s="338" t="s">
        <v>12</v>
      </c>
      <c r="B78" s="11"/>
      <c r="E78" s="3" t="s">
        <v>309</v>
      </c>
      <c r="I78" s="341"/>
      <c r="L78" s="16"/>
      <c r="M78" s="16"/>
      <c r="N78" s="15"/>
      <c r="O78" s="246">
        <f>O116+O154</f>
        <v>2355.9422999999997</v>
      </c>
      <c r="P78" s="16">
        <f t="shared" ref="P78:X78" si="72">SUM(P$50,P$55,P$60,P$65,P$70)*P79</f>
        <v>622.2355386128371</v>
      </c>
      <c r="Q78" s="16">
        <f t="shared" si="72"/>
        <v>625.89519780910916</v>
      </c>
      <c r="R78" s="16">
        <f t="shared" si="72"/>
        <v>623.50240285932705</v>
      </c>
      <c r="S78" s="16">
        <f t="shared" si="72"/>
        <v>535.46118687814976</v>
      </c>
      <c r="T78" s="16">
        <f t="shared" si="72"/>
        <v>586.70386792069996</v>
      </c>
      <c r="U78" s="16">
        <f t="shared" si="72"/>
        <v>566.11581030196362</v>
      </c>
      <c r="V78" s="16">
        <f t="shared" si="72"/>
        <v>573.5954051388677</v>
      </c>
      <c r="W78" s="16">
        <f t="shared" si="72"/>
        <v>555.41728963008609</v>
      </c>
      <c r="X78" s="16">
        <f t="shared" si="72"/>
        <v>495.28370631143247</v>
      </c>
      <c r="Y78" s="246">
        <f>SUM(P78:X78)</f>
        <v>5184.2104054624724</v>
      </c>
      <c r="Z78" s="246">
        <f>Y78+O78</f>
        <v>7540.1527054624721</v>
      </c>
      <c r="AA78" s="16">
        <f>AA116+AA154</f>
        <v>6265.5992833104365</v>
      </c>
      <c r="AB78" s="16">
        <f>AB116+AB154</f>
        <v>7195.6946290153828</v>
      </c>
      <c r="AC78" s="16">
        <f>AC116+AC154</f>
        <v>8016.9074699166367</v>
      </c>
      <c r="AD78" s="16">
        <f>AD116+AD154</f>
        <v>8982.5154319474896</v>
      </c>
      <c r="AE78" s="23"/>
      <c r="AF78" s="327"/>
      <c r="AG78" s="322">
        <f t="shared" si="60"/>
        <v>0</v>
      </c>
    </row>
    <row r="79" spans="1:33" s="23" customFormat="1" x14ac:dyDescent="0.3">
      <c r="A79" s="338" t="s">
        <v>12</v>
      </c>
      <c r="B79" s="160"/>
      <c r="F79" s="23" t="s">
        <v>308</v>
      </c>
      <c r="I79" s="339">
        <v>4.5836928122247655E-2</v>
      </c>
      <c r="L79" s="151"/>
      <c r="M79" s="151"/>
      <c r="N79" s="150"/>
      <c r="O79" s="340">
        <f>O78/SUM(O$50,O$55,O$60,O$65,O$70)</f>
        <v>9.6629075313143076E-2</v>
      </c>
      <c r="P79" s="43">
        <f t="shared" ref="P79:X79" si="73">$I79</f>
        <v>4.5836928122247655E-2</v>
      </c>
      <c r="Q79" s="43">
        <f t="shared" si="73"/>
        <v>4.5836928122247655E-2</v>
      </c>
      <c r="R79" s="43">
        <f t="shared" si="73"/>
        <v>4.5836928122247655E-2</v>
      </c>
      <c r="S79" s="43">
        <f t="shared" si="73"/>
        <v>4.5836928122247655E-2</v>
      </c>
      <c r="T79" s="43">
        <f t="shared" si="73"/>
        <v>4.5836928122247655E-2</v>
      </c>
      <c r="U79" s="43">
        <f t="shared" si="73"/>
        <v>4.5836928122247655E-2</v>
      </c>
      <c r="V79" s="43">
        <f t="shared" si="73"/>
        <v>4.5836928122247655E-2</v>
      </c>
      <c r="W79" s="43">
        <f t="shared" si="73"/>
        <v>4.5836928122247655E-2</v>
      </c>
      <c r="X79" s="43">
        <f t="shared" si="73"/>
        <v>4.5836928122247655E-2</v>
      </c>
      <c r="Y79" s="340">
        <f>IFERROR(Y78/SUM(Y$21,Y$27,Y$33,Y$39,Y$45),)</f>
        <v>4.3056011260971812E-2</v>
      </c>
      <c r="Z79" s="340">
        <f>IFERROR(Z78/SUM(Z$21,Z$27,Z$33,Z$39,Z$45),)</f>
        <v>4.5032913023406659E-2</v>
      </c>
      <c r="AA79" s="43">
        <f>AA78/SUM(AA$50,AA$55,AA$60,AA$65,AA$70)</f>
        <v>4.5836928122247655E-2</v>
      </c>
      <c r="AB79" s="43">
        <f>AB78/SUM(AB$50,AB$55,AB$60,AB$65,AB$70)</f>
        <v>4.5836928122247655E-2</v>
      </c>
      <c r="AC79" s="43">
        <f>AC78/SUM(AC$50,AC$55,AC$60,AC$65,AC$70)</f>
        <v>4.5836928122247662E-2</v>
      </c>
      <c r="AD79" s="43">
        <f>AD78/SUM(AD$50,AD$55,AD$60,AD$65,AD$70)</f>
        <v>4.5836928122247649E-2</v>
      </c>
      <c r="AF79" s="327"/>
      <c r="AG79" s="322">
        <f t="shared" si="60"/>
        <v>0</v>
      </c>
    </row>
    <row r="80" spans="1:33" x14ac:dyDescent="0.3">
      <c r="A80" s="338" t="s">
        <v>12</v>
      </c>
      <c r="B80" s="11"/>
      <c r="E80" s="3" t="s">
        <v>310</v>
      </c>
      <c r="I80" s="341"/>
      <c r="L80" s="16"/>
      <c r="M80" s="16"/>
      <c r="N80" s="15"/>
      <c r="O80" s="246">
        <f>O118+O156</f>
        <v>1734.551379</v>
      </c>
      <c r="P80" s="16">
        <f t="shared" ref="P80:X80" si="74">SUM(P$50,P$55,P$60,P$65,P$70)*P81</f>
        <v>508.2880829241206</v>
      </c>
      <c r="Q80" s="16">
        <f t="shared" si="74"/>
        <v>511.27756366187413</v>
      </c>
      <c r="R80" s="16">
        <f t="shared" si="74"/>
        <v>509.32295148950186</v>
      </c>
      <c r="S80" s="16">
        <f t="shared" si="74"/>
        <v>437.40436421442615</v>
      </c>
      <c r="T80" s="16">
        <f t="shared" si="74"/>
        <v>479.26318212938327</v>
      </c>
      <c r="U80" s="16">
        <f t="shared" si="74"/>
        <v>462.44533151048756</v>
      </c>
      <c r="V80" s="16">
        <f t="shared" si="74"/>
        <v>468.55521865896918</v>
      </c>
      <c r="W80" s="16">
        <f t="shared" si="74"/>
        <v>453.70598728313013</v>
      </c>
      <c r="X80" s="16">
        <f t="shared" si="74"/>
        <v>404.58442175420532</v>
      </c>
      <c r="Y80" s="246">
        <f>SUM(P80:X80)</f>
        <v>4234.847103626098</v>
      </c>
      <c r="Z80" s="246">
        <f>Y80+O80</f>
        <v>5969.3984826260985</v>
      </c>
      <c r="AA80" s="16">
        <f>AA118+AA156</f>
        <v>5118.2056479518851</v>
      </c>
      <c r="AB80" s="16">
        <f>AB118+AB156</f>
        <v>5877.9764274527479</v>
      </c>
      <c r="AC80" s="16">
        <f>AC118+AC156</f>
        <v>6548.8039110531154</v>
      </c>
      <c r="AD80" s="16">
        <f>AD118+AD156</f>
        <v>7337.5840263308364</v>
      </c>
      <c r="AE80" s="23"/>
      <c r="AF80" s="327"/>
      <c r="AG80" s="322">
        <f t="shared" si="60"/>
        <v>0</v>
      </c>
    </row>
    <row r="81" spans="1:34" s="23" customFormat="1" x14ac:dyDescent="0.3">
      <c r="A81" s="338" t="s">
        <v>12</v>
      </c>
      <c r="B81" s="160"/>
      <c r="F81" s="23" t="s">
        <v>308</v>
      </c>
      <c r="I81" s="339">
        <v>3.7442998473419746E-2</v>
      </c>
      <c r="L81" s="151"/>
      <c r="M81" s="151"/>
      <c r="N81" s="150"/>
      <c r="O81" s="340">
        <f>O80/SUM(O$50,O$55,O$60,O$65,O$70)</f>
        <v>7.1142699817354271E-2</v>
      </c>
      <c r="P81" s="43">
        <f t="shared" ref="P81:X81" si="75">$I81</f>
        <v>3.7442998473419746E-2</v>
      </c>
      <c r="Q81" s="43">
        <f t="shared" si="75"/>
        <v>3.7442998473419746E-2</v>
      </c>
      <c r="R81" s="43">
        <f t="shared" si="75"/>
        <v>3.7442998473419746E-2</v>
      </c>
      <c r="S81" s="43">
        <f t="shared" si="75"/>
        <v>3.7442998473419746E-2</v>
      </c>
      <c r="T81" s="43">
        <f t="shared" si="75"/>
        <v>3.7442998473419746E-2</v>
      </c>
      <c r="U81" s="43">
        <f t="shared" si="75"/>
        <v>3.7442998473419746E-2</v>
      </c>
      <c r="V81" s="43">
        <f t="shared" si="75"/>
        <v>3.7442998473419746E-2</v>
      </c>
      <c r="W81" s="43">
        <f t="shared" si="75"/>
        <v>3.7442998473419746E-2</v>
      </c>
      <c r="X81" s="43">
        <f t="shared" si="75"/>
        <v>3.7442998473419746E-2</v>
      </c>
      <c r="Y81" s="340">
        <f>IFERROR(Y80/SUM(Y$21,Y$27,Y$33,Y$39,Y$45),)</f>
        <v>3.5171339571807632E-2</v>
      </c>
      <c r="Z81" s="340">
        <f>IFERROR(Z80/SUM(Z$21,Z$27,Z$33,Z$39,Z$45),)</f>
        <v>3.5651718628378744E-2</v>
      </c>
      <c r="AA81" s="43">
        <f>AA80/SUM(AA$50,AA$55,AA$60,AA$65,AA$70)</f>
        <v>3.7442998473419753E-2</v>
      </c>
      <c r="AB81" s="43">
        <f>AB80/SUM(AB$50,AB$55,AB$60,AB$65,AB$70)</f>
        <v>3.7442998473419753E-2</v>
      </c>
      <c r="AC81" s="43">
        <f>AC80/SUM(AC$50,AC$55,AC$60,AC$65,AC$70)</f>
        <v>3.7442998473419753E-2</v>
      </c>
      <c r="AD81" s="43">
        <f>AD80/SUM(AD$50,AD$55,AD$60,AD$65,AD$70)</f>
        <v>3.7442998473419732E-2</v>
      </c>
      <c r="AF81" s="327"/>
      <c r="AG81" s="322">
        <f t="shared" si="60"/>
        <v>0</v>
      </c>
    </row>
    <row r="82" spans="1:34" x14ac:dyDescent="0.3">
      <c r="A82" s="338" t="s">
        <v>12</v>
      </c>
      <c r="B82" s="11"/>
      <c r="E82" s="3" t="s">
        <v>311</v>
      </c>
      <c r="I82" s="341"/>
      <c r="L82" s="16"/>
      <c r="M82" s="16"/>
      <c r="N82" s="15"/>
      <c r="O82" s="306"/>
      <c r="P82" s="119">
        <v>0</v>
      </c>
      <c r="Q82" s="119">
        <v>0</v>
      </c>
      <c r="R82" s="119">
        <v>0</v>
      </c>
      <c r="S82" s="119">
        <v>0</v>
      </c>
      <c r="T82" s="119">
        <v>0</v>
      </c>
      <c r="U82" s="119">
        <v>0</v>
      </c>
      <c r="V82" s="119">
        <v>0</v>
      </c>
      <c r="W82" s="119">
        <v>0</v>
      </c>
      <c r="X82" s="119">
        <v>0</v>
      </c>
      <c r="Y82" s="306">
        <f>SUM(P82:X82)</f>
        <v>0</v>
      </c>
      <c r="Z82" s="306">
        <f>Y82+O82</f>
        <v>0</v>
      </c>
      <c r="AA82" s="119"/>
      <c r="AB82" s="119"/>
      <c r="AC82" s="119"/>
      <c r="AD82" s="119"/>
      <c r="AE82" s="23"/>
      <c r="AF82" s="327"/>
      <c r="AG82" s="322">
        <f t="shared" si="60"/>
        <v>0</v>
      </c>
    </row>
    <row r="83" spans="1:34" x14ac:dyDescent="0.3">
      <c r="A83" s="338" t="s">
        <v>12</v>
      </c>
      <c r="B83" s="11"/>
      <c r="F83" s="3" t="s">
        <v>312</v>
      </c>
      <c r="I83" s="341"/>
      <c r="L83" s="16"/>
      <c r="M83" s="16"/>
      <c r="N83" s="15"/>
      <c r="O83" s="306"/>
      <c r="P83" s="119">
        <v>0</v>
      </c>
      <c r="Q83" s="119">
        <v>0</v>
      </c>
      <c r="R83" s="119">
        <v>0</v>
      </c>
      <c r="S83" s="119">
        <v>0</v>
      </c>
      <c r="T83" s="119">
        <v>0</v>
      </c>
      <c r="U83" s="119">
        <v>0</v>
      </c>
      <c r="V83" s="119">
        <v>0</v>
      </c>
      <c r="W83" s="119">
        <v>0</v>
      </c>
      <c r="X83" s="119">
        <v>0</v>
      </c>
      <c r="Y83" s="306">
        <f>SUM(P83:X83)</f>
        <v>0</v>
      </c>
      <c r="Z83" s="306">
        <f>SUM(O83:X83)</f>
        <v>0</v>
      </c>
      <c r="AA83" s="119"/>
      <c r="AB83" s="119"/>
      <c r="AC83" s="119"/>
      <c r="AD83" s="119"/>
      <c r="AE83" s="23"/>
      <c r="AF83" s="327"/>
      <c r="AG83" s="322">
        <f t="shared" si="60"/>
        <v>0</v>
      </c>
    </row>
    <row r="84" spans="1:34" x14ac:dyDescent="0.3">
      <c r="A84" s="338" t="s">
        <v>12</v>
      </c>
      <c r="B84" s="11"/>
      <c r="F84" s="3" t="s">
        <v>313</v>
      </c>
      <c r="I84" s="342">
        <v>0</v>
      </c>
      <c r="L84" s="16"/>
      <c r="M84" s="16"/>
      <c r="N84" s="15"/>
      <c r="O84" s="306"/>
      <c r="P84" s="119">
        <v>0</v>
      </c>
      <c r="Q84" s="119">
        <v>0</v>
      </c>
      <c r="R84" s="119">
        <v>0</v>
      </c>
      <c r="S84" s="119">
        <v>0</v>
      </c>
      <c r="T84" s="119">
        <v>0</v>
      </c>
      <c r="U84" s="119">
        <v>0</v>
      </c>
      <c r="V84" s="119">
        <v>0</v>
      </c>
      <c r="W84" s="119">
        <v>0</v>
      </c>
      <c r="X84" s="119">
        <v>0</v>
      </c>
      <c r="Y84" s="306">
        <v>0</v>
      </c>
      <c r="Z84" s="306">
        <v>0</v>
      </c>
      <c r="AA84" s="119"/>
      <c r="AB84" s="119"/>
      <c r="AC84" s="119"/>
      <c r="AD84" s="119"/>
      <c r="AE84" s="23"/>
      <c r="AF84" s="327"/>
      <c r="AG84" s="322">
        <f t="shared" si="60"/>
        <v>0</v>
      </c>
    </row>
    <row r="85" spans="1:34" x14ac:dyDescent="0.3">
      <c r="A85" s="338" t="s">
        <v>12</v>
      </c>
      <c r="B85" s="11"/>
      <c r="E85" s="3" t="s">
        <v>314</v>
      </c>
      <c r="I85" s="341"/>
      <c r="L85" s="16"/>
      <c r="M85" s="16"/>
      <c r="N85" s="15"/>
      <c r="O85" s="306"/>
      <c r="P85" s="119">
        <v>0</v>
      </c>
      <c r="Q85" s="119">
        <v>0</v>
      </c>
      <c r="R85" s="119">
        <v>0</v>
      </c>
      <c r="S85" s="119">
        <v>0</v>
      </c>
      <c r="T85" s="119">
        <v>0</v>
      </c>
      <c r="U85" s="119">
        <v>0</v>
      </c>
      <c r="V85" s="119">
        <v>0</v>
      </c>
      <c r="W85" s="119">
        <v>0</v>
      </c>
      <c r="X85" s="119">
        <v>0</v>
      </c>
      <c r="Y85" s="306">
        <f>SUM(P85:X85)</f>
        <v>0</v>
      </c>
      <c r="Z85" s="306">
        <f>SUM(O85:X85)</f>
        <v>0</v>
      </c>
      <c r="AA85" s="119"/>
      <c r="AB85" s="119"/>
      <c r="AC85" s="119"/>
      <c r="AD85" s="119"/>
      <c r="AE85" s="23"/>
      <c r="AF85" s="327"/>
      <c r="AG85" s="322">
        <f t="shared" si="60"/>
        <v>0</v>
      </c>
    </row>
    <row r="86" spans="1:34" x14ac:dyDescent="0.3">
      <c r="A86" s="338" t="s">
        <v>12</v>
      </c>
      <c r="B86" s="11"/>
      <c r="E86" s="3" t="s">
        <v>105</v>
      </c>
      <c r="I86" s="341"/>
      <c r="L86" s="16"/>
      <c r="M86" s="16"/>
      <c r="N86" s="15"/>
      <c r="O86" s="306"/>
      <c r="P86" s="119">
        <v>0</v>
      </c>
      <c r="Q86" s="119">
        <v>0</v>
      </c>
      <c r="R86" s="119">
        <v>0</v>
      </c>
      <c r="S86" s="119">
        <v>0</v>
      </c>
      <c r="T86" s="119">
        <v>0</v>
      </c>
      <c r="U86" s="119">
        <v>0</v>
      </c>
      <c r="V86" s="119">
        <v>0</v>
      </c>
      <c r="W86" s="119">
        <v>0</v>
      </c>
      <c r="X86" s="119">
        <v>0</v>
      </c>
      <c r="Y86" s="306">
        <f>SUM(P86:X86)</f>
        <v>0</v>
      </c>
      <c r="Z86" s="306">
        <f>SUM(O86:X86)</f>
        <v>0</v>
      </c>
      <c r="AA86" s="119"/>
      <c r="AB86" s="119"/>
      <c r="AC86" s="119"/>
      <c r="AD86" s="119"/>
      <c r="AE86" s="23"/>
      <c r="AF86" s="327"/>
      <c r="AG86" s="322">
        <f t="shared" si="60"/>
        <v>0</v>
      </c>
    </row>
    <row r="87" spans="1:34" outlineLevel="1" x14ac:dyDescent="0.3">
      <c r="C87" s="3" t="s">
        <v>295</v>
      </c>
      <c r="I87" s="339">
        <v>0.5128307341878483</v>
      </c>
      <c r="L87" s="16"/>
      <c r="M87" s="16"/>
      <c r="N87" s="343"/>
      <c r="O87" s="246">
        <f t="shared" ref="O87:AD87" si="76">SUM(O88,O93,O98,O103,O108,O113)</f>
        <v>2474.7736</v>
      </c>
      <c r="P87" s="16">
        <f t="shared" si="76"/>
        <v>8168.4689243909806</v>
      </c>
      <c r="Q87" s="16">
        <f t="shared" si="76"/>
        <v>8227.6115461242061</v>
      </c>
      <c r="R87" s="16">
        <f t="shared" si="76"/>
        <v>8150.1618644674454</v>
      </c>
      <c r="S87" s="16">
        <f t="shared" si="76"/>
        <v>7159.7659774337972</v>
      </c>
      <c r="T87" s="16">
        <f t="shared" si="76"/>
        <v>7813.6521205952276</v>
      </c>
      <c r="U87" s="16">
        <f t="shared" si="76"/>
        <v>7407.2577044796963</v>
      </c>
      <c r="V87" s="16">
        <f t="shared" si="76"/>
        <v>7550.3173726699733</v>
      </c>
      <c r="W87" s="16">
        <f t="shared" si="76"/>
        <v>7287.330769860775</v>
      </c>
      <c r="X87" s="16">
        <f t="shared" si="76"/>
        <v>6648.7296837597814</v>
      </c>
      <c r="Y87" s="246">
        <f t="shared" si="76"/>
        <v>68413.295963781871</v>
      </c>
      <c r="Z87" s="246">
        <f t="shared" si="76"/>
        <v>70888.069563781886</v>
      </c>
      <c r="AA87" s="16">
        <f t="shared" si="76"/>
        <v>70420.768095462437</v>
      </c>
      <c r="AB87" s="16">
        <f t="shared" si="76"/>
        <v>81540.354973986803</v>
      </c>
      <c r="AC87" s="16">
        <f t="shared" si="76"/>
        <v>91492.430690897803</v>
      </c>
      <c r="AD87" s="16">
        <f t="shared" si="76"/>
        <v>102379.1825483206</v>
      </c>
      <c r="AE87" s="43"/>
      <c r="AF87" s="344"/>
      <c r="AG87" s="322">
        <f t="shared" si="60"/>
        <v>0</v>
      </c>
      <c r="AH87" s="17"/>
    </row>
    <row r="88" spans="1:34" outlineLevel="1" x14ac:dyDescent="0.3">
      <c r="D88" s="3" t="s">
        <v>131</v>
      </c>
      <c r="I88" s="345">
        <v>0.26373732606786937</v>
      </c>
      <c r="L88" s="16"/>
      <c r="M88" s="16"/>
      <c r="N88" s="15"/>
      <c r="O88" s="246">
        <v>0</v>
      </c>
      <c r="P88" s="16">
        <f t="shared" ref="P88:X88" si="77">P50*$I88</f>
        <v>238.73789087107181</v>
      </c>
      <c r="Q88" s="16">
        <f t="shared" si="77"/>
        <v>238.73789087107181</v>
      </c>
      <c r="R88" s="16">
        <f t="shared" si="77"/>
        <v>318.31718782809577</v>
      </c>
      <c r="S88" s="16">
        <f t="shared" si="77"/>
        <v>159.15859391404788</v>
      </c>
      <c r="T88" s="16">
        <f t="shared" si="77"/>
        <v>159.15859391404788</v>
      </c>
      <c r="U88" s="16">
        <f t="shared" si="77"/>
        <v>238.73789087107181</v>
      </c>
      <c r="V88" s="16">
        <f t="shared" si="77"/>
        <v>238.73789087107181</v>
      </c>
      <c r="W88" s="16">
        <f t="shared" si="77"/>
        <v>238.73789087107181</v>
      </c>
      <c r="X88" s="16">
        <f t="shared" si="77"/>
        <v>79.579296957023942</v>
      </c>
      <c r="Y88" s="246">
        <f>SUM(P88:X88)</f>
        <v>1909.9031269685745</v>
      </c>
      <c r="Z88" s="246">
        <f>Y88+O88</f>
        <v>1909.9031269685745</v>
      </c>
      <c r="AA88" s="16">
        <f>AA89*AA92</f>
        <v>2401.346770414048</v>
      </c>
      <c r="AB88" s="16">
        <f>AB89*AB92</f>
        <v>3139.3732416956445</v>
      </c>
      <c r="AC88" s="16">
        <f>AC89*AC92</f>
        <v>3401.438543539045</v>
      </c>
      <c r="AD88" s="16">
        <f>AD89*AD92</f>
        <v>4150.8203333838246</v>
      </c>
      <c r="AE88" s="23"/>
      <c r="AF88" s="327"/>
      <c r="AG88" s="322">
        <f t="shared" si="60"/>
        <v>0</v>
      </c>
    </row>
    <row r="89" spans="1:34" s="247" customFormat="1" outlineLevel="1" x14ac:dyDescent="0.3">
      <c r="E89" s="247" t="s">
        <v>298</v>
      </c>
      <c r="I89" s="339">
        <v>0.2857142857142857</v>
      </c>
      <c r="N89" s="248"/>
      <c r="O89" s="250">
        <v>0</v>
      </c>
      <c r="P89" s="247">
        <f t="shared" ref="P89:X89" si="78">ROUND(P51*$I89,)</f>
        <v>1</v>
      </c>
      <c r="Q89" s="247">
        <f t="shared" si="78"/>
        <v>1</v>
      </c>
      <c r="R89" s="247">
        <f t="shared" si="78"/>
        <v>1</v>
      </c>
      <c r="S89" s="247">
        <f t="shared" si="78"/>
        <v>1</v>
      </c>
      <c r="T89" s="247">
        <f t="shared" si="78"/>
        <v>1</v>
      </c>
      <c r="U89" s="247">
        <f t="shared" si="78"/>
        <v>1</v>
      </c>
      <c r="V89" s="247">
        <f t="shared" si="78"/>
        <v>1</v>
      </c>
      <c r="W89" s="247">
        <f t="shared" si="78"/>
        <v>1</v>
      </c>
      <c r="X89" s="247">
        <f t="shared" si="78"/>
        <v>0</v>
      </c>
      <c r="Y89" s="250">
        <f>SUM(P89:X89)</f>
        <v>8</v>
      </c>
      <c r="Z89" s="250">
        <f>Y89+O89</f>
        <v>8</v>
      </c>
      <c r="AA89" s="16">
        <f>ROUND(AA90*AA91,)</f>
        <v>10</v>
      </c>
      <c r="AB89" s="16">
        <f>ROUND(AB90*AB91,)</f>
        <v>13</v>
      </c>
      <c r="AC89" s="16">
        <f>ROUND(AC90*AC91,)</f>
        <v>14</v>
      </c>
      <c r="AD89" s="16">
        <f>ROUND(AD90*AD91,)</f>
        <v>17</v>
      </c>
      <c r="AE89" s="346"/>
      <c r="AF89" s="347"/>
      <c r="AG89" s="322" t="str">
        <f t="shared" si="60"/>
        <v>5축</v>
      </c>
    </row>
    <row r="90" spans="1:34" outlineLevel="1" x14ac:dyDescent="0.3">
      <c r="F90" s="3" t="s">
        <v>304</v>
      </c>
      <c r="I90" s="341"/>
      <c r="L90" s="16"/>
      <c r="M90" s="16"/>
      <c r="N90" s="15"/>
      <c r="O90" s="306"/>
      <c r="P90" s="119"/>
      <c r="Q90" s="119"/>
      <c r="R90" s="119"/>
      <c r="S90" s="119"/>
      <c r="T90" s="119"/>
      <c r="U90" s="119"/>
      <c r="V90" s="119"/>
      <c r="W90" s="119"/>
      <c r="X90" s="119"/>
      <c r="Y90" s="306"/>
      <c r="Z90" s="246">
        <f>Z52</f>
        <v>5</v>
      </c>
      <c r="AA90" s="16">
        <f>'Key Assumption'!AB54</f>
        <v>6</v>
      </c>
      <c r="AB90" s="16">
        <f>'Key Assumption'!AC54</f>
        <v>7</v>
      </c>
      <c r="AC90" s="16">
        <f>'Key Assumption'!AD54</f>
        <v>7</v>
      </c>
      <c r="AD90" s="16">
        <f>'Key Assumption'!AE54</f>
        <v>8</v>
      </c>
      <c r="AE90" s="23"/>
      <c r="AG90" s="322">
        <f t="shared" si="60"/>
        <v>0</v>
      </c>
    </row>
    <row r="91" spans="1:34" outlineLevel="1" x14ac:dyDescent="0.3">
      <c r="F91" s="3" t="s">
        <v>305</v>
      </c>
      <c r="I91" s="341"/>
      <c r="L91" s="16"/>
      <c r="M91" s="16"/>
      <c r="N91" s="15"/>
      <c r="O91" s="306"/>
      <c r="P91" s="119"/>
      <c r="Q91" s="119"/>
      <c r="R91" s="119"/>
      <c r="S91" s="119"/>
      <c r="T91" s="119"/>
      <c r="U91" s="119"/>
      <c r="V91" s="119"/>
      <c r="W91" s="119"/>
      <c r="X91" s="119"/>
      <c r="Y91" s="306"/>
      <c r="Z91" s="246">
        <f>Z89/Z90</f>
        <v>1.6</v>
      </c>
      <c r="AA91" s="16">
        <f>'Key Assumption'!AB160</f>
        <v>1.7093069306930695</v>
      </c>
      <c r="AB91" s="16">
        <f>'Key Assumption'!AC160</f>
        <v>1.8534653465346536</v>
      </c>
      <c r="AC91" s="16">
        <f>'Key Assumption'!AD160</f>
        <v>2.0055445544554455</v>
      </c>
      <c r="AD91" s="16">
        <f>'Key Assumption'!AE160</f>
        <v>2.1560396039603962</v>
      </c>
      <c r="AE91" s="23"/>
      <c r="AG91" s="322">
        <f t="shared" si="60"/>
        <v>0</v>
      </c>
    </row>
    <row r="92" spans="1:34" outlineLevel="1" x14ac:dyDescent="0.3">
      <c r="E92" s="3" t="s">
        <v>306</v>
      </c>
      <c r="I92" s="341"/>
      <c r="N92" s="15"/>
      <c r="O92" s="246">
        <v>0</v>
      </c>
      <c r="P92" s="16">
        <f t="shared" ref="P92:Z92" si="79">P88/P89</f>
        <v>238.73789087107181</v>
      </c>
      <c r="Q92" s="16">
        <f t="shared" si="79"/>
        <v>238.73789087107181</v>
      </c>
      <c r="R92" s="16">
        <f t="shared" si="79"/>
        <v>318.31718782809577</v>
      </c>
      <c r="S92" s="16">
        <f t="shared" si="79"/>
        <v>159.15859391404788</v>
      </c>
      <c r="T92" s="16">
        <f t="shared" si="79"/>
        <v>159.15859391404788</v>
      </c>
      <c r="U92" s="16">
        <f t="shared" si="79"/>
        <v>238.73789087107181</v>
      </c>
      <c r="V92" s="16">
        <f t="shared" si="79"/>
        <v>238.73789087107181</v>
      </c>
      <c r="W92" s="16">
        <f t="shared" si="79"/>
        <v>238.73789087107181</v>
      </c>
      <c r="X92" s="16">
        <f>IFERROR(X88/X89,)</f>
        <v>0</v>
      </c>
      <c r="Y92" s="246">
        <f>Y88/Y89</f>
        <v>238.73789087107181</v>
      </c>
      <c r="Z92" s="246">
        <f t="shared" si="79"/>
        <v>238.73789087107181</v>
      </c>
      <c r="AA92" s="16">
        <f>'Key Assumption'!AB297</f>
        <v>240.13467704140481</v>
      </c>
      <c r="AB92" s="16">
        <f>'Key Assumption'!AC297</f>
        <v>241.49024936120344</v>
      </c>
      <c r="AC92" s="16">
        <f>'Key Assumption'!AD297</f>
        <v>242.95989596707463</v>
      </c>
      <c r="AD92" s="16">
        <f>'Key Assumption'!AE297</f>
        <v>244.16590196375441</v>
      </c>
      <c r="AE92" s="23"/>
      <c r="AG92" s="322">
        <f t="shared" si="60"/>
        <v>0</v>
      </c>
    </row>
    <row r="93" spans="1:34" outlineLevel="1" x14ac:dyDescent="0.3">
      <c r="D93" s="3" t="s">
        <v>132</v>
      </c>
      <c r="I93" s="339">
        <v>0.52772708369236221</v>
      </c>
      <c r="N93" s="15"/>
      <c r="O93" s="246">
        <v>641.64400000000001</v>
      </c>
      <c r="P93" s="16">
        <f t="shared" ref="P93:X93" si="80">P55*$I93</f>
        <v>2600.630215241832</v>
      </c>
      <c r="Q93" s="16">
        <f t="shared" si="80"/>
        <v>2661.1099876893163</v>
      </c>
      <c r="R93" s="16">
        <f t="shared" si="80"/>
        <v>2600.630215241832</v>
      </c>
      <c r="S93" s="16">
        <f t="shared" si="80"/>
        <v>2509.910556570605</v>
      </c>
      <c r="T93" s="16">
        <f t="shared" si="80"/>
        <v>2509.910556570605</v>
      </c>
      <c r="U93" s="16">
        <f t="shared" si="80"/>
        <v>2358.7111254518941</v>
      </c>
      <c r="V93" s="16">
        <f t="shared" si="80"/>
        <v>2509.910556570605</v>
      </c>
      <c r="W93" s="16">
        <f t="shared" si="80"/>
        <v>2419.1908978993788</v>
      </c>
      <c r="X93" s="16">
        <f t="shared" si="80"/>
        <v>2267.9914667806675</v>
      </c>
      <c r="Y93" s="246">
        <f>SUM(P93:X93)</f>
        <v>22437.995578016733</v>
      </c>
      <c r="Z93" s="246">
        <f>Y93+O93</f>
        <v>23079.639578016733</v>
      </c>
      <c r="AA93" s="16">
        <f>AA94*AA97</f>
        <v>24470.901362570756</v>
      </c>
      <c r="AB93" s="16">
        <f>AB94*AB97</f>
        <v>27312.227853571487</v>
      </c>
      <c r="AC93" s="16">
        <f>AC94*AC97</f>
        <v>29957.899398286201</v>
      </c>
      <c r="AD93" s="16">
        <f>AD94*AD97</f>
        <v>32136.794021093374</v>
      </c>
      <c r="AE93" s="23"/>
      <c r="AF93" s="327"/>
      <c r="AG93" s="322">
        <f t="shared" si="60"/>
        <v>0</v>
      </c>
    </row>
    <row r="94" spans="1:34" outlineLevel="1" x14ac:dyDescent="0.3">
      <c r="E94" s="3" t="s">
        <v>298</v>
      </c>
      <c r="I94" s="339">
        <v>0.48565965583173998</v>
      </c>
      <c r="N94" s="15"/>
      <c r="O94" s="246">
        <v>10</v>
      </c>
      <c r="P94" s="16">
        <f t="shared" ref="P94:X94" si="81">ROUND(P56*$I94,)</f>
        <v>42</v>
      </c>
      <c r="Q94" s="16">
        <f t="shared" si="81"/>
        <v>43</v>
      </c>
      <c r="R94" s="16">
        <f t="shared" si="81"/>
        <v>42</v>
      </c>
      <c r="S94" s="16">
        <f t="shared" si="81"/>
        <v>40</v>
      </c>
      <c r="T94" s="16">
        <f t="shared" si="81"/>
        <v>40</v>
      </c>
      <c r="U94" s="16">
        <f t="shared" si="81"/>
        <v>38</v>
      </c>
      <c r="V94" s="16">
        <f t="shared" si="81"/>
        <v>40</v>
      </c>
      <c r="W94" s="16">
        <f t="shared" si="81"/>
        <v>39</v>
      </c>
      <c r="X94" s="16">
        <f t="shared" si="81"/>
        <v>36</v>
      </c>
      <c r="Y94" s="246">
        <f>SUM(P94:X94)</f>
        <v>360</v>
      </c>
      <c r="Z94" s="246">
        <f>Y94+O94</f>
        <v>370</v>
      </c>
      <c r="AA94" s="16">
        <f>ROUND(AA95*AA96,)</f>
        <v>390</v>
      </c>
      <c r="AB94" s="16">
        <f>ROUND(AB95*AB96,)</f>
        <v>433</v>
      </c>
      <c r="AC94" s="16">
        <f>ROUND(AC95*AC96,)</f>
        <v>472</v>
      </c>
      <c r="AD94" s="16">
        <f>ROUND(AD95*AD96,)</f>
        <v>503</v>
      </c>
      <c r="AE94" s="23"/>
      <c r="AF94" s="327"/>
      <c r="AG94" s="322" t="str">
        <f t="shared" si="60"/>
        <v>선반</v>
      </c>
    </row>
    <row r="95" spans="1:34" outlineLevel="1" x14ac:dyDescent="0.3">
      <c r="F95" s="3" t="s">
        <v>304</v>
      </c>
      <c r="I95" s="341"/>
      <c r="N95" s="15"/>
      <c r="O95" s="306"/>
      <c r="P95" s="119"/>
      <c r="Q95" s="119"/>
      <c r="R95" s="119"/>
      <c r="S95" s="119"/>
      <c r="T95" s="119"/>
      <c r="U95" s="119"/>
      <c r="V95" s="119"/>
      <c r="W95" s="119"/>
      <c r="X95" s="119"/>
      <c r="Y95" s="306"/>
      <c r="Z95" s="246">
        <f>Z57</f>
        <v>53</v>
      </c>
      <c r="AA95" s="16">
        <f>'Key Assumption'!AB55</f>
        <v>53</v>
      </c>
      <c r="AB95" s="16">
        <f>'Key Assumption'!AC55</f>
        <v>55</v>
      </c>
      <c r="AC95" s="16">
        <f>'Key Assumption'!AD55</f>
        <v>56</v>
      </c>
      <c r="AD95" s="16">
        <f>'Key Assumption'!AE55</f>
        <v>56</v>
      </c>
      <c r="AE95" s="23"/>
      <c r="AG95" s="322">
        <f t="shared" si="60"/>
        <v>0</v>
      </c>
    </row>
    <row r="96" spans="1:34" outlineLevel="1" x14ac:dyDescent="0.3">
      <c r="F96" s="3" t="s">
        <v>305</v>
      </c>
      <c r="I96" s="341"/>
      <c r="N96" s="15"/>
      <c r="O96" s="306"/>
      <c r="P96" s="119"/>
      <c r="Q96" s="119"/>
      <c r="R96" s="119"/>
      <c r="S96" s="119"/>
      <c r="T96" s="119"/>
      <c r="U96" s="119"/>
      <c r="V96" s="119"/>
      <c r="W96" s="119"/>
      <c r="X96" s="119"/>
      <c r="Y96" s="306"/>
      <c r="Z96" s="246">
        <f>Z94/Z95</f>
        <v>6.9811320754716979</v>
      </c>
      <c r="AA96" s="16">
        <f>'Key Assumption'!AB161</f>
        <v>7.3644803833483081</v>
      </c>
      <c r="AB96" s="16">
        <f>'Key Assumption'!AC161</f>
        <v>7.8796046720575026</v>
      </c>
      <c r="AC96" s="16">
        <f>'Key Assumption'!AD161</f>
        <v>8.421683138664271</v>
      </c>
      <c r="AD96" s="16">
        <f>'Key Assumption'!AE161</f>
        <v>8.9757412398921836</v>
      </c>
      <c r="AE96" s="23"/>
      <c r="AG96" s="322">
        <f t="shared" si="60"/>
        <v>0</v>
      </c>
    </row>
    <row r="97" spans="4:33" outlineLevel="1" x14ac:dyDescent="0.3">
      <c r="E97" s="3" t="s">
        <v>306</v>
      </c>
      <c r="I97" s="341"/>
      <c r="N97" s="15"/>
      <c r="O97" s="246">
        <f>O93/O94</f>
        <v>64.164400000000001</v>
      </c>
      <c r="P97" s="16">
        <f t="shared" ref="P97:Z97" si="82">P93/P94</f>
        <v>61.919767029567431</v>
      </c>
      <c r="Q97" s="16">
        <f t="shared" si="82"/>
        <v>61.88627878347247</v>
      </c>
      <c r="R97" s="16">
        <f t="shared" si="82"/>
        <v>61.919767029567431</v>
      </c>
      <c r="S97" s="16">
        <f t="shared" si="82"/>
        <v>62.747763914265121</v>
      </c>
      <c r="T97" s="16">
        <f t="shared" si="82"/>
        <v>62.747763914265121</v>
      </c>
      <c r="U97" s="16">
        <f t="shared" si="82"/>
        <v>62.071345406628794</v>
      </c>
      <c r="V97" s="16">
        <f t="shared" si="82"/>
        <v>62.747763914265121</v>
      </c>
      <c r="W97" s="16">
        <f t="shared" si="82"/>
        <v>62.030535843573816</v>
      </c>
      <c r="X97" s="16">
        <f t="shared" si="82"/>
        <v>62.999762966129651</v>
      </c>
      <c r="Y97" s="246">
        <f>Y93/Y94</f>
        <v>62.327765494490926</v>
      </c>
      <c r="Z97" s="246">
        <f t="shared" si="82"/>
        <v>62.377404264910091</v>
      </c>
      <c r="AA97" s="16">
        <f>'Key Assumption'!AB298</f>
        <v>62.745900929668601</v>
      </c>
      <c r="AB97" s="16">
        <f>'Key Assumption'!AC298</f>
        <v>63.076738691851006</v>
      </c>
      <c r="AC97" s="16">
        <f>'Key Assumption'!AD298</f>
        <v>63.4701258438267</v>
      </c>
      <c r="AD97" s="16">
        <f>'Key Assumption'!AE298</f>
        <v>63.890246562809885</v>
      </c>
      <c r="AE97" s="23"/>
      <c r="AG97" s="322">
        <f t="shared" si="60"/>
        <v>0</v>
      </c>
    </row>
    <row r="98" spans="4:33" outlineLevel="1" x14ac:dyDescent="0.3">
      <c r="D98" s="3" t="s">
        <v>133</v>
      </c>
      <c r="I98" s="339">
        <v>0.53268827127976781</v>
      </c>
      <c r="N98" s="15"/>
      <c r="O98" s="246">
        <v>923.45600000000002</v>
      </c>
      <c r="P98" s="16">
        <f t="shared" ref="P98:X98" si="83">P60*$I98</f>
        <v>2553.2389934546686</v>
      </c>
      <c r="Q98" s="16">
        <f t="shared" si="83"/>
        <v>2596.5142306318662</v>
      </c>
      <c r="R98" s="16">
        <f t="shared" si="83"/>
        <v>2639.7894678090638</v>
      </c>
      <c r="S98" s="16">
        <f t="shared" si="83"/>
        <v>2553.2389934546686</v>
      </c>
      <c r="T98" s="16">
        <f t="shared" si="83"/>
        <v>2639.7894678090638</v>
      </c>
      <c r="U98" s="16">
        <f t="shared" si="83"/>
        <v>2207.037096037086</v>
      </c>
      <c r="V98" s="16">
        <f t="shared" si="83"/>
        <v>2250.3123332142841</v>
      </c>
      <c r="W98" s="16">
        <f t="shared" si="83"/>
        <v>2207.037096037086</v>
      </c>
      <c r="X98" s="16">
        <f t="shared" si="83"/>
        <v>2120.4866216826908</v>
      </c>
      <c r="Y98" s="246">
        <f>SUM(P98:X98)</f>
        <v>21767.444300130475</v>
      </c>
      <c r="Z98" s="246">
        <f>Y98+O98</f>
        <v>22690.900300130474</v>
      </c>
      <c r="AA98" s="16">
        <f>AA99*AA102</f>
        <v>24282.372630591432</v>
      </c>
      <c r="AB98" s="16">
        <f>AB99*AB102</f>
        <v>29498.342964681557</v>
      </c>
      <c r="AC98" s="16">
        <f>AC99*AC102</f>
        <v>34380.409569965806</v>
      </c>
      <c r="AD98" s="16">
        <f>AD99*AD102</f>
        <v>39752.258595651729</v>
      </c>
      <c r="AE98" s="23"/>
      <c r="AF98" s="327"/>
      <c r="AG98" s="322">
        <f t="shared" si="60"/>
        <v>0</v>
      </c>
    </row>
    <row r="99" spans="4:33" outlineLevel="1" x14ac:dyDescent="0.3">
      <c r="E99" s="3" t="s">
        <v>298</v>
      </c>
      <c r="I99" s="339">
        <v>0.50899280575539574</v>
      </c>
      <c r="N99" s="15"/>
      <c r="O99" s="246">
        <v>13</v>
      </c>
      <c r="P99" s="16">
        <f t="shared" ref="P99:X99" si="84">ROUND(P61*$I99,)</f>
        <v>30</v>
      </c>
      <c r="Q99" s="16">
        <f t="shared" si="84"/>
        <v>31</v>
      </c>
      <c r="R99" s="16">
        <f t="shared" si="84"/>
        <v>31</v>
      </c>
      <c r="S99" s="16">
        <f t="shared" si="84"/>
        <v>30</v>
      </c>
      <c r="T99" s="16">
        <f t="shared" si="84"/>
        <v>31</v>
      </c>
      <c r="U99" s="16">
        <f t="shared" si="84"/>
        <v>26</v>
      </c>
      <c r="V99" s="16">
        <f t="shared" si="84"/>
        <v>26</v>
      </c>
      <c r="W99" s="16">
        <f t="shared" si="84"/>
        <v>26</v>
      </c>
      <c r="X99" s="16">
        <f t="shared" si="84"/>
        <v>25</v>
      </c>
      <c r="Y99" s="246">
        <f>SUM(P99:X99)</f>
        <v>256</v>
      </c>
      <c r="Z99" s="246">
        <f>Y99+O99</f>
        <v>269</v>
      </c>
      <c r="AA99" s="16">
        <f>ROUND(AA100*AA101,)</f>
        <v>286</v>
      </c>
      <c r="AB99" s="16">
        <f>ROUND(AB100*AB101,)</f>
        <v>345</v>
      </c>
      <c r="AC99" s="16">
        <f>ROUND(AC100*AC101,)</f>
        <v>399</v>
      </c>
      <c r="AD99" s="16">
        <f>ROUND(AD100*AD101,)</f>
        <v>458</v>
      </c>
      <c r="AE99" s="23"/>
      <c r="AF99" s="327"/>
      <c r="AG99" s="322" t="str">
        <f t="shared" si="60"/>
        <v>VMC</v>
      </c>
    </row>
    <row r="100" spans="4:33" outlineLevel="1" x14ac:dyDescent="0.3">
      <c r="F100" s="3" t="s">
        <v>304</v>
      </c>
      <c r="I100" s="341"/>
      <c r="N100" s="15"/>
      <c r="O100" s="306"/>
      <c r="P100" s="119"/>
      <c r="Q100" s="119"/>
      <c r="R100" s="119"/>
      <c r="S100" s="119"/>
      <c r="T100" s="119"/>
      <c r="U100" s="119"/>
      <c r="V100" s="119"/>
      <c r="W100" s="119"/>
      <c r="X100" s="119"/>
      <c r="Y100" s="306"/>
      <c r="Z100" s="246">
        <f>Z62</f>
        <v>24</v>
      </c>
      <c r="AA100" s="16">
        <f>'Key Assumption'!AB56</f>
        <v>24</v>
      </c>
      <c r="AB100" s="16">
        <f>'Key Assumption'!AC56</f>
        <v>27</v>
      </c>
      <c r="AC100" s="16">
        <f>'Key Assumption'!AD56</f>
        <v>29</v>
      </c>
      <c r="AD100" s="16">
        <f>'Key Assumption'!AE56</f>
        <v>31</v>
      </c>
      <c r="AE100" s="23"/>
      <c r="AG100" s="322">
        <f t="shared" si="60"/>
        <v>0</v>
      </c>
    </row>
    <row r="101" spans="4:33" outlineLevel="1" x14ac:dyDescent="0.3">
      <c r="F101" s="3" t="s">
        <v>305</v>
      </c>
      <c r="I101" s="341"/>
      <c r="N101" s="15"/>
      <c r="O101" s="306"/>
      <c r="P101" s="119"/>
      <c r="Q101" s="119"/>
      <c r="R101" s="119"/>
      <c r="S101" s="119"/>
      <c r="T101" s="119"/>
      <c r="U101" s="119"/>
      <c r="V101" s="119"/>
      <c r="W101" s="119"/>
      <c r="X101" s="119"/>
      <c r="Y101" s="306"/>
      <c r="Z101" s="246">
        <f>Z99/Z100</f>
        <v>11.208333333333334</v>
      </c>
      <c r="AA101" s="16">
        <f>'Key Assumption'!AB162</f>
        <v>11.900481407702523</v>
      </c>
      <c r="AB101" s="16">
        <f>'Key Assumption'!AC162</f>
        <v>12.793575697211155</v>
      </c>
      <c r="AC101" s="16">
        <f>'Key Assumption'!AD162</f>
        <v>13.753652058432934</v>
      </c>
      <c r="AD101" s="16">
        <f>'Key Assumption'!AE162</f>
        <v>14.776245019920317</v>
      </c>
      <c r="AE101" s="23"/>
      <c r="AG101" s="322">
        <f t="shared" si="60"/>
        <v>0</v>
      </c>
    </row>
    <row r="102" spans="4:33" outlineLevel="1" x14ac:dyDescent="0.3">
      <c r="E102" s="3" t="s">
        <v>306</v>
      </c>
      <c r="I102" s="341"/>
      <c r="N102" s="15"/>
      <c r="O102" s="246">
        <f>O98/O99</f>
        <v>71.035076923076929</v>
      </c>
      <c r="P102" s="16">
        <f t="shared" ref="P102:Z102" si="85">P98/P99</f>
        <v>85.107966448488952</v>
      </c>
      <c r="Q102" s="16">
        <f t="shared" si="85"/>
        <v>83.758523568769874</v>
      </c>
      <c r="R102" s="16">
        <f t="shared" si="85"/>
        <v>85.154498961582703</v>
      </c>
      <c r="S102" s="16">
        <f t="shared" si="85"/>
        <v>85.107966448488952</v>
      </c>
      <c r="T102" s="16">
        <f t="shared" si="85"/>
        <v>85.154498961582703</v>
      </c>
      <c r="U102" s="16">
        <f t="shared" si="85"/>
        <v>84.886042155272534</v>
      </c>
      <c r="V102" s="16">
        <f t="shared" si="85"/>
        <v>86.550474354395547</v>
      </c>
      <c r="W102" s="16">
        <f t="shared" si="85"/>
        <v>84.886042155272534</v>
      </c>
      <c r="X102" s="16">
        <f t="shared" si="85"/>
        <v>84.81946486730763</v>
      </c>
      <c r="Y102" s="246">
        <f>Y98/Y99</f>
        <v>85.029079297384669</v>
      </c>
      <c r="Z102" s="246">
        <f t="shared" si="85"/>
        <v>84.35278921981589</v>
      </c>
      <c r="AA102" s="16">
        <f>'Key Assumption'!AB299</f>
        <v>84.903400806263747</v>
      </c>
      <c r="AB102" s="16">
        <f>'Key Assumption'!AC299</f>
        <v>85.502443375888575</v>
      </c>
      <c r="AC102" s="16">
        <f>'Key Assumption'!AD299</f>
        <v>86.16644002497695</v>
      </c>
      <c r="AD102" s="16">
        <f>'Key Assumption'!AE299</f>
        <v>86.795324444654426</v>
      </c>
      <c r="AE102" s="23"/>
      <c r="AG102" s="322">
        <f t="shared" si="60"/>
        <v>0</v>
      </c>
    </row>
    <row r="103" spans="4:33" outlineLevel="1" x14ac:dyDescent="0.3">
      <c r="D103" s="3" t="s">
        <v>134</v>
      </c>
      <c r="I103" s="339">
        <v>0.54609887390683132</v>
      </c>
      <c r="N103" s="15"/>
      <c r="O103" s="246">
        <v>0</v>
      </c>
      <c r="P103" s="16">
        <f t="shared" ref="P103:X103" si="86">P65*$I103</f>
        <v>850.07720964150951</v>
      </c>
      <c r="Q103" s="16">
        <f t="shared" si="86"/>
        <v>850.07720964150951</v>
      </c>
      <c r="R103" s="16">
        <f t="shared" si="86"/>
        <v>991.75674458176115</v>
      </c>
      <c r="S103" s="16">
        <f t="shared" si="86"/>
        <v>708.39767470125787</v>
      </c>
      <c r="T103" s="16">
        <f t="shared" si="86"/>
        <v>850.07720964150951</v>
      </c>
      <c r="U103" s="16">
        <f t="shared" si="86"/>
        <v>850.07720964150951</v>
      </c>
      <c r="V103" s="16">
        <f t="shared" si="86"/>
        <v>991.75674458176115</v>
      </c>
      <c r="W103" s="16">
        <f t="shared" si="86"/>
        <v>850.07720964150951</v>
      </c>
      <c r="X103" s="16">
        <f t="shared" si="86"/>
        <v>708.39767470125787</v>
      </c>
      <c r="Y103" s="246">
        <f>SUM(P103:X103)</f>
        <v>7650.6948867735855</v>
      </c>
      <c r="Z103" s="246">
        <f>Y103+O103</f>
        <v>7650.6948867735855</v>
      </c>
      <c r="AA103" s="16">
        <f>AA104*AA107</f>
        <v>8237.3594410470923</v>
      </c>
      <c r="AB103" s="16">
        <f>AB104*AB107</f>
        <v>8820.1542997855122</v>
      </c>
      <c r="AC103" s="16">
        <f>AC104*AC107</f>
        <v>9423.8049376859799</v>
      </c>
      <c r="AD103" s="16">
        <f>AD104*AD107</f>
        <v>10305.427558843707</v>
      </c>
      <c r="AE103" s="23"/>
      <c r="AF103" s="327"/>
      <c r="AG103" s="322">
        <f t="shared" si="60"/>
        <v>0</v>
      </c>
    </row>
    <row r="104" spans="4:33" outlineLevel="1" x14ac:dyDescent="0.3">
      <c r="E104" s="3" t="s">
        <v>298</v>
      </c>
      <c r="I104" s="339">
        <v>0.5</v>
      </c>
      <c r="N104" s="15"/>
      <c r="O104" s="246">
        <v>0</v>
      </c>
      <c r="P104" s="16">
        <f t="shared" ref="P104:X104" si="87">ROUND(P66*$I104,)</f>
        <v>3</v>
      </c>
      <c r="Q104" s="16">
        <f t="shared" si="87"/>
        <v>3</v>
      </c>
      <c r="R104" s="16">
        <f t="shared" si="87"/>
        <v>4</v>
      </c>
      <c r="S104" s="16">
        <f t="shared" si="87"/>
        <v>3</v>
      </c>
      <c r="T104" s="16">
        <f t="shared" si="87"/>
        <v>3</v>
      </c>
      <c r="U104" s="16">
        <f t="shared" si="87"/>
        <v>3</v>
      </c>
      <c r="V104" s="16">
        <f t="shared" si="87"/>
        <v>4</v>
      </c>
      <c r="W104" s="16">
        <f t="shared" si="87"/>
        <v>3</v>
      </c>
      <c r="X104" s="16">
        <f t="shared" si="87"/>
        <v>3</v>
      </c>
      <c r="Y104" s="246">
        <f>SUM(P104:X104)</f>
        <v>29</v>
      </c>
      <c r="Z104" s="246">
        <f>Y104+O104</f>
        <v>29</v>
      </c>
      <c r="AA104" s="16">
        <f>ROUND(AA105*AA106,)</f>
        <v>31</v>
      </c>
      <c r="AB104" s="16">
        <f>ROUND(AB105*AB106,)</f>
        <v>33</v>
      </c>
      <c r="AC104" s="16">
        <f>ROUND(AC105*AC106,)</f>
        <v>35</v>
      </c>
      <c r="AD104" s="16">
        <f>ROUND(AD105*AD106,)</f>
        <v>38</v>
      </c>
      <c r="AE104" s="23"/>
      <c r="AF104" s="327"/>
      <c r="AG104" s="322" t="str">
        <f t="shared" si="60"/>
        <v>HMC</v>
      </c>
    </row>
    <row r="105" spans="4:33" outlineLevel="1" x14ac:dyDescent="0.3">
      <c r="F105" s="3" t="s">
        <v>304</v>
      </c>
      <c r="I105" s="341"/>
      <c r="N105" s="15"/>
      <c r="O105" s="306"/>
      <c r="P105" s="119"/>
      <c r="Q105" s="119"/>
      <c r="R105" s="119"/>
      <c r="S105" s="119"/>
      <c r="T105" s="119"/>
      <c r="U105" s="119"/>
      <c r="V105" s="119"/>
      <c r="W105" s="119"/>
      <c r="X105" s="119"/>
      <c r="Y105" s="306"/>
      <c r="Z105" s="246">
        <f>Z67</f>
        <v>12</v>
      </c>
      <c r="AA105" s="16">
        <f>'Key Assumption'!AB57</f>
        <v>12</v>
      </c>
      <c r="AB105" s="16">
        <f>'Key Assumption'!AC57</f>
        <v>12</v>
      </c>
      <c r="AC105" s="16">
        <f>'Key Assumption'!AD57</f>
        <v>12</v>
      </c>
      <c r="AD105" s="16">
        <f>'Key Assumption'!AE57</f>
        <v>12</v>
      </c>
      <c r="AE105" s="23"/>
      <c r="AG105" s="322">
        <f t="shared" si="60"/>
        <v>0</v>
      </c>
    </row>
    <row r="106" spans="4:33" outlineLevel="1" x14ac:dyDescent="0.3">
      <c r="F106" s="3" t="s">
        <v>305</v>
      </c>
      <c r="I106" s="341"/>
      <c r="N106" s="15"/>
      <c r="O106" s="306"/>
      <c r="P106" s="119"/>
      <c r="Q106" s="119"/>
      <c r="R106" s="119"/>
      <c r="S106" s="119"/>
      <c r="T106" s="119"/>
      <c r="U106" s="119"/>
      <c r="V106" s="119"/>
      <c r="W106" s="119"/>
      <c r="X106" s="119"/>
      <c r="Y106" s="306"/>
      <c r="Z106" s="246">
        <f>Z104/Z105</f>
        <v>2.4166666666666665</v>
      </c>
      <c r="AA106" s="16">
        <f>'Key Assumption'!AB163</f>
        <v>2.5560897435897436</v>
      </c>
      <c r="AB106" s="16">
        <f>'Key Assumption'!AC163</f>
        <v>2.7419871794871797</v>
      </c>
      <c r="AC106" s="16">
        <f>'Key Assumption'!AD163</f>
        <v>2.9390384615384617</v>
      </c>
      <c r="AD106" s="16">
        <f>'Key Assumption'!AE163</f>
        <v>3.1453846153846157</v>
      </c>
      <c r="AE106" s="23"/>
      <c r="AG106" s="322">
        <f t="shared" si="60"/>
        <v>0</v>
      </c>
    </row>
    <row r="107" spans="4:33" outlineLevel="1" x14ac:dyDescent="0.3">
      <c r="E107" s="3" t="s">
        <v>306</v>
      </c>
      <c r="I107" s="341"/>
      <c r="N107" s="15"/>
      <c r="O107" s="246">
        <f>IFERROR(O103/O104,)</f>
        <v>0</v>
      </c>
      <c r="P107" s="16">
        <f t="shared" ref="P107:Z107" si="88">P103/P104</f>
        <v>283.35906988050317</v>
      </c>
      <c r="Q107" s="16">
        <f t="shared" si="88"/>
        <v>283.35906988050317</v>
      </c>
      <c r="R107" s="16">
        <f t="shared" si="88"/>
        <v>247.93918614544029</v>
      </c>
      <c r="S107" s="16">
        <f t="shared" si="88"/>
        <v>236.13255823375263</v>
      </c>
      <c r="T107" s="16">
        <f t="shared" si="88"/>
        <v>283.35906988050317</v>
      </c>
      <c r="U107" s="16">
        <f t="shared" si="88"/>
        <v>283.35906988050317</v>
      </c>
      <c r="V107" s="16">
        <f t="shared" si="88"/>
        <v>247.93918614544029</v>
      </c>
      <c r="W107" s="16">
        <f t="shared" si="88"/>
        <v>283.35906988050317</v>
      </c>
      <c r="X107" s="16">
        <f t="shared" si="88"/>
        <v>236.13255823375263</v>
      </c>
      <c r="Y107" s="246">
        <f>Y103/Y104</f>
        <v>263.81706506115813</v>
      </c>
      <c r="Z107" s="246">
        <f t="shared" si="88"/>
        <v>263.81706506115813</v>
      </c>
      <c r="AA107" s="16">
        <f>'Key Assumption'!AB300</f>
        <v>265.72127229184167</v>
      </c>
      <c r="AB107" s="16">
        <f>'Key Assumption'!AC300</f>
        <v>267.2774030238034</v>
      </c>
      <c r="AC107" s="16">
        <f>'Key Assumption'!AD300</f>
        <v>269.25156964817086</v>
      </c>
      <c r="AD107" s="16">
        <f>'Key Assumption'!AE300</f>
        <v>271.19546207483438</v>
      </c>
      <c r="AE107" s="23"/>
      <c r="AG107" s="322">
        <f t="shared" si="60"/>
        <v>0</v>
      </c>
    </row>
    <row r="108" spans="4:33" outlineLevel="1" x14ac:dyDescent="0.3">
      <c r="D108" s="3" t="s">
        <v>135</v>
      </c>
      <c r="I108" s="339">
        <v>0.4644275990102642</v>
      </c>
      <c r="N108" s="15"/>
      <c r="O108" s="246">
        <v>96.65</v>
      </c>
      <c r="P108" s="16">
        <f t="shared" ref="P108:X108" si="89">P70*$I108</f>
        <v>646.49849552618844</v>
      </c>
      <c r="Q108" s="16">
        <f t="shared" si="89"/>
        <v>592.62362089900603</v>
      </c>
      <c r="R108" s="16">
        <f t="shared" si="89"/>
        <v>323.24924776309422</v>
      </c>
      <c r="S108" s="16">
        <f t="shared" si="89"/>
        <v>107.74974925436474</v>
      </c>
      <c r="T108" s="16">
        <f t="shared" si="89"/>
        <v>430.99899701745898</v>
      </c>
      <c r="U108" s="16">
        <f t="shared" si="89"/>
        <v>592.62362089900603</v>
      </c>
      <c r="V108" s="16">
        <f t="shared" si="89"/>
        <v>377.12412239027663</v>
      </c>
      <c r="W108" s="16">
        <f t="shared" si="89"/>
        <v>430.99899701745898</v>
      </c>
      <c r="X108" s="16">
        <f t="shared" si="89"/>
        <v>430.99899701745898</v>
      </c>
      <c r="Y108" s="246">
        <f>SUM(P108:X108)</f>
        <v>3932.8658477843123</v>
      </c>
      <c r="Z108" s="246">
        <f>Y108+O108</f>
        <v>4029.5158477843124</v>
      </c>
      <c r="AA108" s="119"/>
      <c r="AB108" s="119"/>
      <c r="AC108" s="119"/>
      <c r="AD108" s="119"/>
      <c r="AE108" s="23"/>
      <c r="AF108" s="327"/>
      <c r="AG108" s="322">
        <f t="shared" si="60"/>
        <v>0</v>
      </c>
    </row>
    <row r="109" spans="4:33" outlineLevel="1" x14ac:dyDescent="0.3">
      <c r="E109" s="3" t="s">
        <v>298</v>
      </c>
      <c r="I109" s="339">
        <v>0.52336448598130836</v>
      </c>
      <c r="N109" s="15"/>
      <c r="O109" s="246">
        <v>1</v>
      </c>
      <c r="P109" s="16">
        <f t="shared" ref="P109:X109" si="90">ROUND(P71*$I109,)</f>
        <v>6</v>
      </c>
      <c r="Q109" s="16">
        <f t="shared" si="90"/>
        <v>6</v>
      </c>
      <c r="R109" s="16">
        <f t="shared" si="90"/>
        <v>3</v>
      </c>
      <c r="S109" s="16">
        <f t="shared" si="90"/>
        <v>1</v>
      </c>
      <c r="T109" s="16">
        <f t="shared" si="90"/>
        <v>4</v>
      </c>
      <c r="U109" s="16">
        <f t="shared" si="90"/>
        <v>6</v>
      </c>
      <c r="V109" s="16">
        <f t="shared" si="90"/>
        <v>4</v>
      </c>
      <c r="W109" s="16">
        <f t="shared" si="90"/>
        <v>4</v>
      </c>
      <c r="X109" s="16">
        <f t="shared" si="90"/>
        <v>4</v>
      </c>
      <c r="Y109" s="246">
        <f>SUM(P109:X109)</f>
        <v>38</v>
      </c>
      <c r="Z109" s="246">
        <f>Y109+O109</f>
        <v>39</v>
      </c>
      <c r="AA109" s="119"/>
      <c r="AB109" s="119"/>
      <c r="AC109" s="119"/>
      <c r="AD109" s="119"/>
      <c r="AE109" s="23"/>
      <c r="AF109" s="327"/>
      <c r="AG109" s="322" t="str">
        <f t="shared" si="60"/>
        <v>단종</v>
      </c>
    </row>
    <row r="110" spans="4:33" outlineLevel="1" x14ac:dyDescent="0.3">
      <c r="F110" s="3" t="s">
        <v>304</v>
      </c>
      <c r="I110" s="341"/>
      <c r="N110" s="15"/>
      <c r="O110" s="306"/>
      <c r="P110" s="119"/>
      <c r="Q110" s="119"/>
      <c r="R110" s="119"/>
      <c r="S110" s="119"/>
      <c r="T110" s="119"/>
      <c r="U110" s="119"/>
      <c r="V110" s="119"/>
      <c r="W110" s="119"/>
      <c r="X110" s="119"/>
      <c r="Y110" s="306"/>
      <c r="Z110" s="246">
        <f>Z72</f>
        <v>19</v>
      </c>
      <c r="AA110" s="119"/>
      <c r="AB110" s="119"/>
      <c r="AC110" s="119"/>
      <c r="AD110" s="119"/>
      <c r="AE110" s="23"/>
      <c r="AG110" s="322">
        <f t="shared" si="60"/>
        <v>0</v>
      </c>
    </row>
    <row r="111" spans="4:33" outlineLevel="1" x14ac:dyDescent="0.3">
      <c r="F111" s="3" t="s">
        <v>305</v>
      </c>
      <c r="I111" s="341"/>
      <c r="N111" s="15"/>
      <c r="O111" s="306"/>
      <c r="P111" s="119"/>
      <c r="Q111" s="119"/>
      <c r="R111" s="119"/>
      <c r="S111" s="119"/>
      <c r="T111" s="119"/>
      <c r="U111" s="119"/>
      <c r="V111" s="119"/>
      <c r="W111" s="119"/>
      <c r="X111" s="119"/>
      <c r="Y111" s="306"/>
      <c r="Z111" s="246">
        <f>Z109/Z110</f>
        <v>2.0526315789473686</v>
      </c>
      <c r="AA111" s="119"/>
      <c r="AB111" s="119"/>
      <c r="AC111" s="119"/>
      <c r="AD111" s="119"/>
      <c r="AE111" s="23"/>
      <c r="AG111" s="322">
        <f t="shared" si="60"/>
        <v>0</v>
      </c>
    </row>
    <row r="112" spans="4:33" outlineLevel="1" x14ac:dyDescent="0.3">
      <c r="E112" s="3" t="s">
        <v>306</v>
      </c>
      <c r="I112" s="341"/>
      <c r="N112" s="15"/>
      <c r="O112" s="246">
        <f>IFERROR(O108/O109,)</f>
        <v>96.65</v>
      </c>
      <c r="P112" s="16">
        <f t="shared" ref="P112:X112" si="91">P108/P109</f>
        <v>107.74974925436474</v>
      </c>
      <c r="Q112" s="16">
        <f t="shared" si="91"/>
        <v>98.770603483167676</v>
      </c>
      <c r="R112" s="16">
        <f t="shared" si="91"/>
        <v>107.74974925436474</v>
      </c>
      <c r="S112" s="16">
        <f t="shared" si="91"/>
        <v>107.74974925436474</v>
      </c>
      <c r="T112" s="16">
        <f t="shared" si="91"/>
        <v>107.74974925436474</v>
      </c>
      <c r="U112" s="16">
        <f t="shared" si="91"/>
        <v>98.770603483167676</v>
      </c>
      <c r="V112" s="16">
        <f t="shared" si="91"/>
        <v>94.281030597569156</v>
      </c>
      <c r="W112" s="16">
        <f t="shared" si="91"/>
        <v>107.74974925436474</v>
      </c>
      <c r="X112" s="16">
        <f t="shared" si="91"/>
        <v>107.74974925436474</v>
      </c>
      <c r="Y112" s="246">
        <f>Y108/Y109</f>
        <v>103.49646967853454</v>
      </c>
      <c r="Z112" s="246">
        <f>Z108/Z109</f>
        <v>103.32091917395672</v>
      </c>
      <c r="AA112" s="119"/>
      <c r="AB112" s="119"/>
      <c r="AC112" s="119"/>
      <c r="AD112" s="119"/>
      <c r="AE112" s="23"/>
      <c r="AG112" s="322">
        <f t="shared" si="60"/>
        <v>0</v>
      </c>
    </row>
    <row r="113" spans="3:33" outlineLevel="1" x14ac:dyDescent="0.3">
      <c r="D113" s="3" t="s">
        <v>136</v>
      </c>
      <c r="I113" s="341"/>
      <c r="N113" s="15"/>
      <c r="O113" s="246">
        <f>O114+O116+O118</f>
        <v>813.0236000000001</v>
      </c>
      <c r="P113" s="16">
        <f>P114+P116+P118</f>
        <v>1279.2861196557103</v>
      </c>
      <c r="Q113" s="16">
        <f t="shared" ref="Q113:AD113" si="92">Q114+Q116+Q118</f>
        <v>1288.5486063914366</v>
      </c>
      <c r="R113" s="16">
        <f t="shared" si="92"/>
        <v>1276.4190012435986</v>
      </c>
      <c r="S113" s="16">
        <f t="shared" si="92"/>
        <v>1121.3104095388549</v>
      </c>
      <c r="T113" s="16">
        <f t="shared" si="92"/>
        <v>1223.7172956425429</v>
      </c>
      <c r="U113" s="16">
        <f t="shared" si="92"/>
        <v>1160.0707615791293</v>
      </c>
      <c r="V113" s="16">
        <f t="shared" si="92"/>
        <v>1182.4757250419755</v>
      </c>
      <c r="W113" s="16">
        <f t="shared" si="92"/>
        <v>1141.2886783942706</v>
      </c>
      <c r="X113" s="16">
        <f t="shared" si="92"/>
        <v>1041.2756266206823</v>
      </c>
      <c r="Y113" s="246">
        <f t="shared" si="92"/>
        <v>10714.392224108202</v>
      </c>
      <c r="Z113" s="246">
        <f>Y113+O113</f>
        <v>11527.415824108202</v>
      </c>
      <c r="AA113" s="16">
        <f t="shared" si="92"/>
        <v>11028.787890839107</v>
      </c>
      <c r="AB113" s="16">
        <f t="shared" si="92"/>
        <v>12770.256614252605</v>
      </c>
      <c r="AC113" s="16">
        <f t="shared" si="92"/>
        <v>14328.878241420774</v>
      </c>
      <c r="AD113" s="16">
        <f t="shared" si="92"/>
        <v>16033.882039347985</v>
      </c>
      <c r="AE113" s="23"/>
      <c r="AF113" s="327"/>
      <c r="AG113" s="322">
        <f t="shared" si="60"/>
        <v>0</v>
      </c>
    </row>
    <row r="114" spans="3:33" ht="12.75" outlineLevel="1" thickBot="1" x14ac:dyDescent="0.35">
      <c r="E114" s="3" t="s">
        <v>307</v>
      </c>
      <c r="I114" s="341"/>
      <c r="N114" s="15"/>
      <c r="O114" s="246">
        <v>601.9406691061472</v>
      </c>
      <c r="P114" s="16">
        <f t="shared" ref="P114:X114" si="93">SUM(P$108,P$103,P$98,P$93,P$88)*P115</f>
        <v>705.55548137322307</v>
      </c>
      <c r="Q114" s="16">
        <f t="shared" si="93"/>
        <v>710.66395412777558</v>
      </c>
      <c r="R114" s="16">
        <f t="shared" si="93"/>
        <v>703.97420015682405</v>
      </c>
      <c r="S114" s="16">
        <f t="shared" si="93"/>
        <v>618.42827309336474</v>
      </c>
      <c r="T114" s="16">
        <f t="shared" si="93"/>
        <v>674.90800715025102</v>
      </c>
      <c r="U114" s="16">
        <f t="shared" si="93"/>
        <v>639.80549154495827</v>
      </c>
      <c r="V114" s="16">
        <f t="shared" si="93"/>
        <v>652.16234005468198</v>
      </c>
      <c r="W114" s="16">
        <f t="shared" si="93"/>
        <v>629.44674416305804</v>
      </c>
      <c r="X114" s="16">
        <f t="shared" si="93"/>
        <v>574.28726435356077</v>
      </c>
      <c r="Y114" s="246">
        <f>SUM(P114:X114)</f>
        <v>5909.231756017698</v>
      </c>
      <c r="Z114" s="246">
        <f>Y114+O114</f>
        <v>6511.1724251238447</v>
      </c>
      <c r="AA114" s="16">
        <f>SUM(AA$88,AA$93,AA$98,AA$103)*AA115</f>
        <v>6082.628139026745</v>
      </c>
      <c r="AB114" s="16">
        <f>SUM(AB$88,AB$93,AB$98,AB$103)*AB115</f>
        <v>7043.0878708771143</v>
      </c>
      <c r="AC114" s="16">
        <f>SUM(AC$88,AC$93,AC$98,AC$103)*AC115</f>
        <v>7902.7032575673966</v>
      </c>
      <c r="AD114" s="16">
        <f>SUM(AD$88,AD$93,AD$98,AD$103)*AD115</f>
        <v>8843.0517510799018</v>
      </c>
      <c r="AE114" s="23"/>
      <c r="AF114" s="327"/>
      <c r="AG114" s="322">
        <f t="shared" si="60"/>
        <v>0</v>
      </c>
    </row>
    <row r="115" spans="3:33" ht="12.75" outlineLevel="1" thickBot="1" x14ac:dyDescent="0.35">
      <c r="D115" s="23"/>
      <c r="E115" s="23"/>
      <c r="F115" s="23" t="s">
        <v>308</v>
      </c>
      <c r="G115" s="23"/>
      <c r="I115" s="348">
        <f>$I77</f>
        <v>0.10241497451457675</v>
      </c>
      <c r="J115" s="349">
        <f>I115</f>
        <v>0.10241497451457675</v>
      </c>
      <c r="N115" s="15"/>
      <c r="O115" s="350">
        <f>O114/SUM(O$88,O$93,O$98,O$103,O$108)</f>
        <v>0.36223298878059107</v>
      </c>
      <c r="P115" s="17">
        <f>$I115</f>
        <v>0.10241497451457675</v>
      </c>
      <c r="Q115" s="17">
        <f t="shared" ref="Q115:X119" si="94">$I115</f>
        <v>0.10241497451457675</v>
      </c>
      <c r="R115" s="17">
        <f t="shared" si="94"/>
        <v>0.10241497451457675</v>
      </c>
      <c r="S115" s="17">
        <f t="shared" si="94"/>
        <v>0.10241497451457675</v>
      </c>
      <c r="T115" s="17">
        <f t="shared" si="94"/>
        <v>0.10241497451457675</v>
      </c>
      <c r="U115" s="17">
        <f t="shared" si="94"/>
        <v>0.10241497451457675</v>
      </c>
      <c r="V115" s="17">
        <f t="shared" si="94"/>
        <v>0.10241497451457675</v>
      </c>
      <c r="W115" s="17">
        <f t="shared" si="94"/>
        <v>0.10241497451457675</v>
      </c>
      <c r="X115" s="17">
        <f t="shared" si="94"/>
        <v>0.10241497451457675</v>
      </c>
      <c r="Y115" s="350">
        <f t="shared" ref="Y115" si="95">$I77</f>
        <v>0.10241497451457675</v>
      </c>
      <c r="Z115" s="350">
        <f>Z114/SUM(Z$108,Z$103,Z$98,Z$93,Z$88)</f>
        <v>0.10968835440523635</v>
      </c>
      <c r="AA115" s="17">
        <f>$J115</f>
        <v>0.10241497451457675</v>
      </c>
      <c r="AB115" s="17">
        <f>$J115</f>
        <v>0.10241497451457675</v>
      </c>
      <c r="AC115" s="17">
        <f>$J115</f>
        <v>0.10241497451457675</v>
      </c>
      <c r="AD115" s="17">
        <f>$J115</f>
        <v>0.10241497451457675</v>
      </c>
      <c r="AE115" s="23"/>
      <c r="AG115" s="322">
        <f t="shared" si="60"/>
        <v>0</v>
      </c>
    </row>
    <row r="116" spans="3:33" ht="12.75" outlineLevel="1" thickBot="1" x14ac:dyDescent="0.35">
      <c r="E116" s="3" t="s">
        <v>309</v>
      </c>
      <c r="I116" s="341"/>
      <c r="J116" s="341"/>
      <c r="N116" s="15"/>
      <c r="O116" s="246">
        <v>92.772599999999997</v>
      </c>
      <c r="P116" s="16">
        <f t="shared" ref="P116:X116" si="96">SUM(P$108,P$103,P$98,P$93,P$88)*P117</f>
        <v>315.77897704167509</v>
      </c>
      <c r="Q116" s="16">
        <f t="shared" si="96"/>
        <v>318.06532920428344</v>
      </c>
      <c r="R116" s="16">
        <f t="shared" si="96"/>
        <v>315.07125755240423</v>
      </c>
      <c r="S116" s="16">
        <f t="shared" si="96"/>
        <v>276.78425383498666</v>
      </c>
      <c r="T116" s="16">
        <f t="shared" si="96"/>
        <v>302.06236890165292</v>
      </c>
      <c r="U116" s="16">
        <f t="shared" si="96"/>
        <v>286.3518588679774</v>
      </c>
      <c r="V116" s="16">
        <f t="shared" si="96"/>
        <v>291.88229989617969</v>
      </c>
      <c r="W116" s="16">
        <f t="shared" si="96"/>
        <v>281.71568958285883</v>
      </c>
      <c r="X116" s="16">
        <f t="shared" si="96"/>
        <v>257.02846856589088</v>
      </c>
      <c r="Y116" s="246">
        <f>SUM(P116:X116)</f>
        <v>2644.7405034479088</v>
      </c>
      <c r="Z116" s="246">
        <f>Y116+O116</f>
        <v>2737.5131034479086</v>
      </c>
      <c r="AA116" s="16">
        <f>SUM(AA$88,AA$93,AA$98,AA$103)*AA117</f>
        <v>2722.3459276772751</v>
      </c>
      <c r="AB116" s="16">
        <f>SUM(AB$88,AB$93,AB$98,AB$103)*AB117</f>
        <v>3152.2100554750377</v>
      </c>
      <c r="AC116" s="16">
        <f>SUM(AC$88,AC$93,AC$98,AC$103)*AC117</f>
        <v>3536.9402072839657</v>
      </c>
      <c r="AD116" s="16">
        <f>SUM(AD$88,AD$93,AD$98,AD$103)*AD117</f>
        <v>3957.803333123652</v>
      </c>
      <c r="AE116" s="23"/>
      <c r="AF116" s="327"/>
      <c r="AG116" s="322">
        <f t="shared" si="60"/>
        <v>0</v>
      </c>
    </row>
    <row r="117" spans="3:33" ht="12.75" outlineLevel="1" thickBot="1" x14ac:dyDescent="0.35">
      <c r="D117" s="23"/>
      <c r="E117" s="23"/>
      <c r="F117" s="23" t="s">
        <v>308</v>
      </c>
      <c r="G117" s="23"/>
      <c r="I117" s="348">
        <f>$I79</f>
        <v>4.5836928122247655E-2</v>
      </c>
      <c r="J117" s="349">
        <f>I117</f>
        <v>4.5836928122247655E-2</v>
      </c>
      <c r="N117" s="15"/>
      <c r="O117" s="350">
        <f>O116/SUM(O$88,O$93,O$98,O$103,O$108)</f>
        <v>5.5828253347374755E-2</v>
      </c>
      <c r="P117" s="17">
        <f>$I117</f>
        <v>4.5836928122247655E-2</v>
      </c>
      <c r="Q117" s="17">
        <f t="shared" si="94"/>
        <v>4.5836928122247655E-2</v>
      </c>
      <c r="R117" s="17">
        <f t="shared" si="94"/>
        <v>4.5836928122247655E-2</v>
      </c>
      <c r="S117" s="17">
        <f t="shared" si="94"/>
        <v>4.5836928122247655E-2</v>
      </c>
      <c r="T117" s="17">
        <f t="shared" si="94"/>
        <v>4.5836928122247655E-2</v>
      </c>
      <c r="U117" s="17">
        <f t="shared" si="94"/>
        <v>4.5836928122247655E-2</v>
      </c>
      <c r="V117" s="17">
        <f t="shared" si="94"/>
        <v>4.5836928122247655E-2</v>
      </c>
      <c r="W117" s="17">
        <f t="shared" si="94"/>
        <v>4.5836928122247655E-2</v>
      </c>
      <c r="X117" s="17">
        <f t="shared" si="94"/>
        <v>4.5836928122247655E-2</v>
      </c>
      <c r="Y117" s="350">
        <f t="shared" ref="Y117" si="97">Y79</f>
        <v>4.3056011260971812E-2</v>
      </c>
      <c r="Z117" s="350">
        <f>Z116/SUM(Z$108,Z$103,Z$98,Z$93,Z$88)</f>
        <v>4.6116626603427927E-2</v>
      </c>
      <c r="AA117" s="17">
        <f>$J117</f>
        <v>4.5836928122247655E-2</v>
      </c>
      <c r="AB117" s="17">
        <f>$J117</f>
        <v>4.5836928122247655E-2</v>
      </c>
      <c r="AC117" s="17">
        <f>$J117</f>
        <v>4.5836928122247655E-2</v>
      </c>
      <c r="AD117" s="17">
        <f>$J117</f>
        <v>4.5836928122247655E-2</v>
      </c>
      <c r="AE117" s="23"/>
      <c r="AG117" s="322">
        <f t="shared" si="60"/>
        <v>0</v>
      </c>
    </row>
    <row r="118" spans="3:33" ht="12.75" outlineLevel="1" thickBot="1" x14ac:dyDescent="0.35">
      <c r="E118" s="3" t="s">
        <v>310</v>
      </c>
      <c r="I118" s="341"/>
      <c r="J118" s="341"/>
      <c r="N118" s="15"/>
      <c r="O118" s="246">
        <v>118.31033089385286</v>
      </c>
      <c r="P118" s="16">
        <f t="shared" ref="P118:X118" si="98">SUM(P$108,P$103,P$98,P$93,P$88)*P119</f>
        <v>257.95166124081226</v>
      </c>
      <c r="Q118" s="16">
        <f t="shared" si="98"/>
        <v>259.81932305937761</v>
      </c>
      <c r="R118" s="16">
        <f t="shared" si="98"/>
        <v>257.37354353437036</v>
      </c>
      <c r="S118" s="16">
        <f t="shared" si="98"/>
        <v>226.09788261050335</v>
      </c>
      <c r="T118" s="16">
        <f t="shared" si="98"/>
        <v>246.74691959063898</v>
      </c>
      <c r="U118" s="16">
        <f t="shared" si="98"/>
        <v>233.91341116619373</v>
      </c>
      <c r="V118" s="16">
        <f t="shared" si="98"/>
        <v>238.43108509111386</v>
      </c>
      <c r="W118" s="16">
        <f t="shared" si="98"/>
        <v>230.12624464835383</v>
      </c>
      <c r="X118" s="16">
        <f t="shared" si="98"/>
        <v>209.95989370123064</v>
      </c>
      <c r="Y118" s="246">
        <f>SUM(P118:X118)</f>
        <v>2160.4199646425946</v>
      </c>
      <c r="Z118" s="246">
        <f>Y118+O118</f>
        <v>2278.7302955364476</v>
      </c>
      <c r="AA118" s="16">
        <f>SUM(AA$88,AA$93,AA$98,AA$103)*AA119</f>
        <v>2223.8138241350871</v>
      </c>
      <c r="AB118" s="16">
        <f>SUM(AB$88,AB$93,AB$98,AB$103)*AB119</f>
        <v>2574.9586879004532</v>
      </c>
      <c r="AC118" s="16">
        <f>SUM(AC$88,AC$93,AC$98,AC$103)*AC119</f>
        <v>2889.234776569413</v>
      </c>
      <c r="AD118" s="16">
        <f>SUM(AD$88,AD$93,AD$98,AD$103)*AD119</f>
        <v>3233.0269551444312</v>
      </c>
      <c r="AE118" s="23"/>
      <c r="AF118" s="327"/>
      <c r="AG118" s="322">
        <f t="shared" si="60"/>
        <v>0</v>
      </c>
    </row>
    <row r="119" spans="3:33" ht="12.75" outlineLevel="1" thickBot="1" x14ac:dyDescent="0.35">
      <c r="D119" s="23"/>
      <c r="E119" s="23"/>
      <c r="F119" s="23" t="s">
        <v>308</v>
      </c>
      <c r="G119" s="23"/>
      <c r="I119" s="348">
        <f>$I81</f>
        <v>3.7442998473419746E-2</v>
      </c>
      <c r="J119" s="349">
        <f>I119</f>
        <v>3.7442998473419746E-2</v>
      </c>
      <c r="N119" s="15"/>
      <c r="O119" s="350">
        <f>O118/SUM(O$88,O$93,O$98,O$103,O$108)</f>
        <v>7.1196227407162846E-2</v>
      </c>
      <c r="P119" s="17">
        <f>$I119</f>
        <v>3.7442998473419746E-2</v>
      </c>
      <c r="Q119" s="17">
        <f t="shared" si="94"/>
        <v>3.7442998473419746E-2</v>
      </c>
      <c r="R119" s="17">
        <f t="shared" si="94"/>
        <v>3.7442998473419746E-2</v>
      </c>
      <c r="S119" s="17">
        <f t="shared" si="94"/>
        <v>3.7442998473419746E-2</v>
      </c>
      <c r="T119" s="17">
        <f t="shared" si="94"/>
        <v>3.7442998473419746E-2</v>
      </c>
      <c r="U119" s="17">
        <f t="shared" si="94"/>
        <v>3.7442998473419746E-2</v>
      </c>
      <c r="V119" s="17">
        <f t="shared" si="94"/>
        <v>3.7442998473419746E-2</v>
      </c>
      <c r="W119" s="17">
        <f t="shared" si="94"/>
        <v>3.7442998473419746E-2</v>
      </c>
      <c r="X119" s="17">
        <f t="shared" si="94"/>
        <v>3.7442998473419746E-2</v>
      </c>
      <c r="Y119" s="350">
        <f t="shared" ref="Y119" si="99">Y81</f>
        <v>3.5171339571807632E-2</v>
      </c>
      <c r="Z119" s="350">
        <f>Z118/SUM(Z$108,Z$103,Z$98,Z$93,Z$88)</f>
        <v>3.8387890833039444E-2</v>
      </c>
      <c r="AA119" s="17">
        <f>$J119</f>
        <v>3.7442998473419746E-2</v>
      </c>
      <c r="AB119" s="17">
        <f>$J119</f>
        <v>3.7442998473419746E-2</v>
      </c>
      <c r="AC119" s="17">
        <f>$J119</f>
        <v>3.7442998473419746E-2</v>
      </c>
      <c r="AD119" s="17">
        <f>$J119</f>
        <v>3.7442998473419746E-2</v>
      </c>
      <c r="AE119" s="23"/>
      <c r="AG119" s="322">
        <f t="shared" si="60"/>
        <v>0</v>
      </c>
    </row>
    <row r="120" spans="3:33" outlineLevel="1" x14ac:dyDescent="0.3">
      <c r="E120" s="3" t="s">
        <v>311</v>
      </c>
      <c r="I120" s="341"/>
      <c r="N120" s="15"/>
      <c r="O120" s="306"/>
      <c r="P120" s="119"/>
      <c r="Q120" s="119"/>
      <c r="R120" s="119"/>
      <c r="S120" s="119"/>
      <c r="T120" s="119"/>
      <c r="U120" s="119"/>
      <c r="V120" s="119"/>
      <c r="W120" s="119"/>
      <c r="X120" s="119"/>
      <c r="Y120" s="306"/>
      <c r="Z120" s="306"/>
      <c r="AA120" s="119"/>
      <c r="AB120" s="119"/>
      <c r="AC120" s="119"/>
      <c r="AD120" s="119"/>
      <c r="AE120" s="23"/>
      <c r="AF120" s="327"/>
      <c r="AG120" s="322">
        <f t="shared" ref="AG120:AG162" si="100">IF($E120="판매수량",$D119,)</f>
        <v>0</v>
      </c>
    </row>
    <row r="121" spans="3:33" outlineLevel="1" x14ac:dyDescent="0.3">
      <c r="F121" s="3" t="s">
        <v>312</v>
      </c>
      <c r="I121" s="341"/>
      <c r="N121" s="15"/>
      <c r="O121" s="306"/>
      <c r="P121" s="119"/>
      <c r="Q121" s="119"/>
      <c r="R121" s="119"/>
      <c r="S121" s="119"/>
      <c r="T121" s="119"/>
      <c r="U121" s="119"/>
      <c r="V121" s="119"/>
      <c r="W121" s="119"/>
      <c r="X121" s="119"/>
      <c r="Y121" s="306"/>
      <c r="Z121" s="306"/>
      <c r="AA121" s="119"/>
      <c r="AB121" s="119"/>
      <c r="AC121" s="119"/>
      <c r="AD121" s="119"/>
      <c r="AE121" s="23"/>
      <c r="AG121" s="322">
        <f t="shared" si="100"/>
        <v>0</v>
      </c>
    </row>
    <row r="122" spans="3:33" outlineLevel="1" x14ac:dyDescent="0.3">
      <c r="F122" s="3" t="s">
        <v>313</v>
      </c>
      <c r="I122" s="341"/>
      <c r="N122" s="15"/>
      <c r="O122" s="306"/>
      <c r="P122" s="119"/>
      <c r="Q122" s="119"/>
      <c r="R122" s="119"/>
      <c r="S122" s="119"/>
      <c r="T122" s="119"/>
      <c r="U122" s="119"/>
      <c r="V122" s="119"/>
      <c r="W122" s="119"/>
      <c r="X122" s="119"/>
      <c r="Y122" s="306"/>
      <c r="Z122" s="306"/>
      <c r="AA122" s="119"/>
      <c r="AB122" s="119"/>
      <c r="AC122" s="119"/>
      <c r="AD122" s="119"/>
      <c r="AE122" s="23"/>
      <c r="AG122" s="322">
        <f t="shared" si="100"/>
        <v>0</v>
      </c>
    </row>
    <row r="123" spans="3:33" outlineLevel="1" x14ac:dyDescent="0.3">
      <c r="E123" s="3" t="s">
        <v>314</v>
      </c>
      <c r="I123" s="341"/>
      <c r="N123" s="15"/>
      <c r="O123" s="306"/>
      <c r="P123" s="119"/>
      <c r="Q123" s="119"/>
      <c r="R123" s="119"/>
      <c r="S123" s="119"/>
      <c r="T123" s="119"/>
      <c r="U123" s="119"/>
      <c r="V123" s="119"/>
      <c r="W123" s="119"/>
      <c r="X123" s="119"/>
      <c r="Y123" s="306"/>
      <c r="Z123" s="306"/>
      <c r="AA123" s="119"/>
      <c r="AB123" s="119"/>
      <c r="AC123" s="119"/>
      <c r="AD123" s="119"/>
      <c r="AE123" s="23"/>
      <c r="AF123" s="327"/>
      <c r="AG123" s="322">
        <f t="shared" si="100"/>
        <v>0</v>
      </c>
    </row>
    <row r="124" spans="3:33" outlineLevel="1" x14ac:dyDescent="0.3">
      <c r="E124" s="3" t="s">
        <v>105</v>
      </c>
      <c r="I124" s="341"/>
      <c r="N124" s="15"/>
      <c r="O124" s="306"/>
      <c r="P124" s="119"/>
      <c r="Q124" s="119"/>
      <c r="R124" s="119"/>
      <c r="S124" s="119"/>
      <c r="T124" s="119"/>
      <c r="U124" s="119"/>
      <c r="V124" s="119"/>
      <c r="W124" s="119"/>
      <c r="X124" s="119"/>
      <c r="Y124" s="306"/>
      <c r="Z124" s="306"/>
      <c r="AA124" s="119"/>
      <c r="AB124" s="119"/>
      <c r="AC124" s="119"/>
      <c r="AD124" s="119"/>
      <c r="AE124" s="23"/>
      <c r="AF124" s="327"/>
      <c r="AG124" s="322">
        <f t="shared" si="100"/>
        <v>0</v>
      </c>
    </row>
    <row r="125" spans="3:33" outlineLevel="1" x14ac:dyDescent="0.3">
      <c r="C125" s="3" t="s">
        <v>296</v>
      </c>
      <c r="I125" s="341"/>
      <c r="N125" s="15"/>
      <c r="O125" s="246">
        <f t="shared" ref="O125:AD125" si="101">SUM(O126,O131,O136,O141,O146,O151)</f>
        <v>29642.851699999999</v>
      </c>
      <c r="P125" s="16">
        <f t="shared" si="101"/>
        <v>7927.3196820172616</v>
      </c>
      <c r="Q125" s="16">
        <f t="shared" si="101"/>
        <v>7962.8439462770984</v>
      </c>
      <c r="R125" s="16">
        <f t="shared" si="101"/>
        <v>7978.3975784474642</v>
      </c>
      <c r="S125" s="16">
        <f t="shared" si="101"/>
        <v>6691.3716321938073</v>
      </c>
      <c r="T125" s="16">
        <f t="shared" si="101"/>
        <v>7363.0146664966142</v>
      </c>
      <c r="U125" s="16">
        <f t="shared" si="101"/>
        <v>7236.8438357178802</v>
      </c>
      <c r="V125" s="16">
        <f t="shared" si="101"/>
        <v>7287.2639189811744</v>
      </c>
      <c r="W125" s="16">
        <f t="shared" si="101"/>
        <v>7080.0248816019302</v>
      </c>
      <c r="X125" s="16">
        <f t="shared" si="101"/>
        <v>6163.1097922677527</v>
      </c>
      <c r="Y125" s="246">
        <f t="shared" si="101"/>
        <v>65690.189934000984</v>
      </c>
      <c r="Z125" s="246">
        <f t="shared" si="101"/>
        <v>95333.041634000983</v>
      </c>
      <c r="AA125" s="16">
        <f>SUM(AA126,AA131,AA136,AA141,AA146,AA151)</f>
        <v>91655.737180102966</v>
      </c>
      <c r="AB125" s="16">
        <f t="shared" si="101"/>
        <v>104595.55729341539</v>
      </c>
      <c r="AC125" s="16">
        <f t="shared" si="101"/>
        <v>115886.35098489892</v>
      </c>
      <c r="AD125" s="16">
        <f t="shared" si="101"/>
        <v>129977.63504641749</v>
      </c>
      <c r="AE125" s="43"/>
      <c r="AF125" s="351"/>
      <c r="AG125" s="322">
        <f t="shared" si="100"/>
        <v>0</v>
      </c>
    </row>
    <row r="126" spans="3:33" outlineLevel="1" x14ac:dyDescent="0.3">
      <c r="D126" s="3" t="s">
        <v>131</v>
      </c>
      <c r="I126" s="341"/>
      <c r="N126" s="15"/>
      <c r="O126" s="246">
        <v>643</v>
      </c>
      <c r="P126" s="16">
        <f t="shared" ref="P126:X127" si="102">P50-P88</f>
        <v>666.47296581910223</v>
      </c>
      <c r="Q126" s="16">
        <f t="shared" si="102"/>
        <v>666.47296581910223</v>
      </c>
      <c r="R126" s="16">
        <f t="shared" si="102"/>
        <v>888.63062109213638</v>
      </c>
      <c r="S126" s="16">
        <f t="shared" si="102"/>
        <v>444.31531054606819</v>
      </c>
      <c r="T126" s="16">
        <f t="shared" si="102"/>
        <v>444.31531054606819</v>
      </c>
      <c r="U126" s="16">
        <f t="shared" si="102"/>
        <v>666.47296581910223</v>
      </c>
      <c r="V126" s="16">
        <f t="shared" si="102"/>
        <v>666.47296581910223</v>
      </c>
      <c r="W126" s="16">
        <f t="shared" si="102"/>
        <v>666.47296581910223</v>
      </c>
      <c r="X126" s="16">
        <f t="shared" si="102"/>
        <v>222.15765527303409</v>
      </c>
      <c r="Y126" s="246">
        <f>SUM(P126:X126)</f>
        <v>5331.7837265528187</v>
      </c>
      <c r="Z126" s="246">
        <f>Y126+O126</f>
        <v>5974.7837265528187</v>
      </c>
      <c r="AA126" s="16">
        <f>AA127*AA130</f>
        <v>7588.1036768161666</v>
      </c>
      <c r="AB126" s="16">
        <f>AB127*AB130</f>
        <v>9543.8385254868954</v>
      </c>
      <c r="AC126" s="16">
        <f>AC127*AC130</f>
        <v>10245.237223277303</v>
      </c>
      <c r="AD126" s="16">
        <f>AD127*AD130</f>
        <v>12900.420949285601</v>
      </c>
      <c r="AE126" s="23"/>
      <c r="AF126" s="327"/>
      <c r="AG126" s="322">
        <f t="shared" si="100"/>
        <v>0</v>
      </c>
    </row>
    <row r="127" spans="3:33" outlineLevel="1" x14ac:dyDescent="0.3">
      <c r="E127" s="3" t="s">
        <v>315</v>
      </c>
      <c r="I127" s="341"/>
      <c r="N127" s="15"/>
      <c r="O127" s="246">
        <v>3</v>
      </c>
      <c r="P127" s="16">
        <f t="shared" si="102"/>
        <v>2</v>
      </c>
      <c r="Q127" s="16">
        <f t="shared" si="102"/>
        <v>2</v>
      </c>
      <c r="R127" s="16">
        <f t="shared" si="102"/>
        <v>3</v>
      </c>
      <c r="S127" s="16">
        <f t="shared" si="102"/>
        <v>1</v>
      </c>
      <c r="T127" s="16">
        <f t="shared" si="102"/>
        <v>1</v>
      </c>
      <c r="U127" s="16">
        <f t="shared" si="102"/>
        <v>2</v>
      </c>
      <c r="V127" s="16">
        <f t="shared" si="102"/>
        <v>2</v>
      </c>
      <c r="W127" s="16">
        <f t="shared" si="102"/>
        <v>2</v>
      </c>
      <c r="X127" s="16">
        <f t="shared" si="102"/>
        <v>1</v>
      </c>
      <c r="Y127" s="246">
        <f>SUM(P127:X127)</f>
        <v>16</v>
      </c>
      <c r="Z127" s="246">
        <f>Y127+O127</f>
        <v>19</v>
      </c>
      <c r="AA127" s="16">
        <f>ROUND(AA128*AA129,)</f>
        <v>24</v>
      </c>
      <c r="AB127" s="16">
        <f>ROUND(AB128*AB129,)</f>
        <v>30</v>
      </c>
      <c r="AC127" s="16">
        <f>ROUND(AC128*AC129,)</f>
        <v>32</v>
      </c>
      <c r="AD127" s="16">
        <f>ROUND(AD128*AD129,)</f>
        <v>40</v>
      </c>
      <c r="AE127" s="23"/>
      <c r="AF127" s="327"/>
      <c r="AG127" s="322">
        <f t="shared" si="100"/>
        <v>0</v>
      </c>
    </row>
    <row r="128" spans="3:33" outlineLevel="1" x14ac:dyDescent="0.3">
      <c r="F128" s="3" t="s">
        <v>304</v>
      </c>
      <c r="I128" s="341"/>
      <c r="N128" s="15"/>
      <c r="O128" s="306"/>
      <c r="P128" s="119"/>
      <c r="Q128" s="119"/>
      <c r="R128" s="119"/>
      <c r="S128" s="119"/>
      <c r="T128" s="119"/>
      <c r="U128" s="119"/>
      <c r="V128" s="119"/>
      <c r="W128" s="119"/>
      <c r="X128" s="119"/>
      <c r="Y128" s="306"/>
      <c r="Z128" s="246">
        <f>Z52</f>
        <v>5</v>
      </c>
      <c r="AA128" s="16">
        <f>'Key Assumption'!AB54</f>
        <v>6</v>
      </c>
      <c r="AB128" s="16">
        <f>'Key Assumption'!AC54</f>
        <v>7</v>
      </c>
      <c r="AC128" s="16">
        <f>'Key Assumption'!AD54</f>
        <v>7</v>
      </c>
      <c r="AD128" s="16">
        <f>'Key Assumption'!AE54</f>
        <v>8</v>
      </c>
      <c r="AE128" s="23"/>
      <c r="AG128" s="322">
        <f t="shared" si="100"/>
        <v>0</v>
      </c>
    </row>
    <row r="129" spans="4:33" outlineLevel="1" x14ac:dyDescent="0.3">
      <c r="F129" s="3" t="s">
        <v>305</v>
      </c>
      <c r="I129" s="341"/>
      <c r="N129" s="15"/>
      <c r="O129" s="306"/>
      <c r="P129" s="119"/>
      <c r="Q129" s="119"/>
      <c r="R129" s="119"/>
      <c r="S129" s="119"/>
      <c r="T129" s="119"/>
      <c r="U129" s="119"/>
      <c r="V129" s="119"/>
      <c r="W129" s="119"/>
      <c r="X129" s="119"/>
      <c r="Y129" s="306"/>
      <c r="Z129" s="246">
        <f>Z127/Z128</f>
        <v>3.8</v>
      </c>
      <c r="AA129" s="16">
        <f>'Key Assumption'!AB166</f>
        <v>4.0643478260869568</v>
      </c>
      <c r="AB129" s="16">
        <f>'Key Assumption'!AC166</f>
        <v>4.3149275362318846</v>
      </c>
      <c r="AC129" s="16">
        <f>'Key Assumption'!AD166</f>
        <v>4.6288405797101451</v>
      </c>
      <c r="AD129" s="16">
        <f>'Key Assumption'!AE166</f>
        <v>4.9675362318840586</v>
      </c>
      <c r="AE129" s="23"/>
      <c r="AG129" s="322">
        <f t="shared" si="100"/>
        <v>0</v>
      </c>
    </row>
    <row r="130" spans="4:33" outlineLevel="1" x14ac:dyDescent="0.3">
      <c r="E130" s="3" t="s">
        <v>316</v>
      </c>
      <c r="I130" s="341"/>
      <c r="N130" s="15"/>
      <c r="O130" s="246">
        <f>O126/O127</f>
        <v>214.33333333333334</v>
      </c>
      <c r="P130" s="16">
        <f t="shared" ref="P130:Z130" si="103">P126/P127</f>
        <v>333.23648290955111</v>
      </c>
      <c r="Q130" s="16">
        <f t="shared" si="103"/>
        <v>333.23648290955111</v>
      </c>
      <c r="R130" s="16">
        <f t="shared" si="103"/>
        <v>296.21020703071213</v>
      </c>
      <c r="S130" s="16">
        <f t="shared" si="103"/>
        <v>444.31531054606819</v>
      </c>
      <c r="T130" s="16">
        <f t="shared" si="103"/>
        <v>444.31531054606819</v>
      </c>
      <c r="U130" s="16">
        <f t="shared" si="103"/>
        <v>333.23648290955111</v>
      </c>
      <c r="V130" s="16">
        <f t="shared" si="103"/>
        <v>333.23648290955111</v>
      </c>
      <c r="W130" s="16">
        <f t="shared" si="103"/>
        <v>333.23648290955111</v>
      </c>
      <c r="X130" s="16">
        <f t="shared" si="103"/>
        <v>222.15765527303409</v>
      </c>
      <c r="Y130" s="246">
        <f>Y126/Y127</f>
        <v>333.23648290955117</v>
      </c>
      <c r="Z130" s="246">
        <f t="shared" si="103"/>
        <v>314.4623013975168</v>
      </c>
      <c r="AA130" s="16">
        <f>'Key Assumption'!AB303</f>
        <v>316.17098653400694</v>
      </c>
      <c r="AB130" s="16">
        <f>'Key Assumption'!AC303</f>
        <v>318.12795084956321</v>
      </c>
      <c r="AC130" s="16">
        <f>'Key Assumption'!AD303</f>
        <v>320.16366322741573</v>
      </c>
      <c r="AD130" s="16">
        <f>'Key Assumption'!AE303</f>
        <v>322.51052373214003</v>
      </c>
      <c r="AE130" s="23"/>
      <c r="AG130" s="322">
        <f t="shared" si="100"/>
        <v>0</v>
      </c>
    </row>
    <row r="131" spans="4:33" outlineLevel="1" x14ac:dyDescent="0.3">
      <c r="D131" s="3" t="s">
        <v>132</v>
      </c>
      <c r="I131" s="341"/>
      <c r="N131" s="15"/>
      <c r="O131" s="246">
        <v>9822.49359</v>
      </c>
      <c r="P131" s="16">
        <f t="shared" ref="P131:X132" si="104">P55-P93</f>
        <v>2327.3530086737055</v>
      </c>
      <c r="Q131" s="16">
        <f t="shared" si="104"/>
        <v>2381.4774972475129</v>
      </c>
      <c r="R131" s="16">
        <f t="shared" si="104"/>
        <v>2327.3530086737055</v>
      </c>
      <c r="S131" s="16">
        <f t="shared" si="104"/>
        <v>2246.1662758129951</v>
      </c>
      <c r="T131" s="16">
        <f t="shared" si="104"/>
        <v>2246.1662758129951</v>
      </c>
      <c r="U131" s="16">
        <f t="shared" si="104"/>
        <v>2110.8550543784777</v>
      </c>
      <c r="V131" s="16">
        <f t="shared" si="104"/>
        <v>2246.1662758129951</v>
      </c>
      <c r="W131" s="16">
        <f t="shared" si="104"/>
        <v>2164.9795429522846</v>
      </c>
      <c r="X131" s="16">
        <f t="shared" si="104"/>
        <v>2029.6683215177668</v>
      </c>
      <c r="Y131" s="246">
        <f>SUM(P131:X131)</f>
        <v>20080.185260882437</v>
      </c>
      <c r="Z131" s="246">
        <f>Y131+O131</f>
        <v>29902.678850882439</v>
      </c>
      <c r="AA131" s="16">
        <f>AA132*AA135</f>
        <v>31783.472241870804</v>
      </c>
      <c r="AB131" s="16">
        <f>AB132*AB135</f>
        <v>34676.532127640683</v>
      </c>
      <c r="AC131" s="16">
        <f>AC132*AC135</f>
        <v>37548.177556224597</v>
      </c>
      <c r="AD131" s="16">
        <f>AD132*AD135</f>
        <v>40089.510605634146</v>
      </c>
      <c r="AE131" s="23"/>
      <c r="AF131" s="327"/>
      <c r="AG131" s="322">
        <f t="shared" si="100"/>
        <v>0</v>
      </c>
    </row>
    <row r="132" spans="4:33" outlineLevel="1" x14ac:dyDescent="0.3">
      <c r="E132" s="3" t="s">
        <v>315</v>
      </c>
      <c r="I132" s="341"/>
      <c r="N132" s="15"/>
      <c r="O132" s="246">
        <v>172</v>
      </c>
      <c r="P132" s="16">
        <f t="shared" si="104"/>
        <v>44</v>
      </c>
      <c r="Q132" s="16">
        <f t="shared" si="104"/>
        <v>45</v>
      </c>
      <c r="R132" s="16">
        <f t="shared" si="104"/>
        <v>44</v>
      </c>
      <c r="S132" s="16">
        <f t="shared" si="104"/>
        <v>43</v>
      </c>
      <c r="T132" s="16">
        <f t="shared" si="104"/>
        <v>43</v>
      </c>
      <c r="U132" s="16">
        <f t="shared" si="104"/>
        <v>40</v>
      </c>
      <c r="V132" s="16">
        <f t="shared" si="104"/>
        <v>43</v>
      </c>
      <c r="W132" s="16">
        <f t="shared" si="104"/>
        <v>41</v>
      </c>
      <c r="X132" s="16">
        <f t="shared" si="104"/>
        <v>39</v>
      </c>
      <c r="Y132" s="246">
        <f>SUM(P132:X132)</f>
        <v>382</v>
      </c>
      <c r="Z132" s="246">
        <f>Y132+O132</f>
        <v>554</v>
      </c>
      <c r="AA132" s="16">
        <f>ROUND(AA133*AA134,)</f>
        <v>586</v>
      </c>
      <c r="AB132" s="16">
        <f>ROUND(AB133*AB134,)</f>
        <v>635</v>
      </c>
      <c r="AC132" s="16">
        <f>ROUND(AC133*AC134,)</f>
        <v>683</v>
      </c>
      <c r="AD132" s="16">
        <f>ROUND(AD133*AD134,)</f>
        <v>724</v>
      </c>
      <c r="AE132" s="23"/>
      <c r="AF132" s="327"/>
      <c r="AG132" s="322">
        <f t="shared" si="100"/>
        <v>0</v>
      </c>
    </row>
    <row r="133" spans="4:33" outlineLevel="1" x14ac:dyDescent="0.3">
      <c r="F133" s="3" t="s">
        <v>304</v>
      </c>
      <c r="I133" s="341"/>
      <c r="N133" s="15"/>
      <c r="O133" s="306"/>
      <c r="P133" s="119"/>
      <c r="Q133" s="119"/>
      <c r="R133" s="119"/>
      <c r="S133" s="119"/>
      <c r="T133" s="119"/>
      <c r="U133" s="119"/>
      <c r="V133" s="119"/>
      <c r="W133" s="119"/>
      <c r="X133" s="119"/>
      <c r="Y133" s="306"/>
      <c r="Z133" s="246">
        <f>Z57</f>
        <v>53</v>
      </c>
      <c r="AA133" s="16">
        <f>'Key Assumption'!AB55</f>
        <v>53</v>
      </c>
      <c r="AB133" s="16">
        <f>'Key Assumption'!AC55</f>
        <v>55</v>
      </c>
      <c r="AC133" s="16">
        <f>'Key Assumption'!AD55</f>
        <v>56</v>
      </c>
      <c r="AD133" s="16">
        <f>'Key Assumption'!AE55</f>
        <v>56</v>
      </c>
      <c r="AE133" s="23"/>
      <c r="AG133" s="322">
        <f t="shared" si="100"/>
        <v>0</v>
      </c>
    </row>
    <row r="134" spans="4:33" outlineLevel="1" x14ac:dyDescent="0.3">
      <c r="F134" s="3" t="s">
        <v>305</v>
      </c>
      <c r="I134" s="341"/>
      <c r="N134" s="15"/>
      <c r="O134" s="306"/>
      <c r="P134" s="119"/>
      <c r="Q134" s="119"/>
      <c r="R134" s="119"/>
      <c r="S134" s="119"/>
      <c r="T134" s="119"/>
      <c r="U134" s="119"/>
      <c r="V134" s="119"/>
      <c r="W134" s="119"/>
      <c r="X134" s="119"/>
      <c r="Y134" s="306"/>
      <c r="Z134" s="246">
        <f>Z132/Z133</f>
        <v>10.452830188679245</v>
      </c>
      <c r="AA134" s="16">
        <f>'Key Assumption'!AB167</f>
        <v>11.051093269817882</v>
      </c>
      <c r="AB134" s="16">
        <f>'Key Assumption'!AC167</f>
        <v>11.545918341600771</v>
      </c>
      <c r="AC134" s="16">
        <f>'Key Assumption'!AD167</f>
        <v>12.191706994605559</v>
      </c>
      <c r="AD134" s="16">
        <f>'Key Assumption'!AE167</f>
        <v>12.921364303844737</v>
      </c>
      <c r="AE134" s="23"/>
      <c r="AG134" s="322">
        <f t="shared" si="100"/>
        <v>0</v>
      </c>
    </row>
    <row r="135" spans="4:33" outlineLevel="1" x14ac:dyDescent="0.3">
      <c r="E135" s="3" t="s">
        <v>316</v>
      </c>
      <c r="I135" s="341"/>
      <c r="N135" s="15"/>
      <c r="O135" s="246">
        <f>O131/O132</f>
        <v>57.107520872093026</v>
      </c>
      <c r="P135" s="16">
        <f t="shared" ref="P135:Z135" si="105">P131/P132</f>
        <v>52.894386560766037</v>
      </c>
      <c r="Q135" s="16">
        <f t="shared" si="105"/>
        <v>52.92172216105584</v>
      </c>
      <c r="R135" s="16">
        <f t="shared" si="105"/>
        <v>52.894386560766037</v>
      </c>
      <c r="S135" s="16">
        <f t="shared" si="105"/>
        <v>52.236425018906864</v>
      </c>
      <c r="T135" s="16">
        <f t="shared" si="105"/>
        <v>52.236425018906864</v>
      </c>
      <c r="U135" s="16">
        <f t="shared" si="105"/>
        <v>52.771376359461939</v>
      </c>
      <c r="V135" s="16">
        <f t="shared" si="105"/>
        <v>52.236425018906864</v>
      </c>
      <c r="W135" s="16">
        <f t="shared" si="105"/>
        <v>52.804379096397184</v>
      </c>
      <c r="X135" s="16">
        <f t="shared" si="105"/>
        <v>52.042777474814535</v>
      </c>
      <c r="Y135" s="246">
        <f>Y131/Y132</f>
        <v>52.565930002310047</v>
      </c>
      <c r="Z135" s="246">
        <f t="shared" si="105"/>
        <v>53.97595460448094</v>
      </c>
      <c r="AA135" s="16">
        <f>'Key Assumption'!AB304</f>
        <v>54.238007238687381</v>
      </c>
      <c r="AB135" s="16">
        <f>'Key Assumption'!AC304</f>
        <v>54.608712012032576</v>
      </c>
      <c r="AC135" s="16">
        <f>'Key Assumption'!AD304</f>
        <v>54.975369774852993</v>
      </c>
      <c r="AD135" s="16">
        <f>'Key Assumption'!AE304</f>
        <v>55.372252217726725</v>
      </c>
      <c r="AE135" s="23"/>
      <c r="AG135" s="322">
        <f t="shared" si="100"/>
        <v>0</v>
      </c>
    </row>
    <row r="136" spans="4:33" outlineLevel="1" x14ac:dyDescent="0.3">
      <c r="D136" s="3" t="s">
        <v>133</v>
      </c>
      <c r="I136" s="341"/>
      <c r="N136" s="15"/>
      <c r="O136" s="246">
        <v>8970.7465599999996</v>
      </c>
      <c r="P136" s="16">
        <f t="shared" ref="P136:X137" si="106">P60-P98</f>
        <v>2239.8813568781584</v>
      </c>
      <c r="Q136" s="16">
        <f t="shared" si="106"/>
        <v>2277.8454476727034</v>
      </c>
      <c r="R136" s="16">
        <f t="shared" si="106"/>
        <v>2315.8095384672483</v>
      </c>
      <c r="S136" s="16">
        <f t="shared" si="106"/>
        <v>2239.8813568781584</v>
      </c>
      <c r="T136" s="16">
        <f t="shared" si="106"/>
        <v>2315.8095384672483</v>
      </c>
      <c r="U136" s="16">
        <f t="shared" si="106"/>
        <v>1936.1686305217977</v>
      </c>
      <c r="V136" s="16">
        <f t="shared" si="106"/>
        <v>1974.1327213163431</v>
      </c>
      <c r="W136" s="16">
        <f t="shared" si="106"/>
        <v>1936.1686305217977</v>
      </c>
      <c r="X136" s="16">
        <f t="shared" si="106"/>
        <v>1860.2404489327077</v>
      </c>
      <c r="Y136" s="246">
        <f>SUM(P136:X136)</f>
        <v>19095.937669656167</v>
      </c>
      <c r="Z136" s="246">
        <f>Y136+O136</f>
        <v>28066.684229656166</v>
      </c>
      <c r="AA136" s="16">
        <f>AA137*AA140</f>
        <v>30057.862653247317</v>
      </c>
      <c r="AB136" s="16">
        <f>AB137*AB140</f>
        <v>35799.530839459752</v>
      </c>
      <c r="AC136" s="16">
        <f>AC137*AC140</f>
        <v>41174.96717696316</v>
      </c>
      <c r="AD136" s="16">
        <f>AD137*AD140</f>
        <v>47276.040642639047</v>
      </c>
      <c r="AE136" s="23"/>
      <c r="AF136" s="327"/>
      <c r="AG136" s="322">
        <f t="shared" si="100"/>
        <v>0</v>
      </c>
    </row>
    <row r="137" spans="4:33" outlineLevel="1" x14ac:dyDescent="0.3">
      <c r="E137" s="3" t="s">
        <v>315</v>
      </c>
      <c r="I137" s="341"/>
      <c r="N137" s="15"/>
      <c r="O137" s="246">
        <v>115</v>
      </c>
      <c r="P137" s="16">
        <f t="shared" si="106"/>
        <v>29</v>
      </c>
      <c r="Q137" s="16">
        <f t="shared" si="106"/>
        <v>29</v>
      </c>
      <c r="R137" s="16">
        <f t="shared" si="106"/>
        <v>30</v>
      </c>
      <c r="S137" s="16">
        <f t="shared" si="106"/>
        <v>29</v>
      </c>
      <c r="T137" s="16">
        <f t="shared" si="106"/>
        <v>30</v>
      </c>
      <c r="U137" s="16">
        <f t="shared" si="106"/>
        <v>25</v>
      </c>
      <c r="V137" s="16">
        <f t="shared" si="106"/>
        <v>26</v>
      </c>
      <c r="W137" s="16">
        <f t="shared" si="106"/>
        <v>25</v>
      </c>
      <c r="X137" s="16">
        <f t="shared" si="106"/>
        <v>24</v>
      </c>
      <c r="Y137" s="246">
        <f>SUM(P137:X137)</f>
        <v>247</v>
      </c>
      <c r="Z137" s="246">
        <f>Y137+O137</f>
        <v>362</v>
      </c>
      <c r="AA137" s="16">
        <f>ROUND(AA138*AA139,)</f>
        <v>385</v>
      </c>
      <c r="AB137" s="16">
        <f>ROUND(AB138*AB139,)</f>
        <v>455</v>
      </c>
      <c r="AC137" s="16">
        <f>ROUND(AC138*AC139,)</f>
        <v>519</v>
      </c>
      <c r="AD137" s="16">
        <f>ROUND(AD138*AD139,)</f>
        <v>591</v>
      </c>
      <c r="AE137" s="23"/>
      <c r="AF137" s="327"/>
      <c r="AG137" s="322">
        <f t="shared" si="100"/>
        <v>0</v>
      </c>
    </row>
    <row r="138" spans="4:33" outlineLevel="1" x14ac:dyDescent="0.3">
      <c r="F138" s="3" t="s">
        <v>304</v>
      </c>
      <c r="I138" s="341"/>
      <c r="N138" s="15"/>
      <c r="O138" s="306"/>
      <c r="P138" s="119"/>
      <c r="Q138" s="119"/>
      <c r="R138" s="119"/>
      <c r="S138" s="119"/>
      <c r="T138" s="119"/>
      <c r="U138" s="119"/>
      <c r="V138" s="119"/>
      <c r="W138" s="119"/>
      <c r="X138" s="119"/>
      <c r="Y138" s="306"/>
      <c r="Z138" s="246">
        <f>Z62</f>
        <v>24</v>
      </c>
      <c r="AA138" s="16">
        <f>'Key Assumption'!AB56</f>
        <v>24</v>
      </c>
      <c r="AB138" s="16">
        <f>'Key Assumption'!AC56</f>
        <v>27</v>
      </c>
      <c r="AC138" s="16">
        <f>'Key Assumption'!AD56</f>
        <v>29</v>
      </c>
      <c r="AD138" s="16">
        <f>'Key Assumption'!AE56</f>
        <v>31</v>
      </c>
      <c r="AE138" s="23"/>
      <c r="AG138" s="322">
        <f t="shared" si="100"/>
        <v>0</v>
      </c>
    </row>
    <row r="139" spans="4:33" outlineLevel="1" x14ac:dyDescent="0.3">
      <c r="F139" s="3" t="s">
        <v>305</v>
      </c>
      <c r="I139" s="341"/>
      <c r="N139" s="15"/>
      <c r="O139" s="306"/>
      <c r="P139" s="119"/>
      <c r="Q139" s="119"/>
      <c r="R139" s="119"/>
      <c r="S139" s="119"/>
      <c r="T139" s="119"/>
      <c r="U139" s="119"/>
      <c r="V139" s="119"/>
      <c r="W139" s="119"/>
      <c r="X139" s="119"/>
      <c r="Y139" s="306"/>
      <c r="Z139" s="246">
        <f>Z137/Z138</f>
        <v>15.083333333333334</v>
      </c>
      <c r="AA139" s="16">
        <f>'Key Assumption'!AB168</f>
        <v>16.02292105527134</v>
      </c>
      <c r="AB139" s="16">
        <f>'Key Assumption'!AC168</f>
        <v>16.839953856956566</v>
      </c>
      <c r="AC139" s="16">
        <f>'Key Assumption'!AD168</f>
        <v>17.888479285785937</v>
      </c>
      <c r="AD139" s="16">
        <f>'Key Assumption'!AE168</f>
        <v>19.068637777109039</v>
      </c>
      <c r="AE139" s="23"/>
      <c r="AG139" s="322">
        <f t="shared" si="100"/>
        <v>0</v>
      </c>
    </row>
    <row r="140" spans="4:33" outlineLevel="1" x14ac:dyDescent="0.3">
      <c r="E140" s="3" t="s">
        <v>316</v>
      </c>
      <c r="I140" s="341"/>
      <c r="N140" s="15"/>
      <c r="O140" s="246">
        <f>O136/O137</f>
        <v>78.006491826086958</v>
      </c>
      <c r="P140" s="16">
        <f t="shared" ref="P140:Z140" si="107">P136/P137</f>
        <v>77.237288168212359</v>
      </c>
      <c r="Q140" s="16">
        <f t="shared" si="107"/>
        <v>78.546394747334602</v>
      </c>
      <c r="R140" s="16">
        <f t="shared" si="107"/>
        <v>77.193651282241618</v>
      </c>
      <c r="S140" s="16">
        <f t="shared" si="107"/>
        <v>77.237288168212359</v>
      </c>
      <c r="T140" s="16">
        <f t="shared" si="107"/>
        <v>77.193651282241618</v>
      </c>
      <c r="U140" s="16">
        <f t="shared" si="107"/>
        <v>77.446745220871904</v>
      </c>
      <c r="V140" s="16">
        <f t="shared" si="107"/>
        <v>75.928181589090116</v>
      </c>
      <c r="W140" s="16">
        <f t="shared" si="107"/>
        <v>77.446745220871904</v>
      </c>
      <c r="X140" s="16">
        <f t="shared" si="107"/>
        <v>77.51001870552949</v>
      </c>
      <c r="Y140" s="246">
        <f>Y136/Y137</f>
        <v>77.311488541118081</v>
      </c>
      <c r="Z140" s="246">
        <f t="shared" si="107"/>
        <v>77.532276877503222</v>
      </c>
      <c r="AA140" s="16">
        <f>'Key Assumption'!AB305</f>
        <v>78.072370527915112</v>
      </c>
      <c r="AB140" s="16">
        <f>'Key Assumption'!AC305</f>
        <v>78.680287559252207</v>
      </c>
      <c r="AC140" s="16">
        <f>'Key Assumption'!AD305</f>
        <v>79.335196872761387</v>
      </c>
      <c r="AD140" s="16">
        <f>'Key Assumption'!AE305</f>
        <v>79.993300579761495</v>
      </c>
      <c r="AE140" s="23"/>
      <c r="AG140" s="322">
        <f t="shared" si="100"/>
        <v>0</v>
      </c>
    </row>
    <row r="141" spans="4:33" outlineLevel="1" x14ac:dyDescent="0.3">
      <c r="D141" s="3" t="s">
        <v>134</v>
      </c>
      <c r="I141" s="341"/>
      <c r="N141" s="15"/>
      <c r="O141" s="246">
        <v>963.45</v>
      </c>
      <c r="P141" s="16">
        <f t="shared" ref="P141:X142" si="108">P65-P103</f>
        <v>706.55886902313762</v>
      </c>
      <c r="Q141" s="16">
        <f t="shared" si="108"/>
        <v>706.55886902313762</v>
      </c>
      <c r="R141" s="16">
        <f t="shared" si="108"/>
        <v>824.31868052699394</v>
      </c>
      <c r="S141" s="16">
        <f t="shared" si="108"/>
        <v>588.79905751928129</v>
      </c>
      <c r="T141" s="16">
        <f t="shared" si="108"/>
        <v>706.55886902313762</v>
      </c>
      <c r="U141" s="16">
        <f t="shared" si="108"/>
        <v>706.55886902313762</v>
      </c>
      <c r="V141" s="16">
        <f t="shared" si="108"/>
        <v>824.31868052699394</v>
      </c>
      <c r="W141" s="16">
        <f t="shared" si="108"/>
        <v>706.55886902313762</v>
      </c>
      <c r="X141" s="16">
        <f t="shared" si="108"/>
        <v>588.79905751928129</v>
      </c>
      <c r="Y141" s="246">
        <f>SUM(P141:X141)</f>
        <v>6359.0298212082398</v>
      </c>
      <c r="Z141" s="246">
        <f>Y141+O141</f>
        <v>7322.4798212082396</v>
      </c>
      <c r="AA141" s="16">
        <f>AA142*AA145</f>
        <v>7871.8444936162796</v>
      </c>
      <c r="AB141" s="16">
        <f>AB142*AB145</f>
        <v>8194.6612886776256</v>
      </c>
      <c r="AC141" s="16">
        <f>AC142*AC145</f>
        <v>8768.6926285625959</v>
      </c>
      <c r="AD141" s="16">
        <f>AD142*AD145</f>
        <v>9355.5121528511463</v>
      </c>
      <c r="AE141" s="23"/>
      <c r="AF141" s="327"/>
      <c r="AG141" s="322">
        <f t="shared" si="100"/>
        <v>0</v>
      </c>
    </row>
    <row r="142" spans="4:33" outlineLevel="1" x14ac:dyDescent="0.3">
      <c r="E142" s="3" t="s">
        <v>315</v>
      </c>
      <c r="I142" s="341"/>
      <c r="N142" s="15"/>
      <c r="O142" s="246">
        <v>4</v>
      </c>
      <c r="P142" s="16">
        <f t="shared" si="108"/>
        <v>3</v>
      </c>
      <c r="Q142" s="16">
        <f t="shared" si="108"/>
        <v>3</v>
      </c>
      <c r="R142" s="16">
        <f t="shared" si="108"/>
        <v>3</v>
      </c>
      <c r="S142" s="16">
        <f t="shared" si="108"/>
        <v>2</v>
      </c>
      <c r="T142" s="16">
        <f t="shared" si="108"/>
        <v>3</v>
      </c>
      <c r="U142" s="16">
        <f t="shared" si="108"/>
        <v>3</v>
      </c>
      <c r="V142" s="16">
        <f t="shared" si="108"/>
        <v>3</v>
      </c>
      <c r="W142" s="16">
        <f t="shared" si="108"/>
        <v>3</v>
      </c>
      <c r="X142" s="16">
        <f t="shared" si="108"/>
        <v>2</v>
      </c>
      <c r="Y142" s="246">
        <f>SUM(P142:X142)</f>
        <v>25</v>
      </c>
      <c r="Z142" s="246">
        <f>Y142+O142</f>
        <v>29</v>
      </c>
      <c r="AA142" s="16">
        <f>ROUND(AA143*AA144,)</f>
        <v>31</v>
      </c>
      <c r="AB142" s="16">
        <f>ROUND(AB143*AB144,)</f>
        <v>32</v>
      </c>
      <c r="AC142" s="16">
        <f>ROUND(AC143*AC144,)</f>
        <v>34</v>
      </c>
      <c r="AD142" s="16">
        <f>ROUND(AD143*AD144,)</f>
        <v>36</v>
      </c>
      <c r="AE142" s="23"/>
      <c r="AF142" s="327"/>
      <c r="AG142" s="322">
        <f t="shared" si="100"/>
        <v>0</v>
      </c>
    </row>
    <row r="143" spans="4:33" outlineLevel="1" x14ac:dyDescent="0.3">
      <c r="F143" s="3" t="s">
        <v>304</v>
      </c>
      <c r="I143" s="341"/>
      <c r="N143" s="15"/>
      <c r="O143" s="306"/>
      <c r="P143" s="119"/>
      <c r="Q143" s="119"/>
      <c r="R143" s="119"/>
      <c r="S143" s="119"/>
      <c r="T143" s="119"/>
      <c r="U143" s="119"/>
      <c r="V143" s="119"/>
      <c r="W143" s="119"/>
      <c r="X143" s="119"/>
      <c r="Y143" s="306"/>
      <c r="Z143" s="246">
        <f>Z67</f>
        <v>12</v>
      </c>
      <c r="AA143" s="16">
        <f>'Key Assumption'!AB57</f>
        <v>12</v>
      </c>
      <c r="AB143" s="16">
        <f>'Key Assumption'!AC57</f>
        <v>12</v>
      </c>
      <c r="AC143" s="16">
        <f>'Key Assumption'!AD57</f>
        <v>12</v>
      </c>
      <c r="AD143" s="16">
        <f>'Key Assumption'!AE57</f>
        <v>12</v>
      </c>
      <c r="AE143" s="23"/>
      <c r="AG143" s="322">
        <f t="shared" si="100"/>
        <v>0</v>
      </c>
    </row>
    <row r="144" spans="4:33" outlineLevel="1" x14ac:dyDescent="0.3">
      <c r="F144" s="3" t="s">
        <v>305</v>
      </c>
      <c r="I144" s="341"/>
      <c r="N144" s="15"/>
      <c r="O144" s="306"/>
      <c r="P144" s="119"/>
      <c r="Q144" s="119"/>
      <c r="R144" s="119"/>
      <c r="S144" s="119"/>
      <c r="T144" s="119"/>
      <c r="U144" s="119"/>
      <c r="V144" s="119"/>
      <c r="W144" s="119"/>
      <c r="X144" s="119"/>
      <c r="Y144" s="306"/>
      <c r="Z144" s="246">
        <f>Z142/Z143</f>
        <v>2.4166666666666665</v>
      </c>
      <c r="AA144" s="16">
        <f>'Key Assumption'!AB169</f>
        <v>2.5602962559069424</v>
      </c>
      <c r="AB144" s="16">
        <f>'Key Assumption'!AC169</f>
        <v>2.6815249000363499</v>
      </c>
      <c r="AC144" s="16">
        <f>'Key Assumption'!AD169</f>
        <v>2.8436023264267538</v>
      </c>
      <c r="AD144" s="16">
        <f>'Key Assumption'!AE169</f>
        <v>3.0254452926208653</v>
      </c>
      <c r="AE144" s="23"/>
      <c r="AG144" s="322">
        <f t="shared" si="100"/>
        <v>0</v>
      </c>
    </row>
    <row r="145" spans="4:33" outlineLevel="1" x14ac:dyDescent="0.3">
      <c r="E145" s="3" t="s">
        <v>316</v>
      </c>
      <c r="I145" s="341"/>
      <c r="N145" s="15"/>
      <c r="O145" s="246">
        <f>O141/O142</f>
        <v>240.86250000000001</v>
      </c>
      <c r="P145" s="16">
        <f t="shared" ref="P145:Z145" si="109">P141/P142</f>
        <v>235.51962300771254</v>
      </c>
      <c r="Q145" s="16">
        <f t="shared" si="109"/>
        <v>235.51962300771254</v>
      </c>
      <c r="R145" s="16">
        <f t="shared" si="109"/>
        <v>274.77289350899798</v>
      </c>
      <c r="S145" s="16">
        <f t="shared" si="109"/>
        <v>294.39952875964065</v>
      </c>
      <c r="T145" s="16">
        <f t="shared" si="109"/>
        <v>235.51962300771254</v>
      </c>
      <c r="U145" s="16">
        <f t="shared" si="109"/>
        <v>235.51962300771254</v>
      </c>
      <c r="V145" s="16">
        <f t="shared" si="109"/>
        <v>274.77289350899798</v>
      </c>
      <c r="W145" s="16">
        <f t="shared" si="109"/>
        <v>235.51962300771254</v>
      </c>
      <c r="X145" s="16">
        <f t="shared" si="109"/>
        <v>294.39952875964065</v>
      </c>
      <c r="Y145" s="246">
        <f>Y141/Y142</f>
        <v>254.36119284832958</v>
      </c>
      <c r="Z145" s="246">
        <f t="shared" si="109"/>
        <v>252.49930417959447</v>
      </c>
      <c r="AA145" s="16">
        <f>'Key Assumption'!AB306</f>
        <v>253.93046753600902</v>
      </c>
      <c r="AB145" s="16">
        <f>'Key Assumption'!AC306</f>
        <v>256.0831652711758</v>
      </c>
      <c r="AC145" s="16">
        <f>'Key Assumption'!AD306</f>
        <v>257.90272436948811</v>
      </c>
      <c r="AD145" s="16">
        <f>'Key Assumption'!AE306</f>
        <v>259.87533757919851</v>
      </c>
      <c r="AE145" s="23"/>
      <c r="AG145" s="322">
        <f t="shared" si="100"/>
        <v>0</v>
      </c>
    </row>
    <row r="146" spans="4:33" outlineLevel="1" x14ac:dyDescent="0.3">
      <c r="D146" s="3" t="s">
        <v>135</v>
      </c>
      <c r="I146" s="341"/>
      <c r="N146" s="15"/>
      <c r="O146" s="246">
        <v>2319.8580499999998</v>
      </c>
      <c r="P146" s="16">
        <f t="shared" ref="P146:X147" si="110">P70-P108</f>
        <v>745.53440024472025</v>
      </c>
      <c r="Q146" s="16">
        <f t="shared" si="110"/>
        <v>683.40653355766017</v>
      </c>
      <c r="R146" s="16">
        <f t="shared" si="110"/>
        <v>372.76720012236012</v>
      </c>
      <c r="S146" s="16">
        <f t="shared" si="110"/>
        <v>124.25573337412003</v>
      </c>
      <c r="T146" s="16">
        <f t="shared" si="110"/>
        <v>497.02293349648011</v>
      </c>
      <c r="U146" s="16">
        <f t="shared" si="110"/>
        <v>683.40653355766017</v>
      </c>
      <c r="V146" s="16">
        <f t="shared" si="110"/>
        <v>434.89506680942009</v>
      </c>
      <c r="W146" s="16">
        <f t="shared" si="110"/>
        <v>497.02293349648011</v>
      </c>
      <c r="X146" s="16">
        <f t="shared" si="110"/>
        <v>497.02293349648011</v>
      </c>
      <c r="Y146" s="246">
        <f>SUM(P146:X146)</f>
        <v>4535.3342681553813</v>
      </c>
      <c r="Z146" s="246">
        <f>Y146+O146</f>
        <v>6855.1923181553811</v>
      </c>
      <c r="AA146" s="119"/>
      <c r="AB146" s="119"/>
      <c r="AC146" s="119"/>
      <c r="AD146" s="119"/>
      <c r="AE146" s="23"/>
      <c r="AF146" s="327"/>
      <c r="AG146" s="322">
        <f t="shared" si="100"/>
        <v>0</v>
      </c>
    </row>
    <row r="147" spans="4:33" outlineLevel="1" x14ac:dyDescent="0.3">
      <c r="E147" s="3" t="s">
        <v>315</v>
      </c>
      <c r="I147" s="341"/>
      <c r="N147" s="15"/>
      <c r="O147" s="246">
        <v>18</v>
      </c>
      <c r="P147" s="16">
        <f t="shared" si="110"/>
        <v>6</v>
      </c>
      <c r="Q147" s="16">
        <f t="shared" si="110"/>
        <v>5</v>
      </c>
      <c r="R147" s="16">
        <f t="shared" si="110"/>
        <v>3</v>
      </c>
      <c r="S147" s="16">
        <f t="shared" si="110"/>
        <v>1</v>
      </c>
      <c r="T147" s="16">
        <f t="shared" si="110"/>
        <v>4</v>
      </c>
      <c r="U147" s="16">
        <f t="shared" si="110"/>
        <v>5</v>
      </c>
      <c r="V147" s="16">
        <f t="shared" si="110"/>
        <v>3</v>
      </c>
      <c r="W147" s="16">
        <f t="shared" si="110"/>
        <v>4</v>
      </c>
      <c r="X147" s="16">
        <f t="shared" si="110"/>
        <v>4</v>
      </c>
      <c r="Y147" s="246">
        <f>SUM(P147:X147)</f>
        <v>35</v>
      </c>
      <c r="Z147" s="246">
        <f>Y147+O147</f>
        <v>53</v>
      </c>
      <c r="AA147" s="119"/>
      <c r="AB147" s="119"/>
      <c r="AC147" s="119"/>
      <c r="AD147" s="119"/>
      <c r="AE147" s="23"/>
      <c r="AF147" s="327"/>
      <c r="AG147" s="322">
        <f t="shared" si="100"/>
        <v>0</v>
      </c>
    </row>
    <row r="148" spans="4:33" outlineLevel="1" x14ac:dyDescent="0.3">
      <c r="F148" s="3" t="s">
        <v>304</v>
      </c>
      <c r="I148" s="341"/>
      <c r="N148" s="15"/>
      <c r="O148" s="352"/>
      <c r="P148" s="117"/>
      <c r="Q148" s="117"/>
      <c r="R148" s="117"/>
      <c r="S148" s="117"/>
      <c r="T148" s="117"/>
      <c r="U148" s="117"/>
      <c r="V148" s="117"/>
      <c r="W148" s="117"/>
      <c r="X148" s="117"/>
      <c r="Y148" s="352"/>
      <c r="Z148" s="246">
        <f>Z72</f>
        <v>19</v>
      </c>
      <c r="AA148" s="119"/>
      <c r="AB148" s="119"/>
      <c r="AC148" s="119"/>
      <c r="AD148" s="119"/>
      <c r="AE148" s="23"/>
      <c r="AG148" s="322">
        <f t="shared" si="100"/>
        <v>0</v>
      </c>
    </row>
    <row r="149" spans="4:33" outlineLevel="1" x14ac:dyDescent="0.3">
      <c r="F149" s="3" t="s">
        <v>305</v>
      </c>
      <c r="I149" s="341"/>
      <c r="N149" s="15"/>
      <c r="O149" s="352"/>
      <c r="P149" s="117"/>
      <c r="Q149" s="117"/>
      <c r="R149" s="117"/>
      <c r="S149" s="117"/>
      <c r="T149" s="117"/>
      <c r="U149" s="117"/>
      <c r="V149" s="117"/>
      <c r="W149" s="117"/>
      <c r="X149" s="117"/>
      <c r="Y149" s="352"/>
      <c r="Z149" s="246">
        <f>Z147/Z148</f>
        <v>2.7894736842105261</v>
      </c>
      <c r="AA149" s="119"/>
      <c r="AB149" s="119"/>
      <c r="AC149" s="119"/>
      <c r="AD149" s="119"/>
      <c r="AE149" s="23"/>
      <c r="AG149" s="322">
        <f t="shared" si="100"/>
        <v>0</v>
      </c>
    </row>
    <row r="150" spans="4:33" outlineLevel="1" x14ac:dyDescent="0.3">
      <c r="E150" s="3" t="s">
        <v>316</v>
      </c>
      <c r="I150" s="341"/>
      <c r="N150" s="15"/>
      <c r="O150" s="246">
        <f>O146/O147</f>
        <v>128.88100277777778</v>
      </c>
      <c r="P150" s="16">
        <f t="shared" ref="P150:Z150" si="111">P146/P147</f>
        <v>124.25573337412004</v>
      </c>
      <c r="Q150" s="16">
        <f t="shared" si="111"/>
        <v>136.68130671153205</v>
      </c>
      <c r="R150" s="16">
        <f t="shared" si="111"/>
        <v>124.25573337412004</v>
      </c>
      <c r="S150" s="16">
        <f t="shared" si="111"/>
        <v>124.25573337412003</v>
      </c>
      <c r="T150" s="16">
        <f t="shared" si="111"/>
        <v>124.25573337412003</v>
      </c>
      <c r="U150" s="16">
        <f t="shared" si="111"/>
        <v>136.68130671153205</v>
      </c>
      <c r="V150" s="16">
        <f t="shared" si="111"/>
        <v>144.9650222698067</v>
      </c>
      <c r="W150" s="16">
        <f t="shared" si="111"/>
        <v>124.25573337412003</v>
      </c>
      <c r="X150" s="16">
        <f t="shared" si="111"/>
        <v>124.25573337412003</v>
      </c>
      <c r="Y150" s="246">
        <f>Y146/Y147</f>
        <v>129.58097909015376</v>
      </c>
      <c r="Z150" s="246">
        <f t="shared" si="111"/>
        <v>129.3432512859506</v>
      </c>
      <c r="AA150" s="119"/>
      <c r="AB150" s="119"/>
      <c r="AC150" s="119"/>
      <c r="AD150" s="119"/>
      <c r="AE150" s="23"/>
      <c r="AF150" s="327"/>
      <c r="AG150" s="322">
        <f t="shared" si="100"/>
        <v>0</v>
      </c>
    </row>
    <row r="151" spans="4:33" outlineLevel="1" x14ac:dyDescent="0.3">
      <c r="D151" s="3" t="s">
        <v>136</v>
      </c>
      <c r="I151" s="341"/>
      <c r="N151" s="15"/>
      <c r="O151" s="246">
        <f t="shared" ref="O151:AD151" si="112">O152+O154+O156</f>
        <v>6923.3035</v>
      </c>
      <c r="P151" s="16">
        <f t="shared" si="112"/>
        <v>1241.5190813784372</v>
      </c>
      <c r="Q151" s="16">
        <f t="shared" si="112"/>
        <v>1247.0826329569825</v>
      </c>
      <c r="R151" s="16">
        <f t="shared" si="112"/>
        <v>1249.5185295650194</v>
      </c>
      <c r="S151" s="16">
        <f t="shared" si="112"/>
        <v>1047.9538980631839</v>
      </c>
      <c r="T151" s="16">
        <f t="shared" si="112"/>
        <v>1153.1417391506848</v>
      </c>
      <c r="U151" s="16">
        <f t="shared" si="112"/>
        <v>1133.3817824177038</v>
      </c>
      <c r="V151" s="16">
        <f t="shared" si="112"/>
        <v>1141.2782086963193</v>
      </c>
      <c r="W151" s="16">
        <f t="shared" si="112"/>
        <v>1108.8219397891276</v>
      </c>
      <c r="X151" s="16">
        <f t="shared" si="112"/>
        <v>965.22137552848244</v>
      </c>
      <c r="Y151" s="246">
        <f t="shared" si="112"/>
        <v>10287.91918754594</v>
      </c>
      <c r="Z151" s="246">
        <f>Y151+O151</f>
        <v>17211.222687545938</v>
      </c>
      <c r="AA151" s="16">
        <f t="shared" si="112"/>
        <v>14354.454114552404</v>
      </c>
      <c r="AB151" s="16">
        <f t="shared" si="112"/>
        <v>16380.994512150421</v>
      </c>
      <c r="AC151" s="16">
        <f t="shared" si="112"/>
        <v>18149.276399871269</v>
      </c>
      <c r="AD151" s="16">
        <f t="shared" si="112"/>
        <v>20356.150696007549</v>
      </c>
      <c r="AE151" s="23"/>
      <c r="AF151" s="327"/>
      <c r="AG151" s="322">
        <f t="shared" si="100"/>
        <v>0</v>
      </c>
    </row>
    <row r="152" spans="4:33" ht="12.75" outlineLevel="1" thickBot="1" x14ac:dyDescent="0.35">
      <c r="E152" s="3" t="s">
        <v>307</v>
      </c>
      <c r="I152" s="341"/>
      <c r="N152" s="15"/>
      <c r="O152" s="246">
        <v>3043.8927518938526</v>
      </c>
      <c r="P152" s="16">
        <f t="shared" ref="P152:X152" si="113">P76-P114</f>
        <v>684.72609812396695</v>
      </c>
      <c r="Q152" s="16">
        <f>Q76-Q114</f>
        <v>687.79452374966024</v>
      </c>
      <c r="R152" s="16">
        <f t="shared" si="113"/>
        <v>689.13797630296494</v>
      </c>
      <c r="S152" s="16">
        <f t="shared" si="113"/>
        <v>577.97048341609809</v>
      </c>
      <c r="T152" s="16">
        <f t="shared" si="113"/>
        <v>635.98397759289355</v>
      </c>
      <c r="U152" s="16">
        <f t="shared" si="113"/>
        <v>625.08591063942379</v>
      </c>
      <c r="V152" s="16">
        <f t="shared" si="113"/>
        <v>629.4409698857761</v>
      </c>
      <c r="W152" s="16">
        <f t="shared" si="113"/>
        <v>611.54059710712397</v>
      </c>
      <c r="X152" s="16">
        <f t="shared" si="113"/>
        <v>532.34160972996608</v>
      </c>
      <c r="Y152" s="246">
        <f>SUM(P152:X152)</f>
        <v>5674.0221465478735</v>
      </c>
      <c r="Z152" s="246">
        <f>Y152+O152</f>
        <v>8717.9148984417261</v>
      </c>
      <c r="AA152" s="16">
        <f>SUM(AA$141,AA$136,AA$131,AA$126)*AA153</f>
        <v>7916.8089351024446</v>
      </c>
      <c r="AB152" s="16">
        <f>SUM(AB$141,AB$136,AB$131,AB$126)*AB153</f>
        <v>9034.4921990577823</v>
      </c>
      <c r="AC152" s="16">
        <f>SUM(AC$141,AC$136,AC$131,AC$126)*AC153</f>
        <v>10009.740002754894</v>
      </c>
      <c r="AD152" s="16">
        <f>SUM(AD$141,AD$136,AD$131,AD$126)*AD153</f>
        <v>11226.881525997307</v>
      </c>
      <c r="AE152" s="23"/>
      <c r="AF152" s="327"/>
      <c r="AG152" s="322">
        <f t="shared" si="100"/>
        <v>0</v>
      </c>
    </row>
    <row r="153" spans="4:33" ht="12.75" outlineLevel="1" thickBot="1" x14ac:dyDescent="0.35">
      <c r="F153" s="3" t="s">
        <v>317</v>
      </c>
      <c r="I153" s="339">
        <f>$I77</f>
        <v>0.10241497451457675</v>
      </c>
      <c r="J153" s="349">
        <f>I153</f>
        <v>0.10241497451457675</v>
      </c>
      <c r="N153" s="15"/>
      <c r="O153" s="350">
        <f>O152/SUM(O$146,O$141,O$136,O$131,O$126)</f>
        <v>0.13397681701671571</v>
      </c>
      <c r="P153" s="17">
        <f t="shared" ref="P153:Z153" si="114">P152/SUM(P$146,P$141,P$136,P$131,P$126)</f>
        <v>0.10241497451457673</v>
      </c>
      <c r="Q153" s="17">
        <f t="shared" si="114"/>
        <v>0.10241497451457676</v>
      </c>
      <c r="R153" s="17">
        <f t="shared" si="114"/>
        <v>0.10241497451457675</v>
      </c>
      <c r="S153" s="17">
        <f t="shared" si="114"/>
        <v>0.10241497451457673</v>
      </c>
      <c r="T153" s="17">
        <f t="shared" si="114"/>
        <v>0.10241497451457678</v>
      </c>
      <c r="U153" s="17">
        <f t="shared" si="114"/>
        <v>0.10241497451457675</v>
      </c>
      <c r="V153" s="17">
        <f t="shared" si="114"/>
        <v>0.10241497451457672</v>
      </c>
      <c r="W153" s="17">
        <f t="shared" si="114"/>
        <v>0.10241497451457678</v>
      </c>
      <c r="X153" s="17">
        <f t="shared" si="114"/>
        <v>0.10241497451457676</v>
      </c>
      <c r="Y153" s="350">
        <f t="shared" si="114"/>
        <v>0.10241497451457673</v>
      </c>
      <c r="Z153" s="350">
        <f t="shared" si="114"/>
        <v>0.11159385452119354</v>
      </c>
      <c r="AA153" s="17">
        <f>$J153</f>
        <v>0.10241497451457675</v>
      </c>
      <c r="AB153" s="17">
        <f>$J153</f>
        <v>0.10241497451457675</v>
      </c>
      <c r="AC153" s="17">
        <f>$J153</f>
        <v>0.10241497451457675</v>
      </c>
      <c r="AD153" s="17">
        <f>$J153</f>
        <v>0.10241497451457675</v>
      </c>
      <c r="AE153" s="23"/>
      <c r="AG153" s="322">
        <f t="shared" si="100"/>
        <v>0</v>
      </c>
    </row>
    <row r="154" spans="4:33" ht="12.75" outlineLevel="1" thickBot="1" x14ac:dyDescent="0.35">
      <c r="E154" s="3" t="s">
        <v>309</v>
      </c>
      <c r="I154" s="341"/>
      <c r="J154" s="341"/>
      <c r="N154" s="15"/>
      <c r="O154" s="246">
        <v>2263.1696999999999</v>
      </c>
      <c r="P154" s="16">
        <f t="shared" ref="P154:X154" si="115">P78-P116</f>
        <v>306.45656157116201</v>
      </c>
      <c r="Q154" s="16">
        <f t="shared" si="115"/>
        <v>307.82986860482572</v>
      </c>
      <c r="R154" s="16">
        <f t="shared" si="115"/>
        <v>308.43114530692282</v>
      </c>
      <c r="S154" s="16">
        <f t="shared" si="115"/>
        <v>258.6769330431631</v>
      </c>
      <c r="T154" s="16">
        <f t="shared" si="115"/>
        <v>284.64149901904705</v>
      </c>
      <c r="U154" s="16">
        <f t="shared" si="115"/>
        <v>279.76395143398622</v>
      </c>
      <c r="V154" s="16">
        <f t="shared" si="115"/>
        <v>281.71310524268802</v>
      </c>
      <c r="W154" s="16">
        <f t="shared" si="115"/>
        <v>273.70160004722726</v>
      </c>
      <c r="X154" s="16">
        <f t="shared" si="115"/>
        <v>238.25523774554159</v>
      </c>
      <c r="Y154" s="246">
        <f>SUM(P154:X154)</f>
        <v>2539.469902014564</v>
      </c>
      <c r="Z154" s="246">
        <f>Y154+O154</f>
        <v>4802.6396020145639</v>
      </c>
      <c r="AA154" s="16">
        <f>SUM(AA$141,AA$136,AA$131,AA$126)*AA155</f>
        <v>3543.2533556331614</v>
      </c>
      <c r="AB154" s="16">
        <f>SUM(AB$141,AB$136,AB$131,AB$126)*AB155</f>
        <v>4043.4845735403451</v>
      </c>
      <c r="AC154" s="16">
        <f>SUM(AC$141,AC$136,AC$131,AC$126)*AC155</f>
        <v>4479.967262632671</v>
      </c>
      <c r="AD154" s="16">
        <f>SUM(AD$141,AD$136,AD$131,AD$126)*AD155</f>
        <v>5024.7120988238366</v>
      </c>
      <c r="AE154" s="23"/>
      <c r="AF154" s="327"/>
      <c r="AG154" s="322">
        <f t="shared" si="100"/>
        <v>0</v>
      </c>
    </row>
    <row r="155" spans="4:33" ht="12.75" outlineLevel="1" thickBot="1" x14ac:dyDescent="0.35">
      <c r="F155" s="3" t="s">
        <v>317</v>
      </c>
      <c r="I155" s="339">
        <f>$I79</f>
        <v>4.5836928122247655E-2</v>
      </c>
      <c r="J155" s="349">
        <f>I155</f>
        <v>4.5836928122247655E-2</v>
      </c>
      <c r="N155" s="15"/>
      <c r="O155" s="350">
        <f>O154/SUM(O$146,O$141,O$136,O$131,O$126)</f>
        <v>9.9613323296631404E-2</v>
      </c>
      <c r="P155" s="17">
        <f t="shared" ref="P155:Z155" si="116">P154/SUM(P$146,P$141,P$136,P$131,P$126)</f>
        <v>4.5836928122247662E-2</v>
      </c>
      <c r="Q155" s="17">
        <f t="shared" si="116"/>
        <v>4.5836928122247662E-2</v>
      </c>
      <c r="R155" s="17">
        <f t="shared" si="116"/>
        <v>4.5836928122247662E-2</v>
      </c>
      <c r="S155" s="17">
        <f t="shared" si="116"/>
        <v>4.5836928122247662E-2</v>
      </c>
      <c r="T155" s="17">
        <f t="shared" si="116"/>
        <v>4.5836928122247669E-2</v>
      </c>
      <c r="U155" s="17">
        <f t="shared" si="116"/>
        <v>4.5836928122247649E-2</v>
      </c>
      <c r="V155" s="17">
        <f t="shared" si="116"/>
        <v>4.5836928122247642E-2</v>
      </c>
      <c r="W155" s="17">
        <f t="shared" si="116"/>
        <v>4.5836928122247669E-2</v>
      </c>
      <c r="X155" s="17">
        <f t="shared" si="116"/>
        <v>4.5836928122247655E-2</v>
      </c>
      <c r="Y155" s="350">
        <f t="shared" si="116"/>
        <v>4.5836928122247655E-2</v>
      </c>
      <c r="Z155" s="350">
        <f t="shared" si="116"/>
        <v>6.1476290065728099E-2</v>
      </c>
      <c r="AA155" s="17">
        <f>$J155</f>
        <v>4.5836928122247655E-2</v>
      </c>
      <c r="AB155" s="17">
        <f>$J155</f>
        <v>4.5836928122247655E-2</v>
      </c>
      <c r="AC155" s="17">
        <f>$J155</f>
        <v>4.5836928122247655E-2</v>
      </c>
      <c r="AD155" s="17">
        <f>$J155</f>
        <v>4.5836928122247655E-2</v>
      </c>
      <c r="AE155" s="23"/>
      <c r="AG155" s="322">
        <f t="shared" si="100"/>
        <v>0</v>
      </c>
    </row>
    <row r="156" spans="4:33" ht="12.75" outlineLevel="1" thickBot="1" x14ac:dyDescent="0.35">
      <c r="E156" s="3" t="s">
        <v>310</v>
      </c>
      <c r="I156" s="341"/>
      <c r="J156" s="341"/>
      <c r="N156" s="15"/>
      <c r="O156" s="246">
        <v>1616.2410481061472</v>
      </c>
      <c r="P156" s="16">
        <f t="shared" ref="P156:X156" si="117">P80-P118</f>
        <v>250.33642168330834</v>
      </c>
      <c r="Q156" s="16">
        <f t="shared" si="117"/>
        <v>251.45824060249652</v>
      </c>
      <c r="R156" s="16">
        <f t="shared" si="117"/>
        <v>251.94940795513151</v>
      </c>
      <c r="S156" s="16">
        <f t="shared" si="117"/>
        <v>211.3064816039228</v>
      </c>
      <c r="T156" s="16">
        <f t="shared" si="117"/>
        <v>232.51626253874429</v>
      </c>
      <c r="U156" s="16">
        <f t="shared" si="117"/>
        <v>228.53192034429384</v>
      </c>
      <c r="V156" s="16">
        <f t="shared" si="117"/>
        <v>230.12413356785532</v>
      </c>
      <c r="W156" s="16">
        <f t="shared" si="117"/>
        <v>223.5797426347763</v>
      </c>
      <c r="X156" s="16">
        <f t="shared" si="117"/>
        <v>194.62452805297468</v>
      </c>
      <c r="Y156" s="246">
        <f>SUM(P156:X156)</f>
        <v>2074.4271389835035</v>
      </c>
      <c r="Z156" s="246">
        <f>Y156+O156</f>
        <v>3690.6681870896509</v>
      </c>
      <c r="AA156" s="16">
        <f>SUM(AA$141,AA$136,AA$131,AA$126)*AA157</f>
        <v>2894.3918238167976</v>
      </c>
      <c r="AB156" s="16">
        <f>SUM(AB$141,AB$136,AB$131,AB$126)*AB157</f>
        <v>3303.0177395522942</v>
      </c>
      <c r="AC156" s="16">
        <f>SUM(AC$141,AC$136,AC$131,AC$126)*AC157</f>
        <v>3659.5691344837023</v>
      </c>
      <c r="AD156" s="16">
        <f>SUM(AD$141,AD$136,AD$131,AD$126)*AD157</f>
        <v>4104.5570711864057</v>
      </c>
      <c r="AE156" s="23"/>
      <c r="AF156" s="327"/>
      <c r="AG156" s="322">
        <f t="shared" si="100"/>
        <v>0</v>
      </c>
    </row>
    <row r="157" spans="4:33" ht="12.75" outlineLevel="1" thickBot="1" x14ac:dyDescent="0.35">
      <c r="F157" s="3" t="s">
        <v>317</v>
      </c>
      <c r="I157" s="339">
        <f>$I81</f>
        <v>3.7442998473419746E-2</v>
      </c>
      <c r="J157" s="349">
        <f>I157</f>
        <v>3.7442998473419746E-2</v>
      </c>
      <c r="N157" s="15"/>
      <c r="O157" s="350">
        <f>O156/SUM(O$146,O$141,O$136,O$131,O$126)</f>
        <v>7.1138784709906658E-2</v>
      </c>
      <c r="P157" s="17">
        <f t="shared" ref="P157:Z157" si="118">P156/SUM(P$146,P$141,P$136,P$131,P$126)</f>
        <v>3.7442998473419753E-2</v>
      </c>
      <c r="Q157" s="17">
        <f t="shared" si="118"/>
        <v>3.7442998473419753E-2</v>
      </c>
      <c r="R157" s="17">
        <f t="shared" si="118"/>
        <v>3.7442998473419753E-2</v>
      </c>
      <c r="S157" s="17">
        <f t="shared" si="118"/>
        <v>3.7442998473419746E-2</v>
      </c>
      <c r="T157" s="17">
        <f t="shared" si="118"/>
        <v>3.744299847341976E-2</v>
      </c>
      <c r="U157" s="17">
        <f t="shared" si="118"/>
        <v>3.7442998473419746E-2</v>
      </c>
      <c r="V157" s="17">
        <f t="shared" si="118"/>
        <v>3.7442998473419739E-2</v>
      </c>
      <c r="W157" s="17">
        <f t="shared" si="118"/>
        <v>3.7442998473419753E-2</v>
      </c>
      <c r="X157" s="17">
        <f t="shared" si="118"/>
        <v>3.7442998473419753E-2</v>
      </c>
      <c r="Y157" s="350">
        <f t="shared" si="118"/>
        <v>3.7442998473419739E-2</v>
      </c>
      <c r="Z157" s="350">
        <f t="shared" si="118"/>
        <v>4.7242476389589019E-2</v>
      </c>
      <c r="AA157" s="17">
        <f>$J157</f>
        <v>3.7442998473419746E-2</v>
      </c>
      <c r="AB157" s="17">
        <f>$J157</f>
        <v>3.7442998473419746E-2</v>
      </c>
      <c r="AC157" s="17">
        <f>$J157</f>
        <v>3.7442998473419746E-2</v>
      </c>
      <c r="AD157" s="17">
        <f>$J157</f>
        <v>3.7442998473419746E-2</v>
      </c>
      <c r="AE157" s="23"/>
      <c r="AG157" s="322">
        <f t="shared" si="100"/>
        <v>0</v>
      </c>
    </row>
    <row r="158" spans="4:33" outlineLevel="1" x14ac:dyDescent="0.3">
      <c r="E158" s="3" t="s">
        <v>311</v>
      </c>
      <c r="I158" s="341"/>
      <c r="N158" s="15"/>
      <c r="O158" s="306"/>
      <c r="P158" s="119"/>
      <c r="Q158" s="119"/>
      <c r="R158" s="119"/>
      <c r="S158" s="119"/>
      <c r="T158" s="119"/>
      <c r="U158" s="119"/>
      <c r="V158" s="119"/>
      <c r="W158" s="119"/>
      <c r="X158" s="119"/>
      <c r="Y158" s="306"/>
      <c r="Z158" s="306"/>
      <c r="AA158" s="119"/>
      <c r="AB158" s="119"/>
      <c r="AC158" s="61"/>
      <c r="AD158" s="61"/>
      <c r="AE158" s="23"/>
      <c r="AF158" s="327"/>
      <c r="AG158" s="322">
        <f t="shared" si="100"/>
        <v>0</v>
      </c>
    </row>
    <row r="159" spans="4:33" outlineLevel="1" x14ac:dyDescent="0.3">
      <c r="F159" s="3" t="s">
        <v>318</v>
      </c>
      <c r="I159" s="3"/>
      <c r="N159" s="15"/>
      <c r="O159" s="306"/>
      <c r="P159" s="119"/>
      <c r="Q159" s="119"/>
      <c r="R159" s="119"/>
      <c r="S159" s="119"/>
      <c r="T159" s="119"/>
      <c r="U159" s="119"/>
      <c r="V159" s="119"/>
      <c r="W159" s="119"/>
      <c r="X159" s="119"/>
      <c r="Y159" s="306"/>
      <c r="Z159" s="306"/>
      <c r="AA159" s="119"/>
      <c r="AB159" s="119"/>
      <c r="AC159" s="61"/>
      <c r="AD159" s="61"/>
      <c r="AE159" s="23"/>
      <c r="AG159" s="322">
        <f t="shared" si="100"/>
        <v>0</v>
      </c>
    </row>
    <row r="160" spans="4:33" outlineLevel="1" x14ac:dyDescent="0.3">
      <c r="F160" s="3" t="s">
        <v>319</v>
      </c>
      <c r="I160" s="3"/>
      <c r="N160" s="15"/>
      <c r="O160" s="306"/>
      <c r="P160" s="119"/>
      <c r="Q160" s="119"/>
      <c r="R160" s="119"/>
      <c r="S160" s="119"/>
      <c r="T160" s="119"/>
      <c r="U160" s="119"/>
      <c r="V160" s="119"/>
      <c r="W160" s="119"/>
      <c r="X160" s="119"/>
      <c r="Y160" s="306"/>
      <c r="Z160" s="306"/>
      <c r="AA160" s="119"/>
      <c r="AB160" s="119"/>
      <c r="AC160" s="61"/>
      <c r="AD160" s="61"/>
      <c r="AE160" s="23"/>
      <c r="AG160" s="322">
        <f t="shared" si="100"/>
        <v>0</v>
      </c>
    </row>
    <row r="161" spans="1:33" outlineLevel="1" x14ac:dyDescent="0.3">
      <c r="E161" s="3" t="s">
        <v>314</v>
      </c>
      <c r="I161" s="3"/>
      <c r="N161" s="15"/>
      <c r="O161" s="306"/>
      <c r="P161" s="119"/>
      <c r="Q161" s="119"/>
      <c r="R161" s="119"/>
      <c r="S161" s="119"/>
      <c r="T161" s="119"/>
      <c r="U161" s="119"/>
      <c r="V161" s="119"/>
      <c r="W161" s="119"/>
      <c r="X161" s="119"/>
      <c r="Y161" s="306"/>
      <c r="Z161" s="306"/>
      <c r="AA161" s="119"/>
      <c r="AB161" s="119"/>
      <c r="AC161" s="61"/>
      <c r="AD161" s="61"/>
      <c r="AE161" s="23"/>
      <c r="AF161" s="327"/>
      <c r="AG161" s="322">
        <f t="shared" si="100"/>
        <v>0</v>
      </c>
    </row>
    <row r="162" spans="1:33" outlineLevel="1" x14ac:dyDescent="0.3">
      <c r="B162" s="92"/>
      <c r="C162" s="92"/>
      <c r="D162" s="92"/>
      <c r="E162" s="92" t="s">
        <v>105</v>
      </c>
      <c r="F162" s="92"/>
      <c r="G162" s="92"/>
      <c r="H162" s="92"/>
      <c r="I162" s="295"/>
      <c r="J162" s="92"/>
      <c r="K162" s="92"/>
      <c r="L162" s="92"/>
      <c r="M162" s="92"/>
      <c r="N162" s="131"/>
      <c r="O162" s="315"/>
      <c r="P162" s="281"/>
      <c r="Q162" s="281"/>
      <c r="R162" s="281"/>
      <c r="S162" s="281"/>
      <c r="T162" s="281"/>
      <c r="U162" s="281"/>
      <c r="V162" s="281"/>
      <c r="W162" s="281"/>
      <c r="X162" s="281"/>
      <c r="Y162" s="315"/>
      <c r="Z162" s="315"/>
      <c r="AA162" s="281"/>
      <c r="AB162" s="281"/>
      <c r="AC162" s="269"/>
      <c r="AD162" s="269"/>
      <c r="AE162" s="23"/>
      <c r="AF162" s="327"/>
      <c r="AG162" s="322">
        <f t="shared" si="100"/>
        <v>0</v>
      </c>
    </row>
    <row r="163" spans="1:33" x14ac:dyDescent="0.3">
      <c r="AE163" s="23"/>
    </row>
    <row r="164" spans="1:33" x14ac:dyDescent="0.3">
      <c r="A164" s="4"/>
      <c r="B164" s="5" t="s">
        <v>320</v>
      </c>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23"/>
    </row>
    <row r="165" spans="1:33" x14ac:dyDescent="0.3">
      <c r="AA165" s="17"/>
      <c r="AB165" s="17"/>
      <c r="AC165" s="17"/>
      <c r="AD165" s="17"/>
      <c r="AE165" s="23"/>
    </row>
    <row r="166" spans="1:33" x14ac:dyDescent="0.3">
      <c r="B166" s="8"/>
      <c r="C166" s="8"/>
      <c r="D166" s="8"/>
      <c r="E166" s="8"/>
      <c r="F166" s="8"/>
      <c r="G166" s="8"/>
      <c r="H166" s="8"/>
      <c r="I166" s="325"/>
      <c r="J166" s="8"/>
      <c r="K166" s="8"/>
      <c r="L166" s="9" t="s">
        <v>182</v>
      </c>
      <c r="M166" s="9" t="s">
        <v>183</v>
      </c>
      <c r="N166" s="10" t="s">
        <v>184</v>
      </c>
      <c r="O166" s="244" t="s">
        <v>293</v>
      </c>
      <c r="P166" s="9" t="s">
        <v>215</v>
      </c>
      <c r="Q166" s="9" t="s">
        <v>216</v>
      </c>
      <c r="R166" s="9" t="s">
        <v>217</v>
      </c>
      <c r="S166" s="9" t="s">
        <v>218</v>
      </c>
      <c r="T166" s="9" t="s">
        <v>219</v>
      </c>
      <c r="U166" s="9" t="s">
        <v>220</v>
      </c>
      <c r="V166" s="9" t="s">
        <v>221</v>
      </c>
      <c r="W166" s="9" t="s">
        <v>222</v>
      </c>
      <c r="X166" s="9" t="s">
        <v>223</v>
      </c>
      <c r="Y166" s="244" t="s">
        <v>294</v>
      </c>
      <c r="Z166" s="244" t="s">
        <v>197</v>
      </c>
      <c r="AA166" s="9" t="s">
        <v>198</v>
      </c>
      <c r="AB166" s="9" t="s">
        <v>199</v>
      </c>
      <c r="AC166" s="9" t="s">
        <v>200</v>
      </c>
      <c r="AD166" s="9" t="s">
        <v>201</v>
      </c>
      <c r="AE166" s="23"/>
    </row>
    <row r="167" spans="1:33" s="11" customFormat="1" x14ac:dyDescent="0.3">
      <c r="B167" s="11" t="s">
        <v>16</v>
      </c>
      <c r="I167" s="288"/>
      <c r="L167" s="13"/>
      <c r="M167" s="13"/>
      <c r="N167" s="124"/>
      <c r="O167" s="326">
        <f>O168+O169+O170+O171+O172</f>
        <v>16151.038909999999</v>
      </c>
      <c r="P167" s="13">
        <f t="shared" ref="P167:AD167" si="119">P168+P169+P170+P171+P172</f>
        <v>4029.1141634731925</v>
      </c>
      <c r="Q167" s="13">
        <f t="shared" si="119"/>
        <v>3985.5460480039887</v>
      </c>
      <c r="R167" s="13">
        <f t="shared" si="119"/>
        <v>5271.1353733534424</v>
      </c>
      <c r="S167" s="13">
        <f t="shared" si="119"/>
        <v>4023.8946054905432</v>
      </c>
      <c r="T167" s="13">
        <f t="shared" si="119"/>
        <v>3887.8391639445158</v>
      </c>
      <c r="U167" s="13">
        <f t="shared" si="119"/>
        <v>4352.3323224614005</v>
      </c>
      <c r="V167" s="13">
        <f t="shared" si="119"/>
        <v>3853.2826967344067</v>
      </c>
      <c r="W167" s="13">
        <f t="shared" si="119"/>
        <v>5092.6546407690776</v>
      </c>
      <c r="X167" s="13">
        <f t="shared" si="119"/>
        <v>5841.7784637670547</v>
      </c>
      <c r="Y167" s="326">
        <f t="shared" si="119"/>
        <v>40337.57747799762</v>
      </c>
      <c r="Z167" s="326">
        <f t="shared" si="119"/>
        <v>56488.616387997623</v>
      </c>
      <c r="AA167" s="13">
        <f t="shared" si="119"/>
        <v>49213.365216195329</v>
      </c>
      <c r="AB167" s="13">
        <f t="shared" si="119"/>
        <v>53049.401578407924</v>
      </c>
      <c r="AC167" s="13">
        <f t="shared" si="119"/>
        <v>58244.454330210785</v>
      </c>
      <c r="AD167" s="13">
        <f t="shared" si="119"/>
        <v>65105.51516786452</v>
      </c>
      <c r="AE167" s="160"/>
      <c r="AF167" s="327"/>
      <c r="AG167" s="328"/>
    </row>
    <row r="168" spans="1:33" x14ac:dyDescent="0.3">
      <c r="B168" s="11"/>
      <c r="C168" s="3" t="s">
        <v>235</v>
      </c>
      <c r="L168" s="16"/>
      <c r="M168" s="16"/>
      <c r="N168" s="15"/>
      <c r="O168" s="246">
        <f>O176</f>
        <v>3437.658496</v>
      </c>
      <c r="P168" s="16">
        <f t="shared" ref="P168:X168" si="120">P176</f>
        <v>1337.5352510855696</v>
      </c>
      <c r="Q168" s="16">
        <f t="shared" si="120"/>
        <v>1365.0806133492426</v>
      </c>
      <c r="R168" s="16">
        <f t="shared" si="120"/>
        <v>1271.1050572130264</v>
      </c>
      <c r="S168" s="16">
        <f t="shared" si="120"/>
        <v>976.94435752704965</v>
      </c>
      <c r="T168" s="16">
        <f t="shared" si="120"/>
        <v>1124.7915054870723</v>
      </c>
      <c r="U168" s="16">
        <f t="shared" si="120"/>
        <v>1089.8551720359146</v>
      </c>
      <c r="V168" s="16">
        <f t="shared" si="120"/>
        <v>1384.2405767094945</v>
      </c>
      <c r="W168" s="16">
        <f t="shared" si="120"/>
        <v>1159.24605883807</v>
      </c>
      <c r="X168" s="16">
        <f t="shared" si="120"/>
        <v>1511.9490047080897</v>
      </c>
      <c r="Y168" s="246">
        <f>SUM(P168:X168)</f>
        <v>11220.747596953528</v>
      </c>
      <c r="Z168" s="246">
        <f>Z176</f>
        <v>14658.40609295353</v>
      </c>
      <c r="AA168" s="16">
        <f>AA176</f>
        <v>13764.492947087592</v>
      </c>
      <c r="AB168" s="16">
        <f>AB176</f>
        <v>15164.307588226286</v>
      </c>
      <c r="AC168" s="16">
        <f>AC176</f>
        <v>16868.061939511601</v>
      </c>
      <c r="AD168" s="16">
        <f>AD176</f>
        <v>19300.72979288215</v>
      </c>
      <c r="AE168" s="151"/>
      <c r="AF168" s="327"/>
    </row>
    <row r="169" spans="1:33" x14ac:dyDescent="0.3">
      <c r="C169" s="3" t="s">
        <v>236</v>
      </c>
      <c r="L169" s="16"/>
      <c r="M169" s="16"/>
      <c r="N169" s="15"/>
      <c r="O169" s="246">
        <f>O219</f>
        <v>9540.918932999999</v>
      </c>
      <c r="P169" s="16">
        <f t="shared" ref="P169:X169" si="121">P219</f>
        <v>2071.6177250446126</v>
      </c>
      <c r="Q169" s="16">
        <f t="shared" si="121"/>
        <v>1886.188430687344</v>
      </c>
      <c r="R169" s="16">
        <f t="shared" si="121"/>
        <v>2939.7359761993812</v>
      </c>
      <c r="S169" s="16">
        <f t="shared" si="121"/>
        <v>2207.4775760149987</v>
      </c>
      <c r="T169" s="16">
        <f t="shared" si="121"/>
        <v>1725.5303258330803</v>
      </c>
      <c r="U169" s="16">
        <f t="shared" si="121"/>
        <v>2320.4200116349898</v>
      </c>
      <c r="V169" s="16">
        <f t="shared" si="121"/>
        <v>1365.4360078453178</v>
      </c>
      <c r="W169" s="16">
        <f t="shared" si="121"/>
        <v>2789.5925462112023</v>
      </c>
      <c r="X169" s="16">
        <f t="shared" si="121"/>
        <v>2731.9250879170131</v>
      </c>
      <c r="Y169" s="246">
        <f>SUM(P169:X169)</f>
        <v>20037.923687387938</v>
      </c>
      <c r="Z169" s="246">
        <f>Z219</f>
        <v>29578.842620387943</v>
      </c>
      <c r="AA169" s="16">
        <f>AA219</f>
        <v>25275.537569932709</v>
      </c>
      <c r="AB169" s="16">
        <f>AB219</f>
        <v>27138.0797274945</v>
      </c>
      <c r="AC169" s="16">
        <f>AC219</f>
        <v>30483.237564952298</v>
      </c>
      <c r="AD169" s="16">
        <f>AD219</f>
        <v>32805.240124746299</v>
      </c>
      <c r="AE169" s="151"/>
      <c r="AF169" s="327"/>
    </row>
    <row r="170" spans="1:33" x14ac:dyDescent="0.3">
      <c r="C170" s="3" t="s">
        <v>237</v>
      </c>
      <c r="L170" s="16"/>
      <c r="M170" s="16"/>
      <c r="N170" s="15"/>
      <c r="O170" s="246">
        <f>O262</f>
        <v>721.23504000000003</v>
      </c>
      <c r="P170" s="16">
        <f t="shared" ref="P170:X170" si="122">P262</f>
        <v>287.90914556357745</v>
      </c>
      <c r="Q170" s="16">
        <f t="shared" si="122"/>
        <v>453.61967473146581</v>
      </c>
      <c r="R170" s="16">
        <f t="shared" si="122"/>
        <v>607.21484956055178</v>
      </c>
      <c r="S170" s="16">
        <f t="shared" si="122"/>
        <v>361.22692280673738</v>
      </c>
      <c r="T170" s="16">
        <f t="shared" si="122"/>
        <v>385.97280582814852</v>
      </c>
      <c r="U170" s="16">
        <f t="shared" si="122"/>
        <v>360.78889780673734</v>
      </c>
      <c r="V170" s="16">
        <f t="shared" si="122"/>
        <v>460.95229158167155</v>
      </c>
      <c r="W170" s="16">
        <f t="shared" si="122"/>
        <v>818.91212474644408</v>
      </c>
      <c r="X170" s="16">
        <f t="shared" si="122"/>
        <v>783.83505350617816</v>
      </c>
      <c r="Y170" s="246">
        <f>SUM(P170:X170)</f>
        <v>4520.4317661315117</v>
      </c>
      <c r="Z170" s="246">
        <f>Z262</f>
        <v>5241.6668061315113</v>
      </c>
      <c r="AA170" s="16">
        <f>AA262</f>
        <v>4613.3006575433765</v>
      </c>
      <c r="AB170" s="16">
        <f>AB262</f>
        <v>4786.9140345130709</v>
      </c>
      <c r="AC170" s="16">
        <f>AC262</f>
        <v>4915.4546485499231</v>
      </c>
      <c r="AD170" s="16">
        <f>AD262</f>
        <v>5344.414352791493</v>
      </c>
      <c r="AE170" s="151"/>
      <c r="AF170" s="327"/>
    </row>
    <row r="171" spans="1:33" x14ac:dyDescent="0.3">
      <c r="C171" s="3" t="s">
        <v>238</v>
      </c>
      <c r="L171" s="16"/>
      <c r="M171" s="16"/>
      <c r="N171" s="15"/>
      <c r="O171" s="246">
        <f>O305</f>
        <v>583.54706900000008</v>
      </c>
      <c r="P171" s="16">
        <f t="shared" ref="P171:X171" si="123">P305</f>
        <v>160.81458063488481</v>
      </c>
      <c r="Q171" s="16">
        <f t="shared" si="123"/>
        <v>159.62409063488479</v>
      </c>
      <c r="R171" s="16">
        <f t="shared" si="123"/>
        <v>161.30109063488484</v>
      </c>
      <c r="S171" s="16">
        <f t="shared" si="123"/>
        <v>358.47078595373819</v>
      </c>
      <c r="T171" s="16">
        <f t="shared" si="123"/>
        <v>652.068526796215</v>
      </c>
      <c r="U171" s="16">
        <f t="shared" si="123"/>
        <v>355.26718595373825</v>
      </c>
      <c r="V171" s="16">
        <f t="shared" si="123"/>
        <v>478.01450364956202</v>
      </c>
      <c r="W171" s="16">
        <f t="shared" si="123"/>
        <v>153.89170149861516</v>
      </c>
      <c r="X171" s="16">
        <f t="shared" si="123"/>
        <v>816.72331763577336</v>
      </c>
      <c r="Y171" s="246">
        <f>SUM(P171:X171)</f>
        <v>3296.1757833922957</v>
      </c>
      <c r="Z171" s="246">
        <f>Z305</f>
        <v>3879.7228523922963</v>
      </c>
      <c r="AA171" s="16">
        <f>AA305</f>
        <v>3409.3778095676676</v>
      </c>
      <c r="AB171" s="16">
        <f>AB305</f>
        <v>3536.4716736370451</v>
      </c>
      <c r="AC171" s="16">
        <f>AC305</f>
        <v>3543.2234760178521</v>
      </c>
      <c r="AD171" s="16">
        <f>AD305</f>
        <v>4949.350798903326</v>
      </c>
      <c r="AE171" s="151"/>
      <c r="AF171" s="327"/>
    </row>
    <row r="172" spans="1:33" x14ac:dyDescent="0.3">
      <c r="B172" s="92"/>
      <c r="C172" s="92" t="s">
        <v>136</v>
      </c>
      <c r="D172" s="92"/>
      <c r="E172" s="92"/>
      <c r="F172" s="92"/>
      <c r="G172" s="92"/>
      <c r="H172" s="92"/>
      <c r="I172" s="295"/>
      <c r="J172" s="92"/>
      <c r="K172" s="92"/>
      <c r="L172" s="130"/>
      <c r="M172" s="130"/>
      <c r="N172" s="131"/>
      <c r="O172" s="330">
        <f>O348</f>
        <v>1867.6793719999998</v>
      </c>
      <c r="P172" s="130">
        <f t="shared" ref="P172:X172" si="124">P348</f>
        <v>171.23746114454801</v>
      </c>
      <c r="Q172" s="130">
        <f t="shared" si="124"/>
        <v>121.0332386010512</v>
      </c>
      <c r="R172" s="130">
        <f t="shared" si="124"/>
        <v>291.77839974559924</v>
      </c>
      <c r="S172" s="130">
        <f t="shared" si="124"/>
        <v>119.7749631880194</v>
      </c>
      <c r="T172" s="130">
        <f t="shared" si="124"/>
        <v>-0.52399999999999913</v>
      </c>
      <c r="U172" s="130">
        <f t="shared" si="124"/>
        <v>226.00105503002061</v>
      </c>
      <c r="V172" s="130">
        <f t="shared" si="124"/>
        <v>164.63931694836091</v>
      </c>
      <c r="W172" s="130">
        <f t="shared" si="124"/>
        <v>171.01220947474619</v>
      </c>
      <c r="X172" s="130">
        <f t="shared" si="124"/>
        <v>-2.6539999999999959</v>
      </c>
      <c r="Y172" s="330">
        <f>SUM(P172:X172)</f>
        <v>1262.2986441323455</v>
      </c>
      <c r="Z172" s="330">
        <f>Z348</f>
        <v>3129.9780161323451</v>
      </c>
      <c r="AA172" s="130">
        <f>AA348</f>
        <v>2150.656232063985</v>
      </c>
      <c r="AB172" s="130">
        <f>AB348</f>
        <v>2423.6285545370229</v>
      </c>
      <c r="AC172" s="130">
        <f>AC348</f>
        <v>2434.4767011791096</v>
      </c>
      <c r="AD172" s="130">
        <f>AD348</f>
        <v>2705.7800985412537</v>
      </c>
      <c r="AE172" s="151"/>
      <c r="AF172" s="327"/>
    </row>
    <row r="173" spans="1:33" x14ac:dyDescent="0.3">
      <c r="AE173" s="23"/>
    </row>
    <row r="174" spans="1:33" x14ac:dyDescent="0.3">
      <c r="B174" s="8"/>
      <c r="C174" s="8"/>
      <c r="D174" s="8"/>
      <c r="E174" s="8"/>
      <c r="F174" s="8"/>
      <c r="G174" s="8"/>
      <c r="H174" s="8"/>
      <c r="I174" s="325"/>
      <c r="J174" s="8"/>
      <c r="K174" s="8"/>
      <c r="L174" s="9" t="s">
        <v>182</v>
      </c>
      <c r="M174" s="9" t="s">
        <v>183</v>
      </c>
      <c r="N174" s="10" t="s">
        <v>184</v>
      </c>
      <c r="O174" s="244" t="s">
        <v>293</v>
      </c>
      <c r="P174" s="9" t="s">
        <v>215</v>
      </c>
      <c r="Q174" s="9" t="s">
        <v>216</v>
      </c>
      <c r="R174" s="9" t="s">
        <v>217</v>
      </c>
      <c r="S174" s="9" t="s">
        <v>218</v>
      </c>
      <c r="T174" s="9" t="s">
        <v>219</v>
      </c>
      <c r="U174" s="9" t="s">
        <v>220</v>
      </c>
      <c r="V174" s="9" t="s">
        <v>221</v>
      </c>
      <c r="W174" s="9" t="s">
        <v>222</v>
      </c>
      <c r="X174" s="9" t="s">
        <v>223</v>
      </c>
      <c r="Y174" s="244" t="s">
        <v>294</v>
      </c>
      <c r="Z174" s="244" t="s">
        <v>197</v>
      </c>
      <c r="AA174" s="9" t="s">
        <v>198</v>
      </c>
      <c r="AB174" s="9" t="s">
        <v>199</v>
      </c>
      <c r="AC174" s="9" t="s">
        <v>200</v>
      </c>
      <c r="AD174" s="9" t="s">
        <v>201</v>
      </c>
      <c r="AE174" s="23"/>
    </row>
    <row r="175" spans="1:33" s="11" customFormat="1" x14ac:dyDescent="0.3">
      <c r="B175" s="11" t="s">
        <v>16</v>
      </c>
      <c r="I175" s="288"/>
      <c r="L175" s="13"/>
      <c r="M175" s="13"/>
      <c r="N175" s="124"/>
      <c r="O175" s="326">
        <f>O176+O219+O262+O305+O348</f>
        <v>16151.038909999999</v>
      </c>
      <c r="P175" s="13">
        <f t="shared" ref="P175:Z175" si="125">P176+P219+P262+P305+P348</f>
        <v>4029.1141634731925</v>
      </c>
      <c r="Q175" s="13">
        <f t="shared" si="125"/>
        <v>3985.5460480039887</v>
      </c>
      <c r="R175" s="13">
        <f t="shared" si="125"/>
        <v>5271.1353733534424</v>
      </c>
      <c r="S175" s="13">
        <f t="shared" si="125"/>
        <v>4023.8946054905432</v>
      </c>
      <c r="T175" s="13">
        <f t="shared" si="125"/>
        <v>3887.8391639445158</v>
      </c>
      <c r="U175" s="13">
        <f t="shared" si="125"/>
        <v>4352.3323224614005</v>
      </c>
      <c r="V175" s="13">
        <f t="shared" si="125"/>
        <v>3853.2826967344067</v>
      </c>
      <c r="W175" s="13">
        <f t="shared" si="125"/>
        <v>5092.6546407690776</v>
      </c>
      <c r="X175" s="13">
        <f>X176+X219+X262+X305+X348</f>
        <v>5841.7784637670547</v>
      </c>
      <c r="Y175" s="326">
        <f>Y176+Y219+Y262+Y305+Y348</f>
        <v>40337.577477997627</v>
      </c>
      <c r="Z175" s="326">
        <f t="shared" si="125"/>
        <v>56488.616387997623</v>
      </c>
      <c r="AA175" s="13">
        <f>AA176+AA219+AA262+AA305+AA348</f>
        <v>49213.365216195329</v>
      </c>
      <c r="AB175" s="13">
        <f>AB176+AB219+AB262+AB305+AB348</f>
        <v>53049.401578407924</v>
      </c>
      <c r="AC175" s="13">
        <f>AC176+AC219+AC262+AC305+AC348</f>
        <v>58244.454330210785</v>
      </c>
      <c r="AD175" s="13">
        <f>AD176+AD219+AD262+AD305+AD348</f>
        <v>65105.51516786452</v>
      </c>
      <c r="AE175" s="160"/>
      <c r="AF175" s="327"/>
      <c r="AG175" s="322">
        <f t="shared" ref="AG175:AG238" si="126">IF($E175="판매수량",$D174,)</f>
        <v>0</v>
      </c>
    </row>
    <row r="176" spans="1:33" x14ac:dyDescent="0.3">
      <c r="A176" s="338" t="s">
        <v>235</v>
      </c>
      <c r="B176" s="11"/>
      <c r="C176" s="3" t="s">
        <v>235</v>
      </c>
      <c r="L176" s="16"/>
      <c r="M176" s="16"/>
      <c r="N176" s="15"/>
      <c r="O176" s="246">
        <f>O177+O183+O189+O195+O207+O201</f>
        <v>3437.658496</v>
      </c>
      <c r="P176" s="16">
        <f t="shared" ref="P176:Z176" si="127">P177+P183+P189+P195+P207+P201</f>
        <v>1337.5352510855696</v>
      </c>
      <c r="Q176" s="16">
        <f t="shared" si="127"/>
        <v>1365.0806133492426</v>
      </c>
      <c r="R176" s="16">
        <f t="shared" si="127"/>
        <v>1271.1050572130264</v>
      </c>
      <c r="S176" s="16">
        <f t="shared" si="127"/>
        <v>976.94435752704965</v>
      </c>
      <c r="T176" s="16">
        <f t="shared" si="127"/>
        <v>1124.7915054870723</v>
      </c>
      <c r="U176" s="16">
        <f t="shared" si="127"/>
        <v>1089.8551720359146</v>
      </c>
      <c r="V176" s="16">
        <f t="shared" si="127"/>
        <v>1384.2405767094945</v>
      </c>
      <c r="W176" s="16">
        <f t="shared" si="127"/>
        <v>1159.24605883807</v>
      </c>
      <c r="X176" s="16">
        <f>X177+X183+X189+X195+X207+X201</f>
        <v>1511.9490047080897</v>
      </c>
      <c r="Y176" s="246">
        <f>Y177+Y183+Y189+Y195+Y207+Y201</f>
        <v>11220.74759695353</v>
      </c>
      <c r="Z176" s="246">
        <f t="shared" si="127"/>
        <v>14658.40609295353</v>
      </c>
      <c r="AA176" s="16">
        <f>AA177+AA183+AA189+AA195+AA207+AA201</f>
        <v>13764.492947087592</v>
      </c>
      <c r="AB176" s="16">
        <f>AB177+AB183+AB189+AB195+AB207+AB201</f>
        <v>15164.307588226286</v>
      </c>
      <c r="AC176" s="16">
        <f>AC177+AC183+AC189+AC195+AC207+AC201</f>
        <v>16868.061939511601</v>
      </c>
      <c r="AD176" s="16">
        <f>AD177+AD183+AD189+AD195+AD207+AD201</f>
        <v>19300.72979288215</v>
      </c>
      <c r="AE176" s="23"/>
      <c r="AF176" s="327"/>
      <c r="AG176" s="322">
        <f t="shared" si="126"/>
        <v>0</v>
      </c>
    </row>
    <row r="177" spans="1:33" x14ac:dyDescent="0.3">
      <c r="A177" s="338" t="s">
        <v>235</v>
      </c>
      <c r="B177" s="11"/>
      <c r="D177" s="3" t="s">
        <v>146</v>
      </c>
      <c r="L177" s="16"/>
      <c r="M177" s="16"/>
      <c r="N177" s="15"/>
      <c r="O177" s="246">
        <v>271.47246000000001</v>
      </c>
      <c r="P177" s="16">
        <f t="shared" ref="P177:X177" si="128">P178*P181</f>
        <v>0</v>
      </c>
      <c r="Q177" s="16">
        <f t="shared" si="128"/>
        <v>0</v>
      </c>
      <c r="R177" s="16">
        <f t="shared" si="128"/>
        <v>0</v>
      </c>
      <c r="S177" s="16">
        <f t="shared" si="128"/>
        <v>0</v>
      </c>
      <c r="T177" s="16">
        <f t="shared" si="128"/>
        <v>0</v>
      </c>
      <c r="U177" s="16">
        <f t="shared" si="128"/>
        <v>670.7621601309778</v>
      </c>
      <c r="V177" s="16">
        <f t="shared" si="128"/>
        <v>0</v>
      </c>
      <c r="W177" s="16">
        <f t="shared" si="128"/>
        <v>0</v>
      </c>
      <c r="X177" s="16">
        <f t="shared" si="128"/>
        <v>0</v>
      </c>
      <c r="Y177" s="246">
        <f>SUM(P177:X177)</f>
        <v>670.7621601309778</v>
      </c>
      <c r="Z177" s="246">
        <f>Y177+O177</f>
        <v>942.23462013097787</v>
      </c>
      <c r="AA177" s="16">
        <f>AA178*AA181</f>
        <v>883.32727342214025</v>
      </c>
      <c r="AB177" s="16">
        <f>AB178*AB181</f>
        <v>1173.5664885639299</v>
      </c>
      <c r="AC177" s="16">
        <f>AC178*AC181</f>
        <v>1179.0089999131312</v>
      </c>
      <c r="AD177" s="16">
        <f>AD178*AD181</f>
        <v>1798.8983037434677</v>
      </c>
      <c r="AE177" s="23"/>
      <c r="AF177" s="327"/>
      <c r="AG177" s="322">
        <f t="shared" si="126"/>
        <v>0</v>
      </c>
    </row>
    <row r="178" spans="1:33" x14ac:dyDescent="0.3">
      <c r="A178" s="338" t="s">
        <v>235</v>
      </c>
      <c r="B178" s="11"/>
      <c r="E178" s="3" t="s">
        <v>298</v>
      </c>
      <c r="L178" s="16"/>
      <c r="M178" s="16"/>
      <c r="N178" s="15"/>
      <c r="O178" s="246">
        <v>1</v>
      </c>
      <c r="P178" s="16">
        <f>SUMIFS(INDEX(판매수량!$N$2:$V$82,0,MATCH(Revenue_HW!P$47,판매수량!$N$2:$V$2,0)),판매수량!$A$2:$A$82,Revenue_HW!$A178,판매수량!$B$2:$B$82,Revenue_HW!$AG178)</f>
        <v>0</v>
      </c>
      <c r="Q178" s="16">
        <f>SUMIFS(INDEX(판매수량!$N$2:$V$82,0,MATCH(Revenue_HW!Q$47,판매수량!$N$2:$V$2,0)),판매수량!$A$2:$A$82,Revenue_HW!$A178,판매수량!$B$2:$B$82,Revenue_HW!$AG178)</f>
        <v>0</v>
      </c>
      <c r="R178" s="16">
        <f>SUMIFS(INDEX(판매수량!$N$2:$V$82,0,MATCH(Revenue_HW!R$47,판매수량!$N$2:$V$2,0)),판매수량!$A$2:$A$82,Revenue_HW!$A178,판매수량!$B$2:$B$82,Revenue_HW!$AG178)</f>
        <v>0</v>
      </c>
      <c r="S178" s="16">
        <f>SUMIFS(INDEX(판매수량!$N$2:$V$82,0,MATCH(Revenue_HW!S$47,판매수량!$N$2:$V$2,0)),판매수량!$A$2:$A$82,Revenue_HW!$A178,판매수량!$B$2:$B$82,Revenue_HW!$AG178)</f>
        <v>0</v>
      </c>
      <c r="T178" s="16">
        <f>SUMIFS(INDEX(판매수량!$N$2:$V$82,0,MATCH(Revenue_HW!T$47,판매수량!$N$2:$V$2,0)),판매수량!$A$2:$A$82,Revenue_HW!$A178,판매수량!$B$2:$B$82,Revenue_HW!$AG178)</f>
        <v>0</v>
      </c>
      <c r="U178" s="16">
        <f>SUMIFS(INDEX(판매수량!$N$2:$V$82,0,MATCH(Revenue_HW!U$47,판매수량!$N$2:$V$2,0)),판매수량!$A$2:$A$82,Revenue_HW!$A178,판매수량!$B$2:$B$82,Revenue_HW!$AG178)</f>
        <v>2</v>
      </c>
      <c r="V178" s="16">
        <f>SUMIFS(INDEX(판매수량!$N$2:$V$82,0,MATCH(Revenue_HW!V$47,판매수량!$N$2:$V$2,0)),판매수량!$A$2:$A$82,Revenue_HW!$A178,판매수량!$B$2:$B$82,Revenue_HW!$AG178)</f>
        <v>0</v>
      </c>
      <c r="W178" s="16">
        <f>SUMIFS(INDEX(판매수량!$N$2:$V$82,0,MATCH(Revenue_HW!W$47,판매수량!$N$2:$V$2,0)),판매수량!$A$2:$A$82,Revenue_HW!$A178,판매수량!$B$2:$B$82,Revenue_HW!$AG178)</f>
        <v>0</v>
      </c>
      <c r="X178" s="16">
        <f>SUMIFS(INDEX(판매수량!$N$2:$V$82,0,MATCH(Revenue_HW!X$47,판매수량!$N$2:$V$2,0)),판매수량!$A$2:$A$82,Revenue_HW!$A178,판매수량!$B$2:$B$82,Revenue_HW!$AG178)</f>
        <v>0</v>
      </c>
      <c r="Y178" s="246">
        <f>SUM(P178:X178)</f>
        <v>2</v>
      </c>
      <c r="Z178" s="246">
        <f>Y178+O178</f>
        <v>3</v>
      </c>
      <c r="AA178" s="16">
        <f>ROUND(AA179*AA180,)</f>
        <v>3</v>
      </c>
      <c r="AB178" s="16">
        <f>ROUND(AB179*AB180,)</f>
        <v>4</v>
      </c>
      <c r="AC178" s="16">
        <f>ROUND(AC179*AC180,)</f>
        <v>4</v>
      </c>
      <c r="AD178" s="16">
        <f>ROUND(AD179*AD180,)</f>
        <v>6</v>
      </c>
      <c r="AE178" s="23"/>
      <c r="AF178" s="327"/>
      <c r="AG178" s="322" t="str">
        <f t="shared" si="126"/>
        <v>5축</v>
      </c>
    </row>
    <row r="179" spans="1:33" x14ac:dyDescent="0.3">
      <c r="A179" s="338" t="s">
        <v>235</v>
      </c>
      <c r="B179" s="11"/>
      <c r="F179" s="3" t="s">
        <v>321</v>
      </c>
      <c r="L179" s="16"/>
      <c r="M179" s="16"/>
      <c r="N179" s="15"/>
      <c r="O179" s="352"/>
      <c r="P179" s="117"/>
      <c r="Q179" s="117"/>
      <c r="R179" s="117"/>
      <c r="S179" s="117"/>
      <c r="T179" s="117"/>
      <c r="U179" s="117"/>
      <c r="V179" s="117"/>
      <c r="W179" s="117"/>
      <c r="X179" s="117"/>
      <c r="Y179" s="352"/>
      <c r="Z179" s="246">
        <f>'Key Assumption'!AA60</f>
        <v>2</v>
      </c>
      <c r="AA179" s="16">
        <f>'Key Assumption'!AB60</f>
        <v>2</v>
      </c>
      <c r="AB179" s="16">
        <f>'Key Assumption'!AC60</f>
        <v>2</v>
      </c>
      <c r="AC179" s="16">
        <f>'Key Assumption'!AD60</f>
        <v>2</v>
      </c>
      <c r="AD179" s="16">
        <f>'Key Assumption'!AE60</f>
        <v>3</v>
      </c>
      <c r="AE179" s="23"/>
      <c r="AF179" s="327"/>
      <c r="AG179" s="322">
        <f t="shared" si="126"/>
        <v>0</v>
      </c>
    </row>
    <row r="180" spans="1:33" x14ac:dyDescent="0.3">
      <c r="A180" s="338" t="s">
        <v>235</v>
      </c>
      <c r="B180" s="11"/>
      <c r="F180" s="3" t="s">
        <v>322</v>
      </c>
      <c r="L180" s="16"/>
      <c r="M180" s="16"/>
      <c r="N180" s="15"/>
      <c r="O180" s="352"/>
      <c r="P180" s="117"/>
      <c r="Q180" s="117"/>
      <c r="R180" s="117"/>
      <c r="S180" s="117"/>
      <c r="T180" s="117"/>
      <c r="U180" s="117"/>
      <c r="V180" s="117"/>
      <c r="W180" s="117"/>
      <c r="X180" s="117"/>
      <c r="Y180" s="352"/>
      <c r="Z180" s="246">
        <f>IFERROR(Z178/Z179,)</f>
        <v>1.5</v>
      </c>
      <c r="AA180" s="16">
        <f>'Key Assumption'!AB172</f>
        <v>1.6234434217650242</v>
      </c>
      <c r="AB180" s="16">
        <f>'Key Assumption'!AC172</f>
        <v>1.7574445046020573</v>
      </c>
      <c r="AC180" s="16">
        <f>'Key Assumption'!AD172</f>
        <v>1.9158094206821874</v>
      </c>
      <c r="AD180" s="16">
        <f>'Key Assumption'!AE172</f>
        <v>2.0814834867352467</v>
      </c>
      <c r="AE180" s="23"/>
      <c r="AF180" s="327"/>
      <c r="AG180" s="322">
        <f t="shared" si="126"/>
        <v>0</v>
      </c>
    </row>
    <row r="181" spans="1:33" x14ac:dyDescent="0.3">
      <c r="A181" s="338" t="s">
        <v>235</v>
      </c>
      <c r="B181" s="11"/>
      <c r="E181" s="3" t="s">
        <v>306</v>
      </c>
      <c r="I181" s="291" t="s">
        <v>273</v>
      </c>
      <c r="N181" s="15"/>
      <c r="O181" s="246">
        <f>O177/O178</f>
        <v>271.47246000000001</v>
      </c>
      <c r="P181" s="16">
        <f t="shared" ref="P181:X181" si="129">P182*P$553/10^6</f>
        <v>340.26956223732265</v>
      </c>
      <c r="Q181" s="16">
        <f t="shared" si="129"/>
        <v>340.26956223732265</v>
      </c>
      <c r="R181" s="16">
        <f t="shared" si="129"/>
        <v>340.26956223732265</v>
      </c>
      <c r="S181" s="16">
        <f t="shared" si="129"/>
        <v>335.3810800654889</v>
      </c>
      <c r="T181" s="16">
        <f t="shared" si="129"/>
        <v>335.3810800654889</v>
      </c>
      <c r="U181" s="16">
        <f t="shared" si="129"/>
        <v>335.3810800654889</v>
      </c>
      <c r="V181" s="16">
        <f t="shared" si="129"/>
        <v>327.60631320709371</v>
      </c>
      <c r="W181" s="16">
        <f t="shared" si="129"/>
        <v>327.60631320709371</v>
      </c>
      <c r="X181" s="16">
        <f t="shared" si="129"/>
        <v>327.60631320709371</v>
      </c>
      <c r="Y181" s="246">
        <f>IFERROR(Y177/Y178,)</f>
        <v>335.3810800654889</v>
      </c>
      <c r="Z181" s="246">
        <f>IFERROR(Z177/Z178,)</f>
        <v>314.07820671032596</v>
      </c>
      <c r="AA181" s="16">
        <f>AA182*AA$553/10^6</f>
        <v>294.44242447404673</v>
      </c>
      <c r="AB181" s="16">
        <f>AB182*AB$553/10^6</f>
        <v>293.39162214098246</v>
      </c>
      <c r="AC181" s="16">
        <f>AC182*AC$553/10^6</f>
        <v>294.7522499782828</v>
      </c>
      <c r="AD181" s="16">
        <f>AD182*AD$553/10^6</f>
        <v>299.81638395724462</v>
      </c>
      <c r="AE181" s="23"/>
      <c r="AF181" s="327"/>
      <c r="AG181" s="322">
        <f t="shared" si="126"/>
        <v>0</v>
      </c>
    </row>
    <row r="182" spans="1:33" x14ac:dyDescent="0.3">
      <c r="A182" s="338" t="s">
        <v>235</v>
      </c>
      <c r="B182" s="11"/>
      <c r="F182" s="3" t="s">
        <v>323</v>
      </c>
      <c r="I182" s="291" t="s">
        <v>275</v>
      </c>
      <c r="N182" s="15"/>
      <c r="O182" s="246">
        <v>203900</v>
      </c>
      <c r="P182" s="16">
        <f>'Key Assumption'!R309</f>
        <v>260025.64743796625</v>
      </c>
      <c r="Q182" s="16">
        <f>'Key Assumption'!S309</f>
        <v>260025.64743796625</v>
      </c>
      <c r="R182" s="16">
        <f>'Key Assumption'!T309</f>
        <v>260025.64743796625</v>
      </c>
      <c r="S182" s="16">
        <f>'Key Assumption'!U309</f>
        <v>260025.64743796625</v>
      </c>
      <c r="T182" s="16">
        <f>'Key Assumption'!V309</f>
        <v>260025.64743796625</v>
      </c>
      <c r="U182" s="16">
        <f>'Key Assumption'!W309</f>
        <v>260025.64743796625</v>
      </c>
      <c r="V182" s="16">
        <f>'Key Assumption'!X309</f>
        <v>260025.64743796625</v>
      </c>
      <c r="W182" s="16">
        <f>'Key Assumption'!Y309</f>
        <v>260025.64743796625</v>
      </c>
      <c r="X182" s="16">
        <f>'Key Assumption'!Z309</f>
        <v>260025.64743796625</v>
      </c>
      <c r="Y182" s="246">
        <f>SUMPRODUCT(P182:X182,P178:X178)/Y178</f>
        <v>260025.64743796625</v>
      </c>
      <c r="Z182" s="246">
        <f>(Y182*Y178+O182*O178)/Z178</f>
        <v>241317.09829197751</v>
      </c>
      <c r="AA182" s="16">
        <f>'Key Assumption'!AB309</f>
        <v>242499.11421021802</v>
      </c>
      <c r="AB182" s="16">
        <f>'Key Assumption'!AC309</f>
        <v>244126.82820850596</v>
      </c>
      <c r="AC182" s="16">
        <f>'Key Assumption'!AD309</f>
        <v>245770.24095579324</v>
      </c>
      <c r="AD182" s="16">
        <f>'Key Assumption'!AE309</f>
        <v>247373.25409013586</v>
      </c>
      <c r="AE182" s="23"/>
      <c r="AF182" s="327"/>
      <c r="AG182" s="322">
        <f t="shared" si="126"/>
        <v>0</v>
      </c>
    </row>
    <row r="183" spans="1:33" x14ac:dyDescent="0.3">
      <c r="A183" s="338" t="s">
        <v>235</v>
      </c>
      <c r="B183" s="11"/>
      <c r="D183" s="3" t="s">
        <v>132</v>
      </c>
      <c r="N183" s="15"/>
      <c r="O183" s="246">
        <v>2189.3213249999999</v>
      </c>
      <c r="P183" s="16">
        <f t="shared" ref="P183:X183" si="130">P184*P187</f>
        <v>609.51590939299342</v>
      </c>
      <c r="Q183" s="16">
        <f t="shared" si="130"/>
        <v>731.41909127159215</v>
      </c>
      <c r="R183" s="16">
        <f t="shared" si="130"/>
        <v>609.51590939299342</v>
      </c>
      <c r="S183" s="16">
        <f t="shared" si="130"/>
        <v>720.91115995881069</v>
      </c>
      <c r="T183" s="16">
        <f t="shared" si="130"/>
        <v>841.06301995194576</v>
      </c>
      <c r="U183" s="16">
        <f t="shared" si="130"/>
        <v>240.30371998627021</v>
      </c>
      <c r="V183" s="16">
        <f t="shared" si="130"/>
        <v>1056.2986165670325</v>
      </c>
      <c r="W183" s="16">
        <f t="shared" si="130"/>
        <v>234.73302590378498</v>
      </c>
      <c r="X183" s="16">
        <f t="shared" si="130"/>
        <v>821.56559066324746</v>
      </c>
      <c r="Y183" s="246">
        <f>SUM(P183:X183)</f>
        <v>5865.3260430886703</v>
      </c>
      <c r="Z183" s="246">
        <f>Y183+O183</f>
        <v>8054.6473680886702</v>
      </c>
      <c r="AA183" s="16">
        <f>AA184*AA187</f>
        <v>8145.1168207632063</v>
      </c>
      <c r="AB183" s="16">
        <f>AB184*AB187</f>
        <v>8906.4722880629324</v>
      </c>
      <c r="AC183" s="16">
        <f>AC184*AC187</f>
        <v>9850.1820660652993</v>
      </c>
      <c r="AD183" s="16">
        <f>AD184*AD187</f>
        <v>10711.97279483596</v>
      </c>
      <c r="AE183" s="23"/>
      <c r="AF183" s="327"/>
      <c r="AG183" s="322">
        <f t="shared" si="126"/>
        <v>0</v>
      </c>
    </row>
    <row r="184" spans="1:33" x14ac:dyDescent="0.3">
      <c r="A184" s="338" t="s">
        <v>235</v>
      </c>
      <c r="B184" s="11"/>
      <c r="E184" s="3" t="s">
        <v>298</v>
      </c>
      <c r="N184" s="15"/>
      <c r="O184" s="246">
        <v>18</v>
      </c>
      <c r="P184" s="16">
        <f>SUMIFS(INDEX(판매수량!$N$2:$V$82,0,MATCH(Revenue_HW!P$47,판매수량!$N$2:$V$2,0)),판매수량!$A$2:$A$82,Revenue_HW!$A184,판매수량!$B$2:$B$82,Revenue_HW!$AG184)</f>
        <v>5</v>
      </c>
      <c r="Q184" s="16">
        <f>SUMIFS(INDEX(판매수량!$N$2:$V$82,0,MATCH(Revenue_HW!Q$47,판매수량!$N$2:$V$2,0)),판매수량!$A$2:$A$82,Revenue_HW!$A184,판매수량!$B$2:$B$82,Revenue_HW!$AG184)</f>
        <v>6</v>
      </c>
      <c r="R184" s="16">
        <f>SUMIFS(INDEX(판매수량!$N$2:$V$82,0,MATCH(Revenue_HW!R$47,판매수량!$N$2:$V$2,0)),판매수량!$A$2:$A$82,Revenue_HW!$A184,판매수량!$B$2:$B$82,Revenue_HW!$AG184)</f>
        <v>5</v>
      </c>
      <c r="S184" s="16">
        <f>SUMIFS(INDEX(판매수량!$N$2:$V$82,0,MATCH(Revenue_HW!S$47,판매수량!$N$2:$V$2,0)),판매수량!$A$2:$A$82,Revenue_HW!$A184,판매수량!$B$2:$B$82,Revenue_HW!$AG184)</f>
        <v>6</v>
      </c>
      <c r="T184" s="16">
        <f>SUMIFS(INDEX(판매수량!$N$2:$V$82,0,MATCH(Revenue_HW!T$47,판매수량!$N$2:$V$2,0)),판매수량!$A$2:$A$82,Revenue_HW!$A184,판매수량!$B$2:$B$82,Revenue_HW!$AG184)</f>
        <v>7</v>
      </c>
      <c r="U184" s="16">
        <f>SUMIFS(INDEX(판매수량!$N$2:$V$82,0,MATCH(Revenue_HW!U$47,판매수량!$N$2:$V$2,0)),판매수량!$A$2:$A$82,Revenue_HW!$A184,판매수량!$B$2:$B$82,Revenue_HW!$AG184)</f>
        <v>2</v>
      </c>
      <c r="V184" s="16">
        <f>SUMIFS(INDEX(판매수량!$N$2:$V$82,0,MATCH(Revenue_HW!V$47,판매수량!$N$2:$V$2,0)),판매수량!$A$2:$A$82,Revenue_HW!$A184,판매수량!$B$2:$B$82,Revenue_HW!$AG184)</f>
        <v>9</v>
      </c>
      <c r="W184" s="16">
        <f>SUMIFS(INDEX(판매수량!$N$2:$V$82,0,MATCH(Revenue_HW!W$47,판매수량!$N$2:$V$2,0)),판매수량!$A$2:$A$82,Revenue_HW!$A184,판매수량!$B$2:$B$82,Revenue_HW!$AG184)</f>
        <v>2</v>
      </c>
      <c r="X184" s="16">
        <f>SUMIFS(INDEX(판매수량!$N$2:$V$82,0,MATCH(Revenue_HW!X$47,판매수량!$N$2:$V$2,0)),판매수량!$A$2:$A$82,Revenue_HW!$A184,판매수량!$B$2:$B$82,Revenue_HW!$AG184)</f>
        <v>7</v>
      </c>
      <c r="Y184" s="246">
        <f>SUM(P184:X184)</f>
        <v>49</v>
      </c>
      <c r="Z184" s="246">
        <f>Y184+O184</f>
        <v>67</v>
      </c>
      <c r="AA184" s="16">
        <f>ROUND(AA185*AA186,)</f>
        <v>72</v>
      </c>
      <c r="AB184" s="16">
        <f>ROUND(AB185*AB186,)</f>
        <v>79</v>
      </c>
      <c r="AC184" s="16">
        <f>ROUND(AC185*AC186,)</f>
        <v>87</v>
      </c>
      <c r="AD184" s="16">
        <f>ROUND(AD185*AD186,)</f>
        <v>93</v>
      </c>
      <c r="AE184" s="23"/>
      <c r="AF184" s="327"/>
      <c r="AG184" s="322" t="str">
        <f t="shared" si="126"/>
        <v>선반</v>
      </c>
    </row>
    <row r="185" spans="1:33" x14ac:dyDescent="0.3">
      <c r="A185" s="338" t="s">
        <v>235</v>
      </c>
      <c r="B185" s="11"/>
      <c r="F185" s="3" t="s">
        <v>321</v>
      </c>
      <c r="N185" s="15"/>
      <c r="O185" s="352"/>
      <c r="P185" s="117"/>
      <c r="Q185" s="117"/>
      <c r="R185" s="117"/>
      <c r="S185" s="117"/>
      <c r="T185" s="117"/>
      <c r="U185" s="117"/>
      <c r="V185" s="117"/>
      <c r="W185" s="117"/>
      <c r="X185" s="117"/>
      <c r="Y185" s="352"/>
      <c r="Z185" s="246">
        <f>'Key Assumption'!AA61</f>
        <v>34</v>
      </c>
      <c r="AA185" s="16">
        <f>'Key Assumption'!AB61</f>
        <v>34</v>
      </c>
      <c r="AB185" s="16">
        <f>'Key Assumption'!AC61</f>
        <v>35</v>
      </c>
      <c r="AC185" s="16">
        <f>'Key Assumption'!AD61</f>
        <v>36</v>
      </c>
      <c r="AD185" s="16">
        <f>'Key Assumption'!AE61</f>
        <v>36</v>
      </c>
      <c r="AE185" s="23"/>
      <c r="AF185" s="327"/>
      <c r="AG185" s="322">
        <f t="shared" si="126"/>
        <v>0</v>
      </c>
    </row>
    <row r="186" spans="1:33" x14ac:dyDescent="0.3">
      <c r="A186" s="338" t="s">
        <v>235</v>
      </c>
      <c r="B186" s="11"/>
      <c r="F186" s="3" t="s">
        <v>322</v>
      </c>
      <c r="N186" s="15"/>
      <c r="O186" s="352"/>
      <c r="P186" s="117"/>
      <c r="Q186" s="117"/>
      <c r="R186" s="117"/>
      <c r="S186" s="117"/>
      <c r="T186" s="117"/>
      <c r="U186" s="117"/>
      <c r="V186" s="117"/>
      <c r="W186" s="117"/>
      <c r="X186" s="117"/>
      <c r="Y186" s="352"/>
      <c r="Z186" s="246">
        <f>IFERROR(Z184/Z185,)</f>
        <v>1.9705882352941178</v>
      </c>
      <c r="AA186" s="16">
        <f>'Key Assumption'!AB173</f>
        <v>2.104039676105256</v>
      </c>
      <c r="AB186" s="16">
        <f>'Key Assumption'!AC173</f>
        <v>2.2438619143420517</v>
      </c>
      <c r="AC186" s="16">
        <f>'Key Assumption'!AD173</f>
        <v>2.4108438679198074</v>
      </c>
      <c r="AD186" s="16">
        <f>'Key Assumption'!AE173</f>
        <v>2.5919086368595425</v>
      </c>
      <c r="AE186" s="23"/>
      <c r="AF186" s="327"/>
      <c r="AG186" s="322">
        <f t="shared" si="126"/>
        <v>0</v>
      </c>
    </row>
    <row r="187" spans="1:33" x14ac:dyDescent="0.3">
      <c r="A187" s="338" t="s">
        <v>235</v>
      </c>
      <c r="B187" s="11"/>
      <c r="E187" s="3" t="s">
        <v>306</v>
      </c>
      <c r="I187" s="291" t="s">
        <v>273</v>
      </c>
      <c r="N187" s="15"/>
      <c r="O187" s="246">
        <f>O183/O184</f>
        <v>121.6289625</v>
      </c>
      <c r="P187" s="16">
        <f t="shared" ref="P187:X187" si="131">P188*P$553/10^6</f>
        <v>121.90318187859869</v>
      </c>
      <c r="Q187" s="16">
        <f t="shared" si="131"/>
        <v>121.90318187859869</v>
      </c>
      <c r="R187" s="16">
        <f t="shared" si="131"/>
        <v>121.90318187859869</v>
      </c>
      <c r="S187" s="16">
        <f t="shared" si="131"/>
        <v>120.1518599931351</v>
      </c>
      <c r="T187" s="16">
        <f t="shared" si="131"/>
        <v>120.1518599931351</v>
      </c>
      <c r="U187" s="16">
        <f t="shared" si="131"/>
        <v>120.1518599931351</v>
      </c>
      <c r="V187" s="16">
        <f t="shared" si="131"/>
        <v>117.36651295189249</v>
      </c>
      <c r="W187" s="16">
        <f t="shared" si="131"/>
        <v>117.36651295189249</v>
      </c>
      <c r="X187" s="16">
        <f t="shared" si="131"/>
        <v>117.36651295189249</v>
      </c>
      <c r="Y187" s="246">
        <f>IFERROR(Y183/Y184,)</f>
        <v>119.70053149160552</v>
      </c>
      <c r="Z187" s="246">
        <f>IFERROR(Z183/Z184,)</f>
        <v>120.21861743415926</v>
      </c>
      <c r="AA187" s="16">
        <f>AA188*AA$553/10^6</f>
        <v>113.12662251060009</v>
      </c>
      <c r="AB187" s="16">
        <f>AB188*AB$553/10^6</f>
        <v>112.74015554510042</v>
      </c>
      <c r="AC187" s="16">
        <f>AC188*AC$553/10^6</f>
        <v>113.22048351799195</v>
      </c>
      <c r="AD187" s="16">
        <f>AD188*AD$553/10^6</f>
        <v>115.18250317027913</v>
      </c>
      <c r="AE187" s="23"/>
      <c r="AF187" s="327"/>
      <c r="AG187" s="322">
        <f t="shared" si="126"/>
        <v>0</v>
      </c>
    </row>
    <row r="188" spans="1:33" x14ac:dyDescent="0.3">
      <c r="A188" s="338" t="s">
        <v>235</v>
      </c>
      <c r="B188" s="11"/>
      <c r="F188" s="3" t="s">
        <v>323</v>
      </c>
      <c r="I188" s="291" t="s">
        <v>275</v>
      </c>
      <c r="N188" s="15"/>
      <c r="O188" s="246">
        <v>91388.777744350853</v>
      </c>
      <c r="P188" s="16">
        <f>'Key Assumption'!R310</f>
        <v>93155.41943955273</v>
      </c>
      <c r="Q188" s="16">
        <f>'Key Assumption'!S310</f>
        <v>93155.41943955273</v>
      </c>
      <c r="R188" s="16">
        <f>'Key Assumption'!T310</f>
        <v>93155.41943955273</v>
      </c>
      <c r="S188" s="16">
        <f>'Key Assumption'!U310</f>
        <v>93155.41943955273</v>
      </c>
      <c r="T188" s="16">
        <f>'Key Assumption'!V310</f>
        <v>93155.41943955273</v>
      </c>
      <c r="U188" s="16">
        <f>'Key Assumption'!W310</f>
        <v>93155.41943955273</v>
      </c>
      <c r="V188" s="16">
        <f>'Key Assumption'!X310</f>
        <v>93155.41943955273</v>
      </c>
      <c r="W188" s="16">
        <f>'Key Assumption'!Y310</f>
        <v>93155.41943955273</v>
      </c>
      <c r="X188" s="16">
        <f>'Key Assumption'!Z310</f>
        <v>93155.41943955273</v>
      </c>
      <c r="Y188" s="246">
        <f>SUMPRODUCT(P188:X188,P184:X184)/Y184</f>
        <v>93155.41943955273</v>
      </c>
      <c r="Z188" s="246">
        <f>(Y188*Y184+O188*O184)/Z184</f>
        <v>92680.799282632826</v>
      </c>
      <c r="AA188" s="16">
        <f>'Key Assumption'!AB310</f>
        <v>93169.677574205314</v>
      </c>
      <c r="AB188" s="16">
        <f>'Key Assumption'!AC310</f>
        <v>93809.415497670518</v>
      </c>
      <c r="AC188" s="16">
        <f>'Key Assumption'!AD310</f>
        <v>94405.472790787913</v>
      </c>
      <c r="AD188" s="16">
        <f>'Key Assumption'!AE310</f>
        <v>95035.068622342515</v>
      </c>
      <c r="AE188" s="23"/>
      <c r="AF188" s="327"/>
      <c r="AG188" s="322">
        <f t="shared" si="126"/>
        <v>0</v>
      </c>
    </row>
    <row r="189" spans="1:33" x14ac:dyDescent="0.3">
      <c r="A189" s="338" t="s">
        <v>235</v>
      </c>
      <c r="B189" s="160"/>
      <c r="C189" s="23"/>
      <c r="D189" s="3" t="s">
        <v>148</v>
      </c>
      <c r="E189" s="23"/>
      <c r="F189" s="23"/>
      <c r="G189" s="23"/>
      <c r="H189" s="23"/>
      <c r="N189" s="15"/>
      <c r="O189" s="246">
        <v>259.25147399999997</v>
      </c>
      <c r="P189" s="16">
        <f t="shared" ref="P189:X189" si="132">P190*P193</f>
        <v>192.27806297604891</v>
      </c>
      <c r="Q189" s="16">
        <f t="shared" si="132"/>
        <v>96.139031488024457</v>
      </c>
      <c r="R189" s="16">
        <f t="shared" si="132"/>
        <v>96.139031488024457</v>
      </c>
      <c r="S189" s="16">
        <f t="shared" si="132"/>
        <v>94.757850231739226</v>
      </c>
      <c r="T189" s="16">
        <f t="shared" si="132"/>
        <v>94.757850231739226</v>
      </c>
      <c r="U189" s="16">
        <f t="shared" si="132"/>
        <v>0</v>
      </c>
      <c r="V189" s="16">
        <f t="shared" si="132"/>
        <v>92.561184297540905</v>
      </c>
      <c r="W189" s="16">
        <f t="shared" si="132"/>
        <v>92.561184297540905</v>
      </c>
      <c r="X189" s="16">
        <f t="shared" si="132"/>
        <v>92.561184297540905</v>
      </c>
      <c r="Y189" s="246">
        <f>SUM(P189:X189)</f>
        <v>851.75537930819894</v>
      </c>
      <c r="Z189" s="246">
        <f>Y189+O189</f>
        <v>1111.006853308199</v>
      </c>
      <c r="AA189" s="16">
        <f>AA190*AA193</f>
        <v>1136.8076980795859</v>
      </c>
      <c r="AB189" s="16">
        <f>AB190*AB193</f>
        <v>1221.5484372002531</v>
      </c>
      <c r="AC189" s="16">
        <f>AC190*AC193</f>
        <v>1316.2875946783131</v>
      </c>
      <c r="AD189" s="16">
        <f>AD190*AD193</f>
        <v>1787.3137993531118</v>
      </c>
      <c r="AE189" s="23"/>
      <c r="AF189" s="327"/>
      <c r="AG189" s="322">
        <f t="shared" si="126"/>
        <v>0</v>
      </c>
    </row>
    <row r="190" spans="1:33" x14ac:dyDescent="0.3">
      <c r="A190" s="338" t="s">
        <v>235</v>
      </c>
      <c r="B190" s="11"/>
      <c r="E190" s="3" t="s">
        <v>298</v>
      </c>
      <c r="N190" s="15"/>
      <c r="O190" s="246">
        <v>3</v>
      </c>
      <c r="P190" s="16">
        <f>SUMIFS(INDEX(판매수량!$N$2:$V$82,0,MATCH(Revenue_HW!P$47,판매수량!$N$2:$V$2,0)),판매수량!$A$2:$A$82,Revenue_HW!$A190,판매수량!$B$2:$B$82,Revenue_HW!$AG190)</f>
        <v>2</v>
      </c>
      <c r="Q190" s="16">
        <f>SUMIFS(INDEX(판매수량!$N$2:$V$82,0,MATCH(Revenue_HW!Q$47,판매수량!$N$2:$V$2,0)),판매수량!$A$2:$A$82,Revenue_HW!$A190,판매수량!$B$2:$B$82,Revenue_HW!$AG190)</f>
        <v>1</v>
      </c>
      <c r="R190" s="16">
        <f>SUMIFS(INDEX(판매수량!$N$2:$V$82,0,MATCH(Revenue_HW!R$47,판매수량!$N$2:$V$2,0)),판매수량!$A$2:$A$82,Revenue_HW!$A190,판매수량!$B$2:$B$82,Revenue_HW!$AG190)</f>
        <v>1</v>
      </c>
      <c r="S190" s="16">
        <f>SUMIFS(INDEX(판매수량!$N$2:$V$82,0,MATCH(Revenue_HW!S$47,판매수량!$N$2:$V$2,0)),판매수량!$A$2:$A$82,Revenue_HW!$A190,판매수량!$B$2:$B$82,Revenue_HW!$AG190)</f>
        <v>1</v>
      </c>
      <c r="T190" s="16">
        <f>SUMIFS(INDEX(판매수량!$N$2:$V$82,0,MATCH(Revenue_HW!T$47,판매수량!$N$2:$V$2,0)),판매수량!$A$2:$A$82,Revenue_HW!$A190,판매수량!$B$2:$B$82,Revenue_HW!$AG190)</f>
        <v>1</v>
      </c>
      <c r="U190" s="16">
        <f>SUMIFS(INDEX(판매수량!$N$2:$V$82,0,MATCH(Revenue_HW!U$47,판매수량!$N$2:$V$2,0)),판매수량!$A$2:$A$82,Revenue_HW!$A190,판매수량!$B$2:$B$82,Revenue_HW!$AG190)</f>
        <v>0</v>
      </c>
      <c r="V190" s="16">
        <f>SUMIFS(INDEX(판매수량!$N$2:$V$82,0,MATCH(Revenue_HW!V$47,판매수량!$N$2:$V$2,0)),판매수량!$A$2:$A$82,Revenue_HW!$A190,판매수량!$B$2:$B$82,Revenue_HW!$AG190)</f>
        <v>1</v>
      </c>
      <c r="W190" s="16">
        <f>SUMIFS(INDEX(판매수량!$N$2:$V$82,0,MATCH(Revenue_HW!W$47,판매수량!$N$2:$V$2,0)),판매수량!$A$2:$A$82,Revenue_HW!$A190,판매수량!$B$2:$B$82,Revenue_HW!$AG190)</f>
        <v>1</v>
      </c>
      <c r="X190" s="16">
        <f>SUMIFS(INDEX(판매수량!$N$2:$V$82,0,MATCH(Revenue_HW!X$47,판매수량!$N$2:$V$2,0)),판매수량!$A$2:$A$82,Revenue_HW!$A190,판매수량!$B$2:$B$82,Revenue_HW!$AG190)</f>
        <v>1</v>
      </c>
      <c r="Y190" s="246">
        <f>SUM(P190:X190)</f>
        <v>9</v>
      </c>
      <c r="Z190" s="246">
        <f>Y190+O190</f>
        <v>12</v>
      </c>
      <c r="AA190" s="16">
        <f>ROUND(AA191*AA192,)</f>
        <v>13</v>
      </c>
      <c r="AB190" s="16">
        <f>ROUND(AB191*AB192,)</f>
        <v>14</v>
      </c>
      <c r="AC190" s="16">
        <f>ROUND(AC191*AC192,)</f>
        <v>15</v>
      </c>
      <c r="AD190" s="16">
        <f>ROUND(AD191*AD192,)</f>
        <v>20</v>
      </c>
      <c r="AE190" s="23"/>
      <c r="AF190" s="327"/>
      <c r="AG190" s="322" t="str">
        <f t="shared" si="126"/>
        <v>VMC</v>
      </c>
    </row>
    <row r="191" spans="1:33" x14ac:dyDescent="0.3">
      <c r="A191" s="338" t="s">
        <v>235</v>
      </c>
      <c r="B191" s="11"/>
      <c r="F191" s="3" t="s">
        <v>321</v>
      </c>
      <c r="N191" s="15"/>
      <c r="O191" s="352"/>
      <c r="P191" s="117"/>
      <c r="Q191" s="117"/>
      <c r="R191" s="117"/>
      <c r="S191" s="117"/>
      <c r="T191" s="117"/>
      <c r="U191" s="117"/>
      <c r="V191" s="117"/>
      <c r="W191" s="117"/>
      <c r="X191" s="117"/>
      <c r="Y191" s="352"/>
      <c r="Z191" s="246">
        <f>'Key Assumption'!AA62</f>
        <v>4</v>
      </c>
      <c r="AA191" s="16">
        <f>'Key Assumption'!AB62</f>
        <v>4</v>
      </c>
      <c r="AB191" s="16">
        <f>'Key Assumption'!AC62</f>
        <v>4</v>
      </c>
      <c r="AC191" s="16">
        <f>'Key Assumption'!AD62</f>
        <v>4</v>
      </c>
      <c r="AD191" s="16">
        <f>'Key Assumption'!AE62</f>
        <v>5</v>
      </c>
      <c r="AE191" s="23"/>
      <c r="AF191" s="327"/>
      <c r="AG191" s="322">
        <f t="shared" si="126"/>
        <v>0</v>
      </c>
    </row>
    <row r="192" spans="1:33" x14ac:dyDescent="0.3">
      <c r="A192" s="338" t="s">
        <v>235</v>
      </c>
      <c r="B192" s="11"/>
      <c r="F192" s="3" t="s">
        <v>322</v>
      </c>
      <c r="N192" s="15"/>
      <c r="O192" s="352"/>
      <c r="P192" s="117"/>
      <c r="Q192" s="117"/>
      <c r="R192" s="117"/>
      <c r="S192" s="117"/>
      <c r="T192" s="117"/>
      <c r="U192" s="117"/>
      <c r="V192" s="117"/>
      <c r="W192" s="117"/>
      <c r="X192" s="117"/>
      <c r="Y192" s="352"/>
      <c r="Z192" s="246">
        <f>IFERROR(Z190/Z191,)</f>
        <v>3</v>
      </c>
      <c r="AA192" s="16">
        <f>'Key Assumption'!AB174</f>
        <v>3.2225935828877006</v>
      </c>
      <c r="AB192" s="16">
        <f>'Key Assumption'!AC174</f>
        <v>3.4552139037433158</v>
      </c>
      <c r="AC192" s="16">
        <f>'Key Assumption'!AD174</f>
        <v>3.7299465240641716</v>
      </c>
      <c r="AD192" s="16">
        <f>'Key Assumption'!AE174</f>
        <v>4.0357620320855618</v>
      </c>
      <c r="AE192" s="23"/>
      <c r="AF192" s="327"/>
      <c r="AG192" s="322">
        <f t="shared" si="126"/>
        <v>0</v>
      </c>
    </row>
    <row r="193" spans="1:33" x14ac:dyDescent="0.3">
      <c r="A193" s="338" t="s">
        <v>235</v>
      </c>
      <c r="B193" s="11"/>
      <c r="E193" s="3" t="s">
        <v>306</v>
      </c>
      <c r="I193" s="291" t="s">
        <v>273</v>
      </c>
      <c r="N193" s="15"/>
      <c r="O193" s="246">
        <f>O189/O190</f>
        <v>86.417157999999986</v>
      </c>
      <c r="P193" s="16">
        <f t="shared" ref="P193:X193" si="133">P194*P$553/10^6</f>
        <v>96.139031488024457</v>
      </c>
      <c r="Q193" s="16">
        <f t="shared" si="133"/>
        <v>96.139031488024457</v>
      </c>
      <c r="R193" s="16">
        <f t="shared" si="133"/>
        <v>96.139031488024457</v>
      </c>
      <c r="S193" s="16">
        <f t="shared" si="133"/>
        <v>94.757850231739226</v>
      </c>
      <c r="T193" s="16">
        <f t="shared" si="133"/>
        <v>94.757850231739226</v>
      </c>
      <c r="U193" s="16">
        <f t="shared" si="133"/>
        <v>94.757850231739226</v>
      </c>
      <c r="V193" s="16">
        <f t="shared" si="133"/>
        <v>92.561184297540905</v>
      </c>
      <c r="W193" s="16">
        <f t="shared" si="133"/>
        <v>92.561184297540905</v>
      </c>
      <c r="X193" s="16">
        <f t="shared" si="133"/>
        <v>92.561184297540905</v>
      </c>
      <c r="Y193" s="246">
        <f>IFERROR(Y189/Y190,)</f>
        <v>94.639486589799887</v>
      </c>
      <c r="Z193" s="246">
        <f>IFERROR(Z189/Z190,)</f>
        <v>92.583904442349919</v>
      </c>
      <c r="AA193" s="16">
        <f>AA194*AA$553/10^6</f>
        <v>87.446746006121984</v>
      </c>
      <c r="AB193" s="16">
        <f>AB194*AB$553/10^6</f>
        <v>87.253459800018078</v>
      </c>
      <c r="AC193" s="16">
        <f>AC194*AC$553/10^6</f>
        <v>87.752506311887544</v>
      </c>
      <c r="AD193" s="16">
        <f>AD194*AD$553/10^6</f>
        <v>89.365689967655584</v>
      </c>
      <c r="AE193" s="23"/>
      <c r="AF193" s="327"/>
      <c r="AG193" s="322">
        <f t="shared" si="126"/>
        <v>0</v>
      </c>
    </row>
    <row r="194" spans="1:33" x14ac:dyDescent="0.3">
      <c r="A194" s="338" t="s">
        <v>235</v>
      </c>
      <c r="B194" s="11"/>
      <c r="F194" s="3" t="s">
        <v>323</v>
      </c>
      <c r="I194" s="291" t="s">
        <v>275</v>
      </c>
      <c r="N194" s="15"/>
      <c r="O194" s="246">
        <v>65813.333333333328</v>
      </c>
      <c r="P194" s="16">
        <f>'Key Assumption'!R311</f>
        <v>73467.088100278517</v>
      </c>
      <c r="Q194" s="16">
        <f>'Key Assumption'!S311</f>
        <v>73467.088100278517</v>
      </c>
      <c r="R194" s="16">
        <f>'Key Assumption'!T311</f>
        <v>73467.088100278517</v>
      </c>
      <c r="S194" s="16">
        <f>'Key Assumption'!U311</f>
        <v>73467.088100278517</v>
      </c>
      <c r="T194" s="16">
        <f>'Key Assumption'!V311</f>
        <v>73467.088100278517</v>
      </c>
      <c r="U194" s="16">
        <f>'Key Assumption'!W311</f>
        <v>73467.088100278517</v>
      </c>
      <c r="V194" s="16">
        <f>'Key Assumption'!X311</f>
        <v>73467.088100278517</v>
      </c>
      <c r="W194" s="16">
        <f>'Key Assumption'!Y311</f>
        <v>73467.088100278517</v>
      </c>
      <c r="X194" s="16">
        <f>'Key Assumption'!Z311</f>
        <v>73467.088100278517</v>
      </c>
      <c r="Y194" s="246">
        <f>SUMPRODUCT(P194:X194,P190:X190)/Y190</f>
        <v>73467.088100278517</v>
      </c>
      <c r="Z194" s="246">
        <f>(Y194*Y190+O194*O190)/Z190</f>
        <v>71553.649408542216</v>
      </c>
      <c r="AA194" s="16">
        <f>'Key Assumption'!AB311</f>
        <v>72020.051067469918</v>
      </c>
      <c r="AB194" s="16">
        <f>'Key Assumption'!AC311</f>
        <v>72602.313030469362</v>
      </c>
      <c r="AC194" s="16">
        <f>'Key Assumption'!AD311</f>
        <v>73169.770959632748</v>
      </c>
      <c r="AD194" s="16">
        <f>'Key Assumption'!AE311</f>
        <v>73734.067630078862</v>
      </c>
      <c r="AE194" s="23"/>
      <c r="AF194" s="327"/>
      <c r="AG194" s="322">
        <f t="shared" si="126"/>
        <v>0</v>
      </c>
    </row>
    <row r="195" spans="1:33" x14ac:dyDescent="0.3">
      <c r="A195" s="338" t="s">
        <v>235</v>
      </c>
      <c r="D195" s="3" t="s">
        <v>149</v>
      </c>
      <c r="N195" s="15"/>
      <c r="O195" s="246">
        <v>0</v>
      </c>
      <c r="P195" s="16">
        <f t="shared" ref="P195:X195" si="134">P196*P199</f>
        <v>0</v>
      </c>
      <c r="Q195" s="16">
        <f t="shared" si="134"/>
        <v>0</v>
      </c>
      <c r="R195" s="16">
        <f t="shared" si="134"/>
        <v>357.61603784865002</v>
      </c>
      <c r="S195" s="16">
        <f t="shared" si="134"/>
        <v>0</v>
      </c>
      <c r="T195" s="16">
        <f t="shared" si="134"/>
        <v>0</v>
      </c>
      <c r="U195" s="16">
        <f t="shared" si="134"/>
        <v>0</v>
      </c>
      <c r="V195" s="16">
        <f t="shared" si="134"/>
        <v>0</v>
      </c>
      <c r="W195" s="16">
        <f t="shared" si="134"/>
        <v>344.30723375020193</v>
      </c>
      <c r="X195" s="16">
        <f t="shared" si="134"/>
        <v>344.30723375020193</v>
      </c>
      <c r="Y195" s="246">
        <f>SUM(P195:X195)</f>
        <v>1046.2305053490538</v>
      </c>
      <c r="Z195" s="246">
        <f>Y195+O195</f>
        <v>1046.2305053490538</v>
      </c>
      <c r="AA195" s="16">
        <f>AA196*AA199</f>
        <v>1001.7742517586724</v>
      </c>
      <c r="AB195" s="16">
        <f>AB196*AB199</f>
        <v>998.8210694119166</v>
      </c>
      <c r="AC195" s="16">
        <f>AC196*AC199</f>
        <v>1338.9901544632419</v>
      </c>
      <c r="AD195" s="16">
        <f>AD196*AD199</f>
        <v>1363.4604343102365</v>
      </c>
      <c r="AE195" s="23"/>
      <c r="AF195" s="327"/>
      <c r="AG195" s="322">
        <f t="shared" si="126"/>
        <v>0</v>
      </c>
    </row>
    <row r="196" spans="1:33" x14ac:dyDescent="0.3">
      <c r="A196" s="338" t="s">
        <v>235</v>
      </c>
      <c r="B196" s="11"/>
      <c r="E196" s="3" t="s">
        <v>298</v>
      </c>
      <c r="N196" s="15"/>
      <c r="O196" s="246">
        <v>0</v>
      </c>
      <c r="P196" s="16">
        <f>SUMIFS(INDEX(판매수량!$N$2:$V$82,0,MATCH(Revenue_HW!P$47,판매수량!$N$2:$V$2,0)),판매수량!$A$2:$A$82,Revenue_HW!$A196,판매수량!$B$2:$B$82,Revenue_HW!$AG196)</f>
        <v>0</v>
      </c>
      <c r="Q196" s="16">
        <f>SUMIFS(INDEX(판매수량!$N$2:$V$82,0,MATCH(Revenue_HW!Q$47,판매수량!$N$2:$V$2,0)),판매수량!$A$2:$A$82,Revenue_HW!$A196,판매수량!$B$2:$B$82,Revenue_HW!$AG196)</f>
        <v>0</v>
      </c>
      <c r="R196" s="16">
        <f>SUMIFS(INDEX(판매수량!$N$2:$V$82,0,MATCH(Revenue_HW!R$47,판매수량!$N$2:$V$2,0)),판매수량!$A$2:$A$82,Revenue_HW!$A196,판매수량!$B$2:$B$82,Revenue_HW!$AG196)</f>
        <v>1</v>
      </c>
      <c r="S196" s="16">
        <f>SUMIFS(INDEX(판매수량!$N$2:$V$82,0,MATCH(Revenue_HW!S$47,판매수량!$N$2:$V$2,0)),판매수량!$A$2:$A$82,Revenue_HW!$A196,판매수량!$B$2:$B$82,Revenue_HW!$AG196)</f>
        <v>0</v>
      </c>
      <c r="T196" s="16">
        <f>SUMIFS(INDEX(판매수량!$N$2:$V$82,0,MATCH(Revenue_HW!T$47,판매수량!$N$2:$V$2,0)),판매수량!$A$2:$A$82,Revenue_HW!$A196,판매수량!$B$2:$B$82,Revenue_HW!$AG196)</f>
        <v>0</v>
      </c>
      <c r="U196" s="16">
        <f>SUMIFS(INDEX(판매수량!$N$2:$V$82,0,MATCH(Revenue_HW!U$47,판매수량!$N$2:$V$2,0)),판매수량!$A$2:$A$82,Revenue_HW!$A196,판매수량!$B$2:$B$82,Revenue_HW!$AG196)</f>
        <v>0</v>
      </c>
      <c r="V196" s="16">
        <f>SUMIFS(INDEX(판매수량!$N$2:$V$82,0,MATCH(Revenue_HW!V$47,판매수량!$N$2:$V$2,0)),판매수량!$A$2:$A$82,Revenue_HW!$A196,판매수량!$B$2:$B$82,Revenue_HW!$AG196)</f>
        <v>0</v>
      </c>
      <c r="W196" s="16">
        <f>SUMIFS(INDEX(판매수량!$N$2:$V$82,0,MATCH(Revenue_HW!W$47,판매수량!$N$2:$V$2,0)),판매수량!$A$2:$A$82,Revenue_HW!$A196,판매수량!$B$2:$B$82,Revenue_HW!$AG196)</f>
        <v>1</v>
      </c>
      <c r="X196" s="16">
        <f>SUMIFS(INDEX(판매수량!$N$2:$V$82,0,MATCH(Revenue_HW!X$47,판매수량!$N$2:$V$2,0)),판매수량!$A$2:$A$82,Revenue_HW!$A196,판매수량!$B$2:$B$82,Revenue_HW!$AG196)</f>
        <v>1</v>
      </c>
      <c r="Y196" s="246">
        <f>SUM(P196:X196)</f>
        <v>3</v>
      </c>
      <c r="Z196" s="246">
        <f>Y196+O196</f>
        <v>3</v>
      </c>
      <c r="AA196" s="16">
        <f>ROUND(AA197*AA198,)</f>
        <v>3</v>
      </c>
      <c r="AB196" s="16">
        <f>ROUND(AB197*AB198,)</f>
        <v>3</v>
      </c>
      <c r="AC196" s="16">
        <f>ROUND(AC197*AC198,)</f>
        <v>4</v>
      </c>
      <c r="AD196" s="16">
        <f>ROUND(AD197*AD198,)</f>
        <v>4</v>
      </c>
      <c r="AE196" s="23"/>
      <c r="AF196" s="327"/>
      <c r="AG196" s="322" t="str">
        <f t="shared" si="126"/>
        <v>HMC</v>
      </c>
    </row>
    <row r="197" spans="1:33" x14ac:dyDescent="0.3">
      <c r="A197" s="338" t="s">
        <v>235</v>
      </c>
      <c r="B197" s="11"/>
      <c r="F197" s="3" t="s">
        <v>321</v>
      </c>
      <c r="N197" s="15"/>
      <c r="O197" s="352"/>
      <c r="P197" s="117"/>
      <c r="Q197" s="117"/>
      <c r="R197" s="117"/>
      <c r="S197" s="117"/>
      <c r="T197" s="117"/>
      <c r="U197" s="117"/>
      <c r="V197" s="117"/>
      <c r="W197" s="117"/>
      <c r="X197" s="117"/>
      <c r="Y197" s="352"/>
      <c r="Z197" s="246">
        <f>'Key Assumption'!AA63</f>
        <v>3</v>
      </c>
      <c r="AA197" s="16">
        <f>'Key Assumption'!AB63</f>
        <v>3</v>
      </c>
      <c r="AB197" s="16">
        <f>'Key Assumption'!AC63</f>
        <v>3</v>
      </c>
      <c r="AC197" s="16">
        <f>'Key Assumption'!AD63</f>
        <v>3</v>
      </c>
      <c r="AD197" s="16">
        <f>'Key Assumption'!AE63</f>
        <v>3</v>
      </c>
      <c r="AE197" s="23"/>
      <c r="AF197" s="327"/>
      <c r="AG197" s="322">
        <f t="shared" si="126"/>
        <v>0</v>
      </c>
    </row>
    <row r="198" spans="1:33" x14ac:dyDescent="0.3">
      <c r="A198" s="338" t="s">
        <v>235</v>
      </c>
      <c r="B198" s="11"/>
      <c r="F198" s="3" t="s">
        <v>322</v>
      </c>
      <c r="N198" s="15"/>
      <c r="O198" s="352"/>
      <c r="P198" s="117"/>
      <c r="Q198" s="117"/>
      <c r="R198" s="117"/>
      <c r="S198" s="117"/>
      <c r="T198" s="117"/>
      <c r="U198" s="117"/>
      <c r="V198" s="117"/>
      <c r="W198" s="117"/>
      <c r="X198" s="117"/>
      <c r="Y198" s="352"/>
      <c r="Z198" s="246">
        <f>IFERROR(Z196/Z197,)</f>
        <v>1</v>
      </c>
      <c r="AA198" s="16">
        <f>'Key Assumption'!AB175</f>
        <v>1.0705845771144278</v>
      </c>
      <c r="AB198" s="16">
        <f>'Key Assumption'!AC175</f>
        <v>1.1455223880597014</v>
      </c>
      <c r="AC198" s="16">
        <f>'Key Assumption'!AD175</f>
        <v>1.2344527363184079</v>
      </c>
      <c r="AD198" s="16">
        <f>'Key Assumption'!AE175</f>
        <v>1.3324004975124377</v>
      </c>
      <c r="AE198" s="23"/>
      <c r="AF198" s="327"/>
      <c r="AG198" s="322">
        <f t="shared" si="126"/>
        <v>0</v>
      </c>
    </row>
    <row r="199" spans="1:33" x14ac:dyDescent="0.3">
      <c r="A199" s="338" t="s">
        <v>235</v>
      </c>
      <c r="B199" s="11"/>
      <c r="E199" s="3" t="s">
        <v>306</v>
      </c>
      <c r="I199" s="291" t="s">
        <v>273</v>
      </c>
      <c r="N199" s="15"/>
      <c r="O199" s="246">
        <v>0</v>
      </c>
      <c r="P199" s="16">
        <f t="shared" ref="P199:X199" si="135">P200*P$553/10^6</f>
        <v>357.61603784865002</v>
      </c>
      <c r="Q199" s="16">
        <f t="shared" si="135"/>
        <v>357.61603784865002</v>
      </c>
      <c r="R199" s="16">
        <f t="shared" si="135"/>
        <v>357.61603784865002</v>
      </c>
      <c r="S199" s="16">
        <f t="shared" si="135"/>
        <v>352.47834756013208</v>
      </c>
      <c r="T199" s="16">
        <f t="shared" si="135"/>
        <v>352.47834756013208</v>
      </c>
      <c r="U199" s="16">
        <f t="shared" si="135"/>
        <v>352.47834756013208</v>
      </c>
      <c r="V199" s="16">
        <f t="shared" si="135"/>
        <v>344.30723375020193</v>
      </c>
      <c r="W199" s="16">
        <f t="shared" si="135"/>
        <v>344.30723375020193</v>
      </c>
      <c r="X199" s="16">
        <f t="shared" si="135"/>
        <v>344.30723375020193</v>
      </c>
      <c r="Y199" s="246">
        <f>IFERROR(Y195/Y196,)</f>
        <v>348.74350178301796</v>
      </c>
      <c r="Z199" s="246">
        <f>IFERROR(Z195/Z196,)</f>
        <v>348.74350178301796</v>
      </c>
      <c r="AA199" s="16">
        <f>AA200*AA$553/10^6</f>
        <v>333.92475058622415</v>
      </c>
      <c r="AB199" s="16">
        <f>AB200*AB$553/10^6</f>
        <v>332.94035647063885</v>
      </c>
      <c r="AC199" s="16">
        <f>AC200*AC$553/10^6</f>
        <v>334.74753861581047</v>
      </c>
      <c r="AD199" s="16">
        <f>AD200*AD$553/10^6</f>
        <v>340.86510857755911</v>
      </c>
      <c r="AE199" s="23"/>
      <c r="AF199" s="327"/>
      <c r="AG199" s="322">
        <f t="shared" si="126"/>
        <v>0</v>
      </c>
    </row>
    <row r="200" spans="1:33" x14ac:dyDescent="0.3">
      <c r="A200" s="338" t="s">
        <v>235</v>
      </c>
      <c r="B200" s="11"/>
      <c r="F200" s="3" t="s">
        <v>323</v>
      </c>
      <c r="I200" s="291" t="s">
        <v>275</v>
      </c>
      <c r="N200" s="15"/>
      <c r="O200" s="246">
        <v>0</v>
      </c>
      <c r="P200" s="16">
        <f>'Key Assumption'!R312</f>
        <v>273281.39832542418</v>
      </c>
      <c r="Q200" s="16">
        <f>'Key Assumption'!S312</f>
        <v>273281.39832542418</v>
      </c>
      <c r="R200" s="16">
        <f>'Key Assumption'!T312</f>
        <v>273281.39832542418</v>
      </c>
      <c r="S200" s="16">
        <f>'Key Assumption'!U312</f>
        <v>273281.39832542418</v>
      </c>
      <c r="T200" s="16">
        <f>'Key Assumption'!V312</f>
        <v>273281.39832542418</v>
      </c>
      <c r="U200" s="16">
        <f>'Key Assumption'!W312</f>
        <v>273281.39832542418</v>
      </c>
      <c r="V200" s="16">
        <f>'Key Assumption'!X312</f>
        <v>273281.39832542418</v>
      </c>
      <c r="W200" s="16">
        <f>'Key Assumption'!Y312</f>
        <v>273281.39832542418</v>
      </c>
      <c r="X200" s="16">
        <f>'Key Assumption'!Z312</f>
        <v>273281.39832542418</v>
      </c>
      <c r="Y200" s="246">
        <f>IFERROR(SUMPRODUCT(P200:X200,P196:X196)/Y196,)</f>
        <v>273281.39832542418</v>
      </c>
      <c r="Z200" s="246">
        <f>IFERROR((Y200*Y196+O200*O196)/Z196,)</f>
        <v>273281.39832542418</v>
      </c>
      <c r="AA200" s="16">
        <f>'Key Assumption'!AB312</f>
        <v>275016.26633686718</v>
      </c>
      <c r="AB200" s="16">
        <f>'Key Assumption'!AC312</f>
        <v>277034.74494145357</v>
      </c>
      <c r="AC200" s="16">
        <f>'Key Assumption'!AD312</f>
        <v>279119.10165580793</v>
      </c>
      <c r="AD200" s="16">
        <f>'Key Assumption'!AE312</f>
        <v>281241.8387603623</v>
      </c>
      <c r="AE200" s="23"/>
      <c r="AF200" s="327"/>
      <c r="AG200" s="322">
        <f t="shared" si="126"/>
        <v>0</v>
      </c>
    </row>
    <row r="201" spans="1:33" x14ac:dyDescent="0.3">
      <c r="A201" s="338" t="s">
        <v>235</v>
      </c>
      <c r="B201" s="11"/>
      <c r="D201" s="3" t="s">
        <v>135</v>
      </c>
      <c r="N201" s="15"/>
      <c r="O201" s="246">
        <v>0</v>
      </c>
      <c r="P201" s="16">
        <f t="shared" ref="P201:X201" si="136">P202*P205</f>
        <v>313.11134090332189</v>
      </c>
      <c r="Q201" s="16">
        <f t="shared" si="136"/>
        <v>313.11134090332189</v>
      </c>
      <c r="R201" s="16">
        <f t="shared" si="136"/>
        <v>0</v>
      </c>
      <c r="S201" s="16">
        <f t="shared" si="136"/>
        <v>0</v>
      </c>
      <c r="T201" s="16">
        <f t="shared" si="136"/>
        <v>0</v>
      </c>
      <c r="U201" s="16">
        <f t="shared" si="136"/>
        <v>0</v>
      </c>
      <c r="V201" s="16">
        <f t="shared" si="136"/>
        <v>0</v>
      </c>
      <c r="W201" s="16">
        <f t="shared" si="136"/>
        <v>301.45879443993215</v>
      </c>
      <c r="X201" s="16">
        <f t="shared" si="136"/>
        <v>0</v>
      </c>
      <c r="Y201" s="246">
        <f>SUM(P201:X201)</f>
        <v>927.68147624657593</v>
      </c>
      <c r="Z201" s="246">
        <f>Y201+O201</f>
        <v>927.68147624657593</v>
      </c>
      <c r="AA201" s="119"/>
      <c r="AB201" s="119"/>
      <c r="AC201" s="119"/>
      <c r="AD201" s="119"/>
      <c r="AE201" s="23"/>
      <c r="AF201" s="327"/>
      <c r="AG201" s="322">
        <f t="shared" si="126"/>
        <v>0</v>
      </c>
    </row>
    <row r="202" spans="1:33" x14ac:dyDescent="0.3">
      <c r="A202" s="338" t="s">
        <v>235</v>
      </c>
      <c r="B202" s="11"/>
      <c r="E202" s="3" t="s">
        <v>324</v>
      </c>
      <c r="N202" s="15"/>
      <c r="O202" s="246">
        <v>0</v>
      </c>
      <c r="P202" s="16">
        <f>SUMIFS(INDEX(판매수량!$N$2:$V$82,0,MATCH(Revenue_HW!P$47,판매수량!$N$2:$V$2,0)),판매수량!$A$2:$A$82,Revenue_HW!$A202,판매수량!$B$2:$B$82,Revenue_HW!$AG202)</f>
        <v>2</v>
      </c>
      <c r="Q202" s="16">
        <f>SUMIFS(INDEX(판매수량!$N$2:$V$82,0,MATCH(Revenue_HW!Q$47,판매수량!$N$2:$V$2,0)),판매수량!$A$2:$A$82,Revenue_HW!$A202,판매수량!$B$2:$B$82,Revenue_HW!$AG202)</f>
        <v>2</v>
      </c>
      <c r="R202" s="16">
        <f>SUMIFS(INDEX(판매수량!$N$2:$V$82,0,MATCH(Revenue_HW!R$47,판매수량!$N$2:$V$2,0)),판매수량!$A$2:$A$82,Revenue_HW!$A202,판매수량!$B$2:$B$82,Revenue_HW!$AG202)</f>
        <v>0</v>
      </c>
      <c r="S202" s="16">
        <f>SUMIFS(INDEX(판매수량!$N$2:$V$82,0,MATCH(Revenue_HW!S$47,판매수량!$N$2:$V$2,0)),판매수량!$A$2:$A$82,Revenue_HW!$A202,판매수량!$B$2:$B$82,Revenue_HW!$AG202)</f>
        <v>0</v>
      </c>
      <c r="T202" s="16">
        <f>SUMIFS(INDEX(판매수량!$N$2:$V$82,0,MATCH(Revenue_HW!T$47,판매수량!$N$2:$V$2,0)),판매수량!$A$2:$A$82,Revenue_HW!$A202,판매수량!$B$2:$B$82,Revenue_HW!$AG202)</f>
        <v>0</v>
      </c>
      <c r="U202" s="16">
        <f>SUMIFS(INDEX(판매수량!$N$2:$V$82,0,MATCH(Revenue_HW!U$47,판매수량!$N$2:$V$2,0)),판매수량!$A$2:$A$82,Revenue_HW!$A202,판매수량!$B$2:$B$82,Revenue_HW!$AG202)</f>
        <v>0</v>
      </c>
      <c r="V202" s="16">
        <f>SUMIFS(INDEX(판매수량!$N$2:$V$82,0,MATCH(Revenue_HW!V$47,판매수량!$N$2:$V$2,0)),판매수량!$A$2:$A$82,Revenue_HW!$A202,판매수량!$B$2:$B$82,Revenue_HW!$AG202)</f>
        <v>0</v>
      </c>
      <c r="W202" s="16">
        <f>SUMIFS(INDEX(판매수량!$N$2:$V$82,0,MATCH(Revenue_HW!W$47,판매수량!$N$2:$V$2,0)),판매수량!$A$2:$A$82,Revenue_HW!$A202,판매수량!$B$2:$B$82,Revenue_HW!$AG202)</f>
        <v>2</v>
      </c>
      <c r="X202" s="16">
        <f>SUMIFS(INDEX(판매수량!$N$2:$V$82,0,MATCH(Revenue_HW!X$47,판매수량!$N$2:$V$2,0)),판매수량!$A$2:$A$82,Revenue_HW!$A202,판매수량!$B$2:$B$82,Revenue_HW!$AG202)</f>
        <v>0</v>
      </c>
      <c r="Y202" s="246">
        <f>SUM(P202:X202)</f>
        <v>6</v>
      </c>
      <c r="Z202" s="246">
        <f>Y202+O202</f>
        <v>6</v>
      </c>
      <c r="AA202" s="119"/>
      <c r="AB202" s="119"/>
      <c r="AC202" s="119"/>
      <c r="AD202" s="119"/>
      <c r="AE202" s="23"/>
      <c r="AF202" s="327"/>
      <c r="AG202" s="322" t="str">
        <f t="shared" si="126"/>
        <v>단종</v>
      </c>
    </row>
    <row r="203" spans="1:33" x14ac:dyDescent="0.3">
      <c r="A203" s="338" t="s">
        <v>235</v>
      </c>
      <c r="B203" s="11"/>
      <c r="F203" s="3" t="s">
        <v>304</v>
      </c>
      <c r="N203" s="15"/>
      <c r="O203" s="352"/>
      <c r="P203" s="117"/>
      <c r="Q203" s="117"/>
      <c r="R203" s="117"/>
      <c r="S203" s="117"/>
      <c r="T203" s="117"/>
      <c r="U203" s="117"/>
      <c r="V203" s="117"/>
      <c r="W203" s="117"/>
      <c r="X203" s="117"/>
      <c r="Y203" s="352"/>
      <c r="Z203" s="246">
        <v>6</v>
      </c>
      <c r="AA203" s="119"/>
      <c r="AB203" s="119"/>
      <c r="AC203" s="119"/>
      <c r="AD203" s="119"/>
      <c r="AE203" s="23"/>
      <c r="AF203" s="327"/>
      <c r="AG203" s="322">
        <f t="shared" si="126"/>
        <v>0</v>
      </c>
    </row>
    <row r="204" spans="1:33" x14ac:dyDescent="0.3">
      <c r="A204" s="338" t="s">
        <v>235</v>
      </c>
      <c r="B204" s="11"/>
      <c r="F204" s="3" t="s">
        <v>305</v>
      </c>
      <c r="N204" s="15"/>
      <c r="O204" s="352"/>
      <c r="P204" s="117"/>
      <c r="Q204" s="117"/>
      <c r="R204" s="117"/>
      <c r="S204" s="117"/>
      <c r="T204" s="117"/>
      <c r="U204" s="117"/>
      <c r="V204" s="117"/>
      <c r="W204" s="117"/>
      <c r="X204" s="117"/>
      <c r="Y204" s="352"/>
      <c r="Z204" s="246">
        <f>IFERROR(Z202/Z203,)</f>
        <v>1</v>
      </c>
      <c r="AA204" s="119"/>
      <c r="AB204" s="119"/>
      <c r="AC204" s="119"/>
      <c r="AD204" s="119"/>
      <c r="AE204" s="23"/>
      <c r="AF204" s="327"/>
      <c r="AG204" s="322">
        <f t="shared" si="126"/>
        <v>0</v>
      </c>
    </row>
    <row r="205" spans="1:33" x14ac:dyDescent="0.3">
      <c r="A205" s="338" t="s">
        <v>235</v>
      </c>
      <c r="B205" s="11"/>
      <c r="E205" s="3" t="s">
        <v>325</v>
      </c>
      <c r="I205" s="291" t="s">
        <v>273</v>
      </c>
      <c r="N205" s="15"/>
      <c r="O205" s="246">
        <v>0</v>
      </c>
      <c r="P205" s="16">
        <f t="shared" ref="P205:X205" si="137">P206*P$553/10^6</f>
        <v>156.55567045166094</v>
      </c>
      <c r="Q205" s="16">
        <f t="shared" si="137"/>
        <v>156.55567045166094</v>
      </c>
      <c r="R205" s="16">
        <f t="shared" si="137"/>
        <v>156.55567045166094</v>
      </c>
      <c r="S205" s="16">
        <f t="shared" si="137"/>
        <v>154.30651363942553</v>
      </c>
      <c r="T205" s="16">
        <f t="shared" si="137"/>
        <v>154.30651363942553</v>
      </c>
      <c r="U205" s="16">
        <f t="shared" si="137"/>
        <v>154.30651363942553</v>
      </c>
      <c r="V205" s="16">
        <f t="shared" si="137"/>
        <v>150.72939721996607</v>
      </c>
      <c r="W205" s="16">
        <f t="shared" si="137"/>
        <v>150.72939721996607</v>
      </c>
      <c r="X205" s="16">
        <f t="shared" si="137"/>
        <v>150.72939721996607</v>
      </c>
      <c r="Y205" s="246">
        <f>IFERROR(Y201/Y202,)</f>
        <v>154.61357937442932</v>
      </c>
      <c r="Z205" s="246">
        <f>IFERROR(Z201/Z202,)</f>
        <v>154.61357937442932</v>
      </c>
      <c r="AA205" s="119"/>
      <c r="AB205" s="119"/>
      <c r="AC205" s="119"/>
      <c r="AD205" s="119"/>
      <c r="AE205" s="23"/>
      <c r="AF205" s="327"/>
      <c r="AG205" s="322">
        <f t="shared" si="126"/>
        <v>0</v>
      </c>
    </row>
    <row r="206" spans="1:33" x14ac:dyDescent="0.3">
      <c r="A206" s="338" t="s">
        <v>235</v>
      </c>
      <c r="B206" s="11"/>
      <c r="F206" s="3" t="s">
        <v>326</v>
      </c>
      <c r="I206" s="291" t="s">
        <v>275</v>
      </c>
      <c r="N206" s="15"/>
      <c r="O206" s="246">
        <v>0</v>
      </c>
      <c r="P206" s="16">
        <f>'Key Assumption'!R313</f>
        <v>119636.00065081839</v>
      </c>
      <c r="Q206" s="16">
        <f>'Key Assumption'!S313</f>
        <v>119636.00065081839</v>
      </c>
      <c r="R206" s="16">
        <f>'Key Assumption'!T313</f>
        <v>119636.00065081839</v>
      </c>
      <c r="S206" s="16">
        <f>'Key Assumption'!U313</f>
        <v>119636.00065081839</v>
      </c>
      <c r="T206" s="16">
        <f>'Key Assumption'!V313</f>
        <v>119636.00065081839</v>
      </c>
      <c r="U206" s="16">
        <f>'Key Assumption'!W313</f>
        <v>119636.00065081839</v>
      </c>
      <c r="V206" s="16">
        <f>'Key Assumption'!X313</f>
        <v>119636.00065081839</v>
      </c>
      <c r="W206" s="16">
        <f>'Key Assumption'!Y313</f>
        <v>119636.00065081839</v>
      </c>
      <c r="X206" s="16">
        <f>'Key Assumption'!Z313</f>
        <v>119636.00065081839</v>
      </c>
      <c r="Y206" s="246">
        <f>SUMPRODUCT(P206:X206,P202:X202)/Y202</f>
        <v>119636.00065081839</v>
      </c>
      <c r="Z206" s="246">
        <f>(Y206*Y202+O206*O202)/Z202</f>
        <v>119636.00065081839</v>
      </c>
      <c r="AA206" s="119"/>
      <c r="AB206" s="119"/>
      <c r="AC206" s="119"/>
      <c r="AD206" s="119"/>
      <c r="AE206" s="23"/>
      <c r="AF206" s="327"/>
      <c r="AG206" s="322">
        <f t="shared" si="126"/>
        <v>0</v>
      </c>
    </row>
    <row r="207" spans="1:33" x14ac:dyDescent="0.3">
      <c r="A207" s="338" t="s">
        <v>235</v>
      </c>
      <c r="D207" s="3" t="s">
        <v>136</v>
      </c>
      <c r="N207" s="15"/>
      <c r="O207" s="246">
        <f>O208+O210+O212+O214+O217+O218</f>
        <v>717.61323700000003</v>
      </c>
      <c r="P207" s="16">
        <f t="shared" ref="P207:X207" si="138">P208+P210+P212+P214+P217+P218</f>
        <v>222.62993781320552</v>
      </c>
      <c r="Q207" s="16">
        <f t="shared" si="138"/>
        <v>224.41114968630416</v>
      </c>
      <c r="R207" s="16">
        <f t="shared" si="138"/>
        <v>207.83407848335847</v>
      </c>
      <c r="S207" s="16">
        <f t="shared" si="138"/>
        <v>161.27534733649975</v>
      </c>
      <c r="T207" s="16">
        <f t="shared" si="138"/>
        <v>188.97063530338738</v>
      </c>
      <c r="U207" s="16">
        <f t="shared" si="138"/>
        <v>178.78929191866666</v>
      </c>
      <c r="V207" s="16">
        <f t="shared" si="138"/>
        <v>235.38077584492112</v>
      </c>
      <c r="W207" s="16">
        <f t="shared" si="138"/>
        <v>186.18582044661019</v>
      </c>
      <c r="X207" s="16">
        <f t="shared" si="138"/>
        <v>253.51499599709922</v>
      </c>
      <c r="Y207" s="246">
        <f>Y208+Y210+Y212+Y214+Y217+Y218</f>
        <v>1858.9920328300525</v>
      </c>
      <c r="Z207" s="246">
        <f>Y207+O207</f>
        <v>2576.6052698300527</v>
      </c>
      <c r="AA207" s="16">
        <f>AA208+AA210+AA212+AA214+AA217+AA218</f>
        <v>2597.4669030639884</v>
      </c>
      <c r="AB207" s="16">
        <f>AB208+AB210+AB212+AB214+AB217+AB218</f>
        <v>2863.8993049872533</v>
      </c>
      <c r="AC207" s="16">
        <f>AC208+AC210+AC212+AC214+AC217+AC218</f>
        <v>3183.5931243916152</v>
      </c>
      <c r="AD207" s="16">
        <f>AD208+AD210+AD212+AD214+AD217+AD218</f>
        <v>3639.0844606393716</v>
      </c>
      <c r="AE207" s="23"/>
      <c r="AF207" s="327"/>
      <c r="AG207" s="322">
        <f t="shared" si="126"/>
        <v>0</v>
      </c>
    </row>
    <row r="208" spans="1:33" ht="12.75" thickBot="1" x14ac:dyDescent="0.35">
      <c r="A208" s="338" t="s">
        <v>235</v>
      </c>
      <c r="E208" s="3" t="s">
        <v>307</v>
      </c>
      <c r="I208" s="341"/>
      <c r="N208" s="15"/>
      <c r="O208" s="246">
        <v>52.441394774051695</v>
      </c>
      <c r="P208" s="16">
        <f t="shared" ref="P208:X208" si="139">SUM(P$177,P$183,P$189,P$195,P$201)*P209</f>
        <v>117.07940250274328</v>
      </c>
      <c r="Q208" s="16">
        <f t="shared" si="139"/>
        <v>119.78496978079818</v>
      </c>
      <c r="R208" s="16">
        <f t="shared" si="139"/>
        <v>111.65713303741799</v>
      </c>
      <c r="S208" s="16">
        <f t="shared" si="139"/>
        <v>85.655740641164229</v>
      </c>
      <c r="T208" s="16">
        <f t="shared" si="139"/>
        <v>98.273231839856692</v>
      </c>
      <c r="U208" s="16">
        <f t="shared" si="139"/>
        <v>95.673639379907826</v>
      </c>
      <c r="V208" s="16">
        <f t="shared" si="139"/>
        <v>120.64506056559213</v>
      </c>
      <c r="W208" s="16">
        <f t="shared" si="139"/>
        <v>102.18384463131339</v>
      </c>
      <c r="X208" s="16">
        <f t="shared" si="139"/>
        <v>132.15176219455449</v>
      </c>
      <c r="Y208" s="246">
        <f>SUM(P208:X208)</f>
        <v>983.1047845733483</v>
      </c>
      <c r="Z208" s="246">
        <f>Y208+O208</f>
        <v>1035.5461793474001</v>
      </c>
      <c r="AA208" s="16">
        <f t="shared" ref="AA208:AD208" si="140">SUM(AA$177,AA$183,AA$189,AA$195,AA$201)*AA209</f>
        <v>1172.6814119572321</v>
      </c>
      <c r="AB208" s="16">
        <f t="shared" si="140"/>
        <v>1291.7011294120605</v>
      </c>
      <c r="AC208" s="16">
        <f t="shared" si="140"/>
        <v>1437.0452928770562</v>
      </c>
      <c r="AD208" s="16">
        <f t="shared" si="140"/>
        <v>1644.6742659489971</v>
      </c>
      <c r="AE208" s="23"/>
      <c r="AF208" s="327"/>
      <c r="AG208" s="322">
        <f t="shared" si="126"/>
        <v>0</v>
      </c>
    </row>
    <row r="209" spans="1:33" s="23" customFormat="1" ht="12.75" thickBot="1" x14ac:dyDescent="0.35">
      <c r="A209" s="338" t="s">
        <v>235</v>
      </c>
      <c r="F209" s="23" t="s">
        <v>317</v>
      </c>
      <c r="I209" s="339">
        <v>0.10501286621291894</v>
      </c>
      <c r="J209" s="349">
        <f>I209</f>
        <v>0.10501286621291894</v>
      </c>
      <c r="N209" s="150"/>
      <c r="O209" s="340">
        <f>O208/SUM(O$201,O$195,O$189,O$183,O$177)</f>
        <v>1.9279603749435881E-2</v>
      </c>
      <c r="P209" s="43">
        <f t="shared" ref="P209:X209" si="141">$I209</f>
        <v>0.10501286621291894</v>
      </c>
      <c r="Q209" s="43">
        <f t="shared" si="141"/>
        <v>0.10501286621291894</v>
      </c>
      <c r="R209" s="43">
        <f t="shared" si="141"/>
        <v>0.10501286621291894</v>
      </c>
      <c r="S209" s="43">
        <f t="shared" si="141"/>
        <v>0.10501286621291894</v>
      </c>
      <c r="T209" s="43">
        <f t="shared" si="141"/>
        <v>0.10501286621291894</v>
      </c>
      <c r="U209" s="43">
        <f t="shared" si="141"/>
        <v>0.10501286621291894</v>
      </c>
      <c r="V209" s="43">
        <f t="shared" si="141"/>
        <v>0.10501286621291894</v>
      </c>
      <c r="W209" s="43">
        <f t="shared" si="141"/>
        <v>0.10501286621291894</v>
      </c>
      <c r="X209" s="43">
        <f t="shared" si="141"/>
        <v>0.10501286621291894</v>
      </c>
      <c r="Y209" s="340">
        <f>Y208/SUM(Y$201,Y$195,Y$189,Y$183,Y$177)</f>
        <v>0.10501286621291894</v>
      </c>
      <c r="Z209" s="340">
        <f>Z208/SUM(Z$201,Z$195,Z$189,Z$183,Z$177)</f>
        <v>8.5711244085853344E-2</v>
      </c>
      <c r="AA209" s="17">
        <f>$J209</f>
        <v>0.10501286621291894</v>
      </c>
      <c r="AB209" s="17">
        <f>$J209</f>
        <v>0.10501286621291894</v>
      </c>
      <c r="AC209" s="17">
        <f>$J209</f>
        <v>0.10501286621291894</v>
      </c>
      <c r="AD209" s="17">
        <f>$J209</f>
        <v>0.10501286621291894</v>
      </c>
      <c r="AF209" s="327"/>
      <c r="AG209" s="322">
        <f t="shared" si="126"/>
        <v>0</v>
      </c>
    </row>
    <row r="210" spans="1:33" ht="12.75" thickBot="1" x14ac:dyDescent="0.35">
      <c r="A210" s="338" t="s">
        <v>235</v>
      </c>
      <c r="E210" s="3" t="s">
        <v>309</v>
      </c>
      <c r="I210" s="341"/>
      <c r="J210" s="341"/>
      <c r="N210" s="15"/>
      <c r="O210" s="246">
        <v>356.45739800000001</v>
      </c>
      <c r="P210" s="16">
        <f t="shared" ref="P210:X210" si="142">SUM(P$177,P$183,P$189,P$195,P$201)*P211</f>
        <v>95.709030505192075</v>
      </c>
      <c r="Q210" s="16">
        <f t="shared" si="142"/>
        <v>97.920753623125975</v>
      </c>
      <c r="R210" s="16">
        <f t="shared" si="142"/>
        <v>91.276481802596592</v>
      </c>
      <c r="S210" s="16">
        <f t="shared" si="142"/>
        <v>70.021094391713532</v>
      </c>
      <c r="T210" s="16">
        <f t="shared" si="142"/>
        <v>80.335529076382798</v>
      </c>
      <c r="U210" s="16">
        <f t="shared" si="142"/>
        <v>78.210437311890018</v>
      </c>
      <c r="V210" s="16">
        <f t="shared" si="142"/>
        <v>98.623853001833098</v>
      </c>
      <c r="W210" s="16">
        <f t="shared" si="142"/>
        <v>83.532342101993805</v>
      </c>
      <c r="X210" s="16">
        <f t="shared" si="142"/>
        <v>108.03024929083618</v>
      </c>
      <c r="Y210" s="246">
        <f>SUM(P210:X210)</f>
        <v>803.659771105564</v>
      </c>
      <c r="Z210" s="246">
        <f>Y210+O210</f>
        <v>1160.117169105564</v>
      </c>
      <c r="AA210" s="16">
        <f t="shared" ref="AA210:AD210" si="143">SUM(AA$177,AA$183,AA$189,AA$195,AA$201)*AA211</f>
        <v>958.63318936272026</v>
      </c>
      <c r="AB210" s="16">
        <f t="shared" si="143"/>
        <v>1055.9283713084651</v>
      </c>
      <c r="AC210" s="16">
        <f t="shared" si="143"/>
        <v>1174.7430276652651</v>
      </c>
      <c r="AD210" s="16">
        <f t="shared" si="143"/>
        <v>1344.4737172034054</v>
      </c>
      <c r="AE210" s="23"/>
      <c r="AF210" s="327"/>
      <c r="AG210" s="322">
        <f t="shared" si="126"/>
        <v>0</v>
      </c>
    </row>
    <row r="211" spans="1:33" s="23" customFormat="1" ht="12.75" thickBot="1" x14ac:dyDescent="0.35">
      <c r="A211" s="338" t="s">
        <v>235</v>
      </c>
      <c r="F211" s="23" t="s">
        <v>317</v>
      </c>
      <c r="I211" s="339">
        <v>8.5844985547943981E-2</v>
      </c>
      <c r="J211" s="349">
        <f>I211</f>
        <v>8.5844985547943981E-2</v>
      </c>
      <c r="N211" s="150"/>
      <c r="O211" s="340">
        <f>O210/SUM(O$201,O$195,O$189,O$183,O$177)</f>
        <v>0.13104833341304342</v>
      </c>
      <c r="P211" s="43">
        <f t="shared" ref="P211:X211" si="144">$I211</f>
        <v>8.5844985547943981E-2</v>
      </c>
      <c r="Q211" s="43">
        <f t="shared" si="144"/>
        <v>8.5844985547943981E-2</v>
      </c>
      <c r="R211" s="43">
        <f t="shared" si="144"/>
        <v>8.5844985547943981E-2</v>
      </c>
      <c r="S211" s="43">
        <f t="shared" si="144"/>
        <v>8.5844985547943981E-2</v>
      </c>
      <c r="T211" s="43">
        <f t="shared" si="144"/>
        <v>8.5844985547943981E-2</v>
      </c>
      <c r="U211" s="43">
        <f t="shared" si="144"/>
        <v>8.5844985547943981E-2</v>
      </c>
      <c r="V211" s="43">
        <f t="shared" si="144"/>
        <v>8.5844985547943981E-2</v>
      </c>
      <c r="W211" s="43">
        <f t="shared" si="144"/>
        <v>8.5844985547943981E-2</v>
      </c>
      <c r="X211" s="43">
        <f t="shared" si="144"/>
        <v>8.5844985547943981E-2</v>
      </c>
      <c r="Y211" s="340">
        <f>Y210/SUM(Y$201,Y$195,Y$189,Y$183,Y$177)</f>
        <v>8.5844985547943967E-2</v>
      </c>
      <c r="Z211" s="340">
        <f>Z210/SUM(Z$201,Z$195,Z$189,Z$183,Z$177)</f>
        <v>9.6021875057334533E-2</v>
      </c>
      <c r="AA211" s="17">
        <f>$J211</f>
        <v>8.5844985547943981E-2</v>
      </c>
      <c r="AB211" s="17">
        <f>$J211</f>
        <v>8.5844985547943981E-2</v>
      </c>
      <c r="AC211" s="17">
        <f>$J211</f>
        <v>8.5844985547943981E-2</v>
      </c>
      <c r="AD211" s="17">
        <f>$J211</f>
        <v>8.5844985547943981E-2</v>
      </c>
      <c r="AF211" s="327"/>
      <c r="AG211" s="322">
        <f t="shared" si="126"/>
        <v>0</v>
      </c>
    </row>
    <row r="212" spans="1:33" ht="12.75" thickBot="1" x14ac:dyDescent="0.35">
      <c r="A212" s="338" t="s">
        <v>235</v>
      </c>
      <c r="E212" s="3" t="s">
        <v>310</v>
      </c>
      <c r="I212" s="341"/>
      <c r="J212" s="341"/>
      <c r="N212" s="15"/>
      <c r="O212" s="246">
        <v>274.27156271543288</v>
      </c>
      <c r="P212" s="16">
        <f t="shared" ref="P212:X212" si="145">SUM(P$177,P$183,P$189,P$195,P$201)*P213</f>
        <v>32.088723803030007</v>
      </c>
      <c r="Q212" s="16">
        <f t="shared" si="145"/>
        <v>32.830256465993379</v>
      </c>
      <c r="R212" s="16">
        <f t="shared" si="145"/>
        <v>30.602606659116933</v>
      </c>
      <c r="S212" s="16">
        <f t="shared" si="145"/>
        <v>23.476233605769298</v>
      </c>
      <c r="T212" s="16">
        <f t="shared" si="145"/>
        <v>26.934392611598849</v>
      </c>
      <c r="U212" s="16">
        <f t="shared" si="145"/>
        <v>26.221905165775198</v>
      </c>
      <c r="V212" s="16">
        <f t="shared" si="145"/>
        <v>33.065987218361528</v>
      </c>
      <c r="W212" s="16">
        <f t="shared" si="145"/>
        <v>28.006200043847318</v>
      </c>
      <c r="X212" s="16">
        <f t="shared" si="145"/>
        <v>36.219704802861479</v>
      </c>
      <c r="Y212" s="246">
        <f>SUM(P212:X212)</f>
        <v>269.44601037635397</v>
      </c>
      <c r="Z212" s="246">
        <f>Y212+O212</f>
        <v>543.71757309178679</v>
      </c>
      <c r="AA212" s="16">
        <f t="shared" ref="AA212:AD212" si="146">SUM(AA$177,AA$183,AA$189,AA$195,AA$201)*AA213</f>
        <v>321.40452661057247</v>
      </c>
      <c r="AB212" s="16">
        <f t="shared" si="146"/>
        <v>354.02504532592184</v>
      </c>
      <c r="AC212" s="16">
        <f t="shared" si="146"/>
        <v>393.86047852862731</v>
      </c>
      <c r="AD212" s="16">
        <f t="shared" si="146"/>
        <v>450.76672017310574</v>
      </c>
      <c r="AE212" s="23"/>
      <c r="AF212" s="327"/>
      <c r="AG212" s="322">
        <f t="shared" si="126"/>
        <v>0</v>
      </c>
    </row>
    <row r="213" spans="1:33" s="23" customFormat="1" ht="12.75" thickBot="1" x14ac:dyDescent="0.35">
      <c r="A213" s="338" t="s">
        <v>235</v>
      </c>
      <c r="F213" s="23" t="s">
        <v>317</v>
      </c>
      <c r="I213" s="339">
        <v>2.8781568641776611E-2</v>
      </c>
      <c r="J213" s="349">
        <f>I213</f>
        <v>2.8781568641776611E-2</v>
      </c>
      <c r="N213" s="150"/>
      <c r="O213" s="340">
        <f>O212/SUM(O$201,O$195,O$189,O$183,O$177)</f>
        <v>0.10083345554928977</v>
      </c>
      <c r="P213" s="43">
        <f t="shared" ref="P213:X213" si="147">$I213</f>
        <v>2.8781568641776611E-2</v>
      </c>
      <c r="Q213" s="43">
        <f t="shared" si="147"/>
        <v>2.8781568641776611E-2</v>
      </c>
      <c r="R213" s="43">
        <f t="shared" si="147"/>
        <v>2.8781568641776611E-2</v>
      </c>
      <c r="S213" s="43">
        <f t="shared" si="147"/>
        <v>2.8781568641776611E-2</v>
      </c>
      <c r="T213" s="43">
        <f t="shared" si="147"/>
        <v>2.8781568641776611E-2</v>
      </c>
      <c r="U213" s="43">
        <f t="shared" si="147"/>
        <v>2.8781568641776611E-2</v>
      </c>
      <c r="V213" s="43">
        <f t="shared" si="147"/>
        <v>2.8781568641776611E-2</v>
      </c>
      <c r="W213" s="43">
        <f t="shared" si="147"/>
        <v>2.8781568641776611E-2</v>
      </c>
      <c r="X213" s="43">
        <f t="shared" si="147"/>
        <v>2.8781568641776611E-2</v>
      </c>
      <c r="Y213" s="340">
        <f>Y212/SUM(Y$201,Y$195,Y$189,Y$183,Y$177)</f>
        <v>2.8781568641776608E-2</v>
      </c>
      <c r="Z213" s="340">
        <f>Z212/SUM(Z$201,Z$195,Z$189,Z$183,Z$177)</f>
        <v>4.5003024056741642E-2</v>
      </c>
      <c r="AA213" s="17">
        <f>$J213</f>
        <v>2.8781568641776611E-2</v>
      </c>
      <c r="AB213" s="17">
        <f>$J213</f>
        <v>2.8781568641776611E-2</v>
      </c>
      <c r="AC213" s="17">
        <f>$J213</f>
        <v>2.8781568641776611E-2</v>
      </c>
      <c r="AD213" s="17">
        <f>$J213</f>
        <v>2.8781568641776611E-2</v>
      </c>
      <c r="AF213" s="327"/>
      <c r="AG213" s="322">
        <f t="shared" si="126"/>
        <v>0</v>
      </c>
    </row>
    <row r="214" spans="1:33" x14ac:dyDescent="0.3">
      <c r="A214" s="338" t="s">
        <v>235</v>
      </c>
      <c r="E214" s="3" t="s">
        <v>311</v>
      </c>
      <c r="I214" s="341"/>
      <c r="N214" s="15"/>
      <c r="O214" s="246">
        <v>34.442881510515413</v>
      </c>
      <c r="P214" s="16">
        <f t="shared" ref="P214:X214" si="148">P215*P216</f>
        <v>14.090269708847215</v>
      </c>
      <c r="Q214" s="16">
        <f t="shared" si="148"/>
        <v>14.090269708847215</v>
      </c>
      <c r="R214" s="16">
        <f t="shared" si="148"/>
        <v>10.959098662436721</v>
      </c>
      <c r="S214" s="16">
        <f t="shared" si="148"/>
        <v>10.959098662436721</v>
      </c>
      <c r="T214" s="16">
        <f t="shared" si="148"/>
        <v>12.524684185641968</v>
      </c>
      <c r="U214" s="16">
        <f t="shared" si="148"/>
        <v>6.2623420928209841</v>
      </c>
      <c r="V214" s="16">
        <f t="shared" si="148"/>
        <v>15.65585523205246</v>
      </c>
      <c r="W214" s="16">
        <f t="shared" si="148"/>
        <v>9.3935131392314766</v>
      </c>
      <c r="X214" s="16">
        <f t="shared" si="148"/>
        <v>14.090269708847215</v>
      </c>
      <c r="Y214" s="246">
        <f>SUM(P214:X214)</f>
        <v>108.02540110116198</v>
      </c>
      <c r="Z214" s="246">
        <f>Y214+O214</f>
        <v>142.46828261167738</v>
      </c>
      <c r="AA214" s="16">
        <f>AA215*AA216</f>
        <v>144.74777513346424</v>
      </c>
      <c r="AB214" s="16">
        <f>AB215*AB216</f>
        <v>162.24475894080607</v>
      </c>
      <c r="AC214" s="16">
        <f>AC215*AC216</f>
        <v>177.94432532066639</v>
      </c>
      <c r="AD214" s="16">
        <f>AD215*AD216</f>
        <v>199.16975731386361</v>
      </c>
      <c r="AE214" s="23"/>
      <c r="AF214" s="327"/>
      <c r="AG214" s="322">
        <f t="shared" si="126"/>
        <v>0</v>
      </c>
    </row>
    <row r="215" spans="1:33" ht="12.75" thickBot="1" x14ac:dyDescent="0.35">
      <c r="A215" s="338" t="s">
        <v>235</v>
      </c>
      <c r="F215" s="3" t="s">
        <v>312</v>
      </c>
      <c r="I215" s="341"/>
      <c r="N215" s="15"/>
      <c r="O215" s="246">
        <f>SUM(O178,O184,O190,O196,O202)</f>
        <v>22</v>
      </c>
      <c r="P215" s="16">
        <f t="shared" ref="P215:X215" si="149">SUM(P178,P184,P190,P196,P202)</f>
        <v>9</v>
      </c>
      <c r="Q215" s="16">
        <f t="shared" si="149"/>
        <v>9</v>
      </c>
      <c r="R215" s="16">
        <f t="shared" si="149"/>
        <v>7</v>
      </c>
      <c r="S215" s="16">
        <f t="shared" si="149"/>
        <v>7</v>
      </c>
      <c r="T215" s="16">
        <f t="shared" si="149"/>
        <v>8</v>
      </c>
      <c r="U215" s="16">
        <f t="shared" si="149"/>
        <v>4</v>
      </c>
      <c r="V215" s="16">
        <f t="shared" si="149"/>
        <v>10</v>
      </c>
      <c r="W215" s="16">
        <f t="shared" si="149"/>
        <v>6</v>
      </c>
      <c r="X215" s="16">
        <f t="shared" si="149"/>
        <v>9</v>
      </c>
      <c r="Y215" s="246">
        <f>SUM(P215:X215)</f>
        <v>69</v>
      </c>
      <c r="Z215" s="246">
        <f>Y215+O215</f>
        <v>91</v>
      </c>
      <c r="AA215" s="16">
        <f>SUM(AA178,AA184,AA190,AA196,AA202)</f>
        <v>91</v>
      </c>
      <c r="AB215" s="16">
        <f>SUM(AB178,AB184,AB190,AB196,AB202)</f>
        <v>100</v>
      </c>
      <c r="AC215" s="16">
        <f>SUM(AC178,AC184,AC190,AC196,AC202)</f>
        <v>110</v>
      </c>
      <c r="AD215" s="16">
        <f>SUM(AD178,AD184,AD190,AD196,AD202)</f>
        <v>123</v>
      </c>
      <c r="AE215" s="23"/>
      <c r="AF215" s="327"/>
      <c r="AG215" s="322">
        <f t="shared" si="126"/>
        <v>0</v>
      </c>
    </row>
    <row r="216" spans="1:33" ht="12.75" thickBot="1" x14ac:dyDescent="0.35">
      <c r="A216" s="338" t="s">
        <v>235</v>
      </c>
      <c r="F216" s="3" t="s">
        <v>313</v>
      </c>
      <c r="I216" s="353">
        <v>1.4497072759856635</v>
      </c>
      <c r="J216" s="354">
        <f>O216</f>
        <v>1.565585523205246</v>
      </c>
      <c r="N216" s="15"/>
      <c r="O216" s="250">
        <f>O214/O215</f>
        <v>1.565585523205246</v>
      </c>
      <c r="P216" s="247">
        <f>$J216</f>
        <v>1.565585523205246</v>
      </c>
      <c r="Q216" s="247">
        <f t="shared" ref="Q216:X216" si="150">$J216</f>
        <v>1.565585523205246</v>
      </c>
      <c r="R216" s="247">
        <f t="shared" si="150"/>
        <v>1.565585523205246</v>
      </c>
      <c r="S216" s="247">
        <f t="shared" si="150"/>
        <v>1.565585523205246</v>
      </c>
      <c r="T216" s="247">
        <f t="shared" si="150"/>
        <v>1.565585523205246</v>
      </c>
      <c r="U216" s="247">
        <f t="shared" si="150"/>
        <v>1.565585523205246</v>
      </c>
      <c r="V216" s="247">
        <f t="shared" si="150"/>
        <v>1.565585523205246</v>
      </c>
      <c r="W216" s="247">
        <f t="shared" si="150"/>
        <v>1.565585523205246</v>
      </c>
      <c r="X216" s="247">
        <f t="shared" si="150"/>
        <v>1.565585523205246</v>
      </c>
      <c r="Y216" s="250">
        <f>Y214/Y215</f>
        <v>1.565585523205246</v>
      </c>
      <c r="Z216" s="250">
        <f>Z214/Z215</f>
        <v>1.565585523205246</v>
      </c>
      <c r="AA216" s="355">
        <f>$J216*(1+'Key Assumption'!AB$13)</f>
        <v>1.59063489157653</v>
      </c>
      <c r="AB216" s="355">
        <f>$AA216*(1+'Key Assumption'!AC$13)</f>
        <v>1.6224475894080608</v>
      </c>
      <c r="AC216" s="355">
        <f>$AA216*(1+'Key Assumption'!AD$13)</f>
        <v>1.6176756847333309</v>
      </c>
      <c r="AD216" s="355">
        <f>$AA216*(1+'Key Assumption'!AE$13)</f>
        <v>1.6192663196249075</v>
      </c>
      <c r="AE216" s="23"/>
      <c r="AF216" s="327"/>
      <c r="AG216" s="322">
        <f t="shared" si="126"/>
        <v>0</v>
      </c>
    </row>
    <row r="217" spans="1:33" x14ac:dyDescent="0.3">
      <c r="A217" s="338" t="s">
        <v>235</v>
      </c>
      <c r="B217" s="23"/>
      <c r="C217" s="23"/>
      <c r="D217" s="23"/>
      <c r="E217" s="3" t="s">
        <v>314</v>
      </c>
      <c r="F217" s="23"/>
      <c r="G217" s="23"/>
      <c r="H217" s="23"/>
      <c r="I217" s="341"/>
      <c r="N217" s="15"/>
      <c r="O217" s="352"/>
      <c r="P217" s="16">
        <v>-36.337488706607026</v>
      </c>
      <c r="Q217" s="16">
        <v>-40.215099892460557</v>
      </c>
      <c r="R217" s="16">
        <v>-36.661241678209755</v>
      </c>
      <c r="S217" s="16">
        <v>-28.836819964584034</v>
      </c>
      <c r="T217" s="16">
        <v>-29.097202410092908</v>
      </c>
      <c r="U217" s="16">
        <v>-27.579032031727365</v>
      </c>
      <c r="V217" s="16">
        <v>-32.609980172918085</v>
      </c>
      <c r="W217" s="16">
        <v>-36.930079469775819</v>
      </c>
      <c r="X217" s="16">
        <v>-36.976990000000114</v>
      </c>
      <c r="Y217" s="246">
        <f>SUM(P217:X217)</f>
        <v>-305.24393432637567</v>
      </c>
      <c r="Z217" s="246">
        <f>Y217+O217</f>
        <v>-305.24393432637567</v>
      </c>
      <c r="AA217" s="278"/>
      <c r="AB217" s="278"/>
      <c r="AC217" s="278"/>
      <c r="AD217" s="278"/>
      <c r="AE217" s="23"/>
      <c r="AF217" s="327"/>
      <c r="AG217" s="322">
        <f t="shared" si="126"/>
        <v>0</v>
      </c>
    </row>
    <row r="218" spans="1:33" x14ac:dyDescent="0.3">
      <c r="A218" s="338" t="s">
        <v>235</v>
      </c>
      <c r="B218" s="23"/>
      <c r="C218" s="23"/>
      <c r="D218" s="23"/>
      <c r="E218" s="3" t="s">
        <v>136</v>
      </c>
      <c r="F218" s="23"/>
      <c r="G218" s="23"/>
      <c r="H218" s="23"/>
      <c r="N218" s="15"/>
      <c r="O218" s="352"/>
      <c r="P218" s="16">
        <v>0</v>
      </c>
      <c r="Q218" s="16">
        <v>0</v>
      </c>
      <c r="R218" s="16">
        <v>0</v>
      </c>
      <c r="S218" s="16">
        <v>0</v>
      </c>
      <c r="T218" s="16">
        <v>0</v>
      </c>
      <c r="U218" s="16">
        <v>0</v>
      </c>
      <c r="V218" s="16">
        <v>0</v>
      </c>
      <c r="W218" s="16">
        <v>0</v>
      </c>
      <c r="X218" s="16">
        <v>0</v>
      </c>
      <c r="Y218" s="246">
        <f>SUM(P218:X218)</f>
        <v>0</v>
      </c>
      <c r="Z218" s="246">
        <f>Y218+O218</f>
        <v>0</v>
      </c>
      <c r="AA218" s="119"/>
      <c r="AB218" s="119"/>
      <c r="AC218" s="119"/>
      <c r="AD218" s="119"/>
      <c r="AE218" s="23"/>
      <c r="AF218" s="327"/>
      <c r="AG218" s="322">
        <f t="shared" si="126"/>
        <v>0</v>
      </c>
    </row>
    <row r="219" spans="1:33" x14ac:dyDescent="0.3">
      <c r="A219" s="338" t="s">
        <v>236</v>
      </c>
      <c r="C219" s="3" t="s">
        <v>236</v>
      </c>
      <c r="N219" s="15"/>
      <c r="O219" s="246">
        <f>O220+O226+O232+O238+O250+O244</f>
        <v>9540.918932999999</v>
      </c>
      <c r="P219" s="16">
        <f t="shared" ref="P219:Z219" si="151">P220+P226+P232+P238+P250+P244</f>
        <v>2071.6177250446126</v>
      </c>
      <c r="Q219" s="16">
        <f t="shared" si="151"/>
        <v>1886.188430687344</v>
      </c>
      <c r="R219" s="16">
        <f t="shared" si="151"/>
        <v>2939.7359761993812</v>
      </c>
      <c r="S219" s="16">
        <f t="shared" si="151"/>
        <v>2207.4775760149987</v>
      </c>
      <c r="T219" s="16">
        <f t="shared" si="151"/>
        <v>1725.5303258330803</v>
      </c>
      <c r="U219" s="16">
        <f t="shared" si="151"/>
        <v>2320.4200116349898</v>
      </c>
      <c r="V219" s="16">
        <f t="shared" si="151"/>
        <v>1365.4360078453178</v>
      </c>
      <c r="W219" s="16">
        <f t="shared" si="151"/>
        <v>2789.5925462112023</v>
      </c>
      <c r="X219" s="16">
        <f t="shared" si="151"/>
        <v>2731.9250879170131</v>
      </c>
      <c r="Y219" s="246">
        <f>Y220+Y226+Y232+Y238+Y250+Y244</f>
        <v>20037.923687387942</v>
      </c>
      <c r="Z219" s="246">
        <f t="shared" si="151"/>
        <v>29578.842620387943</v>
      </c>
      <c r="AA219" s="16">
        <f>AA220+AA226+AA232+AA238+AA250+AA244</f>
        <v>25275.537569932709</v>
      </c>
      <c r="AB219" s="16">
        <f>AB220+AB226+AB232+AB238+AB250+AB244</f>
        <v>27138.0797274945</v>
      </c>
      <c r="AC219" s="16">
        <f>AC220+AC226+AC232+AC238+AC250+AC244</f>
        <v>30483.237564952298</v>
      </c>
      <c r="AD219" s="16">
        <f>AD220+AD226+AD232+AD238+AD250+AD244</f>
        <v>32805.240124746299</v>
      </c>
      <c r="AE219" s="23"/>
      <c r="AF219" s="327"/>
      <c r="AG219" s="322">
        <f t="shared" si="126"/>
        <v>0</v>
      </c>
    </row>
    <row r="220" spans="1:33" x14ac:dyDescent="0.3">
      <c r="A220" s="338" t="s">
        <v>236</v>
      </c>
      <c r="B220" s="11"/>
      <c r="D220" s="3" t="s">
        <v>146</v>
      </c>
      <c r="N220" s="15"/>
      <c r="O220" s="246">
        <v>0</v>
      </c>
      <c r="P220" s="16">
        <f t="shared" ref="P220:X220" si="152">P221*P224</f>
        <v>0</v>
      </c>
      <c r="Q220" s="16">
        <f t="shared" si="152"/>
        <v>232.36986707530258</v>
      </c>
      <c r="R220" s="16">
        <f t="shared" si="152"/>
        <v>232.36986707530258</v>
      </c>
      <c r="S220" s="16">
        <f t="shared" si="152"/>
        <v>0</v>
      </c>
      <c r="T220" s="16">
        <f t="shared" si="152"/>
        <v>0</v>
      </c>
      <c r="U220" s="16">
        <f t="shared" si="152"/>
        <v>0</v>
      </c>
      <c r="V220" s="16">
        <f t="shared" si="152"/>
        <v>0</v>
      </c>
      <c r="W220" s="16">
        <f t="shared" si="152"/>
        <v>447.44428477483376</v>
      </c>
      <c r="X220" s="16">
        <f t="shared" si="152"/>
        <v>0</v>
      </c>
      <c r="Y220" s="246">
        <f>SUM(P220:X220)</f>
        <v>912.18401892543898</v>
      </c>
      <c r="Z220" s="246">
        <f>Y220+O220</f>
        <v>912.18401892543898</v>
      </c>
      <c r="AA220" s="16">
        <f>AA221*AA224</f>
        <v>866.53869746578789</v>
      </c>
      <c r="AB220" s="16">
        <f>AB221*AB224</f>
        <v>1293.7099047721313</v>
      </c>
      <c r="AC220" s="16">
        <f>AC221*AC224</f>
        <v>1515.2067949510958</v>
      </c>
      <c r="AD220" s="16">
        <f>AD221*AD224</f>
        <v>1540.6841456426414</v>
      </c>
      <c r="AE220" s="23"/>
      <c r="AF220" s="327"/>
      <c r="AG220" s="322">
        <f t="shared" si="126"/>
        <v>0</v>
      </c>
    </row>
    <row r="221" spans="1:33" x14ac:dyDescent="0.3">
      <c r="A221" s="338" t="s">
        <v>236</v>
      </c>
      <c r="B221" s="11"/>
      <c r="E221" s="3" t="s">
        <v>324</v>
      </c>
      <c r="N221" s="15"/>
      <c r="O221" s="246">
        <v>0</v>
      </c>
      <c r="P221" s="16">
        <f>SUMIFS(INDEX(판매수량!$N$2:$V$82,0,MATCH(Revenue_HW!P$47,판매수량!$N$2:$V$2,0)),판매수량!$A$2:$A$82,Revenue_HW!$A221,판매수량!$B$2:$B$82,Revenue_HW!$AG221)</f>
        <v>0</v>
      </c>
      <c r="Q221" s="16">
        <f>SUMIFS(INDEX(판매수량!$N$2:$V$82,0,MATCH(Revenue_HW!Q$47,판매수량!$N$2:$V$2,0)),판매수량!$A$2:$A$82,Revenue_HW!$A221,판매수량!$B$2:$B$82,Revenue_HW!$AG221)</f>
        <v>1</v>
      </c>
      <c r="R221" s="16">
        <f>SUMIFS(INDEX(판매수량!$N$2:$V$82,0,MATCH(Revenue_HW!R$47,판매수량!$N$2:$V$2,0)),판매수량!$A$2:$A$82,Revenue_HW!$A221,판매수량!$B$2:$B$82,Revenue_HW!$AG221)</f>
        <v>1</v>
      </c>
      <c r="S221" s="16">
        <f>SUMIFS(INDEX(판매수량!$N$2:$V$82,0,MATCH(Revenue_HW!S$47,판매수량!$N$2:$V$2,0)),판매수량!$A$2:$A$82,Revenue_HW!$A221,판매수량!$B$2:$B$82,Revenue_HW!$AG221)</f>
        <v>0</v>
      </c>
      <c r="T221" s="16">
        <f>SUMIFS(INDEX(판매수량!$N$2:$V$82,0,MATCH(Revenue_HW!T$47,판매수량!$N$2:$V$2,0)),판매수량!$A$2:$A$82,Revenue_HW!$A221,판매수량!$B$2:$B$82,Revenue_HW!$AG221)</f>
        <v>0</v>
      </c>
      <c r="U221" s="16">
        <f>SUMIFS(INDEX(판매수량!$N$2:$V$82,0,MATCH(Revenue_HW!U$47,판매수량!$N$2:$V$2,0)),판매수량!$A$2:$A$82,Revenue_HW!$A221,판매수량!$B$2:$B$82,Revenue_HW!$AG221)</f>
        <v>0</v>
      </c>
      <c r="V221" s="16">
        <f>SUMIFS(INDEX(판매수량!$N$2:$V$82,0,MATCH(Revenue_HW!V$47,판매수량!$N$2:$V$2,0)),판매수량!$A$2:$A$82,Revenue_HW!$A221,판매수량!$B$2:$B$82,Revenue_HW!$AG221)</f>
        <v>0</v>
      </c>
      <c r="W221" s="16">
        <f>SUMIFS(INDEX(판매수량!$N$2:$V$82,0,MATCH(Revenue_HW!W$47,판매수량!$N$2:$V$2,0)),판매수량!$A$2:$A$82,Revenue_HW!$A221,판매수량!$B$2:$B$82,Revenue_HW!$AG221)</f>
        <v>2</v>
      </c>
      <c r="X221" s="16">
        <f>SUMIFS(INDEX(판매수량!$N$2:$V$82,0,MATCH(Revenue_HW!X$47,판매수량!$N$2:$V$2,0)),판매수량!$A$2:$A$82,Revenue_HW!$A221,판매수량!$B$2:$B$82,Revenue_HW!$AG221)</f>
        <v>0</v>
      </c>
      <c r="Y221" s="246">
        <f>SUM(P221:X221)</f>
        <v>4</v>
      </c>
      <c r="Z221" s="246">
        <f>Y221+O221</f>
        <v>4</v>
      </c>
      <c r="AA221" s="16">
        <f>ROUND(AA222*AA223,)</f>
        <v>4</v>
      </c>
      <c r="AB221" s="16">
        <f>ROUND(AB222*AB223,)</f>
        <v>6</v>
      </c>
      <c r="AC221" s="16">
        <f>ROUND(AC222*AC223,)</f>
        <v>7</v>
      </c>
      <c r="AD221" s="16">
        <f>ROUND(AD222*AD223,)</f>
        <v>7</v>
      </c>
      <c r="AE221" s="23"/>
      <c r="AF221" s="327"/>
      <c r="AG221" s="322" t="str">
        <f t="shared" si="126"/>
        <v>5축</v>
      </c>
    </row>
    <row r="222" spans="1:33" x14ac:dyDescent="0.3">
      <c r="A222" s="338" t="s">
        <v>236</v>
      </c>
      <c r="B222" s="11"/>
      <c r="F222" s="3" t="s">
        <v>304</v>
      </c>
      <c r="N222" s="15"/>
      <c r="O222" s="352"/>
      <c r="P222" s="117"/>
      <c r="Q222" s="117"/>
      <c r="R222" s="117"/>
      <c r="S222" s="117"/>
      <c r="T222" s="117"/>
      <c r="U222" s="117"/>
      <c r="V222" s="117"/>
      <c r="W222" s="117"/>
      <c r="X222" s="117"/>
      <c r="Y222" s="352"/>
      <c r="Z222" s="246">
        <f>'Key Assumption'!AA66</f>
        <v>3</v>
      </c>
      <c r="AA222" s="16">
        <f>'Key Assumption'!AB66</f>
        <v>3</v>
      </c>
      <c r="AB222" s="16">
        <f>'Key Assumption'!AC66</f>
        <v>4</v>
      </c>
      <c r="AC222" s="16">
        <f>'Key Assumption'!AD66</f>
        <v>4</v>
      </c>
      <c r="AD222" s="16">
        <f>'Key Assumption'!AE66</f>
        <v>4</v>
      </c>
      <c r="AE222" s="23"/>
      <c r="AF222" s="327"/>
      <c r="AG222" s="322">
        <f t="shared" si="126"/>
        <v>0</v>
      </c>
    </row>
    <row r="223" spans="1:33" x14ac:dyDescent="0.3">
      <c r="A223" s="338" t="s">
        <v>236</v>
      </c>
      <c r="B223" s="11"/>
      <c r="F223" s="3" t="s">
        <v>305</v>
      </c>
      <c r="N223" s="15"/>
      <c r="O223" s="352"/>
      <c r="P223" s="117"/>
      <c r="Q223" s="117"/>
      <c r="R223" s="117"/>
      <c r="S223" s="117"/>
      <c r="T223" s="117"/>
      <c r="U223" s="117"/>
      <c r="V223" s="117"/>
      <c r="W223" s="117"/>
      <c r="X223" s="117"/>
      <c r="Y223" s="352"/>
      <c r="Z223" s="246">
        <f>IFERROR(Z221/Z222,)</f>
        <v>1.3333333333333333</v>
      </c>
      <c r="AA223" s="16">
        <f>'Key Assumption'!AB178</f>
        <v>1.447302955855313</v>
      </c>
      <c r="AB223" s="16">
        <f>'Key Assumption'!AC178</f>
        <v>1.5457647891017605</v>
      </c>
      <c r="AC223" s="16">
        <f>'Key Assumption'!AD178</f>
        <v>1.6513210339139999</v>
      </c>
      <c r="AD223" s="16">
        <f>'Key Assumption'!AE178</f>
        <v>1.760145007689877</v>
      </c>
      <c r="AE223" s="23"/>
      <c r="AF223" s="327"/>
      <c r="AG223" s="322">
        <f t="shared" si="126"/>
        <v>0</v>
      </c>
    </row>
    <row r="224" spans="1:33" x14ac:dyDescent="0.3">
      <c r="A224" s="338" t="s">
        <v>236</v>
      </c>
      <c r="B224" s="11"/>
      <c r="E224" s="3" t="s">
        <v>325</v>
      </c>
      <c r="I224" s="291" t="s">
        <v>273</v>
      </c>
      <c r="N224" s="15"/>
      <c r="O224" s="246">
        <v>0</v>
      </c>
      <c r="P224" s="16">
        <f t="shared" ref="P224:X224" si="153">P225*P$553/10^6</f>
        <v>232.36986707530258</v>
      </c>
      <c r="Q224" s="16">
        <f t="shared" si="153"/>
        <v>232.36986707530258</v>
      </c>
      <c r="R224" s="16">
        <f t="shared" si="153"/>
        <v>232.36986707530258</v>
      </c>
      <c r="S224" s="16">
        <f t="shared" si="153"/>
        <v>229.03152571735077</v>
      </c>
      <c r="T224" s="16">
        <f t="shared" si="153"/>
        <v>229.03152571735077</v>
      </c>
      <c r="U224" s="16">
        <f t="shared" si="153"/>
        <v>229.03152571735077</v>
      </c>
      <c r="V224" s="16">
        <f t="shared" si="153"/>
        <v>223.72214238741688</v>
      </c>
      <c r="W224" s="16">
        <f t="shared" si="153"/>
        <v>223.72214238741688</v>
      </c>
      <c r="X224" s="16">
        <f t="shared" si="153"/>
        <v>223.72214238741688</v>
      </c>
      <c r="Y224" s="246">
        <f>IFERROR(Y220/Y221,)</f>
        <v>228.04600473135974</v>
      </c>
      <c r="Z224" s="246">
        <f>IFERROR(Z220/Z221,)</f>
        <v>228.04600473135974</v>
      </c>
      <c r="AA224" s="16">
        <f>AA225*AA$553/10^6</f>
        <v>216.63467436644697</v>
      </c>
      <c r="AB224" s="16">
        <f>AB225*AB$553/10^6</f>
        <v>215.61831746202188</v>
      </c>
      <c r="AC224" s="16">
        <f>AC225*AC$553/10^6</f>
        <v>216.45811356444227</v>
      </c>
      <c r="AD224" s="16">
        <f>AD225*AD$553/10^6</f>
        <v>220.0977350918059</v>
      </c>
      <c r="AE224" s="23"/>
      <c r="AF224" s="327"/>
      <c r="AG224" s="322">
        <f t="shared" si="126"/>
        <v>0</v>
      </c>
    </row>
    <row r="225" spans="1:33" x14ac:dyDescent="0.3">
      <c r="A225" s="338" t="s">
        <v>236</v>
      </c>
      <c r="B225" s="11"/>
      <c r="F225" s="3" t="s">
        <v>326</v>
      </c>
      <c r="I225" s="291" t="s">
        <v>275</v>
      </c>
      <c r="N225" s="15"/>
      <c r="O225" s="246">
        <v>0</v>
      </c>
      <c r="P225" s="16">
        <f>'Key Assumption'!Q315</f>
        <v>177571.3488272219</v>
      </c>
      <c r="Q225" s="16">
        <f>'Key Assumption'!R315</f>
        <v>177571.3488272219</v>
      </c>
      <c r="R225" s="16">
        <f>'Key Assumption'!S315</f>
        <v>177571.3488272219</v>
      </c>
      <c r="S225" s="16">
        <f>'Key Assumption'!T315</f>
        <v>177571.3488272219</v>
      </c>
      <c r="T225" s="16">
        <f>'Key Assumption'!U315</f>
        <v>177571.3488272219</v>
      </c>
      <c r="U225" s="16">
        <f>'Key Assumption'!V315</f>
        <v>177571.3488272219</v>
      </c>
      <c r="V225" s="16">
        <f>'Key Assumption'!W315</f>
        <v>177571.3488272219</v>
      </c>
      <c r="W225" s="16">
        <f>'Key Assumption'!X315</f>
        <v>177571.3488272219</v>
      </c>
      <c r="X225" s="16">
        <f>'Key Assumption'!Y315</f>
        <v>177571.3488272219</v>
      </c>
      <c r="Y225" s="246">
        <f>SUMPRODUCT(P225:X225,P221:X221)/Y221</f>
        <v>177571.3488272219</v>
      </c>
      <c r="Z225" s="246">
        <f>(Y225*Y221+O225*O221)/Z221</f>
        <v>177571.3488272219</v>
      </c>
      <c r="AA225" s="16">
        <f>'Key Assumption'!AB315</f>
        <v>178417.62013378929</v>
      </c>
      <c r="AB225" s="16">
        <f>'Key Assumption'!AC315</f>
        <v>179412.81200035106</v>
      </c>
      <c r="AC225" s="16">
        <f>'Key Assumption'!AD315</f>
        <v>180487.04541352647</v>
      </c>
      <c r="AD225" s="16">
        <f>'Key Assumption'!AE315</f>
        <v>181598.79132987285</v>
      </c>
      <c r="AE225" s="23"/>
      <c r="AF225" s="327"/>
      <c r="AG225" s="322">
        <f t="shared" si="126"/>
        <v>0</v>
      </c>
    </row>
    <row r="226" spans="1:33" x14ac:dyDescent="0.3">
      <c r="A226" s="338" t="s">
        <v>236</v>
      </c>
      <c r="B226" s="11"/>
      <c r="D226" s="3" t="s">
        <v>147</v>
      </c>
      <c r="N226" s="15"/>
      <c r="O226" s="246">
        <v>2700.503588</v>
      </c>
      <c r="P226" s="16">
        <f t="shared" ref="P226:X226" si="154">P227*P230</f>
        <v>653.67758885355079</v>
      </c>
      <c r="Q226" s="16">
        <f t="shared" si="154"/>
        <v>915.14862439497097</v>
      </c>
      <c r="R226" s="16">
        <f t="shared" si="154"/>
        <v>1045.8841421656812</v>
      </c>
      <c r="S226" s="16">
        <f t="shared" si="154"/>
        <v>644.28653072238262</v>
      </c>
      <c r="T226" s="16">
        <f t="shared" si="154"/>
        <v>515.4292245779061</v>
      </c>
      <c r="U226" s="16">
        <f t="shared" si="154"/>
        <v>515.4292245779061</v>
      </c>
      <c r="V226" s="16">
        <f t="shared" si="154"/>
        <v>629.35075209887577</v>
      </c>
      <c r="W226" s="16">
        <f t="shared" si="154"/>
        <v>629.35075209887577</v>
      </c>
      <c r="X226" s="16">
        <f t="shared" si="154"/>
        <v>629.35075209887577</v>
      </c>
      <c r="Y226" s="246">
        <f>SUM(P226:X226)</f>
        <v>6177.9075915890262</v>
      </c>
      <c r="Z226" s="246">
        <f>Y226+O226</f>
        <v>8878.4111795890258</v>
      </c>
      <c r="AA226" s="16">
        <f>AA227*AA230</f>
        <v>8798.7200946245375</v>
      </c>
      <c r="AB226" s="16">
        <f>AB227*AB230</f>
        <v>9469.4849065217531</v>
      </c>
      <c r="AC226" s="16">
        <f>AC227*AC230</f>
        <v>10102.81699765616</v>
      </c>
      <c r="AD226" s="16">
        <f>AD227*AD230</f>
        <v>10757.031100455106</v>
      </c>
      <c r="AE226" s="23"/>
      <c r="AF226" s="327"/>
      <c r="AG226" s="322">
        <f t="shared" si="126"/>
        <v>0</v>
      </c>
    </row>
    <row r="227" spans="1:33" x14ac:dyDescent="0.3">
      <c r="A227" s="338" t="s">
        <v>236</v>
      </c>
      <c r="B227" s="11"/>
      <c r="E227" s="3" t="s">
        <v>298</v>
      </c>
      <c r="N227" s="15"/>
      <c r="O227" s="246">
        <v>22</v>
      </c>
      <c r="P227" s="16">
        <f>SUMIFS(INDEX(판매수량!$N$2:$V$82,0,MATCH(Revenue_HW!P$47,판매수량!$N$2:$V$2,0)),판매수량!$A$2:$A$82,Revenue_HW!$A227,판매수량!$B$2:$B$82,Revenue_HW!$AG227)</f>
        <v>5</v>
      </c>
      <c r="Q227" s="16">
        <f>SUMIFS(INDEX(판매수량!$N$2:$V$82,0,MATCH(Revenue_HW!Q$47,판매수량!$N$2:$V$2,0)),판매수량!$A$2:$A$82,Revenue_HW!$A227,판매수량!$B$2:$B$82,Revenue_HW!$AG227)</f>
        <v>7</v>
      </c>
      <c r="R227" s="16">
        <f>SUMIFS(INDEX(판매수량!$N$2:$V$82,0,MATCH(Revenue_HW!R$47,판매수량!$N$2:$V$2,0)),판매수량!$A$2:$A$82,Revenue_HW!$A227,판매수량!$B$2:$B$82,Revenue_HW!$AG227)</f>
        <v>8</v>
      </c>
      <c r="S227" s="16">
        <f>SUMIFS(INDEX(판매수량!$N$2:$V$82,0,MATCH(Revenue_HW!S$47,판매수량!$N$2:$V$2,0)),판매수량!$A$2:$A$82,Revenue_HW!$A227,판매수량!$B$2:$B$82,Revenue_HW!$AG227)</f>
        <v>5</v>
      </c>
      <c r="T227" s="16">
        <f>SUMIFS(INDEX(판매수량!$N$2:$V$82,0,MATCH(Revenue_HW!T$47,판매수량!$N$2:$V$2,0)),판매수량!$A$2:$A$82,Revenue_HW!$A227,판매수량!$B$2:$B$82,Revenue_HW!$AG227)</f>
        <v>4</v>
      </c>
      <c r="U227" s="16">
        <f>SUMIFS(INDEX(판매수량!$N$2:$V$82,0,MATCH(Revenue_HW!U$47,판매수량!$N$2:$V$2,0)),판매수량!$A$2:$A$82,Revenue_HW!$A227,판매수량!$B$2:$B$82,Revenue_HW!$AG227)</f>
        <v>4</v>
      </c>
      <c r="V227" s="16">
        <f>SUMIFS(INDEX(판매수량!$N$2:$V$82,0,MATCH(Revenue_HW!V$47,판매수량!$N$2:$V$2,0)),판매수량!$A$2:$A$82,Revenue_HW!$A227,판매수량!$B$2:$B$82,Revenue_HW!$AG227)</f>
        <v>5</v>
      </c>
      <c r="W227" s="16">
        <f>SUMIFS(INDEX(판매수량!$N$2:$V$82,0,MATCH(Revenue_HW!W$47,판매수량!$N$2:$V$2,0)),판매수량!$A$2:$A$82,Revenue_HW!$A227,판매수량!$B$2:$B$82,Revenue_HW!$AG227)</f>
        <v>5</v>
      </c>
      <c r="X227" s="16">
        <f>SUMIFS(INDEX(판매수량!$N$2:$V$82,0,MATCH(Revenue_HW!X$47,판매수량!$N$2:$V$2,0)),판매수량!$A$2:$A$82,Revenue_HW!$A227,판매수량!$B$2:$B$82,Revenue_HW!$AG227)</f>
        <v>5</v>
      </c>
      <c r="Y227" s="246">
        <f>SUM(P227:X227)</f>
        <v>48</v>
      </c>
      <c r="Z227" s="246">
        <f>Y227+O227</f>
        <v>70</v>
      </c>
      <c r="AA227" s="16">
        <f>ROUND(AA228*AA229,)</f>
        <v>74</v>
      </c>
      <c r="AB227" s="16">
        <f>ROUND(AB228*AB229,)</f>
        <v>80</v>
      </c>
      <c r="AC227" s="16">
        <f>ROUND(AC228*AC229,)</f>
        <v>85</v>
      </c>
      <c r="AD227" s="16">
        <f>ROUND(AD228*AD229,)</f>
        <v>89</v>
      </c>
      <c r="AE227" s="23"/>
      <c r="AF227" s="327"/>
      <c r="AG227" s="322" t="str">
        <f t="shared" si="126"/>
        <v>선반</v>
      </c>
    </row>
    <row r="228" spans="1:33" x14ac:dyDescent="0.3">
      <c r="A228" s="338" t="s">
        <v>236</v>
      </c>
      <c r="B228" s="11"/>
      <c r="F228" s="3" t="s">
        <v>321</v>
      </c>
      <c r="N228" s="15"/>
      <c r="O228" s="352"/>
      <c r="P228" s="117"/>
      <c r="Q228" s="117"/>
      <c r="R228" s="117"/>
      <c r="S228" s="117"/>
      <c r="T228" s="117"/>
      <c r="U228" s="117"/>
      <c r="V228" s="117"/>
      <c r="W228" s="117"/>
      <c r="X228" s="117"/>
      <c r="Y228" s="352"/>
      <c r="Z228" s="246">
        <f>'Key Assumption'!AA67</f>
        <v>29</v>
      </c>
      <c r="AA228" s="16">
        <f>'Key Assumption'!AB67</f>
        <v>29</v>
      </c>
      <c r="AB228" s="16">
        <f>'Key Assumption'!AC67</f>
        <v>30</v>
      </c>
      <c r="AC228" s="16">
        <f>'Key Assumption'!AD67</f>
        <v>30</v>
      </c>
      <c r="AD228" s="16">
        <f>'Key Assumption'!AE67</f>
        <v>30</v>
      </c>
      <c r="AE228" s="23"/>
      <c r="AF228" s="327"/>
      <c r="AG228" s="322">
        <f t="shared" si="126"/>
        <v>0</v>
      </c>
    </row>
    <row r="229" spans="1:33" x14ac:dyDescent="0.3">
      <c r="A229" s="338" t="s">
        <v>236</v>
      </c>
      <c r="B229" s="11"/>
      <c r="F229" s="3" t="s">
        <v>322</v>
      </c>
      <c r="N229" s="15"/>
      <c r="O229" s="352"/>
      <c r="P229" s="117"/>
      <c r="Q229" s="117"/>
      <c r="R229" s="117"/>
      <c r="S229" s="117"/>
      <c r="T229" s="117"/>
      <c r="U229" s="117"/>
      <c r="V229" s="117"/>
      <c r="W229" s="117"/>
      <c r="X229" s="117"/>
      <c r="Y229" s="352"/>
      <c r="Z229" s="246">
        <f>IFERROR(Z227/Z228,)</f>
        <v>2.4137931034482758</v>
      </c>
      <c r="AA229" s="16">
        <f>'Key Assumption'!AB179</f>
        <v>2.5442572605220208</v>
      </c>
      <c r="AB229" s="16">
        <f>'Key Assumption'!AC179</f>
        <v>2.6805685919419249</v>
      </c>
      <c r="AC229" s="16">
        <f>'Key Assumption'!AD179</f>
        <v>2.825628592282782</v>
      </c>
      <c r="AD229" s="16">
        <f>'Key Assumption'!AE179</f>
        <v>2.9821767437319617</v>
      </c>
      <c r="AE229" s="23"/>
      <c r="AF229" s="327"/>
      <c r="AG229" s="322">
        <f t="shared" si="126"/>
        <v>0</v>
      </c>
    </row>
    <row r="230" spans="1:33" x14ac:dyDescent="0.3">
      <c r="A230" s="338" t="s">
        <v>236</v>
      </c>
      <c r="B230" s="11"/>
      <c r="E230" s="3" t="s">
        <v>306</v>
      </c>
      <c r="I230" s="291" t="s">
        <v>273</v>
      </c>
      <c r="N230" s="15"/>
      <c r="O230" s="246">
        <f>O226/O227</f>
        <v>122.7501630909091</v>
      </c>
      <c r="P230" s="16">
        <f t="shared" ref="P230:X230" si="155">P231*P$553/10^6</f>
        <v>130.73551777071015</v>
      </c>
      <c r="Q230" s="16">
        <f t="shared" si="155"/>
        <v>130.73551777071015</v>
      </c>
      <c r="R230" s="16">
        <f t="shared" si="155"/>
        <v>130.73551777071015</v>
      </c>
      <c r="S230" s="16">
        <f t="shared" si="155"/>
        <v>128.85730614447652</v>
      </c>
      <c r="T230" s="16">
        <f t="shared" si="155"/>
        <v>128.85730614447652</v>
      </c>
      <c r="U230" s="16">
        <f t="shared" si="155"/>
        <v>128.85730614447652</v>
      </c>
      <c r="V230" s="16">
        <f t="shared" si="155"/>
        <v>125.87015041977514</v>
      </c>
      <c r="W230" s="16">
        <f t="shared" si="155"/>
        <v>125.87015041977514</v>
      </c>
      <c r="X230" s="16">
        <f t="shared" si="155"/>
        <v>125.87015041977514</v>
      </c>
      <c r="Y230" s="246">
        <f>IFERROR(Y226/Y227,)</f>
        <v>128.70640815810472</v>
      </c>
      <c r="Z230" s="246">
        <f>IFERROR(Z226/Z227,)</f>
        <v>126.83444542270037</v>
      </c>
      <c r="AA230" s="16">
        <f>AA231*AA$553/10^6</f>
        <v>118.90162290033159</v>
      </c>
      <c r="AB230" s="16">
        <f>AB231*AB$553/10^6</f>
        <v>118.3685613315219</v>
      </c>
      <c r="AC230" s="16">
        <f>AC231*AC$553/10^6</f>
        <v>118.85667056066072</v>
      </c>
      <c r="AD230" s="16">
        <f>AD231*AD$553/10^6</f>
        <v>120.86551798264165</v>
      </c>
      <c r="AE230" s="23"/>
      <c r="AF230" s="327"/>
      <c r="AG230" s="322">
        <f t="shared" si="126"/>
        <v>0</v>
      </c>
    </row>
    <row r="231" spans="1:33" x14ac:dyDescent="0.3">
      <c r="A231" s="338" t="s">
        <v>236</v>
      </c>
      <c r="B231" s="11"/>
      <c r="F231" s="3" t="s">
        <v>323</v>
      </c>
      <c r="I231" s="291" t="s">
        <v>275</v>
      </c>
      <c r="N231" s="15"/>
      <c r="O231" s="246">
        <v>92105.045417123096</v>
      </c>
      <c r="P231" s="16">
        <f>'Key Assumption'!Q316</f>
        <v>99904.873735832312</v>
      </c>
      <c r="Q231" s="16">
        <f>'Key Assumption'!R316</f>
        <v>99904.873735832312</v>
      </c>
      <c r="R231" s="16">
        <f>'Key Assumption'!S316</f>
        <v>99904.873735832312</v>
      </c>
      <c r="S231" s="16">
        <f>'Key Assumption'!T316</f>
        <v>99904.873735832312</v>
      </c>
      <c r="T231" s="16">
        <f>'Key Assumption'!U316</f>
        <v>99904.873735832312</v>
      </c>
      <c r="U231" s="16">
        <f>'Key Assumption'!V316</f>
        <v>99904.873735832312</v>
      </c>
      <c r="V231" s="16">
        <f>'Key Assumption'!W316</f>
        <v>99904.873735832312</v>
      </c>
      <c r="W231" s="16">
        <f>'Key Assumption'!X316</f>
        <v>99904.873735832312</v>
      </c>
      <c r="X231" s="16">
        <f>'Key Assumption'!Y316</f>
        <v>99904.873735832312</v>
      </c>
      <c r="Y231" s="246">
        <f>SUMPRODUCT(P231:X231,P227:X227)/Y227</f>
        <v>99904.873735832298</v>
      </c>
      <c r="Z231" s="246">
        <f>(Y231*Y227+O231*O227)/Z227</f>
        <v>97453.499121380839</v>
      </c>
      <c r="AA231" s="16">
        <f>'Key Assumption'!AB316</f>
        <v>97925.895981165857</v>
      </c>
      <c r="AB231" s="16">
        <f>'Key Assumption'!AC316</f>
        <v>98492.728683243389</v>
      </c>
      <c r="AC231" s="16">
        <f>'Key Assumption'!AD316</f>
        <v>99105.036738648152</v>
      </c>
      <c r="AD231" s="16">
        <f>'Key Assumption'!AE316</f>
        <v>99724.024738153181</v>
      </c>
      <c r="AE231" s="23"/>
      <c r="AF231" s="327"/>
      <c r="AG231" s="322">
        <f t="shared" si="126"/>
        <v>0</v>
      </c>
    </row>
    <row r="232" spans="1:33" x14ac:dyDescent="0.3">
      <c r="A232" s="338" t="s">
        <v>236</v>
      </c>
      <c r="B232" s="160"/>
      <c r="C232" s="23"/>
      <c r="D232" s="3" t="s">
        <v>148</v>
      </c>
      <c r="E232" s="23"/>
      <c r="F232" s="23"/>
      <c r="G232" s="23"/>
      <c r="H232" s="23"/>
      <c r="N232" s="15"/>
      <c r="O232" s="246">
        <v>2129.9557399999999</v>
      </c>
      <c r="P232" s="16">
        <f t="shared" ref="P232:X232" si="156">P233*P236</f>
        <v>99.842195718875303</v>
      </c>
      <c r="Q232" s="16">
        <f t="shared" si="156"/>
        <v>299.52658715662591</v>
      </c>
      <c r="R232" s="16">
        <f t="shared" si="156"/>
        <v>299.52658715662591</v>
      </c>
      <c r="S232" s="16">
        <f t="shared" si="156"/>
        <v>393.63125183617717</v>
      </c>
      <c r="T232" s="16">
        <f t="shared" si="156"/>
        <v>393.63125183617717</v>
      </c>
      <c r="U232" s="16">
        <f t="shared" si="156"/>
        <v>196.81562591808859</v>
      </c>
      <c r="V232" s="16">
        <f t="shared" si="156"/>
        <v>192.25306799054104</v>
      </c>
      <c r="W232" s="16">
        <f t="shared" si="156"/>
        <v>192.25306799054104</v>
      </c>
      <c r="X232" s="16">
        <f t="shared" si="156"/>
        <v>192.25306799054104</v>
      </c>
      <c r="Y232" s="246">
        <f>SUM(P232:X232)</f>
        <v>2259.7327035941935</v>
      </c>
      <c r="Z232" s="246">
        <f>Y232+O232</f>
        <v>4389.6884435941938</v>
      </c>
      <c r="AA232" s="16">
        <f>AA233*AA236</f>
        <v>4309.9932260129444</v>
      </c>
      <c r="AB232" s="16">
        <f>AB233*AB236</f>
        <v>4618.761122640818</v>
      </c>
      <c r="AC232" s="16">
        <f>AC233*AC236</f>
        <v>5831.3965896233685</v>
      </c>
      <c r="AD232" s="16">
        <f>AD233*AD236</f>
        <v>6377.861457596302</v>
      </c>
      <c r="AE232" s="23"/>
      <c r="AF232" s="327"/>
      <c r="AG232" s="322">
        <f t="shared" si="126"/>
        <v>0</v>
      </c>
    </row>
    <row r="233" spans="1:33" x14ac:dyDescent="0.3">
      <c r="A233" s="338" t="s">
        <v>236</v>
      </c>
      <c r="B233" s="11"/>
      <c r="E233" s="3" t="s">
        <v>298</v>
      </c>
      <c r="N233" s="15"/>
      <c r="O233" s="246">
        <v>15</v>
      </c>
      <c r="P233" s="16">
        <f>SUMIFS(INDEX(판매수량!$N$2:$V$82,0,MATCH(Revenue_HW!P$47,판매수량!$N$2:$V$2,0)),판매수량!$A$2:$A$82,Revenue_HW!$A233,판매수량!$B$2:$B$82,Revenue_HW!$AG233)</f>
        <v>1</v>
      </c>
      <c r="Q233" s="16">
        <f>SUMIFS(INDEX(판매수량!$N$2:$V$82,0,MATCH(Revenue_HW!Q$47,판매수량!$N$2:$V$2,0)),판매수량!$A$2:$A$82,Revenue_HW!$A233,판매수량!$B$2:$B$82,Revenue_HW!$AG233)</f>
        <v>3</v>
      </c>
      <c r="R233" s="16">
        <f>SUMIFS(INDEX(판매수량!$N$2:$V$82,0,MATCH(Revenue_HW!R$47,판매수량!$N$2:$V$2,0)),판매수량!$A$2:$A$82,Revenue_HW!$A233,판매수량!$B$2:$B$82,Revenue_HW!$AG233)</f>
        <v>3</v>
      </c>
      <c r="S233" s="16">
        <f>SUMIFS(INDEX(판매수량!$N$2:$V$82,0,MATCH(Revenue_HW!S$47,판매수량!$N$2:$V$2,0)),판매수량!$A$2:$A$82,Revenue_HW!$A233,판매수량!$B$2:$B$82,Revenue_HW!$AG233)</f>
        <v>4</v>
      </c>
      <c r="T233" s="16">
        <f>SUMIFS(INDEX(판매수량!$N$2:$V$82,0,MATCH(Revenue_HW!T$47,판매수량!$N$2:$V$2,0)),판매수량!$A$2:$A$82,Revenue_HW!$A233,판매수량!$B$2:$B$82,Revenue_HW!$AG233)</f>
        <v>4</v>
      </c>
      <c r="U233" s="16">
        <f>SUMIFS(INDEX(판매수량!$N$2:$V$82,0,MATCH(Revenue_HW!U$47,판매수량!$N$2:$V$2,0)),판매수량!$A$2:$A$82,Revenue_HW!$A233,판매수량!$B$2:$B$82,Revenue_HW!$AG233)</f>
        <v>2</v>
      </c>
      <c r="V233" s="16">
        <f>SUMIFS(INDEX(판매수량!$N$2:$V$82,0,MATCH(Revenue_HW!V$47,판매수량!$N$2:$V$2,0)),판매수량!$A$2:$A$82,Revenue_HW!$A233,판매수량!$B$2:$B$82,Revenue_HW!$AG233)</f>
        <v>2</v>
      </c>
      <c r="W233" s="16">
        <f>SUMIFS(INDEX(판매수량!$N$2:$V$82,0,MATCH(Revenue_HW!W$47,판매수량!$N$2:$V$2,0)),판매수량!$A$2:$A$82,Revenue_HW!$A233,판매수량!$B$2:$B$82,Revenue_HW!$AG233)</f>
        <v>2</v>
      </c>
      <c r="X233" s="16">
        <f>SUMIFS(INDEX(판매수량!$N$2:$V$82,0,MATCH(Revenue_HW!X$47,판매수량!$N$2:$V$2,0)),판매수량!$A$2:$A$82,Revenue_HW!$A233,판매수량!$B$2:$B$82,Revenue_HW!$AG233)</f>
        <v>2</v>
      </c>
      <c r="Y233" s="246">
        <f>SUM(P233:X233)</f>
        <v>23</v>
      </c>
      <c r="Z233" s="246">
        <f>Y233+O233</f>
        <v>38</v>
      </c>
      <c r="AA233" s="16">
        <f>ROUND(AA234*AA235,)</f>
        <v>40</v>
      </c>
      <c r="AB233" s="16">
        <f>ROUND(AB234*AB235,)</f>
        <v>43</v>
      </c>
      <c r="AC233" s="16">
        <f>ROUND(AC234*AC235,)</f>
        <v>54</v>
      </c>
      <c r="AD233" s="16">
        <f>ROUND(AD234*AD235,)</f>
        <v>58</v>
      </c>
      <c r="AE233" s="23"/>
      <c r="AF233" s="327"/>
      <c r="AG233" s="322" t="str">
        <f t="shared" si="126"/>
        <v>VMC</v>
      </c>
    </row>
    <row r="234" spans="1:33" x14ac:dyDescent="0.3">
      <c r="A234" s="338" t="s">
        <v>236</v>
      </c>
      <c r="B234" s="11"/>
      <c r="F234" s="3" t="s">
        <v>321</v>
      </c>
      <c r="N234" s="15"/>
      <c r="O234" s="352"/>
      <c r="P234" s="117"/>
      <c r="Q234" s="117"/>
      <c r="R234" s="117"/>
      <c r="S234" s="117"/>
      <c r="T234" s="117"/>
      <c r="U234" s="117"/>
      <c r="V234" s="117"/>
      <c r="W234" s="117"/>
      <c r="X234" s="117"/>
      <c r="Y234" s="352"/>
      <c r="Z234" s="246">
        <f>'Key Assumption'!AA68</f>
        <v>5</v>
      </c>
      <c r="AA234" s="16">
        <f>'Key Assumption'!AB68</f>
        <v>5</v>
      </c>
      <c r="AB234" s="16">
        <f>'Key Assumption'!AC68</f>
        <v>5</v>
      </c>
      <c r="AC234" s="16">
        <f>'Key Assumption'!AD68</f>
        <v>6</v>
      </c>
      <c r="AD234" s="16">
        <f>'Key Assumption'!AE68</f>
        <v>6</v>
      </c>
      <c r="AE234" s="23"/>
      <c r="AF234" s="327"/>
      <c r="AG234" s="322">
        <f t="shared" si="126"/>
        <v>0</v>
      </c>
    </row>
    <row r="235" spans="1:33" x14ac:dyDescent="0.3">
      <c r="A235" s="338" t="s">
        <v>236</v>
      </c>
      <c r="B235" s="11"/>
      <c r="F235" s="3" t="s">
        <v>322</v>
      </c>
      <c r="N235" s="15"/>
      <c r="O235" s="352"/>
      <c r="P235" s="117"/>
      <c r="Q235" s="117"/>
      <c r="R235" s="117"/>
      <c r="S235" s="117"/>
      <c r="T235" s="117"/>
      <c r="U235" s="117"/>
      <c r="V235" s="117"/>
      <c r="W235" s="117"/>
      <c r="X235" s="117"/>
      <c r="Y235" s="352"/>
      <c r="Z235" s="246">
        <f>IFERROR(Z233/Z234,)</f>
        <v>7.6</v>
      </c>
      <c r="AA235" s="16">
        <f>'Key Assumption'!AB180</f>
        <v>8.0566525698370626</v>
      </c>
      <c r="AB235" s="16">
        <f>'Key Assumption'!AC180</f>
        <v>8.5319360572943079</v>
      </c>
      <c r="AC235" s="16">
        <f>'Key Assumption'!AD180</f>
        <v>9.039750492533388</v>
      </c>
      <c r="AD235" s="16">
        <f>'Key Assumption'!AE180</f>
        <v>9.5992145135310327</v>
      </c>
      <c r="AE235" s="23"/>
      <c r="AF235" s="327"/>
      <c r="AG235" s="322">
        <f t="shared" si="126"/>
        <v>0</v>
      </c>
    </row>
    <row r="236" spans="1:33" x14ac:dyDescent="0.3">
      <c r="A236" s="338" t="s">
        <v>236</v>
      </c>
      <c r="B236" s="11"/>
      <c r="E236" s="3" t="s">
        <v>306</v>
      </c>
      <c r="I236" s="291" t="s">
        <v>273</v>
      </c>
      <c r="N236" s="15"/>
      <c r="O236" s="246">
        <f>O232/O233</f>
        <v>141.99704933333334</v>
      </c>
      <c r="P236" s="16">
        <f t="shared" ref="P236:X236" si="157">P237*P$553/10^6</f>
        <v>99.842195718875303</v>
      </c>
      <c r="Q236" s="16">
        <f>Q237*Q$553/10^6</f>
        <v>99.842195718875303</v>
      </c>
      <c r="R236" s="16">
        <f t="shared" si="157"/>
        <v>99.842195718875303</v>
      </c>
      <c r="S236" s="16">
        <f t="shared" si="157"/>
        <v>98.407812959044293</v>
      </c>
      <c r="T236" s="16">
        <f t="shared" si="157"/>
        <v>98.407812959044293</v>
      </c>
      <c r="U236" s="16">
        <f t="shared" si="157"/>
        <v>98.407812959044293</v>
      </c>
      <c r="V236" s="16">
        <f t="shared" si="157"/>
        <v>96.12653399527052</v>
      </c>
      <c r="W236" s="16">
        <f t="shared" si="157"/>
        <v>96.12653399527052</v>
      </c>
      <c r="X236" s="16">
        <f t="shared" si="157"/>
        <v>96.12653399527052</v>
      </c>
      <c r="Y236" s="246">
        <f>IFERROR(Y232/Y233,)</f>
        <v>98.249247982356238</v>
      </c>
      <c r="Z236" s="246">
        <f>IFERROR(Z232/Z233,)</f>
        <v>115.51811693668931</v>
      </c>
      <c r="AA236" s="16">
        <f>AA237*AA$553/10^6</f>
        <v>107.74983065032362</v>
      </c>
      <c r="AB236" s="16">
        <f>AB237*AB$553/10^6</f>
        <v>107.41304936373994</v>
      </c>
      <c r="AC236" s="16">
        <f>AC237*AC$553/10^6</f>
        <v>107.98882573376609</v>
      </c>
      <c r="AD236" s="16">
        <f>AD237*AD$553/10^6</f>
        <v>109.96312857924659</v>
      </c>
      <c r="AE236" s="23"/>
      <c r="AF236" s="327"/>
      <c r="AG236" s="322">
        <f t="shared" si="126"/>
        <v>0</v>
      </c>
    </row>
    <row r="237" spans="1:33" x14ac:dyDescent="0.3">
      <c r="A237" s="338" t="s">
        <v>236</v>
      </c>
      <c r="B237" s="11"/>
      <c r="F237" s="3" t="s">
        <v>323</v>
      </c>
      <c r="I237" s="291" t="s">
        <v>275</v>
      </c>
      <c r="N237" s="15"/>
      <c r="O237" s="246">
        <v>106437.99991002362</v>
      </c>
      <c r="P237" s="16">
        <f>'Key Assumption'!Q317</f>
        <v>76296.955310159945</v>
      </c>
      <c r="Q237" s="16">
        <f>'Key Assumption'!R317</f>
        <v>76296.955310159945</v>
      </c>
      <c r="R237" s="16">
        <f>'Key Assumption'!S317</f>
        <v>76296.955310159945</v>
      </c>
      <c r="S237" s="16">
        <f>'Key Assumption'!T317</f>
        <v>76296.955310159945</v>
      </c>
      <c r="T237" s="16">
        <f>'Key Assumption'!U317</f>
        <v>76296.955310159945</v>
      </c>
      <c r="U237" s="16">
        <f>'Key Assumption'!V317</f>
        <v>76296.955310159945</v>
      </c>
      <c r="V237" s="16">
        <f>'Key Assumption'!W317</f>
        <v>76296.955310159945</v>
      </c>
      <c r="W237" s="16">
        <f>'Key Assumption'!X317</f>
        <v>76296.955310159945</v>
      </c>
      <c r="X237" s="16">
        <f>'Key Assumption'!Y317</f>
        <v>76296.955310159945</v>
      </c>
      <c r="Y237" s="246">
        <f>SUMPRODUCT(P237:X237,P233:X233)/Y233</f>
        <v>76296.955310159945</v>
      </c>
      <c r="Z237" s="246">
        <f>(Y237*Y233+O237*O233)/Z233</f>
        <v>88194.736073264037</v>
      </c>
      <c r="AA237" s="16">
        <f>'Key Assumption'!AB317</f>
        <v>88741.41875335497</v>
      </c>
      <c r="AB237" s="16">
        <f>'Key Assumption'!AC317</f>
        <v>89376.809255899439</v>
      </c>
      <c r="AC237" s="16">
        <f>'Key Assumption'!AD317</f>
        <v>90043.213319241302</v>
      </c>
      <c r="AD237" s="16">
        <f>'Key Assumption'!AE317</f>
        <v>90728.653943272759</v>
      </c>
      <c r="AE237" s="23"/>
      <c r="AF237" s="327"/>
      <c r="AG237" s="322">
        <f t="shared" si="126"/>
        <v>0</v>
      </c>
    </row>
    <row r="238" spans="1:33" x14ac:dyDescent="0.3">
      <c r="A238" s="338" t="s">
        <v>236</v>
      </c>
      <c r="D238" s="3" t="s">
        <v>149</v>
      </c>
      <c r="N238" s="15"/>
      <c r="O238" s="246">
        <v>668.03973599999995</v>
      </c>
      <c r="P238" s="16">
        <f t="shared" ref="P238:X238" si="158">P239*P242</f>
        <v>844.7135578187798</v>
      </c>
      <c r="Q238" s="16">
        <f t="shared" si="158"/>
        <v>0</v>
      </c>
      <c r="R238" s="16">
        <f t="shared" si="158"/>
        <v>422.3567789093899</v>
      </c>
      <c r="S238" s="16">
        <f t="shared" si="158"/>
        <v>416.2889908584221</v>
      </c>
      <c r="T238" s="16">
        <f t="shared" si="158"/>
        <v>416.2889908584221</v>
      </c>
      <c r="U238" s="16">
        <f t="shared" si="158"/>
        <v>832.57798171684419</v>
      </c>
      <c r="V238" s="16">
        <f t="shared" si="158"/>
        <v>0</v>
      </c>
      <c r="W238" s="16">
        <f t="shared" si="158"/>
        <v>406.63862581991475</v>
      </c>
      <c r="X238" s="16">
        <f t="shared" si="158"/>
        <v>813.2772516398295</v>
      </c>
      <c r="Y238" s="246">
        <f>SUM(P238:X238)</f>
        <v>4152.142177621603</v>
      </c>
      <c r="Z238" s="246">
        <f>Y238+O238</f>
        <v>4820.1819136216027</v>
      </c>
      <c r="AA238" s="16">
        <f>AA239*AA242</f>
        <v>4960.3919520904565</v>
      </c>
      <c r="AB238" s="16">
        <f>AB239*AB242</f>
        <v>4942.4130139152994</v>
      </c>
      <c r="AC238" s="16">
        <f>AC239*AC242</f>
        <v>5379.9760870029168</v>
      </c>
      <c r="AD238" s="16">
        <f>AD239*AD242</f>
        <v>5897.4930546882269</v>
      </c>
      <c r="AE238" s="23"/>
      <c r="AF238" s="327"/>
      <c r="AG238" s="322">
        <f t="shared" si="126"/>
        <v>0</v>
      </c>
    </row>
    <row r="239" spans="1:33" x14ac:dyDescent="0.3">
      <c r="A239" s="338" t="s">
        <v>236</v>
      </c>
      <c r="B239" s="11"/>
      <c r="E239" s="3" t="s">
        <v>298</v>
      </c>
      <c r="N239" s="15"/>
      <c r="O239" s="246">
        <v>1</v>
      </c>
      <c r="P239" s="16">
        <f>SUMIFS(INDEX(판매수량!$N$2:$V$82,0,MATCH(Revenue_HW!P$47,판매수량!$N$2:$V$2,0)),판매수량!$A$2:$A$82,Revenue_HW!$A239,판매수량!$B$2:$B$82,Revenue_HW!$AG239)</f>
        <v>2</v>
      </c>
      <c r="Q239" s="16">
        <f>SUMIFS(INDEX(판매수량!$N$2:$V$82,0,MATCH(Revenue_HW!Q$47,판매수량!$N$2:$V$2,0)),판매수량!$A$2:$A$82,Revenue_HW!$A239,판매수량!$B$2:$B$82,Revenue_HW!$AG239)</f>
        <v>0</v>
      </c>
      <c r="R239" s="16">
        <f>SUMIFS(INDEX(판매수량!$N$2:$V$82,0,MATCH(Revenue_HW!R$47,판매수량!$N$2:$V$2,0)),판매수량!$A$2:$A$82,Revenue_HW!$A239,판매수량!$B$2:$B$82,Revenue_HW!$AG239)</f>
        <v>1</v>
      </c>
      <c r="S239" s="16">
        <f>SUMIFS(INDEX(판매수량!$N$2:$V$82,0,MATCH(Revenue_HW!S$47,판매수량!$N$2:$V$2,0)),판매수량!$A$2:$A$82,Revenue_HW!$A239,판매수량!$B$2:$B$82,Revenue_HW!$AG239)</f>
        <v>1</v>
      </c>
      <c r="T239" s="16">
        <f>SUMIFS(INDEX(판매수량!$N$2:$V$82,0,MATCH(Revenue_HW!T$47,판매수량!$N$2:$V$2,0)),판매수량!$A$2:$A$82,Revenue_HW!$A239,판매수량!$B$2:$B$82,Revenue_HW!$AG239)</f>
        <v>1</v>
      </c>
      <c r="U239" s="16">
        <f>SUMIFS(INDEX(판매수량!$N$2:$V$82,0,MATCH(Revenue_HW!U$47,판매수량!$N$2:$V$2,0)),판매수량!$A$2:$A$82,Revenue_HW!$A239,판매수량!$B$2:$B$82,Revenue_HW!$AG239)</f>
        <v>2</v>
      </c>
      <c r="V239" s="16">
        <f>SUMIFS(INDEX(판매수량!$N$2:$V$82,0,MATCH(Revenue_HW!V$47,판매수량!$N$2:$V$2,0)),판매수량!$A$2:$A$82,Revenue_HW!$A239,판매수량!$B$2:$B$82,Revenue_HW!$AG239)</f>
        <v>0</v>
      </c>
      <c r="W239" s="16">
        <f>SUMIFS(INDEX(판매수량!$N$2:$V$82,0,MATCH(Revenue_HW!W$47,판매수량!$N$2:$V$2,0)),판매수량!$A$2:$A$82,Revenue_HW!$A239,판매수량!$B$2:$B$82,Revenue_HW!$AG239)</f>
        <v>1</v>
      </c>
      <c r="X239" s="16">
        <f>SUMIFS(INDEX(판매수량!$N$2:$V$82,0,MATCH(Revenue_HW!X$47,판매수량!$N$2:$V$2,0)),판매수량!$A$2:$A$82,Revenue_HW!$A239,판매수량!$B$2:$B$82,Revenue_HW!$AG239)</f>
        <v>2</v>
      </c>
      <c r="Y239" s="246">
        <f>SUM(P239:X239)</f>
        <v>10</v>
      </c>
      <c r="Z239" s="246">
        <f>Y239+O239</f>
        <v>11</v>
      </c>
      <c r="AA239" s="16">
        <f>ROUND(AA240*AA241,)</f>
        <v>12</v>
      </c>
      <c r="AB239" s="16">
        <f>ROUND(AB240*AB241,)</f>
        <v>12</v>
      </c>
      <c r="AC239" s="16">
        <f>ROUND(AC240*AC241,)</f>
        <v>13</v>
      </c>
      <c r="AD239" s="16">
        <f>ROUND(AD240*AD241,)</f>
        <v>14</v>
      </c>
      <c r="AE239" s="23"/>
      <c r="AF239" s="327"/>
      <c r="AG239" s="322" t="str">
        <f t="shared" ref="AG239:AG302" si="159">IF($E239="판매수량",$D238,)</f>
        <v>HMC</v>
      </c>
    </row>
    <row r="240" spans="1:33" x14ac:dyDescent="0.3">
      <c r="A240" s="338" t="s">
        <v>236</v>
      </c>
      <c r="B240" s="11"/>
      <c r="F240" s="3" t="s">
        <v>321</v>
      </c>
      <c r="N240" s="15"/>
      <c r="O240" s="352"/>
      <c r="P240" s="117"/>
      <c r="Q240" s="117"/>
      <c r="R240" s="117"/>
      <c r="S240" s="117"/>
      <c r="T240" s="117"/>
      <c r="U240" s="117"/>
      <c r="V240" s="117"/>
      <c r="W240" s="117"/>
      <c r="X240" s="117"/>
      <c r="Y240" s="352"/>
      <c r="Z240" s="246">
        <f>'Key Assumption'!AA69</f>
        <v>8</v>
      </c>
      <c r="AA240" s="16">
        <f>'Key Assumption'!AB69</f>
        <v>8</v>
      </c>
      <c r="AB240" s="16">
        <f>'Key Assumption'!AC69</f>
        <v>8</v>
      </c>
      <c r="AC240" s="16">
        <f>'Key Assumption'!AD69</f>
        <v>8</v>
      </c>
      <c r="AD240" s="16">
        <f>'Key Assumption'!AE69</f>
        <v>8</v>
      </c>
      <c r="AE240" s="23"/>
      <c r="AF240" s="327"/>
      <c r="AG240" s="322">
        <f t="shared" si="159"/>
        <v>0</v>
      </c>
    </row>
    <row r="241" spans="1:33" x14ac:dyDescent="0.3">
      <c r="A241" s="338" t="s">
        <v>236</v>
      </c>
      <c r="B241" s="11"/>
      <c r="F241" s="3" t="s">
        <v>322</v>
      </c>
      <c r="N241" s="15"/>
      <c r="O241" s="352"/>
      <c r="P241" s="117"/>
      <c r="Q241" s="117"/>
      <c r="R241" s="117"/>
      <c r="S241" s="117"/>
      <c r="T241" s="117"/>
      <c r="U241" s="117"/>
      <c r="V241" s="117"/>
      <c r="W241" s="117"/>
      <c r="X241" s="117"/>
      <c r="Y241" s="352"/>
      <c r="Z241" s="246">
        <f>IFERROR(Z239/Z240,)</f>
        <v>1.375</v>
      </c>
      <c r="AA241" s="16">
        <f>'Key Assumption'!AB181</f>
        <v>1.4520988333292135</v>
      </c>
      <c r="AB241" s="16">
        <f>'Key Assumption'!AC181</f>
        <v>1.534227698544133</v>
      </c>
      <c r="AC241" s="16">
        <f>'Key Assumption'!AD181</f>
        <v>1.6221173097362629</v>
      </c>
      <c r="AD241" s="16">
        <f>'Key Assumption'!AE181</f>
        <v>1.7182996761994214</v>
      </c>
      <c r="AE241" s="23"/>
      <c r="AF241" s="327"/>
      <c r="AG241" s="322">
        <f t="shared" si="159"/>
        <v>0</v>
      </c>
    </row>
    <row r="242" spans="1:33" x14ac:dyDescent="0.3">
      <c r="A242" s="338" t="s">
        <v>236</v>
      </c>
      <c r="B242" s="11"/>
      <c r="E242" s="3" t="s">
        <v>306</v>
      </c>
      <c r="I242" s="291" t="s">
        <v>273</v>
      </c>
      <c r="N242" s="15"/>
      <c r="O242" s="246">
        <f>O238/O239</f>
        <v>668.03973599999995</v>
      </c>
      <c r="P242" s="16">
        <f t="shared" ref="P242:X242" si="160">P243*P$553/10^6</f>
        <v>422.3567789093899</v>
      </c>
      <c r="Q242" s="16">
        <f t="shared" si="160"/>
        <v>422.3567789093899</v>
      </c>
      <c r="R242" s="16">
        <f t="shared" si="160"/>
        <v>422.3567789093899</v>
      </c>
      <c r="S242" s="16">
        <f t="shared" si="160"/>
        <v>416.2889908584221</v>
      </c>
      <c r="T242" s="16">
        <f t="shared" si="160"/>
        <v>416.2889908584221</v>
      </c>
      <c r="U242" s="16">
        <f t="shared" si="160"/>
        <v>416.2889908584221</v>
      </c>
      <c r="V242" s="16">
        <f t="shared" si="160"/>
        <v>406.63862581991475</v>
      </c>
      <c r="W242" s="16">
        <f t="shared" si="160"/>
        <v>406.63862581991475</v>
      </c>
      <c r="X242" s="16">
        <f t="shared" si="160"/>
        <v>406.63862581991475</v>
      </c>
      <c r="Y242" s="246">
        <f>IFERROR(Y238/Y239,)</f>
        <v>415.21421776216027</v>
      </c>
      <c r="Z242" s="246">
        <f>IFERROR(Z238/Z239,)</f>
        <v>438.19835578378206</v>
      </c>
      <c r="AA242" s="16">
        <f>AA243*AA$553/10^6</f>
        <v>413.36599600753806</v>
      </c>
      <c r="AB242" s="16">
        <f>AB243*AB$553/10^6</f>
        <v>411.8677511596083</v>
      </c>
      <c r="AC242" s="16">
        <f>AC243*AC$553/10^6</f>
        <v>413.84431438483972</v>
      </c>
      <c r="AD242" s="16">
        <f>AD243*AD$553/10^6</f>
        <v>421.24950390630192</v>
      </c>
      <c r="AE242" s="23"/>
      <c r="AF242" s="327"/>
      <c r="AG242" s="322">
        <f t="shared" si="159"/>
        <v>0</v>
      </c>
    </row>
    <row r="243" spans="1:33" x14ac:dyDescent="0.3">
      <c r="A243" s="338" t="s">
        <v>236</v>
      </c>
      <c r="B243" s="11"/>
      <c r="F243" s="3" t="s">
        <v>323</v>
      </c>
      <c r="I243" s="291" t="s">
        <v>275</v>
      </c>
      <c r="N243" s="15"/>
      <c r="O243" s="246">
        <v>496020</v>
      </c>
      <c r="P243" s="16">
        <f>'Key Assumption'!Q318</f>
        <v>322754.68356211978</v>
      </c>
      <c r="Q243" s="16">
        <f>'Key Assumption'!R318</f>
        <v>322754.68356211978</v>
      </c>
      <c r="R243" s="16">
        <f>'Key Assumption'!S318</f>
        <v>322754.68356211978</v>
      </c>
      <c r="S243" s="16">
        <f>'Key Assumption'!T318</f>
        <v>322754.68356211978</v>
      </c>
      <c r="T243" s="16">
        <f>'Key Assumption'!U318</f>
        <v>322754.68356211978</v>
      </c>
      <c r="U243" s="16">
        <f>'Key Assumption'!V318</f>
        <v>322754.68356211978</v>
      </c>
      <c r="V243" s="16">
        <f>'Key Assumption'!W318</f>
        <v>322754.68356211978</v>
      </c>
      <c r="W243" s="16">
        <f>'Key Assumption'!X318</f>
        <v>322754.68356211978</v>
      </c>
      <c r="X243" s="16">
        <f>'Key Assumption'!Y318</f>
        <v>322754.68356211978</v>
      </c>
      <c r="Y243" s="246">
        <f>SUMPRODUCT(P243:X243,P239:X239)/Y239</f>
        <v>322754.68356211978</v>
      </c>
      <c r="Z243" s="246">
        <f>(Y243*Y239+O243*O239)/Z239</f>
        <v>338506.07596556342</v>
      </c>
      <c r="AA243" s="16">
        <f>'Key Assumption'!AB318</f>
        <v>340443.08681233576</v>
      </c>
      <c r="AB243" s="16">
        <f>'Key Assumption'!AC318</f>
        <v>342709.0623727811</v>
      </c>
      <c r="AC243" s="16">
        <f>'Key Assumption'!AD318</f>
        <v>345071.55372704053</v>
      </c>
      <c r="AD243" s="16">
        <f>'Key Assumption'!AE318</f>
        <v>347565.5972824273</v>
      </c>
      <c r="AE243" s="23"/>
      <c r="AF243" s="327"/>
      <c r="AG243" s="322">
        <f t="shared" si="159"/>
        <v>0</v>
      </c>
    </row>
    <row r="244" spans="1:33" x14ac:dyDescent="0.3">
      <c r="A244" s="338" t="s">
        <v>236</v>
      </c>
      <c r="B244" s="11"/>
      <c r="D244" s="3" t="s">
        <v>135</v>
      </c>
      <c r="N244" s="15"/>
      <c r="O244" s="246">
        <v>1406.6148559999999</v>
      </c>
      <c r="P244" s="16">
        <f t="shared" ref="P244:X244" si="161">P245*P248</f>
        <v>0</v>
      </c>
      <c r="Q244" s="16">
        <f t="shared" si="161"/>
        <v>0</v>
      </c>
      <c r="R244" s="16">
        <f t="shared" si="161"/>
        <v>243.5387764808446</v>
      </c>
      <c r="S244" s="16">
        <f t="shared" si="161"/>
        <v>240.03997700213466</v>
      </c>
      <c r="T244" s="16">
        <f t="shared" si="161"/>
        <v>0</v>
      </c>
      <c r="U244" s="16">
        <f t="shared" si="161"/>
        <v>240.03997700213466</v>
      </c>
      <c r="V244" s="16">
        <f t="shared" si="161"/>
        <v>234.47539698014378</v>
      </c>
      <c r="W244" s="16">
        <f t="shared" si="161"/>
        <v>468.95079396028757</v>
      </c>
      <c r="X244" s="16">
        <f t="shared" si="161"/>
        <v>468.95079396028757</v>
      </c>
      <c r="Y244" s="246">
        <f>SUM(P244:X244)</f>
        <v>1895.9957153858331</v>
      </c>
      <c r="Z244" s="246">
        <f>Y244+O244</f>
        <v>3302.6105713858333</v>
      </c>
      <c r="AA244" s="119"/>
      <c r="AB244" s="119"/>
      <c r="AC244" s="119"/>
      <c r="AD244" s="119"/>
      <c r="AE244" s="23"/>
      <c r="AF244" s="327"/>
      <c r="AG244" s="322">
        <f t="shared" si="159"/>
        <v>0</v>
      </c>
    </row>
    <row r="245" spans="1:33" x14ac:dyDescent="0.3">
      <c r="A245" s="338" t="s">
        <v>236</v>
      </c>
      <c r="B245" s="11"/>
      <c r="E245" s="3" t="s">
        <v>324</v>
      </c>
      <c r="N245" s="15"/>
      <c r="O245" s="246">
        <v>5</v>
      </c>
      <c r="P245" s="16">
        <f>SUMIFS(INDEX(판매수량!$N$2:$V$82,0,MATCH(Revenue_HW!P$47,판매수량!$N$2:$V$2,0)),판매수량!$A$2:$A$82,Revenue_HW!$A245,판매수량!$B$2:$B$82,Revenue_HW!$AG245)</f>
        <v>0</v>
      </c>
      <c r="Q245" s="16">
        <f>SUMIFS(INDEX(판매수량!$N$2:$V$82,0,MATCH(Revenue_HW!Q$47,판매수량!$N$2:$V$2,0)),판매수량!$A$2:$A$82,Revenue_HW!$A245,판매수량!$B$2:$B$82,Revenue_HW!$AG245)</f>
        <v>0</v>
      </c>
      <c r="R245" s="16">
        <f>SUMIFS(INDEX(판매수량!$N$2:$V$82,0,MATCH(Revenue_HW!R$47,판매수량!$N$2:$V$2,0)),판매수량!$A$2:$A$82,Revenue_HW!$A245,판매수량!$B$2:$B$82,Revenue_HW!$AG245)</f>
        <v>1</v>
      </c>
      <c r="S245" s="16">
        <f>SUMIFS(INDEX(판매수량!$N$2:$V$82,0,MATCH(Revenue_HW!S$47,판매수량!$N$2:$V$2,0)),판매수량!$A$2:$A$82,Revenue_HW!$A245,판매수량!$B$2:$B$82,Revenue_HW!$AG245)</f>
        <v>1</v>
      </c>
      <c r="T245" s="16">
        <f>SUMIFS(INDEX(판매수량!$N$2:$V$82,0,MATCH(Revenue_HW!T$47,판매수량!$N$2:$V$2,0)),판매수량!$A$2:$A$82,Revenue_HW!$A245,판매수량!$B$2:$B$82,Revenue_HW!$AG245)</f>
        <v>0</v>
      </c>
      <c r="U245" s="16">
        <f>SUMIFS(INDEX(판매수량!$N$2:$V$82,0,MATCH(Revenue_HW!U$47,판매수량!$N$2:$V$2,0)),판매수량!$A$2:$A$82,Revenue_HW!$A245,판매수량!$B$2:$B$82,Revenue_HW!$AG245)</f>
        <v>1</v>
      </c>
      <c r="V245" s="16">
        <f>SUMIFS(INDEX(판매수량!$N$2:$V$82,0,MATCH(Revenue_HW!V$47,판매수량!$N$2:$V$2,0)),판매수량!$A$2:$A$82,Revenue_HW!$A245,판매수량!$B$2:$B$82,Revenue_HW!$AG245)</f>
        <v>1</v>
      </c>
      <c r="W245" s="16">
        <f>SUMIFS(INDEX(판매수량!$N$2:$V$82,0,MATCH(Revenue_HW!W$47,판매수량!$N$2:$V$2,0)),판매수량!$A$2:$A$82,Revenue_HW!$A245,판매수량!$B$2:$B$82,Revenue_HW!$AG245)</f>
        <v>2</v>
      </c>
      <c r="X245" s="16">
        <f>SUMIFS(INDEX(판매수량!$N$2:$V$82,0,MATCH(Revenue_HW!X$47,판매수량!$N$2:$V$2,0)),판매수량!$A$2:$A$82,Revenue_HW!$A245,판매수량!$B$2:$B$82,Revenue_HW!$AG245)</f>
        <v>2</v>
      </c>
      <c r="Y245" s="246">
        <f>SUM(P245:X245)</f>
        <v>8</v>
      </c>
      <c r="Z245" s="246">
        <f>Y245+O245</f>
        <v>13</v>
      </c>
      <c r="AA245" s="119"/>
      <c r="AB245" s="119"/>
      <c r="AC245" s="119"/>
      <c r="AD245" s="119"/>
      <c r="AE245" s="23"/>
      <c r="AF245" s="327"/>
      <c r="AG245" s="322" t="str">
        <f t="shared" si="159"/>
        <v>단종</v>
      </c>
    </row>
    <row r="246" spans="1:33" x14ac:dyDescent="0.3">
      <c r="A246" s="338" t="s">
        <v>236</v>
      </c>
      <c r="B246" s="11"/>
      <c r="F246" s="3" t="s">
        <v>304</v>
      </c>
      <c r="N246" s="15"/>
      <c r="O246" s="352"/>
      <c r="P246" s="117"/>
      <c r="Q246" s="117"/>
      <c r="R246" s="117"/>
      <c r="S246" s="117"/>
      <c r="T246" s="117"/>
      <c r="U246" s="117"/>
      <c r="V246" s="117"/>
      <c r="W246" s="117"/>
      <c r="X246" s="117"/>
      <c r="Y246" s="352"/>
      <c r="Z246" s="246">
        <v>4</v>
      </c>
      <c r="AA246" s="119"/>
      <c r="AB246" s="119"/>
      <c r="AC246" s="119"/>
      <c r="AD246" s="119"/>
      <c r="AE246" s="23"/>
      <c r="AF246" s="327"/>
      <c r="AG246" s="322">
        <f t="shared" si="159"/>
        <v>0</v>
      </c>
    </row>
    <row r="247" spans="1:33" x14ac:dyDescent="0.3">
      <c r="A247" s="338" t="s">
        <v>236</v>
      </c>
      <c r="B247" s="11"/>
      <c r="F247" s="3" t="s">
        <v>305</v>
      </c>
      <c r="N247" s="15"/>
      <c r="O247" s="352"/>
      <c r="P247" s="117"/>
      <c r="Q247" s="117"/>
      <c r="R247" s="117"/>
      <c r="S247" s="117"/>
      <c r="T247" s="117"/>
      <c r="U247" s="117"/>
      <c r="V247" s="117"/>
      <c r="W247" s="117"/>
      <c r="X247" s="117"/>
      <c r="Y247" s="352"/>
      <c r="Z247" s="246">
        <f>IFERROR(Z245/Z246,)</f>
        <v>3.25</v>
      </c>
      <c r="AA247" s="119"/>
      <c r="AB247" s="119"/>
      <c r="AC247" s="119"/>
      <c r="AD247" s="119"/>
      <c r="AE247" s="23"/>
      <c r="AF247" s="327"/>
      <c r="AG247" s="322">
        <f t="shared" si="159"/>
        <v>0</v>
      </c>
    </row>
    <row r="248" spans="1:33" x14ac:dyDescent="0.3">
      <c r="A248" s="338" t="s">
        <v>236</v>
      </c>
      <c r="B248" s="11"/>
      <c r="E248" s="3" t="s">
        <v>325</v>
      </c>
      <c r="I248" s="291" t="s">
        <v>273</v>
      </c>
      <c r="N248" s="15"/>
      <c r="O248" s="246">
        <f>O244/O245</f>
        <v>281.32297119999998</v>
      </c>
      <c r="P248" s="16">
        <f t="shared" ref="P248:X248" si="162">P249*P$553/10^6</f>
        <v>243.5387764808446</v>
      </c>
      <c r="Q248" s="16">
        <f t="shared" si="162"/>
        <v>243.5387764808446</v>
      </c>
      <c r="R248" s="16">
        <f t="shared" si="162"/>
        <v>243.5387764808446</v>
      </c>
      <c r="S248" s="16">
        <f t="shared" si="162"/>
        <v>240.03997700213466</v>
      </c>
      <c r="T248" s="16">
        <f t="shared" si="162"/>
        <v>240.03997700213466</v>
      </c>
      <c r="U248" s="16">
        <f t="shared" si="162"/>
        <v>240.03997700213466</v>
      </c>
      <c r="V248" s="16">
        <f t="shared" si="162"/>
        <v>234.47539698014378</v>
      </c>
      <c r="W248" s="16">
        <f t="shared" si="162"/>
        <v>234.47539698014378</v>
      </c>
      <c r="X248" s="16">
        <f t="shared" si="162"/>
        <v>234.47539698014378</v>
      </c>
      <c r="Y248" s="246">
        <f>IFERROR(Y244/Y245,)</f>
        <v>236.99946442322914</v>
      </c>
      <c r="Z248" s="246">
        <f>IFERROR(Z244/Z245,)</f>
        <v>254.04696702967948</v>
      </c>
      <c r="AA248" s="119"/>
      <c r="AB248" s="119"/>
      <c r="AC248" s="119"/>
      <c r="AD248" s="119"/>
      <c r="AE248" s="23"/>
      <c r="AF248" s="327"/>
      <c r="AG248" s="322">
        <f t="shared" si="159"/>
        <v>0</v>
      </c>
    </row>
    <row r="249" spans="1:33" x14ac:dyDescent="0.3">
      <c r="A249" s="338" t="s">
        <v>236</v>
      </c>
      <c r="B249" s="11"/>
      <c r="F249" s="3" t="s">
        <v>326</v>
      </c>
      <c r="I249" s="291" t="s">
        <v>275</v>
      </c>
      <c r="N249" s="15"/>
      <c r="O249" s="246">
        <v>210678</v>
      </c>
      <c r="P249" s="16">
        <f>'Key Assumption'!Q319</f>
        <v>186106.35525053082</v>
      </c>
      <c r="Q249" s="16">
        <f>'Key Assumption'!R319</f>
        <v>186106.35525053082</v>
      </c>
      <c r="R249" s="16">
        <f>'Key Assumption'!S319</f>
        <v>186106.35525053082</v>
      </c>
      <c r="S249" s="16">
        <f>'Key Assumption'!T319</f>
        <v>186106.35525053082</v>
      </c>
      <c r="T249" s="16">
        <f>'Key Assumption'!U319</f>
        <v>186106.35525053082</v>
      </c>
      <c r="U249" s="16">
        <f>'Key Assumption'!V319</f>
        <v>186106.35525053082</v>
      </c>
      <c r="V249" s="16">
        <f>'Key Assumption'!W319</f>
        <v>186106.35525053082</v>
      </c>
      <c r="W249" s="16">
        <f>'Key Assumption'!X319</f>
        <v>186106.35525053082</v>
      </c>
      <c r="X249" s="16">
        <f>'Key Assumption'!Y319</f>
        <v>186106.35525053082</v>
      </c>
      <c r="Y249" s="246">
        <f>SUMPRODUCT(P249:X249,P245:X245)/Y245</f>
        <v>186106.35525053082</v>
      </c>
      <c r="Z249" s="246">
        <f>(Y249*Y245+O249*O245)/Z245</f>
        <v>195556.98784648051</v>
      </c>
      <c r="AA249" s="119"/>
      <c r="AB249" s="119"/>
      <c r="AC249" s="119"/>
      <c r="AD249" s="119"/>
      <c r="AE249" s="23"/>
      <c r="AF249" s="327"/>
      <c r="AG249" s="322">
        <f t="shared" si="159"/>
        <v>0</v>
      </c>
    </row>
    <row r="250" spans="1:33" x14ac:dyDescent="0.3">
      <c r="A250" s="338" t="s">
        <v>236</v>
      </c>
      <c r="D250" s="3" t="s">
        <v>136</v>
      </c>
      <c r="N250" s="15"/>
      <c r="O250" s="246">
        <f>O251+O253+O255+O257+O260+O261</f>
        <v>2635.8050129999997</v>
      </c>
      <c r="P250" s="16">
        <f t="shared" ref="P250:AD250" si="163">P251+P253+P255+P257+P260+P261</f>
        <v>473.38438265340687</v>
      </c>
      <c r="Q250" s="16">
        <f t="shared" si="163"/>
        <v>439.14335206044433</v>
      </c>
      <c r="R250" s="16">
        <f t="shared" si="163"/>
        <v>696.05982441153651</v>
      </c>
      <c r="S250" s="16">
        <f t="shared" si="163"/>
        <v>513.23082559588238</v>
      </c>
      <c r="T250" s="16">
        <f t="shared" si="163"/>
        <v>400.18085856057496</v>
      </c>
      <c r="U250" s="16">
        <f t="shared" si="163"/>
        <v>535.55720242001667</v>
      </c>
      <c r="V250" s="16">
        <f t="shared" si="163"/>
        <v>309.35679077575719</v>
      </c>
      <c r="W250" s="16">
        <f t="shared" si="163"/>
        <v>644.95502156674922</v>
      </c>
      <c r="X250" s="16">
        <f t="shared" si="163"/>
        <v>628.09322222747915</v>
      </c>
      <c r="Y250" s="246">
        <f t="shared" si="163"/>
        <v>4639.961480271847</v>
      </c>
      <c r="Z250" s="246">
        <f t="shared" si="163"/>
        <v>7275.7664932718471</v>
      </c>
      <c r="AA250" s="16">
        <f t="shared" si="163"/>
        <v>6339.8935997389817</v>
      </c>
      <c r="AB250" s="16">
        <f t="shared" si="163"/>
        <v>6813.7107796444989</v>
      </c>
      <c r="AC250" s="16">
        <f t="shared" si="163"/>
        <v>7653.8410957187552</v>
      </c>
      <c r="AD250" s="16">
        <f t="shared" si="163"/>
        <v>8232.1703663640201</v>
      </c>
      <c r="AE250" s="23"/>
      <c r="AF250" s="327"/>
      <c r="AG250" s="322">
        <f t="shared" si="159"/>
        <v>0</v>
      </c>
    </row>
    <row r="251" spans="1:33" ht="12.75" thickBot="1" x14ac:dyDescent="0.35">
      <c r="A251" s="338" t="s">
        <v>236</v>
      </c>
      <c r="E251" s="3" t="s">
        <v>307</v>
      </c>
      <c r="N251" s="15"/>
      <c r="O251" s="246">
        <v>1852.10172752108</v>
      </c>
      <c r="P251" s="16">
        <f t="shared" ref="P251:X251" si="164">SUM(P$220,P$226,P$232,P$238,P$244)*P252</f>
        <v>153.69753580979145</v>
      </c>
      <c r="Q251" s="16">
        <f t="shared" si="164"/>
        <v>139.15819229367628</v>
      </c>
      <c r="R251" s="16">
        <f t="shared" si="164"/>
        <v>215.7679273347168</v>
      </c>
      <c r="S251" s="16">
        <f t="shared" si="164"/>
        <v>162.93087103511664</v>
      </c>
      <c r="T251" s="16">
        <f t="shared" si="164"/>
        <v>127.45507292560458</v>
      </c>
      <c r="U251" s="16">
        <f t="shared" si="164"/>
        <v>171.64515860021069</v>
      </c>
      <c r="V251" s="16">
        <f t="shared" si="164"/>
        <v>101.56012202866081</v>
      </c>
      <c r="W251" s="16">
        <f t="shared" si="164"/>
        <v>206.24366542741012</v>
      </c>
      <c r="X251" s="16">
        <f t="shared" si="164"/>
        <v>202.31950175110845</v>
      </c>
      <c r="Y251" s="246">
        <f>SUM(P251:X251)</f>
        <v>1480.7780472062959</v>
      </c>
      <c r="Z251" s="246">
        <f>Y251+O251</f>
        <v>3332.8797747273757</v>
      </c>
      <c r="AA251" s="16">
        <f t="shared" ref="AA251:AD251" si="165">SUM(AA$220,AA$226,AA$232,AA$238,AA$244)*AA252</f>
        <v>1820.9867983582155</v>
      </c>
      <c r="AB251" s="16">
        <f t="shared" si="165"/>
        <v>1954.536513110088</v>
      </c>
      <c r="AC251" s="16">
        <f t="shared" si="165"/>
        <v>2195.4378552109324</v>
      </c>
      <c r="AD251" s="16">
        <f t="shared" si="165"/>
        <v>2363.1219353081146</v>
      </c>
      <c r="AE251" s="23"/>
      <c r="AF251" s="327"/>
      <c r="AG251" s="322">
        <f t="shared" si="159"/>
        <v>0</v>
      </c>
    </row>
    <row r="252" spans="1:33" ht="12.75" thickBot="1" x14ac:dyDescent="0.35">
      <c r="A252" s="338" t="s">
        <v>236</v>
      </c>
      <c r="E252" s="23"/>
      <c r="F252" s="23" t="s">
        <v>317</v>
      </c>
      <c r="G252" s="23"/>
      <c r="I252" s="339">
        <v>9.6167143891414508E-2</v>
      </c>
      <c r="J252" s="349">
        <f>I252</f>
        <v>9.6167143891414508E-2</v>
      </c>
      <c r="N252" s="15"/>
      <c r="O252" s="340">
        <f>O251/SUM(O$220,O$226,O$232,O$238,O$244)</f>
        <v>0.26822174825481809</v>
      </c>
      <c r="P252" s="43">
        <f t="shared" ref="P252:X252" si="166">$I252</f>
        <v>9.6167143891414508E-2</v>
      </c>
      <c r="Q252" s="43">
        <f t="shared" si="166"/>
        <v>9.6167143891414508E-2</v>
      </c>
      <c r="R252" s="43">
        <f t="shared" si="166"/>
        <v>9.6167143891414508E-2</v>
      </c>
      <c r="S252" s="43">
        <f t="shared" si="166"/>
        <v>9.6167143891414508E-2</v>
      </c>
      <c r="T252" s="43">
        <f t="shared" si="166"/>
        <v>9.6167143891414508E-2</v>
      </c>
      <c r="U252" s="43">
        <f t="shared" si="166"/>
        <v>9.6167143891414508E-2</v>
      </c>
      <c r="V252" s="43">
        <f t="shared" si="166"/>
        <v>9.6167143891414508E-2</v>
      </c>
      <c r="W252" s="43">
        <f t="shared" si="166"/>
        <v>9.6167143891414508E-2</v>
      </c>
      <c r="X252" s="43">
        <f t="shared" si="166"/>
        <v>9.6167143891414508E-2</v>
      </c>
      <c r="Y252" s="340">
        <f>Y251/SUM(Y$244,Y$238,Y$232,Y$226,Y$220)</f>
        <v>9.6167143891414494E-2</v>
      </c>
      <c r="Z252" s="350">
        <f>Z251/SUM(Z$244,Z$238,Z$232,Z$226,Z$220)</f>
        <v>0.14943587851880477</v>
      </c>
      <c r="AA252" s="17">
        <f>$J252</f>
        <v>9.6167143891414508E-2</v>
      </c>
      <c r="AB252" s="17">
        <f>$J252</f>
        <v>9.6167143891414508E-2</v>
      </c>
      <c r="AC252" s="17">
        <f>$J252</f>
        <v>9.6167143891414508E-2</v>
      </c>
      <c r="AD252" s="17">
        <f>$J252</f>
        <v>9.6167143891414508E-2</v>
      </c>
      <c r="AE252" s="23"/>
      <c r="AF252" s="327"/>
      <c r="AG252" s="322">
        <f t="shared" si="159"/>
        <v>0</v>
      </c>
    </row>
    <row r="253" spans="1:33" ht="12.75" thickBot="1" x14ac:dyDescent="0.35">
      <c r="A253" s="338" t="s">
        <v>236</v>
      </c>
      <c r="E253" s="3" t="s">
        <v>309</v>
      </c>
      <c r="I253" s="341"/>
      <c r="J253" s="341"/>
      <c r="N253" s="15"/>
      <c r="O253" s="246">
        <v>0</v>
      </c>
      <c r="P253" s="16">
        <f t="shared" ref="P253:X253" si="167">SUM(P$220,P$226,P$232,P$238,P$244)*P254</f>
        <v>0</v>
      </c>
      <c r="Q253" s="16">
        <f t="shared" si="167"/>
        <v>0</v>
      </c>
      <c r="R253" s="16">
        <f t="shared" si="167"/>
        <v>0</v>
      </c>
      <c r="S253" s="16">
        <f t="shared" si="167"/>
        <v>0</v>
      </c>
      <c r="T253" s="16">
        <f t="shared" si="167"/>
        <v>0</v>
      </c>
      <c r="U253" s="16">
        <f t="shared" si="167"/>
        <v>0</v>
      </c>
      <c r="V253" s="16">
        <f t="shared" si="167"/>
        <v>0</v>
      </c>
      <c r="W253" s="16">
        <f t="shared" si="167"/>
        <v>0</v>
      </c>
      <c r="X253" s="16">
        <f t="shared" si="167"/>
        <v>0</v>
      </c>
      <c r="Y253" s="246">
        <f>SUM(P253:X253)</f>
        <v>0</v>
      </c>
      <c r="Z253" s="246">
        <f>Y253+O253</f>
        <v>0</v>
      </c>
      <c r="AA253" s="16">
        <f t="shared" ref="AA253:AD253" si="168">SUM(AA$220,AA$226,AA$232,AA$238,AA$244)*AA254</f>
        <v>0</v>
      </c>
      <c r="AB253" s="16">
        <f t="shared" si="168"/>
        <v>0</v>
      </c>
      <c r="AC253" s="16">
        <f t="shared" si="168"/>
        <v>0</v>
      </c>
      <c r="AD253" s="16">
        <f t="shared" si="168"/>
        <v>0</v>
      </c>
      <c r="AE253" s="23"/>
      <c r="AF253" s="327"/>
      <c r="AG253" s="322">
        <f t="shared" si="159"/>
        <v>0</v>
      </c>
    </row>
    <row r="254" spans="1:33" ht="12.75" thickBot="1" x14ac:dyDescent="0.35">
      <c r="A254" s="338" t="s">
        <v>236</v>
      </c>
      <c r="E254" s="23"/>
      <c r="F254" s="23" t="s">
        <v>317</v>
      </c>
      <c r="G254" s="23"/>
      <c r="I254" s="339">
        <v>0</v>
      </c>
      <c r="J254" s="349">
        <f>I254</f>
        <v>0</v>
      </c>
      <c r="N254" s="15"/>
      <c r="O254" s="340">
        <f>O253/SUM(O$220,O$226,O$232,O$238,O$244)</f>
        <v>0</v>
      </c>
      <c r="P254" s="43">
        <f t="shared" ref="P254:X254" si="169">$I254</f>
        <v>0</v>
      </c>
      <c r="Q254" s="43">
        <f t="shared" si="169"/>
        <v>0</v>
      </c>
      <c r="R254" s="43">
        <f t="shared" si="169"/>
        <v>0</v>
      </c>
      <c r="S254" s="43">
        <f t="shared" si="169"/>
        <v>0</v>
      </c>
      <c r="T254" s="43">
        <f t="shared" si="169"/>
        <v>0</v>
      </c>
      <c r="U254" s="43">
        <f t="shared" si="169"/>
        <v>0</v>
      </c>
      <c r="V254" s="43">
        <f t="shared" si="169"/>
        <v>0</v>
      </c>
      <c r="W254" s="43">
        <f t="shared" si="169"/>
        <v>0</v>
      </c>
      <c r="X254" s="43">
        <f t="shared" si="169"/>
        <v>0</v>
      </c>
      <c r="Y254" s="340">
        <f>Y253/SUM(Y$244,Y$238,Y$232,Y$226,Y$220)</f>
        <v>0</v>
      </c>
      <c r="Z254" s="350">
        <f>Z253/SUM(Z$244,Z$238,Z$232,Z$226,Z$220)</f>
        <v>0</v>
      </c>
      <c r="AA254" s="17">
        <f>$J254</f>
        <v>0</v>
      </c>
      <c r="AB254" s="17">
        <f>$J254</f>
        <v>0</v>
      </c>
      <c r="AC254" s="17">
        <f>$J254</f>
        <v>0</v>
      </c>
      <c r="AD254" s="17">
        <f>$J254</f>
        <v>0</v>
      </c>
      <c r="AE254" s="23"/>
      <c r="AF254" s="327"/>
      <c r="AG254" s="322">
        <f t="shared" si="159"/>
        <v>0</v>
      </c>
    </row>
    <row r="255" spans="1:33" ht="12.75" thickBot="1" x14ac:dyDescent="0.35">
      <c r="A255" s="338" t="s">
        <v>236</v>
      </c>
      <c r="E255" s="3" t="s">
        <v>310</v>
      </c>
      <c r="I255" s="341"/>
      <c r="J255" s="341"/>
      <c r="N255" s="15"/>
      <c r="O255" s="246">
        <v>696.26649751510217</v>
      </c>
      <c r="P255" s="16">
        <f t="shared" ref="P255:X255" si="170">SUM(P$220,P$226,P$232,P$238,P$244)*P256</f>
        <v>358.74273745499841</v>
      </c>
      <c r="Q255" s="16">
        <f t="shared" si="170"/>
        <v>324.80670935741938</v>
      </c>
      <c r="R255" s="16">
        <f t="shared" si="170"/>
        <v>503.62015564673948</v>
      </c>
      <c r="S255" s="16">
        <f t="shared" si="170"/>
        <v>380.29410415141746</v>
      </c>
      <c r="T255" s="16">
        <f t="shared" si="170"/>
        <v>297.4906625727761</v>
      </c>
      <c r="U255" s="16">
        <f t="shared" si="170"/>
        <v>400.63397075761151</v>
      </c>
      <c r="V255" s="16">
        <f t="shared" si="170"/>
        <v>237.04970935847888</v>
      </c>
      <c r="W255" s="16">
        <f t="shared" si="170"/>
        <v>481.3897420564137</v>
      </c>
      <c r="X255" s="16">
        <f t="shared" si="170"/>
        <v>472.23042006702207</v>
      </c>
      <c r="Y255" s="246">
        <f>SUM(P255:X255)</f>
        <v>3456.2582114228767</v>
      </c>
      <c r="Z255" s="246">
        <f>Y255+O255</f>
        <v>4152.5247089379791</v>
      </c>
      <c r="AA255" s="16">
        <f t="shared" ref="AA255:AD255" si="171">SUM(AA$220,AA$226,AA$232,AA$238,AA$244)*AA256</f>
        <v>4250.3335233746957</v>
      </c>
      <c r="AB255" s="16">
        <f t="shared" si="171"/>
        <v>4562.0495831280023</v>
      </c>
      <c r="AC255" s="16">
        <f t="shared" si="171"/>
        <v>5124.3332037892415</v>
      </c>
      <c r="AD255" s="16">
        <f t="shared" si="171"/>
        <v>5515.7216903042872</v>
      </c>
      <c r="AE255" s="23"/>
      <c r="AF255" s="327"/>
      <c r="AG255" s="322">
        <f t="shared" si="159"/>
        <v>0</v>
      </c>
    </row>
    <row r="256" spans="1:33" ht="12.75" thickBot="1" x14ac:dyDescent="0.35">
      <c r="A256" s="338" t="s">
        <v>236</v>
      </c>
      <c r="E256" s="23"/>
      <c r="F256" s="23" t="s">
        <v>317</v>
      </c>
      <c r="G256" s="23"/>
      <c r="I256" s="339">
        <v>0.22446205315568213</v>
      </c>
      <c r="J256" s="349">
        <f>I256</f>
        <v>0.22446205315568213</v>
      </c>
      <c r="N256" s="15"/>
      <c r="O256" s="340">
        <f>O255/SUM(O$220,O$226,O$232,O$238,O$244)</f>
        <v>0.1008334555492898</v>
      </c>
      <c r="P256" s="43">
        <f t="shared" ref="P256:X256" si="172">$I256</f>
        <v>0.22446205315568213</v>
      </c>
      <c r="Q256" s="43">
        <f t="shared" si="172"/>
        <v>0.22446205315568213</v>
      </c>
      <c r="R256" s="43">
        <f t="shared" si="172"/>
        <v>0.22446205315568213</v>
      </c>
      <c r="S256" s="43">
        <f t="shared" si="172"/>
        <v>0.22446205315568213</v>
      </c>
      <c r="T256" s="43">
        <f t="shared" si="172"/>
        <v>0.22446205315568213</v>
      </c>
      <c r="U256" s="43">
        <f t="shared" si="172"/>
        <v>0.22446205315568213</v>
      </c>
      <c r="V256" s="43">
        <f t="shared" si="172"/>
        <v>0.22446205315568213</v>
      </c>
      <c r="W256" s="43">
        <f t="shared" si="172"/>
        <v>0.22446205315568213</v>
      </c>
      <c r="X256" s="43">
        <f t="shared" si="172"/>
        <v>0.22446205315568213</v>
      </c>
      <c r="Y256" s="340">
        <f>Y255/SUM(Y$244,Y$238,Y$232,Y$226,Y$220)</f>
        <v>0.22446205315568207</v>
      </c>
      <c r="Z256" s="350">
        <f>Z255/SUM(Z$244,Z$238,Z$232,Z$226,Z$220)</f>
        <v>0.18618618728962399</v>
      </c>
      <c r="AA256" s="17">
        <f>$J256</f>
        <v>0.22446205315568213</v>
      </c>
      <c r="AB256" s="17">
        <f>$J256</f>
        <v>0.22446205315568213</v>
      </c>
      <c r="AC256" s="17">
        <f>$J256</f>
        <v>0.22446205315568213</v>
      </c>
      <c r="AD256" s="17">
        <f>$J256</f>
        <v>0.22446205315568213</v>
      </c>
      <c r="AE256" s="23"/>
      <c r="AF256" s="327"/>
      <c r="AG256" s="322">
        <f t="shared" si="159"/>
        <v>0</v>
      </c>
    </row>
    <row r="257" spans="1:33" x14ac:dyDescent="0.3">
      <c r="A257" s="338" t="s">
        <v>236</v>
      </c>
      <c r="E257" s="3" t="s">
        <v>311</v>
      </c>
      <c r="I257" s="341"/>
      <c r="N257" s="15"/>
      <c r="O257" s="246">
        <v>87.436787963817679</v>
      </c>
      <c r="P257" s="16">
        <f t="shared" ref="P257:X257" si="173">P258*P259</f>
        <v>16.267309388617242</v>
      </c>
      <c r="Q257" s="16">
        <f t="shared" si="173"/>
        <v>22.367550409348709</v>
      </c>
      <c r="R257" s="16">
        <f t="shared" si="173"/>
        <v>28.467791430080176</v>
      </c>
      <c r="S257" s="16">
        <f t="shared" si="173"/>
        <v>22.367550409348709</v>
      </c>
      <c r="T257" s="16">
        <f t="shared" si="173"/>
        <v>18.300723062194397</v>
      </c>
      <c r="U257" s="16">
        <f t="shared" si="173"/>
        <v>18.300723062194397</v>
      </c>
      <c r="V257" s="16">
        <f t="shared" si="173"/>
        <v>16.267309388617242</v>
      </c>
      <c r="W257" s="16">
        <f t="shared" si="173"/>
        <v>24.400964082925864</v>
      </c>
      <c r="X257" s="16">
        <f t="shared" si="173"/>
        <v>22.367550409348709</v>
      </c>
      <c r="Y257" s="246">
        <f>SUM(P257:X257)</f>
        <v>189.10747164267542</v>
      </c>
      <c r="Z257" s="246">
        <f>Y257+O257</f>
        <v>276.54425960649309</v>
      </c>
      <c r="AA257" s="16">
        <f>AA258*AA259</f>
        <v>268.57327800607067</v>
      </c>
      <c r="AB257" s="16">
        <f>AB258*AB259</f>
        <v>297.12468340640834</v>
      </c>
      <c r="AC257" s="16">
        <f>AC258*AC259</f>
        <v>334.07003671858183</v>
      </c>
      <c r="AD257" s="16">
        <f>AD258*AD259</f>
        <v>353.32674075161719</v>
      </c>
      <c r="AE257" s="23"/>
      <c r="AF257" s="327"/>
      <c r="AG257" s="322">
        <f t="shared" si="159"/>
        <v>0</v>
      </c>
    </row>
    <row r="258" spans="1:33" ht="12.75" thickBot="1" x14ac:dyDescent="0.35">
      <c r="A258" s="338" t="s">
        <v>236</v>
      </c>
      <c r="F258" s="3" t="s">
        <v>312</v>
      </c>
      <c r="I258" s="341"/>
      <c r="N258" s="15"/>
      <c r="O258" s="246">
        <f>SUM(O221,O227,O233,O239,O245)</f>
        <v>43</v>
      </c>
      <c r="P258" s="16">
        <f t="shared" ref="P258:X258" si="174">SUM(P221,P227,P233,P239,P245)</f>
        <v>8</v>
      </c>
      <c r="Q258" s="16">
        <f t="shared" si="174"/>
        <v>11</v>
      </c>
      <c r="R258" s="16">
        <f t="shared" si="174"/>
        <v>14</v>
      </c>
      <c r="S258" s="16">
        <f t="shared" si="174"/>
        <v>11</v>
      </c>
      <c r="T258" s="16">
        <f t="shared" si="174"/>
        <v>9</v>
      </c>
      <c r="U258" s="16">
        <f t="shared" si="174"/>
        <v>9</v>
      </c>
      <c r="V258" s="16">
        <f t="shared" si="174"/>
        <v>8</v>
      </c>
      <c r="W258" s="16">
        <f t="shared" si="174"/>
        <v>12</v>
      </c>
      <c r="X258" s="16">
        <f t="shared" si="174"/>
        <v>11</v>
      </c>
      <c r="Y258" s="246">
        <f>SUM(P258:X258)</f>
        <v>93</v>
      </c>
      <c r="Z258" s="246">
        <f>SUM(O258:X258)</f>
        <v>136</v>
      </c>
      <c r="AA258" s="16">
        <f>SUM(AA221,AA227,AA233,AA239,AA245)</f>
        <v>130</v>
      </c>
      <c r="AB258" s="16">
        <f>SUM(AB221,AB227,AB233,AB239,AB245)</f>
        <v>141</v>
      </c>
      <c r="AC258" s="16">
        <f>SUM(AC221,AC227,AC233,AC239,AC245)</f>
        <v>159</v>
      </c>
      <c r="AD258" s="16">
        <f>SUM(AD221,AD227,AD233,AD239,AD245)</f>
        <v>168</v>
      </c>
      <c r="AE258" s="23"/>
      <c r="AF258" s="327"/>
      <c r="AG258" s="322">
        <f t="shared" si="159"/>
        <v>0</v>
      </c>
    </row>
    <row r="259" spans="1:33" ht="12.75" thickBot="1" x14ac:dyDescent="0.35">
      <c r="A259" s="338" t="s">
        <v>236</v>
      </c>
      <c r="F259" s="3" t="s">
        <v>313</v>
      </c>
      <c r="I259" s="353">
        <v>0.28915415977961428</v>
      </c>
      <c r="J259" s="354">
        <f>O259</f>
        <v>2.0334136735771553</v>
      </c>
      <c r="N259" s="15"/>
      <c r="O259" s="250">
        <f>O257/O258</f>
        <v>2.0334136735771553</v>
      </c>
      <c r="P259" s="247">
        <f>$J259</f>
        <v>2.0334136735771553</v>
      </c>
      <c r="Q259" s="247">
        <f t="shared" ref="Q259:X259" si="175">$J259</f>
        <v>2.0334136735771553</v>
      </c>
      <c r="R259" s="247">
        <f t="shared" si="175"/>
        <v>2.0334136735771553</v>
      </c>
      <c r="S259" s="247">
        <f t="shared" si="175"/>
        <v>2.0334136735771553</v>
      </c>
      <c r="T259" s="247">
        <f t="shared" si="175"/>
        <v>2.0334136735771553</v>
      </c>
      <c r="U259" s="247">
        <f t="shared" si="175"/>
        <v>2.0334136735771553</v>
      </c>
      <c r="V259" s="247">
        <f t="shared" si="175"/>
        <v>2.0334136735771553</v>
      </c>
      <c r="W259" s="247">
        <f t="shared" si="175"/>
        <v>2.0334136735771553</v>
      </c>
      <c r="X259" s="247">
        <f t="shared" si="175"/>
        <v>2.0334136735771553</v>
      </c>
      <c r="Y259" s="250">
        <f>Y257/Y258</f>
        <v>2.0334136735771549</v>
      </c>
      <c r="Z259" s="250">
        <f>Z257/Z258</f>
        <v>2.0334136735771549</v>
      </c>
      <c r="AA259" s="355">
        <f>$J259*(1+'Key Assumption'!AB$13)</f>
        <v>2.0659482923543897</v>
      </c>
      <c r="AB259" s="355">
        <f>$AA259*(1+'Key Assumption'!AC$13)</f>
        <v>2.1072672582014778</v>
      </c>
      <c r="AC259" s="355">
        <f>$AA259*(1+'Key Assumption'!AD$13)</f>
        <v>2.1010694133244141</v>
      </c>
      <c r="AD259" s="355">
        <f>$AA259*(1+'Key Assumption'!AE$13)</f>
        <v>2.103135361616769</v>
      </c>
      <c r="AE259" s="23"/>
      <c r="AF259" s="327"/>
      <c r="AG259" s="322">
        <f t="shared" si="159"/>
        <v>0</v>
      </c>
    </row>
    <row r="260" spans="1:33" x14ac:dyDescent="0.3">
      <c r="A260" s="338" t="s">
        <v>236</v>
      </c>
      <c r="E260" s="3" t="s">
        <v>314</v>
      </c>
      <c r="F260" s="23"/>
      <c r="G260" s="23"/>
      <c r="I260" s="341"/>
      <c r="N260" s="15"/>
      <c r="O260" s="246">
        <v>0</v>
      </c>
      <c r="P260" s="16">
        <v>-55.323200000000263</v>
      </c>
      <c r="Q260" s="16">
        <v>-47.18910000000006</v>
      </c>
      <c r="R260" s="16">
        <v>-51.79604999999993</v>
      </c>
      <c r="S260" s="16">
        <v>-52.361700000000383</v>
      </c>
      <c r="T260" s="16">
        <v>-43.065600000000138</v>
      </c>
      <c r="U260" s="16">
        <v>-55.022649999999892</v>
      </c>
      <c r="V260" s="16">
        <v>-45.520349999999787</v>
      </c>
      <c r="W260" s="16">
        <v>-67.079350000000431</v>
      </c>
      <c r="X260" s="16">
        <v>-68.82425000000012</v>
      </c>
      <c r="Y260" s="246">
        <f>SUM(P260:X260)</f>
        <v>-486.18225000000098</v>
      </c>
      <c r="Z260" s="246">
        <f t="shared" ref="Z260:Z261" si="176">Y260+O260</f>
        <v>-486.18225000000098</v>
      </c>
      <c r="AA260" s="119"/>
      <c r="AB260" s="119"/>
      <c r="AC260" s="119"/>
      <c r="AD260" s="119"/>
      <c r="AE260" s="23"/>
      <c r="AF260" s="327"/>
      <c r="AG260" s="322">
        <f t="shared" si="159"/>
        <v>0</v>
      </c>
    </row>
    <row r="261" spans="1:33" x14ac:dyDescent="0.3">
      <c r="A261" s="338" t="s">
        <v>236</v>
      </c>
      <c r="E261" s="3" t="s">
        <v>136</v>
      </c>
      <c r="F261" s="23"/>
      <c r="G261" s="23"/>
      <c r="N261" s="15"/>
      <c r="O261" s="246">
        <v>0</v>
      </c>
      <c r="P261" s="16">
        <v>0</v>
      </c>
      <c r="Q261" s="16">
        <v>0</v>
      </c>
      <c r="R261" s="16">
        <v>0</v>
      </c>
      <c r="S261" s="16">
        <v>0</v>
      </c>
      <c r="T261" s="16">
        <v>0</v>
      </c>
      <c r="U261" s="16">
        <v>0</v>
      </c>
      <c r="V261" s="16">
        <v>0</v>
      </c>
      <c r="W261" s="16">
        <v>0</v>
      </c>
      <c r="X261" s="16">
        <v>0</v>
      </c>
      <c r="Y261" s="246">
        <f>SUM(P261:X261)</f>
        <v>0</v>
      </c>
      <c r="Z261" s="246">
        <f t="shared" si="176"/>
        <v>0</v>
      </c>
      <c r="AA261" s="119"/>
      <c r="AB261" s="119"/>
      <c r="AC261" s="119"/>
      <c r="AD261" s="119"/>
      <c r="AE261" s="23"/>
      <c r="AF261" s="327"/>
      <c r="AG261" s="322">
        <f t="shared" si="159"/>
        <v>0</v>
      </c>
    </row>
    <row r="262" spans="1:33" x14ac:dyDescent="0.3">
      <c r="A262" s="338" t="s">
        <v>237</v>
      </c>
      <c r="C262" s="3" t="s">
        <v>237</v>
      </c>
      <c r="N262" s="15"/>
      <c r="O262" s="246">
        <f>O263+O269+O275+O281+O293+O287</f>
        <v>721.23504000000003</v>
      </c>
      <c r="P262" s="16">
        <f t="shared" ref="P262:Z262" si="177">P263+P269+P275+P281+P293+P287</f>
        <v>287.90914556357745</v>
      </c>
      <c r="Q262" s="16">
        <f t="shared" si="177"/>
        <v>453.61967473146581</v>
      </c>
      <c r="R262" s="16">
        <f t="shared" si="177"/>
        <v>607.21484956055178</v>
      </c>
      <c r="S262" s="16">
        <f t="shared" si="177"/>
        <v>361.22692280673738</v>
      </c>
      <c r="T262" s="16">
        <f t="shared" si="177"/>
        <v>385.97280582814852</v>
      </c>
      <c r="U262" s="16">
        <f t="shared" si="177"/>
        <v>360.78889780673734</v>
      </c>
      <c r="V262" s="16">
        <f t="shared" si="177"/>
        <v>460.95229158167155</v>
      </c>
      <c r="W262" s="16">
        <f t="shared" si="177"/>
        <v>818.91212474644408</v>
      </c>
      <c r="X262" s="16">
        <f t="shared" si="177"/>
        <v>783.83505350617816</v>
      </c>
      <c r="Y262" s="246">
        <f>Y263+Y269+Y275+Y281+Y293+Y287</f>
        <v>4520.4317661315117</v>
      </c>
      <c r="Z262" s="246">
        <f t="shared" si="177"/>
        <v>5241.6668061315113</v>
      </c>
      <c r="AA262" s="16">
        <f>AA263+AA269+AA275+AA281+AA293+AA287</f>
        <v>4613.3006575433765</v>
      </c>
      <c r="AB262" s="16">
        <f>AB263+AB269+AB275+AB281+AB293+AB287</f>
        <v>4786.9140345130709</v>
      </c>
      <c r="AC262" s="16">
        <f>AC263+AC269+AC275+AC281+AC293+AC287</f>
        <v>4915.4546485499231</v>
      </c>
      <c r="AD262" s="16">
        <f>AD263+AD269+AD275+AD281+AD293+AD287</f>
        <v>5344.414352791493</v>
      </c>
      <c r="AE262" s="23"/>
      <c r="AF262" s="327"/>
      <c r="AG262" s="322">
        <f t="shared" si="159"/>
        <v>0</v>
      </c>
    </row>
    <row r="263" spans="1:33" x14ac:dyDescent="0.3">
      <c r="A263" s="338" t="s">
        <v>237</v>
      </c>
      <c r="B263" s="11"/>
      <c r="D263" s="3" t="s">
        <v>146</v>
      </c>
      <c r="N263" s="15"/>
      <c r="O263" s="246">
        <v>0</v>
      </c>
      <c r="P263" s="16">
        <f t="shared" ref="P263:X263" si="178">P264*P267</f>
        <v>0</v>
      </c>
      <c r="Q263" s="16">
        <f t="shared" si="178"/>
        <v>0</v>
      </c>
      <c r="R263" s="16">
        <f t="shared" si="178"/>
        <v>266.83231462840291</v>
      </c>
      <c r="S263" s="16">
        <f t="shared" si="178"/>
        <v>0</v>
      </c>
      <c r="T263" s="16">
        <f t="shared" si="178"/>
        <v>0</v>
      </c>
      <c r="U263" s="16">
        <f t="shared" si="178"/>
        <v>0</v>
      </c>
      <c r="V263" s="16">
        <f t="shared" si="178"/>
        <v>0</v>
      </c>
      <c r="W263" s="16">
        <f t="shared" si="178"/>
        <v>0</v>
      </c>
      <c r="X263" s="16">
        <f t="shared" si="178"/>
        <v>256.90205807758281</v>
      </c>
      <c r="Y263" s="246">
        <f>SUM(P263:X263)</f>
        <v>523.73437270598572</v>
      </c>
      <c r="Z263" s="246">
        <f>Y263+O263</f>
        <v>523.73437270598572</v>
      </c>
      <c r="AA263" s="16">
        <f>AA264*AA267</f>
        <v>497.8107514780541</v>
      </c>
      <c r="AB263" s="16">
        <f>AB264*AB267</f>
        <v>495.58299639182843</v>
      </c>
      <c r="AC263" s="16">
        <f>AC264*AC267</f>
        <v>497.6650110468272</v>
      </c>
      <c r="AD263" s="16">
        <f>AD264*AD267</f>
        <v>506.40302098125369</v>
      </c>
      <c r="AE263" s="23"/>
      <c r="AF263" s="327"/>
      <c r="AG263" s="322">
        <f t="shared" si="159"/>
        <v>0</v>
      </c>
    </row>
    <row r="264" spans="1:33" x14ac:dyDescent="0.3">
      <c r="A264" s="338" t="s">
        <v>237</v>
      </c>
      <c r="B264" s="11"/>
      <c r="E264" s="3" t="s">
        <v>298</v>
      </c>
      <c r="N264" s="15"/>
      <c r="O264" s="246">
        <v>0</v>
      </c>
      <c r="P264" s="16">
        <f>SUMIFS(INDEX(판매수량!$N$2:$V$82,0,MATCH(Revenue_HW!P$47,판매수량!$N$2:$V$2,0)),판매수량!$A$2:$A$82,Revenue_HW!$A264,판매수량!$B$2:$B$82,Revenue_HW!$AG264)</f>
        <v>0</v>
      </c>
      <c r="Q264" s="16">
        <f>SUMIFS(INDEX(판매수량!$N$2:$V$82,0,MATCH(Revenue_HW!Q$47,판매수량!$N$2:$V$2,0)),판매수량!$A$2:$A$82,Revenue_HW!$A264,판매수량!$B$2:$B$82,Revenue_HW!$AG264)</f>
        <v>0</v>
      </c>
      <c r="R264" s="16">
        <f>SUMIFS(INDEX(판매수량!$N$2:$V$82,0,MATCH(Revenue_HW!R$47,판매수량!$N$2:$V$2,0)),판매수량!$A$2:$A$82,Revenue_HW!$A264,판매수량!$B$2:$B$82,Revenue_HW!$AG264)</f>
        <v>1</v>
      </c>
      <c r="S264" s="16">
        <f>SUMIFS(INDEX(판매수량!$N$2:$V$82,0,MATCH(Revenue_HW!S$47,판매수량!$N$2:$V$2,0)),판매수량!$A$2:$A$82,Revenue_HW!$A264,판매수량!$B$2:$B$82,Revenue_HW!$AG264)</f>
        <v>0</v>
      </c>
      <c r="T264" s="16">
        <f>SUMIFS(INDEX(판매수량!$N$2:$V$82,0,MATCH(Revenue_HW!T$47,판매수량!$N$2:$V$2,0)),판매수량!$A$2:$A$82,Revenue_HW!$A264,판매수량!$B$2:$B$82,Revenue_HW!$AG264)</f>
        <v>0</v>
      </c>
      <c r="U264" s="16">
        <f>SUMIFS(INDEX(판매수량!$N$2:$V$82,0,MATCH(Revenue_HW!U$47,판매수량!$N$2:$V$2,0)),판매수량!$A$2:$A$82,Revenue_HW!$A264,판매수량!$B$2:$B$82,Revenue_HW!$AG264)</f>
        <v>0</v>
      </c>
      <c r="V264" s="16">
        <f>SUMIFS(INDEX(판매수량!$N$2:$V$82,0,MATCH(Revenue_HW!V$47,판매수량!$N$2:$V$2,0)),판매수량!$A$2:$A$82,Revenue_HW!$A264,판매수량!$B$2:$B$82,Revenue_HW!$AG264)</f>
        <v>0</v>
      </c>
      <c r="W264" s="16">
        <f>SUMIFS(INDEX(판매수량!$N$2:$V$82,0,MATCH(Revenue_HW!W$47,판매수량!$N$2:$V$2,0)),판매수량!$A$2:$A$82,Revenue_HW!$A264,판매수량!$B$2:$B$82,Revenue_HW!$AG264)</f>
        <v>0</v>
      </c>
      <c r="X264" s="16">
        <f>SUMIFS(INDEX(판매수량!$N$2:$V$82,0,MATCH(Revenue_HW!X$47,판매수량!$N$2:$V$2,0)),판매수량!$A$2:$A$82,Revenue_HW!$A264,판매수량!$B$2:$B$82,Revenue_HW!$AG264)</f>
        <v>1</v>
      </c>
      <c r="Y264" s="246">
        <f>SUM(P264:X264)</f>
        <v>2</v>
      </c>
      <c r="Z264" s="246">
        <f>Y264+O264</f>
        <v>2</v>
      </c>
      <c r="AA264" s="16">
        <f>ROUND(AA265*AA266,)</f>
        <v>2</v>
      </c>
      <c r="AB264" s="16">
        <f>ROUND(AB265*AB266,)</f>
        <v>2</v>
      </c>
      <c r="AC264" s="16">
        <f>ROUND(AC265*AC266,)</f>
        <v>2</v>
      </c>
      <c r="AD264" s="16">
        <f>ROUND(AD265*AD266,)</f>
        <v>2</v>
      </c>
      <c r="AE264" s="23"/>
      <c r="AF264" s="327"/>
      <c r="AG264" s="322" t="str">
        <f t="shared" si="159"/>
        <v>5축</v>
      </c>
    </row>
    <row r="265" spans="1:33" x14ac:dyDescent="0.3">
      <c r="A265" s="338" t="s">
        <v>237</v>
      </c>
      <c r="B265" s="11"/>
      <c r="F265" s="3" t="s">
        <v>321</v>
      </c>
      <c r="N265" s="15"/>
      <c r="O265" s="352"/>
      <c r="P265" s="117"/>
      <c r="Q265" s="117"/>
      <c r="R265" s="117"/>
      <c r="S265" s="117"/>
      <c r="T265" s="117"/>
      <c r="U265" s="117"/>
      <c r="V265" s="117"/>
      <c r="W265" s="117"/>
      <c r="X265" s="117"/>
      <c r="Y265" s="352"/>
      <c r="Z265" s="246">
        <f>'Key Assumption'!AA72</f>
        <v>1</v>
      </c>
      <c r="AA265" s="16">
        <f>'Key Assumption'!AB72</f>
        <v>1</v>
      </c>
      <c r="AB265" s="16">
        <f>'Key Assumption'!AC72</f>
        <v>1</v>
      </c>
      <c r="AC265" s="16">
        <f>'Key Assumption'!AD72</f>
        <v>1</v>
      </c>
      <c r="AD265" s="16">
        <f>'Key Assumption'!AE72</f>
        <v>1</v>
      </c>
      <c r="AE265" s="23"/>
      <c r="AF265" s="327"/>
      <c r="AG265" s="322">
        <f t="shared" si="159"/>
        <v>0</v>
      </c>
    </row>
    <row r="266" spans="1:33" x14ac:dyDescent="0.3">
      <c r="A266" s="338" t="s">
        <v>237</v>
      </c>
      <c r="B266" s="11"/>
      <c r="F266" s="3" t="s">
        <v>322</v>
      </c>
      <c r="N266" s="15"/>
      <c r="O266" s="352"/>
      <c r="P266" s="117"/>
      <c r="Q266" s="117"/>
      <c r="R266" s="117"/>
      <c r="S266" s="117"/>
      <c r="T266" s="117"/>
      <c r="U266" s="117"/>
      <c r="V266" s="117"/>
      <c r="W266" s="117"/>
      <c r="X266" s="117"/>
      <c r="Y266" s="352"/>
      <c r="Z266" s="246">
        <f>IFERROR(Z264/Z265,)</f>
        <v>2</v>
      </c>
      <c r="AA266" s="16">
        <f>'Key Assumption'!AB184</f>
        <v>2.0953783833548147</v>
      </c>
      <c r="AB266" s="16">
        <f>'Key Assumption'!AC184</f>
        <v>2.2091695820290922</v>
      </c>
      <c r="AC266" s="16">
        <f>'Key Assumption'!AD184</f>
        <v>2.3273798563800403</v>
      </c>
      <c r="AD266" s="16">
        <f>'Key Assumption'!AE184</f>
        <v>2.4312281347818079</v>
      </c>
      <c r="AE266" s="23"/>
      <c r="AF266" s="327"/>
      <c r="AG266" s="322">
        <f t="shared" si="159"/>
        <v>0</v>
      </c>
    </row>
    <row r="267" spans="1:33" x14ac:dyDescent="0.3">
      <c r="A267" s="338" t="s">
        <v>237</v>
      </c>
      <c r="B267" s="11"/>
      <c r="E267" s="3" t="s">
        <v>306</v>
      </c>
      <c r="I267" s="291" t="s">
        <v>273</v>
      </c>
      <c r="N267" s="15"/>
      <c r="O267" s="246">
        <v>0</v>
      </c>
      <c r="P267" s="16">
        <f t="shared" ref="P267:X267" si="179">P268*P$553/10^6</f>
        <v>266.83231462840291</v>
      </c>
      <c r="Q267" s="16">
        <f t="shared" si="179"/>
        <v>266.83231462840291</v>
      </c>
      <c r="R267" s="16">
        <f t="shared" si="179"/>
        <v>266.83231462840291</v>
      </c>
      <c r="S267" s="16">
        <f t="shared" si="179"/>
        <v>262.99886856771673</v>
      </c>
      <c r="T267" s="16">
        <f t="shared" si="179"/>
        <v>262.99886856771673</v>
      </c>
      <c r="U267" s="16">
        <f t="shared" si="179"/>
        <v>262.99886856771673</v>
      </c>
      <c r="V267" s="16">
        <f t="shared" si="179"/>
        <v>256.90205807758281</v>
      </c>
      <c r="W267" s="16">
        <f t="shared" si="179"/>
        <v>256.90205807758281</v>
      </c>
      <c r="X267" s="16">
        <f t="shared" si="179"/>
        <v>256.90205807758281</v>
      </c>
      <c r="Y267" s="246">
        <f>IFERROR(Y263/Y264,)</f>
        <v>261.86718635299286</v>
      </c>
      <c r="Z267" s="246">
        <f>IFERROR(Z263/Z264,)</f>
        <v>261.86718635299286</v>
      </c>
      <c r="AA267" s="16">
        <f>AA268*AA$553/10^6</f>
        <v>248.90537573902705</v>
      </c>
      <c r="AB267" s="16">
        <f>AB268*AB$553/10^6</f>
        <v>247.79149819591422</v>
      </c>
      <c r="AC267" s="16">
        <f>AC268*AC$553/10^6</f>
        <v>248.8325055234136</v>
      </c>
      <c r="AD267" s="16">
        <f>AD268*AD$553/10^6</f>
        <v>253.20151049062684</v>
      </c>
      <c r="AE267" s="23"/>
      <c r="AF267" s="327"/>
      <c r="AG267" s="322">
        <f t="shared" si="159"/>
        <v>0</v>
      </c>
    </row>
    <row r="268" spans="1:33" x14ac:dyDescent="0.3">
      <c r="A268" s="338" t="s">
        <v>237</v>
      </c>
      <c r="B268" s="11"/>
      <c r="F268" s="3" t="s">
        <v>323</v>
      </c>
      <c r="I268" s="291" t="s">
        <v>275</v>
      </c>
      <c r="N268" s="15"/>
      <c r="O268" s="246">
        <v>0</v>
      </c>
      <c r="P268" s="16">
        <f>'Key Assumption'!Q321</f>
        <v>203906.70535564949</v>
      </c>
      <c r="Q268" s="16">
        <f>'Key Assumption'!R321</f>
        <v>203906.70535564949</v>
      </c>
      <c r="R268" s="16">
        <f>'Key Assumption'!S321</f>
        <v>203906.70535564949</v>
      </c>
      <c r="S268" s="16">
        <f>'Key Assumption'!T321</f>
        <v>203906.70535564949</v>
      </c>
      <c r="T268" s="16">
        <f>'Key Assumption'!U321</f>
        <v>203906.70535564949</v>
      </c>
      <c r="U268" s="16">
        <f>'Key Assumption'!V321</f>
        <v>203906.70535564949</v>
      </c>
      <c r="V268" s="16">
        <f>'Key Assumption'!W321</f>
        <v>203906.70535564949</v>
      </c>
      <c r="W268" s="16">
        <f>'Key Assumption'!X321</f>
        <v>203906.70535564949</v>
      </c>
      <c r="X268" s="16">
        <f>'Key Assumption'!Y321</f>
        <v>203906.70535564949</v>
      </c>
      <c r="Y268" s="246">
        <f>IFERROR(SUMPRODUCT(P268:X268,P264:X264)/Y264,)</f>
        <v>203906.70535564949</v>
      </c>
      <c r="Z268" s="246">
        <f>IFERROR((Y268*Y264+O268*O264)/Z264,)</f>
        <v>203906.70535564949</v>
      </c>
      <c r="AA268" s="16">
        <f>'Key Assumption'!AB321</f>
        <v>204995.36792869959</v>
      </c>
      <c r="AB268" s="16">
        <f>'Key Assumption'!AC321</f>
        <v>206183.63970370629</v>
      </c>
      <c r="AC268" s="16">
        <f>'Key Assumption'!AD321</f>
        <v>207481.45211657934</v>
      </c>
      <c r="AD268" s="16">
        <f>'Key Assumption'!AE321</f>
        <v>208912.13736850399</v>
      </c>
      <c r="AE268" s="23"/>
      <c r="AF268" s="327"/>
      <c r="AG268" s="322">
        <f t="shared" si="159"/>
        <v>0</v>
      </c>
    </row>
    <row r="269" spans="1:33" x14ac:dyDescent="0.3">
      <c r="A269" s="338" t="s">
        <v>237</v>
      </c>
      <c r="B269" s="11"/>
      <c r="D269" s="3" t="s">
        <v>147</v>
      </c>
      <c r="N269" s="15"/>
      <c r="O269" s="246">
        <v>426.08820200000002</v>
      </c>
      <c r="P269" s="16">
        <f t="shared" ref="P269:X269" si="180">P270*P273</f>
        <v>232.92963932936499</v>
      </c>
      <c r="Q269" s="16">
        <f t="shared" si="180"/>
        <v>155.28642621957667</v>
      </c>
      <c r="R269" s="16">
        <f t="shared" si="180"/>
        <v>155.28642621957667</v>
      </c>
      <c r="S269" s="16">
        <f t="shared" si="180"/>
        <v>153.05550400275865</v>
      </c>
      <c r="T269" s="16">
        <f t="shared" si="180"/>
        <v>229.58325600413798</v>
      </c>
      <c r="U269" s="16">
        <f t="shared" si="180"/>
        <v>153.05550400275865</v>
      </c>
      <c r="V269" s="16">
        <f t="shared" si="180"/>
        <v>224.26108252412268</v>
      </c>
      <c r="W269" s="16">
        <f t="shared" si="180"/>
        <v>74.753694174707562</v>
      </c>
      <c r="X269" s="16">
        <f t="shared" si="180"/>
        <v>149.50738834941512</v>
      </c>
      <c r="Y269" s="246">
        <f>SUM(P269:X269)</f>
        <v>1527.718920826419</v>
      </c>
      <c r="Z269" s="246">
        <f>Y269+O269</f>
        <v>1953.8071228264189</v>
      </c>
      <c r="AA269" s="16">
        <f>AA270*AA273</f>
        <v>1919.5542591167211</v>
      </c>
      <c r="AB269" s="16">
        <f>AB270*AB273</f>
        <v>1995.1516842161864</v>
      </c>
      <c r="AC269" s="16">
        <f>AC270*AC273</f>
        <v>2087.7815425779586</v>
      </c>
      <c r="AD269" s="16">
        <f>AD270*AD273</f>
        <v>2124.5020878924847</v>
      </c>
      <c r="AE269" s="23"/>
      <c r="AF269" s="327"/>
      <c r="AG269" s="322">
        <f t="shared" si="159"/>
        <v>0</v>
      </c>
    </row>
    <row r="270" spans="1:33" x14ac:dyDescent="0.3">
      <c r="A270" s="338" t="s">
        <v>237</v>
      </c>
      <c r="B270" s="11"/>
      <c r="E270" s="3" t="s">
        <v>298</v>
      </c>
      <c r="N270" s="15"/>
      <c r="O270" s="246">
        <v>2</v>
      </c>
      <c r="P270" s="16">
        <f>SUMIFS(INDEX(판매수량!$N$2:$V$82,0,MATCH(Revenue_HW!P$47,판매수량!$N$2:$V$2,0)),판매수량!$A$2:$A$82,Revenue_HW!$A270,판매수량!$B$2:$B$82,Revenue_HW!$AG270)</f>
        <v>3</v>
      </c>
      <c r="Q270" s="16">
        <f>SUMIFS(INDEX(판매수량!$N$2:$V$82,0,MATCH(Revenue_HW!Q$47,판매수량!$N$2:$V$2,0)),판매수량!$A$2:$A$82,Revenue_HW!$A270,판매수량!$B$2:$B$82,Revenue_HW!$AG270)</f>
        <v>2</v>
      </c>
      <c r="R270" s="16">
        <f>SUMIFS(INDEX(판매수량!$N$2:$V$82,0,MATCH(Revenue_HW!R$47,판매수량!$N$2:$V$2,0)),판매수량!$A$2:$A$82,Revenue_HW!$A270,판매수량!$B$2:$B$82,Revenue_HW!$AG270)</f>
        <v>2</v>
      </c>
      <c r="S270" s="16">
        <f>SUMIFS(INDEX(판매수량!$N$2:$V$82,0,MATCH(Revenue_HW!S$47,판매수량!$N$2:$V$2,0)),판매수량!$A$2:$A$82,Revenue_HW!$A270,판매수량!$B$2:$B$82,Revenue_HW!$AG270)</f>
        <v>2</v>
      </c>
      <c r="T270" s="16">
        <f>SUMIFS(INDEX(판매수량!$N$2:$V$82,0,MATCH(Revenue_HW!T$47,판매수량!$N$2:$V$2,0)),판매수량!$A$2:$A$82,Revenue_HW!$A270,판매수량!$B$2:$B$82,Revenue_HW!$AG270)</f>
        <v>3</v>
      </c>
      <c r="U270" s="16">
        <f>SUMIFS(INDEX(판매수량!$N$2:$V$82,0,MATCH(Revenue_HW!U$47,판매수량!$N$2:$V$2,0)),판매수량!$A$2:$A$82,Revenue_HW!$A270,판매수량!$B$2:$B$82,Revenue_HW!$AG270)</f>
        <v>2</v>
      </c>
      <c r="V270" s="16">
        <f>SUMIFS(INDEX(판매수량!$N$2:$V$82,0,MATCH(Revenue_HW!V$47,판매수량!$N$2:$V$2,0)),판매수량!$A$2:$A$82,Revenue_HW!$A270,판매수량!$B$2:$B$82,Revenue_HW!$AG270)</f>
        <v>3</v>
      </c>
      <c r="W270" s="16">
        <f>SUMIFS(INDEX(판매수량!$N$2:$V$82,0,MATCH(Revenue_HW!W$47,판매수량!$N$2:$V$2,0)),판매수량!$A$2:$A$82,Revenue_HW!$A270,판매수량!$B$2:$B$82,Revenue_HW!$AG270)</f>
        <v>1</v>
      </c>
      <c r="X270" s="16">
        <f>SUMIFS(INDEX(판매수량!$N$2:$V$82,0,MATCH(Revenue_HW!X$47,판매수량!$N$2:$V$2,0)),판매수량!$A$2:$A$82,Revenue_HW!$A270,판매수량!$B$2:$B$82,Revenue_HW!$AG270)</f>
        <v>2</v>
      </c>
      <c r="Y270" s="246">
        <f>SUM(P270:X270)</f>
        <v>20</v>
      </c>
      <c r="Z270" s="246">
        <f>Y270+O270</f>
        <v>22</v>
      </c>
      <c r="AA270" s="16">
        <f>ROUND(AA271*AA272,)</f>
        <v>23</v>
      </c>
      <c r="AB270" s="16">
        <f>ROUND(AB271*AB272,)</f>
        <v>24</v>
      </c>
      <c r="AC270" s="16">
        <f>ROUND(AC271*AC272,)</f>
        <v>25</v>
      </c>
      <c r="AD270" s="16">
        <f>ROUND(AD271*AD272,)</f>
        <v>25</v>
      </c>
      <c r="AE270" s="23"/>
      <c r="AF270" s="327"/>
      <c r="AG270" s="322" t="str">
        <f t="shared" si="159"/>
        <v>선반</v>
      </c>
    </row>
    <row r="271" spans="1:33" x14ac:dyDescent="0.3">
      <c r="A271" s="338" t="s">
        <v>237</v>
      </c>
      <c r="B271" s="11"/>
      <c r="F271" s="3" t="s">
        <v>321</v>
      </c>
      <c r="N271" s="15"/>
      <c r="O271" s="352"/>
      <c r="P271" s="117"/>
      <c r="Q271" s="117"/>
      <c r="R271" s="117"/>
      <c r="S271" s="117"/>
      <c r="T271" s="117"/>
      <c r="U271" s="117"/>
      <c r="V271" s="117"/>
      <c r="W271" s="117"/>
      <c r="X271" s="117"/>
      <c r="Y271" s="352"/>
      <c r="Z271" s="246">
        <f>'Key Assumption'!AA73</f>
        <v>11</v>
      </c>
      <c r="AA271" s="16">
        <f>'Key Assumption'!AB73</f>
        <v>11</v>
      </c>
      <c r="AB271" s="16">
        <f>'Key Assumption'!AC73</f>
        <v>11</v>
      </c>
      <c r="AC271" s="16">
        <f>'Key Assumption'!AD73</f>
        <v>11</v>
      </c>
      <c r="AD271" s="16">
        <f>'Key Assumption'!AE73</f>
        <v>11</v>
      </c>
      <c r="AE271" s="23"/>
      <c r="AF271" s="327"/>
      <c r="AG271" s="322">
        <f t="shared" si="159"/>
        <v>0</v>
      </c>
    </row>
    <row r="272" spans="1:33" x14ac:dyDescent="0.3">
      <c r="A272" s="338" t="s">
        <v>237</v>
      </c>
      <c r="B272" s="11"/>
      <c r="F272" s="3" t="s">
        <v>322</v>
      </c>
      <c r="N272" s="15"/>
      <c r="O272" s="352"/>
      <c r="P272" s="117"/>
      <c r="Q272" s="117"/>
      <c r="R272" s="117"/>
      <c r="S272" s="117"/>
      <c r="T272" s="117"/>
      <c r="U272" s="117"/>
      <c r="V272" s="117"/>
      <c r="W272" s="117"/>
      <c r="X272" s="117"/>
      <c r="Y272" s="352"/>
      <c r="Z272" s="246">
        <f>IFERROR(Z270/Z271,)</f>
        <v>2</v>
      </c>
      <c r="AA272" s="16">
        <f>'Key Assumption'!AB185</f>
        <v>2.0701088865472426</v>
      </c>
      <c r="AB272" s="16">
        <f>'Key Assumption'!AC185</f>
        <v>2.1504741833508958</v>
      </c>
      <c r="AC272" s="16">
        <f>'Key Assumption'!AD185</f>
        <v>2.2333684580259923</v>
      </c>
      <c r="AD272" s="16">
        <f>'Key Assumption'!AE185</f>
        <v>2.3082543027748508</v>
      </c>
      <c r="AE272" s="23"/>
      <c r="AF272" s="327"/>
      <c r="AG272" s="322">
        <f t="shared" si="159"/>
        <v>0</v>
      </c>
    </row>
    <row r="273" spans="1:33" x14ac:dyDescent="0.3">
      <c r="A273" s="338" t="s">
        <v>237</v>
      </c>
      <c r="B273" s="11"/>
      <c r="E273" s="3" t="s">
        <v>306</v>
      </c>
      <c r="I273" s="291" t="s">
        <v>273</v>
      </c>
      <c r="N273" s="15"/>
      <c r="O273" s="246">
        <f>O269/O270</f>
        <v>213.04410100000001</v>
      </c>
      <c r="P273" s="16">
        <f t="shared" ref="P273:X273" si="181">P274*P$553/10^6</f>
        <v>77.643213109788334</v>
      </c>
      <c r="Q273" s="16">
        <f t="shared" si="181"/>
        <v>77.643213109788334</v>
      </c>
      <c r="R273" s="16">
        <f t="shared" si="181"/>
        <v>77.643213109788334</v>
      </c>
      <c r="S273" s="16">
        <f t="shared" si="181"/>
        <v>76.527752001379326</v>
      </c>
      <c r="T273" s="16">
        <f t="shared" si="181"/>
        <v>76.527752001379326</v>
      </c>
      <c r="U273" s="16">
        <f t="shared" si="181"/>
        <v>76.527752001379326</v>
      </c>
      <c r="V273" s="16">
        <f t="shared" si="181"/>
        <v>74.753694174707562</v>
      </c>
      <c r="W273" s="16">
        <f t="shared" si="181"/>
        <v>74.753694174707562</v>
      </c>
      <c r="X273" s="16">
        <f t="shared" si="181"/>
        <v>74.753694174707562</v>
      </c>
      <c r="Y273" s="246">
        <f>IFERROR(Y269/Y270,)</f>
        <v>76.385946041320949</v>
      </c>
      <c r="Z273" s="246">
        <f>IFERROR(Z269/Z270,)</f>
        <v>88.809414673928131</v>
      </c>
      <c r="AA273" s="16">
        <f>AA274*AA$553/10^6</f>
        <v>83.458880831161792</v>
      </c>
      <c r="AB273" s="16">
        <f>AB274*AB$553/10^6</f>
        <v>83.131320175674432</v>
      </c>
      <c r="AC273" s="16">
        <f>AC274*AC$553/10^6</f>
        <v>83.51126170311835</v>
      </c>
      <c r="AD273" s="16">
        <f>AD274*AD$553/10^6</f>
        <v>84.980083515699391</v>
      </c>
      <c r="AE273" s="23"/>
      <c r="AF273" s="327"/>
      <c r="AG273" s="322">
        <f t="shared" si="159"/>
        <v>0</v>
      </c>
    </row>
    <row r="274" spans="1:33" x14ac:dyDescent="0.3">
      <c r="A274" s="338" t="s">
        <v>237</v>
      </c>
      <c r="B274" s="11"/>
      <c r="F274" s="3" t="s">
        <v>323</v>
      </c>
      <c r="I274" s="291" t="s">
        <v>275</v>
      </c>
      <c r="N274" s="15"/>
      <c r="O274" s="246">
        <v>158515</v>
      </c>
      <c r="P274" s="16">
        <f>'Key Assumption'!Q322</f>
        <v>59333.037681329915</v>
      </c>
      <c r="Q274" s="16">
        <f>'Key Assumption'!R322</f>
        <v>59333.037681329915</v>
      </c>
      <c r="R274" s="16">
        <f>'Key Assumption'!S322</f>
        <v>59333.037681329915</v>
      </c>
      <c r="S274" s="16">
        <f>'Key Assumption'!T322</f>
        <v>59333.037681329915</v>
      </c>
      <c r="T274" s="16">
        <f>'Key Assumption'!U322</f>
        <v>59333.037681329915</v>
      </c>
      <c r="U274" s="16">
        <f>'Key Assumption'!V322</f>
        <v>59333.037681329915</v>
      </c>
      <c r="V274" s="16">
        <f>'Key Assumption'!W322</f>
        <v>59333.037681329915</v>
      </c>
      <c r="W274" s="16">
        <f>'Key Assumption'!X322</f>
        <v>59333.037681329915</v>
      </c>
      <c r="X274" s="16">
        <f>'Key Assumption'!Y322</f>
        <v>59333.037681329915</v>
      </c>
      <c r="Y274" s="246">
        <f>SUMPRODUCT(P274:X274,P270:X270)/Y270</f>
        <v>59333.037681329915</v>
      </c>
      <c r="Z274" s="246">
        <f>(Y274*Y270+O274*O270)/Z270</f>
        <v>68349.57971029992</v>
      </c>
      <c r="AA274" s="16">
        <f>'Key Assumption'!AB322</f>
        <v>68735.69496883692</v>
      </c>
      <c r="AB274" s="16">
        <f>'Key Assumption'!AC322</f>
        <v>69172.341633944452</v>
      </c>
      <c r="AC274" s="16">
        <f>'Key Assumption'!AD322</f>
        <v>69633.337532826117</v>
      </c>
      <c r="AD274" s="16">
        <f>'Key Assumption'!AE322</f>
        <v>70115.580458497847</v>
      </c>
      <c r="AE274" s="23"/>
      <c r="AF274" s="327"/>
      <c r="AG274" s="322">
        <f t="shared" si="159"/>
        <v>0</v>
      </c>
    </row>
    <row r="275" spans="1:33" x14ac:dyDescent="0.3">
      <c r="A275" s="338" t="s">
        <v>237</v>
      </c>
      <c r="B275" s="160"/>
      <c r="C275" s="23"/>
      <c r="D275" s="3" t="s">
        <v>148</v>
      </c>
      <c r="E275" s="23"/>
      <c r="F275" s="23"/>
      <c r="G275" s="23"/>
      <c r="H275" s="23"/>
      <c r="N275" s="15"/>
      <c r="O275" s="246">
        <v>0</v>
      </c>
      <c r="P275" s="16">
        <f t="shared" ref="P275:X275" si="182">P276*P279</f>
        <v>0</v>
      </c>
      <c r="Q275" s="16">
        <f t="shared" si="182"/>
        <v>210.44193310154179</v>
      </c>
      <c r="R275" s="16">
        <f t="shared" si="182"/>
        <v>70.147311033847259</v>
      </c>
      <c r="S275" s="16">
        <f t="shared" si="182"/>
        <v>138.27907958345745</v>
      </c>
      <c r="T275" s="16">
        <f t="shared" si="182"/>
        <v>0</v>
      </c>
      <c r="U275" s="16">
        <f t="shared" si="182"/>
        <v>138.27907958345745</v>
      </c>
      <c r="V275" s="16">
        <f t="shared" si="182"/>
        <v>67.536754677933814</v>
      </c>
      <c r="W275" s="16">
        <f t="shared" si="182"/>
        <v>67.536754677933814</v>
      </c>
      <c r="X275" s="16">
        <f t="shared" si="182"/>
        <v>67.536754677933814</v>
      </c>
      <c r="Y275" s="246">
        <f>SUM(P275:X275)</f>
        <v>759.75766733610533</v>
      </c>
      <c r="Z275" s="246">
        <f>Y275+O275</f>
        <v>759.75766733610533</v>
      </c>
      <c r="AA275" s="16">
        <f>AA276*AA279</f>
        <v>720.92252580832792</v>
      </c>
      <c r="AB275" s="16">
        <f>AB276*AB279</f>
        <v>784.36624999520791</v>
      </c>
      <c r="AC275" s="16">
        <f>AC276*AC279</f>
        <v>788.87875754867071</v>
      </c>
      <c r="AD275" s="16">
        <f>AD276*AD279</f>
        <v>1071.8738544021812</v>
      </c>
      <c r="AE275" s="23"/>
      <c r="AF275" s="327"/>
      <c r="AG275" s="322">
        <f t="shared" si="159"/>
        <v>0</v>
      </c>
    </row>
    <row r="276" spans="1:33" x14ac:dyDescent="0.3">
      <c r="A276" s="338" t="s">
        <v>237</v>
      </c>
      <c r="B276" s="11"/>
      <c r="E276" s="3" t="s">
        <v>298</v>
      </c>
      <c r="N276" s="15"/>
      <c r="O276" s="246">
        <v>0</v>
      </c>
      <c r="P276" s="16">
        <f>SUMIFS(INDEX(판매수량!$N$2:$V$82,0,MATCH(Revenue_HW!P$47,판매수량!$N$2:$V$2,0)),판매수량!$A$2:$A$82,Revenue_HW!$A276,판매수량!$B$2:$B$82,Revenue_HW!$AG276)</f>
        <v>0</v>
      </c>
      <c r="Q276" s="16">
        <f>SUMIFS(INDEX(판매수량!$N$2:$V$82,0,MATCH(Revenue_HW!Q$47,판매수량!$N$2:$V$2,0)),판매수량!$A$2:$A$82,Revenue_HW!$A276,판매수량!$B$2:$B$82,Revenue_HW!$AG276)</f>
        <v>3</v>
      </c>
      <c r="R276" s="16">
        <f>SUMIFS(INDEX(판매수량!$N$2:$V$82,0,MATCH(Revenue_HW!R$47,판매수량!$N$2:$V$2,0)),판매수량!$A$2:$A$82,Revenue_HW!$A276,판매수량!$B$2:$B$82,Revenue_HW!$AG276)</f>
        <v>1</v>
      </c>
      <c r="S276" s="16">
        <f>SUMIFS(INDEX(판매수량!$N$2:$V$82,0,MATCH(Revenue_HW!S$47,판매수량!$N$2:$V$2,0)),판매수량!$A$2:$A$82,Revenue_HW!$A276,판매수량!$B$2:$B$82,Revenue_HW!$AG276)</f>
        <v>2</v>
      </c>
      <c r="T276" s="16">
        <f>SUMIFS(INDEX(판매수량!$N$2:$V$82,0,MATCH(Revenue_HW!T$47,판매수량!$N$2:$V$2,0)),판매수량!$A$2:$A$82,Revenue_HW!$A276,판매수량!$B$2:$B$82,Revenue_HW!$AG276)</f>
        <v>0</v>
      </c>
      <c r="U276" s="16">
        <f>SUMIFS(INDEX(판매수량!$N$2:$V$82,0,MATCH(Revenue_HW!U$47,판매수량!$N$2:$V$2,0)),판매수량!$A$2:$A$82,Revenue_HW!$A276,판매수량!$B$2:$B$82,Revenue_HW!$AG276)</f>
        <v>2</v>
      </c>
      <c r="V276" s="16">
        <f>SUMIFS(INDEX(판매수량!$N$2:$V$82,0,MATCH(Revenue_HW!V$47,판매수량!$N$2:$V$2,0)),판매수량!$A$2:$A$82,Revenue_HW!$A276,판매수량!$B$2:$B$82,Revenue_HW!$AG276)</f>
        <v>1</v>
      </c>
      <c r="W276" s="16">
        <f>SUMIFS(INDEX(판매수량!$N$2:$V$82,0,MATCH(Revenue_HW!W$47,판매수량!$N$2:$V$2,0)),판매수량!$A$2:$A$82,Revenue_HW!$A276,판매수량!$B$2:$B$82,Revenue_HW!$AG276)</f>
        <v>1</v>
      </c>
      <c r="X276" s="16">
        <f>SUMIFS(INDEX(판매수량!$N$2:$V$82,0,MATCH(Revenue_HW!X$47,판매수량!$N$2:$V$2,0)),판매수량!$A$2:$A$82,Revenue_HW!$A276,판매수량!$B$2:$B$82,Revenue_HW!$AG276)</f>
        <v>1</v>
      </c>
      <c r="Y276" s="246">
        <f>SUM(P276:X276)</f>
        <v>11</v>
      </c>
      <c r="Z276" s="246">
        <f>Y276+O276</f>
        <v>11</v>
      </c>
      <c r="AA276" s="16">
        <f>ROUND(AA277*AA278,)</f>
        <v>11</v>
      </c>
      <c r="AB276" s="16">
        <f>ROUND(AB277*AB278,)</f>
        <v>12</v>
      </c>
      <c r="AC276" s="16">
        <f>ROUND(AC277*AC278,)</f>
        <v>12</v>
      </c>
      <c r="AD276" s="16">
        <f>ROUND(AD277*AD278,)</f>
        <v>16</v>
      </c>
      <c r="AE276" s="23"/>
      <c r="AF276" s="327"/>
      <c r="AG276" s="322" t="str">
        <f t="shared" si="159"/>
        <v>VMC</v>
      </c>
    </row>
    <row r="277" spans="1:33" x14ac:dyDescent="0.3">
      <c r="A277" s="338" t="s">
        <v>237</v>
      </c>
      <c r="B277" s="11"/>
      <c r="F277" s="3" t="s">
        <v>321</v>
      </c>
      <c r="N277" s="15"/>
      <c r="O277" s="352"/>
      <c r="P277" s="117"/>
      <c r="Q277" s="117"/>
      <c r="R277" s="117"/>
      <c r="S277" s="117"/>
      <c r="T277" s="117"/>
      <c r="U277" s="117"/>
      <c r="V277" s="117"/>
      <c r="W277" s="117"/>
      <c r="X277" s="117"/>
      <c r="Y277" s="352"/>
      <c r="Z277" s="246">
        <f>'Key Assumption'!AA74</f>
        <v>4</v>
      </c>
      <c r="AA277" s="16">
        <f>'Key Assumption'!AB74</f>
        <v>4</v>
      </c>
      <c r="AB277" s="16">
        <f>'Key Assumption'!AC74</f>
        <v>4</v>
      </c>
      <c r="AC277" s="16">
        <f>'Key Assumption'!AD74</f>
        <v>4</v>
      </c>
      <c r="AD277" s="16">
        <f>'Key Assumption'!AE74</f>
        <v>5</v>
      </c>
      <c r="AE277" s="23"/>
      <c r="AF277" s="327"/>
      <c r="AG277" s="322">
        <f t="shared" si="159"/>
        <v>0</v>
      </c>
    </row>
    <row r="278" spans="1:33" x14ac:dyDescent="0.3">
      <c r="A278" s="338" t="s">
        <v>237</v>
      </c>
      <c r="B278" s="11"/>
      <c r="F278" s="3" t="s">
        <v>322</v>
      </c>
      <c r="N278" s="15"/>
      <c r="O278" s="352"/>
      <c r="P278" s="117"/>
      <c r="Q278" s="117"/>
      <c r="R278" s="117"/>
      <c r="S278" s="117"/>
      <c r="T278" s="117"/>
      <c r="U278" s="117"/>
      <c r="V278" s="117"/>
      <c r="W278" s="117"/>
      <c r="X278" s="117"/>
      <c r="Y278" s="352"/>
      <c r="Z278" s="246">
        <f>IFERROR(Z276/Z277,)</f>
        <v>2.75</v>
      </c>
      <c r="AA278" s="16">
        <f>'Key Assumption'!AB186</f>
        <v>2.8631141045958794</v>
      </c>
      <c r="AB278" s="16">
        <f>'Key Assumption'!AC186</f>
        <v>2.9896988906497621</v>
      </c>
      <c r="AC278" s="16">
        <f>'Key Assumption'!AD186</f>
        <v>3.1212361331220282</v>
      </c>
      <c r="AD278" s="16">
        <f>'Key Assumption'!AE186</f>
        <v>3.2456418383518226</v>
      </c>
      <c r="AE278" s="23"/>
      <c r="AF278" s="327"/>
      <c r="AG278" s="322">
        <f t="shared" si="159"/>
        <v>0</v>
      </c>
    </row>
    <row r="279" spans="1:33" x14ac:dyDescent="0.3">
      <c r="A279" s="338" t="s">
        <v>237</v>
      </c>
      <c r="B279" s="11"/>
      <c r="E279" s="3" t="s">
        <v>306</v>
      </c>
      <c r="I279" s="291" t="s">
        <v>273</v>
      </c>
      <c r="N279" s="15"/>
      <c r="O279" s="246">
        <v>0</v>
      </c>
      <c r="P279" s="16">
        <f t="shared" ref="P279:X279" si="183">P280*P$553/10^6</f>
        <v>70.147311033847259</v>
      </c>
      <c r="Q279" s="16">
        <f t="shared" si="183"/>
        <v>70.147311033847259</v>
      </c>
      <c r="R279" s="16">
        <f t="shared" si="183"/>
        <v>70.147311033847259</v>
      </c>
      <c r="S279" s="16">
        <f t="shared" si="183"/>
        <v>69.139539791728723</v>
      </c>
      <c r="T279" s="16">
        <f t="shared" si="183"/>
        <v>69.139539791728723</v>
      </c>
      <c r="U279" s="16">
        <f t="shared" si="183"/>
        <v>69.139539791728723</v>
      </c>
      <c r="V279" s="16">
        <f t="shared" si="183"/>
        <v>67.536754677933814</v>
      </c>
      <c r="W279" s="16">
        <f t="shared" si="183"/>
        <v>67.536754677933814</v>
      </c>
      <c r="X279" s="16">
        <f t="shared" si="183"/>
        <v>67.536754677933814</v>
      </c>
      <c r="Y279" s="246">
        <f>IFERROR(Y275/Y276,)</f>
        <v>69.068878848736844</v>
      </c>
      <c r="Z279" s="246">
        <f>IFERROR(Z275/Z276,)</f>
        <v>69.068878848736844</v>
      </c>
      <c r="AA279" s="16">
        <f>AA280*AA$553/10^6</f>
        <v>65.538411437120715</v>
      </c>
      <c r="AB279" s="16">
        <f>AB280*AB$553/10^6</f>
        <v>65.36385416626733</v>
      </c>
      <c r="AC279" s="16">
        <f>AC280*AC$553/10^6</f>
        <v>65.739896462389225</v>
      </c>
      <c r="AD279" s="16">
        <f>AD280*AD$553/10^6</f>
        <v>66.992115900136326</v>
      </c>
      <c r="AE279" s="23"/>
      <c r="AF279" s="327"/>
      <c r="AG279" s="322">
        <f t="shared" si="159"/>
        <v>0</v>
      </c>
    </row>
    <row r="280" spans="1:33" x14ac:dyDescent="0.3">
      <c r="A280" s="338" t="s">
        <v>237</v>
      </c>
      <c r="B280" s="11"/>
      <c r="F280" s="3" t="s">
        <v>323</v>
      </c>
      <c r="I280" s="291" t="s">
        <v>275</v>
      </c>
      <c r="N280" s="15"/>
      <c r="O280" s="246">
        <v>0</v>
      </c>
      <c r="P280" s="16">
        <f>'Key Assumption'!Q323</f>
        <v>53604.853304177952</v>
      </c>
      <c r="Q280" s="16">
        <f>'Key Assumption'!R323</f>
        <v>53604.853304177952</v>
      </c>
      <c r="R280" s="16">
        <f>'Key Assumption'!S323</f>
        <v>53604.853304177952</v>
      </c>
      <c r="S280" s="16">
        <f>'Key Assumption'!T323</f>
        <v>53604.853304177952</v>
      </c>
      <c r="T280" s="16">
        <f>'Key Assumption'!U323</f>
        <v>53604.853304177952</v>
      </c>
      <c r="U280" s="16">
        <f>'Key Assumption'!V323</f>
        <v>53604.853304177952</v>
      </c>
      <c r="V280" s="16">
        <f>'Key Assumption'!W323</f>
        <v>53604.853304177952</v>
      </c>
      <c r="W280" s="16">
        <f>'Key Assumption'!X323</f>
        <v>53604.853304177952</v>
      </c>
      <c r="X280" s="16">
        <f>'Key Assumption'!Y323</f>
        <v>53604.853304177952</v>
      </c>
      <c r="Y280" s="246">
        <f>SUMPRODUCT(P280:X280,P276:X276)/Y276</f>
        <v>53604.853304177959</v>
      </c>
      <c r="Z280" s="246">
        <f>(Y280*Y276+O280*O276)/Z276</f>
        <v>53604.853304177959</v>
      </c>
      <c r="AA280" s="16">
        <f>'Key Assumption'!AB323</f>
        <v>53976.619533125282</v>
      </c>
      <c r="AB280" s="16">
        <f>'Key Assumption'!AC323</f>
        <v>54388.296027847668</v>
      </c>
      <c r="AC280" s="16">
        <f>'Key Assumption'!AD323</f>
        <v>54815.222598506814</v>
      </c>
      <c r="AD280" s="16">
        <f>'Key Assumption'!AE323</f>
        <v>55274.023019914464</v>
      </c>
      <c r="AE280" s="23"/>
      <c r="AF280" s="327"/>
      <c r="AG280" s="322">
        <f t="shared" si="159"/>
        <v>0</v>
      </c>
    </row>
    <row r="281" spans="1:33" x14ac:dyDescent="0.3">
      <c r="A281" s="338" t="s">
        <v>237</v>
      </c>
      <c r="D281" s="3" t="s">
        <v>149</v>
      </c>
      <c r="N281" s="15"/>
      <c r="O281" s="246">
        <v>0</v>
      </c>
      <c r="P281" s="16">
        <f t="shared" ref="P281:X281" si="184">P282*P285</f>
        <v>0</v>
      </c>
      <c r="Q281" s="16">
        <f t="shared" si="184"/>
        <v>0</v>
      </c>
      <c r="R281" s="16">
        <f t="shared" si="184"/>
        <v>0</v>
      </c>
      <c r="S281" s="16">
        <f t="shared" si="184"/>
        <v>0</v>
      </c>
      <c r="T281" s="16">
        <f t="shared" si="184"/>
        <v>0</v>
      </c>
      <c r="U281" s="16">
        <f t="shared" si="184"/>
        <v>0</v>
      </c>
      <c r="V281" s="16">
        <f t="shared" si="184"/>
        <v>0</v>
      </c>
      <c r="W281" s="16">
        <f t="shared" si="184"/>
        <v>525.3032927120463</v>
      </c>
      <c r="X281" s="16">
        <f t="shared" si="184"/>
        <v>0</v>
      </c>
      <c r="Y281" s="246">
        <f>SUM(P281:X281)</f>
        <v>525.3032927120463</v>
      </c>
      <c r="Z281" s="246">
        <f>Y281+O281</f>
        <v>525.3032927120463</v>
      </c>
      <c r="AA281" s="16">
        <f>AA282*AA285</f>
        <v>509.48239319125224</v>
      </c>
      <c r="AB281" s="16">
        <f>AB282*AB285</f>
        <v>507.77808393392513</v>
      </c>
      <c r="AC281" s="16">
        <f>AC282*AC285</f>
        <v>510.39628841386997</v>
      </c>
      <c r="AD281" s="16">
        <f>AD282*AD285</f>
        <v>520.0746600456564</v>
      </c>
      <c r="AE281" s="23"/>
      <c r="AF281" s="327"/>
      <c r="AG281" s="322">
        <f t="shared" si="159"/>
        <v>0</v>
      </c>
    </row>
    <row r="282" spans="1:33" x14ac:dyDescent="0.3">
      <c r="A282" s="338" t="s">
        <v>237</v>
      </c>
      <c r="B282" s="11"/>
      <c r="E282" s="3" t="s">
        <v>298</v>
      </c>
      <c r="N282" s="15"/>
      <c r="O282" s="246">
        <v>0</v>
      </c>
      <c r="P282" s="16">
        <f>SUMIFS(INDEX(판매수량!$N$2:$V$82,0,MATCH(Revenue_HW!P$47,판매수량!$N$2:$V$2,0)),판매수량!$A$2:$A$82,Revenue_HW!$A282,판매수량!$B$2:$B$82,Revenue_HW!$AG282)</f>
        <v>0</v>
      </c>
      <c r="Q282" s="16">
        <f>SUMIFS(INDEX(판매수량!$N$2:$V$82,0,MATCH(Revenue_HW!Q$47,판매수량!$N$2:$V$2,0)),판매수량!$A$2:$A$82,Revenue_HW!$A282,판매수량!$B$2:$B$82,Revenue_HW!$AG282)</f>
        <v>0</v>
      </c>
      <c r="R282" s="16">
        <f>SUMIFS(INDEX(판매수량!$N$2:$V$82,0,MATCH(Revenue_HW!R$47,판매수량!$N$2:$V$2,0)),판매수량!$A$2:$A$82,Revenue_HW!$A282,판매수량!$B$2:$B$82,Revenue_HW!$AG282)</f>
        <v>0</v>
      </c>
      <c r="S282" s="16">
        <f>SUMIFS(INDEX(판매수량!$N$2:$V$82,0,MATCH(Revenue_HW!S$47,판매수량!$N$2:$V$2,0)),판매수량!$A$2:$A$82,Revenue_HW!$A282,판매수량!$B$2:$B$82,Revenue_HW!$AG282)</f>
        <v>0</v>
      </c>
      <c r="T282" s="16">
        <f>SUMIFS(INDEX(판매수량!$N$2:$V$82,0,MATCH(Revenue_HW!T$47,판매수량!$N$2:$V$2,0)),판매수량!$A$2:$A$82,Revenue_HW!$A282,판매수량!$B$2:$B$82,Revenue_HW!$AG282)</f>
        <v>0</v>
      </c>
      <c r="U282" s="16">
        <f>SUMIFS(INDEX(판매수량!$N$2:$V$82,0,MATCH(Revenue_HW!U$47,판매수량!$N$2:$V$2,0)),판매수량!$A$2:$A$82,Revenue_HW!$A282,판매수량!$B$2:$B$82,Revenue_HW!$AG282)</f>
        <v>0</v>
      </c>
      <c r="V282" s="16">
        <f>SUMIFS(INDEX(판매수량!$N$2:$V$82,0,MATCH(Revenue_HW!V$47,판매수량!$N$2:$V$2,0)),판매수량!$A$2:$A$82,Revenue_HW!$A282,판매수량!$B$2:$B$82,Revenue_HW!$AG282)</f>
        <v>0</v>
      </c>
      <c r="W282" s="16">
        <f>SUMIFS(INDEX(판매수량!$N$2:$V$82,0,MATCH(Revenue_HW!W$47,판매수량!$N$2:$V$2,0)),판매수량!$A$2:$A$82,Revenue_HW!$A282,판매수량!$B$2:$B$82,Revenue_HW!$AG282)</f>
        <v>1</v>
      </c>
      <c r="X282" s="16">
        <f>SUMIFS(INDEX(판매수량!$N$2:$V$82,0,MATCH(Revenue_HW!X$47,판매수량!$N$2:$V$2,0)),판매수량!$A$2:$A$82,Revenue_HW!$A282,판매수량!$B$2:$B$82,Revenue_HW!$AG282)</f>
        <v>0</v>
      </c>
      <c r="Y282" s="246">
        <f>SUM(P282:X282)</f>
        <v>1</v>
      </c>
      <c r="Z282" s="246">
        <f>Y282+O282</f>
        <v>1</v>
      </c>
      <c r="AA282" s="16">
        <f>ROUND(AA283*AA284,)</f>
        <v>1</v>
      </c>
      <c r="AB282" s="16">
        <f>ROUND(AB283*AB284,)</f>
        <v>1</v>
      </c>
      <c r="AC282" s="16">
        <f>ROUND(AC283*AC284,)</f>
        <v>1</v>
      </c>
      <c r="AD282" s="16">
        <f>ROUND(AD283*AD284,)</f>
        <v>1</v>
      </c>
      <c r="AE282" s="23"/>
      <c r="AF282" s="327"/>
      <c r="AG282" s="322" t="str">
        <f t="shared" si="159"/>
        <v>HMC</v>
      </c>
    </row>
    <row r="283" spans="1:33" x14ac:dyDescent="0.3">
      <c r="A283" s="338" t="s">
        <v>237</v>
      </c>
      <c r="B283" s="11"/>
      <c r="F283" s="3" t="s">
        <v>321</v>
      </c>
      <c r="N283" s="15"/>
      <c r="O283" s="352"/>
      <c r="P283" s="117"/>
      <c r="Q283" s="117"/>
      <c r="R283" s="117"/>
      <c r="S283" s="117"/>
      <c r="T283" s="117"/>
      <c r="U283" s="117"/>
      <c r="V283" s="117"/>
      <c r="W283" s="117"/>
      <c r="X283" s="117"/>
      <c r="Y283" s="352"/>
      <c r="Z283" s="246">
        <f>'Key Assumption'!AA75</f>
        <v>1</v>
      </c>
      <c r="AA283" s="16">
        <f>'Key Assumption'!AB75</f>
        <v>1</v>
      </c>
      <c r="AB283" s="16">
        <f>'Key Assumption'!AC75</f>
        <v>1</v>
      </c>
      <c r="AC283" s="16">
        <f>'Key Assumption'!AD75</f>
        <v>1</v>
      </c>
      <c r="AD283" s="16">
        <f>'Key Assumption'!AE75</f>
        <v>1</v>
      </c>
      <c r="AE283" s="23"/>
      <c r="AF283" s="327"/>
      <c r="AG283" s="322">
        <f t="shared" si="159"/>
        <v>0</v>
      </c>
    </row>
    <row r="284" spans="1:33" x14ac:dyDescent="0.3">
      <c r="A284" s="338" t="s">
        <v>237</v>
      </c>
      <c r="B284" s="11"/>
      <c r="F284" s="3" t="s">
        <v>322</v>
      </c>
      <c r="N284" s="15"/>
      <c r="O284" s="352"/>
      <c r="P284" s="117"/>
      <c r="Q284" s="117"/>
      <c r="R284" s="117"/>
      <c r="S284" s="117"/>
      <c r="T284" s="117"/>
      <c r="U284" s="117"/>
      <c r="V284" s="117"/>
      <c r="W284" s="117"/>
      <c r="X284" s="117"/>
      <c r="Y284" s="352"/>
      <c r="Z284" s="246">
        <f>IFERROR(Z282/Z283,)</f>
        <v>1</v>
      </c>
      <c r="AA284" s="16">
        <f>'Key Assumption'!AB187</f>
        <v>1.0372909240471619</v>
      </c>
      <c r="AB284" s="16">
        <f>'Key Assumption'!AC187</f>
        <v>1.0804771044694268</v>
      </c>
      <c r="AC284" s="16">
        <f>'Key Assumption'!AD187</f>
        <v>1.1255826706882368</v>
      </c>
      <c r="AD284" s="16">
        <f>'Key Assumption'!AE187</f>
        <v>1.1676720592267615</v>
      </c>
      <c r="AE284" s="23"/>
      <c r="AF284" s="327"/>
      <c r="AG284" s="322">
        <f t="shared" si="159"/>
        <v>0</v>
      </c>
    </row>
    <row r="285" spans="1:33" x14ac:dyDescent="0.3">
      <c r="A285" s="338" t="s">
        <v>237</v>
      </c>
      <c r="B285" s="11"/>
      <c r="E285" s="3" t="s">
        <v>306</v>
      </c>
      <c r="I285" s="291" t="s">
        <v>273</v>
      </c>
      <c r="N285" s="15"/>
      <c r="O285" s="246">
        <v>0</v>
      </c>
      <c r="P285" s="16">
        <f t="shared" ref="P285:X285" si="185">P286*P$553/10^6</f>
        <v>545.60829339073246</v>
      </c>
      <c r="Q285" s="16">
        <f t="shared" si="185"/>
        <v>545.60829339073246</v>
      </c>
      <c r="R285" s="16">
        <f t="shared" si="185"/>
        <v>545.60829339073246</v>
      </c>
      <c r="S285" s="16">
        <f t="shared" si="185"/>
        <v>537.76981263592131</v>
      </c>
      <c r="T285" s="16">
        <f t="shared" si="185"/>
        <v>537.76981263592131</v>
      </c>
      <c r="U285" s="16">
        <f t="shared" si="185"/>
        <v>537.76981263592131</v>
      </c>
      <c r="V285" s="16">
        <f t="shared" si="185"/>
        <v>525.3032927120463</v>
      </c>
      <c r="W285" s="16">
        <f t="shared" si="185"/>
        <v>525.3032927120463</v>
      </c>
      <c r="X285" s="16">
        <f t="shared" si="185"/>
        <v>525.3032927120463</v>
      </c>
      <c r="Y285" s="246">
        <f>IFERROR(Y281/Y282,)</f>
        <v>525.3032927120463</v>
      </c>
      <c r="Z285" s="246">
        <f>IFERROR(Z281/Z282,)</f>
        <v>525.3032927120463</v>
      </c>
      <c r="AA285" s="16">
        <f>AA286*AA$553/10^6</f>
        <v>509.48239319125224</v>
      </c>
      <c r="AB285" s="16">
        <f>AB286*AB$553/10^6</f>
        <v>507.77808393392513</v>
      </c>
      <c r="AC285" s="16">
        <f>AC286*AC$553/10^6</f>
        <v>510.39628841386997</v>
      </c>
      <c r="AD285" s="16">
        <f>AD286*AD$553/10^6</f>
        <v>520.0746600456564</v>
      </c>
      <c r="AE285" s="23"/>
      <c r="AF285" s="327"/>
      <c r="AG285" s="322">
        <f t="shared" si="159"/>
        <v>0</v>
      </c>
    </row>
    <row r="286" spans="1:33" x14ac:dyDescent="0.3">
      <c r="A286" s="338" t="s">
        <v>237</v>
      </c>
      <c r="B286" s="11"/>
      <c r="F286" s="3" t="s">
        <v>323</v>
      </c>
      <c r="I286" s="291" t="s">
        <v>275</v>
      </c>
      <c r="N286" s="15"/>
      <c r="O286" s="246">
        <v>0</v>
      </c>
      <c r="P286" s="16">
        <f>'Key Assumption'!Q324</f>
        <v>416940.46568144002</v>
      </c>
      <c r="Q286" s="16">
        <f>'Key Assumption'!R324</f>
        <v>416940.46568144002</v>
      </c>
      <c r="R286" s="16">
        <f>'Key Assumption'!S324</f>
        <v>416940.46568144002</v>
      </c>
      <c r="S286" s="16">
        <f>'Key Assumption'!T324</f>
        <v>416940.46568144002</v>
      </c>
      <c r="T286" s="16">
        <f>'Key Assumption'!U324</f>
        <v>416940.46568144002</v>
      </c>
      <c r="U286" s="16">
        <f>'Key Assumption'!V324</f>
        <v>416940.46568144002</v>
      </c>
      <c r="V286" s="16">
        <f>'Key Assumption'!W324</f>
        <v>416940.46568144002</v>
      </c>
      <c r="W286" s="16">
        <f>'Key Assumption'!X324</f>
        <v>416940.46568144002</v>
      </c>
      <c r="X286" s="16">
        <f>'Key Assumption'!Y324</f>
        <v>416940.46568144002</v>
      </c>
      <c r="Y286" s="246">
        <f>IFERROR(SUMPRODUCT(P286:X286,P282:X282)/Y282,)</f>
        <v>416940.46568144002</v>
      </c>
      <c r="Z286" s="246">
        <f>IFERROR((Y286*Y282+O286*O282)/Z282,)</f>
        <v>416940.46568144002</v>
      </c>
      <c r="AA286" s="16">
        <f>'Key Assumption'!AB324</f>
        <v>419603.35462959332</v>
      </c>
      <c r="AB286" s="16">
        <f>'Key Assumption'!AC324</f>
        <v>422514.63133127405</v>
      </c>
      <c r="AC286" s="16">
        <f>'Key Assumption'!AD324</f>
        <v>425578.49446666386</v>
      </c>
      <c r="AD286" s="16">
        <f>'Key Assumption'!AE324</f>
        <v>429104.5049881654</v>
      </c>
      <c r="AE286" s="23"/>
      <c r="AF286" s="327"/>
      <c r="AG286" s="322">
        <f t="shared" si="159"/>
        <v>0</v>
      </c>
    </row>
    <row r="287" spans="1:33" x14ac:dyDescent="0.3">
      <c r="A287" s="338" t="s">
        <v>237</v>
      </c>
      <c r="B287" s="11"/>
      <c r="D287" s="3" t="s">
        <v>135</v>
      </c>
      <c r="N287" s="15"/>
      <c r="O287" s="246">
        <v>178.76984999999999</v>
      </c>
      <c r="P287" s="16">
        <f t="shared" ref="P287:X287" si="186">P288*P291</f>
        <v>0</v>
      </c>
      <c r="Q287" s="16">
        <f t="shared" si="186"/>
        <v>0</v>
      </c>
      <c r="R287" s="16">
        <f t="shared" si="186"/>
        <v>0</v>
      </c>
      <c r="S287" s="16">
        <f t="shared" si="186"/>
        <v>0</v>
      </c>
      <c r="T287" s="16">
        <f t="shared" si="186"/>
        <v>81.976453030669788</v>
      </c>
      <c r="U287" s="16">
        <f t="shared" si="186"/>
        <v>0</v>
      </c>
      <c r="V287" s="16">
        <f t="shared" si="186"/>
        <v>80.076084023368637</v>
      </c>
      <c r="W287" s="16">
        <f t="shared" si="186"/>
        <v>0</v>
      </c>
      <c r="X287" s="16">
        <f t="shared" si="186"/>
        <v>160.15216804673727</v>
      </c>
      <c r="Y287" s="246">
        <f>SUM(P287:X287)</f>
        <v>322.2047051007757</v>
      </c>
      <c r="Z287" s="246">
        <f>Y287+O287</f>
        <v>500.97455510077566</v>
      </c>
      <c r="AA287" s="119"/>
      <c r="AB287" s="119"/>
      <c r="AC287" s="119"/>
      <c r="AD287" s="119"/>
      <c r="AE287" s="23"/>
      <c r="AF287" s="327"/>
      <c r="AG287" s="322">
        <f t="shared" si="159"/>
        <v>0</v>
      </c>
    </row>
    <row r="288" spans="1:33" x14ac:dyDescent="0.3">
      <c r="A288" s="338" t="s">
        <v>237</v>
      </c>
      <c r="B288" s="11"/>
      <c r="E288" s="3" t="s">
        <v>324</v>
      </c>
      <c r="N288" s="15"/>
      <c r="O288" s="246">
        <v>2</v>
      </c>
      <c r="P288" s="16">
        <f>SUMIFS(INDEX(판매수량!$N$2:$V$82,0,MATCH(Revenue_HW!P$47,판매수량!$N$2:$V$2,0)),판매수량!$A$2:$A$82,Revenue_HW!$A288,판매수량!$B$2:$B$82,Revenue_HW!$AG288)</f>
        <v>0</v>
      </c>
      <c r="Q288" s="16">
        <f>SUMIFS(INDEX(판매수량!$N$2:$V$82,0,MATCH(Revenue_HW!Q$47,판매수량!$N$2:$V$2,0)),판매수량!$A$2:$A$82,Revenue_HW!$A288,판매수량!$B$2:$B$82,Revenue_HW!$AG288)</f>
        <v>0</v>
      </c>
      <c r="R288" s="16">
        <f>SUMIFS(INDEX(판매수량!$N$2:$V$82,0,MATCH(Revenue_HW!R$47,판매수량!$N$2:$V$2,0)),판매수량!$A$2:$A$82,Revenue_HW!$A288,판매수량!$B$2:$B$82,Revenue_HW!$AG288)</f>
        <v>0</v>
      </c>
      <c r="S288" s="16">
        <f>SUMIFS(INDEX(판매수량!$N$2:$V$82,0,MATCH(Revenue_HW!S$47,판매수량!$N$2:$V$2,0)),판매수량!$A$2:$A$82,Revenue_HW!$A288,판매수량!$B$2:$B$82,Revenue_HW!$AG288)</f>
        <v>0</v>
      </c>
      <c r="T288" s="16">
        <f>SUMIFS(INDEX(판매수량!$N$2:$V$82,0,MATCH(Revenue_HW!T$47,판매수량!$N$2:$V$2,0)),판매수량!$A$2:$A$82,Revenue_HW!$A288,판매수량!$B$2:$B$82,Revenue_HW!$AG288)</f>
        <v>1</v>
      </c>
      <c r="U288" s="16">
        <f>SUMIFS(INDEX(판매수량!$N$2:$V$82,0,MATCH(Revenue_HW!U$47,판매수량!$N$2:$V$2,0)),판매수량!$A$2:$A$82,Revenue_HW!$A288,판매수량!$B$2:$B$82,Revenue_HW!$AG288)</f>
        <v>0</v>
      </c>
      <c r="V288" s="16">
        <f>SUMIFS(INDEX(판매수량!$N$2:$V$82,0,MATCH(Revenue_HW!V$47,판매수량!$N$2:$V$2,0)),판매수량!$A$2:$A$82,Revenue_HW!$A288,판매수량!$B$2:$B$82,Revenue_HW!$AG288)</f>
        <v>1</v>
      </c>
      <c r="W288" s="16">
        <f>SUMIFS(INDEX(판매수량!$N$2:$V$82,0,MATCH(Revenue_HW!W$47,판매수량!$N$2:$V$2,0)),판매수량!$A$2:$A$82,Revenue_HW!$A288,판매수량!$B$2:$B$82,Revenue_HW!$AG288)</f>
        <v>0</v>
      </c>
      <c r="X288" s="16">
        <f>SUMIFS(INDEX(판매수량!$N$2:$V$82,0,MATCH(Revenue_HW!X$47,판매수량!$N$2:$V$2,0)),판매수량!$A$2:$A$82,Revenue_HW!$A288,판매수량!$B$2:$B$82,Revenue_HW!$AG288)</f>
        <v>2</v>
      </c>
      <c r="Y288" s="246">
        <f>SUM(P288:X288)</f>
        <v>4</v>
      </c>
      <c r="Z288" s="246">
        <f>Y288+O288</f>
        <v>6</v>
      </c>
      <c r="AA288" s="119"/>
      <c r="AB288" s="119"/>
      <c r="AC288" s="119"/>
      <c r="AD288" s="119"/>
      <c r="AE288" s="23"/>
      <c r="AF288" s="327"/>
      <c r="AG288" s="322" t="str">
        <f t="shared" si="159"/>
        <v>단종</v>
      </c>
    </row>
    <row r="289" spans="1:33" x14ac:dyDescent="0.3">
      <c r="A289" s="338" t="s">
        <v>237</v>
      </c>
      <c r="B289" s="11"/>
      <c r="F289" s="3" t="s">
        <v>304</v>
      </c>
      <c r="N289" s="15"/>
      <c r="O289" s="352"/>
      <c r="P289" s="117"/>
      <c r="Q289" s="117"/>
      <c r="R289" s="117"/>
      <c r="S289" s="117"/>
      <c r="T289" s="117"/>
      <c r="U289" s="117"/>
      <c r="V289" s="117"/>
      <c r="W289" s="117"/>
      <c r="X289" s="117"/>
      <c r="Y289" s="352"/>
      <c r="Z289" s="246">
        <v>3</v>
      </c>
      <c r="AA289" s="119"/>
      <c r="AB289" s="119"/>
      <c r="AC289" s="119"/>
      <c r="AD289" s="119"/>
      <c r="AE289" s="23"/>
      <c r="AF289" s="327"/>
      <c r="AG289" s="322">
        <f t="shared" si="159"/>
        <v>0</v>
      </c>
    </row>
    <row r="290" spans="1:33" x14ac:dyDescent="0.3">
      <c r="A290" s="338" t="s">
        <v>237</v>
      </c>
      <c r="B290" s="11"/>
      <c r="F290" s="3" t="s">
        <v>305</v>
      </c>
      <c r="N290" s="15"/>
      <c r="O290" s="352"/>
      <c r="P290" s="117"/>
      <c r="Q290" s="117"/>
      <c r="R290" s="117"/>
      <c r="S290" s="117"/>
      <c r="T290" s="117"/>
      <c r="U290" s="117"/>
      <c r="V290" s="117"/>
      <c r="W290" s="117"/>
      <c r="X290" s="117"/>
      <c r="Y290" s="352"/>
      <c r="Z290" s="246">
        <f>IFERROR(Z288/Z289,)</f>
        <v>2</v>
      </c>
      <c r="AA290" s="119"/>
      <c r="AB290" s="119"/>
      <c r="AC290" s="119"/>
      <c r="AD290" s="119"/>
      <c r="AE290" s="23"/>
      <c r="AF290" s="327"/>
      <c r="AG290" s="322">
        <f t="shared" si="159"/>
        <v>0</v>
      </c>
    </row>
    <row r="291" spans="1:33" x14ac:dyDescent="0.3">
      <c r="A291" s="338" t="s">
        <v>237</v>
      </c>
      <c r="B291" s="11"/>
      <c r="E291" s="3" t="s">
        <v>325</v>
      </c>
      <c r="I291" s="291" t="s">
        <v>273</v>
      </c>
      <c r="N291" s="15"/>
      <c r="O291" s="246">
        <f>O287/O288</f>
        <v>89.384924999999996</v>
      </c>
      <c r="P291" s="16">
        <f t="shared" ref="P291:X291" si="187">P292*P$553/10^6</f>
        <v>83.171333878069845</v>
      </c>
      <c r="Q291" s="16">
        <f t="shared" si="187"/>
        <v>83.171333878069845</v>
      </c>
      <c r="R291" s="16">
        <f t="shared" si="187"/>
        <v>83.171333878069845</v>
      </c>
      <c r="S291" s="16">
        <f t="shared" si="187"/>
        <v>81.976453030669788</v>
      </c>
      <c r="T291" s="16">
        <f t="shared" si="187"/>
        <v>81.976453030669788</v>
      </c>
      <c r="U291" s="16">
        <f t="shared" si="187"/>
        <v>81.976453030669788</v>
      </c>
      <c r="V291" s="16">
        <f t="shared" si="187"/>
        <v>80.076084023368637</v>
      </c>
      <c r="W291" s="16">
        <f t="shared" si="187"/>
        <v>80.076084023368637</v>
      </c>
      <c r="X291" s="16">
        <f t="shared" si="187"/>
        <v>80.076084023368637</v>
      </c>
      <c r="Y291" s="246">
        <f>IFERROR(Y287/Y288,)</f>
        <v>80.551176275193924</v>
      </c>
      <c r="Z291" s="246">
        <f>IFERROR(Z287/Z288,)</f>
        <v>83.49575918346261</v>
      </c>
      <c r="AA291" s="119"/>
      <c r="AB291" s="119"/>
      <c r="AC291" s="119"/>
      <c r="AD291" s="119"/>
      <c r="AE291" s="23"/>
      <c r="AF291" s="327"/>
      <c r="AG291" s="322">
        <f t="shared" si="159"/>
        <v>0</v>
      </c>
    </row>
    <row r="292" spans="1:33" x14ac:dyDescent="0.3">
      <c r="A292" s="338" t="s">
        <v>237</v>
      </c>
      <c r="B292" s="11"/>
      <c r="F292" s="3" t="s">
        <v>326</v>
      </c>
      <c r="I292" s="291" t="s">
        <v>275</v>
      </c>
      <c r="N292" s="15"/>
      <c r="O292" s="246">
        <v>66750</v>
      </c>
      <c r="P292" s="16">
        <f>'Key Assumption'!Q325</f>
        <v>63557.491882981696</v>
      </c>
      <c r="Q292" s="16">
        <f>'Key Assumption'!R325</f>
        <v>63557.491882981696</v>
      </c>
      <c r="R292" s="16">
        <f>'Key Assumption'!S325</f>
        <v>63557.491882981696</v>
      </c>
      <c r="S292" s="16">
        <f>'Key Assumption'!T325</f>
        <v>63557.491882981696</v>
      </c>
      <c r="T292" s="16">
        <f>'Key Assumption'!U325</f>
        <v>63557.491882981696</v>
      </c>
      <c r="U292" s="16">
        <f>'Key Assumption'!V325</f>
        <v>63557.491882981696</v>
      </c>
      <c r="V292" s="16">
        <f>'Key Assumption'!W325</f>
        <v>63557.491882981696</v>
      </c>
      <c r="W292" s="16">
        <f>'Key Assumption'!X325</f>
        <v>63557.491882981696</v>
      </c>
      <c r="X292" s="16">
        <f>'Key Assumption'!Y325</f>
        <v>63557.491882981696</v>
      </c>
      <c r="Y292" s="246">
        <f>SUMPRODUCT(P292:X292,P288:X288)/Y288</f>
        <v>63557.491882981696</v>
      </c>
      <c r="Z292" s="246">
        <f>(Y292*Y288+O292*O288)/Z288</f>
        <v>64621.661255321138</v>
      </c>
      <c r="AA292" s="119"/>
      <c r="AB292" s="119"/>
      <c r="AC292" s="119"/>
      <c r="AD292" s="119"/>
      <c r="AE292" s="23"/>
      <c r="AF292" s="327"/>
      <c r="AG292" s="322">
        <f t="shared" si="159"/>
        <v>0</v>
      </c>
    </row>
    <row r="293" spans="1:33" x14ac:dyDescent="0.3">
      <c r="A293" s="338" t="s">
        <v>237</v>
      </c>
      <c r="D293" s="3" t="s">
        <v>136</v>
      </c>
      <c r="N293" s="15"/>
      <c r="O293" s="246">
        <f>O294+O296+O298+O300+O303+O304</f>
        <v>116.376988</v>
      </c>
      <c r="P293" s="16">
        <f t="shared" ref="P293:AD293" si="188">P294+P296+P298+P300+P303+P304</f>
        <v>54.979506234212451</v>
      </c>
      <c r="Q293" s="16">
        <f t="shared" si="188"/>
        <v>87.891315410347403</v>
      </c>
      <c r="R293" s="16">
        <f t="shared" si="188"/>
        <v>114.94879767872493</v>
      </c>
      <c r="S293" s="16">
        <f t="shared" si="188"/>
        <v>69.892339220521237</v>
      </c>
      <c r="T293" s="16">
        <f t="shared" si="188"/>
        <v>74.413096793340713</v>
      </c>
      <c r="U293" s="16">
        <f t="shared" si="188"/>
        <v>69.454314220521198</v>
      </c>
      <c r="V293" s="16">
        <f t="shared" si="188"/>
        <v>89.078370356246396</v>
      </c>
      <c r="W293" s="16">
        <f t="shared" si="188"/>
        <v>151.31838318175636</v>
      </c>
      <c r="X293" s="16">
        <f t="shared" si="188"/>
        <v>149.73668435450915</v>
      </c>
      <c r="Y293" s="246">
        <f t="shared" si="188"/>
        <v>861.71280745017975</v>
      </c>
      <c r="Z293" s="246">
        <f t="shared" si="188"/>
        <v>978.08979545017985</v>
      </c>
      <c r="AA293" s="16">
        <f t="shared" si="188"/>
        <v>965.5307279490205</v>
      </c>
      <c r="AB293" s="16">
        <f t="shared" si="188"/>
        <v>1004.0350199759225</v>
      </c>
      <c r="AC293" s="16">
        <f t="shared" si="188"/>
        <v>1030.7330489625961</v>
      </c>
      <c r="AD293" s="16">
        <f t="shared" si="188"/>
        <v>1121.5607294699164</v>
      </c>
      <c r="AE293" s="23"/>
      <c r="AF293" s="327"/>
      <c r="AG293" s="322">
        <f t="shared" si="159"/>
        <v>0</v>
      </c>
    </row>
    <row r="294" spans="1:33" ht="12.75" thickBot="1" x14ac:dyDescent="0.35">
      <c r="A294" s="338" t="s">
        <v>237</v>
      </c>
      <c r="B294" s="23"/>
      <c r="C294" s="23"/>
      <c r="E294" s="3" t="s">
        <v>307</v>
      </c>
      <c r="I294" s="341"/>
      <c r="N294" s="15"/>
      <c r="O294" s="246">
        <v>-7.6344931666078546</v>
      </c>
      <c r="P294" s="16">
        <f t="shared" ref="P294:X294" si="189">SUM(P$263,P$269,P$275,P$281,P$287)*P295</f>
        <v>22.652803309548453</v>
      </c>
      <c r="Q294" s="16">
        <f t="shared" si="189"/>
        <v>35.567704532055714</v>
      </c>
      <c r="R294" s="16">
        <f t="shared" si="189"/>
        <v>47.873710195717393</v>
      </c>
      <c r="S294" s="16">
        <f t="shared" si="189"/>
        <v>28.332783402956849</v>
      </c>
      <c r="T294" s="16">
        <f t="shared" si="189"/>
        <v>30.299711227243101</v>
      </c>
      <c r="U294" s="16">
        <f t="shared" si="189"/>
        <v>28.332783402956849</v>
      </c>
      <c r="V294" s="16">
        <f t="shared" si="189"/>
        <v>36.165370872181981</v>
      </c>
      <c r="W294" s="16">
        <f t="shared" si="189"/>
        <v>64.924626002474909</v>
      </c>
      <c r="X294" s="16">
        <f t="shared" si="189"/>
        <v>61.667144106925804</v>
      </c>
      <c r="Y294" s="246">
        <f>SUM(P294:X294)</f>
        <v>355.81663705206108</v>
      </c>
      <c r="Z294" s="246">
        <f>Y294+O294</f>
        <v>348.18214388545323</v>
      </c>
      <c r="AA294" s="16">
        <f t="shared" ref="AA294:AD294" si="190">SUM(AA$263,AA$269,AA$275,AA$281,AA$287)*AA295</f>
        <v>354.75182536449779</v>
      </c>
      <c r="AB294" s="16">
        <f t="shared" si="190"/>
        <v>367.89141350516559</v>
      </c>
      <c r="AC294" s="16">
        <f t="shared" si="190"/>
        <v>377.79577799188297</v>
      </c>
      <c r="AD294" s="16">
        <f t="shared" si="190"/>
        <v>410.67969198567368</v>
      </c>
      <c r="AE294" s="23"/>
      <c r="AF294" s="327"/>
      <c r="AG294" s="322">
        <f t="shared" si="159"/>
        <v>0</v>
      </c>
    </row>
    <row r="295" spans="1:33" ht="12.75" thickBot="1" x14ac:dyDescent="0.35">
      <c r="A295" s="338" t="s">
        <v>237</v>
      </c>
      <c r="B295" s="23"/>
      <c r="C295" s="23"/>
      <c r="E295" s="23"/>
      <c r="F295" s="23" t="s">
        <v>317</v>
      </c>
      <c r="G295" s="23"/>
      <c r="I295" s="339">
        <v>9.7251699589493409E-2</v>
      </c>
      <c r="J295" s="349">
        <f>I295</f>
        <v>9.7251699589493409E-2</v>
      </c>
      <c r="N295" s="15"/>
      <c r="O295" s="340">
        <f>O294/SUM(O$263,O$269,O$275,O$281,O$287)</f>
        <v>-1.2621958393980103E-2</v>
      </c>
      <c r="P295" s="43">
        <f t="shared" ref="P295:X295" si="191">$I295</f>
        <v>9.7251699589493409E-2</v>
      </c>
      <c r="Q295" s="43">
        <f t="shared" si="191"/>
        <v>9.7251699589493409E-2</v>
      </c>
      <c r="R295" s="43">
        <f t="shared" si="191"/>
        <v>9.7251699589493409E-2</v>
      </c>
      <c r="S295" s="43">
        <f t="shared" si="191"/>
        <v>9.7251699589493409E-2</v>
      </c>
      <c r="T295" s="43">
        <f t="shared" si="191"/>
        <v>9.7251699589493409E-2</v>
      </c>
      <c r="U295" s="43">
        <f t="shared" si="191"/>
        <v>9.7251699589493409E-2</v>
      </c>
      <c r="V295" s="43">
        <f t="shared" si="191"/>
        <v>9.7251699589493409E-2</v>
      </c>
      <c r="W295" s="43">
        <f t="shared" si="191"/>
        <v>9.7251699589493409E-2</v>
      </c>
      <c r="X295" s="43">
        <f t="shared" si="191"/>
        <v>9.7251699589493409E-2</v>
      </c>
      <c r="Y295" s="340">
        <f>Y294/SUM(Y$287,Y$281,Y$275,Y$269,Y$263)</f>
        <v>9.7251699589493423E-2</v>
      </c>
      <c r="Z295" s="350">
        <f>Z294/SUM(Z$287,Z$281,Z$275,Z$269,Z$263)</f>
        <v>8.1664326224944309E-2</v>
      </c>
      <c r="AA295" s="17">
        <f>$J295</f>
        <v>9.7251699589493409E-2</v>
      </c>
      <c r="AB295" s="17">
        <f>$J295</f>
        <v>9.7251699589493409E-2</v>
      </c>
      <c r="AC295" s="17">
        <f>$J295</f>
        <v>9.7251699589493409E-2</v>
      </c>
      <c r="AD295" s="17">
        <f>$J295</f>
        <v>9.7251699589493409E-2</v>
      </c>
      <c r="AE295" s="23"/>
      <c r="AF295" s="327"/>
      <c r="AG295" s="322">
        <f t="shared" si="159"/>
        <v>0</v>
      </c>
    </row>
    <row r="296" spans="1:33" ht="12.75" thickBot="1" x14ac:dyDescent="0.35">
      <c r="A296" s="338" t="s">
        <v>237</v>
      </c>
      <c r="B296" s="23"/>
      <c r="C296" s="23"/>
      <c r="E296" s="3" t="s">
        <v>309</v>
      </c>
      <c r="I296" s="341"/>
      <c r="J296" s="341"/>
      <c r="N296" s="15"/>
      <c r="O296" s="246">
        <v>55.362470000000002</v>
      </c>
      <c r="P296" s="16">
        <f t="shared" ref="P296:X296" si="192">SUM(P$263,P$269,P$275,P$281,P$287)*P297</f>
        <v>17.54256732227131</v>
      </c>
      <c r="Q296" s="16">
        <f t="shared" si="192"/>
        <v>27.544001628674323</v>
      </c>
      <c r="R296" s="16">
        <f t="shared" si="192"/>
        <v>37.073900858940505</v>
      </c>
      <c r="S296" s="16">
        <f t="shared" si="192"/>
        <v>21.94120319158014</v>
      </c>
      <c r="T296" s="16">
        <f t="shared" si="192"/>
        <v>23.464412628579311</v>
      </c>
      <c r="U296" s="16">
        <f t="shared" si="192"/>
        <v>21.94120319158014</v>
      </c>
      <c r="V296" s="16">
        <f t="shared" si="192"/>
        <v>28.00684068062959</v>
      </c>
      <c r="W296" s="16">
        <f t="shared" si="192"/>
        <v>50.278308029171043</v>
      </c>
      <c r="X296" s="16">
        <f t="shared" si="192"/>
        <v>47.755680049186651</v>
      </c>
      <c r="Y296" s="246">
        <f>SUM(P296:X296)</f>
        <v>275.548117580613</v>
      </c>
      <c r="Z296" s="246">
        <f>Y296+O296</f>
        <v>330.91058758061297</v>
      </c>
      <c r="AA296" s="16">
        <f t="shared" ref="AA296:AD296" si="193">SUM(AA$263,AA$269,AA$275,AA$281,AA$287)*AA297</f>
        <v>274.72351629575809</v>
      </c>
      <c r="AB296" s="16">
        <f t="shared" si="193"/>
        <v>284.89895049676147</v>
      </c>
      <c r="AC296" s="16">
        <f t="shared" si="193"/>
        <v>292.56899373239565</v>
      </c>
      <c r="AD296" s="16">
        <f t="shared" si="193"/>
        <v>318.0346399560882</v>
      </c>
      <c r="AE296" s="23"/>
      <c r="AF296" s="327"/>
      <c r="AG296" s="322">
        <f t="shared" si="159"/>
        <v>0</v>
      </c>
    </row>
    <row r="297" spans="1:33" ht="12.75" thickBot="1" x14ac:dyDescent="0.35">
      <c r="A297" s="338" t="s">
        <v>237</v>
      </c>
      <c r="B297" s="23"/>
      <c r="C297" s="23"/>
      <c r="E297" s="23"/>
      <c r="F297" s="23" t="s">
        <v>317</v>
      </c>
      <c r="G297" s="23"/>
      <c r="I297" s="339">
        <v>7.5312731229819713E-2</v>
      </c>
      <c r="J297" s="349">
        <f>I297</f>
        <v>7.5312731229819713E-2</v>
      </c>
      <c r="N297" s="15"/>
      <c r="O297" s="340">
        <f>O296/SUM(O$263,O$269,O$275,O$281,O$287)</f>
        <v>9.1529690010640707E-2</v>
      </c>
      <c r="P297" s="43">
        <f t="shared" ref="P297:X297" si="194">$I297</f>
        <v>7.5312731229819713E-2</v>
      </c>
      <c r="Q297" s="43">
        <f t="shared" si="194"/>
        <v>7.5312731229819713E-2</v>
      </c>
      <c r="R297" s="43">
        <f t="shared" si="194"/>
        <v>7.5312731229819713E-2</v>
      </c>
      <c r="S297" s="43">
        <f t="shared" si="194"/>
        <v>7.5312731229819713E-2</v>
      </c>
      <c r="T297" s="43">
        <f t="shared" si="194"/>
        <v>7.5312731229819713E-2</v>
      </c>
      <c r="U297" s="43">
        <f t="shared" si="194"/>
        <v>7.5312731229819713E-2</v>
      </c>
      <c r="V297" s="43">
        <f t="shared" si="194"/>
        <v>7.5312731229819713E-2</v>
      </c>
      <c r="W297" s="43">
        <f t="shared" si="194"/>
        <v>7.5312731229819713E-2</v>
      </c>
      <c r="X297" s="43">
        <f t="shared" si="194"/>
        <v>7.5312731229819713E-2</v>
      </c>
      <c r="Y297" s="340">
        <f>$I297</f>
        <v>7.5312731229819713E-2</v>
      </c>
      <c r="Z297" s="350">
        <f>Z296/SUM(Z$287,Z$281,Z$275,Z$269,Z$263)</f>
        <v>7.7613371765444542E-2</v>
      </c>
      <c r="AA297" s="17">
        <f>$J297</f>
        <v>7.5312731229819713E-2</v>
      </c>
      <c r="AB297" s="17">
        <f>$J297</f>
        <v>7.5312731229819713E-2</v>
      </c>
      <c r="AC297" s="17">
        <f>$J297</f>
        <v>7.5312731229819713E-2</v>
      </c>
      <c r="AD297" s="17">
        <f>$J297</f>
        <v>7.5312731229819713E-2</v>
      </c>
      <c r="AE297" s="23"/>
      <c r="AF297" s="327"/>
      <c r="AG297" s="322">
        <f t="shared" si="159"/>
        <v>0</v>
      </c>
    </row>
    <row r="298" spans="1:33" ht="12.75" thickBot="1" x14ac:dyDescent="0.35">
      <c r="A298" s="338" t="s">
        <v>237</v>
      </c>
      <c r="B298" s="23"/>
      <c r="C298" s="23"/>
      <c r="E298" s="3" t="s">
        <v>310</v>
      </c>
      <c r="I298" s="341"/>
      <c r="J298" s="341"/>
      <c r="N298" s="15"/>
      <c r="O298" s="246">
        <v>60.989927499972005</v>
      </c>
      <c r="P298" s="16">
        <f t="shared" ref="P298:X298" si="195">SUM(P$263,P$269,P$275,P$281,P$287)*P299</f>
        <v>16.862622852415832</v>
      </c>
      <c r="Q298" s="16">
        <f t="shared" si="195"/>
        <v>26.476404666322601</v>
      </c>
      <c r="R298" s="16">
        <f t="shared" si="195"/>
        <v>35.636927957431183</v>
      </c>
      <c r="S298" s="16">
        <f t="shared" si="195"/>
        <v>21.090768959348352</v>
      </c>
      <c r="T298" s="16">
        <f t="shared" si="195"/>
        <v>22.554939270882436</v>
      </c>
      <c r="U298" s="16">
        <f t="shared" si="195"/>
        <v>21.090768959348352</v>
      </c>
      <c r="V298" s="16">
        <f t="shared" si="195"/>
        <v>26.921304220140073</v>
      </c>
      <c r="W298" s="16">
        <f t="shared" si="195"/>
        <v>48.329536400133406</v>
      </c>
      <c r="X298" s="16">
        <f t="shared" si="195"/>
        <v>45.904684698442978</v>
      </c>
      <c r="Y298" s="246">
        <f>SUM(P298:X298)</f>
        <v>264.86795798446519</v>
      </c>
      <c r="Z298" s="246">
        <f>Y298+O298</f>
        <v>325.85788548443719</v>
      </c>
      <c r="AA298" s="16">
        <f t="shared" ref="AA298:AD298" si="196">SUM(AA$263,AA$269,AA$275,AA$281,AA$287)*AA299</f>
        <v>264.07531798972093</v>
      </c>
      <c r="AB298" s="16">
        <f t="shared" si="196"/>
        <v>273.85635551626683</v>
      </c>
      <c r="AC298" s="16">
        <f t="shared" si="196"/>
        <v>281.22911025439578</v>
      </c>
      <c r="AD298" s="16">
        <f t="shared" si="196"/>
        <v>305.70771592678244</v>
      </c>
      <c r="AE298" s="23"/>
      <c r="AF298" s="327"/>
      <c r="AG298" s="322">
        <f t="shared" si="159"/>
        <v>0</v>
      </c>
    </row>
    <row r="299" spans="1:33" ht="12.75" thickBot="1" x14ac:dyDescent="0.35">
      <c r="A299" s="338" t="s">
        <v>237</v>
      </c>
      <c r="B299" s="23"/>
      <c r="C299" s="23"/>
      <c r="E299" s="23"/>
      <c r="F299" s="23" t="s">
        <v>317</v>
      </c>
      <c r="G299" s="23"/>
      <c r="I299" s="339">
        <v>7.2393633120136774E-2</v>
      </c>
      <c r="J299" s="349">
        <f>I299</f>
        <v>7.2393633120136774E-2</v>
      </c>
      <c r="N299" s="15"/>
      <c r="O299" s="340">
        <f>O298/SUM(O$263,O$269,O$275,O$281,O$287)</f>
        <v>0.10083345554928977</v>
      </c>
      <c r="P299" s="43">
        <f t="shared" ref="P299:X299" si="197">$I299</f>
        <v>7.2393633120136774E-2</v>
      </c>
      <c r="Q299" s="43">
        <f t="shared" si="197"/>
        <v>7.2393633120136774E-2</v>
      </c>
      <c r="R299" s="43">
        <f t="shared" si="197"/>
        <v>7.2393633120136774E-2</v>
      </c>
      <c r="S299" s="43">
        <f t="shared" si="197"/>
        <v>7.2393633120136774E-2</v>
      </c>
      <c r="T299" s="43">
        <f t="shared" si="197"/>
        <v>7.2393633120136774E-2</v>
      </c>
      <c r="U299" s="43">
        <f t="shared" si="197"/>
        <v>7.2393633120136774E-2</v>
      </c>
      <c r="V299" s="43">
        <f t="shared" si="197"/>
        <v>7.2393633120136774E-2</v>
      </c>
      <c r="W299" s="43">
        <f t="shared" si="197"/>
        <v>7.2393633120136774E-2</v>
      </c>
      <c r="X299" s="43">
        <f t="shared" si="197"/>
        <v>7.2393633120136774E-2</v>
      </c>
      <c r="Y299" s="340">
        <f>$I299</f>
        <v>7.2393633120136774E-2</v>
      </c>
      <c r="Z299" s="350">
        <f>IFERROR(Z298/SUM(Z$21,Z$27,Z$33,Z$39,Z$45),)</f>
        <v>1.9461581732132603E-3</v>
      </c>
      <c r="AA299" s="17">
        <f>$J299</f>
        <v>7.2393633120136774E-2</v>
      </c>
      <c r="AB299" s="17">
        <f>$J299</f>
        <v>7.2393633120136774E-2</v>
      </c>
      <c r="AC299" s="17">
        <f>$J299</f>
        <v>7.2393633120136774E-2</v>
      </c>
      <c r="AD299" s="17">
        <f>$J299</f>
        <v>7.2393633120136774E-2</v>
      </c>
      <c r="AE299" s="23"/>
      <c r="AF299" s="327"/>
      <c r="AG299" s="322">
        <f t="shared" si="159"/>
        <v>0</v>
      </c>
    </row>
    <row r="300" spans="1:33" x14ac:dyDescent="0.3">
      <c r="A300" s="338" t="s">
        <v>237</v>
      </c>
      <c r="B300" s="23"/>
      <c r="C300" s="23"/>
      <c r="E300" s="3" t="s">
        <v>311</v>
      </c>
      <c r="I300" s="341"/>
      <c r="N300" s="15"/>
      <c r="O300" s="246">
        <v>7.6590836666358468</v>
      </c>
      <c r="P300" s="16">
        <f t="shared" ref="P300:X300" si="198">P301*P302</f>
        <v>5.7443127499768849</v>
      </c>
      <c r="Q300" s="16">
        <f t="shared" si="198"/>
        <v>9.5738545832948088</v>
      </c>
      <c r="R300" s="16">
        <f t="shared" si="198"/>
        <v>7.6590836666358468</v>
      </c>
      <c r="S300" s="16">
        <f t="shared" si="198"/>
        <v>7.6590836666358468</v>
      </c>
      <c r="T300" s="16">
        <f t="shared" si="198"/>
        <v>7.6590836666358468</v>
      </c>
      <c r="U300" s="16">
        <f t="shared" si="198"/>
        <v>7.6590836666358468</v>
      </c>
      <c r="V300" s="16">
        <f t="shared" si="198"/>
        <v>9.5738545832948088</v>
      </c>
      <c r="W300" s="16">
        <f t="shared" si="198"/>
        <v>5.7443127499768849</v>
      </c>
      <c r="X300" s="16">
        <f t="shared" si="198"/>
        <v>11.48862549995377</v>
      </c>
      <c r="Y300" s="246">
        <f>SUM(P300:X300)</f>
        <v>72.761294833040552</v>
      </c>
      <c r="Z300" s="246">
        <f>Y300+O300</f>
        <v>80.420378499676403</v>
      </c>
      <c r="AA300" s="16">
        <f>AA301*AA302</f>
        <v>71.980068299043694</v>
      </c>
      <c r="AB300" s="16">
        <f>AB301*AB302</f>
        <v>77.38830045772859</v>
      </c>
      <c r="AC300" s="16">
        <f>AC301*AC302</f>
        <v>79.139166983921541</v>
      </c>
      <c r="AD300" s="16">
        <f>AD301*AD302</f>
        <v>87.138681601372028</v>
      </c>
      <c r="AE300" s="23"/>
      <c r="AF300" s="327"/>
      <c r="AG300" s="322">
        <f t="shared" si="159"/>
        <v>0</v>
      </c>
    </row>
    <row r="301" spans="1:33" ht="12.75" thickBot="1" x14ac:dyDescent="0.35">
      <c r="A301" s="338" t="s">
        <v>237</v>
      </c>
      <c r="B301" s="23"/>
      <c r="C301" s="23"/>
      <c r="F301" s="3" t="s">
        <v>312</v>
      </c>
      <c r="I301" s="341"/>
      <c r="N301" s="15"/>
      <c r="O301" s="246">
        <f>SUM(O264,O270,O276,O282,O288)</f>
        <v>4</v>
      </c>
      <c r="P301" s="16">
        <f t="shared" ref="P301:X301" si="199">SUM(P264,P270,P276,P282,P288)</f>
        <v>3</v>
      </c>
      <c r="Q301" s="16">
        <f t="shared" si="199"/>
        <v>5</v>
      </c>
      <c r="R301" s="16">
        <f t="shared" si="199"/>
        <v>4</v>
      </c>
      <c r="S301" s="16">
        <f t="shared" si="199"/>
        <v>4</v>
      </c>
      <c r="T301" s="16">
        <f t="shared" si="199"/>
        <v>4</v>
      </c>
      <c r="U301" s="16">
        <f t="shared" si="199"/>
        <v>4</v>
      </c>
      <c r="V301" s="16">
        <f t="shared" si="199"/>
        <v>5</v>
      </c>
      <c r="W301" s="16">
        <f t="shared" si="199"/>
        <v>3</v>
      </c>
      <c r="X301" s="16">
        <f t="shared" si="199"/>
        <v>6</v>
      </c>
      <c r="Y301" s="246">
        <f>SUM(P301:X301)</f>
        <v>38</v>
      </c>
      <c r="Z301" s="246">
        <f>SUM(O301:X301)</f>
        <v>42</v>
      </c>
      <c r="AA301" s="16">
        <f>SUM(AA264,AA270,AA276,AA282,AA288)</f>
        <v>37</v>
      </c>
      <c r="AB301" s="16">
        <f>SUM(AB264,AB270,AB276,AB282,AB288)</f>
        <v>39</v>
      </c>
      <c r="AC301" s="16">
        <f>SUM(AC264,AC270,AC276,AC282,AC288)</f>
        <v>40</v>
      </c>
      <c r="AD301" s="16">
        <f>SUM(AD264,AD270,AD276,AD282,AD288)</f>
        <v>44</v>
      </c>
      <c r="AE301" s="23"/>
      <c r="AF301" s="327"/>
      <c r="AG301" s="322">
        <f t="shared" si="159"/>
        <v>0</v>
      </c>
    </row>
    <row r="302" spans="1:33" ht="12.75" thickBot="1" x14ac:dyDescent="0.35">
      <c r="A302" s="338" t="s">
        <v>237</v>
      </c>
      <c r="B302" s="23"/>
      <c r="C302" s="23"/>
      <c r="F302" s="3" t="s">
        <v>313</v>
      </c>
      <c r="I302" s="353">
        <v>0.67561354166666676</v>
      </c>
      <c r="J302" s="354">
        <f>O302</f>
        <v>1.9147709166589617</v>
      </c>
      <c r="N302" s="15"/>
      <c r="O302" s="250">
        <f>O300/O301</f>
        <v>1.9147709166589617</v>
      </c>
      <c r="P302" s="247">
        <f>$J302</f>
        <v>1.9147709166589617</v>
      </c>
      <c r="Q302" s="247">
        <f t="shared" ref="Q302:X302" si="200">$J302</f>
        <v>1.9147709166589617</v>
      </c>
      <c r="R302" s="247">
        <f t="shared" si="200"/>
        <v>1.9147709166589617</v>
      </c>
      <c r="S302" s="247">
        <f t="shared" si="200"/>
        <v>1.9147709166589617</v>
      </c>
      <c r="T302" s="247">
        <f t="shared" si="200"/>
        <v>1.9147709166589617</v>
      </c>
      <c r="U302" s="247">
        <f t="shared" si="200"/>
        <v>1.9147709166589617</v>
      </c>
      <c r="V302" s="247">
        <f t="shared" si="200"/>
        <v>1.9147709166589617</v>
      </c>
      <c r="W302" s="247">
        <f t="shared" si="200"/>
        <v>1.9147709166589617</v>
      </c>
      <c r="X302" s="247">
        <f t="shared" si="200"/>
        <v>1.9147709166589617</v>
      </c>
      <c r="Y302" s="250">
        <f>Y300/Y301</f>
        <v>1.9147709166589619</v>
      </c>
      <c r="Z302" s="250">
        <f>Z300/Z301</f>
        <v>1.9147709166589619</v>
      </c>
      <c r="AA302" s="355">
        <f>$J302*(1+'Key Assumption'!AB$13)</f>
        <v>1.9454072513255052</v>
      </c>
      <c r="AB302" s="355">
        <f>$AA302*(1+'Key Assumption'!AC$13)</f>
        <v>1.9843153963520153</v>
      </c>
      <c r="AC302" s="355">
        <f>$AA302*(1+'Key Assumption'!AD$13)</f>
        <v>1.9784791745980386</v>
      </c>
      <c r="AD302" s="355">
        <f>$AA302*(1+'Key Assumption'!AE$13)</f>
        <v>1.9804245818493642</v>
      </c>
      <c r="AE302" s="23"/>
      <c r="AF302" s="327"/>
      <c r="AG302" s="322">
        <f t="shared" si="159"/>
        <v>0</v>
      </c>
    </row>
    <row r="303" spans="1:33" x14ac:dyDescent="0.3">
      <c r="A303" s="338" t="s">
        <v>237</v>
      </c>
      <c r="B303" s="23"/>
      <c r="C303" s="23"/>
      <c r="E303" s="3" t="s">
        <v>314</v>
      </c>
      <c r="F303" s="23"/>
      <c r="G303" s="23"/>
      <c r="I303" s="3"/>
      <c r="N303" s="15"/>
      <c r="O303" s="246">
        <v>0</v>
      </c>
      <c r="P303" s="16">
        <v>-7.8228000000000293</v>
      </c>
      <c r="Q303" s="16">
        <v>-11.270650000000048</v>
      </c>
      <c r="R303" s="16">
        <v>-13.294825000000003</v>
      </c>
      <c r="S303" s="16">
        <v>-9.13149999999996</v>
      </c>
      <c r="T303" s="16">
        <v>-9.5650499999999852</v>
      </c>
      <c r="U303" s="16">
        <v>-9.569524999999997</v>
      </c>
      <c r="V303" s="16">
        <v>-11.589000000000054</v>
      </c>
      <c r="W303" s="16">
        <v>-17.958399999999866</v>
      </c>
      <c r="X303" s="16">
        <v>-17.079450000000065</v>
      </c>
      <c r="Y303" s="246">
        <f>SUM(P303:X303)</f>
        <v>-107.28120000000001</v>
      </c>
      <c r="Z303" s="246">
        <f t="shared" ref="Z303:Z304" si="201">Y303+O303</f>
        <v>-107.28120000000001</v>
      </c>
      <c r="AA303" s="119"/>
      <c r="AB303" s="119"/>
      <c r="AC303" s="119"/>
      <c r="AD303" s="119"/>
      <c r="AE303" s="23"/>
      <c r="AF303" s="327"/>
      <c r="AG303" s="322">
        <f t="shared" ref="AG303:AG366" si="202">IF($E303="판매수량",$D302,)</f>
        <v>0</v>
      </c>
    </row>
    <row r="304" spans="1:33" x14ac:dyDescent="0.3">
      <c r="A304" s="338" t="s">
        <v>237</v>
      </c>
      <c r="B304" s="23"/>
      <c r="C304" s="23"/>
      <c r="E304" s="3" t="s">
        <v>136</v>
      </c>
      <c r="F304" s="23"/>
      <c r="G304" s="23"/>
      <c r="N304" s="15"/>
      <c r="O304" s="246">
        <v>0</v>
      </c>
      <c r="P304" s="16">
        <v>0</v>
      </c>
      <c r="Q304" s="16">
        <v>0</v>
      </c>
      <c r="R304" s="16">
        <v>0</v>
      </c>
      <c r="S304" s="16">
        <v>0</v>
      </c>
      <c r="T304" s="16">
        <v>0</v>
      </c>
      <c r="U304" s="16">
        <v>0</v>
      </c>
      <c r="V304" s="16">
        <v>0</v>
      </c>
      <c r="W304" s="16">
        <v>0</v>
      </c>
      <c r="X304" s="16">
        <v>0</v>
      </c>
      <c r="Y304" s="246">
        <f>SUM(P304:X304)</f>
        <v>0</v>
      </c>
      <c r="Z304" s="246">
        <f t="shared" si="201"/>
        <v>0</v>
      </c>
      <c r="AA304" s="119"/>
      <c r="AB304" s="119"/>
      <c r="AC304" s="119"/>
      <c r="AD304" s="119"/>
      <c r="AE304" s="23"/>
      <c r="AF304" s="327"/>
      <c r="AG304" s="322">
        <f t="shared" si="202"/>
        <v>0</v>
      </c>
    </row>
    <row r="305" spans="1:33" x14ac:dyDescent="0.3">
      <c r="A305" s="338" t="s">
        <v>238</v>
      </c>
      <c r="C305" s="3" t="s">
        <v>238</v>
      </c>
      <c r="N305" s="15"/>
      <c r="O305" s="246">
        <f>O306+O312+O318+O324+O336+O330</f>
        <v>583.54706900000008</v>
      </c>
      <c r="P305" s="16">
        <f t="shared" ref="P305:Z305" si="203">P306+P312+P318+P324+P336+P330</f>
        <v>160.81458063488481</v>
      </c>
      <c r="Q305" s="16">
        <f t="shared" si="203"/>
        <v>159.62409063488479</v>
      </c>
      <c r="R305" s="16">
        <f t="shared" si="203"/>
        <v>161.30109063488484</v>
      </c>
      <c r="S305" s="16">
        <f t="shared" si="203"/>
        <v>358.47078595373819</v>
      </c>
      <c r="T305" s="16">
        <f t="shared" si="203"/>
        <v>652.068526796215</v>
      </c>
      <c r="U305" s="16">
        <f t="shared" si="203"/>
        <v>355.26718595373825</v>
      </c>
      <c r="V305" s="16">
        <f t="shared" si="203"/>
        <v>478.01450364956202</v>
      </c>
      <c r="W305" s="16">
        <f t="shared" si="203"/>
        <v>153.89170149861516</v>
      </c>
      <c r="X305" s="16">
        <f t="shared" si="203"/>
        <v>816.72331763577336</v>
      </c>
      <c r="Y305" s="246">
        <f>Y306+Y312+Y318+Y324+Y336+Y330</f>
        <v>3296.1757833922966</v>
      </c>
      <c r="Z305" s="246">
        <f t="shared" si="203"/>
        <v>3879.7228523922963</v>
      </c>
      <c r="AA305" s="16">
        <f>AA306+AA312+AA318+AA324+AA336+AA330</f>
        <v>3409.3778095676676</v>
      </c>
      <c r="AB305" s="16">
        <f>AB306+AB312+AB318+AB324+AB336+AB330</f>
        <v>3536.4716736370451</v>
      </c>
      <c r="AC305" s="16">
        <f>AC306+AC312+AC318+AC324+AC336+AC330</f>
        <v>3543.2234760178521</v>
      </c>
      <c r="AD305" s="16">
        <f>AD306+AD312+AD318+AD324+AD336+AD330</f>
        <v>4949.350798903326</v>
      </c>
      <c r="AE305" s="23"/>
      <c r="AF305" s="327"/>
      <c r="AG305" s="322">
        <f t="shared" si="202"/>
        <v>0</v>
      </c>
    </row>
    <row r="306" spans="1:33" x14ac:dyDescent="0.3">
      <c r="A306" s="338" t="s">
        <v>238</v>
      </c>
      <c r="B306" s="11"/>
      <c r="D306" s="3" t="s">
        <v>146</v>
      </c>
      <c r="N306" s="15"/>
      <c r="O306" s="246">
        <v>0</v>
      </c>
      <c r="P306" s="16">
        <f t="shared" ref="P306:X306" si="204">P307*P310</f>
        <v>0</v>
      </c>
      <c r="Q306" s="16">
        <f t="shared" si="204"/>
        <v>0</v>
      </c>
      <c r="R306" s="16">
        <f t="shared" si="204"/>
        <v>0</v>
      </c>
      <c r="S306" s="16">
        <f t="shared" si="204"/>
        <v>333.16311402232878</v>
      </c>
      <c r="T306" s="16">
        <f t="shared" si="204"/>
        <v>0</v>
      </c>
      <c r="U306" s="16">
        <f t="shared" si="204"/>
        <v>333.16311402232878</v>
      </c>
      <c r="V306" s="16">
        <f t="shared" si="204"/>
        <v>0</v>
      </c>
      <c r="W306" s="16">
        <f t="shared" si="204"/>
        <v>0</v>
      </c>
      <c r="X306" s="16">
        <f t="shared" si="204"/>
        <v>0</v>
      </c>
      <c r="Y306" s="246">
        <f>SUM(P306:X306)</f>
        <v>666.32622804465757</v>
      </c>
      <c r="Z306" s="246">
        <f>Y306+O306</f>
        <v>666.32622804465757</v>
      </c>
      <c r="AA306" s="16">
        <f>AA307*AA310</f>
        <v>628.9161977991123</v>
      </c>
      <c r="AB306" s="16">
        <f>AB307*AB310</f>
        <v>628.17616747878117</v>
      </c>
      <c r="AC306" s="16">
        <f>AC307*AC310</f>
        <v>630.5414924466545</v>
      </c>
      <c r="AD306" s="16">
        <f>AD307*AD310</f>
        <v>1282.3830365282081</v>
      </c>
      <c r="AE306" s="23"/>
      <c r="AF306" s="327"/>
      <c r="AG306" s="322">
        <f t="shared" si="202"/>
        <v>0</v>
      </c>
    </row>
    <row r="307" spans="1:33" x14ac:dyDescent="0.3">
      <c r="A307" s="338" t="s">
        <v>238</v>
      </c>
      <c r="B307" s="11"/>
      <c r="E307" s="3" t="s">
        <v>298</v>
      </c>
      <c r="N307" s="15"/>
      <c r="O307" s="246">
        <v>0</v>
      </c>
      <c r="P307" s="16">
        <f>SUMIFS(INDEX(판매수량!$N$2:$V$82,0,MATCH(Revenue_HW!P$47,판매수량!$N$2:$V$2,0)),판매수량!$A$2:$A$82,Revenue_HW!$A307,판매수량!$B$2:$B$82,Revenue_HW!$AG307)</f>
        <v>0</v>
      </c>
      <c r="Q307" s="16">
        <f>SUMIFS(INDEX(판매수량!$N$2:$V$82,0,MATCH(Revenue_HW!Q$47,판매수량!$N$2:$V$2,0)),판매수량!$A$2:$A$82,Revenue_HW!$A307,판매수량!$B$2:$B$82,Revenue_HW!$AG307)</f>
        <v>0</v>
      </c>
      <c r="R307" s="16">
        <f>SUMIFS(INDEX(판매수량!$N$2:$V$82,0,MATCH(Revenue_HW!R$47,판매수량!$N$2:$V$2,0)),판매수량!$A$2:$A$82,Revenue_HW!$A307,판매수량!$B$2:$B$82,Revenue_HW!$AG307)</f>
        <v>0</v>
      </c>
      <c r="S307" s="16">
        <f>SUMIFS(INDEX(판매수량!$N$2:$V$82,0,MATCH(Revenue_HW!S$47,판매수량!$N$2:$V$2,0)),판매수량!$A$2:$A$82,Revenue_HW!$A307,판매수량!$B$2:$B$82,Revenue_HW!$AG307)</f>
        <v>1</v>
      </c>
      <c r="T307" s="16">
        <f>SUMIFS(INDEX(판매수량!$N$2:$V$82,0,MATCH(Revenue_HW!T$47,판매수량!$N$2:$V$2,0)),판매수량!$A$2:$A$82,Revenue_HW!$A307,판매수량!$B$2:$B$82,Revenue_HW!$AG307)</f>
        <v>0</v>
      </c>
      <c r="U307" s="16">
        <f>SUMIFS(INDEX(판매수량!$N$2:$V$82,0,MATCH(Revenue_HW!U$47,판매수량!$N$2:$V$2,0)),판매수량!$A$2:$A$82,Revenue_HW!$A307,판매수량!$B$2:$B$82,Revenue_HW!$AG307)</f>
        <v>1</v>
      </c>
      <c r="V307" s="16">
        <f>SUMIFS(INDEX(판매수량!$N$2:$V$82,0,MATCH(Revenue_HW!V$47,판매수량!$N$2:$V$2,0)),판매수량!$A$2:$A$82,Revenue_HW!$A307,판매수량!$B$2:$B$82,Revenue_HW!$AG307)</f>
        <v>0</v>
      </c>
      <c r="W307" s="16">
        <f>SUMIFS(INDEX(판매수량!$N$2:$V$82,0,MATCH(Revenue_HW!W$47,판매수량!$N$2:$V$2,0)),판매수량!$A$2:$A$82,Revenue_HW!$A307,판매수량!$B$2:$B$82,Revenue_HW!$AG307)</f>
        <v>0</v>
      </c>
      <c r="X307" s="16">
        <f>SUMIFS(INDEX(판매수량!$N$2:$V$82,0,MATCH(Revenue_HW!X$47,판매수량!$N$2:$V$2,0)),판매수량!$A$2:$A$82,Revenue_HW!$A307,판매수량!$B$2:$B$82,Revenue_HW!$AG307)</f>
        <v>0</v>
      </c>
      <c r="Y307" s="246">
        <f>SUM(P307:X307)</f>
        <v>2</v>
      </c>
      <c r="Z307" s="246">
        <f>Y307+O307</f>
        <v>2</v>
      </c>
      <c r="AA307" s="16">
        <f>ROUND(AA308*AA309,)</f>
        <v>2</v>
      </c>
      <c r="AB307" s="16">
        <f>ROUND(AB308*AB309,)</f>
        <v>2</v>
      </c>
      <c r="AC307" s="16">
        <f>ROUND(AC308*AC309,)</f>
        <v>2</v>
      </c>
      <c r="AD307" s="16">
        <f>ROUND(AD308*AD309,)</f>
        <v>4</v>
      </c>
      <c r="AE307" s="23"/>
      <c r="AF307" s="327"/>
      <c r="AG307" s="322" t="str">
        <f t="shared" si="202"/>
        <v>5축</v>
      </c>
    </row>
    <row r="308" spans="1:33" x14ac:dyDescent="0.3">
      <c r="A308" s="338" t="s">
        <v>238</v>
      </c>
      <c r="B308" s="11"/>
      <c r="F308" s="3" t="s">
        <v>321</v>
      </c>
      <c r="N308" s="15"/>
      <c r="O308" s="352"/>
      <c r="P308" s="117"/>
      <c r="Q308" s="117"/>
      <c r="R308" s="117"/>
      <c r="S308" s="117"/>
      <c r="T308" s="117"/>
      <c r="U308" s="117"/>
      <c r="V308" s="117"/>
      <c r="W308" s="117"/>
      <c r="X308" s="117"/>
      <c r="Y308" s="352"/>
      <c r="Z308" s="246">
        <f>'Key Assumption'!AA78</f>
        <v>2</v>
      </c>
      <c r="AA308" s="16">
        <f>'Key Assumption'!AB78</f>
        <v>2</v>
      </c>
      <c r="AB308" s="16">
        <f>'Key Assumption'!AC78</f>
        <v>2</v>
      </c>
      <c r="AC308" s="16">
        <f>'Key Assumption'!AD78</f>
        <v>2</v>
      </c>
      <c r="AD308" s="16">
        <f>'Key Assumption'!AE78</f>
        <v>3</v>
      </c>
      <c r="AE308" s="23"/>
      <c r="AF308" s="327"/>
      <c r="AG308" s="322">
        <f t="shared" si="202"/>
        <v>0</v>
      </c>
    </row>
    <row r="309" spans="1:33" x14ac:dyDescent="0.3">
      <c r="A309" s="338" t="s">
        <v>238</v>
      </c>
      <c r="B309" s="11"/>
      <c r="F309" s="3" t="s">
        <v>322</v>
      </c>
      <c r="N309" s="15"/>
      <c r="O309" s="352"/>
      <c r="P309" s="117"/>
      <c r="Q309" s="117"/>
      <c r="R309" s="117"/>
      <c r="S309" s="117"/>
      <c r="T309" s="117"/>
      <c r="U309" s="117"/>
      <c r="V309" s="117"/>
      <c r="W309" s="117"/>
      <c r="X309" s="117"/>
      <c r="Y309" s="352"/>
      <c r="Z309" s="246">
        <f>IFERROR(Z307/Z308,)</f>
        <v>1</v>
      </c>
      <c r="AA309" s="16">
        <f>'Key Assumption'!AB190</f>
        <v>1.054766734279919</v>
      </c>
      <c r="AB309" s="16">
        <f>'Key Assumption'!AC190</f>
        <v>1.1075050709939149</v>
      </c>
      <c r="AC309" s="16">
        <f>'Key Assumption'!AD190</f>
        <v>1.1683569979716026</v>
      </c>
      <c r="AD309" s="16">
        <f>'Key Assumption'!AE190</f>
        <v>1.2413793103448278</v>
      </c>
      <c r="AE309" s="23"/>
      <c r="AF309" s="327"/>
      <c r="AG309" s="322">
        <f t="shared" si="202"/>
        <v>0</v>
      </c>
    </row>
    <row r="310" spans="1:33" x14ac:dyDescent="0.3">
      <c r="A310" s="338" t="s">
        <v>238</v>
      </c>
      <c r="B310" s="11"/>
      <c r="E310" s="3" t="s">
        <v>306</v>
      </c>
      <c r="I310" s="291" t="s">
        <v>273</v>
      </c>
      <c r="N310" s="15"/>
      <c r="O310" s="246">
        <v>0</v>
      </c>
      <c r="P310" s="16">
        <f t="shared" ref="P310:X310" si="205">P311*P$553/10^6</f>
        <v>338.019267335726</v>
      </c>
      <c r="Q310" s="16">
        <f t="shared" si="205"/>
        <v>338.019267335726</v>
      </c>
      <c r="R310" s="16">
        <f t="shared" si="205"/>
        <v>338.019267335726</v>
      </c>
      <c r="S310" s="16">
        <f t="shared" si="205"/>
        <v>333.16311402232878</v>
      </c>
      <c r="T310" s="16">
        <f t="shared" si="205"/>
        <v>333.16311402232878</v>
      </c>
      <c r="U310" s="16">
        <f t="shared" si="205"/>
        <v>333.16311402232878</v>
      </c>
      <c r="V310" s="16">
        <f t="shared" si="205"/>
        <v>325.4397638058087</v>
      </c>
      <c r="W310" s="16">
        <f t="shared" si="205"/>
        <v>325.4397638058087</v>
      </c>
      <c r="X310" s="16">
        <f t="shared" si="205"/>
        <v>325.4397638058087</v>
      </c>
      <c r="Y310" s="246">
        <f>IFERROR(Y306/Y307,)</f>
        <v>333.16311402232878</v>
      </c>
      <c r="Z310" s="246">
        <f>IFERROR(Z306/Z307,)</f>
        <v>333.16311402232878</v>
      </c>
      <c r="AA310" s="16">
        <f>AA311*AA$553/10^6</f>
        <v>314.45809889955615</v>
      </c>
      <c r="AB310" s="16">
        <f>AB311*AB$553/10^6</f>
        <v>314.08808373939058</v>
      </c>
      <c r="AC310" s="16">
        <f>AC311*AC$553/10^6</f>
        <v>315.27074622332725</v>
      </c>
      <c r="AD310" s="16">
        <f>AD311*AD$553/10^6</f>
        <v>320.59575913205202</v>
      </c>
      <c r="AE310" s="23"/>
      <c r="AF310" s="327"/>
      <c r="AG310" s="322">
        <f t="shared" si="202"/>
        <v>0</v>
      </c>
    </row>
    <row r="311" spans="1:33" x14ac:dyDescent="0.3">
      <c r="A311" s="338" t="s">
        <v>238</v>
      </c>
      <c r="B311" s="11"/>
      <c r="F311" s="3" t="s">
        <v>323</v>
      </c>
      <c r="I311" s="291" t="s">
        <v>275</v>
      </c>
      <c r="N311" s="15"/>
      <c r="O311" s="246">
        <v>0</v>
      </c>
      <c r="P311" s="16">
        <f>'Key Assumption'!Q327</f>
        <v>258306.02730836472</v>
      </c>
      <c r="Q311" s="16">
        <f>'Key Assumption'!R327</f>
        <v>258306.02730836472</v>
      </c>
      <c r="R311" s="16">
        <f>'Key Assumption'!S327</f>
        <v>258306.02730836472</v>
      </c>
      <c r="S311" s="16">
        <f>'Key Assumption'!T327</f>
        <v>258306.02730836472</v>
      </c>
      <c r="T311" s="16">
        <f>'Key Assumption'!U327</f>
        <v>258306.02730836472</v>
      </c>
      <c r="U311" s="16">
        <f>'Key Assumption'!V327</f>
        <v>258306.02730836472</v>
      </c>
      <c r="V311" s="16">
        <f>'Key Assumption'!W327</f>
        <v>258306.02730836472</v>
      </c>
      <c r="W311" s="16">
        <f>'Key Assumption'!X327</f>
        <v>258306.02730836472</v>
      </c>
      <c r="X311" s="16">
        <f>'Key Assumption'!Y327</f>
        <v>258306.02730836472</v>
      </c>
      <c r="Y311" s="246">
        <f>IFERROR(SUMPRODUCT(P311:X311,P307:X307)/Y307,)</f>
        <v>258306.02730836472</v>
      </c>
      <c r="Z311" s="246">
        <f>IFERROR((Y311*Y307+O311*O307)/Z307,)</f>
        <v>258306.02730836472</v>
      </c>
      <c r="AA311" s="16">
        <f>'Key Assumption'!AB327</f>
        <v>258983.77441900523</v>
      </c>
      <c r="AB311" s="16">
        <f>'Key Assumption'!AC327</f>
        <v>261348.04771125861</v>
      </c>
      <c r="AC311" s="16">
        <f>'Key Assumption'!AD327</f>
        <v>262878.96791739122</v>
      </c>
      <c r="AD311" s="16">
        <f>'Key Assumption'!AE327</f>
        <v>264517.95307925082</v>
      </c>
      <c r="AE311" s="23"/>
      <c r="AF311" s="327"/>
      <c r="AG311" s="322">
        <f t="shared" si="202"/>
        <v>0</v>
      </c>
    </row>
    <row r="312" spans="1:33" x14ac:dyDescent="0.3">
      <c r="A312" s="338" t="s">
        <v>238</v>
      </c>
      <c r="B312" s="11"/>
      <c r="D312" s="3" t="s">
        <v>147</v>
      </c>
      <c r="N312" s="15"/>
      <c r="O312" s="246">
        <v>512.77123600000004</v>
      </c>
      <c r="P312" s="16">
        <f t="shared" ref="P312:X312" si="206">P313*P316</f>
        <v>149.26594251374618</v>
      </c>
      <c r="Q312" s="16">
        <f t="shared" si="206"/>
        <v>149.26594251374618</v>
      </c>
      <c r="R312" s="16">
        <f t="shared" si="206"/>
        <v>149.26594251374618</v>
      </c>
      <c r="S312" s="16">
        <f t="shared" si="206"/>
        <v>0</v>
      </c>
      <c r="T312" s="16">
        <f t="shared" si="206"/>
        <v>147.12151356734665</v>
      </c>
      <c r="U312" s="16">
        <f t="shared" si="206"/>
        <v>0</v>
      </c>
      <c r="V312" s="16">
        <f t="shared" si="206"/>
        <v>0</v>
      </c>
      <c r="W312" s="16">
        <f t="shared" si="206"/>
        <v>143.7109590196155</v>
      </c>
      <c r="X312" s="16">
        <f t="shared" si="206"/>
        <v>0</v>
      </c>
      <c r="Y312" s="246">
        <f>SUM(P312:X312)</f>
        <v>738.63030012820082</v>
      </c>
      <c r="Z312" s="246">
        <f>Y312+O312</f>
        <v>1251.4015361282009</v>
      </c>
      <c r="AA312" s="16">
        <f>AA313*AA316</f>
        <v>1171.626195221801</v>
      </c>
      <c r="AB312" s="16">
        <f>AB313*AB316</f>
        <v>1293.8338049484312</v>
      </c>
      <c r="AC312" s="16">
        <f>AC313*AC316</f>
        <v>1296.9197979723986</v>
      </c>
      <c r="AD312" s="16">
        <f>AD313*AD316</f>
        <v>1452.6990829127483</v>
      </c>
      <c r="AE312" s="23"/>
      <c r="AF312" s="327"/>
      <c r="AG312" s="322">
        <f t="shared" si="202"/>
        <v>0</v>
      </c>
    </row>
    <row r="313" spans="1:33" x14ac:dyDescent="0.3">
      <c r="A313" s="338" t="s">
        <v>238</v>
      </c>
      <c r="B313" s="11"/>
      <c r="E313" s="3" t="s">
        <v>298</v>
      </c>
      <c r="N313" s="15"/>
      <c r="O313" s="246">
        <v>4</v>
      </c>
      <c r="P313" s="16">
        <f>SUMIFS(INDEX(판매수량!$N$2:$V$82,0,MATCH(Revenue_HW!P$47,판매수량!$N$2:$V$2,0)),판매수량!$A$2:$A$82,Revenue_HW!$A313,판매수량!$B$2:$B$82,Revenue_HW!$AG313)</f>
        <v>1</v>
      </c>
      <c r="Q313" s="16">
        <f>SUMIFS(INDEX(판매수량!$N$2:$V$82,0,MATCH(Revenue_HW!Q$47,판매수량!$N$2:$V$2,0)),판매수량!$A$2:$A$82,Revenue_HW!$A313,판매수량!$B$2:$B$82,Revenue_HW!$AG313)</f>
        <v>1</v>
      </c>
      <c r="R313" s="16">
        <f>SUMIFS(INDEX(판매수량!$N$2:$V$82,0,MATCH(Revenue_HW!R$47,판매수량!$N$2:$V$2,0)),판매수량!$A$2:$A$82,Revenue_HW!$A313,판매수량!$B$2:$B$82,Revenue_HW!$AG313)</f>
        <v>1</v>
      </c>
      <c r="S313" s="16">
        <f>SUMIFS(INDEX(판매수량!$N$2:$V$82,0,MATCH(Revenue_HW!S$47,판매수량!$N$2:$V$2,0)),판매수량!$A$2:$A$82,Revenue_HW!$A313,판매수량!$B$2:$B$82,Revenue_HW!$AG313)</f>
        <v>0</v>
      </c>
      <c r="T313" s="16">
        <f>SUMIFS(INDEX(판매수량!$N$2:$V$82,0,MATCH(Revenue_HW!T$47,판매수량!$N$2:$V$2,0)),판매수량!$A$2:$A$82,Revenue_HW!$A313,판매수량!$B$2:$B$82,Revenue_HW!$AG313)</f>
        <v>1</v>
      </c>
      <c r="U313" s="16">
        <f>SUMIFS(INDEX(판매수량!$N$2:$V$82,0,MATCH(Revenue_HW!U$47,판매수량!$N$2:$V$2,0)),판매수량!$A$2:$A$82,Revenue_HW!$A313,판매수량!$B$2:$B$82,Revenue_HW!$AG313)</f>
        <v>0</v>
      </c>
      <c r="V313" s="16">
        <f>SUMIFS(INDEX(판매수량!$N$2:$V$82,0,MATCH(Revenue_HW!V$47,판매수량!$N$2:$V$2,0)),판매수량!$A$2:$A$82,Revenue_HW!$A313,판매수량!$B$2:$B$82,Revenue_HW!$AG313)</f>
        <v>0</v>
      </c>
      <c r="W313" s="16">
        <f>SUMIFS(INDEX(판매수량!$N$2:$V$82,0,MATCH(Revenue_HW!W$47,판매수량!$N$2:$V$2,0)),판매수량!$A$2:$A$82,Revenue_HW!$A313,판매수량!$B$2:$B$82,Revenue_HW!$AG313)</f>
        <v>1</v>
      </c>
      <c r="X313" s="16">
        <f>SUMIFS(INDEX(판매수량!$N$2:$V$82,0,MATCH(Revenue_HW!X$47,판매수량!$N$2:$V$2,0)),판매수량!$A$2:$A$82,Revenue_HW!$A313,판매수량!$B$2:$B$82,Revenue_HW!$AG313)</f>
        <v>0</v>
      </c>
      <c r="Y313" s="246">
        <f>SUM(P313:X313)</f>
        <v>5</v>
      </c>
      <c r="Z313" s="246">
        <f>Y313+O313</f>
        <v>9</v>
      </c>
      <c r="AA313" s="16">
        <f>ROUND(AA314*AA315,)</f>
        <v>9</v>
      </c>
      <c r="AB313" s="16">
        <f>ROUND(AB314*AB315,)</f>
        <v>10</v>
      </c>
      <c r="AC313" s="16">
        <f>ROUND(AC314*AC315,)</f>
        <v>10</v>
      </c>
      <c r="AD313" s="16">
        <f>ROUND(AD314*AD315,)</f>
        <v>11</v>
      </c>
      <c r="AE313" s="23"/>
      <c r="AF313" s="327"/>
      <c r="AG313" s="322" t="str">
        <f t="shared" si="202"/>
        <v>선반</v>
      </c>
    </row>
    <row r="314" spans="1:33" x14ac:dyDescent="0.3">
      <c r="A314" s="338" t="s">
        <v>238</v>
      </c>
      <c r="B314" s="11"/>
      <c r="F314" s="3" t="s">
        <v>321</v>
      </c>
      <c r="N314" s="15"/>
      <c r="O314" s="352"/>
      <c r="P314" s="117"/>
      <c r="Q314" s="117"/>
      <c r="R314" s="117"/>
      <c r="S314" s="117"/>
      <c r="T314" s="117"/>
      <c r="U314" s="117"/>
      <c r="V314" s="117"/>
      <c r="W314" s="117"/>
      <c r="X314" s="117"/>
      <c r="Y314" s="352"/>
      <c r="Z314" s="246">
        <f>'Key Assumption'!AA79</f>
        <v>5</v>
      </c>
      <c r="AA314" s="16">
        <f>'Key Assumption'!AB79</f>
        <v>5</v>
      </c>
      <c r="AB314" s="16">
        <f>'Key Assumption'!AC79</f>
        <v>5</v>
      </c>
      <c r="AC314" s="16">
        <f>'Key Assumption'!AD79</f>
        <v>5</v>
      </c>
      <c r="AD314" s="16">
        <f>'Key Assumption'!AE79</f>
        <v>5</v>
      </c>
      <c r="AE314" s="23"/>
      <c r="AF314" s="327"/>
      <c r="AG314" s="322">
        <f t="shared" si="202"/>
        <v>0</v>
      </c>
    </row>
    <row r="315" spans="1:33" x14ac:dyDescent="0.3">
      <c r="A315" s="338" t="s">
        <v>238</v>
      </c>
      <c r="B315" s="11"/>
      <c r="F315" s="3" t="s">
        <v>322</v>
      </c>
      <c r="N315" s="15"/>
      <c r="O315" s="352"/>
      <c r="P315" s="117"/>
      <c r="Q315" s="117"/>
      <c r="R315" s="117"/>
      <c r="S315" s="117"/>
      <c r="T315" s="117"/>
      <c r="U315" s="117"/>
      <c r="V315" s="117"/>
      <c r="W315" s="117"/>
      <c r="X315" s="117"/>
      <c r="Y315" s="352"/>
      <c r="Z315" s="246">
        <f>IFERROR(Z313/Z314,)</f>
        <v>1.8</v>
      </c>
      <c r="AA315" s="16">
        <f>'Key Assumption'!AB191</f>
        <v>1.8661278471711975</v>
      </c>
      <c r="AB315" s="16">
        <f>'Key Assumption'!AC191</f>
        <v>1.9428361498897868</v>
      </c>
      <c r="AC315" s="16">
        <f>'Key Assumption'!AD191</f>
        <v>2.0221895664952241</v>
      </c>
      <c r="AD315" s="16">
        <f>'Key Assumption'!AE191</f>
        <v>2.1279941219691403</v>
      </c>
      <c r="AE315" s="23"/>
      <c r="AF315" s="327"/>
      <c r="AG315" s="322">
        <f t="shared" si="202"/>
        <v>0</v>
      </c>
    </row>
    <row r="316" spans="1:33" x14ac:dyDescent="0.3">
      <c r="A316" s="338" t="s">
        <v>238</v>
      </c>
      <c r="B316" s="11"/>
      <c r="E316" s="3" t="s">
        <v>306</v>
      </c>
      <c r="I316" s="291" t="s">
        <v>273</v>
      </c>
      <c r="N316" s="15"/>
      <c r="O316" s="246">
        <f>O312/O313</f>
        <v>128.19280900000001</v>
      </c>
      <c r="P316" s="16">
        <f t="shared" ref="P316:X316" si="207">P317*P$553/10^6</f>
        <v>149.26594251374618</v>
      </c>
      <c r="Q316" s="16">
        <f t="shared" si="207"/>
        <v>149.26594251374618</v>
      </c>
      <c r="R316" s="16">
        <f t="shared" si="207"/>
        <v>149.26594251374618</v>
      </c>
      <c r="S316" s="16">
        <f t="shared" si="207"/>
        <v>147.12151356734665</v>
      </c>
      <c r="T316" s="16">
        <f t="shared" si="207"/>
        <v>147.12151356734665</v>
      </c>
      <c r="U316" s="16">
        <f t="shared" si="207"/>
        <v>147.12151356734665</v>
      </c>
      <c r="V316" s="16">
        <f t="shared" si="207"/>
        <v>143.7109590196155</v>
      </c>
      <c r="W316" s="16">
        <f t="shared" si="207"/>
        <v>143.7109590196155</v>
      </c>
      <c r="X316" s="16">
        <f t="shared" si="207"/>
        <v>143.7109590196155</v>
      </c>
      <c r="Y316" s="246">
        <f>IFERROR(Y312/Y313,)</f>
        <v>147.72606002564015</v>
      </c>
      <c r="Z316" s="246">
        <f>IFERROR(Z312/Z313,)</f>
        <v>139.04461512535565</v>
      </c>
      <c r="AA316" s="16">
        <f>AA317*AA$553/10^6</f>
        <v>130.18068835797789</v>
      </c>
      <c r="AB316" s="16">
        <f>AB317*AB$553/10^6</f>
        <v>129.38338049484312</v>
      </c>
      <c r="AC316" s="16">
        <f>AC317*AC$553/10^6</f>
        <v>129.69197979723987</v>
      </c>
      <c r="AD316" s="16">
        <f>AD317*AD$553/10^6</f>
        <v>132.06355299206803</v>
      </c>
      <c r="AE316" s="23"/>
      <c r="AF316" s="327"/>
      <c r="AG316" s="322">
        <f t="shared" si="202"/>
        <v>0</v>
      </c>
    </row>
    <row r="317" spans="1:33" x14ac:dyDescent="0.3">
      <c r="A317" s="338" t="s">
        <v>238</v>
      </c>
      <c r="B317" s="11"/>
      <c r="F317" s="3" t="s">
        <v>323</v>
      </c>
      <c r="I317" s="291" t="s">
        <v>275</v>
      </c>
      <c r="N317" s="15"/>
      <c r="O317" s="246">
        <v>96429.500074699332</v>
      </c>
      <c r="P317" s="16">
        <f>'Key Assumption'!Q328</f>
        <v>114065.36948933684</v>
      </c>
      <c r="Q317" s="16">
        <f>'Key Assumption'!R328</f>
        <v>114065.36948933684</v>
      </c>
      <c r="R317" s="16">
        <f>'Key Assumption'!S328</f>
        <v>114065.36948933684</v>
      </c>
      <c r="S317" s="16">
        <f>'Key Assumption'!T328</f>
        <v>114065.36948933684</v>
      </c>
      <c r="T317" s="16">
        <f>'Key Assumption'!U328</f>
        <v>114065.36948933684</v>
      </c>
      <c r="U317" s="16">
        <f>'Key Assumption'!V328</f>
        <v>114065.36948933684</v>
      </c>
      <c r="V317" s="16">
        <f>'Key Assumption'!W328</f>
        <v>114065.36948933684</v>
      </c>
      <c r="W317" s="16">
        <f>'Key Assumption'!X328</f>
        <v>114065.36948933684</v>
      </c>
      <c r="X317" s="16">
        <f>'Key Assumption'!Y328</f>
        <v>114065.36948933684</v>
      </c>
      <c r="Y317" s="246">
        <f>SUMPRODUCT(P317:X317,P313:X313)/Y313</f>
        <v>114065.36948933682</v>
      </c>
      <c r="Z317" s="246">
        <f>IFERROR((Y317*Y313+O317*O313)/Z313,)</f>
        <v>106227.20530505349</v>
      </c>
      <c r="AA317" s="16">
        <f>'Key Assumption'!AB328</f>
        <v>107215.19383789976</v>
      </c>
      <c r="AB317" s="16">
        <f>'Key Assumption'!AC328</f>
        <v>107657.99675057673</v>
      </c>
      <c r="AC317" s="16">
        <f>'Key Assumption'!AD328</f>
        <v>108139.73134098214</v>
      </c>
      <c r="AD317" s="16">
        <f>'Key Assumption'!AE328</f>
        <v>108963.32755121125</v>
      </c>
      <c r="AE317" s="23"/>
      <c r="AF317" s="327"/>
      <c r="AG317" s="322">
        <f t="shared" si="202"/>
        <v>0</v>
      </c>
    </row>
    <row r="318" spans="1:33" x14ac:dyDescent="0.3">
      <c r="A318" s="338" t="s">
        <v>238</v>
      </c>
      <c r="B318" s="160"/>
      <c r="C318" s="23"/>
      <c r="D318" s="3" t="s">
        <v>148</v>
      </c>
      <c r="E318" s="23"/>
      <c r="F318" s="23"/>
      <c r="G318" s="23"/>
      <c r="H318" s="23"/>
      <c r="N318" s="15"/>
      <c r="O318" s="246">
        <v>0</v>
      </c>
      <c r="P318" s="16">
        <f t="shared" ref="P318:X318" si="208">P319*P322</f>
        <v>0</v>
      </c>
      <c r="Q318" s="16">
        <f t="shared" si="208"/>
        <v>0</v>
      </c>
      <c r="R318" s="16">
        <f t="shared" si="208"/>
        <v>0</v>
      </c>
      <c r="S318" s="16">
        <f t="shared" si="208"/>
        <v>0</v>
      </c>
      <c r="T318" s="16">
        <f t="shared" si="208"/>
        <v>0</v>
      </c>
      <c r="U318" s="16">
        <f t="shared" si="208"/>
        <v>0</v>
      </c>
      <c r="V318" s="16">
        <f t="shared" si="208"/>
        <v>0</v>
      </c>
      <c r="W318" s="16">
        <f t="shared" si="208"/>
        <v>0</v>
      </c>
      <c r="X318" s="16">
        <f t="shared" si="208"/>
        <v>0</v>
      </c>
      <c r="Y318" s="246">
        <f>SUM(P318:X318)</f>
        <v>0</v>
      </c>
      <c r="Z318" s="246">
        <f>Y318+O318</f>
        <v>0</v>
      </c>
      <c r="AA318" s="119"/>
      <c r="AB318" s="119"/>
      <c r="AC318" s="119"/>
      <c r="AD318" s="119"/>
      <c r="AE318" s="23"/>
      <c r="AF318" s="327"/>
      <c r="AG318" s="322">
        <f t="shared" si="202"/>
        <v>0</v>
      </c>
    </row>
    <row r="319" spans="1:33" x14ac:dyDescent="0.3">
      <c r="A319" s="338" t="s">
        <v>238</v>
      </c>
      <c r="B319" s="11"/>
      <c r="E319" s="3" t="s">
        <v>298</v>
      </c>
      <c r="N319" s="15"/>
      <c r="O319" s="246">
        <v>0</v>
      </c>
      <c r="P319" s="16">
        <f>SUMIFS(INDEX(판매수량!$N$2:$V$82,0,MATCH(Revenue_HW!P$47,판매수량!$N$2:$V$2,0)),판매수량!$A$2:$A$82,Revenue_HW!$A319,판매수량!$B$2:$B$82,Revenue_HW!$AG319)</f>
        <v>0</v>
      </c>
      <c r="Q319" s="16">
        <f>SUMIFS(INDEX(판매수량!$N$2:$V$82,0,MATCH(Revenue_HW!Q$47,판매수량!$N$2:$V$2,0)),판매수량!$A$2:$A$82,Revenue_HW!$A319,판매수량!$B$2:$B$82,Revenue_HW!$AG319)</f>
        <v>0</v>
      </c>
      <c r="R319" s="16">
        <f>SUMIFS(INDEX(판매수량!$N$2:$V$82,0,MATCH(Revenue_HW!R$47,판매수량!$N$2:$V$2,0)),판매수량!$A$2:$A$82,Revenue_HW!$A319,판매수량!$B$2:$B$82,Revenue_HW!$AG319)</f>
        <v>0</v>
      </c>
      <c r="S319" s="16">
        <f>SUMIFS(INDEX(판매수량!$N$2:$V$82,0,MATCH(Revenue_HW!S$47,판매수량!$N$2:$V$2,0)),판매수량!$A$2:$A$82,Revenue_HW!$A319,판매수량!$B$2:$B$82,Revenue_HW!$AG319)</f>
        <v>0</v>
      </c>
      <c r="T319" s="16">
        <f>SUMIFS(INDEX(판매수량!$N$2:$V$82,0,MATCH(Revenue_HW!T$47,판매수량!$N$2:$V$2,0)),판매수량!$A$2:$A$82,Revenue_HW!$A319,판매수량!$B$2:$B$82,Revenue_HW!$AG319)</f>
        <v>0</v>
      </c>
      <c r="U319" s="16">
        <f>SUMIFS(INDEX(판매수량!$N$2:$V$82,0,MATCH(Revenue_HW!U$47,판매수량!$N$2:$V$2,0)),판매수량!$A$2:$A$82,Revenue_HW!$A319,판매수량!$B$2:$B$82,Revenue_HW!$AG319)</f>
        <v>0</v>
      </c>
      <c r="V319" s="16">
        <f>SUMIFS(INDEX(판매수량!$N$2:$V$82,0,MATCH(Revenue_HW!V$47,판매수량!$N$2:$V$2,0)),판매수량!$A$2:$A$82,Revenue_HW!$A319,판매수량!$B$2:$B$82,Revenue_HW!$AG319)</f>
        <v>0</v>
      </c>
      <c r="W319" s="16">
        <f>SUMIFS(INDEX(판매수량!$N$2:$V$82,0,MATCH(Revenue_HW!W$47,판매수량!$N$2:$V$2,0)),판매수량!$A$2:$A$82,Revenue_HW!$A319,판매수량!$B$2:$B$82,Revenue_HW!$AG319)</f>
        <v>0</v>
      </c>
      <c r="X319" s="16">
        <f>SUMIFS(INDEX(판매수량!$N$2:$V$82,0,MATCH(Revenue_HW!X$47,판매수량!$N$2:$V$2,0)),판매수량!$A$2:$A$82,Revenue_HW!$A319,판매수량!$B$2:$B$82,Revenue_HW!$AG319)</f>
        <v>0</v>
      </c>
      <c r="Y319" s="246">
        <f>SUM(P319:X319)</f>
        <v>0</v>
      </c>
      <c r="Z319" s="246">
        <f>Y319+O319</f>
        <v>0</v>
      </c>
      <c r="AA319" s="119"/>
      <c r="AB319" s="119"/>
      <c r="AC319" s="119"/>
      <c r="AD319" s="119"/>
      <c r="AE319" s="23"/>
      <c r="AF319" s="327"/>
      <c r="AG319" s="322" t="str">
        <f t="shared" si="202"/>
        <v>VMC</v>
      </c>
    </row>
    <row r="320" spans="1:33" x14ac:dyDescent="0.3">
      <c r="A320" s="338" t="s">
        <v>238</v>
      </c>
      <c r="B320" s="11"/>
      <c r="F320" s="3" t="s">
        <v>321</v>
      </c>
      <c r="N320" s="15"/>
      <c r="O320" s="352"/>
      <c r="P320" s="117"/>
      <c r="Q320" s="117"/>
      <c r="R320" s="117"/>
      <c r="S320" s="117"/>
      <c r="T320" s="117"/>
      <c r="U320" s="117"/>
      <c r="V320" s="117"/>
      <c r="W320" s="117"/>
      <c r="X320" s="117"/>
      <c r="Y320" s="352"/>
      <c r="Z320" s="246">
        <f>'Key Assumption'!AA80</f>
        <v>3</v>
      </c>
      <c r="AA320" s="119"/>
      <c r="AB320" s="119"/>
      <c r="AC320" s="119"/>
      <c r="AD320" s="119"/>
      <c r="AE320" s="23"/>
      <c r="AF320" s="327"/>
      <c r="AG320" s="322">
        <f t="shared" si="202"/>
        <v>0</v>
      </c>
    </row>
    <row r="321" spans="1:33" x14ac:dyDescent="0.3">
      <c r="A321" s="338" t="s">
        <v>238</v>
      </c>
      <c r="B321" s="11"/>
      <c r="F321" s="3" t="s">
        <v>322</v>
      </c>
      <c r="N321" s="15"/>
      <c r="O321" s="352"/>
      <c r="P321" s="117"/>
      <c r="Q321" s="117"/>
      <c r="R321" s="117"/>
      <c r="S321" s="117"/>
      <c r="T321" s="117"/>
      <c r="U321" s="117"/>
      <c r="V321" s="117"/>
      <c r="W321" s="117"/>
      <c r="X321" s="117"/>
      <c r="Y321" s="352"/>
      <c r="Z321" s="246">
        <f>IFERROR(Z319/Z320,)</f>
        <v>0</v>
      </c>
      <c r="AA321" s="119"/>
      <c r="AB321" s="119"/>
      <c r="AC321" s="119"/>
      <c r="AD321" s="119"/>
      <c r="AE321" s="23"/>
      <c r="AF321" s="327"/>
      <c r="AG321" s="322">
        <f t="shared" si="202"/>
        <v>0</v>
      </c>
    </row>
    <row r="322" spans="1:33" x14ac:dyDescent="0.3">
      <c r="A322" s="338" t="s">
        <v>238</v>
      </c>
      <c r="B322" s="11"/>
      <c r="E322" s="3" t="s">
        <v>306</v>
      </c>
      <c r="I322" s="291" t="s">
        <v>273</v>
      </c>
      <c r="N322" s="15"/>
      <c r="O322" s="246">
        <v>0</v>
      </c>
      <c r="P322" s="16">
        <f t="shared" ref="P322:X322" si="209">P323*P$553/10^6</f>
        <v>111.57372911776318</v>
      </c>
      <c r="Q322" s="16">
        <f t="shared" si="209"/>
        <v>111.57372911776318</v>
      </c>
      <c r="R322" s="16">
        <f t="shared" si="209"/>
        <v>111.57372911776318</v>
      </c>
      <c r="S322" s="16">
        <f t="shared" si="209"/>
        <v>109.97080530039045</v>
      </c>
      <c r="T322" s="16">
        <f t="shared" si="209"/>
        <v>109.97080530039045</v>
      </c>
      <c r="U322" s="16">
        <f t="shared" si="209"/>
        <v>109.97080530039045</v>
      </c>
      <c r="V322" s="16">
        <f t="shared" si="209"/>
        <v>107.4214743355264</v>
      </c>
      <c r="W322" s="16">
        <f t="shared" si="209"/>
        <v>107.4214743355264</v>
      </c>
      <c r="X322" s="16">
        <f t="shared" si="209"/>
        <v>107.4214743355264</v>
      </c>
      <c r="Y322" s="246">
        <f>IFERROR(Y318/Y319,)</f>
        <v>0</v>
      </c>
      <c r="Z322" s="246">
        <f>IFERROR(Z318/Z319,)</f>
        <v>0</v>
      </c>
      <c r="AA322" s="119"/>
      <c r="AB322" s="119"/>
      <c r="AC322" s="119"/>
      <c r="AD322" s="119"/>
      <c r="AE322" s="23"/>
      <c r="AF322" s="327"/>
      <c r="AG322" s="322">
        <f t="shared" si="202"/>
        <v>0</v>
      </c>
    </row>
    <row r="323" spans="1:33" x14ac:dyDescent="0.3">
      <c r="A323" s="338" t="s">
        <v>238</v>
      </c>
      <c r="B323" s="11"/>
      <c r="F323" s="3" t="s">
        <v>323</v>
      </c>
      <c r="I323" s="291" t="s">
        <v>275</v>
      </c>
      <c r="N323" s="15"/>
      <c r="O323" s="246">
        <v>0</v>
      </c>
      <c r="P323" s="16">
        <f>'Key Assumption'!Q329</f>
        <v>85261.905179400259</v>
      </c>
      <c r="Q323" s="16">
        <f>'Key Assumption'!R329</f>
        <v>85261.905179400259</v>
      </c>
      <c r="R323" s="16">
        <f>'Key Assumption'!S329</f>
        <v>85261.905179400259</v>
      </c>
      <c r="S323" s="16">
        <f>'Key Assumption'!T329</f>
        <v>85261.905179400259</v>
      </c>
      <c r="T323" s="16">
        <f>'Key Assumption'!U329</f>
        <v>85261.905179400259</v>
      </c>
      <c r="U323" s="16">
        <f>'Key Assumption'!V329</f>
        <v>85261.905179400259</v>
      </c>
      <c r="V323" s="16">
        <f>'Key Assumption'!W329</f>
        <v>85261.905179400259</v>
      </c>
      <c r="W323" s="16">
        <f>'Key Assumption'!X329</f>
        <v>85261.905179400259</v>
      </c>
      <c r="X323" s="16">
        <f>'Key Assumption'!Y329</f>
        <v>85261.905179400259</v>
      </c>
      <c r="Y323" s="246">
        <f>IFERROR(SUMPRODUCT(P323:X323,P319:X319)/Y319,)</f>
        <v>0</v>
      </c>
      <c r="Z323" s="246">
        <f>IFERROR((Y323*Y319+O323*O319)/Z319,)</f>
        <v>0</v>
      </c>
      <c r="AA323" s="119"/>
      <c r="AB323" s="119"/>
      <c r="AC323" s="119"/>
      <c r="AD323" s="119"/>
      <c r="AE323" s="23"/>
      <c r="AF323" s="327"/>
      <c r="AG323" s="322">
        <f t="shared" si="202"/>
        <v>0</v>
      </c>
    </row>
    <row r="324" spans="1:33" x14ac:dyDescent="0.3">
      <c r="A324" s="338" t="s">
        <v>238</v>
      </c>
      <c r="D324" s="3" t="s">
        <v>149</v>
      </c>
      <c r="N324" s="15"/>
      <c r="O324" s="246">
        <v>0</v>
      </c>
      <c r="P324" s="16">
        <f t="shared" ref="P324:X324" si="210">P325*P328</f>
        <v>0</v>
      </c>
      <c r="Q324" s="16">
        <f t="shared" si="210"/>
        <v>0</v>
      </c>
      <c r="R324" s="16">
        <f t="shared" si="210"/>
        <v>0</v>
      </c>
      <c r="S324" s="16">
        <f t="shared" si="210"/>
        <v>0</v>
      </c>
      <c r="T324" s="16">
        <f t="shared" si="210"/>
        <v>458.35289420270601</v>
      </c>
      <c r="U324" s="16">
        <f t="shared" si="210"/>
        <v>0</v>
      </c>
      <c r="V324" s="16">
        <f t="shared" si="210"/>
        <v>447.72740844006</v>
      </c>
      <c r="W324" s="16">
        <f t="shared" si="210"/>
        <v>0</v>
      </c>
      <c r="X324" s="16">
        <f t="shared" si="210"/>
        <v>447.72740844006</v>
      </c>
      <c r="Y324" s="246">
        <f>SUM(P324:X324)</f>
        <v>1353.807711082826</v>
      </c>
      <c r="Z324" s="246">
        <f>Y324+O324</f>
        <v>1353.807711082826</v>
      </c>
      <c r="AA324" s="16">
        <f>AA325*AA328</f>
        <v>1302.123389174712</v>
      </c>
      <c r="AB324" s="16">
        <f>AB325*AB328</f>
        <v>1295.1403450540267</v>
      </c>
      <c r="AC324" s="16">
        <f>AC325*AC328</f>
        <v>1295.9433230693171</v>
      </c>
      <c r="AD324" s="16">
        <f>AD325*AD328</f>
        <v>1770.5020210911568</v>
      </c>
      <c r="AE324" s="23"/>
      <c r="AF324" s="327"/>
      <c r="AG324" s="322">
        <f t="shared" si="202"/>
        <v>0</v>
      </c>
    </row>
    <row r="325" spans="1:33" x14ac:dyDescent="0.3">
      <c r="A325" s="338" t="s">
        <v>238</v>
      </c>
      <c r="B325" s="11"/>
      <c r="E325" s="3" t="s">
        <v>324</v>
      </c>
      <c r="N325" s="15"/>
      <c r="O325" s="246">
        <v>0</v>
      </c>
      <c r="P325" s="16">
        <f>SUMIFS(INDEX(판매수량!$N$2:$V$82,0,MATCH(Revenue_HW!P$47,판매수량!$N$2:$V$2,0)),판매수량!$A$2:$A$82,Revenue_HW!$A325,판매수량!$B$2:$B$82,Revenue_HW!$AG325)</f>
        <v>0</v>
      </c>
      <c r="Q325" s="16">
        <f>SUMIFS(INDEX(판매수량!$N$2:$V$82,0,MATCH(Revenue_HW!Q$47,판매수량!$N$2:$V$2,0)),판매수량!$A$2:$A$82,Revenue_HW!$A325,판매수량!$B$2:$B$82,Revenue_HW!$AG325)</f>
        <v>0</v>
      </c>
      <c r="R325" s="16">
        <f>SUMIFS(INDEX(판매수량!$N$2:$V$82,0,MATCH(Revenue_HW!R$47,판매수량!$N$2:$V$2,0)),판매수량!$A$2:$A$82,Revenue_HW!$A325,판매수량!$B$2:$B$82,Revenue_HW!$AG325)</f>
        <v>0</v>
      </c>
      <c r="S325" s="16">
        <f>SUMIFS(INDEX(판매수량!$N$2:$V$82,0,MATCH(Revenue_HW!S$47,판매수량!$N$2:$V$2,0)),판매수량!$A$2:$A$82,Revenue_HW!$A325,판매수량!$B$2:$B$82,Revenue_HW!$AG325)</f>
        <v>0</v>
      </c>
      <c r="T325" s="16">
        <f>SUMIFS(INDEX(판매수량!$N$2:$V$82,0,MATCH(Revenue_HW!T$47,판매수량!$N$2:$V$2,0)),판매수량!$A$2:$A$82,Revenue_HW!$A325,판매수량!$B$2:$B$82,Revenue_HW!$AG325)</f>
        <v>1</v>
      </c>
      <c r="U325" s="16">
        <f>SUMIFS(INDEX(판매수량!$N$2:$V$82,0,MATCH(Revenue_HW!U$47,판매수량!$N$2:$V$2,0)),판매수량!$A$2:$A$82,Revenue_HW!$A325,판매수량!$B$2:$B$82,Revenue_HW!$AG325)</f>
        <v>0</v>
      </c>
      <c r="V325" s="16">
        <f>SUMIFS(INDEX(판매수량!$N$2:$V$82,0,MATCH(Revenue_HW!V$47,판매수량!$N$2:$V$2,0)),판매수량!$A$2:$A$82,Revenue_HW!$A325,판매수량!$B$2:$B$82,Revenue_HW!$AG325)</f>
        <v>1</v>
      </c>
      <c r="W325" s="16">
        <f>SUMIFS(INDEX(판매수량!$N$2:$V$82,0,MATCH(Revenue_HW!W$47,판매수량!$N$2:$V$2,0)),판매수량!$A$2:$A$82,Revenue_HW!$A325,판매수량!$B$2:$B$82,Revenue_HW!$AG325)</f>
        <v>0</v>
      </c>
      <c r="X325" s="16">
        <f>SUMIFS(INDEX(판매수량!$N$2:$V$82,0,MATCH(Revenue_HW!X$47,판매수량!$N$2:$V$2,0)),판매수량!$A$2:$A$82,Revenue_HW!$A325,판매수량!$B$2:$B$82,Revenue_HW!$AG325)</f>
        <v>1</v>
      </c>
      <c r="Y325" s="246">
        <f>SUM(P325:X325)</f>
        <v>3</v>
      </c>
      <c r="Z325" s="246">
        <f>Y325+O325</f>
        <v>3</v>
      </c>
      <c r="AA325" s="16">
        <f>ROUND(AA326*AA327,)</f>
        <v>3</v>
      </c>
      <c r="AB325" s="16">
        <f>ROUND(AB326*AB327,)</f>
        <v>3</v>
      </c>
      <c r="AC325" s="16">
        <f>ROUND(AC326*AC327,)</f>
        <v>3</v>
      </c>
      <c r="AD325" s="16">
        <f>ROUND(AD326*AD327,)</f>
        <v>4</v>
      </c>
      <c r="AE325" s="23"/>
      <c r="AF325" s="327"/>
      <c r="AG325" s="322" t="str">
        <f t="shared" si="202"/>
        <v>HMC</v>
      </c>
    </row>
    <row r="326" spans="1:33" x14ac:dyDescent="0.3">
      <c r="A326" s="338" t="s">
        <v>238</v>
      </c>
      <c r="B326" s="11"/>
      <c r="F326" s="3" t="s">
        <v>304</v>
      </c>
      <c r="N326" s="15"/>
      <c r="O326" s="352"/>
      <c r="P326" s="117"/>
      <c r="Q326" s="117"/>
      <c r="R326" s="117"/>
      <c r="S326" s="117"/>
      <c r="T326" s="117"/>
      <c r="U326" s="117"/>
      <c r="V326" s="117"/>
      <c r="W326" s="117"/>
      <c r="X326" s="117"/>
      <c r="Y326" s="352"/>
      <c r="Z326" s="246">
        <f>'Key Assumption'!AA81</f>
        <v>3</v>
      </c>
      <c r="AA326" s="16">
        <f>'Key Assumption'!AB81</f>
        <v>3</v>
      </c>
      <c r="AB326" s="16">
        <f>'Key Assumption'!AC81</f>
        <v>3</v>
      </c>
      <c r="AC326" s="16">
        <f>'Key Assumption'!AD81</f>
        <v>3</v>
      </c>
      <c r="AD326" s="16">
        <f>'Key Assumption'!AE81</f>
        <v>3</v>
      </c>
      <c r="AE326" s="23"/>
      <c r="AF326" s="327"/>
      <c r="AG326" s="322">
        <f t="shared" si="202"/>
        <v>0</v>
      </c>
    </row>
    <row r="327" spans="1:33" x14ac:dyDescent="0.3">
      <c r="A327" s="338" t="s">
        <v>238</v>
      </c>
      <c r="B327" s="11"/>
      <c r="F327" s="3" t="s">
        <v>305</v>
      </c>
      <c r="N327" s="15"/>
      <c r="O327" s="352"/>
      <c r="P327" s="117"/>
      <c r="Q327" s="117"/>
      <c r="R327" s="117"/>
      <c r="S327" s="117"/>
      <c r="T327" s="117"/>
      <c r="U327" s="117"/>
      <c r="V327" s="117"/>
      <c r="W327" s="117"/>
      <c r="X327" s="117"/>
      <c r="Y327" s="352"/>
      <c r="Z327" s="246">
        <f>IFERROR(Z325/Z326,)</f>
        <v>1</v>
      </c>
      <c r="AA327" s="16">
        <f>'Key Assumption'!AB193</f>
        <v>1.0433526011560694</v>
      </c>
      <c r="AB327" s="16">
        <f>'Key Assumption'!AC193</f>
        <v>1.0895953757225434</v>
      </c>
      <c r="AC327" s="16">
        <f>'Key Assumption'!AD193</f>
        <v>1.1401734104046242</v>
      </c>
      <c r="AD327" s="16">
        <f>'Key Assumption'!AE193</f>
        <v>1.1979768786127165</v>
      </c>
      <c r="AE327" s="23"/>
      <c r="AF327" s="327"/>
      <c r="AG327" s="322">
        <f t="shared" si="202"/>
        <v>0</v>
      </c>
    </row>
    <row r="328" spans="1:33" x14ac:dyDescent="0.3">
      <c r="A328" s="338" t="s">
        <v>238</v>
      </c>
      <c r="B328" s="11"/>
      <c r="E328" s="3" t="s">
        <v>325</v>
      </c>
      <c r="I328" s="291" t="s">
        <v>273</v>
      </c>
      <c r="N328" s="15"/>
      <c r="O328" s="246">
        <v>0</v>
      </c>
      <c r="P328" s="16">
        <f t="shared" ref="P328:X328" si="211">P329*P$553/10^6</f>
        <v>465.03380163875107</v>
      </c>
      <c r="Q328" s="16">
        <f t="shared" si="211"/>
        <v>465.03380163875107</v>
      </c>
      <c r="R328" s="16">
        <f t="shared" si="211"/>
        <v>465.03380163875107</v>
      </c>
      <c r="S328" s="16">
        <f t="shared" si="211"/>
        <v>458.35289420270601</v>
      </c>
      <c r="T328" s="16">
        <f t="shared" si="211"/>
        <v>458.35289420270601</v>
      </c>
      <c r="U328" s="16">
        <f t="shared" si="211"/>
        <v>458.35289420270601</v>
      </c>
      <c r="V328" s="16">
        <f t="shared" si="211"/>
        <v>447.72740844006</v>
      </c>
      <c r="W328" s="16">
        <f t="shared" si="211"/>
        <v>447.72740844006</v>
      </c>
      <c r="X328" s="16">
        <f t="shared" si="211"/>
        <v>447.72740844006</v>
      </c>
      <c r="Y328" s="246">
        <f>IFERROR(Y324/Y325,)</f>
        <v>451.26923702760865</v>
      </c>
      <c r="Z328" s="246">
        <f>IFERROR(Z324/Z325,)</f>
        <v>451.26923702760865</v>
      </c>
      <c r="AA328" s="16">
        <f>AA329*AA$553/10^6</f>
        <v>434.04112972490401</v>
      </c>
      <c r="AB328" s="16">
        <f>AB329*AB$553/10^6</f>
        <v>431.71344835134227</v>
      </c>
      <c r="AC328" s="16">
        <f>AC329*AC$553/10^6</f>
        <v>431.98110768977239</v>
      </c>
      <c r="AD328" s="16">
        <f>AD329*AD$553/10^6</f>
        <v>442.62550527278921</v>
      </c>
      <c r="AE328" s="23"/>
      <c r="AF328" s="327"/>
      <c r="AG328" s="322">
        <f t="shared" si="202"/>
        <v>0</v>
      </c>
    </row>
    <row r="329" spans="1:33" x14ac:dyDescent="0.3">
      <c r="A329" s="338" t="s">
        <v>238</v>
      </c>
      <c r="B329" s="11"/>
      <c r="F329" s="3" t="s">
        <v>326</v>
      </c>
      <c r="I329" s="291" t="s">
        <v>275</v>
      </c>
      <c r="N329" s="15"/>
      <c r="O329" s="246">
        <v>0</v>
      </c>
      <c r="P329" s="16">
        <f>'Key Assumption'!Q330</f>
        <v>355367.41681090562</v>
      </c>
      <c r="Q329" s="16">
        <f>'Key Assumption'!R330</f>
        <v>355367.41681090562</v>
      </c>
      <c r="R329" s="16">
        <f>'Key Assumption'!S330</f>
        <v>355367.41681090562</v>
      </c>
      <c r="S329" s="16">
        <f>'Key Assumption'!T330</f>
        <v>355367.41681090562</v>
      </c>
      <c r="T329" s="16">
        <f>'Key Assumption'!U330</f>
        <v>355367.41681090562</v>
      </c>
      <c r="U329" s="16">
        <f>'Key Assumption'!V330</f>
        <v>355367.41681090562</v>
      </c>
      <c r="V329" s="16">
        <f>'Key Assumption'!W330</f>
        <v>355367.41681090562</v>
      </c>
      <c r="W329" s="16">
        <f>'Key Assumption'!X330</f>
        <v>355367.41681090562</v>
      </c>
      <c r="X329" s="16">
        <f>'Key Assumption'!Y330</f>
        <v>355367.41681090562</v>
      </c>
      <c r="Y329" s="246">
        <f>IFERROR(SUMPRODUCT(P329:X329,P325:X325)/Y325,)</f>
        <v>355367.41681090562</v>
      </c>
      <c r="Z329" s="246">
        <f>IFERROR((Y329*Y325+O329*O325)/Z325,)</f>
        <v>355367.41681090562</v>
      </c>
      <c r="AA329" s="16">
        <f>'Key Assumption'!AB330</f>
        <v>357470.86948188435</v>
      </c>
      <c r="AB329" s="16">
        <f>'Key Assumption'!AC330</f>
        <v>359222.37339935289</v>
      </c>
      <c r="AC329" s="16">
        <f>'Key Assumption'!AD330</f>
        <v>360194.36979052145</v>
      </c>
      <c r="AD329" s="16">
        <f>'Key Assumption'!AE330</f>
        <v>365202.56210626173</v>
      </c>
      <c r="AE329" s="23"/>
      <c r="AF329" s="327"/>
      <c r="AG329" s="322">
        <f t="shared" si="202"/>
        <v>0</v>
      </c>
    </row>
    <row r="330" spans="1:33" x14ac:dyDescent="0.3">
      <c r="A330" s="338" t="s">
        <v>238</v>
      </c>
      <c r="B330" s="11"/>
      <c r="D330" s="3" t="s">
        <v>135</v>
      </c>
      <c r="N330" s="15"/>
      <c r="O330" s="246">
        <v>0</v>
      </c>
      <c r="P330" s="16">
        <f t="shared" ref="P330:X330" si="212">P331*P334</f>
        <v>0</v>
      </c>
      <c r="Q330" s="16">
        <f t="shared" si="212"/>
        <v>0</v>
      </c>
      <c r="R330" s="16">
        <f t="shared" si="212"/>
        <v>0</v>
      </c>
      <c r="S330" s="16">
        <f t="shared" si="212"/>
        <v>0</v>
      </c>
      <c r="T330" s="16">
        <f t="shared" si="212"/>
        <v>0</v>
      </c>
      <c r="U330" s="16">
        <f t="shared" si="212"/>
        <v>0</v>
      </c>
      <c r="V330" s="16">
        <f t="shared" si="212"/>
        <v>0</v>
      </c>
      <c r="W330" s="16">
        <f t="shared" si="212"/>
        <v>0</v>
      </c>
      <c r="X330" s="16">
        <f t="shared" si="212"/>
        <v>317.03752457163353</v>
      </c>
      <c r="Y330" s="246">
        <f>SUM(P330:X330)</f>
        <v>317.03752457163353</v>
      </c>
      <c r="Z330" s="246">
        <f>Y330+O330</f>
        <v>317.03752457163353</v>
      </c>
      <c r="AA330" s="119"/>
      <c r="AB330" s="119"/>
      <c r="AC330" s="119"/>
      <c r="AD330" s="119"/>
      <c r="AE330" s="23"/>
      <c r="AF330" s="327"/>
      <c r="AG330" s="322">
        <f t="shared" si="202"/>
        <v>0</v>
      </c>
    </row>
    <row r="331" spans="1:33" x14ac:dyDescent="0.3">
      <c r="A331" s="338" t="s">
        <v>238</v>
      </c>
      <c r="B331" s="11"/>
      <c r="E331" s="3" t="s">
        <v>324</v>
      </c>
      <c r="N331" s="15"/>
      <c r="O331" s="246">
        <v>0</v>
      </c>
      <c r="P331" s="16">
        <f>SUMIFS(INDEX(판매수량!$N$2:$V$82,0,MATCH(Revenue_HW!P$47,판매수량!$N$2:$V$2,0)),판매수량!$A$2:$A$82,Revenue_HW!$A331,판매수량!$B$2:$B$82,Revenue_HW!$AG331)</f>
        <v>0</v>
      </c>
      <c r="Q331" s="16">
        <f>SUMIFS(INDEX(판매수량!$N$2:$V$82,0,MATCH(Revenue_HW!Q$47,판매수량!$N$2:$V$2,0)),판매수량!$A$2:$A$82,Revenue_HW!$A331,판매수량!$B$2:$B$82,Revenue_HW!$AG331)</f>
        <v>0</v>
      </c>
      <c r="R331" s="16">
        <f>SUMIFS(INDEX(판매수량!$N$2:$V$82,0,MATCH(Revenue_HW!R$47,판매수량!$N$2:$V$2,0)),판매수량!$A$2:$A$82,Revenue_HW!$A331,판매수량!$B$2:$B$82,Revenue_HW!$AG331)</f>
        <v>0</v>
      </c>
      <c r="S331" s="16">
        <f>SUMIFS(INDEX(판매수량!$N$2:$V$82,0,MATCH(Revenue_HW!S$47,판매수량!$N$2:$V$2,0)),판매수량!$A$2:$A$82,Revenue_HW!$A331,판매수량!$B$2:$B$82,Revenue_HW!$AG331)</f>
        <v>0</v>
      </c>
      <c r="T331" s="16">
        <f>SUMIFS(INDEX(판매수량!$N$2:$V$82,0,MATCH(Revenue_HW!T$47,판매수량!$N$2:$V$2,0)),판매수량!$A$2:$A$82,Revenue_HW!$A331,판매수량!$B$2:$B$82,Revenue_HW!$AG331)</f>
        <v>0</v>
      </c>
      <c r="U331" s="16">
        <f>SUMIFS(INDEX(판매수량!$N$2:$V$82,0,MATCH(Revenue_HW!U$47,판매수량!$N$2:$V$2,0)),판매수량!$A$2:$A$82,Revenue_HW!$A331,판매수량!$B$2:$B$82,Revenue_HW!$AG331)</f>
        <v>0</v>
      </c>
      <c r="V331" s="16">
        <f>SUMIFS(INDEX(판매수량!$N$2:$V$82,0,MATCH(Revenue_HW!V$47,판매수량!$N$2:$V$2,0)),판매수량!$A$2:$A$82,Revenue_HW!$A331,판매수량!$B$2:$B$82,Revenue_HW!$AG331)</f>
        <v>0</v>
      </c>
      <c r="W331" s="16">
        <f>SUMIFS(INDEX(판매수량!$N$2:$V$82,0,MATCH(Revenue_HW!W$47,판매수량!$N$2:$V$2,0)),판매수량!$A$2:$A$82,Revenue_HW!$A331,판매수량!$B$2:$B$82,Revenue_HW!$AG331)</f>
        <v>0</v>
      </c>
      <c r="X331" s="16">
        <f>SUMIFS(INDEX(판매수량!$N$2:$V$82,0,MATCH(Revenue_HW!X$47,판매수량!$N$2:$V$2,0)),판매수량!$A$2:$A$82,Revenue_HW!$A331,판매수량!$B$2:$B$82,Revenue_HW!$AG331)</f>
        <v>1</v>
      </c>
      <c r="Y331" s="246">
        <f>SUM(P331:X331)</f>
        <v>1</v>
      </c>
      <c r="Z331" s="246">
        <f>Y331+O331</f>
        <v>1</v>
      </c>
      <c r="AA331" s="119"/>
      <c r="AB331" s="119"/>
      <c r="AC331" s="119"/>
      <c r="AD331" s="119"/>
      <c r="AE331" s="23"/>
      <c r="AF331" s="327"/>
      <c r="AG331" s="322" t="str">
        <f t="shared" si="202"/>
        <v>단종</v>
      </c>
    </row>
    <row r="332" spans="1:33" x14ac:dyDescent="0.3">
      <c r="A332" s="338" t="s">
        <v>238</v>
      </c>
      <c r="B332" s="11"/>
      <c r="F332" s="3" t="s">
        <v>304</v>
      </c>
      <c r="N332" s="15"/>
      <c r="O332" s="352"/>
      <c r="P332" s="117"/>
      <c r="Q332" s="117"/>
      <c r="R332" s="117"/>
      <c r="S332" s="117"/>
      <c r="T332" s="117"/>
      <c r="U332" s="117"/>
      <c r="V332" s="117"/>
      <c r="W332" s="117"/>
      <c r="X332" s="117"/>
      <c r="Y332" s="352"/>
      <c r="Z332" s="246">
        <v>1</v>
      </c>
      <c r="AA332" s="119"/>
      <c r="AB332" s="119"/>
      <c r="AC332" s="119"/>
      <c r="AD332" s="119"/>
      <c r="AE332" s="23"/>
      <c r="AF332" s="327"/>
      <c r="AG332" s="322">
        <f t="shared" si="202"/>
        <v>0</v>
      </c>
    </row>
    <row r="333" spans="1:33" x14ac:dyDescent="0.3">
      <c r="A333" s="338" t="s">
        <v>238</v>
      </c>
      <c r="B333" s="11"/>
      <c r="F333" s="3" t="s">
        <v>305</v>
      </c>
      <c r="N333" s="15"/>
      <c r="O333" s="352"/>
      <c r="P333" s="117"/>
      <c r="Q333" s="117"/>
      <c r="R333" s="117"/>
      <c r="S333" s="117"/>
      <c r="T333" s="117"/>
      <c r="U333" s="117"/>
      <c r="V333" s="117"/>
      <c r="W333" s="117"/>
      <c r="X333" s="117"/>
      <c r="Y333" s="352"/>
      <c r="Z333" s="246">
        <f>IFERROR(Z331/Z332,)</f>
        <v>1</v>
      </c>
      <c r="AA333" s="119"/>
      <c r="AB333" s="119"/>
      <c r="AC333" s="119"/>
      <c r="AD333" s="119"/>
      <c r="AE333" s="23"/>
      <c r="AF333" s="327"/>
      <c r="AG333" s="322">
        <f t="shared" si="202"/>
        <v>0</v>
      </c>
    </row>
    <row r="334" spans="1:33" x14ac:dyDescent="0.3">
      <c r="A334" s="338" t="s">
        <v>238</v>
      </c>
      <c r="B334" s="11"/>
      <c r="E334" s="3" t="s">
        <v>325</v>
      </c>
      <c r="I334" s="291" t="s">
        <v>273</v>
      </c>
      <c r="N334" s="15"/>
      <c r="O334" s="246">
        <v>0</v>
      </c>
      <c r="P334" s="16">
        <f t="shared" ref="P334:X334" si="213">P335*P$553/10^6</f>
        <v>329.29224911059578</v>
      </c>
      <c r="Q334" s="16">
        <f t="shared" si="213"/>
        <v>329.29224911059578</v>
      </c>
      <c r="R334" s="16">
        <f t="shared" si="213"/>
        <v>329.29224911059578</v>
      </c>
      <c r="S334" s="16">
        <f t="shared" si="213"/>
        <v>324.56147249185881</v>
      </c>
      <c r="T334" s="16">
        <f t="shared" si="213"/>
        <v>324.56147249185881</v>
      </c>
      <c r="U334" s="16">
        <f t="shared" si="213"/>
        <v>324.56147249185881</v>
      </c>
      <c r="V334" s="16">
        <f t="shared" si="213"/>
        <v>317.03752457163353</v>
      </c>
      <c r="W334" s="16">
        <f t="shared" si="213"/>
        <v>317.03752457163353</v>
      </c>
      <c r="X334" s="16">
        <f t="shared" si="213"/>
        <v>317.03752457163353</v>
      </c>
      <c r="Y334" s="246">
        <f>IFERROR(Y330/Y331,)</f>
        <v>317.03752457163353</v>
      </c>
      <c r="Z334" s="246">
        <f>IFERROR(Z330/Z331,)</f>
        <v>317.03752457163353</v>
      </c>
      <c r="AA334" s="119"/>
      <c r="AB334" s="119"/>
      <c r="AC334" s="119"/>
      <c r="AD334" s="119"/>
      <c r="AE334" s="23"/>
      <c r="AF334" s="327"/>
      <c r="AG334" s="322">
        <f t="shared" si="202"/>
        <v>0</v>
      </c>
    </row>
    <row r="335" spans="1:33" x14ac:dyDescent="0.3">
      <c r="A335" s="338" t="s">
        <v>238</v>
      </c>
      <c r="B335" s="11"/>
      <c r="F335" s="3" t="s">
        <v>326</v>
      </c>
      <c r="I335" s="291" t="s">
        <v>275</v>
      </c>
      <c r="N335" s="15"/>
      <c r="O335" s="246">
        <v>0</v>
      </c>
      <c r="P335" s="16">
        <f>'Key Assumption'!Q331</f>
        <v>251637.05418813677</v>
      </c>
      <c r="Q335" s="16">
        <f>'Key Assumption'!R331</f>
        <v>251637.05418813677</v>
      </c>
      <c r="R335" s="16">
        <f>'Key Assumption'!S331</f>
        <v>251637.05418813677</v>
      </c>
      <c r="S335" s="16">
        <f>'Key Assumption'!T331</f>
        <v>251637.05418813677</v>
      </c>
      <c r="T335" s="16">
        <f>'Key Assumption'!U331</f>
        <v>251637.05418813677</v>
      </c>
      <c r="U335" s="16">
        <f>'Key Assumption'!V331</f>
        <v>251637.05418813677</v>
      </c>
      <c r="V335" s="16">
        <f>'Key Assumption'!W331</f>
        <v>251637.05418813677</v>
      </c>
      <c r="W335" s="16">
        <f>'Key Assumption'!X331</f>
        <v>251637.05418813677</v>
      </c>
      <c r="X335" s="16">
        <f>'Key Assumption'!Y331</f>
        <v>251637.05418813677</v>
      </c>
      <c r="Y335" s="246">
        <f>IFERROR(SUMPRODUCT(P335:X335,P331:X331)/Y331,)</f>
        <v>251637.05418813677</v>
      </c>
      <c r="Z335" s="246">
        <f>IFERROR((Y335*Y331+O335*O331)/Z331,)</f>
        <v>251637.05418813677</v>
      </c>
      <c r="AA335" s="119"/>
      <c r="AB335" s="119"/>
      <c r="AC335" s="119"/>
      <c r="AD335" s="119"/>
      <c r="AE335" s="23"/>
      <c r="AF335" s="327"/>
      <c r="AG335" s="322">
        <f t="shared" si="202"/>
        <v>0</v>
      </c>
    </row>
    <row r="336" spans="1:33" x14ac:dyDescent="0.3">
      <c r="A336" s="338" t="s">
        <v>238</v>
      </c>
      <c r="B336" s="11"/>
      <c r="D336" s="3" t="s">
        <v>136</v>
      </c>
      <c r="N336" s="15"/>
      <c r="O336" s="246">
        <f>O337+O339+O341+O343+O346+O347</f>
        <v>70.775832999999992</v>
      </c>
      <c r="P336" s="16">
        <f t="shared" ref="P336:X336" si="214">P337+P339+P341+P343+P346+P347</f>
        <v>11.548638121138616</v>
      </c>
      <c r="Q336" s="16">
        <f t="shared" si="214"/>
        <v>10.358148121138605</v>
      </c>
      <c r="R336" s="16">
        <f t="shared" si="214"/>
        <v>12.035148121138654</v>
      </c>
      <c r="S336" s="16">
        <f t="shared" si="214"/>
        <v>25.30767193140943</v>
      </c>
      <c r="T336" s="16">
        <f t="shared" si="214"/>
        <v>46.594119026162232</v>
      </c>
      <c r="U336" s="16">
        <f t="shared" si="214"/>
        <v>22.104071931409436</v>
      </c>
      <c r="V336" s="16">
        <f t="shared" si="214"/>
        <v>30.287095209502013</v>
      </c>
      <c r="W336" s="16">
        <f t="shared" si="214"/>
        <v>10.180742478999663</v>
      </c>
      <c r="X336" s="16">
        <f t="shared" si="214"/>
        <v>51.958384624079883</v>
      </c>
      <c r="Y336" s="246">
        <f>Y337+Y339+Y341+Y343+Y346+Y347</f>
        <v>220.37401956497854</v>
      </c>
      <c r="Z336" s="246">
        <f>Y336+O336</f>
        <v>291.14985256497852</v>
      </c>
      <c r="AA336" s="16">
        <f>AA337+AA339+AA341+AA343+AA346+AA347</f>
        <v>306.7120273720426</v>
      </c>
      <c r="AB336" s="16">
        <f>AB337+AB339+AB341+AB343+AB346+AB347</f>
        <v>319.32135615580637</v>
      </c>
      <c r="AC336" s="16">
        <f>AC337+AC339+AC341+AC343+AC346+AC347</f>
        <v>319.81886252948192</v>
      </c>
      <c r="AD336" s="16">
        <f>AD337+AD339+AD341+AD343+AD346+AD347</f>
        <v>443.76665837121266</v>
      </c>
      <c r="AE336" s="23"/>
      <c r="AF336" s="327"/>
      <c r="AG336" s="322">
        <f t="shared" si="202"/>
        <v>0</v>
      </c>
    </row>
    <row r="337" spans="1:33" ht="12.75" thickBot="1" x14ac:dyDescent="0.35">
      <c r="A337" s="338" t="s">
        <v>238</v>
      </c>
      <c r="B337" s="11"/>
      <c r="E337" s="3" t="s">
        <v>307</v>
      </c>
      <c r="N337" s="15"/>
      <c r="O337" s="246">
        <v>60.53679708243417</v>
      </c>
      <c r="P337" s="16">
        <f t="shared" ref="P337:X337" si="215">SUM(P$306,P$312,P$318,P$324,P$330)*P338</f>
        <v>13.644792141747198</v>
      </c>
      <c r="Q337" s="16">
        <f t="shared" si="215"/>
        <v>13.644792141747198</v>
      </c>
      <c r="R337" s="16">
        <f t="shared" si="215"/>
        <v>13.644792141747198</v>
      </c>
      <c r="S337" s="16">
        <f t="shared" si="215"/>
        <v>30.455315952018012</v>
      </c>
      <c r="T337" s="16">
        <f t="shared" si="215"/>
        <v>55.348007067379285</v>
      </c>
      <c r="U337" s="16">
        <f t="shared" si="215"/>
        <v>30.455315952018012</v>
      </c>
      <c r="V337" s="16">
        <f t="shared" si="215"/>
        <v>40.927939230110482</v>
      </c>
      <c r="W337" s="16">
        <f t="shared" si="215"/>
        <v>13.136996499608205</v>
      </c>
      <c r="X337" s="16">
        <f t="shared" si="215"/>
        <v>69.909172665297007</v>
      </c>
      <c r="Y337" s="246">
        <f>SUM(P337:X337)</f>
        <v>281.16712379167262</v>
      </c>
      <c r="Z337" s="246">
        <f>Y337+O337</f>
        <v>341.70392087410681</v>
      </c>
      <c r="AA337" s="16">
        <f t="shared" ref="AA337:AD337" si="216">SUM(AA$306,AA$312,AA$318,AA$324,AA$330)*AA338</f>
        <v>283.62283432117852</v>
      </c>
      <c r="AB337" s="16">
        <f t="shared" si="216"/>
        <v>294.08816660736204</v>
      </c>
      <c r="AC337" s="16">
        <f t="shared" si="216"/>
        <v>294.65988824441536</v>
      </c>
      <c r="AD337" s="16">
        <f t="shared" si="216"/>
        <v>411.86728894336886</v>
      </c>
      <c r="AE337" s="23"/>
      <c r="AF337" s="327"/>
      <c r="AG337" s="322">
        <f t="shared" si="202"/>
        <v>0</v>
      </c>
    </row>
    <row r="338" spans="1:33" ht="12.75" thickBot="1" x14ac:dyDescent="0.35">
      <c r="A338" s="338" t="s">
        <v>238</v>
      </c>
      <c r="B338" s="11"/>
      <c r="E338" s="23"/>
      <c r="F338" s="23" t="s">
        <v>317</v>
      </c>
      <c r="G338" s="23"/>
      <c r="I338" s="339">
        <v>9.1412628439944521E-2</v>
      </c>
      <c r="J338" s="349">
        <f>I338</f>
        <v>9.1412628439944521E-2</v>
      </c>
      <c r="N338" s="15"/>
      <c r="O338" s="340">
        <f>O337/SUM(O$306,O$312,O$318,O$324,O$330)</f>
        <v>0.11805809848981889</v>
      </c>
      <c r="P338" s="43">
        <f t="shared" ref="P338:X338" si="217">$I338</f>
        <v>9.1412628439944521E-2</v>
      </c>
      <c r="Q338" s="43">
        <f t="shared" si="217"/>
        <v>9.1412628439944521E-2</v>
      </c>
      <c r="R338" s="43">
        <f t="shared" si="217"/>
        <v>9.1412628439944521E-2</v>
      </c>
      <c r="S338" s="43">
        <f t="shared" si="217"/>
        <v>9.1412628439944521E-2</v>
      </c>
      <c r="T338" s="43">
        <f t="shared" si="217"/>
        <v>9.1412628439944521E-2</v>
      </c>
      <c r="U338" s="43">
        <f t="shared" si="217"/>
        <v>9.1412628439944521E-2</v>
      </c>
      <c r="V338" s="43">
        <f t="shared" si="217"/>
        <v>9.1412628439944521E-2</v>
      </c>
      <c r="W338" s="43">
        <f t="shared" si="217"/>
        <v>9.1412628439944521E-2</v>
      </c>
      <c r="X338" s="43">
        <f t="shared" si="217"/>
        <v>9.1412628439944521E-2</v>
      </c>
      <c r="Y338" s="340">
        <f>Y337/SUM(Y$306,Y$312,Y$318,Y$324,Y$330)</f>
        <v>9.1412628439944521E-2</v>
      </c>
      <c r="Z338" s="350">
        <f>Z337/SUM(Z$306,Z$312,Z$318,Z$324,Z$330)</f>
        <v>9.5219999952780562E-2</v>
      </c>
      <c r="AA338" s="17">
        <f>$J338</f>
        <v>9.1412628439944521E-2</v>
      </c>
      <c r="AB338" s="17">
        <f>$J338</f>
        <v>9.1412628439944521E-2</v>
      </c>
      <c r="AC338" s="17">
        <f>$J338</f>
        <v>9.1412628439944521E-2</v>
      </c>
      <c r="AD338" s="17">
        <f>$J338</f>
        <v>9.1412628439944521E-2</v>
      </c>
      <c r="AE338" s="23"/>
      <c r="AF338" s="327"/>
      <c r="AG338" s="322">
        <f t="shared" si="202"/>
        <v>0</v>
      </c>
    </row>
    <row r="339" spans="1:33" ht="12.75" thickBot="1" x14ac:dyDescent="0.35">
      <c r="A339" s="338" t="s">
        <v>238</v>
      </c>
      <c r="B339" s="11"/>
      <c r="E339" s="3" t="s">
        <v>309</v>
      </c>
      <c r="I339" s="341"/>
      <c r="J339" s="341"/>
      <c r="N339" s="15"/>
      <c r="O339" s="246">
        <v>3.7460119999999999</v>
      </c>
      <c r="P339" s="16">
        <f t="shared" ref="P339:X339" si="218">SUM(P$306,P$312,P$318,P$324,P$330)*P340</f>
        <v>0</v>
      </c>
      <c r="Q339" s="16">
        <f t="shared" si="218"/>
        <v>0</v>
      </c>
      <c r="R339" s="16">
        <f t="shared" si="218"/>
        <v>0</v>
      </c>
      <c r="S339" s="16">
        <f t="shared" si="218"/>
        <v>0</v>
      </c>
      <c r="T339" s="16">
        <f t="shared" si="218"/>
        <v>0</v>
      </c>
      <c r="U339" s="16">
        <f t="shared" si="218"/>
        <v>0</v>
      </c>
      <c r="V339" s="16">
        <f t="shared" si="218"/>
        <v>0</v>
      </c>
      <c r="W339" s="16">
        <f t="shared" si="218"/>
        <v>0</v>
      </c>
      <c r="X339" s="16">
        <f t="shared" si="218"/>
        <v>0</v>
      </c>
      <c r="Y339" s="246">
        <f>SUM(P339:X339)</f>
        <v>0</v>
      </c>
      <c r="Z339" s="246">
        <f>Y339+O339</f>
        <v>3.7460119999999999</v>
      </c>
      <c r="AA339" s="16">
        <f t="shared" ref="AA339:AD339" si="219">SUM(AA$306,AA$312,AA$318,AA$324,AA$330)*AA340</f>
        <v>0</v>
      </c>
      <c r="AB339" s="16">
        <f t="shared" si="219"/>
        <v>0</v>
      </c>
      <c r="AC339" s="16">
        <f t="shared" si="219"/>
        <v>0</v>
      </c>
      <c r="AD339" s="16">
        <f t="shared" si="219"/>
        <v>0</v>
      </c>
      <c r="AE339" s="23"/>
      <c r="AF339" s="327"/>
      <c r="AG339" s="322">
        <f t="shared" si="202"/>
        <v>0</v>
      </c>
    </row>
    <row r="340" spans="1:33" ht="12.75" thickBot="1" x14ac:dyDescent="0.35">
      <c r="A340" s="338" t="s">
        <v>238</v>
      </c>
      <c r="B340" s="11"/>
      <c r="E340" s="23"/>
      <c r="F340" s="23" t="s">
        <v>317</v>
      </c>
      <c r="G340" s="23"/>
      <c r="I340" s="339">
        <v>0</v>
      </c>
      <c r="J340" s="349">
        <f>I340</f>
        <v>0</v>
      </c>
      <c r="N340" s="15"/>
      <c r="O340" s="340">
        <f>O339/SUM(O$306,O$312,O$318,O$324,O$330)</f>
        <v>7.3054253768633773E-3</v>
      </c>
      <c r="P340" s="43">
        <f t="shared" ref="P340:X340" si="220">$I340</f>
        <v>0</v>
      </c>
      <c r="Q340" s="43">
        <f t="shared" si="220"/>
        <v>0</v>
      </c>
      <c r="R340" s="43">
        <f t="shared" si="220"/>
        <v>0</v>
      </c>
      <c r="S340" s="43">
        <f t="shared" si="220"/>
        <v>0</v>
      </c>
      <c r="T340" s="43">
        <f t="shared" si="220"/>
        <v>0</v>
      </c>
      <c r="U340" s="43">
        <f t="shared" si="220"/>
        <v>0</v>
      </c>
      <c r="V340" s="43">
        <f t="shared" si="220"/>
        <v>0</v>
      </c>
      <c r="W340" s="43">
        <f t="shared" si="220"/>
        <v>0</v>
      </c>
      <c r="X340" s="43">
        <f t="shared" si="220"/>
        <v>0</v>
      </c>
      <c r="Y340" s="340">
        <f>Y339/SUM(Y$306,Y$312,Y$318,Y$324,Y$330)</f>
        <v>0</v>
      </c>
      <c r="Z340" s="350">
        <f>Z339/SUM(Z$306,Z$312,Z$318,Z$324,Z$330)</f>
        <v>1.0438723136411766E-3</v>
      </c>
      <c r="AA340" s="17">
        <f>$J340</f>
        <v>0</v>
      </c>
      <c r="AB340" s="17">
        <f>$J340</f>
        <v>0</v>
      </c>
      <c r="AC340" s="17">
        <f>$J340</f>
        <v>0</v>
      </c>
      <c r="AD340" s="17">
        <f>$J340</f>
        <v>0</v>
      </c>
      <c r="AE340" s="23"/>
      <c r="AF340" s="327"/>
      <c r="AG340" s="322">
        <f t="shared" si="202"/>
        <v>0</v>
      </c>
    </row>
    <row r="341" spans="1:33" ht="12.75" thickBot="1" x14ac:dyDescent="0.35">
      <c r="A341" s="338" t="s">
        <v>238</v>
      </c>
      <c r="B341" s="11"/>
      <c r="E341" s="3" t="s">
        <v>310</v>
      </c>
      <c r="I341" s="341"/>
      <c r="J341" s="341"/>
      <c r="N341" s="15"/>
      <c r="O341" s="246">
        <v>0</v>
      </c>
      <c r="P341" s="16">
        <f t="shared" ref="P341:X341" si="221">SUM(P$306,P$312,P$318,P$324,P$330)*P342</f>
        <v>0</v>
      </c>
      <c r="Q341" s="16">
        <f t="shared" si="221"/>
        <v>0</v>
      </c>
      <c r="R341" s="16">
        <f t="shared" si="221"/>
        <v>0</v>
      </c>
      <c r="S341" s="16">
        <f t="shared" si="221"/>
        <v>0</v>
      </c>
      <c r="T341" s="16">
        <f t="shared" si="221"/>
        <v>0</v>
      </c>
      <c r="U341" s="16">
        <f t="shared" si="221"/>
        <v>0</v>
      </c>
      <c r="V341" s="16">
        <f t="shared" si="221"/>
        <v>0</v>
      </c>
      <c r="W341" s="16">
        <f t="shared" si="221"/>
        <v>0</v>
      </c>
      <c r="X341" s="16">
        <f t="shared" si="221"/>
        <v>0</v>
      </c>
      <c r="Y341" s="246">
        <f>SUM(P341:X341)</f>
        <v>0</v>
      </c>
      <c r="Z341" s="246">
        <f>Y341+O341</f>
        <v>0</v>
      </c>
      <c r="AA341" s="16">
        <f t="shared" ref="AA341:AD341" si="222">SUM(AA$306,AA$312,AA$318,AA$324,AA$330)*AA342</f>
        <v>0</v>
      </c>
      <c r="AB341" s="16">
        <f t="shared" si="222"/>
        <v>0</v>
      </c>
      <c r="AC341" s="16">
        <f t="shared" si="222"/>
        <v>0</v>
      </c>
      <c r="AD341" s="16">
        <f t="shared" si="222"/>
        <v>0</v>
      </c>
      <c r="AE341" s="23"/>
      <c r="AF341" s="327"/>
      <c r="AG341" s="322">
        <f t="shared" si="202"/>
        <v>0</v>
      </c>
    </row>
    <row r="342" spans="1:33" ht="12.75" thickBot="1" x14ac:dyDescent="0.35">
      <c r="A342" s="338" t="s">
        <v>238</v>
      </c>
      <c r="B342" s="11"/>
      <c r="E342" s="23"/>
      <c r="F342" s="23" t="s">
        <v>317</v>
      </c>
      <c r="G342" s="23"/>
      <c r="I342" s="339">
        <v>0</v>
      </c>
      <c r="J342" s="349">
        <f>I342</f>
        <v>0</v>
      </c>
      <c r="N342" s="15"/>
      <c r="O342" s="340">
        <f>O341/SUM(O$306,O$312,O$318,O$324,O$330)</f>
        <v>0</v>
      </c>
      <c r="P342" s="43">
        <f t="shared" ref="P342:X342" si="223">$I342</f>
        <v>0</v>
      </c>
      <c r="Q342" s="43">
        <f t="shared" si="223"/>
        <v>0</v>
      </c>
      <c r="R342" s="43">
        <f t="shared" si="223"/>
        <v>0</v>
      </c>
      <c r="S342" s="43">
        <f t="shared" si="223"/>
        <v>0</v>
      </c>
      <c r="T342" s="43">
        <f t="shared" si="223"/>
        <v>0</v>
      </c>
      <c r="U342" s="43">
        <f t="shared" si="223"/>
        <v>0</v>
      </c>
      <c r="V342" s="43">
        <f t="shared" si="223"/>
        <v>0</v>
      </c>
      <c r="W342" s="43">
        <f t="shared" si="223"/>
        <v>0</v>
      </c>
      <c r="X342" s="43">
        <f t="shared" si="223"/>
        <v>0</v>
      </c>
      <c r="Y342" s="340">
        <f>Y341/SUM(Y$306,Y$312,Y$318,Y$324,Y$330)</f>
        <v>0</v>
      </c>
      <c r="Z342" s="350">
        <f>Z341/SUM(Z$306,Z$312,Z$318,Z$324,Z$330)</f>
        <v>0</v>
      </c>
      <c r="AA342" s="17">
        <f>$J342</f>
        <v>0</v>
      </c>
      <c r="AB342" s="17">
        <f>$J342</f>
        <v>0</v>
      </c>
      <c r="AC342" s="17">
        <f>$J342</f>
        <v>0</v>
      </c>
      <c r="AD342" s="17">
        <f>$J342</f>
        <v>0</v>
      </c>
      <c r="AE342" s="23"/>
      <c r="AF342" s="327"/>
      <c r="AG342" s="322">
        <f t="shared" si="202"/>
        <v>0</v>
      </c>
    </row>
    <row r="343" spans="1:33" x14ac:dyDescent="0.3">
      <c r="A343" s="338" t="s">
        <v>238</v>
      </c>
      <c r="B343" s="11"/>
      <c r="E343" s="3" t="s">
        <v>311</v>
      </c>
      <c r="I343" s="341"/>
      <c r="N343" s="15"/>
      <c r="O343" s="246">
        <v>6.4930239175658269</v>
      </c>
      <c r="P343" s="16">
        <f t="shared" ref="P343:X343" si="224">P344*P345</f>
        <v>1.6232559793914567</v>
      </c>
      <c r="Q343" s="16">
        <f t="shared" si="224"/>
        <v>1.6232559793914567</v>
      </c>
      <c r="R343" s="16">
        <f t="shared" si="224"/>
        <v>1.6232559793914567</v>
      </c>
      <c r="S343" s="16">
        <f t="shared" si="224"/>
        <v>1.6232559793914567</v>
      </c>
      <c r="T343" s="16">
        <f t="shared" si="224"/>
        <v>3.2465119587829134</v>
      </c>
      <c r="U343" s="16">
        <f t="shared" si="224"/>
        <v>1.6232559793914567</v>
      </c>
      <c r="V343" s="16">
        <f t="shared" si="224"/>
        <v>1.6232559793914567</v>
      </c>
      <c r="W343" s="16">
        <f t="shared" si="224"/>
        <v>1.6232559793914567</v>
      </c>
      <c r="X343" s="16">
        <f t="shared" si="224"/>
        <v>3.2465119587829134</v>
      </c>
      <c r="Y343" s="246">
        <f>SUM(P343:X343)</f>
        <v>17.855815773306023</v>
      </c>
      <c r="Z343" s="246">
        <f>Y343+O343</f>
        <v>24.348839690871849</v>
      </c>
      <c r="AA343" s="16">
        <f>AA344*AA345</f>
        <v>23.089193050864083</v>
      </c>
      <c r="AB343" s="16">
        <f>AB344*AB345</f>
        <v>25.233189548444319</v>
      </c>
      <c r="AC343" s="16">
        <f>AC344*AC345</f>
        <v>25.158974285066538</v>
      </c>
      <c r="AD343" s="16">
        <f>AD344*AD345</f>
        <v>31.899369427843791</v>
      </c>
      <c r="AE343" s="23"/>
      <c r="AF343" s="327"/>
      <c r="AG343" s="322">
        <f t="shared" si="202"/>
        <v>0</v>
      </c>
    </row>
    <row r="344" spans="1:33" ht="12.75" thickBot="1" x14ac:dyDescent="0.35">
      <c r="A344" s="338" t="s">
        <v>238</v>
      </c>
      <c r="B344" s="11"/>
      <c r="F344" s="3" t="s">
        <v>312</v>
      </c>
      <c r="I344" s="341"/>
      <c r="N344" s="15"/>
      <c r="O344" s="246">
        <f>SUM(O307,O313,O319,O325,O331)</f>
        <v>4</v>
      </c>
      <c r="P344" s="16">
        <f t="shared" ref="P344:X344" si="225">SUM(P307,P313,P319,P325,P331)</f>
        <v>1</v>
      </c>
      <c r="Q344" s="16">
        <f t="shared" si="225"/>
        <v>1</v>
      </c>
      <c r="R344" s="16">
        <f t="shared" si="225"/>
        <v>1</v>
      </c>
      <c r="S344" s="16">
        <f t="shared" si="225"/>
        <v>1</v>
      </c>
      <c r="T344" s="16">
        <f t="shared" si="225"/>
        <v>2</v>
      </c>
      <c r="U344" s="16">
        <f t="shared" si="225"/>
        <v>1</v>
      </c>
      <c r="V344" s="16">
        <f t="shared" si="225"/>
        <v>1</v>
      </c>
      <c r="W344" s="16">
        <f t="shared" si="225"/>
        <v>1</v>
      </c>
      <c r="X344" s="16">
        <f t="shared" si="225"/>
        <v>2</v>
      </c>
      <c r="Y344" s="246">
        <f>SUM(P344:X344)</f>
        <v>11</v>
      </c>
      <c r="Z344" s="246">
        <f>SUM(O344:X344)</f>
        <v>15</v>
      </c>
      <c r="AA344" s="16">
        <f>SUM(AA307,AA313,AA319,AA325,AA331)</f>
        <v>14</v>
      </c>
      <c r="AB344" s="16">
        <f>SUM(AB307,AB313,AB319,AB325,AB331)</f>
        <v>15</v>
      </c>
      <c r="AC344" s="16">
        <f>SUM(AC307,AC313,AC319,AC325,AC331)</f>
        <v>15</v>
      </c>
      <c r="AD344" s="16">
        <f>SUM(AD307,AD313,AD319,AD325,AD331)</f>
        <v>19</v>
      </c>
      <c r="AE344" s="23"/>
      <c r="AF344" s="327"/>
      <c r="AG344" s="322">
        <f t="shared" si="202"/>
        <v>0</v>
      </c>
    </row>
    <row r="345" spans="1:33" ht="12.75" thickBot="1" x14ac:dyDescent="0.35">
      <c r="A345" s="338" t="s">
        <v>238</v>
      </c>
      <c r="B345" s="11"/>
      <c r="F345" s="3" t="s">
        <v>313</v>
      </c>
      <c r="I345" s="353">
        <v>5.5431569047619034</v>
      </c>
      <c r="J345" s="354">
        <f>O345</f>
        <v>1.6232559793914567</v>
      </c>
      <c r="N345" s="15"/>
      <c r="O345" s="250">
        <f>O343/O344</f>
        <v>1.6232559793914567</v>
      </c>
      <c r="P345" s="247">
        <f>$J345</f>
        <v>1.6232559793914567</v>
      </c>
      <c r="Q345" s="247">
        <f t="shared" ref="Q345:X345" si="226">$J345</f>
        <v>1.6232559793914567</v>
      </c>
      <c r="R345" s="247">
        <f t="shared" si="226"/>
        <v>1.6232559793914567</v>
      </c>
      <c r="S345" s="247">
        <f t="shared" si="226"/>
        <v>1.6232559793914567</v>
      </c>
      <c r="T345" s="247">
        <f t="shared" si="226"/>
        <v>1.6232559793914567</v>
      </c>
      <c r="U345" s="247">
        <f t="shared" si="226"/>
        <v>1.6232559793914567</v>
      </c>
      <c r="V345" s="247">
        <f t="shared" si="226"/>
        <v>1.6232559793914567</v>
      </c>
      <c r="W345" s="247">
        <f t="shared" si="226"/>
        <v>1.6232559793914567</v>
      </c>
      <c r="X345" s="247">
        <f t="shared" si="226"/>
        <v>1.6232559793914567</v>
      </c>
      <c r="Y345" s="250">
        <f>Y343/Y344</f>
        <v>1.6232559793914567</v>
      </c>
      <c r="Z345" s="250">
        <f>Z343/Z344</f>
        <v>1.6232559793914565</v>
      </c>
      <c r="AA345" s="355">
        <f>$J345*(1+'Key Assumption'!AB$13)</f>
        <v>1.6492280750617201</v>
      </c>
      <c r="AB345" s="355">
        <f>$AA345*(1+'Key Assumption'!AC$13)</f>
        <v>1.6822126365629546</v>
      </c>
      <c r="AC345" s="355">
        <f>$AA345*(1+'Key Assumption'!AD$13)</f>
        <v>1.6772649523377692</v>
      </c>
      <c r="AD345" s="355">
        <f>$AA345*(1+'Key Assumption'!AE$13)</f>
        <v>1.6789141804128311</v>
      </c>
      <c r="AE345" s="23"/>
      <c r="AF345" s="327"/>
      <c r="AG345" s="322">
        <f t="shared" si="202"/>
        <v>0</v>
      </c>
    </row>
    <row r="346" spans="1:33" x14ac:dyDescent="0.3">
      <c r="A346" s="338" t="s">
        <v>238</v>
      </c>
      <c r="B346" s="11"/>
      <c r="E346" s="3" t="s">
        <v>314</v>
      </c>
      <c r="F346" s="23"/>
      <c r="G346" s="23"/>
      <c r="I346" s="341"/>
      <c r="N346" s="15"/>
      <c r="O346" s="246">
        <v>0</v>
      </c>
      <c r="P346" s="16">
        <v>-3.7194100000000394</v>
      </c>
      <c r="Q346" s="16">
        <v>-4.909900000000051</v>
      </c>
      <c r="R346" s="16">
        <v>-3.2329000000000003</v>
      </c>
      <c r="S346" s="16">
        <v>-6.770900000000041</v>
      </c>
      <c r="T346" s="16">
        <v>-12.00039999999996</v>
      </c>
      <c r="U346" s="16">
        <v>-9.9745000000000363</v>
      </c>
      <c r="V346" s="16">
        <v>-12.264099999999928</v>
      </c>
      <c r="W346" s="16">
        <v>-4.5795099999999991</v>
      </c>
      <c r="X346" s="16">
        <v>-21.197300000000038</v>
      </c>
      <c r="Y346" s="246">
        <f>SUM(P346:X346)</f>
        <v>-78.648920000000089</v>
      </c>
      <c r="Z346" s="246">
        <f>Y346+O346</f>
        <v>-78.648920000000089</v>
      </c>
      <c r="AA346" s="119"/>
      <c r="AB346" s="119"/>
      <c r="AC346" s="119"/>
      <c r="AD346" s="119"/>
      <c r="AE346" s="23"/>
      <c r="AF346" s="327"/>
      <c r="AG346" s="322">
        <f t="shared" si="202"/>
        <v>0</v>
      </c>
    </row>
    <row r="347" spans="1:33" x14ac:dyDescent="0.3">
      <c r="A347" s="338" t="s">
        <v>238</v>
      </c>
      <c r="B347" s="11"/>
      <c r="E347" s="3" t="s">
        <v>136</v>
      </c>
      <c r="F347" s="23"/>
      <c r="G347" s="23"/>
      <c r="N347" s="15"/>
      <c r="O347" s="246">
        <v>0</v>
      </c>
      <c r="P347" s="16">
        <v>0</v>
      </c>
      <c r="Q347" s="16">
        <v>0</v>
      </c>
      <c r="R347" s="16">
        <v>0</v>
      </c>
      <c r="S347" s="16">
        <v>0</v>
      </c>
      <c r="T347" s="16">
        <v>0</v>
      </c>
      <c r="U347" s="16">
        <v>0</v>
      </c>
      <c r="V347" s="16">
        <v>0</v>
      </c>
      <c r="W347" s="16">
        <v>0</v>
      </c>
      <c r="X347" s="16">
        <v>0</v>
      </c>
      <c r="Y347" s="246">
        <f>SUM(P347:X347)</f>
        <v>0</v>
      </c>
      <c r="Z347" s="246">
        <f>Y347+O347</f>
        <v>0</v>
      </c>
      <c r="AA347" s="119"/>
      <c r="AB347" s="119"/>
      <c r="AC347" s="119"/>
      <c r="AD347" s="119"/>
      <c r="AE347" s="23"/>
      <c r="AF347" s="327"/>
      <c r="AG347" s="322">
        <f t="shared" si="202"/>
        <v>0</v>
      </c>
    </row>
    <row r="348" spans="1:33" x14ac:dyDescent="0.3">
      <c r="A348" s="338" t="s">
        <v>136</v>
      </c>
      <c r="C348" s="3" t="s">
        <v>136</v>
      </c>
      <c r="E348" s="23"/>
      <c r="N348" s="15"/>
      <c r="O348" s="246">
        <f>O349+O355+O361+O367+O379+O373</f>
        <v>1867.6793719999998</v>
      </c>
      <c r="P348" s="16">
        <f t="shared" ref="P348:AD348" si="227">P349+P355+P361+P367+P379+P373</f>
        <v>171.23746114454801</v>
      </c>
      <c r="Q348" s="16">
        <f t="shared" si="227"/>
        <v>121.0332386010512</v>
      </c>
      <c r="R348" s="16">
        <f t="shared" si="227"/>
        <v>291.77839974559924</v>
      </c>
      <c r="S348" s="16">
        <f t="shared" si="227"/>
        <v>119.7749631880194</v>
      </c>
      <c r="T348" s="16">
        <f t="shared" si="227"/>
        <v>-0.52399999999999913</v>
      </c>
      <c r="U348" s="16">
        <f t="shared" si="227"/>
        <v>226.00105503002061</v>
      </c>
      <c r="V348" s="16">
        <f t="shared" si="227"/>
        <v>164.63931694836091</v>
      </c>
      <c r="W348" s="16">
        <f t="shared" si="227"/>
        <v>171.01220947474619</v>
      </c>
      <c r="X348" s="16">
        <f t="shared" si="227"/>
        <v>-2.6539999999999959</v>
      </c>
      <c r="Y348" s="246">
        <f t="shared" si="227"/>
        <v>1262.2986441323458</v>
      </c>
      <c r="Z348" s="246">
        <f t="shared" si="227"/>
        <v>3129.9780161323451</v>
      </c>
      <c r="AA348" s="16">
        <f t="shared" si="227"/>
        <v>2150.656232063985</v>
      </c>
      <c r="AB348" s="16">
        <f t="shared" si="227"/>
        <v>2423.6285545370229</v>
      </c>
      <c r="AC348" s="16">
        <f t="shared" si="227"/>
        <v>2434.4767011791096</v>
      </c>
      <c r="AD348" s="16">
        <f t="shared" si="227"/>
        <v>2705.7800985412537</v>
      </c>
      <c r="AE348" s="23"/>
      <c r="AF348" s="327"/>
      <c r="AG348" s="322">
        <f t="shared" si="202"/>
        <v>0</v>
      </c>
    </row>
    <row r="349" spans="1:33" x14ac:dyDescent="0.3">
      <c r="A349" s="338" t="s">
        <v>136</v>
      </c>
      <c r="B349" s="11"/>
      <c r="D349" s="3" t="s">
        <v>146</v>
      </c>
      <c r="N349" s="15"/>
      <c r="O349" s="246">
        <v>0</v>
      </c>
      <c r="P349" s="16">
        <f t="shared" ref="P349:X349" si="228">P350*P353</f>
        <v>0</v>
      </c>
      <c r="Q349" s="16">
        <f t="shared" si="228"/>
        <v>0</v>
      </c>
      <c r="R349" s="16">
        <f t="shared" si="228"/>
        <v>0</v>
      </c>
      <c r="S349" s="16">
        <f t="shared" si="228"/>
        <v>0</v>
      </c>
      <c r="T349" s="16">
        <f t="shared" si="228"/>
        <v>0</v>
      </c>
      <c r="U349" s="16">
        <f t="shared" si="228"/>
        <v>0</v>
      </c>
      <c r="V349" s="16">
        <f t="shared" si="228"/>
        <v>0</v>
      </c>
      <c r="W349" s="16">
        <f t="shared" si="228"/>
        <v>144.85042287843368</v>
      </c>
      <c r="X349" s="16">
        <f t="shared" si="228"/>
        <v>0</v>
      </c>
      <c r="Y349" s="246">
        <f>SUM(P349:X349)</f>
        <v>144.85042287843368</v>
      </c>
      <c r="Z349" s="246">
        <f>Y349+O349</f>
        <v>144.85042287843368</v>
      </c>
      <c r="AA349" s="16">
        <f>AA350*AA353</f>
        <v>140.26159349829533</v>
      </c>
      <c r="AB349" s="16">
        <f>AB350*AB353</f>
        <v>139.60354630712169</v>
      </c>
      <c r="AC349" s="16">
        <f>AC350*AC353</f>
        <v>140.14727800604581</v>
      </c>
      <c r="AD349" s="16">
        <f>AD350*AD353</f>
        <v>142.50377572115855</v>
      </c>
      <c r="AE349" s="23"/>
      <c r="AF349" s="327"/>
      <c r="AG349" s="322">
        <f t="shared" si="202"/>
        <v>0</v>
      </c>
    </row>
    <row r="350" spans="1:33" x14ac:dyDescent="0.3">
      <c r="A350" s="338" t="s">
        <v>136</v>
      </c>
      <c r="B350" s="11"/>
      <c r="E350" s="3" t="s">
        <v>324</v>
      </c>
      <c r="N350" s="15"/>
      <c r="O350" s="246">
        <v>0</v>
      </c>
      <c r="P350" s="16">
        <f>SUMIFS(INDEX(판매수량!$N$2:$V$82,0,MATCH(Revenue_HW!P$47,판매수량!$N$2:$V$2,0)),판매수량!$A$2:$A$82,Revenue_HW!$A350,판매수량!$B$2:$B$82,Revenue_HW!$AG350)</f>
        <v>0</v>
      </c>
      <c r="Q350" s="16">
        <f>SUMIFS(INDEX(판매수량!$N$2:$V$82,0,MATCH(Revenue_HW!Q$47,판매수량!$N$2:$V$2,0)),판매수량!$A$2:$A$82,Revenue_HW!$A350,판매수량!$B$2:$B$82,Revenue_HW!$AG350)</f>
        <v>0</v>
      </c>
      <c r="R350" s="16">
        <f>SUMIFS(INDEX(판매수량!$N$2:$V$82,0,MATCH(Revenue_HW!R$47,판매수량!$N$2:$V$2,0)),판매수량!$A$2:$A$82,Revenue_HW!$A350,판매수량!$B$2:$B$82,Revenue_HW!$AG350)</f>
        <v>0</v>
      </c>
      <c r="S350" s="16">
        <f>SUMIFS(INDEX(판매수량!$N$2:$V$82,0,MATCH(Revenue_HW!S$47,판매수량!$N$2:$V$2,0)),판매수량!$A$2:$A$82,Revenue_HW!$A350,판매수량!$B$2:$B$82,Revenue_HW!$AG350)</f>
        <v>0</v>
      </c>
      <c r="T350" s="16">
        <f>SUMIFS(INDEX(판매수량!$N$2:$V$82,0,MATCH(Revenue_HW!T$47,판매수량!$N$2:$V$2,0)),판매수량!$A$2:$A$82,Revenue_HW!$A350,판매수량!$B$2:$B$82,Revenue_HW!$AG350)</f>
        <v>0</v>
      </c>
      <c r="U350" s="16">
        <f>SUMIFS(INDEX(판매수량!$N$2:$V$82,0,MATCH(Revenue_HW!U$47,판매수량!$N$2:$V$2,0)),판매수량!$A$2:$A$82,Revenue_HW!$A350,판매수량!$B$2:$B$82,Revenue_HW!$AG350)</f>
        <v>0</v>
      </c>
      <c r="V350" s="16">
        <f>SUMIFS(INDEX(판매수량!$N$2:$V$82,0,MATCH(Revenue_HW!V$47,판매수량!$N$2:$V$2,0)),판매수량!$A$2:$A$82,Revenue_HW!$A350,판매수량!$B$2:$B$82,Revenue_HW!$AG350)</f>
        <v>0</v>
      </c>
      <c r="W350" s="16">
        <f>SUMIFS(INDEX(판매수량!$N$2:$V$82,0,MATCH(Revenue_HW!W$47,판매수량!$N$2:$V$2,0)),판매수량!$A$2:$A$82,Revenue_HW!$A350,판매수량!$B$2:$B$82,Revenue_HW!$AG350)</f>
        <v>1</v>
      </c>
      <c r="X350" s="16">
        <f>SUMIFS(INDEX(판매수량!$N$2:$V$82,0,MATCH(Revenue_HW!X$47,판매수량!$N$2:$V$2,0)),판매수량!$A$2:$A$82,Revenue_HW!$A350,판매수량!$B$2:$B$82,Revenue_HW!$AG350)</f>
        <v>0</v>
      </c>
      <c r="Y350" s="246">
        <f>SUM(P350:X350)</f>
        <v>1</v>
      </c>
      <c r="Z350" s="246">
        <f>Y350+O350</f>
        <v>1</v>
      </c>
      <c r="AA350" s="16">
        <f>ROUND(AA351*AA352,)</f>
        <v>1</v>
      </c>
      <c r="AB350" s="16">
        <f>ROUND(AB351*AB352,)</f>
        <v>1</v>
      </c>
      <c r="AC350" s="16">
        <f>ROUND(AC351*AC352,)</f>
        <v>1</v>
      </c>
      <c r="AD350" s="16">
        <f>ROUND(AD351*AD352,)</f>
        <v>1</v>
      </c>
      <c r="AE350" s="23"/>
      <c r="AF350" s="327"/>
      <c r="AG350" s="322" t="str">
        <f t="shared" si="202"/>
        <v>5축</v>
      </c>
    </row>
    <row r="351" spans="1:33" x14ac:dyDescent="0.3">
      <c r="A351" s="338" t="s">
        <v>136</v>
      </c>
      <c r="B351" s="11"/>
      <c r="F351" s="3" t="s">
        <v>304</v>
      </c>
      <c r="N351" s="15"/>
      <c r="O351" s="352"/>
      <c r="P351" s="117"/>
      <c r="Q351" s="117"/>
      <c r="R351" s="117"/>
      <c r="S351" s="117"/>
      <c r="T351" s="117"/>
      <c r="U351" s="117"/>
      <c r="V351" s="117"/>
      <c r="W351" s="117"/>
      <c r="X351" s="117"/>
      <c r="Y351" s="352"/>
      <c r="Z351" s="246">
        <f>'Key Assumption'!AA84</f>
        <v>1</v>
      </c>
      <c r="AA351" s="16">
        <f>'Key Assumption'!AB84</f>
        <v>1</v>
      </c>
      <c r="AB351" s="16">
        <f>'Key Assumption'!AC84</f>
        <v>1</v>
      </c>
      <c r="AC351" s="16">
        <f>'Key Assumption'!AD84</f>
        <v>1</v>
      </c>
      <c r="AD351" s="16">
        <f>'Key Assumption'!AE84</f>
        <v>1</v>
      </c>
      <c r="AE351" s="23"/>
      <c r="AF351" s="327"/>
      <c r="AG351" s="322">
        <f t="shared" si="202"/>
        <v>0</v>
      </c>
    </row>
    <row r="352" spans="1:33" x14ac:dyDescent="0.3">
      <c r="A352" s="338" t="s">
        <v>136</v>
      </c>
      <c r="B352" s="11"/>
      <c r="F352" s="3" t="s">
        <v>305</v>
      </c>
      <c r="N352" s="15"/>
      <c r="O352" s="352"/>
      <c r="P352" s="117"/>
      <c r="Q352" s="117"/>
      <c r="R352" s="117"/>
      <c r="S352" s="117"/>
      <c r="T352" s="117"/>
      <c r="U352" s="117"/>
      <c r="V352" s="117"/>
      <c r="W352" s="117"/>
      <c r="X352" s="117"/>
      <c r="Y352" s="352"/>
      <c r="Z352" s="246">
        <f>IFERROR(Z350/Z351,)</f>
        <v>1</v>
      </c>
      <c r="AA352" s="16">
        <f>'Key Assumption'!AB196</f>
        <v>1.0665040238261201</v>
      </c>
      <c r="AB352" s="16">
        <f>'Key Assumption'!AC196</f>
        <v>1.1390596286673851</v>
      </c>
      <c r="AC352" s="16">
        <f>'Key Assumption'!AD196</f>
        <v>1.2168430390976492</v>
      </c>
      <c r="AD352" s="16">
        <f>'Key Assumption'!AE196</f>
        <v>1.2970344084658769</v>
      </c>
      <c r="AE352" s="23"/>
      <c r="AF352" s="327"/>
      <c r="AG352" s="322">
        <f t="shared" si="202"/>
        <v>0</v>
      </c>
    </row>
    <row r="353" spans="1:33" x14ac:dyDescent="0.3">
      <c r="A353" s="338" t="s">
        <v>136</v>
      </c>
      <c r="B353" s="11"/>
      <c r="E353" s="3" t="s">
        <v>325</v>
      </c>
      <c r="I353" s="291" t="s">
        <v>273</v>
      </c>
      <c r="N353" s="15"/>
      <c r="O353" s="246">
        <v>0</v>
      </c>
      <c r="P353" s="16">
        <f t="shared" ref="P353:X353" si="229">P354*P$553/10^6</f>
        <v>150.44945105065344</v>
      </c>
      <c r="Q353" s="16">
        <f t="shared" si="229"/>
        <v>150.44945105065344</v>
      </c>
      <c r="R353" s="16">
        <f t="shared" si="229"/>
        <v>150.44945105065344</v>
      </c>
      <c r="S353" s="16">
        <f t="shared" si="229"/>
        <v>148.28801923057682</v>
      </c>
      <c r="T353" s="16">
        <f t="shared" si="229"/>
        <v>148.28801923057682</v>
      </c>
      <c r="U353" s="16">
        <f t="shared" si="229"/>
        <v>148.28801923057682</v>
      </c>
      <c r="V353" s="16">
        <f t="shared" si="229"/>
        <v>144.85042287843368</v>
      </c>
      <c r="W353" s="16">
        <f t="shared" si="229"/>
        <v>144.85042287843368</v>
      </c>
      <c r="X353" s="16">
        <f t="shared" si="229"/>
        <v>144.85042287843368</v>
      </c>
      <c r="Y353" s="246">
        <f>IFERROR(Y349/Y350,)</f>
        <v>144.85042287843368</v>
      </c>
      <c r="Z353" s="246">
        <f>IFERROR(Z349/Z350,)</f>
        <v>144.85042287843368</v>
      </c>
      <c r="AA353" s="16">
        <f>AA354*AA$553/10^6</f>
        <v>140.26159349829533</v>
      </c>
      <c r="AB353" s="16">
        <f>AB354*AB$553/10^6</f>
        <v>139.60354630712169</v>
      </c>
      <c r="AC353" s="16">
        <f>AC354*AC$553/10^6</f>
        <v>140.14727800604581</v>
      </c>
      <c r="AD353" s="16">
        <f>AD354*AD$553/10^6</f>
        <v>142.50377572115855</v>
      </c>
      <c r="AE353" s="23"/>
      <c r="AF353" s="327"/>
      <c r="AG353" s="322">
        <f t="shared" si="202"/>
        <v>0</v>
      </c>
    </row>
    <row r="354" spans="1:33" x14ac:dyDescent="0.3">
      <c r="A354" s="338" t="s">
        <v>136</v>
      </c>
      <c r="B354" s="11"/>
      <c r="F354" s="3" t="s">
        <v>326</v>
      </c>
      <c r="I354" s="291" t="s">
        <v>275</v>
      </c>
      <c r="N354" s="15"/>
      <c r="O354" s="246">
        <v>0</v>
      </c>
      <c r="P354" s="16">
        <f>'Key Assumption'!Q333</f>
        <v>114969.77766365081</v>
      </c>
      <c r="Q354" s="16">
        <f>'Key Assumption'!R333</f>
        <v>114969.77766365081</v>
      </c>
      <c r="R354" s="16">
        <f>'Key Assumption'!S333</f>
        <v>114969.77766365081</v>
      </c>
      <c r="S354" s="16">
        <f>'Key Assumption'!T333</f>
        <v>114969.77766365081</v>
      </c>
      <c r="T354" s="16">
        <f>'Key Assumption'!U333</f>
        <v>114969.77766365081</v>
      </c>
      <c r="U354" s="16">
        <f>'Key Assumption'!V333</f>
        <v>114969.77766365081</v>
      </c>
      <c r="V354" s="16">
        <f>'Key Assumption'!W333</f>
        <v>114969.77766365081</v>
      </c>
      <c r="W354" s="16">
        <f>'Key Assumption'!X333</f>
        <v>114969.77766365081</v>
      </c>
      <c r="X354" s="16">
        <f>'Key Assumption'!Y333</f>
        <v>114969.77766365081</v>
      </c>
      <c r="Y354" s="246">
        <f>IFERROR(SUMPRODUCT(P354:X354,P350:X350)/Y350,)</f>
        <v>114969.77766365081</v>
      </c>
      <c r="Z354" s="246">
        <f>IFERROR((Y354*Y350+O354*O350)/Z350,)</f>
        <v>114969.77766365081</v>
      </c>
      <c r="AA354" s="16">
        <f>'Key Assumption'!AB333</f>
        <v>115517.70177754515</v>
      </c>
      <c r="AB354" s="16">
        <f>'Key Assumption'!AC333</f>
        <v>116162.0455209866</v>
      </c>
      <c r="AC354" s="16">
        <f>'Key Assumption'!AD333</f>
        <v>116857.56525143485</v>
      </c>
      <c r="AD354" s="16">
        <f>'Key Assumption'!AE333</f>
        <v>117577.3727072265</v>
      </c>
      <c r="AE354" s="23"/>
      <c r="AF354" s="327"/>
      <c r="AG354" s="322">
        <f t="shared" si="202"/>
        <v>0</v>
      </c>
    </row>
    <row r="355" spans="1:33" x14ac:dyDescent="0.3">
      <c r="A355" s="338" t="s">
        <v>136</v>
      </c>
      <c r="B355" s="11"/>
      <c r="D355" s="3" t="s">
        <v>147</v>
      </c>
      <c r="N355" s="15"/>
      <c r="O355" s="246">
        <v>317.11510399999997</v>
      </c>
      <c r="P355" s="16">
        <f t="shared" ref="P355:X355" si="230">P356*P359</f>
        <v>145.37000070733299</v>
      </c>
      <c r="Q355" s="16">
        <f t="shared" si="230"/>
        <v>0</v>
      </c>
      <c r="R355" s="16">
        <f t="shared" si="230"/>
        <v>145.37000070733299</v>
      </c>
      <c r="S355" s="16">
        <f t="shared" si="230"/>
        <v>0</v>
      </c>
      <c r="T355" s="16">
        <f t="shared" si="230"/>
        <v>0</v>
      </c>
      <c r="U355" s="16">
        <f t="shared" si="230"/>
        <v>0</v>
      </c>
      <c r="V355" s="16">
        <f t="shared" si="230"/>
        <v>139.96000603023757</v>
      </c>
      <c r="W355" s="16">
        <f t="shared" si="230"/>
        <v>0</v>
      </c>
      <c r="X355" s="16">
        <f t="shared" si="230"/>
        <v>0</v>
      </c>
      <c r="Y355" s="246">
        <f>SUM(P355:X355)</f>
        <v>430.70000744490358</v>
      </c>
      <c r="Z355" s="246">
        <f>Y355+O355</f>
        <v>747.81511144490355</v>
      </c>
      <c r="AA355" s="16">
        <f>AA356*AA359</f>
        <v>699.11468164963992</v>
      </c>
      <c r="AB355" s="16">
        <f>AB356*AB359</f>
        <v>835.17648005844376</v>
      </c>
      <c r="AC355" s="16">
        <f>AC356*AC359</f>
        <v>838.62044645704202</v>
      </c>
      <c r="AD355" s="16">
        <f>AD356*AD359</f>
        <v>852.79432928531742</v>
      </c>
      <c r="AE355" s="23"/>
      <c r="AF355" s="327"/>
      <c r="AG355" s="322">
        <f t="shared" si="202"/>
        <v>0</v>
      </c>
    </row>
    <row r="356" spans="1:33" x14ac:dyDescent="0.3">
      <c r="A356" s="338" t="s">
        <v>136</v>
      </c>
      <c r="B356" s="11"/>
      <c r="E356" s="3" t="s">
        <v>298</v>
      </c>
      <c r="N356" s="15"/>
      <c r="O356" s="246">
        <v>2</v>
      </c>
      <c r="P356" s="16">
        <f>SUMIFS(INDEX(판매수량!$N$2:$V$82,0,MATCH(Revenue_HW!P$47,판매수량!$N$2:$V$2,0)),판매수량!$A$2:$A$82,Revenue_HW!$A356,판매수량!$B$2:$B$82,Revenue_HW!$AG356)</f>
        <v>1</v>
      </c>
      <c r="Q356" s="16">
        <f>SUMIFS(INDEX(판매수량!$N$2:$V$82,0,MATCH(Revenue_HW!Q$47,판매수량!$N$2:$V$2,0)),판매수량!$A$2:$A$82,Revenue_HW!$A356,판매수량!$B$2:$B$82,Revenue_HW!$AG356)</f>
        <v>0</v>
      </c>
      <c r="R356" s="16">
        <f>SUMIFS(INDEX(판매수량!$N$2:$V$82,0,MATCH(Revenue_HW!R$47,판매수량!$N$2:$V$2,0)),판매수량!$A$2:$A$82,Revenue_HW!$A356,판매수량!$B$2:$B$82,Revenue_HW!$AG356)</f>
        <v>1</v>
      </c>
      <c r="S356" s="16">
        <f>SUMIFS(INDEX(판매수량!$N$2:$V$82,0,MATCH(Revenue_HW!S$47,판매수량!$N$2:$V$2,0)),판매수량!$A$2:$A$82,Revenue_HW!$A356,판매수량!$B$2:$B$82,Revenue_HW!$AG356)</f>
        <v>0</v>
      </c>
      <c r="T356" s="16">
        <f>SUMIFS(INDEX(판매수량!$N$2:$V$82,0,MATCH(Revenue_HW!T$47,판매수량!$N$2:$V$2,0)),판매수량!$A$2:$A$82,Revenue_HW!$A356,판매수량!$B$2:$B$82,Revenue_HW!$AG356)</f>
        <v>0</v>
      </c>
      <c r="U356" s="16">
        <f>SUMIFS(INDEX(판매수량!$N$2:$V$82,0,MATCH(Revenue_HW!U$47,판매수량!$N$2:$V$2,0)),판매수량!$A$2:$A$82,Revenue_HW!$A356,판매수량!$B$2:$B$82,Revenue_HW!$AG356)</f>
        <v>0</v>
      </c>
      <c r="V356" s="16">
        <f>SUMIFS(INDEX(판매수량!$N$2:$V$82,0,MATCH(Revenue_HW!V$47,판매수량!$N$2:$V$2,0)),판매수량!$A$2:$A$82,Revenue_HW!$A356,판매수량!$B$2:$B$82,Revenue_HW!$AG356)</f>
        <v>1</v>
      </c>
      <c r="W356" s="16">
        <f>SUMIFS(INDEX(판매수량!$N$2:$V$82,0,MATCH(Revenue_HW!W$47,판매수량!$N$2:$V$2,0)),판매수량!$A$2:$A$82,Revenue_HW!$A356,판매수량!$B$2:$B$82,Revenue_HW!$AG356)</f>
        <v>0</v>
      </c>
      <c r="X356" s="16">
        <f>SUMIFS(INDEX(판매수량!$N$2:$V$82,0,MATCH(Revenue_HW!X$47,판매수량!$N$2:$V$2,0)),판매수량!$A$2:$A$82,Revenue_HW!$A356,판매수량!$B$2:$B$82,Revenue_HW!$AG356)</f>
        <v>0</v>
      </c>
      <c r="Y356" s="246">
        <f>SUM(P356:X356)</f>
        <v>3</v>
      </c>
      <c r="Z356" s="246">
        <f>Y356+O356</f>
        <v>5</v>
      </c>
      <c r="AA356" s="16">
        <f>ROUND(AA357*AA358,)</f>
        <v>5</v>
      </c>
      <c r="AB356" s="16">
        <f>ROUND(AB357*AB358,)</f>
        <v>6</v>
      </c>
      <c r="AC356" s="16">
        <f>ROUND(AC357*AC358,)</f>
        <v>6</v>
      </c>
      <c r="AD356" s="16">
        <f>ROUND(AD357*AD358,)</f>
        <v>6</v>
      </c>
      <c r="AE356" s="23"/>
      <c r="AF356" s="327"/>
      <c r="AG356" s="322" t="str">
        <f t="shared" si="202"/>
        <v>선반</v>
      </c>
    </row>
    <row r="357" spans="1:33" x14ac:dyDescent="0.3">
      <c r="A357" s="338" t="s">
        <v>136</v>
      </c>
      <c r="B357" s="11"/>
      <c r="F357" s="3" t="s">
        <v>321</v>
      </c>
      <c r="N357" s="15"/>
      <c r="O357" s="352"/>
      <c r="P357" s="117"/>
      <c r="Q357" s="117"/>
      <c r="R357" s="117"/>
      <c r="S357" s="117"/>
      <c r="T357" s="117"/>
      <c r="U357" s="117"/>
      <c r="V357" s="117"/>
      <c r="W357" s="117"/>
      <c r="X357" s="117"/>
      <c r="Y357" s="352"/>
      <c r="Z357" s="246">
        <f>'Key Assumption'!AA85</f>
        <v>4</v>
      </c>
      <c r="AA357" s="16">
        <f>'Key Assumption'!AB85</f>
        <v>4</v>
      </c>
      <c r="AB357" s="16">
        <f>'Key Assumption'!AC85</f>
        <v>4</v>
      </c>
      <c r="AC357" s="16">
        <f>'Key Assumption'!AD85</f>
        <v>4</v>
      </c>
      <c r="AD357" s="16">
        <f>'Key Assumption'!AE85</f>
        <v>4</v>
      </c>
      <c r="AE357" s="23"/>
      <c r="AF357" s="327"/>
      <c r="AG357" s="322">
        <f t="shared" si="202"/>
        <v>0</v>
      </c>
    </row>
    <row r="358" spans="1:33" x14ac:dyDescent="0.3">
      <c r="A358" s="338" t="s">
        <v>136</v>
      </c>
      <c r="B358" s="11"/>
      <c r="F358" s="3" t="s">
        <v>322</v>
      </c>
      <c r="N358" s="15"/>
      <c r="O358" s="352"/>
      <c r="P358" s="117"/>
      <c r="Q358" s="117"/>
      <c r="R358" s="117"/>
      <c r="S358" s="117"/>
      <c r="T358" s="117"/>
      <c r="U358" s="117"/>
      <c r="V358" s="117"/>
      <c r="W358" s="117"/>
      <c r="X358" s="117"/>
      <c r="Y358" s="352"/>
      <c r="Z358" s="246">
        <f>IFERROR(Z356/Z357,)</f>
        <v>1.25</v>
      </c>
      <c r="AA358" s="16">
        <f>'Key Assumption'!AB197</f>
        <v>1.3175617956274752</v>
      </c>
      <c r="AB358" s="16">
        <f>'Key Assumption'!AC197</f>
        <v>1.3881515922556398</v>
      </c>
      <c r="AC358" s="16">
        <f>'Key Assumption'!AD197</f>
        <v>1.4632719495750122</v>
      </c>
      <c r="AD358" s="16">
        <f>'Key Assumption'!AE197</f>
        <v>1.5443415280040518</v>
      </c>
      <c r="AE358" s="23"/>
      <c r="AF358" s="327"/>
      <c r="AG358" s="322">
        <f t="shared" si="202"/>
        <v>0</v>
      </c>
    </row>
    <row r="359" spans="1:33" x14ac:dyDescent="0.3">
      <c r="A359" s="338" t="s">
        <v>136</v>
      </c>
      <c r="B359" s="11"/>
      <c r="E359" s="3" t="s">
        <v>306</v>
      </c>
      <c r="I359" s="291" t="s">
        <v>273</v>
      </c>
      <c r="N359" s="15"/>
      <c r="O359" s="246">
        <f>O355/O356</f>
        <v>158.55755199999999</v>
      </c>
      <c r="P359" s="16">
        <f t="shared" ref="P359:X359" si="231">P360*P$553/10^6</f>
        <v>145.37000070733299</v>
      </c>
      <c r="Q359" s="16">
        <f t="shared" si="231"/>
        <v>145.37000070733299</v>
      </c>
      <c r="R359" s="16">
        <f t="shared" si="231"/>
        <v>145.37000070733299</v>
      </c>
      <c r="S359" s="16">
        <f t="shared" si="231"/>
        <v>143.28154280323864</v>
      </c>
      <c r="T359" s="16">
        <f t="shared" si="231"/>
        <v>143.28154280323864</v>
      </c>
      <c r="U359" s="16">
        <f t="shared" si="231"/>
        <v>143.28154280323864</v>
      </c>
      <c r="V359" s="16">
        <f t="shared" si="231"/>
        <v>139.96000603023757</v>
      </c>
      <c r="W359" s="16">
        <f t="shared" si="231"/>
        <v>139.96000603023757</v>
      </c>
      <c r="X359" s="16">
        <f t="shared" si="231"/>
        <v>139.96000603023757</v>
      </c>
      <c r="Y359" s="246">
        <f>IFERROR(Y355/Y356,)</f>
        <v>143.5666691483012</v>
      </c>
      <c r="Z359" s="246">
        <f>IFERROR(Z355/Z356,)</f>
        <v>149.5630222889807</v>
      </c>
      <c r="AA359" s="16">
        <f>AA360*AA$553/10^6</f>
        <v>139.82293632992798</v>
      </c>
      <c r="AB359" s="16">
        <f>AB360*AB$553/10^6</f>
        <v>139.19608000974063</v>
      </c>
      <c r="AC359" s="16">
        <f>AC360*AC$553/10^6</f>
        <v>139.770074409507</v>
      </c>
      <c r="AD359" s="16">
        <f>AD360*AD$553/10^6</f>
        <v>142.13238821421956</v>
      </c>
      <c r="AE359" s="23"/>
      <c r="AF359" s="327"/>
      <c r="AG359" s="322">
        <f t="shared" si="202"/>
        <v>0</v>
      </c>
    </row>
    <row r="360" spans="1:33" x14ac:dyDescent="0.3">
      <c r="A360" s="338" t="s">
        <v>136</v>
      </c>
      <c r="B360" s="11"/>
      <c r="F360" s="3" t="s">
        <v>323</v>
      </c>
      <c r="I360" s="291" t="s">
        <v>275</v>
      </c>
      <c r="N360" s="15"/>
      <c r="O360" s="246">
        <v>119870</v>
      </c>
      <c r="P360" s="16">
        <f>'Key Assumption'!Q334</f>
        <v>111088.18638799709</v>
      </c>
      <c r="Q360" s="16">
        <f>'Key Assumption'!R334</f>
        <v>111088.18638799709</v>
      </c>
      <c r="R360" s="16">
        <f>'Key Assumption'!S334</f>
        <v>111088.18638799709</v>
      </c>
      <c r="S360" s="16">
        <f>'Key Assumption'!T334</f>
        <v>111088.18638799709</v>
      </c>
      <c r="T360" s="16">
        <f>'Key Assumption'!U334</f>
        <v>111088.18638799709</v>
      </c>
      <c r="U360" s="16">
        <f>'Key Assumption'!V334</f>
        <v>111088.18638799709</v>
      </c>
      <c r="V360" s="16">
        <f>'Key Assumption'!W334</f>
        <v>111088.18638799709</v>
      </c>
      <c r="W360" s="16">
        <f>'Key Assumption'!X334</f>
        <v>111088.18638799709</v>
      </c>
      <c r="X360" s="16">
        <f>'Key Assumption'!Y334</f>
        <v>111088.18638799709</v>
      </c>
      <c r="Y360" s="246">
        <f>IFERROR(SUMPRODUCT(P360:X360,P356:X356)/Y356,)</f>
        <v>111088.18638799708</v>
      </c>
      <c r="Z360" s="246">
        <f>IFERROR((Y360*Y356+O360*O356)/Z356,)</f>
        <v>114600.91183279824</v>
      </c>
      <c r="AA360" s="16">
        <f>'Key Assumption'!AB334</f>
        <v>115156.42919611924</v>
      </c>
      <c r="AB360" s="16">
        <f>'Key Assumption'!AC334</f>
        <v>115822.99884318573</v>
      </c>
      <c r="AC360" s="16">
        <f>'Key Assumption'!AD334</f>
        <v>116543.04545110233</v>
      </c>
      <c r="AD360" s="16">
        <f>'Key Assumption'!AE334</f>
        <v>117270.9473714683</v>
      </c>
      <c r="AE360" s="23"/>
      <c r="AF360" s="327"/>
      <c r="AG360" s="322">
        <f t="shared" si="202"/>
        <v>0</v>
      </c>
    </row>
    <row r="361" spans="1:33" x14ac:dyDescent="0.3">
      <c r="A361" s="338" t="s">
        <v>136</v>
      </c>
      <c r="B361" s="160"/>
      <c r="C361" s="23"/>
      <c r="D361" s="3" t="s">
        <v>148</v>
      </c>
      <c r="E361" s="23"/>
      <c r="F361" s="23"/>
      <c r="G361" s="23"/>
      <c r="H361" s="23"/>
      <c r="N361" s="15"/>
      <c r="O361" s="246">
        <v>84.954207999999994</v>
      </c>
      <c r="P361" s="16">
        <f t="shared" ref="P361:X361" si="232">P362*P365</f>
        <v>0</v>
      </c>
      <c r="Q361" s="16">
        <f t="shared" si="232"/>
        <v>102.04028735783265</v>
      </c>
      <c r="R361" s="16">
        <f t="shared" si="232"/>
        <v>102.04028735783265</v>
      </c>
      <c r="S361" s="16">
        <f t="shared" si="232"/>
        <v>100.57432571766205</v>
      </c>
      <c r="T361" s="16">
        <f t="shared" si="232"/>
        <v>0</v>
      </c>
      <c r="U361" s="16">
        <f t="shared" si="232"/>
        <v>100.57432571766205</v>
      </c>
      <c r="V361" s="16">
        <f t="shared" si="232"/>
        <v>0</v>
      </c>
      <c r="W361" s="16">
        <f t="shared" si="232"/>
        <v>0</v>
      </c>
      <c r="X361" s="16">
        <f t="shared" si="232"/>
        <v>0</v>
      </c>
      <c r="Y361" s="246">
        <f>SUM(P361:X361)</f>
        <v>405.22922615098946</v>
      </c>
      <c r="Z361" s="246">
        <f>Y361+O361</f>
        <v>490.18343415098946</v>
      </c>
      <c r="AA361" s="16">
        <f>AA362*AA365</f>
        <v>460.36692054071182</v>
      </c>
      <c r="AB361" s="16">
        <f>AB362*AB365</f>
        <v>550.71360535441067</v>
      </c>
      <c r="AC361" s="16">
        <f>AC362*AC365</f>
        <v>553.66564779704913</v>
      </c>
      <c r="AD361" s="16">
        <f>AD362*AD365</f>
        <v>751.71736711251049</v>
      </c>
      <c r="AE361" s="23"/>
      <c r="AF361" s="327"/>
      <c r="AG361" s="322">
        <f t="shared" si="202"/>
        <v>0</v>
      </c>
    </row>
    <row r="362" spans="1:33" x14ac:dyDescent="0.3">
      <c r="A362" s="338" t="s">
        <v>136</v>
      </c>
      <c r="B362" s="11"/>
      <c r="E362" s="3" t="s">
        <v>298</v>
      </c>
      <c r="N362" s="15"/>
      <c r="O362" s="246">
        <v>1</v>
      </c>
      <c r="P362" s="16">
        <f>SUMIFS(INDEX(판매수량!$N$2:$V$82,0,MATCH(Revenue_HW!P$47,판매수량!$N$2:$V$2,0)),판매수량!$A$2:$A$82,Revenue_HW!$A362,판매수량!$B$2:$B$82,Revenue_HW!$AG362)</f>
        <v>0</v>
      </c>
      <c r="Q362" s="16">
        <f>SUMIFS(INDEX(판매수량!$N$2:$V$82,0,MATCH(Revenue_HW!Q$47,판매수량!$N$2:$V$2,0)),판매수량!$A$2:$A$82,Revenue_HW!$A362,판매수량!$B$2:$B$82,Revenue_HW!$AG362)</f>
        <v>1</v>
      </c>
      <c r="R362" s="16">
        <f>SUMIFS(INDEX(판매수량!$N$2:$V$82,0,MATCH(Revenue_HW!R$47,판매수량!$N$2:$V$2,0)),판매수량!$A$2:$A$82,Revenue_HW!$A362,판매수량!$B$2:$B$82,Revenue_HW!$AG362)</f>
        <v>1</v>
      </c>
      <c r="S362" s="16">
        <f>SUMIFS(INDEX(판매수량!$N$2:$V$82,0,MATCH(Revenue_HW!S$47,판매수량!$N$2:$V$2,0)),판매수량!$A$2:$A$82,Revenue_HW!$A362,판매수량!$B$2:$B$82,Revenue_HW!$AG362)</f>
        <v>1</v>
      </c>
      <c r="T362" s="16">
        <f>SUMIFS(INDEX(판매수량!$N$2:$V$82,0,MATCH(Revenue_HW!T$47,판매수량!$N$2:$V$2,0)),판매수량!$A$2:$A$82,Revenue_HW!$A362,판매수량!$B$2:$B$82,Revenue_HW!$AG362)</f>
        <v>0</v>
      </c>
      <c r="U362" s="16">
        <f>SUMIFS(INDEX(판매수량!$N$2:$V$82,0,MATCH(Revenue_HW!U$47,판매수량!$N$2:$V$2,0)),판매수량!$A$2:$A$82,Revenue_HW!$A362,판매수량!$B$2:$B$82,Revenue_HW!$AG362)</f>
        <v>1</v>
      </c>
      <c r="V362" s="16">
        <f>SUMIFS(INDEX(판매수량!$N$2:$V$82,0,MATCH(Revenue_HW!V$47,판매수량!$N$2:$V$2,0)),판매수량!$A$2:$A$82,Revenue_HW!$A362,판매수량!$B$2:$B$82,Revenue_HW!$AG362)</f>
        <v>0</v>
      </c>
      <c r="W362" s="16">
        <f>SUMIFS(INDEX(판매수량!$N$2:$V$82,0,MATCH(Revenue_HW!W$47,판매수량!$N$2:$V$2,0)),판매수량!$A$2:$A$82,Revenue_HW!$A362,판매수량!$B$2:$B$82,Revenue_HW!$AG362)</f>
        <v>0</v>
      </c>
      <c r="X362" s="16">
        <f>SUMIFS(INDEX(판매수량!$N$2:$V$82,0,MATCH(Revenue_HW!X$47,판매수량!$N$2:$V$2,0)),판매수량!$A$2:$A$82,Revenue_HW!$A362,판매수량!$B$2:$B$82,Revenue_HW!$AG362)</f>
        <v>0</v>
      </c>
      <c r="Y362" s="246">
        <f>SUM(P362:X362)</f>
        <v>4</v>
      </c>
      <c r="Z362" s="246">
        <f>Y362+O362</f>
        <v>5</v>
      </c>
      <c r="AA362" s="16">
        <f>ROUND(AA363*AA364,)</f>
        <v>5</v>
      </c>
      <c r="AB362" s="16">
        <f>ROUND(AB363*AB364,)</f>
        <v>6</v>
      </c>
      <c r="AC362" s="16">
        <f>ROUND(AC363*AC364,)</f>
        <v>6</v>
      </c>
      <c r="AD362" s="16">
        <f>ROUND(AD363*AD364,)</f>
        <v>8</v>
      </c>
      <c r="AE362" s="23"/>
      <c r="AF362" s="327"/>
      <c r="AG362" s="322" t="str">
        <f t="shared" si="202"/>
        <v>VMC</v>
      </c>
    </row>
    <row r="363" spans="1:33" x14ac:dyDescent="0.3">
      <c r="A363" s="338" t="s">
        <v>136</v>
      </c>
      <c r="B363" s="11"/>
      <c r="F363" s="3" t="s">
        <v>321</v>
      </c>
      <c r="N363" s="15"/>
      <c r="O363" s="352"/>
      <c r="P363" s="117"/>
      <c r="Q363" s="117"/>
      <c r="R363" s="117"/>
      <c r="S363" s="117"/>
      <c r="T363" s="117"/>
      <c r="U363" s="117"/>
      <c r="V363" s="117"/>
      <c r="W363" s="117"/>
      <c r="X363" s="117"/>
      <c r="Y363" s="352"/>
      <c r="Z363" s="246">
        <f>'Key Assumption'!AA86</f>
        <v>4</v>
      </c>
      <c r="AA363" s="16">
        <f>'Key Assumption'!AB86</f>
        <v>4</v>
      </c>
      <c r="AB363" s="16">
        <f>'Key Assumption'!AC86</f>
        <v>4</v>
      </c>
      <c r="AC363" s="16">
        <f>'Key Assumption'!AD86</f>
        <v>4</v>
      </c>
      <c r="AD363" s="16">
        <f>'Key Assumption'!AE86</f>
        <v>5</v>
      </c>
      <c r="AE363" s="23"/>
      <c r="AF363" s="327"/>
      <c r="AG363" s="322">
        <f t="shared" si="202"/>
        <v>0</v>
      </c>
    </row>
    <row r="364" spans="1:33" x14ac:dyDescent="0.3">
      <c r="A364" s="338" t="s">
        <v>136</v>
      </c>
      <c r="B364" s="11"/>
      <c r="F364" s="3" t="s">
        <v>322</v>
      </c>
      <c r="N364" s="15"/>
      <c r="O364" s="352"/>
      <c r="P364" s="117"/>
      <c r="Q364" s="117"/>
      <c r="R364" s="117"/>
      <c r="S364" s="117"/>
      <c r="T364" s="117"/>
      <c r="U364" s="117"/>
      <c r="V364" s="117"/>
      <c r="W364" s="117"/>
      <c r="X364" s="117"/>
      <c r="Y364" s="352"/>
      <c r="Z364" s="246">
        <f>IFERROR(Z362/Z363,)</f>
        <v>1.25</v>
      </c>
      <c r="AA364" s="16">
        <f>'Key Assumption'!AB198</f>
        <v>1.3251073305653063</v>
      </c>
      <c r="AB364" s="16">
        <f>'Key Assumption'!AC198</f>
        <v>1.4032789567918269</v>
      </c>
      <c r="AC364" s="16">
        <f>'Key Assumption'!AD198</f>
        <v>1.4868010678508861</v>
      </c>
      <c r="AD364" s="16">
        <f>'Key Assumption'!AE198</f>
        <v>1.5788181765676039</v>
      </c>
      <c r="AE364" s="23"/>
      <c r="AF364" s="327"/>
      <c r="AG364" s="322">
        <f t="shared" si="202"/>
        <v>0</v>
      </c>
    </row>
    <row r="365" spans="1:33" x14ac:dyDescent="0.3">
      <c r="A365" s="338" t="s">
        <v>136</v>
      </c>
      <c r="B365" s="11"/>
      <c r="E365" s="3" t="s">
        <v>306</v>
      </c>
      <c r="I365" s="291" t="s">
        <v>273</v>
      </c>
      <c r="N365" s="15"/>
      <c r="O365" s="246">
        <f>O361/O362</f>
        <v>84.954207999999994</v>
      </c>
      <c r="P365" s="16">
        <f t="shared" ref="P365:X365" si="233">P366*P$553/10^6</f>
        <v>102.04028735783265</v>
      </c>
      <c r="Q365" s="16">
        <f t="shared" si="233"/>
        <v>102.04028735783265</v>
      </c>
      <c r="R365" s="16">
        <f t="shared" si="233"/>
        <v>102.04028735783265</v>
      </c>
      <c r="S365" s="16">
        <f t="shared" si="233"/>
        <v>100.57432571766205</v>
      </c>
      <c r="T365" s="16">
        <f t="shared" si="233"/>
        <v>100.57432571766205</v>
      </c>
      <c r="U365" s="16">
        <f t="shared" si="233"/>
        <v>100.57432571766205</v>
      </c>
      <c r="V365" s="16">
        <f t="shared" si="233"/>
        <v>98.242822896326899</v>
      </c>
      <c r="W365" s="16">
        <f t="shared" si="233"/>
        <v>98.242822896326899</v>
      </c>
      <c r="X365" s="16">
        <f t="shared" si="233"/>
        <v>98.242822896326899</v>
      </c>
      <c r="Y365" s="246">
        <f>IFERROR(Y361/Y362,)</f>
        <v>101.30730653774737</v>
      </c>
      <c r="Z365" s="246">
        <f>IFERROR(Z361/Z362,)</f>
        <v>98.036686830197894</v>
      </c>
      <c r="AA365" s="16">
        <f>AA366*AA$553/10^6</f>
        <v>92.073384108142363</v>
      </c>
      <c r="AB365" s="16">
        <f>AB366*AB$553/10^6</f>
        <v>91.785600892401789</v>
      </c>
      <c r="AC365" s="16">
        <f>AC366*AC$553/10^6</f>
        <v>92.277607966174855</v>
      </c>
      <c r="AD365" s="16">
        <f>AD366*AD$553/10^6</f>
        <v>93.964670889063811</v>
      </c>
      <c r="AE365" s="23"/>
      <c r="AF365" s="327"/>
      <c r="AG365" s="322">
        <f t="shared" si="202"/>
        <v>0</v>
      </c>
    </row>
    <row r="366" spans="1:33" x14ac:dyDescent="0.3">
      <c r="A366" s="338" t="s">
        <v>136</v>
      </c>
      <c r="B366" s="11"/>
      <c r="F366" s="3" t="s">
        <v>323</v>
      </c>
      <c r="I366" s="291" t="s">
        <v>275</v>
      </c>
      <c r="N366" s="15"/>
      <c r="O366" s="246">
        <v>64910</v>
      </c>
      <c r="P366" s="16">
        <f>'Key Assumption'!Q335</f>
        <v>77976.682987798151</v>
      </c>
      <c r="Q366" s="16">
        <f>'Key Assumption'!R335</f>
        <v>77976.682987798151</v>
      </c>
      <c r="R366" s="16">
        <f>'Key Assumption'!S335</f>
        <v>77976.682987798151</v>
      </c>
      <c r="S366" s="16">
        <f>'Key Assumption'!T335</f>
        <v>77976.682987798151</v>
      </c>
      <c r="T366" s="16">
        <f>'Key Assumption'!U335</f>
        <v>77976.682987798151</v>
      </c>
      <c r="U366" s="16">
        <f>'Key Assumption'!V335</f>
        <v>77976.682987798151</v>
      </c>
      <c r="V366" s="16">
        <f>'Key Assumption'!W335</f>
        <v>77976.682987798151</v>
      </c>
      <c r="W366" s="16">
        <f>'Key Assumption'!X335</f>
        <v>77976.682987798151</v>
      </c>
      <c r="X366" s="16">
        <f>'Key Assumption'!Y335</f>
        <v>77976.682987798151</v>
      </c>
      <c r="Y366" s="246">
        <f>IFERROR(SUMPRODUCT(P366:X366,P362:X362)/Y362,)</f>
        <v>77976.682987798151</v>
      </c>
      <c r="Z366" s="246">
        <f>IFERROR((Y366*Y362+O366*O362)/Z362,)</f>
        <v>75363.346390238527</v>
      </c>
      <c r="AA366" s="16">
        <f>'Key Assumption'!AB335</f>
        <v>75830.492594418014</v>
      </c>
      <c r="AB366" s="16">
        <f>'Key Assumption'!AC335</f>
        <v>76373.440582793963</v>
      </c>
      <c r="AC366" s="16">
        <f>'Key Assumption'!AD335</f>
        <v>76942.889990973781</v>
      </c>
      <c r="AD366" s="16">
        <f>'Key Assumption'!AE335</f>
        <v>77528.60634411205</v>
      </c>
      <c r="AE366" s="23"/>
      <c r="AF366" s="327"/>
      <c r="AG366" s="322">
        <f t="shared" si="202"/>
        <v>0</v>
      </c>
    </row>
    <row r="367" spans="1:33" x14ac:dyDescent="0.3">
      <c r="A367" s="338" t="s">
        <v>136</v>
      </c>
      <c r="D367" s="3" t="s">
        <v>149</v>
      </c>
      <c r="N367" s="15"/>
      <c r="O367" s="246">
        <v>526.32413399999996</v>
      </c>
      <c r="P367" s="16">
        <f t="shared" ref="P367:X367" si="234">P368*P371</f>
        <v>0</v>
      </c>
      <c r="Q367" s="16">
        <f t="shared" si="234"/>
        <v>0</v>
      </c>
      <c r="R367" s="16">
        <f t="shared" si="234"/>
        <v>0</v>
      </c>
      <c r="S367" s="16">
        <f t="shared" si="234"/>
        <v>0</v>
      </c>
      <c r="T367" s="16">
        <f t="shared" si="234"/>
        <v>0</v>
      </c>
      <c r="U367" s="16">
        <f t="shared" si="234"/>
        <v>0</v>
      </c>
      <c r="V367" s="16">
        <f t="shared" si="234"/>
        <v>0</v>
      </c>
      <c r="W367" s="16">
        <f t="shared" si="234"/>
        <v>0</v>
      </c>
      <c r="X367" s="16">
        <f t="shared" si="234"/>
        <v>0</v>
      </c>
      <c r="Y367" s="246">
        <f>SUM(P367:X367)</f>
        <v>0</v>
      </c>
      <c r="Z367" s="246">
        <f>Y367+O367</f>
        <v>526.32413399999996</v>
      </c>
      <c r="AA367" s="16">
        <f>AA368*AA371</f>
        <v>480.14315697759707</v>
      </c>
      <c r="AB367" s="16">
        <f>AB368*AB371</f>
        <v>478.40287834278331</v>
      </c>
      <c r="AC367" s="16">
        <f>AC368*AC371</f>
        <v>480.69874524062823</v>
      </c>
      <c r="AD367" s="16">
        <f>AD368*AD371</f>
        <v>489.30020522812907</v>
      </c>
      <c r="AE367" s="23"/>
      <c r="AF367" s="327"/>
      <c r="AG367" s="322">
        <f t="shared" ref="AG367:AG390" si="235">IF($E367="판매수량",$D366,)</f>
        <v>0</v>
      </c>
    </row>
    <row r="368" spans="1:33" x14ac:dyDescent="0.3">
      <c r="A368" s="338" t="s">
        <v>136</v>
      </c>
      <c r="B368" s="11"/>
      <c r="E368" s="3" t="s">
        <v>298</v>
      </c>
      <c r="N368" s="15"/>
      <c r="O368" s="246">
        <v>1</v>
      </c>
      <c r="P368" s="16">
        <f>SUMIFS(INDEX(판매수량!$N$2:$V$82,0,MATCH(Revenue_HW!P$47,판매수량!$N$2:$V$2,0)),판매수량!$A$2:$A$82,Revenue_HW!$A368,판매수량!$B$2:$B$82,Revenue_HW!$AG368)</f>
        <v>0</v>
      </c>
      <c r="Q368" s="16">
        <f>SUMIFS(INDEX(판매수량!$N$2:$V$82,0,MATCH(Revenue_HW!Q$47,판매수량!$N$2:$V$2,0)),판매수량!$A$2:$A$82,Revenue_HW!$A368,판매수량!$B$2:$B$82,Revenue_HW!$AG368)</f>
        <v>0</v>
      </c>
      <c r="R368" s="16">
        <f>SUMIFS(INDEX(판매수량!$N$2:$V$82,0,MATCH(Revenue_HW!R$47,판매수량!$N$2:$V$2,0)),판매수량!$A$2:$A$82,Revenue_HW!$A368,판매수량!$B$2:$B$82,Revenue_HW!$AG368)</f>
        <v>0</v>
      </c>
      <c r="S368" s="16">
        <f>SUMIFS(INDEX(판매수량!$N$2:$V$82,0,MATCH(Revenue_HW!S$47,판매수량!$N$2:$V$2,0)),판매수량!$A$2:$A$82,Revenue_HW!$A368,판매수량!$B$2:$B$82,Revenue_HW!$AG368)</f>
        <v>0</v>
      </c>
      <c r="T368" s="16">
        <f>SUMIFS(INDEX(판매수량!$N$2:$V$82,0,MATCH(Revenue_HW!T$47,판매수량!$N$2:$V$2,0)),판매수량!$A$2:$A$82,Revenue_HW!$A368,판매수량!$B$2:$B$82,Revenue_HW!$AG368)</f>
        <v>0</v>
      </c>
      <c r="U368" s="16">
        <f>SUMIFS(INDEX(판매수량!$N$2:$V$82,0,MATCH(Revenue_HW!U$47,판매수량!$N$2:$V$2,0)),판매수량!$A$2:$A$82,Revenue_HW!$A368,판매수량!$B$2:$B$82,Revenue_HW!$AG368)</f>
        <v>0</v>
      </c>
      <c r="V368" s="16">
        <f>SUMIFS(INDEX(판매수량!$N$2:$V$82,0,MATCH(Revenue_HW!V$47,판매수량!$N$2:$V$2,0)),판매수량!$A$2:$A$82,Revenue_HW!$A368,판매수량!$B$2:$B$82,Revenue_HW!$AG368)</f>
        <v>0</v>
      </c>
      <c r="W368" s="16">
        <f>SUMIFS(INDEX(판매수량!$N$2:$V$82,0,MATCH(Revenue_HW!W$47,판매수량!$N$2:$V$2,0)),판매수량!$A$2:$A$82,Revenue_HW!$A368,판매수량!$B$2:$B$82,Revenue_HW!$AG368)</f>
        <v>0</v>
      </c>
      <c r="X368" s="16">
        <f>SUMIFS(INDEX(판매수량!$N$2:$V$82,0,MATCH(Revenue_HW!X$47,판매수량!$N$2:$V$2,0)),판매수량!$A$2:$A$82,Revenue_HW!$A368,판매수량!$B$2:$B$82,Revenue_HW!$AG368)</f>
        <v>0</v>
      </c>
      <c r="Y368" s="246">
        <f>SUM(P368:X368)</f>
        <v>0</v>
      </c>
      <c r="Z368" s="246">
        <f>Y368+O368</f>
        <v>1</v>
      </c>
      <c r="AA368" s="16">
        <f>ROUND(AA369*AA370,)</f>
        <v>1</v>
      </c>
      <c r="AB368" s="16">
        <f>ROUND(AB369*AB370,)</f>
        <v>1</v>
      </c>
      <c r="AC368" s="16">
        <f>ROUND(AC369*AC370,)</f>
        <v>1</v>
      </c>
      <c r="AD368" s="16">
        <f>ROUND(AD369*AD370,)</f>
        <v>1</v>
      </c>
      <c r="AE368" s="23"/>
      <c r="AF368" s="327"/>
      <c r="AG368" s="322" t="str">
        <f t="shared" si="235"/>
        <v>HMC</v>
      </c>
    </row>
    <row r="369" spans="1:33" x14ac:dyDescent="0.3">
      <c r="A369" s="338" t="s">
        <v>136</v>
      </c>
      <c r="B369" s="11"/>
      <c r="F369" s="3" t="s">
        <v>321</v>
      </c>
      <c r="N369" s="15"/>
      <c r="O369" s="352"/>
      <c r="P369" s="117"/>
      <c r="Q369" s="117"/>
      <c r="R369" s="117"/>
      <c r="S369" s="117"/>
      <c r="T369" s="117"/>
      <c r="U369" s="117"/>
      <c r="V369" s="117"/>
      <c r="W369" s="117"/>
      <c r="X369" s="117"/>
      <c r="Y369" s="352"/>
      <c r="Z369" s="246">
        <f>'Key Assumption'!AA87</f>
        <v>1</v>
      </c>
      <c r="AA369" s="16">
        <f>'Key Assumption'!AB87</f>
        <v>1</v>
      </c>
      <c r="AB369" s="16">
        <f>'Key Assumption'!AC87</f>
        <v>1</v>
      </c>
      <c r="AC369" s="16">
        <f>'Key Assumption'!AD87</f>
        <v>1</v>
      </c>
      <c r="AD369" s="16">
        <f>'Key Assumption'!AE87</f>
        <v>1</v>
      </c>
      <c r="AE369" s="23"/>
      <c r="AF369" s="327"/>
      <c r="AG369" s="322">
        <f t="shared" si="235"/>
        <v>0</v>
      </c>
    </row>
    <row r="370" spans="1:33" x14ac:dyDescent="0.3">
      <c r="A370" s="338" t="s">
        <v>136</v>
      </c>
      <c r="B370" s="11"/>
      <c r="F370" s="3" t="s">
        <v>322</v>
      </c>
      <c r="N370" s="15"/>
      <c r="O370" s="352"/>
      <c r="P370" s="117"/>
      <c r="Q370" s="117"/>
      <c r="R370" s="117"/>
      <c r="S370" s="117"/>
      <c r="T370" s="117"/>
      <c r="U370" s="117"/>
      <c r="V370" s="117"/>
      <c r="W370" s="117"/>
      <c r="X370" s="117"/>
      <c r="Y370" s="352"/>
      <c r="Z370" s="246">
        <f>IFERROR(Z368/Z369,)</f>
        <v>1</v>
      </c>
      <c r="AA370" s="16">
        <f>'Key Assumption'!AB199</f>
        <v>1.0560718787848826</v>
      </c>
      <c r="AB370" s="16">
        <f>'Key Assumption'!AC199</f>
        <v>1.1158019625775515</v>
      </c>
      <c r="AC370" s="16">
        <f>'Key Assumption'!AD199</f>
        <v>1.1797216798081913</v>
      </c>
      <c r="AD370" s="16">
        <f>'Key Assumption'!AE199</f>
        <v>1.2496724917813975</v>
      </c>
      <c r="AE370" s="23"/>
      <c r="AF370" s="327"/>
      <c r="AG370" s="322">
        <f t="shared" si="235"/>
        <v>0</v>
      </c>
    </row>
    <row r="371" spans="1:33" x14ac:dyDescent="0.3">
      <c r="A371" s="338" t="s">
        <v>136</v>
      </c>
      <c r="B371" s="11"/>
      <c r="E371" s="3" t="s">
        <v>306</v>
      </c>
      <c r="I371" s="291" t="s">
        <v>273</v>
      </c>
      <c r="N371" s="15"/>
      <c r="O371" s="246">
        <f>O367/O368</f>
        <v>526.32413399999996</v>
      </c>
      <c r="P371" s="16">
        <f t="shared" ref="P371:X371" si="236">P372*P$553/10^6</f>
        <v>494.35911637970224</v>
      </c>
      <c r="Q371" s="16">
        <f t="shared" si="236"/>
        <v>494.35911637970224</v>
      </c>
      <c r="R371" s="16">
        <f t="shared" si="236"/>
        <v>494.35911637970224</v>
      </c>
      <c r="S371" s="16">
        <f t="shared" si="236"/>
        <v>487.25690685200976</v>
      </c>
      <c r="T371" s="16">
        <f t="shared" si="236"/>
        <v>487.25690685200976</v>
      </c>
      <c r="U371" s="16">
        <f t="shared" si="236"/>
        <v>487.25690685200976</v>
      </c>
      <c r="V371" s="16">
        <f t="shared" si="236"/>
        <v>475.9613714861585</v>
      </c>
      <c r="W371" s="16">
        <f t="shared" si="236"/>
        <v>475.9613714861585</v>
      </c>
      <c r="X371" s="16">
        <f t="shared" si="236"/>
        <v>475.9613714861585</v>
      </c>
      <c r="Y371" s="246">
        <f>IFERROR(Y367/Y368,)</f>
        <v>0</v>
      </c>
      <c r="Z371" s="246">
        <f>IFERROR(Z367/Z368,)</f>
        <v>526.32413399999996</v>
      </c>
      <c r="AA371" s="16">
        <f>AA372*AA$553/10^6</f>
        <v>480.14315697759707</v>
      </c>
      <c r="AB371" s="16">
        <f>AB372*AB$553/10^6</f>
        <v>478.40287834278331</v>
      </c>
      <c r="AC371" s="16">
        <f>AC372*AC$553/10^6</f>
        <v>480.69874524062823</v>
      </c>
      <c r="AD371" s="16">
        <f>AD372*AD$553/10^6</f>
        <v>489.30020522812907</v>
      </c>
      <c r="AE371" s="23"/>
      <c r="AF371" s="327"/>
      <c r="AG371" s="322">
        <f t="shared" si="235"/>
        <v>0</v>
      </c>
    </row>
    <row r="372" spans="1:33" x14ac:dyDescent="0.3">
      <c r="A372" s="338" t="s">
        <v>136</v>
      </c>
      <c r="B372" s="11"/>
      <c r="F372" s="3" t="s">
        <v>323</v>
      </c>
      <c r="I372" s="291" t="s">
        <v>275</v>
      </c>
      <c r="N372" s="15"/>
      <c r="O372" s="246">
        <v>393190</v>
      </c>
      <c r="P372" s="16">
        <f>'Key Assumption'!Q336</f>
        <v>377777.10253683501</v>
      </c>
      <c r="Q372" s="16">
        <f>'Key Assumption'!R336</f>
        <v>377777.10253683501</v>
      </c>
      <c r="R372" s="16">
        <f>'Key Assumption'!S336</f>
        <v>377777.10253683501</v>
      </c>
      <c r="S372" s="16">
        <f>'Key Assumption'!T336</f>
        <v>377777.10253683501</v>
      </c>
      <c r="T372" s="16">
        <f>'Key Assumption'!U336</f>
        <v>377777.10253683501</v>
      </c>
      <c r="U372" s="16">
        <f>'Key Assumption'!V336</f>
        <v>377777.10253683501</v>
      </c>
      <c r="V372" s="16">
        <f>'Key Assumption'!W336</f>
        <v>377777.10253683501</v>
      </c>
      <c r="W372" s="16">
        <f>'Key Assumption'!X336</f>
        <v>377777.10253683501</v>
      </c>
      <c r="X372" s="16">
        <f>'Key Assumption'!Y336</f>
        <v>377777.10253683501</v>
      </c>
      <c r="Y372" s="246">
        <f>IFERROR(SUMPRODUCT(P372:X372,P368:X368)/Y368,)</f>
        <v>0</v>
      </c>
      <c r="Z372" s="246">
        <f>IFERROR((Y372*Y368+O372*O368)/Z368,)</f>
        <v>393190</v>
      </c>
      <c r="AA372" s="16">
        <f>'Key Assumption'!AB336</f>
        <v>395439.92503508239</v>
      </c>
      <c r="AB372" s="16">
        <f>'Key Assumption'!AC336</f>
        <v>398071.95734962833</v>
      </c>
      <c r="AC372" s="16">
        <f>'Key Assumption'!AD336</f>
        <v>400816.09709049301</v>
      </c>
      <c r="AD372" s="16">
        <f>'Key Assumption'!AE336</f>
        <v>403713.04061726824</v>
      </c>
      <c r="AE372" s="23"/>
      <c r="AF372" s="327"/>
      <c r="AG372" s="322">
        <f t="shared" si="235"/>
        <v>0</v>
      </c>
    </row>
    <row r="373" spans="1:33" x14ac:dyDescent="0.3">
      <c r="A373" s="338" t="s">
        <v>136</v>
      </c>
      <c r="B373" s="11"/>
      <c r="D373" s="3" t="s">
        <v>150</v>
      </c>
      <c r="N373" s="15"/>
      <c r="O373" s="246">
        <v>0</v>
      </c>
      <c r="P373" s="16">
        <f t="shared" ref="P373:X373" si="237">P374*P377</f>
        <v>0</v>
      </c>
      <c r="Q373" s="16">
        <f t="shared" si="237"/>
        <v>0</v>
      </c>
      <c r="R373" s="16">
        <f t="shared" si="237"/>
        <v>0</v>
      </c>
      <c r="S373" s="16">
        <f t="shared" si="237"/>
        <v>0</v>
      </c>
      <c r="T373" s="16">
        <f t="shared" si="237"/>
        <v>0</v>
      </c>
      <c r="U373" s="16">
        <f t="shared" si="237"/>
        <v>88.162484734477559</v>
      </c>
      <c r="V373" s="16">
        <f t="shared" si="237"/>
        <v>0</v>
      </c>
      <c r="W373" s="16">
        <f t="shared" si="237"/>
        <v>0</v>
      </c>
      <c r="X373" s="16">
        <f t="shared" si="237"/>
        <v>0</v>
      </c>
      <c r="Y373" s="246">
        <f>SUM(P373:X373)</f>
        <v>88.162484734477559</v>
      </c>
      <c r="Z373" s="246">
        <f>Y373+O373</f>
        <v>88.162484734477559</v>
      </c>
      <c r="AA373" s="119"/>
      <c r="AB373" s="119"/>
      <c r="AC373" s="119"/>
      <c r="AD373" s="119"/>
      <c r="AE373" s="23"/>
      <c r="AF373" s="327"/>
      <c r="AG373" s="322">
        <f t="shared" si="235"/>
        <v>0</v>
      </c>
    </row>
    <row r="374" spans="1:33" x14ac:dyDescent="0.3">
      <c r="A374" s="338" t="s">
        <v>136</v>
      </c>
      <c r="B374" s="11"/>
      <c r="E374" s="3" t="s">
        <v>298</v>
      </c>
      <c r="N374" s="15"/>
      <c r="O374" s="246">
        <v>0</v>
      </c>
      <c r="P374" s="16">
        <f>SUMIFS(INDEX(판매수량!$N$2:$V$82,0,MATCH(Revenue_HW!P$47,판매수량!$N$2:$V$2,0)),판매수량!$A$2:$A$82,Revenue_HW!$A374,판매수량!$B$2:$B$82,Revenue_HW!$AG374)</f>
        <v>0</v>
      </c>
      <c r="Q374" s="16">
        <f>SUMIFS(INDEX(판매수량!$N$2:$V$82,0,MATCH(Revenue_HW!Q$47,판매수량!$N$2:$V$2,0)),판매수량!$A$2:$A$82,Revenue_HW!$A374,판매수량!$B$2:$B$82,Revenue_HW!$AG374)</f>
        <v>0</v>
      </c>
      <c r="R374" s="16">
        <f>SUMIFS(INDEX(판매수량!$N$2:$V$82,0,MATCH(Revenue_HW!R$47,판매수량!$N$2:$V$2,0)),판매수량!$A$2:$A$82,Revenue_HW!$A374,판매수량!$B$2:$B$82,Revenue_HW!$AG374)</f>
        <v>0</v>
      </c>
      <c r="S374" s="16">
        <f>SUMIFS(INDEX(판매수량!$N$2:$V$82,0,MATCH(Revenue_HW!S$47,판매수량!$N$2:$V$2,0)),판매수량!$A$2:$A$82,Revenue_HW!$A374,판매수량!$B$2:$B$82,Revenue_HW!$AG374)</f>
        <v>0</v>
      </c>
      <c r="T374" s="16">
        <f>SUMIFS(INDEX(판매수량!$N$2:$V$82,0,MATCH(Revenue_HW!T$47,판매수량!$N$2:$V$2,0)),판매수량!$A$2:$A$82,Revenue_HW!$A374,판매수량!$B$2:$B$82,Revenue_HW!$AG374)</f>
        <v>0</v>
      </c>
      <c r="U374" s="16">
        <f>SUMIFS(INDEX(판매수량!$N$2:$V$82,0,MATCH(Revenue_HW!U$47,판매수량!$N$2:$V$2,0)),판매수량!$A$2:$A$82,Revenue_HW!$A374,판매수량!$B$2:$B$82,Revenue_HW!$AG374)</f>
        <v>1</v>
      </c>
      <c r="V374" s="16">
        <f>SUMIFS(INDEX(판매수량!$N$2:$V$82,0,MATCH(Revenue_HW!V$47,판매수량!$N$2:$V$2,0)),판매수량!$A$2:$A$82,Revenue_HW!$A374,판매수량!$B$2:$B$82,Revenue_HW!$AG374)</f>
        <v>0</v>
      </c>
      <c r="W374" s="16">
        <f>SUMIFS(INDEX(판매수량!$N$2:$V$82,0,MATCH(Revenue_HW!W$47,판매수량!$N$2:$V$2,0)),판매수량!$A$2:$A$82,Revenue_HW!$A374,판매수량!$B$2:$B$82,Revenue_HW!$AG374)</f>
        <v>0</v>
      </c>
      <c r="X374" s="16">
        <f>SUMIFS(INDEX(판매수량!$N$2:$V$82,0,MATCH(Revenue_HW!X$47,판매수량!$N$2:$V$2,0)),판매수량!$A$2:$A$82,Revenue_HW!$A374,판매수량!$B$2:$B$82,Revenue_HW!$AG374)</f>
        <v>0</v>
      </c>
      <c r="Y374" s="246">
        <f>SUM(P374:X374)</f>
        <v>1</v>
      </c>
      <c r="Z374" s="246">
        <f>Y374+O374</f>
        <v>1</v>
      </c>
      <c r="AA374" s="119"/>
      <c r="AB374" s="119"/>
      <c r="AC374" s="119"/>
      <c r="AD374" s="119"/>
      <c r="AE374" s="23"/>
      <c r="AF374" s="327"/>
      <c r="AG374" s="322" t="str">
        <f t="shared" si="235"/>
        <v>단종</v>
      </c>
    </row>
    <row r="375" spans="1:33" x14ac:dyDescent="0.3">
      <c r="A375" s="338" t="s">
        <v>136</v>
      </c>
      <c r="B375" s="11"/>
      <c r="F375" s="3" t="s">
        <v>321</v>
      </c>
      <c r="N375" s="15"/>
      <c r="O375" s="352"/>
      <c r="P375" s="117"/>
      <c r="Q375" s="117"/>
      <c r="R375" s="117"/>
      <c r="S375" s="117"/>
      <c r="T375" s="117"/>
      <c r="U375" s="117"/>
      <c r="V375" s="117"/>
      <c r="W375" s="117"/>
      <c r="X375" s="117"/>
      <c r="Y375" s="352"/>
      <c r="Z375" s="246">
        <v>1</v>
      </c>
      <c r="AA375" s="119"/>
      <c r="AB375" s="119"/>
      <c r="AC375" s="119"/>
      <c r="AD375" s="119"/>
      <c r="AE375" s="23"/>
      <c r="AF375" s="327"/>
      <c r="AG375" s="322">
        <f t="shared" si="235"/>
        <v>0</v>
      </c>
    </row>
    <row r="376" spans="1:33" x14ac:dyDescent="0.3">
      <c r="A376" s="338" t="s">
        <v>136</v>
      </c>
      <c r="B376" s="11"/>
      <c r="F376" s="3" t="s">
        <v>322</v>
      </c>
      <c r="N376" s="15"/>
      <c r="O376" s="352"/>
      <c r="P376" s="117"/>
      <c r="Q376" s="117"/>
      <c r="R376" s="117"/>
      <c r="S376" s="117"/>
      <c r="T376" s="117"/>
      <c r="U376" s="117"/>
      <c r="V376" s="117"/>
      <c r="W376" s="117"/>
      <c r="X376" s="117"/>
      <c r="Y376" s="352"/>
      <c r="Z376" s="246">
        <f>Z374/Z375</f>
        <v>1</v>
      </c>
      <c r="AA376" s="119"/>
      <c r="AB376" s="119"/>
      <c r="AC376" s="119"/>
      <c r="AD376" s="119"/>
      <c r="AE376" s="23"/>
      <c r="AF376" s="327"/>
      <c r="AG376" s="322">
        <f t="shared" si="235"/>
        <v>0</v>
      </c>
    </row>
    <row r="377" spans="1:33" x14ac:dyDescent="0.3">
      <c r="A377" s="338" t="s">
        <v>136</v>
      </c>
      <c r="B377" s="11"/>
      <c r="E377" s="3" t="s">
        <v>306</v>
      </c>
      <c r="I377" s="291" t="s">
        <v>273</v>
      </c>
      <c r="N377" s="15"/>
      <c r="O377" s="246">
        <v>0</v>
      </c>
      <c r="P377" s="16">
        <f t="shared" ref="P377:X377" si="238">P378*P$553/10^6</f>
        <v>89.447532581436917</v>
      </c>
      <c r="Q377" s="16">
        <f t="shared" si="238"/>
        <v>89.447532581436917</v>
      </c>
      <c r="R377" s="16">
        <f t="shared" si="238"/>
        <v>89.447532581436917</v>
      </c>
      <c r="S377" s="16">
        <f t="shared" si="238"/>
        <v>88.162484734477559</v>
      </c>
      <c r="T377" s="16">
        <f t="shared" si="238"/>
        <v>88.162484734477559</v>
      </c>
      <c r="U377" s="16">
        <f t="shared" si="238"/>
        <v>88.162484734477559</v>
      </c>
      <c r="V377" s="16">
        <f t="shared" si="238"/>
        <v>86.118711828941144</v>
      </c>
      <c r="W377" s="16">
        <f t="shared" si="238"/>
        <v>86.118711828941144</v>
      </c>
      <c r="X377" s="16">
        <f t="shared" si="238"/>
        <v>86.118711828941144</v>
      </c>
      <c r="Y377" s="246">
        <f>IFERROR(Y373/Y374,)</f>
        <v>88.162484734477559</v>
      </c>
      <c r="Z377" s="246">
        <f>IFERROR(Z373/Z374,)</f>
        <v>88.162484734477559</v>
      </c>
      <c r="AA377" s="119"/>
      <c r="AB377" s="119"/>
      <c r="AC377" s="119"/>
      <c r="AD377" s="119"/>
      <c r="AE377" s="23"/>
      <c r="AF377" s="327"/>
      <c r="AG377" s="322">
        <f t="shared" si="235"/>
        <v>0</v>
      </c>
    </row>
    <row r="378" spans="1:33" x14ac:dyDescent="0.3">
      <c r="A378" s="338" t="s">
        <v>136</v>
      </c>
      <c r="B378" s="11"/>
      <c r="F378" s="3" t="s">
        <v>323</v>
      </c>
      <c r="I378" s="291" t="s">
        <v>275</v>
      </c>
      <c r="N378" s="15"/>
      <c r="O378" s="246">
        <v>0</v>
      </c>
      <c r="P378" s="16">
        <f>'Key Assumption'!Q337</f>
        <v>68353.608880816842</v>
      </c>
      <c r="Q378" s="16">
        <f>'Key Assumption'!R337</f>
        <v>68353.608880816842</v>
      </c>
      <c r="R378" s="16">
        <f>'Key Assumption'!S337</f>
        <v>68353.608880816842</v>
      </c>
      <c r="S378" s="16">
        <f>'Key Assumption'!T337</f>
        <v>68353.608880816842</v>
      </c>
      <c r="T378" s="16">
        <f>'Key Assumption'!U337</f>
        <v>68353.608880816842</v>
      </c>
      <c r="U378" s="16">
        <f>'Key Assumption'!V337</f>
        <v>68353.608880816842</v>
      </c>
      <c r="V378" s="16">
        <f>'Key Assumption'!W337</f>
        <v>68353.608880816842</v>
      </c>
      <c r="W378" s="16">
        <f>'Key Assumption'!X337</f>
        <v>68353.608880816842</v>
      </c>
      <c r="X378" s="16">
        <f>'Key Assumption'!Y337</f>
        <v>68353.608880816842</v>
      </c>
      <c r="Y378" s="246">
        <f>IFERROR(SUMPRODUCT(P378:X378,P374:X374)/Y374,)</f>
        <v>68353.608880816842</v>
      </c>
      <c r="Z378" s="246">
        <f>IFERROR((Y378*Y374+O378*O374)/Z374,)</f>
        <v>68353.608880816842</v>
      </c>
      <c r="AA378" s="119"/>
      <c r="AB378" s="119"/>
      <c r="AC378" s="119"/>
      <c r="AD378" s="119"/>
      <c r="AE378" s="23"/>
      <c r="AF378" s="327"/>
      <c r="AG378" s="322">
        <f t="shared" si="235"/>
        <v>0</v>
      </c>
    </row>
    <row r="379" spans="1:33" x14ac:dyDescent="0.3">
      <c r="A379" s="338" t="s">
        <v>136</v>
      </c>
      <c r="B379" s="11"/>
      <c r="D379" s="3" t="s">
        <v>105</v>
      </c>
      <c r="N379" s="15"/>
      <c r="O379" s="246">
        <f>O380+O382+O384+O386+O389+O390</f>
        <v>939.2859259999999</v>
      </c>
      <c r="P379" s="16">
        <f t="shared" ref="P379:X379" si="239">P380+P382+P384+P386+P389+P390</f>
        <v>25.867460437215009</v>
      </c>
      <c r="Q379" s="16">
        <f t="shared" si="239"/>
        <v>18.992951243218542</v>
      </c>
      <c r="R379" s="16">
        <f t="shared" si="239"/>
        <v>44.368111680433572</v>
      </c>
      <c r="S379" s="16">
        <f t="shared" si="239"/>
        <v>19.200637470357353</v>
      </c>
      <c r="T379" s="16">
        <f t="shared" si="239"/>
        <v>-0.52399999999999913</v>
      </c>
      <c r="U379" s="16">
        <f t="shared" si="239"/>
        <v>37.264244577881016</v>
      </c>
      <c r="V379" s="16">
        <f t="shared" si="239"/>
        <v>24.679310918123342</v>
      </c>
      <c r="W379" s="16">
        <f t="shared" si="239"/>
        <v>26.161786596312517</v>
      </c>
      <c r="X379" s="16">
        <f t="shared" si="239"/>
        <v>-2.6539999999999959</v>
      </c>
      <c r="Y379" s="246">
        <f>Y380+Y382+Y384+Y386+Y389+Y390</f>
        <v>193.35650292354137</v>
      </c>
      <c r="Z379" s="246">
        <f>Y379+O379</f>
        <v>1132.6424289235413</v>
      </c>
      <c r="AA379" s="16">
        <f>AA380+AA382+AA384+AA386+AA389+AA390</f>
        <v>370.76987939774097</v>
      </c>
      <c r="AB379" s="16">
        <f>AB380+AB382+AB384+AB386+AB389+AB390</f>
        <v>419.73204447426383</v>
      </c>
      <c r="AC379" s="16">
        <f>AC380+AC382+AC384+AC386+AC389+AC390</f>
        <v>421.34458367834435</v>
      </c>
      <c r="AD379" s="16">
        <f>AD380+AD382+AD384+AD386+AD389+AD390</f>
        <v>469.46442119413808</v>
      </c>
      <c r="AE379" s="23"/>
      <c r="AF379" s="327"/>
      <c r="AG379" s="322">
        <f t="shared" si="235"/>
        <v>0</v>
      </c>
    </row>
    <row r="380" spans="1:33" ht="12.75" thickBot="1" x14ac:dyDescent="0.35">
      <c r="A380" s="338" t="s">
        <v>136</v>
      </c>
      <c r="B380" s="11"/>
      <c r="E380" s="3" t="s">
        <v>307</v>
      </c>
      <c r="N380" s="15"/>
      <c r="O380" s="246">
        <v>66.563067452560432</v>
      </c>
      <c r="P380" s="16">
        <f t="shared" ref="P380:X380" si="240">SUM(P$349,P$355,P$361,P$367,P$373)*P381</f>
        <v>9.3134969719091334</v>
      </c>
      <c r="Q380" s="16">
        <f t="shared" si="240"/>
        <v>6.5374692350261032</v>
      </c>
      <c r="R380" s="16">
        <f t="shared" si="240"/>
        <v>15.850966206935237</v>
      </c>
      <c r="S380" s="16">
        <f t="shared" si="240"/>
        <v>6.4435486927530699</v>
      </c>
      <c r="T380" s="16">
        <f t="shared" si="240"/>
        <v>0</v>
      </c>
      <c r="U380" s="16">
        <f t="shared" si="240"/>
        <v>12.091901383234433</v>
      </c>
      <c r="V380" s="16">
        <f t="shared" si="240"/>
        <v>8.9668919722667884</v>
      </c>
      <c r="W380" s="16">
        <f t="shared" si="240"/>
        <v>9.2802089034453576</v>
      </c>
      <c r="X380" s="16">
        <f t="shared" si="240"/>
        <v>0</v>
      </c>
      <c r="Y380" s="246">
        <f>SUM(P380:X380)</f>
        <v>68.484483365570128</v>
      </c>
      <c r="Z380" s="246">
        <f>Y380+O380</f>
        <v>135.04755081813056</v>
      </c>
      <c r="AA380" s="16">
        <f t="shared" ref="AA380:AD380" si="241">SUM(AA$349,AA$355,AA$361,AA$367,AA$373)*AA381</f>
        <v>114.03292340400502</v>
      </c>
      <c r="AB380" s="16">
        <f t="shared" si="241"/>
        <v>128.3847010227561</v>
      </c>
      <c r="AC380" s="16">
        <f t="shared" si="241"/>
        <v>128.97640358510787</v>
      </c>
      <c r="AD380" s="16">
        <f t="shared" si="241"/>
        <v>143.27522314000132</v>
      </c>
      <c r="AE380" s="23"/>
      <c r="AF380" s="327"/>
      <c r="AG380" s="322">
        <f t="shared" si="235"/>
        <v>0</v>
      </c>
    </row>
    <row r="381" spans="1:33" ht="12.75" thickBot="1" x14ac:dyDescent="0.35">
      <c r="A381" s="338" t="s">
        <v>136</v>
      </c>
      <c r="B381" s="11"/>
      <c r="F381" s="3" t="s">
        <v>317</v>
      </c>
      <c r="I381" s="339">
        <v>6.4067530622494706E-2</v>
      </c>
      <c r="J381" s="349">
        <f>I381</f>
        <v>6.4067530622494706E-2</v>
      </c>
      <c r="N381" s="15"/>
      <c r="O381" s="350">
        <f>O380/SUM(O$349,O$355,O$361,O$367,O$373)</f>
        <v>7.1697045836922504E-2</v>
      </c>
      <c r="P381" s="17">
        <f t="shared" ref="P381:X381" si="242">$I381</f>
        <v>6.4067530622494706E-2</v>
      </c>
      <c r="Q381" s="17">
        <f t="shared" si="242"/>
        <v>6.4067530622494706E-2</v>
      </c>
      <c r="R381" s="17">
        <f t="shared" si="242"/>
        <v>6.4067530622494706E-2</v>
      </c>
      <c r="S381" s="17">
        <f t="shared" si="242"/>
        <v>6.4067530622494706E-2</v>
      </c>
      <c r="T381" s="17">
        <f t="shared" si="242"/>
        <v>6.4067530622494706E-2</v>
      </c>
      <c r="U381" s="17">
        <f t="shared" si="242"/>
        <v>6.4067530622494706E-2</v>
      </c>
      <c r="V381" s="17">
        <f t="shared" si="242"/>
        <v>6.4067530622494706E-2</v>
      </c>
      <c r="W381" s="17">
        <f t="shared" si="242"/>
        <v>6.4067530622494706E-2</v>
      </c>
      <c r="X381" s="17">
        <f t="shared" si="242"/>
        <v>6.4067530622494706E-2</v>
      </c>
      <c r="Y381" s="350">
        <f>Y380/SUM(Y$349,Y$355,Y$361,Y$367,Y$373)</f>
        <v>6.4067530622494706E-2</v>
      </c>
      <c r="Z381" s="350">
        <f>Z380/SUM(Z$349,Z$355,Z$361,Z$367,Z$373)</f>
        <v>6.7613851013816881E-2</v>
      </c>
      <c r="AA381" s="17">
        <f>$J381</f>
        <v>6.4067530622494706E-2</v>
      </c>
      <c r="AB381" s="17">
        <f>$J381</f>
        <v>6.4067530622494706E-2</v>
      </c>
      <c r="AC381" s="17">
        <f>$J381</f>
        <v>6.4067530622494706E-2</v>
      </c>
      <c r="AD381" s="17">
        <f>$J381</f>
        <v>6.4067530622494706E-2</v>
      </c>
      <c r="AE381" s="23"/>
      <c r="AF381" s="327"/>
      <c r="AG381" s="322">
        <f t="shared" si="235"/>
        <v>0</v>
      </c>
    </row>
    <row r="382" spans="1:33" ht="12.75" thickBot="1" x14ac:dyDescent="0.35">
      <c r="A382" s="338" t="s">
        <v>136</v>
      </c>
      <c r="B382" s="11"/>
      <c r="E382" s="3" t="s">
        <v>309</v>
      </c>
      <c r="I382" s="341"/>
      <c r="J382" s="341"/>
      <c r="N382" s="15"/>
      <c r="O382" s="246">
        <v>767.35385199999996</v>
      </c>
      <c r="P382" s="16">
        <f t="shared" ref="P382:X382" si="243">SUM(P$349,P$355,P$361,P$367,P$373)*P383</f>
        <v>0</v>
      </c>
      <c r="Q382" s="16">
        <f t="shared" si="243"/>
        <v>0</v>
      </c>
      <c r="R382" s="16">
        <f t="shared" si="243"/>
        <v>0</v>
      </c>
      <c r="S382" s="16">
        <f t="shared" si="243"/>
        <v>0</v>
      </c>
      <c r="T382" s="16">
        <f t="shared" si="243"/>
        <v>0</v>
      </c>
      <c r="U382" s="16">
        <f t="shared" si="243"/>
        <v>0</v>
      </c>
      <c r="V382" s="16">
        <f t="shared" si="243"/>
        <v>0</v>
      </c>
      <c r="W382" s="16">
        <f t="shared" si="243"/>
        <v>0</v>
      </c>
      <c r="X382" s="16">
        <f t="shared" si="243"/>
        <v>0</v>
      </c>
      <c r="Y382" s="246">
        <f>SUM(P382:X382)</f>
        <v>0</v>
      </c>
      <c r="Z382" s="246">
        <f>Y382+O382</f>
        <v>767.35385199999996</v>
      </c>
      <c r="AA382" s="16">
        <f t="shared" ref="AA382:AD382" si="244">SUM(AA$349,AA$355,AA$361,AA$367,AA$373)*AA383</f>
        <v>0</v>
      </c>
      <c r="AB382" s="16">
        <f t="shared" si="244"/>
        <v>0</v>
      </c>
      <c r="AC382" s="16">
        <f t="shared" si="244"/>
        <v>0</v>
      </c>
      <c r="AD382" s="16">
        <f t="shared" si="244"/>
        <v>0</v>
      </c>
      <c r="AE382" s="23"/>
      <c r="AF382" s="327"/>
      <c r="AG382" s="322">
        <f t="shared" si="235"/>
        <v>0</v>
      </c>
    </row>
    <row r="383" spans="1:33" ht="12.75" thickBot="1" x14ac:dyDescent="0.35">
      <c r="A383" s="338" t="s">
        <v>136</v>
      </c>
      <c r="B383" s="11"/>
      <c r="F383" s="3" t="s">
        <v>317</v>
      </c>
      <c r="I383" s="339">
        <v>0</v>
      </c>
      <c r="J383" s="349">
        <f>I383</f>
        <v>0</v>
      </c>
      <c r="N383" s="15"/>
      <c r="O383" s="350">
        <f>O382/SUM(O$349,O$355,O$361,O$367,O$373)</f>
        <v>0.82653949713470942</v>
      </c>
      <c r="P383" s="17">
        <f t="shared" ref="P383:X383" si="245">$I383</f>
        <v>0</v>
      </c>
      <c r="Q383" s="17">
        <f t="shared" si="245"/>
        <v>0</v>
      </c>
      <c r="R383" s="17">
        <f t="shared" si="245"/>
        <v>0</v>
      </c>
      <c r="S383" s="17">
        <f t="shared" si="245"/>
        <v>0</v>
      </c>
      <c r="T383" s="17">
        <f t="shared" si="245"/>
        <v>0</v>
      </c>
      <c r="U383" s="17">
        <f t="shared" si="245"/>
        <v>0</v>
      </c>
      <c r="V383" s="17">
        <f t="shared" si="245"/>
        <v>0</v>
      </c>
      <c r="W383" s="17">
        <f t="shared" si="245"/>
        <v>0</v>
      </c>
      <c r="X383" s="17">
        <f t="shared" si="245"/>
        <v>0</v>
      </c>
      <c r="Y383" s="350">
        <f>Y382/SUM(Y$349,Y$355,Y$361,Y$367,Y$373)</f>
        <v>0</v>
      </c>
      <c r="Z383" s="350">
        <f>Z382/SUM(Z$349,Z$355,Z$361,Z$367,Z$373)</f>
        <v>0.38418874470280978</v>
      </c>
      <c r="AA383" s="17">
        <f>$J383</f>
        <v>0</v>
      </c>
      <c r="AB383" s="17">
        <f>$J383</f>
        <v>0</v>
      </c>
      <c r="AC383" s="17">
        <f>$J383</f>
        <v>0</v>
      </c>
      <c r="AD383" s="17">
        <f>$J383</f>
        <v>0</v>
      </c>
      <c r="AE383" s="23"/>
      <c r="AF383" s="327"/>
      <c r="AG383" s="322">
        <f t="shared" si="235"/>
        <v>0</v>
      </c>
    </row>
    <row r="384" spans="1:33" ht="12.75" thickBot="1" x14ac:dyDescent="0.35">
      <c r="A384" s="338" t="s">
        <v>136</v>
      </c>
      <c r="B384" s="11"/>
      <c r="E384" s="3" t="s">
        <v>310</v>
      </c>
      <c r="I384" s="341"/>
      <c r="J384" s="341"/>
      <c r="N384" s="15"/>
      <c r="O384" s="246">
        <v>93.613119269492955</v>
      </c>
      <c r="P384" s="16">
        <f t="shared" ref="P384:X384" si="246">SUM(P$349,P$355,P$361,P$367,P$373)*P385</f>
        <v>18.042141645819232</v>
      </c>
      <c r="Q384" s="16">
        <f t="shared" si="246"/>
        <v>12.664410188705778</v>
      </c>
      <c r="R384" s="16">
        <f t="shared" si="246"/>
        <v>30.706551834525008</v>
      </c>
      <c r="S384" s="16">
        <f t="shared" si="246"/>
        <v>12.482466958117616</v>
      </c>
      <c r="T384" s="16">
        <f t="shared" si="246"/>
        <v>0</v>
      </c>
      <c r="U384" s="16">
        <f t="shared" si="246"/>
        <v>23.424477205673334</v>
      </c>
      <c r="V384" s="16">
        <f t="shared" si="246"/>
        <v>17.370697126369901</v>
      </c>
      <c r="W384" s="16">
        <f t="shared" si="246"/>
        <v>17.977655873380517</v>
      </c>
      <c r="X384" s="16">
        <f t="shared" si="246"/>
        <v>0</v>
      </c>
      <c r="Y384" s="246">
        <f>SUM(P384:X384)</f>
        <v>132.6684008325914</v>
      </c>
      <c r="Z384" s="246">
        <f>Y384+O384</f>
        <v>226.28152010208436</v>
      </c>
      <c r="AA384" s="16">
        <f t="shared" ref="AA384:AD384" si="247">SUM(AA$349,AA$355,AA$361,AA$367,AA$373)*AA385</f>
        <v>220.90501157055471</v>
      </c>
      <c r="AB384" s="16">
        <f t="shared" si="247"/>
        <v>248.70732958792203</v>
      </c>
      <c r="AC384" s="16">
        <f t="shared" si="247"/>
        <v>249.85357803513193</v>
      </c>
      <c r="AD384" s="16">
        <f t="shared" si="247"/>
        <v>277.55330549040536</v>
      </c>
      <c r="AE384" s="23"/>
      <c r="AF384" s="327"/>
      <c r="AG384" s="322">
        <f t="shared" si="235"/>
        <v>0</v>
      </c>
    </row>
    <row r="385" spans="1:33" ht="12.75" thickBot="1" x14ac:dyDescent="0.35">
      <c r="A385" s="338" t="s">
        <v>136</v>
      </c>
      <c r="B385" s="11"/>
      <c r="F385" s="3" t="s">
        <v>317</v>
      </c>
      <c r="I385" s="339">
        <v>0.12411186323196544</v>
      </c>
      <c r="J385" s="349">
        <f>I385</f>
        <v>0.12411186323196544</v>
      </c>
      <c r="N385" s="15"/>
      <c r="O385" s="350">
        <f>O384/SUM(O$349,O$355,O$361,O$367,O$373)</f>
        <v>0.10083345554928978</v>
      </c>
      <c r="P385" s="17">
        <f t="shared" ref="P385:X385" si="248">$I385</f>
        <v>0.12411186323196544</v>
      </c>
      <c r="Q385" s="17">
        <f t="shared" si="248"/>
        <v>0.12411186323196544</v>
      </c>
      <c r="R385" s="17">
        <f t="shared" si="248"/>
        <v>0.12411186323196544</v>
      </c>
      <c r="S385" s="17">
        <f t="shared" si="248"/>
        <v>0.12411186323196544</v>
      </c>
      <c r="T385" s="17">
        <f t="shared" si="248"/>
        <v>0.12411186323196544</v>
      </c>
      <c r="U385" s="17">
        <f t="shared" si="248"/>
        <v>0.12411186323196544</v>
      </c>
      <c r="V385" s="17">
        <f t="shared" si="248"/>
        <v>0.12411186323196544</v>
      </c>
      <c r="W385" s="17">
        <f t="shared" si="248"/>
        <v>0.12411186323196544</v>
      </c>
      <c r="X385" s="17">
        <f t="shared" si="248"/>
        <v>0.12411186323196544</v>
      </c>
      <c r="Y385" s="350">
        <f>Y384/SUM(Y$349,Y$355,Y$361,Y$367,Y$373)</f>
        <v>0.12411186323196544</v>
      </c>
      <c r="Z385" s="350">
        <f>Z384/SUM(Z$349,Z$355,Z$361,Z$367,Z$373)</f>
        <v>0.11329168796231365</v>
      </c>
      <c r="AA385" s="17">
        <f>$J385</f>
        <v>0.12411186323196544</v>
      </c>
      <c r="AB385" s="17">
        <f>$J385</f>
        <v>0.12411186323196544</v>
      </c>
      <c r="AC385" s="17">
        <f>$J385</f>
        <v>0.12411186323196544</v>
      </c>
      <c r="AD385" s="17">
        <f>$J385</f>
        <v>0.12411186323196544</v>
      </c>
      <c r="AE385" s="23"/>
      <c r="AF385" s="327"/>
      <c r="AG385" s="322">
        <f t="shared" si="235"/>
        <v>0</v>
      </c>
    </row>
    <row r="386" spans="1:33" x14ac:dyDescent="0.3">
      <c r="A386" s="338" t="s">
        <v>136</v>
      </c>
      <c r="B386" s="11"/>
      <c r="E386" s="3" t="s">
        <v>311</v>
      </c>
      <c r="I386" s="341"/>
      <c r="N386" s="15"/>
      <c r="O386" s="246">
        <v>11.755887277946607</v>
      </c>
      <c r="P386" s="16">
        <f t="shared" ref="P386:X386" si="249">P387*P388</f>
        <v>2.9389718194866519</v>
      </c>
      <c r="Q386" s="16">
        <f t="shared" si="249"/>
        <v>2.9389718194866519</v>
      </c>
      <c r="R386" s="16">
        <f t="shared" si="249"/>
        <v>5.8779436389733037</v>
      </c>
      <c r="S386" s="16">
        <f t="shared" si="249"/>
        <v>2.9389718194866519</v>
      </c>
      <c r="T386" s="16">
        <f t="shared" si="249"/>
        <v>0</v>
      </c>
      <c r="U386" s="16">
        <f t="shared" si="249"/>
        <v>5.8779436389733037</v>
      </c>
      <c r="V386" s="16">
        <f t="shared" si="249"/>
        <v>2.9389718194866519</v>
      </c>
      <c r="W386" s="16">
        <f t="shared" si="249"/>
        <v>2.9389718194866519</v>
      </c>
      <c r="X386" s="16">
        <f t="shared" si="249"/>
        <v>0</v>
      </c>
      <c r="Y386" s="246">
        <f>SUM(P386:X386)</f>
        <v>26.450746375379868</v>
      </c>
      <c r="Z386" s="246">
        <f>Y386+O386</f>
        <v>38.206633653326477</v>
      </c>
      <c r="AA386" s="16">
        <f>AA387*AA388</f>
        <v>35.831944423181262</v>
      </c>
      <c r="AB386" s="16">
        <f>AB387*AB388</f>
        <v>42.6400138635857</v>
      </c>
      <c r="AC386" s="16">
        <f>AC387*AC388</f>
        <v>42.514602058104565</v>
      </c>
      <c r="AD386" s="16">
        <f>AD387*AD388</f>
        <v>48.635892563731367</v>
      </c>
      <c r="AE386" s="23"/>
      <c r="AF386" s="327"/>
      <c r="AG386" s="322">
        <f t="shared" si="235"/>
        <v>0</v>
      </c>
    </row>
    <row r="387" spans="1:33" ht="12.75" thickBot="1" x14ac:dyDescent="0.35">
      <c r="A387" s="338" t="s">
        <v>136</v>
      </c>
      <c r="B387" s="11"/>
      <c r="F387" s="3" t="s">
        <v>318</v>
      </c>
      <c r="I387" s="341"/>
      <c r="N387" s="15"/>
      <c r="O387" s="246">
        <f>SUM(O350,O356,O362,O368,O374)</f>
        <v>4</v>
      </c>
      <c r="P387" s="16">
        <f t="shared" ref="P387:X387" si="250">SUM(P350,P356,P362,P368,P374)</f>
        <v>1</v>
      </c>
      <c r="Q387" s="16">
        <f t="shared" si="250"/>
        <v>1</v>
      </c>
      <c r="R387" s="16">
        <f t="shared" si="250"/>
        <v>2</v>
      </c>
      <c r="S387" s="16">
        <f t="shared" si="250"/>
        <v>1</v>
      </c>
      <c r="T387" s="16">
        <f t="shared" si="250"/>
        <v>0</v>
      </c>
      <c r="U387" s="16">
        <f t="shared" si="250"/>
        <v>2</v>
      </c>
      <c r="V387" s="16">
        <f t="shared" si="250"/>
        <v>1</v>
      </c>
      <c r="W387" s="16">
        <f t="shared" si="250"/>
        <v>1</v>
      </c>
      <c r="X387" s="16">
        <f t="shared" si="250"/>
        <v>0</v>
      </c>
      <c r="Y387" s="246">
        <f>SUM(P387:X387)</f>
        <v>9</v>
      </c>
      <c r="Z387" s="246">
        <f>SUM(O387:X387)</f>
        <v>13</v>
      </c>
      <c r="AA387" s="16">
        <f>SUM(AA350,AA356,AA362,AA368,AA374)</f>
        <v>12</v>
      </c>
      <c r="AB387" s="16">
        <f>SUM(AB350,AB356,AB362,AB368,AB374)</f>
        <v>14</v>
      </c>
      <c r="AC387" s="16">
        <f>SUM(AC350,AC356,AC362,AC368,AC374)</f>
        <v>14</v>
      </c>
      <c r="AD387" s="16">
        <f>SUM(AD350,AD356,AD362,AD368,AD374)</f>
        <v>16</v>
      </c>
      <c r="AE387" s="23"/>
      <c r="AF387" s="327"/>
      <c r="AG387" s="322">
        <f t="shared" si="235"/>
        <v>0</v>
      </c>
    </row>
    <row r="388" spans="1:33" ht="12.75" thickBot="1" x14ac:dyDescent="0.35">
      <c r="A388" s="338" t="s">
        <v>136</v>
      </c>
      <c r="B388" s="11"/>
      <c r="F388" s="3" t="s">
        <v>319</v>
      </c>
      <c r="I388" s="353">
        <v>0.25746363636363639</v>
      </c>
      <c r="J388" s="354">
        <f>O388</f>
        <v>2.9389718194866519</v>
      </c>
      <c r="N388" s="15"/>
      <c r="O388" s="250">
        <f>O386/O387</f>
        <v>2.9389718194866519</v>
      </c>
      <c r="P388" s="247">
        <f>$J388</f>
        <v>2.9389718194866519</v>
      </c>
      <c r="Q388" s="247">
        <f t="shared" ref="Q388:X388" si="251">$J388</f>
        <v>2.9389718194866519</v>
      </c>
      <c r="R388" s="247">
        <f t="shared" si="251"/>
        <v>2.9389718194866519</v>
      </c>
      <c r="S388" s="247">
        <f t="shared" si="251"/>
        <v>2.9389718194866519</v>
      </c>
      <c r="T388" s="247">
        <f t="shared" si="251"/>
        <v>2.9389718194866519</v>
      </c>
      <c r="U388" s="247">
        <f t="shared" si="251"/>
        <v>2.9389718194866519</v>
      </c>
      <c r="V388" s="247">
        <f t="shared" si="251"/>
        <v>2.9389718194866519</v>
      </c>
      <c r="W388" s="247">
        <f t="shared" si="251"/>
        <v>2.9389718194866519</v>
      </c>
      <c r="X388" s="247">
        <f t="shared" si="251"/>
        <v>2.9389718194866519</v>
      </c>
      <c r="Y388" s="250">
        <f>Y386/Y387</f>
        <v>2.9389718194866519</v>
      </c>
      <c r="Z388" s="250">
        <f>Z386/Z387</f>
        <v>2.9389718194866523</v>
      </c>
      <c r="AA388" s="355">
        <f>$J388*(1+'Key Assumption'!AB$13)</f>
        <v>2.9859953685984384</v>
      </c>
      <c r="AB388" s="355">
        <f>$AA388*(1+'Key Assumption'!AC$13)</f>
        <v>3.0457152759704074</v>
      </c>
      <c r="AC388" s="355">
        <f>$AA388*(1+'Key Assumption'!AD$13)</f>
        <v>3.0367572898646116</v>
      </c>
      <c r="AD388" s="355">
        <f>$AA388*(1+'Key Assumption'!AE$13)</f>
        <v>3.0397432852332105</v>
      </c>
      <c r="AE388" s="23"/>
      <c r="AF388" s="327"/>
      <c r="AG388" s="322">
        <f t="shared" si="235"/>
        <v>0</v>
      </c>
    </row>
    <row r="389" spans="1:33" x14ac:dyDescent="0.3">
      <c r="A389" s="338" t="s">
        <v>136</v>
      </c>
      <c r="B389" s="11"/>
      <c r="E389" s="3" t="s">
        <v>314</v>
      </c>
      <c r="I389" s="3"/>
      <c r="N389" s="15"/>
      <c r="O389" s="246">
        <v>0</v>
      </c>
      <c r="P389" s="16">
        <v>-4.4271500000000117</v>
      </c>
      <c r="Q389" s="16">
        <v>-3.1478999999999928</v>
      </c>
      <c r="R389" s="16">
        <v>-8.0673499999999763</v>
      </c>
      <c r="S389" s="16">
        <v>-2.6643499999999842</v>
      </c>
      <c r="T389" s="16">
        <v>-0.52399999999999913</v>
      </c>
      <c r="U389" s="16">
        <v>-4.1300776500000609</v>
      </c>
      <c r="V389" s="16">
        <v>-4.5972500000000025</v>
      </c>
      <c r="W389" s="16">
        <v>-4.0350500000000125</v>
      </c>
      <c r="X389" s="16">
        <v>-2.6539999999999959</v>
      </c>
      <c r="Y389" s="246">
        <f>SUM(P389:X389)</f>
        <v>-34.247127650000039</v>
      </c>
      <c r="Z389" s="246">
        <f t="shared" ref="Z389:Z390" si="252">Y389+O389</f>
        <v>-34.247127650000039</v>
      </c>
      <c r="AA389" s="119"/>
      <c r="AB389" s="119"/>
      <c r="AC389" s="119"/>
      <c r="AD389" s="119"/>
      <c r="AE389" s="23"/>
      <c r="AF389" s="327"/>
      <c r="AG389" s="322">
        <f t="shared" si="235"/>
        <v>0</v>
      </c>
    </row>
    <row r="390" spans="1:33" x14ac:dyDescent="0.3">
      <c r="A390" s="338" t="s">
        <v>136</v>
      </c>
      <c r="B390" s="92"/>
      <c r="C390" s="92"/>
      <c r="D390" s="92"/>
      <c r="E390" s="92" t="s">
        <v>136</v>
      </c>
      <c r="F390" s="92"/>
      <c r="G390" s="92"/>
      <c r="H390" s="92"/>
      <c r="I390" s="295"/>
      <c r="J390" s="92"/>
      <c r="K390" s="92"/>
      <c r="L390" s="92"/>
      <c r="M390" s="92"/>
      <c r="N390" s="131"/>
      <c r="O390" s="330">
        <v>0</v>
      </c>
      <c r="P390" s="130">
        <v>0</v>
      </c>
      <c r="Q390" s="130">
        <v>0</v>
      </c>
      <c r="R390" s="130">
        <v>0</v>
      </c>
      <c r="S390" s="130">
        <v>0</v>
      </c>
      <c r="T390" s="130">
        <v>0</v>
      </c>
      <c r="U390" s="130">
        <v>0</v>
      </c>
      <c r="V390" s="130">
        <v>0</v>
      </c>
      <c r="W390" s="130">
        <v>0</v>
      </c>
      <c r="X390" s="130">
        <v>0</v>
      </c>
      <c r="Y390" s="330">
        <f>SUM(P390:X390)</f>
        <v>0</v>
      </c>
      <c r="Z390" s="330">
        <f t="shared" si="252"/>
        <v>0</v>
      </c>
      <c r="AA390" s="314"/>
      <c r="AB390" s="281"/>
      <c r="AC390" s="281"/>
      <c r="AD390" s="281"/>
      <c r="AE390" s="23"/>
      <c r="AF390" s="327"/>
      <c r="AG390" s="322">
        <f t="shared" si="235"/>
        <v>0</v>
      </c>
    </row>
    <row r="391" spans="1:33" x14ac:dyDescent="0.3">
      <c r="AE391" s="23"/>
      <c r="AF391" s="327"/>
    </row>
    <row r="392" spans="1:33" x14ac:dyDescent="0.3">
      <c r="A392" s="4"/>
      <c r="B392" s="5" t="s">
        <v>327</v>
      </c>
      <c r="C392" s="4"/>
      <c r="D392" s="4"/>
      <c r="E392" s="4"/>
      <c r="F392" s="4"/>
      <c r="G392" s="4"/>
      <c r="H392" s="4"/>
      <c r="I392" s="4"/>
      <c r="J392" s="4"/>
      <c r="K392" s="4"/>
      <c r="L392" s="4"/>
      <c r="M392" s="4"/>
      <c r="N392" s="4"/>
      <c r="O392" s="356"/>
      <c r="P392" s="356"/>
      <c r="Q392" s="4"/>
      <c r="R392" s="4"/>
      <c r="S392" s="4"/>
      <c r="T392" s="4"/>
      <c r="U392" s="4"/>
      <c r="V392" s="4"/>
      <c r="W392" s="4"/>
      <c r="X392" s="4"/>
      <c r="Y392" s="4"/>
      <c r="Z392" s="4"/>
      <c r="AA392" s="4"/>
      <c r="AB392" s="4"/>
      <c r="AC392" s="4"/>
      <c r="AD392" s="4"/>
      <c r="AE392" s="23"/>
    </row>
    <row r="393" spans="1:33" x14ac:dyDescent="0.3">
      <c r="O393" s="121"/>
      <c r="AA393" s="17"/>
      <c r="AB393" s="17"/>
      <c r="AC393" s="17"/>
      <c r="AD393" s="17"/>
      <c r="AE393" s="23"/>
    </row>
    <row r="394" spans="1:33" x14ac:dyDescent="0.3">
      <c r="B394" s="8"/>
      <c r="C394" s="8"/>
      <c r="D394" s="8"/>
      <c r="E394" s="8"/>
      <c r="F394" s="8"/>
      <c r="G394" s="8"/>
      <c r="H394" s="8"/>
      <c r="I394" s="325"/>
      <c r="J394" s="8"/>
      <c r="K394" s="8"/>
      <c r="L394" s="9" t="s">
        <v>182</v>
      </c>
      <c r="M394" s="9" t="s">
        <v>183</v>
      </c>
      <c r="N394" s="10" t="s">
        <v>184</v>
      </c>
      <c r="O394" s="244" t="s">
        <v>293</v>
      </c>
      <c r="P394" s="9" t="s">
        <v>215</v>
      </c>
      <c r="Q394" s="9" t="s">
        <v>216</v>
      </c>
      <c r="R394" s="9" t="s">
        <v>217</v>
      </c>
      <c r="S394" s="9" t="s">
        <v>218</v>
      </c>
      <c r="T394" s="9" t="s">
        <v>219</v>
      </c>
      <c r="U394" s="9" t="s">
        <v>220</v>
      </c>
      <c r="V394" s="9" t="s">
        <v>221</v>
      </c>
      <c r="W394" s="9" t="s">
        <v>222</v>
      </c>
      <c r="X394" s="9" t="s">
        <v>223</v>
      </c>
      <c r="Y394" s="233" t="s">
        <v>294</v>
      </c>
      <c r="Z394" s="357" t="s">
        <v>197</v>
      </c>
      <c r="AA394" s="9" t="s">
        <v>198</v>
      </c>
      <c r="AB394" s="9" t="s">
        <v>199</v>
      </c>
      <c r="AC394" s="9" t="s">
        <v>200</v>
      </c>
      <c r="AD394" s="9" t="s">
        <v>201</v>
      </c>
      <c r="AE394" s="23"/>
    </row>
    <row r="395" spans="1:33" s="11" customFormat="1" x14ac:dyDescent="0.3">
      <c r="A395" s="358"/>
      <c r="B395" s="11" t="s">
        <v>328</v>
      </c>
      <c r="I395" s="288"/>
      <c r="L395" s="13"/>
      <c r="M395" s="13"/>
      <c r="N395" s="124"/>
      <c r="O395" s="326">
        <f>O396+O434+O472+O510</f>
        <v>27653.424367</v>
      </c>
      <c r="P395" s="13">
        <f t="shared" ref="P395:AD395" si="253">P396+P434+P472+P510</f>
        <v>11060.878283417722</v>
      </c>
      <c r="Q395" s="13">
        <f t="shared" si="253"/>
        <v>8212.6130096342404</v>
      </c>
      <c r="R395" s="13">
        <f t="shared" si="253"/>
        <v>8836.7857688823569</v>
      </c>
      <c r="S395" s="13">
        <f t="shared" si="253"/>
        <v>9627.2964686974174</v>
      </c>
      <c r="T395" s="13">
        <f t="shared" si="253"/>
        <v>10415.101146912863</v>
      </c>
      <c r="U395" s="13">
        <f t="shared" si="253"/>
        <v>9033.7250716439648</v>
      </c>
      <c r="V395" s="13">
        <f t="shared" si="253"/>
        <v>9275.1169774279824</v>
      </c>
      <c r="W395" s="13">
        <f t="shared" si="253"/>
        <v>8086.6946273316789</v>
      </c>
      <c r="X395" s="13">
        <f t="shared" si="253"/>
        <v>7937.2241831400743</v>
      </c>
      <c r="Y395" s="359">
        <f t="shared" si="253"/>
        <v>82485.435537088299</v>
      </c>
      <c r="Z395" s="326">
        <f t="shared" si="253"/>
        <v>110138.85990408828</v>
      </c>
      <c r="AA395" s="13">
        <f t="shared" si="253"/>
        <v>102529.60149808433</v>
      </c>
      <c r="AB395" s="13">
        <f t="shared" si="253"/>
        <v>112858.82555377504</v>
      </c>
      <c r="AC395" s="13">
        <f t="shared" si="253"/>
        <v>122625.8491360926</v>
      </c>
      <c r="AD395" s="13">
        <f t="shared" si="253"/>
        <v>133884.82004344169</v>
      </c>
      <c r="AE395" s="160"/>
      <c r="AF395" s="327"/>
      <c r="AG395" s="322">
        <f t="shared" ref="AG395" si="254">IF($E395="판매수량",$D394,)</f>
        <v>0</v>
      </c>
    </row>
    <row r="396" spans="1:33" ht="13.5" x14ac:dyDescent="0.3">
      <c r="A396" s="360" t="s">
        <v>329</v>
      </c>
      <c r="C396" s="3" t="s">
        <v>239</v>
      </c>
      <c r="L396" s="16"/>
      <c r="M396" s="16"/>
      <c r="N396" s="15"/>
      <c r="O396" s="246">
        <f>O397+O402+O407+O412+O417+O422</f>
        <v>9073.7938283710555</v>
      </c>
      <c r="P396" s="16">
        <f t="shared" ref="P396:AD396" si="255">P397+P402+P407+P412+P417+P422</f>
        <v>4449.6621889348162</v>
      </c>
      <c r="Q396" s="16">
        <f t="shared" si="255"/>
        <v>3998.377145486641</v>
      </c>
      <c r="R396" s="16">
        <f t="shared" si="255"/>
        <v>4046.9091892339266</v>
      </c>
      <c r="S396" s="16">
        <f t="shared" si="255"/>
        <v>4160.1990450901576</v>
      </c>
      <c r="T396" s="16">
        <f t="shared" si="255"/>
        <v>3976.8163466876595</v>
      </c>
      <c r="U396" s="16">
        <f t="shared" si="255"/>
        <v>3578.0198016009044</v>
      </c>
      <c r="V396" s="16">
        <f t="shared" si="255"/>
        <v>2670.9338821358128</v>
      </c>
      <c r="W396" s="16">
        <f t="shared" si="255"/>
        <v>2465.1882231270511</v>
      </c>
      <c r="X396" s="16">
        <f t="shared" si="255"/>
        <v>2707.159372746687</v>
      </c>
      <c r="Y396" s="292">
        <f t="shared" si="255"/>
        <v>32053.265195043656</v>
      </c>
      <c r="Z396" s="246">
        <f t="shared" si="255"/>
        <v>41127.059023414709</v>
      </c>
      <c r="AA396" s="16">
        <f t="shared" si="255"/>
        <v>38604.516951735459</v>
      </c>
      <c r="AB396" s="16">
        <f t="shared" si="255"/>
        <v>42107.168368875151</v>
      </c>
      <c r="AC396" s="16">
        <f t="shared" si="255"/>
        <v>44585.821247356595</v>
      </c>
      <c r="AD396" s="16">
        <f t="shared" si="255"/>
        <v>49350.240898077725</v>
      </c>
      <c r="AE396" s="151"/>
      <c r="AF396" s="327"/>
    </row>
    <row r="397" spans="1:33" ht="13.5" x14ac:dyDescent="0.3">
      <c r="A397" s="360" t="s">
        <v>329</v>
      </c>
      <c r="B397" s="11"/>
      <c r="D397" s="3" t="s">
        <v>131</v>
      </c>
      <c r="L397" s="16"/>
      <c r="M397" s="16"/>
      <c r="N397" s="15"/>
      <c r="O397" s="246">
        <f>O398*O401/10^6</f>
        <v>0</v>
      </c>
      <c r="P397" s="16">
        <f t="shared" ref="P397:X397" si="256">P398*P401/10^6</f>
        <v>0</v>
      </c>
      <c r="Q397" s="16">
        <f t="shared" si="256"/>
        <v>428.16955799999994</v>
      </c>
      <c r="R397" s="16">
        <f t="shared" si="256"/>
        <v>0</v>
      </c>
      <c r="S397" s="16">
        <f t="shared" si="256"/>
        <v>211.0091303333333</v>
      </c>
      <c r="T397" s="16">
        <f t="shared" si="256"/>
        <v>211.0091303333333</v>
      </c>
      <c r="U397" s="16">
        <f t="shared" si="256"/>
        <v>0</v>
      </c>
      <c r="V397" s="16">
        <f t="shared" si="256"/>
        <v>206.11754016666666</v>
      </c>
      <c r="W397" s="16">
        <f t="shared" si="256"/>
        <v>0</v>
      </c>
      <c r="X397" s="16">
        <f t="shared" si="256"/>
        <v>206.11754016666666</v>
      </c>
      <c r="Y397" s="292">
        <f>SUM(P397:X397)</f>
        <v>1262.4228989999999</v>
      </c>
      <c r="Z397" s="246">
        <f>SUM(O397,Y397)</f>
        <v>1262.4228989999999</v>
      </c>
      <c r="AA397" s="16">
        <f t="shared" ref="AA397:AD397" si="257">AA398*AA401/10^6</f>
        <v>1369.1780536571619</v>
      </c>
      <c r="AB397" s="16">
        <f t="shared" si="257"/>
        <v>1558.3317919779624</v>
      </c>
      <c r="AC397" s="16">
        <f t="shared" si="257"/>
        <v>1564.8671878779635</v>
      </c>
      <c r="AD397" s="16">
        <f t="shared" si="257"/>
        <v>2586.5230335591418</v>
      </c>
      <c r="AE397" s="23"/>
      <c r="AF397" s="327"/>
    </row>
    <row r="398" spans="1:33" ht="13.5" x14ac:dyDescent="0.3">
      <c r="A398" s="360" t="s">
        <v>329</v>
      </c>
      <c r="B398" s="11"/>
      <c r="E398" s="3" t="s">
        <v>330</v>
      </c>
      <c r="L398" s="16"/>
      <c r="M398" s="16"/>
      <c r="N398" s="15"/>
      <c r="O398" s="246">
        <f>O399*O400</f>
        <v>0</v>
      </c>
      <c r="P398" s="16">
        <f t="shared" ref="P398:X398" si="258">P399*P400</f>
        <v>0</v>
      </c>
      <c r="Q398" s="16">
        <f t="shared" si="258"/>
        <v>327196.66666666663</v>
      </c>
      <c r="R398" s="16">
        <f t="shared" si="258"/>
        <v>0</v>
      </c>
      <c r="S398" s="16">
        <f t="shared" si="258"/>
        <v>163598.33333333331</v>
      </c>
      <c r="T398" s="16">
        <f t="shared" si="258"/>
        <v>163598.33333333331</v>
      </c>
      <c r="U398" s="16">
        <f t="shared" si="258"/>
        <v>0</v>
      </c>
      <c r="V398" s="16">
        <f t="shared" si="258"/>
        <v>163598.33333333331</v>
      </c>
      <c r="W398" s="16">
        <f t="shared" si="258"/>
        <v>0</v>
      </c>
      <c r="X398" s="16">
        <f t="shared" si="258"/>
        <v>163598.33333333331</v>
      </c>
      <c r="Y398" s="292">
        <f>SUM(P398:X398)</f>
        <v>981589.99999999977</v>
      </c>
      <c r="Z398" s="246">
        <f>SUM(O398,Y398)</f>
        <v>981589.99999999977</v>
      </c>
      <c r="AA398" s="16">
        <f t="shared" ref="AA398:AD398" si="259">AA399*AA400</f>
        <v>1127637.9951055525</v>
      </c>
      <c r="AB398" s="16">
        <f t="shared" si="259"/>
        <v>1296664.8294041958</v>
      </c>
      <c r="AC398" s="16">
        <f t="shared" si="259"/>
        <v>1304817.1332260182</v>
      </c>
      <c r="AD398" s="16">
        <f t="shared" si="259"/>
        <v>2134094.9121775096</v>
      </c>
      <c r="AE398" s="23"/>
      <c r="AF398" s="327"/>
    </row>
    <row r="399" spans="1:33" ht="13.5" x14ac:dyDescent="0.3">
      <c r="A399" s="360" t="s">
        <v>329</v>
      </c>
      <c r="B399" s="11"/>
      <c r="F399" s="3" t="s">
        <v>331</v>
      </c>
      <c r="L399" s="16"/>
      <c r="M399" s="16"/>
      <c r="N399" s="15"/>
      <c r="O399" s="246">
        <f>Projection_미국!O150</f>
        <v>0</v>
      </c>
      <c r="P399" s="16">
        <v>0</v>
      </c>
      <c r="Q399" s="16">
        <v>2</v>
      </c>
      <c r="R399" s="16">
        <v>0</v>
      </c>
      <c r="S399" s="16">
        <v>1</v>
      </c>
      <c r="T399" s="16">
        <v>1</v>
      </c>
      <c r="U399" s="16">
        <v>0</v>
      </c>
      <c r="V399" s="16">
        <v>1</v>
      </c>
      <c r="W399" s="16">
        <v>0</v>
      </c>
      <c r="X399" s="16">
        <v>1</v>
      </c>
      <c r="Y399" s="292">
        <f>SUM(P399:X399)</f>
        <v>6</v>
      </c>
      <c r="Z399" s="246">
        <f>SUM(O399,Y399)</f>
        <v>6</v>
      </c>
      <c r="AA399" s="16">
        <f>Projection_미국!AA46</f>
        <v>7</v>
      </c>
      <c r="AB399" s="16">
        <f>Projection_미국!AB46</f>
        <v>8</v>
      </c>
      <c r="AC399" s="16">
        <f>Projection_미국!AC46</f>
        <v>8</v>
      </c>
      <c r="AD399" s="16">
        <f>Projection_미국!AD46</f>
        <v>13</v>
      </c>
      <c r="AE399" s="23"/>
      <c r="AF399" s="327"/>
      <c r="AG399" s="322" t="s">
        <v>146</v>
      </c>
    </row>
    <row r="400" spans="1:33" ht="13.5" x14ac:dyDescent="0.3">
      <c r="A400" s="360" t="s">
        <v>329</v>
      </c>
      <c r="B400" s="11"/>
      <c r="F400" s="3" t="s">
        <v>332</v>
      </c>
      <c r="L400" s="16"/>
      <c r="M400" s="16"/>
      <c r="N400" s="15"/>
      <c r="O400" s="246">
        <f>Projection_미국!O151</f>
        <v>0</v>
      </c>
      <c r="P400" s="16">
        <v>163598.33333333331</v>
      </c>
      <c r="Q400" s="16">
        <v>163598.33333333331</v>
      </c>
      <c r="R400" s="16">
        <v>163598.33333333331</v>
      </c>
      <c r="S400" s="16">
        <v>163598.33333333331</v>
      </c>
      <c r="T400" s="16">
        <v>163598.33333333331</v>
      </c>
      <c r="U400" s="16">
        <v>163598.33333333331</v>
      </c>
      <c r="V400" s="16">
        <v>163598.33333333331</v>
      </c>
      <c r="W400" s="16">
        <v>163598.33333333331</v>
      </c>
      <c r="X400" s="16">
        <v>163598.33333333331</v>
      </c>
      <c r="Y400" s="292">
        <f>Y398/Y399</f>
        <v>163598.33333333328</v>
      </c>
      <c r="Z400" s="246">
        <f>Z398/Z399</f>
        <v>163598.33333333328</v>
      </c>
      <c r="AA400" s="16">
        <f>Projection_미국!AA151</f>
        <v>161091.14215793606</v>
      </c>
      <c r="AB400" s="16">
        <f>Projection_미국!AB151</f>
        <v>162083.10367552447</v>
      </c>
      <c r="AC400" s="16">
        <f>Projection_미국!AC151</f>
        <v>163102.14165325227</v>
      </c>
      <c r="AD400" s="16">
        <f>Projection_미국!AD151</f>
        <v>164161.14709057767</v>
      </c>
      <c r="AE400" s="23"/>
      <c r="AF400" s="327"/>
    </row>
    <row r="401" spans="1:33" ht="13.5" x14ac:dyDescent="0.3">
      <c r="A401" s="360" t="s">
        <v>329</v>
      </c>
      <c r="B401" s="11"/>
      <c r="E401" s="3" t="s">
        <v>333</v>
      </c>
      <c r="L401" s="16"/>
      <c r="M401" s="16"/>
      <c r="N401" s="15"/>
      <c r="O401" s="246">
        <f>Projection_미국!O152</f>
        <v>0</v>
      </c>
      <c r="P401" s="16">
        <f t="shared" ref="P401:X401" si="260">P$553</f>
        <v>1308.5999999999999</v>
      </c>
      <c r="Q401" s="16">
        <f t="shared" si="260"/>
        <v>1308.5999999999999</v>
      </c>
      <c r="R401" s="16">
        <f t="shared" si="260"/>
        <v>1308.5999999999999</v>
      </c>
      <c r="S401" s="16">
        <f t="shared" si="260"/>
        <v>1289.8</v>
      </c>
      <c r="T401" s="16">
        <f t="shared" si="260"/>
        <v>1289.8</v>
      </c>
      <c r="U401" s="16">
        <f t="shared" si="260"/>
        <v>1289.8</v>
      </c>
      <c r="V401" s="16">
        <f t="shared" si="260"/>
        <v>1259.9000000000001</v>
      </c>
      <c r="W401" s="16">
        <f t="shared" si="260"/>
        <v>1259.9000000000001</v>
      </c>
      <c r="X401" s="16">
        <f t="shared" si="260"/>
        <v>1259.9000000000001</v>
      </c>
      <c r="Y401" s="292">
        <f>Y397/Y398*10^6</f>
        <v>1286.1000000000004</v>
      </c>
      <c r="Z401" s="246">
        <f>Z397/Z398*10^6</f>
        <v>1286.1000000000004</v>
      </c>
      <c r="AA401" s="16">
        <f t="shared" ref="AA401:AD401" si="261">AA$553</f>
        <v>1214.2</v>
      </c>
      <c r="AB401" s="16">
        <f t="shared" si="261"/>
        <v>1201.8</v>
      </c>
      <c r="AC401" s="16">
        <f t="shared" si="261"/>
        <v>1199.3</v>
      </c>
      <c r="AD401" s="16">
        <f t="shared" si="261"/>
        <v>1212</v>
      </c>
      <c r="AE401" s="23"/>
      <c r="AF401" s="327"/>
    </row>
    <row r="402" spans="1:33" ht="13.5" x14ac:dyDescent="0.3">
      <c r="A402" s="360" t="s">
        <v>329</v>
      </c>
      <c r="B402" s="11"/>
      <c r="D402" s="3" t="s">
        <v>132</v>
      </c>
      <c r="L402" s="16"/>
      <c r="M402" s="16"/>
      <c r="N402" s="15"/>
      <c r="O402" s="246">
        <f>O403*O406/10^6</f>
        <v>5322.219609823992</v>
      </c>
      <c r="P402" s="16">
        <f t="shared" ref="P402:X402" si="262">P403*P406/10^6</f>
        <v>3526.5949960215617</v>
      </c>
      <c r="Q402" s="16">
        <f t="shared" si="262"/>
        <v>1945.7075840118962</v>
      </c>
      <c r="R402" s="16">
        <f t="shared" si="262"/>
        <v>2188.921032013383</v>
      </c>
      <c r="S402" s="16">
        <f t="shared" si="262"/>
        <v>2636.912545892937</v>
      </c>
      <c r="T402" s="16">
        <f t="shared" si="262"/>
        <v>1797.8949176542753</v>
      </c>
      <c r="U402" s="16">
        <f t="shared" si="262"/>
        <v>2157.4739011851302</v>
      </c>
      <c r="V402" s="16">
        <f t="shared" si="262"/>
        <v>1756.2163178420078</v>
      </c>
      <c r="W402" s="16">
        <f t="shared" si="262"/>
        <v>1990.3784935542756</v>
      </c>
      <c r="X402" s="16">
        <f t="shared" si="262"/>
        <v>1990.3784935542756</v>
      </c>
      <c r="Y402" s="292">
        <f>SUM(P402:X402)</f>
        <v>19990.478281729742</v>
      </c>
      <c r="Z402" s="246">
        <f>SUM(O402,Y402)</f>
        <v>25312.697891553733</v>
      </c>
      <c r="AA402" s="16">
        <f t="shared" ref="AA402:AD402" si="263">AA403*AA406/10^6</f>
        <v>24060.737512181968</v>
      </c>
      <c r="AB402" s="16">
        <f t="shared" si="263"/>
        <v>26062.202890261709</v>
      </c>
      <c r="AC402" s="16">
        <f t="shared" si="263"/>
        <v>27514.986528725043</v>
      </c>
      <c r="AD402" s="16">
        <f t="shared" si="263"/>
        <v>29123.485066632162</v>
      </c>
      <c r="AE402" s="23"/>
      <c r="AF402" s="327"/>
    </row>
    <row r="403" spans="1:33" ht="13.5" x14ac:dyDescent="0.3">
      <c r="A403" s="360" t="s">
        <v>329</v>
      </c>
      <c r="B403" s="11"/>
      <c r="E403" s="3" t="s">
        <v>330</v>
      </c>
      <c r="L403" s="16"/>
      <c r="M403" s="16"/>
      <c r="N403" s="15"/>
      <c r="O403" s="246">
        <f>O404*O405</f>
        <v>4006337.9199999934</v>
      </c>
      <c r="P403" s="16">
        <f t="shared" ref="P403:X403" si="264">P404*P405</f>
        <v>2694937.3345724912</v>
      </c>
      <c r="Q403" s="16">
        <f t="shared" si="264"/>
        <v>1486861.9776951675</v>
      </c>
      <c r="R403" s="16">
        <f t="shared" si="264"/>
        <v>1672719.7249070634</v>
      </c>
      <c r="S403" s="16">
        <f t="shared" si="264"/>
        <v>2044435.2193308554</v>
      </c>
      <c r="T403" s="16">
        <f t="shared" si="264"/>
        <v>1393933.1040892196</v>
      </c>
      <c r="U403" s="16">
        <f t="shared" si="264"/>
        <v>1672719.7249070634</v>
      </c>
      <c r="V403" s="16">
        <f t="shared" si="264"/>
        <v>1393933.1040892196</v>
      </c>
      <c r="W403" s="16">
        <f t="shared" si="264"/>
        <v>1579790.8513011155</v>
      </c>
      <c r="X403" s="16">
        <f t="shared" si="264"/>
        <v>1579790.8513011155</v>
      </c>
      <c r="Y403" s="292">
        <f>SUM(P403:X403)</f>
        <v>15519121.89219331</v>
      </c>
      <c r="Z403" s="246">
        <f>SUM(O403,Y403)</f>
        <v>19525459.812193304</v>
      </c>
      <c r="AA403" s="16">
        <f t="shared" ref="AA403:AD403" si="265">AA404*AA405</f>
        <v>19816123.795241285</v>
      </c>
      <c r="AB403" s="16">
        <f t="shared" si="265"/>
        <v>21685973.448378857</v>
      </c>
      <c r="AC403" s="16">
        <f t="shared" si="265"/>
        <v>22942538.588113938</v>
      </c>
      <c r="AD403" s="16">
        <f t="shared" si="265"/>
        <v>24029278.107782312</v>
      </c>
      <c r="AE403" s="23"/>
      <c r="AF403" s="327"/>
    </row>
    <row r="404" spans="1:33" ht="13.5" x14ac:dyDescent="0.3">
      <c r="A404" s="360" t="s">
        <v>329</v>
      </c>
      <c r="B404" s="11"/>
      <c r="F404" s="3" t="s">
        <v>331</v>
      </c>
      <c r="L404" s="16"/>
      <c r="M404" s="16"/>
      <c r="N404" s="15"/>
      <c r="O404" s="246">
        <v>48</v>
      </c>
      <c r="P404" s="16">
        <v>29</v>
      </c>
      <c r="Q404" s="16">
        <v>16</v>
      </c>
      <c r="R404" s="16">
        <v>18</v>
      </c>
      <c r="S404" s="16">
        <v>22</v>
      </c>
      <c r="T404" s="16">
        <v>15</v>
      </c>
      <c r="U404" s="16">
        <v>18</v>
      </c>
      <c r="V404" s="16">
        <v>15</v>
      </c>
      <c r="W404" s="16">
        <v>17</v>
      </c>
      <c r="X404" s="16">
        <v>17</v>
      </c>
      <c r="Y404" s="292">
        <f>SUM(P404:X404)</f>
        <v>167</v>
      </c>
      <c r="Z404" s="246">
        <f>SUM(O404,Y404)</f>
        <v>215</v>
      </c>
      <c r="AA404" s="16">
        <f>Projection_미국!AA53</f>
        <v>217</v>
      </c>
      <c r="AB404" s="16">
        <f>Projection_미국!AB53</f>
        <v>236</v>
      </c>
      <c r="AC404" s="16">
        <f>Projection_미국!AC53</f>
        <v>248</v>
      </c>
      <c r="AD404" s="16">
        <f>Projection_미국!AD53</f>
        <v>258</v>
      </c>
      <c r="AE404" s="23"/>
      <c r="AF404" s="327"/>
      <c r="AG404" s="322" t="s">
        <v>147</v>
      </c>
    </row>
    <row r="405" spans="1:33" ht="13.5" x14ac:dyDescent="0.3">
      <c r="A405" s="360" t="s">
        <v>329</v>
      </c>
      <c r="B405" s="11"/>
      <c r="F405" s="3" t="s">
        <v>332</v>
      </c>
      <c r="L405" s="16"/>
      <c r="M405" s="16"/>
      <c r="N405" s="15"/>
      <c r="O405" s="246">
        <f>Projection_미국!O156</f>
        <v>83465.373333333191</v>
      </c>
      <c r="P405" s="16">
        <v>92928.873605947971</v>
      </c>
      <c r="Q405" s="16">
        <v>92928.873605947971</v>
      </c>
      <c r="R405" s="16">
        <v>92928.873605947971</v>
      </c>
      <c r="S405" s="16">
        <v>92928.873605947971</v>
      </c>
      <c r="T405" s="16">
        <v>92928.873605947971</v>
      </c>
      <c r="U405" s="16">
        <v>92928.873605947971</v>
      </c>
      <c r="V405" s="16">
        <v>92928.873605947971</v>
      </c>
      <c r="W405" s="16">
        <v>92928.873605947971</v>
      </c>
      <c r="X405" s="16">
        <v>92928.873605947971</v>
      </c>
      <c r="Y405" s="292">
        <f>Y403/Y404</f>
        <v>92928.873605947971</v>
      </c>
      <c r="Z405" s="246">
        <f>Z403/Z404</f>
        <v>90816.092149736302</v>
      </c>
      <c r="AA405" s="16">
        <f>Projection_미국!AA156</f>
        <v>91318.542835213302</v>
      </c>
      <c r="AB405" s="16">
        <f>Projection_미국!AB156</f>
        <v>91889.718001605332</v>
      </c>
      <c r="AC405" s="16">
        <f>Projection_미국!AC156</f>
        <v>92510.236242394909</v>
      </c>
      <c r="AD405" s="16">
        <f>Projection_미국!AD156</f>
        <v>93136.736851869427</v>
      </c>
      <c r="AE405" s="23"/>
      <c r="AF405" s="327"/>
    </row>
    <row r="406" spans="1:33" ht="13.5" x14ac:dyDescent="0.3">
      <c r="A406" s="360" t="s">
        <v>329</v>
      </c>
      <c r="B406" s="11"/>
      <c r="E406" s="3" t="s">
        <v>333</v>
      </c>
      <c r="L406" s="16"/>
      <c r="M406" s="16"/>
      <c r="N406" s="15"/>
      <c r="O406" s="246">
        <f>Projection_미국!O157</f>
        <v>1328.45</v>
      </c>
      <c r="P406" s="16">
        <f t="shared" ref="P406:X406" si="266">P$553</f>
        <v>1308.5999999999999</v>
      </c>
      <c r="Q406" s="16">
        <f t="shared" si="266"/>
        <v>1308.5999999999999</v>
      </c>
      <c r="R406" s="16">
        <f t="shared" si="266"/>
        <v>1308.5999999999999</v>
      </c>
      <c r="S406" s="16">
        <f t="shared" si="266"/>
        <v>1289.8</v>
      </c>
      <c r="T406" s="16">
        <f t="shared" si="266"/>
        <v>1289.8</v>
      </c>
      <c r="U406" s="16">
        <f t="shared" si="266"/>
        <v>1289.8</v>
      </c>
      <c r="V406" s="16">
        <f t="shared" si="266"/>
        <v>1259.9000000000001</v>
      </c>
      <c r="W406" s="16">
        <f t="shared" si="266"/>
        <v>1259.9000000000001</v>
      </c>
      <c r="X406" s="16">
        <f t="shared" si="266"/>
        <v>1259.9000000000001</v>
      </c>
      <c r="Y406" s="292">
        <f>Y402/Y403*10^6</f>
        <v>1288.1191616766469</v>
      </c>
      <c r="Z406" s="246">
        <f>Z402/Z403*10^6</f>
        <v>1296.3944580575971</v>
      </c>
      <c r="AA406" s="16">
        <f t="shared" ref="AA406:AD406" si="267">AA$553</f>
        <v>1214.2</v>
      </c>
      <c r="AB406" s="16">
        <f t="shared" si="267"/>
        <v>1201.8</v>
      </c>
      <c r="AC406" s="16">
        <f t="shared" si="267"/>
        <v>1199.3</v>
      </c>
      <c r="AD406" s="16">
        <f t="shared" si="267"/>
        <v>1212</v>
      </c>
      <c r="AE406" s="23"/>
      <c r="AF406" s="327"/>
    </row>
    <row r="407" spans="1:33" ht="13.5" x14ac:dyDescent="0.3">
      <c r="A407" s="360" t="s">
        <v>329</v>
      </c>
      <c r="B407" s="11"/>
      <c r="D407" s="3" t="s">
        <v>133</v>
      </c>
      <c r="L407" s="16"/>
      <c r="M407" s="16"/>
      <c r="N407" s="15"/>
      <c r="O407" s="246">
        <f>O408*O411/10^6</f>
        <v>1807.1636229978735</v>
      </c>
      <c r="P407" s="16">
        <f t="shared" ref="P407:X407" si="268">P408*P411/10^6</f>
        <v>422.84263018775505</v>
      </c>
      <c r="Q407" s="16">
        <f t="shared" si="268"/>
        <v>317.13197264081629</v>
      </c>
      <c r="R407" s="16">
        <f t="shared" si="268"/>
        <v>528.55328773469375</v>
      </c>
      <c r="S407" s="16">
        <f t="shared" si="268"/>
        <v>520.95982769387751</v>
      </c>
      <c r="T407" s="16">
        <f t="shared" si="268"/>
        <v>312.57589661632653</v>
      </c>
      <c r="U407" s="16">
        <f t="shared" si="268"/>
        <v>520.95982769387751</v>
      </c>
      <c r="V407" s="16">
        <f t="shared" si="268"/>
        <v>407.10639597551017</v>
      </c>
      <c r="W407" s="16">
        <f t="shared" si="268"/>
        <v>203.55319798775508</v>
      </c>
      <c r="X407" s="16">
        <f t="shared" si="268"/>
        <v>203.55319798775508</v>
      </c>
      <c r="Y407" s="292">
        <f>SUM(P407:X407)</f>
        <v>3437.2362345183665</v>
      </c>
      <c r="Z407" s="246">
        <f>SUM(O407,Y407)</f>
        <v>5244.3998575162404</v>
      </c>
      <c r="AA407" s="16">
        <f t="shared" ref="AA407:AD407" si="269">AA408*AA411/10^6</f>
        <v>5090.0126781236277</v>
      </c>
      <c r="AB407" s="16">
        <f t="shared" si="269"/>
        <v>5650.9153824823316</v>
      </c>
      <c r="AC407" s="16">
        <f t="shared" si="269"/>
        <v>6358.533918085348</v>
      </c>
      <c r="AD407" s="16">
        <f t="shared" si="269"/>
        <v>7557.1107982005724</v>
      </c>
      <c r="AE407" s="23"/>
      <c r="AF407" s="327"/>
    </row>
    <row r="408" spans="1:33" ht="13.5" x14ac:dyDescent="0.3">
      <c r="A408" s="360" t="s">
        <v>329</v>
      </c>
      <c r="B408" s="11"/>
      <c r="E408" s="3" t="s">
        <v>330</v>
      </c>
      <c r="L408" s="16"/>
      <c r="M408" s="16"/>
      <c r="N408" s="15"/>
      <c r="O408" s="246">
        <f>O409*O410</f>
        <v>1360355.0174999991</v>
      </c>
      <c r="P408" s="16">
        <f t="shared" ref="P408:X408" si="270">P409*P410</f>
        <v>323125.95918367343</v>
      </c>
      <c r="Q408" s="16">
        <f t="shared" si="270"/>
        <v>242344.46938775509</v>
      </c>
      <c r="R408" s="16">
        <f t="shared" si="270"/>
        <v>403907.44897959178</v>
      </c>
      <c r="S408" s="16">
        <f t="shared" si="270"/>
        <v>403907.44897959178</v>
      </c>
      <c r="T408" s="16">
        <f t="shared" si="270"/>
        <v>242344.46938775509</v>
      </c>
      <c r="U408" s="16">
        <f t="shared" si="270"/>
        <v>403907.44897959178</v>
      </c>
      <c r="V408" s="16">
        <f t="shared" si="270"/>
        <v>323125.95918367343</v>
      </c>
      <c r="W408" s="16">
        <f t="shared" si="270"/>
        <v>161562.97959183672</v>
      </c>
      <c r="X408" s="16">
        <f t="shared" si="270"/>
        <v>161562.97959183672</v>
      </c>
      <c r="Y408" s="292">
        <f>SUM(P408:X408)</f>
        <v>2665789.1632653056</v>
      </c>
      <c r="Z408" s="246">
        <f>SUM(O408,Y408)</f>
        <v>4026144.1807653047</v>
      </c>
      <c r="AA408" s="16">
        <f t="shared" ref="AA408:AD408" si="271">AA409*AA410</f>
        <v>4192071.057588229</v>
      </c>
      <c r="AB408" s="16">
        <f t="shared" si="271"/>
        <v>4702043.0874374537</v>
      </c>
      <c r="AC408" s="16">
        <f t="shared" si="271"/>
        <v>5301871.0231679715</v>
      </c>
      <c r="AD408" s="16">
        <f t="shared" si="271"/>
        <v>6235239.9325087229</v>
      </c>
      <c r="AE408" s="23"/>
      <c r="AF408" s="327"/>
    </row>
    <row r="409" spans="1:33" ht="13.5" x14ac:dyDescent="0.3">
      <c r="A409" s="360" t="s">
        <v>329</v>
      </c>
      <c r="B409" s="11"/>
      <c r="F409" s="3" t="s">
        <v>331</v>
      </c>
      <c r="L409" s="16"/>
      <c r="M409" s="16"/>
      <c r="N409" s="15"/>
      <c r="O409" s="246">
        <v>19</v>
      </c>
      <c r="P409" s="16">
        <v>4</v>
      </c>
      <c r="Q409" s="16">
        <v>3</v>
      </c>
      <c r="R409" s="16">
        <v>5</v>
      </c>
      <c r="S409" s="16">
        <v>5</v>
      </c>
      <c r="T409" s="16">
        <v>3</v>
      </c>
      <c r="U409" s="16">
        <v>5</v>
      </c>
      <c r="V409" s="16">
        <v>4</v>
      </c>
      <c r="W409" s="16">
        <v>2</v>
      </c>
      <c r="X409" s="16">
        <v>2</v>
      </c>
      <c r="Y409" s="292">
        <f>SUM(P409:X409)</f>
        <v>33</v>
      </c>
      <c r="Z409" s="246">
        <f>SUM(O409,Y409)</f>
        <v>52</v>
      </c>
      <c r="AA409" s="16">
        <f>Projection_미국!AA60</f>
        <v>53</v>
      </c>
      <c r="AB409" s="16">
        <f>Projection_미국!AB60</f>
        <v>59</v>
      </c>
      <c r="AC409" s="16">
        <f>Projection_미국!AC60</f>
        <v>66</v>
      </c>
      <c r="AD409" s="16">
        <f>Projection_미국!AD60</f>
        <v>77</v>
      </c>
      <c r="AE409" s="23"/>
      <c r="AF409" s="327"/>
      <c r="AG409" s="322" t="s">
        <v>148</v>
      </c>
    </row>
    <row r="410" spans="1:33" ht="13.5" x14ac:dyDescent="0.3">
      <c r="A410" s="360" t="s">
        <v>329</v>
      </c>
      <c r="B410" s="11"/>
      <c r="F410" s="3" t="s">
        <v>332</v>
      </c>
      <c r="L410" s="16"/>
      <c r="M410" s="16"/>
      <c r="N410" s="15"/>
      <c r="O410" s="246">
        <f>Projection_미국!O161</f>
        <v>71597.632499999949</v>
      </c>
      <c r="P410" s="16">
        <v>80781.489795918358</v>
      </c>
      <c r="Q410" s="16">
        <v>80781.489795918358</v>
      </c>
      <c r="R410" s="16">
        <v>80781.489795918358</v>
      </c>
      <c r="S410" s="16">
        <v>80781.489795918358</v>
      </c>
      <c r="T410" s="16">
        <v>80781.489795918358</v>
      </c>
      <c r="U410" s="16">
        <v>80781.489795918358</v>
      </c>
      <c r="V410" s="16">
        <v>80781.489795918358</v>
      </c>
      <c r="W410" s="16">
        <v>80781.489795918358</v>
      </c>
      <c r="X410" s="16">
        <v>80781.489795918358</v>
      </c>
      <c r="Y410" s="292">
        <f>Y408/Y409</f>
        <v>80781.489795918344</v>
      </c>
      <c r="Z410" s="246">
        <f>Z408/Z409</f>
        <v>77425.84963010202</v>
      </c>
      <c r="AA410" s="16">
        <f>Projection_미국!AA161</f>
        <v>79095.680331853378</v>
      </c>
      <c r="AB410" s="16">
        <f>Projection_미국!AB161</f>
        <v>79695.645549787354</v>
      </c>
      <c r="AC410" s="16">
        <f>Projection_미국!AC161</f>
        <v>80331.379138908655</v>
      </c>
      <c r="AD410" s="16">
        <f>Projection_미국!AD161</f>
        <v>80977.141980632761</v>
      </c>
      <c r="AE410" s="23"/>
      <c r="AF410" s="327"/>
    </row>
    <row r="411" spans="1:33" ht="13.5" x14ac:dyDescent="0.3">
      <c r="A411" s="360" t="s">
        <v>329</v>
      </c>
      <c r="B411" s="11"/>
      <c r="E411" s="3" t="s">
        <v>333</v>
      </c>
      <c r="L411" s="16"/>
      <c r="M411" s="16"/>
      <c r="N411" s="15"/>
      <c r="O411" s="246">
        <f>Projection_미국!O162</f>
        <v>1328.4499999999998</v>
      </c>
      <c r="P411" s="16">
        <f t="shared" ref="P411:X411" si="272">P$553</f>
        <v>1308.5999999999999</v>
      </c>
      <c r="Q411" s="16">
        <f t="shared" si="272"/>
        <v>1308.5999999999999</v>
      </c>
      <c r="R411" s="16">
        <f t="shared" si="272"/>
        <v>1308.5999999999999</v>
      </c>
      <c r="S411" s="16">
        <f t="shared" si="272"/>
        <v>1289.8</v>
      </c>
      <c r="T411" s="16">
        <f t="shared" si="272"/>
        <v>1289.8</v>
      </c>
      <c r="U411" s="16">
        <f t="shared" si="272"/>
        <v>1289.8</v>
      </c>
      <c r="V411" s="16">
        <f t="shared" si="272"/>
        <v>1259.9000000000001</v>
      </c>
      <c r="W411" s="16">
        <f t="shared" si="272"/>
        <v>1259.9000000000001</v>
      </c>
      <c r="X411" s="16">
        <f t="shared" si="272"/>
        <v>1259.9000000000001</v>
      </c>
      <c r="Y411" s="292">
        <f>Y407/Y408*10^6</f>
        <v>1289.3878787878787</v>
      </c>
      <c r="Z411" s="246">
        <f>Z407/Z408*10^6</f>
        <v>1302.586202096559</v>
      </c>
      <c r="AA411" s="16">
        <f t="shared" ref="AA411:AD411" si="273">AA$553</f>
        <v>1214.2</v>
      </c>
      <c r="AB411" s="16">
        <f t="shared" si="273"/>
        <v>1201.8</v>
      </c>
      <c r="AC411" s="16">
        <f t="shared" si="273"/>
        <v>1199.3</v>
      </c>
      <c r="AD411" s="16">
        <f t="shared" si="273"/>
        <v>1212</v>
      </c>
      <c r="AE411" s="23"/>
      <c r="AF411" s="327"/>
    </row>
    <row r="412" spans="1:33" ht="13.5" x14ac:dyDescent="0.3">
      <c r="A412" s="360" t="s">
        <v>329</v>
      </c>
      <c r="B412" s="11"/>
      <c r="D412" s="3" t="s">
        <v>134</v>
      </c>
      <c r="L412" s="16"/>
      <c r="M412" s="16"/>
      <c r="N412" s="15"/>
      <c r="O412" s="246">
        <f>O413*O416/10^6</f>
        <v>0</v>
      </c>
      <c r="P412" s="16">
        <f t="shared" ref="P412:X412" si="274">P413*P416/10^6</f>
        <v>0</v>
      </c>
      <c r="Q412" s="16">
        <f t="shared" si="274"/>
        <v>724.52238399999987</v>
      </c>
      <c r="R412" s="16">
        <f t="shared" si="274"/>
        <v>724.52238399999987</v>
      </c>
      <c r="S412" s="16">
        <f t="shared" si="274"/>
        <v>0</v>
      </c>
      <c r="T412" s="16">
        <f t="shared" si="274"/>
        <v>714.11353422222214</v>
      </c>
      <c r="U412" s="16">
        <f t="shared" si="274"/>
        <v>0</v>
      </c>
      <c r="V412" s="16">
        <f t="shared" si="274"/>
        <v>0</v>
      </c>
      <c r="W412" s="16">
        <f t="shared" si="274"/>
        <v>0</v>
      </c>
      <c r="X412" s="16">
        <f t="shared" si="274"/>
        <v>0</v>
      </c>
      <c r="Y412" s="292">
        <f>SUM(P412:X412)</f>
        <v>2163.1583022222221</v>
      </c>
      <c r="Z412" s="246">
        <f>SUM(O412,Y412)</f>
        <v>2163.1583022222221</v>
      </c>
      <c r="AA412" s="16">
        <f t="shared" ref="AA412:AD412" si="275">AA413*AA416/10^6</f>
        <v>3609.7259686275138</v>
      </c>
      <c r="AB412" s="16">
        <f t="shared" si="275"/>
        <v>3925.3905653936317</v>
      </c>
      <c r="AC412" s="16">
        <f t="shared" si="275"/>
        <v>3945.995172740103</v>
      </c>
      <c r="AD412" s="16">
        <f t="shared" si="275"/>
        <v>4353.7309415017307</v>
      </c>
      <c r="AE412" s="23"/>
      <c r="AF412" s="327"/>
    </row>
    <row r="413" spans="1:33" ht="13.5" x14ac:dyDescent="0.3">
      <c r="A413" s="360" t="s">
        <v>329</v>
      </c>
      <c r="B413" s="11"/>
      <c r="E413" s="3" t="s">
        <v>330</v>
      </c>
      <c r="L413" s="16"/>
      <c r="M413" s="16"/>
      <c r="N413" s="15"/>
      <c r="O413" s="246">
        <f>O414*O415</f>
        <v>0</v>
      </c>
      <c r="P413" s="16">
        <f t="shared" ref="P413:X413" si="276">P414*P415</f>
        <v>0</v>
      </c>
      <c r="Q413" s="16">
        <f t="shared" si="276"/>
        <v>553662.22222222213</v>
      </c>
      <c r="R413" s="16">
        <f t="shared" si="276"/>
        <v>553662.22222222213</v>
      </c>
      <c r="S413" s="16">
        <f t="shared" si="276"/>
        <v>0</v>
      </c>
      <c r="T413" s="16">
        <f t="shared" si="276"/>
        <v>553662.22222222213</v>
      </c>
      <c r="U413" s="16">
        <f t="shared" si="276"/>
        <v>0</v>
      </c>
      <c r="V413" s="16">
        <f t="shared" si="276"/>
        <v>0</v>
      </c>
      <c r="W413" s="16">
        <f t="shared" si="276"/>
        <v>0</v>
      </c>
      <c r="X413" s="16">
        <f t="shared" si="276"/>
        <v>0</v>
      </c>
      <c r="Y413" s="292">
        <f>SUM(P413:X413)</f>
        <v>1660986.6666666665</v>
      </c>
      <c r="Z413" s="246">
        <f>SUM(O413,Y413)</f>
        <v>1660986.6666666665</v>
      </c>
      <c r="AA413" s="16">
        <f t="shared" ref="AA413:AD413" si="277">AA414*AA415</f>
        <v>2972925.3571302206</v>
      </c>
      <c r="AB413" s="16">
        <f t="shared" si="277"/>
        <v>3266259.4153716359</v>
      </c>
      <c r="AC413" s="16">
        <f t="shared" si="277"/>
        <v>3290248.6223131022</v>
      </c>
      <c r="AD413" s="16">
        <f t="shared" si="277"/>
        <v>3592187.2454634742</v>
      </c>
      <c r="AE413" s="23"/>
      <c r="AF413" s="327"/>
    </row>
    <row r="414" spans="1:33" ht="13.5" x14ac:dyDescent="0.3">
      <c r="A414" s="360" t="s">
        <v>329</v>
      </c>
      <c r="B414" s="11"/>
      <c r="F414" s="3" t="s">
        <v>331</v>
      </c>
      <c r="L414" s="16"/>
      <c r="M414" s="16"/>
      <c r="N414" s="15"/>
      <c r="O414" s="246">
        <v>0</v>
      </c>
      <c r="P414" s="16">
        <v>0</v>
      </c>
      <c r="Q414" s="16">
        <v>2</v>
      </c>
      <c r="R414" s="16">
        <v>2</v>
      </c>
      <c r="S414" s="16">
        <v>0</v>
      </c>
      <c r="T414" s="16">
        <v>2</v>
      </c>
      <c r="U414" s="16">
        <v>0</v>
      </c>
      <c r="V414" s="16">
        <v>0</v>
      </c>
      <c r="W414" s="16">
        <v>0</v>
      </c>
      <c r="X414" s="16">
        <v>0</v>
      </c>
      <c r="Y414" s="292">
        <f>SUM(P414:X414)</f>
        <v>6</v>
      </c>
      <c r="Z414" s="246">
        <f>SUM(O414,Y414)</f>
        <v>6</v>
      </c>
      <c r="AA414" s="16">
        <f>Projection_미국!AA67</f>
        <v>11</v>
      </c>
      <c r="AB414" s="16">
        <f>Projection_미국!AB67</f>
        <v>12</v>
      </c>
      <c r="AC414" s="16">
        <f>Projection_미국!AC67</f>
        <v>12</v>
      </c>
      <c r="AD414" s="16">
        <f>Projection_미국!AD67</f>
        <v>13</v>
      </c>
      <c r="AE414" s="23"/>
      <c r="AF414" s="327"/>
      <c r="AG414" s="322" t="s">
        <v>149</v>
      </c>
    </row>
    <row r="415" spans="1:33" ht="13.5" x14ac:dyDescent="0.3">
      <c r="A415" s="360" t="s">
        <v>329</v>
      </c>
      <c r="B415" s="11"/>
      <c r="F415" s="3" t="s">
        <v>332</v>
      </c>
      <c r="L415" s="16"/>
      <c r="M415" s="16"/>
      <c r="N415" s="15"/>
      <c r="O415" s="246">
        <f>Projection_미국!O166</f>
        <v>276802.89333333331</v>
      </c>
      <c r="P415" s="16">
        <v>276831.11111111107</v>
      </c>
      <c r="Q415" s="16">
        <v>276831.11111111107</v>
      </c>
      <c r="R415" s="16">
        <v>276831.11111111107</v>
      </c>
      <c r="S415" s="16">
        <v>276831.11111111107</v>
      </c>
      <c r="T415" s="16">
        <v>276831.11111111107</v>
      </c>
      <c r="U415" s="16">
        <v>276831.11111111107</v>
      </c>
      <c r="V415" s="16">
        <v>276831.11111111107</v>
      </c>
      <c r="W415" s="16">
        <v>276831.11111111107</v>
      </c>
      <c r="X415" s="16">
        <v>276831.11111111107</v>
      </c>
      <c r="Y415" s="292">
        <f>Y413/Y414</f>
        <v>276831.11111111107</v>
      </c>
      <c r="Z415" s="246">
        <f>Z413/Z414</f>
        <v>276831.11111111107</v>
      </c>
      <c r="AA415" s="16">
        <f>Projection_미국!AA166</f>
        <v>270265.94155729277</v>
      </c>
      <c r="AB415" s="16">
        <f>Projection_미국!AB166</f>
        <v>272188.28461430297</v>
      </c>
      <c r="AC415" s="16">
        <f>Projection_미국!AC166</f>
        <v>274187.38519275852</v>
      </c>
      <c r="AD415" s="16">
        <f>Projection_미국!AD166</f>
        <v>276322.09580488264</v>
      </c>
      <c r="AE415" s="23"/>
      <c r="AF415" s="327"/>
    </row>
    <row r="416" spans="1:33" ht="13.5" x14ac:dyDescent="0.3">
      <c r="A416" s="360" t="s">
        <v>329</v>
      </c>
      <c r="B416" s="11"/>
      <c r="E416" s="3" t="s">
        <v>333</v>
      </c>
      <c r="L416" s="16"/>
      <c r="M416" s="16"/>
      <c r="N416" s="15"/>
      <c r="O416" s="246">
        <f>Projection_미국!O167</f>
        <v>1328.45</v>
      </c>
      <c r="P416" s="16">
        <f t="shared" ref="P416:X416" si="278">P$553</f>
        <v>1308.5999999999999</v>
      </c>
      <c r="Q416" s="16">
        <f t="shared" si="278"/>
        <v>1308.5999999999999</v>
      </c>
      <c r="R416" s="16">
        <f t="shared" si="278"/>
        <v>1308.5999999999999</v>
      </c>
      <c r="S416" s="16">
        <f t="shared" si="278"/>
        <v>1289.8</v>
      </c>
      <c r="T416" s="16">
        <f t="shared" si="278"/>
        <v>1289.8</v>
      </c>
      <c r="U416" s="16">
        <f t="shared" si="278"/>
        <v>1289.8</v>
      </c>
      <c r="V416" s="16">
        <f t="shared" si="278"/>
        <v>1259.9000000000001</v>
      </c>
      <c r="W416" s="16">
        <f t="shared" si="278"/>
        <v>1259.9000000000001</v>
      </c>
      <c r="X416" s="16">
        <f t="shared" si="278"/>
        <v>1259.9000000000001</v>
      </c>
      <c r="Y416" s="292">
        <f>Y412/Y413*10^6</f>
        <v>1302.3333333333333</v>
      </c>
      <c r="Z416" s="246">
        <f>Z412/Z413*10^6</f>
        <v>1302.3333333333333</v>
      </c>
      <c r="AA416" s="16">
        <f t="shared" ref="AA416:AD416" si="279">AA$553</f>
        <v>1214.2</v>
      </c>
      <c r="AB416" s="16">
        <f t="shared" si="279"/>
        <v>1201.8</v>
      </c>
      <c r="AC416" s="16">
        <f t="shared" si="279"/>
        <v>1199.3</v>
      </c>
      <c r="AD416" s="16">
        <f t="shared" si="279"/>
        <v>1212</v>
      </c>
      <c r="AE416" s="23"/>
      <c r="AF416" s="327"/>
    </row>
    <row r="417" spans="1:33" ht="13.5" x14ac:dyDescent="0.3">
      <c r="A417" s="360" t="s">
        <v>329</v>
      </c>
      <c r="B417" s="11"/>
      <c r="D417" s="3" t="s">
        <v>135</v>
      </c>
      <c r="L417" s="16"/>
      <c r="M417" s="16"/>
      <c r="N417" s="15"/>
      <c r="O417" s="246">
        <f>O418*O421/10^6</f>
        <v>319.52733593350007</v>
      </c>
      <c r="P417" s="16">
        <f t="shared" ref="P417:X417" si="280">P418*P421/10^6</f>
        <v>0</v>
      </c>
      <c r="Q417" s="16">
        <f t="shared" si="280"/>
        <v>166.44449807999999</v>
      </c>
      <c r="R417" s="16">
        <f t="shared" si="280"/>
        <v>166.44449807999999</v>
      </c>
      <c r="S417" s="16">
        <f t="shared" si="280"/>
        <v>328.10654687999994</v>
      </c>
      <c r="T417" s="16">
        <f t="shared" si="280"/>
        <v>492.15982031999994</v>
      </c>
      <c r="U417" s="16">
        <f t="shared" si="280"/>
        <v>492.15982031999994</v>
      </c>
      <c r="V417" s="16">
        <f t="shared" si="280"/>
        <v>0</v>
      </c>
      <c r="W417" s="16">
        <f t="shared" si="280"/>
        <v>0</v>
      </c>
      <c r="X417" s="16">
        <f t="shared" si="280"/>
        <v>0</v>
      </c>
      <c r="Y417" s="292">
        <f>SUM(P417:X417)</f>
        <v>1645.3151836799998</v>
      </c>
      <c r="Z417" s="246">
        <f>SUM(O417,Y417)</f>
        <v>1964.8425196134999</v>
      </c>
      <c r="AA417" s="119"/>
      <c r="AB417" s="119"/>
      <c r="AC417" s="119"/>
      <c r="AD417" s="119"/>
      <c r="AE417" s="23"/>
      <c r="AF417" s="327"/>
    </row>
    <row r="418" spans="1:33" ht="13.5" x14ac:dyDescent="0.3">
      <c r="A418" s="360" t="s">
        <v>329</v>
      </c>
      <c r="B418" s="11"/>
      <c r="E418" s="3" t="s">
        <v>330</v>
      </c>
      <c r="L418" s="16"/>
      <c r="M418" s="16"/>
      <c r="N418" s="15"/>
      <c r="O418" s="246">
        <f>O419*O420</f>
        <v>240526.43000000005</v>
      </c>
      <c r="P418" s="16">
        <f t="shared" ref="P418:X418" si="281">P419*P420</f>
        <v>0</v>
      </c>
      <c r="Q418" s="16">
        <f t="shared" si="281"/>
        <v>127192.79999999999</v>
      </c>
      <c r="R418" s="16">
        <f t="shared" si="281"/>
        <v>127192.79999999999</v>
      </c>
      <c r="S418" s="16">
        <f t="shared" si="281"/>
        <v>254385.59999999998</v>
      </c>
      <c r="T418" s="16">
        <f t="shared" si="281"/>
        <v>381578.39999999997</v>
      </c>
      <c r="U418" s="16">
        <f t="shared" si="281"/>
        <v>381578.39999999997</v>
      </c>
      <c r="V418" s="16">
        <f t="shared" si="281"/>
        <v>0</v>
      </c>
      <c r="W418" s="16">
        <f t="shared" si="281"/>
        <v>0</v>
      </c>
      <c r="X418" s="16">
        <f t="shared" si="281"/>
        <v>0</v>
      </c>
      <c r="Y418" s="292">
        <f>SUM(P418:X418)</f>
        <v>1271927.9999999998</v>
      </c>
      <c r="Z418" s="246">
        <f>SUM(O418,Y418)</f>
        <v>1512454.4299999997</v>
      </c>
      <c r="AA418" s="119"/>
      <c r="AB418" s="119"/>
      <c r="AC418" s="119"/>
      <c r="AD418" s="119"/>
      <c r="AE418" s="23"/>
      <c r="AF418" s="327"/>
    </row>
    <row r="419" spans="1:33" ht="13.5" x14ac:dyDescent="0.3">
      <c r="A419" s="360" t="s">
        <v>329</v>
      </c>
      <c r="B419" s="11"/>
      <c r="F419" s="3" t="s">
        <v>331</v>
      </c>
      <c r="L419" s="16"/>
      <c r="M419" s="16"/>
      <c r="N419" s="15"/>
      <c r="O419" s="246">
        <v>3</v>
      </c>
      <c r="P419" s="16">
        <v>0</v>
      </c>
      <c r="Q419" s="16">
        <v>1</v>
      </c>
      <c r="R419" s="16">
        <v>1</v>
      </c>
      <c r="S419" s="16">
        <v>2</v>
      </c>
      <c r="T419" s="16">
        <v>3</v>
      </c>
      <c r="U419" s="16">
        <v>3</v>
      </c>
      <c r="V419" s="16">
        <v>0</v>
      </c>
      <c r="W419" s="16">
        <v>0</v>
      </c>
      <c r="X419" s="16">
        <v>0</v>
      </c>
      <c r="Y419" s="292">
        <f>SUM(P419:X419)</f>
        <v>10</v>
      </c>
      <c r="Z419" s="246">
        <f>SUM(O419,Y419)</f>
        <v>13</v>
      </c>
      <c r="AA419" s="119"/>
      <c r="AB419" s="119"/>
      <c r="AC419" s="119"/>
      <c r="AD419" s="119"/>
      <c r="AE419" s="23"/>
      <c r="AF419" s="327"/>
      <c r="AG419" s="322" t="s">
        <v>150</v>
      </c>
    </row>
    <row r="420" spans="1:33" ht="13.5" x14ac:dyDescent="0.3">
      <c r="A420" s="360" t="s">
        <v>329</v>
      </c>
      <c r="B420" s="11"/>
      <c r="F420" s="3" t="s">
        <v>332</v>
      </c>
      <c r="L420" s="16"/>
      <c r="M420" s="16"/>
      <c r="N420" s="15"/>
      <c r="O420" s="246">
        <f>Projection_미국!O171</f>
        <v>80175.476666666684</v>
      </c>
      <c r="P420" s="16">
        <v>127192.79999999999</v>
      </c>
      <c r="Q420" s="16">
        <v>127192.79999999999</v>
      </c>
      <c r="R420" s="16">
        <v>127192.79999999999</v>
      </c>
      <c r="S420" s="16">
        <v>127192.79999999999</v>
      </c>
      <c r="T420" s="16">
        <v>127192.79999999999</v>
      </c>
      <c r="U420" s="16">
        <v>127192.79999999999</v>
      </c>
      <c r="V420" s="16">
        <v>127192.79999999999</v>
      </c>
      <c r="W420" s="16">
        <v>127192.79999999999</v>
      </c>
      <c r="X420" s="16">
        <v>127192.79999999999</v>
      </c>
      <c r="Y420" s="292">
        <f>Y418/Y419</f>
        <v>127192.79999999997</v>
      </c>
      <c r="Z420" s="246">
        <f>Z418/Z419</f>
        <v>116342.64846153844</v>
      </c>
      <c r="AA420" s="119"/>
      <c r="AB420" s="119"/>
      <c r="AC420" s="119"/>
      <c r="AD420" s="119"/>
      <c r="AE420" s="23"/>
      <c r="AF420" s="327"/>
    </row>
    <row r="421" spans="1:33" ht="13.5" x14ac:dyDescent="0.3">
      <c r="A421" s="360" t="s">
        <v>329</v>
      </c>
      <c r="B421" s="11"/>
      <c r="E421" s="3" t="s">
        <v>333</v>
      </c>
      <c r="L421" s="16"/>
      <c r="M421" s="16"/>
      <c r="N421" s="15"/>
      <c r="O421" s="246">
        <f>Projection_미국!O172</f>
        <v>1328.4499999999998</v>
      </c>
      <c r="P421" s="16">
        <f t="shared" ref="P421:AD421" si="282">P$553</f>
        <v>1308.5999999999999</v>
      </c>
      <c r="Q421" s="16">
        <f t="shared" si="282"/>
        <v>1308.5999999999999</v>
      </c>
      <c r="R421" s="16">
        <f t="shared" si="282"/>
        <v>1308.5999999999999</v>
      </c>
      <c r="S421" s="16">
        <f t="shared" si="282"/>
        <v>1289.8</v>
      </c>
      <c r="T421" s="16">
        <f t="shared" si="282"/>
        <v>1289.8</v>
      </c>
      <c r="U421" s="16">
        <f t="shared" si="282"/>
        <v>1289.8</v>
      </c>
      <c r="V421" s="16">
        <f t="shared" si="282"/>
        <v>1259.9000000000001</v>
      </c>
      <c r="W421" s="16">
        <f t="shared" si="282"/>
        <v>1259.9000000000001</v>
      </c>
      <c r="X421" s="16">
        <f t="shared" si="282"/>
        <v>1259.9000000000001</v>
      </c>
      <c r="Y421" s="292">
        <f>Y417/Y418*10^6</f>
        <v>1293.56</v>
      </c>
      <c r="Z421" s="246">
        <f>Z417/Z418*10^6</f>
        <v>1299.1085752008412</v>
      </c>
      <c r="AA421" s="16">
        <f t="shared" si="282"/>
        <v>1214.2</v>
      </c>
      <c r="AB421" s="16">
        <f t="shared" si="282"/>
        <v>1201.8</v>
      </c>
      <c r="AC421" s="16">
        <f t="shared" si="282"/>
        <v>1199.3</v>
      </c>
      <c r="AD421" s="16">
        <f t="shared" si="282"/>
        <v>1212</v>
      </c>
      <c r="AE421" s="23"/>
      <c r="AF421" s="327"/>
    </row>
    <row r="422" spans="1:33" ht="13.5" x14ac:dyDescent="0.3">
      <c r="A422" s="360" t="s">
        <v>329</v>
      </c>
      <c r="B422" s="11"/>
      <c r="D422" s="3" t="s">
        <v>105</v>
      </c>
      <c r="L422" s="16"/>
      <c r="M422" s="16"/>
      <c r="N422" s="15"/>
      <c r="O422" s="246">
        <f>O423+O425+O427+O429+O432+O433</f>
        <v>1624.883259615691</v>
      </c>
      <c r="P422" s="16">
        <f t="shared" ref="P422:Z422" si="283">P423+P425+P427+P429+P432+P433</f>
        <v>500.2245627254996</v>
      </c>
      <c r="Q422" s="16">
        <f t="shared" si="283"/>
        <v>416.40114875392885</v>
      </c>
      <c r="R422" s="16">
        <f t="shared" si="283"/>
        <v>438.46798740584995</v>
      </c>
      <c r="S422" s="16">
        <f t="shared" si="283"/>
        <v>463.21099429001004</v>
      </c>
      <c r="T422" s="16">
        <f t="shared" si="283"/>
        <v>449.06304754150165</v>
      </c>
      <c r="U422" s="16">
        <f t="shared" si="283"/>
        <v>407.42625240189682</v>
      </c>
      <c r="V422" s="16">
        <f t="shared" si="283"/>
        <v>301.49362815162789</v>
      </c>
      <c r="W422" s="16">
        <f t="shared" si="283"/>
        <v>271.25653158502081</v>
      </c>
      <c r="X422" s="16">
        <f t="shared" si="283"/>
        <v>307.11014103798988</v>
      </c>
      <c r="Y422" s="292">
        <f t="shared" si="283"/>
        <v>3554.6542938933253</v>
      </c>
      <c r="Z422" s="246">
        <f t="shared" si="283"/>
        <v>5179.537553509017</v>
      </c>
      <c r="AA422" s="16">
        <f>AA423+AA425+AA427+AA429+AA432+AA433</f>
        <v>4474.8627391451892</v>
      </c>
      <c r="AB422" s="16">
        <f>AB423+AB425+AB427+AB429+AB432+AB433</f>
        <v>4910.3277387595135</v>
      </c>
      <c r="AC422" s="16">
        <f>AC423+AC425+AC427+AC429+AC432+AC433</f>
        <v>5201.4384399281316</v>
      </c>
      <c r="AD422" s="16">
        <f>AD423+AD425+AD427+AD429+AD432+AD433</f>
        <v>5729.3910581841155</v>
      </c>
      <c r="AE422" s="23"/>
      <c r="AF422" s="327"/>
    </row>
    <row r="423" spans="1:33" ht="13.5" x14ac:dyDescent="0.3">
      <c r="A423" s="360" t="s">
        <v>329</v>
      </c>
      <c r="B423" s="11"/>
      <c r="E423" s="3" t="s">
        <v>307</v>
      </c>
      <c r="L423" s="16"/>
      <c r="M423" s="16"/>
      <c r="N423" s="15"/>
      <c r="O423" s="246">
        <f>Projection_미국!O174</f>
        <v>983.41348819199993</v>
      </c>
      <c r="P423" s="16">
        <f t="shared" ref="P423:X423" si="284">SUM(P$397,P$402,P$407,P$412,P$417)*P424</f>
        <v>250.48870416779314</v>
      </c>
      <c r="Q423" s="16">
        <f t="shared" si="284"/>
        <v>227.18285758645962</v>
      </c>
      <c r="R423" s="16">
        <f t="shared" si="284"/>
        <v>228.86138388749035</v>
      </c>
      <c r="S423" s="16">
        <f t="shared" si="284"/>
        <v>234.47736964454202</v>
      </c>
      <c r="T423" s="16">
        <f t="shared" si="284"/>
        <v>223.74384308859695</v>
      </c>
      <c r="U423" s="16">
        <f t="shared" si="284"/>
        <v>201.09138179855174</v>
      </c>
      <c r="V423" s="16">
        <f t="shared" si="284"/>
        <v>150.2791219906328</v>
      </c>
      <c r="W423" s="16">
        <f t="shared" si="284"/>
        <v>139.14768593889215</v>
      </c>
      <c r="X423" s="16">
        <f t="shared" si="284"/>
        <v>152.22046247800569</v>
      </c>
      <c r="Y423" s="292">
        <f>SUM(P423:X423)</f>
        <v>1807.4928105809645</v>
      </c>
      <c r="Z423" s="246">
        <f>SUM(O423,Y423)</f>
        <v>2790.9062987729644</v>
      </c>
      <c r="AA423" s="16">
        <f>Projection_미국!AA174</f>
        <v>1437.4133415707443</v>
      </c>
      <c r="AB423" s="16">
        <f>Projection_미국!AB174</f>
        <v>1566.7173915727312</v>
      </c>
      <c r="AC423" s="16">
        <f>Projection_미국!AC174</f>
        <v>1659.0352438290495</v>
      </c>
      <c r="AD423" s="16">
        <f>Projection_미국!AD174</f>
        <v>1838.8223669309045</v>
      </c>
      <c r="AE423" s="23"/>
      <c r="AF423" s="327"/>
    </row>
    <row r="424" spans="1:33" ht="13.5" x14ac:dyDescent="0.3">
      <c r="A424" s="360" t="s">
        <v>329</v>
      </c>
      <c r="B424" s="11"/>
      <c r="F424" s="3" t="s">
        <v>317</v>
      </c>
      <c r="I424" s="361">
        <v>6.3423891671436028E-2</v>
      </c>
      <c r="L424" s="16"/>
      <c r="M424" s="16"/>
      <c r="N424" s="15"/>
      <c r="O424" s="362">
        <f>O423/SUM(O$417,O$412,O$407,O$402,O$397)</f>
        <v>0.13202111625785271</v>
      </c>
      <c r="P424" s="363">
        <f>$I424</f>
        <v>6.3423891671436028E-2</v>
      </c>
      <c r="Q424" s="363">
        <f t="shared" ref="P424:X428" si="285">$I424</f>
        <v>6.3423891671436028E-2</v>
      </c>
      <c r="R424" s="363">
        <f t="shared" si="285"/>
        <v>6.3423891671436028E-2</v>
      </c>
      <c r="S424" s="363">
        <f t="shared" si="285"/>
        <v>6.3423891671436028E-2</v>
      </c>
      <c r="T424" s="363">
        <f t="shared" si="285"/>
        <v>6.3423891671436028E-2</v>
      </c>
      <c r="U424" s="363">
        <f t="shared" si="285"/>
        <v>6.3423891671436028E-2</v>
      </c>
      <c r="V424" s="363">
        <f t="shared" si="285"/>
        <v>6.3423891671436028E-2</v>
      </c>
      <c r="W424" s="363">
        <f t="shared" si="285"/>
        <v>6.3423891671436028E-2</v>
      </c>
      <c r="X424" s="363">
        <f t="shared" si="285"/>
        <v>6.3423891671436028E-2</v>
      </c>
      <c r="Y424" s="364">
        <f>Y423/SUM(Y$417,Y$412,Y$407,Y$402,Y$397)</f>
        <v>6.3423891671436028E-2</v>
      </c>
      <c r="Z424" s="362">
        <f>Z423/SUM(Z$417,Z$412,Z$407,Z$402,Z$397)</f>
        <v>7.7638351259055133E-2</v>
      </c>
      <c r="AA424" s="119"/>
      <c r="AB424" s="119"/>
      <c r="AC424" s="119"/>
      <c r="AD424" s="119"/>
      <c r="AE424" s="23"/>
      <c r="AF424" s="327"/>
    </row>
    <row r="425" spans="1:33" ht="13.5" x14ac:dyDescent="0.3">
      <c r="A425" s="360" t="s">
        <v>329</v>
      </c>
      <c r="B425" s="11"/>
      <c r="E425" s="3" t="s">
        <v>309</v>
      </c>
      <c r="I425" s="3"/>
      <c r="L425" s="16"/>
      <c r="M425" s="16"/>
      <c r="N425" s="15"/>
      <c r="O425" s="246">
        <v>439.60982100000001</v>
      </c>
      <c r="P425" s="16">
        <f t="shared" ref="P425:X425" si="286">SUM(P$397,P$402,P$407,P$412,P$417)*P426</f>
        <v>271.23771912060249</v>
      </c>
      <c r="Q425" s="16">
        <f t="shared" si="286"/>
        <v>246.00135291439983</v>
      </c>
      <c r="R425" s="16">
        <f t="shared" si="286"/>
        <v>247.81891848841684</v>
      </c>
      <c r="S425" s="16">
        <f t="shared" si="286"/>
        <v>253.90009956369639</v>
      </c>
      <c r="T425" s="16">
        <f t="shared" si="286"/>
        <v>242.27747062788316</v>
      </c>
      <c r="U425" s="16">
        <f t="shared" si="286"/>
        <v>217.74861231791388</v>
      </c>
      <c r="V425" s="16">
        <f t="shared" si="286"/>
        <v>162.72736295877633</v>
      </c>
      <c r="W425" s="16">
        <f t="shared" si="286"/>
        <v>150.67386403856756</v>
      </c>
      <c r="X425" s="16">
        <f t="shared" si="286"/>
        <v>164.82951270473362</v>
      </c>
      <c r="Y425" s="292">
        <f>SUM(P425:X425)</f>
        <v>1957.2149127349899</v>
      </c>
      <c r="Z425" s="246">
        <f>SUM(O425,Y425)</f>
        <v>2396.8247337349899</v>
      </c>
      <c r="AA425" s="16">
        <f>Projection_미국!AA176</f>
        <v>1900.1871830097293</v>
      </c>
      <c r="AB425" s="16">
        <f>Projection_미국!AB176</f>
        <v>2071.1205474214808</v>
      </c>
      <c r="AC425" s="16">
        <f>Projection_미국!AC176</f>
        <v>2193.1600433320646</v>
      </c>
      <c r="AD425" s="16">
        <f>Projection_미국!AD176</f>
        <v>2430.8294576252556</v>
      </c>
      <c r="AE425" s="23"/>
      <c r="AF425" s="327"/>
    </row>
    <row r="426" spans="1:33" ht="13.5" x14ac:dyDescent="0.3">
      <c r="A426" s="360" t="s">
        <v>329</v>
      </c>
      <c r="B426" s="11"/>
      <c r="F426" s="3" t="s">
        <v>317</v>
      </c>
      <c r="I426" s="361">
        <v>6.8677554829733409E-2</v>
      </c>
      <c r="L426" s="16"/>
      <c r="M426" s="16"/>
      <c r="N426" s="15"/>
      <c r="O426" s="362">
        <f>O425/SUM(O$417,O$412,O$407,O$402,O$397)</f>
        <v>5.9016659811161373E-2</v>
      </c>
      <c r="P426" s="363">
        <f t="shared" si="285"/>
        <v>6.8677554829733409E-2</v>
      </c>
      <c r="Q426" s="363">
        <f t="shared" si="285"/>
        <v>6.8677554829733409E-2</v>
      </c>
      <c r="R426" s="363">
        <f t="shared" si="285"/>
        <v>6.8677554829733409E-2</v>
      </c>
      <c r="S426" s="363">
        <f t="shared" si="285"/>
        <v>6.8677554829733409E-2</v>
      </c>
      <c r="T426" s="363">
        <f t="shared" si="285"/>
        <v>6.8677554829733409E-2</v>
      </c>
      <c r="U426" s="363">
        <f t="shared" si="285"/>
        <v>6.8677554829733409E-2</v>
      </c>
      <c r="V426" s="363">
        <f t="shared" si="285"/>
        <v>6.8677554829733409E-2</v>
      </c>
      <c r="W426" s="363">
        <f t="shared" si="285"/>
        <v>6.8677554829733409E-2</v>
      </c>
      <c r="X426" s="363">
        <f t="shared" si="285"/>
        <v>6.8677554829733409E-2</v>
      </c>
      <c r="Y426" s="364">
        <f>Y425/SUM(Y$417,Y$412,Y$407,Y$402,Y$397)</f>
        <v>6.8677554829733395E-2</v>
      </c>
      <c r="Z426" s="362">
        <f>Z425/SUM(Z$417,Z$412,Z$407,Z$402,Z$397)</f>
        <v>6.6675660399606346E-2</v>
      </c>
      <c r="AA426" s="119"/>
      <c r="AB426" s="119"/>
      <c r="AC426" s="119"/>
      <c r="AD426" s="119"/>
      <c r="AE426" s="23"/>
      <c r="AF426" s="327"/>
    </row>
    <row r="427" spans="1:33" ht="13.5" x14ac:dyDescent="0.3">
      <c r="A427" s="360" t="s">
        <v>329</v>
      </c>
      <c r="B427" s="11"/>
      <c r="E427" s="3" t="s">
        <v>310</v>
      </c>
      <c r="I427" s="3"/>
      <c r="L427" s="16"/>
      <c r="M427" s="16"/>
      <c r="N427" s="15"/>
      <c r="O427" s="246">
        <v>0</v>
      </c>
      <c r="P427" s="16">
        <f t="shared" ref="P427:X427" si="287">SUM(P$397,P$402,P$407,P$412,P$417)*P428</f>
        <v>0</v>
      </c>
      <c r="Q427" s="16">
        <f t="shared" si="287"/>
        <v>0</v>
      </c>
      <c r="R427" s="16">
        <f t="shared" si="287"/>
        <v>0</v>
      </c>
      <c r="S427" s="16">
        <f t="shared" si="287"/>
        <v>0</v>
      </c>
      <c r="T427" s="16">
        <f t="shared" si="287"/>
        <v>0</v>
      </c>
      <c r="U427" s="16">
        <f t="shared" si="287"/>
        <v>0</v>
      </c>
      <c r="V427" s="16">
        <f t="shared" si="287"/>
        <v>0</v>
      </c>
      <c r="W427" s="16">
        <f t="shared" si="287"/>
        <v>0</v>
      </c>
      <c r="X427" s="16">
        <f t="shared" si="287"/>
        <v>0</v>
      </c>
      <c r="Y427" s="292">
        <f>SUM(P427:X427)</f>
        <v>0</v>
      </c>
      <c r="Z427" s="246">
        <f>SUM(O427,Y427)</f>
        <v>0</v>
      </c>
      <c r="AA427" s="119"/>
      <c r="AB427" s="119"/>
      <c r="AC427" s="119"/>
      <c r="AD427" s="119"/>
      <c r="AE427" s="23"/>
      <c r="AF427" s="327"/>
    </row>
    <row r="428" spans="1:33" ht="13.5" x14ac:dyDescent="0.3">
      <c r="A428" s="360" t="s">
        <v>329</v>
      </c>
      <c r="B428" s="11"/>
      <c r="F428" s="3" t="s">
        <v>317</v>
      </c>
      <c r="I428" s="361">
        <v>0</v>
      </c>
      <c r="L428" s="16"/>
      <c r="M428" s="16"/>
      <c r="N428" s="15"/>
      <c r="O428" s="362">
        <f>O427/SUM(O$417,O$412,O$407,O$402,O$397)</f>
        <v>0</v>
      </c>
      <c r="P428" s="363">
        <f t="shared" si="285"/>
        <v>0</v>
      </c>
      <c r="Q428" s="363">
        <f t="shared" si="285"/>
        <v>0</v>
      </c>
      <c r="R428" s="363">
        <f t="shared" si="285"/>
        <v>0</v>
      </c>
      <c r="S428" s="363">
        <f t="shared" si="285"/>
        <v>0</v>
      </c>
      <c r="T428" s="363">
        <f t="shared" si="285"/>
        <v>0</v>
      </c>
      <c r="U428" s="363">
        <f t="shared" si="285"/>
        <v>0</v>
      </c>
      <c r="V428" s="363">
        <f t="shared" si="285"/>
        <v>0</v>
      </c>
      <c r="W428" s="363">
        <f t="shared" si="285"/>
        <v>0</v>
      </c>
      <c r="X428" s="363">
        <f t="shared" si="285"/>
        <v>0</v>
      </c>
      <c r="Y428" s="364">
        <f>Y427/SUM(Y$417,Y$412,Y$407,Y$402,Y$397)</f>
        <v>0</v>
      </c>
      <c r="Z428" s="362">
        <f>Z427/SUM(Z$417,Z$412,Z$407,Z$402,Z$397)</f>
        <v>0</v>
      </c>
      <c r="AA428" s="137">
        <f>$I428</f>
        <v>0</v>
      </c>
      <c r="AB428" s="137">
        <f>$I428</f>
        <v>0</v>
      </c>
      <c r="AC428" s="137">
        <f>$I428</f>
        <v>0</v>
      </c>
      <c r="AD428" s="137">
        <f>$I428</f>
        <v>0</v>
      </c>
      <c r="AE428" s="23"/>
      <c r="AF428" s="327"/>
    </row>
    <row r="429" spans="1:33" ht="13.5" x14ac:dyDescent="0.3">
      <c r="A429" s="360" t="s">
        <v>329</v>
      </c>
      <c r="B429" s="11"/>
      <c r="E429" s="3" t="s">
        <v>311</v>
      </c>
      <c r="I429" s="3"/>
      <c r="L429" s="16"/>
      <c r="M429" s="16"/>
      <c r="N429" s="15"/>
      <c r="O429" s="246">
        <v>201.85995042369103</v>
      </c>
      <c r="P429" s="16">
        <f t="shared" ref="P429:X429" si="288">P430*P431</f>
        <v>94.0349998447697</v>
      </c>
      <c r="Q429" s="16">
        <f t="shared" si="288"/>
        <v>68.389090796196143</v>
      </c>
      <c r="R429" s="16">
        <f t="shared" si="288"/>
        <v>74.088181695879157</v>
      </c>
      <c r="S429" s="16">
        <f t="shared" si="288"/>
        <v>85.486363495245186</v>
      </c>
      <c r="T429" s="16">
        <f t="shared" si="288"/>
        <v>68.389090796196143</v>
      </c>
      <c r="U429" s="16">
        <f t="shared" si="288"/>
        <v>74.088181695879157</v>
      </c>
      <c r="V429" s="16">
        <f t="shared" si="288"/>
        <v>56.990908996830129</v>
      </c>
      <c r="W429" s="16">
        <f t="shared" si="288"/>
        <v>54.141363546988622</v>
      </c>
      <c r="X429" s="16">
        <f t="shared" si="288"/>
        <v>56.990908996830129</v>
      </c>
      <c r="Y429" s="292">
        <f>SUM(P429:X429)</f>
        <v>632.59908986481446</v>
      </c>
      <c r="Z429" s="246">
        <f>SUM(O429,Y429)</f>
        <v>834.45904028850555</v>
      </c>
      <c r="AA429" s="16">
        <f>Projection_미국!AA178</f>
        <v>1137.2622145647158</v>
      </c>
      <c r="AB429" s="16">
        <f>Projection_미국!AB178</f>
        <v>1272.4897997653013</v>
      </c>
      <c r="AC429" s="16">
        <f>Projection_미국!AC178</f>
        <v>1349.243152767018</v>
      </c>
      <c r="AD429" s="16">
        <f>Projection_미국!AD178</f>
        <v>1459.7392336279552</v>
      </c>
      <c r="AE429" s="23"/>
      <c r="AF429" s="327"/>
    </row>
    <row r="430" spans="1:33" ht="13.5" x14ac:dyDescent="0.3">
      <c r="A430" s="360" t="s">
        <v>329</v>
      </c>
      <c r="B430" s="11"/>
      <c r="F430" s="3" t="s">
        <v>318</v>
      </c>
      <c r="I430" s="3"/>
      <c r="L430" s="16"/>
      <c r="M430" s="16"/>
      <c r="N430" s="15"/>
      <c r="O430" s="246">
        <f>SUM(O399,O404,O409,O414,O419)</f>
        <v>70</v>
      </c>
      <c r="P430" s="16">
        <f t="shared" ref="P430:AD430" si="289">SUM(P399,P404,P409,P414,P419)</f>
        <v>33</v>
      </c>
      <c r="Q430" s="16">
        <f t="shared" si="289"/>
        <v>24</v>
      </c>
      <c r="R430" s="16">
        <f t="shared" si="289"/>
        <v>26</v>
      </c>
      <c r="S430" s="16">
        <f t="shared" si="289"/>
        <v>30</v>
      </c>
      <c r="T430" s="16">
        <f t="shared" si="289"/>
        <v>24</v>
      </c>
      <c r="U430" s="16">
        <f t="shared" si="289"/>
        <v>26</v>
      </c>
      <c r="V430" s="16">
        <f t="shared" si="289"/>
        <v>20</v>
      </c>
      <c r="W430" s="16">
        <f t="shared" si="289"/>
        <v>19</v>
      </c>
      <c r="X430" s="16">
        <f t="shared" si="289"/>
        <v>20</v>
      </c>
      <c r="Y430" s="292">
        <f t="shared" si="289"/>
        <v>222</v>
      </c>
      <c r="Z430" s="246">
        <f t="shared" si="289"/>
        <v>292</v>
      </c>
      <c r="AA430" s="16">
        <f t="shared" si="289"/>
        <v>288</v>
      </c>
      <c r="AB430" s="16">
        <f t="shared" si="289"/>
        <v>315</v>
      </c>
      <c r="AC430" s="16">
        <f t="shared" si="289"/>
        <v>334</v>
      </c>
      <c r="AD430" s="16">
        <f t="shared" si="289"/>
        <v>361</v>
      </c>
      <c r="AE430" s="23"/>
      <c r="AF430" s="327"/>
    </row>
    <row r="431" spans="1:33" ht="13.5" x14ac:dyDescent="0.3">
      <c r="A431" s="360" t="s">
        <v>329</v>
      </c>
      <c r="B431" s="11"/>
      <c r="F431" s="3" t="s">
        <v>319</v>
      </c>
      <c r="I431" s="365">
        <v>2.8495454498415063</v>
      </c>
      <c r="L431" s="16"/>
      <c r="M431" s="16"/>
      <c r="N431" s="15"/>
      <c r="O431" s="250">
        <f>O429/O430</f>
        <v>2.8837135774813003</v>
      </c>
      <c r="P431" s="247">
        <f t="shared" ref="P431:X431" si="290">$I431</f>
        <v>2.8495454498415063</v>
      </c>
      <c r="Q431" s="247">
        <f t="shared" si="290"/>
        <v>2.8495454498415063</v>
      </c>
      <c r="R431" s="247">
        <f t="shared" si="290"/>
        <v>2.8495454498415063</v>
      </c>
      <c r="S431" s="247">
        <f t="shared" si="290"/>
        <v>2.8495454498415063</v>
      </c>
      <c r="T431" s="247">
        <f t="shared" si="290"/>
        <v>2.8495454498415063</v>
      </c>
      <c r="U431" s="247">
        <f t="shared" si="290"/>
        <v>2.8495454498415063</v>
      </c>
      <c r="V431" s="247">
        <f t="shared" si="290"/>
        <v>2.8495454498415063</v>
      </c>
      <c r="W431" s="247">
        <f t="shared" si="290"/>
        <v>2.8495454498415063</v>
      </c>
      <c r="X431" s="247">
        <f t="shared" si="290"/>
        <v>2.8495454498415063</v>
      </c>
      <c r="Y431" s="366">
        <f t="shared" ref="Y431:AD431" si="291">Y429/Y430</f>
        <v>2.8495454498415067</v>
      </c>
      <c r="Z431" s="250">
        <f t="shared" si="291"/>
        <v>2.8577364393441971</v>
      </c>
      <c r="AA431" s="247">
        <f t="shared" si="291"/>
        <v>3.9488271339052634</v>
      </c>
      <c r="AB431" s="247">
        <f t="shared" si="291"/>
        <v>4.0396501579850836</v>
      </c>
      <c r="AC431" s="247">
        <f t="shared" si="291"/>
        <v>4.0396501579850836</v>
      </c>
      <c r="AD431" s="247">
        <f t="shared" si="291"/>
        <v>4.0435989851189893</v>
      </c>
      <c r="AE431" s="23"/>
      <c r="AF431" s="327"/>
    </row>
    <row r="432" spans="1:33" ht="13.5" x14ac:dyDescent="0.3">
      <c r="A432" s="360" t="s">
        <v>329</v>
      </c>
      <c r="B432" s="11"/>
      <c r="E432" s="3" t="s">
        <v>314</v>
      </c>
      <c r="I432" s="3"/>
      <c r="L432" s="16"/>
      <c r="M432" s="16"/>
      <c r="N432" s="15"/>
      <c r="O432" s="246">
        <v>0</v>
      </c>
      <c r="P432" s="16">
        <v>-115.53686040766569</v>
      </c>
      <c r="Q432" s="16">
        <v>-125.17215254312667</v>
      </c>
      <c r="R432" s="16">
        <v>-112.30049666593642</v>
      </c>
      <c r="S432" s="16">
        <v>-110.65283841347356</v>
      </c>
      <c r="T432" s="16">
        <v>-85.347356971174563</v>
      </c>
      <c r="U432" s="16">
        <v>-85.50192341044793</v>
      </c>
      <c r="V432" s="16">
        <v>-68.50376579461134</v>
      </c>
      <c r="W432" s="16">
        <v>-72.706381939427487</v>
      </c>
      <c r="X432" s="16">
        <v>-66.930743141579569</v>
      </c>
      <c r="Y432" s="292">
        <f>SUM(P432:X432)</f>
        <v>-842.65251928744328</v>
      </c>
      <c r="Z432" s="246">
        <f>SUM(O432,Y432)</f>
        <v>-842.65251928744328</v>
      </c>
      <c r="AA432" s="119"/>
      <c r="AB432" s="119"/>
      <c r="AC432" s="119"/>
      <c r="AD432" s="119"/>
      <c r="AE432" s="23"/>
      <c r="AF432" s="327"/>
    </row>
    <row r="433" spans="1:33" ht="13.5" x14ac:dyDescent="0.3">
      <c r="A433" s="360" t="s">
        <v>329</v>
      </c>
      <c r="B433" s="11"/>
      <c r="E433" s="3" t="s">
        <v>105</v>
      </c>
      <c r="L433" s="16"/>
      <c r="M433" s="16"/>
      <c r="N433" s="15"/>
      <c r="O433" s="246">
        <v>0</v>
      </c>
      <c r="P433" s="16">
        <v>0</v>
      </c>
      <c r="Q433" s="16">
        <v>0</v>
      </c>
      <c r="R433" s="16">
        <v>0</v>
      </c>
      <c r="S433" s="16">
        <v>0</v>
      </c>
      <c r="T433" s="16">
        <v>0</v>
      </c>
      <c r="U433" s="16">
        <v>0</v>
      </c>
      <c r="V433" s="16">
        <v>0</v>
      </c>
      <c r="W433" s="16">
        <v>0</v>
      </c>
      <c r="X433" s="16">
        <v>0</v>
      </c>
      <c r="Y433" s="292">
        <f>SUM(P433:X433)</f>
        <v>0</v>
      </c>
      <c r="Z433" s="246">
        <f>SUM(O433,Y433)</f>
        <v>0</v>
      </c>
      <c r="AA433" s="119"/>
      <c r="AB433" s="119"/>
      <c r="AC433" s="119"/>
      <c r="AD433" s="119"/>
      <c r="AE433" s="23"/>
      <c r="AF433" s="327"/>
    </row>
    <row r="434" spans="1:33" ht="13.5" x14ac:dyDescent="0.3">
      <c r="A434" s="360" t="s">
        <v>334</v>
      </c>
      <c r="C434" s="3" t="s">
        <v>240</v>
      </c>
      <c r="L434" s="16"/>
      <c r="M434" s="16"/>
      <c r="N434" s="15"/>
      <c r="O434" s="246">
        <f>O435+O440+O445+O450+O455+O460</f>
        <v>2167.0505376289429</v>
      </c>
      <c r="P434" s="16">
        <f t="shared" ref="P434:AD434" si="292">P435+P440+P445+P450+P455+P460</f>
        <v>762.93225457246922</v>
      </c>
      <c r="Q434" s="16">
        <f t="shared" si="292"/>
        <v>851.20961089782452</v>
      </c>
      <c r="R434" s="16">
        <f t="shared" si="292"/>
        <v>1031.3089989200628</v>
      </c>
      <c r="S434" s="16">
        <f t="shared" si="292"/>
        <v>715.99510158540488</v>
      </c>
      <c r="T434" s="16">
        <f t="shared" si="292"/>
        <v>869.43210221457275</v>
      </c>
      <c r="U434" s="16">
        <f t="shared" si="292"/>
        <v>575.51157242696797</v>
      </c>
      <c r="V434" s="16">
        <f t="shared" si="292"/>
        <v>1299.1230273048566</v>
      </c>
      <c r="W434" s="16">
        <f t="shared" si="292"/>
        <v>807.10598636483633</v>
      </c>
      <c r="X434" s="16">
        <f t="shared" si="292"/>
        <v>932.62852056259953</v>
      </c>
      <c r="Y434" s="292">
        <f t="shared" si="292"/>
        <v>7845.2471748495936</v>
      </c>
      <c r="Z434" s="246">
        <f t="shared" si="292"/>
        <v>10012.297712478538</v>
      </c>
      <c r="AA434" s="16">
        <f t="shared" si="292"/>
        <v>9396.3121747102687</v>
      </c>
      <c r="AB434" s="16">
        <f t="shared" si="292"/>
        <v>10066.314914847799</v>
      </c>
      <c r="AC434" s="16">
        <f t="shared" si="292"/>
        <v>11226.868543378721</v>
      </c>
      <c r="AD434" s="16">
        <f t="shared" si="292"/>
        <v>12439.524307955882</v>
      </c>
      <c r="AE434" s="151"/>
      <c r="AF434" s="327"/>
    </row>
    <row r="435" spans="1:33" ht="13.5" x14ac:dyDescent="0.3">
      <c r="A435" s="360" t="s">
        <v>334</v>
      </c>
      <c r="B435" s="11"/>
      <c r="D435" s="3" t="s">
        <v>131</v>
      </c>
      <c r="L435" s="16"/>
      <c r="M435" s="16"/>
      <c r="N435" s="15"/>
      <c r="O435" s="246">
        <f>O436*O439/10^6</f>
        <v>0</v>
      </c>
      <c r="P435" s="16">
        <f t="shared" ref="P435:X435" si="293">P436*P439/10^6</f>
        <v>0</v>
      </c>
      <c r="Q435" s="16">
        <f t="shared" si="293"/>
        <v>196.113339</v>
      </c>
      <c r="R435" s="16">
        <f t="shared" si="293"/>
        <v>0</v>
      </c>
      <c r="S435" s="16">
        <f t="shared" si="293"/>
        <v>193.29587699999999</v>
      </c>
      <c r="T435" s="16">
        <f t="shared" si="293"/>
        <v>0</v>
      </c>
      <c r="U435" s="16">
        <f t="shared" si="293"/>
        <v>0</v>
      </c>
      <c r="V435" s="16">
        <f t="shared" si="293"/>
        <v>188.81491349999999</v>
      </c>
      <c r="W435" s="16">
        <f t="shared" si="293"/>
        <v>0</v>
      </c>
      <c r="X435" s="16">
        <f t="shared" si="293"/>
        <v>0</v>
      </c>
      <c r="Y435" s="292">
        <f>SUM(P435:X435)</f>
        <v>578.2241295</v>
      </c>
      <c r="Z435" s="246">
        <f>SUM(O435,Y435)</f>
        <v>578.2241295</v>
      </c>
      <c r="AA435" s="16">
        <f t="shared" ref="AA435:AD435" si="294">AA436*AA439/10^6</f>
        <v>569.71960588052855</v>
      </c>
      <c r="AB435" s="16">
        <f t="shared" si="294"/>
        <v>566.29496979696569</v>
      </c>
      <c r="AC435" s="16">
        <f t="shared" si="294"/>
        <v>760.18986312059326</v>
      </c>
      <c r="AD435" s="16">
        <f t="shared" si="294"/>
        <v>1161.2221145818514</v>
      </c>
      <c r="AE435" s="23"/>
      <c r="AF435" s="327"/>
    </row>
    <row r="436" spans="1:33" ht="13.5" x14ac:dyDescent="0.3">
      <c r="A436" s="360" t="s">
        <v>334</v>
      </c>
      <c r="B436" s="11"/>
      <c r="E436" s="3" t="s">
        <v>330</v>
      </c>
      <c r="L436" s="16"/>
      <c r="M436" s="16"/>
      <c r="N436" s="15"/>
      <c r="O436" s="246">
        <f>O437*O438</f>
        <v>0</v>
      </c>
      <c r="P436" s="16">
        <f t="shared" ref="P436:X436" si="295">P437*P438</f>
        <v>0</v>
      </c>
      <c r="Q436" s="16">
        <f t="shared" si="295"/>
        <v>149865</v>
      </c>
      <c r="R436" s="16">
        <f t="shared" si="295"/>
        <v>0</v>
      </c>
      <c r="S436" s="16">
        <f t="shared" si="295"/>
        <v>149865</v>
      </c>
      <c r="T436" s="16">
        <f t="shared" si="295"/>
        <v>0</v>
      </c>
      <c r="U436" s="16">
        <f t="shared" si="295"/>
        <v>0</v>
      </c>
      <c r="V436" s="16">
        <f t="shared" si="295"/>
        <v>149865</v>
      </c>
      <c r="W436" s="16">
        <f t="shared" si="295"/>
        <v>0</v>
      </c>
      <c r="X436" s="16">
        <f t="shared" si="295"/>
        <v>0</v>
      </c>
      <c r="Y436" s="292">
        <f>SUM(P436:X436)</f>
        <v>449595</v>
      </c>
      <c r="Z436" s="246">
        <f>SUM(O436,Y436)</f>
        <v>449595</v>
      </c>
      <c r="AA436" s="16">
        <f t="shared" ref="AA436:AD436" si="296">AA437*AA438</f>
        <v>469213.97288793325</v>
      </c>
      <c r="AB436" s="16">
        <f t="shared" si="296"/>
        <v>471205.66633130779</v>
      </c>
      <c r="AC436" s="16">
        <f t="shared" si="296"/>
        <v>633861.30502842774</v>
      </c>
      <c r="AD436" s="16">
        <f t="shared" si="296"/>
        <v>958104.0549355211</v>
      </c>
      <c r="AE436" s="23"/>
      <c r="AF436" s="327"/>
    </row>
    <row r="437" spans="1:33" ht="13.5" x14ac:dyDescent="0.3">
      <c r="A437" s="360" t="s">
        <v>334</v>
      </c>
      <c r="B437" s="11"/>
      <c r="F437" s="3" t="s">
        <v>331</v>
      </c>
      <c r="L437" s="16"/>
      <c r="M437" s="16"/>
      <c r="N437" s="15"/>
      <c r="O437" s="246">
        <f>Projection_미국!O186</f>
        <v>0</v>
      </c>
      <c r="P437" s="16">
        <v>0</v>
      </c>
      <c r="Q437" s="16">
        <v>1</v>
      </c>
      <c r="R437" s="16">
        <v>0</v>
      </c>
      <c r="S437" s="16">
        <v>1</v>
      </c>
      <c r="T437" s="16">
        <v>0</v>
      </c>
      <c r="U437" s="16">
        <v>0</v>
      </c>
      <c r="V437" s="16">
        <v>1</v>
      </c>
      <c r="W437" s="16">
        <v>0</v>
      </c>
      <c r="X437" s="16">
        <v>0</v>
      </c>
      <c r="Y437" s="292">
        <f>SUM(P437:X437)</f>
        <v>3</v>
      </c>
      <c r="Z437" s="246">
        <f>SUM(O437,Y437)</f>
        <v>3</v>
      </c>
      <c r="AA437" s="16">
        <f>Projection_미국!AA96</f>
        <v>3</v>
      </c>
      <c r="AB437" s="16">
        <f>Projection_미국!AB96</f>
        <v>3</v>
      </c>
      <c r="AC437" s="16">
        <f>Projection_미국!AC96</f>
        <v>4</v>
      </c>
      <c r="AD437" s="16">
        <f>Projection_미국!AD96</f>
        <v>6</v>
      </c>
      <c r="AE437" s="23"/>
      <c r="AF437" s="327"/>
      <c r="AG437" s="322" t="s">
        <v>146</v>
      </c>
    </row>
    <row r="438" spans="1:33" ht="13.5" x14ac:dyDescent="0.3">
      <c r="A438" s="360" t="s">
        <v>334</v>
      </c>
      <c r="B438" s="11"/>
      <c r="F438" s="3" t="s">
        <v>332</v>
      </c>
      <c r="L438" s="16"/>
      <c r="M438" s="16"/>
      <c r="N438" s="15"/>
      <c r="O438" s="246">
        <f>Projection_미국!O187</f>
        <v>0</v>
      </c>
      <c r="P438" s="16">
        <v>149865</v>
      </c>
      <c r="Q438" s="16">
        <v>149865</v>
      </c>
      <c r="R438" s="16">
        <v>149865</v>
      </c>
      <c r="S438" s="16">
        <v>149865</v>
      </c>
      <c r="T438" s="16">
        <v>149865</v>
      </c>
      <c r="U438" s="16">
        <v>149865</v>
      </c>
      <c r="V438" s="16">
        <v>149865</v>
      </c>
      <c r="W438" s="16">
        <v>149865</v>
      </c>
      <c r="X438" s="16">
        <v>149865</v>
      </c>
      <c r="Y438" s="292">
        <f>Y436/Y437</f>
        <v>149865</v>
      </c>
      <c r="Z438" s="246">
        <f>Z436/Z437</f>
        <v>149865</v>
      </c>
      <c r="AA438" s="16">
        <f>Projection_미국!AA187</f>
        <v>156404.65762931108</v>
      </c>
      <c r="AB438" s="16">
        <f>Projection_미국!AB187</f>
        <v>157068.55544376926</v>
      </c>
      <c r="AC438" s="16">
        <f>Projection_미국!AC187</f>
        <v>158465.32625710694</v>
      </c>
      <c r="AD438" s="16">
        <f>Projection_미국!AD187</f>
        <v>159684.00915592018</v>
      </c>
      <c r="AE438" s="23"/>
      <c r="AF438" s="327"/>
    </row>
    <row r="439" spans="1:33" ht="13.5" x14ac:dyDescent="0.3">
      <c r="A439" s="360" t="s">
        <v>334</v>
      </c>
      <c r="B439" s="11"/>
      <c r="E439" s="3" t="s">
        <v>333</v>
      </c>
      <c r="L439" s="16"/>
      <c r="M439" s="16"/>
      <c r="N439" s="15"/>
      <c r="O439" s="246">
        <f>Projection_미국!O188</f>
        <v>0</v>
      </c>
      <c r="P439" s="16">
        <f>P$553</f>
        <v>1308.5999999999999</v>
      </c>
      <c r="Q439" s="16">
        <f t="shared" ref="Q439:X439" si="297">Q$553</f>
        <v>1308.5999999999999</v>
      </c>
      <c r="R439" s="16">
        <f t="shared" si="297"/>
        <v>1308.5999999999999</v>
      </c>
      <c r="S439" s="16">
        <f t="shared" si="297"/>
        <v>1289.8</v>
      </c>
      <c r="T439" s="16">
        <f t="shared" si="297"/>
        <v>1289.8</v>
      </c>
      <c r="U439" s="16">
        <f t="shared" si="297"/>
        <v>1289.8</v>
      </c>
      <c r="V439" s="16">
        <f t="shared" si="297"/>
        <v>1259.9000000000001</v>
      </c>
      <c r="W439" s="16">
        <f t="shared" si="297"/>
        <v>1259.9000000000001</v>
      </c>
      <c r="X439" s="16">
        <f t="shared" si="297"/>
        <v>1259.9000000000001</v>
      </c>
      <c r="Y439" s="292">
        <f>Y435/Y436*10^6</f>
        <v>1286.1000000000001</v>
      </c>
      <c r="Z439" s="246">
        <f>Z435/Z436*10^6</f>
        <v>1286.1000000000001</v>
      </c>
      <c r="AA439" s="16">
        <f t="shared" ref="AA439:AD439" si="298">AA$553</f>
        <v>1214.2</v>
      </c>
      <c r="AB439" s="16">
        <f t="shared" si="298"/>
        <v>1201.8</v>
      </c>
      <c r="AC439" s="16">
        <f t="shared" si="298"/>
        <v>1199.3</v>
      </c>
      <c r="AD439" s="16">
        <f t="shared" si="298"/>
        <v>1212</v>
      </c>
      <c r="AE439" s="23"/>
      <c r="AF439" s="327"/>
    </row>
    <row r="440" spans="1:33" ht="13.5" x14ac:dyDescent="0.3">
      <c r="A440" s="360" t="s">
        <v>334</v>
      </c>
      <c r="B440" s="11"/>
      <c r="D440" s="3" t="s">
        <v>132</v>
      </c>
      <c r="L440" s="16"/>
      <c r="M440" s="16"/>
      <c r="N440" s="15"/>
      <c r="O440" s="246">
        <v>1308.7300511760077</v>
      </c>
      <c r="P440" s="16">
        <f t="shared" ref="P440:X440" si="299">P441*P444/10^6</f>
        <v>553.16001286956498</v>
      </c>
      <c r="Q440" s="16">
        <f t="shared" si="299"/>
        <v>442.52801029565205</v>
      </c>
      <c r="R440" s="16">
        <f t="shared" si="299"/>
        <v>885.0560205913041</v>
      </c>
      <c r="S440" s="16">
        <f t="shared" si="299"/>
        <v>327.12782420869559</v>
      </c>
      <c r="T440" s="16">
        <f t="shared" si="299"/>
        <v>654.25564841739117</v>
      </c>
      <c r="U440" s="16">
        <f t="shared" si="299"/>
        <v>545.213040347826</v>
      </c>
      <c r="V440" s="16">
        <f t="shared" si="299"/>
        <v>639.08876681739127</v>
      </c>
      <c r="W440" s="16">
        <f t="shared" si="299"/>
        <v>532.57397234782604</v>
      </c>
      <c r="X440" s="16">
        <f t="shared" si="299"/>
        <v>639.08876681739127</v>
      </c>
      <c r="Y440" s="292">
        <f>SUM(P440:X440)</f>
        <v>5218.0920627130417</v>
      </c>
      <c r="Z440" s="246">
        <f>SUM(O440,Y440)</f>
        <v>6526.8221138890494</v>
      </c>
      <c r="AA440" s="16">
        <f t="shared" ref="AA440:AD440" si="300">AA441*AA444/10^6</f>
        <v>6482.5896253346109</v>
      </c>
      <c r="AB440" s="16">
        <f t="shared" si="300"/>
        <v>7031.3849718088086</v>
      </c>
      <c r="AC440" s="16">
        <f t="shared" si="300"/>
        <v>7371.3471105099507</v>
      </c>
      <c r="AD440" s="16">
        <f t="shared" si="300"/>
        <v>7981.1653204714348</v>
      </c>
      <c r="AE440" s="23"/>
      <c r="AF440" s="327"/>
    </row>
    <row r="441" spans="1:33" ht="13.5" x14ac:dyDescent="0.3">
      <c r="A441" s="360" t="s">
        <v>334</v>
      </c>
      <c r="B441" s="11"/>
      <c r="E441" s="3" t="s">
        <v>330</v>
      </c>
      <c r="L441" s="16"/>
      <c r="M441" s="16"/>
      <c r="N441" s="15"/>
      <c r="O441" s="246">
        <f>O440*10^6/O444</f>
        <v>985155.6710271429</v>
      </c>
      <c r="P441" s="16">
        <f t="shared" ref="P441:X441" si="301">P442*P443</f>
        <v>422711.30434782599</v>
      </c>
      <c r="Q441" s="16">
        <f t="shared" si="301"/>
        <v>338169.04347826081</v>
      </c>
      <c r="R441" s="16">
        <f t="shared" si="301"/>
        <v>676338.08695652161</v>
      </c>
      <c r="S441" s="16">
        <f t="shared" si="301"/>
        <v>253626.78260869562</v>
      </c>
      <c r="T441" s="16">
        <f t="shared" si="301"/>
        <v>507253.56521739124</v>
      </c>
      <c r="U441" s="16">
        <f t="shared" si="301"/>
        <v>422711.30434782599</v>
      </c>
      <c r="V441" s="16">
        <f t="shared" si="301"/>
        <v>507253.56521739124</v>
      </c>
      <c r="W441" s="16">
        <f t="shared" si="301"/>
        <v>422711.30434782599</v>
      </c>
      <c r="X441" s="16">
        <f t="shared" si="301"/>
        <v>507253.56521739124</v>
      </c>
      <c r="Y441" s="292">
        <f>SUM(P441:X441)</f>
        <v>4058028.5217391299</v>
      </c>
      <c r="Z441" s="246">
        <f>SUM(O441,Y441)</f>
        <v>5043184.1927662725</v>
      </c>
      <c r="AA441" s="16">
        <f t="shared" ref="AA441:AD441" si="302">AA442*AA443</f>
        <v>5338980.0900466237</v>
      </c>
      <c r="AB441" s="16">
        <f t="shared" si="302"/>
        <v>5850711.4093932509</v>
      </c>
      <c r="AC441" s="16">
        <f t="shared" si="302"/>
        <v>6146374.6439672736</v>
      </c>
      <c r="AD441" s="16">
        <f t="shared" si="302"/>
        <v>6585119.9013790712</v>
      </c>
      <c r="AE441" s="23"/>
      <c r="AF441" s="327"/>
    </row>
    <row r="442" spans="1:33" ht="13.5" x14ac:dyDescent="0.3">
      <c r="A442" s="360" t="s">
        <v>334</v>
      </c>
      <c r="B442" s="11"/>
      <c r="F442" s="3" t="s">
        <v>331</v>
      </c>
      <c r="L442" s="16"/>
      <c r="M442" s="16"/>
      <c r="N442" s="15"/>
      <c r="O442" s="246">
        <f>Projection_미국!O191</f>
        <v>15</v>
      </c>
      <c r="P442" s="16">
        <v>5</v>
      </c>
      <c r="Q442" s="16">
        <v>4</v>
      </c>
      <c r="R442" s="16">
        <v>8</v>
      </c>
      <c r="S442" s="16">
        <v>3</v>
      </c>
      <c r="T442" s="16">
        <v>6</v>
      </c>
      <c r="U442" s="16">
        <v>5</v>
      </c>
      <c r="V442" s="16">
        <v>6</v>
      </c>
      <c r="W442" s="16">
        <v>5</v>
      </c>
      <c r="X442" s="16">
        <v>6</v>
      </c>
      <c r="Y442" s="292">
        <f>SUM(P442:X442)</f>
        <v>48</v>
      </c>
      <c r="Z442" s="246">
        <f>SUM(O442,Y442)</f>
        <v>63</v>
      </c>
      <c r="AA442" s="16">
        <f>Projection_미국!AA103</f>
        <v>66</v>
      </c>
      <c r="AB442" s="16">
        <f>Projection_미국!AB103</f>
        <v>72</v>
      </c>
      <c r="AC442" s="16">
        <f>Projection_미국!AC103</f>
        <v>75</v>
      </c>
      <c r="AD442" s="16">
        <f>Projection_미국!AD103</f>
        <v>80</v>
      </c>
      <c r="AE442" s="23"/>
      <c r="AF442" s="327"/>
      <c r="AG442" s="322" t="s">
        <v>147</v>
      </c>
    </row>
    <row r="443" spans="1:33" ht="13.5" x14ac:dyDescent="0.3">
      <c r="A443" s="360" t="s">
        <v>334</v>
      </c>
      <c r="B443" s="11"/>
      <c r="F443" s="3" t="s">
        <v>332</v>
      </c>
      <c r="L443" s="16"/>
      <c r="M443" s="16"/>
      <c r="N443" s="15"/>
      <c r="O443" s="246">
        <f>O441/O442</f>
        <v>65677.044735142859</v>
      </c>
      <c r="P443" s="16">
        <v>84542.260869565202</v>
      </c>
      <c r="Q443" s="16">
        <v>84542.260869565202</v>
      </c>
      <c r="R443" s="16">
        <v>84542.260869565202</v>
      </c>
      <c r="S443" s="16">
        <v>84542.260869565202</v>
      </c>
      <c r="T443" s="16">
        <v>84542.260869565202</v>
      </c>
      <c r="U443" s="16">
        <v>84542.260869565202</v>
      </c>
      <c r="V443" s="16">
        <v>84542.260869565202</v>
      </c>
      <c r="W443" s="16">
        <v>84542.260869565202</v>
      </c>
      <c r="X443" s="16">
        <v>84542.260869565202</v>
      </c>
      <c r="Y443" s="292">
        <f>Y441/Y442</f>
        <v>84542.260869565202</v>
      </c>
      <c r="Z443" s="246">
        <f>Z441/Z442</f>
        <v>80050.542742321792</v>
      </c>
      <c r="AA443" s="16">
        <f>Projection_미국!AA192</f>
        <v>80893.637727979149</v>
      </c>
      <c r="AB443" s="16">
        <f>Projection_미국!AB192</f>
        <v>81259.880686017379</v>
      </c>
      <c r="AC443" s="16">
        <f>Projection_미국!AC192</f>
        <v>81951.661919563645</v>
      </c>
      <c r="AD443" s="16">
        <f>Projection_미국!AD192</f>
        <v>82313.998767238387</v>
      </c>
      <c r="AE443" s="23"/>
      <c r="AF443" s="327"/>
    </row>
    <row r="444" spans="1:33" ht="13.5" x14ac:dyDescent="0.3">
      <c r="A444" s="360" t="s">
        <v>334</v>
      </c>
      <c r="B444" s="11"/>
      <c r="E444" s="3" t="s">
        <v>333</v>
      </c>
      <c r="L444" s="16"/>
      <c r="M444" s="16"/>
      <c r="N444" s="15"/>
      <c r="O444" s="246">
        <f>Projection_미국!O193</f>
        <v>1328.4499999999998</v>
      </c>
      <c r="P444" s="16">
        <f t="shared" ref="P444:X444" si="303">P$553</f>
        <v>1308.5999999999999</v>
      </c>
      <c r="Q444" s="16">
        <f t="shared" si="303"/>
        <v>1308.5999999999999</v>
      </c>
      <c r="R444" s="16">
        <f t="shared" si="303"/>
        <v>1308.5999999999999</v>
      </c>
      <c r="S444" s="16">
        <f t="shared" si="303"/>
        <v>1289.8</v>
      </c>
      <c r="T444" s="16">
        <f t="shared" si="303"/>
        <v>1289.8</v>
      </c>
      <c r="U444" s="16">
        <f t="shared" si="303"/>
        <v>1289.8</v>
      </c>
      <c r="V444" s="16">
        <f t="shared" si="303"/>
        <v>1259.9000000000001</v>
      </c>
      <c r="W444" s="16">
        <f t="shared" si="303"/>
        <v>1259.9000000000001</v>
      </c>
      <c r="X444" s="16">
        <f t="shared" si="303"/>
        <v>1259.9000000000001</v>
      </c>
      <c r="Y444" s="292">
        <f>Y440/Y441*10^6</f>
        <v>1285.8687499999996</v>
      </c>
      <c r="Z444" s="246">
        <f>Z440/Z441*10^6</f>
        <v>1294.1867408394173</v>
      </c>
      <c r="AA444" s="16">
        <f t="shared" ref="AA444:AD444" si="304">AA$553</f>
        <v>1214.2</v>
      </c>
      <c r="AB444" s="16">
        <f t="shared" si="304"/>
        <v>1201.8</v>
      </c>
      <c r="AC444" s="16">
        <f t="shared" si="304"/>
        <v>1199.3</v>
      </c>
      <c r="AD444" s="16">
        <f t="shared" si="304"/>
        <v>1212</v>
      </c>
      <c r="AE444" s="23"/>
      <c r="AF444" s="327"/>
    </row>
    <row r="445" spans="1:33" ht="13.5" x14ac:dyDescent="0.3">
      <c r="A445" s="360" t="s">
        <v>334</v>
      </c>
      <c r="B445" s="11"/>
      <c r="D445" s="3" t="s">
        <v>133</v>
      </c>
      <c r="L445" s="16"/>
      <c r="M445" s="16"/>
      <c r="N445" s="15"/>
      <c r="O445" s="246">
        <v>318.70850600212634</v>
      </c>
      <c r="P445" s="16">
        <f t="shared" ref="P445:X445" si="305">P446*P449/10^6</f>
        <v>157.52272500000001</v>
      </c>
      <c r="Q445" s="16">
        <f t="shared" si="305"/>
        <v>157.52272500000001</v>
      </c>
      <c r="R445" s="16">
        <f t="shared" si="305"/>
        <v>78.761362500000004</v>
      </c>
      <c r="S445" s="16">
        <f t="shared" si="305"/>
        <v>155.25967499999999</v>
      </c>
      <c r="T445" s="16">
        <f t="shared" si="305"/>
        <v>155.25967499999999</v>
      </c>
      <c r="U445" s="16">
        <f t="shared" si="305"/>
        <v>0</v>
      </c>
      <c r="V445" s="16">
        <f t="shared" si="305"/>
        <v>151.66046249999999</v>
      </c>
      <c r="W445" s="16">
        <f t="shared" si="305"/>
        <v>227.49069375000002</v>
      </c>
      <c r="X445" s="16">
        <f t="shared" si="305"/>
        <v>227.49069375000002</v>
      </c>
      <c r="Y445" s="292">
        <f>SUM(P445:X445)</f>
        <v>1310.9680125</v>
      </c>
      <c r="Z445" s="246">
        <f>SUM(O445,Y445)</f>
        <v>1629.6765185021263</v>
      </c>
      <c r="AA445" s="16">
        <f t="shared" ref="AA445:AD445" si="306">AA446*AA449/10^6</f>
        <v>1664.9348421391662</v>
      </c>
      <c r="AB445" s="16">
        <f t="shared" si="306"/>
        <v>1736.7400210543872</v>
      </c>
      <c r="AC445" s="16">
        <f t="shared" si="306"/>
        <v>2278.8118310954028</v>
      </c>
      <c r="AD445" s="16">
        <f t="shared" si="306"/>
        <v>2398.7977057012408</v>
      </c>
      <c r="AE445" s="23"/>
      <c r="AF445" s="327"/>
    </row>
    <row r="446" spans="1:33" ht="13.5" x14ac:dyDescent="0.3">
      <c r="A446" s="360" t="s">
        <v>334</v>
      </c>
      <c r="B446" s="11"/>
      <c r="E446" s="3" t="s">
        <v>330</v>
      </c>
      <c r="L446" s="16"/>
      <c r="M446" s="16"/>
      <c r="N446" s="15"/>
      <c r="O446" s="246">
        <f>O445*10^6/O449</f>
        <v>239910.05005993927</v>
      </c>
      <c r="P446" s="16">
        <f t="shared" ref="P446:X446" si="307">P447*P448</f>
        <v>120375</v>
      </c>
      <c r="Q446" s="16">
        <f t="shared" si="307"/>
        <v>120375</v>
      </c>
      <c r="R446" s="16">
        <f t="shared" si="307"/>
        <v>60187.5</v>
      </c>
      <c r="S446" s="16">
        <f t="shared" si="307"/>
        <v>120375</v>
      </c>
      <c r="T446" s="16">
        <f t="shared" si="307"/>
        <v>120375</v>
      </c>
      <c r="U446" s="16">
        <f t="shared" si="307"/>
        <v>0</v>
      </c>
      <c r="V446" s="16">
        <f t="shared" si="307"/>
        <v>120375</v>
      </c>
      <c r="W446" s="16">
        <f t="shared" si="307"/>
        <v>180562.5</v>
      </c>
      <c r="X446" s="16">
        <f t="shared" si="307"/>
        <v>180562.5</v>
      </c>
      <c r="Y446" s="292">
        <f>SUM(P446:X446)</f>
        <v>1023187.5</v>
      </c>
      <c r="Z446" s="246">
        <f>SUM(O446,Y446)</f>
        <v>1263097.5500599393</v>
      </c>
      <c r="AA446" s="16">
        <f t="shared" ref="AA446:AD446" si="308">AA447*AA448</f>
        <v>1371219.6031454175</v>
      </c>
      <c r="AB446" s="16">
        <f t="shared" si="308"/>
        <v>1445115.677362612</v>
      </c>
      <c r="AC446" s="16">
        <f t="shared" si="308"/>
        <v>1900118.2615654154</v>
      </c>
      <c r="AD446" s="16">
        <f t="shared" si="308"/>
        <v>1979206.0278063044</v>
      </c>
      <c r="AE446" s="23"/>
      <c r="AF446" s="327"/>
    </row>
    <row r="447" spans="1:33" ht="13.5" x14ac:dyDescent="0.3">
      <c r="A447" s="360" t="s">
        <v>334</v>
      </c>
      <c r="B447" s="11"/>
      <c r="F447" s="3" t="s">
        <v>331</v>
      </c>
      <c r="L447" s="16"/>
      <c r="M447" s="16"/>
      <c r="N447" s="15"/>
      <c r="O447" s="246">
        <f>Projection_미국!O196</f>
        <v>4</v>
      </c>
      <c r="P447" s="16">
        <v>2</v>
      </c>
      <c r="Q447" s="16">
        <v>2</v>
      </c>
      <c r="R447" s="16">
        <v>1</v>
      </c>
      <c r="S447" s="16">
        <v>2</v>
      </c>
      <c r="T447" s="16">
        <v>2</v>
      </c>
      <c r="U447" s="16">
        <v>0</v>
      </c>
      <c r="V447" s="16">
        <v>2</v>
      </c>
      <c r="W447" s="16">
        <v>3</v>
      </c>
      <c r="X447" s="16">
        <v>3</v>
      </c>
      <c r="Y447" s="292">
        <f>SUM(P447:X447)</f>
        <v>17</v>
      </c>
      <c r="Z447" s="246">
        <f>SUM(O447,Y447)</f>
        <v>21</v>
      </c>
      <c r="AA447" s="16">
        <f>Projection_미국!AA110</f>
        <v>22</v>
      </c>
      <c r="AB447" s="16">
        <f>Projection_미국!AB110</f>
        <v>23</v>
      </c>
      <c r="AC447" s="16">
        <f>Projection_미국!AC110</f>
        <v>30</v>
      </c>
      <c r="AD447" s="16">
        <f>Projection_미국!AD110</f>
        <v>31</v>
      </c>
      <c r="AE447" s="23"/>
      <c r="AF447" s="327"/>
      <c r="AG447" s="322" t="s">
        <v>148</v>
      </c>
    </row>
    <row r="448" spans="1:33" ht="13.5" x14ac:dyDescent="0.3">
      <c r="A448" s="360" t="s">
        <v>334</v>
      </c>
      <c r="B448" s="11"/>
      <c r="F448" s="3" t="s">
        <v>332</v>
      </c>
      <c r="L448" s="16"/>
      <c r="M448" s="16"/>
      <c r="N448" s="15"/>
      <c r="O448" s="246">
        <f>O446/O447</f>
        <v>59977.512514984817</v>
      </c>
      <c r="P448" s="16">
        <v>60187.5</v>
      </c>
      <c r="Q448" s="16">
        <v>60187.5</v>
      </c>
      <c r="R448" s="16">
        <v>60187.5</v>
      </c>
      <c r="S448" s="16">
        <v>60187.5</v>
      </c>
      <c r="T448" s="16">
        <v>60187.5</v>
      </c>
      <c r="U448" s="16">
        <v>60187.5</v>
      </c>
      <c r="V448" s="16">
        <v>60187.5</v>
      </c>
      <c r="W448" s="16">
        <v>60187.5</v>
      </c>
      <c r="X448" s="16">
        <v>60187.5</v>
      </c>
      <c r="Y448" s="292">
        <f>Y446/Y447</f>
        <v>60187.5</v>
      </c>
      <c r="Z448" s="246">
        <f>Z446/Z447</f>
        <v>60147.502383806634</v>
      </c>
      <c r="AA448" s="16">
        <f>Projection_미국!AA197</f>
        <v>62328.163779337156</v>
      </c>
      <c r="AB448" s="16">
        <f>Projection_미국!AB197</f>
        <v>62831.116407070091</v>
      </c>
      <c r="AC448" s="16">
        <f>Projection_미국!AC197</f>
        <v>63337.275385513851</v>
      </c>
      <c r="AD448" s="16">
        <f>Projection_미국!AD197</f>
        <v>63845.355735687241</v>
      </c>
      <c r="AE448" s="23"/>
      <c r="AF448" s="327"/>
    </row>
    <row r="449" spans="1:33" ht="13.5" x14ac:dyDescent="0.3">
      <c r="A449" s="360" t="s">
        <v>334</v>
      </c>
      <c r="B449" s="11"/>
      <c r="E449" s="3" t="s">
        <v>333</v>
      </c>
      <c r="L449" s="16"/>
      <c r="M449" s="16"/>
      <c r="N449" s="15"/>
      <c r="O449" s="246">
        <f>Projection_미국!O198</f>
        <v>1328.45</v>
      </c>
      <c r="P449" s="16">
        <f t="shared" ref="P449:X449" si="309">P$553</f>
        <v>1308.5999999999999</v>
      </c>
      <c r="Q449" s="16">
        <f t="shared" si="309"/>
        <v>1308.5999999999999</v>
      </c>
      <c r="R449" s="16">
        <f t="shared" si="309"/>
        <v>1308.5999999999999</v>
      </c>
      <c r="S449" s="16">
        <f t="shared" si="309"/>
        <v>1289.8</v>
      </c>
      <c r="T449" s="16">
        <f t="shared" si="309"/>
        <v>1289.8</v>
      </c>
      <c r="U449" s="16">
        <f t="shared" si="309"/>
        <v>1289.8</v>
      </c>
      <c r="V449" s="16">
        <f t="shared" si="309"/>
        <v>1259.9000000000001</v>
      </c>
      <c r="W449" s="16">
        <f t="shared" si="309"/>
        <v>1259.9000000000001</v>
      </c>
      <c r="X449" s="16">
        <f t="shared" si="309"/>
        <v>1259.9000000000001</v>
      </c>
      <c r="Y449" s="292">
        <f>Y445/Y446*10^6</f>
        <v>1281.2588235294118</v>
      </c>
      <c r="Z449" s="246">
        <f>Z445/Z446*10^6</f>
        <v>1290.2222147646407</v>
      </c>
      <c r="AA449" s="16">
        <f t="shared" ref="AA449:AD449" si="310">AA$553</f>
        <v>1214.2</v>
      </c>
      <c r="AB449" s="16">
        <f t="shared" si="310"/>
        <v>1201.8</v>
      </c>
      <c r="AC449" s="16">
        <f t="shared" si="310"/>
        <v>1199.3</v>
      </c>
      <c r="AD449" s="16">
        <f t="shared" si="310"/>
        <v>1212</v>
      </c>
      <c r="AE449" s="23"/>
      <c r="AF449" s="327"/>
    </row>
    <row r="450" spans="1:33" ht="13.5" x14ac:dyDescent="0.3">
      <c r="A450" s="360" t="s">
        <v>334</v>
      </c>
      <c r="B450" s="11"/>
      <c r="D450" s="3" t="s">
        <v>134</v>
      </c>
      <c r="L450" s="16"/>
      <c r="M450" s="16"/>
      <c r="N450" s="15"/>
      <c r="O450" s="246">
        <f>O451*O454/10^6</f>
        <v>0</v>
      </c>
      <c r="P450" s="16">
        <f t="shared" ref="P450:X450" si="311">P451*P454/10^6</f>
        <v>0</v>
      </c>
      <c r="Q450" s="16">
        <f t="shared" si="311"/>
        <v>0</v>
      </c>
      <c r="R450" s="16">
        <f t="shared" si="311"/>
        <v>0</v>
      </c>
      <c r="S450" s="16">
        <f t="shared" si="311"/>
        <v>0</v>
      </c>
      <c r="T450" s="16">
        <f t="shared" si="311"/>
        <v>0</v>
      </c>
      <c r="U450" s="16">
        <f t="shared" si="311"/>
        <v>0</v>
      </c>
      <c r="V450" s="16">
        <f t="shared" si="311"/>
        <v>0</v>
      </c>
      <c r="W450" s="16">
        <f t="shared" si="311"/>
        <v>0</v>
      </c>
      <c r="X450" s="16">
        <f t="shared" si="311"/>
        <v>0</v>
      </c>
      <c r="Y450" s="292">
        <f>SUM(P450:X450)</f>
        <v>0</v>
      </c>
      <c r="Z450" s="246">
        <f>SUM(O450,Y450)</f>
        <v>0</v>
      </c>
      <c r="AA450" s="119"/>
      <c r="AB450" s="119"/>
      <c r="AC450" s="119"/>
      <c r="AD450" s="119"/>
      <c r="AE450" s="23"/>
      <c r="AF450" s="327"/>
    </row>
    <row r="451" spans="1:33" ht="13.5" x14ac:dyDescent="0.3">
      <c r="A451" s="360" t="s">
        <v>334</v>
      </c>
      <c r="B451" s="11"/>
      <c r="E451" s="3" t="s">
        <v>330</v>
      </c>
      <c r="L451" s="16"/>
      <c r="M451" s="16"/>
      <c r="N451" s="15"/>
      <c r="O451" s="246">
        <f>O452*O453</f>
        <v>0</v>
      </c>
      <c r="P451" s="16">
        <f t="shared" ref="P451:X451" si="312">P452*P453</f>
        <v>0</v>
      </c>
      <c r="Q451" s="16">
        <f t="shared" si="312"/>
        <v>0</v>
      </c>
      <c r="R451" s="16">
        <f t="shared" si="312"/>
        <v>0</v>
      </c>
      <c r="S451" s="16">
        <f t="shared" si="312"/>
        <v>0</v>
      </c>
      <c r="T451" s="16">
        <f t="shared" si="312"/>
        <v>0</v>
      </c>
      <c r="U451" s="16">
        <f t="shared" si="312"/>
        <v>0</v>
      </c>
      <c r="V451" s="16">
        <f t="shared" si="312"/>
        <v>0</v>
      </c>
      <c r="W451" s="16">
        <f t="shared" si="312"/>
        <v>0</v>
      </c>
      <c r="X451" s="16">
        <f t="shared" si="312"/>
        <v>0</v>
      </c>
      <c r="Y451" s="292">
        <f>SUM(P451:X451)</f>
        <v>0</v>
      </c>
      <c r="Z451" s="246">
        <f>SUM(O451,Y451)</f>
        <v>0</v>
      </c>
      <c r="AA451" s="119"/>
      <c r="AB451" s="119"/>
      <c r="AC451" s="119"/>
      <c r="AD451" s="119"/>
      <c r="AE451" s="23"/>
      <c r="AF451" s="327"/>
    </row>
    <row r="452" spans="1:33" ht="13.5" x14ac:dyDescent="0.3">
      <c r="A452" s="360" t="s">
        <v>334</v>
      </c>
      <c r="B452" s="11"/>
      <c r="F452" s="3" t="s">
        <v>331</v>
      </c>
      <c r="L452" s="16"/>
      <c r="M452" s="16"/>
      <c r="N452" s="15"/>
      <c r="O452" s="246">
        <f>Projection_미국!O200</f>
        <v>0</v>
      </c>
      <c r="P452" s="16">
        <v>0</v>
      </c>
      <c r="Q452" s="16">
        <v>0</v>
      </c>
      <c r="R452" s="16">
        <v>0</v>
      </c>
      <c r="S452" s="16">
        <v>0</v>
      </c>
      <c r="T452" s="16">
        <v>0</v>
      </c>
      <c r="U452" s="16">
        <v>0</v>
      </c>
      <c r="V452" s="16">
        <v>0</v>
      </c>
      <c r="W452" s="16">
        <v>0</v>
      </c>
      <c r="X452" s="16">
        <v>0</v>
      </c>
      <c r="Y452" s="292">
        <f>SUM(P452:X452)</f>
        <v>0</v>
      </c>
      <c r="Z452" s="246">
        <f>SUM(O452,Y452)</f>
        <v>0</v>
      </c>
      <c r="AA452" s="119"/>
      <c r="AB452" s="119"/>
      <c r="AC452" s="119"/>
      <c r="AD452" s="119"/>
      <c r="AE452" s="23"/>
      <c r="AF452" s="327"/>
      <c r="AG452" s="322" t="s">
        <v>149</v>
      </c>
    </row>
    <row r="453" spans="1:33" ht="13.5" x14ac:dyDescent="0.3">
      <c r="A453" s="360" t="s">
        <v>334</v>
      </c>
      <c r="B453" s="11"/>
      <c r="F453" s="3" t="s">
        <v>332</v>
      </c>
      <c r="L453" s="16"/>
      <c r="M453" s="16"/>
      <c r="N453" s="15"/>
      <c r="O453" s="246">
        <f>Projection_미국!O201</f>
        <v>0</v>
      </c>
      <c r="P453" s="16">
        <v>0</v>
      </c>
      <c r="Q453" s="16">
        <v>0</v>
      </c>
      <c r="R453" s="16">
        <v>0</v>
      </c>
      <c r="S453" s="16">
        <v>0</v>
      </c>
      <c r="T453" s="16">
        <v>0</v>
      </c>
      <c r="U453" s="16">
        <v>0</v>
      </c>
      <c r="V453" s="16">
        <v>0</v>
      </c>
      <c r="W453" s="16">
        <v>0</v>
      </c>
      <c r="X453" s="16">
        <v>0</v>
      </c>
      <c r="Y453" s="292">
        <f>IFERROR(Y450/Y452/Y454*10^6,)</f>
        <v>0</v>
      </c>
      <c r="Z453" s="246">
        <f>IFERROR(Z450/Z452/Z454*10^6,)</f>
        <v>0</v>
      </c>
      <c r="AA453" s="119"/>
      <c r="AB453" s="119"/>
      <c r="AC453" s="119"/>
      <c r="AD453" s="119"/>
      <c r="AE453" s="23"/>
      <c r="AF453" s="327"/>
    </row>
    <row r="454" spans="1:33" ht="13.5" x14ac:dyDescent="0.3">
      <c r="A454" s="360" t="s">
        <v>334</v>
      </c>
      <c r="B454" s="11"/>
      <c r="E454" s="3" t="s">
        <v>333</v>
      </c>
      <c r="L454" s="16"/>
      <c r="M454" s="16"/>
      <c r="N454" s="15"/>
      <c r="O454" s="246">
        <f>Projection_미국!O202</f>
        <v>0</v>
      </c>
      <c r="P454" s="16">
        <f t="shared" ref="P454:AD454" si="313">P$553</f>
        <v>1308.5999999999999</v>
      </c>
      <c r="Q454" s="16">
        <f t="shared" si="313"/>
        <v>1308.5999999999999</v>
      </c>
      <c r="R454" s="16">
        <f t="shared" si="313"/>
        <v>1308.5999999999999</v>
      </c>
      <c r="S454" s="16">
        <f t="shared" si="313"/>
        <v>1289.8</v>
      </c>
      <c r="T454" s="16">
        <f t="shared" si="313"/>
        <v>1289.8</v>
      </c>
      <c r="U454" s="16">
        <f t="shared" si="313"/>
        <v>1289.8</v>
      </c>
      <c r="V454" s="16">
        <f t="shared" si="313"/>
        <v>1259.9000000000001</v>
      </c>
      <c r="W454" s="16">
        <f t="shared" si="313"/>
        <v>1259.9000000000001</v>
      </c>
      <c r="X454" s="16">
        <f t="shared" si="313"/>
        <v>1259.9000000000001</v>
      </c>
      <c r="Y454" s="292">
        <f t="shared" si="313"/>
        <v>1286.0999999999999</v>
      </c>
      <c r="Z454" s="246">
        <f t="shared" si="313"/>
        <v>1289.2</v>
      </c>
      <c r="AA454" s="16">
        <f t="shared" si="313"/>
        <v>1214.2</v>
      </c>
      <c r="AB454" s="16">
        <f t="shared" si="313"/>
        <v>1201.8</v>
      </c>
      <c r="AC454" s="16">
        <f t="shared" si="313"/>
        <v>1199.3</v>
      </c>
      <c r="AD454" s="16">
        <f t="shared" si="313"/>
        <v>1212</v>
      </c>
      <c r="AE454" s="23"/>
      <c r="AF454" s="327"/>
    </row>
    <row r="455" spans="1:33" ht="13.5" x14ac:dyDescent="0.3">
      <c r="A455" s="360" t="s">
        <v>334</v>
      </c>
      <c r="B455" s="11"/>
      <c r="D455" s="3" t="s">
        <v>135</v>
      </c>
      <c r="L455" s="16"/>
      <c r="M455" s="16"/>
      <c r="N455" s="15"/>
      <c r="O455" s="246">
        <v>210.89471106649995</v>
      </c>
      <c r="P455" s="16">
        <f t="shared" ref="P455:X455" si="314">P456*P459/10^6</f>
        <v>0</v>
      </c>
      <c r="Q455" s="16">
        <f t="shared" si="314"/>
        <v>0</v>
      </c>
      <c r="R455" s="16">
        <f t="shared" si="314"/>
        <v>0</v>
      </c>
      <c r="S455" s="16">
        <f t="shared" si="314"/>
        <v>0</v>
      </c>
      <c r="T455" s="16">
        <f t="shared" si="314"/>
        <v>0</v>
      </c>
      <c r="U455" s="16">
        <f t="shared" si="314"/>
        <v>0</v>
      </c>
      <c r="V455" s="16">
        <f t="shared" si="314"/>
        <v>238.34788200000006</v>
      </c>
      <c r="W455" s="16">
        <f t="shared" si="314"/>
        <v>0</v>
      </c>
      <c r="X455" s="16">
        <f t="shared" si="314"/>
        <v>0</v>
      </c>
      <c r="Y455" s="292">
        <f>SUM(P455:X455)</f>
        <v>238.34788200000006</v>
      </c>
      <c r="Z455" s="246">
        <f>SUM(O455,Y455)</f>
        <v>449.24259306650004</v>
      </c>
      <c r="AA455" s="119"/>
      <c r="AB455" s="119"/>
      <c r="AC455" s="119"/>
      <c r="AD455" s="119"/>
      <c r="AE455" s="23"/>
      <c r="AF455" s="327"/>
    </row>
    <row r="456" spans="1:33" ht="13.5" x14ac:dyDescent="0.3">
      <c r="A456" s="360" t="s">
        <v>334</v>
      </c>
      <c r="B456" s="11"/>
      <c r="E456" s="3" t="s">
        <v>330</v>
      </c>
      <c r="L456" s="16"/>
      <c r="M456" s="16"/>
      <c r="N456" s="15"/>
      <c r="O456" s="246">
        <f>O455/O459*10^6</f>
        <v>158752.46420000753</v>
      </c>
      <c r="P456" s="16">
        <f t="shared" ref="P456:X456" si="315">P457*P458</f>
        <v>0</v>
      </c>
      <c r="Q456" s="16">
        <f t="shared" si="315"/>
        <v>0</v>
      </c>
      <c r="R456" s="16">
        <f t="shared" si="315"/>
        <v>0</v>
      </c>
      <c r="S456" s="16">
        <f t="shared" si="315"/>
        <v>0</v>
      </c>
      <c r="T456" s="16">
        <f t="shared" si="315"/>
        <v>0</v>
      </c>
      <c r="U456" s="16">
        <f t="shared" si="315"/>
        <v>0</v>
      </c>
      <c r="V456" s="16">
        <f t="shared" si="315"/>
        <v>189180.00000000003</v>
      </c>
      <c r="W456" s="16">
        <f t="shared" si="315"/>
        <v>0</v>
      </c>
      <c r="X456" s="16">
        <f t="shared" si="315"/>
        <v>0</v>
      </c>
      <c r="Y456" s="292">
        <f>SUM(P456:X456)</f>
        <v>189180.00000000003</v>
      </c>
      <c r="Z456" s="246">
        <f>SUM(O456,Y456)</f>
        <v>347932.46420000755</v>
      </c>
      <c r="AA456" s="119"/>
      <c r="AB456" s="119"/>
      <c r="AC456" s="119"/>
      <c r="AD456" s="119"/>
      <c r="AE456" s="23"/>
      <c r="AF456" s="327"/>
    </row>
    <row r="457" spans="1:33" ht="13.5" x14ac:dyDescent="0.3">
      <c r="A457" s="360" t="s">
        <v>334</v>
      </c>
      <c r="B457" s="11"/>
      <c r="F457" s="3" t="s">
        <v>331</v>
      </c>
      <c r="L457" s="16"/>
      <c r="M457" s="16"/>
      <c r="N457" s="15"/>
      <c r="O457" s="246">
        <f>Projection_미국!O206</f>
        <v>1</v>
      </c>
      <c r="P457" s="16">
        <v>0</v>
      </c>
      <c r="Q457" s="16">
        <v>0</v>
      </c>
      <c r="R457" s="16">
        <v>0</v>
      </c>
      <c r="S457" s="16">
        <v>0</v>
      </c>
      <c r="T457" s="16">
        <v>0</v>
      </c>
      <c r="U457" s="16">
        <v>0</v>
      </c>
      <c r="V457" s="16">
        <v>1</v>
      </c>
      <c r="W457" s="16">
        <v>0</v>
      </c>
      <c r="X457" s="16">
        <v>0</v>
      </c>
      <c r="Y457" s="292">
        <f>SUM(P457:X457)</f>
        <v>1</v>
      </c>
      <c r="Z457" s="246">
        <f>SUM(O457,Y457)</f>
        <v>2</v>
      </c>
      <c r="AA457" s="119"/>
      <c r="AB457" s="119"/>
      <c r="AC457" s="119"/>
      <c r="AD457" s="119"/>
      <c r="AE457" s="23"/>
      <c r="AF457" s="327"/>
      <c r="AG457" s="322" t="s">
        <v>150</v>
      </c>
    </row>
    <row r="458" spans="1:33" ht="13.5" x14ac:dyDescent="0.3">
      <c r="A458" s="360" t="s">
        <v>334</v>
      </c>
      <c r="B458" s="11"/>
      <c r="F458" s="3" t="s">
        <v>332</v>
      </c>
      <c r="L458" s="16"/>
      <c r="M458" s="16"/>
      <c r="N458" s="15"/>
      <c r="O458" s="246">
        <f>O456/O457</f>
        <v>158752.46420000753</v>
      </c>
      <c r="P458" s="16">
        <v>189180.00000000003</v>
      </c>
      <c r="Q458" s="16">
        <v>189180.00000000003</v>
      </c>
      <c r="R458" s="16">
        <v>189180.00000000003</v>
      </c>
      <c r="S458" s="16">
        <v>189180.00000000003</v>
      </c>
      <c r="T458" s="16">
        <v>189180.00000000003</v>
      </c>
      <c r="U458" s="16">
        <v>189180.00000000003</v>
      </c>
      <c r="V458" s="16">
        <v>189180.00000000003</v>
      </c>
      <c r="W458" s="16">
        <v>189180.00000000003</v>
      </c>
      <c r="X458" s="16">
        <v>189180.00000000003</v>
      </c>
      <c r="Y458" s="292">
        <f>Y456/Y457</f>
        <v>189180.00000000003</v>
      </c>
      <c r="Z458" s="246">
        <f>Z456/Z457</f>
        <v>173966.23210000378</v>
      </c>
      <c r="AA458" s="119"/>
      <c r="AB458" s="119"/>
      <c r="AC458" s="119"/>
      <c r="AD458" s="119"/>
      <c r="AE458" s="23"/>
      <c r="AF458" s="327"/>
    </row>
    <row r="459" spans="1:33" ht="13.5" x14ac:dyDescent="0.3">
      <c r="A459" s="360" t="s">
        <v>334</v>
      </c>
      <c r="B459" s="11"/>
      <c r="E459" s="3" t="s">
        <v>333</v>
      </c>
      <c r="L459" s="16"/>
      <c r="M459" s="16"/>
      <c r="N459" s="15"/>
      <c r="O459" s="246">
        <f>Projection_미국!O208</f>
        <v>1328.4499999999998</v>
      </c>
      <c r="P459" s="16">
        <f t="shared" ref="P459:X459" si="316">P$553</f>
        <v>1308.5999999999999</v>
      </c>
      <c r="Q459" s="16">
        <f t="shared" si="316"/>
        <v>1308.5999999999999</v>
      </c>
      <c r="R459" s="16">
        <f t="shared" si="316"/>
        <v>1308.5999999999999</v>
      </c>
      <c r="S459" s="16">
        <f t="shared" si="316"/>
        <v>1289.8</v>
      </c>
      <c r="T459" s="16">
        <f t="shared" si="316"/>
        <v>1289.8</v>
      </c>
      <c r="U459" s="16">
        <f t="shared" si="316"/>
        <v>1289.8</v>
      </c>
      <c r="V459" s="16">
        <f t="shared" si="316"/>
        <v>1259.9000000000001</v>
      </c>
      <c r="W459" s="16">
        <f t="shared" si="316"/>
        <v>1259.9000000000001</v>
      </c>
      <c r="X459" s="16">
        <f t="shared" si="316"/>
        <v>1259.9000000000001</v>
      </c>
      <c r="Y459" s="292">
        <f>Y455/Y456*10^6</f>
        <v>1259.9000000000001</v>
      </c>
      <c r="Z459" s="246">
        <f>Z455/Z456*10^6</f>
        <v>1291.177568323302</v>
      </c>
      <c r="AA459" s="119"/>
      <c r="AB459" s="119"/>
      <c r="AC459" s="119"/>
      <c r="AD459" s="119"/>
      <c r="AE459" s="23"/>
      <c r="AF459" s="327"/>
    </row>
    <row r="460" spans="1:33" ht="13.5" x14ac:dyDescent="0.3">
      <c r="A460" s="360" t="s">
        <v>334</v>
      </c>
      <c r="B460" s="11"/>
      <c r="D460" s="3" t="s">
        <v>105</v>
      </c>
      <c r="L460" s="16"/>
      <c r="M460" s="16"/>
      <c r="N460" s="15"/>
      <c r="O460" s="246">
        <f>O461+O463+O465+O467+O470+O471</f>
        <v>328.71726938430925</v>
      </c>
      <c r="P460" s="16">
        <f t="shared" ref="P460:Y460" si="317">P461+P463+P465+P467+P470+P471</f>
        <v>52.249516702904245</v>
      </c>
      <c r="Q460" s="16">
        <f t="shared" si="317"/>
        <v>55.045536602172405</v>
      </c>
      <c r="R460" s="16">
        <f t="shared" si="317"/>
        <v>67.491615828758597</v>
      </c>
      <c r="S460" s="16">
        <f t="shared" si="317"/>
        <v>40.311725376709347</v>
      </c>
      <c r="T460" s="16">
        <f t="shared" si="317"/>
        <v>59.916778797181621</v>
      </c>
      <c r="U460" s="16">
        <f t="shared" si="317"/>
        <v>30.298532079141992</v>
      </c>
      <c r="V460" s="16">
        <f t="shared" si="317"/>
        <v>81.211002487465379</v>
      </c>
      <c r="W460" s="16">
        <f t="shared" si="317"/>
        <v>47.041320267010292</v>
      </c>
      <c r="X460" s="16">
        <f t="shared" si="317"/>
        <v>66.04905999520831</v>
      </c>
      <c r="Y460" s="292">
        <f t="shared" si="317"/>
        <v>499.61508813655212</v>
      </c>
      <c r="Z460" s="246">
        <f>Z461+Z463+Z465+Z467+Z470+Z471</f>
        <v>828.33235752086125</v>
      </c>
      <c r="AA460" s="16">
        <f>AA461+AA463+AA465+AA467+AA470+AA471</f>
        <v>679.06810135596186</v>
      </c>
      <c r="AB460" s="16">
        <f>AB461+AB463+AB465+AB467+AB470+AB471</f>
        <v>731.89495218763659</v>
      </c>
      <c r="AC460" s="16">
        <f>AC461+AC463+AC465+AC467+AC470+AC471</f>
        <v>816.51973865277421</v>
      </c>
      <c r="AD460" s="16">
        <f>AD461+AD463+AD465+AD467+AD470+AD471</f>
        <v>898.33916720135494</v>
      </c>
      <c r="AE460" s="23"/>
      <c r="AF460" s="327"/>
    </row>
    <row r="461" spans="1:33" ht="13.5" x14ac:dyDescent="0.3">
      <c r="A461" s="360" t="s">
        <v>334</v>
      </c>
      <c r="B461" s="11"/>
      <c r="E461" s="3" t="s">
        <v>307</v>
      </c>
      <c r="I461" s="3"/>
      <c r="L461" s="16"/>
      <c r="M461" s="16"/>
      <c r="N461" s="15"/>
      <c r="O461" s="246">
        <v>251.49589518927291</v>
      </c>
      <c r="P461" s="16">
        <f t="shared" ref="P461:X461" si="318">SUM(P$435,P$440,P$445,P$450,P$455)*P462</f>
        <v>51.06853761870282</v>
      </c>
      <c r="Q461" s="16">
        <f t="shared" si="318"/>
        <v>57.211091267971035</v>
      </c>
      <c r="R461" s="16">
        <f t="shared" si="318"/>
        <v>69.258392899071225</v>
      </c>
      <c r="S461" s="16">
        <f t="shared" si="318"/>
        <v>48.553538840251079</v>
      </c>
      <c r="T461" s="16">
        <f t="shared" si="318"/>
        <v>58.170490915237188</v>
      </c>
      <c r="U461" s="16">
        <f t="shared" si="318"/>
        <v>39.178146840426692</v>
      </c>
      <c r="V461" s="16">
        <f t="shared" si="318"/>
        <v>87.517232010034803</v>
      </c>
      <c r="W461" s="16">
        <f t="shared" si="318"/>
        <v>54.617044885066001</v>
      </c>
      <c r="X461" s="16">
        <f t="shared" si="318"/>
        <v>62.271029565520898</v>
      </c>
      <c r="Y461" s="292">
        <f>SUM(P461:X461)</f>
        <v>527.84550484228168</v>
      </c>
      <c r="Z461" s="246">
        <f>SUM(O461,Y461)</f>
        <v>779.3414000315546</v>
      </c>
      <c r="AA461" s="16">
        <f>Projection_미국!AA210</f>
        <v>521.90771542022685</v>
      </c>
      <c r="AB461" s="16">
        <f>Projection_미국!AB210</f>
        <v>558.75256392828305</v>
      </c>
      <c r="AC461" s="16">
        <f>Projection_미국!AC210</f>
        <v>623.94300069084011</v>
      </c>
      <c r="AD461" s="16">
        <f>Projection_미국!AD210</f>
        <v>691.42629337510732</v>
      </c>
      <c r="AE461" s="23"/>
      <c r="AF461" s="327"/>
    </row>
    <row r="462" spans="1:33" s="137" customFormat="1" ht="13.5" x14ac:dyDescent="0.3">
      <c r="A462" s="367" t="s">
        <v>334</v>
      </c>
      <c r="B462" s="368"/>
      <c r="F462" s="137" t="s">
        <v>317</v>
      </c>
      <c r="I462" s="361">
        <v>7.1858418528347137E-2</v>
      </c>
      <c r="N462" s="369"/>
      <c r="O462" s="362">
        <f>O461/SUM(O$455,O$450,O$445,O$440,O$435)</f>
        <v>0.13680647548168368</v>
      </c>
      <c r="P462" s="363">
        <f t="shared" ref="P462:X462" si="319">$I462</f>
        <v>7.1858418528347137E-2</v>
      </c>
      <c r="Q462" s="363">
        <f t="shared" si="319"/>
        <v>7.1858418528347137E-2</v>
      </c>
      <c r="R462" s="363">
        <f t="shared" si="319"/>
        <v>7.1858418528347137E-2</v>
      </c>
      <c r="S462" s="363">
        <f t="shared" si="319"/>
        <v>7.1858418528347137E-2</v>
      </c>
      <c r="T462" s="363">
        <f t="shared" si="319"/>
        <v>7.1858418528347137E-2</v>
      </c>
      <c r="U462" s="363">
        <f t="shared" si="319"/>
        <v>7.1858418528347137E-2</v>
      </c>
      <c r="V462" s="363">
        <f t="shared" si="319"/>
        <v>7.1858418528347137E-2</v>
      </c>
      <c r="W462" s="363">
        <f t="shared" si="319"/>
        <v>7.1858418528347137E-2</v>
      </c>
      <c r="X462" s="363">
        <f t="shared" si="319"/>
        <v>7.1858418528347137E-2</v>
      </c>
      <c r="Y462" s="364">
        <f>Y461/SUM(Y$455,Y$450,Y$445,Y$440,Y$435)</f>
        <v>7.1858418528347137E-2</v>
      </c>
      <c r="Z462" s="362">
        <f>IFERROR(Z461/SUM(Z$21,Z$27,Z$33,Z$39,Z$45),)</f>
        <v>4.6545494307742106E-3</v>
      </c>
      <c r="AA462" s="137">
        <f>$I462</f>
        <v>7.1858418528347137E-2</v>
      </c>
      <c r="AB462" s="137">
        <f>$I462</f>
        <v>7.1858418528347137E-2</v>
      </c>
      <c r="AC462" s="137">
        <f>$I462</f>
        <v>7.1858418528347137E-2</v>
      </c>
      <c r="AD462" s="137">
        <f>$I462</f>
        <v>7.1858418528347137E-2</v>
      </c>
      <c r="AE462" s="370"/>
      <c r="AF462" s="327"/>
      <c r="AG462" s="371"/>
    </row>
    <row r="463" spans="1:33" ht="13.5" x14ac:dyDescent="0.3">
      <c r="A463" s="360" t="s">
        <v>334</v>
      </c>
      <c r="B463" s="11"/>
      <c r="E463" s="3" t="s">
        <v>309</v>
      </c>
      <c r="I463" s="3"/>
      <c r="L463" s="16"/>
      <c r="M463" s="16"/>
      <c r="N463" s="15"/>
      <c r="O463" s="246">
        <v>0</v>
      </c>
      <c r="P463" s="16">
        <f t="shared" ref="P463:X463" si="320">SUM(P$435,P$440,P$445,P$450,P$455)*P464</f>
        <v>0</v>
      </c>
      <c r="Q463" s="16">
        <f t="shared" si="320"/>
        <v>0</v>
      </c>
      <c r="R463" s="16">
        <f t="shared" si="320"/>
        <v>0</v>
      </c>
      <c r="S463" s="16">
        <f t="shared" si="320"/>
        <v>0</v>
      </c>
      <c r="T463" s="16">
        <f t="shared" si="320"/>
        <v>0</v>
      </c>
      <c r="U463" s="16">
        <f t="shared" si="320"/>
        <v>0</v>
      </c>
      <c r="V463" s="16">
        <f t="shared" si="320"/>
        <v>0</v>
      </c>
      <c r="W463" s="16">
        <f t="shared" si="320"/>
        <v>0</v>
      </c>
      <c r="X463" s="16">
        <f t="shared" si="320"/>
        <v>0</v>
      </c>
      <c r="Y463" s="292">
        <f>SUM(P463:X463)</f>
        <v>0</v>
      </c>
      <c r="Z463" s="246">
        <f>SUM(O463,Y463)</f>
        <v>0</v>
      </c>
      <c r="AA463" s="16">
        <f>Projection_미국!AA212</f>
        <v>0</v>
      </c>
      <c r="AB463" s="16">
        <f>Projection_미국!AB212</f>
        <v>0</v>
      </c>
      <c r="AC463" s="16">
        <f>Projection_미국!AC212</f>
        <v>0</v>
      </c>
      <c r="AD463" s="16">
        <f>Projection_미국!AD212</f>
        <v>0</v>
      </c>
      <c r="AE463" s="23"/>
      <c r="AF463" s="327"/>
    </row>
    <row r="464" spans="1:33" s="137" customFormat="1" ht="13.5" x14ac:dyDescent="0.3">
      <c r="A464" s="367" t="s">
        <v>334</v>
      </c>
      <c r="B464" s="368"/>
      <c r="F464" s="137" t="s">
        <v>317</v>
      </c>
      <c r="I464" s="361">
        <v>0</v>
      </c>
      <c r="N464" s="369"/>
      <c r="O464" s="362">
        <f>O463/SUM(O$455,O$450,O$445,O$440,O$435)</f>
        <v>0</v>
      </c>
      <c r="P464" s="363">
        <f t="shared" ref="P464:X464" si="321">$I464</f>
        <v>0</v>
      </c>
      <c r="Q464" s="363">
        <f t="shared" si="321"/>
        <v>0</v>
      </c>
      <c r="R464" s="363">
        <f t="shared" si="321"/>
        <v>0</v>
      </c>
      <c r="S464" s="363">
        <f t="shared" si="321"/>
        <v>0</v>
      </c>
      <c r="T464" s="363">
        <f t="shared" si="321"/>
        <v>0</v>
      </c>
      <c r="U464" s="363">
        <f t="shared" si="321"/>
        <v>0</v>
      </c>
      <c r="V464" s="363">
        <f t="shared" si="321"/>
        <v>0</v>
      </c>
      <c r="W464" s="363">
        <f t="shared" si="321"/>
        <v>0</v>
      </c>
      <c r="X464" s="363">
        <f t="shared" si="321"/>
        <v>0</v>
      </c>
      <c r="Y464" s="364">
        <f>Y463/SUM(Y$455,Y$450,Y$445,Y$440,Y$435)</f>
        <v>0</v>
      </c>
      <c r="Z464" s="362">
        <f>IFERROR(Z463/SUM(Z$21,Z$27,Z$33,Z$39,Z$45),)</f>
        <v>0</v>
      </c>
      <c r="AA464" s="137">
        <f>$I464</f>
        <v>0</v>
      </c>
      <c r="AB464" s="137">
        <f>$I464</f>
        <v>0</v>
      </c>
      <c r="AC464" s="137">
        <f>$I464</f>
        <v>0</v>
      </c>
      <c r="AD464" s="137">
        <f>$I464</f>
        <v>0</v>
      </c>
      <c r="AE464" s="370"/>
      <c r="AF464" s="327"/>
      <c r="AG464" s="371"/>
    </row>
    <row r="465" spans="1:33" ht="13.5" x14ac:dyDescent="0.3">
      <c r="A465" s="360" t="s">
        <v>334</v>
      </c>
      <c r="B465" s="11"/>
      <c r="E465" s="3" t="s">
        <v>310</v>
      </c>
      <c r="I465" s="3"/>
      <c r="L465" s="16"/>
      <c r="M465" s="16"/>
      <c r="N465" s="15"/>
      <c r="O465" s="246">
        <v>0</v>
      </c>
      <c r="P465" s="16">
        <f t="shared" ref="P465:X465" si="322">SUM(P$435,P$440,P$445,P$450,P$455)*P466</f>
        <v>0</v>
      </c>
      <c r="Q465" s="16">
        <f t="shared" si="322"/>
        <v>0</v>
      </c>
      <c r="R465" s="16">
        <f t="shared" si="322"/>
        <v>0</v>
      </c>
      <c r="S465" s="16">
        <f t="shared" si="322"/>
        <v>0</v>
      </c>
      <c r="T465" s="16">
        <f t="shared" si="322"/>
        <v>0</v>
      </c>
      <c r="U465" s="16">
        <f t="shared" si="322"/>
        <v>0</v>
      </c>
      <c r="V465" s="16">
        <f t="shared" si="322"/>
        <v>0</v>
      </c>
      <c r="W465" s="16">
        <f t="shared" si="322"/>
        <v>0</v>
      </c>
      <c r="X465" s="16">
        <f t="shared" si="322"/>
        <v>0</v>
      </c>
      <c r="Y465" s="292">
        <f>SUM(P465:X465)</f>
        <v>0</v>
      </c>
      <c r="Z465" s="246">
        <f>SUM(O465,Y465)</f>
        <v>0</v>
      </c>
      <c r="AA465" s="119"/>
      <c r="AB465" s="119"/>
      <c r="AC465" s="119"/>
      <c r="AD465" s="119"/>
      <c r="AE465" s="23"/>
      <c r="AF465" s="327"/>
    </row>
    <row r="466" spans="1:33" s="137" customFormat="1" ht="13.5" x14ac:dyDescent="0.3">
      <c r="A466" s="367" t="s">
        <v>334</v>
      </c>
      <c r="B466" s="368"/>
      <c r="F466" s="137" t="s">
        <v>317</v>
      </c>
      <c r="I466" s="361">
        <v>0</v>
      </c>
      <c r="N466" s="369"/>
      <c r="O466" s="362">
        <f>O465/SUM(O$455,O$450,O$445,O$440,O$435)</f>
        <v>0</v>
      </c>
      <c r="P466" s="363">
        <f t="shared" ref="P466:X466" si="323">$I466</f>
        <v>0</v>
      </c>
      <c r="Q466" s="363">
        <f t="shared" si="323"/>
        <v>0</v>
      </c>
      <c r="R466" s="363">
        <f t="shared" si="323"/>
        <v>0</v>
      </c>
      <c r="S466" s="363">
        <f t="shared" si="323"/>
        <v>0</v>
      </c>
      <c r="T466" s="363">
        <f t="shared" si="323"/>
        <v>0</v>
      </c>
      <c r="U466" s="363">
        <f t="shared" si="323"/>
        <v>0</v>
      </c>
      <c r="V466" s="363">
        <f t="shared" si="323"/>
        <v>0</v>
      </c>
      <c r="W466" s="363">
        <f t="shared" si="323"/>
        <v>0</v>
      </c>
      <c r="X466" s="363">
        <f t="shared" si="323"/>
        <v>0</v>
      </c>
      <c r="Y466" s="364">
        <f>IFERROR(Y465/SUM(Y$21,Y$27,Y$33,Y$39,Y$45),)</f>
        <v>0</v>
      </c>
      <c r="Z466" s="362">
        <f>IFERROR(Z465/SUM(Z$21,Z$27,Z$33,Z$39,Z$45),)</f>
        <v>0</v>
      </c>
      <c r="AA466" s="137">
        <f>$I466</f>
        <v>0</v>
      </c>
      <c r="AB466" s="137">
        <f>$I466</f>
        <v>0</v>
      </c>
      <c r="AC466" s="137">
        <f>$I466</f>
        <v>0</v>
      </c>
      <c r="AD466" s="137">
        <f>$I466</f>
        <v>0</v>
      </c>
      <c r="AE466" s="370"/>
      <c r="AF466" s="327"/>
      <c r="AG466" s="371"/>
    </row>
    <row r="467" spans="1:33" ht="13.5" x14ac:dyDescent="0.3">
      <c r="A467" s="360" t="s">
        <v>334</v>
      </c>
      <c r="B467" s="11"/>
      <c r="E467" s="3" t="s">
        <v>311</v>
      </c>
      <c r="I467" s="3"/>
      <c r="L467" s="16"/>
      <c r="M467" s="16"/>
      <c r="N467" s="15"/>
      <c r="O467" s="246">
        <v>77.221374195036304</v>
      </c>
      <c r="P467" s="16">
        <f t="shared" ref="P467:X467" si="324">P468*P469</f>
        <v>17.95207783420139</v>
      </c>
      <c r="Q467" s="16">
        <f t="shared" si="324"/>
        <v>17.95207783420139</v>
      </c>
      <c r="R467" s="16">
        <f t="shared" si="324"/>
        <v>23.081242929687498</v>
      </c>
      <c r="S467" s="16">
        <f t="shared" si="324"/>
        <v>15.387495286458332</v>
      </c>
      <c r="T467" s="16">
        <f t="shared" si="324"/>
        <v>20.516660381944444</v>
      </c>
      <c r="U467" s="16">
        <f t="shared" si="324"/>
        <v>12.822912738715278</v>
      </c>
      <c r="V467" s="16">
        <f t="shared" si="324"/>
        <v>25.645825477430556</v>
      </c>
      <c r="W467" s="16">
        <f t="shared" si="324"/>
        <v>20.516660381944444</v>
      </c>
      <c r="X467" s="16">
        <f t="shared" si="324"/>
        <v>23.081242929687498</v>
      </c>
      <c r="Y467" s="292">
        <f>SUM(P467:X467)</f>
        <v>176.95619579427083</v>
      </c>
      <c r="Z467" s="246">
        <f>SUM(O467,Y467)</f>
        <v>254.17756998930713</v>
      </c>
      <c r="AA467" s="16">
        <f>Projection_미국!AA214</f>
        <v>157.16038593573501</v>
      </c>
      <c r="AB467" s="16">
        <f>Projection_미국!AB214</f>
        <v>173.1423882593536</v>
      </c>
      <c r="AC467" s="16">
        <f>Projection_미국!AC214</f>
        <v>192.5767379619341</v>
      </c>
      <c r="AD467" s="16">
        <f>Projection_미국!AD214</f>
        <v>206.91287382624768</v>
      </c>
      <c r="AE467" s="23"/>
      <c r="AF467" s="327"/>
    </row>
    <row r="468" spans="1:33" ht="13.5" x14ac:dyDescent="0.3">
      <c r="A468" s="360" t="s">
        <v>334</v>
      </c>
      <c r="B468" s="11"/>
      <c r="F468" s="3" t="s">
        <v>318</v>
      </c>
      <c r="I468" s="3"/>
      <c r="L468" s="16"/>
      <c r="M468" s="16"/>
      <c r="N468" s="15"/>
      <c r="O468" s="246">
        <f>SUM(O437,O442,O447,O452,O457)</f>
        <v>20</v>
      </c>
      <c r="P468" s="16">
        <f t="shared" ref="P468:AD468" si="325">SUM(P437,P442,P447,P452,P457)</f>
        <v>7</v>
      </c>
      <c r="Q468" s="16">
        <f t="shared" si="325"/>
        <v>7</v>
      </c>
      <c r="R468" s="16">
        <f t="shared" si="325"/>
        <v>9</v>
      </c>
      <c r="S468" s="16">
        <f t="shared" si="325"/>
        <v>6</v>
      </c>
      <c r="T468" s="16">
        <f t="shared" si="325"/>
        <v>8</v>
      </c>
      <c r="U468" s="16">
        <f t="shared" si="325"/>
        <v>5</v>
      </c>
      <c r="V468" s="16">
        <f t="shared" si="325"/>
        <v>10</v>
      </c>
      <c r="W468" s="16">
        <f t="shared" si="325"/>
        <v>8</v>
      </c>
      <c r="X468" s="16">
        <f t="shared" si="325"/>
        <v>9</v>
      </c>
      <c r="Y468" s="292">
        <f t="shared" si="325"/>
        <v>69</v>
      </c>
      <c r="Z468" s="246">
        <f t="shared" si="325"/>
        <v>89</v>
      </c>
      <c r="AA468" s="16">
        <f t="shared" si="325"/>
        <v>91</v>
      </c>
      <c r="AB468" s="16">
        <f t="shared" si="325"/>
        <v>98</v>
      </c>
      <c r="AC468" s="16">
        <f t="shared" si="325"/>
        <v>109</v>
      </c>
      <c r="AD468" s="16">
        <f t="shared" si="325"/>
        <v>117</v>
      </c>
      <c r="AE468" s="23"/>
      <c r="AF468" s="327"/>
    </row>
    <row r="469" spans="1:33" ht="13.5" x14ac:dyDescent="0.3">
      <c r="A469" s="360" t="s">
        <v>334</v>
      </c>
      <c r="B469" s="11"/>
      <c r="F469" s="3" t="s">
        <v>319</v>
      </c>
      <c r="I469" s="365">
        <v>2.5645825477430555</v>
      </c>
      <c r="L469" s="16"/>
      <c r="M469" s="16"/>
      <c r="N469" s="15"/>
      <c r="O469" s="250">
        <f>O467/O468</f>
        <v>3.861068709751815</v>
      </c>
      <c r="P469" s="247">
        <f t="shared" ref="P469:X469" si="326">$I469</f>
        <v>2.5645825477430555</v>
      </c>
      <c r="Q469" s="247">
        <f t="shared" si="326"/>
        <v>2.5645825477430555</v>
      </c>
      <c r="R469" s="247">
        <f t="shared" si="326"/>
        <v>2.5645825477430555</v>
      </c>
      <c r="S469" s="247">
        <f t="shared" si="326"/>
        <v>2.5645825477430555</v>
      </c>
      <c r="T469" s="247">
        <f t="shared" si="326"/>
        <v>2.5645825477430555</v>
      </c>
      <c r="U469" s="247">
        <f t="shared" si="326"/>
        <v>2.5645825477430555</v>
      </c>
      <c r="V469" s="247">
        <f t="shared" si="326"/>
        <v>2.5645825477430555</v>
      </c>
      <c r="W469" s="247">
        <f t="shared" si="326"/>
        <v>2.5645825477430555</v>
      </c>
      <c r="X469" s="247">
        <f t="shared" si="326"/>
        <v>2.5645825477430555</v>
      </c>
      <c r="Y469" s="366">
        <f t="shared" ref="Y469:AD469" si="327">Y467/Y468</f>
        <v>2.5645825477430555</v>
      </c>
      <c r="Z469" s="250">
        <f t="shared" si="327"/>
        <v>2.855927752688844</v>
      </c>
      <c r="AA469" s="16">
        <f t="shared" si="327"/>
        <v>1.7270372080850001</v>
      </c>
      <c r="AB469" s="16">
        <f t="shared" si="327"/>
        <v>1.7667590638709552</v>
      </c>
      <c r="AC469" s="16">
        <f t="shared" si="327"/>
        <v>1.7667590638709549</v>
      </c>
      <c r="AD469" s="16">
        <f t="shared" si="327"/>
        <v>1.76848610107904</v>
      </c>
      <c r="AE469" s="23"/>
      <c r="AF469" s="327"/>
    </row>
    <row r="470" spans="1:33" ht="13.5" x14ac:dyDescent="0.3">
      <c r="A470" s="360" t="s">
        <v>334</v>
      </c>
      <c r="B470" s="11"/>
      <c r="E470" s="3" t="s">
        <v>314</v>
      </c>
      <c r="I470" s="3"/>
      <c r="L470" s="16"/>
      <c r="M470" s="16"/>
      <c r="N470" s="15"/>
      <c r="O470" s="246">
        <v>0</v>
      </c>
      <c r="P470" s="16">
        <v>-16.771098749999965</v>
      </c>
      <c r="Q470" s="16">
        <v>-20.117632500000013</v>
      </c>
      <c r="R470" s="16">
        <v>-24.84802000000013</v>
      </c>
      <c r="S470" s="16">
        <v>-23.629308750000067</v>
      </c>
      <c r="T470" s="16">
        <v>-18.770372500000004</v>
      </c>
      <c r="U470" s="16">
        <v>-21.702527499999974</v>
      </c>
      <c r="V470" s="16">
        <v>-31.952054999999977</v>
      </c>
      <c r="W470" s="16">
        <v>-28.092385000000153</v>
      </c>
      <c r="X470" s="16">
        <v>-19.303212500000086</v>
      </c>
      <c r="Y470" s="292">
        <f>SUM(P470:X470)</f>
        <v>-205.18661250000036</v>
      </c>
      <c r="Z470" s="246">
        <f>SUM(O470,Y470)</f>
        <v>-205.18661250000036</v>
      </c>
      <c r="AA470" s="119"/>
      <c r="AB470" s="119"/>
      <c r="AC470" s="119"/>
      <c r="AD470" s="119"/>
      <c r="AE470" s="23"/>
      <c r="AF470" s="327"/>
    </row>
    <row r="471" spans="1:33" ht="13.5" x14ac:dyDescent="0.3">
      <c r="A471" s="360" t="s">
        <v>334</v>
      </c>
      <c r="B471" s="11"/>
      <c r="E471" s="3" t="s">
        <v>105</v>
      </c>
      <c r="I471" s="3"/>
      <c r="L471" s="16"/>
      <c r="M471" s="16"/>
      <c r="N471" s="15"/>
      <c r="O471" s="246">
        <v>0</v>
      </c>
      <c r="P471" s="16">
        <v>0</v>
      </c>
      <c r="Q471" s="16">
        <v>0</v>
      </c>
      <c r="R471" s="16">
        <v>0</v>
      </c>
      <c r="S471" s="16">
        <v>0</v>
      </c>
      <c r="T471" s="16">
        <v>0</v>
      </c>
      <c r="U471" s="16">
        <v>0</v>
      </c>
      <c r="V471" s="16">
        <v>0</v>
      </c>
      <c r="W471" s="16">
        <v>0</v>
      </c>
      <c r="X471" s="16">
        <v>0</v>
      </c>
      <c r="Y471" s="292">
        <f>SUM(P471:X471)</f>
        <v>0</v>
      </c>
      <c r="Z471" s="246">
        <f>SUM(O471,Y471)</f>
        <v>0</v>
      </c>
      <c r="AA471" s="119"/>
      <c r="AB471" s="119"/>
      <c r="AC471" s="119"/>
      <c r="AD471" s="119"/>
      <c r="AE471" s="23"/>
      <c r="AF471" s="327"/>
    </row>
    <row r="472" spans="1:33" ht="13.5" x14ac:dyDescent="0.3">
      <c r="A472" s="360" t="s">
        <v>335</v>
      </c>
      <c r="C472" s="3" t="s">
        <v>14</v>
      </c>
      <c r="L472" s="16"/>
      <c r="M472" s="16"/>
      <c r="N472" s="15"/>
      <c r="O472" s="246">
        <f>O473+O478+O483+O488+O493+O498</f>
        <v>14551.758006</v>
      </c>
      <c r="P472" s="16">
        <f t="shared" ref="P472:AD472" si="328">P473+P478+P483+P488+P493+P498</f>
        <v>5523.8984931608356</v>
      </c>
      <c r="Q472" s="16">
        <f t="shared" si="328"/>
        <v>3038.6409065001726</v>
      </c>
      <c r="R472" s="16">
        <f t="shared" si="328"/>
        <v>3475.7268994810993</v>
      </c>
      <c r="S472" s="16">
        <f t="shared" si="328"/>
        <v>4754.5423220218554</v>
      </c>
      <c r="T472" s="16">
        <f t="shared" si="328"/>
        <v>5409.5213142248622</v>
      </c>
      <c r="U472" s="16">
        <f t="shared" si="328"/>
        <v>4883.6336976160928</v>
      </c>
      <c r="V472" s="16">
        <f t="shared" si="328"/>
        <v>5308.5000679873128</v>
      </c>
      <c r="W472" s="16">
        <f t="shared" si="328"/>
        <v>4658.0846913868754</v>
      </c>
      <c r="X472" s="16">
        <f t="shared" si="328"/>
        <v>4300.8762898307878</v>
      </c>
      <c r="Y472" s="292">
        <f t="shared" si="328"/>
        <v>41353.424682209894</v>
      </c>
      <c r="Z472" s="246">
        <f t="shared" si="328"/>
        <v>55905.18268820989</v>
      </c>
      <c r="AA472" s="16">
        <f t="shared" si="328"/>
        <v>51769.695340520964</v>
      </c>
      <c r="AB472" s="16">
        <f t="shared" si="328"/>
        <v>57721.60641479725</v>
      </c>
      <c r="AC472" s="16">
        <f t="shared" si="328"/>
        <v>62759.664098330111</v>
      </c>
      <c r="AD472" s="16">
        <f t="shared" si="328"/>
        <v>67827.479945705272</v>
      </c>
      <c r="AE472" s="151"/>
      <c r="AF472" s="327"/>
    </row>
    <row r="473" spans="1:33" ht="13.5" x14ac:dyDescent="0.3">
      <c r="A473" s="360" t="s">
        <v>335</v>
      </c>
      <c r="B473" s="11"/>
      <c r="D473" s="3" t="s">
        <v>131</v>
      </c>
      <c r="L473" s="16"/>
      <c r="M473" s="16"/>
      <c r="N473" s="15"/>
      <c r="O473" s="246">
        <v>0</v>
      </c>
      <c r="P473" s="16">
        <f t="shared" ref="P473:X473" si="329">P474*P477/10^6</f>
        <v>0</v>
      </c>
      <c r="Q473" s="16">
        <f t="shared" si="329"/>
        <v>0</v>
      </c>
      <c r="R473" s="16">
        <f t="shared" si="329"/>
        <v>0</v>
      </c>
      <c r="S473" s="16">
        <f t="shared" si="329"/>
        <v>0</v>
      </c>
      <c r="T473" s="16">
        <f t="shared" si="329"/>
        <v>0</v>
      </c>
      <c r="U473" s="16">
        <f t="shared" si="329"/>
        <v>0</v>
      </c>
      <c r="V473" s="16">
        <f t="shared" si="329"/>
        <v>0</v>
      </c>
      <c r="W473" s="16">
        <f t="shared" si="329"/>
        <v>387.0741724941725</v>
      </c>
      <c r="X473" s="16">
        <f t="shared" si="329"/>
        <v>0</v>
      </c>
      <c r="Y473" s="292">
        <f>SUM(P473:X473)</f>
        <v>387.0741724941725</v>
      </c>
      <c r="Z473" s="246">
        <f>SUM(O473,Y473)</f>
        <v>387.0741724941725</v>
      </c>
      <c r="AA473" s="16">
        <f>AA474*AA477/10^6</f>
        <v>601.26666647325294</v>
      </c>
      <c r="AB473" s="16">
        <f t="shared" ref="AB473:AD473" si="330">AB474*AB477/10^6</f>
        <v>607.82448727054486</v>
      </c>
      <c r="AC473" s="16">
        <f t="shared" si="330"/>
        <v>821.10050053508428</v>
      </c>
      <c r="AD473" s="16">
        <f t="shared" si="330"/>
        <v>838.91557122951178</v>
      </c>
      <c r="AE473" s="23"/>
      <c r="AF473" s="327"/>
    </row>
    <row r="474" spans="1:33" ht="13.5" x14ac:dyDescent="0.3">
      <c r="A474" s="360" t="s">
        <v>335</v>
      </c>
      <c r="B474" s="11"/>
      <c r="E474" s="3" t="s">
        <v>336</v>
      </c>
      <c r="L474" s="16"/>
      <c r="M474" s="16"/>
      <c r="N474" s="15"/>
      <c r="O474" s="246">
        <v>0</v>
      </c>
      <c r="P474" s="16">
        <f t="shared" ref="P474:X474" si="331">P475*P476</f>
        <v>0</v>
      </c>
      <c r="Q474" s="16">
        <f t="shared" si="331"/>
        <v>0</v>
      </c>
      <c r="R474" s="16">
        <f t="shared" si="331"/>
        <v>0</v>
      </c>
      <c r="S474" s="16">
        <f t="shared" si="331"/>
        <v>0</v>
      </c>
      <c r="T474" s="16">
        <f t="shared" si="331"/>
        <v>0</v>
      </c>
      <c r="U474" s="16">
        <f t="shared" si="331"/>
        <v>0</v>
      </c>
      <c r="V474" s="16">
        <f t="shared" si="331"/>
        <v>0</v>
      </c>
      <c r="W474" s="16">
        <f t="shared" si="331"/>
        <v>276780</v>
      </c>
      <c r="X474" s="16">
        <f t="shared" si="331"/>
        <v>0</v>
      </c>
      <c r="Y474" s="292">
        <f>SUM(P474:X474)</f>
        <v>276780</v>
      </c>
      <c r="Z474" s="246">
        <f>SUM(O474,Y474)</f>
        <v>276780</v>
      </c>
      <c r="AA474" s="16">
        <f>AA475*AA476</f>
        <v>435326.5742848267</v>
      </c>
      <c r="AB474" s="16">
        <f t="shared" ref="AB474:AD474" si="332">AB475*AB476</f>
        <v>437888.53476355283</v>
      </c>
      <c r="AC474" s="16">
        <f t="shared" si="332"/>
        <v>587703.38502402767</v>
      </c>
      <c r="AD474" s="16">
        <f t="shared" si="332"/>
        <v>591601.59961209877</v>
      </c>
      <c r="AE474" s="23"/>
      <c r="AF474" s="327"/>
    </row>
    <row r="475" spans="1:33" ht="13.5" x14ac:dyDescent="0.3">
      <c r="A475" s="360" t="s">
        <v>335</v>
      </c>
      <c r="B475" s="11"/>
      <c r="F475" s="3" t="s">
        <v>331</v>
      </c>
      <c r="L475" s="16"/>
      <c r="M475" s="16"/>
      <c r="N475" s="15"/>
      <c r="O475" s="246">
        <v>0</v>
      </c>
      <c r="P475" s="16">
        <v>0</v>
      </c>
      <c r="Q475" s="16">
        <v>0</v>
      </c>
      <c r="R475" s="16">
        <v>0</v>
      </c>
      <c r="S475" s="16">
        <v>0</v>
      </c>
      <c r="T475" s="16">
        <v>0</v>
      </c>
      <c r="U475" s="16">
        <v>0</v>
      </c>
      <c r="V475" s="16">
        <v>0</v>
      </c>
      <c r="W475" s="16">
        <v>2</v>
      </c>
      <c r="X475" s="16">
        <v>0</v>
      </c>
      <c r="Y475" s="292">
        <f>SUM(P475:X475)</f>
        <v>2</v>
      </c>
      <c r="Z475" s="246">
        <f>SUM(O475,Y475)</f>
        <v>2</v>
      </c>
      <c r="AA475" s="16">
        <f>Projection_유럽!AA23</f>
        <v>3</v>
      </c>
      <c r="AB475" s="16">
        <f>Projection_유럽!AB23</f>
        <v>3</v>
      </c>
      <c r="AC475" s="16">
        <f>Projection_유럽!AC23</f>
        <v>4</v>
      </c>
      <c r="AD475" s="16">
        <f>Projection_유럽!AD23</f>
        <v>4</v>
      </c>
      <c r="AE475" s="23"/>
      <c r="AF475" s="327"/>
      <c r="AG475" s="322" t="s">
        <v>146</v>
      </c>
    </row>
    <row r="476" spans="1:33" ht="13.5" x14ac:dyDescent="0.3">
      <c r="A476" s="360" t="s">
        <v>335</v>
      </c>
      <c r="B476" s="11"/>
      <c r="F476" s="3" t="s">
        <v>337</v>
      </c>
      <c r="L476" s="16"/>
      <c r="M476" s="16"/>
      <c r="N476" s="15"/>
      <c r="O476" s="246">
        <v>0</v>
      </c>
      <c r="P476" s="16">
        <v>138390</v>
      </c>
      <c r="Q476" s="16">
        <v>138390</v>
      </c>
      <c r="R476" s="16">
        <v>138390</v>
      </c>
      <c r="S476" s="16">
        <v>138390</v>
      </c>
      <c r="T476" s="16">
        <v>138390</v>
      </c>
      <c r="U476" s="16">
        <v>138390</v>
      </c>
      <c r="V476" s="16">
        <v>138390</v>
      </c>
      <c r="W476" s="16">
        <v>138390</v>
      </c>
      <c r="X476" s="16">
        <v>138390</v>
      </c>
      <c r="Y476" s="292">
        <f>Y474/Y475</f>
        <v>138390</v>
      </c>
      <c r="Z476" s="246">
        <f>Z474/Z475</f>
        <v>138390</v>
      </c>
      <c r="AA476" s="16">
        <f>Projection_유럽!AA78</f>
        <v>145108.85809494223</v>
      </c>
      <c r="AB476" s="16">
        <f>Projection_유럽!AB78</f>
        <v>145962.84492118427</v>
      </c>
      <c r="AC476" s="16">
        <f>Projection_유럽!AC78</f>
        <v>146925.84625600692</v>
      </c>
      <c r="AD476" s="16">
        <f>Projection_유럽!AD78</f>
        <v>147900.39990302469</v>
      </c>
      <c r="AE476" s="23"/>
      <c r="AF476" s="327"/>
    </row>
    <row r="477" spans="1:33" ht="13.5" x14ac:dyDescent="0.3">
      <c r="A477" s="360" t="s">
        <v>335</v>
      </c>
      <c r="B477" s="11"/>
      <c r="E477" s="3" t="s">
        <v>333</v>
      </c>
      <c r="L477" s="16"/>
      <c r="M477" s="16"/>
      <c r="N477" s="15"/>
      <c r="O477" s="246">
        <v>0</v>
      </c>
      <c r="P477" s="16">
        <f t="shared" ref="P477:X477" si="333">P$554</f>
        <v>1426.4224983649444</v>
      </c>
      <c r="Q477" s="16">
        <f t="shared" si="333"/>
        <v>1426.4224983649444</v>
      </c>
      <c r="R477" s="16">
        <f t="shared" si="333"/>
        <v>1426.4224983649444</v>
      </c>
      <c r="S477" s="16">
        <f t="shared" si="333"/>
        <v>1431.6794316794317</v>
      </c>
      <c r="T477" s="16">
        <f t="shared" si="333"/>
        <v>1431.6794316794317</v>
      </c>
      <c r="U477" s="16">
        <f t="shared" si="333"/>
        <v>1431.6794316794317</v>
      </c>
      <c r="V477" s="16">
        <f t="shared" si="333"/>
        <v>1398.4903984903985</v>
      </c>
      <c r="W477" s="16">
        <f t="shared" si="333"/>
        <v>1398.4903984903985</v>
      </c>
      <c r="X477" s="16">
        <f t="shared" si="333"/>
        <v>1398.4903984903985</v>
      </c>
      <c r="Y477" s="292">
        <f>Y473/Y474*10^6</f>
        <v>1398.4903984903985</v>
      </c>
      <c r="Z477" s="246">
        <f>Z473/Z474*10^6</f>
        <v>1398.4903984903985</v>
      </c>
      <c r="AA477" s="16">
        <f t="shared" ref="AA477:AD477" si="334">AA$554</f>
        <v>1381.1853031509499</v>
      </c>
      <c r="AB477" s="16">
        <f t="shared" si="334"/>
        <v>1388.080388080388</v>
      </c>
      <c r="AC477" s="16">
        <f t="shared" si="334"/>
        <v>1397.1342031686859</v>
      </c>
      <c r="AD477" s="16">
        <f t="shared" si="334"/>
        <v>1418.041418041418</v>
      </c>
      <c r="AE477" s="23"/>
      <c r="AF477" s="327"/>
    </row>
    <row r="478" spans="1:33" ht="13.5" x14ac:dyDescent="0.3">
      <c r="A478" s="360" t="s">
        <v>335</v>
      </c>
      <c r="B478" s="11"/>
      <c r="D478" s="3" t="s">
        <v>132</v>
      </c>
      <c r="L478" s="16"/>
      <c r="M478" s="16"/>
      <c r="N478" s="15"/>
      <c r="O478" s="246">
        <v>9248.8006359999999</v>
      </c>
      <c r="P478" s="16">
        <f t="shared" ref="P478:X478" si="335">P479*P482/10^6</f>
        <v>3121.5860500570866</v>
      </c>
      <c r="Q478" s="16">
        <f t="shared" si="335"/>
        <v>1950.9912812856794</v>
      </c>
      <c r="R478" s="16">
        <f t="shared" si="335"/>
        <v>1950.9912812856794</v>
      </c>
      <c r="S478" s="16">
        <f t="shared" si="335"/>
        <v>3035.1812612369276</v>
      </c>
      <c r="T478" s="16">
        <f t="shared" si="335"/>
        <v>2937.2721882938008</v>
      </c>
      <c r="U478" s="16">
        <f t="shared" si="335"/>
        <v>3133.090334180054</v>
      </c>
      <c r="V478" s="16">
        <f t="shared" si="335"/>
        <v>3060.4593828759889</v>
      </c>
      <c r="W478" s="16">
        <f t="shared" si="335"/>
        <v>3060.4593828759889</v>
      </c>
      <c r="X478" s="16">
        <f t="shared" si="335"/>
        <v>2677.9019600164902</v>
      </c>
      <c r="Y478" s="292">
        <f>SUM(P478:X478)</f>
        <v>24927.933122107697</v>
      </c>
      <c r="Z478" s="246">
        <f>SUM(O478,Y478)</f>
        <v>34176.733758107701</v>
      </c>
      <c r="AA478" s="16">
        <f>AA479*AA482/10^6</f>
        <v>30918.219875322222</v>
      </c>
      <c r="AB478" s="16">
        <f t="shared" ref="AB478:AD478" si="336">AB479*AB482/10^6</f>
        <v>34133.632132749844</v>
      </c>
      <c r="AC478" s="16">
        <f t="shared" si="336"/>
        <v>36624.246442515076</v>
      </c>
      <c r="AD478" s="16">
        <f t="shared" si="336"/>
        <v>39106.525402302148</v>
      </c>
      <c r="AE478" s="23"/>
      <c r="AF478" s="327"/>
    </row>
    <row r="479" spans="1:33" ht="13.5" x14ac:dyDescent="0.3">
      <c r="A479" s="360" t="s">
        <v>335</v>
      </c>
      <c r="B479" s="11"/>
      <c r="E479" s="3" t="s">
        <v>336</v>
      </c>
      <c r="L479" s="16"/>
      <c r="M479" s="16"/>
      <c r="N479" s="15"/>
      <c r="O479" s="246">
        <v>6416200.9967250619</v>
      </c>
      <c r="P479" s="16">
        <f t="shared" ref="P479:X479" si="337">P480*P481</f>
        <v>2188402.1414659722</v>
      </c>
      <c r="Q479" s="16">
        <f t="shared" si="337"/>
        <v>1367751.3384162327</v>
      </c>
      <c r="R479" s="16">
        <f t="shared" si="337"/>
        <v>1367751.3384162327</v>
      </c>
      <c r="S479" s="16">
        <f t="shared" si="337"/>
        <v>2120014.5745451604</v>
      </c>
      <c r="T479" s="16">
        <f t="shared" si="337"/>
        <v>2051627.0076243489</v>
      </c>
      <c r="U479" s="16">
        <f t="shared" si="337"/>
        <v>2188402.1414659722</v>
      </c>
      <c r="V479" s="16">
        <f t="shared" si="337"/>
        <v>2188402.1414659722</v>
      </c>
      <c r="W479" s="16">
        <f t="shared" si="337"/>
        <v>2188402.1414659722</v>
      </c>
      <c r="X479" s="16">
        <f t="shared" si="337"/>
        <v>1914851.8737827255</v>
      </c>
      <c r="Y479" s="292">
        <f>SUM(P479:X479)</f>
        <v>17575604.698648591</v>
      </c>
      <c r="Z479" s="246">
        <f>SUM(O479,Y479)</f>
        <v>23991805.695373654</v>
      </c>
      <c r="AA479" s="16">
        <f>AA480*AA481</f>
        <v>22385280.095862102</v>
      </c>
      <c r="AB479" s="16">
        <f t="shared" ref="AB479:AD479" si="338">AB480*AB481</f>
        <v>24590529.789095372</v>
      </c>
      <c r="AC479" s="16">
        <f t="shared" si="338"/>
        <v>26213835.692699861</v>
      </c>
      <c r="AD479" s="16">
        <f t="shared" si="338"/>
        <v>27577844.275039315</v>
      </c>
      <c r="AE479" s="23"/>
      <c r="AF479" s="327"/>
    </row>
    <row r="480" spans="1:33" ht="13.5" x14ac:dyDescent="0.3">
      <c r="A480" s="360" t="s">
        <v>335</v>
      </c>
      <c r="B480" s="11"/>
      <c r="F480" s="3" t="s">
        <v>331</v>
      </c>
      <c r="L480" s="16"/>
      <c r="M480" s="16"/>
      <c r="N480" s="15"/>
      <c r="O480" s="246">
        <v>92</v>
      </c>
      <c r="P480" s="16">
        <v>32</v>
      </c>
      <c r="Q480" s="16">
        <v>20</v>
      </c>
      <c r="R480" s="16">
        <v>20</v>
      </c>
      <c r="S480" s="16">
        <v>31</v>
      </c>
      <c r="T480" s="16">
        <v>30</v>
      </c>
      <c r="U480" s="16">
        <v>32</v>
      </c>
      <c r="V480" s="16">
        <v>32</v>
      </c>
      <c r="W480" s="16">
        <v>32</v>
      </c>
      <c r="X480" s="16">
        <v>28</v>
      </c>
      <c r="Y480" s="292">
        <f>SUM(P480:X480)</f>
        <v>257</v>
      </c>
      <c r="Z480" s="246">
        <f>SUM(O480,Y480)</f>
        <v>349</v>
      </c>
      <c r="AA480" s="16">
        <f>Projection_유럽!AA30</f>
        <v>327</v>
      </c>
      <c r="AB480" s="16">
        <f>Projection_유럽!AB30</f>
        <v>357</v>
      </c>
      <c r="AC480" s="16">
        <f>Projection_유럽!AC30</f>
        <v>378</v>
      </c>
      <c r="AD480" s="16">
        <f>Projection_유럽!AD30</f>
        <v>395</v>
      </c>
      <c r="AE480" s="23"/>
      <c r="AF480" s="327"/>
      <c r="AG480" s="322" t="s">
        <v>147</v>
      </c>
    </row>
    <row r="481" spans="1:33" ht="13.5" x14ac:dyDescent="0.3">
      <c r="A481" s="360" t="s">
        <v>335</v>
      </c>
      <c r="B481" s="11"/>
      <c r="F481" s="3" t="s">
        <v>337</v>
      </c>
      <c r="L481" s="16"/>
      <c r="M481" s="16"/>
      <c r="N481" s="15"/>
      <c r="O481" s="246">
        <f>O479/O480</f>
        <v>69741.315181794154</v>
      </c>
      <c r="P481" s="16">
        <v>68387.566920811631</v>
      </c>
      <c r="Q481" s="16">
        <v>68387.566920811631</v>
      </c>
      <c r="R481" s="16">
        <v>68387.566920811631</v>
      </c>
      <c r="S481" s="16">
        <v>68387.566920811631</v>
      </c>
      <c r="T481" s="16">
        <v>68387.566920811631</v>
      </c>
      <c r="U481" s="16">
        <v>68387.566920811631</v>
      </c>
      <c r="V481" s="16">
        <v>68387.566920811631</v>
      </c>
      <c r="W481" s="16">
        <v>68387.566920811631</v>
      </c>
      <c r="X481" s="16">
        <v>68387.566920811631</v>
      </c>
      <c r="Y481" s="292">
        <f>Y479/Y480</f>
        <v>68387.566920811631</v>
      </c>
      <c r="Z481" s="246">
        <f>Z479/Z480</f>
        <v>68744.428926572073</v>
      </c>
      <c r="AA481" s="16">
        <f>Projection_유럽!AA83</f>
        <v>68456.51405462416</v>
      </c>
      <c r="AB481" s="16">
        <f>Projection_유럽!AB83</f>
        <v>68881.035823796556</v>
      </c>
      <c r="AC481" s="16">
        <f>Projection_유럽!AC83</f>
        <v>69348.771673809155</v>
      </c>
      <c r="AD481" s="16">
        <f>Projection_유럽!AD83</f>
        <v>69817.327278580546</v>
      </c>
      <c r="AE481" s="23"/>
      <c r="AF481" s="327"/>
    </row>
    <row r="482" spans="1:33" ht="13.5" x14ac:dyDescent="0.3">
      <c r="A482" s="360" t="s">
        <v>335</v>
      </c>
      <c r="B482" s="11"/>
      <c r="E482" s="3" t="s">
        <v>333</v>
      </c>
      <c r="L482" s="16"/>
      <c r="M482" s="16"/>
      <c r="N482" s="15"/>
      <c r="O482" s="246">
        <f>O478/O479*10^6</f>
        <v>1441.476138406628</v>
      </c>
      <c r="P482" s="16">
        <f t="shared" ref="P482:X482" si="339">P$554</f>
        <v>1426.4224983649444</v>
      </c>
      <c r="Q482" s="16">
        <f t="shared" si="339"/>
        <v>1426.4224983649444</v>
      </c>
      <c r="R482" s="16">
        <f t="shared" si="339"/>
        <v>1426.4224983649444</v>
      </c>
      <c r="S482" s="16">
        <f t="shared" si="339"/>
        <v>1431.6794316794317</v>
      </c>
      <c r="T482" s="16">
        <f t="shared" si="339"/>
        <v>1431.6794316794317</v>
      </c>
      <c r="U482" s="16">
        <f t="shared" si="339"/>
        <v>1431.6794316794317</v>
      </c>
      <c r="V482" s="16">
        <f t="shared" si="339"/>
        <v>1398.4903984903985</v>
      </c>
      <c r="W482" s="16">
        <f t="shared" si="339"/>
        <v>1398.4903984903985</v>
      </c>
      <c r="X482" s="16">
        <f t="shared" si="339"/>
        <v>1398.4903984903985</v>
      </c>
      <c r="Y482" s="292">
        <f>Y478/Y479*10^6</f>
        <v>1418.3257731112055</v>
      </c>
      <c r="Z482" s="246">
        <f>Z478/Z479*10^6</f>
        <v>1424.5169451625729</v>
      </c>
      <c r="AA482" s="16">
        <f t="shared" ref="AA482:AD482" si="340">AA$554</f>
        <v>1381.1853031509499</v>
      </c>
      <c r="AB482" s="16">
        <f t="shared" si="340"/>
        <v>1388.080388080388</v>
      </c>
      <c r="AC482" s="16">
        <f t="shared" si="340"/>
        <v>1397.1342031686859</v>
      </c>
      <c r="AD482" s="16">
        <f t="shared" si="340"/>
        <v>1418.041418041418</v>
      </c>
      <c r="AE482" s="23"/>
      <c r="AF482" s="327"/>
    </row>
    <row r="483" spans="1:33" ht="13.5" x14ac:dyDescent="0.3">
      <c r="A483" s="360" t="s">
        <v>335</v>
      </c>
      <c r="B483" s="11"/>
      <c r="D483" s="3" t="s">
        <v>133</v>
      </c>
      <c r="L483" s="16"/>
      <c r="M483" s="16"/>
      <c r="N483" s="15"/>
      <c r="O483" s="246">
        <v>2164.4329069999999</v>
      </c>
      <c r="P483" s="16">
        <f t="shared" ref="P483:X483" si="341">P484*P487/10^6</f>
        <v>602.64035362479228</v>
      </c>
      <c r="Q483" s="16">
        <f t="shared" si="341"/>
        <v>516.54887453553624</v>
      </c>
      <c r="R483" s="16">
        <f t="shared" si="341"/>
        <v>602.64035362479228</v>
      </c>
      <c r="S483" s="16">
        <f t="shared" si="341"/>
        <v>691.2700830012476</v>
      </c>
      <c r="T483" s="16">
        <f t="shared" si="341"/>
        <v>691.2700830012476</v>
      </c>
      <c r="U483" s="16">
        <f t="shared" si="341"/>
        <v>518.45256225093578</v>
      </c>
      <c r="V483" s="16">
        <f t="shared" si="341"/>
        <v>590.8394947872639</v>
      </c>
      <c r="W483" s="16">
        <f t="shared" si="341"/>
        <v>337.62256844986513</v>
      </c>
      <c r="X483" s="16">
        <f t="shared" si="341"/>
        <v>506.43385267479761</v>
      </c>
      <c r="Y483" s="292">
        <f>SUM(P483:X483)</f>
        <v>5057.7182259504789</v>
      </c>
      <c r="Z483" s="246">
        <f>SUM(O483,Y483)</f>
        <v>7222.1511329504792</v>
      </c>
      <c r="AA483" s="16">
        <f>AA484*AA487/10^6</f>
        <v>7053.0533139789986</v>
      </c>
      <c r="AB483" s="16">
        <f>AB484*AB487/10^6</f>
        <v>8253.106180445564</v>
      </c>
      <c r="AC483" s="16">
        <f>AC484*AC487/10^6</f>
        <v>9580.395859032682</v>
      </c>
      <c r="AD483" s="16">
        <f>AD484*AD487/10^6</f>
        <v>10790.929691281513</v>
      </c>
      <c r="AE483" s="23"/>
      <c r="AF483" s="327"/>
    </row>
    <row r="484" spans="1:33" ht="13.5" x14ac:dyDescent="0.3">
      <c r="A484" s="360" t="s">
        <v>335</v>
      </c>
      <c r="B484" s="11"/>
      <c r="E484" s="3" t="s">
        <v>336</v>
      </c>
      <c r="L484" s="16"/>
      <c r="M484" s="16"/>
      <c r="N484" s="15"/>
      <c r="O484" s="246">
        <v>1501113.9996968783</v>
      </c>
      <c r="P484" s="16">
        <f t="shared" ref="P484:X484" si="342">P485*P486</f>
        <v>422483.76923076913</v>
      </c>
      <c r="Q484" s="16">
        <f t="shared" si="342"/>
        <v>362128.94505494495</v>
      </c>
      <c r="R484" s="16">
        <f t="shared" si="342"/>
        <v>422483.76923076913</v>
      </c>
      <c r="S484" s="16">
        <f t="shared" si="342"/>
        <v>482838.59340659331</v>
      </c>
      <c r="T484" s="16">
        <f t="shared" si="342"/>
        <v>482838.59340659331</v>
      </c>
      <c r="U484" s="16">
        <f t="shared" si="342"/>
        <v>362128.94505494495</v>
      </c>
      <c r="V484" s="16">
        <f t="shared" si="342"/>
        <v>422483.76923076913</v>
      </c>
      <c r="W484" s="16">
        <f t="shared" si="342"/>
        <v>241419.29670329666</v>
      </c>
      <c r="X484" s="16">
        <f t="shared" si="342"/>
        <v>362128.94505494495</v>
      </c>
      <c r="Y484" s="292">
        <f>SUM(P484:X484)</f>
        <v>3560934.6263736258</v>
      </c>
      <c r="Z484" s="246">
        <f>SUM(O484,Y484)</f>
        <v>5062048.6260705041</v>
      </c>
      <c r="AA484" s="16">
        <f>AA485*AA486</f>
        <v>5106522.1284128949</v>
      </c>
      <c r="AB484" s="16">
        <f t="shared" ref="AB484:AD484" si="343">AB485*AB486</f>
        <v>5945697.5628472036</v>
      </c>
      <c r="AC484" s="16">
        <f t="shared" si="343"/>
        <v>6857176.5241337903</v>
      </c>
      <c r="AD484" s="16">
        <f t="shared" si="343"/>
        <v>7609742.2501141177</v>
      </c>
      <c r="AE484" s="23"/>
      <c r="AF484" s="327"/>
    </row>
    <row r="485" spans="1:33" ht="13.5" x14ac:dyDescent="0.3">
      <c r="A485" s="360" t="s">
        <v>335</v>
      </c>
      <c r="B485" s="11"/>
      <c r="F485" s="3" t="s">
        <v>331</v>
      </c>
      <c r="L485" s="16"/>
      <c r="M485" s="16"/>
      <c r="N485" s="15"/>
      <c r="O485" s="246">
        <v>27</v>
      </c>
      <c r="P485" s="16">
        <v>7</v>
      </c>
      <c r="Q485" s="16">
        <v>6</v>
      </c>
      <c r="R485" s="16">
        <v>7</v>
      </c>
      <c r="S485" s="16">
        <v>8</v>
      </c>
      <c r="T485" s="16">
        <v>8</v>
      </c>
      <c r="U485" s="16">
        <v>6</v>
      </c>
      <c r="V485" s="16">
        <v>7</v>
      </c>
      <c r="W485" s="16">
        <v>4</v>
      </c>
      <c r="X485" s="16">
        <v>6</v>
      </c>
      <c r="Y485" s="292">
        <f>SUM(P485:X485)</f>
        <v>59</v>
      </c>
      <c r="Z485" s="246">
        <f>SUM(O485,Y485)</f>
        <v>86</v>
      </c>
      <c r="AA485" s="16">
        <f>Projection_유럽!AA37</f>
        <v>90</v>
      </c>
      <c r="AB485" s="16">
        <f>Projection_유럽!AB37</f>
        <v>104</v>
      </c>
      <c r="AC485" s="16">
        <f>Projection_유럽!AC37</f>
        <v>119</v>
      </c>
      <c r="AD485" s="16">
        <f>Projection_유럽!AD37</f>
        <v>131</v>
      </c>
      <c r="AE485" s="23"/>
      <c r="AF485" s="327"/>
      <c r="AG485" s="322" t="s">
        <v>148</v>
      </c>
    </row>
    <row r="486" spans="1:33" ht="13.5" x14ac:dyDescent="0.3">
      <c r="A486" s="360" t="s">
        <v>335</v>
      </c>
      <c r="B486" s="11"/>
      <c r="F486" s="3" t="s">
        <v>337</v>
      </c>
      <c r="L486" s="16"/>
      <c r="M486" s="16"/>
      <c r="N486" s="15"/>
      <c r="O486" s="246">
        <f>O484/O485</f>
        <v>55596.81480358808</v>
      </c>
      <c r="P486" s="16">
        <v>60354.824175824164</v>
      </c>
      <c r="Q486" s="16">
        <v>60354.824175824164</v>
      </c>
      <c r="R486" s="16">
        <v>60354.824175824164</v>
      </c>
      <c r="S486" s="16">
        <v>60354.824175824164</v>
      </c>
      <c r="T486" s="16">
        <v>60354.824175824164</v>
      </c>
      <c r="U486" s="16">
        <v>60354.824175824164</v>
      </c>
      <c r="V486" s="16">
        <v>60354.824175824164</v>
      </c>
      <c r="W486" s="16">
        <v>60354.824175824164</v>
      </c>
      <c r="X486" s="16">
        <v>60354.824175824164</v>
      </c>
      <c r="Y486" s="292">
        <f>Y484/Y485</f>
        <v>60354.824175824164</v>
      </c>
      <c r="Z486" s="246">
        <f>Z484/Z485</f>
        <v>58861.030535703532</v>
      </c>
      <c r="AA486" s="16">
        <f>Projection_유럽!AA88</f>
        <v>56739.134760143272</v>
      </c>
      <c r="AB486" s="16">
        <f>Projection_유럽!AB88</f>
        <v>57170.168873530805</v>
      </c>
      <c r="AC486" s="16">
        <f>Projection_유럽!AC88</f>
        <v>57623.332135578072</v>
      </c>
      <c r="AD486" s="16">
        <f>Projection_유럽!AD88</f>
        <v>58089.635497054333</v>
      </c>
      <c r="AE486" s="23"/>
      <c r="AF486" s="327"/>
    </row>
    <row r="487" spans="1:33" ht="13.5" x14ac:dyDescent="0.3">
      <c r="A487" s="360" t="s">
        <v>335</v>
      </c>
      <c r="B487" s="11"/>
      <c r="E487" s="3" t="s">
        <v>333</v>
      </c>
      <c r="L487" s="16"/>
      <c r="M487" s="16"/>
      <c r="N487" s="15"/>
      <c r="O487" s="246">
        <f>O483/O484*10^6</f>
        <v>1441.8844321197901</v>
      </c>
      <c r="P487" s="16">
        <f t="shared" ref="P487:X487" si="344">P$554</f>
        <v>1426.4224983649444</v>
      </c>
      <c r="Q487" s="16">
        <f t="shared" si="344"/>
        <v>1426.4224983649444</v>
      </c>
      <c r="R487" s="16">
        <f t="shared" si="344"/>
        <v>1426.4224983649444</v>
      </c>
      <c r="S487" s="16">
        <f t="shared" si="344"/>
        <v>1431.6794316794317</v>
      </c>
      <c r="T487" s="16">
        <f t="shared" si="344"/>
        <v>1431.6794316794317</v>
      </c>
      <c r="U487" s="16">
        <f t="shared" si="344"/>
        <v>1431.6794316794317</v>
      </c>
      <c r="V487" s="16">
        <f t="shared" si="344"/>
        <v>1398.4903984903985</v>
      </c>
      <c r="W487" s="16">
        <f t="shared" si="344"/>
        <v>1398.4903984903985</v>
      </c>
      <c r="X487" s="16">
        <f t="shared" si="344"/>
        <v>1398.4903984903985</v>
      </c>
      <c r="Y487" s="292">
        <f>Y483/Y484*10^6</f>
        <v>1420.3344786200535</v>
      </c>
      <c r="Z487" s="246">
        <f>Z483/Z484*10^6</f>
        <v>1426.7249618573478</v>
      </c>
      <c r="AA487" s="16">
        <f t="shared" ref="AA487:AD487" si="345">AA$554</f>
        <v>1381.1853031509499</v>
      </c>
      <c r="AB487" s="16">
        <f t="shared" si="345"/>
        <v>1388.080388080388</v>
      </c>
      <c r="AC487" s="16">
        <f t="shared" si="345"/>
        <v>1397.1342031686859</v>
      </c>
      <c r="AD487" s="16">
        <f t="shared" si="345"/>
        <v>1418.041418041418</v>
      </c>
      <c r="AE487" s="23"/>
      <c r="AF487" s="327"/>
    </row>
    <row r="488" spans="1:33" ht="13.5" x14ac:dyDescent="0.3">
      <c r="A488" s="360" t="s">
        <v>335</v>
      </c>
      <c r="B488" s="11"/>
      <c r="D488" s="3" t="s">
        <v>134</v>
      </c>
      <c r="L488" s="16"/>
      <c r="M488" s="16"/>
      <c r="N488" s="15"/>
      <c r="O488" s="246">
        <v>766.84059000000002</v>
      </c>
      <c r="P488" s="16">
        <f t="shared" ref="P488:X488" si="346">P489*P492/10^6</f>
        <v>633.75131409417929</v>
      </c>
      <c r="Q488" s="16">
        <f t="shared" si="346"/>
        <v>0</v>
      </c>
      <c r="R488" s="16">
        <f t="shared" si="346"/>
        <v>0</v>
      </c>
      <c r="S488" s="16">
        <f t="shared" si="346"/>
        <v>0</v>
      </c>
      <c r="T488" s="16">
        <f t="shared" si="346"/>
        <v>636.08693933843949</v>
      </c>
      <c r="U488" s="16">
        <f t="shared" si="346"/>
        <v>318.04346966921975</v>
      </c>
      <c r="V488" s="16">
        <f t="shared" si="346"/>
        <v>0</v>
      </c>
      <c r="W488" s="16">
        <f t="shared" si="346"/>
        <v>0</v>
      </c>
      <c r="X488" s="16">
        <f t="shared" si="346"/>
        <v>310.67062136474641</v>
      </c>
      <c r="Y488" s="292">
        <f>SUM(P488:X488)</f>
        <v>1898.5523444665851</v>
      </c>
      <c r="Z488" s="246">
        <f>SUM(O488,Y488)</f>
        <v>2665.3929344665848</v>
      </c>
      <c r="AA488" s="16">
        <f>AA489*AA492/10^6</f>
        <v>3232.7864631090088</v>
      </c>
      <c r="AB488" s="16">
        <f t="shared" ref="AB488:AD488" si="347">AB489*AB492/10^6</f>
        <v>3599.9313619050904</v>
      </c>
      <c r="AC488" s="16">
        <f t="shared" si="347"/>
        <v>3649.3265081863315</v>
      </c>
      <c r="AD488" s="16">
        <f t="shared" si="347"/>
        <v>4071.7089887047064</v>
      </c>
      <c r="AE488" s="23"/>
      <c r="AF488" s="327"/>
    </row>
    <row r="489" spans="1:33" ht="13.5" x14ac:dyDescent="0.3">
      <c r="A489" s="360" t="s">
        <v>335</v>
      </c>
      <c r="B489" s="11"/>
      <c r="E489" s="3" t="s">
        <v>336</v>
      </c>
      <c r="L489" s="16"/>
      <c r="M489" s="16"/>
      <c r="N489" s="15"/>
      <c r="O489" s="246">
        <v>533680.00007122243</v>
      </c>
      <c r="P489" s="16">
        <f t="shared" ref="P489:X489" si="348">P490*P491</f>
        <v>444294.25000000006</v>
      </c>
      <c r="Q489" s="16">
        <f t="shared" si="348"/>
        <v>0</v>
      </c>
      <c r="R489" s="16">
        <f t="shared" si="348"/>
        <v>0</v>
      </c>
      <c r="S489" s="16">
        <f t="shared" si="348"/>
        <v>0</v>
      </c>
      <c r="T489" s="16">
        <f t="shared" si="348"/>
        <v>444294.25000000006</v>
      </c>
      <c r="U489" s="16">
        <f t="shared" si="348"/>
        <v>222147.12500000003</v>
      </c>
      <c r="V489" s="16">
        <f t="shared" si="348"/>
        <v>0</v>
      </c>
      <c r="W489" s="16">
        <f t="shared" si="348"/>
        <v>0</v>
      </c>
      <c r="X489" s="16">
        <f t="shared" si="348"/>
        <v>222147.12500000003</v>
      </c>
      <c r="Y489" s="292">
        <f>SUM(P489:X489)</f>
        <v>1332882.7500000002</v>
      </c>
      <c r="Z489" s="246">
        <f>SUM(O489,Y489)</f>
        <v>1866562.7500712227</v>
      </c>
      <c r="AA489" s="16">
        <f>AA490*AA491</f>
        <v>2340588.5189582682</v>
      </c>
      <c r="AB489" s="16">
        <f t="shared" ref="AB489:AD489" si="349">AB490*AB491</f>
        <v>2593460.2871837472</v>
      </c>
      <c r="AC489" s="16">
        <f t="shared" si="349"/>
        <v>2612008.5671868147</v>
      </c>
      <c r="AD489" s="16">
        <f t="shared" si="349"/>
        <v>2871361.1160444822</v>
      </c>
      <c r="AE489" s="23"/>
      <c r="AF489" s="327"/>
    </row>
    <row r="490" spans="1:33" ht="13.5" x14ac:dyDescent="0.3">
      <c r="A490" s="360" t="s">
        <v>335</v>
      </c>
      <c r="B490" s="11"/>
      <c r="F490" s="3" t="s">
        <v>331</v>
      </c>
      <c r="L490" s="16"/>
      <c r="M490" s="16"/>
      <c r="N490" s="15"/>
      <c r="O490" s="246">
        <v>2</v>
      </c>
      <c r="P490" s="16">
        <v>2</v>
      </c>
      <c r="Q490" s="16">
        <v>0</v>
      </c>
      <c r="R490" s="16">
        <v>0</v>
      </c>
      <c r="S490" s="16">
        <v>0</v>
      </c>
      <c r="T490" s="16">
        <v>2</v>
      </c>
      <c r="U490" s="16">
        <v>1</v>
      </c>
      <c r="V490" s="16">
        <v>0</v>
      </c>
      <c r="W490" s="16">
        <v>0</v>
      </c>
      <c r="X490" s="16">
        <v>1</v>
      </c>
      <c r="Y490" s="292">
        <f>SUM(P490:X490)</f>
        <v>6</v>
      </c>
      <c r="Z490" s="246">
        <f>SUM(O490,Y490)</f>
        <v>8</v>
      </c>
      <c r="AA490" s="16">
        <f>Projection_유럽!AA44</f>
        <v>10</v>
      </c>
      <c r="AB490" s="16">
        <f>Projection_유럽!AB44</f>
        <v>11</v>
      </c>
      <c r="AC490" s="16">
        <f>Projection_유럽!AC44</f>
        <v>11</v>
      </c>
      <c r="AD490" s="16">
        <f>Projection_유럽!AD44</f>
        <v>12</v>
      </c>
      <c r="AE490" s="23"/>
      <c r="AF490" s="327"/>
      <c r="AG490" s="322" t="s">
        <v>149</v>
      </c>
    </row>
    <row r="491" spans="1:33" ht="13.5" x14ac:dyDescent="0.3">
      <c r="A491" s="360" t="s">
        <v>335</v>
      </c>
      <c r="B491" s="11"/>
      <c r="F491" s="3" t="s">
        <v>337</v>
      </c>
      <c r="L491" s="16"/>
      <c r="M491" s="16"/>
      <c r="N491" s="15"/>
      <c r="O491" s="246">
        <f>O489/O490</f>
        <v>266840.00003561121</v>
      </c>
      <c r="P491" s="16">
        <v>222147.12500000003</v>
      </c>
      <c r="Q491" s="16">
        <v>222147.12500000003</v>
      </c>
      <c r="R491" s="16">
        <v>222147.12500000003</v>
      </c>
      <c r="S491" s="16">
        <v>222147.12500000003</v>
      </c>
      <c r="T491" s="16">
        <v>222147.12500000003</v>
      </c>
      <c r="U491" s="16">
        <v>222147.12500000003</v>
      </c>
      <c r="V491" s="16">
        <v>222147.12500000003</v>
      </c>
      <c r="W491" s="16">
        <v>222147.12500000003</v>
      </c>
      <c r="X491" s="16">
        <v>222147.12500000003</v>
      </c>
      <c r="Y491" s="292">
        <f>Y489/Y490</f>
        <v>222147.12500000003</v>
      </c>
      <c r="Z491" s="246">
        <f>Z489/Z490</f>
        <v>233320.34375890283</v>
      </c>
      <c r="AA491" s="16">
        <f>Projection_유럽!AA93</f>
        <v>234058.85189582684</v>
      </c>
      <c r="AB491" s="16">
        <f>Projection_유럽!AB93</f>
        <v>235769.11701670429</v>
      </c>
      <c r="AC491" s="16">
        <f>Projection_유럽!AC93</f>
        <v>237455.32428971044</v>
      </c>
      <c r="AD491" s="16">
        <f>Projection_유럽!AD93</f>
        <v>239280.09300370683</v>
      </c>
      <c r="AE491" s="23"/>
      <c r="AF491" s="327"/>
    </row>
    <row r="492" spans="1:33" ht="13.5" x14ac:dyDescent="0.3">
      <c r="A492" s="360" t="s">
        <v>335</v>
      </c>
      <c r="B492" s="11"/>
      <c r="E492" s="3" t="s">
        <v>333</v>
      </c>
      <c r="L492" s="16"/>
      <c r="M492" s="16"/>
      <c r="N492" s="15"/>
      <c r="O492" s="246">
        <f>O488*10^6/O489</f>
        <v>1436.8921261761</v>
      </c>
      <c r="P492" s="16">
        <f t="shared" ref="P492:X492" si="350">P$554</f>
        <v>1426.4224983649444</v>
      </c>
      <c r="Q492" s="16">
        <f t="shared" si="350"/>
        <v>1426.4224983649444</v>
      </c>
      <c r="R492" s="16">
        <f t="shared" si="350"/>
        <v>1426.4224983649444</v>
      </c>
      <c r="S492" s="16">
        <f t="shared" si="350"/>
        <v>1431.6794316794317</v>
      </c>
      <c r="T492" s="16">
        <f t="shared" si="350"/>
        <v>1431.6794316794317</v>
      </c>
      <c r="U492" s="16">
        <f t="shared" si="350"/>
        <v>1431.6794316794317</v>
      </c>
      <c r="V492" s="16">
        <f t="shared" si="350"/>
        <v>1398.4903984903985</v>
      </c>
      <c r="W492" s="16">
        <f t="shared" si="350"/>
        <v>1398.4903984903985</v>
      </c>
      <c r="X492" s="16">
        <f t="shared" si="350"/>
        <v>1398.4903984903985</v>
      </c>
      <c r="Y492" s="292">
        <f>Y488/Y489*10^6</f>
        <v>1424.3956150430972</v>
      </c>
      <c r="Z492" s="246">
        <f>Z488/Z489*10^6</f>
        <v>1427.9685664812935</v>
      </c>
      <c r="AA492" s="16">
        <f t="shared" ref="AA492:AD492" si="351">AA$554</f>
        <v>1381.1853031509499</v>
      </c>
      <c r="AB492" s="16">
        <f t="shared" si="351"/>
        <v>1388.080388080388</v>
      </c>
      <c r="AC492" s="16">
        <f t="shared" si="351"/>
        <v>1397.1342031686859</v>
      </c>
      <c r="AD492" s="16">
        <f t="shared" si="351"/>
        <v>1418.041418041418</v>
      </c>
      <c r="AE492" s="23"/>
      <c r="AF492" s="327"/>
    </row>
    <row r="493" spans="1:33" ht="13.5" x14ac:dyDescent="0.3">
      <c r="A493" s="360" t="s">
        <v>335</v>
      </c>
      <c r="B493" s="11"/>
      <c r="D493" s="3" t="s">
        <v>135</v>
      </c>
      <c r="L493" s="16"/>
      <c r="M493" s="16"/>
      <c r="N493" s="15"/>
      <c r="O493" s="246">
        <v>255.84798599999999</v>
      </c>
      <c r="P493" s="16">
        <f t="shared" ref="P493:X493" si="352">P494*P497/10^6</f>
        <v>134.92912292987586</v>
      </c>
      <c r="Q493" s="16">
        <f t="shared" si="352"/>
        <v>0</v>
      </c>
      <c r="R493" s="16">
        <f t="shared" si="352"/>
        <v>269.85824585975172</v>
      </c>
      <c r="S493" s="16">
        <f t="shared" si="352"/>
        <v>135.42639032592274</v>
      </c>
      <c r="T493" s="16">
        <f t="shared" si="352"/>
        <v>135.42639032592274</v>
      </c>
      <c r="U493" s="16">
        <f t="shared" si="352"/>
        <v>0</v>
      </c>
      <c r="V493" s="16">
        <f t="shared" si="352"/>
        <v>661.4347541154832</v>
      </c>
      <c r="W493" s="16">
        <f t="shared" si="352"/>
        <v>0</v>
      </c>
      <c r="X493" s="16">
        <f t="shared" si="352"/>
        <v>0</v>
      </c>
      <c r="Y493" s="292">
        <f>SUM(P493:X493)</f>
        <v>1337.0749035569563</v>
      </c>
      <c r="Z493" s="246">
        <f>SUM(O493,Y493)</f>
        <v>1592.9228895569563</v>
      </c>
      <c r="AA493" s="119"/>
      <c r="AB493" s="119"/>
      <c r="AC493" s="119"/>
      <c r="AD493" s="119"/>
      <c r="AE493" s="23"/>
      <c r="AF493" s="327"/>
    </row>
    <row r="494" spans="1:33" ht="13.5" x14ac:dyDescent="0.3">
      <c r="A494" s="360" t="s">
        <v>335</v>
      </c>
      <c r="B494" s="11"/>
      <c r="E494" s="3" t="s">
        <v>336</v>
      </c>
      <c r="L494" s="16"/>
      <c r="M494" s="16"/>
      <c r="N494" s="15"/>
      <c r="O494" s="246">
        <v>177377.99994458648</v>
      </c>
      <c r="P494" s="16">
        <f t="shared" ref="P494:X494" si="353">P495*P496</f>
        <v>94592.677193846932</v>
      </c>
      <c r="Q494" s="16">
        <f t="shared" si="353"/>
        <v>0</v>
      </c>
      <c r="R494" s="16">
        <f t="shared" si="353"/>
        <v>189185.35438769386</v>
      </c>
      <c r="S494" s="16">
        <f t="shared" si="353"/>
        <v>94592.677193846932</v>
      </c>
      <c r="T494" s="16">
        <f t="shared" si="353"/>
        <v>94592.677193846932</v>
      </c>
      <c r="U494" s="16">
        <f t="shared" si="353"/>
        <v>0</v>
      </c>
      <c r="V494" s="16">
        <f t="shared" si="353"/>
        <v>472963.38596923463</v>
      </c>
      <c r="W494" s="16">
        <f t="shared" si="353"/>
        <v>0</v>
      </c>
      <c r="X494" s="16">
        <f t="shared" si="353"/>
        <v>0</v>
      </c>
      <c r="Y494" s="292">
        <f>SUM(P494:X494)</f>
        <v>945926.77193846926</v>
      </c>
      <c r="Z494" s="246">
        <f>SUM(O494,Y494)</f>
        <v>1123304.7718830558</v>
      </c>
      <c r="AA494" s="119"/>
      <c r="AB494" s="119"/>
      <c r="AC494" s="119"/>
      <c r="AD494" s="119"/>
      <c r="AE494" s="23"/>
      <c r="AF494" s="327"/>
    </row>
    <row r="495" spans="1:33" ht="13.5" x14ac:dyDescent="0.3">
      <c r="A495" s="360" t="s">
        <v>335</v>
      </c>
      <c r="B495" s="11"/>
      <c r="F495" s="3" t="s">
        <v>331</v>
      </c>
      <c r="L495" s="16"/>
      <c r="M495" s="16"/>
      <c r="N495" s="15"/>
      <c r="O495" s="246">
        <v>3</v>
      </c>
      <c r="P495" s="16">
        <v>1</v>
      </c>
      <c r="Q495" s="16">
        <v>0</v>
      </c>
      <c r="R495" s="16">
        <v>2</v>
      </c>
      <c r="S495" s="16">
        <v>1</v>
      </c>
      <c r="T495" s="16">
        <v>1</v>
      </c>
      <c r="U495" s="16">
        <v>0</v>
      </c>
      <c r="V495" s="16">
        <v>5</v>
      </c>
      <c r="W495" s="16">
        <v>0</v>
      </c>
      <c r="X495" s="16">
        <v>0</v>
      </c>
      <c r="Y495" s="292">
        <f>SUM(P495:X495)</f>
        <v>10</v>
      </c>
      <c r="Z495" s="246">
        <f>SUM(O495,Y495)</f>
        <v>13</v>
      </c>
      <c r="AA495" s="119"/>
      <c r="AB495" s="119"/>
      <c r="AC495" s="119"/>
      <c r="AD495" s="119"/>
      <c r="AE495" s="23"/>
      <c r="AF495" s="327"/>
      <c r="AG495" s="322" t="s">
        <v>150</v>
      </c>
    </row>
    <row r="496" spans="1:33" ht="13.5" x14ac:dyDescent="0.3">
      <c r="A496" s="360" t="s">
        <v>335</v>
      </c>
      <c r="B496" s="11"/>
      <c r="F496" s="3" t="s">
        <v>337</v>
      </c>
      <c r="L496" s="16"/>
      <c r="M496" s="16"/>
      <c r="N496" s="15"/>
      <c r="O496" s="246">
        <f>O494/O495</f>
        <v>59125.999981528825</v>
      </c>
      <c r="P496" s="16">
        <v>94592.677193846932</v>
      </c>
      <c r="Q496" s="16">
        <v>94592.677193846932</v>
      </c>
      <c r="R496" s="16">
        <v>94592.677193846932</v>
      </c>
      <c r="S496" s="16">
        <v>94592.677193846932</v>
      </c>
      <c r="T496" s="16">
        <v>94592.677193846932</v>
      </c>
      <c r="U496" s="16">
        <v>94592.677193846932</v>
      </c>
      <c r="V496" s="16">
        <v>94592.677193846932</v>
      </c>
      <c r="W496" s="16">
        <v>94592.677193846932</v>
      </c>
      <c r="X496" s="16">
        <v>94592.677193846932</v>
      </c>
      <c r="Y496" s="292">
        <f>Y494/Y495</f>
        <v>94592.677193846932</v>
      </c>
      <c r="Z496" s="246">
        <f>Z494/Z495</f>
        <v>86408.059375619676</v>
      </c>
      <c r="AA496" s="119"/>
      <c r="AB496" s="119"/>
      <c r="AC496" s="119"/>
      <c r="AD496" s="119"/>
      <c r="AE496" s="23"/>
      <c r="AF496" s="327"/>
    </row>
    <row r="497" spans="1:34" ht="13.5" x14ac:dyDescent="0.3">
      <c r="A497" s="360" t="s">
        <v>335</v>
      </c>
      <c r="B497" s="11"/>
      <c r="E497" s="3" t="s">
        <v>333</v>
      </c>
      <c r="L497" s="16"/>
      <c r="M497" s="16"/>
      <c r="N497" s="15"/>
      <c r="O497" s="246">
        <f>O493/O494*10^6</f>
        <v>1442.3884928228294</v>
      </c>
      <c r="P497" s="16">
        <f t="shared" ref="P497:AD497" si="354">P$554</f>
        <v>1426.4224983649444</v>
      </c>
      <c r="Q497" s="16">
        <f t="shared" si="354"/>
        <v>1426.4224983649444</v>
      </c>
      <c r="R497" s="16">
        <f t="shared" si="354"/>
        <v>1426.4224983649444</v>
      </c>
      <c r="S497" s="16">
        <f t="shared" si="354"/>
        <v>1431.6794316794317</v>
      </c>
      <c r="T497" s="16">
        <f t="shared" si="354"/>
        <v>1431.6794316794317</v>
      </c>
      <c r="U497" s="16">
        <f t="shared" si="354"/>
        <v>1431.6794316794317</v>
      </c>
      <c r="V497" s="16">
        <f t="shared" si="354"/>
        <v>1398.4903984903985</v>
      </c>
      <c r="W497" s="16">
        <f t="shared" si="354"/>
        <v>1398.4903984903985</v>
      </c>
      <c r="X497" s="16">
        <f t="shared" si="354"/>
        <v>1398.4903984903985</v>
      </c>
      <c r="Y497" s="292">
        <f>Y493/Y494*10^6</f>
        <v>1413.5078350905692</v>
      </c>
      <c r="Z497" s="246">
        <f>Z493/Z494*10^6</f>
        <v>1418.0683011669705</v>
      </c>
      <c r="AA497" s="16">
        <f t="shared" si="354"/>
        <v>1381.1853031509499</v>
      </c>
      <c r="AB497" s="16">
        <f t="shared" si="354"/>
        <v>1388.080388080388</v>
      </c>
      <c r="AC497" s="16">
        <f t="shared" si="354"/>
        <v>1397.1342031686859</v>
      </c>
      <c r="AD497" s="16">
        <f t="shared" si="354"/>
        <v>1418.041418041418</v>
      </c>
      <c r="AE497" s="23"/>
      <c r="AF497" s="327"/>
    </row>
    <row r="498" spans="1:34" ht="13.5" x14ac:dyDescent="0.3">
      <c r="A498" s="360" t="s">
        <v>335</v>
      </c>
      <c r="B498" s="11"/>
      <c r="D498" s="3" t="s">
        <v>105</v>
      </c>
      <c r="L498" s="16"/>
      <c r="M498" s="16"/>
      <c r="N498" s="15"/>
      <c r="O498" s="246">
        <f>O499+O501+O503+O505+O508+O509</f>
        <v>2115.8358869999997</v>
      </c>
      <c r="P498" s="16">
        <f t="shared" ref="P498:AD498" si="355">P499+P501+P503+P505+P508+P509</f>
        <v>1030.9916524549012</v>
      </c>
      <c r="Q498" s="16">
        <f t="shared" si="355"/>
        <v>571.10075067895707</v>
      </c>
      <c r="R498" s="16">
        <f t="shared" si="355"/>
        <v>652.23701871087599</v>
      </c>
      <c r="S498" s="16">
        <f t="shared" si="355"/>
        <v>892.66458745775685</v>
      </c>
      <c r="T498" s="16">
        <f t="shared" si="355"/>
        <v>1009.465713265452</v>
      </c>
      <c r="U498" s="16">
        <f t="shared" si="355"/>
        <v>914.0473315158838</v>
      </c>
      <c r="V498" s="16">
        <f t="shared" si="355"/>
        <v>995.76643620857737</v>
      </c>
      <c r="W498" s="16">
        <f t="shared" si="355"/>
        <v>872.92856756684887</v>
      </c>
      <c r="X498" s="16">
        <f t="shared" si="355"/>
        <v>805.86985577475389</v>
      </c>
      <c r="Y498" s="292">
        <f t="shared" si="355"/>
        <v>7745.0719136340058</v>
      </c>
      <c r="Z498" s="246">
        <f t="shared" si="355"/>
        <v>9860.907800634006</v>
      </c>
      <c r="AA498" s="16">
        <f t="shared" si="355"/>
        <v>9964.3690216374835</v>
      </c>
      <c r="AB498" s="16">
        <f t="shared" si="355"/>
        <v>11127.112252426208</v>
      </c>
      <c r="AC498" s="16">
        <f t="shared" si="355"/>
        <v>12084.594788060946</v>
      </c>
      <c r="AD498" s="16">
        <f t="shared" si="355"/>
        <v>13019.400292187405</v>
      </c>
      <c r="AE498" s="23"/>
      <c r="AF498" s="327"/>
    </row>
    <row r="499" spans="1:34" ht="13.5" x14ac:dyDescent="0.3">
      <c r="A499" s="360" t="s">
        <v>335</v>
      </c>
      <c r="B499" s="11"/>
      <c r="E499" s="3" t="s">
        <v>307</v>
      </c>
      <c r="L499" s="16"/>
      <c r="M499" s="16"/>
      <c r="N499" s="15"/>
      <c r="O499" s="246">
        <v>1234.1773262191064</v>
      </c>
      <c r="P499" s="16">
        <f t="shared" ref="P499:X499" si="356">SUM(P$473,P$478,P$483,P$488,P$493)*P500</f>
        <v>636.57264522142157</v>
      </c>
      <c r="Q499" s="16">
        <f t="shared" si="356"/>
        <v>349.61075755009153</v>
      </c>
      <c r="R499" s="16">
        <f t="shared" si="356"/>
        <v>400.04310925694892</v>
      </c>
      <c r="S499" s="16">
        <f t="shared" si="356"/>
        <v>547.16596897587044</v>
      </c>
      <c r="T499" s="16">
        <f t="shared" si="356"/>
        <v>623.41711776600562</v>
      </c>
      <c r="U499" s="16">
        <f t="shared" si="356"/>
        <v>562.42654991401173</v>
      </c>
      <c r="V499" s="16">
        <f t="shared" si="356"/>
        <v>611.04499902905195</v>
      </c>
      <c r="W499" s="16">
        <f t="shared" si="356"/>
        <v>536.29575055635644</v>
      </c>
      <c r="X499" s="16">
        <f t="shared" si="356"/>
        <v>495.18620565107653</v>
      </c>
      <c r="Y499" s="292">
        <f>SUM(P499:X499)</f>
        <v>4761.7631039208336</v>
      </c>
      <c r="Z499" s="246">
        <f>SUM(O499,Y499)</f>
        <v>5995.94043013994</v>
      </c>
      <c r="AA499" s="16">
        <f>Projection_유럽!AA101</f>
        <v>5933.5381111810811</v>
      </c>
      <c r="AB499" s="16">
        <f>Projection_유럽!AB101</f>
        <v>6614.0112346506539</v>
      </c>
      <c r="AC499" s="16">
        <f>Projection_유럽!AC101</f>
        <v>7193.7768282549769</v>
      </c>
      <c r="AD499" s="16">
        <f>Projection_유럽!AD101</f>
        <v>7780.5813726132374</v>
      </c>
      <c r="AE499" s="23"/>
      <c r="AF499" s="327"/>
    </row>
    <row r="500" spans="1:34" s="137" customFormat="1" ht="13.5" x14ac:dyDescent="0.3">
      <c r="A500" s="367" t="s">
        <v>335</v>
      </c>
      <c r="B500" s="368"/>
      <c r="F500" s="137" t="s">
        <v>317</v>
      </c>
      <c r="I500" s="361">
        <v>0.14168391818277765</v>
      </c>
      <c r="N500" s="369"/>
      <c r="O500" s="362">
        <f>O499/SUM(O$473,O$478,O$483,O$488,O$493)</f>
        <v>9.9242928221099952E-2</v>
      </c>
      <c r="P500" s="363">
        <f t="shared" ref="P500:X500" si="357">$I500</f>
        <v>0.14168391818277765</v>
      </c>
      <c r="Q500" s="363">
        <f t="shared" si="357"/>
        <v>0.14168391818277765</v>
      </c>
      <c r="R500" s="363">
        <f t="shared" si="357"/>
        <v>0.14168391818277765</v>
      </c>
      <c r="S500" s="363">
        <f t="shared" si="357"/>
        <v>0.14168391818277765</v>
      </c>
      <c r="T500" s="363">
        <f t="shared" si="357"/>
        <v>0.14168391818277765</v>
      </c>
      <c r="U500" s="363">
        <f t="shared" si="357"/>
        <v>0.14168391818277765</v>
      </c>
      <c r="V500" s="363">
        <f t="shared" si="357"/>
        <v>0.14168391818277765</v>
      </c>
      <c r="W500" s="363">
        <f t="shared" si="357"/>
        <v>0.14168391818277765</v>
      </c>
      <c r="X500" s="363">
        <f t="shared" si="357"/>
        <v>0.14168391818277765</v>
      </c>
      <c r="Y500" s="364">
        <f>Y499/SUM(Y$473,Y$478,Y$483,Y$488,Y$493)</f>
        <v>0.14168391818277762</v>
      </c>
      <c r="Z500" s="362">
        <f>Z499/SUM(Z$473,Z$478,Z$483,Z$488,Z$493)</f>
        <v>0.13022119350950673</v>
      </c>
      <c r="AA500" s="119"/>
      <c r="AB500" s="119"/>
      <c r="AC500" s="119"/>
      <c r="AD500" s="119"/>
      <c r="AE500" s="370"/>
      <c r="AF500" s="327"/>
      <c r="AG500" s="371"/>
    </row>
    <row r="501" spans="1:34" ht="13.5" x14ac:dyDescent="0.3">
      <c r="A501" s="360" t="s">
        <v>335</v>
      </c>
      <c r="B501" s="11"/>
      <c r="E501" s="3" t="s">
        <v>309</v>
      </c>
      <c r="I501" s="3"/>
      <c r="L501" s="16"/>
      <c r="M501" s="16"/>
      <c r="N501" s="15"/>
      <c r="O501" s="246">
        <v>478.77225800000002</v>
      </c>
      <c r="P501" s="16">
        <f t="shared" ref="P501:X501" si="358">SUM(P$473,P$478,P$483,P$488,P$493)*P502</f>
        <v>324.66010416063688</v>
      </c>
      <c r="Q501" s="16">
        <f t="shared" si="358"/>
        <v>178.30591027424859</v>
      </c>
      <c r="R501" s="16">
        <f t="shared" si="358"/>
        <v>204.02704780839284</v>
      </c>
      <c r="S501" s="16">
        <f t="shared" si="358"/>
        <v>279.06156793632192</v>
      </c>
      <c r="T501" s="16">
        <f t="shared" si="358"/>
        <v>317.95061869024278</v>
      </c>
      <c r="U501" s="16">
        <f t="shared" si="358"/>
        <v>286.84465731994669</v>
      </c>
      <c r="V501" s="16">
        <f t="shared" si="358"/>
        <v>311.64068157940449</v>
      </c>
      <c r="W501" s="16">
        <f t="shared" si="358"/>
        <v>273.51761899220617</v>
      </c>
      <c r="X501" s="16">
        <f t="shared" si="358"/>
        <v>252.55123089630843</v>
      </c>
      <c r="Y501" s="292">
        <f>SUM(P501:X501)</f>
        <v>2428.5594376577087</v>
      </c>
      <c r="Z501" s="246">
        <f>SUM(O501,Y501)</f>
        <v>2907.3316956577087</v>
      </c>
      <c r="AA501" s="16">
        <f>Projection_유럽!AA103</f>
        <v>2205.1280654171082</v>
      </c>
      <c r="AB501" s="16">
        <f>Projection_유럽!AB103</f>
        <v>2458.0177164496376</v>
      </c>
      <c r="AC501" s="16">
        <f>Projection_유럽!AC103</f>
        <v>2673.4806254028967</v>
      </c>
      <c r="AD501" s="16">
        <f>Projection_유럽!AD103</f>
        <v>2891.5594757334175</v>
      </c>
      <c r="AE501" s="23"/>
      <c r="AF501" s="327"/>
    </row>
    <row r="502" spans="1:34" s="137" customFormat="1" ht="13.5" x14ac:dyDescent="0.3">
      <c r="A502" s="367" t="s">
        <v>335</v>
      </c>
      <c r="B502" s="368"/>
      <c r="F502" s="137" t="s">
        <v>317</v>
      </c>
      <c r="I502" s="361">
        <v>7.2260591120920203E-2</v>
      </c>
      <c r="N502" s="369"/>
      <c r="O502" s="362">
        <f>O501/SUM(O$473,O$478,O$483,O$488,O$493)</f>
        <v>3.8499136084851837E-2</v>
      </c>
      <c r="P502" s="363">
        <f t="shared" ref="P502:X502" si="359">$I502</f>
        <v>7.2260591120920203E-2</v>
      </c>
      <c r="Q502" s="363">
        <f t="shared" si="359"/>
        <v>7.2260591120920203E-2</v>
      </c>
      <c r="R502" s="363">
        <f t="shared" si="359"/>
        <v>7.2260591120920203E-2</v>
      </c>
      <c r="S502" s="363">
        <f t="shared" si="359"/>
        <v>7.2260591120920203E-2</v>
      </c>
      <c r="T502" s="363">
        <f t="shared" si="359"/>
        <v>7.2260591120920203E-2</v>
      </c>
      <c r="U502" s="363">
        <f t="shared" si="359"/>
        <v>7.2260591120920203E-2</v>
      </c>
      <c r="V502" s="363">
        <f t="shared" si="359"/>
        <v>7.2260591120920203E-2</v>
      </c>
      <c r="W502" s="363">
        <f t="shared" si="359"/>
        <v>7.2260591120920203E-2</v>
      </c>
      <c r="X502" s="363">
        <f t="shared" si="359"/>
        <v>7.2260591120920203E-2</v>
      </c>
      <c r="Y502" s="364">
        <f>Y501/SUM(Y$473,Y$478,Y$483,Y$488,Y$493)</f>
        <v>7.2260591120920203E-2</v>
      </c>
      <c r="Z502" s="362">
        <f>Z501/SUM(Z$473,Z$478,Z$483,Z$488,Z$493)</f>
        <v>6.3142088842888772E-2</v>
      </c>
      <c r="AA502" s="119"/>
      <c r="AB502" s="119"/>
      <c r="AC502" s="119"/>
      <c r="AD502" s="119"/>
      <c r="AE502" s="370"/>
      <c r="AF502" s="327"/>
      <c r="AG502" s="371"/>
    </row>
    <row r="503" spans="1:34" ht="13.5" x14ac:dyDescent="0.3">
      <c r="A503" s="360" t="s">
        <v>335</v>
      </c>
      <c r="B503" s="11"/>
      <c r="E503" s="3" t="s">
        <v>310</v>
      </c>
      <c r="I503" s="3"/>
      <c r="L503" s="16"/>
      <c r="M503" s="16"/>
      <c r="N503" s="15"/>
      <c r="O503" s="246">
        <v>0</v>
      </c>
      <c r="P503" s="16">
        <f t="shared" ref="P503:X503" si="360">SUM(P$473,P$478,P$483,P$488,P$493)*P504</f>
        <v>0</v>
      </c>
      <c r="Q503" s="16">
        <f t="shared" si="360"/>
        <v>0</v>
      </c>
      <c r="R503" s="16">
        <f t="shared" si="360"/>
        <v>0</v>
      </c>
      <c r="S503" s="16">
        <f t="shared" si="360"/>
        <v>0</v>
      </c>
      <c r="T503" s="16">
        <f t="shared" si="360"/>
        <v>0</v>
      </c>
      <c r="U503" s="16">
        <f t="shared" si="360"/>
        <v>0</v>
      </c>
      <c r="V503" s="16">
        <f t="shared" si="360"/>
        <v>0</v>
      </c>
      <c r="W503" s="16">
        <f t="shared" si="360"/>
        <v>0</v>
      </c>
      <c r="X503" s="16">
        <f t="shared" si="360"/>
        <v>0</v>
      </c>
      <c r="Y503" s="292">
        <f>SUM(P503:X503)</f>
        <v>0</v>
      </c>
      <c r="Z503" s="246">
        <f>SUM(O503,Y503)</f>
        <v>0</v>
      </c>
      <c r="AA503" s="119"/>
      <c r="AB503" s="119"/>
      <c r="AC503" s="119"/>
      <c r="AD503" s="119"/>
      <c r="AE503" s="23"/>
      <c r="AF503" s="327"/>
    </row>
    <row r="504" spans="1:34" s="137" customFormat="1" ht="13.5" x14ac:dyDescent="0.3">
      <c r="A504" s="367" t="s">
        <v>335</v>
      </c>
      <c r="B504" s="368"/>
      <c r="F504" s="137" t="s">
        <v>317</v>
      </c>
      <c r="I504" s="361">
        <v>0</v>
      </c>
      <c r="N504" s="369"/>
      <c r="O504" s="362">
        <v>0</v>
      </c>
      <c r="P504" s="363">
        <f t="shared" ref="P504:X504" si="361">$I504</f>
        <v>0</v>
      </c>
      <c r="Q504" s="363">
        <f t="shared" si="361"/>
        <v>0</v>
      </c>
      <c r="R504" s="363">
        <f t="shared" si="361"/>
        <v>0</v>
      </c>
      <c r="S504" s="363">
        <f t="shared" si="361"/>
        <v>0</v>
      </c>
      <c r="T504" s="363">
        <f t="shared" si="361"/>
        <v>0</v>
      </c>
      <c r="U504" s="363">
        <f t="shared" si="361"/>
        <v>0</v>
      </c>
      <c r="V504" s="363">
        <f t="shared" si="361"/>
        <v>0</v>
      </c>
      <c r="W504" s="363">
        <f t="shared" si="361"/>
        <v>0</v>
      </c>
      <c r="X504" s="363">
        <f t="shared" si="361"/>
        <v>0</v>
      </c>
      <c r="Y504" s="364">
        <v>0</v>
      </c>
      <c r="Z504" s="362">
        <v>0</v>
      </c>
      <c r="AA504" s="119"/>
      <c r="AB504" s="119"/>
      <c r="AC504" s="119"/>
      <c r="AD504" s="119"/>
      <c r="AE504" s="370"/>
      <c r="AF504" s="327"/>
      <c r="AG504" s="371"/>
    </row>
    <row r="505" spans="1:34" ht="13.5" x14ac:dyDescent="0.3">
      <c r="A505" s="360" t="s">
        <v>335</v>
      </c>
      <c r="B505" s="11"/>
      <c r="E505" s="3" t="s">
        <v>311</v>
      </c>
      <c r="I505" s="3"/>
      <c r="L505" s="16"/>
      <c r="M505" s="16"/>
      <c r="N505" s="15"/>
      <c r="O505" s="246">
        <v>402.88630278089357</v>
      </c>
      <c r="P505" s="16">
        <f t="shared" ref="P505:X505" si="362">P506*P507</f>
        <v>69.758903072842728</v>
      </c>
      <c r="Q505" s="16">
        <f t="shared" si="362"/>
        <v>43.184082854616925</v>
      </c>
      <c r="R505" s="16">
        <f t="shared" si="362"/>
        <v>48.166861645534262</v>
      </c>
      <c r="S505" s="16">
        <f t="shared" si="362"/>
        <v>66.437050545564503</v>
      </c>
      <c r="T505" s="16">
        <f t="shared" si="362"/>
        <v>68.097976809203615</v>
      </c>
      <c r="U505" s="16">
        <f t="shared" si="362"/>
        <v>64.776124281925391</v>
      </c>
      <c r="V505" s="16">
        <f t="shared" si="362"/>
        <v>73.080755600120952</v>
      </c>
      <c r="W505" s="16">
        <f t="shared" si="362"/>
        <v>63.115198018286272</v>
      </c>
      <c r="X505" s="16">
        <f t="shared" si="362"/>
        <v>58.132419227368935</v>
      </c>
      <c r="Y505" s="292">
        <f>SUM(P505:X505)</f>
        <v>554.7493720554636</v>
      </c>
      <c r="Z505" s="246">
        <f>SUM(O505,Y505)</f>
        <v>957.63567483635711</v>
      </c>
      <c r="AA505" s="16">
        <f>Projection_유럽!AA105</f>
        <v>1825.7028450392936</v>
      </c>
      <c r="AB505" s="16">
        <f>Projection_유럽!AB105</f>
        <v>2055.0833013259166</v>
      </c>
      <c r="AC505" s="16">
        <f>Projection_유럽!AC105</f>
        <v>2217.3373344030715</v>
      </c>
      <c r="AD505" s="16">
        <f>Projection_유럽!AD105</f>
        <v>2347.2594438407514</v>
      </c>
      <c r="AE505" s="23"/>
      <c r="AF505" s="327"/>
    </row>
    <row r="506" spans="1:34" ht="13.5" x14ac:dyDescent="0.3">
      <c r="A506" s="360" t="s">
        <v>335</v>
      </c>
      <c r="B506" s="11"/>
      <c r="F506" s="3" t="s">
        <v>318</v>
      </c>
      <c r="I506" s="3"/>
      <c r="L506" s="16"/>
      <c r="M506" s="16"/>
      <c r="N506" s="15"/>
      <c r="O506" s="246">
        <f>SUM(O475,O480,O485,O490,O495)</f>
        <v>124</v>
      </c>
      <c r="P506" s="16">
        <f t="shared" ref="P506:AD506" si="363">SUM(P475,P480,P485,P490,P495)</f>
        <v>42</v>
      </c>
      <c r="Q506" s="16">
        <f t="shared" si="363"/>
        <v>26</v>
      </c>
      <c r="R506" s="16">
        <f t="shared" si="363"/>
        <v>29</v>
      </c>
      <c r="S506" s="16">
        <f t="shared" si="363"/>
        <v>40</v>
      </c>
      <c r="T506" s="16">
        <f t="shared" si="363"/>
        <v>41</v>
      </c>
      <c r="U506" s="16">
        <f t="shared" si="363"/>
        <v>39</v>
      </c>
      <c r="V506" s="16">
        <f t="shared" si="363"/>
        <v>44</v>
      </c>
      <c r="W506" s="16">
        <f t="shared" si="363"/>
        <v>38</v>
      </c>
      <c r="X506" s="16">
        <f t="shared" si="363"/>
        <v>35</v>
      </c>
      <c r="Y506" s="292">
        <f t="shared" si="363"/>
        <v>334</v>
      </c>
      <c r="Z506" s="246">
        <f t="shared" si="363"/>
        <v>458</v>
      </c>
      <c r="AA506" s="16">
        <f t="shared" si="363"/>
        <v>430</v>
      </c>
      <c r="AB506" s="16">
        <f t="shared" si="363"/>
        <v>475</v>
      </c>
      <c r="AC506" s="16">
        <f t="shared" si="363"/>
        <v>512</v>
      </c>
      <c r="AD506" s="16">
        <f t="shared" si="363"/>
        <v>542</v>
      </c>
      <c r="AE506" s="23"/>
      <c r="AF506" s="327"/>
    </row>
    <row r="507" spans="1:34" ht="13.5" x14ac:dyDescent="0.3">
      <c r="A507" s="360" t="s">
        <v>335</v>
      </c>
      <c r="B507" s="11"/>
      <c r="F507" s="3" t="s">
        <v>319</v>
      </c>
      <c r="I507" s="365">
        <v>1.6609262636391124</v>
      </c>
      <c r="L507" s="16"/>
      <c r="M507" s="16"/>
      <c r="N507" s="15"/>
      <c r="O507" s="250">
        <f>O505/O506</f>
        <v>3.2490830869426901</v>
      </c>
      <c r="P507" s="247">
        <f t="shared" ref="P507:X507" si="364">$I507</f>
        <v>1.6609262636391124</v>
      </c>
      <c r="Q507" s="247">
        <f t="shared" si="364"/>
        <v>1.6609262636391124</v>
      </c>
      <c r="R507" s="247">
        <f t="shared" si="364"/>
        <v>1.6609262636391124</v>
      </c>
      <c r="S507" s="247">
        <f t="shared" si="364"/>
        <v>1.6609262636391124</v>
      </c>
      <c r="T507" s="247">
        <f t="shared" si="364"/>
        <v>1.6609262636391124</v>
      </c>
      <c r="U507" s="247">
        <f t="shared" si="364"/>
        <v>1.6609262636391124</v>
      </c>
      <c r="V507" s="247">
        <f t="shared" si="364"/>
        <v>1.6609262636391124</v>
      </c>
      <c r="W507" s="247">
        <f t="shared" si="364"/>
        <v>1.6609262636391124</v>
      </c>
      <c r="X507" s="247">
        <f t="shared" si="364"/>
        <v>1.6609262636391124</v>
      </c>
      <c r="Y507" s="366">
        <f t="shared" ref="Y507:AD507" si="365">Y505/Y506</f>
        <v>1.6609262636391127</v>
      </c>
      <c r="Z507" s="250">
        <f t="shared" si="365"/>
        <v>2.0909075869789455</v>
      </c>
      <c r="AA507" s="16">
        <f t="shared" si="365"/>
        <v>4.2458205698588225</v>
      </c>
      <c r="AB507" s="16">
        <f t="shared" si="365"/>
        <v>4.3264911606861407</v>
      </c>
      <c r="AC507" s="16">
        <f t="shared" si="365"/>
        <v>4.330736981255999</v>
      </c>
      <c r="AD507" s="16">
        <f t="shared" si="365"/>
        <v>4.330736981255999</v>
      </c>
      <c r="AE507" s="23"/>
      <c r="AF507" s="327"/>
    </row>
    <row r="508" spans="1:34" ht="13.5" x14ac:dyDescent="0.3">
      <c r="A508" s="360" t="s">
        <v>335</v>
      </c>
      <c r="B508" s="11"/>
      <c r="E508" s="3" t="s">
        <v>314</v>
      </c>
      <c r="I508" s="3"/>
      <c r="L508" s="16"/>
      <c r="M508" s="16"/>
      <c r="N508" s="15"/>
      <c r="O508" s="246">
        <v>0</v>
      </c>
      <c r="P508" s="16">
        <v>0</v>
      </c>
      <c r="Q508" s="16">
        <v>0</v>
      </c>
      <c r="R508" s="16">
        <v>0</v>
      </c>
      <c r="S508" s="16">
        <v>0</v>
      </c>
      <c r="T508" s="16">
        <v>0</v>
      </c>
      <c r="U508" s="16">
        <v>0</v>
      </c>
      <c r="V508" s="16">
        <v>0</v>
      </c>
      <c r="W508" s="16">
        <v>0</v>
      </c>
      <c r="X508" s="16">
        <v>0</v>
      </c>
      <c r="Y508" s="292">
        <f>SUM(P508:X508)</f>
        <v>0</v>
      </c>
      <c r="Z508" s="246">
        <f>SUM(O508,Y508)</f>
        <v>0</v>
      </c>
      <c r="AA508" s="119"/>
      <c r="AB508" s="119"/>
      <c r="AC508" s="119"/>
      <c r="AD508" s="119"/>
      <c r="AE508" s="23"/>
      <c r="AF508" s="327"/>
    </row>
    <row r="509" spans="1:34" ht="13.5" x14ac:dyDescent="0.3">
      <c r="A509" s="360" t="s">
        <v>335</v>
      </c>
      <c r="B509" s="11"/>
      <c r="E509" s="3" t="s">
        <v>105</v>
      </c>
      <c r="L509" s="16"/>
      <c r="M509" s="16"/>
      <c r="N509" s="15"/>
      <c r="O509" s="246">
        <v>0</v>
      </c>
      <c r="P509" s="16">
        <v>0</v>
      </c>
      <c r="Q509" s="16">
        <v>0</v>
      </c>
      <c r="R509" s="16">
        <v>0</v>
      </c>
      <c r="S509" s="16">
        <v>0</v>
      </c>
      <c r="T509" s="16">
        <v>0</v>
      </c>
      <c r="U509" s="16">
        <v>0</v>
      </c>
      <c r="V509" s="16">
        <v>0</v>
      </c>
      <c r="W509" s="16">
        <v>0</v>
      </c>
      <c r="X509" s="16">
        <v>0</v>
      </c>
      <c r="Y509" s="292">
        <f>SUM(P509:X509)</f>
        <v>0</v>
      </c>
      <c r="Z509" s="246">
        <f>SUM(O509,Y509)</f>
        <v>0</v>
      </c>
      <c r="AA509" s="119"/>
      <c r="AB509" s="119"/>
      <c r="AC509" s="119"/>
      <c r="AD509" s="119"/>
      <c r="AE509" s="23"/>
      <c r="AF509" s="327"/>
    </row>
    <row r="510" spans="1:34" ht="13.5" x14ac:dyDescent="0.3">
      <c r="A510" s="360" t="s">
        <v>338</v>
      </c>
      <c r="C510" s="3" t="s">
        <v>15</v>
      </c>
      <c r="L510" s="16"/>
      <c r="M510" s="16"/>
      <c r="N510" s="15"/>
      <c r="O510" s="246">
        <f>O511+O516+O521+O526+O531+O536</f>
        <v>1860.8219950000002</v>
      </c>
      <c r="P510" s="16">
        <f t="shared" ref="P510:AD510" si="366">P511+P516+P521+P526+P531+P536</f>
        <v>324.38534674960158</v>
      </c>
      <c r="Q510" s="16">
        <f t="shared" si="366"/>
        <v>324.38534674960158</v>
      </c>
      <c r="R510" s="16">
        <f t="shared" si="366"/>
        <v>282.84068124726832</v>
      </c>
      <c r="S510" s="16">
        <f t="shared" si="366"/>
        <v>-3.440000000000027</v>
      </c>
      <c r="T510" s="16">
        <f t="shared" si="366"/>
        <v>159.33138378576942</v>
      </c>
      <c r="U510" s="16">
        <f t="shared" si="366"/>
        <v>-3.440000000000027</v>
      </c>
      <c r="V510" s="16">
        <f t="shared" si="366"/>
        <v>-3.440000000000027</v>
      </c>
      <c r="W510" s="16">
        <f t="shared" si="366"/>
        <v>156.31572645291618</v>
      </c>
      <c r="X510" s="16">
        <f t="shared" si="366"/>
        <v>-3.440000000000027</v>
      </c>
      <c r="Y510" s="292">
        <f t="shared" si="366"/>
        <v>1233.4984849851571</v>
      </c>
      <c r="Z510" s="246">
        <f t="shared" si="366"/>
        <v>3094.3204799851574</v>
      </c>
      <c r="AA510" s="16">
        <f t="shared" si="366"/>
        <v>2759.077031117652</v>
      </c>
      <c r="AB510" s="16">
        <f t="shared" si="366"/>
        <v>2963.735855254844</v>
      </c>
      <c r="AC510" s="16">
        <f t="shared" si="366"/>
        <v>4053.4952470271855</v>
      </c>
      <c r="AD510" s="16">
        <f t="shared" si="366"/>
        <v>4267.5748917028113</v>
      </c>
      <c r="AE510" s="151"/>
      <c r="AF510" s="327"/>
      <c r="AH510" s="121"/>
    </row>
    <row r="511" spans="1:34" ht="13.5" x14ac:dyDescent="0.3">
      <c r="A511" s="360" t="s">
        <v>338</v>
      </c>
      <c r="B511" s="11"/>
      <c r="D511" s="3" t="s">
        <v>131</v>
      </c>
      <c r="L511" s="16"/>
      <c r="M511" s="16"/>
      <c r="N511" s="15"/>
      <c r="O511" s="246">
        <v>0</v>
      </c>
      <c r="P511" s="16">
        <f t="shared" ref="P511:X511" si="367">P512*P515/10^6</f>
        <v>0</v>
      </c>
      <c r="Q511" s="16">
        <f t="shared" si="367"/>
        <v>0</v>
      </c>
      <c r="R511" s="16">
        <f t="shared" si="367"/>
        <v>132.7325512249443</v>
      </c>
      <c r="S511" s="16">
        <f t="shared" si="367"/>
        <v>0</v>
      </c>
      <c r="T511" s="16">
        <f t="shared" si="367"/>
        <v>0</v>
      </c>
      <c r="U511" s="16">
        <f t="shared" si="367"/>
        <v>0</v>
      </c>
      <c r="V511" s="16">
        <f t="shared" si="367"/>
        <v>0</v>
      </c>
      <c r="W511" s="16">
        <f t="shared" si="367"/>
        <v>0</v>
      </c>
      <c r="X511" s="16">
        <f t="shared" si="367"/>
        <v>0</v>
      </c>
      <c r="Y511" s="292">
        <f>SUM(P511:X511)</f>
        <v>132.7325512249443</v>
      </c>
      <c r="Z511" s="246">
        <f>SUM(O511,Y511)</f>
        <v>132.7325512249443</v>
      </c>
      <c r="AA511" s="16">
        <f t="shared" ref="AA511:AD511" si="368">AA512*AA515/10^6</f>
        <v>204.23440341809129</v>
      </c>
      <c r="AB511" s="16">
        <f t="shared" si="368"/>
        <v>207.5046474086208</v>
      </c>
      <c r="AC511" s="16">
        <f t="shared" si="368"/>
        <v>317.03090931693879</v>
      </c>
      <c r="AD511" s="16">
        <f t="shared" si="368"/>
        <v>320.69208394750513</v>
      </c>
      <c r="AE511" s="151"/>
      <c r="AF511" s="327"/>
    </row>
    <row r="512" spans="1:34" ht="13.5" x14ac:dyDescent="0.3">
      <c r="A512" s="360" t="s">
        <v>338</v>
      </c>
      <c r="B512" s="11"/>
      <c r="E512" s="3" t="s">
        <v>339</v>
      </c>
      <c r="L512" s="16"/>
      <c r="M512" s="16"/>
      <c r="N512" s="15"/>
      <c r="O512" s="246">
        <v>0</v>
      </c>
      <c r="P512" s="16">
        <f t="shared" ref="P512:X512" si="369">P513*P514</f>
        <v>0</v>
      </c>
      <c r="Q512" s="16">
        <f t="shared" si="369"/>
        <v>0</v>
      </c>
      <c r="R512" s="16">
        <f t="shared" si="369"/>
        <v>728680</v>
      </c>
      <c r="S512" s="16">
        <f t="shared" si="369"/>
        <v>0</v>
      </c>
      <c r="T512" s="16">
        <f t="shared" si="369"/>
        <v>0</v>
      </c>
      <c r="U512" s="16">
        <f t="shared" si="369"/>
        <v>0</v>
      </c>
      <c r="V512" s="16">
        <f t="shared" si="369"/>
        <v>0</v>
      </c>
      <c r="W512" s="16">
        <f t="shared" si="369"/>
        <v>0</v>
      </c>
      <c r="X512" s="16">
        <f t="shared" si="369"/>
        <v>0</v>
      </c>
      <c r="Y512" s="292">
        <f>SUM(P512:X512)</f>
        <v>728680</v>
      </c>
      <c r="Z512" s="246">
        <f>SUM(O512,Y512)</f>
        <v>728680</v>
      </c>
      <c r="AA512" s="16">
        <f t="shared" ref="AA512:AD512" si="370">AA513*AA514</f>
        <v>1173733.8717274263</v>
      </c>
      <c r="AB512" s="16">
        <f t="shared" si="370"/>
        <v>1181004.9827550061</v>
      </c>
      <c r="AC512" s="16">
        <f t="shared" si="370"/>
        <v>1783017.996616987</v>
      </c>
      <c r="AD512" s="16">
        <f t="shared" si="370"/>
        <v>1794764.3609042305</v>
      </c>
      <c r="AE512" s="23"/>
      <c r="AF512" s="327"/>
    </row>
    <row r="513" spans="1:33" ht="13.5" x14ac:dyDescent="0.3">
      <c r="A513" s="360" t="s">
        <v>338</v>
      </c>
      <c r="B513" s="11"/>
      <c r="F513" s="3" t="s">
        <v>331</v>
      </c>
      <c r="L513" s="16"/>
      <c r="M513" s="16"/>
      <c r="N513" s="15"/>
      <c r="O513" s="246">
        <v>0</v>
      </c>
      <c r="P513" s="16">
        <v>0</v>
      </c>
      <c r="Q513" s="16">
        <v>0</v>
      </c>
      <c r="R513" s="16">
        <v>1</v>
      </c>
      <c r="S513" s="16">
        <v>0</v>
      </c>
      <c r="T513" s="16">
        <v>0</v>
      </c>
      <c r="U513" s="16">
        <v>0</v>
      </c>
      <c r="V513" s="16">
        <v>0</v>
      </c>
      <c r="W513" s="16">
        <v>0</v>
      </c>
      <c r="X513" s="16">
        <v>0</v>
      </c>
      <c r="Y513" s="292">
        <f>SUM(P513:X513)</f>
        <v>1</v>
      </c>
      <c r="Z513" s="246">
        <f>SUM(O513,Y513)</f>
        <v>1</v>
      </c>
      <c r="AA513" s="16">
        <f>Projection_중국!AA149</f>
        <v>2</v>
      </c>
      <c r="AB513" s="16">
        <f>Projection_중국!AB149</f>
        <v>2</v>
      </c>
      <c r="AC513" s="16">
        <f>Projection_중국!AC149</f>
        <v>3</v>
      </c>
      <c r="AD513" s="16">
        <f>Projection_중국!AD149</f>
        <v>3</v>
      </c>
      <c r="AE513" s="23"/>
      <c r="AF513" s="327"/>
      <c r="AG513" s="322" t="s">
        <v>146</v>
      </c>
    </row>
    <row r="514" spans="1:33" ht="13.5" x14ac:dyDescent="0.3">
      <c r="A514" s="360" t="s">
        <v>338</v>
      </c>
      <c r="B514" s="11"/>
      <c r="F514" s="3" t="s">
        <v>340</v>
      </c>
      <c r="L514" s="16"/>
      <c r="M514" s="16"/>
      <c r="N514" s="15"/>
      <c r="O514" s="246">
        <v>0</v>
      </c>
      <c r="P514" s="16">
        <v>728680</v>
      </c>
      <c r="Q514" s="16">
        <v>728680</v>
      </c>
      <c r="R514" s="16">
        <v>728680</v>
      </c>
      <c r="S514" s="16">
        <v>728680</v>
      </c>
      <c r="T514" s="16">
        <v>728680</v>
      </c>
      <c r="U514" s="16">
        <v>728680</v>
      </c>
      <c r="V514" s="16">
        <v>728680</v>
      </c>
      <c r="W514" s="16">
        <v>728680</v>
      </c>
      <c r="X514" s="16">
        <v>728680</v>
      </c>
      <c r="Y514" s="292">
        <f>Y512/Y513</f>
        <v>728680</v>
      </c>
      <c r="Z514" s="246">
        <f>Z512/Z513</f>
        <v>728680</v>
      </c>
      <c r="AA514" s="16">
        <f>Projection_중국!AA150</f>
        <v>586866.93586371315</v>
      </c>
      <c r="AB514" s="16">
        <f>Projection_중국!AB150</f>
        <v>590502.49137750303</v>
      </c>
      <c r="AC514" s="16">
        <f>Projection_중국!AC150</f>
        <v>594339.33220566239</v>
      </c>
      <c r="AD514" s="16">
        <f>Projection_중국!AD150</f>
        <v>598254.78696807683</v>
      </c>
      <c r="AE514" s="23"/>
      <c r="AF514" s="327"/>
    </row>
    <row r="515" spans="1:33" ht="13.5" x14ac:dyDescent="0.3">
      <c r="A515" s="360" t="s">
        <v>338</v>
      </c>
      <c r="B515" s="11"/>
      <c r="E515" s="3" t="s">
        <v>333</v>
      </c>
      <c r="L515" s="16"/>
      <c r="M515" s="16"/>
      <c r="N515" s="15"/>
      <c r="O515" s="246">
        <v>0</v>
      </c>
      <c r="P515" s="16">
        <f t="shared" ref="P515:X515" si="371">P$555</f>
        <v>182.15478841870822</v>
      </c>
      <c r="Q515" s="16">
        <f t="shared" si="371"/>
        <v>182.15478841870822</v>
      </c>
      <c r="R515" s="16">
        <f t="shared" si="371"/>
        <v>182.15478841870822</v>
      </c>
      <c r="S515" s="16">
        <f t="shared" si="371"/>
        <v>180.89761570827488</v>
      </c>
      <c r="T515" s="16">
        <f t="shared" si="371"/>
        <v>180.89761570827488</v>
      </c>
      <c r="U515" s="16">
        <f t="shared" si="371"/>
        <v>180.89761570827488</v>
      </c>
      <c r="V515" s="16">
        <f t="shared" si="371"/>
        <v>177.57575757575759</v>
      </c>
      <c r="W515" s="16">
        <f t="shared" si="371"/>
        <v>177.57575757575759</v>
      </c>
      <c r="X515" s="16">
        <f t="shared" si="371"/>
        <v>177.57575757575759</v>
      </c>
      <c r="Y515" s="292">
        <f>Y511/Y512*10^6</f>
        <v>182.15478841870822</v>
      </c>
      <c r="Z515" s="246">
        <f>Z511/Z512*10^6</f>
        <v>182.15478841870822</v>
      </c>
      <c r="AA515" s="16">
        <f>AA$555</f>
        <v>174.00401261106336</v>
      </c>
      <c r="AB515" s="16">
        <f>AB$555</f>
        <v>175.7017543859649</v>
      </c>
      <c r="AC515" s="16">
        <f>AC$555</f>
        <v>177.80578206078576</v>
      </c>
      <c r="AD515" s="16">
        <f>AD$555</f>
        <v>178.68199911543564</v>
      </c>
      <c r="AE515" s="23"/>
      <c r="AF515" s="327"/>
    </row>
    <row r="516" spans="1:33" ht="13.5" x14ac:dyDescent="0.3">
      <c r="A516" s="360" t="s">
        <v>338</v>
      </c>
      <c r="B516" s="11"/>
      <c r="D516" s="3" t="s">
        <v>132</v>
      </c>
      <c r="L516" s="16"/>
      <c r="M516" s="16"/>
      <c r="N516" s="15"/>
      <c r="O516" s="246">
        <v>140.23084600000001</v>
      </c>
      <c r="P516" s="16">
        <f t="shared" ref="P516:X516" si="372">P517*P520/10^6</f>
        <v>0</v>
      </c>
      <c r="Q516" s="16">
        <f t="shared" si="372"/>
        <v>0</v>
      </c>
      <c r="R516" s="16">
        <f t="shared" si="372"/>
        <v>0</v>
      </c>
      <c r="S516" s="16">
        <f t="shared" si="372"/>
        <v>0</v>
      </c>
      <c r="T516" s="16">
        <f t="shared" si="372"/>
        <v>0</v>
      </c>
      <c r="U516" s="16">
        <f t="shared" si="372"/>
        <v>0</v>
      </c>
      <c r="V516" s="16">
        <f t="shared" si="372"/>
        <v>0</v>
      </c>
      <c r="W516" s="16">
        <f t="shared" si="372"/>
        <v>0</v>
      </c>
      <c r="X516" s="16">
        <f t="shared" si="372"/>
        <v>0</v>
      </c>
      <c r="Y516" s="292">
        <f>SUM(P516:X516)</f>
        <v>0</v>
      </c>
      <c r="Z516" s="246">
        <f>SUM(O516,Y516)</f>
        <v>140.23084600000001</v>
      </c>
      <c r="AA516" s="119"/>
      <c r="AB516" s="119"/>
      <c r="AC516" s="119"/>
      <c r="AD516" s="119"/>
      <c r="AE516" s="151"/>
      <c r="AF516" s="327"/>
    </row>
    <row r="517" spans="1:33" ht="13.5" x14ac:dyDescent="0.3">
      <c r="A517" s="360" t="s">
        <v>338</v>
      </c>
      <c r="B517" s="11"/>
      <c r="E517" s="3" t="s">
        <v>339</v>
      </c>
      <c r="L517" s="16"/>
      <c r="M517" s="16"/>
      <c r="N517" s="15"/>
      <c r="O517" s="246">
        <v>764980.00054832525</v>
      </c>
      <c r="P517" s="16">
        <f t="shared" ref="P517:X517" si="373">P518*P519</f>
        <v>0</v>
      </c>
      <c r="Q517" s="16">
        <f t="shared" si="373"/>
        <v>0</v>
      </c>
      <c r="R517" s="16">
        <f t="shared" si="373"/>
        <v>0</v>
      </c>
      <c r="S517" s="16">
        <f t="shared" si="373"/>
        <v>0</v>
      </c>
      <c r="T517" s="16">
        <f t="shared" si="373"/>
        <v>0</v>
      </c>
      <c r="U517" s="16">
        <f t="shared" si="373"/>
        <v>0</v>
      </c>
      <c r="V517" s="16">
        <f t="shared" si="373"/>
        <v>0</v>
      </c>
      <c r="W517" s="16">
        <f t="shared" si="373"/>
        <v>0</v>
      </c>
      <c r="X517" s="16">
        <f t="shared" si="373"/>
        <v>0</v>
      </c>
      <c r="Y517" s="292">
        <f>SUM(P517:X517)</f>
        <v>0</v>
      </c>
      <c r="Z517" s="246">
        <f>SUM(O517,Y517)</f>
        <v>764980.00054832525</v>
      </c>
      <c r="AA517" s="119"/>
      <c r="AB517" s="119"/>
      <c r="AC517" s="119"/>
      <c r="AD517" s="119"/>
      <c r="AE517" s="23"/>
      <c r="AF517" s="327"/>
    </row>
    <row r="518" spans="1:33" ht="13.5" x14ac:dyDescent="0.3">
      <c r="A518" s="360" t="s">
        <v>338</v>
      </c>
      <c r="B518" s="11"/>
      <c r="F518" s="3" t="s">
        <v>331</v>
      </c>
      <c r="L518" s="16"/>
      <c r="M518" s="16"/>
      <c r="N518" s="15"/>
      <c r="O518" s="246">
        <v>2</v>
      </c>
      <c r="P518" s="16">
        <v>0</v>
      </c>
      <c r="Q518" s="16">
        <v>0</v>
      </c>
      <c r="R518" s="16">
        <v>0</v>
      </c>
      <c r="S518" s="16">
        <v>0</v>
      </c>
      <c r="T518" s="16">
        <v>0</v>
      </c>
      <c r="U518" s="16">
        <v>0</v>
      </c>
      <c r="V518" s="16">
        <v>0</v>
      </c>
      <c r="W518" s="16">
        <v>0</v>
      </c>
      <c r="X518" s="16">
        <v>0</v>
      </c>
      <c r="Y518" s="292">
        <f>SUM(P518:X518)</f>
        <v>0</v>
      </c>
      <c r="Z518" s="246">
        <f>SUM(O518,Y518)</f>
        <v>2</v>
      </c>
      <c r="AA518" s="119"/>
      <c r="AB518" s="119"/>
      <c r="AC518" s="119"/>
      <c r="AD518" s="119"/>
      <c r="AE518" s="23"/>
      <c r="AF518" s="327"/>
      <c r="AG518" s="322" t="s">
        <v>147</v>
      </c>
    </row>
    <row r="519" spans="1:33" ht="13.5" x14ac:dyDescent="0.3">
      <c r="A519" s="360" t="s">
        <v>338</v>
      </c>
      <c r="B519" s="11"/>
      <c r="F519" s="3" t="s">
        <v>340</v>
      </c>
      <c r="L519" s="16"/>
      <c r="M519" s="16"/>
      <c r="N519" s="15"/>
      <c r="O519" s="246">
        <f>O517/O518</f>
        <v>382490.00027416262</v>
      </c>
      <c r="P519" s="16">
        <v>967400</v>
      </c>
      <c r="Q519" s="16">
        <v>967400</v>
      </c>
      <c r="R519" s="16">
        <v>967400</v>
      </c>
      <c r="S519" s="16">
        <v>967400</v>
      </c>
      <c r="T519" s="16">
        <v>967400</v>
      </c>
      <c r="U519" s="16">
        <v>967400</v>
      </c>
      <c r="V519" s="16">
        <v>967400</v>
      </c>
      <c r="W519" s="16">
        <v>967400</v>
      </c>
      <c r="X519" s="16">
        <v>967400</v>
      </c>
      <c r="Y519" s="292">
        <f>IFERROR(Y517/Y518,)</f>
        <v>0</v>
      </c>
      <c r="Z519" s="246">
        <f>IFERROR(Z517/Z518,)</f>
        <v>382490.00027416262</v>
      </c>
      <c r="AA519" s="119"/>
      <c r="AB519" s="119"/>
      <c r="AC519" s="119"/>
      <c r="AD519" s="119"/>
      <c r="AE519" s="23"/>
      <c r="AF519" s="327"/>
    </row>
    <row r="520" spans="1:33" ht="13.5" x14ac:dyDescent="0.3">
      <c r="A520" s="360" t="s">
        <v>338</v>
      </c>
      <c r="B520" s="11"/>
      <c r="E520" s="3" t="s">
        <v>333</v>
      </c>
      <c r="L520" s="16"/>
      <c r="M520" s="16"/>
      <c r="N520" s="15"/>
      <c r="O520" s="246">
        <f>O516/O517*10^6</f>
        <v>183.31308779247146</v>
      </c>
      <c r="P520" s="16">
        <f t="shared" ref="P520:X520" si="374">P$555</f>
        <v>182.15478841870822</v>
      </c>
      <c r="Q520" s="16">
        <f t="shared" si="374"/>
        <v>182.15478841870822</v>
      </c>
      <c r="R520" s="16">
        <f t="shared" si="374"/>
        <v>182.15478841870822</v>
      </c>
      <c r="S520" s="16">
        <f t="shared" si="374"/>
        <v>180.89761570827488</v>
      </c>
      <c r="T520" s="16">
        <f t="shared" si="374"/>
        <v>180.89761570827488</v>
      </c>
      <c r="U520" s="16">
        <f t="shared" si="374"/>
        <v>180.89761570827488</v>
      </c>
      <c r="V520" s="16">
        <f t="shared" si="374"/>
        <v>177.57575757575759</v>
      </c>
      <c r="W520" s="16">
        <f t="shared" si="374"/>
        <v>177.57575757575759</v>
      </c>
      <c r="X520" s="16">
        <f t="shared" si="374"/>
        <v>177.57575757575759</v>
      </c>
      <c r="Y520" s="292">
        <f>IFERROR(Y516/Y517*10^6,)</f>
        <v>0</v>
      </c>
      <c r="Z520" s="246">
        <f>IFERROR(Z516/Z517*10^6,)</f>
        <v>183.31308779247146</v>
      </c>
      <c r="AA520" s="16">
        <f>AA$555</f>
        <v>174.00401261106336</v>
      </c>
      <c r="AB520" s="16">
        <f>AB$555</f>
        <v>175.7017543859649</v>
      </c>
      <c r="AC520" s="16">
        <f>AC$555</f>
        <v>177.80578206078576</v>
      </c>
      <c r="AD520" s="16">
        <f>AD$555</f>
        <v>178.68199911543564</v>
      </c>
      <c r="AE520" s="23"/>
      <c r="AF520" s="327"/>
    </row>
    <row r="521" spans="1:33" ht="13.5" x14ac:dyDescent="0.3">
      <c r="A521" s="360" t="s">
        <v>338</v>
      </c>
      <c r="B521" s="11"/>
      <c r="D521" s="3" t="s">
        <v>133</v>
      </c>
      <c r="L521" s="16"/>
      <c r="M521" s="16"/>
      <c r="N521" s="15"/>
      <c r="O521" s="246">
        <v>957.33275700000002</v>
      </c>
      <c r="P521" s="16">
        <f t="shared" ref="P521:X521" si="375">P522*P525/10^6</f>
        <v>151.81022939866369</v>
      </c>
      <c r="Q521" s="16">
        <f t="shared" si="375"/>
        <v>151.81022939866369</v>
      </c>
      <c r="R521" s="16">
        <f t="shared" si="375"/>
        <v>0</v>
      </c>
      <c r="S521" s="16">
        <f t="shared" si="375"/>
        <v>0</v>
      </c>
      <c r="T521" s="16">
        <f t="shared" si="375"/>
        <v>75.381242449742871</v>
      </c>
      <c r="U521" s="16">
        <f t="shared" si="375"/>
        <v>0</v>
      </c>
      <c r="V521" s="16">
        <f t="shared" si="375"/>
        <v>0</v>
      </c>
      <c r="W521" s="16">
        <f t="shared" si="375"/>
        <v>73.997002020202032</v>
      </c>
      <c r="X521" s="16">
        <f t="shared" si="375"/>
        <v>0</v>
      </c>
      <c r="Y521" s="292">
        <f>SUM(P521:X521)</f>
        <v>452.99870326727233</v>
      </c>
      <c r="Z521" s="246">
        <f>SUM(O521,Y521)</f>
        <v>1410.3314602672724</v>
      </c>
      <c r="AA521" s="16">
        <f t="shared" ref="AA521:AD521" si="376">AA522*AA525/10^6</f>
        <v>1057.6673631753142</v>
      </c>
      <c r="AB521" s="16">
        <f t="shared" si="376"/>
        <v>1147.974066023163</v>
      </c>
      <c r="AC521" s="16">
        <f t="shared" si="376"/>
        <v>1536.9121107468827</v>
      </c>
      <c r="AD521" s="16">
        <f t="shared" si="376"/>
        <v>1631.1135114785147</v>
      </c>
      <c r="AE521" s="151"/>
      <c r="AF521" s="327"/>
    </row>
    <row r="522" spans="1:33" ht="13.5" x14ac:dyDescent="0.3">
      <c r="A522" s="360" t="s">
        <v>338</v>
      </c>
      <c r="B522" s="11"/>
      <c r="E522" s="3" t="s">
        <v>339</v>
      </c>
      <c r="L522" s="16"/>
      <c r="M522" s="16"/>
      <c r="N522" s="15"/>
      <c r="O522" s="246">
        <v>5183195.9980466003</v>
      </c>
      <c r="P522" s="16">
        <f t="shared" ref="P522:X522" si="377">P523*P524</f>
        <v>833413.33333333337</v>
      </c>
      <c r="Q522" s="16">
        <f t="shared" si="377"/>
        <v>833413.33333333337</v>
      </c>
      <c r="R522" s="16">
        <f t="shared" si="377"/>
        <v>0</v>
      </c>
      <c r="S522" s="16">
        <f t="shared" si="377"/>
        <v>0</v>
      </c>
      <c r="T522" s="16">
        <f t="shared" si="377"/>
        <v>416706.66666666669</v>
      </c>
      <c r="U522" s="16">
        <f t="shared" si="377"/>
        <v>0</v>
      </c>
      <c r="V522" s="16">
        <f t="shared" si="377"/>
        <v>0</v>
      </c>
      <c r="W522" s="16">
        <f t="shared" si="377"/>
        <v>416706.66666666669</v>
      </c>
      <c r="X522" s="16">
        <f t="shared" si="377"/>
        <v>0</v>
      </c>
      <c r="Y522" s="292">
        <f>SUM(P522:X522)</f>
        <v>2500240</v>
      </c>
      <c r="Z522" s="246">
        <f>SUM(O522,Y522)</f>
        <v>7683435.9980466003</v>
      </c>
      <c r="AA522" s="16">
        <f t="shared" ref="AA522:AD522" si="378">AA523*AA524</f>
        <v>6078407.890164176</v>
      </c>
      <c r="AB522" s="16">
        <f t="shared" si="378"/>
        <v>6533651.698783854</v>
      </c>
      <c r="AC522" s="16">
        <f t="shared" si="378"/>
        <v>8643769.0210854039</v>
      </c>
      <c r="AD522" s="16">
        <f t="shared" si="378"/>
        <v>9128583.2907250542</v>
      </c>
      <c r="AE522" s="23"/>
      <c r="AF522" s="327"/>
    </row>
    <row r="523" spans="1:33" ht="13.5" x14ac:dyDescent="0.3">
      <c r="A523" s="360" t="s">
        <v>338</v>
      </c>
      <c r="B523" s="11"/>
      <c r="F523" s="3" t="s">
        <v>331</v>
      </c>
      <c r="L523" s="16"/>
      <c r="M523" s="16"/>
      <c r="N523" s="15"/>
      <c r="O523" s="246">
        <v>12</v>
      </c>
      <c r="P523" s="16">
        <v>2</v>
      </c>
      <c r="Q523" s="16">
        <v>2</v>
      </c>
      <c r="R523" s="16">
        <v>0</v>
      </c>
      <c r="S523" s="16">
        <v>0</v>
      </c>
      <c r="T523" s="16">
        <v>1</v>
      </c>
      <c r="U523" s="16">
        <v>0</v>
      </c>
      <c r="V523" s="16">
        <v>0</v>
      </c>
      <c r="W523" s="16">
        <v>1</v>
      </c>
      <c r="X523" s="16">
        <v>0</v>
      </c>
      <c r="Y523" s="292">
        <f>SUM(P523:X523)</f>
        <v>6</v>
      </c>
      <c r="Z523" s="246">
        <f>SUM(O523,Y523)</f>
        <v>18</v>
      </c>
      <c r="AA523" s="16">
        <f>Projection_중국!AA60</f>
        <v>15</v>
      </c>
      <c r="AB523" s="16">
        <f>Projection_중국!AB60</f>
        <v>16</v>
      </c>
      <c r="AC523" s="16">
        <f>Projection_중국!AC60</f>
        <v>21</v>
      </c>
      <c r="AD523" s="16">
        <f>Projection_중국!AD60</f>
        <v>22</v>
      </c>
      <c r="AE523" s="23"/>
      <c r="AF523" s="327"/>
      <c r="AG523" s="322" t="s">
        <v>148</v>
      </c>
    </row>
    <row r="524" spans="1:33" ht="13.5" x14ac:dyDescent="0.3">
      <c r="A524" s="360" t="s">
        <v>338</v>
      </c>
      <c r="B524" s="11"/>
      <c r="F524" s="3" t="s">
        <v>340</v>
      </c>
      <c r="L524" s="16"/>
      <c r="M524" s="16"/>
      <c r="N524" s="15"/>
      <c r="O524" s="246">
        <f>O522/O523</f>
        <v>431932.99983721669</v>
      </c>
      <c r="P524" s="16">
        <v>416706.66666666669</v>
      </c>
      <c r="Q524" s="16">
        <v>416706.66666666669</v>
      </c>
      <c r="R524" s="16">
        <v>416706.66666666669</v>
      </c>
      <c r="S524" s="16">
        <v>416706.66666666669</v>
      </c>
      <c r="T524" s="16">
        <v>416706.66666666669</v>
      </c>
      <c r="U524" s="16">
        <v>416706.66666666669</v>
      </c>
      <c r="V524" s="16">
        <v>416706.66666666669</v>
      </c>
      <c r="W524" s="16">
        <v>416706.66666666669</v>
      </c>
      <c r="X524" s="16">
        <v>416706.66666666669</v>
      </c>
      <c r="Y524" s="292">
        <f>IFERROR(Y522/Y523,)</f>
        <v>416706.66666666669</v>
      </c>
      <c r="Z524" s="246">
        <f>IFERROR(Z522/Z523,)</f>
        <v>426857.55544703337</v>
      </c>
      <c r="AA524" s="16">
        <f>Projection_중국!AA160</f>
        <v>405227.19267761172</v>
      </c>
      <c r="AB524" s="16">
        <f>Projection_중국!AB160</f>
        <v>408353.23117399088</v>
      </c>
      <c r="AC524" s="16">
        <f>Projection_중국!AC160</f>
        <v>411608.04862311448</v>
      </c>
      <c r="AD524" s="16">
        <f>Projection_중국!AD160</f>
        <v>414935.60412386607</v>
      </c>
      <c r="AE524" s="23"/>
      <c r="AF524" s="327"/>
    </row>
    <row r="525" spans="1:33" ht="13.5" x14ac:dyDescent="0.3">
      <c r="A525" s="360" t="s">
        <v>338</v>
      </c>
      <c r="B525" s="11"/>
      <c r="E525" s="3" t="s">
        <v>333</v>
      </c>
      <c r="L525" s="16"/>
      <c r="M525" s="16"/>
      <c r="N525" s="15"/>
      <c r="O525" s="246">
        <f>O521/O522*10^6</f>
        <v>184.69931628300216</v>
      </c>
      <c r="P525" s="16">
        <f t="shared" ref="P525:X525" si="379">P$555</f>
        <v>182.15478841870822</v>
      </c>
      <c r="Q525" s="16">
        <f t="shared" si="379"/>
        <v>182.15478841870822</v>
      </c>
      <c r="R525" s="16">
        <f t="shared" si="379"/>
        <v>182.15478841870822</v>
      </c>
      <c r="S525" s="16">
        <f t="shared" si="379"/>
        <v>180.89761570827488</v>
      </c>
      <c r="T525" s="16">
        <f t="shared" si="379"/>
        <v>180.89761570827488</v>
      </c>
      <c r="U525" s="16">
        <f t="shared" si="379"/>
        <v>180.89761570827488</v>
      </c>
      <c r="V525" s="16">
        <f t="shared" si="379"/>
        <v>177.57575757575759</v>
      </c>
      <c r="W525" s="16">
        <f t="shared" si="379"/>
        <v>177.57575757575759</v>
      </c>
      <c r="X525" s="16">
        <f t="shared" si="379"/>
        <v>177.57575757575759</v>
      </c>
      <c r="Y525" s="292">
        <f>IFERROR(Y521/Y522*10^6,)</f>
        <v>181.18208782647758</v>
      </c>
      <c r="Z525" s="246">
        <f>IFERROR(Z521/Z522*10^6,)</f>
        <v>183.55478728863341</v>
      </c>
      <c r="AA525" s="16">
        <f>AA$555</f>
        <v>174.00401261106336</v>
      </c>
      <c r="AB525" s="16">
        <f>AB$555</f>
        <v>175.7017543859649</v>
      </c>
      <c r="AC525" s="16">
        <f>AC$555</f>
        <v>177.80578206078576</v>
      </c>
      <c r="AD525" s="16">
        <f>AD$555</f>
        <v>178.68199911543564</v>
      </c>
      <c r="AE525" s="23"/>
      <c r="AF525" s="327"/>
    </row>
    <row r="526" spans="1:33" ht="13.5" x14ac:dyDescent="0.3">
      <c r="A526" s="360" t="s">
        <v>338</v>
      </c>
      <c r="B526" s="11"/>
      <c r="D526" s="3" t="s">
        <v>134</v>
      </c>
      <c r="L526" s="16"/>
      <c r="M526" s="16"/>
      <c r="N526" s="15"/>
      <c r="O526" s="246">
        <v>180.83316300000001</v>
      </c>
      <c r="P526" s="119">
        <f t="shared" ref="P526:X526" si="380">P527*P530/10^6</f>
        <v>0</v>
      </c>
      <c r="Q526" s="119">
        <f t="shared" si="380"/>
        <v>0</v>
      </c>
      <c r="R526" s="119">
        <f t="shared" si="380"/>
        <v>0</v>
      </c>
      <c r="S526" s="119">
        <f t="shared" si="380"/>
        <v>0</v>
      </c>
      <c r="T526" s="119">
        <f t="shared" si="380"/>
        <v>0</v>
      </c>
      <c r="U526" s="119">
        <f t="shared" si="380"/>
        <v>0</v>
      </c>
      <c r="V526" s="119">
        <f t="shared" si="380"/>
        <v>0</v>
      </c>
      <c r="W526" s="119">
        <f t="shared" si="380"/>
        <v>0</v>
      </c>
      <c r="X526" s="119">
        <f t="shared" si="380"/>
        <v>0</v>
      </c>
      <c r="Y526" s="293">
        <f>SUM(P526:X526)</f>
        <v>0</v>
      </c>
      <c r="Z526" s="246">
        <f>SUM(O526,Y526)</f>
        <v>180.83316300000001</v>
      </c>
      <c r="AA526" s="119"/>
      <c r="AB526" s="119"/>
      <c r="AC526" s="119"/>
      <c r="AD526" s="119"/>
      <c r="AE526" s="151"/>
      <c r="AF526" s="327"/>
    </row>
    <row r="527" spans="1:33" ht="13.5" x14ac:dyDescent="0.3">
      <c r="A527" s="360" t="s">
        <v>338</v>
      </c>
      <c r="B527" s="11"/>
      <c r="E527" s="3" t="s">
        <v>339</v>
      </c>
      <c r="L527" s="16"/>
      <c r="M527" s="16"/>
      <c r="N527" s="15"/>
      <c r="O527" s="246">
        <v>979859.99999999988</v>
      </c>
      <c r="P527" s="119">
        <f t="shared" ref="P527:X527" si="381">P528*P529</f>
        <v>0</v>
      </c>
      <c r="Q527" s="119">
        <f t="shared" si="381"/>
        <v>0</v>
      </c>
      <c r="R527" s="119">
        <f t="shared" si="381"/>
        <v>0</v>
      </c>
      <c r="S527" s="119">
        <f t="shared" si="381"/>
        <v>0</v>
      </c>
      <c r="T527" s="119">
        <f t="shared" si="381"/>
        <v>0</v>
      </c>
      <c r="U527" s="119">
        <f t="shared" si="381"/>
        <v>0</v>
      </c>
      <c r="V527" s="119">
        <f t="shared" si="381"/>
        <v>0</v>
      </c>
      <c r="W527" s="119">
        <f t="shared" si="381"/>
        <v>0</v>
      </c>
      <c r="X527" s="119">
        <f t="shared" si="381"/>
        <v>0</v>
      </c>
      <c r="Y527" s="293">
        <f>SUM(P527:X527)</f>
        <v>0</v>
      </c>
      <c r="Z527" s="246">
        <f>SUM(O527,Y527)</f>
        <v>979859.99999999988</v>
      </c>
      <c r="AA527" s="119"/>
      <c r="AB527" s="119"/>
      <c r="AC527" s="119"/>
      <c r="AD527" s="119"/>
      <c r="AE527" s="23"/>
      <c r="AF527" s="327"/>
    </row>
    <row r="528" spans="1:33" ht="13.5" x14ac:dyDescent="0.3">
      <c r="A528" s="360" t="s">
        <v>338</v>
      </c>
      <c r="B528" s="11"/>
      <c r="F528" s="3" t="s">
        <v>331</v>
      </c>
      <c r="L528" s="16"/>
      <c r="M528" s="16"/>
      <c r="N528" s="15"/>
      <c r="O528" s="246">
        <v>1</v>
      </c>
      <c r="P528" s="119">
        <v>0</v>
      </c>
      <c r="Q528" s="119">
        <v>0</v>
      </c>
      <c r="R528" s="119">
        <v>0</v>
      </c>
      <c r="S528" s="119">
        <v>0</v>
      </c>
      <c r="T528" s="119">
        <v>0</v>
      </c>
      <c r="U528" s="119">
        <v>0</v>
      </c>
      <c r="V528" s="119">
        <v>0</v>
      </c>
      <c r="W528" s="119">
        <v>0</v>
      </c>
      <c r="X528" s="119">
        <v>0</v>
      </c>
      <c r="Y528" s="293">
        <f>SUM(P528:X528)</f>
        <v>0</v>
      </c>
      <c r="Z528" s="246">
        <f>SUM(O528,Y528)</f>
        <v>1</v>
      </c>
      <c r="AA528" s="119"/>
      <c r="AB528" s="119"/>
      <c r="AC528" s="119"/>
      <c r="AD528" s="119"/>
      <c r="AE528" s="23"/>
      <c r="AF528" s="327"/>
      <c r="AG528" s="322" t="s">
        <v>149</v>
      </c>
    </row>
    <row r="529" spans="1:33" ht="13.5" x14ac:dyDescent="0.3">
      <c r="A529" s="360" t="s">
        <v>338</v>
      </c>
      <c r="B529" s="11"/>
      <c r="F529" s="3" t="s">
        <v>340</v>
      </c>
      <c r="L529" s="16"/>
      <c r="M529" s="16"/>
      <c r="N529" s="15"/>
      <c r="O529" s="246">
        <f>O527/O528</f>
        <v>979859.99999999988</v>
      </c>
      <c r="P529" s="119">
        <v>0</v>
      </c>
      <c r="Q529" s="119">
        <v>0</v>
      </c>
      <c r="R529" s="119">
        <v>0</v>
      </c>
      <c r="S529" s="119">
        <v>0</v>
      </c>
      <c r="T529" s="119">
        <v>0</v>
      </c>
      <c r="U529" s="119">
        <v>0</v>
      </c>
      <c r="V529" s="119">
        <v>0</v>
      </c>
      <c r="W529" s="119">
        <v>0</v>
      </c>
      <c r="X529" s="119">
        <v>0</v>
      </c>
      <c r="Y529" s="293">
        <f>IFERROR(Y526/Y528/Y530*10^6,)</f>
        <v>0</v>
      </c>
      <c r="Z529" s="246">
        <f>IFERROR(Z526/Z528/Z530*10^6,)</f>
        <v>992113.68437713315</v>
      </c>
      <c r="AA529" s="119"/>
      <c r="AB529" s="119"/>
      <c r="AC529" s="119"/>
      <c r="AD529" s="119"/>
      <c r="AE529" s="23"/>
      <c r="AF529" s="327"/>
    </row>
    <row r="530" spans="1:33" ht="13.5" x14ac:dyDescent="0.3">
      <c r="A530" s="360" t="s">
        <v>338</v>
      </c>
      <c r="B530" s="11"/>
      <c r="E530" s="3" t="s">
        <v>333</v>
      </c>
      <c r="L530" s="16"/>
      <c r="M530" s="16"/>
      <c r="N530" s="15"/>
      <c r="O530" s="246">
        <f>O526/O527*10^6</f>
        <v>184.55000000000004</v>
      </c>
      <c r="P530" s="16">
        <f t="shared" ref="P530:Y530" si="382">P$555</f>
        <v>182.15478841870822</v>
      </c>
      <c r="Q530" s="16">
        <f t="shared" si="382"/>
        <v>182.15478841870822</v>
      </c>
      <c r="R530" s="16">
        <f t="shared" si="382"/>
        <v>182.15478841870822</v>
      </c>
      <c r="S530" s="16">
        <f t="shared" si="382"/>
        <v>180.89761570827488</v>
      </c>
      <c r="T530" s="16">
        <f t="shared" si="382"/>
        <v>180.89761570827488</v>
      </c>
      <c r="U530" s="16">
        <f t="shared" si="382"/>
        <v>180.89761570827488</v>
      </c>
      <c r="V530" s="16">
        <f t="shared" si="382"/>
        <v>177.57575757575759</v>
      </c>
      <c r="W530" s="16">
        <f t="shared" si="382"/>
        <v>177.57575757575759</v>
      </c>
      <c r="X530" s="16">
        <f t="shared" si="382"/>
        <v>177.57575757575759</v>
      </c>
      <c r="Y530" s="292">
        <f t="shared" si="382"/>
        <v>180.20938723424686</v>
      </c>
      <c r="Z530" s="246">
        <f>Z$555</f>
        <v>182.27060653188181</v>
      </c>
      <c r="AA530" s="119"/>
      <c r="AB530" s="119"/>
      <c r="AC530" s="119"/>
      <c r="AD530" s="119"/>
      <c r="AE530" s="23"/>
      <c r="AF530" s="327"/>
    </row>
    <row r="531" spans="1:33" ht="13.5" x14ac:dyDescent="0.3">
      <c r="A531" s="360" t="s">
        <v>338</v>
      </c>
      <c r="B531" s="11"/>
      <c r="D531" s="3" t="s">
        <v>135</v>
      </c>
      <c r="L531" s="16"/>
      <c r="M531" s="16"/>
      <c r="N531" s="15"/>
      <c r="O531" s="306"/>
      <c r="P531" s="119">
        <f t="shared" ref="P531:X531" si="383">P532*P535/10^6</f>
        <v>0</v>
      </c>
      <c r="Q531" s="119">
        <f t="shared" si="383"/>
        <v>0</v>
      </c>
      <c r="R531" s="119">
        <f t="shared" si="383"/>
        <v>0</v>
      </c>
      <c r="S531" s="119">
        <f t="shared" si="383"/>
        <v>0</v>
      </c>
      <c r="T531" s="119">
        <f t="shared" si="383"/>
        <v>0</v>
      </c>
      <c r="U531" s="119">
        <f t="shared" si="383"/>
        <v>0</v>
      </c>
      <c r="V531" s="119">
        <f t="shared" si="383"/>
        <v>0</v>
      </c>
      <c r="W531" s="119">
        <f t="shared" si="383"/>
        <v>0</v>
      </c>
      <c r="X531" s="119">
        <f t="shared" si="383"/>
        <v>0</v>
      </c>
      <c r="Y531" s="293">
        <f>SUM(P531:X531)</f>
        <v>0</v>
      </c>
      <c r="Z531" s="306">
        <f>SUM(O531,Y531)</f>
        <v>0</v>
      </c>
      <c r="AA531" s="119">
        <f>AA532*AA535/10^6</f>
        <v>0</v>
      </c>
      <c r="AB531" s="119">
        <f>AB532*AB535/10^6</f>
        <v>0</v>
      </c>
      <c r="AC531" s="119">
        <f>AC532*AC535/10^6</f>
        <v>0</v>
      </c>
      <c r="AD531" s="119">
        <f>AD532*AD535/10^6</f>
        <v>0</v>
      </c>
      <c r="AE531" s="23"/>
      <c r="AF531" s="327"/>
    </row>
    <row r="532" spans="1:33" ht="13.5" x14ac:dyDescent="0.3">
      <c r="A532" s="360" t="s">
        <v>338</v>
      </c>
      <c r="B532" s="11"/>
      <c r="E532" s="3" t="s">
        <v>339</v>
      </c>
      <c r="L532" s="16"/>
      <c r="M532" s="16"/>
      <c r="N532" s="15"/>
      <c r="O532" s="306"/>
      <c r="P532" s="119">
        <f t="shared" ref="P532:X532" si="384">P533*P534</f>
        <v>0</v>
      </c>
      <c r="Q532" s="119">
        <f t="shared" si="384"/>
        <v>0</v>
      </c>
      <c r="R532" s="119">
        <f t="shared" si="384"/>
        <v>0</v>
      </c>
      <c r="S532" s="119">
        <f t="shared" si="384"/>
        <v>0</v>
      </c>
      <c r="T532" s="119">
        <f t="shared" si="384"/>
        <v>0</v>
      </c>
      <c r="U532" s="119">
        <f t="shared" si="384"/>
        <v>0</v>
      </c>
      <c r="V532" s="119">
        <f t="shared" si="384"/>
        <v>0</v>
      </c>
      <c r="W532" s="119">
        <f t="shared" si="384"/>
        <v>0</v>
      </c>
      <c r="X532" s="119">
        <f t="shared" si="384"/>
        <v>0</v>
      </c>
      <c r="Y532" s="293">
        <f>SUM(P532:X532)</f>
        <v>0</v>
      </c>
      <c r="Z532" s="306">
        <f>SUM(O532,Y532)</f>
        <v>0</v>
      </c>
      <c r="AA532" s="119">
        <f>AA533*AA534</f>
        <v>0</v>
      </c>
      <c r="AB532" s="119">
        <f>AB533*AB534</f>
        <v>0</v>
      </c>
      <c r="AC532" s="119">
        <f>AC533*AC534</f>
        <v>0</v>
      </c>
      <c r="AD532" s="119">
        <f>AD533*AD534</f>
        <v>0</v>
      </c>
      <c r="AE532" s="23"/>
      <c r="AF532" s="327"/>
    </row>
    <row r="533" spans="1:33" ht="13.5" x14ac:dyDescent="0.3">
      <c r="A533" s="360" t="s">
        <v>338</v>
      </c>
      <c r="B533" s="11"/>
      <c r="F533" s="3" t="s">
        <v>331</v>
      </c>
      <c r="L533" s="16"/>
      <c r="M533" s="16"/>
      <c r="N533" s="15"/>
      <c r="O533" s="306"/>
      <c r="P533" s="119">
        <v>0</v>
      </c>
      <c r="Q533" s="119">
        <v>0</v>
      </c>
      <c r="R533" s="119">
        <v>0</v>
      </c>
      <c r="S533" s="119">
        <v>0</v>
      </c>
      <c r="T533" s="119">
        <v>0</v>
      </c>
      <c r="U533" s="119">
        <v>0</v>
      </c>
      <c r="V533" s="119">
        <v>0</v>
      </c>
      <c r="W533" s="119">
        <v>0</v>
      </c>
      <c r="X533" s="119">
        <v>0</v>
      </c>
      <c r="Y533" s="293">
        <f>SUM(P533:X533)</f>
        <v>0</v>
      </c>
      <c r="Z533" s="306">
        <f>SUM(O533,Y533)</f>
        <v>0</v>
      </c>
      <c r="AA533" s="119">
        <f>Projection_중국!AA72</f>
        <v>0</v>
      </c>
      <c r="AB533" s="119">
        <f>Projection_중국!AB72</f>
        <v>0</v>
      </c>
      <c r="AC533" s="119">
        <f>Projection_중국!AC72</f>
        <v>0</v>
      </c>
      <c r="AD533" s="119">
        <f>Projection_중국!AD72</f>
        <v>0</v>
      </c>
      <c r="AE533" s="23"/>
      <c r="AF533" s="327"/>
      <c r="AG533" s="322" t="s">
        <v>150</v>
      </c>
    </row>
    <row r="534" spans="1:33" ht="13.5" x14ac:dyDescent="0.3">
      <c r="A534" s="360" t="s">
        <v>338</v>
      </c>
      <c r="B534" s="11"/>
      <c r="F534" s="3" t="s">
        <v>340</v>
      </c>
      <c r="L534" s="16"/>
      <c r="M534" s="16"/>
      <c r="N534" s="15"/>
      <c r="O534" s="306"/>
      <c r="P534" s="119">
        <v>0</v>
      </c>
      <c r="Q534" s="119">
        <v>0</v>
      </c>
      <c r="R534" s="119">
        <v>0</v>
      </c>
      <c r="S534" s="119">
        <v>0</v>
      </c>
      <c r="T534" s="119">
        <v>0</v>
      </c>
      <c r="U534" s="119">
        <v>0</v>
      </c>
      <c r="V534" s="119">
        <v>0</v>
      </c>
      <c r="W534" s="119">
        <v>0</v>
      </c>
      <c r="X534" s="119">
        <v>0</v>
      </c>
      <c r="Y534" s="293">
        <f>IFERROR(Y531/Y533/Y535*10^6,)</f>
        <v>0</v>
      </c>
      <c r="Z534" s="306">
        <f>IFERROR(Z531/Z533/Z535*10^6,)</f>
        <v>0</v>
      </c>
      <c r="AA534" s="119"/>
      <c r="AB534" s="119"/>
      <c r="AC534" s="119"/>
      <c r="AD534" s="119"/>
      <c r="AF534" s="327"/>
    </row>
    <row r="535" spans="1:33" ht="13.5" x14ac:dyDescent="0.3">
      <c r="A535" s="360" t="s">
        <v>338</v>
      </c>
      <c r="B535" s="11"/>
      <c r="E535" s="3" t="s">
        <v>333</v>
      </c>
      <c r="L535" s="16"/>
      <c r="M535" s="16"/>
      <c r="N535" s="15"/>
      <c r="O535" s="306"/>
      <c r="P535" s="119">
        <f t="shared" ref="P535:Z535" si="385">P$555</f>
        <v>182.15478841870822</v>
      </c>
      <c r="Q535" s="119">
        <f t="shared" si="385"/>
        <v>182.15478841870822</v>
      </c>
      <c r="R535" s="119">
        <f t="shared" si="385"/>
        <v>182.15478841870822</v>
      </c>
      <c r="S535" s="119">
        <f t="shared" si="385"/>
        <v>180.89761570827488</v>
      </c>
      <c r="T535" s="119">
        <f t="shared" si="385"/>
        <v>180.89761570827488</v>
      </c>
      <c r="U535" s="119">
        <f t="shared" si="385"/>
        <v>180.89761570827488</v>
      </c>
      <c r="V535" s="119">
        <f t="shared" si="385"/>
        <v>177.57575757575759</v>
      </c>
      <c r="W535" s="119">
        <f t="shared" si="385"/>
        <v>177.57575757575759</v>
      </c>
      <c r="X535" s="119">
        <f t="shared" si="385"/>
        <v>177.57575757575759</v>
      </c>
      <c r="Y535" s="293">
        <f t="shared" si="385"/>
        <v>180.20938723424686</v>
      </c>
      <c r="Z535" s="306">
        <f t="shared" si="385"/>
        <v>182.27060653188181</v>
      </c>
      <c r="AA535" s="119"/>
      <c r="AB535" s="119"/>
      <c r="AC535" s="119"/>
      <c r="AD535" s="119"/>
      <c r="AF535" s="327"/>
    </row>
    <row r="536" spans="1:33" ht="13.5" x14ac:dyDescent="0.3">
      <c r="A536" s="360" t="s">
        <v>338</v>
      </c>
      <c r="B536" s="11"/>
      <c r="D536" s="3" t="s">
        <v>105</v>
      </c>
      <c r="L536" s="16"/>
      <c r="M536" s="16"/>
      <c r="N536" s="15"/>
      <c r="O536" s="246">
        <f>O537+O539+O541+O543+O545+O548+O549</f>
        <v>582.42522900000006</v>
      </c>
      <c r="P536" s="16">
        <f t="shared" ref="P536:Y536" si="386">P537+P539+P541+P543+P545+P548+P549</f>
        <v>172.57511735093792</v>
      </c>
      <c r="Q536" s="16">
        <f t="shared" si="386"/>
        <v>172.57511735093792</v>
      </c>
      <c r="R536" s="16">
        <f t="shared" si="386"/>
        <v>150.10813002232402</v>
      </c>
      <c r="S536" s="16">
        <f t="shared" si="386"/>
        <v>-3.440000000000027</v>
      </c>
      <c r="T536" s="16">
        <f t="shared" si="386"/>
        <v>83.950141336026547</v>
      </c>
      <c r="U536" s="16">
        <f t="shared" si="386"/>
        <v>-3.440000000000027</v>
      </c>
      <c r="V536" s="16">
        <f t="shared" si="386"/>
        <v>-3.440000000000027</v>
      </c>
      <c r="W536" s="16">
        <f t="shared" si="386"/>
        <v>82.318724432714163</v>
      </c>
      <c r="X536" s="16">
        <f t="shared" si="386"/>
        <v>-3.440000000000027</v>
      </c>
      <c r="Y536" s="292">
        <f t="shared" si="386"/>
        <v>647.76723049294048</v>
      </c>
      <c r="Z536" s="246">
        <f>Z537+Z539+Z541+Z543+Z545+Z548+Z549</f>
        <v>1230.1924594929408</v>
      </c>
      <c r="AA536" s="16">
        <f>AA537+AA539+AA541+AA543+AA545+AA548+AA549</f>
        <v>1497.1752645242466</v>
      </c>
      <c r="AB536" s="16">
        <f>AB537+AB539+AB541+AB543+AB545+AB548+AB549</f>
        <v>1608.25714182306</v>
      </c>
      <c r="AC536" s="16">
        <f>AC537+AC539+AC541+AC543+AC545+AC548+AC549</f>
        <v>2199.5522269633643</v>
      </c>
      <c r="AD536" s="16">
        <f>AD537+AD539+AD541+AD543+AD545+AD548+AD549</f>
        <v>2315.7692962767915</v>
      </c>
      <c r="AE536" s="151"/>
      <c r="AF536" s="327"/>
    </row>
    <row r="537" spans="1:33" ht="13.5" x14ac:dyDescent="0.3">
      <c r="A537" s="360" t="s">
        <v>338</v>
      </c>
      <c r="B537" s="11"/>
      <c r="E537" s="3" t="s">
        <v>341</v>
      </c>
      <c r="L537" s="16"/>
      <c r="M537" s="16"/>
      <c r="N537" s="15"/>
      <c r="O537" s="246">
        <v>166.04791373610232</v>
      </c>
      <c r="P537" s="16">
        <f t="shared" ref="P537:X537" si="387">SUM(P$511,P$516,P$521,P$526,P$531)*P538</f>
        <v>15.426464872863779</v>
      </c>
      <c r="Q537" s="16">
        <f t="shared" si="387"/>
        <v>15.426464872863779</v>
      </c>
      <c r="R537" s="16">
        <f t="shared" si="387"/>
        <v>13.487852874394111</v>
      </c>
      <c r="S537" s="16">
        <f t="shared" si="387"/>
        <v>0</v>
      </c>
      <c r="T537" s="16">
        <f t="shared" si="387"/>
        <v>7.6599982315422439</v>
      </c>
      <c r="U537" s="16">
        <f t="shared" si="387"/>
        <v>0</v>
      </c>
      <c r="V537" s="16">
        <f t="shared" si="387"/>
        <v>0</v>
      </c>
      <c r="W537" s="16">
        <f t="shared" si="387"/>
        <v>7.5193361928476525</v>
      </c>
      <c r="X537" s="16">
        <f t="shared" si="387"/>
        <v>0</v>
      </c>
      <c r="Y537" s="292">
        <f>SUM(P537:X537)</f>
        <v>59.520117044511572</v>
      </c>
      <c r="Z537" s="246">
        <f>SUM(O537,Y537)</f>
        <v>225.5680307806139</v>
      </c>
      <c r="AA537" s="16">
        <f>SUM(AA$511,AA$516,AA$521,AA$526,AA$531)*AA538</f>
        <v>128.23037915473481</v>
      </c>
      <c r="AB537" s="16">
        <f>SUM(AB$511,AB$516,AB$521,AB$526,AB$531)*AB538</f>
        <v>137.73936605917586</v>
      </c>
      <c r="AC537" s="16">
        <f>SUM(AC$511,AC$516,AC$521,AC$526,AC$531)*AC538</f>
        <v>188.39169790199446</v>
      </c>
      <c r="AD537" s="16">
        <f>SUM(AD$511,AD$516,AD$521,AD$526,AD$531)*AD538</f>
        <v>198.33617652621442</v>
      </c>
      <c r="AE537" s="151"/>
      <c r="AF537" s="327"/>
    </row>
    <row r="538" spans="1:33" s="137" customFormat="1" ht="13.5" x14ac:dyDescent="0.3">
      <c r="A538" s="367" t="s">
        <v>338</v>
      </c>
      <c r="B538" s="368"/>
      <c r="F538" s="137" t="s">
        <v>317</v>
      </c>
      <c r="I538" s="361">
        <v>0.10161676807926337</v>
      </c>
      <c r="N538" s="369"/>
      <c r="O538" s="362">
        <f>O537/SUM(O$511,O$516,O$521,O$526,O$531)</f>
        <v>0.12988762030089671</v>
      </c>
      <c r="P538" s="137">
        <f t="shared" ref="P538:X538" si="388">$I538</f>
        <v>0.10161676807926337</v>
      </c>
      <c r="Q538" s="137">
        <f t="shared" si="388"/>
        <v>0.10161676807926337</v>
      </c>
      <c r="R538" s="137">
        <f t="shared" si="388"/>
        <v>0.10161676807926337</v>
      </c>
      <c r="S538" s="137">
        <f t="shared" si="388"/>
        <v>0.10161676807926337</v>
      </c>
      <c r="T538" s="137">
        <f t="shared" si="388"/>
        <v>0.10161676807926337</v>
      </c>
      <c r="U538" s="137">
        <f t="shared" si="388"/>
        <v>0.10161676807926337</v>
      </c>
      <c r="V538" s="137">
        <f t="shared" si="388"/>
        <v>0.10161676807926337</v>
      </c>
      <c r="W538" s="137">
        <f t="shared" si="388"/>
        <v>0.10161676807926337</v>
      </c>
      <c r="X538" s="137">
        <f t="shared" si="388"/>
        <v>0.10161676807926337</v>
      </c>
      <c r="Y538" s="372">
        <f>Y537/SUM(Y$511,Y$516,Y$521,Y$526,Y$531)</f>
        <v>0.10161676807926337</v>
      </c>
      <c r="Z538" s="373">
        <f>Z537/SUM(Z$511,Z$516,Z$521,Z$526,Z$531)</f>
        <v>0.12100458139192255</v>
      </c>
      <c r="AA538" s="137">
        <f>$I538</f>
        <v>0.10161676807926337</v>
      </c>
      <c r="AB538" s="137">
        <f>$I538</f>
        <v>0.10161676807926337</v>
      </c>
      <c r="AC538" s="137">
        <f>$I538</f>
        <v>0.10161676807926337</v>
      </c>
      <c r="AD538" s="137">
        <f>$I538</f>
        <v>0.10161676807926337</v>
      </c>
      <c r="AE538" s="3"/>
      <c r="AF538" s="327"/>
      <c r="AG538" s="371"/>
    </row>
    <row r="539" spans="1:33" ht="13.5" x14ac:dyDescent="0.3">
      <c r="A539" s="360" t="s">
        <v>338</v>
      </c>
      <c r="B539" s="11"/>
      <c r="E539" s="3" t="s">
        <v>342</v>
      </c>
      <c r="I539" s="3"/>
      <c r="L539" s="16"/>
      <c r="M539" s="16"/>
      <c r="N539" s="15"/>
      <c r="O539" s="246">
        <v>0</v>
      </c>
      <c r="P539" s="16">
        <f t="shared" ref="P539:X539" si="389">SUM(P$511,P$516,P$521,P$526,P$531)*P540</f>
        <v>0</v>
      </c>
      <c r="Q539" s="16">
        <f t="shared" si="389"/>
        <v>0</v>
      </c>
      <c r="R539" s="16">
        <f t="shared" si="389"/>
        <v>0</v>
      </c>
      <c r="S539" s="16">
        <f t="shared" si="389"/>
        <v>0</v>
      </c>
      <c r="T539" s="16">
        <f t="shared" si="389"/>
        <v>0</v>
      </c>
      <c r="U539" s="16">
        <f t="shared" si="389"/>
        <v>0</v>
      </c>
      <c r="V539" s="16">
        <f t="shared" si="389"/>
        <v>0</v>
      </c>
      <c r="W539" s="16">
        <f t="shared" si="389"/>
        <v>0</v>
      </c>
      <c r="X539" s="16">
        <f t="shared" si="389"/>
        <v>0</v>
      </c>
      <c r="Y539" s="292">
        <f>SUM(P539:X539)</f>
        <v>0</v>
      </c>
      <c r="Z539" s="246">
        <f>SUM(O539,Y539)</f>
        <v>0</v>
      </c>
      <c r="AA539" s="16">
        <f>SUM(AA$511,AA$516,AA$521,AA$526,AA$531)*AA540</f>
        <v>0</v>
      </c>
      <c r="AB539" s="16">
        <f>SUM(AB$511,AB$516,AB$521,AB$526,AB$531)*AB540</f>
        <v>0</v>
      </c>
      <c r="AC539" s="16">
        <f>SUM(AC$511,AC$516,AC$521,AC$526,AC$531)*AC540</f>
        <v>0</v>
      </c>
      <c r="AD539" s="16">
        <f>SUM(AD$511,AD$516,AD$521,AD$526,AD$531)*AD540</f>
        <v>0</v>
      </c>
      <c r="AF539" s="327"/>
    </row>
    <row r="540" spans="1:33" s="137" customFormat="1" ht="13.5" x14ac:dyDescent="0.3">
      <c r="A540" s="367" t="s">
        <v>338</v>
      </c>
      <c r="B540" s="368"/>
      <c r="F540" s="137" t="s">
        <v>308</v>
      </c>
      <c r="I540" s="361">
        <v>0</v>
      </c>
      <c r="M540" s="363"/>
      <c r="N540" s="374"/>
      <c r="O540" s="362">
        <v>0</v>
      </c>
      <c r="P540" s="363">
        <f t="shared" ref="P540:X540" si="390">$I540</f>
        <v>0</v>
      </c>
      <c r="Q540" s="363">
        <f t="shared" si="390"/>
        <v>0</v>
      </c>
      <c r="R540" s="363">
        <f t="shared" si="390"/>
        <v>0</v>
      </c>
      <c r="S540" s="363">
        <f t="shared" si="390"/>
        <v>0</v>
      </c>
      <c r="T540" s="363">
        <f t="shared" si="390"/>
        <v>0</v>
      </c>
      <c r="U540" s="363">
        <f t="shared" si="390"/>
        <v>0</v>
      </c>
      <c r="V540" s="363">
        <f t="shared" si="390"/>
        <v>0</v>
      </c>
      <c r="W540" s="363">
        <f t="shared" si="390"/>
        <v>0</v>
      </c>
      <c r="X540" s="363">
        <f t="shared" si="390"/>
        <v>0</v>
      </c>
      <c r="Y540" s="364">
        <v>0</v>
      </c>
      <c r="Z540" s="362">
        <v>0</v>
      </c>
      <c r="AA540" s="363">
        <f>$I540</f>
        <v>0</v>
      </c>
      <c r="AB540" s="137">
        <f>$I540</f>
        <v>0</v>
      </c>
      <c r="AC540" s="137">
        <f>$I540</f>
        <v>0</v>
      </c>
      <c r="AD540" s="137">
        <f>$I540</f>
        <v>0</v>
      </c>
      <c r="AE540" s="3"/>
      <c r="AF540" s="327"/>
      <c r="AG540" s="371"/>
    </row>
    <row r="541" spans="1:33" ht="13.5" x14ac:dyDescent="0.3">
      <c r="A541" s="360" t="s">
        <v>338</v>
      </c>
      <c r="B541" s="11"/>
      <c r="E541" s="3" t="s">
        <v>309</v>
      </c>
      <c r="I541" s="3"/>
      <c r="L541" s="16"/>
      <c r="M541" s="16"/>
      <c r="N541" s="15"/>
      <c r="O541" s="246">
        <v>393.51491700000003</v>
      </c>
      <c r="P541" s="16">
        <f t="shared" ref="P541:X541" si="391">SUM(P$511,P$516,P$521,P$526,P$531)*P542</f>
        <v>163.49171223807409</v>
      </c>
      <c r="Q541" s="16">
        <f t="shared" si="391"/>
        <v>163.49171223807409</v>
      </c>
      <c r="R541" s="16">
        <f t="shared" si="391"/>
        <v>142.94604622792988</v>
      </c>
      <c r="S541" s="16">
        <f t="shared" si="391"/>
        <v>0</v>
      </c>
      <c r="T541" s="16">
        <f t="shared" si="391"/>
        <v>81.18167298448428</v>
      </c>
      <c r="U541" s="16">
        <f t="shared" si="391"/>
        <v>0</v>
      </c>
      <c r="V541" s="16">
        <f t="shared" si="391"/>
        <v>0</v>
      </c>
      <c r="W541" s="16">
        <f t="shared" si="391"/>
        <v>79.690918119866495</v>
      </c>
      <c r="X541" s="16">
        <f t="shared" si="391"/>
        <v>0</v>
      </c>
      <c r="Y541" s="292">
        <f>SUM(P541:X541)</f>
        <v>630.8020618084289</v>
      </c>
      <c r="Z541" s="246">
        <f>SUM(O541,Y541)</f>
        <v>1024.316978808429</v>
      </c>
      <c r="AA541" s="16">
        <f>SUM(AA$511,AA$516,AA$521,AA$526,AA$531)*AA542</f>
        <v>1359.0024948504717</v>
      </c>
      <c r="AB541" s="16">
        <f>SUM(AB$511,AB$516,AB$521,AB$526,AB$531)*AB542</f>
        <v>1459.779994003321</v>
      </c>
      <c r="AC541" s="16">
        <f>SUM(AC$511,AC$516,AC$521,AC$526,AC$531)*AC542</f>
        <v>1996.600096994046</v>
      </c>
      <c r="AD541" s="16">
        <f>SUM(AD$511,AD$516,AD$521,AD$526,AD$531)*AD542</f>
        <v>2101.9929949125194</v>
      </c>
      <c r="AE541" s="151"/>
      <c r="AF541" s="327"/>
    </row>
    <row r="542" spans="1:33" s="137" customFormat="1" ht="13.5" x14ac:dyDescent="0.3">
      <c r="A542" s="367" t="s">
        <v>338</v>
      </c>
      <c r="B542" s="368"/>
      <c r="F542" s="137" t="s">
        <v>317</v>
      </c>
      <c r="I542" s="361">
        <v>1.0769479295676054</v>
      </c>
      <c r="M542" s="363"/>
      <c r="N542" s="374"/>
      <c r="O542" s="362">
        <f>O541/SUM(O$511,O$516,O$521,O$526,O$531)</f>
        <v>0.30781908048099677</v>
      </c>
      <c r="P542" s="363">
        <f t="shared" ref="P542:X542" si="392">$I542</f>
        <v>1.0769479295676054</v>
      </c>
      <c r="Q542" s="363">
        <f t="shared" si="392"/>
        <v>1.0769479295676054</v>
      </c>
      <c r="R542" s="363">
        <f t="shared" si="392"/>
        <v>1.0769479295676054</v>
      </c>
      <c r="S542" s="363">
        <f t="shared" si="392"/>
        <v>1.0769479295676054</v>
      </c>
      <c r="T542" s="363">
        <f t="shared" si="392"/>
        <v>1.0769479295676054</v>
      </c>
      <c r="U542" s="363">
        <f t="shared" si="392"/>
        <v>1.0769479295676054</v>
      </c>
      <c r="V542" s="363">
        <f t="shared" si="392"/>
        <v>1.0769479295676054</v>
      </c>
      <c r="W542" s="363">
        <f t="shared" si="392"/>
        <v>1.0769479295676054</v>
      </c>
      <c r="X542" s="363">
        <f t="shared" si="392"/>
        <v>1.0769479295676054</v>
      </c>
      <c r="Y542" s="364">
        <f>Y541/SUM(Y$511,Y$516,Y$521,Y$526,Y$531)</f>
        <v>1.0769479295676054</v>
      </c>
      <c r="Z542" s="362">
        <f>Z541/SUM(Z$511,Z$516,Z$521,Z$526,Z$531)</f>
        <v>0.54948853702545686</v>
      </c>
      <c r="AA542" s="363">
        <f>$I542</f>
        <v>1.0769479295676054</v>
      </c>
      <c r="AB542" s="137">
        <f>$I542</f>
        <v>1.0769479295676054</v>
      </c>
      <c r="AC542" s="137">
        <f>$I542</f>
        <v>1.0769479295676054</v>
      </c>
      <c r="AD542" s="137">
        <f>$I542</f>
        <v>1.0769479295676054</v>
      </c>
      <c r="AE542" s="370"/>
      <c r="AF542" s="327"/>
      <c r="AG542" s="371"/>
    </row>
    <row r="543" spans="1:33" ht="13.5" x14ac:dyDescent="0.3">
      <c r="A543" s="360" t="s">
        <v>338</v>
      </c>
      <c r="B543" s="11"/>
      <c r="E543" s="3" t="s">
        <v>310</v>
      </c>
      <c r="I543" s="3"/>
      <c r="L543" s="16"/>
      <c r="M543" s="16"/>
      <c r="N543" s="15"/>
      <c r="O543" s="246">
        <v>0</v>
      </c>
      <c r="P543" s="16">
        <f t="shared" ref="P543:X543" si="393">SUM(P$511,P$516,P$521,P$526,P$531)*P544</f>
        <v>0</v>
      </c>
      <c r="Q543" s="16">
        <f t="shared" si="393"/>
        <v>0</v>
      </c>
      <c r="R543" s="16">
        <f t="shared" si="393"/>
        <v>0</v>
      </c>
      <c r="S543" s="16">
        <f t="shared" si="393"/>
        <v>0</v>
      </c>
      <c r="T543" s="16">
        <f t="shared" si="393"/>
        <v>0</v>
      </c>
      <c r="U543" s="16">
        <f t="shared" si="393"/>
        <v>0</v>
      </c>
      <c r="V543" s="16">
        <f t="shared" si="393"/>
        <v>0</v>
      </c>
      <c r="W543" s="16">
        <f t="shared" si="393"/>
        <v>0</v>
      </c>
      <c r="X543" s="16">
        <f t="shared" si="393"/>
        <v>0</v>
      </c>
      <c r="Y543" s="292">
        <f>SUM(P543:X543)</f>
        <v>0</v>
      </c>
      <c r="Z543" s="246">
        <f>SUM(O543,Y543)</f>
        <v>0</v>
      </c>
      <c r="AA543" s="16">
        <f>SUM(AA$511,AA$516,AA$521,AA$526,AA$531)*AA544</f>
        <v>0</v>
      </c>
      <c r="AB543" s="16">
        <f>SUM(AB$511,AB$516,AB$521,AB$526,AB$531)*AB544</f>
        <v>0</v>
      </c>
      <c r="AC543" s="16">
        <f>SUM(AC$511,AC$516,AC$521,AC$526,AC$531)*AC544</f>
        <v>0</v>
      </c>
      <c r="AD543" s="16">
        <f>SUM(AD$511,AD$516,AD$521,AD$526,AD$531)*AD544</f>
        <v>0</v>
      </c>
      <c r="AE543" s="151"/>
      <c r="AF543" s="327"/>
    </row>
    <row r="544" spans="1:33" s="137" customFormat="1" ht="13.5" x14ac:dyDescent="0.3">
      <c r="A544" s="367" t="s">
        <v>338</v>
      </c>
      <c r="B544" s="368"/>
      <c r="F544" s="137" t="s">
        <v>317</v>
      </c>
      <c r="I544" s="361">
        <v>0</v>
      </c>
      <c r="N544" s="369"/>
      <c r="O544" s="362">
        <v>0</v>
      </c>
      <c r="P544" s="137">
        <f t="shared" ref="P544:X544" si="394">$I544</f>
        <v>0</v>
      </c>
      <c r="Q544" s="137">
        <f t="shared" si="394"/>
        <v>0</v>
      </c>
      <c r="R544" s="137">
        <f t="shared" si="394"/>
        <v>0</v>
      </c>
      <c r="S544" s="137">
        <f t="shared" si="394"/>
        <v>0</v>
      </c>
      <c r="T544" s="137">
        <f t="shared" si="394"/>
        <v>0</v>
      </c>
      <c r="U544" s="137">
        <f t="shared" si="394"/>
        <v>0</v>
      </c>
      <c r="V544" s="137">
        <f t="shared" si="394"/>
        <v>0</v>
      </c>
      <c r="W544" s="137">
        <f t="shared" si="394"/>
        <v>0</v>
      </c>
      <c r="X544" s="137">
        <f t="shared" si="394"/>
        <v>0</v>
      </c>
      <c r="Y544" s="372">
        <f>IFERROR(Y543/SUM(Y$21,Y$27,Y$33,Y$39,Y$45),)</f>
        <v>0</v>
      </c>
      <c r="Z544" s="373">
        <f>IFERROR(Z543/SUM(Z$21,Z$27,Z$33,Z$39,Z$45),)</f>
        <v>0</v>
      </c>
      <c r="AA544" s="137">
        <f>$I544</f>
        <v>0</v>
      </c>
      <c r="AB544" s="137">
        <f>$I544</f>
        <v>0</v>
      </c>
      <c r="AC544" s="137">
        <f>$I544</f>
        <v>0</v>
      </c>
      <c r="AD544" s="137">
        <f>$I544</f>
        <v>0</v>
      </c>
      <c r="AE544" s="370"/>
      <c r="AF544" s="327"/>
      <c r="AG544" s="371"/>
    </row>
    <row r="545" spans="1:32" ht="13.5" x14ac:dyDescent="0.3">
      <c r="A545" s="360" t="s">
        <v>338</v>
      </c>
      <c r="B545" s="11"/>
      <c r="E545" s="3" t="s">
        <v>311</v>
      </c>
      <c r="I545" s="137"/>
      <c r="L545" s="16"/>
      <c r="M545" s="16"/>
      <c r="N545" s="15"/>
      <c r="O545" s="246">
        <v>22.862398263897681</v>
      </c>
      <c r="P545" s="16">
        <f t="shared" ref="P545:X545" si="395">P546*P547</f>
        <v>1.15127264</v>
      </c>
      <c r="Q545" s="16">
        <f t="shared" si="395"/>
        <v>1.15127264</v>
      </c>
      <c r="R545" s="16">
        <f t="shared" si="395"/>
        <v>0.57563631999999998</v>
      </c>
      <c r="S545" s="16">
        <f t="shared" si="395"/>
        <v>0</v>
      </c>
      <c r="T545" s="16">
        <f t="shared" si="395"/>
        <v>0.57563631999999998</v>
      </c>
      <c r="U545" s="16">
        <f t="shared" si="395"/>
        <v>0</v>
      </c>
      <c r="V545" s="16">
        <f t="shared" si="395"/>
        <v>0</v>
      </c>
      <c r="W545" s="16">
        <f t="shared" si="395"/>
        <v>0.57563631999999998</v>
      </c>
      <c r="X545" s="16">
        <f t="shared" si="395"/>
        <v>0</v>
      </c>
      <c r="Y545" s="292">
        <f>SUM(P545:X545)</f>
        <v>4.0294542399999997</v>
      </c>
      <c r="Z545" s="246">
        <f>SUM(O545,Y545)</f>
        <v>26.891852503897681</v>
      </c>
      <c r="AA545" s="16">
        <f t="shared" ref="AA545:AD545" si="396">AA546*AA547</f>
        <v>9.9423905190399999</v>
      </c>
      <c r="AB545" s="16">
        <f t="shared" si="396"/>
        <v>10.737781760563202</v>
      </c>
      <c r="AC545" s="16">
        <f t="shared" si="396"/>
        <v>14.560432067323699</v>
      </c>
      <c r="AD545" s="16">
        <f t="shared" si="396"/>
        <v>15.440124838057839</v>
      </c>
      <c r="AE545" s="151"/>
      <c r="AF545" s="327"/>
    </row>
    <row r="546" spans="1:32" ht="13.5" x14ac:dyDescent="0.3">
      <c r="A546" s="360" t="s">
        <v>338</v>
      </c>
      <c r="B546" s="11"/>
      <c r="F546" s="3" t="s">
        <v>318</v>
      </c>
      <c r="L546" s="16"/>
      <c r="M546" s="16"/>
      <c r="N546" s="15"/>
      <c r="O546" s="246">
        <f>SUM(O513,O518,O523,O528,O533)</f>
        <v>15</v>
      </c>
      <c r="P546" s="16">
        <f t="shared" ref="P546:AD546" si="397">SUM(P513,P518,P523,P528,P533)</f>
        <v>2</v>
      </c>
      <c r="Q546" s="16">
        <f t="shared" si="397"/>
        <v>2</v>
      </c>
      <c r="R546" s="16">
        <f t="shared" si="397"/>
        <v>1</v>
      </c>
      <c r="S546" s="16">
        <f t="shared" si="397"/>
        <v>0</v>
      </c>
      <c r="T546" s="16">
        <f t="shared" si="397"/>
        <v>1</v>
      </c>
      <c r="U546" s="16">
        <f t="shared" si="397"/>
        <v>0</v>
      </c>
      <c r="V546" s="16">
        <f t="shared" si="397"/>
        <v>0</v>
      </c>
      <c r="W546" s="16">
        <f t="shared" si="397"/>
        <v>1</v>
      </c>
      <c r="X546" s="16">
        <f t="shared" si="397"/>
        <v>0</v>
      </c>
      <c r="Y546" s="292">
        <f t="shared" si="397"/>
        <v>7</v>
      </c>
      <c r="Z546" s="246">
        <f t="shared" si="397"/>
        <v>22</v>
      </c>
      <c r="AA546" s="16">
        <f t="shared" si="397"/>
        <v>17</v>
      </c>
      <c r="AB546" s="16">
        <f t="shared" si="397"/>
        <v>18</v>
      </c>
      <c r="AC546" s="16">
        <f t="shared" si="397"/>
        <v>24</v>
      </c>
      <c r="AD546" s="16">
        <f t="shared" si="397"/>
        <v>25</v>
      </c>
      <c r="AE546" s="23"/>
      <c r="AF546" s="327"/>
    </row>
    <row r="547" spans="1:32" ht="13.5" x14ac:dyDescent="0.3">
      <c r="A547" s="360" t="s">
        <v>338</v>
      </c>
      <c r="B547" s="11"/>
      <c r="F547" s="3" t="s">
        <v>319</v>
      </c>
      <c r="I547" s="365">
        <v>0.57563631999999998</v>
      </c>
      <c r="L547" s="16"/>
      <c r="M547" s="16"/>
      <c r="N547" s="15"/>
      <c r="O547" s="250">
        <f>O545/O546</f>
        <v>1.5241598842598454</v>
      </c>
      <c r="P547" s="247">
        <f t="shared" ref="P547:X547" si="398">$I547</f>
        <v>0.57563631999999998</v>
      </c>
      <c r="Q547" s="247">
        <f t="shared" si="398"/>
        <v>0.57563631999999998</v>
      </c>
      <c r="R547" s="247">
        <f t="shared" si="398"/>
        <v>0.57563631999999998</v>
      </c>
      <c r="S547" s="247">
        <f t="shared" si="398"/>
        <v>0.57563631999999998</v>
      </c>
      <c r="T547" s="247">
        <f t="shared" si="398"/>
        <v>0.57563631999999998</v>
      </c>
      <c r="U547" s="247">
        <f t="shared" si="398"/>
        <v>0.57563631999999998</v>
      </c>
      <c r="V547" s="247">
        <f t="shared" si="398"/>
        <v>0.57563631999999998</v>
      </c>
      <c r="W547" s="247">
        <f t="shared" si="398"/>
        <v>0.57563631999999998</v>
      </c>
      <c r="X547" s="247">
        <f t="shared" si="398"/>
        <v>0.57563631999999998</v>
      </c>
      <c r="Y547" s="366">
        <f>Y545/Y546</f>
        <v>0.57563631999999998</v>
      </c>
      <c r="Z547" s="250">
        <f>Z545/Z546</f>
        <v>1.2223569319953491</v>
      </c>
      <c r="AA547" s="16">
        <f>$I547*(1+'Key Assumption'!AB$13)</f>
        <v>0.58484650112000003</v>
      </c>
      <c r="AB547" s="16">
        <f>AA547*(1+'Key Assumption'!AC$13)</f>
        <v>0.59654343114240005</v>
      </c>
      <c r="AC547" s="16">
        <f>AB547*(1+'Key Assumption'!AD$13)</f>
        <v>0.60668466947182076</v>
      </c>
      <c r="AD547" s="16">
        <f>AC547*(1+'Key Assumption'!AE$13)</f>
        <v>0.61760499352231357</v>
      </c>
      <c r="AE547" s="23"/>
      <c r="AF547" s="327"/>
    </row>
    <row r="548" spans="1:32" ht="13.5" x14ac:dyDescent="0.3">
      <c r="A548" s="360" t="s">
        <v>338</v>
      </c>
      <c r="B548" s="11"/>
      <c r="E548" s="3" t="s">
        <v>343</v>
      </c>
      <c r="L548" s="16"/>
      <c r="M548" s="16"/>
      <c r="N548" s="15"/>
      <c r="O548" s="246">
        <v>0</v>
      </c>
      <c r="P548" s="16">
        <v>-7.494332399999962</v>
      </c>
      <c r="Q548" s="16">
        <v>-7.494332399999962</v>
      </c>
      <c r="R548" s="16">
        <v>-6.9014053999999883</v>
      </c>
      <c r="S548" s="16">
        <v>-3.440000000000027</v>
      </c>
      <c r="T548" s="16">
        <v>-5.4671661999999799</v>
      </c>
      <c r="U548" s="16">
        <v>-3.440000000000027</v>
      </c>
      <c r="V548" s="16">
        <v>-3.440000000000027</v>
      </c>
      <c r="W548" s="16">
        <v>-5.4671661999999799</v>
      </c>
      <c r="X548" s="16">
        <v>-3.440000000000027</v>
      </c>
      <c r="Y548" s="292">
        <f>SUM(P548:X548)</f>
        <v>-46.584402599999976</v>
      </c>
      <c r="Z548" s="246">
        <f>SUM(O548,Y548)</f>
        <v>-46.584402599999976</v>
      </c>
      <c r="AA548" s="119"/>
      <c r="AB548" s="119"/>
      <c r="AC548" s="119"/>
      <c r="AD548" s="119"/>
      <c r="AE548" s="151"/>
      <c r="AF548" s="327"/>
    </row>
    <row r="549" spans="1:32" ht="13.5" x14ac:dyDescent="0.3">
      <c r="A549" s="360" t="s">
        <v>338</v>
      </c>
      <c r="B549" s="65"/>
      <c r="C549" s="92"/>
      <c r="D549" s="92"/>
      <c r="E549" s="92" t="s">
        <v>105</v>
      </c>
      <c r="F549" s="92"/>
      <c r="G549" s="92"/>
      <c r="H549" s="92"/>
      <c r="I549" s="295"/>
      <c r="J549" s="92"/>
      <c r="K549" s="92"/>
      <c r="L549" s="130"/>
      <c r="M549" s="130"/>
      <c r="N549" s="131"/>
      <c r="O549" s="330">
        <v>0</v>
      </c>
      <c r="P549" s="130">
        <v>0</v>
      </c>
      <c r="Q549" s="130">
        <v>0</v>
      </c>
      <c r="R549" s="130">
        <v>0</v>
      </c>
      <c r="S549" s="130">
        <v>0</v>
      </c>
      <c r="T549" s="130">
        <v>0</v>
      </c>
      <c r="U549" s="130">
        <v>0</v>
      </c>
      <c r="V549" s="130">
        <v>0</v>
      </c>
      <c r="W549" s="130">
        <v>0</v>
      </c>
      <c r="X549" s="130">
        <v>0</v>
      </c>
      <c r="Y549" s="296">
        <f>SUM(P549:X549)</f>
        <v>0</v>
      </c>
      <c r="Z549" s="330">
        <f>SUM(O549,Y549)</f>
        <v>0</v>
      </c>
      <c r="AA549" s="281"/>
      <c r="AB549" s="281"/>
      <c r="AC549" s="281"/>
      <c r="AD549" s="281"/>
      <c r="AE549" s="151"/>
      <c r="AF549" s="327"/>
    </row>
    <row r="550" spans="1:32" ht="13.5" x14ac:dyDescent="0.3">
      <c r="A550" s="360"/>
      <c r="N550" s="16"/>
      <c r="O550" s="16"/>
      <c r="P550" s="16"/>
      <c r="Q550" s="16"/>
      <c r="R550" s="16"/>
      <c r="S550" s="16"/>
      <c r="T550" s="16"/>
      <c r="U550" s="16"/>
      <c r="V550" s="16"/>
      <c r="W550" s="16"/>
      <c r="X550" s="16"/>
      <c r="Y550" s="16"/>
      <c r="Z550" s="16"/>
      <c r="AA550" s="16"/>
      <c r="AE550" s="23"/>
    </row>
    <row r="551" spans="1:32" x14ac:dyDescent="0.3">
      <c r="B551" s="8"/>
      <c r="C551" s="8"/>
      <c r="D551" s="8"/>
      <c r="E551" s="8"/>
      <c r="F551" s="8"/>
      <c r="G551" s="8"/>
      <c r="H551" s="8"/>
      <c r="I551" s="325"/>
      <c r="J551" s="8"/>
      <c r="K551" s="8"/>
      <c r="L551" s="9" t="s">
        <v>182</v>
      </c>
      <c r="M551" s="9" t="s">
        <v>183</v>
      </c>
      <c r="N551" s="10" t="s">
        <v>184</v>
      </c>
      <c r="O551" s="244" t="s">
        <v>293</v>
      </c>
      <c r="P551" s="9" t="s">
        <v>215</v>
      </c>
      <c r="Q551" s="9" t="s">
        <v>216</v>
      </c>
      <c r="R551" s="9" t="s">
        <v>217</v>
      </c>
      <c r="S551" s="9" t="s">
        <v>218</v>
      </c>
      <c r="T551" s="9" t="s">
        <v>219</v>
      </c>
      <c r="U551" s="9" t="s">
        <v>220</v>
      </c>
      <c r="V551" s="9" t="s">
        <v>221</v>
      </c>
      <c r="W551" s="9" t="s">
        <v>222</v>
      </c>
      <c r="X551" s="9" t="s">
        <v>223</v>
      </c>
      <c r="Y551" s="244" t="s">
        <v>294</v>
      </c>
      <c r="Z551" s="244" t="s">
        <v>197</v>
      </c>
      <c r="AA551" s="9" t="s">
        <v>198</v>
      </c>
      <c r="AB551" s="9" t="s">
        <v>199</v>
      </c>
      <c r="AC551" s="9" t="s">
        <v>200</v>
      </c>
      <c r="AD551" s="9" t="s">
        <v>201</v>
      </c>
    </row>
    <row r="552" spans="1:32" x14ac:dyDescent="0.3">
      <c r="B552" s="11" t="s">
        <v>333</v>
      </c>
      <c r="L552" s="16"/>
      <c r="M552" s="16"/>
      <c r="N552" s="15"/>
      <c r="O552" s="246"/>
      <c r="P552" s="16"/>
      <c r="Q552" s="16"/>
      <c r="R552" s="16"/>
      <c r="S552" s="16"/>
      <c r="T552" s="16"/>
      <c r="U552" s="16"/>
      <c r="V552" s="16"/>
      <c r="W552" s="16"/>
      <c r="X552" s="16"/>
      <c r="Y552" s="246"/>
      <c r="Z552" s="246"/>
      <c r="AA552" s="16"/>
      <c r="AB552" s="16"/>
      <c r="AC552" s="16"/>
      <c r="AD552" s="16"/>
    </row>
    <row r="553" spans="1:32" x14ac:dyDescent="0.3">
      <c r="C553" s="3" t="s">
        <v>344</v>
      </c>
      <c r="N553" s="15"/>
      <c r="O553" s="246">
        <f>'Key Assumption'!Q35</f>
        <v>1330.6</v>
      </c>
      <c r="P553" s="16">
        <f>'Key Assumption'!R35</f>
        <v>1308.5999999999999</v>
      </c>
      <c r="Q553" s="16">
        <f>'Key Assumption'!S35</f>
        <v>1308.5999999999999</v>
      </c>
      <c r="R553" s="16">
        <f>'Key Assumption'!T35</f>
        <v>1308.5999999999999</v>
      </c>
      <c r="S553" s="16">
        <f>'Key Assumption'!U35</f>
        <v>1289.8</v>
      </c>
      <c r="T553" s="16">
        <f>'Key Assumption'!V35</f>
        <v>1289.8</v>
      </c>
      <c r="U553" s="16">
        <f>'Key Assumption'!W35</f>
        <v>1289.8</v>
      </c>
      <c r="V553" s="16">
        <f>'Key Assumption'!X35</f>
        <v>1259.9000000000001</v>
      </c>
      <c r="W553" s="16">
        <f>'Key Assumption'!Y35</f>
        <v>1259.9000000000001</v>
      </c>
      <c r="X553" s="16">
        <f>'Key Assumption'!Z35</f>
        <v>1259.9000000000001</v>
      </c>
      <c r="Y553" s="246">
        <f>AVERAGE(P553:X553)</f>
        <v>1286.0999999999999</v>
      </c>
      <c r="Z553" s="246">
        <f>'Key Assumption'!AA35</f>
        <v>1289.2</v>
      </c>
      <c r="AA553" s="16">
        <f>'Key Assumption'!AB35</f>
        <v>1214.2</v>
      </c>
      <c r="AB553" s="16">
        <f>'Key Assumption'!AC35</f>
        <v>1201.8</v>
      </c>
      <c r="AC553" s="16">
        <f>'Key Assumption'!AD35</f>
        <v>1199.3</v>
      </c>
      <c r="AD553" s="16">
        <f>'Key Assumption'!AE35</f>
        <v>1212</v>
      </c>
    </row>
    <row r="554" spans="1:32" x14ac:dyDescent="0.3">
      <c r="C554" s="3" t="s">
        <v>345</v>
      </c>
      <c r="N554" s="15"/>
      <c r="O554" s="246">
        <f>'Key Assumption'!Q41</f>
        <v>1444.7339847991311</v>
      </c>
      <c r="P554" s="16">
        <f>'Key Assumption'!R41</f>
        <v>1426.4224983649444</v>
      </c>
      <c r="Q554" s="16">
        <f>'Key Assumption'!S41</f>
        <v>1426.4224983649444</v>
      </c>
      <c r="R554" s="16">
        <f>'Key Assumption'!T41</f>
        <v>1426.4224983649444</v>
      </c>
      <c r="S554" s="16">
        <f>'Key Assumption'!U41</f>
        <v>1431.6794316794317</v>
      </c>
      <c r="T554" s="16">
        <f>'Key Assumption'!V41</f>
        <v>1431.6794316794317</v>
      </c>
      <c r="U554" s="16">
        <f>'Key Assumption'!W41</f>
        <v>1431.6794316794317</v>
      </c>
      <c r="V554" s="16">
        <f>'Key Assumption'!X41</f>
        <v>1398.4903984903985</v>
      </c>
      <c r="W554" s="16">
        <f>'Key Assumption'!Y41</f>
        <v>1398.4903984903985</v>
      </c>
      <c r="X554" s="16">
        <f>'Key Assumption'!Z41</f>
        <v>1398.4903984903985</v>
      </c>
      <c r="Y554" s="246">
        <f>AVERAGE(P554:X554)</f>
        <v>1418.8641095115911</v>
      </c>
      <c r="Z554" s="246">
        <f>'Key Assumption'!AA41</f>
        <v>1418.1058189418106</v>
      </c>
      <c r="AA554" s="16">
        <f>'Key Assumption'!AB41</f>
        <v>1381.1853031509499</v>
      </c>
      <c r="AB554" s="16">
        <f>'Key Assumption'!AC41</f>
        <v>1388.080388080388</v>
      </c>
      <c r="AC554" s="16">
        <f>'Key Assumption'!AD41</f>
        <v>1397.1342031686859</v>
      </c>
      <c r="AD554" s="16">
        <f>'Key Assumption'!AE41</f>
        <v>1418.041418041418</v>
      </c>
    </row>
    <row r="555" spans="1:32" x14ac:dyDescent="0.3">
      <c r="B555" s="92"/>
      <c r="C555" s="92" t="s">
        <v>229</v>
      </c>
      <c r="D555" s="92"/>
      <c r="E555" s="92"/>
      <c r="F555" s="92"/>
      <c r="G555" s="92"/>
      <c r="H555" s="92"/>
      <c r="I555" s="295"/>
      <c r="J555" s="92"/>
      <c r="K555" s="92"/>
      <c r="L555" s="92"/>
      <c r="M555" s="92"/>
      <c r="N555" s="131"/>
      <c r="O555" s="330">
        <f>'Key Assumption'!Q44</f>
        <v>185.26872737399052</v>
      </c>
      <c r="P555" s="130">
        <f>'Key Assumption'!R44</f>
        <v>182.15478841870822</v>
      </c>
      <c r="Q555" s="130">
        <f>'Key Assumption'!S44</f>
        <v>182.15478841870822</v>
      </c>
      <c r="R555" s="130">
        <f>'Key Assumption'!T44</f>
        <v>182.15478841870822</v>
      </c>
      <c r="S555" s="130">
        <f>'Key Assumption'!U44</f>
        <v>180.89761570827488</v>
      </c>
      <c r="T555" s="130">
        <f>'Key Assumption'!V44</f>
        <v>180.89761570827488</v>
      </c>
      <c r="U555" s="130">
        <f>'Key Assumption'!W44</f>
        <v>180.89761570827488</v>
      </c>
      <c r="V555" s="130">
        <f>'Key Assumption'!X44</f>
        <v>177.57575757575759</v>
      </c>
      <c r="W555" s="130">
        <f>'Key Assumption'!Y44</f>
        <v>177.57575757575759</v>
      </c>
      <c r="X555" s="130">
        <f>'Key Assumption'!Z44</f>
        <v>177.57575757575759</v>
      </c>
      <c r="Y555" s="330">
        <f>AVERAGE(P555:X555)</f>
        <v>180.20938723424686</v>
      </c>
      <c r="Z555" s="330">
        <f>'Key Assumption'!AA44</f>
        <v>182.27060653188181</v>
      </c>
      <c r="AA555" s="130">
        <f>'Key Assumption'!AB44</f>
        <v>174.00401261106336</v>
      </c>
      <c r="AB555" s="130">
        <f>'Key Assumption'!AC44</f>
        <v>175.7017543859649</v>
      </c>
      <c r="AC555" s="130">
        <f>'Key Assumption'!AD44</f>
        <v>177.80578206078576</v>
      </c>
      <c r="AD555" s="130">
        <f>'Key Assumption'!AE44</f>
        <v>178.68199911543564</v>
      </c>
    </row>
  </sheetData>
  <phoneticPr fontId="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4A6C0-BF28-489E-A3F2-167CB47518C5}">
  <sheetPr>
    <tabColor theme="8" tint="-0.249977111117893"/>
  </sheetPr>
  <dimension ref="A1:AD194"/>
  <sheetViews>
    <sheetView showGridLines="0" topLeftCell="A151" zoomScaleNormal="100" workbookViewId="0">
      <selection activeCell="AC145" sqref="AC145"/>
    </sheetView>
  </sheetViews>
  <sheetFormatPr defaultRowHeight="12" outlineLevelCol="1" x14ac:dyDescent="0.3"/>
  <cols>
    <col min="1" max="1" width="2.625" style="3" customWidth="1"/>
    <col min="2" max="6" width="1.625" style="3" customWidth="1"/>
    <col min="7" max="11" width="9" style="3"/>
    <col min="12" max="14" width="0" style="3" hidden="1" customWidth="1"/>
    <col min="15" max="25" width="10" style="3" customWidth="1" outlineLevel="1"/>
    <col min="26" max="30" width="10" style="3" customWidth="1"/>
    <col min="31" max="16384" width="9" style="3"/>
  </cols>
  <sheetData>
    <row r="1" spans="1:30" x14ac:dyDescent="0.3">
      <c r="A1" s="1" t="str">
        <f ca="1">MID(CELL("filename",A1),FIND("]",CELL("filename",A1))+1,255)</f>
        <v>COGS_HW</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spans="1:30" x14ac:dyDescent="0.3">
      <c r="O2" s="121"/>
    </row>
    <row r="3" spans="1:30" x14ac:dyDescent="0.3">
      <c r="A3" s="4"/>
      <c r="B3" s="161" t="s">
        <v>292</v>
      </c>
      <c r="C3" s="4"/>
      <c r="D3" s="4"/>
      <c r="E3" s="4"/>
      <c r="F3" s="4"/>
      <c r="G3" s="4"/>
      <c r="H3" s="4"/>
      <c r="I3" s="4"/>
      <c r="J3" s="4"/>
      <c r="K3" s="4"/>
      <c r="L3" s="4"/>
      <c r="M3" s="4"/>
      <c r="N3" s="4"/>
      <c r="O3" s="356"/>
      <c r="P3" s="4"/>
      <c r="Q3" s="4"/>
      <c r="R3" s="4"/>
      <c r="S3" s="4"/>
      <c r="T3" s="4"/>
      <c r="U3" s="4"/>
      <c r="V3" s="4"/>
      <c r="W3" s="4"/>
      <c r="X3" s="4"/>
      <c r="Y3" s="4"/>
      <c r="Z3" s="4"/>
      <c r="AA3" s="4"/>
      <c r="AB3" s="4"/>
      <c r="AC3" s="4"/>
      <c r="AD3" s="4"/>
    </row>
    <row r="4" spans="1:30" x14ac:dyDescent="0.3">
      <c r="O4" s="121"/>
      <c r="P4" s="16"/>
      <c r="AA4" s="17"/>
      <c r="AB4" s="17"/>
    </row>
    <row r="5" spans="1:30" x14ac:dyDescent="0.3">
      <c r="B5" s="8"/>
      <c r="C5" s="8"/>
      <c r="D5" s="8"/>
      <c r="E5" s="8"/>
      <c r="F5" s="8"/>
      <c r="G5" s="8"/>
      <c r="H5" s="8"/>
      <c r="I5" s="8"/>
      <c r="J5" s="8"/>
      <c r="K5" s="8"/>
      <c r="L5" s="9" t="s">
        <v>182</v>
      </c>
      <c r="M5" s="9" t="s">
        <v>183</v>
      </c>
      <c r="N5" s="10" t="s">
        <v>184</v>
      </c>
      <c r="O5" s="244" t="s">
        <v>293</v>
      </c>
      <c r="P5" s="9" t="s">
        <v>215</v>
      </c>
      <c r="Q5" s="9" t="s">
        <v>216</v>
      </c>
      <c r="R5" s="9" t="s">
        <v>217</v>
      </c>
      <c r="S5" s="9" t="s">
        <v>218</v>
      </c>
      <c r="T5" s="9" t="s">
        <v>219</v>
      </c>
      <c r="U5" s="9" t="s">
        <v>220</v>
      </c>
      <c r="V5" s="9" t="s">
        <v>221</v>
      </c>
      <c r="W5" s="9" t="s">
        <v>222</v>
      </c>
      <c r="X5" s="9" t="s">
        <v>223</v>
      </c>
      <c r="Y5" s="233" t="s">
        <v>294</v>
      </c>
      <c r="Z5" s="244" t="s">
        <v>197</v>
      </c>
      <c r="AA5" s="9" t="s">
        <v>198</v>
      </c>
      <c r="AB5" s="9" t="s">
        <v>199</v>
      </c>
      <c r="AC5" s="9" t="s">
        <v>200</v>
      </c>
      <c r="AD5" s="9" t="s">
        <v>201</v>
      </c>
    </row>
    <row r="6" spans="1:30" s="11" customFormat="1" x14ac:dyDescent="0.3">
      <c r="B6" s="11" t="s">
        <v>29</v>
      </c>
      <c r="L6" s="13"/>
      <c r="M6" s="13"/>
      <c r="N6" s="124"/>
      <c r="O6" s="326">
        <f t="shared" ref="O6:Y6" si="0">O8+O9+O10+O11+O12</f>
        <v>60294.781502187092</v>
      </c>
      <c r="P6" s="13">
        <f t="shared" si="0"/>
        <v>24038.464177589667</v>
      </c>
      <c r="Q6" s="13">
        <f t="shared" si="0"/>
        <v>22896.864067043214</v>
      </c>
      <c r="R6" s="13">
        <f t="shared" si="0"/>
        <v>23421.162145379472</v>
      </c>
      <c r="S6" s="13">
        <f t="shared" si="0"/>
        <v>21593.167318569689</v>
      </c>
      <c r="T6" s="13">
        <f t="shared" si="0"/>
        <v>22839.144993158621</v>
      </c>
      <c r="U6" s="13">
        <f t="shared" si="0"/>
        <v>22032.921863978307</v>
      </c>
      <c r="V6" s="13">
        <f t="shared" si="0"/>
        <v>22056.431497457052</v>
      </c>
      <c r="W6" s="13">
        <f t="shared" si="0"/>
        <v>21790.669491049117</v>
      </c>
      <c r="X6" s="13">
        <f t="shared" si="0"/>
        <v>20461.686482969377</v>
      </c>
      <c r="Y6" s="359">
        <f t="shared" si="0"/>
        <v>201130.51203719448</v>
      </c>
      <c r="Z6" s="326">
        <f>O6+Y6</f>
        <v>261425.29353938159</v>
      </c>
      <c r="AA6" s="13">
        <f>AA8+AA9+AA10+AA11+AA12</f>
        <v>238001.55847920338</v>
      </c>
      <c r="AB6" s="13">
        <f>AB8+AB9+AB10+AB11+AB12</f>
        <v>269199.44874648046</v>
      </c>
      <c r="AC6" s="13">
        <f>AC8+AC9+AC10+AC11+AC12</f>
        <v>298232.3206525459</v>
      </c>
      <c r="AD6" s="13">
        <f>AD8+AD9+AD10+AD11+AD12</f>
        <v>331122.79634165636</v>
      </c>
    </row>
    <row r="7" spans="1:30" s="45" customFormat="1" x14ac:dyDescent="0.3">
      <c r="C7" s="45" t="s">
        <v>346</v>
      </c>
      <c r="N7" s="375"/>
      <c r="O7" s="376">
        <f>O6/Revenue_HW!O$6</f>
        <v>0.79416652824344092</v>
      </c>
      <c r="P7" s="45">
        <f>P6/Revenue_HW!P$6</f>
        <v>0.77081488311951796</v>
      </c>
      <c r="Q7" s="45">
        <f>Q6/Revenue_HW!Q$6</f>
        <v>0.80655095114570596</v>
      </c>
      <c r="R7" s="45">
        <f>R6/Revenue_HW!R$6</f>
        <v>0.77459948023453917</v>
      </c>
      <c r="S7" s="45">
        <f>S6/Revenue_HW!S$6</f>
        <v>0.78513959915244314</v>
      </c>
      <c r="T7" s="45">
        <f>T6/Revenue_HW!T$6</f>
        <v>0.7747438735283364</v>
      </c>
      <c r="U7" s="45">
        <f>U6/Revenue_HW!U$6</f>
        <v>0.78604341543760237</v>
      </c>
      <c r="V7" s="45">
        <f>V6/Revenue_HW!V$6</f>
        <v>0.78868792496209961</v>
      </c>
      <c r="W7" s="45">
        <f>W6/Revenue_HW!W$6</f>
        <v>0.79104450258853098</v>
      </c>
      <c r="X7" s="45">
        <f>X6/Revenue_HW!X$6</f>
        <v>0.76950125868037567</v>
      </c>
      <c r="Y7" s="377">
        <f>Y6/Revenue_HW!Y$6</f>
        <v>0.78283288367776982</v>
      </c>
      <c r="Z7" s="376">
        <f>Z6/Revenue_HW!Z$6</f>
        <v>0.78541806504538303</v>
      </c>
      <c r="AA7" s="45">
        <f>AA6/Revenue_HW!AA$6</f>
        <v>0.75840277523284128</v>
      </c>
      <c r="AB7" s="45">
        <f>AB6/Revenue_HW!AB$6</f>
        <v>0.764675273974459</v>
      </c>
      <c r="AC7" s="45">
        <f>AC6/Revenue_HW!AC$6</f>
        <v>0.76814687288546257</v>
      </c>
      <c r="AD7" s="45">
        <f>AD6/Revenue_HW!AD$6</f>
        <v>0.76764803983891383</v>
      </c>
    </row>
    <row r="8" spans="1:30" x14ac:dyDescent="0.3">
      <c r="C8" s="3" t="s">
        <v>137</v>
      </c>
      <c r="L8" s="16"/>
      <c r="M8" s="16"/>
      <c r="N8" s="15"/>
      <c r="O8" s="246">
        <f>O32</f>
        <v>47973.787557000003</v>
      </c>
      <c r="P8" s="16">
        <f>P32</f>
        <v>20140.171530936437</v>
      </c>
      <c r="Q8" s="16">
        <f t="shared" ref="Q8:X8" si="1">Q32</f>
        <v>19108.708974959394</v>
      </c>
      <c r="R8" s="16">
        <f t="shared" si="1"/>
        <v>19633.007053295652</v>
      </c>
      <c r="S8" s="16">
        <f t="shared" si="1"/>
        <v>17923.313523439596</v>
      </c>
      <c r="T8" s="16">
        <f t="shared" si="1"/>
        <v>19427.089198028527</v>
      </c>
      <c r="U8" s="16">
        <f t="shared" si="1"/>
        <v>18552.650623417623</v>
      </c>
      <c r="V8" s="16">
        <f t="shared" si="1"/>
        <v>18560.157108419509</v>
      </c>
      <c r="W8" s="16">
        <f t="shared" si="1"/>
        <v>18504.499844395887</v>
      </c>
      <c r="X8" s="16">
        <f t="shared" si="1"/>
        <v>17186.066687839284</v>
      </c>
      <c r="Y8" s="292">
        <f>SUM(P8:X8)</f>
        <v>169035.66454473187</v>
      </c>
      <c r="Z8" s="246">
        <f>Z32</f>
        <v>217009.45210173185</v>
      </c>
      <c r="AA8" s="16">
        <f>AA32</f>
        <v>209141.78572211822</v>
      </c>
      <c r="AB8" s="16">
        <f>AB32</f>
        <v>239286.02630880426</v>
      </c>
      <c r="AC8" s="16">
        <f>AC32</f>
        <v>267408.85525115405</v>
      </c>
      <c r="AD8" s="16">
        <f>AD32</f>
        <v>299329.34227816702</v>
      </c>
    </row>
    <row r="9" spans="1:30" x14ac:dyDescent="0.3">
      <c r="C9" s="3" t="s">
        <v>138</v>
      </c>
      <c r="L9" s="16"/>
      <c r="M9" s="16"/>
      <c r="N9" s="15"/>
      <c r="O9" s="246">
        <f>O138</f>
        <v>9180.6026947879654</v>
      </c>
      <c r="P9" s="16">
        <f>P138</f>
        <v>2801.3940586402023</v>
      </c>
      <c r="Q9" s="16">
        <f t="shared" ref="Q9:X9" si="2">Q138</f>
        <v>2603.4190586402024</v>
      </c>
      <c r="R9" s="16">
        <f t="shared" si="2"/>
        <v>2603.4190586402024</v>
      </c>
      <c r="S9" s="16">
        <f t="shared" si="2"/>
        <v>2543.6760586402024</v>
      </c>
      <c r="T9" s="16">
        <f t="shared" si="2"/>
        <v>2285.8780586402022</v>
      </c>
      <c r="U9" s="16">
        <f t="shared" si="2"/>
        <v>2266.2560586402024</v>
      </c>
      <c r="V9" s="16">
        <f t="shared" si="2"/>
        <v>2252.9800586402021</v>
      </c>
      <c r="W9" s="16">
        <f t="shared" si="2"/>
        <v>2189.2710586402022</v>
      </c>
      <c r="X9" s="16">
        <f t="shared" si="2"/>
        <v>2149.4420586402025</v>
      </c>
      <c r="Y9" s="292">
        <f>SUM(P9:X9)</f>
        <v>21695.735527761819</v>
      </c>
      <c r="Z9" s="246">
        <f>Z138</f>
        <v>30876.338222549784</v>
      </c>
      <c r="AA9" s="16">
        <f>AA138</f>
        <v>22688.296449969679</v>
      </c>
      <c r="AB9" s="16">
        <f>AB138</f>
        <v>23618.516604418437</v>
      </c>
      <c r="AC9" s="16">
        <f>AC138</f>
        <v>24421.546168968664</v>
      </c>
      <c r="AD9" s="16">
        <f>AD138</f>
        <v>25276.300284882564</v>
      </c>
    </row>
    <row r="10" spans="1:30" x14ac:dyDescent="0.3">
      <c r="C10" s="3" t="s">
        <v>347</v>
      </c>
      <c r="L10" s="16"/>
      <c r="M10" s="16"/>
      <c r="N10" s="15"/>
      <c r="O10" s="246">
        <f>O150</f>
        <v>778.53828675285445</v>
      </c>
      <c r="P10" s="16">
        <f t="shared" ref="P10:X10" si="3">P150</f>
        <v>132.63645218454667</v>
      </c>
      <c r="Q10" s="16">
        <f t="shared" si="3"/>
        <v>220.4738976151346</v>
      </c>
      <c r="R10" s="16">
        <f t="shared" si="3"/>
        <v>220.4738976151346</v>
      </c>
      <c r="S10" s="16">
        <f t="shared" si="3"/>
        <v>161.91560066140931</v>
      </c>
      <c r="T10" s="16">
        <f t="shared" si="3"/>
        <v>161.91560066140931</v>
      </c>
      <c r="U10" s="16">
        <f t="shared" si="3"/>
        <v>249.75304609199725</v>
      </c>
      <c r="V10" s="16">
        <f t="shared" si="3"/>
        <v>279.03219456885984</v>
      </c>
      <c r="W10" s="16">
        <f t="shared" si="3"/>
        <v>132.63645218454667</v>
      </c>
      <c r="X10" s="16">
        <f t="shared" si="3"/>
        <v>161.91560066140931</v>
      </c>
      <c r="Y10" s="292">
        <f>SUM(P10:X10)</f>
        <v>1720.7527422444477</v>
      </c>
      <c r="Z10" s="246">
        <f>Z150</f>
        <v>2499.2910289973024</v>
      </c>
      <c r="AA10" s="16">
        <f>AA150</f>
        <v>189.2181121143559</v>
      </c>
      <c r="AB10" s="16">
        <f>AB150</f>
        <v>193.00247435664303</v>
      </c>
      <c r="AC10" s="16">
        <f>AC150</f>
        <v>196.28351642070595</v>
      </c>
      <c r="AD10" s="16">
        <f>AD150</f>
        <v>199.81661971627867</v>
      </c>
    </row>
    <row r="11" spans="1:30" x14ac:dyDescent="0.3">
      <c r="C11" s="3" t="s">
        <v>348</v>
      </c>
      <c r="L11" s="16"/>
      <c r="M11" s="16"/>
      <c r="N11" s="15"/>
      <c r="O11" s="246">
        <f>O167</f>
        <v>2361.8529636462708</v>
      </c>
      <c r="P11" s="16">
        <f t="shared" ref="P11:X11" si="4">P167</f>
        <v>964.26213582847981</v>
      </c>
      <c r="Q11" s="16">
        <f t="shared" si="4"/>
        <v>964.26213582847981</v>
      </c>
      <c r="R11" s="16">
        <f t="shared" si="4"/>
        <v>964.26213582847981</v>
      </c>
      <c r="S11" s="16">
        <f t="shared" si="4"/>
        <v>964.26213582847981</v>
      </c>
      <c r="T11" s="16">
        <f t="shared" si="4"/>
        <v>964.26213582847981</v>
      </c>
      <c r="U11" s="16">
        <f t="shared" si="4"/>
        <v>964.26213582847981</v>
      </c>
      <c r="V11" s="16">
        <f t="shared" si="4"/>
        <v>964.26213582847981</v>
      </c>
      <c r="W11" s="16">
        <f t="shared" si="4"/>
        <v>964.26213582847981</v>
      </c>
      <c r="X11" s="16">
        <f t="shared" si="4"/>
        <v>964.26213582847981</v>
      </c>
      <c r="Y11" s="292">
        <f>SUM(P11:X11)</f>
        <v>8678.3592224563181</v>
      </c>
      <c r="Z11" s="246">
        <f>Z167</f>
        <v>11040.21218610259</v>
      </c>
      <c r="AA11" s="16">
        <f>AA167</f>
        <v>5982.2581950011372</v>
      </c>
      <c r="AB11" s="16">
        <f>AB167</f>
        <v>6101.9033589011597</v>
      </c>
      <c r="AC11" s="16">
        <f>AC167</f>
        <v>6205.6357160024791</v>
      </c>
      <c r="AD11" s="16">
        <f>AD167</f>
        <v>6317.3371588905229</v>
      </c>
    </row>
    <row r="12" spans="1:30" x14ac:dyDescent="0.3">
      <c r="B12" s="92"/>
      <c r="C12" s="92" t="s">
        <v>349</v>
      </c>
      <c r="D12" s="92"/>
      <c r="E12" s="92"/>
      <c r="F12" s="92"/>
      <c r="G12" s="92"/>
      <c r="H12" s="92"/>
      <c r="I12" s="92"/>
      <c r="J12" s="92"/>
      <c r="K12" s="92"/>
      <c r="L12" s="130"/>
      <c r="M12" s="130"/>
      <c r="N12" s="131"/>
      <c r="O12" s="330">
        <v>0</v>
      </c>
      <c r="P12" s="130">
        <v>0</v>
      </c>
      <c r="Q12" s="130">
        <v>0</v>
      </c>
      <c r="R12" s="130">
        <v>0</v>
      </c>
      <c r="S12" s="130">
        <v>0</v>
      </c>
      <c r="T12" s="130">
        <v>0</v>
      </c>
      <c r="U12" s="130">
        <v>0</v>
      </c>
      <c r="V12" s="130">
        <v>0</v>
      </c>
      <c r="W12" s="130">
        <v>0</v>
      </c>
      <c r="X12" s="130">
        <v>0</v>
      </c>
      <c r="Y12" s="296">
        <f>SUM(P12:X12)</f>
        <v>0</v>
      </c>
      <c r="Z12" s="330">
        <f>Y12+O12</f>
        <v>0</v>
      </c>
      <c r="AA12" s="130"/>
      <c r="AB12" s="130"/>
      <c r="AC12" s="130"/>
      <c r="AD12" s="130"/>
    </row>
    <row r="13" spans="1:30" x14ac:dyDescent="0.3">
      <c r="Z13" s="121"/>
      <c r="AA13" s="121"/>
      <c r="AB13" s="121"/>
      <c r="AC13" s="121"/>
    </row>
    <row r="14" spans="1:30" x14ac:dyDescent="0.3">
      <c r="A14" s="4"/>
      <c r="B14" s="161" t="s">
        <v>350</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row>
    <row r="15" spans="1:30" x14ac:dyDescent="0.3">
      <c r="Y15" s="16"/>
      <c r="Z15" s="16"/>
      <c r="AA15" s="16"/>
      <c r="AB15" s="16"/>
      <c r="AC15" s="16"/>
      <c r="AD15" s="16"/>
    </row>
    <row r="16" spans="1:30" x14ac:dyDescent="0.3">
      <c r="B16" s="8"/>
      <c r="C16" s="8"/>
      <c r="D16" s="8"/>
      <c r="E16" s="8"/>
      <c r="F16" s="8"/>
      <c r="G16" s="8"/>
      <c r="H16" s="8"/>
      <c r="I16" s="8"/>
      <c r="J16" s="8"/>
      <c r="K16" s="8"/>
      <c r="L16" s="9" t="s">
        <v>182</v>
      </c>
      <c r="M16" s="9" t="s">
        <v>183</v>
      </c>
      <c r="N16" s="10" t="s">
        <v>184</v>
      </c>
      <c r="O16" s="244" t="s">
        <v>293</v>
      </c>
      <c r="P16" s="9" t="s">
        <v>215</v>
      </c>
      <c r="Q16" s="9" t="s">
        <v>216</v>
      </c>
      <c r="R16" s="9" t="s">
        <v>217</v>
      </c>
      <c r="S16" s="9" t="s">
        <v>218</v>
      </c>
      <c r="T16" s="9" t="s">
        <v>219</v>
      </c>
      <c r="U16" s="9" t="s">
        <v>220</v>
      </c>
      <c r="V16" s="9" t="s">
        <v>221</v>
      </c>
      <c r="W16" s="9" t="s">
        <v>222</v>
      </c>
      <c r="X16" s="9" t="s">
        <v>223</v>
      </c>
      <c r="Y16" s="233" t="s">
        <v>294</v>
      </c>
      <c r="Z16" s="244" t="s">
        <v>197</v>
      </c>
      <c r="AA16" s="9" t="s">
        <v>198</v>
      </c>
      <c r="AB16" s="9" t="s">
        <v>199</v>
      </c>
      <c r="AC16" s="9" t="s">
        <v>200</v>
      </c>
      <c r="AD16" s="9" t="s">
        <v>201</v>
      </c>
    </row>
    <row r="17" spans="2:30" x14ac:dyDescent="0.3">
      <c r="B17" s="11" t="s">
        <v>351</v>
      </c>
      <c r="C17" s="11"/>
      <c r="D17" s="11"/>
      <c r="E17" s="11"/>
      <c r="F17" s="11"/>
      <c r="G17" s="11"/>
      <c r="H17" s="11"/>
      <c r="I17" s="11"/>
      <c r="J17" s="11"/>
      <c r="K17" s="11"/>
      <c r="L17" s="13"/>
      <c r="M17" s="13"/>
      <c r="N17" s="124"/>
      <c r="O17" s="326">
        <f t="shared" ref="O17:AD17" si="5">SUM(O19:O24)</f>
        <v>47973.787557000003</v>
      </c>
      <c r="P17" s="13">
        <f t="shared" si="5"/>
        <v>20140.171530936437</v>
      </c>
      <c r="Q17" s="13">
        <f t="shared" si="5"/>
        <v>19108.708974959394</v>
      </c>
      <c r="R17" s="13">
        <f t="shared" si="5"/>
        <v>19633.007053295652</v>
      </c>
      <c r="S17" s="13">
        <f t="shared" si="5"/>
        <v>17923.313523439596</v>
      </c>
      <c r="T17" s="13">
        <f t="shared" si="5"/>
        <v>19427.089198028527</v>
      </c>
      <c r="U17" s="13">
        <f t="shared" si="5"/>
        <v>18552.650623417623</v>
      </c>
      <c r="V17" s="13">
        <f t="shared" si="5"/>
        <v>18560.157108419509</v>
      </c>
      <c r="W17" s="13">
        <f t="shared" si="5"/>
        <v>18504.499844395887</v>
      </c>
      <c r="X17" s="13">
        <f t="shared" si="5"/>
        <v>17186.066687839284</v>
      </c>
      <c r="Y17" s="359">
        <f t="shared" si="5"/>
        <v>169035.66454473193</v>
      </c>
      <c r="Z17" s="326">
        <f t="shared" si="5"/>
        <v>217009.45210173185</v>
      </c>
      <c r="AA17" s="378">
        <f t="shared" si="5"/>
        <v>209141.78572211822</v>
      </c>
      <c r="AB17" s="378">
        <f t="shared" si="5"/>
        <v>239286.02630880426</v>
      </c>
      <c r="AC17" s="378">
        <f t="shared" si="5"/>
        <v>267408.85525115405</v>
      </c>
      <c r="AD17" s="378">
        <f t="shared" si="5"/>
        <v>299329.34227816702</v>
      </c>
    </row>
    <row r="18" spans="2:30" s="162" customFormat="1" x14ac:dyDescent="0.3">
      <c r="B18" s="45"/>
      <c r="C18" s="45" t="s">
        <v>352</v>
      </c>
      <c r="D18" s="45"/>
      <c r="E18" s="45"/>
      <c r="F18" s="45"/>
      <c r="G18" s="45"/>
      <c r="H18" s="45"/>
      <c r="I18" s="45"/>
      <c r="J18" s="45"/>
      <c r="K18" s="45"/>
      <c r="L18" s="45"/>
      <c r="M18" s="45"/>
      <c r="N18" s="375"/>
      <c r="O18" s="376">
        <f>O17/Revenue_HW!O6</f>
        <v>0.63188182064229048</v>
      </c>
      <c r="P18" s="45">
        <f>P17/Revenue_HW!P6</f>
        <v>0.6458126380261302</v>
      </c>
      <c r="Q18" s="45">
        <f>Q17/Revenue_HW!Q6</f>
        <v>0.67311171319323093</v>
      </c>
      <c r="R18" s="45">
        <f>R17/Revenue_HW!R6</f>
        <v>0.64931522033478739</v>
      </c>
      <c r="S18" s="45">
        <f>S17/Revenue_HW!S6</f>
        <v>0.65170166968395737</v>
      </c>
      <c r="T18" s="45">
        <f>T17/Revenue_HW!T6</f>
        <v>0.65900095389602364</v>
      </c>
      <c r="U18" s="45">
        <f>U17/Revenue_HW!U6</f>
        <v>0.66188174911534781</v>
      </c>
      <c r="V18" s="45">
        <f>V17/Revenue_HW!V6</f>
        <v>0.66366908892300291</v>
      </c>
      <c r="W18" s="45">
        <f>W17/Revenue_HW!W6</f>
        <v>0.67175002957446761</v>
      </c>
      <c r="X18" s="45">
        <f>X17/Revenue_HW!X6</f>
        <v>0.64631524674490326</v>
      </c>
      <c r="Y18" s="377">
        <f>Y17/Revenue_HW!Y6</f>
        <v>0.65791448239076666</v>
      </c>
      <c r="Z18" s="376">
        <f>Z17/Revenue_HW!Z6</f>
        <v>0.65197648497858562</v>
      </c>
      <c r="AA18" s="45">
        <f>AA17/Revenue_HW!AA6</f>
        <v>0.66643979863966463</v>
      </c>
      <c r="AB18" s="45">
        <f>AB17/Revenue_HW!AB6</f>
        <v>0.67970461521361769</v>
      </c>
      <c r="AC18" s="45">
        <f>AC17/Revenue_HW!AC6</f>
        <v>0.68875591851885953</v>
      </c>
      <c r="AD18" s="45">
        <f>AD17/Revenue_HW!AD6</f>
        <v>0.6939406933161345</v>
      </c>
    </row>
    <row r="19" spans="2:30" x14ac:dyDescent="0.3">
      <c r="C19" s="3" t="s">
        <v>131</v>
      </c>
      <c r="L19" s="16"/>
      <c r="M19" s="16"/>
      <c r="N19" s="15"/>
      <c r="O19" s="246">
        <f t="shared" ref="O19:AD19" si="6">O34</f>
        <v>888.44947100000002</v>
      </c>
      <c r="P19" s="16">
        <f t="shared" si="6"/>
        <v>758.695939177029</v>
      </c>
      <c r="Q19" s="16">
        <f t="shared" si="6"/>
        <v>1574.1859313349537</v>
      </c>
      <c r="R19" s="16">
        <f t="shared" si="6"/>
        <v>1510.8504605300268</v>
      </c>
      <c r="S19" s="16">
        <f t="shared" si="6"/>
        <v>1096.4795299348216</v>
      </c>
      <c r="T19" s="16">
        <f t="shared" si="6"/>
        <v>687.11475593649288</v>
      </c>
      <c r="U19" s="16">
        <f t="shared" si="6"/>
        <v>1593.432296689984</v>
      </c>
      <c r="V19" s="16">
        <f t="shared" si="6"/>
        <v>1094.6293367344488</v>
      </c>
      <c r="W19" s="16">
        <f t="shared" si="6"/>
        <v>1850.6118855724742</v>
      </c>
      <c r="X19" s="16">
        <f t="shared" si="6"/>
        <v>614.26119627037383</v>
      </c>
      <c r="Y19" s="292">
        <f t="shared" si="6"/>
        <v>10780.261332180606</v>
      </c>
      <c r="Z19" s="246">
        <f t="shared" si="6"/>
        <v>11668.710803180604</v>
      </c>
      <c r="AA19" s="16">
        <f t="shared" si="6"/>
        <v>11709.154095327794</v>
      </c>
      <c r="AB19" s="16">
        <f t="shared" si="6"/>
        <v>14375.505519386348</v>
      </c>
      <c r="AC19" s="16">
        <f t="shared" si="6"/>
        <v>16039.240429245165</v>
      </c>
      <c r="AD19" s="16">
        <f t="shared" si="6"/>
        <v>20703.162673400926</v>
      </c>
    </row>
    <row r="20" spans="2:30" x14ac:dyDescent="0.3">
      <c r="C20" s="3" t="s">
        <v>132</v>
      </c>
      <c r="L20" s="16"/>
      <c r="M20" s="16"/>
      <c r="N20" s="15"/>
      <c r="O20" s="246">
        <f t="shared" ref="O20:AD20" si="7">O53</f>
        <v>20987.111396</v>
      </c>
      <c r="P20" s="16">
        <f t="shared" si="7"/>
        <v>8558.3551816273393</v>
      </c>
      <c r="Q20" s="16">
        <f t="shared" si="7"/>
        <v>7379.6595578104007</v>
      </c>
      <c r="R20" s="16">
        <f t="shared" si="7"/>
        <v>7635.8977369010399</v>
      </c>
      <c r="S20" s="16">
        <f t="shared" si="7"/>
        <v>7867.5948425302286</v>
      </c>
      <c r="T20" s="16">
        <f t="shared" si="7"/>
        <v>7712.3133653750265</v>
      </c>
      <c r="U20" s="16">
        <f t="shared" si="7"/>
        <v>7298.2294262944879</v>
      </c>
      <c r="V20" s="16">
        <f t="shared" si="7"/>
        <v>7978.0733600447893</v>
      </c>
      <c r="W20" s="16">
        <f t="shared" si="7"/>
        <v>7408.2109771844471</v>
      </c>
      <c r="X20" s="16">
        <f t="shared" si="7"/>
        <v>7252.7939636770807</v>
      </c>
      <c r="Y20" s="292">
        <f t="shared" si="7"/>
        <v>69091.128411444835</v>
      </c>
      <c r="Z20" s="246">
        <f t="shared" si="7"/>
        <v>90078.239807444828</v>
      </c>
      <c r="AA20" s="16">
        <f>AA53</f>
        <v>93503.776798704217</v>
      </c>
      <c r="AB20" s="16">
        <f t="shared" si="7"/>
        <v>105194.45820028245</v>
      </c>
      <c r="AC20" s="16">
        <f t="shared" si="7"/>
        <v>115097.27989721663</v>
      </c>
      <c r="AD20" s="16">
        <f t="shared" si="7"/>
        <v>123940.28461681465</v>
      </c>
    </row>
    <row r="21" spans="2:30" x14ac:dyDescent="0.3">
      <c r="C21" s="3" t="s">
        <v>133</v>
      </c>
      <c r="L21" s="16"/>
      <c r="M21" s="16"/>
      <c r="N21" s="15"/>
      <c r="O21" s="246">
        <f t="shared" ref="O21:AD21" si="8">O72</f>
        <v>12334.678900999996</v>
      </c>
      <c r="P21" s="16">
        <f t="shared" si="8"/>
        <v>4410.9624052757626</v>
      </c>
      <c r="Q21" s="16">
        <f t="shared" si="8"/>
        <v>4639.9544059928749</v>
      </c>
      <c r="R21" s="16">
        <f t="shared" si="8"/>
        <v>4582.8242027233773</v>
      </c>
      <c r="S21" s="16">
        <f t="shared" si="8"/>
        <v>4739.6508861162911</v>
      </c>
      <c r="T21" s="16">
        <f t="shared" si="8"/>
        <v>4623.4600973205124</v>
      </c>
      <c r="U21" s="16">
        <f t="shared" si="8"/>
        <v>3872.9980483651702</v>
      </c>
      <c r="V21" s="16">
        <f t="shared" si="8"/>
        <v>3991.5095410276463</v>
      </c>
      <c r="W21" s="16">
        <f t="shared" si="8"/>
        <v>3759.1834979027308</v>
      </c>
      <c r="X21" s="16">
        <f t="shared" si="8"/>
        <v>3701.3227364759832</v>
      </c>
      <c r="Y21" s="292">
        <f t="shared" si="8"/>
        <v>38321.86582120035</v>
      </c>
      <c r="Z21" s="246">
        <f t="shared" si="8"/>
        <v>50656.544722200342</v>
      </c>
      <c r="AA21" s="16">
        <f t="shared" si="8"/>
        <v>54146.236415306106</v>
      </c>
      <c r="AB21" s="16">
        <f t="shared" si="8"/>
        <v>65006.606913222335</v>
      </c>
      <c r="AC21" s="16">
        <f t="shared" si="8"/>
        <v>76368.200543442421</v>
      </c>
      <c r="AD21" s="16">
        <f t="shared" si="8"/>
        <v>88541.023866435266</v>
      </c>
    </row>
    <row r="22" spans="2:30" x14ac:dyDescent="0.3">
      <c r="C22" s="3" t="s">
        <v>134</v>
      </c>
      <c r="L22" s="16"/>
      <c r="M22" s="16"/>
      <c r="N22" s="15"/>
      <c r="O22" s="246">
        <f t="shared" ref="O22:AD22" si="9">O91</f>
        <v>1903.4060549999999</v>
      </c>
      <c r="P22" s="16">
        <f t="shared" si="9"/>
        <v>2103.6771300287301</v>
      </c>
      <c r="Q22" s="16">
        <f t="shared" si="9"/>
        <v>1679.0002832861044</v>
      </c>
      <c r="R22" s="16">
        <f t="shared" si="9"/>
        <v>2335.7226570844414</v>
      </c>
      <c r="S22" s="16">
        <f t="shared" si="9"/>
        <v>1282.0225668964194</v>
      </c>
      <c r="T22" s="16">
        <f t="shared" si="9"/>
        <v>2544.3380301084403</v>
      </c>
      <c r="U22" s="16">
        <f t="shared" si="9"/>
        <v>1883.6196429758322</v>
      </c>
      <c r="V22" s="16">
        <f t="shared" si="9"/>
        <v>1670.8879312850713</v>
      </c>
      <c r="W22" s="16">
        <f t="shared" si="9"/>
        <v>1904.3828023012034</v>
      </c>
      <c r="X22" s="16">
        <f t="shared" si="9"/>
        <v>2118.1705696329368</v>
      </c>
      <c r="Y22" s="292">
        <f t="shared" si="9"/>
        <v>17521.821613599179</v>
      </c>
      <c r="Z22" s="246">
        <f t="shared" si="9"/>
        <v>19425.227668599182</v>
      </c>
      <c r="AA22" s="16">
        <f t="shared" si="9"/>
        <v>22645.938507390132</v>
      </c>
      <c r="AB22" s="16">
        <f t="shared" si="9"/>
        <v>24218.674342414539</v>
      </c>
      <c r="AC22" s="16">
        <f t="shared" si="9"/>
        <v>26020.847021834656</v>
      </c>
      <c r="AD22" s="16">
        <f t="shared" si="9"/>
        <v>28573.831877165427</v>
      </c>
    </row>
    <row r="23" spans="2:30" x14ac:dyDescent="0.3">
      <c r="C23" s="3" t="s">
        <v>135</v>
      </c>
      <c r="L23" s="16"/>
      <c r="M23" s="16"/>
      <c r="N23" s="15"/>
      <c r="O23" s="246">
        <f t="shared" ref="O23:AD23" si="10">O110</f>
        <v>3220.1244069999998</v>
      </c>
      <c r="P23" s="16">
        <f t="shared" si="10"/>
        <v>1397.2488050141351</v>
      </c>
      <c r="Q23" s="16">
        <f t="shared" si="10"/>
        <v>1242.3270198198918</v>
      </c>
      <c r="R23" s="16">
        <f t="shared" si="10"/>
        <v>865.86086897459143</v>
      </c>
      <c r="S23" s="16">
        <f t="shared" si="10"/>
        <v>484.66595210922532</v>
      </c>
      <c r="T23" s="16">
        <f t="shared" si="10"/>
        <v>1150.3065690172318</v>
      </c>
      <c r="U23" s="16">
        <f t="shared" si="10"/>
        <v>1398.3125228833965</v>
      </c>
      <c r="V23" s="16">
        <f t="shared" si="10"/>
        <v>1293.305295580963</v>
      </c>
      <c r="W23" s="16">
        <f t="shared" si="10"/>
        <v>1082.5235560810813</v>
      </c>
      <c r="X23" s="16">
        <f t="shared" si="10"/>
        <v>1151.6726954064559</v>
      </c>
      <c r="Y23" s="292">
        <f t="shared" si="10"/>
        <v>10066.223284886972</v>
      </c>
      <c r="Z23" s="246">
        <f t="shared" si="10"/>
        <v>13286.347691886971</v>
      </c>
      <c r="AA23" s="16">
        <f t="shared" si="10"/>
        <v>0</v>
      </c>
      <c r="AB23" s="16">
        <f t="shared" si="10"/>
        <v>0</v>
      </c>
      <c r="AC23" s="16">
        <f t="shared" si="10"/>
        <v>0</v>
      </c>
      <c r="AD23" s="16">
        <f t="shared" si="10"/>
        <v>0</v>
      </c>
    </row>
    <row r="24" spans="2:30" x14ac:dyDescent="0.3">
      <c r="C24" s="3" t="s">
        <v>136</v>
      </c>
      <c r="L24" s="16"/>
      <c r="M24" s="16"/>
      <c r="N24" s="15"/>
      <c r="O24" s="246">
        <f t="shared" ref="O24:AD24" si="11">O129</f>
        <v>8640.0173269999996</v>
      </c>
      <c r="P24" s="16">
        <f t="shared" si="11"/>
        <v>2911.2320698134408</v>
      </c>
      <c r="Q24" s="16">
        <f t="shared" si="11"/>
        <v>2593.581776715168</v>
      </c>
      <c r="R24" s="16">
        <f t="shared" si="11"/>
        <v>2701.8511270821764</v>
      </c>
      <c r="S24" s="16">
        <f t="shared" si="11"/>
        <v>2452.8997458526119</v>
      </c>
      <c r="T24" s="16">
        <f t="shared" si="11"/>
        <v>2709.5563802708225</v>
      </c>
      <c r="U24" s="16">
        <f t="shared" si="11"/>
        <v>2506.0586862087521</v>
      </c>
      <c r="V24" s="16">
        <f t="shared" si="11"/>
        <v>2531.7516437465893</v>
      </c>
      <c r="W24" s="16">
        <f t="shared" si="11"/>
        <v>2499.5871253539485</v>
      </c>
      <c r="X24" s="16">
        <f t="shared" si="11"/>
        <v>2347.8455263764549</v>
      </c>
      <c r="Y24" s="292">
        <f t="shared" si="11"/>
        <v>23254.364081419964</v>
      </c>
      <c r="Z24" s="246">
        <f t="shared" si="11"/>
        <v>31894.381408419962</v>
      </c>
      <c r="AA24" s="16">
        <f t="shared" si="11"/>
        <v>27136.679905389989</v>
      </c>
      <c r="AB24" s="16">
        <f t="shared" si="11"/>
        <v>30490.781333498562</v>
      </c>
      <c r="AC24" s="16">
        <f t="shared" si="11"/>
        <v>33883.287359415204</v>
      </c>
      <c r="AD24" s="16">
        <f t="shared" si="11"/>
        <v>37571.039244350752</v>
      </c>
    </row>
    <row r="25" spans="2:30" s="11" customFormat="1" x14ac:dyDescent="0.3">
      <c r="B25" s="11" t="s">
        <v>353</v>
      </c>
      <c r="L25" s="13"/>
      <c r="M25" s="13"/>
      <c r="N25" s="124"/>
      <c r="O25" s="326">
        <f t="shared" ref="O25:AD25" si="12">O26+O29</f>
        <v>47973.787556999989</v>
      </c>
      <c r="P25" s="13">
        <f t="shared" si="12"/>
        <v>20140.171530936437</v>
      </c>
      <c r="Q25" s="13">
        <f t="shared" si="12"/>
        <v>19108.708974959394</v>
      </c>
      <c r="R25" s="13">
        <f t="shared" si="12"/>
        <v>19633.007053295652</v>
      </c>
      <c r="S25" s="13">
        <f t="shared" si="12"/>
        <v>17923.3135234396</v>
      </c>
      <c r="T25" s="13">
        <f t="shared" si="12"/>
        <v>19427.089198028527</v>
      </c>
      <c r="U25" s="13">
        <f t="shared" si="12"/>
        <v>18552.650623417623</v>
      </c>
      <c r="V25" s="13">
        <f t="shared" si="12"/>
        <v>18560.157108419509</v>
      </c>
      <c r="W25" s="13">
        <f t="shared" si="12"/>
        <v>18504.499844395883</v>
      </c>
      <c r="X25" s="13">
        <f t="shared" si="12"/>
        <v>17186.066687839284</v>
      </c>
      <c r="Y25" s="359">
        <f t="shared" si="12"/>
        <v>169035.66454473193</v>
      </c>
      <c r="Z25" s="326">
        <f t="shared" si="12"/>
        <v>217009.45210173191</v>
      </c>
      <c r="AA25" s="13">
        <f t="shared" si="12"/>
        <v>209141.78572211822</v>
      </c>
      <c r="AB25" s="13">
        <f t="shared" si="12"/>
        <v>239286.02630880423</v>
      </c>
      <c r="AC25" s="13">
        <f t="shared" si="12"/>
        <v>267408.85525115405</v>
      </c>
      <c r="AD25" s="13">
        <f t="shared" si="12"/>
        <v>299329.34227816702</v>
      </c>
    </row>
    <row r="26" spans="2:30" x14ac:dyDescent="0.3">
      <c r="C26" s="3" t="s">
        <v>354</v>
      </c>
      <c r="L26" s="16"/>
      <c r="M26" s="16"/>
      <c r="N26" s="15"/>
      <c r="O26" s="246">
        <f t="shared" ref="O26:AD26" si="13">SUM(O27:O28)</f>
        <v>30369.068622734321</v>
      </c>
      <c r="P26" s="16">
        <f t="shared" si="13"/>
        <v>12747.454340689554</v>
      </c>
      <c r="Q26" s="16">
        <f t="shared" si="13"/>
        <v>12154.693431758484</v>
      </c>
      <c r="R26" s="16">
        <f t="shared" si="13"/>
        <v>12641.558538093974</v>
      </c>
      <c r="S26" s="16">
        <f t="shared" si="13"/>
        <v>11059.285966531437</v>
      </c>
      <c r="T26" s="16">
        <f t="shared" si="13"/>
        <v>12550.293991246122</v>
      </c>
      <c r="U26" s="16">
        <f t="shared" si="13"/>
        <v>12080.619092929221</v>
      </c>
      <c r="V26" s="16">
        <f t="shared" si="13"/>
        <v>11769.255399759495</v>
      </c>
      <c r="W26" s="16">
        <f t="shared" si="13"/>
        <v>11900.073997339798</v>
      </c>
      <c r="X26" s="16">
        <f t="shared" si="13"/>
        <v>10989.887951913612</v>
      </c>
      <c r="Y26" s="292">
        <f t="shared" si="13"/>
        <v>107893.12271026171</v>
      </c>
      <c r="Z26" s="246">
        <f t="shared" si="13"/>
        <v>138262.19133299604</v>
      </c>
      <c r="AA26" s="16">
        <f t="shared" si="13"/>
        <v>121979.83446864157</v>
      </c>
      <c r="AB26" s="16">
        <f t="shared" si="13"/>
        <v>140652.36683460709</v>
      </c>
      <c r="AC26" s="16">
        <f t="shared" si="13"/>
        <v>157533.52146220513</v>
      </c>
      <c r="AD26" s="16">
        <f t="shared" si="13"/>
        <v>177027.13545904262</v>
      </c>
    </row>
    <row r="27" spans="2:30" x14ac:dyDescent="0.3">
      <c r="D27" s="3" t="s">
        <v>355</v>
      </c>
      <c r="L27" s="16"/>
      <c r="M27" s="16"/>
      <c r="N27" s="15"/>
      <c r="O27" s="246">
        <f t="shared" ref="O27:AD27" si="14">SUM(O36,O55,O74,O93,O112)</f>
        <v>7810.7323294169873</v>
      </c>
      <c r="P27" s="16">
        <f t="shared" si="14"/>
        <v>3644.0422915290833</v>
      </c>
      <c r="Q27" s="16">
        <f t="shared" si="14"/>
        <v>3410.5197869037988</v>
      </c>
      <c r="R27" s="16">
        <f t="shared" si="14"/>
        <v>3476.4935728708961</v>
      </c>
      <c r="S27" s="16">
        <f t="shared" si="14"/>
        <v>3331.7852155489277</v>
      </c>
      <c r="T27" s="16">
        <f t="shared" si="14"/>
        <v>3549.6451425464215</v>
      </c>
      <c r="U27" s="16">
        <f t="shared" si="14"/>
        <v>3616.9128691033684</v>
      </c>
      <c r="V27" s="16">
        <f t="shared" si="14"/>
        <v>3436.4263702823132</v>
      </c>
      <c r="W27" s="16">
        <f t="shared" si="14"/>
        <v>3426.7250124420889</v>
      </c>
      <c r="X27" s="16">
        <f t="shared" si="14"/>
        <v>3118.8613685168548</v>
      </c>
      <c r="Y27" s="292">
        <f t="shared" si="14"/>
        <v>31011.411629743758</v>
      </c>
      <c r="Z27" s="246">
        <f t="shared" si="14"/>
        <v>38822.143959160741</v>
      </c>
      <c r="AA27" s="16">
        <f t="shared" si="14"/>
        <v>42139.603573246117</v>
      </c>
      <c r="AB27" s="16">
        <f t="shared" si="14"/>
        <v>50923.508928641764</v>
      </c>
      <c r="AC27" s="16">
        <f t="shared" si="14"/>
        <v>57707.85795301196</v>
      </c>
      <c r="AD27" s="16">
        <f t="shared" si="14"/>
        <v>65197.825325484329</v>
      </c>
    </row>
    <row r="28" spans="2:30" x14ac:dyDescent="0.3">
      <c r="D28" s="3" t="s">
        <v>287</v>
      </c>
      <c r="L28" s="16"/>
      <c r="M28" s="16"/>
      <c r="N28" s="15"/>
      <c r="O28" s="246">
        <f t="shared" ref="O28:AD28" si="15">SUM(O47,O66,O85,O104,O123,O129)</f>
        <v>22558.336293317334</v>
      </c>
      <c r="P28" s="16">
        <f t="shared" si="15"/>
        <v>9103.4120491604699</v>
      </c>
      <c r="Q28" s="16">
        <f t="shared" si="15"/>
        <v>8744.1736448546853</v>
      </c>
      <c r="R28" s="16">
        <f t="shared" si="15"/>
        <v>9165.0649652230786</v>
      </c>
      <c r="S28" s="16">
        <f t="shared" si="15"/>
        <v>7727.5007509825091</v>
      </c>
      <c r="T28" s="16">
        <f t="shared" si="15"/>
        <v>9000.6488486997005</v>
      </c>
      <c r="U28" s="16">
        <f t="shared" si="15"/>
        <v>8463.7062238258513</v>
      </c>
      <c r="V28" s="16">
        <f t="shared" si="15"/>
        <v>8332.8290294771814</v>
      </c>
      <c r="W28" s="16">
        <f t="shared" si="15"/>
        <v>8473.3489848977097</v>
      </c>
      <c r="X28" s="16">
        <f t="shared" si="15"/>
        <v>7871.0265833967569</v>
      </c>
      <c r="Y28" s="292">
        <f t="shared" si="15"/>
        <v>76881.711080517955</v>
      </c>
      <c r="Z28" s="246">
        <f t="shared" si="15"/>
        <v>99440.047373835288</v>
      </c>
      <c r="AA28" s="16">
        <f t="shared" si="15"/>
        <v>79840.230895395449</v>
      </c>
      <c r="AB28" s="16">
        <f t="shared" si="15"/>
        <v>89728.857905965342</v>
      </c>
      <c r="AC28" s="16">
        <f t="shared" si="15"/>
        <v>99825.663509193168</v>
      </c>
      <c r="AD28" s="16">
        <f t="shared" si="15"/>
        <v>111829.31013355829</v>
      </c>
    </row>
    <row r="29" spans="2:30" x14ac:dyDescent="0.3">
      <c r="B29" s="92"/>
      <c r="C29" s="92" t="s">
        <v>288</v>
      </c>
      <c r="D29" s="92"/>
      <c r="E29" s="92"/>
      <c r="F29" s="92"/>
      <c r="G29" s="92"/>
      <c r="H29" s="92"/>
      <c r="I29" s="92"/>
      <c r="J29" s="92"/>
      <c r="K29" s="92"/>
      <c r="L29" s="130"/>
      <c r="M29" s="130"/>
      <c r="N29" s="131"/>
      <c r="O29" s="330">
        <f t="shared" ref="O29:AD29" si="16">SUM(O50,O69,O88,O107,O126)</f>
        <v>17604.718934265671</v>
      </c>
      <c r="P29" s="130">
        <f t="shared" si="16"/>
        <v>7392.7171902468835</v>
      </c>
      <c r="Q29" s="130">
        <f t="shared" si="16"/>
        <v>6954.0155432009096</v>
      </c>
      <c r="R29" s="130">
        <f t="shared" si="16"/>
        <v>6991.4485152016769</v>
      </c>
      <c r="S29" s="130">
        <f t="shared" si="16"/>
        <v>6864.0275569081614</v>
      </c>
      <c r="T29" s="130">
        <f t="shared" si="16"/>
        <v>6876.7952067824035</v>
      </c>
      <c r="U29" s="130">
        <f t="shared" si="16"/>
        <v>6472.0315304884034</v>
      </c>
      <c r="V29" s="130">
        <f t="shared" si="16"/>
        <v>6790.9017086600124</v>
      </c>
      <c r="W29" s="130">
        <f t="shared" si="16"/>
        <v>6604.4258470560872</v>
      </c>
      <c r="X29" s="130">
        <f t="shared" si="16"/>
        <v>6196.1787359256732</v>
      </c>
      <c r="Y29" s="296">
        <f t="shared" si="16"/>
        <v>61142.541834470212</v>
      </c>
      <c r="Z29" s="330">
        <f t="shared" si="16"/>
        <v>78747.260768735869</v>
      </c>
      <c r="AA29" s="130">
        <f t="shared" si="16"/>
        <v>87161.951253476669</v>
      </c>
      <c r="AB29" s="130">
        <f t="shared" si="16"/>
        <v>98633.65947419712</v>
      </c>
      <c r="AC29" s="130">
        <f t="shared" si="16"/>
        <v>109875.33378894895</v>
      </c>
      <c r="AD29" s="130">
        <f t="shared" si="16"/>
        <v>122302.20681912442</v>
      </c>
    </row>
    <row r="30" spans="2:30" x14ac:dyDescent="0.3">
      <c r="Y30" s="16"/>
      <c r="Z30" s="17"/>
      <c r="AA30" s="121"/>
      <c r="AB30" s="121"/>
      <c r="AC30" s="121"/>
      <c r="AD30" s="121"/>
    </row>
    <row r="31" spans="2:30" x14ac:dyDescent="0.3">
      <c r="B31" s="8"/>
      <c r="C31" s="8"/>
      <c r="D31" s="8"/>
      <c r="E31" s="8"/>
      <c r="F31" s="8"/>
      <c r="G31" s="8"/>
      <c r="H31" s="8"/>
      <c r="I31" s="8"/>
      <c r="J31" s="8"/>
      <c r="K31" s="8"/>
      <c r="L31" s="9" t="s">
        <v>182</v>
      </c>
      <c r="M31" s="9" t="s">
        <v>183</v>
      </c>
      <c r="N31" s="10" t="s">
        <v>184</v>
      </c>
      <c r="O31" s="244" t="s">
        <v>293</v>
      </c>
      <c r="P31" s="9" t="s">
        <v>215</v>
      </c>
      <c r="Q31" s="9" t="s">
        <v>216</v>
      </c>
      <c r="R31" s="9" t="s">
        <v>217</v>
      </c>
      <c r="S31" s="9" t="s">
        <v>218</v>
      </c>
      <c r="T31" s="9" t="s">
        <v>219</v>
      </c>
      <c r="U31" s="9" t="s">
        <v>220</v>
      </c>
      <c r="V31" s="9" t="s">
        <v>221</v>
      </c>
      <c r="W31" s="9" t="s">
        <v>222</v>
      </c>
      <c r="X31" s="9" t="s">
        <v>223</v>
      </c>
      <c r="Y31" s="233" t="s">
        <v>294</v>
      </c>
      <c r="Z31" s="244" t="s">
        <v>197</v>
      </c>
      <c r="AA31" s="9" t="s">
        <v>198</v>
      </c>
      <c r="AB31" s="9" t="s">
        <v>199</v>
      </c>
      <c r="AC31" s="9" t="s">
        <v>200</v>
      </c>
      <c r="AD31" s="9" t="s">
        <v>201</v>
      </c>
    </row>
    <row r="32" spans="2:30" s="11" customFormat="1" x14ac:dyDescent="0.3">
      <c r="B32" s="11" t="s">
        <v>137</v>
      </c>
      <c r="L32" s="13"/>
      <c r="M32" s="13"/>
      <c r="N32" s="124"/>
      <c r="O32" s="326">
        <f>O34+O53+O72+O91+O110+O129</f>
        <v>47973.787557000003</v>
      </c>
      <c r="P32" s="13">
        <f t="shared" ref="P32:AD32" si="17">P34+P53+P72+P91+P110+P129</f>
        <v>20140.171530936437</v>
      </c>
      <c r="Q32" s="13">
        <f t="shared" si="17"/>
        <v>19108.708974959394</v>
      </c>
      <c r="R32" s="13">
        <f t="shared" si="17"/>
        <v>19633.007053295652</v>
      </c>
      <c r="S32" s="13">
        <f t="shared" si="17"/>
        <v>17923.313523439596</v>
      </c>
      <c r="T32" s="13">
        <f t="shared" si="17"/>
        <v>19427.089198028527</v>
      </c>
      <c r="U32" s="13">
        <f t="shared" si="17"/>
        <v>18552.650623417623</v>
      </c>
      <c r="V32" s="13">
        <f t="shared" si="17"/>
        <v>18560.157108419509</v>
      </c>
      <c r="W32" s="13">
        <f t="shared" si="17"/>
        <v>18504.499844395887</v>
      </c>
      <c r="X32" s="13">
        <f t="shared" si="17"/>
        <v>17186.066687839284</v>
      </c>
      <c r="Y32" s="359">
        <f t="shared" si="17"/>
        <v>169035.66454473193</v>
      </c>
      <c r="Z32" s="326">
        <f t="shared" si="17"/>
        <v>217009.45210173185</v>
      </c>
      <c r="AA32" s="13">
        <f t="shared" si="17"/>
        <v>209141.78572211822</v>
      </c>
      <c r="AB32" s="13">
        <f t="shared" si="17"/>
        <v>239286.02630880426</v>
      </c>
      <c r="AC32" s="13">
        <f t="shared" si="17"/>
        <v>267408.85525115405</v>
      </c>
      <c r="AD32" s="13">
        <f t="shared" si="17"/>
        <v>299329.34227816702</v>
      </c>
    </row>
    <row r="33" spans="1:30" s="23" customFormat="1" x14ac:dyDescent="0.3">
      <c r="B33" s="23" t="s">
        <v>352</v>
      </c>
      <c r="L33" s="151"/>
      <c r="M33" s="151"/>
      <c r="N33" s="375"/>
      <c r="O33" s="376">
        <f>O32/Revenue_HW!O$6</f>
        <v>0.63188182064229048</v>
      </c>
      <c r="P33" s="45">
        <f>P32/Revenue_HW!P$6</f>
        <v>0.6458126380261302</v>
      </c>
      <c r="Q33" s="45">
        <f>Q32/Revenue_HW!Q$6</f>
        <v>0.67311171319323093</v>
      </c>
      <c r="R33" s="45">
        <f>R32/Revenue_HW!R$6</f>
        <v>0.64931522033478739</v>
      </c>
      <c r="S33" s="45">
        <f>S32/Revenue_HW!S$6</f>
        <v>0.65170166968395737</v>
      </c>
      <c r="T33" s="45">
        <f>T32/Revenue_HW!T$6</f>
        <v>0.65900095389602364</v>
      </c>
      <c r="U33" s="45">
        <f>U32/Revenue_HW!U$6</f>
        <v>0.66188174911534781</v>
      </c>
      <c r="V33" s="45">
        <f>V32/Revenue_HW!V$6</f>
        <v>0.66366908892300291</v>
      </c>
      <c r="W33" s="45">
        <f>W32/Revenue_HW!W$6</f>
        <v>0.67175002957446761</v>
      </c>
      <c r="X33" s="45">
        <f>X32/Revenue_HW!X$6</f>
        <v>0.64631524674490326</v>
      </c>
      <c r="Y33" s="377">
        <f>Y32/Revenue_HW!Y$6</f>
        <v>0.65791448239076666</v>
      </c>
      <c r="Z33" s="376">
        <f>Z32/Revenue_HW!Z$6</f>
        <v>0.65197648497858562</v>
      </c>
      <c r="AA33" s="45">
        <f>AA32/Revenue_HW!AA$6</f>
        <v>0.66643979863966463</v>
      </c>
      <c r="AB33" s="45">
        <f>AB32/Revenue_HW!AB$6</f>
        <v>0.67970461521361769</v>
      </c>
      <c r="AC33" s="45">
        <f>AC32/Revenue_HW!AC$6</f>
        <v>0.68875591851885953</v>
      </c>
      <c r="AD33" s="45">
        <f>AD32/Revenue_HW!AD$6</f>
        <v>0.6939406933161345</v>
      </c>
    </row>
    <row r="34" spans="1:30" x14ac:dyDescent="0.3">
      <c r="A34" s="338" t="s">
        <v>131</v>
      </c>
      <c r="B34" s="11"/>
      <c r="C34" s="3" t="s">
        <v>131</v>
      </c>
      <c r="L34" s="16"/>
      <c r="M34" s="16"/>
      <c r="N34" s="15"/>
      <c r="O34" s="246">
        <f t="shared" ref="O34:AD34" si="18">O35+O50</f>
        <v>888.44947100000002</v>
      </c>
      <c r="P34" s="16">
        <f t="shared" si="18"/>
        <v>758.695939177029</v>
      </c>
      <c r="Q34" s="16">
        <f t="shared" si="18"/>
        <v>1574.1859313349537</v>
      </c>
      <c r="R34" s="16">
        <f t="shared" si="18"/>
        <v>1510.8504605300268</v>
      </c>
      <c r="S34" s="16">
        <f t="shared" si="18"/>
        <v>1096.4795299348216</v>
      </c>
      <c r="T34" s="16">
        <f t="shared" si="18"/>
        <v>687.11475593649288</v>
      </c>
      <c r="U34" s="16">
        <f t="shared" si="18"/>
        <v>1593.432296689984</v>
      </c>
      <c r="V34" s="16">
        <f t="shared" si="18"/>
        <v>1094.6293367344488</v>
      </c>
      <c r="W34" s="16">
        <f t="shared" si="18"/>
        <v>1850.6118855724742</v>
      </c>
      <c r="X34" s="16">
        <f t="shared" si="18"/>
        <v>614.26119627037383</v>
      </c>
      <c r="Y34" s="292">
        <f t="shared" si="18"/>
        <v>10780.261332180606</v>
      </c>
      <c r="Z34" s="246">
        <f t="shared" si="18"/>
        <v>11668.710803180604</v>
      </c>
      <c r="AA34" s="16">
        <f t="shared" si="18"/>
        <v>11709.154095327794</v>
      </c>
      <c r="AB34" s="16">
        <f t="shared" si="18"/>
        <v>14375.505519386348</v>
      </c>
      <c r="AC34" s="16">
        <f t="shared" si="18"/>
        <v>16039.240429245165</v>
      </c>
      <c r="AD34" s="16">
        <f t="shared" si="18"/>
        <v>20703.162673400926</v>
      </c>
    </row>
    <row r="35" spans="1:30" x14ac:dyDescent="0.3">
      <c r="A35" s="338" t="s">
        <v>131</v>
      </c>
      <c r="B35" s="11"/>
      <c r="D35" s="3" t="s">
        <v>354</v>
      </c>
      <c r="L35" s="16"/>
      <c r="M35" s="16"/>
      <c r="N35" s="15"/>
      <c r="O35" s="246">
        <v>635.10758778029208</v>
      </c>
      <c r="P35" s="16">
        <f t="shared" ref="P35:AD35" si="19">P36+P47</f>
        <v>568.68952676224797</v>
      </c>
      <c r="Q35" s="16">
        <f t="shared" si="19"/>
        <v>1130.8376357004647</v>
      </c>
      <c r="R35" s="16">
        <f t="shared" si="19"/>
        <v>1130.8376357004647</v>
      </c>
      <c r="S35" s="16">
        <f t="shared" si="19"/>
        <v>779.80217591018663</v>
      </c>
      <c r="T35" s="16">
        <f t="shared" si="19"/>
        <v>497.10834352171184</v>
      </c>
      <c r="U35" s="16">
        <f t="shared" si="19"/>
        <v>1213.4194718604222</v>
      </c>
      <c r="V35" s="16">
        <f t="shared" si="19"/>
        <v>777.95198270981382</v>
      </c>
      <c r="W35" s="16">
        <f t="shared" si="19"/>
        <v>1343.9281191330583</v>
      </c>
      <c r="X35" s="16">
        <f t="shared" si="19"/>
        <v>424.2547838555929</v>
      </c>
      <c r="Y35" s="292">
        <f t="shared" si="19"/>
        <v>7866.8296751539629</v>
      </c>
      <c r="Z35" s="246">
        <f t="shared" si="19"/>
        <v>8501.9372629342542</v>
      </c>
      <c r="AA35" s="16">
        <f t="shared" si="19"/>
        <v>6939.5208780812782</v>
      </c>
      <c r="AB35" s="16">
        <f t="shared" si="19"/>
        <v>8496.8152930672986</v>
      </c>
      <c r="AC35" s="16">
        <f t="shared" si="19"/>
        <v>9475.7622333197614</v>
      </c>
      <c r="AD35" s="16">
        <f t="shared" si="19"/>
        <v>12206.780664072998</v>
      </c>
    </row>
    <row r="36" spans="1:30" x14ac:dyDescent="0.3">
      <c r="A36" s="338" t="s">
        <v>131</v>
      </c>
      <c r="B36" s="11"/>
      <c r="E36" s="3" t="s">
        <v>355</v>
      </c>
      <c r="L36" s="16"/>
      <c r="M36" s="16"/>
      <c r="N36" s="15"/>
      <c r="O36" s="246">
        <f>O37+O42</f>
        <v>145.9395476784689</v>
      </c>
      <c r="P36" s="16">
        <f t="shared" ref="P36:Y36" si="20">P37+P42</f>
        <v>201.81349668588061</v>
      </c>
      <c r="Q36" s="16">
        <f t="shared" si="20"/>
        <v>274.79356552227409</v>
      </c>
      <c r="R36" s="16">
        <f t="shared" si="20"/>
        <v>274.79356552227409</v>
      </c>
      <c r="S36" s="16">
        <f t="shared" si="20"/>
        <v>168.34212578290771</v>
      </c>
      <c r="T36" s="16">
        <f t="shared" si="20"/>
        <v>130.23231344534443</v>
      </c>
      <c r="U36" s="16">
        <f t="shared" si="20"/>
        <v>479.66741170768728</v>
      </c>
      <c r="V36" s="16">
        <f t="shared" si="20"/>
        <v>166.49193258253487</v>
      </c>
      <c r="W36" s="16">
        <f t="shared" si="20"/>
        <v>365.59203892941184</v>
      </c>
      <c r="X36" s="16">
        <f t="shared" si="20"/>
        <v>57.378753779225491</v>
      </c>
      <c r="Y36" s="292">
        <f t="shared" si="20"/>
        <v>2119.1052039575407</v>
      </c>
      <c r="Z36" s="246">
        <f>Z37+Z42</f>
        <v>2265.0447516360091</v>
      </c>
      <c r="AA36" s="16">
        <f>AA37+AA42</f>
        <v>2798.5808996284222</v>
      </c>
      <c r="AB36" s="16">
        <f>AB37+AB42</f>
        <v>3469.5620984787824</v>
      </c>
      <c r="AC36" s="16">
        <f>AC37+AC42</f>
        <v>3919.0305799747052</v>
      </c>
      <c r="AD36" s="16">
        <f>AD37+AD42</f>
        <v>5049.5916137527074</v>
      </c>
    </row>
    <row r="37" spans="1:30" x14ac:dyDescent="0.3">
      <c r="A37" s="338" t="s">
        <v>131</v>
      </c>
      <c r="B37" s="11"/>
      <c r="F37" s="3" t="s">
        <v>356</v>
      </c>
      <c r="L37" s="16"/>
      <c r="M37" s="16"/>
      <c r="N37" s="15"/>
      <c r="O37" s="246">
        <f>O38*O41/10^6</f>
        <v>53.186670030829212</v>
      </c>
      <c r="P37" s="16">
        <f t="shared" ref="P37:X37" si="21">P38*P41/10^6</f>
        <v>18.245017209098368</v>
      </c>
      <c r="Q37" s="16">
        <f t="shared" si="21"/>
        <v>91.22508604549185</v>
      </c>
      <c r="R37" s="16">
        <f t="shared" si="21"/>
        <v>91.22508604549185</v>
      </c>
      <c r="S37" s="16">
        <f t="shared" si="21"/>
        <v>76.219624675126582</v>
      </c>
      <c r="T37" s="16">
        <f t="shared" si="21"/>
        <v>38.109812337563291</v>
      </c>
      <c r="U37" s="16">
        <f t="shared" si="21"/>
        <v>19.054906168781645</v>
      </c>
      <c r="V37" s="16">
        <f t="shared" si="21"/>
        <v>76.505005038967326</v>
      </c>
      <c r="W37" s="16">
        <f t="shared" si="21"/>
        <v>95.631256298709161</v>
      </c>
      <c r="X37" s="16">
        <f t="shared" si="21"/>
        <v>57.378753779225491</v>
      </c>
      <c r="Y37" s="292">
        <f>SUM(P37:X37)</f>
        <v>563.59454759845562</v>
      </c>
      <c r="Z37" s="246">
        <f>Y37+O37</f>
        <v>616.78121762928481</v>
      </c>
      <c r="AA37" s="16">
        <f>AA38*AA41/10^6</f>
        <v>814.03747497211418</v>
      </c>
      <c r="AB37" s="16">
        <f>AB38*AB41/10^6</f>
        <v>1086.5563016998422</v>
      </c>
      <c r="AC37" s="16">
        <f>AC38*AC41/10^6</f>
        <v>1216.9728160601835</v>
      </c>
      <c r="AD37" s="16">
        <f>AD38*AD41/10^6</f>
        <v>1614.4781290305023</v>
      </c>
    </row>
    <row r="38" spans="1:30" x14ac:dyDescent="0.3">
      <c r="A38" s="338"/>
      <c r="B38" s="11"/>
      <c r="G38" s="3" t="s">
        <v>357</v>
      </c>
      <c r="L38" s="16"/>
      <c r="M38" s="16"/>
      <c r="N38" s="15"/>
      <c r="O38" s="246">
        <f>O39*O40</f>
        <v>5947825.4175465107</v>
      </c>
      <c r="P38" s="16">
        <f t="shared" ref="P38:X38" si="22">P39*P40</f>
        <v>1982608.4725155036</v>
      </c>
      <c r="Q38" s="16">
        <f t="shared" si="22"/>
        <v>9913042.3625775184</v>
      </c>
      <c r="R38" s="16">
        <f t="shared" si="22"/>
        <v>9913042.3625775184</v>
      </c>
      <c r="S38" s="16">
        <f t="shared" si="22"/>
        <v>7930433.8900620146</v>
      </c>
      <c r="T38" s="16">
        <f t="shared" si="22"/>
        <v>3965216.9450310073</v>
      </c>
      <c r="U38" s="16">
        <f t="shared" si="22"/>
        <v>1982608.4725155036</v>
      </c>
      <c r="V38" s="16">
        <f t="shared" si="22"/>
        <v>7930433.8900620146</v>
      </c>
      <c r="W38" s="16">
        <f t="shared" si="22"/>
        <v>9913042.3625775184</v>
      </c>
      <c r="X38" s="16">
        <f t="shared" si="22"/>
        <v>5947825.4175465107</v>
      </c>
      <c r="Y38" s="292">
        <f>SUM(P38:X38)</f>
        <v>59478254.175465107</v>
      </c>
      <c r="Z38" s="246">
        <f>Y38+O38</f>
        <v>65426079.593011618</v>
      </c>
      <c r="AA38" s="16">
        <f>AA39*AA40</f>
        <v>78172269.462813795</v>
      </c>
      <c r="AB38" s="16">
        <f>AB39*AB40</f>
        <v>97462780.265637368</v>
      </c>
      <c r="AC38" s="16">
        <f>AC39*AC40</f>
        <v>106851694.76456043</v>
      </c>
      <c r="AD38" s="16">
        <f>AD39*AD40</f>
        <v>139601739.2098982</v>
      </c>
    </row>
    <row r="39" spans="1:30" x14ac:dyDescent="0.3">
      <c r="A39" s="338" t="s">
        <v>131</v>
      </c>
      <c r="B39" s="11"/>
      <c r="G39" s="379" t="s">
        <v>358</v>
      </c>
      <c r="I39" s="380">
        <f>1-I44</f>
        <v>0.64705882352941169</v>
      </c>
      <c r="L39" s="16"/>
      <c r="M39" s="16"/>
      <c r="N39" s="15"/>
      <c r="O39" s="246">
        <f>Revenue_HW!O15-COGS_HW!O44</f>
        <v>3</v>
      </c>
      <c r="P39" s="16">
        <f>Revenue_HW!P15-P44</f>
        <v>1</v>
      </c>
      <c r="Q39" s="16">
        <f>Revenue_HW!Q15-Q44</f>
        <v>5</v>
      </c>
      <c r="R39" s="16">
        <f>Revenue_HW!R15-R44</f>
        <v>5</v>
      </c>
      <c r="S39" s="16">
        <f>Revenue_HW!S15-S44</f>
        <v>4</v>
      </c>
      <c r="T39" s="16">
        <f>Revenue_HW!T15-T44</f>
        <v>2</v>
      </c>
      <c r="U39" s="16">
        <f>Revenue_HW!U15-U44</f>
        <v>1</v>
      </c>
      <c r="V39" s="16">
        <f>Revenue_HW!V15-V44</f>
        <v>4</v>
      </c>
      <c r="W39" s="16">
        <f>Revenue_HW!W15-W44</f>
        <v>5</v>
      </c>
      <c r="X39" s="16">
        <f>Revenue_HW!X15-X44</f>
        <v>3</v>
      </c>
      <c r="Y39" s="292">
        <f>SUM(P39:X39)</f>
        <v>30</v>
      </c>
      <c r="Z39" s="246">
        <f>Y39+O39</f>
        <v>33</v>
      </c>
      <c r="AA39" s="16">
        <f>ROUND($I39*Revenue_HW!AA$15,)</f>
        <v>39</v>
      </c>
      <c r="AB39" s="16">
        <f>ROUND($I39*Revenue_HW!AB$15,)</f>
        <v>48</v>
      </c>
      <c r="AC39" s="16">
        <f>ROUND($I39*Revenue_HW!AC$15,)</f>
        <v>52</v>
      </c>
      <c r="AD39" s="16">
        <f>ROUND($I39*Revenue_HW!AD$15,)</f>
        <v>67</v>
      </c>
    </row>
    <row r="40" spans="1:30" x14ac:dyDescent="0.3">
      <c r="A40" s="338" t="s">
        <v>131</v>
      </c>
      <c r="B40" s="11"/>
      <c r="G40" s="379" t="s">
        <v>359</v>
      </c>
      <c r="L40" s="16"/>
      <c r="M40" s="16"/>
      <c r="N40" s="15"/>
      <c r="O40" s="246">
        <f>P40</f>
        <v>1982608.4725155036</v>
      </c>
      <c r="P40" s="16">
        <f>'Key Assumption'!R434</f>
        <v>1982608.4725155036</v>
      </c>
      <c r="Q40" s="16">
        <f>'Key Assumption'!S434</f>
        <v>1982608.4725155036</v>
      </c>
      <c r="R40" s="16">
        <f>'Key Assumption'!T434</f>
        <v>1982608.4725155036</v>
      </c>
      <c r="S40" s="16">
        <f>'Key Assumption'!U434</f>
        <v>1982608.4725155036</v>
      </c>
      <c r="T40" s="16">
        <f>'Key Assumption'!V434</f>
        <v>1982608.4725155036</v>
      </c>
      <c r="U40" s="16">
        <f>'Key Assumption'!W434</f>
        <v>1982608.4725155036</v>
      </c>
      <c r="V40" s="16">
        <f>'Key Assumption'!X434</f>
        <v>1982608.4725155036</v>
      </c>
      <c r="W40" s="16">
        <f>'Key Assumption'!Y434</f>
        <v>1982608.4725155036</v>
      </c>
      <c r="X40" s="16">
        <f>'Key Assumption'!Z434</f>
        <v>1982608.4725155036</v>
      </c>
      <c r="Y40" s="292">
        <f>Y38/Y39</f>
        <v>1982608.4725155036</v>
      </c>
      <c r="Z40" s="246">
        <f>Z38/Z39</f>
        <v>1982608.4725155036</v>
      </c>
      <c r="AA40" s="16">
        <f>'Key Assumption'!AB434</f>
        <v>2004417.165713174</v>
      </c>
      <c r="AB40" s="16">
        <f>'Key Assumption'!AC434</f>
        <v>2030474.588867445</v>
      </c>
      <c r="AC40" s="16">
        <f>'Key Assumption'!AD434</f>
        <v>2054840.2839338544</v>
      </c>
      <c r="AD40" s="16">
        <f>'Key Assumption'!AE434</f>
        <v>2083608.0479089285</v>
      </c>
    </row>
    <row r="41" spans="1:30" x14ac:dyDescent="0.3">
      <c r="A41" s="338" t="s">
        <v>131</v>
      </c>
      <c r="B41" s="11"/>
      <c r="G41" s="3" t="s">
        <v>333</v>
      </c>
      <c r="L41" s="16"/>
      <c r="M41" s="16"/>
      <c r="N41" s="15"/>
      <c r="O41" s="246">
        <f>O$187</f>
        <v>8.9422043010752681</v>
      </c>
      <c r="P41" s="16">
        <f t="shared" ref="P41:X41" si="23">P$187</f>
        <v>9.2025316455696196</v>
      </c>
      <c r="Q41" s="16">
        <f t="shared" si="23"/>
        <v>9.2025316455696196</v>
      </c>
      <c r="R41" s="16">
        <f t="shared" si="23"/>
        <v>9.2025316455696196</v>
      </c>
      <c r="S41" s="16">
        <f t="shared" si="23"/>
        <v>9.6110283159463492</v>
      </c>
      <c r="T41" s="16">
        <f t="shared" si="23"/>
        <v>9.6110283159463492</v>
      </c>
      <c r="U41" s="16">
        <f t="shared" si="23"/>
        <v>9.6110283159463492</v>
      </c>
      <c r="V41" s="16">
        <f t="shared" si="23"/>
        <v>9.6470137825421141</v>
      </c>
      <c r="W41" s="16">
        <f t="shared" si="23"/>
        <v>9.6470137825421141</v>
      </c>
      <c r="X41" s="16">
        <f t="shared" si="23"/>
        <v>9.6470137825421141</v>
      </c>
      <c r="Y41" s="292">
        <f>Y37/Y38*10^6</f>
        <v>9.47564039011319</v>
      </c>
      <c r="Z41" s="246">
        <f>Z37/Z38*10^6</f>
        <v>9.4271462002006512</v>
      </c>
      <c r="AA41" s="247">
        <f>AA$187</f>
        <v>10.413379073756433</v>
      </c>
      <c r="AB41" s="247">
        <f>AB$187</f>
        <v>11.148423005565862</v>
      </c>
      <c r="AC41" s="247">
        <f>AC$187</f>
        <v>11.389363722697055</v>
      </c>
      <c r="AD41" s="247">
        <f>AD$187</f>
        <v>11.564885496183207</v>
      </c>
    </row>
    <row r="42" spans="1:30" x14ac:dyDescent="0.3">
      <c r="A42" s="338" t="s">
        <v>131</v>
      </c>
      <c r="B42" s="11"/>
      <c r="F42" s="3" t="s">
        <v>360</v>
      </c>
      <c r="L42" s="16"/>
      <c r="M42" s="16"/>
      <c r="N42" s="15"/>
      <c r="O42" s="246">
        <f>O43*O46/10^6</f>
        <v>92.752877647639679</v>
      </c>
      <c r="P42" s="16">
        <f t="shared" ref="P42:X42" si="24">P43*P46/10^6</f>
        <v>183.56847947678224</v>
      </c>
      <c r="Q42" s="16">
        <f t="shared" si="24"/>
        <v>183.56847947678224</v>
      </c>
      <c r="R42" s="16">
        <f t="shared" si="24"/>
        <v>183.56847947678224</v>
      </c>
      <c r="S42" s="16">
        <f t="shared" si="24"/>
        <v>92.122501107781133</v>
      </c>
      <c r="T42" s="16">
        <f t="shared" si="24"/>
        <v>92.122501107781133</v>
      </c>
      <c r="U42" s="16">
        <f t="shared" si="24"/>
        <v>460.61250553890562</v>
      </c>
      <c r="V42" s="16">
        <f t="shared" si="24"/>
        <v>89.986927543567546</v>
      </c>
      <c r="W42" s="16">
        <f t="shared" si="24"/>
        <v>269.96078263070268</v>
      </c>
      <c r="X42" s="16">
        <f t="shared" si="24"/>
        <v>0</v>
      </c>
      <c r="Y42" s="292">
        <f>SUM(P42:X42)</f>
        <v>1555.5106563590848</v>
      </c>
      <c r="Z42" s="246">
        <f>Y42+O42</f>
        <v>1648.2635340067245</v>
      </c>
      <c r="AA42" s="16">
        <f>AA43*AA46/10^6</f>
        <v>1984.5434246563079</v>
      </c>
      <c r="AB42" s="16">
        <f>AB43*AB46/10^6</f>
        <v>2383.0057967789403</v>
      </c>
      <c r="AC42" s="16">
        <f>AC43*AC46/10^6</f>
        <v>2702.0577639145217</v>
      </c>
      <c r="AD42" s="16">
        <f>AD43*AD46/10^6</f>
        <v>3435.1134847222052</v>
      </c>
    </row>
    <row r="43" spans="1:30" x14ac:dyDescent="0.3">
      <c r="A43" s="338"/>
      <c r="B43" s="11"/>
      <c r="G43" s="3" t="s">
        <v>361</v>
      </c>
      <c r="L43" s="16"/>
      <c r="M43" s="16"/>
      <c r="N43" s="15"/>
      <c r="O43" s="246">
        <f>O44*O45</f>
        <v>64345.760000000009</v>
      </c>
      <c r="P43" s="16">
        <f t="shared" ref="P43:X43" si="25">P44*P45</f>
        <v>128691.52000000002</v>
      </c>
      <c r="Q43" s="16">
        <f t="shared" si="25"/>
        <v>128691.52000000002</v>
      </c>
      <c r="R43" s="16">
        <f t="shared" si="25"/>
        <v>128691.52000000002</v>
      </c>
      <c r="S43" s="16">
        <f t="shared" si="25"/>
        <v>64345.760000000009</v>
      </c>
      <c r="T43" s="16">
        <f t="shared" si="25"/>
        <v>64345.760000000009</v>
      </c>
      <c r="U43" s="16">
        <f t="shared" si="25"/>
        <v>321728.80000000005</v>
      </c>
      <c r="V43" s="16">
        <f t="shared" si="25"/>
        <v>64345.760000000009</v>
      </c>
      <c r="W43" s="16">
        <f t="shared" si="25"/>
        <v>193037.28000000003</v>
      </c>
      <c r="X43" s="16">
        <f t="shared" si="25"/>
        <v>0</v>
      </c>
      <c r="Y43" s="292">
        <f>SUM(P43:X43)</f>
        <v>1093877.9200000002</v>
      </c>
      <c r="Z43" s="246">
        <f>Y43+O43</f>
        <v>1158223.6800000002</v>
      </c>
      <c r="AA43" s="16">
        <f>AA44*AA45</f>
        <v>1436840.8208000001</v>
      </c>
      <c r="AB43" s="16">
        <f>AB44*AB45</f>
        <v>1716763.5370703998</v>
      </c>
      <c r="AC43" s="16">
        <f>AC44*AC45</f>
        <v>1934000.1538766159</v>
      </c>
      <c r="AD43" s="16">
        <f>AD44*AD45</f>
        <v>2422435.2272211788</v>
      </c>
    </row>
    <row r="44" spans="1:30" x14ac:dyDescent="0.3">
      <c r="A44" s="338" t="s">
        <v>131</v>
      </c>
      <c r="B44" s="11"/>
      <c r="G44" s="379" t="s">
        <v>358</v>
      </c>
      <c r="I44" s="380">
        <f>COGS_HW!Z44/Revenue_HW!Z15</f>
        <v>0.35294117647058826</v>
      </c>
      <c r="L44" s="16"/>
      <c r="M44" s="16"/>
      <c r="N44" s="15"/>
      <c r="O44" s="246">
        <v>1</v>
      </c>
      <c r="P44" s="16">
        <v>2</v>
      </c>
      <c r="Q44" s="16">
        <v>2</v>
      </c>
      <c r="R44" s="16">
        <v>2</v>
      </c>
      <c r="S44" s="16">
        <v>1</v>
      </c>
      <c r="T44" s="16">
        <v>1</v>
      </c>
      <c r="U44" s="16">
        <v>5</v>
      </c>
      <c r="V44" s="16">
        <v>1</v>
      </c>
      <c r="W44" s="16">
        <v>3</v>
      </c>
      <c r="X44" s="16">
        <v>0</v>
      </c>
      <c r="Y44" s="292">
        <f>SUM(P44:X44)</f>
        <v>17</v>
      </c>
      <c r="Z44" s="246">
        <f>Y44+O44</f>
        <v>18</v>
      </c>
      <c r="AA44" s="16">
        <f>Revenue_HW!AA15-COGS_HW!AA39</f>
        <v>22</v>
      </c>
      <c r="AB44" s="16">
        <f>Revenue_HW!AB15-COGS_HW!AB39</f>
        <v>26</v>
      </c>
      <c r="AC44" s="16">
        <f>Revenue_HW!AC15-COGS_HW!AC39</f>
        <v>29</v>
      </c>
      <c r="AD44" s="16">
        <f>Revenue_HW!AD15-COGS_HW!AD39</f>
        <v>36</v>
      </c>
    </row>
    <row r="45" spans="1:30" x14ac:dyDescent="0.3">
      <c r="A45" s="338" t="s">
        <v>131</v>
      </c>
      <c r="B45" s="11"/>
      <c r="G45" s="379" t="s">
        <v>362</v>
      </c>
      <c r="L45" s="16"/>
      <c r="M45" s="16"/>
      <c r="N45" s="15"/>
      <c r="O45" s="246">
        <f>P45</f>
        <v>64345.760000000009</v>
      </c>
      <c r="P45" s="16">
        <f>'Key Assumption'!R440</f>
        <v>64345.760000000009</v>
      </c>
      <c r="Q45" s="16">
        <f>'Key Assumption'!S440</f>
        <v>64345.760000000009</v>
      </c>
      <c r="R45" s="16">
        <f>'Key Assumption'!T440</f>
        <v>64345.760000000009</v>
      </c>
      <c r="S45" s="16">
        <f>'Key Assumption'!U440</f>
        <v>64345.760000000009</v>
      </c>
      <c r="T45" s="16">
        <f>'Key Assumption'!V440</f>
        <v>64345.760000000009</v>
      </c>
      <c r="U45" s="16">
        <f>'Key Assumption'!W440</f>
        <v>64345.760000000009</v>
      </c>
      <c r="V45" s="16">
        <f>'Key Assumption'!X440</f>
        <v>64345.760000000009</v>
      </c>
      <c r="W45" s="16">
        <f>'Key Assumption'!Y440</f>
        <v>64345.760000000009</v>
      </c>
      <c r="X45" s="16">
        <f>'Key Assumption'!Z440</f>
        <v>64345.760000000009</v>
      </c>
      <c r="Y45" s="292">
        <f>Y43/Y44</f>
        <v>64345.760000000009</v>
      </c>
      <c r="Z45" s="246">
        <f>Z43/Z44</f>
        <v>64345.760000000009</v>
      </c>
      <c r="AA45" s="16">
        <f>'Key Assumption'!AB440</f>
        <v>65310.946400000001</v>
      </c>
      <c r="AB45" s="16">
        <f>'Key Assumption'!AC440</f>
        <v>66029.366810399995</v>
      </c>
      <c r="AC45" s="16">
        <f>'Key Assumption'!AD440</f>
        <v>66689.660478503996</v>
      </c>
      <c r="AD45" s="16">
        <f>'Key Assumption'!AE440</f>
        <v>67289.867422810523</v>
      </c>
    </row>
    <row r="46" spans="1:30" x14ac:dyDescent="0.3">
      <c r="A46" s="338" t="s">
        <v>131</v>
      </c>
      <c r="B46" s="11"/>
      <c r="G46" s="3" t="s">
        <v>333</v>
      </c>
      <c r="L46" s="16"/>
      <c r="M46" s="16"/>
      <c r="N46" s="15"/>
      <c r="O46" s="246">
        <f>Revenue_HW!$O$482</f>
        <v>1441.476138406628</v>
      </c>
      <c r="P46" s="16">
        <f t="shared" ref="P46:X46" si="26">P$188</f>
        <v>1426.4224983649444</v>
      </c>
      <c r="Q46" s="16">
        <f t="shared" si="26"/>
        <v>1426.4224983649444</v>
      </c>
      <c r="R46" s="16">
        <f t="shared" si="26"/>
        <v>1426.4224983649444</v>
      </c>
      <c r="S46" s="16">
        <f t="shared" si="26"/>
        <v>1431.6794316794317</v>
      </c>
      <c r="T46" s="16">
        <f t="shared" si="26"/>
        <v>1431.6794316794317</v>
      </c>
      <c r="U46" s="16">
        <f t="shared" si="26"/>
        <v>1431.6794316794317</v>
      </c>
      <c r="V46" s="16">
        <f t="shared" si="26"/>
        <v>1398.4903984903985</v>
      </c>
      <c r="W46" s="16">
        <f t="shared" si="26"/>
        <v>1398.4903984903985</v>
      </c>
      <c r="X46" s="16">
        <f t="shared" si="26"/>
        <v>1398.4903984903985</v>
      </c>
      <c r="Y46" s="292">
        <f>Y42/Y43*10^6</f>
        <v>1422.0148591710165</v>
      </c>
      <c r="Z46" s="246">
        <f>Z42/Z43*10^6</f>
        <v>1423.0960413507728</v>
      </c>
      <c r="AA46" s="16">
        <f>AA$188</f>
        <v>1381.1853031509499</v>
      </c>
      <c r="AB46" s="16">
        <f>AB$188</f>
        <v>1388.080388080388</v>
      </c>
      <c r="AC46" s="16">
        <f>AC$188</f>
        <v>1397.1342031686859</v>
      </c>
      <c r="AD46" s="16">
        <f>AD$188</f>
        <v>1418.041418041418</v>
      </c>
    </row>
    <row r="47" spans="1:30" x14ac:dyDescent="0.3">
      <c r="A47" s="338" t="s">
        <v>131</v>
      </c>
      <c r="E47" s="3" t="s">
        <v>287</v>
      </c>
      <c r="M47" s="16"/>
      <c r="N47" s="15"/>
      <c r="O47" s="246">
        <f>O35-O36</f>
        <v>489.16804010182318</v>
      </c>
      <c r="P47" s="16">
        <f t="shared" ref="P47:X47" si="27">P48*P49</f>
        <v>366.87603007636739</v>
      </c>
      <c r="Q47" s="16">
        <f t="shared" si="27"/>
        <v>856.04407017819062</v>
      </c>
      <c r="R47" s="16">
        <f t="shared" si="27"/>
        <v>856.04407017819062</v>
      </c>
      <c r="S47" s="16">
        <f t="shared" si="27"/>
        <v>611.46005012727892</v>
      </c>
      <c r="T47" s="16">
        <f t="shared" si="27"/>
        <v>366.87603007636739</v>
      </c>
      <c r="U47" s="16">
        <f t="shared" si="27"/>
        <v>733.75206015273477</v>
      </c>
      <c r="V47" s="16">
        <f t="shared" si="27"/>
        <v>611.46005012727892</v>
      </c>
      <c r="W47" s="16">
        <f t="shared" si="27"/>
        <v>978.33608020364636</v>
      </c>
      <c r="X47" s="16">
        <f t="shared" si="27"/>
        <v>366.87603007636739</v>
      </c>
      <c r="Y47" s="292">
        <f>SUM(P47:X47)</f>
        <v>5747.7244711964222</v>
      </c>
      <c r="Z47" s="246">
        <f>Y47+O47</f>
        <v>6236.8925112982452</v>
      </c>
      <c r="AA47" s="16">
        <f>AA48*AA49</f>
        <v>4140.9399784528559</v>
      </c>
      <c r="AB47" s="16">
        <f>AB48*AB49</f>
        <v>5027.2531945885166</v>
      </c>
      <c r="AC47" s="16">
        <f>AC48*AC49</f>
        <v>5556.7316533450567</v>
      </c>
      <c r="AD47" s="16">
        <f>AD48*AD49</f>
        <v>7157.1890503202894</v>
      </c>
    </row>
    <row r="48" spans="1:30" x14ac:dyDescent="0.3">
      <c r="A48" s="338" t="s">
        <v>131</v>
      </c>
      <c r="F48" s="3" t="s">
        <v>358</v>
      </c>
      <c r="M48" s="16"/>
      <c r="N48" s="15"/>
      <c r="O48" s="246">
        <f>Revenue_HW!O15</f>
        <v>4</v>
      </c>
      <c r="P48" s="16">
        <f>Revenue_HW!P15</f>
        <v>3</v>
      </c>
      <c r="Q48" s="16">
        <f>Revenue_HW!Q15</f>
        <v>7</v>
      </c>
      <c r="R48" s="16">
        <f>Revenue_HW!R15</f>
        <v>7</v>
      </c>
      <c r="S48" s="16">
        <f>Revenue_HW!S15</f>
        <v>5</v>
      </c>
      <c r="T48" s="16">
        <f>Revenue_HW!T15</f>
        <v>3</v>
      </c>
      <c r="U48" s="16">
        <f>Revenue_HW!U15</f>
        <v>6</v>
      </c>
      <c r="V48" s="16">
        <f>Revenue_HW!V15</f>
        <v>5</v>
      </c>
      <c r="W48" s="16">
        <f>Revenue_HW!W15</f>
        <v>8</v>
      </c>
      <c r="X48" s="16">
        <f>Revenue_HW!X15</f>
        <v>3</v>
      </c>
      <c r="Y48" s="292">
        <f>SUM(P48:X48)</f>
        <v>47</v>
      </c>
      <c r="Z48" s="246">
        <f>Y48+O48</f>
        <v>51</v>
      </c>
      <c r="AA48" s="16">
        <f>Revenue_HW!AA15</f>
        <v>61</v>
      </c>
      <c r="AB48" s="16">
        <f>Revenue_HW!AB15</f>
        <v>74</v>
      </c>
      <c r="AC48" s="16">
        <f>Revenue_HW!AC15</f>
        <v>81</v>
      </c>
      <c r="AD48" s="16">
        <f>Revenue_HW!AD15</f>
        <v>103</v>
      </c>
    </row>
    <row r="49" spans="1:30" x14ac:dyDescent="0.3">
      <c r="A49" s="338" t="s">
        <v>131</v>
      </c>
      <c r="F49" s="3" t="s">
        <v>363</v>
      </c>
      <c r="M49" s="16"/>
      <c r="N49" s="15"/>
      <c r="O49" s="246">
        <f>O47/O48</f>
        <v>122.2920100254558</v>
      </c>
      <c r="P49" s="16">
        <f>'Key Assumption'!R446</f>
        <v>122.2920100254558</v>
      </c>
      <c r="Q49" s="16">
        <f>'Key Assumption'!S446</f>
        <v>122.2920100254558</v>
      </c>
      <c r="R49" s="16">
        <f>'Key Assumption'!T446</f>
        <v>122.2920100254558</v>
      </c>
      <c r="S49" s="16">
        <f>'Key Assumption'!U446</f>
        <v>122.2920100254558</v>
      </c>
      <c r="T49" s="16">
        <f>'Key Assumption'!V446</f>
        <v>122.2920100254558</v>
      </c>
      <c r="U49" s="16">
        <f>'Key Assumption'!W446</f>
        <v>122.2920100254558</v>
      </c>
      <c r="V49" s="16">
        <f>'Key Assumption'!X446</f>
        <v>122.2920100254558</v>
      </c>
      <c r="W49" s="16">
        <f>'Key Assumption'!Y446</f>
        <v>122.2920100254558</v>
      </c>
      <c r="X49" s="16">
        <f>'Key Assumption'!Z446</f>
        <v>122.2920100254558</v>
      </c>
      <c r="Y49" s="292">
        <f>Y47/Y48</f>
        <v>122.2920100254558</v>
      </c>
      <c r="Z49" s="246">
        <f>Z47/Z48</f>
        <v>122.29201002545578</v>
      </c>
      <c r="AA49" s="16">
        <f>'Key Assumption'!AB446</f>
        <v>67.884261941850099</v>
      </c>
      <c r="AB49" s="16">
        <f>'Key Assumption'!AC446</f>
        <v>67.935853980925899</v>
      </c>
      <c r="AC49" s="16">
        <f>'Key Assumption'!AD446</f>
        <v>68.601625349938971</v>
      </c>
      <c r="AD49" s="16">
        <f>'Key Assumption'!AE446</f>
        <v>69.48727233320669</v>
      </c>
    </row>
    <row r="50" spans="1:30" x14ac:dyDescent="0.3">
      <c r="A50" s="338" t="s">
        <v>131</v>
      </c>
      <c r="D50" s="3" t="s">
        <v>288</v>
      </c>
      <c r="M50" s="16"/>
      <c r="N50" s="15"/>
      <c r="O50" s="246">
        <v>253.34188321970797</v>
      </c>
      <c r="P50" s="16">
        <f t="shared" ref="P50:X50" si="28">P51*P52</f>
        <v>190.00641241478098</v>
      </c>
      <c r="Q50" s="16">
        <f t="shared" si="28"/>
        <v>443.34829563448892</v>
      </c>
      <c r="R50" s="16">
        <f t="shared" si="28"/>
        <v>380.01282482956196</v>
      </c>
      <c r="S50" s="16">
        <f t="shared" si="28"/>
        <v>316.67735402463495</v>
      </c>
      <c r="T50" s="16">
        <f t="shared" si="28"/>
        <v>190.00641241478098</v>
      </c>
      <c r="U50" s="16">
        <f t="shared" si="28"/>
        <v>380.01282482956196</v>
      </c>
      <c r="V50" s="16">
        <f t="shared" si="28"/>
        <v>316.67735402463495</v>
      </c>
      <c r="W50" s="16">
        <f t="shared" si="28"/>
        <v>506.68376643941593</v>
      </c>
      <c r="X50" s="16">
        <f t="shared" si="28"/>
        <v>190.00641241478098</v>
      </c>
      <c r="Y50" s="292">
        <f>SUM(P50:X50)</f>
        <v>2913.4316570266419</v>
      </c>
      <c r="Z50" s="246">
        <f>Y50+O50</f>
        <v>3166.77354024635</v>
      </c>
      <c r="AA50" s="16">
        <f>AA51*AA52</f>
        <v>4769.6332172465154</v>
      </c>
      <c r="AB50" s="16">
        <f>AB51*AB52</f>
        <v>5878.6902263190495</v>
      </c>
      <c r="AC50" s="16">
        <f>AC51*AC52</f>
        <v>6563.4781959254033</v>
      </c>
      <c r="AD50" s="16">
        <f>AD51*AD52</f>
        <v>8496.3820093279282</v>
      </c>
    </row>
    <row r="51" spans="1:30" x14ac:dyDescent="0.3">
      <c r="A51" s="338" t="s">
        <v>131</v>
      </c>
      <c r="E51" s="3" t="s">
        <v>358</v>
      </c>
      <c r="M51" s="16"/>
      <c r="N51" s="15"/>
      <c r="O51" s="246">
        <f t="shared" ref="O51" si="29">O48</f>
        <v>4</v>
      </c>
      <c r="P51" s="16">
        <v>3</v>
      </c>
      <c r="Q51" s="16">
        <v>7</v>
      </c>
      <c r="R51" s="16">
        <v>6</v>
      </c>
      <c r="S51" s="16">
        <v>5</v>
      </c>
      <c r="T51" s="16">
        <v>3</v>
      </c>
      <c r="U51" s="16">
        <v>6</v>
      </c>
      <c r="V51" s="16">
        <v>5</v>
      </c>
      <c r="W51" s="16">
        <v>8</v>
      </c>
      <c r="X51" s="16">
        <v>3</v>
      </c>
      <c r="Y51" s="292">
        <f>SUM(P51:X51)</f>
        <v>46</v>
      </c>
      <c r="Z51" s="246">
        <f>Y51+O51</f>
        <v>50</v>
      </c>
      <c r="AA51" s="16">
        <f>AA48</f>
        <v>61</v>
      </c>
      <c r="AB51" s="16">
        <f>AB48</f>
        <v>74</v>
      </c>
      <c r="AC51" s="16">
        <f>AC48</f>
        <v>81</v>
      </c>
      <c r="AD51" s="16">
        <f>AD48</f>
        <v>103</v>
      </c>
    </row>
    <row r="52" spans="1:30" x14ac:dyDescent="0.3">
      <c r="A52" s="338" t="s">
        <v>131</v>
      </c>
      <c r="E52" s="3" t="s">
        <v>364</v>
      </c>
      <c r="M52" s="16"/>
      <c r="N52" s="15"/>
      <c r="O52" s="246">
        <f>O50/O51</f>
        <v>63.335470804926992</v>
      </c>
      <c r="P52" s="16">
        <f>'Key Assumption'!R452</f>
        <v>63.335470804926992</v>
      </c>
      <c r="Q52" s="16">
        <f>'Key Assumption'!S452</f>
        <v>63.335470804926992</v>
      </c>
      <c r="R52" s="16">
        <f>'Key Assumption'!T452</f>
        <v>63.335470804926992</v>
      </c>
      <c r="S52" s="16">
        <f>'Key Assumption'!U452</f>
        <v>63.335470804926992</v>
      </c>
      <c r="T52" s="16">
        <f>'Key Assumption'!V452</f>
        <v>63.335470804926992</v>
      </c>
      <c r="U52" s="16">
        <f>'Key Assumption'!W452</f>
        <v>63.335470804926992</v>
      </c>
      <c r="V52" s="16">
        <f>'Key Assumption'!X452</f>
        <v>63.335470804926992</v>
      </c>
      <c r="W52" s="16">
        <f>'Key Assumption'!Y452</f>
        <v>63.335470804926992</v>
      </c>
      <c r="X52" s="16">
        <f>'Key Assumption'!Z452</f>
        <v>63.335470804926992</v>
      </c>
      <c r="Y52" s="292">
        <f>Y50/Y51</f>
        <v>63.335470804926999</v>
      </c>
      <c r="Z52" s="246">
        <f>Z50/Z51</f>
        <v>63.335470804926999</v>
      </c>
      <c r="AA52" s="16">
        <f>'Key Assumption'!AB452</f>
        <v>78.190708479451075</v>
      </c>
      <c r="AB52" s="16">
        <f>'Key Assumption'!AC452</f>
        <v>79.441759815122296</v>
      </c>
      <c r="AC52" s="16">
        <f>'Key Assumption'!AD452</f>
        <v>81.030595011424737</v>
      </c>
      <c r="AD52" s="16">
        <f>'Key Assumption'!AE452</f>
        <v>82.489145721630379</v>
      </c>
    </row>
    <row r="53" spans="1:30" x14ac:dyDescent="0.3">
      <c r="A53" s="338"/>
      <c r="C53" s="3" t="s">
        <v>132</v>
      </c>
      <c r="M53" s="16"/>
      <c r="N53" s="15"/>
      <c r="O53" s="246">
        <f t="shared" ref="O53:AD53" si="30">O54+O69</f>
        <v>20987.111396</v>
      </c>
      <c r="P53" s="16">
        <f t="shared" si="30"/>
        <v>8558.3551816273393</v>
      </c>
      <c r="Q53" s="16">
        <f t="shared" si="30"/>
        <v>7379.6595578104007</v>
      </c>
      <c r="R53" s="16">
        <f t="shared" si="30"/>
        <v>7635.8977369010399</v>
      </c>
      <c r="S53" s="16">
        <f t="shared" si="30"/>
        <v>7867.5948425302286</v>
      </c>
      <c r="T53" s="16">
        <f t="shared" si="30"/>
        <v>7712.3133653750265</v>
      </c>
      <c r="U53" s="16">
        <f t="shared" si="30"/>
        <v>7298.2294262944879</v>
      </c>
      <c r="V53" s="16">
        <f t="shared" si="30"/>
        <v>7978.0733600447893</v>
      </c>
      <c r="W53" s="16">
        <f t="shared" si="30"/>
        <v>7408.2109771844471</v>
      </c>
      <c r="X53" s="16">
        <f t="shared" si="30"/>
        <v>7252.7939636770807</v>
      </c>
      <c r="Y53" s="292">
        <f t="shared" si="30"/>
        <v>69091.128411444835</v>
      </c>
      <c r="Z53" s="246">
        <f t="shared" si="30"/>
        <v>90078.239807444828</v>
      </c>
      <c r="AA53" s="16">
        <f t="shared" si="30"/>
        <v>93503.776798704217</v>
      </c>
      <c r="AB53" s="16">
        <f t="shared" si="30"/>
        <v>105194.45820028245</v>
      </c>
      <c r="AC53" s="16">
        <f t="shared" si="30"/>
        <v>115097.27989721663</v>
      </c>
      <c r="AD53" s="16">
        <f t="shared" si="30"/>
        <v>123940.28461681465</v>
      </c>
    </row>
    <row r="54" spans="1:30" x14ac:dyDescent="0.3">
      <c r="A54" s="338" t="s">
        <v>132</v>
      </c>
      <c r="B54" s="11"/>
      <c r="D54" s="3" t="s">
        <v>354</v>
      </c>
      <c r="L54" s="16"/>
      <c r="M54" s="16"/>
      <c r="N54" s="15"/>
      <c r="O54" s="246">
        <v>9435.4813084367452</v>
      </c>
      <c r="P54" s="16">
        <f t="shared" ref="P54:AD54" si="31">P55+P66</f>
        <v>3680.1245655025368</v>
      </c>
      <c r="Q54" s="16">
        <f t="shared" si="31"/>
        <v>3173.2810624692538</v>
      </c>
      <c r="R54" s="16">
        <f t="shared" si="31"/>
        <v>3283.4644326938806</v>
      </c>
      <c r="S54" s="16">
        <f t="shared" si="31"/>
        <v>3427.5286530034618</v>
      </c>
      <c r="T54" s="16">
        <f t="shared" si="31"/>
        <v>3359.8800611678676</v>
      </c>
      <c r="U54" s="16">
        <f t="shared" si="31"/>
        <v>3179.4838162729484</v>
      </c>
      <c r="V54" s="16">
        <f t="shared" si="31"/>
        <v>3479.5852469716183</v>
      </c>
      <c r="W54" s="16">
        <f t="shared" si="31"/>
        <v>3231.0434436165024</v>
      </c>
      <c r="X54" s="16">
        <f t="shared" si="31"/>
        <v>3163.2593154287433</v>
      </c>
      <c r="Y54" s="292">
        <f t="shared" si="31"/>
        <v>29977.650597126812</v>
      </c>
      <c r="Z54" s="246">
        <f t="shared" si="31"/>
        <v>39413.131905563554</v>
      </c>
      <c r="AA54" s="16">
        <f t="shared" si="31"/>
        <v>41900.895806009139</v>
      </c>
      <c r="AB54" s="16">
        <f t="shared" si="31"/>
        <v>47935.037999528868</v>
      </c>
      <c r="AC54" s="16">
        <f t="shared" si="31"/>
        <v>52551.143663641924</v>
      </c>
      <c r="AD54" s="16">
        <f t="shared" si="31"/>
        <v>56729.276766770447</v>
      </c>
    </row>
    <row r="55" spans="1:30" x14ac:dyDescent="0.3">
      <c r="A55" s="338" t="s">
        <v>132</v>
      </c>
      <c r="B55" s="11"/>
      <c r="E55" s="3" t="s">
        <v>355</v>
      </c>
      <c r="L55" s="16"/>
      <c r="M55" s="16"/>
      <c r="N55" s="15"/>
      <c r="O55" s="246">
        <f>O56+O61</f>
        <v>4344.7316015288716</v>
      </c>
      <c r="P55" s="16">
        <f t="shared" ref="P55:Y55" si="32">P56+P61</f>
        <v>1929.4396125316343</v>
      </c>
      <c r="Q55" s="16">
        <f t="shared" si="32"/>
        <v>1663.7084084105111</v>
      </c>
      <c r="R55" s="16">
        <f t="shared" si="32"/>
        <v>1721.4760614803204</v>
      </c>
      <c r="S55" s="16">
        <f t="shared" si="32"/>
        <v>1834.0908514970117</v>
      </c>
      <c r="T55" s="16">
        <f t="shared" si="32"/>
        <v>1797.8916899543076</v>
      </c>
      <c r="U55" s="16">
        <f t="shared" si="32"/>
        <v>1701.3605925070963</v>
      </c>
      <c r="V55" s="16">
        <f t="shared" si="32"/>
        <v>1865.1811586032406</v>
      </c>
      <c r="W55" s="16">
        <f t="shared" si="32"/>
        <v>1731.9539329887234</v>
      </c>
      <c r="X55" s="16">
        <f t="shared" si="32"/>
        <v>1695.6192350938552</v>
      </c>
      <c r="Y55" s="292">
        <f t="shared" si="32"/>
        <v>15940.7215430667</v>
      </c>
      <c r="Z55" s="246">
        <f>Z56+Z61</f>
        <v>20285.453144595573</v>
      </c>
      <c r="AA55" s="16">
        <f>AA56+AA61</f>
        <v>23381.806736041264</v>
      </c>
      <c r="AB55" s="16">
        <f>AB56+AB61</f>
        <v>27694.183261235397</v>
      </c>
      <c r="AC55" s="16">
        <f>AC56+AC61</f>
        <v>30662.563916036452</v>
      </c>
      <c r="AD55" s="16">
        <f>AD56+AD61</f>
        <v>33325.78894379839</v>
      </c>
    </row>
    <row r="56" spans="1:30" x14ac:dyDescent="0.3">
      <c r="A56" s="338" t="s">
        <v>132</v>
      </c>
      <c r="B56" s="11"/>
      <c r="F56" s="3" t="s">
        <v>356</v>
      </c>
      <c r="L56" s="16"/>
      <c r="M56" s="16"/>
      <c r="N56" s="15"/>
      <c r="O56" s="246">
        <f>O57*O60/10^6</f>
        <v>4344.7316015288716</v>
      </c>
      <c r="P56" s="16">
        <f t="shared" ref="P56:X56" si="33">P57*P60/10^6</f>
        <v>1929.4396125316343</v>
      </c>
      <c r="Q56" s="16">
        <f t="shared" si="33"/>
        <v>1663.7084084105111</v>
      </c>
      <c r="R56" s="16">
        <f t="shared" si="33"/>
        <v>1721.4760614803204</v>
      </c>
      <c r="S56" s="16">
        <f t="shared" si="33"/>
        <v>1834.0908514970117</v>
      </c>
      <c r="T56" s="16">
        <f t="shared" si="33"/>
        <v>1797.8916899543076</v>
      </c>
      <c r="U56" s="16">
        <f t="shared" si="33"/>
        <v>1701.3605925070963</v>
      </c>
      <c r="V56" s="16">
        <f t="shared" si="33"/>
        <v>1865.1811586032406</v>
      </c>
      <c r="W56" s="16">
        <f t="shared" si="33"/>
        <v>1731.9539329887234</v>
      </c>
      <c r="X56" s="16">
        <f t="shared" si="33"/>
        <v>1695.6192350938552</v>
      </c>
      <c r="Y56" s="292">
        <f>SUM(P56:X56)</f>
        <v>15940.7215430667</v>
      </c>
      <c r="Z56" s="246">
        <f>Y56+O56</f>
        <v>20285.453144595573</v>
      </c>
      <c r="AA56" s="16">
        <f>AA57*AA60/10^6</f>
        <v>23381.806736041264</v>
      </c>
      <c r="AB56" s="16">
        <f>AB57*AB60/10^6</f>
        <v>27694.183261235397</v>
      </c>
      <c r="AC56" s="16">
        <f>AC57*AC60/10^6</f>
        <v>30662.563916036452</v>
      </c>
      <c r="AD56" s="16">
        <f>AD57*AD60/10^6</f>
        <v>33325.78894379839</v>
      </c>
    </row>
    <row r="57" spans="1:30" x14ac:dyDescent="0.3">
      <c r="A57" s="338"/>
      <c r="B57" s="11"/>
      <c r="G57" s="3" t="s">
        <v>357</v>
      </c>
      <c r="L57" s="16"/>
      <c r="M57" s="16"/>
      <c r="N57" s="15"/>
      <c r="O57" s="246">
        <f>O58*O59</f>
        <v>485868076.28701049</v>
      </c>
      <c r="P57" s="16">
        <f t="shared" ref="P57:X57" si="34">P58*P59</f>
        <v>209664001.91196579</v>
      </c>
      <c r="Q57" s="16">
        <f t="shared" si="34"/>
        <v>180788121.4091202</v>
      </c>
      <c r="R57" s="16">
        <f t="shared" si="34"/>
        <v>187065486.73582575</v>
      </c>
      <c r="S57" s="16">
        <f t="shared" si="34"/>
        <v>190831905.93184909</v>
      </c>
      <c r="T57" s="16">
        <f t="shared" si="34"/>
        <v>187065486.73582575</v>
      </c>
      <c r="U57" s="16">
        <f t="shared" si="34"/>
        <v>177021702.21309686</v>
      </c>
      <c r="V57" s="16">
        <f t="shared" si="34"/>
        <v>193342852.06253132</v>
      </c>
      <c r="W57" s="16">
        <f t="shared" si="34"/>
        <v>179532648.34377909</v>
      </c>
      <c r="X57" s="16">
        <f t="shared" si="34"/>
        <v>175766229.14775574</v>
      </c>
      <c r="Y57" s="292">
        <f>SUM(P57:X57)</f>
        <v>1681078434.4917498</v>
      </c>
      <c r="Z57" s="246">
        <f>Y57+O57</f>
        <v>2166946510.7787604</v>
      </c>
      <c r="AA57" s="16">
        <f>AA58*AA59</f>
        <v>2245362102.9669008</v>
      </c>
      <c r="AB57" s="16">
        <f>AB58*AB59</f>
        <v>2484134594.4093661</v>
      </c>
      <c r="AC57" s="16">
        <f>AC58*AC59</f>
        <v>2692210439.7220368</v>
      </c>
      <c r="AD57" s="16">
        <f>AD58*AD59</f>
        <v>2881635875.6683755</v>
      </c>
    </row>
    <row r="58" spans="1:30" x14ac:dyDescent="0.3">
      <c r="A58" s="338" t="s">
        <v>132</v>
      </c>
      <c r="B58" s="11"/>
      <c r="G58" s="379" t="s">
        <v>358</v>
      </c>
      <c r="L58" s="16"/>
      <c r="M58" s="16"/>
      <c r="N58" s="15"/>
      <c r="O58" s="246">
        <f>Revenue_HW!O16</f>
        <v>387</v>
      </c>
      <c r="P58" s="16">
        <f>Revenue_HW!P16</f>
        <v>167</v>
      </c>
      <c r="Q58" s="16">
        <f>Revenue_HW!Q16</f>
        <v>144</v>
      </c>
      <c r="R58" s="16">
        <f>Revenue_HW!R16</f>
        <v>149</v>
      </c>
      <c r="S58" s="16">
        <f>Revenue_HW!S16</f>
        <v>152</v>
      </c>
      <c r="T58" s="16">
        <f>Revenue_HW!T16</f>
        <v>149</v>
      </c>
      <c r="U58" s="16">
        <f>Revenue_HW!U16</f>
        <v>141</v>
      </c>
      <c r="V58" s="16">
        <f>Revenue_HW!V16</f>
        <v>154</v>
      </c>
      <c r="W58" s="16">
        <f>Revenue_HW!W16</f>
        <v>143</v>
      </c>
      <c r="X58" s="16">
        <f>Revenue_HW!X16</f>
        <v>140</v>
      </c>
      <c r="Y58" s="292">
        <f>SUM(P58:X58)</f>
        <v>1339</v>
      </c>
      <c r="Z58" s="246">
        <f>Y58+O58</f>
        <v>1726</v>
      </c>
      <c r="AA58" s="16">
        <f>Revenue_HW!AA16</f>
        <v>1769</v>
      </c>
      <c r="AB58" s="16">
        <f>Revenue_HW!AB16</f>
        <v>1932</v>
      </c>
      <c r="AC58" s="16">
        <f>Revenue_HW!AC16</f>
        <v>2069</v>
      </c>
      <c r="AD58" s="16">
        <f>Revenue_HW!AD16</f>
        <v>2184</v>
      </c>
    </row>
    <row r="59" spans="1:30" x14ac:dyDescent="0.3">
      <c r="A59" s="338" t="s">
        <v>132</v>
      </c>
      <c r="B59" s="11"/>
      <c r="G59" s="379" t="s">
        <v>359</v>
      </c>
      <c r="L59" s="16"/>
      <c r="M59" s="16"/>
      <c r="N59" s="15"/>
      <c r="O59" s="246">
        <f>P59</f>
        <v>1255473.0653411124</v>
      </c>
      <c r="P59" s="16">
        <f>'Key Assumption'!R435</f>
        <v>1255473.0653411124</v>
      </c>
      <c r="Q59" s="16">
        <f>'Key Assumption'!S435</f>
        <v>1255473.0653411124</v>
      </c>
      <c r="R59" s="16">
        <f>'Key Assumption'!T435</f>
        <v>1255473.0653411124</v>
      </c>
      <c r="S59" s="16">
        <f>'Key Assumption'!U435</f>
        <v>1255473.0653411124</v>
      </c>
      <c r="T59" s="16">
        <f>'Key Assumption'!V435</f>
        <v>1255473.0653411124</v>
      </c>
      <c r="U59" s="16">
        <f>'Key Assumption'!W435</f>
        <v>1255473.0653411124</v>
      </c>
      <c r="V59" s="16">
        <f>'Key Assumption'!X435</f>
        <v>1255473.0653411124</v>
      </c>
      <c r="W59" s="16">
        <f>'Key Assumption'!Y435</f>
        <v>1255473.0653411124</v>
      </c>
      <c r="X59" s="16">
        <f>'Key Assumption'!Z435</f>
        <v>1255473.0653411124</v>
      </c>
      <c r="Y59" s="292">
        <f>Y57/Y58</f>
        <v>1255473.0653411127</v>
      </c>
      <c r="Z59" s="246">
        <f>Z57/Z58</f>
        <v>1255473.0653411127</v>
      </c>
      <c r="AA59" s="16">
        <f>'Key Assumption'!AB435</f>
        <v>1269283.2690598648</v>
      </c>
      <c r="AB59" s="16">
        <f>'Key Assumption'!AC435</f>
        <v>1285783.951557643</v>
      </c>
      <c r="AC59" s="16">
        <f>'Key Assumption'!AD435</f>
        <v>1301213.3589763348</v>
      </c>
      <c r="AD59" s="16">
        <f>'Key Assumption'!AE435</f>
        <v>1319430.3460020034</v>
      </c>
    </row>
    <row r="60" spans="1:30" x14ac:dyDescent="0.3">
      <c r="A60" s="338" t="s">
        <v>132</v>
      </c>
      <c r="B60" s="11"/>
      <c r="G60" s="3" t="s">
        <v>333</v>
      </c>
      <c r="L60" s="16"/>
      <c r="M60" s="16"/>
      <c r="N60" s="15"/>
      <c r="O60" s="246">
        <f>O$187</f>
        <v>8.9422043010752681</v>
      </c>
      <c r="P60" s="16">
        <f t="shared" ref="P60:X60" si="35">P$187</f>
        <v>9.2025316455696196</v>
      </c>
      <c r="Q60" s="16">
        <f t="shared" si="35"/>
        <v>9.2025316455696196</v>
      </c>
      <c r="R60" s="16">
        <f t="shared" si="35"/>
        <v>9.2025316455696196</v>
      </c>
      <c r="S60" s="16">
        <f t="shared" si="35"/>
        <v>9.6110283159463492</v>
      </c>
      <c r="T60" s="16">
        <f t="shared" si="35"/>
        <v>9.6110283159463492</v>
      </c>
      <c r="U60" s="16">
        <f t="shared" si="35"/>
        <v>9.6110283159463492</v>
      </c>
      <c r="V60" s="16">
        <f t="shared" si="35"/>
        <v>9.6470137825421141</v>
      </c>
      <c r="W60" s="16">
        <f t="shared" si="35"/>
        <v>9.6470137825421141</v>
      </c>
      <c r="X60" s="16">
        <f t="shared" si="35"/>
        <v>9.6470137825421141</v>
      </c>
      <c r="Y60" s="292">
        <f>Y56/Y57*10^6</f>
        <v>9.4824377114124072</v>
      </c>
      <c r="Z60" s="246">
        <f>Z56/Z57*10^6</f>
        <v>9.3613077404967218</v>
      </c>
      <c r="AA60" s="16">
        <f>AA$187</f>
        <v>10.413379073756433</v>
      </c>
      <c r="AB60" s="16">
        <f>AB$187</f>
        <v>11.148423005565862</v>
      </c>
      <c r="AC60" s="16">
        <f>AC$187</f>
        <v>11.389363722697055</v>
      </c>
      <c r="AD60" s="16">
        <f>AD$187</f>
        <v>11.564885496183207</v>
      </c>
    </row>
    <row r="61" spans="1:30" x14ac:dyDescent="0.3">
      <c r="A61" s="338" t="s">
        <v>132</v>
      </c>
      <c r="B61" s="11"/>
      <c r="F61" s="3" t="s">
        <v>360</v>
      </c>
      <c r="L61" s="16"/>
      <c r="M61" s="16"/>
      <c r="N61" s="15"/>
      <c r="O61" s="306"/>
      <c r="P61" s="119"/>
      <c r="Q61" s="119"/>
      <c r="R61" s="119"/>
      <c r="S61" s="119"/>
      <c r="T61" s="119"/>
      <c r="U61" s="119"/>
      <c r="V61" s="119"/>
      <c r="W61" s="119"/>
      <c r="X61" s="119"/>
      <c r="Y61" s="293"/>
      <c r="Z61" s="306"/>
      <c r="AA61" s="119"/>
      <c r="AB61" s="119"/>
      <c r="AC61" s="119"/>
      <c r="AD61" s="119"/>
    </row>
    <row r="62" spans="1:30" x14ac:dyDescent="0.3">
      <c r="A62" s="338"/>
      <c r="B62" s="11"/>
      <c r="G62" s="3" t="s">
        <v>361</v>
      </c>
      <c r="L62" s="16"/>
      <c r="M62" s="16"/>
      <c r="N62" s="15"/>
      <c r="O62" s="306"/>
      <c r="P62" s="119"/>
      <c r="Q62" s="119"/>
      <c r="R62" s="119"/>
      <c r="S62" s="119"/>
      <c r="T62" s="119"/>
      <c r="U62" s="119"/>
      <c r="V62" s="119"/>
      <c r="W62" s="119"/>
      <c r="X62" s="119"/>
      <c r="Y62" s="293"/>
      <c r="Z62" s="306"/>
      <c r="AA62" s="119"/>
      <c r="AB62" s="119"/>
      <c r="AC62" s="119"/>
      <c r="AD62" s="119"/>
    </row>
    <row r="63" spans="1:30" x14ac:dyDescent="0.3">
      <c r="A63" s="338" t="s">
        <v>132</v>
      </c>
      <c r="B63" s="11"/>
      <c r="G63" s="379" t="s">
        <v>358</v>
      </c>
      <c r="L63" s="16"/>
      <c r="M63" s="16"/>
      <c r="N63" s="15"/>
      <c r="O63" s="306"/>
      <c r="P63" s="119"/>
      <c r="Q63" s="119"/>
      <c r="R63" s="119"/>
      <c r="S63" s="119"/>
      <c r="T63" s="119"/>
      <c r="U63" s="119"/>
      <c r="V63" s="119"/>
      <c r="W63" s="119"/>
      <c r="X63" s="119"/>
      <c r="Y63" s="293"/>
      <c r="Z63" s="306"/>
      <c r="AA63" s="119"/>
      <c r="AB63" s="119"/>
      <c r="AC63" s="119"/>
      <c r="AD63" s="119"/>
    </row>
    <row r="64" spans="1:30" x14ac:dyDescent="0.3">
      <c r="A64" s="338" t="s">
        <v>132</v>
      </c>
      <c r="B64" s="11"/>
      <c r="G64" s="379" t="s">
        <v>362</v>
      </c>
      <c r="L64" s="16"/>
      <c r="M64" s="16"/>
      <c r="N64" s="15"/>
      <c r="O64" s="306"/>
      <c r="P64" s="119"/>
      <c r="Q64" s="119"/>
      <c r="R64" s="119"/>
      <c r="S64" s="119"/>
      <c r="T64" s="119"/>
      <c r="U64" s="119"/>
      <c r="V64" s="119"/>
      <c r="W64" s="119"/>
      <c r="X64" s="119"/>
      <c r="Y64" s="293"/>
      <c r="Z64" s="306"/>
      <c r="AA64" s="119"/>
      <c r="AB64" s="119"/>
      <c r="AC64" s="119"/>
      <c r="AD64" s="119"/>
    </row>
    <row r="65" spans="1:30" x14ac:dyDescent="0.3">
      <c r="A65" s="338" t="s">
        <v>132</v>
      </c>
      <c r="B65" s="11"/>
      <c r="G65" s="3" t="s">
        <v>333</v>
      </c>
      <c r="L65" s="16"/>
      <c r="M65" s="16"/>
      <c r="N65" s="15"/>
      <c r="O65" s="306"/>
      <c r="P65" s="119"/>
      <c r="Q65" s="119"/>
      <c r="R65" s="119"/>
      <c r="S65" s="119"/>
      <c r="T65" s="119"/>
      <c r="U65" s="119"/>
      <c r="V65" s="119"/>
      <c r="W65" s="119"/>
      <c r="X65" s="119"/>
      <c r="Y65" s="293"/>
      <c r="Z65" s="306"/>
      <c r="AA65" s="119"/>
      <c r="AB65" s="119"/>
      <c r="AC65" s="119"/>
      <c r="AD65" s="119"/>
    </row>
    <row r="66" spans="1:30" x14ac:dyDescent="0.3">
      <c r="A66" s="338" t="s">
        <v>132</v>
      </c>
      <c r="B66" s="11"/>
      <c r="E66" s="3" t="s">
        <v>287</v>
      </c>
      <c r="L66" s="16"/>
      <c r="M66" s="16"/>
      <c r="N66" s="15"/>
      <c r="O66" s="246">
        <f>O54-O55</f>
        <v>5090.7497069078736</v>
      </c>
      <c r="P66" s="16">
        <f t="shared" ref="P66:X66" si="36">P67*P68</f>
        <v>1750.6849529709027</v>
      </c>
      <c r="Q66" s="16">
        <f t="shared" si="36"/>
        <v>1509.5726540587425</v>
      </c>
      <c r="R66" s="16">
        <f t="shared" si="36"/>
        <v>1561.98837121356</v>
      </c>
      <c r="S66" s="16">
        <f t="shared" si="36"/>
        <v>1593.4378015064503</v>
      </c>
      <c r="T66" s="16">
        <f t="shared" si="36"/>
        <v>1561.98837121356</v>
      </c>
      <c r="U66" s="16">
        <f t="shared" si="36"/>
        <v>1478.1232237658519</v>
      </c>
      <c r="V66" s="16">
        <f t="shared" si="36"/>
        <v>1614.4040883683774</v>
      </c>
      <c r="W66" s="16">
        <f t="shared" si="36"/>
        <v>1499.089510627779</v>
      </c>
      <c r="X66" s="16">
        <f t="shared" si="36"/>
        <v>1467.6400803348884</v>
      </c>
      <c r="Y66" s="292">
        <f>SUM(P66:X66)</f>
        <v>14036.929054060111</v>
      </c>
      <c r="Z66" s="246">
        <f>Y66+O66</f>
        <v>19127.678760967985</v>
      </c>
      <c r="AA66" s="16">
        <f>AA67*AA68</f>
        <v>18519.089069967875</v>
      </c>
      <c r="AB66" s="16">
        <f>AB67*AB68</f>
        <v>20240.85473829347</v>
      </c>
      <c r="AC66" s="16">
        <f>AC67*AC68</f>
        <v>21888.579747605472</v>
      </c>
      <c r="AD66" s="16">
        <f>AD67*AD68</f>
        <v>23403.487822972056</v>
      </c>
    </row>
    <row r="67" spans="1:30" x14ac:dyDescent="0.3">
      <c r="A67" s="338" t="s">
        <v>132</v>
      </c>
      <c r="F67" s="3" t="s">
        <v>358</v>
      </c>
      <c r="M67" s="16"/>
      <c r="N67" s="15"/>
      <c r="O67" s="246">
        <f>O58</f>
        <v>387</v>
      </c>
      <c r="P67" s="16">
        <f t="shared" ref="P67:X67" si="37">P58</f>
        <v>167</v>
      </c>
      <c r="Q67" s="16">
        <f t="shared" si="37"/>
        <v>144</v>
      </c>
      <c r="R67" s="16">
        <f t="shared" si="37"/>
        <v>149</v>
      </c>
      <c r="S67" s="16">
        <f t="shared" si="37"/>
        <v>152</v>
      </c>
      <c r="T67" s="16">
        <f t="shared" si="37"/>
        <v>149</v>
      </c>
      <c r="U67" s="16">
        <f t="shared" si="37"/>
        <v>141</v>
      </c>
      <c r="V67" s="16">
        <f t="shared" si="37"/>
        <v>154</v>
      </c>
      <c r="W67" s="16">
        <f t="shared" si="37"/>
        <v>143</v>
      </c>
      <c r="X67" s="16">
        <f t="shared" si="37"/>
        <v>140</v>
      </c>
      <c r="Y67" s="292">
        <f>SUM(P67:X67)</f>
        <v>1339</v>
      </c>
      <c r="Z67" s="246">
        <f>Y67+O67</f>
        <v>1726</v>
      </c>
      <c r="AA67" s="16">
        <f>AA58</f>
        <v>1769</v>
      </c>
      <c r="AB67" s="16">
        <f>AB58</f>
        <v>1932</v>
      </c>
      <c r="AC67" s="16">
        <f>AC58</f>
        <v>2069</v>
      </c>
      <c r="AD67" s="16">
        <f>AD58</f>
        <v>2184</v>
      </c>
    </row>
    <row r="68" spans="1:30" x14ac:dyDescent="0.3">
      <c r="A68" s="338" t="s">
        <v>132</v>
      </c>
      <c r="F68" s="3" t="s">
        <v>363</v>
      </c>
      <c r="M68" s="16"/>
      <c r="N68" s="15"/>
      <c r="O68" s="246">
        <f>O66/O67</f>
        <v>13.154392007513886</v>
      </c>
      <c r="P68" s="16">
        <f>'Key Assumption'!R447</f>
        <v>10.483143430963489</v>
      </c>
      <c r="Q68" s="16">
        <f>'Key Assumption'!S447</f>
        <v>10.483143430963489</v>
      </c>
      <c r="R68" s="16">
        <f>'Key Assumption'!T447</f>
        <v>10.483143430963489</v>
      </c>
      <c r="S68" s="16">
        <f>'Key Assumption'!U447</f>
        <v>10.483143430963489</v>
      </c>
      <c r="T68" s="16">
        <f>'Key Assumption'!V447</f>
        <v>10.483143430963489</v>
      </c>
      <c r="U68" s="16">
        <f>'Key Assumption'!W447</f>
        <v>10.483143430963489</v>
      </c>
      <c r="V68" s="16">
        <f>'Key Assumption'!X447</f>
        <v>10.483143430963489</v>
      </c>
      <c r="W68" s="16">
        <f>'Key Assumption'!Y447</f>
        <v>10.483143430963489</v>
      </c>
      <c r="X68" s="16">
        <f>'Key Assumption'!Z447</f>
        <v>10.483143430963489</v>
      </c>
      <c r="Y68" s="292">
        <f>Y66/Y67</f>
        <v>10.483143430963487</v>
      </c>
      <c r="Z68" s="246">
        <f>Z66/Z67</f>
        <v>11.082085029529539</v>
      </c>
      <c r="AA68" s="16">
        <f>'Key Assumption'!AB447</f>
        <v>10.468676693028758</v>
      </c>
      <c r="AB68" s="16">
        <f>'Key Assumption'!AC447</f>
        <v>10.476632887315461</v>
      </c>
      <c r="AC68" s="16">
        <f>'Key Assumption'!AD447</f>
        <v>10.579303889611152</v>
      </c>
      <c r="AD68" s="16">
        <f>'Key Assumption'!AE447</f>
        <v>10.715882702826033</v>
      </c>
    </row>
    <row r="69" spans="1:30" x14ac:dyDescent="0.3">
      <c r="A69" s="338" t="s">
        <v>132</v>
      </c>
      <c r="D69" s="3" t="s">
        <v>288</v>
      </c>
      <c r="M69" s="16"/>
      <c r="N69" s="15"/>
      <c r="O69" s="246">
        <v>11551.630087563253</v>
      </c>
      <c r="P69" s="16">
        <f t="shared" ref="P69:X69" si="38">P70*P71</f>
        <v>4878.2306161248025</v>
      </c>
      <c r="Q69" s="16">
        <f t="shared" si="38"/>
        <v>4206.3784953411468</v>
      </c>
      <c r="R69" s="16">
        <f t="shared" si="38"/>
        <v>4352.4333042071594</v>
      </c>
      <c r="S69" s="16">
        <f t="shared" si="38"/>
        <v>4440.0661895267667</v>
      </c>
      <c r="T69" s="16">
        <f t="shared" si="38"/>
        <v>4352.4333042071594</v>
      </c>
      <c r="U69" s="16">
        <f t="shared" si="38"/>
        <v>4118.7456100215395</v>
      </c>
      <c r="V69" s="16">
        <f t="shared" si="38"/>
        <v>4498.488113073171</v>
      </c>
      <c r="W69" s="16">
        <f t="shared" si="38"/>
        <v>4177.1675335679447</v>
      </c>
      <c r="X69" s="16">
        <f t="shared" si="38"/>
        <v>4089.5346482483374</v>
      </c>
      <c r="Y69" s="292">
        <f>SUM(P69:X69)</f>
        <v>39113.477814318023</v>
      </c>
      <c r="Z69" s="246">
        <f>Y69+O69</f>
        <v>50665.107901881274</v>
      </c>
      <c r="AA69" s="16">
        <f>AA70*AA71</f>
        <v>51602.880992695078</v>
      </c>
      <c r="AB69" s="16">
        <f>AB70*AB71</f>
        <v>57259.420200753586</v>
      </c>
      <c r="AC69" s="16">
        <f>AC70*AC71</f>
        <v>62546.136233574711</v>
      </c>
      <c r="AD69" s="16">
        <f>AD70*AD71</f>
        <v>67211.007850044203</v>
      </c>
    </row>
    <row r="70" spans="1:30" x14ac:dyDescent="0.3">
      <c r="A70" s="338" t="s">
        <v>132</v>
      </c>
      <c r="E70" s="3" t="s">
        <v>358</v>
      </c>
      <c r="M70" s="16"/>
      <c r="N70" s="15"/>
      <c r="O70" s="246">
        <f t="shared" ref="O70:X70" si="39">O58</f>
        <v>387</v>
      </c>
      <c r="P70" s="16">
        <f t="shared" si="39"/>
        <v>167</v>
      </c>
      <c r="Q70" s="16">
        <f t="shared" si="39"/>
        <v>144</v>
      </c>
      <c r="R70" s="16">
        <f t="shared" si="39"/>
        <v>149</v>
      </c>
      <c r="S70" s="16">
        <f t="shared" si="39"/>
        <v>152</v>
      </c>
      <c r="T70" s="16">
        <f t="shared" si="39"/>
        <v>149</v>
      </c>
      <c r="U70" s="16">
        <f t="shared" si="39"/>
        <v>141</v>
      </c>
      <c r="V70" s="16">
        <f t="shared" si="39"/>
        <v>154</v>
      </c>
      <c r="W70" s="16">
        <f t="shared" si="39"/>
        <v>143</v>
      </c>
      <c r="X70" s="16">
        <f t="shared" si="39"/>
        <v>140</v>
      </c>
      <c r="Y70" s="292">
        <f>SUM(P70:X70)</f>
        <v>1339</v>
      </c>
      <c r="Z70" s="246">
        <f>Y70+O70</f>
        <v>1726</v>
      </c>
      <c r="AA70" s="16">
        <f>AA58</f>
        <v>1769</v>
      </c>
      <c r="AB70" s="16">
        <f>AB58</f>
        <v>1932</v>
      </c>
      <c r="AC70" s="16">
        <f>AC58</f>
        <v>2069</v>
      </c>
      <c r="AD70" s="16">
        <f>AD58</f>
        <v>2184</v>
      </c>
    </row>
    <row r="71" spans="1:30" x14ac:dyDescent="0.3">
      <c r="A71" s="338" t="s">
        <v>132</v>
      </c>
      <c r="E71" s="3" t="s">
        <v>364</v>
      </c>
      <c r="M71" s="16"/>
      <c r="N71" s="15"/>
      <c r="O71" s="246">
        <f>O69/O70</f>
        <v>29.849173352876623</v>
      </c>
      <c r="P71" s="16">
        <f>'Key Assumption'!R453</f>
        <v>29.21096177320241</v>
      </c>
      <c r="Q71" s="16">
        <f>'Key Assumption'!S453</f>
        <v>29.21096177320241</v>
      </c>
      <c r="R71" s="16">
        <f>'Key Assumption'!T453</f>
        <v>29.21096177320241</v>
      </c>
      <c r="S71" s="16">
        <f>'Key Assumption'!U453</f>
        <v>29.21096177320241</v>
      </c>
      <c r="T71" s="16">
        <f>'Key Assumption'!V453</f>
        <v>29.21096177320241</v>
      </c>
      <c r="U71" s="16">
        <f>'Key Assumption'!W453</f>
        <v>29.21096177320241</v>
      </c>
      <c r="V71" s="16">
        <f>'Key Assumption'!X453</f>
        <v>29.21096177320241</v>
      </c>
      <c r="W71" s="16">
        <f>'Key Assumption'!Y453</f>
        <v>29.21096177320241</v>
      </c>
      <c r="X71" s="16">
        <f>'Key Assumption'!Z453</f>
        <v>29.21096177320241</v>
      </c>
      <c r="Y71" s="292">
        <f>Y69/Y70</f>
        <v>29.210961773202406</v>
      </c>
      <c r="Z71" s="246">
        <f>Z69/Z70</f>
        <v>29.354060198077217</v>
      </c>
      <c r="AA71" s="16">
        <f>'Key Assumption'!AB453</f>
        <v>29.170650645955387</v>
      </c>
      <c r="AB71" s="16">
        <f>'Key Assumption'!AC453</f>
        <v>29.637381056290675</v>
      </c>
      <c r="AC71" s="16">
        <f>'Key Assumption'!AD453</f>
        <v>30.230128677416488</v>
      </c>
      <c r="AD71" s="16">
        <f>'Key Assumption'!AE453</f>
        <v>30.774270993609985</v>
      </c>
    </row>
    <row r="72" spans="1:30" x14ac:dyDescent="0.3">
      <c r="A72" s="338"/>
      <c r="C72" s="3" t="s">
        <v>133</v>
      </c>
      <c r="M72" s="16"/>
      <c r="N72" s="15"/>
      <c r="O72" s="246">
        <f t="shared" ref="O72:AD72" si="40">O73+O88</f>
        <v>12334.678900999996</v>
      </c>
      <c r="P72" s="16">
        <f t="shared" si="40"/>
        <v>4410.9624052757626</v>
      </c>
      <c r="Q72" s="16">
        <f t="shared" si="40"/>
        <v>4639.9544059928749</v>
      </c>
      <c r="R72" s="16">
        <f t="shared" si="40"/>
        <v>4582.8242027233773</v>
      </c>
      <c r="S72" s="16">
        <f t="shared" si="40"/>
        <v>4739.6508861162911</v>
      </c>
      <c r="T72" s="16">
        <f t="shared" si="40"/>
        <v>4623.4600973205124</v>
      </c>
      <c r="U72" s="16">
        <f t="shared" si="40"/>
        <v>3872.9980483651702</v>
      </c>
      <c r="V72" s="16">
        <f t="shared" si="40"/>
        <v>3991.5095410276463</v>
      </c>
      <c r="W72" s="16">
        <f t="shared" si="40"/>
        <v>3759.1834979027308</v>
      </c>
      <c r="X72" s="16">
        <f t="shared" si="40"/>
        <v>3701.3227364759832</v>
      </c>
      <c r="Y72" s="292">
        <f t="shared" si="40"/>
        <v>38321.86582120035</v>
      </c>
      <c r="Z72" s="246">
        <f t="shared" si="40"/>
        <v>50656.544722200342</v>
      </c>
      <c r="AA72" s="16">
        <f t="shared" si="40"/>
        <v>54146.236415306106</v>
      </c>
      <c r="AB72" s="16">
        <f t="shared" si="40"/>
        <v>65006.606913222335</v>
      </c>
      <c r="AC72" s="16">
        <f t="shared" si="40"/>
        <v>76368.200543442421</v>
      </c>
      <c r="AD72" s="16">
        <f t="shared" si="40"/>
        <v>88541.023866435266</v>
      </c>
    </row>
    <row r="73" spans="1:30" x14ac:dyDescent="0.3">
      <c r="A73" s="338" t="s">
        <v>133</v>
      </c>
      <c r="B73" s="11"/>
      <c r="D73" s="3" t="s">
        <v>354</v>
      </c>
      <c r="L73" s="16"/>
      <c r="M73" s="16"/>
      <c r="N73" s="15"/>
      <c r="O73" s="246">
        <v>7345.6162223214851</v>
      </c>
      <c r="P73" s="16">
        <f t="shared" ref="P73:AD73" si="41">P74+P85</f>
        <v>2590.3762940419128</v>
      </c>
      <c r="Q73" s="16">
        <f t="shared" si="41"/>
        <v>2724.7923928767477</v>
      </c>
      <c r="R73" s="16">
        <f t="shared" si="41"/>
        <v>2691.30616507782</v>
      </c>
      <c r="S73" s="16">
        <f t="shared" si="41"/>
        <v>2800.8448975295946</v>
      </c>
      <c r="T73" s="16">
        <f t="shared" si="41"/>
        <v>2731.9420596749542</v>
      </c>
      <c r="U73" s="16">
        <f t="shared" si="41"/>
        <v>2288.8516918370156</v>
      </c>
      <c r="V73" s="16">
        <f t="shared" si="41"/>
        <v>2360.0752335583529</v>
      </c>
      <c r="W73" s="16">
        <f t="shared" si="41"/>
        <v>2222.3250923157152</v>
      </c>
      <c r="X73" s="16">
        <f t="shared" si="41"/>
        <v>2188.108306359537</v>
      </c>
      <c r="Y73" s="292">
        <f t="shared" si="41"/>
        <v>22598.622133271652</v>
      </c>
      <c r="Z73" s="246">
        <f t="shared" si="41"/>
        <v>29944.238355593137</v>
      </c>
      <c r="AA73" s="16">
        <f t="shared" si="41"/>
        <v>32423.797373639623</v>
      </c>
      <c r="AB73" s="16">
        <f t="shared" si="41"/>
        <v>39170.315698612772</v>
      </c>
      <c r="AC73" s="16">
        <f t="shared" si="41"/>
        <v>46002.282117001319</v>
      </c>
      <c r="AD73" s="16">
        <f t="shared" si="41"/>
        <v>53369.019836732383</v>
      </c>
    </row>
    <row r="74" spans="1:30" x14ac:dyDescent="0.3">
      <c r="A74" s="338" t="s">
        <v>133</v>
      </c>
      <c r="B74" s="11"/>
      <c r="E74" s="3" t="s">
        <v>355</v>
      </c>
      <c r="L74" s="16"/>
      <c r="M74" s="16"/>
      <c r="N74" s="15"/>
      <c r="O74" s="246">
        <f>O75+O80</f>
        <v>2417.4949629136336</v>
      </c>
      <c r="P74" s="16">
        <f t="shared" ref="P74:Y74" si="42">P75+P80</f>
        <v>914.11159369049813</v>
      </c>
      <c r="Q74" s="16">
        <f t="shared" si="42"/>
        <v>961.44900679279203</v>
      </c>
      <c r="R74" s="16">
        <f t="shared" si="42"/>
        <v>949.73245042699955</v>
      </c>
      <c r="S74" s="16">
        <f t="shared" si="42"/>
        <v>1015.7318400125033</v>
      </c>
      <c r="T74" s="16">
        <f t="shared" si="42"/>
        <v>990.36834502413353</v>
      </c>
      <c r="U74" s="16">
        <f t="shared" si="42"/>
        <v>830.2837058169531</v>
      </c>
      <c r="V74" s="16">
        <f t="shared" si="42"/>
        <v>857.96790467201981</v>
      </c>
      <c r="W74" s="16">
        <f t="shared" si="42"/>
        <v>807.29644916192342</v>
      </c>
      <c r="X74" s="16">
        <f t="shared" si="42"/>
        <v>794.84933463888069</v>
      </c>
      <c r="Y74" s="292">
        <f t="shared" si="42"/>
        <v>8121.7906302367028</v>
      </c>
      <c r="Z74" s="246">
        <f>Z75+Z80</f>
        <v>10539.285593150336</v>
      </c>
      <c r="AA74" s="16">
        <f>AA75+AA80</f>
        <v>12423.338430006694</v>
      </c>
      <c r="AB74" s="16">
        <f>AB75+AB80</f>
        <v>15738.940635626681</v>
      </c>
      <c r="AC74" s="16">
        <f>AC75+AC80</f>
        <v>18738.304261470439</v>
      </c>
      <c r="AD74" s="16">
        <f>AD75+AD80</f>
        <v>21947.803395781655</v>
      </c>
    </row>
    <row r="75" spans="1:30" x14ac:dyDescent="0.3">
      <c r="A75" s="338" t="s">
        <v>133</v>
      </c>
      <c r="B75" s="11"/>
      <c r="F75" s="3" t="s">
        <v>356</v>
      </c>
      <c r="L75" s="16"/>
      <c r="M75" s="16"/>
      <c r="N75" s="15"/>
      <c r="O75" s="246">
        <f>O76*O79/10^6</f>
        <v>2226.7819038978828</v>
      </c>
      <c r="P75" s="16">
        <f t="shared" ref="P75:X75" si="43">P76*P79/10^6</f>
        <v>890.52141841253865</v>
      </c>
      <c r="Q75" s="16">
        <f t="shared" si="43"/>
        <v>914.26865623687308</v>
      </c>
      <c r="R75" s="16">
        <f t="shared" si="43"/>
        <v>926.14227514904007</v>
      </c>
      <c r="S75" s="16">
        <f t="shared" si="43"/>
        <v>992.05472557138887</v>
      </c>
      <c r="T75" s="16">
        <f t="shared" si="43"/>
        <v>954.85267336246181</v>
      </c>
      <c r="U75" s="16">
        <f t="shared" si="43"/>
        <v>818.44514859639582</v>
      </c>
      <c r="V75" s="16">
        <f t="shared" si="43"/>
        <v>846.40378756690268</v>
      </c>
      <c r="W75" s="16">
        <f t="shared" si="43"/>
        <v>784.16821495168915</v>
      </c>
      <c r="X75" s="16">
        <f t="shared" si="43"/>
        <v>771.72110042864642</v>
      </c>
      <c r="Y75" s="292">
        <f>SUM(P75:X75)</f>
        <v>7898.5780002759366</v>
      </c>
      <c r="Z75" s="246">
        <f>Y75+O75</f>
        <v>10125.35990417382</v>
      </c>
      <c r="AA75" s="16">
        <f>AA76*AA79/10^6</f>
        <v>11994.421976145926</v>
      </c>
      <c r="AB75" s="16">
        <f>AB76*AB79/10^6</f>
        <v>15232.471174544446</v>
      </c>
      <c r="AC75" s="16">
        <f>AC76*AC79/10^6</f>
        <v>18139.617447966139</v>
      </c>
      <c r="AD75" s="16">
        <f>AD76*AD79/10^6</f>
        <v>21248.852764719366</v>
      </c>
    </row>
    <row r="76" spans="1:30" x14ac:dyDescent="0.3">
      <c r="A76" s="338"/>
      <c r="B76" s="11"/>
      <c r="G76" s="3" t="s">
        <v>357</v>
      </c>
      <c r="L76" s="16"/>
      <c r="M76" s="16"/>
      <c r="N76" s="15"/>
      <c r="O76" s="246">
        <f>O77*O78</f>
        <v>249019350.14279649</v>
      </c>
      <c r="P76" s="16">
        <f t="shared" ref="P76:X76" si="44">P77*P78</f>
        <v>96769177.516630754</v>
      </c>
      <c r="Q76" s="16">
        <f t="shared" si="44"/>
        <v>99349688.917074248</v>
      </c>
      <c r="R76" s="16">
        <f t="shared" si="44"/>
        <v>100639944.61729598</v>
      </c>
      <c r="S76" s="16">
        <f t="shared" si="44"/>
        <v>103220456.01773947</v>
      </c>
      <c r="T76" s="16">
        <f t="shared" si="44"/>
        <v>99349688.917074248</v>
      </c>
      <c r="U76" s="16">
        <f t="shared" si="44"/>
        <v>85156876.214635074</v>
      </c>
      <c r="V76" s="16">
        <f t="shared" si="44"/>
        <v>87737387.615078554</v>
      </c>
      <c r="W76" s="16">
        <f t="shared" si="44"/>
        <v>81286109.113969833</v>
      </c>
      <c r="X76" s="16">
        <f t="shared" si="44"/>
        <v>79995853.413748085</v>
      </c>
      <c r="Y76" s="292">
        <f>SUM(P76:X76)</f>
        <v>833505182.34324622</v>
      </c>
      <c r="Z76" s="246">
        <f>Y76+O76</f>
        <v>1082524532.4860427</v>
      </c>
      <c r="AA76" s="16">
        <f>AA77*AA78</f>
        <v>1151828036.9120531</v>
      </c>
      <c r="AB76" s="16">
        <f>AB77*AB78</f>
        <v>1366334159.2743313</v>
      </c>
      <c r="AC76" s="16">
        <f>AC77*AC78</f>
        <v>1592680494.6809258</v>
      </c>
      <c r="AD76" s="16">
        <f>AD77*AD78</f>
        <v>1837359545.9922352</v>
      </c>
    </row>
    <row r="77" spans="1:30" x14ac:dyDescent="0.3">
      <c r="A77" s="338" t="s">
        <v>133</v>
      </c>
      <c r="B77" s="11"/>
      <c r="G77" s="379" t="s">
        <v>358</v>
      </c>
      <c r="I77" s="380">
        <f>1-I82</f>
        <v>0.95995423340961095</v>
      </c>
      <c r="L77" s="16"/>
      <c r="M77" s="16"/>
      <c r="N77" s="15"/>
      <c r="O77" s="250">
        <f>Revenue_HW!O17-COGS_HW!O82</f>
        <v>193</v>
      </c>
      <c r="P77" s="247">
        <f>Revenue_HW!P17-P82</f>
        <v>75</v>
      </c>
      <c r="Q77" s="247">
        <f>Revenue_HW!Q17-Q82</f>
        <v>77</v>
      </c>
      <c r="R77" s="247">
        <f>Revenue_HW!R17-R82</f>
        <v>78</v>
      </c>
      <c r="S77" s="247">
        <f>Revenue_HW!S17-S82</f>
        <v>80</v>
      </c>
      <c r="T77" s="247">
        <f>Revenue_HW!T17-T82</f>
        <v>77</v>
      </c>
      <c r="U77" s="247">
        <f>Revenue_HW!U17-U82</f>
        <v>66</v>
      </c>
      <c r="V77" s="247">
        <f>Revenue_HW!V17-V82</f>
        <v>68</v>
      </c>
      <c r="W77" s="247">
        <f>Revenue_HW!W17-W82</f>
        <v>63</v>
      </c>
      <c r="X77" s="247">
        <f>Revenue_HW!X17-X82</f>
        <v>62</v>
      </c>
      <c r="Y77" s="366">
        <f>SUM(P77:X77)</f>
        <v>646</v>
      </c>
      <c r="Z77" s="250">
        <f>Y77+O77</f>
        <v>839</v>
      </c>
      <c r="AA77" s="247">
        <f>ROUND(Revenue_HW!AA$17*$I77,)</f>
        <v>883</v>
      </c>
      <c r="AB77" s="247">
        <f>ROUND(Revenue_HW!AB$17*$I77,)</f>
        <v>1034</v>
      </c>
      <c r="AC77" s="247">
        <f>ROUND(Revenue_HW!AC$17*$I77,)</f>
        <v>1191</v>
      </c>
      <c r="AD77" s="247">
        <f>ROUND(Revenue_HW!AD$17*$I77,)</f>
        <v>1355</v>
      </c>
    </row>
    <row r="78" spans="1:30" x14ac:dyDescent="0.3">
      <c r="A78" s="338" t="s">
        <v>133</v>
      </c>
      <c r="B78" s="11"/>
      <c r="G78" s="379" t="s">
        <v>359</v>
      </c>
      <c r="L78" s="16"/>
      <c r="M78" s="16"/>
      <c r="N78" s="15"/>
      <c r="O78" s="246">
        <f>P78</f>
        <v>1290255.7002217434</v>
      </c>
      <c r="P78" s="16">
        <f>'Key Assumption'!R436</f>
        <v>1290255.7002217434</v>
      </c>
      <c r="Q78" s="16">
        <f>'Key Assumption'!S436</f>
        <v>1290255.7002217434</v>
      </c>
      <c r="R78" s="16">
        <f>'Key Assumption'!T436</f>
        <v>1290255.7002217434</v>
      </c>
      <c r="S78" s="16">
        <f>'Key Assumption'!U436</f>
        <v>1290255.7002217434</v>
      </c>
      <c r="T78" s="16">
        <f>'Key Assumption'!V436</f>
        <v>1290255.7002217434</v>
      </c>
      <c r="U78" s="16">
        <f>'Key Assumption'!W436</f>
        <v>1290255.7002217434</v>
      </c>
      <c r="V78" s="16">
        <f>'Key Assumption'!X436</f>
        <v>1290255.7002217434</v>
      </c>
      <c r="W78" s="16">
        <f>'Key Assumption'!Y436</f>
        <v>1290255.7002217434</v>
      </c>
      <c r="X78" s="16">
        <f>'Key Assumption'!Z436</f>
        <v>1290255.7002217434</v>
      </c>
      <c r="Y78" s="292">
        <f>Y76/Y77</f>
        <v>1290255.7002217434</v>
      </c>
      <c r="Z78" s="246">
        <f>Z76/Z77</f>
        <v>1290255.7002217434</v>
      </c>
      <c r="AA78" s="16">
        <f>'Key Assumption'!AB436</f>
        <v>1304448.5129241825</v>
      </c>
      <c r="AB78" s="16">
        <f>'Key Assumption'!AC436</f>
        <v>1321406.3435921967</v>
      </c>
      <c r="AC78" s="16">
        <f>'Key Assumption'!AD436</f>
        <v>1337263.219715303</v>
      </c>
      <c r="AD78" s="16">
        <f>'Key Assumption'!AE436</f>
        <v>1355984.9047913174</v>
      </c>
    </row>
    <row r="79" spans="1:30" x14ac:dyDescent="0.3">
      <c r="A79" s="338" t="s">
        <v>133</v>
      </c>
      <c r="B79" s="11"/>
      <c r="G79" s="3" t="s">
        <v>333</v>
      </c>
      <c r="L79" s="16"/>
      <c r="M79" s="16"/>
      <c r="N79" s="15"/>
      <c r="O79" s="246">
        <f>O$187</f>
        <v>8.9422043010752681</v>
      </c>
      <c r="P79" s="16">
        <f t="shared" ref="P79:X79" si="45">P$187</f>
        <v>9.2025316455696196</v>
      </c>
      <c r="Q79" s="16">
        <f t="shared" si="45"/>
        <v>9.2025316455696196</v>
      </c>
      <c r="R79" s="16">
        <f t="shared" si="45"/>
        <v>9.2025316455696196</v>
      </c>
      <c r="S79" s="16">
        <f t="shared" si="45"/>
        <v>9.6110283159463492</v>
      </c>
      <c r="T79" s="16">
        <f t="shared" si="45"/>
        <v>9.6110283159463492</v>
      </c>
      <c r="U79" s="16">
        <f t="shared" si="45"/>
        <v>9.6110283159463492</v>
      </c>
      <c r="V79" s="16">
        <f t="shared" si="45"/>
        <v>9.6470137825421141</v>
      </c>
      <c r="W79" s="16">
        <f t="shared" si="45"/>
        <v>9.6470137825421141</v>
      </c>
      <c r="X79" s="16">
        <f t="shared" si="45"/>
        <v>9.6470137825421141</v>
      </c>
      <c r="Y79" s="292">
        <f>Y75/Y76*10^6</f>
        <v>9.4763394008787571</v>
      </c>
      <c r="Z79" s="246">
        <f>Z75/Z76*10^6</f>
        <v>9.3534692289334966</v>
      </c>
      <c r="AA79" s="16">
        <f>AA$187</f>
        <v>10.413379073756433</v>
      </c>
      <c r="AB79" s="16">
        <f>AB$187</f>
        <v>11.148423005565862</v>
      </c>
      <c r="AC79" s="16">
        <f>AC$187</f>
        <v>11.389363722697055</v>
      </c>
      <c r="AD79" s="16">
        <f>AD$187</f>
        <v>11.564885496183207</v>
      </c>
    </row>
    <row r="80" spans="1:30" x14ac:dyDescent="0.3">
      <c r="A80" s="338" t="s">
        <v>133</v>
      </c>
      <c r="B80" s="11"/>
      <c r="F80" s="3" t="s">
        <v>360</v>
      </c>
      <c r="L80" s="16"/>
      <c r="M80" s="16"/>
      <c r="N80" s="15"/>
      <c r="O80" s="246">
        <f>O81*O84/10^6</f>
        <v>190.71305901575056</v>
      </c>
      <c r="P80" s="16">
        <f t="shared" ref="P80:X80" si="46">P81*P84/10^6</f>
        <v>23.590175277959453</v>
      </c>
      <c r="Q80" s="16">
        <f t="shared" si="46"/>
        <v>47.180350555918906</v>
      </c>
      <c r="R80" s="16">
        <f t="shared" si="46"/>
        <v>23.590175277959453</v>
      </c>
      <c r="S80" s="16">
        <f t="shared" si="46"/>
        <v>23.677114441114448</v>
      </c>
      <c r="T80" s="16">
        <f t="shared" si="46"/>
        <v>35.515671661671668</v>
      </c>
      <c r="U80" s="16">
        <f t="shared" si="46"/>
        <v>11.838557220557224</v>
      </c>
      <c r="V80" s="16">
        <f t="shared" si="46"/>
        <v>11.564117105117109</v>
      </c>
      <c r="W80" s="16">
        <f t="shared" si="46"/>
        <v>23.128234210234218</v>
      </c>
      <c r="X80" s="16">
        <f t="shared" si="46"/>
        <v>23.128234210234218</v>
      </c>
      <c r="Y80" s="292">
        <f>SUM(P80:X80)</f>
        <v>223.21262996076666</v>
      </c>
      <c r="Z80" s="246">
        <f>Y80+O80</f>
        <v>413.92568897651722</v>
      </c>
      <c r="AA80" s="16">
        <f>AA81*AA84/10^6</f>
        <v>428.91645386076675</v>
      </c>
      <c r="AB80" s="16">
        <f>AB81*AB84/10^6</f>
        <v>506.46946108223506</v>
      </c>
      <c r="AC80" s="16">
        <f>AC81*AC84/10^6</f>
        <v>598.68681350429904</v>
      </c>
      <c r="AD80" s="16">
        <f>AD81*AD84/10^6</f>
        <v>698.95063106228815</v>
      </c>
    </row>
    <row r="81" spans="1:30" x14ac:dyDescent="0.3">
      <c r="A81" s="338"/>
      <c r="B81" s="11"/>
      <c r="G81" s="3" t="s">
        <v>361</v>
      </c>
      <c r="L81" s="16"/>
      <c r="M81" s="16"/>
      <c r="N81" s="15"/>
      <c r="O81" s="246">
        <f>O82*O83</f>
        <v>132304.00000000003</v>
      </c>
      <c r="P81" s="16">
        <f t="shared" ref="P81:X81" si="47">P82*P83</f>
        <v>16538.000000000004</v>
      </c>
      <c r="Q81" s="16">
        <f t="shared" si="47"/>
        <v>33076.000000000007</v>
      </c>
      <c r="R81" s="16">
        <f t="shared" si="47"/>
        <v>16538.000000000004</v>
      </c>
      <c r="S81" s="16">
        <f t="shared" si="47"/>
        <v>16538.000000000004</v>
      </c>
      <c r="T81" s="16">
        <f t="shared" si="47"/>
        <v>24807.000000000007</v>
      </c>
      <c r="U81" s="16">
        <f t="shared" si="47"/>
        <v>8269.0000000000018</v>
      </c>
      <c r="V81" s="16">
        <f t="shared" si="47"/>
        <v>8269.0000000000018</v>
      </c>
      <c r="W81" s="16">
        <f t="shared" si="47"/>
        <v>16538.000000000004</v>
      </c>
      <c r="X81" s="16">
        <f t="shared" si="47"/>
        <v>16538.000000000004</v>
      </c>
      <c r="Y81" s="292">
        <f>SUM(P81:X81)</f>
        <v>157111.00000000003</v>
      </c>
      <c r="Z81" s="246">
        <f>Y81+O81</f>
        <v>289415.00000000006</v>
      </c>
      <c r="AA81" s="16">
        <f>AA82*AA83</f>
        <v>310542.29500000004</v>
      </c>
      <c r="AB81" s="16">
        <f>AB82*AB83</f>
        <v>364870.41055500007</v>
      </c>
      <c r="AC81" s="16">
        <f>AC82*AC83</f>
        <v>428510.59844250005</v>
      </c>
      <c r="AD81" s="16">
        <f>AD82*AD83</f>
        <v>492898.60096447007</v>
      </c>
    </row>
    <row r="82" spans="1:30" x14ac:dyDescent="0.3">
      <c r="A82" s="338" t="s">
        <v>133</v>
      </c>
      <c r="B82" s="11"/>
      <c r="G82" s="379" t="s">
        <v>358</v>
      </c>
      <c r="I82" s="380">
        <f>Z82/Revenue_HW!Z17</f>
        <v>4.0045766590389019E-2</v>
      </c>
      <c r="L82" s="16"/>
      <c r="M82" s="16"/>
      <c r="N82" s="15"/>
      <c r="O82" s="246">
        <v>16</v>
      </c>
      <c r="P82" s="16">
        <v>2</v>
      </c>
      <c r="Q82" s="16">
        <v>4</v>
      </c>
      <c r="R82" s="16">
        <v>2</v>
      </c>
      <c r="S82" s="16">
        <v>2</v>
      </c>
      <c r="T82" s="16">
        <v>3</v>
      </c>
      <c r="U82" s="16">
        <v>1</v>
      </c>
      <c r="V82" s="16">
        <v>1</v>
      </c>
      <c r="W82" s="16">
        <v>2</v>
      </c>
      <c r="X82" s="16">
        <v>2</v>
      </c>
      <c r="Y82" s="292">
        <f>SUM(P82:X82)</f>
        <v>19</v>
      </c>
      <c r="Z82" s="246">
        <f>Y82+O82</f>
        <v>35</v>
      </c>
      <c r="AA82" s="16">
        <f>Revenue_HW!AA17-COGS_HW!AA77</f>
        <v>37</v>
      </c>
      <c r="AB82" s="16">
        <f>Revenue_HW!AB17-COGS_HW!AB77</f>
        <v>43</v>
      </c>
      <c r="AC82" s="16">
        <f>Revenue_HW!AC17-COGS_HW!AC77</f>
        <v>50</v>
      </c>
      <c r="AD82" s="16">
        <f>Revenue_HW!AD17-COGS_HW!AD77</f>
        <v>57</v>
      </c>
    </row>
    <row r="83" spans="1:30" x14ac:dyDescent="0.3">
      <c r="A83" s="338" t="s">
        <v>133</v>
      </c>
      <c r="B83" s="11"/>
      <c r="G83" s="379" t="s">
        <v>362</v>
      </c>
      <c r="L83" s="16"/>
      <c r="M83" s="16"/>
      <c r="N83" s="15"/>
      <c r="O83" s="246">
        <f>P83</f>
        <v>8269.0000000000018</v>
      </c>
      <c r="P83" s="16">
        <f>'Key Assumption'!R442</f>
        <v>8269.0000000000018</v>
      </c>
      <c r="Q83" s="16">
        <f>'Key Assumption'!S442</f>
        <v>8269.0000000000018</v>
      </c>
      <c r="R83" s="16">
        <f>'Key Assumption'!T442</f>
        <v>8269.0000000000018</v>
      </c>
      <c r="S83" s="16">
        <f>'Key Assumption'!U442</f>
        <v>8269.0000000000018</v>
      </c>
      <c r="T83" s="16">
        <f>'Key Assumption'!V442</f>
        <v>8269.0000000000018</v>
      </c>
      <c r="U83" s="16">
        <f>'Key Assumption'!W442</f>
        <v>8269.0000000000018</v>
      </c>
      <c r="V83" s="16">
        <f>'Key Assumption'!X442</f>
        <v>8269.0000000000018</v>
      </c>
      <c r="W83" s="16">
        <f>'Key Assumption'!Y442</f>
        <v>8269.0000000000018</v>
      </c>
      <c r="X83" s="16">
        <f>'Key Assumption'!Z442</f>
        <v>8269.0000000000018</v>
      </c>
      <c r="Y83" s="292">
        <f>Y81/Y82</f>
        <v>8269.0000000000018</v>
      </c>
      <c r="Z83" s="246">
        <f>Z81/Z82</f>
        <v>8269.0000000000018</v>
      </c>
      <c r="AA83" s="16">
        <f>'Key Assumption'!AB442</f>
        <v>8393.0350000000017</v>
      </c>
      <c r="AB83" s="16">
        <f>'Key Assumption'!AC442</f>
        <v>8485.3583850000014</v>
      </c>
      <c r="AC83" s="16">
        <f>'Key Assumption'!AD442</f>
        <v>8570.2119688500006</v>
      </c>
      <c r="AD83" s="16">
        <f>'Key Assumption'!AE442</f>
        <v>8647.3438765696501</v>
      </c>
    </row>
    <row r="84" spans="1:30" x14ac:dyDescent="0.3">
      <c r="A84" s="338" t="s">
        <v>133</v>
      </c>
      <c r="G84" s="3" t="s">
        <v>333</v>
      </c>
      <c r="M84" s="16"/>
      <c r="N84" s="15"/>
      <c r="O84" s="246">
        <f>Revenue_HW!$O$482</f>
        <v>1441.476138406628</v>
      </c>
      <c r="P84" s="16">
        <f t="shared" ref="P84:X84" si="48">P$188</f>
        <v>1426.4224983649444</v>
      </c>
      <c r="Q84" s="16">
        <f t="shared" si="48"/>
        <v>1426.4224983649444</v>
      </c>
      <c r="R84" s="16">
        <f t="shared" si="48"/>
        <v>1426.4224983649444</v>
      </c>
      <c r="S84" s="16">
        <f t="shared" si="48"/>
        <v>1431.6794316794317</v>
      </c>
      <c r="T84" s="16">
        <f t="shared" si="48"/>
        <v>1431.6794316794317</v>
      </c>
      <c r="U84" s="16">
        <f t="shared" si="48"/>
        <v>1431.6794316794317</v>
      </c>
      <c r="V84" s="16">
        <f t="shared" si="48"/>
        <v>1398.4903984903985</v>
      </c>
      <c r="W84" s="16">
        <f t="shared" si="48"/>
        <v>1398.4903984903985</v>
      </c>
      <c r="X84" s="16">
        <f t="shared" si="48"/>
        <v>1398.4903984903985</v>
      </c>
      <c r="Y84" s="292">
        <f>Y80/Y81*10^6</f>
        <v>1420.7320299709545</v>
      </c>
      <c r="Z84" s="246">
        <f>Z80/Z81*10^6</f>
        <v>1430.2150509701196</v>
      </c>
      <c r="AA84" s="16">
        <f>AA$188</f>
        <v>1381.1853031509499</v>
      </c>
      <c r="AB84" s="16">
        <f>AB$188</f>
        <v>1388.080388080388</v>
      </c>
      <c r="AC84" s="16">
        <f>AC$188</f>
        <v>1397.1342031686859</v>
      </c>
      <c r="AD84" s="16">
        <f>AD$188</f>
        <v>1418.041418041418</v>
      </c>
    </row>
    <row r="85" spans="1:30" x14ac:dyDescent="0.3">
      <c r="A85" s="338" t="s">
        <v>133</v>
      </c>
      <c r="E85" s="3" t="s">
        <v>287</v>
      </c>
      <c r="M85" s="16"/>
      <c r="N85" s="15"/>
      <c r="O85" s="246">
        <f>O73-O74</f>
        <v>4928.1212594078515</v>
      </c>
      <c r="P85" s="16">
        <f t="shared" ref="P85:X85" si="49">P86*P87</f>
        <v>1676.2647003514148</v>
      </c>
      <c r="Q85" s="16">
        <f t="shared" si="49"/>
        <v>1763.3433860839559</v>
      </c>
      <c r="R85" s="16">
        <f t="shared" si="49"/>
        <v>1741.5737146508206</v>
      </c>
      <c r="S85" s="16">
        <f t="shared" si="49"/>
        <v>1785.1130575170912</v>
      </c>
      <c r="T85" s="16">
        <f t="shared" si="49"/>
        <v>1741.5737146508206</v>
      </c>
      <c r="U85" s="16">
        <f t="shared" si="49"/>
        <v>1458.5679860200623</v>
      </c>
      <c r="V85" s="16">
        <f t="shared" si="49"/>
        <v>1502.1073288863329</v>
      </c>
      <c r="W85" s="16">
        <f t="shared" si="49"/>
        <v>1415.0286431537918</v>
      </c>
      <c r="X85" s="16">
        <f t="shared" si="49"/>
        <v>1393.2589717206565</v>
      </c>
      <c r="Y85" s="292">
        <f>SUM(P85:X85)</f>
        <v>14476.831503034948</v>
      </c>
      <c r="Z85" s="246">
        <f>Y85+O85</f>
        <v>19404.952762442801</v>
      </c>
      <c r="AA85" s="16">
        <f>AA86*AA87</f>
        <v>20000.45894363293</v>
      </c>
      <c r="AB85" s="16">
        <f>AB86*AB87</f>
        <v>23431.375062986092</v>
      </c>
      <c r="AC85" s="16">
        <f>AC86*AC87</f>
        <v>27263.977855530884</v>
      </c>
      <c r="AD85" s="16">
        <f>AD86*AD87</f>
        <v>31421.216440950728</v>
      </c>
    </row>
    <row r="86" spans="1:30" x14ac:dyDescent="0.3">
      <c r="A86" s="338" t="s">
        <v>133</v>
      </c>
      <c r="F86" s="3" t="s">
        <v>358</v>
      </c>
      <c r="M86" s="16"/>
      <c r="N86" s="15"/>
      <c r="O86" s="246">
        <f>+O82+O77</f>
        <v>209</v>
      </c>
      <c r="P86" s="16">
        <f t="shared" ref="P86:Y86" si="50">+P82+P77</f>
        <v>77</v>
      </c>
      <c r="Q86" s="16">
        <f t="shared" si="50"/>
        <v>81</v>
      </c>
      <c r="R86" s="16">
        <f t="shared" si="50"/>
        <v>80</v>
      </c>
      <c r="S86" s="16">
        <f t="shared" si="50"/>
        <v>82</v>
      </c>
      <c r="T86" s="16">
        <f t="shared" si="50"/>
        <v>80</v>
      </c>
      <c r="U86" s="16">
        <f t="shared" si="50"/>
        <v>67</v>
      </c>
      <c r="V86" s="16">
        <f t="shared" si="50"/>
        <v>69</v>
      </c>
      <c r="W86" s="16">
        <f t="shared" si="50"/>
        <v>65</v>
      </c>
      <c r="X86" s="16">
        <f t="shared" si="50"/>
        <v>64</v>
      </c>
      <c r="Y86" s="292">
        <f t="shared" si="50"/>
        <v>665</v>
      </c>
      <c r="Z86" s="246">
        <f>Y86+O86</f>
        <v>874</v>
      </c>
      <c r="AA86" s="16">
        <f>+AA82+AA77</f>
        <v>920</v>
      </c>
      <c r="AB86" s="16">
        <f>+AB82+AB77</f>
        <v>1077</v>
      </c>
      <c r="AC86" s="16">
        <f>+AC82+AC77</f>
        <v>1241</v>
      </c>
      <c r="AD86" s="16">
        <f>+AD82+AD77</f>
        <v>1412</v>
      </c>
    </row>
    <row r="87" spans="1:30" x14ac:dyDescent="0.3">
      <c r="A87" s="338" t="s">
        <v>133</v>
      </c>
      <c r="F87" s="3" t="s">
        <v>363</v>
      </c>
      <c r="M87" s="16"/>
      <c r="N87" s="15"/>
      <c r="O87" s="246">
        <f>O85/O86</f>
        <v>23.579527556975368</v>
      </c>
      <c r="P87" s="16">
        <f>'Key Assumption'!R448</f>
        <v>21.769671433135258</v>
      </c>
      <c r="Q87" s="16">
        <f>'Key Assumption'!S448</f>
        <v>21.769671433135258</v>
      </c>
      <c r="R87" s="16">
        <f>'Key Assumption'!T448</f>
        <v>21.769671433135258</v>
      </c>
      <c r="S87" s="16">
        <f>'Key Assumption'!U448</f>
        <v>21.769671433135258</v>
      </c>
      <c r="T87" s="16">
        <f>'Key Assumption'!V448</f>
        <v>21.769671433135258</v>
      </c>
      <c r="U87" s="16">
        <f>'Key Assumption'!W448</f>
        <v>21.769671433135258</v>
      </c>
      <c r="V87" s="16">
        <f>'Key Assumption'!X448</f>
        <v>21.769671433135258</v>
      </c>
      <c r="W87" s="16">
        <f>'Key Assumption'!Y448</f>
        <v>21.769671433135258</v>
      </c>
      <c r="X87" s="16">
        <f>'Key Assumption'!Z448</f>
        <v>21.769671433135258</v>
      </c>
      <c r="Y87" s="292">
        <f>Y85/Y86</f>
        <v>21.769671433135258</v>
      </c>
      <c r="Z87" s="246">
        <f>Z85/Z86</f>
        <v>22.202463114923113</v>
      </c>
      <c r="AA87" s="16">
        <f>'Key Assumption'!AB448</f>
        <v>21.73962928655753</v>
      </c>
      <c r="AB87" s="16">
        <f>'Key Assumption'!AC448</f>
        <v>21.756151404815313</v>
      </c>
      <c r="AC87" s="16">
        <f>'Key Assumption'!AD448</f>
        <v>21.969361688582502</v>
      </c>
      <c r="AD87" s="16">
        <f>'Key Assumption'!AE448</f>
        <v>22.252986147982103</v>
      </c>
    </row>
    <row r="88" spans="1:30" x14ac:dyDescent="0.3">
      <c r="A88" s="338" t="s">
        <v>133</v>
      </c>
      <c r="D88" s="3" t="s">
        <v>288</v>
      </c>
      <c r="M88" s="16"/>
      <c r="N88" s="15"/>
      <c r="O88" s="246">
        <v>4989.0626786785115</v>
      </c>
      <c r="P88" s="16">
        <f t="shared" ref="P88:X88" si="51">P89*P90</f>
        <v>1820.5861112338494</v>
      </c>
      <c r="Q88" s="16">
        <f t="shared" si="51"/>
        <v>1915.1620131161274</v>
      </c>
      <c r="R88" s="16">
        <f t="shared" si="51"/>
        <v>1891.5180376455578</v>
      </c>
      <c r="S88" s="16">
        <f t="shared" si="51"/>
        <v>1938.8059885866967</v>
      </c>
      <c r="T88" s="16">
        <f t="shared" si="51"/>
        <v>1891.5180376455578</v>
      </c>
      <c r="U88" s="16">
        <f t="shared" si="51"/>
        <v>1584.1463565281547</v>
      </c>
      <c r="V88" s="16">
        <f t="shared" si="51"/>
        <v>1631.4343074692936</v>
      </c>
      <c r="W88" s="16">
        <f t="shared" si="51"/>
        <v>1536.8584055870158</v>
      </c>
      <c r="X88" s="16">
        <f t="shared" si="51"/>
        <v>1513.2144301164462</v>
      </c>
      <c r="Y88" s="292">
        <f>SUM(P88:X88)</f>
        <v>15723.243687928698</v>
      </c>
      <c r="Z88" s="246">
        <f>Y88+O88</f>
        <v>20712.306366607208</v>
      </c>
      <c r="AA88" s="16">
        <f>AA89*AA90</f>
        <v>21722.439041666479</v>
      </c>
      <c r="AB88" s="16">
        <f>AB89*AB90</f>
        <v>25836.291214609559</v>
      </c>
      <c r="AC88" s="16">
        <f>AC89*AC90</f>
        <v>30365.918426441109</v>
      </c>
      <c r="AD88" s="16">
        <f>AD89*AD90</f>
        <v>35172.004029702883</v>
      </c>
    </row>
    <row r="89" spans="1:30" x14ac:dyDescent="0.3">
      <c r="A89" s="338" t="s">
        <v>133</v>
      </c>
      <c r="E89" s="3" t="s">
        <v>358</v>
      </c>
      <c r="M89" s="16"/>
      <c r="N89" s="15"/>
      <c r="O89" s="246">
        <f t="shared" ref="O89:X89" si="52">O86</f>
        <v>209</v>
      </c>
      <c r="P89" s="16">
        <f t="shared" si="52"/>
        <v>77</v>
      </c>
      <c r="Q89" s="16">
        <f t="shared" si="52"/>
        <v>81</v>
      </c>
      <c r="R89" s="16">
        <f t="shared" si="52"/>
        <v>80</v>
      </c>
      <c r="S89" s="16">
        <f t="shared" si="52"/>
        <v>82</v>
      </c>
      <c r="T89" s="16">
        <f t="shared" si="52"/>
        <v>80</v>
      </c>
      <c r="U89" s="16">
        <f t="shared" si="52"/>
        <v>67</v>
      </c>
      <c r="V89" s="16">
        <f t="shared" si="52"/>
        <v>69</v>
      </c>
      <c r="W89" s="16">
        <f t="shared" si="52"/>
        <v>65</v>
      </c>
      <c r="X89" s="16">
        <f t="shared" si="52"/>
        <v>64</v>
      </c>
      <c r="Y89" s="292">
        <f>SUM(P89:X89)</f>
        <v>665</v>
      </c>
      <c r="Z89" s="246">
        <f>Y89+O89</f>
        <v>874</v>
      </c>
      <c r="AA89" s="16">
        <f>AA86</f>
        <v>920</v>
      </c>
      <c r="AB89" s="16">
        <f>AB86</f>
        <v>1077</v>
      </c>
      <c r="AC89" s="16">
        <f>AC86</f>
        <v>1241</v>
      </c>
      <c r="AD89" s="16">
        <f>AD86</f>
        <v>1412</v>
      </c>
    </row>
    <row r="90" spans="1:30" x14ac:dyDescent="0.3">
      <c r="A90" s="338" t="s">
        <v>133</v>
      </c>
      <c r="E90" s="3" t="s">
        <v>364</v>
      </c>
      <c r="M90" s="16"/>
      <c r="N90" s="15"/>
      <c r="O90" s="246">
        <f>O88/O89</f>
        <v>23.871113295112494</v>
      </c>
      <c r="P90" s="16">
        <f>'Key Assumption'!R454</f>
        <v>23.643975470569472</v>
      </c>
      <c r="Q90" s="16">
        <f>'Key Assumption'!S454</f>
        <v>23.643975470569472</v>
      </c>
      <c r="R90" s="16">
        <f>'Key Assumption'!T454</f>
        <v>23.643975470569472</v>
      </c>
      <c r="S90" s="16">
        <f>'Key Assumption'!U454</f>
        <v>23.643975470569472</v>
      </c>
      <c r="T90" s="16">
        <f>'Key Assumption'!V454</f>
        <v>23.643975470569472</v>
      </c>
      <c r="U90" s="16">
        <f>'Key Assumption'!W454</f>
        <v>23.643975470569472</v>
      </c>
      <c r="V90" s="16">
        <f>'Key Assumption'!X454</f>
        <v>23.643975470569472</v>
      </c>
      <c r="W90" s="16">
        <f>'Key Assumption'!Y454</f>
        <v>23.643975470569472</v>
      </c>
      <c r="X90" s="16">
        <f>'Key Assumption'!Z454</f>
        <v>23.643975470569472</v>
      </c>
      <c r="Y90" s="292">
        <f>Y88/Y89</f>
        <v>23.643975470569469</v>
      </c>
      <c r="Z90" s="246">
        <f>Z88/Z89</f>
        <v>23.698291037308017</v>
      </c>
      <c r="AA90" s="16">
        <f>'Key Assumption'!AB454</f>
        <v>23.611346784420085</v>
      </c>
      <c r="AB90" s="16">
        <f>'Key Assumption'!AC454</f>
        <v>23.989128332970807</v>
      </c>
      <c r="AC90" s="16">
        <f>'Key Assumption'!AD454</f>
        <v>24.468910899630224</v>
      </c>
      <c r="AD90" s="16">
        <f>'Key Assumption'!AE454</f>
        <v>24.909351295823569</v>
      </c>
    </row>
    <row r="91" spans="1:30" x14ac:dyDescent="0.3">
      <c r="A91" s="338"/>
      <c r="C91" s="3" t="s">
        <v>134</v>
      </c>
      <c r="M91" s="16"/>
      <c r="N91" s="15"/>
      <c r="O91" s="246">
        <f t="shared" ref="O91:AD91" si="53">O92+O107</f>
        <v>1903.4060549999999</v>
      </c>
      <c r="P91" s="16">
        <f t="shared" si="53"/>
        <v>2103.6771300287301</v>
      </c>
      <c r="Q91" s="16">
        <f t="shared" si="53"/>
        <v>1679.0002832861044</v>
      </c>
      <c r="R91" s="16">
        <f t="shared" si="53"/>
        <v>2335.7226570844414</v>
      </c>
      <c r="S91" s="16">
        <f t="shared" si="53"/>
        <v>1282.0225668964194</v>
      </c>
      <c r="T91" s="16">
        <f t="shared" si="53"/>
        <v>2544.3380301084403</v>
      </c>
      <c r="U91" s="16">
        <f t="shared" si="53"/>
        <v>1883.6196429758322</v>
      </c>
      <c r="V91" s="16">
        <f t="shared" si="53"/>
        <v>1670.8879312850713</v>
      </c>
      <c r="W91" s="16">
        <f t="shared" si="53"/>
        <v>1904.3828023012034</v>
      </c>
      <c r="X91" s="16">
        <f t="shared" si="53"/>
        <v>2118.1705696329368</v>
      </c>
      <c r="Y91" s="292">
        <f t="shared" si="53"/>
        <v>17521.821613599179</v>
      </c>
      <c r="Z91" s="246">
        <f t="shared" si="53"/>
        <v>19425.227668599182</v>
      </c>
      <c r="AA91" s="16">
        <f t="shared" si="53"/>
        <v>22645.938507390132</v>
      </c>
      <c r="AB91" s="16">
        <f t="shared" si="53"/>
        <v>24218.674342414539</v>
      </c>
      <c r="AC91" s="16">
        <f t="shared" si="53"/>
        <v>26020.847021834656</v>
      </c>
      <c r="AD91" s="16">
        <f t="shared" si="53"/>
        <v>28573.831877165427</v>
      </c>
    </row>
    <row r="92" spans="1:30" x14ac:dyDescent="0.3">
      <c r="A92" s="338" t="s">
        <v>134</v>
      </c>
      <c r="B92" s="11"/>
      <c r="D92" s="3" t="s">
        <v>354</v>
      </c>
      <c r="L92" s="16"/>
      <c r="M92" s="16"/>
      <c r="N92" s="15"/>
      <c r="O92" s="246">
        <v>1726.0421218404131</v>
      </c>
      <c r="P92" s="16">
        <f t="shared" ref="P92:AD92" si="54">P93+P104</f>
        <v>1926.313196869143</v>
      </c>
      <c r="Q92" s="16">
        <f t="shared" si="54"/>
        <v>1541.0505574953145</v>
      </c>
      <c r="R92" s="16">
        <f t="shared" si="54"/>
        <v>2118.9445165560574</v>
      </c>
      <c r="S92" s="16">
        <f t="shared" si="54"/>
        <v>1163.7799447900281</v>
      </c>
      <c r="T92" s="16">
        <f t="shared" si="54"/>
        <v>2327.5598895800563</v>
      </c>
      <c r="U92" s="16">
        <f t="shared" si="54"/>
        <v>1745.6699171850423</v>
      </c>
      <c r="V92" s="16">
        <f t="shared" si="54"/>
        <v>1552.64530917868</v>
      </c>
      <c r="W92" s="16">
        <f t="shared" si="54"/>
        <v>1746.7259728260151</v>
      </c>
      <c r="X92" s="16">
        <f t="shared" si="54"/>
        <v>1940.80663647335</v>
      </c>
      <c r="Y92" s="16">
        <f t="shared" si="54"/>
        <v>16063.495940953686</v>
      </c>
      <c r="Z92" s="246">
        <f t="shared" si="54"/>
        <v>17789.538062794101</v>
      </c>
      <c r="AA92" s="16">
        <f t="shared" si="54"/>
        <v>13578.940505521536</v>
      </c>
      <c r="AB92" s="16">
        <f t="shared" si="54"/>
        <v>14559.416509899615</v>
      </c>
      <c r="AC92" s="16">
        <f t="shared" si="54"/>
        <v>15621.046088826917</v>
      </c>
      <c r="AD92" s="16">
        <f t="shared" si="54"/>
        <v>17151.018947116034</v>
      </c>
    </row>
    <row r="93" spans="1:30" x14ac:dyDescent="0.3">
      <c r="A93" s="338" t="s">
        <v>134</v>
      </c>
      <c r="B93" s="11"/>
      <c r="E93" s="3" t="s">
        <v>355</v>
      </c>
      <c r="L93" s="16"/>
      <c r="M93" s="16"/>
      <c r="N93" s="15"/>
      <c r="O93" s="246">
        <f>O94+O99</f>
        <v>262.42442264158342</v>
      </c>
      <c r="P93" s="16">
        <f t="shared" ref="P93:Y93" si="55">P94+P99</f>
        <v>300.07130887044349</v>
      </c>
      <c r="Q93" s="16">
        <f t="shared" si="55"/>
        <v>240.05704709635475</v>
      </c>
      <c r="R93" s="16">
        <f t="shared" si="55"/>
        <v>330.07843975748779</v>
      </c>
      <c r="S93" s="16">
        <f t="shared" si="55"/>
        <v>188.03481199080849</v>
      </c>
      <c r="T93" s="16">
        <f t="shared" si="55"/>
        <v>376.06962398161699</v>
      </c>
      <c r="U93" s="16">
        <f t="shared" si="55"/>
        <v>282.05221798621272</v>
      </c>
      <c r="V93" s="16">
        <f t="shared" si="55"/>
        <v>251.65179877972045</v>
      </c>
      <c r="W93" s="16">
        <f t="shared" si="55"/>
        <v>283.10827362718544</v>
      </c>
      <c r="X93" s="16">
        <f t="shared" si="55"/>
        <v>314.56474847465057</v>
      </c>
      <c r="Y93" s="292">
        <f t="shared" si="55"/>
        <v>2565.6882705644807</v>
      </c>
      <c r="Z93" s="246">
        <f>Z94+Z99</f>
        <v>2828.1126932060643</v>
      </c>
      <c r="AA93" s="16">
        <f>AA94+AA99</f>
        <v>3535.8775075697349</v>
      </c>
      <c r="AB93" s="16">
        <f>AB94+AB99</f>
        <v>4020.8229333009108</v>
      </c>
      <c r="AC93" s="16">
        <f>AC94+AC99</f>
        <v>4387.9591955303586</v>
      </c>
      <c r="AD93" s="16">
        <f>AD94+AD99</f>
        <v>4874.641372151571</v>
      </c>
    </row>
    <row r="94" spans="1:30" x14ac:dyDescent="0.3">
      <c r="A94" s="338" t="s">
        <v>134</v>
      </c>
      <c r="B94" s="11"/>
      <c r="F94" s="3" t="s">
        <v>356</v>
      </c>
      <c r="L94" s="16"/>
      <c r="M94" s="16"/>
      <c r="N94" s="15"/>
      <c r="O94" s="246">
        <f>O95*O98/10^6</f>
        <v>262.42442264158342</v>
      </c>
      <c r="P94" s="16">
        <f t="shared" ref="P94:X94" si="56">P95*P98/10^6</f>
        <v>300.07130887044349</v>
      </c>
      <c r="Q94" s="16">
        <f t="shared" si="56"/>
        <v>240.05704709635475</v>
      </c>
      <c r="R94" s="16">
        <f t="shared" si="56"/>
        <v>330.07843975748779</v>
      </c>
      <c r="S94" s="16">
        <f t="shared" si="56"/>
        <v>188.03481199080849</v>
      </c>
      <c r="T94" s="16">
        <f t="shared" si="56"/>
        <v>376.06962398161699</v>
      </c>
      <c r="U94" s="16">
        <f t="shared" si="56"/>
        <v>282.05221798621272</v>
      </c>
      <c r="V94" s="16">
        <f t="shared" si="56"/>
        <v>251.65179877972045</v>
      </c>
      <c r="W94" s="16">
        <f t="shared" si="56"/>
        <v>283.10827362718544</v>
      </c>
      <c r="X94" s="16">
        <f t="shared" si="56"/>
        <v>314.56474847465057</v>
      </c>
      <c r="Y94" s="292">
        <f>SUM(P94:X94)</f>
        <v>2565.6882705644807</v>
      </c>
      <c r="Z94" s="246">
        <f>Y94+O94</f>
        <v>2828.1126932060643</v>
      </c>
      <c r="AA94" s="16">
        <f>AA95*AA98/10^6</f>
        <v>3535.8775075697349</v>
      </c>
      <c r="AB94" s="16">
        <f>AB95*AB98/10^6</f>
        <v>4020.8229333009108</v>
      </c>
      <c r="AC94" s="16">
        <f>AC95*AC98/10^6</f>
        <v>4387.9591955303586</v>
      </c>
      <c r="AD94" s="16">
        <f>AD95*AD98/10^6</f>
        <v>4874.641372151571</v>
      </c>
    </row>
    <row r="95" spans="1:30" x14ac:dyDescent="0.3">
      <c r="A95" s="338"/>
      <c r="B95" s="11"/>
      <c r="G95" s="3" t="s">
        <v>357</v>
      </c>
      <c r="L95" s="16"/>
      <c r="M95" s="16"/>
      <c r="N95" s="15"/>
      <c r="O95" s="246">
        <f>O96*O97</f>
        <v>29346726.355830163</v>
      </c>
      <c r="P95" s="16">
        <f t="shared" ref="P95:X95" si="57">P96*P97</f>
        <v>32607473.728700183</v>
      </c>
      <c r="Q95" s="16">
        <f t="shared" si="57"/>
        <v>26085978.982960146</v>
      </c>
      <c r="R95" s="16">
        <f t="shared" si="57"/>
        <v>35868221.101570204</v>
      </c>
      <c r="S95" s="16">
        <f t="shared" si="57"/>
        <v>19564484.237220109</v>
      </c>
      <c r="T95" s="16">
        <f t="shared" si="57"/>
        <v>39128968.474440217</v>
      </c>
      <c r="U95" s="16">
        <f t="shared" si="57"/>
        <v>29346726.355830163</v>
      </c>
      <c r="V95" s="16">
        <f t="shared" si="57"/>
        <v>26085978.982960146</v>
      </c>
      <c r="W95" s="16">
        <f t="shared" si="57"/>
        <v>29346726.355830163</v>
      </c>
      <c r="X95" s="16">
        <f t="shared" si="57"/>
        <v>32607473.728700183</v>
      </c>
      <c r="Y95" s="292">
        <f>SUM(P95:X95)</f>
        <v>270642031.94821149</v>
      </c>
      <c r="Z95" s="246">
        <f>Y95+O95</f>
        <v>299988758.30404162</v>
      </c>
      <c r="AA95" s="16">
        <f>AA96*AA97</f>
        <v>339551406.17907351</v>
      </c>
      <c r="AB95" s="16">
        <f>AB96*AB97</f>
        <v>360662932.44286758</v>
      </c>
      <c r="AC95" s="16">
        <f>AC96*AC97</f>
        <v>385268159.1673032</v>
      </c>
      <c r="AD95" s="16">
        <f>AD96*AD97</f>
        <v>421503643.40056485</v>
      </c>
    </row>
    <row r="96" spans="1:30" x14ac:dyDescent="0.3">
      <c r="A96" s="338" t="s">
        <v>134</v>
      </c>
      <c r="B96" s="11"/>
      <c r="G96" s="379" t="s">
        <v>358</v>
      </c>
      <c r="L96" s="16"/>
      <c r="M96" s="16"/>
      <c r="N96" s="15"/>
      <c r="O96" s="246">
        <f>Revenue_HW!O18</f>
        <v>9</v>
      </c>
      <c r="P96" s="16">
        <f>Revenue_HW!P18</f>
        <v>10</v>
      </c>
      <c r="Q96" s="16">
        <f>Revenue_HW!Q18</f>
        <v>8</v>
      </c>
      <c r="R96" s="16">
        <f>Revenue_HW!R18</f>
        <v>11</v>
      </c>
      <c r="S96" s="16">
        <f>Revenue_HW!S18</f>
        <v>6</v>
      </c>
      <c r="T96" s="16">
        <f>Revenue_HW!T18</f>
        <v>12</v>
      </c>
      <c r="U96" s="16">
        <f>Revenue_HW!U18</f>
        <v>9</v>
      </c>
      <c r="V96" s="16">
        <f>Revenue_HW!V18</f>
        <v>8</v>
      </c>
      <c r="W96" s="16">
        <f>Revenue_HW!W18</f>
        <v>9</v>
      </c>
      <c r="X96" s="16">
        <f>Revenue_HW!X18</f>
        <v>10</v>
      </c>
      <c r="Y96" s="292">
        <f>SUM(P96:X96)</f>
        <v>83</v>
      </c>
      <c r="Z96" s="246">
        <f>Y96+O96</f>
        <v>92</v>
      </c>
      <c r="AA96" s="16">
        <f>Revenue_HW!AA18</f>
        <v>103</v>
      </c>
      <c r="AB96" s="16">
        <f>Revenue_HW!AB18</f>
        <v>108</v>
      </c>
      <c r="AC96" s="16">
        <f>Revenue_HW!AC18</f>
        <v>114</v>
      </c>
      <c r="AD96" s="16">
        <f>Revenue_HW!AD18</f>
        <v>123</v>
      </c>
    </row>
    <row r="97" spans="1:30" x14ac:dyDescent="0.3">
      <c r="A97" s="338" t="s">
        <v>134</v>
      </c>
      <c r="B97" s="11"/>
      <c r="G97" s="379" t="s">
        <v>359</v>
      </c>
      <c r="L97" s="16"/>
      <c r="M97" s="16"/>
      <c r="N97" s="15"/>
      <c r="O97" s="246">
        <f>P97</f>
        <v>3260747.3728700182</v>
      </c>
      <c r="P97" s="16">
        <f>'Key Assumption'!R437</f>
        <v>3260747.3728700182</v>
      </c>
      <c r="Q97" s="16">
        <f>'Key Assumption'!S437</f>
        <v>3260747.3728700182</v>
      </c>
      <c r="R97" s="16">
        <f>'Key Assumption'!T437</f>
        <v>3260747.3728700182</v>
      </c>
      <c r="S97" s="16">
        <f>'Key Assumption'!U437</f>
        <v>3260747.3728700182</v>
      </c>
      <c r="T97" s="16">
        <f>'Key Assumption'!V437</f>
        <v>3260747.3728700182</v>
      </c>
      <c r="U97" s="16">
        <f>'Key Assumption'!W437</f>
        <v>3260747.3728700182</v>
      </c>
      <c r="V97" s="16">
        <f>'Key Assumption'!X437</f>
        <v>3260747.3728700182</v>
      </c>
      <c r="W97" s="16">
        <f>'Key Assumption'!Y437</f>
        <v>3260747.3728700182</v>
      </c>
      <c r="X97" s="16">
        <f>'Key Assumption'!Z437</f>
        <v>3260747.3728700182</v>
      </c>
      <c r="Y97" s="292">
        <f>Y95/Y96</f>
        <v>3260747.3728700178</v>
      </c>
      <c r="Z97" s="246">
        <f>Z95/Z96</f>
        <v>3260747.3728700178</v>
      </c>
      <c r="AA97" s="16">
        <f>'Key Assumption'!AB437</f>
        <v>3296615.5939715877</v>
      </c>
      <c r="AB97" s="16">
        <f>'Key Assumption'!AC437</f>
        <v>3339471.5966932182</v>
      </c>
      <c r="AC97" s="16">
        <f>'Key Assumption'!AD437</f>
        <v>3379545.255853537</v>
      </c>
      <c r="AD97" s="16">
        <f>'Key Assumption'!AE437</f>
        <v>3426858.8894354864</v>
      </c>
    </row>
    <row r="98" spans="1:30" x14ac:dyDescent="0.3">
      <c r="A98" s="338" t="s">
        <v>134</v>
      </c>
      <c r="B98" s="11"/>
      <c r="G98" s="3" t="s">
        <v>333</v>
      </c>
      <c r="L98" s="16"/>
      <c r="M98" s="16"/>
      <c r="N98" s="15"/>
      <c r="O98" s="246">
        <f>O$187</f>
        <v>8.9422043010752681</v>
      </c>
      <c r="P98" s="16">
        <f t="shared" ref="P98:X98" si="58">P$187</f>
        <v>9.2025316455696196</v>
      </c>
      <c r="Q98" s="16">
        <f t="shared" si="58"/>
        <v>9.2025316455696196</v>
      </c>
      <c r="R98" s="16">
        <f t="shared" si="58"/>
        <v>9.2025316455696196</v>
      </c>
      <c r="S98" s="16">
        <f t="shared" si="58"/>
        <v>9.6110283159463492</v>
      </c>
      <c r="T98" s="16">
        <f t="shared" si="58"/>
        <v>9.6110283159463492</v>
      </c>
      <c r="U98" s="16">
        <f t="shared" si="58"/>
        <v>9.6110283159463492</v>
      </c>
      <c r="V98" s="16">
        <f t="shared" si="58"/>
        <v>9.6470137825421141</v>
      </c>
      <c r="W98" s="16">
        <f t="shared" si="58"/>
        <v>9.6470137825421141</v>
      </c>
      <c r="X98" s="16">
        <f t="shared" si="58"/>
        <v>9.6470137825421141</v>
      </c>
      <c r="Y98" s="292">
        <f>Y94/Y95*10^6</f>
        <v>9.4800066792856335</v>
      </c>
      <c r="Z98" s="246">
        <f>Z94/Z95*10^6</f>
        <v>9.4273955770694027</v>
      </c>
      <c r="AA98" s="16">
        <f>AA$187</f>
        <v>10.413379073756433</v>
      </c>
      <c r="AB98" s="16">
        <f>AB$187</f>
        <v>11.148423005565862</v>
      </c>
      <c r="AC98" s="16">
        <f>AC$187</f>
        <v>11.389363722697055</v>
      </c>
      <c r="AD98" s="16">
        <f>AD$187</f>
        <v>11.564885496183207</v>
      </c>
    </row>
    <row r="99" spans="1:30" x14ac:dyDescent="0.3">
      <c r="A99" s="338" t="s">
        <v>134</v>
      </c>
      <c r="B99" s="11"/>
      <c r="F99" s="3" t="s">
        <v>360</v>
      </c>
      <c r="L99" s="16"/>
      <c r="M99" s="16"/>
      <c r="N99" s="15"/>
      <c r="O99" s="306"/>
      <c r="P99" s="119"/>
      <c r="Q99" s="119"/>
      <c r="R99" s="119"/>
      <c r="S99" s="119"/>
      <c r="T99" s="119"/>
      <c r="U99" s="119"/>
      <c r="V99" s="119"/>
      <c r="W99" s="119"/>
      <c r="X99" s="119"/>
      <c r="Y99" s="293"/>
      <c r="Z99" s="306"/>
      <c r="AA99" s="119"/>
      <c r="AB99" s="119"/>
      <c r="AC99" s="119"/>
      <c r="AD99" s="119"/>
    </row>
    <row r="100" spans="1:30" x14ac:dyDescent="0.3">
      <c r="A100" s="338"/>
      <c r="B100" s="11"/>
      <c r="G100" s="3" t="s">
        <v>361</v>
      </c>
      <c r="L100" s="16"/>
      <c r="M100" s="16"/>
      <c r="N100" s="15"/>
      <c r="O100" s="306"/>
      <c r="P100" s="119"/>
      <c r="Q100" s="119"/>
      <c r="R100" s="119"/>
      <c r="S100" s="119"/>
      <c r="T100" s="119"/>
      <c r="U100" s="119"/>
      <c r="V100" s="119"/>
      <c r="W100" s="119"/>
      <c r="X100" s="119"/>
      <c r="Y100" s="293"/>
      <c r="Z100" s="306"/>
      <c r="AA100" s="119"/>
      <c r="AB100" s="119"/>
      <c r="AC100" s="119"/>
      <c r="AD100" s="119"/>
    </row>
    <row r="101" spans="1:30" x14ac:dyDescent="0.3">
      <c r="A101" s="338" t="s">
        <v>134</v>
      </c>
      <c r="B101" s="11"/>
      <c r="G101" s="379" t="s">
        <v>358</v>
      </c>
      <c r="L101" s="16"/>
      <c r="M101" s="16"/>
      <c r="N101" s="15"/>
      <c r="O101" s="306"/>
      <c r="P101" s="119"/>
      <c r="Q101" s="119"/>
      <c r="R101" s="119"/>
      <c r="S101" s="119"/>
      <c r="T101" s="119"/>
      <c r="U101" s="119"/>
      <c r="V101" s="119"/>
      <c r="W101" s="119"/>
      <c r="X101" s="119"/>
      <c r="Y101" s="293"/>
      <c r="Z101" s="306"/>
      <c r="AA101" s="119"/>
      <c r="AB101" s="119"/>
      <c r="AC101" s="119"/>
      <c r="AD101" s="119"/>
    </row>
    <row r="102" spans="1:30" x14ac:dyDescent="0.3">
      <c r="A102" s="338" t="s">
        <v>134</v>
      </c>
      <c r="B102" s="11"/>
      <c r="G102" s="379" t="s">
        <v>362</v>
      </c>
      <c r="L102" s="16"/>
      <c r="M102" s="16"/>
      <c r="N102" s="15"/>
      <c r="O102" s="306"/>
      <c r="P102" s="119"/>
      <c r="Q102" s="119"/>
      <c r="R102" s="119"/>
      <c r="S102" s="119"/>
      <c r="T102" s="119"/>
      <c r="U102" s="119"/>
      <c r="V102" s="119"/>
      <c r="W102" s="119"/>
      <c r="X102" s="119"/>
      <c r="Y102" s="293"/>
      <c r="Z102" s="306"/>
      <c r="AA102" s="119"/>
      <c r="AB102" s="119"/>
      <c r="AC102" s="119"/>
      <c r="AD102" s="119"/>
    </row>
    <row r="103" spans="1:30" x14ac:dyDescent="0.3">
      <c r="A103" s="338" t="s">
        <v>134</v>
      </c>
      <c r="G103" s="3" t="s">
        <v>333</v>
      </c>
      <c r="M103" s="16"/>
      <c r="N103" s="15"/>
      <c r="O103" s="306"/>
      <c r="P103" s="119"/>
      <c r="Q103" s="119"/>
      <c r="R103" s="119"/>
      <c r="S103" s="119"/>
      <c r="T103" s="119"/>
      <c r="U103" s="119"/>
      <c r="V103" s="119"/>
      <c r="W103" s="119"/>
      <c r="X103" s="119"/>
      <c r="Y103" s="293"/>
      <c r="Z103" s="306"/>
      <c r="AA103" s="119"/>
      <c r="AB103" s="119"/>
      <c r="AC103" s="119"/>
      <c r="AD103" s="119"/>
    </row>
    <row r="104" spans="1:30" x14ac:dyDescent="0.3">
      <c r="A104" s="338" t="s">
        <v>134</v>
      </c>
      <c r="E104" s="3" t="s">
        <v>287</v>
      </c>
      <c r="M104" s="16"/>
      <c r="N104" s="15"/>
      <c r="O104" s="246">
        <f>O92-O93</f>
        <v>1463.6176991988295</v>
      </c>
      <c r="P104" s="16">
        <f t="shared" ref="P104:X104" si="59">P105*P106</f>
        <v>1626.2418879986994</v>
      </c>
      <c r="Q104" s="16">
        <f t="shared" si="59"/>
        <v>1300.9935103989596</v>
      </c>
      <c r="R104" s="16">
        <f t="shared" si="59"/>
        <v>1788.8660767985696</v>
      </c>
      <c r="S104" s="16">
        <f t="shared" si="59"/>
        <v>975.74513279921973</v>
      </c>
      <c r="T104" s="16">
        <f t="shared" si="59"/>
        <v>1951.4902655984395</v>
      </c>
      <c r="U104" s="16">
        <f t="shared" si="59"/>
        <v>1463.6176991988295</v>
      </c>
      <c r="V104" s="16">
        <f t="shared" si="59"/>
        <v>1300.9935103989596</v>
      </c>
      <c r="W104" s="16">
        <f t="shared" si="59"/>
        <v>1463.6176991988295</v>
      </c>
      <c r="X104" s="16">
        <f t="shared" si="59"/>
        <v>1626.2418879986994</v>
      </c>
      <c r="Y104" s="292">
        <f>SUM(P104:X104)</f>
        <v>13497.807670389206</v>
      </c>
      <c r="Z104" s="246">
        <f>Y104+O104</f>
        <v>14961.425369588036</v>
      </c>
      <c r="AA104" s="16">
        <f>AA105*AA106</f>
        <v>10043.062997951802</v>
      </c>
      <c r="AB104" s="16">
        <f>AB105*AB106</f>
        <v>10538.593576598703</v>
      </c>
      <c r="AC104" s="16">
        <f>AC105*AC106</f>
        <v>11233.086893296559</v>
      </c>
      <c r="AD104" s="16">
        <f>AD105*AD106</f>
        <v>12276.377574964465</v>
      </c>
    </row>
    <row r="105" spans="1:30" x14ac:dyDescent="0.3">
      <c r="A105" s="338" t="s">
        <v>134</v>
      </c>
      <c r="F105" s="3" t="s">
        <v>358</v>
      </c>
      <c r="M105" s="16"/>
      <c r="N105" s="15"/>
      <c r="O105" s="246">
        <f>O96</f>
        <v>9</v>
      </c>
      <c r="P105" s="16">
        <f t="shared" ref="P105:X105" si="60">P96</f>
        <v>10</v>
      </c>
      <c r="Q105" s="16">
        <f t="shared" si="60"/>
        <v>8</v>
      </c>
      <c r="R105" s="16">
        <f t="shared" si="60"/>
        <v>11</v>
      </c>
      <c r="S105" s="16">
        <f t="shared" si="60"/>
        <v>6</v>
      </c>
      <c r="T105" s="16">
        <f t="shared" si="60"/>
        <v>12</v>
      </c>
      <c r="U105" s="16">
        <f t="shared" si="60"/>
        <v>9</v>
      </c>
      <c r="V105" s="16">
        <f t="shared" si="60"/>
        <v>8</v>
      </c>
      <c r="W105" s="16">
        <f t="shared" si="60"/>
        <v>9</v>
      </c>
      <c r="X105" s="16">
        <f t="shared" si="60"/>
        <v>10</v>
      </c>
      <c r="Y105" s="292">
        <f>SUM(P105:X105)</f>
        <v>83</v>
      </c>
      <c r="Z105" s="246">
        <f>Y105+O105</f>
        <v>92</v>
      </c>
      <c r="AA105" s="16">
        <f>AA96</f>
        <v>103</v>
      </c>
      <c r="AB105" s="16">
        <f>AB96</f>
        <v>108</v>
      </c>
      <c r="AC105" s="16">
        <f>AC96</f>
        <v>114</v>
      </c>
      <c r="AD105" s="16">
        <f>AD96</f>
        <v>123</v>
      </c>
    </row>
    <row r="106" spans="1:30" x14ac:dyDescent="0.3">
      <c r="A106" s="338" t="s">
        <v>134</v>
      </c>
      <c r="F106" s="3" t="s">
        <v>363</v>
      </c>
      <c r="M106" s="16"/>
      <c r="N106" s="15"/>
      <c r="O106" s="246">
        <f>O104/O105</f>
        <v>162.62418879986996</v>
      </c>
      <c r="P106" s="16">
        <f>'Key Assumption'!R449</f>
        <v>162.62418879986996</v>
      </c>
      <c r="Q106" s="16">
        <f>'Key Assumption'!S449</f>
        <v>162.62418879986996</v>
      </c>
      <c r="R106" s="16">
        <f>'Key Assumption'!T449</f>
        <v>162.62418879986996</v>
      </c>
      <c r="S106" s="16">
        <f>'Key Assumption'!U449</f>
        <v>162.62418879986996</v>
      </c>
      <c r="T106" s="16">
        <f>'Key Assumption'!V449</f>
        <v>162.62418879986996</v>
      </c>
      <c r="U106" s="16">
        <f>'Key Assumption'!W449</f>
        <v>162.62418879986996</v>
      </c>
      <c r="V106" s="16">
        <f>'Key Assumption'!X449</f>
        <v>162.62418879986996</v>
      </c>
      <c r="W106" s="16">
        <f>'Key Assumption'!Y449</f>
        <v>162.62418879986996</v>
      </c>
      <c r="X106" s="16">
        <f>'Key Assumption'!Z449</f>
        <v>162.62418879986996</v>
      </c>
      <c r="Y106" s="292">
        <f>Y104/Y105</f>
        <v>162.62418879986996</v>
      </c>
      <c r="Z106" s="246">
        <f>Z104/Z105</f>
        <v>162.62418879986996</v>
      </c>
      <c r="AA106" s="16">
        <f>'Key Assumption'!AB449</f>
        <v>97.505465999532063</v>
      </c>
      <c r="AB106" s="16">
        <f>'Key Assumption'!AC449</f>
        <v>97.579570153691705</v>
      </c>
      <c r="AC106" s="16">
        <f>'Key Assumption'!AD449</f>
        <v>98.535849941197881</v>
      </c>
      <c r="AD106" s="16">
        <f>'Key Assumption'!AE449</f>
        <v>99.807947763938742</v>
      </c>
    </row>
    <row r="107" spans="1:30" x14ac:dyDescent="0.3">
      <c r="A107" s="338" t="s">
        <v>134</v>
      </c>
      <c r="D107" s="3" t="s">
        <v>288</v>
      </c>
      <c r="M107" s="16"/>
      <c r="N107" s="15"/>
      <c r="O107" s="246">
        <v>177.36393315958691</v>
      </c>
      <c r="P107" s="16">
        <f t="shared" ref="P107:X107" si="61">P108*P109</f>
        <v>177.36393315958691</v>
      </c>
      <c r="Q107" s="16">
        <f t="shared" si="61"/>
        <v>137.94972579078984</v>
      </c>
      <c r="R107" s="16">
        <f t="shared" si="61"/>
        <v>216.77814052838403</v>
      </c>
      <c r="S107" s="16">
        <f t="shared" si="61"/>
        <v>118.24262210639128</v>
      </c>
      <c r="T107" s="16">
        <f t="shared" si="61"/>
        <v>216.77814052838403</v>
      </c>
      <c r="U107" s="16">
        <f t="shared" si="61"/>
        <v>137.94972579078984</v>
      </c>
      <c r="V107" s="16">
        <f t="shared" si="61"/>
        <v>118.24262210639128</v>
      </c>
      <c r="W107" s="16">
        <f t="shared" si="61"/>
        <v>157.65682947518837</v>
      </c>
      <c r="X107" s="16">
        <f t="shared" si="61"/>
        <v>177.36393315958691</v>
      </c>
      <c r="Y107" s="292">
        <f>SUM(P107:X107)</f>
        <v>1458.3256726454924</v>
      </c>
      <c r="Z107" s="246">
        <f>Y107+O107</f>
        <v>1635.6896058050793</v>
      </c>
      <c r="AA107" s="16">
        <f>AA108*AA109</f>
        <v>9066.9980018685965</v>
      </c>
      <c r="AB107" s="16">
        <f>AB108*AB109</f>
        <v>9659.2578325149261</v>
      </c>
      <c r="AC107" s="16">
        <f>AC108*AC109</f>
        <v>10399.800933007737</v>
      </c>
      <c r="AD107" s="16">
        <f>AD108*AD109</f>
        <v>11422.812930049393</v>
      </c>
    </row>
    <row r="108" spans="1:30" x14ac:dyDescent="0.3">
      <c r="A108" s="338" t="s">
        <v>134</v>
      </c>
      <c r="E108" s="3" t="s">
        <v>358</v>
      </c>
      <c r="M108" s="16"/>
      <c r="N108" s="15"/>
      <c r="O108" s="246">
        <f t="shared" ref="O108" si="62">O96</f>
        <v>9</v>
      </c>
      <c r="P108" s="16">
        <v>9</v>
      </c>
      <c r="Q108" s="16">
        <v>7</v>
      </c>
      <c r="R108" s="16">
        <v>11</v>
      </c>
      <c r="S108" s="16">
        <v>6</v>
      </c>
      <c r="T108" s="16">
        <v>11</v>
      </c>
      <c r="U108" s="16">
        <v>7</v>
      </c>
      <c r="V108" s="16">
        <v>6</v>
      </c>
      <c r="W108" s="16">
        <v>8</v>
      </c>
      <c r="X108" s="16">
        <v>9</v>
      </c>
      <c r="Y108" s="292">
        <f>SUM(P108:X108)</f>
        <v>74</v>
      </c>
      <c r="Z108" s="246">
        <f>Y108+O108</f>
        <v>83</v>
      </c>
      <c r="AA108" s="16">
        <f>AA96</f>
        <v>103</v>
      </c>
      <c r="AB108" s="16">
        <f>AB96</f>
        <v>108</v>
      </c>
      <c r="AC108" s="16">
        <f>AC96</f>
        <v>114</v>
      </c>
      <c r="AD108" s="16">
        <f>AD96</f>
        <v>123</v>
      </c>
    </row>
    <row r="109" spans="1:30" x14ac:dyDescent="0.3">
      <c r="A109" s="338" t="s">
        <v>134</v>
      </c>
      <c r="E109" s="3" t="s">
        <v>364</v>
      </c>
      <c r="M109" s="16"/>
      <c r="N109" s="15"/>
      <c r="O109" s="246">
        <f>O107/O108</f>
        <v>19.707103684398547</v>
      </c>
      <c r="P109" s="16">
        <f>'Key Assumption'!R455</f>
        <v>19.707103684398547</v>
      </c>
      <c r="Q109" s="16">
        <f>'Key Assumption'!S455</f>
        <v>19.707103684398547</v>
      </c>
      <c r="R109" s="16">
        <f>'Key Assumption'!T455</f>
        <v>19.707103684398547</v>
      </c>
      <c r="S109" s="16">
        <f>'Key Assumption'!U455</f>
        <v>19.707103684398547</v>
      </c>
      <c r="T109" s="16">
        <f>'Key Assumption'!V455</f>
        <v>19.707103684398547</v>
      </c>
      <c r="U109" s="16">
        <f>'Key Assumption'!W455</f>
        <v>19.707103684398547</v>
      </c>
      <c r="V109" s="16">
        <f>'Key Assumption'!X455</f>
        <v>19.707103684398547</v>
      </c>
      <c r="W109" s="16">
        <f>'Key Assumption'!Y455</f>
        <v>19.707103684398547</v>
      </c>
      <c r="X109" s="16">
        <f>'Key Assumption'!Z455</f>
        <v>19.707103684398547</v>
      </c>
      <c r="Y109" s="292">
        <f>Y107/Y108</f>
        <v>19.707103684398547</v>
      </c>
      <c r="Z109" s="246">
        <f>Z107/Z108</f>
        <v>19.707103684398547</v>
      </c>
      <c r="AA109" s="16">
        <f>'Key Assumption'!AB455</f>
        <v>88.029106814258213</v>
      </c>
      <c r="AB109" s="16">
        <f>'Key Assumption'!AC455</f>
        <v>89.437572523286349</v>
      </c>
      <c r="AC109" s="16">
        <f>'Key Assumption'!AD455</f>
        <v>91.226323973752073</v>
      </c>
      <c r="AD109" s="16">
        <f>'Key Assumption'!AE455</f>
        <v>92.868397805279614</v>
      </c>
    </row>
    <row r="110" spans="1:30" x14ac:dyDescent="0.3">
      <c r="A110" s="338" t="s">
        <v>135</v>
      </c>
      <c r="C110" s="3" t="s">
        <v>135</v>
      </c>
      <c r="M110" s="16"/>
      <c r="N110" s="15"/>
      <c r="O110" s="246">
        <f t="shared" ref="O110:AD110" si="63">O111+O126</f>
        <v>3220.1244069999998</v>
      </c>
      <c r="P110" s="16">
        <f t="shared" si="63"/>
        <v>1397.2488050141351</v>
      </c>
      <c r="Q110" s="16">
        <f t="shared" si="63"/>
        <v>1242.3270198198918</v>
      </c>
      <c r="R110" s="16">
        <f t="shared" si="63"/>
        <v>865.86086897459143</v>
      </c>
      <c r="S110" s="16">
        <f t="shared" si="63"/>
        <v>484.66595210922532</v>
      </c>
      <c r="T110" s="16">
        <f t="shared" si="63"/>
        <v>1150.3065690172318</v>
      </c>
      <c r="U110" s="16">
        <f t="shared" si="63"/>
        <v>1398.3125228833965</v>
      </c>
      <c r="V110" s="16">
        <f t="shared" si="63"/>
        <v>1293.305295580963</v>
      </c>
      <c r="W110" s="16">
        <f t="shared" si="63"/>
        <v>1082.5235560810813</v>
      </c>
      <c r="X110" s="16">
        <f t="shared" si="63"/>
        <v>1151.6726954064559</v>
      </c>
      <c r="Y110" s="292">
        <f t="shared" si="63"/>
        <v>10066.223284886972</v>
      </c>
      <c r="Z110" s="246">
        <f t="shared" si="63"/>
        <v>13286.347691886971</v>
      </c>
      <c r="AA110" s="16">
        <f t="shared" si="63"/>
        <v>0</v>
      </c>
      <c r="AB110" s="16">
        <f t="shared" si="63"/>
        <v>0</v>
      </c>
      <c r="AC110" s="16">
        <f t="shared" si="63"/>
        <v>0</v>
      </c>
      <c r="AD110" s="16">
        <f t="shared" si="63"/>
        <v>0</v>
      </c>
    </row>
    <row r="111" spans="1:30" x14ac:dyDescent="0.3">
      <c r="A111" s="338" t="s">
        <v>135</v>
      </c>
      <c r="B111" s="11"/>
      <c r="D111" s="3" t="s">
        <v>354</v>
      </c>
      <c r="L111" s="16"/>
      <c r="M111" s="16"/>
      <c r="N111" s="15"/>
      <c r="O111" s="246">
        <v>2586.8040553553892</v>
      </c>
      <c r="P111" s="16">
        <f t="shared" ref="P111:AD111" si="64">P112+P123</f>
        <v>1070.7186877002709</v>
      </c>
      <c r="Q111" s="16">
        <f t="shared" si="64"/>
        <v>991.15000650153468</v>
      </c>
      <c r="R111" s="16">
        <f t="shared" si="64"/>
        <v>715.15466098357717</v>
      </c>
      <c r="S111" s="16">
        <f t="shared" si="64"/>
        <v>434.43054944555388</v>
      </c>
      <c r="T111" s="16">
        <f t="shared" si="64"/>
        <v>924.24725703071044</v>
      </c>
      <c r="U111" s="16">
        <f t="shared" si="64"/>
        <v>1147.1355095650395</v>
      </c>
      <c r="V111" s="16">
        <f t="shared" si="64"/>
        <v>1067.2459835944417</v>
      </c>
      <c r="W111" s="16">
        <f t="shared" si="64"/>
        <v>856.46424409455994</v>
      </c>
      <c r="X111" s="16">
        <f t="shared" si="64"/>
        <v>925.61338341993439</v>
      </c>
      <c r="Y111" s="292">
        <f t="shared" si="64"/>
        <v>8132.1602823356225</v>
      </c>
      <c r="Z111" s="246">
        <f t="shared" si="64"/>
        <v>10718.964337691012</v>
      </c>
      <c r="AA111" s="16">
        <f t="shared" si="64"/>
        <v>0</v>
      </c>
      <c r="AB111" s="16">
        <f t="shared" si="64"/>
        <v>0</v>
      </c>
      <c r="AC111" s="16">
        <f t="shared" si="64"/>
        <v>0</v>
      </c>
      <c r="AD111" s="16">
        <f t="shared" si="64"/>
        <v>0</v>
      </c>
    </row>
    <row r="112" spans="1:30" x14ac:dyDescent="0.3">
      <c r="A112" s="338" t="s">
        <v>135</v>
      </c>
      <c r="B112" s="11"/>
      <c r="E112" s="3" t="s">
        <v>355</v>
      </c>
      <c r="L112" s="16"/>
      <c r="M112" s="16"/>
      <c r="N112" s="15"/>
      <c r="O112" s="246">
        <f>O113+O118</f>
        <v>640.14179465442953</v>
      </c>
      <c r="P112" s="16">
        <f t="shared" ref="P112:Y112" si="65">P113+P118</f>
        <v>298.60627975062698</v>
      </c>
      <c r="Q112" s="16">
        <f t="shared" si="65"/>
        <v>270.5117590818669</v>
      </c>
      <c r="R112" s="16">
        <f t="shared" si="65"/>
        <v>200.41305568381446</v>
      </c>
      <c r="S112" s="16">
        <f t="shared" si="65"/>
        <v>125.58558626569632</v>
      </c>
      <c r="T112" s="16">
        <f t="shared" si="65"/>
        <v>255.083170141019</v>
      </c>
      <c r="U112" s="16">
        <f t="shared" si="65"/>
        <v>323.54894108541924</v>
      </c>
      <c r="V112" s="16">
        <f t="shared" si="65"/>
        <v>295.13357564479765</v>
      </c>
      <c r="W112" s="16">
        <f t="shared" si="65"/>
        <v>238.77431773484477</v>
      </c>
      <c r="X112" s="16">
        <f t="shared" si="65"/>
        <v>256.44929653024292</v>
      </c>
      <c r="Y112" s="292">
        <f t="shared" si="65"/>
        <v>2264.1059819183283</v>
      </c>
      <c r="Z112" s="246">
        <f>Z113+Z118</f>
        <v>2904.2477765727581</v>
      </c>
      <c r="AA112" s="16">
        <f>AA113+AA118</f>
        <v>0</v>
      </c>
      <c r="AB112" s="16">
        <f t="shared" ref="AB112:AD112" si="66">AB113+AB118</f>
        <v>0</v>
      </c>
      <c r="AC112" s="16">
        <f t="shared" si="66"/>
        <v>0</v>
      </c>
      <c r="AD112" s="16">
        <f t="shared" si="66"/>
        <v>0</v>
      </c>
    </row>
    <row r="113" spans="1:30" x14ac:dyDescent="0.3">
      <c r="A113" s="338" t="s">
        <v>135</v>
      </c>
      <c r="B113" s="11"/>
      <c r="F113" s="3" t="s">
        <v>356</v>
      </c>
      <c r="L113" s="16"/>
      <c r="M113" s="16"/>
      <c r="N113" s="15"/>
      <c r="O113" s="246">
        <f>O114*O117/10^6</f>
        <v>603.70527680931332</v>
      </c>
      <c r="P113" s="16">
        <f t="shared" ref="P113:X113" si="67">P114*P117/10^6</f>
        <v>280.57827795734022</v>
      </c>
      <c r="Q113" s="16">
        <f t="shared" si="67"/>
        <v>180.371750115433</v>
      </c>
      <c r="R113" s="16">
        <f t="shared" si="67"/>
        <v>200.41305568381446</v>
      </c>
      <c r="S113" s="16">
        <f t="shared" si="67"/>
        <v>125.58558626569632</v>
      </c>
      <c r="T113" s="16">
        <f t="shared" si="67"/>
        <v>146.51651730997906</v>
      </c>
      <c r="U113" s="16">
        <f t="shared" si="67"/>
        <v>251.17117253139264</v>
      </c>
      <c r="V113" s="16">
        <f t="shared" si="67"/>
        <v>189.08370287240871</v>
      </c>
      <c r="W113" s="16">
        <f t="shared" si="67"/>
        <v>168.07440255325218</v>
      </c>
      <c r="X113" s="16">
        <f t="shared" si="67"/>
        <v>168.07440255325218</v>
      </c>
      <c r="Y113" s="292">
        <f>SUM(P113:X113)</f>
        <v>1709.8688678425688</v>
      </c>
      <c r="Z113" s="246">
        <f>Y113+O113</f>
        <v>2313.5741446518823</v>
      </c>
      <c r="AA113" s="16">
        <f>AA114*AA117/10^6</f>
        <v>0</v>
      </c>
      <c r="AB113" s="16">
        <f t="shared" ref="AB113:AD113" si="68">AB114*AB117/10^6</f>
        <v>0</v>
      </c>
      <c r="AC113" s="16">
        <f t="shared" si="68"/>
        <v>0</v>
      </c>
      <c r="AD113" s="16">
        <f t="shared" si="68"/>
        <v>0</v>
      </c>
    </row>
    <row r="114" spans="1:30" x14ac:dyDescent="0.3">
      <c r="A114" s="338" t="s">
        <v>135</v>
      </c>
      <c r="B114" s="11"/>
      <c r="G114" s="3" t="s">
        <v>357</v>
      </c>
      <c r="L114" s="16"/>
      <c r="M114" s="16"/>
      <c r="N114" s="15"/>
      <c r="O114" s="246">
        <f>O115*O116</f>
        <v>67511908.303942457</v>
      </c>
      <c r="P114" s="16">
        <f t="shared" ref="P114:X114" si="69">P115*P116</f>
        <v>30489248.911457881</v>
      </c>
      <c r="Q114" s="16">
        <f t="shared" si="69"/>
        <v>19600231.443080068</v>
      </c>
      <c r="R114" s="16">
        <f t="shared" si="69"/>
        <v>21778034.936755631</v>
      </c>
      <c r="S114" s="16">
        <f t="shared" si="69"/>
        <v>13066820.962053377</v>
      </c>
      <c r="T114" s="16">
        <f t="shared" si="69"/>
        <v>15244624.455728941</v>
      </c>
      <c r="U114" s="16">
        <f t="shared" si="69"/>
        <v>26133641.924106754</v>
      </c>
      <c r="V114" s="16">
        <f t="shared" si="69"/>
        <v>19600231.443080068</v>
      </c>
      <c r="W114" s="16">
        <f t="shared" si="69"/>
        <v>17422427.949404504</v>
      </c>
      <c r="X114" s="16">
        <f t="shared" si="69"/>
        <v>17422427.949404504</v>
      </c>
      <c r="Y114" s="292">
        <f>SUM(P114:X114)</f>
        <v>180757689.97507173</v>
      </c>
      <c r="Z114" s="246">
        <f>Y114+O114</f>
        <v>248269598.27901417</v>
      </c>
      <c r="AA114" s="16">
        <f>AA115*AA116</f>
        <v>0</v>
      </c>
      <c r="AB114" s="16">
        <f t="shared" ref="AB114:AD114" si="70">AB115*AB116</f>
        <v>0</v>
      </c>
      <c r="AC114" s="16">
        <f t="shared" si="70"/>
        <v>0</v>
      </c>
      <c r="AD114" s="16">
        <f t="shared" si="70"/>
        <v>0</v>
      </c>
    </row>
    <row r="115" spans="1:30" s="247" customFormat="1" x14ac:dyDescent="0.3">
      <c r="A115" s="381" t="s">
        <v>135</v>
      </c>
      <c r="B115" s="382"/>
      <c r="G115" s="383" t="s">
        <v>358</v>
      </c>
      <c r="I115" s="380">
        <f>1-I120</f>
        <v>0.77551020408163263</v>
      </c>
      <c r="N115" s="248"/>
      <c r="O115" s="250">
        <f>Revenue_HW!O19-O120</f>
        <v>31</v>
      </c>
      <c r="P115" s="247">
        <f>Revenue_HW!P19-COGS_HW!P120</f>
        <v>14</v>
      </c>
      <c r="Q115" s="247">
        <f>Revenue_HW!Q19-COGS_HW!Q120</f>
        <v>9</v>
      </c>
      <c r="R115" s="247">
        <f>Revenue_HW!R19-COGS_HW!R120</f>
        <v>10</v>
      </c>
      <c r="S115" s="247">
        <f>Revenue_HW!S19-COGS_HW!S120</f>
        <v>6</v>
      </c>
      <c r="T115" s="247">
        <f>Revenue_HW!T19-COGS_HW!T120</f>
        <v>7</v>
      </c>
      <c r="U115" s="247">
        <f>Revenue_HW!U19-COGS_HW!U120</f>
        <v>12</v>
      </c>
      <c r="V115" s="247">
        <f>Revenue_HW!V19-COGS_HW!V120</f>
        <v>9</v>
      </c>
      <c r="W115" s="247">
        <f>Revenue_HW!W19-COGS_HW!W120</f>
        <v>8</v>
      </c>
      <c r="X115" s="247">
        <f>Revenue_HW!X19-COGS_HW!X120</f>
        <v>8</v>
      </c>
      <c r="Y115" s="366">
        <f>SUM(P115:X115)</f>
        <v>83</v>
      </c>
      <c r="Z115" s="250">
        <f>Y115+O115</f>
        <v>114</v>
      </c>
      <c r="AA115" s="247">
        <f>Revenue_HW!AA19*COGS_HW!$I115</f>
        <v>0</v>
      </c>
      <c r="AB115" s="247">
        <f>Revenue_HW!AB19*COGS_HW!$I115</f>
        <v>0</v>
      </c>
      <c r="AC115" s="247">
        <f>Revenue_HW!AC19*COGS_HW!$I115</f>
        <v>0</v>
      </c>
      <c r="AD115" s="247">
        <f>Revenue_HW!AD19*COGS_HW!$I115</f>
        <v>0</v>
      </c>
    </row>
    <row r="116" spans="1:30" x14ac:dyDescent="0.3">
      <c r="A116" s="338" t="s">
        <v>135</v>
      </c>
      <c r="B116" s="11"/>
      <c r="G116" s="379" t="s">
        <v>359</v>
      </c>
      <c r="L116" s="16"/>
      <c r="M116" s="16"/>
      <c r="N116" s="15"/>
      <c r="O116" s="246">
        <f>P116</f>
        <v>2177803.493675563</v>
      </c>
      <c r="P116" s="16">
        <f>'Key Assumption'!R438</f>
        <v>2177803.493675563</v>
      </c>
      <c r="Q116" s="16">
        <f>'Key Assumption'!S438</f>
        <v>2177803.493675563</v>
      </c>
      <c r="R116" s="16">
        <f>'Key Assumption'!T438</f>
        <v>2177803.493675563</v>
      </c>
      <c r="S116" s="16">
        <f>'Key Assumption'!U438</f>
        <v>2177803.493675563</v>
      </c>
      <c r="T116" s="16">
        <f>'Key Assumption'!V438</f>
        <v>2177803.493675563</v>
      </c>
      <c r="U116" s="16">
        <f>'Key Assumption'!W438</f>
        <v>2177803.493675563</v>
      </c>
      <c r="V116" s="16">
        <f>'Key Assumption'!X438</f>
        <v>2177803.493675563</v>
      </c>
      <c r="W116" s="16">
        <f>'Key Assumption'!Y438</f>
        <v>2177803.493675563</v>
      </c>
      <c r="X116" s="16">
        <f>'Key Assumption'!Z438</f>
        <v>2177803.493675563</v>
      </c>
      <c r="Y116" s="292">
        <f>Y114/Y115</f>
        <v>2177803.493675563</v>
      </c>
      <c r="Z116" s="246">
        <f>Z114/Z115</f>
        <v>2177803.493675563</v>
      </c>
      <c r="AA116" s="16">
        <f>'Key Assumption'!AB438</f>
        <v>0</v>
      </c>
      <c r="AB116" s="16">
        <f>'Key Assumption'!AC438</f>
        <v>0</v>
      </c>
      <c r="AC116" s="16">
        <f>'Key Assumption'!AD438</f>
        <v>0</v>
      </c>
      <c r="AD116" s="16">
        <f>'Key Assumption'!AE438</f>
        <v>0</v>
      </c>
    </row>
    <row r="117" spans="1:30" x14ac:dyDescent="0.3">
      <c r="A117" s="338" t="s">
        <v>135</v>
      </c>
      <c r="B117" s="11"/>
      <c r="G117" s="3" t="s">
        <v>333</v>
      </c>
      <c r="L117" s="16"/>
      <c r="M117" s="16"/>
      <c r="N117" s="15"/>
      <c r="O117" s="250">
        <f>O$187</f>
        <v>8.9422043010752681</v>
      </c>
      <c r="P117" s="247">
        <f t="shared" ref="P117:X117" si="71">P$187</f>
        <v>9.2025316455696196</v>
      </c>
      <c r="Q117" s="247">
        <f t="shared" si="71"/>
        <v>9.2025316455696196</v>
      </c>
      <c r="R117" s="247">
        <f t="shared" si="71"/>
        <v>9.2025316455696196</v>
      </c>
      <c r="S117" s="247">
        <f t="shared" si="71"/>
        <v>9.6110283159463492</v>
      </c>
      <c r="T117" s="247">
        <f t="shared" si="71"/>
        <v>9.6110283159463492</v>
      </c>
      <c r="U117" s="247">
        <f t="shared" si="71"/>
        <v>9.6110283159463492</v>
      </c>
      <c r="V117" s="247">
        <f t="shared" si="71"/>
        <v>9.6470137825421141</v>
      </c>
      <c r="W117" s="247">
        <f t="shared" si="71"/>
        <v>9.6470137825421141</v>
      </c>
      <c r="X117" s="247">
        <f t="shared" si="71"/>
        <v>9.6470137825421141</v>
      </c>
      <c r="Y117" s="366">
        <f>Y113/Y114*10^6</f>
        <v>9.4594529730844457</v>
      </c>
      <c r="Z117" s="250">
        <f>Z113/Z114*10^6</f>
        <v>9.3187976324503712</v>
      </c>
      <c r="AA117" s="247">
        <f t="shared" ref="AA117" si="72">AA$187</f>
        <v>10.413379073756433</v>
      </c>
      <c r="AB117" s="247">
        <f>AB$187</f>
        <v>11.148423005565862</v>
      </c>
      <c r="AC117" s="247">
        <f>AC$187</f>
        <v>11.389363722697055</v>
      </c>
      <c r="AD117" s="247">
        <f>AD$187</f>
        <v>11.564885496183207</v>
      </c>
    </row>
    <row r="118" spans="1:30" x14ac:dyDescent="0.3">
      <c r="A118" s="338" t="s">
        <v>135</v>
      </c>
      <c r="B118" s="11"/>
      <c r="F118" s="3" t="s">
        <v>360</v>
      </c>
      <c r="L118" s="16"/>
      <c r="M118" s="16"/>
      <c r="N118" s="15"/>
      <c r="O118" s="246">
        <f>O119*O122/10^6</f>
        <v>36.436517845116235</v>
      </c>
      <c r="P118" s="16">
        <f t="shared" ref="P118:X118" si="73">P119*P122/10^6</f>
        <v>18.028001793286776</v>
      </c>
      <c r="Q118" s="16">
        <f t="shared" si="73"/>
        <v>90.140008966433882</v>
      </c>
      <c r="R118" s="16">
        <f t="shared" si="73"/>
        <v>0</v>
      </c>
      <c r="S118" s="16">
        <f t="shared" si="73"/>
        <v>0</v>
      </c>
      <c r="T118" s="16">
        <f t="shared" si="73"/>
        <v>108.56665283103993</v>
      </c>
      <c r="U118" s="16">
        <f t="shared" si="73"/>
        <v>72.377768554026616</v>
      </c>
      <c r="V118" s="16">
        <f t="shared" si="73"/>
        <v>106.04987277238892</v>
      </c>
      <c r="W118" s="16">
        <f t="shared" si="73"/>
        <v>70.699915181592601</v>
      </c>
      <c r="X118" s="16">
        <f t="shared" si="73"/>
        <v>88.374893976990762</v>
      </c>
      <c r="Y118" s="292">
        <f>SUM(P118:X118)</f>
        <v>554.23711407575945</v>
      </c>
      <c r="Z118" s="246">
        <f>Y118+O118</f>
        <v>590.67363192087566</v>
      </c>
      <c r="AA118" s="16">
        <f t="shared" ref="AA118:AD118" si="74">AA119*AA122/10^6</f>
        <v>0</v>
      </c>
      <c r="AB118" s="16">
        <f t="shared" si="74"/>
        <v>0</v>
      </c>
      <c r="AC118" s="16">
        <f t="shared" si="74"/>
        <v>0</v>
      </c>
      <c r="AD118" s="16">
        <f t="shared" si="74"/>
        <v>0</v>
      </c>
    </row>
    <row r="119" spans="1:30" x14ac:dyDescent="0.3">
      <c r="A119" s="338" t="s">
        <v>135</v>
      </c>
      <c r="B119" s="11"/>
      <c r="G119" s="3" t="s">
        <v>361</v>
      </c>
      <c r="L119" s="16"/>
      <c r="M119" s="16"/>
      <c r="N119" s="15"/>
      <c r="O119" s="250">
        <f>O120*O121</f>
        <v>25277.225806451614</v>
      </c>
      <c r="P119" s="247">
        <f t="shared" ref="P119:X119" si="75">P120*P121</f>
        <v>12638.612903225807</v>
      </c>
      <c r="Q119" s="247">
        <f t="shared" si="75"/>
        <v>63193.06451612903</v>
      </c>
      <c r="R119" s="247">
        <f t="shared" si="75"/>
        <v>0</v>
      </c>
      <c r="S119" s="247">
        <f t="shared" si="75"/>
        <v>0</v>
      </c>
      <c r="T119" s="247">
        <f t="shared" si="75"/>
        <v>75831.677419354848</v>
      </c>
      <c r="U119" s="247">
        <f t="shared" si="75"/>
        <v>50554.451612903227</v>
      </c>
      <c r="V119" s="247">
        <f t="shared" si="75"/>
        <v>75831.677419354848</v>
      </c>
      <c r="W119" s="247">
        <f t="shared" si="75"/>
        <v>50554.451612903227</v>
      </c>
      <c r="X119" s="247">
        <f t="shared" si="75"/>
        <v>63193.06451612903</v>
      </c>
      <c r="Y119" s="366">
        <f>SUM(P119:X119)</f>
        <v>391797</v>
      </c>
      <c r="Z119" s="250">
        <f>Y119+O119</f>
        <v>417074.22580645164</v>
      </c>
      <c r="AA119" s="247">
        <f t="shared" ref="AA119:AD119" si="76">AA120*AA121</f>
        <v>0</v>
      </c>
      <c r="AB119" s="247">
        <f t="shared" si="76"/>
        <v>0</v>
      </c>
      <c r="AC119" s="247">
        <f t="shared" si="76"/>
        <v>0</v>
      </c>
      <c r="AD119" s="247">
        <f t="shared" si="76"/>
        <v>0</v>
      </c>
    </row>
    <row r="120" spans="1:30" x14ac:dyDescent="0.3">
      <c r="A120" s="338" t="s">
        <v>135</v>
      </c>
      <c r="B120" s="11"/>
      <c r="G120" s="379" t="s">
        <v>358</v>
      </c>
      <c r="I120" s="380">
        <f>Z120/Revenue_HW!Z19</f>
        <v>0.22448979591836735</v>
      </c>
      <c r="L120" s="16"/>
      <c r="M120" s="16"/>
      <c r="N120" s="15"/>
      <c r="O120" s="246">
        <v>2</v>
      </c>
      <c r="P120" s="16">
        <v>1</v>
      </c>
      <c r="Q120" s="16">
        <v>5</v>
      </c>
      <c r="R120" s="16">
        <v>0</v>
      </c>
      <c r="S120" s="16">
        <v>0</v>
      </c>
      <c r="T120" s="16">
        <v>6</v>
      </c>
      <c r="U120" s="16">
        <v>4</v>
      </c>
      <c r="V120" s="16">
        <v>6</v>
      </c>
      <c r="W120" s="16">
        <v>4</v>
      </c>
      <c r="X120" s="16">
        <v>5</v>
      </c>
      <c r="Y120" s="292">
        <f>SUM(P120:X120)</f>
        <v>31</v>
      </c>
      <c r="Z120" s="246">
        <f>Y120+O120</f>
        <v>33</v>
      </c>
      <c r="AA120" s="16">
        <f>Revenue_HW!AA19*COGS_HW!$I120</f>
        <v>0</v>
      </c>
      <c r="AB120" s="16">
        <f>Revenue_HW!AB19*COGS_HW!$I120</f>
        <v>0</v>
      </c>
      <c r="AC120" s="16">
        <f>Revenue_HW!AC19*COGS_HW!$I120</f>
        <v>0</v>
      </c>
      <c r="AD120" s="16">
        <f>Revenue_HW!AD19*COGS_HW!$I120</f>
        <v>0</v>
      </c>
    </row>
    <row r="121" spans="1:30" x14ac:dyDescent="0.3">
      <c r="A121" s="338" t="s">
        <v>135</v>
      </c>
      <c r="B121" s="11"/>
      <c r="G121" s="379" t="s">
        <v>362</v>
      </c>
      <c r="L121" s="16"/>
      <c r="M121" s="16"/>
      <c r="N121" s="15"/>
      <c r="O121" s="246">
        <f>P121</f>
        <v>12638.612903225807</v>
      </c>
      <c r="P121" s="16">
        <f>'Key Assumption'!R444</f>
        <v>12638.612903225807</v>
      </c>
      <c r="Q121" s="16">
        <f>'Key Assumption'!S444</f>
        <v>12638.612903225807</v>
      </c>
      <c r="R121" s="16">
        <f>'Key Assumption'!T444</f>
        <v>12638.612903225807</v>
      </c>
      <c r="S121" s="16">
        <f>'Key Assumption'!U444</f>
        <v>12638.612903225807</v>
      </c>
      <c r="T121" s="16">
        <f>'Key Assumption'!V444</f>
        <v>12638.612903225807</v>
      </c>
      <c r="U121" s="16">
        <f>'Key Assumption'!W444</f>
        <v>12638.612903225807</v>
      </c>
      <c r="V121" s="16">
        <f>'Key Assumption'!X444</f>
        <v>12638.612903225807</v>
      </c>
      <c r="W121" s="16">
        <f>'Key Assumption'!Y444</f>
        <v>12638.612903225807</v>
      </c>
      <c r="X121" s="16">
        <f>'Key Assumption'!Z444</f>
        <v>12638.612903225807</v>
      </c>
      <c r="Y121" s="292">
        <f>Y119/Y120</f>
        <v>12638.612903225807</v>
      </c>
      <c r="Z121" s="246">
        <f>Z119/Z120</f>
        <v>12638.612903225807</v>
      </c>
      <c r="AA121" s="16">
        <f>'Key Assumption'!AB444</f>
        <v>0</v>
      </c>
      <c r="AB121" s="16">
        <f>'Key Assumption'!AC444</f>
        <v>0</v>
      </c>
      <c r="AC121" s="16">
        <f>'Key Assumption'!AD444</f>
        <v>0</v>
      </c>
      <c r="AD121" s="16">
        <f>'Key Assumption'!AE444</f>
        <v>0</v>
      </c>
    </row>
    <row r="122" spans="1:30" x14ac:dyDescent="0.3">
      <c r="A122" s="338" t="s">
        <v>135</v>
      </c>
      <c r="G122" s="3" t="s">
        <v>333</v>
      </c>
      <c r="M122" s="16"/>
      <c r="N122" s="15"/>
      <c r="O122" s="246">
        <f>Revenue_HW!$O$482</f>
        <v>1441.476138406628</v>
      </c>
      <c r="P122" s="16">
        <f t="shared" ref="P122:X122" si="77">P$188</f>
        <v>1426.4224983649444</v>
      </c>
      <c r="Q122" s="16">
        <f t="shared" si="77"/>
        <v>1426.4224983649444</v>
      </c>
      <c r="R122" s="16">
        <f t="shared" si="77"/>
        <v>1426.4224983649444</v>
      </c>
      <c r="S122" s="16">
        <f t="shared" si="77"/>
        <v>1431.6794316794317</v>
      </c>
      <c r="T122" s="16">
        <f t="shared" si="77"/>
        <v>1431.6794316794317</v>
      </c>
      <c r="U122" s="16">
        <f t="shared" si="77"/>
        <v>1431.6794316794317</v>
      </c>
      <c r="V122" s="16">
        <f t="shared" si="77"/>
        <v>1398.4903984903985</v>
      </c>
      <c r="W122" s="16">
        <f t="shared" si="77"/>
        <v>1398.4903984903985</v>
      </c>
      <c r="X122" s="16">
        <f t="shared" si="77"/>
        <v>1398.4903984903985</v>
      </c>
      <c r="Y122" s="292">
        <f>Y118/Y119*10^6</f>
        <v>1414.6027511077407</v>
      </c>
      <c r="Z122" s="246">
        <f>Z118/Z119*10^6</f>
        <v>1416.2314412470671</v>
      </c>
      <c r="AA122" s="16">
        <f t="shared" ref="AA122:AD122" si="78">AA$188</f>
        <v>1381.1853031509499</v>
      </c>
      <c r="AB122" s="16">
        <f t="shared" si="78"/>
        <v>1388.080388080388</v>
      </c>
      <c r="AC122" s="16">
        <f t="shared" si="78"/>
        <v>1397.1342031686859</v>
      </c>
      <c r="AD122" s="16">
        <f t="shared" si="78"/>
        <v>1418.041418041418</v>
      </c>
    </row>
    <row r="123" spans="1:30" x14ac:dyDescent="0.3">
      <c r="A123" s="338" t="s">
        <v>135</v>
      </c>
      <c r="E123" s="3" t="s">
        <v>287</v>
      </c>
      <c r="M123" s="16"/>
      <c r="N123" s="15"/>
      <c r="O123" s="246">
        <f>O111-O112</f>
        <v>1946.6622607009597</v>
      </c>
      <c r="P123" s="16">
        <f t="shared" ref="P123:X123" si="79">P124*P125</f>
        <v>772.11240794964397</v>
      </c>
      <c r="Q123" s="16">
        <f t="shared" si="79"/>
        <v>720.63824741966778</v>
      </c>
      <c r="R123" s="16">
        <f t="shared" si="79"/>
        <v>514.74160529976268</v>
      </c>
      <c r="S123" s="16">
        <f t="shared" si="79"/>
        <v>308.84496317985759</v>
      </c>
      <c r="T123" s="16">
        <f t="shared" si="79"/>
        <v>669.16408688969148</v>
      </c>
      <c r="U123" s="16">
        <f t="shared" si="79"/>
        <v>823.58656847962027</v>
      </c>
      <c r="V123" s="16">
        <f t="shared" si="79"/>
        <v>772.11240794964397</v>
      </c>
      <c r="W123" s="16">
        <f t="shared" si="79"/>
        <v>617.68992635971517</v>
      </c>
      <c r="X123" s="16">
        <f t="shared" si="79"/>
        <v>669.16408688969148</v>
      </c>
      <c r="Y123" s="292">
        <f>SUM(P123:X123)</f>
        <v>5868.0543004172941</v>
      </c>
      <c r="Z123" s="246">
        <f>Y123+O123</f>
        <v>7814.7165611182536</v>
      </c>
      <c r="AA123" s="16">
        <f t="shared" ref="AA123:AD123" si="80">AA124*AA125</f>
        <v>0</v>
      </c>
      <c r="AB123" s="16">
        <f t="shared" si="80"/>
        <v>0</v>
      </c>
      <c r="AC123" s="16">
        <f t="shared" si="80"/>
        <v>0</v>
      </c>
      <c r="AD123" s="16">
        <f t="shared" si="80"/>
        <v>0</v>
      </c>
    </row>
    <row r="124" spans="1:30" x14ac:dyDescent="0.3">
      <c r="A124" s="338" t="s">
        <v>135</v>
      </c>
      <c r="F124" s="3" t="s">
        <v>358</v>
      </c>
      <c r="M124" s="16"/>
      <c r="N124" s="15"/>
      <c r="O124" s="246">
        <f>+O120+O115</f>
        <v>33</v>
      </c>
      <c r="P124" s="16">
        <f t="shared" ref="P124:AD124" si="81">+P120+P115</f>
        <v>15</v>
      </c>
      <c r="Q124" s="16">
        <f t="shared" si="81"/>
        <v>14</v>
      </c>
      <c r="R124" s="16">
        <f t="shared" si="81"/>
        <v>10</v>
      </c>
      <c r="S124" s="16">
        <f t="shared" si="81"/>
        <v>6</v>
      </c>
      <c r="T124" s="16">
        <f t="shared" si="81"/>
        <v>13</v>
      </c>
      <c r="U124" s="16">
        <f t="shared" si="81"/>
        <v>16</v>
      </c>
      <c r="V124" s="16">
        <f t="shared" si="81"/>
        <v>15</v>
      </c>
      <c r="W124" s="16">
        <f t="shared" si="81"/>
        <v>12</v>
      </c>
      <c r="X124" s="16">
        <f t="shared" si="81"/>
        <v>13</v>
      </c>
      <c r="Y124" s="292">
        <f t="shared" si="81"/>
        <v>114</v>
      </c>
      <c r="Z124" s="246">
        <f>Y124+O124</f>
        <v>147</v>
      </c>
      <c r="AA124" s="16">
        <f t="shared" si="81"/>
        <v>0</v>
      </c>
      <c r="AB124" s="16">
        <f t="shared" si="81"/>
        <v>0</v>
      </c>
      <c r="AC124" s="16">
        <f t="shared" si="81"/>
        <v>0</v>
      </c>
      <c r="AD124" s="16">
        <f t="shared" si="81"/>
        <v>0</v>
      </c>
    </row>
    <row r="125" spans="1:30" x14ac:dyDescent="0.3">
      <c r="A125" s="338" t="s">
        <v>135</v>
      </c>
      <c r="F125" s="3" t="s">
        <v>363</v>
      </c>
      <c r="M125" s="16"/>
      <c r="N125" s="15"/>
      <c r="O125" s="246">
        <f>O123/O124</f>
        <v>58.989765475786655</v>
      </c>
      <c r="P125" s="16">
        <f>'Key Assumption'!R450</f>
        <v>51.474160529976267</v>
      </c>
      <c r="Q125" s="16">
        <f>'Key Assumption'!S450</f>
        <v>51.474160529976267</v>
      </c>
      <c r="R125" s="16">
        <f>'Key Assumption'!T450</f>
        <v>51.474160529976267</v>
      </c>
      <c r="S125" s="16">
        <f>'Key Assumption'!U450</f>
        <v>51.474160529976267</v>
      </c>
      <c r="T125" s="16">
        <f>'Key Assumption'!V450</f>
        <v>51.474160529976267</v>
      </c>
      <c r="U125" s="16">
        <f>'Key Assumption'!W450</f>
        <v>51.474160529976267</v>
      </c>
      <c r="V125" s="16">
        <f>'Key Assumption'!X450</f>
        <v>51.474160529976267</v>
      </c>
      <c r="W125" s="16">
        <f>'Key Assumption'!Y450</f>
        <v>51.474160529976267</v>
      </c>
      <c r="X125" s="16">
        <f>'Key Assumption'!Z450</f>
        <v>51.474160529976267</v>
      </c>
      <c r="Y125" s="292">
        <f>Y123/Y124</f>
        <v>51.474160529976267</v>
      </c>
      <c r="Z125" s="246">
        <f>Z123/Z124</f>
        <v>53.161337150464313</v>
      </c>
      <c r="AA125" s="16">
        <f>'Key Assumption'!AB450</f>
        <v>0</v>
      </c>
      <c r="AB125" s="16">
        <f>'Key Assumption'!AC450</f>
        <v>0</v>
      </c>
      <c r="AC125" s="16">
        <f>'Key Assumption'!AD450</f>
        <v>0</v>
      </c>
      <c r="AD125" s="16">
        <f>'Key Assumption'!AE450</f>
        <v>0</v>
      </c>
    </row>
    <row r="126" spans="1:30" x14ac:dyDescent="0.3">
      <c r="A126" s="338" t="s">
        <v>135</v>
      </c>
      <c r="D126" s="3" t="s">
        <v>288</v>
      </c>
      <c r="M126" s="16"/>
      <c r="N126" s="15"/>
      <c r="O126" s="246">
        <v>633.32035164461047</v>
      </c>
      <c r="P126" s="16">
        <f t="shared" ref="P126:X126" si="82">P127*P128</f>
        <v>326.53011731386425</v>
      </c>
      <c r="Q126" s="16">
        <f t="shared" si="82"/>
        <v>251.17701331835713</v>
      </c>
      <c r="R126" s="16">
        <f t="shared" si="82"/>
        <v>150.70620799101425</v>
      </c>
      <c r="S126" s="16">
        <f t="shared" si="82"/>
        <v>50.235402663671422</v>
      </c>
      <c r="T126" s="16">
        <f t="shared" si="82"/>
        <v>226.05931198652141</v>
      </c>
      <c r="U126" s="16">
        <f t="shared" si="82"/>
        <v>251.17701331835713</v>
      </c>
      <c r="V126" s="16">
        <f t="shared" si="82"/>
        <v>226.05931198652141</v>
      </c>
      <c r="W126" s="16">
        <f t="shared" si="82"/>
        <v>226.05931198652141</v>
      </c>
      <c r="X126" s="16">
        <f t="shared" si="82"/>
        <v>226.05931198652141</v>
      </c>
      <c r="Y126" s="292">
        <f>SUM(P126:X126)</f>
        <v>1934.0630025513497</v>
      </c>
      <c r="Z126" s="246">
        <f>Y126+O126</f>
        <v>2567.3833541959602</v>
      </c>
      <c r="AA126" s="16">
        <f t="shared" ref="AA126:AD126" si="83">AA127*AA128</f>
        <v>0</v>
      </c>
      <c r="AB126" s="16">
        <f t="shared" si="83"/>
        <v>0</v>
      </c>
      <c r="AC126" s="16">
        <f t="shared" si="83"/>
        <v>0</v>
      </c>
      <c r="AD126" s="16">
        <f t="shared" si="83"/>
        <v>0</v>
      </c>
    </row>
    <row r="127" spans="1:30" x14ac:dyDescent="0.3">
      <c r="A127" s="338" t="s">
        <v>135</v>
      </c>
      <c r="E127" s="3" t="s">
        <v>358</v>
      </c>
      <c r="M127" s="16"/>
      <c r="N127" s="15"/>
      <c r="O127" s="246">
        <f t="shared" ref="O127" si="84">O124</f>
        <v>33</v>
      </c>
      <c r="P127" s="16">
        <v>13</v>
      </c>
      <c r="Q127" s="16">
        <v>10</v>
      </c>
      <c r="R127" s="16">
        <v>6</v>
      </c>
      <c r="S127" s="16">
        <v>2</v>
      </c>
      <c r="T127" s="16">
        <v>9</v>
      </c>
      <c r="U127" s="16">
        <v>10</v>
      </c>
      <c r="V127" s="16">
        <v>9</v>
      </c>
      <c r="W127" s="16">
        <v>9</v>
      </c>
      <c r="X127" s="16">
        <v>9</v>
      </c>
      <c r="Y127" s="292">
        <f>SUM(P127:X127)</f>
        <v>77</v>
      </c>
      <c r="Z127" s="246">
        <f>Y127+O127</f>
        <v>110</v>
      </c>
      <c r="AA127" s="16">
        <f>AA124</f>
        <v>0</v>
      </c>
      <c r="AB127" s="16">
        <f>AB124</f>
        <v>0</v>
      </c>
      <c r="AC127" s="16">
        <f>AC124</f>
        <v>0</v>
      </c>
      <c r="AD127" s="16">
        <f>AD124</f>
        <v>0</v>
      </c>
    </row>
    <row r="128" spans="1:30" x14ac:dyDescent="0.3">
      <c r="A128" s="338" t="s">
        <v>135</v>
      </c>
      <c r="E128" s="3" t="s">
        <v>364</v>
      </c>
      <c r="M128" s="16"/>
      <c r="N128" s="15"/>
      <c r="O128" s="246">
        <f>O126/O127</f>
        <v>19.19152580741244</v>
      </c>
      <c r="P128" s="16">
        <f>'Key Assumption'!R456</f>
        <v>25.117701331835711</v>
      </c>
      <c r="Q128" s="16">
        <f>'Key Assumption'!S456</f>
        <v>25.117701331835711</v>
      </c>
      <c r="R128" s="16">
        <f>'Key Assumption'!T456</f>
        <v>25.117701331835711</v>
      </c>
      <c r="S128" s="16">
        <f>'Key Assumption'!U456</f>
        <v>25.117701331835711</v>
      </c>
      <c r="T128" s="16">
        <f>'Key Assumption'!V456</f>
        <v>25.117701331835711</v>
      </c>
      <c r="U128" s="16">
        <f>'Key Assumption'!W456</f>
        <v>25.117701331835711</v>
      </c>
      <c r="V128" s="16">
        <f>'Key Assumption'!X456</f>
        <v>25.117701331835711</v>
      </c>
      <c r="W128" s="16">
        <f>'Key Assumption'!Y456</f>
        <v>25.117701331835711</v>
      </c>
      <c r="X128" s="16">
        <f>'Key Assumption'!Z456</f>
        <v>25.117701331835711</v>
      </c>
      <c r="Y128" s="292">
        <f>Y126/Y127</f>
        <v>25.117701331835711</v>
      </c>
      <c r="Z128" s="246">
        <f>Z126/Z127</f>
        <v>23.33984867450873</v>
      </c>
      <c r="AA128" s="16">
        <f>'Key Assumption'!AB456</f>
        <v>0</v>
      </c>
      <c r="AB128" s="16">
        <f>'Key Assumption'!AC456</f>
        <v>0</v>
      </c>
      <c r="AC128" s="16">
        <f>'Key Assumption'!AD456</f>
        <v>0</v>
      </c>
      <c r="AD128" s="16">
        <f>'Key Assumption'!AE456</f>
        <v>0</v>
      </c>
    </row>
    <row r="129" spans="1:30" x14ac:dyDescent="0.3">
      <c r="A129" s="338" t="s">
        <v>135</v>
      </c>
      <c r="C129" s="3" t="s">
        <v>136</v>
      </c>
      <c r="M129" s="16"/>
      <c r="N129" s="15"/>
      <c r="O129" s="246">
        <f>O130+O132</f>
        <v>8640.0173269999996</v>
      </c>
      <c r="P129" s="16">
        <f t="shared" ref="P129:Y129" si="85">P130+P132</f>
        <v>2911.2320698134408</v>
      </c>
      <c r="Q129" s="16">
        <f t="shared" si="85"/>
        <v>2593.581776715168</v>
      </c>
      <c r="R129" s="16">
        <f t="shared" si="85"/>
        <v>2701.8511270821764</v>
      </c>
      <c r="S129" s="16">
        <f t="shared" si="85"/>
        <v>2452.8997458526119</v>
      </c>
      <c r="T129" s="16">
        <f t="shared" si="85"/>
        <v>2709.5563802708225</v>
      </c>
      <c r="U129" s="16">
        <f t="shared" si="85"/>
        <v>2506.0586862087521</v>
      </c>
      <c r="V129" s="16">
        <f t="shared" si="85"/>
        <v>2531.7516437465893</v>
      </c>
      <c r="W129" s="16">
        <f t="shared" si="85"/>
        <v>2499.5871253539485</v>
      </c>
      <c r="X129" s="16">
        <f t="shared" si="85"/>
        <v>2347.8455263764549</v>
      </c>
      <c r="Y129" s="292">
        <f t="shared" si="85"/>
        <v>23254.364081419964</v>
      </c>
      <c r="Z129" s="246">
        <f>Z130+Z132</f>
        <v>31894.381408419962</v>
      </c>
      <c r="AA129" s="16">
        <f>AA130+AA132</f>
        <v>27136.679905389989</v>
      </c>
      <c r="AB129" s="16">
        <f>AB130+AB132</f>
        <v>30490.781333498562</v>
      </c>
      <c r="AC129" s="16">
        <f>AC130+AC132</f>
        <v>33883.287359415204</v>
      </c>
      <c r="AD129" s="16">
        <f>AD130+AD132</f>
        <v>37571.039244350752</v>
      </c>
    </row>
    <row r="130" spans="1:30" x14ac:dyDescent="0.3">
      <c r="A130" s="338" t="s">
        <v>135</v>
      </c>
      <c r="D130" s="3" t="s">
        <v>365</v>
      </c>
      <c r="M130" s="16"/>
      <c r="N130" s="15"/>
      <c r="O130" s="246">
        <v>6715.6640729999999</v>
      </c>
      <c r="P130" s="16">
        <f>SUM(Revenue_HW!P76,Revenue_HW!P208,Revenue_HW!P251,Revenue_HW!P294,Revenue_HW!P337,Revenue_HW!P380,Revenue_HW!P423,Revenue_HW!P461,Revenue_HW!P499,Revenue_HW!P537)*P131</f>
        <v>1864.8183994417113</v>
      </c>
      <c r="Q130" s="16">
        <f>SUM(Revenue_HW!Q76,Revenue_HW!Q208,Revenue_HW!Q251,Revenue_HW!Q294,Revenue_HW!Q337,Revenue_HW!Q380,Revenue_HW!Q423,Revenue_HW!Q461,Revenue_HW!Q499,Revenue_HW!Q537)*Q131</f>
        <v>1656.1705267738255</v>
      </c>
      <c r="R130" s="16">
        <f>SUM(Revenue_HW!R76,Revenue_HW!R208,Revenue_HW!R251,Revenue_HW!R294,Revenue_HW!R337,Revenue_HW!R380,Revenue_HW!R423,Revenue_HW!R461,Revenue_HW!R499,Revenue_HW!R537)*R131</f>
        <v>1759.1997684502539</v>
      </c>
      <c r="S130" s="16">
        <f>SUM(Revenue_HW!S76,Revenue_HW!S208,Revenue_HW!S251,Revenue_HW!S294,Revenue_HW!S337,Revenue_HW!S380,Revenue_HW!S423,Revenue_HW!S461,Revenue_HW!S499,Revenue_HW!S537)*S131</f>
        <v>1640.6301394795885</v>
      </c>
      <c r="T130" s="16">
        <f>SUM(Revenue_HW!T76,Revenue_HW!T208,Revenue_HW!T251,Revenue_HW!T294,Revenue_HW!T337,Revenue_HW!T380,Revenue_HW!T423,Revenue_HW!T461,Revenue_HW!T499,Revenue_HW!T537)*T131</f>
        <v>1777.2168799210319</v>
      </c>
      <c r="U130" s="16">
        <f>SUM(Revenue_HW!U76,Revenue_HW!U208,Revenue_HW!U251,Revenue_HW!U294,Revenue_HW!U337,Revenue_HW!U380,Revenue_HW!U423,Revenue_HW!U461,Revenue_HW!U499,Revenue_HW!U537)*U131</f>
        <v>1686.4561818984459</v>
      </c>
      <c r="V130" s="16">
        <f>SUM(Revenue_HW!V76,Revenue_HW!V208,Revenue_HW!V251,Revenue_HW!V294,Revenue_HW!V337,Revenue_HW!V380,Revenue_HW!V423,Revenue_HW!V461,Revenue_HW!V499,Revenue_HW!V537)*V131</f>
        <v>1709.5357433949316</v>
      </c>
      <c r="W130" s="16">
        <f>SUM(Revenue_HW!W76,Revenue_HW!W208,Revenue_HW!W251,Revenue_HW!W294,Revenue_HW!W337,Revenue_HW!W380,Revenue_HW!W423,Revenue_HW!W461,Revenue_HW!W499,Revenue_HW!W537)*W131</f>
        <v>1664.4098867156249</v>
      </c>
      <c r="X130" s="16">
        <f>SUM(Revenue_HW!X76,Revenue_HW!X208,Revenue_HW!X251,Revenue_HW!X294,Revenue_HW!X337,Revenue_HW!X380,Revenue_HW!X423,Revenue_HW!X461,Revenue_HW!X499,Revenue_HW!X537)*X131</f>
        <v>1599.9302608997068</v>
      </c>
      <c r="Y130" s="292">
        <f>SUM(P130:X130)</f>
        <v>15358.367786975119</v>
      </c>
      <c r="Z130" s="246">
        <f>Y130+O130</f>
        <v>22074.031859975119</v>
      </c>
      <c r="AA130" s="16">
        <f>SUM(Revenue_HW!AA76,Revenue_HW!AA208,Revenue_HW!AA251,Revenue_HW!AA294,Revenue_HW!AA337,Revenue_HW!AA380,Revenue_HW!AA423,Revenue_HW!AA461,Revenue_HW!AA499,Revenue_HW!AA537)*AA131</f>
        <v>18062.388292817635</v>
      </c>
      <c r="AB130" s="16">
        <f>SUM(Revenue_HW!AB76,Revenue_HW!AB208,Revenue_HW!AB251,Revenue_HW!AB294,Revenue_HW!AB337,Revenue_HW!AB380,Revenue_HW!AB423,Revenue_HW!AB461,Revenue_HW!AB499,Revenue_HW!AB537)*AB131</f>
        <v>20322.973187412026</v>
      </c>
      <c r="AC130" s="16">
        <f>SUM(Revenue_HW!AC76,Revenue_HW!AC208,Revenue_HW!AC251,Revenue_HW!AC294,Revenue_HW!AC337,Revenue_HW!AC380,Revenue_HW!AC423,Revenue_HW!AC461,Revenue_HW!AC499,Revenue_HW!AC537)*AC131</f>
        <v>22440.065179484893</v>
      </c>
      <c r="AD130" s="16">
        <f>SUM(Revenue_HW!AD76,Revenue_HW!AD208,Revenue_HW!AD251,Revenue_HW!AD294,Revenue_HW!AD337,Revenue_HW!AD380,Revenue_HW!AD423,Revenue_HW!AD461,Revenue_HW!AD499,Revenue_HW!AD537)*AD131</f>
        <v>24922.455242186032</v>
      </c>
    </row>
    <row r="131" spans="1:30" s="363" customFormat="1" x14ac:dyDescent="0.3">
      <c r="A131" s="384" t="s">
        <v>135</v>
      </c>
      <c r="E131" s="363" t="s">
        <v>366</v>
      </c>
      <c r="I131" s="385">
        <v>0.70099999999999996</v>
      </c>
      <c r="N131" s="374"/>
      <c r="O131" s="362">
        <f>O130/SUM(Revenue_HW!O76,Revenue_HW!O208,Revenue_HW!O251,Revenue_HW!O294,Revenue_HW!O337,Revenue_HW!O380,Revenue_HW!O423,Revenue_HW!O461,Revenue_HW!O499,Revenue_HW!O537)</f>
        <v>0.80863131187331005</v>
      </c>
      <c r="P131" s="363">
        <f>$I131</f>
        <v>0.70099999999999996</v>
      </c>
      <c r="Q131" s="363">
        <f t="shared" ref="Q131:X133" si="86">$I131</f>
        <v>0.70099999999999996</v>
      </c>
      <c r="R131" s="363">
        <f t="shared" si="86"/>
        <v>0.70099999999999996</v>
      </c>
      <c r="S131" s="363">
        <f t="shared" si="86"/>
        <v>0.70099999999999996</v>
      </c>
      <c r="T131" s="363">
        <f t="shared" si="86"/>
        <v>0.70099999999999996</v>
      </c>
      <c r="U131" s="363">
        <f t="shared" si="86"/>
        <v>0.70099999999999996</v>
      </c>
      <c r="V131" s="363">
        <f t="shared" si="86"/>
        <v>0.70099999999999996</v>
      </c>
      <c r="W131" s="363">
        <f t="shared" si="86"/>
        <v>0.70099999999999996</v>
      </c>
      <c r="X131" s="363">
        <f t="shared" si="86"/>
        <v>0.70099999999999996</v>
      </c>
      <c r="Y131" s="364">
        <f>Y130/SUM(Revenue_HW!Y76,Revenue_HW!Y208,Revenue_HW!Y251,Revenue_HW!Y294,Revenue_HW!Y337,Revenue_HW!Y380,Revenue_HW!Y423,Revenue_HW!Y461,Revenue_HW!Y499,Revenue_HW!Y537)</f>
        <v>0.70100000000000007</v>
      </c>
      <c r="Z131" s="362">
        <f>Z130/SUM(Revenue_HW!Z76,Revenue_HW!Z208,Revenue_HW!Z251,Revenue_HW!Z294,Revenue_HW!Z337,Revenue_HW!Z380,Revenue_HW!Z423,Revenue_HW!Z461,Revenue_HW!Z499,Revenue_HW!Z537)</f>
        <v>0.73058461351092729</v>
      </c>
      <c r="AA131" s="363">
        <f t="shared" ref="AA131:AD133" si="87">$I131</f>
        <v>0.70099999999999996</v>
      </c>
      <c r="AB131" s="363">
        <f t="shared" si="87"/>
        <v>0.70099999999999996</v>
      </c>
      <c r="AC131" s="363">
        <f t="shared" si="87"/>
        <v>0.70099999999999996</v>
      </c>
      <c r="AD131" s="363">
        <f t="shared" si="87"/>
        <v>0.70099999999999996</v>
      </c>
    </row>
    <row r="132" spans="1:30" x14ac:dyDescent="0.3">
      <c r="A132" s="338" t="s">
        <v>135</v>
      </c>
      <c r="D132" s="3" t="s">
        <v>367</v>
      </c>
      <c r="M132" s="16"/>
      <c r="N132" s="15"/>
      <c r="O132" s="246">
        <v>1924.3532540000001</v>
      </c>
      <c r="P132" s="16">
        <f>SUM(Revenue_HW!P78,Revenue_HW!P210,Revenue_HW!P253,Revenue_HW!P296,Revenue_HW!P339,Revenue_HW!P382,Revenue_HW!P425,Revenue_HW!P463,Revenue_HW!P501,Revenue_HW!P541)*P133</f>
        <v>1046.4136703717297</v>
      </c>
      <c r="Q132" s="16">
        <f>SUM(Revenue_HW!Q78,Revenue_HW!Q210,Revenue_HW!Q253,Revenue_HW!Q296,Revenue_HW!Q339,Revenue_HW!Q382,Revenue_HW!Q425,Revenue_HW!Q463,Revenue_HW!Q501,Revenue_HW!Q541)*Q133</f>
        <v>937.41124994134236</v>
      </c>
      <c r="R132" s="16">
        <f>SUM(Revenue_HW!R78,Revenue_HW!R210,Revenue_HW!R253,Revenue_HW!R296,Revenue_HW!R339,Revenue_HW!R382,Revenue_HW!R425,Revenue_HW!R463,Revenue_HW!R501,Revenue_HW!R541)*R133</f>
        <v>942.65135863192256</v>
      </c>
      <c r="S132" s="16">
        <f>SUM(Revenue_HW!S78,Revenue_HW!S210,Revenue_HW!S253,Revenue_HW!S296,Revenue_HW!S339,Revenue_HW!S382,Revenue_HW!S425,Revenue_HW!S463,Revenue_HW!S501,Revenue_HW!S541)*S133</f>
        <v>812.26960637302318</v>
      </c>
      <c r="T132" s="16">
        <f>SUM(Revenue_HW!T78,Revenue_HW!T210,Revenue_HW!T253,Revenue_HW!T296,Revenue_HW!T339,Revenue_HW!T382,Revenue_HW!T425,Revenue_HW!T463,Revenue_HW!T501,Revenue_HW!T541)*T133</f>
        <v>932.33950034979057</v>
      </c>
      <c r="U132" s="16">
        <f>SUM(Revenue_HW!U78,Revenue_HW!U210,Revenue_HW!U253,Revenue_HW!U296,Revenue_HW!U339,Revenue_HW!U382,Revenue_HW!U425,Revenue_HW!U463,Revenue_HW!U501,Revenue_HW!U541)*U133</f>
        <v>819.6025043103059</v>
      </c>
      <c r="V132" s="16">
        <f>SUM(Revenue_HW!V78,Revenue_HW!V210,Revenue_HW!V253,Revenue_HW!V296,Revenue_HW!V339,Revenue_HW!V382,Revenue_HW!V425,Revenue_HW!V463,Revenue_HW!V501,Revenue_HW!V541)*V133</f>
        <v>822.21590035165787</v>
      </c>
      <c r="W132" s="16">
        <f>SUM(Revenue_HW!W78,Revenue_HW!W210,Revenue_HW!W253,Revenue_HW!W296,Revenue_HW!W339,Revenue_HW!W382,Revenue_HW!W425,Revenue_HW!W463,Revenue_HW!W501,Revenue_HW!W541)*W133</f>
        <v>835.17723863832373</v>
      </c>
      <c r="X132" s="16">
        <f>SUM(Revenue_HW!X78,Revenue_HW!X210,Revenue_HW!X253,Revenue_HW!X296,Revenue_HW!X339,Revenue_HW!X382,Revenue_HW!X425,Revenue_HW!X463,Revenue_HW!X501,Revenue_HW!X541)*X133</f>
        <v>747.915265476748</v>
      </c>
      <c r="Y132" s="292">
        <f>SUM(P132:X132)</f>
        <v>7895.9962944448444</v>
      </c>
      <c r="Z132" s="246">
        <f>Y132+O132</f>
        <v>9820.3495484448449</v>
      </c>
      <c r="AA132" s="16">
        <f>SUM(Revenue_HW!AA78,Revenue_HW!AA210,Revenue_HW!AA253,Revenue_HW!AA296,Revenue_HW!AA339,Revenue_HW!AA382,Revenue_HW!AA425,Revenue_HW!AA463,Revenue_HW!AA501,Revenue_HW!AA541)*AA133</f>
        <v>9074.291612572355</v>
      </c>
      <c r="AB132" s="16">
        <f>SUM(Revenue_HW!AB78,Revenue_HW!AB210,Revenue_HW!AB253,Revenue_HW!AB296,Revenue_HW!AB339,Revenue_HW!AB382,Revenue_HW!AB425,Revenue_HW!AB463,Revenue_HW!AB501,Revenue_HW!AB541)*AB133</f>
        <v>10167.808146086534</v>
      </c>
      <c r="AC132" s="16">
        <f>SUM(Revenue_HW!AC78,Revenue_HW!AC210,Revenue_HW!AC253,Revenue_HW!AC296,Revenue_HW!AC339,Revenue_HW!AC382,Revenue_HW!AC425,Revenue_HW!AC463,Revenue_HW!AC501,Revenue_HW!AC541)*AC133</f>
        <v>11443.222179930313</v>
      </c>
      <c r="AD132" s="16">
        <f>SUM(Revenue_HW!AD78,Revenue_HW!AD210,Revenue_HW!AD253,Revenue_HW!AD296,Revenue_HW!AD339,Revenue_HW!AD382,Revenue_HW!AD425,Revenue_HW!AD463,Revenue_HW!AD501,Revenue_HW!AD541)*AD133</f>
        <v>12648.58400216472</v>
      </c>
    </row>
    <row r="133" spans="1:30" s="363" customFormat="1" x14ac:dyDescent="0.3">
      <c r="A133" s="384" t="s">
        <v>135</v>
      </c>
      <c r="B133" s="386"/>
      <c r="C133" s="386"/>
      <c r="D133" s="386"/>
      <c r="E133" s="386" t="s">
        <v>366</v>
      </c>
      <c r="F133" s="386"/>
      <c r="G133" s="386"/>
      <c r="H133" s="386"/>
      <c r="I133" s="385">
        <v>0.7</v>
      </c>
      <c r="J133" s="386"/>
      <c r="K133" s="386"/>
      <c r="L133" s="386"/>
      <c r="M133" s="386"/>
      <c r="N133" s="387"/>
      <c r="O133" s="388">
        <f>O132/SUM(Revenue_HW!O78,Revenue_HW!O210,Revenue_HW!O253,Revenue_HW!O296,Revenue_HW!O339,Revenue_HW!O382,Revenue_HW!O425,Revenue_HW!O463,Revenue_HW!O501,Revenue_HW!O541)</f>
        <v>0.39671178116498262</v>
      </c>
      <c r="P133" s="386">
        <f>$I133</f>
        <v>0.7</v>
      </c>
      <c r="Q133" s="386">
        <f t="shared" si="86"/>
        <v>0.7</v>
      </c>
      <c r="R133" s="386">
        <f t="shared" si="86"/>
        <v>0.7</v>
      </c>
      <c r="S133" s="386">
        <f t="shared" si="86"/>
        <v>0.7</v>
      </c>
      <c r="T133" s="386">
        <f t="shared" si="86"/>
        <v>0.7</v>
      </c>
      <c r="U133" s="386">
        <f t="shared" si="86"/>
        <v>0.7</v>
      </c>
      <c r="V133" s="386">
        <f t="shared" si="86"/>
        <v>0.7</v>
      </c>
      <c r="W133" s="386">
        <f t="shared" si="86"/>
        <v>0.7</v>
      </c>
      <c r="X133" s="386">
        <f t="shared" si="86"/>
        <v>0.7</v>
      </c>
      <c r="Y133" s="389">
        <f>Y132/SUM(Revenue_HW!Y78,Revenue_HW!Y210,Revenue_HW!Y253,Revenue_HW!Y296,Revenue_HW!Y339,Revenue_HW!Y382,Revenue_HW!Y425,Revenue_HW!Y463,Revenue_HW!Y501,Revenue_HW!Y541)</f>
        <v>0.70000000000000018</v>
      </c>
      <c r="Z133" s="388">
        <f>Z132/SUM(Revenue_HW!Z78,Revenue_HW!Z210,Revenue_HW!Z253,Revenue_HW!Z296,Revenue_HW!Z339,Revenue_HW!Z382,Revenue_HW!Z425,Revenue_HW!Z463,Revenue_HW!Z501,Revenue_HW!Z541)</f>
        <v>0.60879669420114046</v>
      </c>
      <c r="AA133" s="386">
        <f t="shared" si="87"/>
        <v>0.7</v>
      </c>
      <c r="AB133" s="386">
        <f t="shared" si="87"/>
        <v>0.7</v>
      </c>
      <c r="AC133" s="386">
        <f t="shared" si="87"/>
        <v>0.7</v>
      </c>
      <c r="AD133" s="386">
        <f t="shared" si="87"/>
        <v>0.7</v>
      </c>
    </row>
    <row r="134" spans="1:30" x14ac:dyDescent="0.3">
      <c r="A134" s="338"/>
      <c r="I134" s="43"/>
      <c r="M134" s="16"/>
      <c r="N134" s="16"/>
      <c r="O134" s="17"/>
      <c r="P134" s="16"/>
      <c r="Q134" s="16"/>
      <c r="R134" s="16"/>
      <c r="S134" s="16"/>
      <c r="T134" s="16"/>
      <c r="U134" s="16"/>
      <c r="V134" s="16"/>
      <c r="W134" s="16"/>
      <c r="X134" s="16"/>
      <c r="Y134" s="16"/>
      <c r="Z134" s="16"/>
      <c r="AA134" s="16"/>
      <c r="AB134" s="16"/>
      <c r="AC134" s="16"/>
      <c r="AD134" s="16"/>
    </row>
    <row r="135" spans="1:30" x14ac:dyDescent="0.3">
      <c r="A135" s="4"/>
      <c r="B135" s="5" t="s">
        <v>368</v>
      </c>
      <c r="C135" s="4"/>
      <c r="D135" s="4"/>
      <c r="E135" s="4"/>
      <c r="F135" s="4"/>
      <c r="G135" s="4"/>
      <c r="H135" s="4"/>
      <c r="I135" s="4"/>
      <c r="J135" s="4"/>
      <c r="K135" s="4"/>
      <c r="L135" s="4"/>
      <c r="M135" s="4"/>
      <c r="N135" s="4"/>
      <c r="O135" s="390">
        <v>0</v>
      </c>
      <c r="P135" s="4"/>
      <c r="Q135" s="4"/>
      <c r="R135" s="4"/>
      <c r="S135" s="4"/>
      <c r="T135" s="4"/>
      <c r="U135" s="4"/>
      <c r="V135" s="4"/>
      <c r="W135" s="4"/>
      <c r="X135" s="4"/>
      <c r="Y135" s="4"/>
      <c r="Z135" s="4"/>
      <c r="AA135" s="4"/>
      <c r="AB135" s="4"/>
      <c r="AC135" s="4"/>
      <c r="AD135" s="4"/>
    </row>
    <row r="136" spans="1:30" x14ac:dyDescent="0.3">
      <c r="O136" s="16">
        <v>0</v>
      </c>
      <c r="Z136" s="3">
        <f>38160-10912</f>
        <v>27248</v>
      </c>
    </row>
    <row r="137" spans="1:30" x14ac:dyDescent="0.3">
      <c r="B137" s="8"/>
      <c r="C137" s="8"/>
      <c r="D137" s="8"/>
      <c r="E137" s="8"/>
      <c r="F137" s="8"/>
      <c r="G137" s="8"/>
      <c r="H137" s="8"/>
      <c r="I137" s="8"/>
      <c r="J137" s="8"/>
      <c r="K137" s="8"/>
      <c r="L137" s="9" t="s">
        <v>182</v>
      </c>
      <c r="M137" s="9" t="s">
        <v>183</v>
      </c>
      <c r="N137" s="10" t="s">
        <v>184</v>
      </c>
      <c r="O137" s="244" t="s">
        <v>293</v>
      </c>
      <c r="P137" s="9" t="s">
        <v>215</v>
      </c>
      <c r="Q137" s="9" t="s">
        <v>216</v>
      </c>
      <c r="R137" s="9" t="s">
        <v>217</v>
      </c>
      <c r="S137" s="9" t="s">
        <v>218</v>
      </c>
      <c r="T137" s="9" t="s">
        <v>219</v>
      </c>
      <c r="U137" s="9" t="s">
        <v>220</v>
      </c>
      <c r="V137" s="9" t="s">
        <v>221</v>
      </c>
      <c r="W137" s="9" t="s">
        <v>222</v>
      </c>
      <c r="X137" s="9" t="s">
        <v>223</v>
      </c>
      <c r="Y137" s="233" t="s">
        <v>294</v>
      </c>
      <c r="Z137" s="244" t="s">
        <v>197</v>
      </c>
      <c r="AA137" s="9" t="s">
        <v>198</v>
      </c>
      <c r="AB137" s="9" t="s">
        <v>199</v>
      </c>
      <c r="AC137" s="9" t="s">
        <v>200</v>
      </c>
      <c r="AD137" s="9" t="s">
        <v>201</v>
      </c>
    </row>
    <row r="138" spans="1:30" s="11" customFormat="1" x14ac:dyDescent="0.3">
      <c r="B138" s="11" t="s">
        <v>138</v>
      </c>
      <c r="L138" s="13">
        <f t="shared" ref="L138:N138" si="88">L143+L144+L140</f>
        <v>46371.801648225955</v>
      </c>
      <c r="M138" s="13">
        <f t="shared" si="88"/>
        <v>47689.494658789161</v>
      </c>
      <c r="N138" s="124">
        <f t="shared" si="88"/>
        <v>54135.938115405908</v>
      </c>
      <c r="O138" s="326">
        <f t="shared" ref="O138:Z138" si="89">O143+O140+O145</f>
        <v>9180.6026947879654</v>
      </c>
      <c r="P138" s="13">
        <f t="shared" si="89"/>
        <v>2801.3940586402023</v>
      </c>
      <c r="Q138" s="13">
        <f t="shared" si="89"/>
        <v>2603.4190586402024</v>
      </c>
      <c r="R138" s="13">
        <f t="shared" si="89"/>
        <v>2603.4190586402024</v>
      </c>
      <c r="S138" s="13">
        <f t="shared" si="89"/>
        <v>2543.6760586402024</v>
      </c>
      <c r="T138" s="13">
        <f t="shared" si="89"/>
        <v>2285.8780586402022</v>
      </c>
      <c r="U138" s="13">
        <f t="shared" si="89"/>
        <v>2266.2560586402024</v>
      </c>
      <c r="V138" s="13">
        <f t="shared" si="89"/>
        <v>2252.9800586402021</v>
      </c>
      <c r="W138" s="13">
        <f t="shared" si="89"/>
        <v>2189.2710586402022</v>
      </c>
      <c r="X138" s="13">
        <f t="shared" si="89"/>
        <v>2149.4420586402025</v>
      </c>
      <c r="Y138" s="359">
        <f t="shared" si="89"/>
        <v>21695.735527761819</v>
      </c>
      <c r="Z138" s="326">
        <f t="shared" si="89"/>
        <v>30876.338222549784</v>
      </c>
      <c r="AA138" s="13">
        <f>AA143+AA145+AA140</f>
        <v>22688.296449969679</v>
      </c>
      <c r="AB138" s="13">
        <f>AB143+AB145+AB140</f>
        <v>23618.516604418437</v>
      </c>
      <c r="AC138" s="13">
        <f>AC143+AC145+AC140</f>
        <v>24421.546168968664</v>
      </c>
      <c r="AD138" s="13">
        <f>AD143+AD145+AD140</f>
        <v>25276.300284882564</v>
      </c>
    </row>
    <row r="139" spans="1:30" s="43" customFormat="1" x14ac:dyDescent="0.3">
      <c r="C139" s="43" t="s">
        <v>369</v>
      </c>
      <c r="L139" s="391" t="str">
        <f>IFERROR(L138/Revenue_HW!L$6,"-")</f>
        <v>-</v>
      </c>
      <c r="M139" s="391" t="str">
        <f>IFERROR(M138/Revenue_HW!M$6,"-")</f>
        <v>-</v>
      </c>
      <c r="N139" s="392" t="str">
        <f>IFERROR(N138/Revenue_HW!N$6,"-")</f>
        <v>-</v>
      </c>
      <c r="O139" s="376">
        <f>O138/Revenue_HW!O$6</f>
        <v>0.12092136645420416</v>
      </c>
      <c r="P139" s="45">
        <f>P138/Revenue_HW!P$6</f>
        <v>8.9829209467365306E-2</v>
      </c>
      <c r="Q139" s="45">
        <f>Q138/Revenue_HW!Q$6</f>
        <v>9.1706449923833172E-2</v>
      </c>
      <c r="R139" s="45">
        <f>R138/Revenue_HW!R$6</f>
        <v>8.6101920867032222E-2</v>
      </c>
      <c r="S139" s="45">
        <f>S138/Revenue_HW!S$6</f>
        <v>9.2489479268607996E-2</v>
      </c>
      <c r="T139" s="45">
        <f>T138/Revenue_HW!T$6</f>
        <v>7.7540994730530916E-2</v>
      </c>
      <c r="U139" s="45">
        <f>U138/Revenue_HW!U$6</f>
        <v>8.0850631776717752E-2</v>
      </c>
      <c r="V139" s="45">
        <f>V138/Revenue_HW!V$6</f>
        <v>8.0561452909315545E-2</v>
      </c>
      <c r="W139" s="45">
        <f>W138/Revenue_HW!W$6</f>
        <v>7.947487966465995E-2</v>
      </c>
      <c r="X139" s="45">
        <f>X138/Revenue_HW!X$6</f>
        <v>8.0833922021081972E-2</v>
      </c>
      <c r="Y139" s="377">
        <f>Y138/Revenue_HW!Y$6</f>
        <v>8.4443354887731803E-2</v>
      </c>
      <c r="Z139" s="376">
        <f>Z138/Revenue_HW!Z$6</f>
        <v>9.2763915434941113E-2</v>
      </c>
      <c r="AA139" s="45">
        <f>AA138/Revenue_HW!AA$6</f>
        <v>7.2297287055227269E-2</v>
      </c>
      <c r="AB139" s="45">
        <f>AB138/Revenue_HW!AB$6</f>
        <v>6.7089645760614144E-2</v>
      </c>
      <c r="AC139" s="45">
        <f>AC138/Revenue_HW!AC$6</f>
        <v>6.2901748139420136E-2</v>
      </c>
      <c r="AD139" s="45">
        <f>AD138/Revenue_HW!AD$6</f>
        <v>5.8598509623750961E-2</v>
      </c>
    </row>
    <row r="140" spans="1:30" x14ac:dyDescent="0.3">
      <c r="B140" s="11"/>
      <c r="C140" s="3" t="s">
        <v>370</v>
      </c>
      <c r="L140" s="16">
        <v>28362.870657222094</v>
      </c>
      <c r="M140" s="16">
        <v>30326.439621324156</v>
      </c>
      <c r="N140" s="15">
        <v>32250.03258840659</v>
      </c>
      <c r="O140" s="246">
        <v>5445.0080492174257</v>
      </c>
      <c r="P140" s="16">
        <f t="shared" ref="P140:X140" si="90">P141*P142/12</f>
        <v>1815.0026830724753</v>
      </c>
      <c r="Q140" s="16">
        <f t="shared" si="90"/>
        <v>1815.0026830724753</v>
      </c>
      <c r="R140" s="16">
        <f t="shared" si="90"/>
        <v>1815.0026830724753</v>
      </c>
      <c r="S140" s="16">
        <f t="shared" si="90"/>
        <v>1815.0026830724753</v>
      </c>
      <c r="T140" s="16">
        <f t="shared" si="90"/>
        <v>1815.0026830724753</v>
      </c>
      <c r="U140" s="16">
        <f t="shared" si="90"/>
        <v>1815.0026830724753</v>
      </c>
      <c r="V140" s="16">
        <f t="shared" si="90"/>
        <v>1815.0026830724753</v>
      </c>
      <c r="W140" s="16">
        <f t="shared" si="90"/>
        <v>1815.0026830724753</v>
      </c>
      <c r="X140" s="16">
        <f t="shared" si="90"/>
        <v>1815.0026830724753</v>
      </c>
      <c r="Y140" s="292">
        <f>SUM(P140:X140)</f>
        <v>16335.024147652275</v>
      </c>
      <c r="Z140" s="246">
        <f>SUM(O140,Y140)</f>
        <v>21780.032196869703</v>
      </c>
      <c r="AA140" s="16">
        <f>AA141*AA142</f>
        <v>21264.125288966199</v>
      </c>
      <c r="AB140" s="16">
        <f t="shared" ref="AB140:AD140" si="91">AB141*AB142</f>
        <v>22135.954425813812</v>
      </c>
      <c r="AC140" s="16">
        <f t="shared" si="91"/>
        <v>22888.576876291481</v>
      </c>
      <c r="AD140" s="16">
        <f t="shared" si="91"/>
        <v>23689.677066961682</v>
      </c>
    </row>
    <row r="141" spans="1:30" x14ac:dyDescent="0.3">
      <c r="B141" s="11"/>
      <c r="D141" s="3" t="s">
        <v>371</v>
      </c>
      <c r="L141" s="16"/>
      <c r="M141" s="16"/>
      <c r="N141" s="15"/>
      <c r="O141" s="246">
        <f>Y141</f>
        <v>179</v>
      </c>
      <c r="P141" s="16">
        <v>179</v>
      </c>
      <c r="Q141" s="16">
        <f t="shared" ref="Q141:Z142" si="92">P141</f>
        <v>179</v>
      </c>
      <c r="R141" s="16">
        <f t="shared" si="92"/>
        <v>179</v>
      </c>
      <c r="S141" s="16">
        <f t="shared" si="92"/>
        <v>179</v>
      </c>
      <c r="T141" s="16">
        <f t="shared" si="92"/>
        <v>179</v>
      </c>
      <c r="U141" s="16">
        <f t="shared" si="92"/>
        <v>179</v>
      </c>
      <c r="V141" s="16">
        <f t="shared" si="92"/>
        <v>179</v>
      </c>
      <c r="W141" s="16">
        <f t="shared" si="92"/>
        <v>179</v>
      </c>
      <c r="X141" s="16">
        <f t="shared" si="92"/>
        <v>179</v>
      </c>
      <c r="Y141" s="292">
        <f t="shared" si="92"/>
        <v>179</v>
      </c>
      <c r="Z141" s="246">
        <f t="shared" si="92"/>
        <v>179</v>
      </c>
      <c r="AA141" s="16">
        <f>Z141-9</f>
        <v>170</v>
      </c>
      <c r="AB141" s="16">
        <f t="shared" ref="AB141:AD141" si="93">AA141</f>
        <v>170</v>
      </c>
      <c r="AC141" s="16">
        <f t="shared" si="93"/>
        <v>170</v>
      </c>
      <c r="AD141" s="16">
        <f t="shared" si="93"/>
        <v>170</v>
      </c>
    </row>
    <row r="142" spans="1:30" x14ac:dyDescent="0.3">
      <c r="B142" s="11"/>
      <c r="D142" s="3" t="s">
        <v>372</v>
      </c>
      <c r="L142" s="16"/>
      <c r="M142" s="16"/>
      <c r="N142" s="15"/>
      <c r="O142" s="246">
        <f>O140/O141*4</f>
        <v>121.67615752441175</v>
      </c>
      <c r="P142" s="16">
        <f>O142</f>
        <v>121.67615752441175</v>
      </c>
      <c r="Q142" s="16">
        <f t="shared" si="92"/>
        <v>121.67615752441175</v>
      </c>
      <c r="R142" s="16">
        <f t="shared" si="92"/>
        <v>121.67615752441175</v>
      </c>
      <c r="S142" s="16">
        <f t="shared" si="92"/>
        <v>121.67615752441175</v>
      </c>
      <c r="T142" s="16">
        <f t="shared" si="92"/>
        <v>121.67615752441175</v>
      </c>
      <c r="U142" s="16">
        <f t="shared" si="92"/>
        <v>121.67615752441175</v>
      </c>
      <c r="V142" s="16">
        <f t="shared" si="92"/>
        <v>121.67615752441175</v>
      </c>
      <c r="W142" s="16">
        <f t="shared" si="92"/>
        <v>121.67615752441175</v>
      </c>
      <c r="X142" s="16">
        <f t="shared" si="92"/>
        <v>121.67615752441175</v>
      </c>
      <c r="Y142" s="292">
        <f>Y140/Y141/0.75</f>
        <v>121.67615752441174</v>
      </c>
      <c r="Z142" s="246">
        <f>Z140/Z141</f>
        <v>121.67615752441175</v>
      </c>
      <c r="AA142" s="16">
        <f>Z142*(1+'Key Assumption'!AB$15)</f>
        <v>125.08308993509529</v>
      </c>
      <c r="AB142" s="16">
        <f>AA142*(1+'Key Assumption'!AC$15)</f>
        <v>130.2114966224342</v>
      </c>
      <c r="AC142" s="16">
        <f>AB142*(1+'Key Assumption'!AD$15)</f>
        <v>134.63868750759696</v>
      </c>
      <c r="AD142" s="16">
        <f>AC142*(1+'Key Assumption'!AE$15)</f>
        <v>139.35104157036284</v>
      </c>
    </row>
    <row r="143" spans="1:30" x14ac:dyDescent="0.3">
      <c r="C143" s="3" t="s">
        <v>373</v>
      </c>
      <c r="L143" s="16">
        <v>13667.524286856609</v>
      </c>
      <c r="M143" s="16">
        <v>12926.324662551831</v>
      </c>
      <c r="N143" s="15">
        <v>17980.973127310132</v>
      </c>
      <c r="O143" s="246">
        <v>3389.2495188673583</v>
      </c>
      <c r="P143" s="16">
        <v>870.94299999999998</v>
      </c>
      <c r="Q143" s="16">
        <v>672.96799999999996</v>
      </c>
      <c r="R143" s="16">
        <v>672.96799999999996</v>
      </c>
      <c r="S143" s="16">
        <v>613.22500000000002</v>
      </c>
      <c r="T143" s="16">
        <v>355.42700000000002</v>
      </c>
      <c r="U143" s="16">
        <v>335.80500000000001</v>
      </c>
      <c r="V143" s="16">
        <v>322.529</v>
      </c>
      <c r="W143" s="16">
        <v>258.82</v>
      </c>
      <c r="X143" s="16">
        <v>218.99100000000001</v>
      </c>
      <c r="Y143" s="292">
        <f>SUM(P143:X143)</f>
        <v>4321.6759999999995</v>
      </c>
      <c r="Z143" s="246">
        <f>SUM(O143,Y143)</f>
        <v>7710.9255188673578</v>
      </c>
      <c r="AA143" s="393"/>
      <c r="AB143" s="393"/>
      <c r="AC143" s="393"/>
      <c r="AD143" s="393"/>
    </row>
    <row r="144" spans="1:30" x14ac:dyDescent="0.3">
      <c r="C144" s="3" t="s">
        <v>374</v>
      </c>
      <c r="L144" s="16">
        <v>4341.406704147249</v>
      </c>
      <c r="M144" s="16">
        <v>4436.7303749131715</v>
      </c>
      <c r="N144" s="15">
        <v>3904.9323996891872</v>
      </c>
      <c r="O144" s="246">
        <v>777.23595676436446</v>
      </c>
      <c r="P144" s="16"/>
      <c r="Q144" s="16"/>
      <c r="R144" s="16"/>
      <c r="S144" s="16"/>
      <c r="T144" s="16"/>
      <c r="U144" s="16"/>
      <c r="V144" s="16"/>
      <c r="W144" s="16"/>
      <c r="X144" s="16"/>
      <c r="Y144" s="292"/>
      <c r="Z144" s="246"/>
      <c r="AA144" s="393"/>
      <c r="AB144" s="393"/>
      <c r="AC144" s="393"/>
      <c r="AD144" s="393"/>
    </row>
    <row r="145" spans="2:30" x14ac:dyDescent="0.3">
      <c r="B145" s="92"/>
      <c r="C145" s="92" t="s">
        <v>375</v>
      </c>
      <c r="D145" s="92"/>
      <c r="E145" s="92"/>
      <c r="F145" s="92"/>
      <c r="G145" s="92"/>
      <c r="H145" s="92"/>
      <c r="I145" s="92"/>
      <c r="J145" s="92"/>
      <c r="K145" s="92"/>
      <c r="L145" s="130"/>
      <c r="M145" s="130"/>
      <c r="N145" s="131"/>
      <c r="O145" s="330">
        <v>346.34512670318128</v>
      </c>
      <c r="P145" s="130">
        <f>O145/3</f>
        <v>115.4483755677271</v>
      </c>
      <c r="Q145" s="130">
        <f>P145</f>
        <v>115.4483755677271</v>
      </c>
      <c r="R145" s="130">
        <f t="shared" ref="R145:X145" si="94">Q145</f>
        <v>115.4483755677271</v>
      </c>
      <c r="S145" s="130">
        <f t="shared" si="94"/>
        <v>115.4483755677271</v>
      </c>
      <c r="T145" s="130">
        <f t="shared" si="94"/>
        <v>115.4483755677271</v>
      </c>
      <c r="U145" s="130">
        <f t="shared" si="94"/>
        <v>115.4483755677271</v>
      </c>
      <c r="V145" s="130">
        <f t="shared" si="94"/>
        <v>115.4483755677271</v>
      </c>
      <c r="W145" s="130">
        <f t="shared" si="94"/>
        <v>115.4483755677271</v>
      </c>
      <c r="X145" s="130">
        <f t="shared" si="94"/>
        <v>115.4483755677271</v>
      </c>
      <c r="Y145" s="296">
        <f>SUM(P145:X145)</f>
        <v>1039.0353801095439</v>
      </c>
      <c r="Z145" s="330">
        <f>Y145+O145</f>
        <v>1385.3805068127251</v>
      </c>
      <c r="AA145" s="130">
        <f>Z145*(1+'Key Assumption'!AB$15)</f>
        <v>1424.1711610034815</v>
      </c>
      <c r="AB145" s="130">
        <f>AA145*(1+'Key Assumption'!AC$15)</f>
        <v>1482.5621786046243</v>
      </c>
      <c r="AC145" s="130">
        <f>AB145*(1+'Key Assumption'!AD$15)</f>
        <v>1532.9692926771816</v>
      </c>
      <c r="AD145" s="130">
        <f>AC145*(1+'Key Assumption'!AE$15)</f>
        <v>1586.6232179208828</v>
      </c>
    </row>
    <row r="147" spans="2:30" x14ac:dyDescent="0.3">
      <c r="B147" s="5" t="s">
        <v>376</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9" spans="2:30" x14ac:dyDescent="0.3">
      <c r="B149" s="8"/>
      <c r="C149" s="8"/>
      <c r="D149" s="8"/>
      <c r="E149" s="8"/>
      <c r="F149" s="8"/>
      <c r="G149" s="8"/>
      <c r="H149" s="8"/>
      <c r="I149" s="8"/>
      <c r="J149" s="8"/>
      <c r="K149" s="8"/>
      <c r="L149" s="9" t="s">
        <v>182</v>
      </c>
      <c r="M149" s="9" t="s">
        <v>183</v>
      </c>
      <c r="N149" s="10" t="s">
        <v>184</v>
      </c>
      <c r="O149" s="244" t="s">
        <v>293</v>
      </c>
      <c r="P149" s="9" t="s">
        <v>215</v>
      </c>
      <c r="Q149" s="9" t="s">
        <v>216</v>
      </c>
      <c r="R149" s="9" t="s">
        <v>217</v>
      </c>
      <c r="S149" s="9" t="s">
        <v>218</v>
      </c>
      <c r="T149" s="9" t="s">
        <v>219</v>
      </c>
      <c r="U149" s="9" t="s">
        <v>220</v>
      </c>
      <c r="V149" s="9" t="s">
        <v>221</v>
      </c>
      <c r="W149" s="9" t="s">
        <v>222</v>
      </c>
      <c r="X149" s="9" t="s">
        <v>223</v>
      </c>
      <c r="Y149" s="233" t="s">
        <v>294</v>
      </c>
      <c r="Z149" s="244" t="s">
        <v>197</v>
      </c>
      <c r="AA149" s="9" t="s">
        <v>198</v>
      </c>
      <c r="AB149" s="9" t="s">
        <v>199</v>
      </c>
      <c r="AC149" s="9" t="s">
        <v>200</v>
      </c>
      <c r="AD149" s="9" t="s">
        <v>201</v>
      </c>
    </row>
    <row r="150" spans="2:30" s="11" customFormat="1" x14ac:dyDescent="0.3">
      <c r="B150" s="11" t="s">
        <v>347</v>
      </c>
      <c r="L150" s="13">
        <f>L152+L155+L158+L161</f>
        <v>3916.5131710833757</v>
      </c>
      <c r="M150" s="13">
        <f t="shared" ref="M150:N150" si="95">M152+M155+M158+M161</f>
        <v>3168.3181254202623</v>
      </c>
      <c r="N150" s="124">
        <f t="shared" si="95"/>
        <v>3868.431716978012</v>
      </c>
      <c r="O150" s="326">
        <f t="shared" ref="O150:AD150" si="96">O152+O155+O158+O162</f>
        <v>778.53828675285445</v>
      </c>
      <c r="P150" s="13">
        <f t="shared" si="96"/>
        <v>132.63645218454667</v>
      </c>
      <c r="Q150" s="13">
        <f t="shared" si="96"/>
        <v>220.4738976151346</v>
      </c>
      <c r="R150" s="13">
        <f t="shared" si="96"/>
        <v>220.4738976151346</v>
      </c>
      <c r="S150" s="13">
        <f t="shared" si="96"/>
        <v>161.91560066140931</v>
      </c>
      <c r="T150" s="13">
        <f t="shared" si="96"/>
        <v>161.91560066140931</v>
      </c>
      <c r="U150" s="13">
        <f t="shared" si="96"/>
        <v>249.75304609199725</v>
      </c>
      <c r="V150" s="13">
        <f t="shared" si="96"/>
        <v>279.03219456885984</v>
      </c>
      <c r="W150" s="13">
        <f t="shared" si="96"/>
        <v>132.63645218454667</v>
      </c>
      <c r="X150" s="13">
        <f t="shared" si="96"/>
        <v>161.91560066140931</v>
      </c>
      <c r="Y150" s="359">
        <f t="shared" si="96"/>
        <v>1720.7527422444477</v>
      </c>
      <c r="Z150" s="326">
        <f t="shared" si="96"/>
        <v>2499.2910289973024</v>
      </c>
      <c r="AA150" s="13">
        <f t="shared" si="96"/>
        <v>189.2181121143559</v>
      </c>
      <c r="AB150" s="13">
        <f t="shared" si="96"/>
        <v>193.00247435664303</v>
      </c>
      <c r="AC150" s="13">
        <f t="shared" si="96"/>
        <v>196.28351642070595</v>
      </c>
      <c r="AD150" s="13">
        <f t="shared" si="96"/>
        <v>199.81661971627867</v>
      </c>
    </row>
    <row r="151" spans="2:30" x14ac:dyDescent="0.3">
      <c r="B151" s="11"/>
      <c r="C151" s="43" t="s">
        <v>377</v>
      </c>
      <c r="L151" s="391" t="str">
        <f>IFERROR(L150/Revenue_HW!L$6,"-")</f>
        <v>-</v>
      </c>
      <c r="M151" s="391" t="str">
        <f>IFERROR(M150/Revenue_HW!M$6,"-")</f>
        <v>-</v>
      </c>
      <c r="N151" s="392" t="str">
        <f>IFERROR(N150/Revenue_HW!N$6,"-")</f>
        <v>-</v>
      </c>
      <c r="O151" s="376">
        <f>O150/Revenue_HW!O$6</f>
        <v>1.0254437165058529E-2</v>
      </c>
      <c r="P151" s="45">
        <f>P150/Revenue_HW!P$6</f>
        <v>4.2531066308026623E-3</v>
      </c>
      <c r="Q151" s="45">
        <f>Q150/Revenue_HW!Q$6</f>
        <v>7.7662788800951735E-3</v>
      </c>
      <c r="R151" s="45">
        <f>R150/Revenue_HW!R$6</f>
        <v>7.2916521152071668E-3</v>
      </c>
      <c r="S151" s="45">
        <f>S150/Revenue_HW!S$6</f>
        <v>5.887341487438939E-3</v>
      </c>
      <c r="T151" s="45">
        <f>T150/Revenue_HW!T$6</f>
        <v>5.4924612842846589E-3</v>
      </c>
      <c r="U151" s="45">
        <f>U150/Revenue_HW!U$6</f>
        <v>8.9101544760187834E-3</v>
      </c>
      <c r="V151" s="45">
        <f>V150/Revenue_HW!V$6</f>
        <v>9.9775579090165753E-3</v>
      </c>
      <c r="W151" s="45">
        <f>W150/Revenue_HW!W$6</f>
        <v>4.8149661664379055E-3</v>
      </c>
      <c r="X151" s="45">
        <f>X150/Revenue_HW!X$6</f>
        <v>6.0891490353273438E-3</v>
      </c>
      <c r="Y151" s="377">
        <f>Y150/Revenue_HW!Y$6</f>
        <v>6.6974514093542555E-3</v>
      </c>
      <c r="Z151" s="376">
        <f>Z150/Revenue_HW!Z$6</f>
        <v>7.5087926550788681E-3</v>
      </c>
      <c r="AA151" s="45">
        <f>AA150/Revenue_HW!AA$6</f>
        <v>6.029521078299401E-4</v>
      </c>
      <c r="AB151" s="45">
        <f>AB150/Revenue_HW!AB$6</f>
        <v>5.4823373763815723E-4</v>
      </c>
      <c r="AC151" s="45">
        <f>AC150/Revenue_HW!AC$6</f>
        <v>5.0556079571666135E-4</v>
      </c>
      <c r="AD151" s="45">
        <f>AD150/Revenue_HW!AD$6</f>
        <v>4.6323852705740801E-4</v>
      </c>
    </row>
    <row r="152" spans="2:30" x14ac:dyDescent="0.3">
      <c r="C152" s="3" t="s">
        <v>378</v>
      </c>
      <c r="L152" s="16">
        <v>2248.4554884208956</v>
      </c>
      <c r="M152" s="16">
        <v>2035.8278348583433</v>
      </c>
      <c r="N152" s="15">
        <v>2929.1434855611174</v>
      </c>
      <c r="O152" s="246">
        <v>592.30702107474144</v>
      </c>
      <c r="P152" s="16">
        <f t="shared" ref="P152:X152" si="97">P153*P154</f>
        <v>94.769123371958628</v>
      </c>
      <c r="Q152" s="16">
        <f t="shared" si="97"/>
        <v>165.84596590092761</v>
      </c>
      <c r="R152" s="16">
        <f t="shared" si="97"/>
        <v>165.84596590092761</v>
      </c>
      <c r="S152" s="16">
        <f t="shared" si="97"/>
        <v>118.46140421494829</v>
      </c>
      <c r="T152" s="16">
        <f t="shared" si="97"/>
        <v>118.46140421494829</v>
      </c>
      <c r="U152" s="16">
        <f t="shared" si="97"/>
        <v>189.53824674391726</v>
      </c>
      <c r="V152" s="16">
        <f t="shared" si="97"/>
        <v>213.2305275869069</v>
      </c>
      <c r="W152" s="16">
        <f t="shared" si="97"/>
        <v>94.769123371958628</v>
      </c>
      <c r="X152" s="16">
        <f t="shared" si="97"/>
        <v>118.46140421494829</v>
      </c>
      <c r="Y152" s="292">
        <f t="shared" ref="Y152:Y158" si="98">SUM(P152:X152)</f>
        <v>1279.3831655214415</v>
      </c>
      <c r="Z152" s="246">
        <f t="shared" ref="Z152:Z158" si="99">SUM(O152,Y152)</f>
        <v>1871.6901865961829</v>
      </c>
      <c r="AA152" s="119"/>
      <c r="AB152" s="119"/>
      <c r="AC152" s="119"/>
      <c r="AD152" s="119"/>
    </row>
    <row r="153" spans="2:30" x14ac:dyDescent="0.3">
      <c r="D153" s="3" t="s">
        <v>379</v>
      </c>
      <c r="L153" s="16"/>
      <c r="M153" s="16"/>
      <c r="N153" s="15"/>
      <c r="O153" s="246">
        <v>25</v>
      </c>
      <c r="P153" s="16">
        <v>4</v>
      </c>
      <c r="Q153" s="16">
        <v>7</v>
      </c>
      <c r="R153" s="16">
        <v>7</v>
      </c>
      <c r="S153" s="16">
        <v>5</v>
      </c>
      <c r="T153" s="16">
        <v>5</v>
      </c>
      <c r="U153" s="16">
        <v>8</v>
      </c>
      <c r="V153" s="16">
        <v>9</v>
      </c>
      <c r="W153" s="16">
        <v>4</v>
      </c>
      <c r="X153" s="16">
        <v>5</v>
      </c>
      <c r="Y153" s="292">
        <f>SUM(P153:X153)</f>
        <v>54</v>
      </c>
      <c r="Z153" s="246">
        <f>SUM(O153,Y153)</f>
        <v>79</v>
      </c>
      <c r="AA153" s="119"/>
      <c r="AB153" s="119"/>
      <c r="AC153" s="119"/>
      <c r="AD153" s="119"/>
    </row>
    <row r="154" spans="2:30" x14ac:dyDescent="0.3">
      <c r="D154" s="3" t="s">
        <v>380</v>
      </c>
      <c r="L154" s="16"/>
      <c r="M154" s="16"/>
      <c r="N154" s="15"/>
      <c r="O154" s="250">
        <f>O152/O153</f>
        <v>23.692280842989657</v>
      </c>
      <c r="P154" s="16">
        <f t="shared" ref="P154:X154" si="100">O154</f>
        <v>23.692280842989657</v>
      </c>
      <c r="Q154" s="16">
        <f t="shared" si="100"/>
        <v>23.692280842989657</v>
      </c>
      <c r="R154" s="16">
        <f t="shared" si="100"/>
        <v>23.692280842989657</v>
      </c>
      <c r="S154" s="16">
        <f t="shared" si="100"/>
        <v>23.692280842989657</v>
      </c>
      <c r="T154" s="16">
        <f t="shared" si="100"/>
        <v>23.692280842989657</v>
      </c>
      <c r="U154" s="16">
        <f t="shared" si="100"/>
        <v>23.692280842989657</v>
      </c>
      <c r="V154" s="16">
        <f t="shared" si="100"/>
        <v>23.692280842989657</v>
      </c>
      <c r="W154" s="16">
        <f t="shared" si="100"/>
        <v>23.692280842989657</v>
      </c>
      <c r="X154" s="16">
        <f t="shared" si="100"/>
        <v>23.692280842989657</v>
      </c>
      <c r="Y154" s="292">
        <f>Y152/Y153</f>
        <v>23.692280842989657</v>
      </c>
      <c r="Z154" s="246">
        <f>Z152/Z153</f>
        <v>23.692280842989657</v>
      </c>
      <c r="AA154" s="119"/>
      <c r="AB154" s="119"/>
      <c r="AC154" s="119"/>
      <c r="AD154" s="119"/>
    </row>
    <row r="155" spans="2:30" x14ac:dyDescent="0.3">
      <c r="C155" s="3" t="s">
        <v>381</v>
      </c>
      <c r="L155" s="16">
        <v>624.70730611698332</v>
      </c>
      <c r="M155" s="16">
        <v>328.99831787653113</v>
      </c>
      <c r="N155" s="15">
        <v>196.93418836224251</v>
      </c>
      <c r="O155" s="246">
        <v>85.641586606094975</v>
      </c>
      <c r="P155" s="16">
        <f t="shared" ref="P155:X155" si="101">P156*P157</f>
        <v>13.702653856975196</v>
      </c>
      <c r="Q155" s="16">
        <f t="shared" si="101"/>
        <v>23.979644249706595</v>
      </c>
      <c r="R155" s="16">
        <f t="shared" si="101"/>
        <v>23.979644249706595</v>
      </c>
      <c r="S155" s="16">
        <f t="shared" si="101"/>
        <v>17.128317321218994</v>
      </c>
      <c r="T155" s="16">
        <f t="shared" si="101"/>
        <v>17.128317321218994</v>
      </c>
      <c r="U155" s="16">
        <f t="shared" si="101"/>
        <v>27.405307713950393</v>
      </c>
      <c r="V155" s="16">
        <f t="shared" si="101"/>
        <v>30.83097117819419</v>
      </c>
      <c r="W155" s="16">
        <f t="shared" si="101"/>
        <v>13.702653856975196</v>
      </c>
      <c r="X155" s="16">
        <f t="shared" si="101"/>
        <v>17.128317321218994</v>
      </c>
      <c r="Y155" s="292">
        <f t="shared" si="98"/>
        <v>184.98582706916514</v>
      </c>
      <c r="Z155" s="246">
        <f t="shared" si="99"/>
        <v>270.62741367526013</v>
      </c>
      <c r="AA155" s="119"/>
      <c r="AB155" s="119"/>
      <c r="AC155" s="119"/>
      <c r="AD155" s="119"/>
    </row>
    <row r="156" spans="2:30" x14ac:dyDescent="0.3">
      <c r="D156" s="3" t="s">
        <v>379</v>
      </c>
      <c r="L156" s="16"/>
      <c r="M156" s="16"/>
      <c r="N156" s="15"/>
      <c r="O156" s="246">
        <f t="shared" ref="O156:X156" si="102">O153</f>
        <v>25</v>
      </c>
      <c r="P156" s="16">
        <f t="shared" si="102"/>
        <v>4</v>
      </c>
      <c r="Q156" s="16">
        <f t="shared" si="102"/>
        <v>7</v>
      </c>
      <c r="R156" s="16">
        <f t="shared" si="102"/>
        <v>7</v>
      </c>
      <c r="S156" s="16">
        <f t="shared" si="102"/>
        <v>5</v>
      </c>
      <c r="T156" s="16">
        <f t="shared" si="102"/>
        <v>5</v>
      </c>
      <c r="U156" s="16">
        <f t="shared" si="102"/>
        <v>8</v>
      </c>
      <c r="V156" s="16">
        <f t="shared" si="102"/>
        <v>9</v>
      </c>
      <c r="W156" s="16">
        <f t="shared" si="102"/>
        <v>4</v>
      </c>
      <c r="X156" s="16">
        <f t="shared" si="102"/>
        <v>5</v>
      </c>
      <c r="Y156" s="292">
        <f>SUM(P156:X156)</f>
        <v>54</v>
      </c>
      <c r="Z156" s="246">
        <f>SUM(O156,Y156)</f>
        <v>79</v>
      </c>
      <c r="AA156" s="119"/>
      <c r="AB156" s="119"/>
      <c r="AC156" s="119"/>
      <c r="AD156" s="119"/>
    </row>
    <row r="157" spans="2:30" x14ac:dyDescent="0.3">
      <c r="D157" s="3" t="s">
        <v>380</v>
      </c>
      <c r="L157" s="16"/>
      <c r="M157" s="16"/>
      <c r="N157" s="15"/>
      <c r="O157" s="250">
        <f>O155/O156</f>
        <v>3.4256634642437991</v>
      </c>
      <c r="P157" s="16">
        <f t="shared" ref="P157:X157" si="103">O157</f>
        <v>3.4256634642437991</v>
      </c>
      <c r="Q157" s="16">
        <f t="shared" si="103"/>
        <v>3.4256634642437991</v>
      </c>
      <c r="R157" s="16">
        <f t="shared" si="103"/>
        <v>3.4256634642437991</v>
      </c>
      <c r="S157" s="16">
        <f t="shared" si="103"/>
        <v>3.4256634642437991</v>
      </c>
      <c r="T157" s="16">
        <f t="shared" si="103"/>
        <v>3.4256634642437991</v>
      </c>
      <c r="U157" s="16">
        <f t="shared" si="103"/>
        <v>3.4256634642437991</v>
      </c>
      <c r="V157" s="16">
        <f t="shared" si="103"/>
        <v>3.4256634642437991</v>
      </c>
      <c r="W157" s="16">
        <f t="shared" si="103"/>
        <v>3.4256634642437991</v>
      </c>
      <c r="X157" s="16">
        <f t="shared" si="103"/>
        <v>3.4256634642437991</v>
      </c>
      <c r="Y157" s="292">
        <f>Y155/Y156</f>
        <v>3.4256634642437991</v>
      </c>
      <c r="Z157" s="246">
        <f>Z155/Z156</f>
        <v>3.4256634642437991</v>
      </c>
      <c r="AA157" s="119"/>
      <c r="AB157" s="119"/>
      <c r="AC157" s="119"/>
      <c r="AD157" s="119"/>
    </row>
    <row r="158" spans="2:30" x14ac:dyDescent="0.3">
      <c r="C158" s="3" t="s">
        <v>382</v>
      </c>
      <c r="L158" s="16">
        <v>523.44356588755238</v>
      </c>
      <c r="M158" s="16">
        <v>399.12800743246282</v>
      </c>
      <c r="N158" s="15">
        <v>324.54242706812215</v>
      </c>
      <c r="O158" s="246">
        <v>54.030104240729614</v>
      </c>
      <c r="P158" s="16">
        <f t="shared" ref="P158:X158" si="104">P159*P160</f>
        <v>8.6448166785167384</v>
      </c>
      <c r="Q158" s="16">
        <f t="shared" si="104"/>
        <v>15.128429187404292</v>
      </c>
      <c r="R158" s="16">
        <f t="shared" si="104"/>
        <v>15.128429187404292</v>
      </c>
      <c r="S158" s="16">
        <f t="shared" si="104"/>
        <v>10.806020848145923</v>
      </c>
      <c r="T158" s="16">
        <f t="shared" si="104"/>
        <v>10.806020848145923</v>
      </c>
      <c r="U158" s="16">
        <f t="shared" si="104"/>
        <v>17.289633357033477</v>
      </c>
      <c r="V158" s="16">
        <f t="shared" si="104"/>
        <v>19.45083752666266</v>
      </c>
      <c r="W158" s="16">
        <f t="shared" si="104"/>
        <v>8.6448166785167384</v>
      </c>
      <c r="X158" s="16">
        <f t="shared" si="104"/>
        <v>10.806020848145923</v>
      </c>
      <c r="Y158" s="292">
        <f t="shared" si="98"/>
        <v>116.70502515997596</v>
      </c>
      <c r="Z158" s="246">
        <f t="shared" si="99"/>
        <v>170.73512940070557</v>
      </c>
      <c r="AA158" s="119"/>
      <c r="AB158" s="119"/>
      <c r="AC158" s="119"/>
      <c r="AD158" s="119"/>
    </row>
    <row r="159" spans="2:30" x14ac:dyDescent="0.3">
      <c r="D159" s="3" t="s">
        <v>379</v>
      </c>
      <c r="L159" s="16"/>
      <c r="M159" s="16"/>
      <c r="N159" s="15"/>
      <c r="O159" s="246">
        <f>O153</f>
        <v>25</v>
      </c>
      <c r="P159" s="16">
        <f>P156</f>
        <v>4</v>
      </c>
      <c r="Q159" s="16">
        <f t="shared" ref="Q159:X159" si="105">Q156</f>
        <v>7</v>
      </c>
      <c r="R159" s="16">
        <f t="shared" si="105"/>
        <v>7</v>
      </c>
      <c r="S159" s="16">
        <f t="shared" si="105"/>
        <v>5</v>
      </c>
      <c r="T159" s="16">
        <f t="shared" si="105"/>
        <v>5</v>
      </c>
      <c r="U159" s="16">
        <f t="shared" si="105"/>
        <v>8</v>
      </c>
      <c r="V159" s="16">
        <f t="shared" si="105"/>
        <v>9</v>
      </c>
      <c r="W159" s="16">
        <f t="shared" si="105"/>
        <v>4</v>
      </c>
      <c r="X159" s="16">
        <f t="shared" si="105"/>
        <v>5</v>
      </c>
      <c r="Y159" s="292">
        <f>SUM(P159:X159)</f>
        <v>54</v>
      </c>
      <c r="Z159" s="246">
        <f>SUM(O159,Y159)</f>
        <v>79</v>
      </c>
      <c r="AA159" s="119"/>
      <c r="AB159" s="119"/>
      <c r="AC159" s="119"/>
      <c r="AD159" s="119"/>
    </row>
    <row r="160" spans="2:30" x14ac:dyDescent="0.3">
      <c r="D160" s="3" t="s">
        <v>380</v>
      </c>
      <c r="L160" s="16"/>
      <c r="M160" s="16"/>
      <c r="N160" s="15"/>
      <c r="O160" s="250">
        <f>O158/O159</f>
        <v>2.1612041696291846</v>
      </c>
      <c r="P160" s="16">
        <f t="shared" ref="P160:X160" si="106">O160</f>
        <v>2.1612041696291846</v>
      </c>
      <c r="Q160" s="16">
        <f t="shared" si="106"/>
        <v>2.1612041696291846</v>
      </c>
      <c r="R160" s="16">
        <f t="shared" si="106"/>
        <v>2.1612041696291846</v>
      </c>
      <c r="S160" s="16">
        <f t="shared" si="106"/>
        <v>2.1612041696291846</v>
      </c>
      <c r="T160" s="16">
        <f t="shared" si="106"/>
        <v>2.1612041696291846</v>
      </c>
      <c r="U160" s="16">
        <f t="shared" si="106"/>
        <v>2.1612041696291846</v>
      </c>
      <c r="V160" s="16">
        <f>U160</f>
        <v>2.1612041696291846</v>
      </c>
      <c r="W160" s="16">
        <f t="shared" si="106"/>
        <v>2.1612041696291846</v>
      </c>
      <c r="X160" s="16">
        <f t="shared" si="106"/>
        <v>2.1612041696291846</v>
      </c>
      <c r="Y160" s="292">
        <f>Y158/Y159</f>
        <v>2.1612041696291846</v>
      </c>
      <c r="Z160" s="246">
        <f>Z158/Z159</f>
        <v>2.1612041696291846</v>
      </c>
      <c r="AA160" s="119"/>
      <c r="AB160" s="119"/>
      <c r="AC160" s="119"/>
      <c r="AD160" s="119"/>
    </row>
    <row r="161" spans="2:30" x14ac:dyDescent="0.3">
      <c r="C161" s="3" t="s">
        <v>383</v>
      </c>
      <c r="L161" s="16">
        <v>519.90681065794502</v>
      </c>
      <c r="M161" s="16">
        <v>404.3639652529252</v>
      </c>
      <c r="N161" s="15">
        <v>417.81161598652989</v>
      </c>
      <c r="O161" s="246">
        <v>104.48472607368733</v>
      </c>
      <c r="P161" s="16"/>
      <c r="Q161" s="16"/>
      <c r="R161" s="16"/>
      <c r="S161" s="16"/>
      <c r="T161" s="16"/>
      <c r="U161" s="16"/>
      <c r="V161" s="16"/>
      <c r="W161" s="16"/>
      <c r="X161" s="16"/>
      <c r="Y161" s="292"/>
      <c r="Z161" s="246"/>
      <c r="AA161" s="119"/>
      <c r="AB161" s="119"/>
      <c r="AC161" s="119"/>
      <c r="AD161" s="119"/>
    </row>
    <row r="162" spans="2:30" x14ac:dyDescent="0.3">
      <c r="B162" s="92"/>
      <c r="C162" s="92" t="s">
        <v>375</v>
      </c>
      <c r="D162" s="92"/>
      <c r="E162" s="92"/>
      <c r="F162" s="92"/>
      <c r="G162" s="92"/>
      <c r="H162" s="92"/>
      <c r="I162" s="92"/>
      <c r="J162" s="92"/>
      <c r="K162" s="92"/>
      <c r="L162" s="130"/>
      <c r="M162" s="130"/>
      <c r="N162" s="131"/>
      <c r="O162" s="330">
        <v>46.559574831288359</v>
      </c>
      <c r="P162" s="130">
        <f>O162/3</f>
        <v>15.51985827709612</v>
      </c>
      <c r="Q162" s="130">
        <f t="shared" ref="Q162:X162" si="107">P162</f>
        <v>15.51985827709612</v>
      </c>
      <c r="R162" s="130">
        <f t="shared" si="107"/>
        <v>15.51985827709612</v>
      </c>
      <c r="S162" s="130">
        <f t="shared" si="107"/>
        <v>15.51985827709612</v>
      </c>
      <c r="T162" s="130">
        <f t="shared" si="107"/>
        <v>15.51985827709612</v>
      </c>
      <c r="U162" s="130">
        <f t="shared" si="107"/>
        <v>15.51985827709612</v>
      </c>
      <c r="V162" s="130">
        <f t="shared" si="107"/>
        <v>15.51985827709612</v>
      </c>
      <c r="W162" s="130">
        <f t="shared" si="107"/>
        <v>15.51985827709612</v>
      </c>
      <c r="X162" s="130">
        <f t="shared" si="107"/>
        <v>15.51985827709612</v>
      </c>
      <c r="Y162" s="296">
        <f>SUM(P162:X162)</f>
        <v>139.67872449386508</v>
      </c>
      <c r="Z162" s="330">
        <f>Y162+O162</f>
        <v>186.23829932515343</v>
      </c>
      <c r="AA162" s="130">
        <f>Z162*(1+'Key Assumption'!AB$13)</f>
        <v>189.2181121143559</v>
      </c>
      <c r="AB162" s="130">
        <f>AA162*(1+'Key Assumption'!AC$13)</f>
        <v>193.00247435664303</v>
      </c>
      <c r="AC162" s="130">
        <f>AB162*(1+'Key Assumption'!AD$13)</f>
        <v>196.28351642070595</v>
      </c>
      <c r="AD162" s="130">
        <f>AC162*(1+'Key Assumption'!AE$13)</f>
        <v>199.81661971627867</v>
      </c>
    </row>
    <row r="164" spans="2:30" x14ac:dyDescent="0.3">
      <c r="B164" s="5" t="s">
        <v>384</v>
      </c>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spans="2:30" x14ac:dyDescent="0.3">
      <c r="L165" s="132"/>
      <c r="M165" s="132"/>
      <c r="N165" s="132"/>
    </row>
    <row r="166" spans="2:30" x14ac:dyDescent="0.3">
      <c r="B166" s="8"/>
      <c r="C166" s="8"/>
      <c r="D166" s="8"/>
      <c r="E166" s="8"/>
      <c r="F166" s="8"/>
      <c r="G166" s="8"/>
      <c r="H166" s="8"/>
      <c r="I166" s="8"/>
      <c r="J166" s="8"/>
      <c r="K166" s="8"/>
      <c r="L166" s="9" t="s">
        <v>182</v>
      </c>
      <c r="M166" s="9" t="s">
        <v>183</v>
      </c>
      <c r="N166" s="10" t="s">
        <v>184</v>
      </c>
      <c r="O166" s="244" t="s">
        <v>293</v>
      </c>
      <c r="P166" s="9" t="s">
        <v>215</v>
      </c>
      <c r="Q166" s="9" t="s">
        <v>216</v>
      </c>
      <c r="R166" s="9" t="s">
        <v>217</v>
      </c>
      <c r="S166" s="9" t="s">
        <v>218</v>
      </c>
      <c r="T166" s="9" t="s">
        <v>219</v>
      </c>
      <c r="U166" s="9" t="s">
        <v>220</v>
      </c>
      <c r="V166" s="9" t="s">
        <v>221</v>
      </c>
      <c r="W166" s="9" t="s">
        <v>222</v>
      </c>
      <c r="X166" s="9" t="s">
        <v>223</v>
      </c>
      <c r="Y166" s="233" t="s">
        <v>294</v>
      </c>
      <c r="Z166" s="244" t="s">
        <v>197</v>
      </c>
      <c r="AA166" s="9" t="s">
        <v>198</v>
      </c>
      <c r="AB166" s="9" t="s">
        <v>199</v>
      </c>
      <c r="AC166" s="9" t="s">
        <v>200</v>
      </c>
      <c r="AD166" s="9" t="s">
        <v>201</v>
      </c>
    </row>
    <row r="167" spans="2:30" s="11" customFormat="1" x14ac:dyDescent="0.3">
      <c r="B167" s="11" t="s">
        <v>348</v>
      </c>
      <c r="L167" s="13">
        <f>SUM(L169,L170,L171,L172,L174,L175,L176,L177,L178,L179,L180)</f>
        <v>18697.825124690666</v>
      </c>
      <c r="M167" s="13">
        <f>SUM(M169,M170,M171,M172,M174,M175,M176,M177,M178,M179,M180)</f>
        <v>14886.887919790572</v>
      </c>
      <c r="N167" s="124">
        <f>SUM(N169,N170,N171,N172,N174,N175,N176,N177,N178,N179,N180)</f>
        <v>15803.371146616078</v>
      </c>
      <c r="O167" s="326">
        <f>SUM(O169,O170,O171,O172,O174,O175,O176,O177,O178,O179,O182)+O173+O181</f>
        <v>2361.8529636462708</v>
      </c>
      <c r="P167" s="13">
        <f t="shared" ref="P167:AD167" si="108">SUM(P169,P170,P171,P172,P174,P175,P176,P177,P178,P179,P182)+P173+P181</f>
        <v>964.26213582847981</v>
      </c>
      <c r="Q167" s="13">
        <f t="shared" si="108"/>
        <v>964.26213582847981</v>
      </c>
      <c r="R167" s="13">
        <f t="shared" si="108"/>
        <v>964.26213582847981</v>
      </c>
      <c r="S167" s="13">
        <f t="shared" si="108"/>
        <v>964.26213582847981</v>
      </c>
      <c r="T167" s="13">
        <f t="shared" si="108"/>
        <v>964.26213582847981</v>
      </c>
      <c r="U167" s="13">
        <f t="shared" si="108"/>
        <v>964.26213582847981</v>
      </c>
      <c r="V167" s="13">
        <f t="shared" si="108"/>
        <v>964.26213582847981</v>
      </c>
      <c r="W167" s="13">
        <f t="shared" si="108"/>
        <v>964.26213582847981</v>
      </c>
      <c r="X167" s="13">
        <f t="shared" si="108"/>
        <v>964.26213582847981</v>
      </c>
      <c r="Y167" s="359">
        <f t="shared" si="108"/>
        <v>8678.3592224563181</v>
      </c>
      <c r="Z167" s="326">
        <f t="shared" si="108"/>
        <v>11040.21218610259</v>
      </c>
      <c r="AA167" s="13">
        <f t="shared" si="108"/>
        <v>5982.2581950011372</v>
      </c>
      <c r="AB167" s="13">
        <f t="shared" si="108"/>
        <v>6101.9033589011597</v>
      </c>
      <c r="AC167" s="13">
        <f t="shared" si="108"/>
        <v>6205.6357160024791</v>
      </c>
      <c r="AD167" s="13">
        <f t="shared" si="108"/>
        <v>6317.3371588905229</v>
      </c>
    </row>
    <row r="168" spans="2:30" x14ac:dyDescent="0.3">
      <c r="B168" s="11"/>
      <c r="C168" s="43" t="s">
        <v>385</v>
      </c>
      <c r="L168" s="391" t="str">
        <f>IFERROR(L167/Revenue_HW!L$6,"-")</f>
        <v>-</v>
      </c>
      <c r="M168" s="391" t="str">
        <f>IFERROR(M167/Revenue_HW!M$6,"-")</f>
        <v>-</v>
      </c>
      <c r="N168" s="392" t="str">
        <f>IFERROR(N167/Revenue_HW!N$6,"-")</f>
        <v>-</v>
      </c>
      <c r="O168" s="376">
        <f>O167/Revenue_HW!O$6</f>
        <v>3.1108903981887762E-2</v>
      </c>
      <c r="P168" s="45">
        <f>P167/Revenue_HW!P$6</f>
        <v>3.0919928995219767E-2</v>
      </c>
      <c r="Q168" s="45">
        <f>Q167/Revenue_HW!Q$6</f>
        <v>3.3966509148546556E-2</v>
      </c>
      <c r="R168" s="45">
        <f>R167/Revenue_HW!R$6</f>
        <v>3.1890686917512283E-2</v>
      </c>
      <c r="S168" s="45">
        <f>S167/Revenue_HW!S$6</f>
        <v>3.5061108712438747E-2</v>
      </c>
      <c r="T168" s="45">
        <f>T167/Revenue_HW!T$6</f>
        <v>3.2709463617497117E-2</v>
      </c>
      <c r="U168" s="45">
        <f>U167/Revenue_HW!U$6</f>
        <v>3.4400880069517852E-2</v>
      </c>
      <c r="V168" s="45">
        <f>V167/Revenue_HW!V$6</f>
        <v>3.4479825220764586E-2</v>
      </c>
      <c r="W168" s="45">
        <f>W167/Revenue_HW!W$6</f>
        <v>3.5004627182965473E-2</v>
      </c>
      <c r="X168" s="45">
        <f>X167/Revenue_HW!X$6</f>
        <v>3.6262940879063073E-2</v>
      </c>
      <c r="Y168" s="377">
        <f>Y167/Revenue_HW!Y$6</f>
        <v>3.3777594989917337E-2</v>
      </c>
      <c r="Z168" s="376">
        <f>Z167/Revenue_HW!Z$6</f>
        <v>3.3168871976777224E-2</v>
      </c>
      <c r="AA168" s="45">
        <f>AA167/Revenue_HW!AA$6</f>
        <v>1.9062737430119436E-2</v>
      </c>
      <c r="AB168" s="45">
        <f>AB167/Revenue_HW!AB$6</f>
        <v>1.733277926258911E-2</v>
      </c>
      <c r="AC168" s="45">
        <f>AC167/Revenue_HW!AC$6</f>
        <v>1.5983645431466249E-2</v>
      </c>
      <c r="AD168" s="45">
        <f>AD167/Revenue_HW!AD$6</f>
        <v>1.4645598371970986E-2</v>
      </c>
    </row>
    <row r="169" spans="2:30" x14ac:dyDescent="0.3">
      <c r="C169" s="3" t="s">
        <v>386</v>
      </c>
      <c r="L169" s="16">
        <v>8852.5130167539701</v>
      </c>
      <c r="M169" s="16">
        <v>6543.3273290279258</v>
      </c>
      <c r="N169" s="15">
        <v>6840.3434394011301</v>
      </c>
      <c r="O169" s="246">
        <v>0</v>
      </c>
      <c r="P169" s="119">
        <f>CAPEX_HW!P15</f>
        <v>0</v>
      </c>
      <c r="Q169" s="119">
        <f>CAPEX_HW!Q15</f>
        <v>0</v>
      </c>
      <c r="R169" s="119">
        <f>CAPEX_HW!R15</f>
        <v>0</v>
      </c>
      <c r="S169" s="119">
        <f>CAPEX_HW!S15</f>
        <v>0</v>
      </c>
      <c r="T169" s="119">
        <f>CAPEX_HW!T15</f>
        <v>0</v>
      </c>
      <c r="U169" s="119">
        <f>CAPEX_HW!U15</f>
        <v>0</v>
      </c>
      <c r="V169" s="119">
        <f>CAPEX_HW!V15</f>
        <v>0</v>
      </c>
      <c r="W169" s="119">
        <f>CAPEX_HW!W15</f>
        <v>0</v>
      </c>
      <c r="X169" s="119">
        <f>CAPEX_HW!X15</f>
        <v>0</v>
      </c>
      <c r="Y169" s="293">
        <f t="shared" ref="Y169:Y174" si="109">SUM(P169:X169)</f>
        <v>0</v>
      </c>
      <c r="Z169" s="246">
        <f t="shared" ref="Z169:Z182" si="110">SUM(O169,Y169)</f>
        <v>0</v>
      </c>
      <c r="AA169" s="119">
        <f>CAPEX_HW!AA15</f>
        <v>0</v>
      </c>
      <c r="AB169" s="119">
        <f>CAPEX_HW!AB15</f>
        <v>0</v>
      </c>
      <c r="AC169" s="119">
        <f>CAPEX_HW!AC15</f>
        <v>0</v>
      </c>
      <c r="AD169" s="119">
        <f>CAPEX_HW!AD15</f>
        <v>0</v>
      </c>
    </row>
    <row r="170" spans="2:30" x14ac:dyDescent="0.3">
      <c r="C170" s="3" t="s">
        <v>387</v>
      </c>
      <c r="L170" s="16">
        <v>1531.1296302739452</v>
      </c>
      <c r="M170" s="16">
        <v>1254.0130188538653</v>
      </c>
      <c r="N170" s="15">
        <v>1503.9451767231724</v>
      </c>
      <c r="O170" s="246">
        <v>0</v>
      </c>
      <c r="P170" s="119">
        <f>CAPEX_HW!P18</f>
        <v>0</v>
      </c>
      <c r="Q170" s="119">
        <f>CAPEX_HW!Q18</f>
        <v>0</v>
      </c>
      <c r="R170" s="119">
        <f>CAPEX_HW!R18</f>
        <v>0</v>
      </c>
      <c r="S170" s="119">
        <f>CAPEX_HW!S18</f>
        <v>0</v>
      </c>
      <c r="T170" s="119">
        <f>CAPEX_HW!T18</f>
        <v>0</v>
      </c>
      <c r="U170" s="119">
        <f>CAPEX_HW!U18</f>
        <v>0</v>
      </c>
      <c r="V170" s="119">
        <f>CAPEX_HW!V18</f>
        <v>0</v>
      </c>
      <c r="W170" s="119">
        <f>CAPEX_HW!W18</f>
        <v>0</v>
      </c>
      <c r="X170" s="119">
        <f>CAPEX_HW!X18</f>
        <v>0</v>
      </c>
      <c r="Y170" s="293">
        <f t="shared" si="109"/>
        <v>0</v>
      </c>
      <c r="Z170" s="246">
        <f t="shared" si="110"/>
        <v>0</v>
      </c>
      <c r="AA170" s="119">
        <f>CAPEX_HW!AA18</f>
        <v>0</v>
      </c>
      <c r="AB170" s="119">
        <f>CAPEX_HW!AB18</f>
        <v>0</v>
      </c>
      <c r="AC170" s="119">
        <f>CAPEX_HW!AC18</f>
        <v>0</v>
      </c>
      <c r="AD170" s="119">
        <f>CAPEX_HW!AD18</f>
        <v>0</v>
      </c>
    </row>
    <row r="171" spans="2:30" x14ac:dyDescent="0.3">
      <c r="C171" s="3" t="s">
        <v>388</v>
      </c>
      <c r="L171" s="16">
        <v>1759.3736775195291</v>
      </c>
      <c r="M171" s="16">
        <v>1902.7026866882629</v>
      </c>
      <c r="N171" s="15">
        <v>1768.5493039627693</v>
      </c>
      <c r="O171" s="246">
        <v>401.72966097923791</v>
      </c>
      <c r="P171" s="16">
        <v>96.333743750000011</v>
      </c>
      <c r="Q171" s="16">
        <v>96.333743750000011</v>
      </c>
      <c r="R171" s="16">
        <v>96.333743750000011</v>
      </c>
      <c r="S171" s="16">
        <v>96.333743750000011</v>
      </c>
      <c r="T171" s="16">
        <v>96.333743750000011</v>
      </c>
      <c r="U171" s="16">
        <v>96.333743750000011</v>
      </c>
      <c r="V171" s="16">
        <v>96.333743750000011</v>
      </c>
      <c r="W171" s="16">
        <v>96.333743750000011</v>
      </c>
      <c r="X171" s="16">
        <v>96.333743750000011</v>
      </c>
      <c r="Y171" s="292">
        <f>SUM(P171:X171)</f>
        <v>867.00369375000025</v>
      </c>
      <c r="Z171" s="246">
        <f>SUM(O171,Y171)</f>
        <v>1268.7333547292383</v>
      </c>
      <c r="AA171" s="16">
        <f>Z171*(1+'Key Assumption'!AB$13)</f>
        <v>1289.033088404906</v>
      </c>
      <c r="AB171" s="16">
        <f>AA171*(1+'Key Assumption'!AC$13)</f>
        <v>1314.8137501730041</v>
      </c>
      <c r="AC171" s="16">
        <f>AB171*(1+'Key Assumption'!AD$13)</f>
        <v>1337.1655839259452</v>
      </c>
      <c r="AD171" s="16">
        <f>AC171*(1+'Key Assumption'!AE$13)</f>
        <v>1361.2345644366121</v>
      </c>
    </row>
    <row r="172" spans="2:30" x14ac:dyDescent="0.3">
      <c r="C172" s="3" t="s">
        <v>389</v>
      </c>
      <c r="L172" s="16">
        <v>1209.4139420040362</v>
      </c>
      <c r="M172" s="16">
        <v>917.46936361952248</v>
      </c>
      <c r="N172" s="15">
        <v>1104.3723436518057</v>
      </c>
      <c r="O172" s="246">
        <v>240.67956638513277</v>
      </c>
      <c r="P172" s="16">
        <v>90.583633483333344</v>
      </c>
      <c r="Q172" s="16">
        <v>90.583633483333344</v>
      </c>
      <c r="R172" s="16">
        <v>90.583633483333344</v>
      </c>
      <c r="S172" s="16">
        <v>90.583633483333344</v>
      </c>
      <c r="T172" s="16">
        <v>90.583633483333344</v>
      </c>
      <c r="U172" s="16">
        <v>90.583633483333344</v>
      </c>
      <c r="V172" s="16">
        <v>90.583633483333344</v>
      </c>
      <c r="W172" s="16">
        <v>90.583633483333344</v>
      </c>
      <c r="X172" s="16">
        <v>90.583633483333344</v>
      </c>
      <c r="Y172" s="292">
        <f>SUM(P172:X172)</f>
        <v>815.25270134999994</v>
      </c>
      <c r="Z172" s="246">
        <f>SUM(O172,Y172)</f>
        <v>1055.9322677351327</v>
      </c>
      <c r="AA172" s="16">
        <f>Z172*(1+'Key Assumption'!AB$13)</f>
        <v>1072.8271840188947</v>
      </c>
      <c r="AB172" s="16">
        <f>AA172*(1+'Key Assumption'!AC$13)</f>
        <v>1094.2837276992727</v>
      </c>
      <c r="AC172" s="16">
        <f>AB172*(1+'Key Assumption'!AD$13)</f>
        <v>1112.8865510701603</v>
      </c>
      <c r="AD172" s="16">
        <f>AC172*(1+'Key Assumption'!AE$13)</f>
        <v>1132.9185089894231</v>
      </c>
    </row>
    <row r="173" spans="2:30" x14ac:dyDescent="0.3">
      <c r="C173" s="3" t="s">
        <v>390</v>
      </c>
      <c r="L173" s="119"/>
      <c r="M173" s="119"/>
      <c r="N173" s="294"/>
      <c r="O173" s="246">
        <v>1423.8989797520817</v>
      </c>
      <c r="P173" s="16">
        <f>O173/3</f>
        <v>474.63299325069391</v>
      </c>
      <c r="Q173" s="16">
        <f t="shared" ref="Q173:X173" si="111">P173</f>
        <v>474.63299325069391</v>
      </c>
      <c r="R173" s="16">
        <f t="shared" si="111"/>
        <v>474.63299325069391</v>
      </c>
      <c r="S173" s="16">
        <f t="shared" si="111"/>
        <v>474.63299325069391</v>
      </c>
      <c r="T173" s="16">
        <f t="shared" si="111"/>
        <v>474.63299325069391</v>
      </c>
      <c r="U173" s="16">
        <f t="shared" si="111"/>
        <v>474.63299325069391</v>
      </c>
      <c r="V173" s="16">
        <f t="shared" si="111"/>
        <v>474.63299325069391</v>
      </c>
      <c r="W173" s="16">
        <f t="shared" si="111"/>
        <v>474.63299325069391</v>
      </c>
      <c r="X173" s="16">
        <f t="shared" si="111"/>
        <v>474.63299325069391</v>
      </c>
      <c r="Y173" s="292">
        <f>SUM(P173:X173)</f>
        <v>4271.6969392562451</v>
      </c>
      <c r="Z173" s="246">
        <f>SUM(O173,Y173)</f>
        <v>5695.5959190083267</v>
      </c>
      <c r="AA173" s="16">
        <v>0</v>
      </c>
      <c r="AB173" s="16">
        <v>0</v>
      </c>
      <c r="AC173" s="16">
        <v>0</v>
      </c>
      <c r="AD173" s="16">
        <v>0</v>
      </c>
    </row>
    <row r="174" spans="2:30" x14ac:dyDescent="0.3">
      <c r="C174" s="3" t="s">
        <v>391</v>
      </c>
      <c r="L174" s="16">
        <v>592.1296075310986</v>
      </c>
      <c r="M174" s="16">
        <v>359.7036351081245</v>
      </c>
      <c r="N174" s="15">
        <v>474.64643572102074</v>
      </c>
      <c r="O174" s="246">
        <v>64.293496970464801</v>
      </c>
      <c r="P174" s="16">
        <v>47.888266666666674</v>
      </c>
      <c r="Q174" s="16">
        <v>47.888266666666674</v>
      </c>
      <c r="R174" s="16">
        <v>47.888266666666674</v>
      </c>
      <c r="S174" s="16">
        <v>47.888266666666674</v>
      </c>
      <c r="T174" s="16">
        <v>47.888266666666674</v>
      </c>
      <c r="U174" s="16">
        <v>47.888266666666674</v>
      </c>
      <c r="V174" s="16">
        <v>47.888266666666674</v>
      </c>
      <c r="W174" s="16">
        <v>47.888266666666674</v>
      </c>
      <c r="X174" s="16">
        <v>47.888266666666674</v>
      </c>
      <c r="Y174" s="292">
        <f t="shared" si="109"/>
        <v>430.99439999999998</v>
      </c>
      <c r="Z174" s="246">
        <f t="shared" si="110"/>
        <v>495.28789697046477</v>
      </c>
      <c r="AA174" s="16">
        <f>Z174*(1+'Key Assumption'!AB$13)</f>
        <v>503.21250332199219</v>
      </c>
      <c r="AB174" s="16">
        <f>AA174*(1+'Key Assumption'!AC$13)</f>
        <v>513.27675338843198</v>
      </c>
      <c r="AC174" s="16">
        <f>AB174*(1+'Key Assumption'!AD$13)</f>
        <v>522.00245819603526</v>
      </c>
      <c r="AD174" s="16">
        <f>AC174*(1+'Key Assumption'!AE$13)</f>
        <v>531.39850244356387</v>
      </c>
    </row>
    <row r="175" spans="2:30" x14ac:dyDescent="0.3">
      <c r="C175" s="3" t="s">
        <v>392</v>
      </c>
      <c r="L175" s="16">
        <v>529.48071085911931</v>
      </c>
      <c r="M175" s="16">
        <v>444.27231800116931</v>
      </c>
      <c r="N175" s="15">
        <v>494.73075737146314</v>
      </c>
      <c r="O175" s="246">
        <v>79.599740778164417</v>
      </c>
      <c r="P175" s="16">
        <v>24.980128916666668</v>
      </c>
      <c r="Q175" s="16">
        <v>24.980128916666668</v>
      </c>
      <c r="R175" s="16">
        <v>24.980128916666668</v>
      </c>
      <c r="S175" s="16">
        <v>24.980128916666668</v>
      </c>
      <c r="T175" s="16">
        <v>24.980128916666668</v>
      </c>
      <c r="U175" s="16">
        <v>24.980128916666668</v>
      </c>
      <c r="V175" s="16">
        <v>24.980128916666668</v>
      </c>
      <c r="W175" s="16">
        <v>24.980128916666668</v>
      </c>
      <c r="X175" s="16">
        <v>24.980128916666668</v>
      </c>
      <c r="Y175" s="292">
        <f t="shared" ref="Y175:Y182" si="112">SUM(P175:X175)</f>
        <v>224.82116025000002</v>
      </c>
      <c r="Z175" s="246">
        <f t="shared" si="110"/>
        <v>304.42090102816445</v>
      </c>
      <c r="AA175" s="16">
        <f>Z175*(1+'Key Assumption'!AB$13)</f>
        <v>309.29163544461511</v>
      </c>
      <c r="AB175" s="16">
        <f>AA175*(1+'Key Assumption'!AC$13)</f>
        <v>315.4774681535074</v>
      </c>
      <c r="AC175" s="16">
        <f>AB175*(1+'Key Assumption'!AD$13)</f>
        <v>320.84058511211703</v>
      </c>
      <c r="AD175" s="16">
        <f>AC175*(1+'Key Assumption'!AE$13)</f>
        <v>326.61571564413515</v>
      </c>
    </row>
    <row r="176" spans="2:30" x14ac:dyDescent="0.3">
      <c r="C176" s="3" t="s">
        <v>393</v>
      </c>
      <c r="L176" s="16">
        <v>370.85328180784478</v>
      </c>
      <c r="M176" s="16">
        <v>318.12619969802347</v>
      </c>
      <c r="N176" s="15">
        <v>323.30829389212442</v>
      </c>
      <c r="O176" s="246">
        <v>49.607381232036964</v>
      </c>
      <c r="P176" s="16">
        <v>0.36000000000000004</v>
      </c>
      <c r="Q176" s="16">
        <v>0.36000000000000004</v>
      </c>
      <c r="R176" s="16">
        <v>0.36000000000000004</v>
      </c>
      <c r="S176" s="16">
        <v>0.36000000000000004</v>
      </c>
      <c r="T176" s="16">
        <v>0.36000000000000004</v>
      </c>
      <c r="U176" s="16">
        <v>0.36000000000000004</v>
      </c>
      <c r="V176" s="16">
        <v>0.36000000000000004</v>
      </c>
      <c r="W176" s="16">
        <v>0.36000000000000004</v>
      </c>
      <c r="X176" s="16">
        <v>0.36000000000000004</v>
      </c>
      <c r="Y176" s="292">
        <f t="shared" si="112"/>
        <v>3.2399999999999998</v>
      </c>
      <c r="Z176" s="246">
        <f t="shared" si="110"/>
        <v>52.847381232036966</v>
      </c>
      <c r="AA176" s="16">
        <f>Z176*(1+'Key Assumption'!AB$13)</f>
        <v>53.692939331749557</v>
      </c>
      <c r="AB176" s="16">
        <f>AA176*(1+'Key Assumption'!AC$13)</f>
        <v>54.76679811838455</v>
      </c>
      <c r="AC176" s="16">
        <f>AB176*(1+'Key Assumption'!AD$13)</f>
        <v>55.697833686397082</v>
      </c>
      <c r="AD176" s="16">
        <f>AC176*(1+'Key Assumption'!AE$13)</f>
        <v>56.700394692752234</v>
      </c>
    </row>
    <row r="177" spans="2:30" x14ac:dyDescent="0.3">
      <c r="C177" s="3" t="s">
        <v>394</v>
      </c>
      <c r="L177" s="16">
        <v>78.931435411581816</v>
      </c>
      <c r="M177" s="16">
        <v>87.886235071362549</v>
      </c>
      <c r="N177" s="15">
        <v>99.701648848645675</v>
      </c>
      <c r="O177" s="246">
        <v>17.977342073941401</v>
      </c>
      <c r="P177" s="16">
        <v>11.438156999999999</v>
      </c>
      <c r="Q177" s="16">
        <v>11.438156999999999</v>
      </c>
      <c r="R177" s="16">
        <v>11.438156999999999</v>
      </c>
      <c r="S177" s="16">
        <v>11.438156999999999</v>
      </c>
      <c r="T177" s="16">
        <v>11.438156999999999</v>
      </c>
      <c r="U177" s="16">
        <v>11.438156999999999</v>
      </c>
      <c r="V177" s="16">
        <v>11.438156999999999</v>
      </c>
      <c r="W177" s="16">
        <v>11.438156999999999</v>
      </c>
      <c r="X177" s="16">
        <v>11.438156999999999</v>
      </c>
      <c r="Y177" s="292">
        <f t="shared" si="112"/>
        <v>102.94341300000001</v>
      </c>
      <c r="Z177" s="246">
        <f t="shared" si="110"/>
        <v>120.92075507394141</v>
      </c>
      <c r="AA177" s="16">
        <f>Z177*(1+'Key Assumption'!AB$13)</f>
        <v>122.85548715512448</v>
      </c>
      <c r="AB177" s="16">
        <f>AA177*(1+'Key Assumption'!AC$13)</f>
        <v>125.31259689822697</v>
      </c>
      <c r="AC177" s="16">
        <f>AB177*(1+'Key Assumption'!AD$13)</f>
        <v>127.44291104549681</v>
      </c>
      <c r="AD177" s="16">
        <f>AC177*(1+'Key Assumption'!AE$13)</f>
        <v>129.73688344431577</v>
      </c>
    </row>
    <row r="178" spans="2:30" x14ac:dyDescent="0.3">
      <c r="C178" s="3" t="s">
        <v>395</v>
      </c>
      <c r="L178" s="16">
        <v>77.222706524112084</v>
      </c>
      <c r="M178" s="16">
        <v>152.44049579745149</v>
      </c>
      <c r="N178" s="15">
        <v>363.0543582680026</v>
      </c>
      <c r="O178" s="246">
        <v>61.46929462626877</v>
      </c>
      <c r="P178" s="16">
        <v>29.368333333333336</v>
      </c>
      <c r="Q178" s="16">
        <v>29.368333333333336</v>
      </c>
      <c r="R178" s="16">
        <v>29.368333333333336</v>
      </c>
      <c r="S178" s="16">
        <v>29.368333333333336</v>
      </c>
      <c r="T178" s="16">
        <v>29.368333333333336</v>
      </c>
      <c r="U178" s="16">
        <v>29.368333333333336</v>
      </c>
      <c r="V178" s="16">
        <v>29.368333333333336</v>
      </c>
      <c r="W178" s="16">
        <v>29.368333333333336</v>
      </c>
      <c r="X178" s="16">
        <v>29.368333333333336</v>
      </c>
      <c r="Y178" s="292">
        <f t="shared" si="112"/>
        <v>264.315</v>
      </c>
      <c r="Z178" s="246">
        <f t="shared" si="110"/>
        <v>325.78429462626877</v>
      </c>
      <c r="AA178" s="16">
        <f>Z178*(1+'Key Assumption'!AB$13)</f>
        <v>330.9968433402891</v>
      </c>
      <c r="AB178" s="16">
        <f>AA178*(1+'Key Assumption'!AC$13)</f>
        <v>337.61678020709491</v>
      </c>
      <c r="AC178" s="16">
        <f>AB178*(1+'Key Assumption'!AD$13)</f>
        <v>343.35626547061548</v>
      </c>
      <c r="AD178" s="16">
        <f>AC178*(1+'Key Assumption'!AE$13)</f>
        <v>349.53667824908655</v>
      </c>
    </row>
    <row r="179" spans="2:30" x14ac:dyDescent="0.3">
      <c r="C179" s="3" t="s">
        <v>136</v>
      </c>
      <c r="L179" s="16">
        <v>1214.6900650562623</v>
      </c>
      <c r="M179" s="16">
        <v>1006.9729638090764</v>
      </c>
      <c r="N179" s="15">
        <v>1123.8695540422348</v>
      </c>
      <c r="O179" s="246">
        <v>368.81120031771462</v>
      </c>
      <c r="P179" s="16">
        <f>O179/3</f>
        <v>122.93706677257154</v>
      </c>
      <c r="Q179" s="16">
        <f t="shared" ref="Q179:X179" si="113">P179</f>
        <v>122.93706677257154</v>
      </c>
      <c r="R179" s="16">
        <f t="shared" si="113"/>
        <v>122.93706677257154</v>
      </c>
      <c r="S179" s="16">
        <f t="shared" si="113"/>
        <v>122.93706677257154</v>
      </c>
      <c r="T179" s="16">
        <f t="shared" si="113"/>
        <v>122.93706677257154</v>
      </c>
      <c r="U179" s="16">
        <f t="shared" si="113"/>
        <v>122.93706677257154</v>
      </c>
      <c r="V179" s="16">
        <f t="shared" si="113"/>
        <v>122.93706677257154</v>
      </c>
      <c r="W179" s="16">
        <f t="shared" si="113"/>
        <v>122.93706677257154</v>
      </c>
      <c r="X179" s="16">
        <f t="shared" si="113"/>
        <v>122.93706677257154</v>
      </c>
      <c r="Y179" s="292">
        <f t="shared" si="112"/>
        <v>1106.4336009531442</v>
      </c>
      <c r="Z179" s="246">
        <f t="shared" si="110"/>
        <v>1475.2448012708587</v>
      </c>
      <c r="AA179" s="16">
        <f>Z179*(1+'Key Assumption'!AB$13)</f>
        <v>1498.8487180911925</v>
      </c>
      <c r="AB179" s="16">
        <f>AA179*(1+'Key Assumption'!AC$13)</f>
        <v>1528.8256924530165</v>
      </c>
      <c r="AC179" s="16">
        <f>AB179*(1+'Key Assumption'!AD$13)</f>
        <v>1554.8157292247176</v>
      </c>
      <c r="AD179" s="16">
        <f>AC179*(1+'Key Assumption'!AE$13)</f>
        <v>1582.8024123507626</v>
      </c>
    </row>
    <row r="180" spans="2:30" x14ac:dyDescent="0.3">
      <c r="C180" s="3" t="s">
        <v>383</v>
      </c>
      <c r="L180" s="16">
        <v>2482.0870509491701</v>
      </c>
      <c r="M180" s="16">
        <v>1899.9736741157899</v>
      </c>
      <c r="N180" s="15">
        <v>1706.8498347337108</v>
      </c>
      <c r="O180" s="246">
        <v>442.58176813073311</v>
      </c>
      <c r="P180" s="119"/>
      <c r="Q180" s="119"/>
      <c r="R180" s="119"/>
      <c r="S180" s="119"/>
      <c r="T180" s="119"/>
      <c r="U180" s="119"/>
      <c r="V180" s="119"/>
      <c r="W180" s="119"/>
      <c r="X180" s="119"/>
      <c r="Y180" s="293"/>
      <c r="Z180" s="246">
        <f>SUM(O180,Y180)</f>
        <v>442.58176813073311</v>
      </c>
      <c r="AA180" s="119"/>
      <c r="AB180" s="119"/>
      <c r="AC180" s="119"/>
      <c r="AD180" s="119"/>
    </row>
    <row r="181" spans="2:30" x14ac:dyDescent="0.3">
      <c r="C181" s="3" t="s">
        <v>396</v>
      </c>
      <c r="L181" s="119"/>
      <c r="M181" s="119"/>
      <c r="N181" s="294"/>
      <c r="O181" s="246">
        <v>-543.43313743441547</v>
      </c>
      <c r="P181" s="119"/>
      <c r="Q181" s="119"/>
      <c r="R181" s="119"/>
      <c r="S181" s="119"/>
      <c r="T181" s="119"/>
      <c r="U181" s="119"/>
      <c r="V181" s="119"/>
      <c r="W181" s="119"/>
      <c r="X181" s="119"/>
      <c r="Y181" s="293"/>
      <c r="Z181" s="246">
        <f>SUM(O181,Y181)</f>
        <v>-543.43313743441547</v>
      </c>
      <c r="AA181" s="119"/>
      <c r="AB181" s="119"/>
      <c r="AC181" s="119"/>
      <c r="AD181" s="119"/>
    </row>
    <row r="182" spans="2:30" x14ac:dyDescent="0.3">
      <c r="B182" s="92"/>
      <c r="C182" s="92" t="s">
        <v>375</v>
      </c>
      <c r="D182" s="92"/>
      <c r="E182" s="92"/>
      <c r="F182" s="92"/>
      <c r="G182" s="92"/>
      <c r="H182" s="92"/>
      <c r="I182" s="92"/>
      <c r="J182" s="92"/>
      <c r="K182" s="92"/>
      <c r="L182" s="281"/>
      <c r="M182" s="281"/>
      <c r="N182" s="394"/>
      <c r="O182" s="330">
        <v>197.21943796564301</v>
      </c>
      <c r="P182" s="130">
        <f>O182/3</f>
        <v>65.739812655214337</v>
      </c>
      <c r="Q182" s="130">
        <f>P182</f>
        <v>65.739812655214337</v>
      </c>
      <c r="R182" s="130">
        <f t="shared" ref="R182:X182" si="114">Q182</f>
        <v>65.739812655214337</v>
      </c>
      <c r="S182" s="130">
        <f t="shared" si="114"/>
        <v>65.739812655214337</v>
      </c>
      <c r="T182" s="130">
        <f t="shared" si="114"/>
        <v>65.739812655214337</v>
      </c>
      <c r="U182" s="130">
        <f t="shared" si="114"/>
        <v>65.739812655214337</v>
      </c>
      <c r="V182" s="130">
        <f t="shared" si="114"/>
        <v>65.739812655214337</v>
      </c>
      <c r="W182" s="130">
        <f t="shared" si="114"/>
        <v>65.739812655214337</v>
      </c>
      <c r="X182" s="130">
        <f t="shared" si="114"/>
        <v>65.739812655214337</v>
      </c>
      <c r="Y182" s="296">
        <f t="shared" si="112"/>
        <v>591.65831389692903</v>
      </c>
      <c r="Z182" s="330">
        <f t="shared" si="110"/>
        <v>788.87775186257204</v>
      </c>
      <c r="AA182" s="130">
        <f>Z182*(1+'Key Assumption'!AB$13)</f>
        <v>801.49979589237319</v>
      </c>
      <c r="AB182" s="130">
        <f>AA182*(1+'Key Assumption'!AC$13)</f>
        <v>817.52979181022067</v>
      </c>
      <c r="AC182" s="130">
        <f>AB182*(1+'Key Assumption'!AD$13)</f>
        <v>831.42779827099434</v>
      </c>
      <c r="AD182" s="130">
        <f>AC182*(1+'Key Assumption'!AE$13)</f>
        <v>846.39349863987229</v>
      </c>
    </row>
    <row r="183" spans="2:30" x14ac:dyDescent="0.3">
      <c r="O183" s="121"/>
    </row>
    <row r="184" spans="2:30" x14ac:dyDescent="0.3">
      <c r="B184" s="8"/>
      <c r="C184" s="8"/>
      <c r="D184" s="8"/>
      <c r="E184" s="8"/>
      <c r="F184" s="8"/>
      <c r="G184" s="8"/>
      <c r="H184" s="8"/>
      <c r="I184" s="325"/>
      <c r="J184" s="8"/>
      <c r="K184" s="8"/>
      <c r="L184" s="9" t="s">
        <v>182</v>
      </c>
      <c r="M184" s="9" t="s">
        <v>183</v>
      </c>
      <c r="N184" s="10" t="s">
        <v>184</v>
      </c>
      <c r="O184" s="244" t="s">
        <v>293</v>
      </c>
      <c r="P184" s="9" t="s">
        <v>215</v>
      </c>
      <c r="Q184" s="9" t="s">
        <v>216</v>
      </c>
      <c r="R184" s="9" t="s">
        <v>217</v>
      </c>
      <c r="S184" s="9" t="s">
        <v>218</v>
      </c>
      <c r="T184" s="9" t="s">
        <v>219</v>
      </c>
      <c r="U184" s="9" t="s">
        <v>220</v>
      </c>
      <c r="V184" s="9" t="s">
        <v>221</v>
      </c>
      <c r="W184" s="9" t="s">
        <v>222</v>
      </c>
      <c r="X184" s="9" t="s">
        <v>223</v>
      </c>
      <c r="Y184" s="244" t="s">
        <v>294</v>
      </c>
      <c r="Z184" s="244" t="s">
        <v>197</v>
      </c>
      <c r="AA184" s="9" t="s">
        <v>198</v>
      </c>
      <c r="AB184" s="9" t="s">
        <v>199</v>
      </c>
      <c r="AC184" s="9" t="s">
        <v>200</v>
      </c>
      <c r="AD184" s="9" t="s">
        <v>201</v>
      </c>
    </row>
    <row r="185" spans="2:30" x14ac:dyDescent="0.3">
      <c r="B185" s="11" t="s">
        <v>333</v>
      </c>
      <c r="I185" s="291"/>
      <c r="L185" s="16"/>
      <c r="M185" s="16"/>
      <c r="N185" s="15"/>
      <c r="O185" s="246"/>
      <c r="P185" s="16"/>
      <c r="Q185" s="16"/>
      <c r="R185" s="16"/>
      <c r="S185" s="16"/>
      <c r="T185" s="16"/>
      <c r="U185" s="16"/>
      <c r="V185" s="16"/>
      <c r="W185" s="16"/>
      <c r="X185" s="16"/>
      <c r="Y185" s="246"/>
      <c r="Z185" s="246"/>
      <c r="AA185" s="16"/>
      <c r="AB185" s="16"/>
      <c r="AC185" s="16"/>
      <c r="AD185" s="16"/>
    </row>
    <row r="186" spans="2:30" x14ac:dyDescent="0.3">
      <c r="C186" s="3" t="s">
        <v>344</v>
      </c>
      <c r="I186" s="291"/>
      <c r="N186" s="15"/>
      <c r="O186" s="246">
        <f>'Key Assumption'!Q35</f>
        <v>1330.6</v>
      </c>
      <c r="P186" s="16">
        <f>'Key Assumption'!R35</f>
        <v>1308.5999999999999</v>
      </c>
      <c r="Q186" s="16">
        <f>'Key Assumption'!S35</f>
        <v>1308.5999999999999</v>
      </c>
      <c r="R186" s="16">
        <f>'Key Assumption'!T35</f>
        <v>1308.5999999999999</v>
      </c>
      <c r="S186" s="16">
        <f>'Key Assumption'!U35</f>
        <v>1289.8</v>
      </c>
      <c r="T186" s="16">
        <f>'Key Assumption'!V35</f>
        <v>1289.8</v>
      </c>
      <c r="U186" s="16">
        <f>'Key Assumption'!W35</f>
        <v>1289.8</v>
      </c>
      <c r="V186" s="16">
        <f>'Key Assumption'!X35</f>
        <v>1259.9000000000001</v>
      </c>
      <c r="W186" s="16">
        <f>'Key Assumption'!Y35</f>
        <v>1259.9000000000001</v>
      </c>
      <c r="X186" s="16">
        <f>'Key Assumption'!Z35</f>
        <v>1259.9000000000001</v>
      </c>
      <c r="Y186" s="246">
        <f>X186</f>
        <v>1259.9000000000001</v>
      </c>
      <c r="Z186" s="246"/>
      <c r="AA186" s="16">
        <f>'Key Assumption'!AB35</f>
        <v>1214.2</v>
      </c>
      <c r="AB186" s="16">
        <f>'Key Assumption'!AC35</f>
        <v>1201.8</v>
      </c>
      <c r="AC186" s="16">
        <f>'Key Assumption'!AD35</f>
        <v>1199.3</v>
      </c>
      <c r="AD186" s="16">
        <f>'Key Assumption'!AE35</f>
        <v>1212</v>
      </c>
    </row>
    <row r="187" spans="2:30" x14ac:dyDescent="0.3">
      <c r="C187" s="3" t="s">
        <v>397</v>
      </c>
      <c r="I187" s="291"/>
      <c r="N187" s="15"/>
      <c r="O187" s="246">
        <f>'Key Assumption'!Q38</f>
        <v>8.9422043010752681</v>
      </c>
      <c r="P187" s="16">
        <f>'Key Assumption'!R38</f>
        <v>9.2025316455696196</v>
      </c>
      <c r="Q187" s="16">
        <f>'Key Assumption'!S38</f>
        <v>9.2025316455696196</v>
      </c>
      <c r="R187" s="16">
        <f>'Key Assumption'!T38</f>
        <v>9.2025316455696196</v>
      </c>
      <c r="S187" s="16">
        <f>'Key Assumption'!U38</f>
        <v>9.6110283159463492</v>
      </c>
      <c r="T187" s="16">
        <f>'Key Assumption'!V38</f>
        <v>9.6110283159463492</v>
      </c>
      <c r="U187" s="16">
        <f>'Key Assumption'!W38</f>
        <v>9.6110283159463492</v>
      </c>
      <c r="V187" s="16">
        <f>'Key Assumption'!X38</f>
        <v>9.6470137825421141</v>
      </c>
      <c r="W187" s="16">
        <f>'Key Assumption'!Y38</f>
        <v>9.6470137825421141</v>
      </c>
      <c r="X187" s="16">
        <f>'Key Assumption'!Z38</f>
        <v>9.6470137825421141</v>
      </c>
      <c r="Y187" s="246">
        <f>X187</f>
        <v>9.6470137825421141</v>
      </c>
      <c r="Z187" s="246"/>
      <c r="AA187" s="16">
        <f>'Key Assumption'!AB38</f>
        <v>10.413379073756433</v>
      </c>
      <c r="AB187" s="16">
        <f>'Key Assumption'!AC38</f>
        <v>11.148423005565862</v>
      </c>
      <c r="AC187" s="16">
        <f>'Key Assumption'!AD38</f>
        <v>11.389363722697055</v>
      </c>
      <c r="AD187" s="16">
        <f>'Key Assumption'!AE38</f>
        <v>11.564885496183207</v>
      </c>
    </row>
    <row r="188" spans="2:30" x14ac:dyDescent="0.3">
      <c r="C188" s="3" t="s">
        <v>345</v>
      </c>
      <c r="I188" s="291"/>
      <c r="N188" s="15"/>
      <c r="O188" s="246">
        <f>'Key Assumption'!Q41</f>
        <v>1444.7339847991311</v>
      </c>
      <c r="P188" s="16">
        <f>'Key Assumption'!R41</f>
        <v>1426.4224983649444</v>
      </c>
      <c r="Q188" s="16">
        <f>'Key Assumption'!S41</f>
        <v>1426.4224983649444</v>
      </c>
      <c r="R188" s="16">
        <f>'Key Assumption'!T41</f>
        <v>1426.4224983649444</v>
      </c>
      <c r="S188" s="16">
        <f>'Key Assumption'!U41</f>
        <v>1431.6794316794317</v>
      </c>
      <c r="T188" s="16">
        <f>'Key Assumption'!V41</f>
        <v>1431.6794316794317</v>
      </c>
      <c r="U188" s="16">
        <f>'Key Assumption'!W41</f>
        <v>1431.6794316794317</v>
      </c>
      <c r="V188" s="16">
        <f>'Key Assumption'!X41</f>
        <v>1398.4903984903985</v>
      </c>
      <c r="W188" s="16">
        <f>'Key Assumption'!Y41</f>
        <v>1398.4903984903985</v>
      </c>
      <c r="X188" s="16">
        <f>'Key Assumption'!Z41</f>
        <v>1398.4903984903985</v>
      </c>
      <c r="Y188" s="246">
        <f>X188</f>
        <v>1398.4903984903985</v>
      </c>
      <c r="Z188" s="246">
        <f>'Key Assumption'!AA150</f>
        <v>0</v>
      </c>
      <c r="AA188" s="16">
        <f>'Key Assumption'!AB41</f>
        <v>1381.1853031509499</v>
      </c>
      <c r="AB188" s="16">
        <f>'Key Assumption'!AC41</f>
        <v>1388.080388080388</v>
      </c>
      <c r="AC188" s="16">
        <f>'Key Assumption'!AD41</f>
        <v>1397.1342031686859</v>
      </c>
      <c r="AD188" s="16">
        <f>'Key Assumption'!AE41</f>
        <v>1418.041418041418</v>
      </c>
    </row>
    <row r="189" spans="2:30" x14ac:dyDescent="0.3">
      <c r="B189" s="92"/>
      <c r="C189" s="92" t="s">
        <v>229</v>
      </c>
      <c r="D189" s="92"/>
      <c r="E189" s="92"/>
      <c r="F189" s="92"/>
      <c r="G189" s="92"/>
      <c r="H189" s="92"/>
      <c r="I189" s="295"/>
      <c r="J189" s="92"/>
      <c r="K189" s="92"/>
      <c r="L189" s="92"/>
      <c r="M189" s="92"/>
      <c r="N189" s="131"/>
      <c r="O189" s="330">
        <f>'Key Assumption'!Q44</f>
        <v>185.26872737399052</v>
      </c>
      <c r="P189" s="130">
        <f>'Key Assumption'!R44</f>
        <v>182.15478841870822</v>
      </c>
      <c r="Q189" s="130">
        <f>'Key Assumption'!S44</f>
        <v>182.15478841870822</v>
      </c>
      <c r="R189" s="130">
        <f>'Key Assumption'!T44</f>
        <v>182.15478841870822</v>
      </c>
      <c r="S189" s="130">
        <f>'Key Assumption'!U44</f>
        <v>180.89761570827488</v>
      </c>
      <c r="T189" s="130">
        <f>'Key Assumption'!V44</f>
        <v>180.89761570827488</v>
      </c>
      <c r="U189" s="130">
        <f>'Key Assumption'!W44</f>
        <v>180.89761570827488</v>
      </c>
      <c r="V189" s="130">
        <f>'Key Assumption'!X44</f>
        <v>177.57575757575759</v>
      </c>
      <c r="W189" s="130">
        <f>'Key Assumption'!Y44</f>
        <v>177.57575757575759</v>
      </c>
      <c r="X189" s="130">
        <f>'Key Assumption'!Z44</f>
        <v>177.57575757575759</v>
      </c>
      <c r="Y189" s="330">
        <f>X189</f>
        <v>177.57575757575759</v>
      </c>
      <c r="Z189" s="330">
        <f>'Key Assumption'!AA157</f>
        <v>0</v>
      </c>
      <c r="AA189" s="130">
        <f>'Key Assumption'!AB44</f>
        <v>174.00401261106336</v>
      </c>
      <c r="AB189" s="130">
        <f>'Key Assumption'!AC44</f>
        <v>175.7017543859649</v>
      </c>
      <c r="AC189" s="130">
        <f>'Key Assumption'!AD44</f>
        <v>177.80578206078576</v>
      </c>
      <c r="AD189" s="130">
        <f>'Key Assumption'!AE44</f>
        <v>178.68199911543564</v>
      </c>
    </row>
    <row r="193" spans="15:15" x14ac:dyDescent="0.3">
      <c r="O193" s="121"/>
    </row>
    <row r="194" spans="15:15" x14ac:dyDescent="0.3">
      <c r="O194" s="121"/>
    </row>
  </sheetData>
  <phoneticPr fontId="3"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62631-BB24-4A8C-A267-4CE9AA0D5C9F}">
  <sheetPr>
    <tabColor theme="8" tint="-0.249977111117893"/>
  </sheetPr>
  <dimension ref="A1:AK162"/>
  <sheetViews>
    <sheetView showGridLines="0" zoomScaleNormal="100" workbookViewId="0">
      <selection activeCell="AF25" sqref="AF25"/>
    </sheetView>
  </sheetViews>
  <sheetFormatPr defaultRowHeight="12" outlineLevelCol="1" x14ac:dyDescent="0.3"/>
  <cols>
    <col min="1" max="1" width="2.625" style="3" customWidth="1"/>
    <col min="2" max="6" width="1.625" style="3" customWidth="1"/>
    <col min="7" max="11" width="9" style="3"/>
    <col min="12" max="12" width="9.25" style="3" hidden="1" customWidth="1"/>
    <col min="13" max="14" width="0" style="3" hidden="1" customWidth="1"/>
    <col min="15" max="25" width="9" style="3" hidden="1" customWidth="1" outlineLevel="1"/>
    <col min="26" max="26" width="9" style="3" collapsed="1"/>
    <col min="27" max="16384" width="9" style="3"/>
  </cols>
  <sheetData>
    <row r="1" spans="1:37" x14ac:dyDescent="0.3">
      <c r="A1" s="1" t="str">
        <f ca="1">MID(CELL("filename",A1),FIND("]",CELL("filename",A1))+1,255)</f>
        <v>SG&amp;A_HW</v>
      </c>
      <c r="B1" s="2"/>
      <c r="C1" s="2"/>
      <c r="D1" s="2"/>
      <c r="E1" s="2"/>
      <c r="F1" s="2"/>
      <c r="G1" s="2"/>
      <c r="H1" s="2"/>
      <c r="I1" s="2"/>
      <c r="J1" s="2"/>
      <c r="K1" s="2"/>
      <c r="L1" s="2"/>
      <c r="M1" s="2"/>
      <c r="N1" s="2"/>
      <c r="O1" s="2"/>
      <c r="P1" s="2"/>
      <c r="Q1" s="2"/>
      <c r="R1" s="2"/>
      <c r="S1" s="2"/>
      <c r="T1" s="2"/>
      <c r="U1" s="2"/>
      <c r="V1" s="2"/>
      <c r="W1" s="2"/>
      <c r="X1" s="2"/>
      <c r="Y1" s="2"/>
      <c r="Z1" s="2"/>
      <c r="AA1" s="2"/>
      <c r="AB1" s="2"/>
      <c r="AC1" s="2"/>
      <c r="AD1" s="2"/>
    </row>
    <row r="3" spans="1:37" x14ac:dyDescent="0.3">
      <c r="A3" s="4"/>
      <c r="B3" s="161" t="s">
        <v>292</v>
      </c>
      <c r="C3" s="4"/>
      <c r="D3" s="4"/>
      <c r="E3" s="4"/>
      <c r="F3" s="4"/>
      <c r="G3" s="4"/>
      <c r="H3" s="4"/>
      <c r="I3" s="4"/>
      <c r="J3" s="4"/>
      <c r="K3" s="4"/>
      <c r="L3" s="4"/>
      <c r="M3" s="4"/>
      <c r="N3" s="4"/>
      <c r="O3" s="4"/>
      <c r="P3" s="4"/>
      <c r="Q3" s="4"/>
      <c r="R3" s="4"/>
      <c r="S3" s="4"/>
      <c r="T3" s="4"/>
      <c r="U3" s="4"/>
      <c r="V3" s="4"/>
      <c r="W3" s="4"/>
      <c r="X3" s="4"/>
      <c r="Y3" s="4"/>
      <c r="Z3" s="4"/>
      <c r="AA3" s="4"/>
      <c r="AB3" s="4"/>
      <c r="AC3" s="4"/>
      <c r="AD3" s="4"/>
    </row>
    <row r="4" spans="1:37" x14ac:dyDescent="0.3">
      <c r="O4" s="16"/>
    </row>
    <row r="5" spans="1:37" x14ac:dyDescent="0.3">
      <c r="B5" s="8"/>
      <c r="C5" s="8"/>
      <c r="D5" s="8"/>
      <c r="E5" s="8"/>
      <c r="F5" s="8"/>
      <c r="G5" s="8"/>
      <c r="H5" s="8"/>
      <c r="I5" s="8"/>
      <c r="J5" s="8"/>
      <c r="K5" s="8"/>
      <c r="L5" s="9" t="s">
        <v>182</v>
      </c>
      <c r="M5" s="9" t="s">
        <v>183</v>
      </c>
      <c r="N5" s="10" t="s">
        <v>184</v>
      </c>
      <c r="O5" s="244" t="s">
        <v>293</v>
      </c>
      <c r="P5" s="9" t="s">
        <v>215</v>
      </c>
      <c r="Q5" s="9" t="s">
        <v>216</v>
      </c>
      <c r="R5" s="9" t="s">
        <v>217</v>
      </c>
      <c r="S5" s="9" t="s">
        <v>218</v>
      </c>
      <c r="T5" s="9" t="s">
        <v>219</v>
      </c>
      <c r="U5" s="9" t="s">
        <v>220</v>
      </c>
      <c r="V5" s="9" t="s">
        <v>221</v>
      </c>
      <c r="W5" s="9" t="s">
        <v>222</v>
      </c>
      <c r="X5" s="9" t="s">
        <v>223</v>
      </c>
      <c r="Y5" s="233" t="s">
        <v>294</v>
      </c>
      <c r="Z5" s="244" t="s">
        <v>197</v>
      </c>
      <c r="AA5" s="9" t="s">
        <v>198</v>
      </c>
      <c r="AB5" s="9" t="s">
        <v>199</v>
      </c>
      <c r="AC5" s="9" t="s">
        <v>200</v>
      </c>
      <c r="AD5" s="9" t="s">
        <v>201</v>
      </c>
    </row>
    <row r="6" spans="1:37" x14ac:dyDescent="0.3">
      <c r="B6" s="11" t="s">
        <v>32</v>
      </c>
      <c r="L6" s="13">
        <f t="shared" ref="L6:AD6" si="0">SUM(L8:L10)</f>
        <v>69399.839521999995</v>
      </c>
      <c r="M6" s="13">
        <f t="shared" si="0"/>
        <v>65678.893543999991</v>
      </c>
      <c r="N6" s="124">
        <f t="shared" si="0"/>
        <v>53377.339296000006</v>
      </c>
      <c r="O6" s="326">
        <f>SUM(O8:O10)</f>
        <v>11854.107231887574</v>
      </c>
      <c r="P6" s="13">
        <f t="shared" si="0"/>
        <v>4489.7001231380609</v>
      </c>
      <c r="Q6" s="13">
        <f t="shared" si="0"/>
        <v>4289.9002303904836</v>
      </c>
      <c r="R6" s="13">
        <f t="shared" si="0"/>
        <v>4548.8281438464664</v>
      </c>
      <c r="S6" s="13">
        <f t="shared" si="0"/>
        <v>4360.562513992727</v>
      </c>
      <c r="T6" s="13">
        <f t="shared" si="0"/>
        <v>4295.8609371794992</v>
      </c>
      <c r="U6" s="13">
        <f t="shared" si="0"/>
        <v>4329.3094193772949</v>
      </c>
      <c r="V6" s="13">
        <f t="shared" si="0"/>
        <v>4261.1077901020417</v>
      </c>
      <c r="W6" s="13">
        <f t="shared" si="0"/>
        <v>4414.9616207703812</v>
      </c>
      <c r="X6" s="13">
        <f t="shared" si="0"/>
        <v>4359.5531639042983</v>
      </c>
      <c r="Y6" s="359">
        <f t="shared" si="0"/>
        <v>39349.783942701251</v>
      </c>
      <c r="Z6" s="326">
        <f t="shared" si="0"/>
        <v>51203.891174588818</v>
      </c>
      <c r="AA6" s="13">
        <f t="shared" si="0"/>
        <v>51425.309813150561</v>
      </c>
      <c r="AB6" s="13">
        <f t="shared" si="0"/>
        <v>54986.492875570446</v>
      </c>
      <c r="AC6" s="13">
        <f t="shared" si="0"/>
        <v>58307.096891749075</v>
      </c>
      <c r="AD6" s="13">
        <f t="shared" si="0"/>
        <v>61720.693216472297</v>
      </c>
      <c r="AE6" s="151"/>
      <c r="AF6" s="327"/>
      <c r="AK6" s="311"/>
    </row>
    <row r="7" spans="1:37" s="45" customFormat="1" x14ac:dyDescent="0.3">
      <c r="C7" s="45" t="s">
        <v>398</v>
      </c>
      <c r="L7" s="391" t="str">
        <f>IFERROR(L6/Revenue_HW!L$6,"-")</f>
        <v>-</v>
      </c>
      <c r="M7" s="391" t="str">
        <f>IFERROR(M6/Revenue_HW!M$6,"-")</f>
        <v>-</v>
      </c>
      <c r="N7" s="392" t="str">
        <f>IFERROR(N6/Revenue_HW!N$6,"-")</f>
        <v>-</v>
      </c>
      <c r="O7" s="376">
        <f>IFERROR(O6/Revenue_HW!O$6,"-")</f>
        <v>0.15613515716002949</v>
      </c>
      <c r="P7" s="45">
        <f>IFERROR(P6/Revenue_HW!P$6,"-")</f>
        <v>0.14396625550165895</v>
      </c>
      <c r="Q7" s="45">
        <f>IFERROR(Q6/Revenue_HW!Q$6,"-")</f>
        <v>0.15111340579262292</v>
      </c>
      <c r="R7" s="45">
        <f>IFERROR(R6/Revenue_HW!R$6,"-")</f>
        <v>0.15044171992954827</v>
      </c>
      <c r="S7" s="45">
        <f>IFERROR(S6/Revenue_HW!S$6,"-")</f>
        <v>0.15855248346874751</v>
      </c>
      <c r="T7" s="45">
        <f>IFERROR(T6/Revenue_HW!T$6,"-")</f>
        <v>0.14572314084465343</v>
      </c>
      <c r="U7" s="45">
        <f>IFERROR(U6/Revenue_HW!U$6,"-")</f>
        <v>0.15445183273931218</v>
      </c>
      <c r="V7" s="45">
        <f>IFERROR(V6/Revenue_HW!V$6,"-")</f>
        <v>0.15236754238340322</v>
      </c>
      <c r="W7" s="45">
        <f>IFERROR(W6/Revenue_HW!W$6,"-")</f>
        <v>0.16027185950777398</v>
      </c>
      <c r="X7" s="45">
        <f>IFERROR(X6/Revenue_HW!X$6,"-")</f>
        <v>0.1639494207723558</v>
      </c>
      <c r="Y7" s="377">
        <f>IFERROR(Y6/Revenue_HW!Y$6,"-")</f>
        <v>0.15315580179234803</v>
      </c>
      <c r="Z7" s="376">
        <f>IFERROR(Z6/Revenue_HW!Z$6,"-")</f>
        <v>0.15383538671663241</v>
      </c>
      <c r="AA7" s="45">
        <f>IFERROR(AA6/Revenue_HW!AA$6,"-")</f>
        <v>0.16386908526445626</v>
      </c>
      <c r="AB7" s="45">
        <f>IFERROR(AB6/Revenue_HW!AB$6,"-")</f>
        <v>0.15619204162679845</v>
      </c>
      <c r="AC7" s="45">
        <f>IFERROR(AC6/Revenue_HW!AC$6,"-")</f>
        <v>0.15017961180876585</v>
      </c>
      <c r="AD7" s="45">
        <f>IFERROR(AD6/Revenue_HW!AD$6,"-")</f>
        <v>0.14308821285815945</v>
      </c>
      <c r="AK7" s="311"/>
    </row>
    <row r="8" spans="1:37" x14ac:dyDescent="0.3">
      <c r="C8" s="3" t="s">
        <v>141</v>
      </c>
      <c r="L8" s="16">
        <f t="shared" ref="L8:AD8" si="1">L15</f>
        <v>22708.768501999999</v>
      </c>
      <c r="M8" s="16">
        <f t="shared" si="1"/>
        <v>17280.514415000001</v>
      </c>
      <c r="N8" s="15">
        <f t="shared" si="1"/>
        <v>17207.635407000002</v>
      </c>
      <c r="O8" s="246">
        <f>O15</f>
        <v>4194.6848113333326</v>
      </c>
      <c r="P8" s="16">
        <f t="shared" si="1"/>
        <v>1398.2282704444444</v>
      </c>
      <c r="Q8" s="16">
        <f t="shared" si="1"/>
        <v>1398.2282704444444</v>
      </c>
      <c r="R8" s="16">
        <f t="shared" si="1"/>
        <v>1398.2282704444444</v>
      </c>
      <c r="S8" s="16">
        <f t="shared" si="1"/>
        <v>1398.2282704444444</v>
      </c>
      <c r="T8" s="16">
        <f t="shared" si="1"/>
        <v>1398.2282704444444</v>
      </c>
      <c r="U8" s="16">
        <f t="shared" si="1"/>
        <v>1398.2282704444444</v>
      </c>
      <c r="V8" s="16">
        <f t="shared" si="1"/>
        <v>1398.2282704444444</v>
      </c>
      <c r="W8" s="16">
        <f t="shared" si="1"/>
        <v>1398.2282704444444</v>
      </c>
      <c r="X8" s="16">
        <f t="shared" si="1"/>
        <v>1398.2282704444444</v>
      </c>
      <c r="Y8" s="292">
        <f t="shared" si="1"/>
        <v>12584.054434</v>
      </c>
      <c r="Z8" s="246">
        <f t="shared" si="1"/>
        <v>16778.73924533333</v>
      </c>
      <c r="AA8" s="16">
        <f t="shared" si="1"/>
        <v>17248.543944202665</v>
      </c>
      <c r="AB8" s="16">
        <f t="shared" si="1"/>
        <v>17955.734245914973</v>
      </c>
      <c r="AC8" s="16">
        <f t="shared" si="1"/>
        <v>18566.229210276084</v>
      </c>
      <c r="AD8" s="16">
        <f t="shared" si="1"/>
        <v>19216.047232635745</v>
      </c>
      <c r="AE8" s="151"/>
      <c r="AF8" s="327"/>
      <c r="AK8" s="311"/>
    </row>
    <row r="9" spans="1:37" x14ac:dyDescent="0.3">
      <c r="C9" s="3" t="s">
        <v>142</v>
      </c>
      <c r="L9" s="16">
        <f t="shared" ref="L9:AD9" si="2">L26</f>
        <v>32987.955716999997</v>
      </c>
      <c r="M9" s="16">
        <f t="shared" si="2"/>
        <v>32265.464949000001</v>
      </c>
      <c r="N9" s="15">
        <f t="shared" si="2"/>
        <v>24404.934108999998</v>
      </c>
      <c r="O9" s="246">
        <f>O26</f>
        <v>5301.9760013333325</v>
      </c>
      <c r="P9" s="16">
        <f t="shared" si="2"/>
        <v>2059.4534567033129</v>
      </c>
      <c r="Q9" s="16">
        <f t="shared" si="2"/>
        <v>1859.653563955736</v>
      </c>
      <c r="R9" s="16">
        <f t="shared" si="2"/>
        <v>2118.5814774117184</v>
      </c>
      <c r="S9" s="16">
        <f t="shared" si="2"/>
        <v>1930.3158475579796</v>
      </c>
      <c r="T9" s="16">
        <f t="shared" si="2"/>
        <v>1865.6142707447516</v>
      </c>
      <c r="U9" s="16">
        <f t="shared" si="2"/>
        <v>1899.0627529425474</v>
      </c>
      <c r="V9" s="16">
        <f t="shared" si="2"/>
        <v>1830.8611236672937</v>
      </c>
      <c r="W9" s="16">
        <f t="shared" si="2"/>
        <v>1984.7149543356331</v>
      </c>
      <c r="X9" s="16">
        <f t="shared" si="2"/>
        <v>1929.306497469551</v>
      </c>
      <c r="Y9" s="292">
        <f t="shared" si="2"/>
        <v>17477.563944788526</v>
      </c>
      <c r="Z9" s="246">
        <f t="shared" si="2"/>
        <v>22779.539946121855</v>
      </c>
      <c r="AA9" s="16">
        <f t="shared" si="2"/>
        <v>22154.514945620118</v>
      </c>
      <c r="AB9" s="16">
        <f>AB26</f>
        <v>24768.06268786114</v>
      </c>
      <c r="AC9" s="16">
        <f t="shared" si="2"/>
        <v>27269.705908668155</v>
      </c>
      <c r="AD9" s="16">
        <f t="shared" si="2"/>
        <v>29809.003299121228</v>
      </c>
      <c r="AE9" s="151"/>
      <c r="AF9" s="327"/>
      <c r="AK9" s="311"/>
    </row>
    <row r="10" spans="1:37" x14ac:dyDescent="0.3">
      <c r="B10" s="92"/>
      <c r="C10" s="92" t="s">
        <v>143</v>
      </c>
      <c r="D10" s="92"/>
      <c r="E10" s="92"/>
      <c r="F10" s="92"/>
      <c r="G10" s="92"/>
      <c r="H10" s="92"/>
      <c r="I10" s="92"/>
      <c r="J10" s="92"/>
      <c r="K10" s="92"/>
      <c r="L10" s="130">
        <f t="shared" ref="L10:AD10" si="3">L49</f>
        <v>13703.115303000002</v>
      </c>
      <c r="M10" s="130">
        <f t="shared" si="3"/>
        <v>16132.91418</v>
      </c>
      <c r="N10" s="131">
        <f t="shared" si="3"/>
        <v>11764.769780000001</v>
      </c>
      <c r="O10" s="330">
        <f>O49</f>
        <v>2357.4464192209084</v>
      </c>
      <c r="P10" s="130">
        <f t="shared" si="3"/>
        <v>1032.0183959903031</v>
      </c>
      <c r="Q10" s="130">
        <f t="shared" si="3"/>
        <v>1032.0183959903031</v>
      </c>
      <c r="R10" s="130">
        <f t="shared" si="3"/>
        <v>1032.0183959903031</v>
      </c>
      <c r="S10" s="130">
        <f t="shared" si="3"/>
        <v>1032.0183959903031</v>
      </c>
      <c r="T10" s="130">
        <f t="shared" si="3"/>
        <v>1032.0183959903031</v>
      </c>
      <c r="U10" s="130">
        <f t="shared" si="3"/>
        <v>1032.0183959903031</v>
      </c>
      <c r="V10" s="130">
        <f t="shared" si="3"/>
        <v>1032.0183959903031</v>
      </c>
      <c r="W10" s="130">
        <f t="shared" si="3"/>
        <v>1032.0183959903031</v>
      </c>
      <c r="X10" s="130">
        <f t="shared" si="3"/>
        <v>1032.0183959903031</v>
      </c>
      <c r="Y10" s="296">
        <f t="shared" si="3"/>
        <v>9288.1655639127275</v>
      </c>
      <c r="Z10" s="330">
        <f t="shared" si="3"/>
        <v>11645.611983133636</v>
      </c>
      <c r="AA10" s="130">
        <f>AA49</f>
        <v>12022.250923327772</v>
      </c>
      <c r="AB10" s="130">
        <f t="shared" si="3"/>
        <v>12262.695941794331</v>
      </c>
      <c r="AC10" s="130">
        <f t="shared" si="3"/>
        <v>12471.161772804835</v>
      </c>
      <c r="AD10" s="130">
        <f t="shared" si="3"/>
        <v>12695.64268471532</v>
      </c>
      <c r="AE10" s="151"/>
      <c r="AF10" s="327"/>
      <c r="AK10" s="311"/>
    </row>
    <row r="11" spans="1:37" x14ac:dyDescent="0.3">
      <c r="AK11" s="311"/>
    </row>
    <row r="12" spans="1:37" x14ac:dyDescent="0.3">
      <c r="A12" s="4"/>
      <c r="B12" s="161" t="s">
        <v>399</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K12" s="311"/>
    </row>
    <row r="13" spans="1:37" x14ac:dyDescent="0.3">
      <c r="L13" s="121"/>
      <c r="M13" s="121"/>
      <c r="N13" s="121"/>
      <c r="O13" s="121"/>
      <c r="AK13" s="311"/>
    </row>
    <row r="14" spans="1:37" x14ac:dyDescent="0.3">
      <c r="B14" s="8"/>
      <c r="C14" s="8"/>
      <c r="D14" s="8"/>
      <c r="E14" s="8"/>
      <c r="F14" s="8"/>
      <c r="G14" s="8"/>
      <c r="H14" s="8"/>
      <c r="I14" s="8"/>
      <c r="J14" s="8"/>
      <c r="K14" s="8"/>
      <c r="L14" s="9" t="s">
        <v>182</v>
      </c>
      <c r="M14" s="9" t="s">
        <v>183</v>
      </c>
      <c r="N14" s="10" t="s">
        <v>184</v>
      </c>
      <c r="O14" s="244" t="s">
        <v>293</v>
      </c>
      <c r="P14" s="9" t="s">
        <v>215</v>
      </c>
      <c r="Q14" s="9" t="s">
        <v>216</v>
      </c>
      <c r="R14" s="9" t="s">
        <v>217</v>
      </c>
      <c r="S14" s="9" t="s">
        <v>218</v>
      </c>
      <c r="T14" s="9" t="s">
        <v>219</v>
      </c>
      <c r="U14" s="9" t="s">
        <v>220</v>
      </c>
      <c r="V14" s="9" t="s">
        <v>221</v>
      </c>
      <c r="W14" s="9" t="s">
        <v>222</v>
      </c>
      <c r="X14" s="9" t="s">
        <v>223</v>
      </c>
      <c r="Y14" s="233" t="s">
        <v>294</v>
      </c>
      <c r="Z14" s="244" t="s">
        <v>197</v>
      </c>
      <c r="AA14" s="9" t="s">
        <v>198</v>
      </c>
      <c r="AB14" s="9" t="s">
        <v>199</v>
      </c>
      <c r="AC14" s="9" t="s">
        <v>200</v>
      </c>
      <c r="AD14" s="9" t="s">
        <v>201</v>
      </c>
      <c r="AE14" s="23"/>
      <c r="AK14" s="311"/>
    </row>
    <row r="15" spans="1:37" s="11" customFormat="1" x14ac:dyDescent="0.3">
      <c r="B15" s="11" t="s">
        <v>141</v>
      </c>
      <c r="L15" s="13">
        <f>L17+L20</f>
        <v>22708.768501999999</v>
      </c>
      <c r="M15" s="13">
        <f t="shared" ref="M15:N15" si="4">M17+M20</f>
        <v>17280.514415000001</v>
      </c>
      <c r="N15" s="13">
        <f t="shared" si="4"/>
        <v>17207.635407000002</v>
      </c>
      <c r="O15" s="395">
        <f t="shared" ref="O15:AD15" si="5">O17+O21</f>
        <v>4194.6848113333326</v>
      </c>
      <c r="P15" s="13">
        <f t="shared" si="5"/>
        <v>1398.2282704444444</v>
      </c>
      <c r="Q15" s="13">
        <f t="shared" si="5"/>
        <v>1398.2282704444444</v>
      </c>
      <c r="R15" s="13">
        <f t="shared" si="5"/>
        <v>1398.2282704444444</v>
      </c>
      <c r="S15" s="13">
        <f t="shared" si="5"/>
        <v>1398.2282704444444</v>
      </c>
      <c r="T15" s="13">
        <f t="shared" si="5"/>
        <v>1398.2282704444444</v>
      </c>
      <c r="U15" s="13">
        <f t="shared" si="5"/>
        <v>1398.2282704444444</v>
      </c>
      <c r="V15" s="13">
        <f t="shared" si="5"/>
        <v>1398.2282704444444</v>
      </c>
      <c r="W15" s="13">
        <f t="shared" si="5"/>
        <v>1398.2282704444444</v>
      </c>
      <c r="X15" s="13">
        <f t="shared" si="5"/>
        <v>1398.2282704444444</v>
      </c>
      <c r="Y15" s="396">
        <f t="shared" si="5"/>
        <v>12584.054434</v>
      </c>
      <c r="Z15" s="395">
        <f t="shared" si="5"/>
        <v>16778.73924533333</v>
      </c>
      <c r="AA15" s="13">
        <f t="shared" si="5"/>
        <v>17248.543944202665</v>
      </c>
      <c r="AB15" s="13">
        <f t="shared" si="5"/>
        <v>17955.734245914973</v>
      </c>
      <c r="AC15" s="13">
        <f t="shared" si="5"/>
        <v>18566.229210276084</v>
      </c>
      <c r="AD15" s="13">
        <f t="shared" si="5"/>
        <v>19216.047232635745</v>
      </c>
      <c r="AE15" s="23"/>
      <c r="AF15" s="327"/>
      <c r="AK15" s="311"/>
    </row>
    <row r="16" spans="1:37" s="23" customFormat="1" x14ac:dyDescent="0.3">
      <c r="B16" s="45" t="s">
        <v>398</v>
      </c>
      <c r="C16" s="45"/>
      <c r="L16" s="391" t="str">
        <f>IFERROR(L15/Revenue_HW!L$6,"-")</f>
        <v>-</v>
      </c>
      <c r="M16" s="391" t="str">
        <f>IFERROR(M15/Revenue_HW!M$6,"-")</f>
        <v>-</v>
      </c>
      <c r="N16" s="392" t="str">
        <f>IFERROR(N15/Revenue_HW!N$6,"-")</f>
        <v>-</v>
      </c>
      <c r="O16" s="376">
        <f>IFERROR(O15/Revenue_HW!O$6,"-")</f>
        <v>5.5249860613082229E-2</v>
      </c>
      <c r="P16" s="45">
        <f>IFERROR(P15/Revenue_HW!P$6,"-")</f>
        <v>4.483544176927149E-2</v>
      </c>
      <c r="Q16" s="45">
        <f>IFERROR(Q15/Revenue_HW!Q$6,"-")</f>
        <v>4.9253135195443949E-2</v>
      </c>
      <c r="R16" s="45">
        <f>IFERROR(R15/Revenue_HW!R$6,"-")</f>
        <v>4.624308925461125E-2</v>
      </c>
      <c r="S16" s="45">
        <f>IFERROR(S15/Revenue_HW!S$6,"-")</f>
        <v>5.0840359248097676E-2</v>
      </c>
      <c r="T16" s="45">
        <f>IFERROR(T15/Revenue_HW!T$6,"-")</f>
        <v>4.7430356374787423E-2</v>
      </c>
      <c r="U16" s="45">
        <f>IFERROR(U15/Revenue_HW!U$6,"-")</f>
        <v>4.988299473155363E-2</v>
      </c>
      <c r="V16" s="45">
        <f>IFERROR(V15/Revenue_HW!V$6,"-")</f>
        <v>4.9997469144875739E-2</v>
      </c>
      <c r="W16" s="45">
        <f>IFERROR(W15/Revenue_HW!W$6,"-")</f>
        <v>5.075845820860532E-2</v>
      </c>
      <c r="X16" s="45">
        <f>IFERROR(X15/Revenue_HW!X$6,"-")</f>
        <v>5.2583075931937832E-2</v>
      </c>
      <c r="Y16" s="377">
        <f>IFERROR(Y15/Revenue_HW!Y$6,"-")</f>
        <v>4.897920022748458E-2</v>
      </c>
      <c r="Z16" s="376">
        <f>IFERROR(Z15/Revenue_HW!Z$6,"-")</f>
        <v>5.0409525159376085E-2</v>
      </c>
      <c r="AA16" s="45">
        <f>IFERROR(AA15/Revenue_HW!AA$6,"-")</f>
        <v>5.496326864242769E-2</v>
      </c>
      <c r="AB16" s="45">
        <f>IFERROR(AB15/Revenue_HW!AB$6,"-")</f>
        <v>5.1004212927784162E-2</v>
      </c>
      <c r="AC16" s="45">
        <f>IFERROR(AC15/Revenue_HW!AC$6,"-")</f>
        <v>4.7820406849074217E-2</v>
      </c>
      <c r="AD16" s="45">
        <f>IFERROR(AD15/Revenue_HW!AD$6,"-")</f>
        <v>4.4548914042041352E-2</v>
      </c>
      <c r="AF16" s="397"/>
      <c r="AK16" s="311"/>
    </row>
    <row r="17" spans="2:37" x14ac:dyDescent="0.3">
      <c r="C17" s="3" t="s">
        <v>141</v>
      </c>
      <c r="L17" s="16">
        <v>20857.481189999999</v>
      </c>
      <c r="M17" s="16">
        <v>15164.068331000002</v>
      </c>
      <c r="N17" s="16">
        <v>15016.109049000002</v>
      </c>
      <c r="O17" s="246">
        <v>3199.5407189999996</v>
      </c>
      <c r="P17" s="16">
        <f>P18*P19/12</f>
        <v>1066.513573</v>
      </c>
      <c r="Q17" s="16">
        <f t="shared" ref="Q17:X17" si="6">Q18*Q19/12</f>
        <v>1066.513573</v>
      </c>
      <c r="R17" s="16">
        <f t="shared" si="6"/>
        <v>1066.513573</v>
      </c>
      <c r="S17" s="16">
        <f t="shared" si="6"/>
        <v>1066.513573</v>
      </c>
      <c r="T17" s="16">
        <f t="shared" si="6"/>
        <v>1066.513573</v>
      </c>
      <c r="U17" s="16">
        <f t="shared" si="6"/>
        <v>1066.513573</v>
      </c>
      <c r="V17" s="16">
        <f t="shared" si="6"/>
        <v>1066.513573</v>
      </c>
      <c r="W17" s="16">
        <f t="shared" si="6"/>
        <v>1066.513573</v>
      </c>
      <c r="X17" s="16">
        <f t="shared" si="6"/>
        <v>1066.513573</v>
      </c>
      <c r="Y17" s="292">
        <f>SUM(P17:X17)</f>
        <v>9598.6221569999998</v>
      </c>
      <c r="Z17" s="246">
        <f>SUM(O17,Y17)</f>
        <v>12798.162875999999</v>
      </c>
      <c r="AA17" s="16">
        <f>AA18*AA19</f>
        <v>13156.511436527997</v>
      </c>
      <c r="AB17" s="16">
        <f t="shared" ref="AB17:AD17" si="7">AB18*AB19</f>
        <v>13695.928405425644</v>
      </c>
      <c r="AC17" s="16">
        <f t="shared" si="7"/>
        <v>14161.589971210116</v>
      </c>
      <c r="AD17" s="16">
        <f t="shared" si="7"/>
        <v>14657.24562020247</v>
      </c>
      <c r="AE17" s="243"/>
      <c r="AF17" s="327"/>
      <c r="AK17" s="311"/>
    </row>
    <row r="18" spans="2:37" x14ac:dyDescent="0.3">
      <c r="D18" s="3" t="s">
        <v>371</v>
      </c>
      <c r="L18" s="119"/>
      <c r="M18" s="119"/>
      <c r="N18" s="119"/>
      <c r="O18" s="246">
        <f>$Z18</f>
        <v>85</v>
      </c>
      <c r="P18" s="16">
        <f t="shared" ref="P18:X18" si="8">$Z18</f>
        <v>85</v>
      </c>
      <c r="Q18" s="16">
        <f t="shared" si="8"/>
        <v>85</v>
      </c>
      <c r="R18" s="16">
        <f t="shared" si="8"/>
        <v>85</v>
      </c>
      <c r="S18" s="16">
        <f t="shared" si="8"/>
        <v>85</v>
      </c>
      <c r="T18" s="16">
        <f t="shared" si="8"/>
        <v>85</v>
      </c>
      <c r="U18" s="16">
        <f t="shared" si="8"/>
        <v>85</v>
      </c>
      <c r="V18" s="16">
        <f t="shared" si="8"/>
        <v>85</v>
      </c>
      <c r="W18" s="16">
        <f t="shared" si="8"/>
        <v>85</v>
      </c>
      <c r="X18" s="16">
        <f t="shared" si="8"/>
        <v>85</v>
      </c>
      <c r="Y18" s="292">
        <f>$Z18</f>
        <v>85</v>
      </c>
      <c r="Z18" s="246">
        <v>85</v>
      </c>
      <c r="AA18" s="16">
        <f>Z18</f>
        <v>85</v>
      </c>
      <c r="AB18" s="16">
        <f t="shared" ref="AB18:AD18" si="9">AA18</f>
        <v>85</v>
      </c>
      <c r="AC18" s="16">
        <f t="shared" si="9"/>
        <v>85</v>
      </c>
      <c r="AD18" s="16">
        <f t="shared" si="9"/>
        <v>85</v>
      </c>
      <c r="AE18" s="23"/>
      <c r="AF18" s="327"/>
      <c r="AK18" s="311"/>
    </row>
    <row r="19" spans="2:37" x14ac:dyDescent="0.3">
      <c r="D19" s="3" t="s">
        <v>372</v>
      </c>
      <c r="L19" s="119"/>
      <c r="M19" s="119"/>
      <c r="N19" s="119"/>
      <c r="O19" s="246">
        <f>O17/O18*4</f>
        <v>150.56662207058821</v>
      </c>
      <c r="P19" s="16">
        <f>$O19</f>
        <v>150.56662207058821</v>
      </c>
      <c r="Q19" s="16">
        <f t="shared" ref="Q19:X19" si="10">$O19</f>
        <v>150.56662207058821</v>
      </c>
      <c r="R19" s="16">
        <f t="shared" si="10"/>
        <v>150.56662207058821</v>
      </c>
      <c r="S19" s="16">
        <f t="shared" si="10"/>
        <v>150.56662207058821</v>
      </c>
      <c r="T19" s="16">
        <f t="shared" si="10"/>
        <v>150.56662207058821</v>
      </c>
      <c r="U19" s="16">
        <f t="shared" si="10"/>
        <v>150.56662207058821</v>
      </c>
      <c r="V19" s="16">
        <f t="shared" si="10"/>
        <v>150.56662207058821</v>
      </c>
      <c r="W19" s="16">
        <f t="shared" si="10"/>
        <v>150.56662207058821</v>
      </c>
      <c r="X19" s="16">
        <f t="shared" si="10"/>
        <v>150.56662207058821</v>
      </c>
      <c r="Y19" s="292">
        <f>Y17/Y18/3*4</f>
        <v>150.56662207058824</v>
      </c>
      <c r="Z19" s="246">
        <f>Z17/Z18</f>
        <v>150.56662207058821</v>
      </c>
      <c r="AA19" s="16">
        <f>Z19*(1+'Key Assumption'!AB$15)</f>
        <v>154.78248748856467</v>
      </c>
      <c r="AB19" s="16">
        <f>AA19*(1+'Key Assumption'!AC$15)</f>
        <v>161.12856947559581</v>
      </c>
      <c r="AC19" s="16">
        <f>AB19*(1+'Key Assumption'!AD$15)</f>
        <v>166.60694083776607</v>
      </c>
      <c r="AD19" s="16">
        <f>AC19*(1+'Key Assumption'!AE$15)</f>
        <v>172.43818376708788</v>
      </c>
      <c r="AE19" s="23"/>
      <c r="AF19" s="327"/>
      <c r="AK19" s="311"/>
    </row>
    <row r="20" spans="2:37" x14ac:dyDescent="0.3">
      <c r="C20" s="3" t="s">
        <v>383</v>
      </c>
      <c r="L20" s="16">
        <v>1851.2873120000002</v>
      </c>
      <c r="M20" s="16">
        <v>2116.4460840000002</v>
      </c>
      <c r="N20" s="16">
        <v>2191.5263580000001</v>
      </c>
      <c r="O20" s="246">
        <v>541.83247800000004</v>
      </c>
      <c r="P20" s="16"/>
      <c r="Q20" s="16"/>
      <c r="R20" s="16"/>
      <c r="S20" s="16"/>
      <c r="T20" s="16"/>
      <c r="U20" s="16"/>
      <c r="V20" s="16"/>
      <c r="W20" s="16"/>
      <c r="X20" s="16"/>
      <c r="Y20" s="292"/>
      <c r="Z20" s="246"/>
      <c r="AA20" s="16"/>
      <c r="AB20" s="16"/>
      <c r="AC20" s="16"/>
      <c r="AD20" s="16"/>
      <c r="AE20" s="243"/>
      <c r="AF20" s="327"/>
      <c r="AK20" s="311"/>
    </row>
    <row r="21" spans="2:37" x14ac:dyDescent="0.3">
      <c r="B21" s="92"/>
      <c r="C21" s="92" t="s">
        <v>400</v>
      </c>
      <c r="D21" s="92"/>
      <c r="E21" s="92"/>
      <c r="F21" s="92"/>
      <c r="G21" s="92"/>
      <c r="H21" s="92"/>
      <c r="I21" s="92"/>
      <c r="J21" s="92"/>
      <c r="K21" s="92"/>
      <c r="L21" s="130"/>
      <c r="M21" s="130"/>
      <c r="N21" s="130"/>
      <c r="O21" s="330">
        <v>995.14409233333345</v>
      </c>
      <c r="P21" s="130">
        <f>O21/3</f>
        <v>331.71469744444448</v>
      </c>
      <c r="Q21" s="130">
        <f>P21</f>
        <v>331.71469744444448</v>
      </c>
      <c r="R21" s="130">
        <f t="shared" ref="R21:X21" si="11">Q21</f>
        <v>331.71469744444448</v>
      </c>
      <c r="S21" s="130">
        <f t="shared" si="11"/>
        <v>331.71469744444448</v>
      </c>
      <c r="T21" s="130">
        <f t="shared" si="11"/>
        <v>331.71469744444448</v>
      </c>
      <c r="U21" s="130">
        <f t="shared" si="11"/>
        <v>331.71469744444448</v>
      </c>
      <c r="V21" s="130">
        <f t="shared" si="11"/>
        <v>331.71469744444448</v>
      </c>
      <c r="W21" s="130">
        <f t="shared" si="11"/>
        <v>331.71469744444448</v>
      </c>
      <c r="X21" s="130">
        <f t="shared" si="11"/>
        <v>331.71469744444448</v>
      </c>
      <c r="Y21" s="296">
        <f>SUM(P21:X21)</f>
        <v>2985.4322770000003</v>
      </c>
      <c r="Z21" s="330">
        <f>Y21+O21</f>
        <v>3980.5763693333338</v>
      </c>
      <c r="AA21" s="130">
        <f>Z21*(1+'Key Assumption'!AB$15)</f>
        <v>4092.0325076746672</v>
      </c>
      <c r="AB21" s="130">
        <f>AA21*(1+'Key Assumption'!AC$15)</f>
        <v>4259.8058404893281</v>
      </c>
      <c r="AC21" s="130">
        <f>AB21*(1+'Key Assumption'!AD$15)</f>
        <v>4404.6392390659657</v>
      </c>
      <c r="AD21" s="130">
        <f>AC21*(1+'Key Assumption'!AE$15)</f>
        <v>4558.8016124332744</v>
      </c>
      <c r="AE21" s="243"/>
      <c r="AF21" s="327"/>
      <c r="AK21" s="311"/>
    </row>
    <row r="22" spans="2:37" x14ac:dyDescent="0.3">
      <c r="O22" s="113"/>
      <c r="AK22" s="311"/>
    </row>
    <row r="23" spans="2:37" x14ac:dyDescent="0.3">
      <c r="B23" s="5" t="s">
        <v>401</v>
      </c>
      <c r="C23" s="4"/>
      <c r="D23" s="4"/>
      <c r="E23" s="4"/>
      <c r="F23" s="4"/>
      <c r="G23" s="4"/>
      <c r="H23" s="4"/>
      <c r="I23" s="4"/>
      <c r="J23" s="4"/>
      <c r="K23" s="4"/>
      <c r="L23" s="4"/>
      <c r="M23" s="4"/>
      <c r="N23" s="4"/>
      <c r="O23" s="4"/>
      <c r="P23" s="4"/>
      <c r="Q23" s="4"/>
      <c r="R23" s="4"/>
      <c r="S23" s="4"/>
      <c r="T23" s="4"/>
      <c r="U23" s="4"/>
      <c r="V23" s="4"/>
      <c r="W23" s="4"/>
      <c r="X23" s="4"/>
      <c r="Y23" s="4"/>
      <c r="Z23" s="4"/>
      <c r="AA23" s="398"/>
      <c r="AB23" s="398"/>
      <c r="AC23" s="398"/>
      <c r="AD23" s="398"/>
      <c r="AK23" s="311"/>
    </row>
    <row r="24" spans="2:37" x14ac:dyDescent="0.3">
      <c r="L24" s="121"/>
      <c r="M24" s="121"/>
      <c r="N24" s="121"/>
      <c r="O24" s="121"/>
      <c r="AA24" s="132"/>
      <c r="AB24" s="132"/>
      <c r="AC24" s="132"/>
      <c r="AD24" s="132"/>
      <c r="AE24" s="327"/>
      <c r="AF24" s="327"/>
      <c r="AG24" s="327"/>
      <c r="AK24" s="311"/>
    </row>
    <row r="25" spans="2:37" x14ac:dyDescent="0.3">
      <c r="B25" s="8"/>
      <c r="C25" s="8"/>
      <c r="D25" s="8"/>
      <c r="E25" s="8"/>
      <c r="F25" s="8"/>
      <c r="G25" s="8"/>
      <c r="H25" s="8"/>
      <c r="I25" s="8"/>
      <c r="J25" s="8"/>
      <c r="K25" s="8"/>
      <c r="L25" s="9" t="s">
        <v>182</v>
      </c>
      <c r="M25" s="9" t="s">
        <v>183</v>
      </c>
      <c r="N25" s="10" t="s">
        <v>184</v>
      </c>
      <c r="O25" s="244" t="s">
        <v>293</v>
      </c>
      <c r="P25" s="9" t="s">
        <v>215</v>
      </c>
      <c r="Q25" s="9" t="s">
        <v>216</v>
      </c>
      <c r="R25" s="9" t="s">
        <v>217</v>
      </c>
      <c r="S25" s="9" t="s">
        <v>218</v>
      </c>
      <c r="T25" s="9" t="s">
        <v>219</v>
      </c>
      <c r="U25" s="9" t="s">
        <v>220</v>
      </c>
      <c r="V25" s="9" t="s">
        <v>221</v>
      </c>
      <c r="W25" s="9" t="s">
        <v>222</v>
      </c>
      <c r="X25" s="9" t="s">
        <v>223</v>
      </c>
      <c r="Y25" s="233" t="s">
        <v>294</v>
      </c>
      <c r="Z25" s="244" t="s">
        <v>197</v>
      </c>
      <c r="AA25" s="9" t="s">
        <v>198</v>
      </c>
      <c r="AB25" s="9" t="s">
        <v>199</v>
      </c>
      <c r="AC25" s="9" t="s">
        <v>200</v>
      </c>
      <c r="AD25" s="9" t="s">
        <v>201</v>
      </c>
      <c r="AE25" s="327"/>
      <c r="AF25" s="327"/>
      <c r="AG25" s="327"/>
      <c r="AK25" s="311"/>
    </row>
    <row r="26" spans="2:37" s="11" customFormat="1" x14ac:dyDescent="0.3">
      <c r="B26" s="11" t="s">
        <v>142</v>
      </c>
      <c r="L26" s="13">
        <f>SUM(L28,L31,L34,L36,L39,L41,L43)</f>
        <v>32987.955716999997</v>
      </c>
      <c r="M26" s="13">
        <f t="shared" ref="M26:N26" si="12">SUM(M28,M31,M34,M36,M39,M41,M43)</f>
        <v>32265.464949000001</v>
      </c>
      <c r="N26" s="124">
        <f t="shared" si="12"/>
        <v>24404.934108999998</v>
      </c>
      <c r="O26" s="326">
        <f t="shared" ref="O26:AD26" si="13">SUM(O28,O31,O34,O36,O39,O41,O44)</f>
        <v>5301.9760013333325</v>
      </c>
      <c r="P26" s="13">
        <f t="shared" si="13"/>
        <v>2059.4534567033129</v>
      </c>
      <c r="Q26" s="13">
        <f t="shared" si="13"/>
        <v>1859.653563955736</v>
      </c>
      <c r="R26" s="13">
        <f t="shared" si="13"/>
        <v>2118.5814774117184</v>
      </c>
      <c r="S26" s="13">
        <f t="shared" si="13"/>
        <v>1930.3158475579796</v>
      </c>
      <c r="T26" s="13">
        <f t="shared" si="13"/>
        <v>1865.6142707447516</v>
      </c>
      <c r="U26" s="13">
        <f t="shared" si="13"/>
        <v>1899.0627529425474</v>
      </c>
      <c r="V26" s="13">
        <f t="shared" si="13"/>
        <v>1830.8611236672937</v>
      </c>
      <c r="W26" s="13">
        <f t="shared" si="13"/>
        <v>1984.7149543356331</v>
      </c>
      <c r="X26" s="13">
        <f t="shared" si="13"/>
        <v>1929.306497469551</v>
      </c>
      <c r="Y26" s="359">
        <f t="shared" si="13"/>
        <v>17477.563944788526</v>
      </c>
      <c r="Z26" s="326">
        <f t="shared" si="13"/>
        <v>22779.539946121855</v>
      </c>
      <c r="AA26" s="13">
        <f t="shared" si="13"/>
        <v>22154.514945620118</v>
      </c>
      <c r="AB26" s="13">
        <f t="shared" si="13"/>
        <v>24768.06268786114</v>
      </c>
      <c r="AC26" s="13">
        <f t="shared" si="13"/>
        <v>27269.705908668155</v>
      </c>
      <c r="AD26" s="13">
        <f t="shared" si="13"/>
        <v>29809.003299121228</v>
      </c>
      <c r="AE26" s="327"/>
      <c r="AF26" s="327"/>
      <c r="AG26" s="327"/>
      <c r="AK26" s="311"/>
    </row>
    <row r="27" spans="2:37" s="23" customFormat="1" x14ac:dyDescent="0.3">
      <c r="B27" s="45" t="s">
        <v>398</v>
      </c>
      <c r="L27" s="391" t="str">
        <f>IFERROR(L26/Revenue_HW!L$6,"-")</f>
        <v>-</v>
      </c>
      <c r="M27" s="391" t="str">
        <f>IFERROR(M26/Revenue_HW!M$6,"-")</f>
        <v>-</v>
      </c>
      <c r="N27" s="392" t="str">
        <f>IFERROR(N26/Revenue_HW!N$6,"-")</f>
        <v>-</v>
      </c>
      <c r="O27" s="376">
        <f>IFERROR(O26/Revenue_HW!O$6,"-")</f>
        <v>6.9834432912841707E-2</v>
      </c>
      <c r="P27" s="45">
        <f>IFERROR(P26/Revenue_HW!P$6,"-")</f>
        <v>6.603821957139798E-2</v>
      </c>
      <c r="Q27" s="45">
        <f>IFERROR(Q26/Revenue_HW!Q$6,"-")</f>
        <v>6.5507020805041227E-2</v>
      </c>
      <c r="R27" s="45">
        <f>IFERROR(R26/Revenue_HW!R$6,"-")</f>
        <v>7.0067065889016358E-2</v>
      </c>
      <c r="S27" s="45">
        <f>IFERROR(S26/Revenue_HW!S$6,"-")</f>
        <v>7.0187360123214679E-2</v>
      </c>
      <c r="T27" s="45">
        <f>IFERROR(T26/Revenue_HW!T$6,"-")</f>
        <v>6.3284909617215862E-2</v>
      </c>
      <c r="U27" s="45">
        <f>IFERROR(U26/Revenue_HW!U$6,"-")</f>
        <v>6.7750695149234388E-2</v>
      </c>
      <c r="V27" s="45">
        <f>IFERROR(V26/Revenue_HW!V$6,"-")</f>
        <v>6.5467437952753879E-2</v>
      </c>
      <c r="W27" s="45">
        <f>IFERROR(W26/Revenue_HW!W$6,"-")</f>
        <v>7.2049087545352969E-2</v>
      </c>
      <c r="X27" s="45">
        <f>IFERROR(X26/Revenue_HW!X$6,"-")</f>
        <v>7.2555298871317786E-2</v>
      </c>
      <c r="Y27" s="377">
        <f>IFERROR(Y26/Revenue_HW!Y$6,"-")</f>
        <v>6.8025540451223263E-2</v>
      </c>
      <c r="Z27" s="376">
        <f>IFERROR(Z26/Revenue_HW!Z$6,"-")</f>
        <v>6.8438145157564231E-2</v>
      </c>
      <c r="AA27" s="45">
        <f>IFERROR(AA26/Revenue_HW!AA$6,"-")</f>
        <v>7.0596368049261837E-2</v>
      </c>
      <c r="AB27" s="45">
        <f>IFERROR(AB26/Revenue_HW!AB$6,"-")</f>
        <v>7.0354992218030724E-2</v>
      </c>
      <c r="AC27" s="45">
        <f>IFERROR(AC26/Revenue_HW!AC$6,"-")</f>
        <v>7.0237656577316537E-2</v>
      </c>
      <c r="AD27" s="45">
        <f>IFERROR(AD26/Revenue_HW!AD$6,"-")</f>
        <v>6.9106757991109019E-2</v>
      </c>
      <c r="AE27" s="327"/>
      <c r="AF27" s="327"/>
      <c r="AG27" s="327"/>
      <c r="AK27" s="311"/>
    </row>
    <row r="28" spans="2:37" x14ac:dyDescent="0.3">
      <c r="C28" s="3" t="s">
        <v>402</v>
      </c>
      <c r="L28" s="16">
        <v>1293.787583</v>
      </c>
      <c r="M28" s="16">
        <v>1415.613852</v>
      </c>
      <c r="N28" s="15">
        <v>1524.0458389999999</v>
      </c>
      <c r="O28" s="246">
        <v>304.68708500000002</v>
      </c>
      <c r="P28" s="16">
        <f t="shared" ref="P28:X28" si="14">P29*P30</f>
        <v>129.08860922118382</v>
      </c>
      <c r="Q28" s="16">
        <f t="shared" si="14"/>
        <v>120.54598066978194</v>
      </c>
      <c r="R28" s="16">
        <f t="shared" si="14"/>
        <v>121.96975209501558</v>
      </c>
      <c r="S28" s="16">
        <f t="shared" si="14"/>
        <v>119.1222092445483</v>
      </c>
      <c r="T28" s="16">
        <f t="shared" si="14"/>
        <v>121.96975209501558</v>
      </c>
      <c r="U28" s="16">
        <f t="shared" si="14"/>
        <v>113.42712354361372</v>
      </c>
      <c r="V28" s="16">
        <f t="shared" si="14"/>
        <v>119.1222092445483</v>
      </c>
      <c r="W28" s="16">
        <f t="shared" si="14"/>
        <v>112.47794259345795</v>
      </c>
      <c r="X28" s="16">
        <f t="shared" si="14"/>
        <v>109.15580926791279</v>
      </c>
      <c r="Y28" s="292">
        <f>SUM(P28:X28)</f>
        <v>1066.8793879750779</v>
      </c>
      <c r="Z28" s="246">
        <f>SUM(O28,Y28)</f>
        <v>1371.5664729750779</v>
      </c>
      <c r="AA28" s="16">
        <f>AA29*AA30</f>
        <v>1375.6707314035514</v>
      </c>
      <c r="AB28" s="16">
        <f t="shared" ref="AB28:AD28" si="15">AB29*AB30</f>
        <v>1569.4218752144786</v>
      </c>
      <c r="AC28" s="16">
        <f t="shared" si="15"/>
        <v>1753.161289583642</v>
      </c>
      <c r="AD28" s="16">
        <f t="shared" si="15"/>
        <v>1946.1320778507493</v>
      </c>
      <c r="AE28" s="327"/>
      <c r="AF28" s="327"/>
      <c r="AG28" s="327"/>
      <c r="AK28" s="311"/>
    </row>
    <row r="29" spans="2:37" x14ac:dyDescent="0.3">
      <c r="D29" s="3" t="s">
        <v>298</v>
      </c>
      <c r="L29" s="16"/>
      <c r="M29" s="16"/>
      <c r="N29" s="15"/>
      <c r="O29" s="246">
        <f>Revenue_HW!O$14</f>
        <v>642</v>
      </c>
      <c r="P29" s="16">
        <f>Revenue_HW!P$14</f>
        <v>272</v>
      </c>
      <c r="Q29" s="16">
        <f>Revenue_HW!Q$14</f>
        <v>254</v>
      </c>
      <c r="R29" s="16">
        <f>Revenue_HW!R$14</f>
        <v>257</v>
      </c>
      <c r="S29" s="16">
        <f>Revenue_HW!S$14</f>
        <v>251</v>
      </c>
      <c r="T29" s="16">
        <f>Revenue_HW!T$14</f>
        <v>257</v>
      </c>
      <c r="U29" s="16">
        <f>Revenue_HW!U$14</f>
        <v>239</v>
      </c>
      <c r="V29" s="16">
        <f>Revenue_HW!V$14</f>
        <v>251</v>
      </c>
      <c r="W29" s="16">
        <f>Revenue_HW!W$14</f>
        <v>237</v>
      </c>
      <c r="X29" s="16">
        <f>Revenue_HW!X$14</f>
        <v>230</v>
      </c>
      <c r="Y29" s="292">
        <f>Revenue_HW!Y$14</f>
        <v>2248</v>
      </c>
      <c r="Z29" s="246">
        <f>Revenue_HW!Z$14</f>
        <v>2890</v>
      </c>
      <c r="AA29" s="16">
        <f>Revenue_HW!AA$14</f>
        <v>2853</v>
      </c>
      <c r="AB29" s="16">
        <f>Revenue_HW!AB$14</f>
        <v>3191</v>
      </c>
      <c r="AC29" s="16">
        <f>Revenue_HW!AC$14</f>
        <v>3505</v>
      </c>
      <c r="AD29" s="16">
        <f>Revenue_HW!AD$14</f>
        <v>3822</v>
      </c>
      <c r="AE29" s="327"/>
      <c r="AF29" s="327"/>
      <c r="AG29" s="327"/>
      <c r="AK29" s="311"/>
    </row>
    <row r="30" spans="2:37" s="247" customFormat="1" x14ac:dyDescent="0.3">
      <c r="D30" s="247" t="s">
        <v>403</v>
      </c>
      <c r="N30" s="248"/>
      <c r="O30" s="250">
        <f t="shared" ref="O30" si="16">O28/O29</f>
        <v>0.47459047507788166</v>
      </c>
      <c r="P30" s="247">
        <f>$O30</f>
        <v>0.47459047507788166</v>
      </c>
      <c r="Q30" s="247">
        <f t="shared" ref="Q30:X30" si="17">$O30</f>
        <v>0.47459047507788166</v>
      </c>
      <c r="R30" s="247">
        <f t="shared" si="17"/>
        <v>0.47459047507788166</v>
      </c>
      <c r="S30" s="247">
        <f t="shared" si="17"/>
        <v>0.47459047507788166</v>
      </c>
      <c r="T30" s="247">
        <f t="shared" si="17"/>
        <v>0.47459047507788166</v>
      </c>
      <c r="U30" s="247">
        <f t="shared" si="17"/>
        <v>0.47459047507788166</v>
      </c>
      <c r="V30" s="247">
        <f t="shared" si="17"/>
        <v>0.47459047507788166</v>
      </c>
      <c r="W30" s="247">
        <f t="shared" si="17"/>
        <v>0.47459047507788166</v>
      </c>
      <c r="X30" s="247">
        <f t="shared" si="17"/>
        <v>0.47459047507788166</v>
      </c>
      <c r="Y30" s="366">
        <f t="shared" ref="Y30:Z30" si="18">Y28/Y29</f>
        <v>0.4745904750778816</v>
      </c>
      <c r="Z30" s="250">
        <f t="shared" si="18"/>
        <v>0.4745904750778816</v>
      </c>
      <c r="AA30" s="247">
        <f>Z30*(1+'Key Assumption'!AB$13)</f>
        <v>0.48218392267912774</v>
      </c>
      <c r="AB30" s="247">
        <f>AA30*(1+'Key Assumption'!AC$13)</f>
        <v>0.49182760113271029</v>
      </c>
      <c r="AC30" s="247">
        <f>AB30*(1+'Key Assumption'!AD$13)</f>
        <v>0.50018867035196635</v>
      </c>
      <c r="AD30" s="247">
        <f>AC30*(1+'Key Assumption'!AE$13)</f>
        <v>0.50919206641830173</v>
      </c>
      <c r="AE30" s="327"/>
      <c r="AF30" s="327"/>
      <c r="AG30" s="327"/>
      <c r="AK30" s="311"/>
    </row>
    <row r="31" spans="2:37" x14ac:dyDescent="0.3">
      <c r="B31" s="11"/>
      <c r="C31" s="3" t="s">
        <v>404</v>
      </c>
      <c r="L31" s="16">
        <v>3670.9410049999997</v>
      </c>
      <c r="M31" s="16">
        <v>3042.4287650000001</v>
      </c>
      <c r="N31" s="15">
        <v>2893.961159</v>
      </c>
      <c r="O31" s="246">
        <v>424.228185</v>
      </c>
      <c r="P31" s="16">
        <f t="shared" ref="P31:X31" si="19">P32*P33</f>
        <v>179.7353057943925</v>
      </c>
      <c r="Q31" s="16">
        <f t="shared" si="19"/>
        <v>167.84105761682241</v>
      </c>
      <c r="R31" s="16">
        <f t="shared" si="19"/>
        <v>169.82343231308411</v>
      </c>
      <c r="S31" s="16">
        <f t="shared" si="19"/>
        <v>165.85868292056074</v>
      </c>
      <c r="T31" s="16">
        <f t="shared" si="19"/>
        <v>169.82343231308411</v>
      </c>
      <c r="U31" s="16">
        <f t="shared" si="19"/>
        <v>157.92918413551402</v>
      </c>
      <c r="V31" s="16">
        <f t="shared" si="19"/>
        <v>165.85868292056074</v>
      </c>
      <c r="W31" s="16">
        <f t="shared" si="19"/>
        <v>156.60760100467289</v>
      </c>
      <c r="X31" s="16">
        <f t="shared" si="19"/>
        <v>151.98206004672898</v>
      </c>
      <c r="Y31" s="292">
        <f>SUM(P31:X31)</f>
        <v>1485.4594390654204</v>
      </c>
      <c r="Z31" s="246">
        <f>SUM(O31,Y31)</f>
        <v>1909.6876240654203</v>
      </c>
      <c r="AA31" s="16">
        <f>AA32*AA33</f>
        <v>1915.4021495231771</v>
      </c>
      <c r="AB31" s="16">
        <f t="shared" ref="AB31:AD31" si="20">AB32*AB33</f>
        <v>2185.1697246095437</v>
      </c>
      <c r="AC31" s="16">
        <f t="shared" si="20"/>
        <v>2440.997562769448</v>
      </c>
      <c r="AD31" s="16">
        <f t="shared" si="20"/>
        <v>2709.6786171849121</v>
      </c>
      <c r="AE31" s="327"/>
      <c r="AF31" s="327"/>
      <c r="AG31" s="327"/>
      <c r="AK31" s="311"/>
    </row>
    <row r="32" spans="2:37" x14ac:dyDescent="0.3">
      <c r="B32" s="11"/>
      <c r="D32" s="3" t="s">
        <v>298</v>
      </c>
      <c r="L32" s="16"/>
      <c r="M32" s="16"/>
      <c r="N32" s="15"/>
      <c r="O32" s="246">
        <f>Revenue_HW!O$14</f>
        <v>642</v>
      </c>
      <c r="P32" s="16">
        <f>Revenue_HW!P$14</f>
        <v>272</v>
      </c>
      <c r="Q32" s="16">
        <f>Revenue_HW!Q$14</f>
        <v>254</v>
      </c>
      <c r="R32" s="16">
        <f>Revenue_HW!R$14</f>
        <v>257</v>
      </c>
      <c r="S32" s="16">
        <f>Revenue_HW!S$14</f>
        <v>251</v>
      </c>
      <c r="T32" s="16">
        <f>Revenue_HW!T$14</f>
        <v>257</v>
      </c>
      <c r="U32" s="16">
        <f>Revenue_HW!U$14</f>
        <v>239</v>
      </c>
      <c r="V32" s="16">
        <f>Revenue_HW!V$14</f>
        <v>251</v>
      </c>
      <c r="W32" s="16">
        <f>Revenue_HW!W$14</f>
        <v>237</v>
      </c>
      <c r="X32" s="16">
        <f>Revenue_HW!X$14</f>
        <v>230</v>
      </c>
      <c r="Y32" s="292">
        <f>Revenue_HW!Y$14</f>
        <v>2248</v>
      </c>
      <c r="Z32" s="246">
        <f>Revenue_HW!Z$14</f>
        <v>2890</v>
      </c>
      <c r="AA32" s="16">
        <f>Revenue_HW!AA$14</f>
        <v>2853</v>
      </c>
      <c r="AB32" s="16">
        <f>Revenue_HW!AB$14</f>
        <v>3191</v>
      </c>
      <c r="AC32" s="16">
        <f>Revenue_HW!AC$14</f>
        <v>3505</v>
      </c>
      <c r="AD32" s="16">
        <f>Revenue_HW!AD$14</f>
        <v>3822</v>
      </c>
      <c r="AE32" s="327"/>
      <c r="AF32" s="327"/>
      <c r="AG32" s="327"/>
      <c r="AK32" s="311"/>
    </row>
    <row r="33" spans="1:37" x14ac:dyDescent="0.3">
      <c r="B33" s="11"/>
      <c r="D33" s="3" t="s">
        <v>405</v>
      </c>
      <c r="L33" s="16"/>
      <c r="M33" s="16"/>
      <c r="N33" s="15"/>
      <c r="O33" s="250">
        <f t="shared" ref="O33" si="21">O31/O32</f>
        <v>0.66079156542056072</v>
      </c>
      <c r="P33" s="247">
        <f>$O33</f>
        <v>0.66079156542056072</v>
      </c>
      <c r="Q33" s="247">
        <f t="shared" ref="Q33:X33" si="22">$O33</f>
        <v>0.66079156542056072</v>
      </c>
      <c r="R33" s="247">
        <f t="shared" si="22"/>
        <v>0.66079156542056072</v>
      </c>
      <c r="S33" s="247">
        <f t="shared" si="22"/>
        <v>0.66079156542056072</v>
      </c>
      <c r="T33" s="247">
        <f t="shared" si="22"/>
        <v>0.66079156542056072</v>
      </c>
      <c r="U33" s="247">
        <f t="shared" si="22"/>
        <v>0.66079156542056072</v>
      </c>
      <c r="V33" s="247">
        <f t="shared" si="22"/>
        <v>0.66079156542056072</v>
      </c>
      <c r="W33" s="247">
        <f t="shared" si="22"/>
        <v>0.66079156542056072</v>
      </c>
      <c r="X33" s="247">
        <f t="shared" si="22"/>
        <v>0.66079156542056072</v>
      </c>
      <c r="Y33" s="366">
        <f t="shared" ref="Y33:Z33" si="23">Y31/Y32</f>
        <v>0.66079156542056072</v>
      </c>
      <c r="Z33" s="250">
        <f t="shared" si="23"/>
        <v>0.66079156542056061</v>
      </c>
      <c r="AA33" s="247">
        <f>Z33*(1+'Key Assumption'!AB$13)</f>
        <v>0.67136423046728955</v>
      </c>
      <c r="AB33" s="247">
        <f>AA33*(1+'Key Assumption'!AC$13)</f>
        <v>0.68479151507663538</v>
      </c>
      <c r="AC33" s="247">
        <f>AB33*(1+'Key Assumption'!AD$13)</f>
        <v>0.69643297083293809</v>
      </c>
      <c r="AD33" s="247">
        <f>AC33*(1+'Key Assumption'!AE$13)</f>
        <v>0.70896876430793099</v>
      </c>
      <c r="AE33" s="327"/>
      <c r="AF33" s="327"/>
      <c r="AG33" s="327"/>
      <c r="AK33" s="311"/>
    </row>
    <row r="34" spans="1:37" x14ac:dyDescent="0.3">
      <c r="B34" s="11"/>
      <c r="C34" s="3" t="s">
        <v>310</v>
      </c>
      <c r="L34" s="16">
        <v>7477.996341</v>
      </c>
      <c r="M34" s="16">
        <v>8260.832867000001</v>
      </c>
      <c r="N34" s="15">
        <v>11978.741259</v>
      </c>
      <c r="O34" s="246">
        <v>2859.6924859999999</v>
      </c>
      <c r="P34" s="16">
        <f t="shared" ref="P34:X34" si="24">P35</f>
        <v>934.02430868038414</v>
      </c>
      <c r="Q34" s="16">
        <f t="shared" si="24"/>
        <v>908.05534434031529</v>
      </c>
      <c r="R34" s="16">
        <f t="shared" si="24"/>
        <v>1109.8891935873146</v>
      </c>
      <c r="S34" s="16">
        <f t="shared" si="24"/>
        <v>874.74793788907891</v>
      </c>
      <c r="T34" s="16">
        <f t="shared" si="24"/>
        <v>826.24317658464065</v>
      </c>
      <c r="U34" s="16">
        <f t="shared" si="24"/>
        <v>933.81645359889592</v>
      </c>
      <c r="V34" s="16">
        <f t="shared" si="24"/>
        <v>782.96291658231962</v>
      </c>
      <c r="W34" s="16">
        <f t="shared" si="24"/>
        <v>1029.4091216569052</v>
      </c>
      <c r="X34" s="16">
        <f t="shared" si="24"/>
        <v>958.9392313225319</v>
      </c>
      <c r="Y34" s="292">
        <f>SUM(P34:X34)</f>
        <v>8358.0876842423877</v>
      </c>
      <c r="Z34" s="246">
        <f>SUM(O34,Y34)</f>
        <v>11217.780170242388</v>
      </c>
      <c r="AA34" s="16">
        <f>AA35</f>
        <v>10174.924027497429</v>
      </c>
      <c r="AB34" s="16">
        <f t="shared" ref="AB34:AD34" si="25">AB35</f>
        <v>11316.614741010861</v>
      </c>
      <c r="AC34" s="16">
        <f t="shared" si="25"/>
        <v>12598.080281660512</v>
      </c>
      <c r="AD34" s="16">
        <f t="shared" si="25"/>
        <v>13887.333458225417</v>
      </c>
      <c r="AE34" s="327"/>
      <c r="AF34" s="327"/>
      <c r="AG34" s="327"/>
      <c r="AK34" s="311"/>
    </row>
    <row r="35" spans="1:37" x14ac:dyDescent="0.3">
      <c r="B35" s="11"/>
      <c r="D35" s="3" t="s">
        <v>406</v>
      </c>
      <c r="L35" s="16"/>
      <c r="M35" s="16"/>
      <c r="N35" s="15"/>
      <c r="O35" s="246">
        <f>Revenue_HW!O80+SUM(Revenue_HW!O212,Revenue_HW!O255,Revenue_HW!O298,Revenue_HW!O341,Revenue_HW!O384)</f>
        <v>2859.6924859999999</v>
      </c>
      <c r="P35" s="16">
        <f>Revenue_HW!P80+SUM(Revenue_HW!P212,Revenue_HW!P255,Revenue_HW!P298,Revenue_HW!P341,Revenue_HW!P384)</f>
        <v>934.02430868038414</v>
      </c>
      <c r="Q35" s="16">
        <f>Revenue_HW!Q80+SUM(Revenue_HW!Q212,Revenue_HW!Q255,Revenue_HW!Q298,Revenue_HW!Q341,Revenue_HW!Q384)</f>
        <v>908.05534434031529</v>
      </c>
      <c r="R35" s="16">
        <f>Revenue_HW!R80+SUM(Revenue_HW!R212,Revenue_HW!R255,Revenue_HW!R298,Revenue_HW!R341,Revenue_HW!R384)</f>
        <v>1109.8891935873146</v>
      </c>
      <c r="S35" s="16">
        <f>Revenue_HW!S80+SUM(Revenue_HW!S212,Revenue_HW!S255,Revenue_HW!S298,Revenue_HW!S341,Revenue_HW!S384)</f>
        <v>874.74793788907891</v>
      </c>
      <c r="T35" s="16">
        <f>Revenue_HW!T80+SUM(Revenue_HW!T212,Revenue_HW!T255,Revenue_HW!T298,Revenue_HW!T341,Revenue_HW!T384)</f>
        <v>826.24317658464065</v>
      </c>
      <c r="U35" s="16">
        <f>Revenue_HW!U80+SUM(Revenue_HW!U212,Revenue_HW!U255,Revenue_HW!U298,Revenue_HW!U341,Revenue_HW!U384)</f>
        <v>933.81645359889592</v>
      </c>
      <c r="V35" s="16">
        <f>Revenue_HW!V80+SUM(Revenue_HW!V212,Revenue_HW!V255,Revenue_HW!V298,Revenue_HW!V341,Revenue_HW!V384)</f>
        <v>782.96291658231962</v>
      </c>
      <c r="W35" s="16">
        <f>Revenue_HW!W80+SUM(Revenue_HW!W212,Revenue_HW!W255,Revenue_HW!W298,Revenue_HW!W341,Revenue_HW!W384)</f>
        <v>1029.4091216569052</v>
      </c>
      <c r="X35" s="16">
        <f>Revenue_HW!X80+SUM(Revenue_HW!X212,Revenue_HW!X255,Revenue_HW!X298,Revenue_HW!X341,Revenue_HW!X384)</f>
        <v>958.9392313225319</v>
      </c>
      <c r="Y35" s="292">
        <f>SUM(P35:X35)</f>
        <v>8358.0876842423877</v>
      </c>
      <c r="Z35" s="246">
        <f>Y35+O35</f>
        <v>11217.780170242388</v>
      </c>
      <c r="AA35" s="16">
        <f>Revenue_HW!AA80+SUM(Revenue_HW!AA212,Revenue_HW!AA255,Revenue_HW!AA298,Revenue_HW!AA341,Revenue_HW!AA384)</f>
        <v>10174.924027497429</v>
      </c>
      <c r="AB35" s="16">
        <f>Revenue_HW!AB80+SUM(Revenue_HW!AB212,Revenue_HW!AB255,Revenue_HW!AB298,Revenue_HW!AB341,Revenue_HW!AB384)</f>
        <v>11316.614741010861</v>
      </c>
      <c r="AC35" s="16">
        <f>Revenue_HW!AC80+SUM(Revenue_HW!AC212,Revenue_HW!AC255,Revenue_HW!AC298,Revenue_HW!AC341,Revenue_HW!AC384)</f>
        <v>12598.080281660512</v>
      </c>
      <c r="AD35" s="16">
        <f>Revenue_HW!AD80+SUM(Revenue_HW!AD212,Revenue_HW!AD255,Revenue_HW!AD298,Revenue_HW!AD341,Revenue_HW!AD384)</f>
        <v>13887.333458225417</v>
      </c>
      <c r="AE35" s="327"/>
      <c r="AF35" s="327"/>
      <c r="AG35" s="327"/>
      <c r="AK35" s="311"/>
    </row>
    <row r="36" spans="1:37" x14ac:dyDescent="0.3">
      <c r="C36" s="3" t="s">
        <v>407</v>
      </c>
      <c r="L36" s="16">
        <v>20559.64328</v>
      </c>
      <c r="M36" s="16">
        <v>19521.278201000001</v>
      </c>
      <c r="N36" s="15">
        <v>7893.0954709999996</v>
      </c>
      <c r="O36" s="246">
        <v>1698.2289860000001</v>
      </c>
      <c r="P36" s="16">
        <f t="shared" ref="P36:X36" si="26">P37*P38</f>
        <v>812.98847389624143</v>
      </c>
      <c r="Q36" s="16">
        <f t="shared" si="26"/>
        <v>659.5944222177053</v>
      </c>
      <c r="R36" s="16">
        <f t="shared" si="26"/>
        <v>713.28234030519297</v>
      </c>
      <c r="S36" s="16">
        <f t="shared" si="26"/>
        <v>766.97025839268053</v>
      </c>
      <c r="T36" s="16">
        <f t="shared" si="26"/>
        <v>743.96115064090009</v>
      </c>
      <c r="U36" s="16">
        <f t="shared" si="26"/>
        <v>690.27323255341253</v>
      </c>
      <c r="V36" s="16">
        <f t="shared" si="26"/>
        <v>759.30055580875376</v>
      </c>
      <c r="W36" s="16">
        <f t="shared" si="26"/>
        <v>682.60352996948575</v>
      </c>
      <c r="X36" s="16">
        <f t="shared" si="26"/>
        <v>705.61263772126608</v>
      </c>
      <c r="Y36" s="292">
        <f>SUM(P36:X36)</f>
        <v>6534.5866015056381</v>
      </c>
      <c r="Z36" s="246">
        <f>SUM(O36,Y36)</f>
        <v>8232.8155875056382</v>
      </c>
      <c r="AA36" s="16">
        <f>AA37*AA38</f>
        <v>8649.5837860492938</v>
      </c>
      <c r="AB36" s="16">
        <f t="shared" ref="AB36:AD36" si="27">AB37*AB38</f>
        <v>9657.1434108566573</v>
      </c>
      <c r="AC36" s="16">
        <f t="shared" si="27"/>
        <v>10437.078718570068</v>
      </c>
      <c r="AD36" s="16">
        <f t="shared" si="27"/>
        <v>11224.74410476615</v>
      </c>
      <c r="AE36" s="327"/>
      <c r="AF36" s="327"/>
      <c r="AG36" s="327"/>
      <c r="AK36" s="311"/>
    </row>
    <row r="37" spans="1:37" ht="12.75" thickBot="1" x14ac:dyDescent="0.35">
      <c r="D37" s="3" t="s">
        <v>408</v>
      </c>
      <c r="L37" s="16"/>
      <c r="M37" s="16"/>
      <c r="N37" s="15"/>
      <c r="O37" s="246">
        <f>Revenue_HW!O$14-SUM(Revenue_HW!O51,Revenue_HW!O56,Revenue_HW!O61,Revenue_HW!O66,Revenue_HW!O71)</f>
        <v>306</v>
      </c>
      <c r="P37" s="16">
        <f>Revenue_HW!P$14-SUM(Revenue_HW!P51,Revenue_HW!P56,Revenue_HW!P61,Revenue_HW!P66,Revenue_HW!P71)</f>
        <v>106</v>
      </c>
      <c r="Q37" s="16">
        <f>Revenue_HW!Q$14-SUM(Revenue_HW!Q51,Revenue_HW!Q56,Revenue_HW!Q61,Revenue_HW!Q66,Revenue_HW!Q71)</f>
        <v>86</v>
      </c>
      <c r="R37" s="16">
        <f>Revenue_HW!R$14-SUM(Revenue_HW!R51,Revenue_HW!R56,Revenue_HW!R61,Revenue_HW!R66,Revenue_HW!R71)</f>
        <v>93</v>
      </c>
      <c r="S37" s="16">
        <f>Revenue_HW!S$14-SUM(Revenue_HW!S51,Revenue_HW!S56,Revenue_HW!S61,Revenue_HW!S66,Revenue_HW!S71)</f>
        <v>100</v>
      </c>
      <c r="T37" s="16">
        <f>Revenue_HW!T$14-SUM(Revenue_HW!T51,Revenue_HW!T56,Revenue_HW!T61,Revenue_HW!T66,Revenue_HW!T71)</f>
        <v>97</v>
      </c>
      <c r="U37" s="16">
        <f>Revenue_HW!U$14-SUM(Revenue_HW!U51,Revenue_HW!U56,Revenue_HW!U61,Revenue_HW!U66,Revenue_HW!U71)</f>
        <v>90</v>
      </c>
      <c r="V37" s="16">
        <f>Revenue_HW!V$14-SUM(Revenue_HW!V51,Revenue_HW!V56,Revenue_HW!V61,Revenue_HW!V66,Revenue_HW!V71)</f>
        <v>99</v>
      </c>
      <c r="W37" s="16">
        <f>Revenue_HW!W$14-SUM(Revenue_HW!W51,Revenue_HW!W56,Revenue_HW!W61,Revenue_HW!W66,Revenue_HW!W71)</f>
        <v>89</v>
      </c>
      <c r="X37" s="16">
        <f>Revenue_HW!X$14-SUM(Revenue_HW!X51,Revenue_HW!X56,Revenue_HW!X61,Revenue_HW!X66,Revenue_HW!X71)</f>
        <v>92</v>
      </c>
      <c r="Y37" s="292">
        <f>Revenue_HW!Y$14-SUM(Revenue_HW!Y51,Revenue_HW!Y56,Revenue_HW!Y61,Revenue_HW!Y66,Revenue_HW!Y71)</f>
        <v>852</v>
      </c>
      <c r="Z37" s="246">
        <f>Revenue_HW!Z$14-SUM(Revenue_HW!Z51,Revenue_HW!Z56,Revenue_HW!Z61,Revenue_HW!Z66,Revenue_HW!Z71)</f>
        <v>1158</v>
      </c>
      <c r="AA37" s="16">
        <f>Revenue_HW!AA$14-SUM(Revenue_HW!AA51,Revenue_HW!AA56,Revenue_HW!AA61,Revenue_HW!AA66,Revenue_HW!AA71)</f>
        <v>1110</v>
      </c>
      <c r="AB37" s="16">
        <f>Revenue_HW!AB$14-SUM(Revenue_HW!AB51,Revenue_HW!AB56,Revenue_HW!AB61,Revenue_HW!AB66,Revenue_HW!AB71)</f>
        <v>1215</v>
      </c>
      <c r="AC37" s="16">
        <f>Revenue_HW!AC$14-SUM(Revenue_HW!AC51,Revenue_HW!AC56,Revenue_HW!AC61,Revenue_HW!AC66,Revenue_HW!AC71)</f>
        <v>1317</v>
      </c>
      <c r="AD37" s="16">
        <f>Revenue_HW!AD$14-SUM(Revenue_HW!AD51,Revenue_HW!AD56,Revenue_HW!AD61,Revenue_HW!AD66,Revenue_HW!AD71)</f>
        <v>1415</v>
      </c>
      <c r="AE37" s="327"/>
      <c r="AF37" s="327"/>
      <c r="AG37" s="327"/>
      <c r="AK37" s="311"/>
    </row>
    <row r="38" spans="1:37" ht="12.75" thickBot="1" x14ac:dyDescent="0.35">
      <c r="D38" s="3" t="s">
        <v>409</v>
      </c>
      <c r="I38" s="399">
        <f>P38</f>
        <v>7.6697025839268056</v>
      </c>
      <c r="L38" s="16"/>
      <c r="M38" s="16"/>
      <c r="N38" s="15"/>
      <c r="O38" s="250">
        <f t="shared" ref="O38" si="28">O36/O37</f>
        <v>5.5497679281045755</v>
      </c>
      <c r="P38" s="247">
        <v>7.6697025839268056</v>
      </c>
      <c r="Q38" s="247">
        <v>7.6697025839268056</v>
      </c>
      <c r="R38" s="247">
        <v>7.6697025839268056</v>
      </c>
      <c r="S38" s="247">
        <v>7.6697025839268056</v>
      </c>
      <c r="T38" s="247">
        <v>7.6697025839268056</v>
      </c>
      <c r="U38" s="247">
        <v>7.6697025839268056</v>
      </c>
      <c r="V38" s="247">
        <v>7.6697025839268056</v>
      </c>
      <c r="W38" s="247">
        <v>7.6697025839268056</v>
      </c>
      <c r="X38" s="247">
        <v>7.6697025839268056</v>
      </c>
      <c r="Y38" s="366">
        <f t="shared" ref="Y38:Z38" si="29">Y36/Y37</f>
        <v>7.6697025839268056</v>
      </c>
      <c r="Z38" s="250">
        <f t="shared" si="29"/>
        <v>7.1095125971551276</v>
      </c>
      <c r="AA38" s="247">
        <f>$I38*(1+'Key Assumption'!AB$13)</f>
        <v>7.7924178252696343</v>
      </c>
      <c r="AB38" s="247">
        <f>$AA38*(1+'Key Assumption'!AC$13)</f>
        <v>7.9482661817750273</v>
      </c>
      <c r="AC38" s="247">
        <f>$AA38*(1+'Key Assumption'!AD$13)</f>
        <v>7.9248889282992172</v>
      </c>
      <c r="AD38" s="247">
        <f>$AA38*(1+'Key Assumption'!AE$13)</f>
        <v>7.9326813461244878</v>
      </c>
      <c r="AE38" s="327"/>
      <c r="AF38" s="327"/>
      <c r="AG38" s="327"/>
      <c r="AK38" s="311"/>
    </row>
    <row r="39" spans="1:37" x14ac:dyDescent="0.3">
      <c r="C39" s="3" t="s">
        <v>410</v>
      </c>
      <c r="L39" s="16">
        <v>7.0802670000000001</v>
      </c>
      <c r="M39" s="16">
        <v>9.2427269999999986</v>
      </c>
      <c r="N39" s="15">
        <v>5.8308090000000004</v>
      </c>
      <c r="O39" s="246">
        <v>5.5589810000000002</v>
      </c>
      <c r="P39" s="16">
        <v>0.42333300000000001</v>
      </c>
      <c r="Q39" s="16">
        <v>0.42333300000000001</v>
      </c>
      <c r="R39" s="16">
        <v>0.42333300000000001</v>
      </c>
      <c r="S39" s="16">
        <v>0.42333300000000001</v>
      </c>
      <c r="T39" s="16">
        <v>0.42333300000000001</v>
      </c>
      <c r="U39" s="16">
        <v>0.42333300000000001</v>
      </c>
      <c r="V39" s="16">
        <v>0.42333300000000001</v>
      </c>
      <c r="W39" s="16">
        <v>0.42333300000000001</v>
      </c>
      <c r="X39" s="16">
        <v>0.42333300000000001</v>
      </c>
      <c r="Y39" s="292">
        <f>SUM(P39:X39)</f>
        <v>3.8099970000000001</v>
      </c>
      <c r="Z39" s="246">
        <f>SUM(O39,Y39)</f>
        <v>9.3689780000000003</v>
      </c>
      <c r="AA39" s="119"/>
      <c r="AB39" s="119"/>
      <c r="AC39" s="119"/>
      <c r="AD39" s="119"/>
      <c r="AE39" s="327"/>
      <c r="AF39" s="327"/>
      <c r="AG39" s="327"/>
      <c r="AK39" s="311"/>
    </row>
    <row r="40" spans="1:37" s="137" customFormat="1" x14ac:dyDescent="0.3">
      <c r="D40" s="137" t="s">
        <v>411</v>
      </c>
      <c r="N40" s="369"/>
      <c r="O40" s="373">
        <f>O39/Revenue_HW!O$6</f>
        <v>7.3219547883776858E-5</v>
      </c>
      <c r="P40" s="137">
        <f>P39/Revenue_HW!P$6</f>
        <v>1.3574551789371182E-5</v>
      </c>
      <c r="Q40" s="137">
        <f>Q39/Revenue_HW!Q$6</f>
        <v>1.4912069740275875E-5</v>
      </c>
      <c r="R40" s="137">
        <f>R39/Revenue_HW!R$6</f>
        <v>1.4000736587309737E-5</v>
      </c>
      <c r="S40" s="137">
        <f>S39/Revenue_HW!S$6</f>
        <v>1.539262383439992E-5</v>
      </c>
      <c r="T40" s="137">
        <f>T39/Revenue_HW!T$6</f>
        <v>1.4360198173382359E-5</v>
      </c>
      <c r="U40" s="137">
        <f>U39/Revenue_HW!U$6</f>
        <v>1.510276844994734E-5</v>
      </c>
      <c r="V40" s="137">
        <f>V39/Revenue_HW!V$6</f>
        <v>1.5137427166152159E-5</v>
      </c>
      <c r="W40" s="137">
        <f>W39/Revenue_HW!W$6</f>
        <v>1.53678271588611E-5</v>
      </c>
      <c r="X40" s="137">
        <f>X39/Revenue_HW!X$6</f>
        <v>1.5920255479042324E-5</v>
      </c>
      <c r="Y40" s="372">
        <f>Y39/Revenue_HW!Y$6</f>
        <v>1.4829132129699399E-5</v>
      </c>
      <c r="Z40" s="373">
        <f>Z39/Revenue_HW!Z$6</f>
        <v>2.8147867685588944E-5</v>
      </c>
      <c r="AA40" s="400"/>
      <c r="AB40" s="400"/>
      <c r="AC40" s="400"/>
      <c r="AD40" s="400"/>
      <c r="AE40" s="327"/>
      <c r="AF40" s="327"/>
      <c r="AG40" s="327"/>
      <c r="AK40" s="311"/>
    </row>
    <row r="41" spans="1:37" x14ac:dyDescent="0.3">
      <c r="C41" s="3" t="s">
        <v>412</v>
      </c>
      <c r="L41" s="16">
        <v>0</v>
      </c>
      <c r="M41" s="16">
        <v>0</v>
      </c>
      <c r="N41" s="15">
        <v>0</v>
      </c>
      <c r="O41" s="246">
        <v>0</v>
      </c>
      <c r="P41" s="16">
        <v>0</v>
      </c>
      <c r="Q41" s="16">
        <v>0</v>
      </c>
      <c r="R41" s="16">
        <v>0</v>
      </c>
      <c r="S41" s="16">
        <v>0</v>
      </c>
      <c r="T41" s="16">
        <v>0</v>
      </c>
      <c r="U41" s="16">
        <v>0</v>
      </c>
      <c r="V41" s="16">
        <v>0</v>
      </c>
      <c r="W41" s="16">
        <v>0</v>
      </c>
      <c r="X41" s="16">
        <v>0</v>
      </c>
      <c r="Y41" s="292">
        <f>SUM(P41:X41)</f>
        <v>0</v>
      </c>
      <c r="Z41" s="246">
        <f>SUM(O41,Y41)</f>
        <v>0</v>
      </c>
      <c r="AA41" s="16">
        <f>Revenue_HW!AA$6*AA42</f>
        <v>0</v>
      </c>
      <c r="AB41" s="16">
        <f>Revenue_HW!AB$6*AB42</f>
        <v>0</v>
      </c>
      <c r="AC41" s="16">
        <f>Revenue_HW!AC$6*AC42</f>
        <v>0</v>
      </c>
      <c r="AD41" s="16">
        <f>Revenue_HW!AD$6*AD42</f>
        <v>0</v>
      </c>
      <c r="AE41" s="327"/>
      <c r="AF41" s="327"/>
      <c r="AG41" s="327"/>
      <c r="AK41" s="311"/>
    </row>
    <row r="42" spans="1:37" s="137" customFormat="1" x14ac:dyDescent="0.3">
      <c r="B42" s="401"/>
      <c r="C42" s="401"/>
      <c r="D42" s="401" t="s">
        <v>411</v>
      </c>
      <c r="E42" s="401"/>
      <c r="F42" s="401"/>
      <c r="G42" s="401"/>
      <c r="H42" s="401"/>
      <c r="I42" s="401"/>
      <c r="J42" s="401"/>
      <c r="K42" s="401"/>
      <c r="L42" s="401"/>
      <c r="M42" s="401"/>
      <c r="N42" s="369"/>
      <c r="O42" s="373">
        <f>O41/Revenue_HW!O$6</f>
        <v>0</v>
      </c>
      <c r="P42" s="401">
        <f>P41/Revenue_HW!P$6</f>
        <v>0</v>
      </c>
      <c r="Q42" s="401">
        <f>Q41/Revenue_HW!Q$6</f>
        <v>0</v>
      </c>
      <c r="R42" s="401">
        <f>R41/Revenue_HW!R$6</f>
        <v>0</v>
      </c>
      <c r="S42" s="401">
        <f>S41/Revenue_HW!S$6</f>
        <v>0</v>
      </c>
      <c r="T42" s="401">
        <f>T41/Revenue_HW!T$6</f>
        <v>0</v>
      </c>
      <c r="U42" s="401">
        <f>U41/Revenue_HW!U$6</f>
        <v>0</v>
      </c>
      <c r="V42" s="401">
        <f>V41/Revenue_HW!V$6</f>
        <v>0</v>
      </c>
      <c r="W42" s="401">
        <f>W41/Revenue_HW!W$6</f>
        <v>0</v>
      </c>
      <c r="X42" s="401">
        <f>X41/Revenue_HW!X$6</f>
        <v>0</v>
      </c>
      <c r="Y42" s="372">
        <f>Y41/Revenue_HW!Y$6</f>
        <v>0</v>
      </c>
      <c r="Z42" s="373">
        <f>Z41/Revenue_HW!Z$6</f>
        <v>0</v>
      </c>
      <c r="AA42" s="401">
        <f>Z42</f>
        <v>0</v>
      </c>
      <c r="AB42" s="401">
        <f t="shared" ref="AB42:AD42" si="30">AA42</f>
        <v>0</v>
      </c>
      <c r="AC42" s="401">
        <f t="shared" si="30"/>
        <v>0</v>
      </c>
      <c r="AD42" s="401">
        <f t="shared" si="30"/>
        <v>0</v>
      </c>
      <c r="AE42" s="327"/>
      <c r="AF42" s="327"/>
      <c r="AG42" s="327"/>
      <c r="AK42" s="311"/>
    </row>
    <row r="43" spans="1:37" s="137" customFormat="1" x14ac:dyDescent="0.3">
      <c r="A43" s="363"/>
      <c r="B43" s="402"/>
      <c r="C43" s="3" t="s">
        <v>383</v>
      </c>
      <c r="D43" s="402"/>
      <c r="E43" s="402"/>
      <c r="F43" s="402"/>
      <c r="G43" s="402"/>
      <c r="H43" s="402"/>
      <c r="I43" s="402"/>
      <c r="J43" s="402"/>
      <c r="K43" s="402"/>
      <c r="L43" s="16">
        <v>-21.492759</v>
      </c>
      <c r="M43" s="16">
        <v>16.068536999999999</v>
      </c>
      <c r="N43" s="15">
        <v>109.25957200000001</v>
      </c>
      <c r="O43" s="246">
        <v>-29.104887000000002</v>
      </c>
      <c r="P43" s="16"/>
      <c r="Q43" s="16"/>
      <c r="R43" s="16"/>
      <c r="S43" s="16"/>
      <c r="T43" s="16"/>
      <c r="U43" s="16"/>
      <c r="V43" s="16"/>
      <c r="W43" s="16"/>
      <c r="X43" s="16"/>
      <c r="Y43" s="292"/>
      <c r="Z43" s="246"/>
      <c r="AA43" s="16"/>
      <c r="AB43" s="16"/>
      <c r="AC43" s="16"/>
      <c r="AD43" s="16"/>
      <c r="AE43" s="327"/>
      <c r="AF43" s="327"/>
      <c r="AG43" s="327"/>
      <c r="AK43" s="311"/>
    </row>
    <row r="44" spans="1:37" x14ac:dyDescent="0.3">
      <c r="B44" s="92"/>
      <c r="C44" s="92" t="s">
        <v>400</v>
      </c>
      <c r="D44" s="92"/>
      <c r="E44" s="92"/>
      <c r="F44" s="92"/>
      <c r="G44" s="92"/>
      <c r="H44" s="92"/>
      <c r="I44" s="92"/>
      <c r="J44" s="92"/>
      <c r="K44" s="92"/>
      <c r="L44" s="130"/>
      <c r="M44" s="130"/>
      <c r="N44" s="131"/>
      <c r="O44" s="330">
        <v>9.5802783333333537</v>
      </c>
      <c r="P44" s="130">
        <f>O44/3</f>
        <v>3.1934261111111177</v>
      </c>
      <c r="Q44" s="130">
        <f>P44</f>
        <v>3.1934261111111177</v>
      </c>
      <c r="R44" s="130">
        <f t="shared" ref="R44:X44" si="31">Q44</f>
        <v>3.1934261111111177</v>
      </c>
      <c r="S44" s="130">
        <f t="shared" si="31"/>
        <v>3.1934261111111177</v>
      </c>
      <c r="T44" s="130">
        <f t="shared" si="31"/>
        <v>3.1934261111111177</v>
      </c>
      <c r="U44" s="130">
        <f t="shared" si="31"/>
        <v>3.1934261111111177</v>
      </c>
      <c r="V44" s="130">
        <f t="shared" si="31"/>
        <v>3.1934261111111177</v>
      </c>
      <c r="W44" s="130">
        <f t="shared" si="31"/>
        <v>3.1934261111111177</v>
      </c>
      <c r="X44" s="130">
        <f t="shared" si="31"/>
        <v>3.1934261111111177</v>
      </c>
      <c r="Y44" s="296">
        <f>SUM(P44:X44)</f>
        <v>28.740835000000065</v>
      </c>
      <c r="Z44" s="330">
        <f>Y44+O44</f>
        <v>38.321113333333415</v>
      </c>
      <c r="AA44" s="130">
        <f>Z44*(1+'Key Assumption'!AB$13)</f>
        <v>38.934251146666753</v>
      </c>
      <c r="AB44" s="130">
        <f>AA44*(1+'Key Assumption'!AC$13)</f>
        <v>39.712936169600091</v>
      </c>
      <c r="AC44" s="130">
        <f>AB44*(1+'Key Assumption'!AD$13)</f>
        <v>40.388056084483289</v>
      </c>
      <c r="AD44" s="130">
        <f>AC44*(1+'Key Assumption'!AE$13)</f>
        <v>41.115041094003992</v>
      </c>
      <c r="AE44" s="327"/>
      <c r="AF44" s="327"/>
      <c r="AG44" s="327"/>
      <c r="AK44" s="311"/>
    </row>
    <row r="45" spans="1:37" x14ac:dyDescent="0.3">
      <c r="O45" s="113"/>
      <c r="AE45" s="327"/>
      <c r="AF45" s="327"/>
      <c r="AG45" s="327"/>
      <c r="AK45" s="311"/>
    </row>
    <row r="46" spans="1:37" x14ac:dyDescent="0.3">
      <c r="B46" s="5" t="s">
        <v>413</v>
      </c>
      <c r="C46" s="4"/>
      <c r="D46" s="4"/>
      <c r="E46" s="4"/>
      <c r="F46" s="4"/>
      <c r="G46" s="4"/>
      <c r="H46" s="4"/>
      <c r="I46" s="4"/>
      <c r="J46" s="4"/>
      <c r="K46" s="4"/>
      <c r="L46" s="390"/>
      <c r="M46" s="390"/>
      <c r="N46" s="390"/>
      <c r="O46" s="4"/>
      <c r="P46" s="4"/>
      <c r="Q46" s="4"/>
      <c r="R46" s="4"/>
      <c r="S46" s="4"/>
      <c r="T46" s="4"/>
      <c r="U46" s="4"/>
      <c r="V46" s="4"/>
      <c r="W46" s="4"/>
      <c r="X46" s="4"/>
      <c r="Y46" s="4"/>
      <c r="Z46" s="4"/>
      <c r="AA46" s="4"/>
      <c r="AB46" s="4"/>
      <c r="AC46" s="4"/>
      <c r="AD46" s="4"/>
      <c r="AE46" s="327"/>
      <c r="AF46" s="327"/>
      <c r="AG46" s="327"/>
      <c r="AK46" s="311"/>
    </row>
    <row r="47" spans="1:37" x14ac:dyDescent="0.3">
      <c r="L47" s="121"/>
      <c r="M47" s="121"/>
      <c r="N47" s="121"/>
      <c r="O47" s="121"/>
      <c r="AE47" s="327"/>
      <c r="AF47" s="327"/>
      <c r="AG47" s="327"/>
      <c r="AK47" s="311"/>
    </row>
    <row r="48" spans="1:37" x14ac:dyDescent="0.3">
      <c r="B48" s="8"/>
      <c r="C48" s="8"/>
      <c r="D48" s="8"/>
      <c r="E48" s="8"/>
      <c r="F48" s="8"/>
      <c r="G48" s="8"/>
      <c r="H48" s="8"/>
      <c r="I48" s="8"/>
      <c r="J48" s="8"/>
      <c r="K48" s="8"/>
      <c r="L48" s="9" t="s">
        <v>182</v>
      </c>
      <c r="M48" s="9" t="s">
        <v>183</v>
      </c>
      <c r="N48" s="10" t="s">
        <v>414</v>
      </c>
      <c r="O48" s="244" t="s">
        <v>293</v>
      </c>
      <c r="P48" s="9" t="s">
        <v>215</v>
      </c>
      <c r="Q48" s="9" t="s">
        <v>216</v>
      </c>
      <c r="R48" s="9" t="s">
        <v>217</v>
      </c>
      <c r="S48" s="9" t="s">
        <v>218</v>
      </c>
      <c r="T48" s="9" t="s">
        <v>219</v>
      </c>
      <c r="U48" s="9" t="s">
        <v>220</v>
      </c>
      <c r="V48" s="9" t="s">
        <v>221</v>
      </c>
      <c r="W48" s="9" t="s">
        <v>222</v>
      </c>
      <c r="X48" s="9" t="s">
        <v>223</v>
      </c>
      <c r="Y48" s="233" t="s">
        <v>294</v>
      </c>
      <c r="Z48" s="244" t="s">
        <v>197</v>
      </c>
      <c r="AA48" s="9" t="s">
        <v>198</v>
      </c>
      <c r="AB48" s="9" t="s">
        <v>199</v>
      </c>
      <c r="AC48" s="9" t="s">
        <v>200</v>
      </c>
      <c r="AD48" s="9" t="s">
        <v>201</v>
      </c>
      <c r="AE48" s="327"/>
      <c r="AF48" s="327"/>
      <c r="AG48" s="327"/>
      <c r="AK48" s="311"/>
    </row>
    <row r="49" spans="1:37" s="11" customFormat="1" x14ac:dyDescent="0.3">
      <c r="B49" s="11" t="s">
        <v>143</v>
      </c>
      <c r="L49" s="13">
        <f>SUM(L51,L52,L53,L54,L55,L56,L57,L58)</f>
        <v>13703.115303000002</v>
      </c>
      <c r="M49" s="13">
        <f t="shared" ref="M49:N49" si="32">SUM(M51,M52,M53,M54,M55,M56,M57,M58)</f>
        <v>16132.91418</v>
      </c>
      <c r="N49" s="124">
        <f t="shared" si="32"/>
        <v>11764.769780000001</v>
      </c>
      <c r="O49" s="326">
        <f t="shared" ref="O49:AD49" si="33">SUM(O51,O52,O53,O54,O55,O56,O57,O59)</f>
        <v>2357.4464192209084</v>
      </c>
      <c r="P49" s="13">
        <f t="shared" si="33"/>
        <v>1032.0183959903031</v>
      </c>
      <c r="Q49" s="13">
        <f t="shared" si="33"/>
        <v>1032.0183959903031</v>
      </c>
      <c r="R49" s="13">
        <f t="shared" si="33"/>
        <v>1032.0183959903031</v>
      </c>
      <c r="S49" s="13">
        <f t="shared" si="33"/>
        <v>1032.0183959903031</v>
      </c>
      <c r="T49" s="13">
        <f t="shared" si="33"/>
        <v>1032.0183959903031</v>
      </c>
      <c r="U49" s="13">
        <f t="shared" si="33"/>
        <v>1032.0183959903031</v>
      </c>
      <c r="V49" s="13">
        <f t="shared" si="33"/>
        <v>1032.0183959903031</v>
      </c>
      <c r="W49" s="13">
        <f t="shared" si="33"/>
        <v>1032.0183959903031</v>
      </c>
      <c r="X49" s="13">
        <f t="shared" si="33"/>
        <v>1032.0183959903031</v>
      </c>
      <c r="Y49" s="359">
        <f t="shared" si="33"/>
        <v>9288.1655639127275</v>
      </c>
      <c r="Z49" s="326">
        <f t="shared" si="33"/>
        <v>11645.611983133636</v>
      </c>
      <c r="AA49" s="13">
        <f t="shared" si="33"/>
        <v>12022.250923327772</v>
      </c>
      <c r="AB49" s="13">
        <f t="shared" si="33"/>
        <v>12262.695941794331</v>
      </c>
      <c r="AC49" s="13">
        <f t="shared" si="33"/>
        <v>12471.161772804835</v>
      </c>
      <c r="AD49" s="13">
        <f t="shared" si="33"/>
        <v>12695.64268471532</v>
      </c>
      <c r="AE49" s="327"/>
      <c r="AF49" s="327"/>
      <c r="AG49" s="327"/>
      <c r="AK49" s="311"/>
    </row>
    <row r="50" spans="1:37" s="23" customFormat="1" x14ac:dyDescent="0.3">
      <c r="B50" s="45" t="s">
        <v>398</v>
      </c>
      <c r="L50" s="391" t="str">
        <f>IFERROR(L49/Revenue_HW!L$6,"-")</f>
        <v>-</v>
      </c>
      <c r="M50" s="391" t="str">
        <f>IFERROR(M49/Revenue_HW!M$6,"-")</f>
        <v>-</v>
      </c>
      <c r="N50" s="392" t="str">
        <f>IFERROR(N49/Revenue_HW!N$6,"-")</f>
        <v>-</v>
      </c>
      <c r="O50" s="376">
        <f>IFERROR(O49/Revenue_HW!O$6,"-")</f>
        <v>3.1050863634105533E-2</v>
      </c>
      <c r="P50" s="45">
        <f>IFERROR(P49/Revenue_HW!P$6,"-")</f>
        <v>3.3092594160989454E-2</v>
      </c>
      <c r="Q50" s="45">
        <f>IFERROR(Q49/Revenue_HW!Q$6,"-")</f>
        <v>3.6353249792137741E-2</v>
      </c>
      <c r="R50" s="45">
        <f>IFERROR(R49/Revenue_HW!R$6,"-")</f>
        <v>3.4131564785920644E-2</v>
      </c>
      <c r="S50" s="45">
        <f>IFERROR(S49/Revenue_HW!S$6,"-")</f>
        <v>3.7524764097435152E-2</v>
      </c>
      <c r="T50" s="45">
        <f>IFERROR(T49/Revenue_HW!T$6,"-")</f>
        <v>3.5007874852650139E-2</v>
      </c>
      <c r="U50" s="45">
        <f>IFERROR(U49/Revenue_HW!U$6,"-")</f>
        <v>3.6818142858524167E-2</v>
      </c>
      <c r="V50" s="45">
        <f>IFERROR(V49/Revenue_HW!V$6,"-")</f>
        <v>3.6902635285773588E-2</v>
      </c>
      <c r="W50" s="45">
        <f>IFERROR(W49/Revenue_HW!W$6,"-")</f>
        <v>3.7464313753815669E-2</v>
      </c>
      <c r="X50" s="45">
        <f>IFERROR(X49/Revenue_HW!X$6,"-")</f>
        <v>3.8811045969100198E-2</v>
      </c>
      <c r="Y50" s="377">
        <f>IFERROR(Y49/Revenue_HW!Y$6,"-")</f>
        <v>3.6151061113640186E-2</v>
      </c>
      <c r="Z50" s="376">
        <f>IFERROR(Z49/Revenue_HW!Z$6,"-")</f>
        <v>3.4987716399692115E-2</v>
      </c>
      <c r="AA50" s="45">
        <f>IFERROR(AA49/Revenue_HW!AA$6,"-")</f>
        <v>3.8309448572766712E-2</v>
      </c>
      <c r="AB50" s="45">
        <f>IFERROR(AB49/Revenue_HW!AB$6,"-")</f>
        <v>3.4832836480983551E-2</v>
      </c>
      <c r="AC50" s="45">
        <f>IFERROR(AC49/Revenue_HW!AC$6,"-")</f>
        <v>3.212154838237509E-2</v>
      </c>
      <c r="AD50" s="45">
        <f>IFERROR(AD49/Revenue_HW!AD$6,"-")</f>
        <v>2.9432540825009058E-2</v>
      </c>
      <c r="AE50" s="327"/>
      <c r="AF50" s="327"/>
      <c r="AG50" s="327"/>
      <c r="AK50" s="311"/>
    </row>
    <row r="51" spans="1:37" x14ac:dyDescent="0.3">
      <c r="B51" s="11"/>
      <c r="C51" s="3" t="s">
        <v>415</v>
      </c>
      <c r="L51" s="16">
        <v>216.702091</v>
      </c>
      <c r="M51" s="16">
        <v>253.27450900000002</v>
      </c>
      <c r="N51" s="15">
        <v>193.03390800000003</v>
      </c>
      <c r="O51" s="246">
        <v>0</v>
      </c>
      <c r="P51" s="16">
        <f>CAPEX_HW!P16</f>
        <v>0</v>
      </c>
      <c r="Q51" s="16">
        <f>CAPEX_HW!Q16</f>
        <v>0</v>
      </c>
      <c r="R51" s="16">
        <f>CAPEX_HW!R16</f>
        <v>0</v>
      </c>
      <c r="S51" s="16">
        <f>CAPEX_HW!S16</f>
        <v>0</v>
      </c>
      <c r="T51" s="16">
        <f>CAPEX_HW!T16</f>
        <v>0</v>
      </c>
      <c r="U51" s="16">
        <f>CAPEX_HW!U16</f>
        <v>0</v>
      </c>
      <c r="V51" s="16">
        <f>CAPEX_HW!V16</f>
        <v>0</v>
      </c>
      <c r="W51" s="16">
        <f>CAPEX_HW!W16</f>
        <v>0</v>
      </c>
      <c r="X51" s="16">
        <f>CAPEX_HW!X16</f>
        <v>0</v>
      </c>
      <c r="Y51" s="292">
        <f>CAPEX_HW!Y16</f>
        <v>0</v>
      </c>
      <c r="Z51" s="246">
        <f>CAPEX_HW!Z16</f>
        <v>0</v>
      </c>
      <c r="AA51" s="16">
        <f>CAPEX_HW!AA16</f>
        <v>0</v>
      </c>
      <c r="AB51" s="16">
        <f>CAPEX_HW!AB16</f>
        <v>0</v>
      </c>
      <c r="AC51" s="16">
        <f>CAPEX_HW!AC16</f>
        <v>0</v>
      </c>
      <c r="AD51" s="16">
        <f>CAPEX_HW!AD16</f>
        <v>0</v>
      </c>
      <c r="AE51" s="23"/>
      <c r="AF51" s="327"/>
      <c r="AK51" s="311"/>
    </row>
    <row r="52" spans="1:37" x14ac:dyDescent="0.3">
      <c r="B52" s="11"/>
      <c r="C52" s="3" t="s">
        <v>416</v>
      </c>
      <c r="L52" s="16">
        <v>303.38451000000003</v>
      </c>
      <c r="M52" s="16">
        <v>244.16943399999997</v>
      </c>
      <c r="N52" s="15">
        <v>250.271918</v>
      </c>
      <c r="O52" s="246">
        <v>457.46184899999997</v>
      </c>
      <c r="P52" s="16">
        <f>CAPEX_HW!P19</f>
        <v>152.48728299999999</v>
      </c>
      <c r="Q52" s="16">
        <f>CAPEX_HW!Q19</f>
        <v>152.48728299999999</v>
      </c>
      <c r="R52" s="16">
        <f>CAPEX_HW!R19</f>
        <v>152.48728299999999</v>
      </c>
      <c r="S52" s="16">
        <f>CAPEX_HW!S19</f>
        <v>152.48728299999999</v>
      </c>
      <c r="T52" s="16">
        <f>CAPEX_HW!T19</f>
        <v>152.48728299999999</v>
      </c>
      <c r="U52" s="16">
        <f>CAPEX_HW!U19</f>
        <v>152.48728299999999</v>
      </c>
      <c r="V52" s="16">
        <f>CAPEX_HW!V19</f>
        <v>152.48728299999999</v>
      </c>
      <c r="W52" s="16">
        <f>CAPEX_HW!W19</f>
        <v>152.48728299999999</v>
      </c>
      <c r="X52" s="16">
        <f>CAPEX_HW!X19</f>
        <v>152.48728299999999</v>
      </c>
      <c r="Y52" s="292">
        <f>CAPEX_HW!Y19</f>
        <v>1372.3855469999996</v>
      </c>
      <c r="Z52" s="246">
        <f>CAPEX_HW!Z19</f>
        <v>1829.8473959999997</v>
      </c>
      <c r="AA52" s="16">
        <f>CAPEX_HW!AA19</f>
        <v>1859.1249543359997</v>
      </c>
      <c r="AB52" s="16">
        <f>CAPEX_HW!AB19</f>
        <v>1896.3074534227198</v>
      </c>
      <c r="AC52" s="16">
        <f>CAPEX_HW!AC19</f>
        <v>1928.5446801309058</v>
      </c>
      <c r="AD52" s="16">
        <f>CAPEX_HW!AD19</f>
        <v>1963.2584843732623</v>
      </c>
      <c r="AE52" s="23"/>
      <c r="AF52" s="327"/>
      <c r="AK52" s="311"/>
    </row>
    <row r="53" spans="1:37" x14ac:dyDescent="0.3">
      <c r="B53" s="11"/>
      <c r="C53" s="3" t="s">
        <v>391</v>
      </c>
      <c r="L53" s="16">
        <v>8376.3393640000013</v>
      </c>
      <c r="M53" s="16">
        <v>8262.5161939999998</v>
      </c>
      <c r="N53" s="15">
        <v>5639.7999060000002</v>
      </c>
      <c r="O53" s="246">
        <v>920.38761499999998</v>
      </c>
      <c r="P53" s="16">
        <v>345.368246</v>
      </c>
      <c r="Q53" s="16">
        <v>345.368246</v>
      </c>
      <c r="R53" s="16">
        <v>345.368246</v>
      </c>
      <c r="S53" s="16">
        <v>345.368246</v>
      </c>
      <c r="T53" s="16">
        <v>345.368246</v>
      </c>
      <c r="U53" s="16">
        <v>345.368246</v>
      </c>
      <c r="V53" s="16">
        <v>345.368246</v>
      </c>
      <c r="W53" s="16">
        <v>345.368246</v>
      </c>
      <c r="X53" s="16">
        <v>345.368246</v>
      </c>
      <c r="Y53" s="292">
        <f t="shared" ref="Y53:Y59" si="34">SUM(P53:X53)</f>
        <v>3108.314214</v>
      </c>
      <c r="Z53" s="246">
        <f t="shared" ref="Z53:Z57" si="35">SUM(O53,Y53)</f>
        <v>4028.7018290000001</v>
      </c>
      <c r="AA53" s="16">
        <f>Z53*(1+'Key Assumption'!AB$13)</f>
        <v>4093.1610582640001</v>
      </c>
      <c r="AB53" s="16">
        <f>AA53*(1+'Key Assumption'!AC$13)</f>
        <v>4175.0242794292799</v>
      </c>
      <c r="AC53" s="16">
        <f>AB53*(1+'Key Assumption'!AD$13)</f>
        <v>4245.9996921795773</v>
      </c>
      <c r="AD53" s="16">
        <f>AC53*(1+'Key Assumption'!AE$13)</f>
        <v>4322.42768663881</v>
      </c>
      <c r="AE53" s="243"/>
      <c r="AF53" s="327"/>
      <c r="AK53" s="311"/>
    </row>
    <row r="54" spans="1:37" x14ac:dyDescent="0.3">
      <c r="B54" s="11"/>
      <c r="C54" s="3" t="s">
        <v>417</v>
      </c>
      <c r="L54" s="16">
        <v>1031.078935</v>
      </c>
      <c r="M54" s="16">
        <v>1615.26162</v>
      </c>
      <c r="N54" s="15">
        <v>64.80827899999997</v>
      </c>
      <c r="O54" s="246">
        <v>78.953909999999993</v>
      </c>
      <c r="P54" s="16">
        <v>135.04166666666666</v>
      </c>
      <c r="Q54" s="16">
        <v>135.04166666666666</v>
      </c>
      <c r="R54" s="16">
        <v>135.04166666666666</v>
      </c>
      <c r="S54" s="16">
        <v>135.04166666666666</v>
      </c>
      <c r="T54" s="16">
        <v>135.04166666666666</v>
      </c>
      <c r="U54" s="16">
        <v>135.04166666666666</v>
      </c>
      <c r="V54" s="16">
        <v>135.04166666666666</v>
      </c>
      <c r="W54" s="16">
        <v>135.04166666666666</v>
      </c>
      <c r="X54" s="16">
        <v>135.04166666666666</v>
      </c>
      <c r="Y54" s="292">
        <f t="shared" si="34"/>
        <v>1215.375</v>
      </c>
      <c r="Z54" s="246">
        <f t="shared" si="35"/>
        <v>1294.32891</v>
      </c>
      <c r="AA54" s="16">
        <f>Z54*(1+'Key Assumption'!AB$13)</f>
        <v>1315.03817256</v>
      </c>
      <c r="AB54" s="16">
        <f>AA54*(1+'Key Assumption'!AC$13)</f>
        <v>1341.3389360112001</v>
      </c>
      <c r="AC54" s="16">
        <f>AB54*(1+'Key Assumption'!AD$13)</f>
        <v>1364.1416979233904</v>
      </c>
      <c r="AD54" s="16">
        <f>AC54*(1+'Key Assumption'!AE$13)</f>
        <v>1388.6962484860114</v>
      </c>
      <c r="AE54" s="23"/>
      <c r="AF54" s="327"/>
      <c r="AK54" s="311"/>
    </row>
    <row r="55" spans="1:37" x14ac:dyDescent="0.3">
      <c r="B55" s="11"/>
      <c r="C55" s="3" t="s">
        <v>388</v>
      </c>
      <c r="L55" s="16">
        <v>1735.2413030000002</v>
      </c>
      <c r="M55" s="16">
        <v>1845.7452569999998</v>
      </c>
      <c r="N55" s="15">
        <v>1343.8864820000001</v>
      </c>
      <c r="O55" s="246">
        <v>291.66618399999999</v>
      </c>
      <c r="P55" s="16">
        <v>127.88751333333333</v>
      </c>
      <c r="Q55" s="16">
        <v>127.88751333333333</v>
      </c>
      <c r="R55" s="16">
        <v>127.88751333333333</v>
      </c>
      <c r="S55" s="16">
        <v>127.88751333333333</v>
      </c>
      <c r="T55" s="16">
        <v>127.88751333333333</v>
      </c>
      <c r="U55" s="16">
        <v>127.88751333333333</v>
      </c>
      <c r="V55" s="16">
        <v>127.88751333333333</v>
      </c>
      <c r="W55" s="16">
        <v>127.88751333333333</v>
      </c>
      <c r="X55" s="16">
        <v>127.88751333333333</v>
      </c>
      <c r="Y55" s="292">
        <f t="shared" si="34"/>
        <v>1150.9876199999999</v>
      </c>
      <c r="Z55" s="246">
        <f t="shared" si="35"/>
        <v>1442.6538039999998</v>
      </c>
      <c r="AA55" s="16">
        <f>Z55*(1+'Key Assumption'!AB$13)</f>
        <v>1465.7362648639998</v>
      </c>
      <c r="AB55" s="16">
        <f>AA55*(1+'Key Assumption'!AC$13)</f>
        <v>1495.05099016128</v>
      </c>
      <c r="AC55" s="16">
        <f>AB55*(1+'Key Assumption'!AD$13)</f>
        <v>1520.4668569940216</v>
      </c>
      <c r="AD55" s="16">
        <f>AC55*(1+'Key Assumption'!AE$13)</f>
        <v>1547.835260419914</v>
      </c>
      <c r="AE55" s="23"/>
      <c r="AF55" s="327"/>
      <c r="AK55" s="311"/>
    </row>
    <row r="56" spans="1:37" x14ac:dyDescent="0.3">
      <c r="C56" s="3" t="s">
        <v>418</v>
      </c>
      <c r="L56" s="16">
        <v>-260.486896</v>
      </c>
      <c r="M56" s="16">
        <v>1059.427882</v>
      </c>
      <c r="N56" s="15">
        <v>1165.3208059999999</v>
      </c>
      <c r="O56" s="246">
        <v>-187.31215399999999</v>
      </c>
      <c r="P56" s="16">
        <v>0</v>
      </c>
      <c r="Q56" s="16">
        <v>0</v>
      </c>
      <c r="R56" s="16">
        <v>0</v>
      </c>
      <c r="S56" s="16">
        <v>0</v>
      </c>
      <c r="T56" s="16">
        <v>0</v>
      </c>
      <c r="U56" s="16">
        <v>0</v>
      </c>
      <c r="V56" s="16">
        <v>0</v>
      </c>
      <c r="W56" s="16">
        <v>0</v>
      </c>
      <c r="X56" s="16">
        <v>0</v>
      </c>
      <c r="Y56" s="292">
        <f t="shared" si="34"/>
        <v>0</v>
      </c>
      <c r="Z56" s="246">
        <f t="shared" si="35"/>
        <v>-187.31215399999999</v>
      </c>
      <c r="AA56" s="16">
        <v>0</v>
      </c>
      <c r="AB56" s="16">
        <v>0</v>
      </c>
      <c r="AC56" s="16">
        <v>0</v>
      </c>
      <c r="AD56" s="16">
        <v>0</v>
      </c>
      <c r="AE56" s="23"/>
      <c r="AF56" s="327"/>
      <c r="AK56" s="311"/>
    </row>
    <row r="57" spans="1:37" x14ac:dyDescent="0.3">
      <c r="C57" s="3" t="s">
        <v>419</v>
      </c>
      <c r="L57" s="16">
        <v>1323.7380329999999</v>
      </c>
      <c r="M57" s="16">
        <v>1928.9888339999998</v>
      </c>
      <c r="N57" s="15">
        <v>2154.2560509999998</v>
      </c>
      <c r="O57" s="246">
        <v>595.01217299999996</v>
      </c>
      <c r="P57" s="16">
        <v>204.14140625000005</v>
      </c>
      <c r="Q57" s="16">
        <f>P57</f>
        <v>204.14140625000005</v>
      </c>
      <c r="R57" s="16">
        <f t="shared" ref="R57:X57" si="36">Q57</f>
        <v>204.14140625000005</v>
      </c>
      <c r="S57" s="16">
        <f t="shared" si="36"/>
        <v>204.14140625000005</v>
      </c>
      <c r="T57" s="16">
        <f t="shared" si="36"/>
        <v>204.14140625000005</v>
      </c>
      <c r="U57" s="16">
        <f t="shared" si="36"/>
        <v>204.14140625000005</v>
      </c>
      <c r="V57" s="16">
        <f t="shared" si="36"/>
        <v>204.14140625000005</v>
      </c>
      <c r="W57" s="16">
        <f t="shared" si="36"/>
        <v>204.14140625000005</v>
      </c>
      <c r="X57" s="16">
        <f t="shared" si="36"/>
        <v>204.14140625000005</v>
      </c>
      <c r="Y57" s="292">
        <f t="shared" si="34"/>
        <v>1837.2726562500004</v>
      </c>
      <c r="Z57" s="246">
        <f t="shared" si="35"/>
        <v>2432.2848292500003</v>
      </c>
      <c r="AA57" s="16">
        <f>Z57*(1+'Key Assumption'!AB$13)</f>
        <v>2471.2013865180002</v>
      </c>
      <c r="AB57" s="16">
        <f>AA57*(1+'Key Assumption'!AC$13)</f>
        <v>2520.6254142483604</v>
      </c>
      <c r="AC57" s="16">
        <f>AB57*(1+'Key Assumption'!AD$13)</f>
        <v>2563.4760462905824</v>
      </c>
      <c r="AD57" s="16">
        <f>AC57*(1+'Key Assumption'!AE$13)</f>
        <v>2609.618615123813</v>
      </c>
      <c r="AE57" s="243"/>
      <c r="AF57" s="327"/>
      <c r="AK57" s="311"/>
    </row>
    <row r="58" spans="1:37" s="137" customFormat="1" x14ac:dyDescent="0.3">
      <c r="A58" s="363"/>
      <c r="B58" s="402"/>
      <c r="C58" s="3" t="s">
        <v>383</v>
      </c>
      <c r="D58" s="402"/>
      <c r="E58" s="402"/>
      <c r="F58" s="402"/>
      <c r="G58" s="402"/>
      <c r="H58" s="402"/>
      <c r="I58" s="402"/>
      <c r="J58" s="402"/>
      <c r="K58" s="402"/>
      <c r="L58" s="16">
        <v>977.11796299999992</v>
      </c>
      <c r="M58" s="16">
        <v>923.53044999999997</v>
      </c>
      <c r="N58" s="15">
        <v>953.39242999999988</v>
      </c>
      <c r="O58" s="246">
        <v>320.39728500000007</v>
      </c>
      <c r="P58" s="16"/>
      <c r="Q58" s="16"/>
      <c r="R58" s="16"/>
      <c r="S58" s="16"/>
      <c r="T58" s="16"/>
      <c r="U58" s="16"/>
      <c r="V58" s="16"/>
      <c r="W58" s="16"/>
      <c r="X58" s="16"/>
      <c r="Y58" s="292"/>
      <c r="Z58" s="246"/>
      <c r="AA58" s="16"/>
      <c r="AB58" s="16"/>
      <c r="AC58" s="16"/>
      <c r="AD58" s="16"/>
      <c r="AE58" s="403"/>
      <c r="AF58" s="327"/>
      <c r="AG58" s="363"/>
      <c r="AK58" s="311"/>
    </row>
    <row r="59" spans="1:37" x14ac:dyDescent="0.3">
      <c r="B59" s="92"/>
      <c r="C59" s="92" t="s">
        <v>400</v>
      </c>
      <c r="D59" s="92"/>
      <c r="E59" s="92"/>
      <c r="F59" s="92"/>
      <c r="G59" s="92"/>
      <c r="H59" s="92"/>
      <c r="I59" s="92"/>
      <c r="J59" s="92"/>
      <c r="K59" s="92"/>
      <c r="L59" s="130"/>
      <c r="M59" s="130"/>
      <c r="N59" s="131"/>
      <c r="O59" s="330">
        <v>201.27684222090892</v>
      </c>
      <c r="P59" s="130">
        <f>O59/3</f>
        <v>67.092280740302968</v>
      </c>
      <c r="Q59" s="130">
        <f>P59</f>
        <v>67.092280740302968</v>
      </c>
      <c r="R59" s="130">
        <f t="shared" ref="R59:X59" si="37">Q59</f>
        <v>67.092280740302968</v>
      </c>
      <c r="S59" s="130">
        <f t="shared" si="37"/>
        <v>67.092280740302968</v>
      </c>
      <c r="T59" s="130">
        <f t="shared" si="37"/>
        <v>67.092280740302968</v>
      </c>
      <c r="U59" s="130">
        <f t="shared" si="37"/>
        <v>67.092280740302968</v>
      </c>
      <c r="V59" s="130">
        <f t="shared" si="37"/>
        <v>67.092280740302968</v>
      </c>
      <c r="W59" s="130">
        <f t="shared" si="37"/>
        <v>67.092280740302968</v>
      </c>
      <c r="X59" s="130">
        <f t="shared" si="37"/>
        <v>67.092280740302968</v>
      </c>
      <c r="Y59" s="296">
        <f t="shared" si="34"/>
        <v>603.8305266627267</v>
      </c>
      <c r="Z59" s="330">
        <f>Y59+O59</f>
        <v>805.10736888363567</v>
      </c>
      <c r="AA59" s="130">
        <f>Z59*(1+'Key Assumption'!AB$13)</f>
        <v>817.98908678577391</v>
      </c>
      <c r="AB59" s="130">
        <f>AA59*(1+'Key Assumption'!AC$13)</f>
        <v>834.34886852148941</v>
      </c>
      <c r="AC59" s="130">
        <f>AB59*(1+'Key Assumption'!AD$13)</f>
        <v>848.5327992863547</v>
      </c>
      <c r="AD59" s="130">
        <f>AC59*(1+'Key Assumption'!AE$13)</f>
        <v>863.8063896735091</v>
      </c>
      <c r="AE59" s="243"/>
      <c r="AF59" s="327"/>
      <c r="AK59" s="311"/>
    </row>
    <row r="60" spans="1:37" x14ac:dyDescent="0.3">
      <c r="O60" s="404"/>
      <c r="AK60" s="311"/>
    </row>
    <row r="61" spans="1:37" x14ac:dyDescent="0.3">
      <c r="O61" s="121"/>
    </row>
    <row r="62" spans="1:37" x14ac:dyDescent="0.3">
      <c r="O62" s="16"/>
      <c r="P62" s="16"/>
    </row>
    <row r="64" spans="1:37" x14ac:dyDescent="0.3">
      <c r="O64" s="121"/>
      <c r="P64" s="121"/>
      <c r="Q64" s="121"/>
      <c r="R64" s="121"/>
      <c r="S64" s="121"/>
      <c r="T64" s="121"/>
      <c r="U64" s="121"/>
      <c r="V64" s="121"/>
      <c r="W64" s="121"/>
      <c r="X64" s="121"/>
    </row>
    <row r="65" spans="15:26" x14ac:dyDescent="0.3">
      <c r="O65" s="121"/>
      <c r="P65" s="121"/>
      <c r="Q65" s="121"/>
      <c r="R65" s="121"/>
      <c r="S65" s="121"/>
      <c r="T65" s="121"/>
      <c r="U65" s="121"/>
      <c r="V65" s="121"/>
      <c r="W65" s="121"/>
      <c r="X65" s="121"/>
    </row>
    <row r="67" spans="15:26" x14ac:dyDescent="0.3">
      <c r="O67" s="132"/>
    </row>
    <row r="68" spans="15:26" x14ac:dyDescent="0.3">
      <c r="O68" s="121"/>
      <c r="P68" s="121"/>
      <c r="Q68" s="121"/>
      <c r="R68" s="121"/>
      <c r="S68" s="121"/>
      <c r="T68" s="121"/>
      <c r="U68" s="121"/>
      <c r="V68" s="121"/>
      <c r="W68" s="121"/>
      <c r="X68" s="121"/>
      <c r="Z68" s="121"/>
    </row>
    <row r="72" spans="15:26" x14ac:dyDescent="0.3">
      <c r="O72" s="121"/>
      <c r="P72" s="121"/>
      <c r="Q72" s="121"/>
      <c r="R72" s="121"/>
      <c r="S72" s="121"/>
      <c r="T72" s="121"/>
      <c r="U72" s="121"/>
      <c r="V72" s="121"/>
      <c r="W72" s="121"/>
      <c r="X72" s="121"/>
      <c r="Y72" s="121"/>
      <c r="Z72" s="121"/>
    </row>
    <row r="73" spans="15:26" x14ac:dyDescent="0.3">
      <c r="O73" s="121"/>
      <c r="P73" s="121"/>
      <c r="Q73" s="121"/>
      <c r="R73" s="121"/>
      <c r="S73" s="121"/>
      <c r="T73" s="121"/>
      <c r="U73" s="121"/>
      <c r="V73" s="121"/>
      <c r="W73" s="121"/>
      <c r="X73" s="121"/>
      <c r="Y73" s="121"/>
      <c r="Z73" s="121"/>
    </row>
    <row r="74" spans="15:26" x14ac:dyDescent="0.3">
      <c r="O74" s="121"/>
      <c r="P74" s="121"/>
      <c r="Q74" s="121"/>
      <c r="R74" s="121"/>
      <c r="S74" s="121"/>
      <c r="T74" s="121"/>
      <c r="U74" s="121"/>
      <c r="V74" s="121"/>
      <c r="W74" s="121"/>
      <c r="X74" s="121"/>
      <c r="Y74" s="121"/>
      <c r="Z74" s="121"/>
    </row>
    <row r="75" spans="15:26" x14ac:dyDescent="0.3">
      <c r="O75" s="121"/>
      <c r="P75" s="121"/>
      <c r="Q75" s="121"/>
      <c r="R75" s="121"/>
      <c r="S75" s="121"/>
      <c r="T75" s="121"/>
      <c r="U75" s="121"/>
      <c r="V75" s="121"/>
      <c r="W75" s="121"/>
      <c r="X75" s="121"/>
      <c r="Y75" s="121"/>
      <c r="Z75" s="121"/>
    </row>
    <row r="76" spans="15:26" x14ac:dyDescent="0.3">
      <c r="O76" s="121"/>
      <c r="P76" s="121"/>
      <c r="Q76" s="121"/>
      <c r="R76" s="121"/>
      <c r="S76" s="121"/>
      <c r="T76" s="121"/>
      <c r="U76" s="121"/>
      <c r="V76" s="121"/>
      <c r="W76" s="121"/>
      <c r="X76" s="121"/>
      <c r="Y76" s="121"/>
      <c r="Z76" s="121"/>
    </row>
    <row r="161" spans="3:30" x14ac:dyDescent="0.3">
      <c r="P161" s="3">
        <f>O161/3</f>
        <v>0</v>
      </c>
      <c r="Q161" s="3">
        <f t="shared" ref="Q161:X161" si="38">P161</f>
        <v>0</v>
      </c>
      <c r="R161" s="3">
        <f t="shared" si="38"/>
        <v>0</v>
      </c>
      <c r="S161" s="3">
        <f t="shared" si="38"/>
        <v>0</v>
      </c>
      <c r="T161" s="3">
        <f t="shared" si="38"/>
        <v>0</v>
      </c>
      <c r="U161" s="3">
        <f t="shared" si="38"/>
        <v>0</v>
      </c>
      <c r="V161" s="3">
        <f t="shared" si="38"/>
        <v>0</v>
      </c>
      <c r="W161" s="3">
        <f t="shared" si="38"/>
        <v>0</v>
      </c>
      <c r="X161" s="3">
        <f t="shared" si="38"/>
        <v>0</v>
      </c>
      <c r="AA161" s="405"/>
      <c r="AB161" s="405"/>
      <c r="AC161" s="405"/>
      <c r="AD161" s="405"/>
    </row>
    <row r="162" spans="3:30" x14ac:dyDescent="0.3">
      <c r="C162" s="405"/>
      <c r="D162" s="405"/>
      <c r="E162" s="405"/>
      <c r="F162" s="405"/>
      <c r="G162" s="405"/>
      <c r="H162" s="405"/>
      <c r="I162" s="405"/>
      <c r="J162" s="405"/>
      <c r="K162" s="405"/>
      <c r="L162" s="405"/>
      <c r="M162" s="405"/>
      <c r="N162" s="405"/>
      <c r="O162" s="405"/>
      <c r="P162" s="405"/>
      <c r="Q162" s="405"/>
      <c r="R162" s="405"/>
      <c r="S162" s="405"/>
      <c r="T162" s="405"/>
      <c r="U162" s="405"/>
      <c r="V162" s="405"/>
      <c r="W162" s="405"/>
      <c r="X162" s="405"/>
      <c r="Y162" s="405"/>
      <c r="Z162" s="405"/>
      <c r="AA162" s="406"/>
      <c r="AB162" s="406"/>
      <c r="AC162" s="406"/>
      <c r="AD162" s="406"/>
    </row>
  </sheetData>
  <phoneticPr fontId="3"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F9654-AAE7-4A8C-84FD-D05FFE005882}">
  <sheetPr>
    <tabColor theme="8" tint="-0.249977111117893"/>
  </sheetPr>
  <dimension ref="A1:AK23"/>
  <sheetViews>
    <sheetView showGridLines="0" zoomScale="85" zoomScaleNormal="85" workbookViewId="0">
      <selection activeCell="M24" sqref="M24:N24"/>
    </sheetView>
  </sheetViews>
  <sheetFormatPr defaultRowHeight="12" outlineLevelCol="1" x14ac:dyDescent="0.3"/>
  <cols>
    <col min="1" max="1" width="2.625" style="3" customWidth="1"/>
    <col min="2" max="6" width="1.625" style="3" customWidth="1"/>
    <col min="7" max="11" width="9" style="3"/>
    <col min="12" max="14" width="9" style="3" hidden="1" customWidth="1"/>
    <col min="15" max="25" width="9" style="3" hidden="1" customWidth="1" outlineLevel="1"/>
    <col min="26" max="26" width="9" style="3" collapsed="1"/>
    <col min="27" max="27" width="9" style="3" customWidth="1"/>
    <col min="28" max="16384" width="9" style="3"/>
  </cols>
  <sheetData>
    <row r="1" spans="1:37" x14ac:dyDescent="0.3">
      <c r="A1" s="1" t="str">
        <f ca="1">MID(CELL("filename",A1),FIND("]",CELL("filename",A1))+1,255)</f>
        <v>CAPEX_HW</v>
      </c>
      <c r="B1" s="2"/>
      <c r="C1" s="2"/>
      <c r="D1" s="2"/>
      <c r="E1" s="2"/>
      <c r="F1" s="2"/>
      <c r="G1" s="2"/>
      <c r="H1" s="2"/>
      <c r="I1" s="2"/>
      <c r="J1" s="2"/>
      <c r="K1" s="2"/>
      <c r="L1" s="2"/>
      <c r="M1" s="2"/>
      <c r="N1" s="2"/>
      <c r="O1" s="2"/>
      <c r="P1" s="2"/>
      <c r="Q1" s="2"/>
      <c r="R1" s="2"/>
      <c r="S1" s="2"/>
      <c r="T1" s="2"/>
      <c r="U1" s="2"/>
      <c r="V1" s="2"/>
      <c r="W1" s="2"/>
      <c r="X1" s="2"/>
      <c r="Y1" s="2"/>
      <c r="Z1" s="2"/>
      <c r="AA1" s="2"/>
      <c r="AB1" s="2"/>
      <c r="AC1" s="2"/>
      <c r="AD1" s="2"/>
    </row>
    <row r="3" spans="1:37" x14ac:dyDescent="0.3">
      <c r="A3" s="4"/>
      <c r="B3" s="161" t="s">
        <v>292</v>
      </c>
      <c r="C3" s="4"/>
      <c r="D3" s="4"/>
      <c r="E3" s="4"/>
      <c r="F3" s="4"/>
      <c r="G3" s="4"/>
      <c r="H3" s="4"/>
      <c r="I3" s="4"/>
      <c r="J3" s="4"/>
      <c r="K3" s="4"/>
      <c r="L3" s="4"/>
      <c r="M3" s="4"/>
      <c r="N3" s="4"/>
      <c r="O3" s="4"/>
      <c r="P3" s="4"/>
      <c r="Q3" s="4"/>
      <c r="R3" s="4"/>
      <c r="S3" s="4"/>
      <c r="T3" s="4"/>
      <c r="U3" s="4"/>
      <c r="V3" s="4"/>
      <c r="W3" s="4"/>
      <c r="X3" s="4"/>
      <c r="Y3" s="4"/>
      <c r="Z3" s="4"/>
      <c r="AA3" s="4"/>
      <c r="AB3" s="4"/>
      <c r="AC3" s="4"/>
      <c r="AD3" s="4"/>
    </row>
    <row r="5" spans="1:37" x14ac:dyDescent="0.3">
      <c r="B5" s="8"/>
      <c r="C5" s="8"/>
      <c r="D5" s="8"/>
      <c r="E5" s="8"/>
      <c r="F5" s="8"/>
      <c r="G5" s="8"/>
      <c r="H5" s="8"/>
      <c r="I5" s="8"/>
      <c r="J5" s="8"/>
      <c r="K5" s="8"/>
      <c r="L5" s="9" t="s">
        <v>182</v>
      </c>
      <c r="M5" s="9" t="s">
        <v>183</v>
      </c>
      <c r="N5" s="10" t="s">
        <v>184</v>
      </c>
      <c r="O5" s="244" t="s">
        <v>293</v>
      </c>
      <c r="P5" s="9" t="s">
        <v>215</v>
      </c>
      <c r="Q5" s="9" t="s">
        <v>216</v>
      </c>
      <c r="R5" s="9" t="s">
        <v>217</v>
      </c>
      <c r="S5" s="9" t="s">
        <v>218</v>
      </c>
      <c r="T5" s="9" t="s">
        <v>219</v>
      </c>
      <c r="U5" s="9" t="s">
        <v>220</v>
      </c>
      <c r="V5" s="9" t="s">
        <v>221</v>
      </c>
      <c r="W5" s="9" t="s">
        <v>222</v>
      </c>
      <c r="X5" s="9" t="s">
        <v>223</v>
      </c>
      <c r="Y5" s="244" t="s">
        <v>294</v>
      </c>
      <c r="Z5" s="10" t="s">
        <v>197</v>
      </c>
      <c r="AA5" s="9" t="s">
        <v>198</v>
      </c>
      <c r="AB5" s="9" t="s">
        <v>199</v>
      </c>
      <c r="AC5" s="9" t="s">
        <v>200</v>
      </c>
      <c r="AD5" s="9" t="s">
        <v>201</v>
      </c>
    </row>
    <row r="6" spans="1:37" x14ac:dyDescent="0.3">
      <c r="B6" s="11" t="s">
        <v>420</v>
      </c>
      <c r="L6" s="16"/>
      <c r="M6" s="16"/>
      <c r="N6" s="15"/>
      <c r="O6" s="246"/>
      <c r="P6" s="16"/>
      <c r="Q6" s="16"/>
      <c r="R6" s="16"/>
      <c r="S6" s="16"/>
      <c r="T6" s="16"/>
      <c r="U6" s="16"/>
      <c r="V6" s="16"/>
      <c r="W6" s="16"/>
      <c r="X6" s="16"/>
      <c r="Y6" s="326">
        <f>Y7+Y9</f>
        <v>1372.3855469999996</v>
      </c>
      <c r="Z6" s="306"/>
      <c r="AA6" s="13">
        <f t="shared" ref="AA6:AD6" si="0">AA7+AA9</f>
        <v>1859.1249543359997</v>
      </c>
      <c r="AB6" s="13">
        <f t="shared" si="0"/>
        <v>1896.3074534227198</v>
      </c>
      <c r="AC6" s="13">
        <f t="shared" si="0"/>
        <v>1928.5446801309058</v>
      </c>
      <c r="AD6" s="13">
        <f t="shared" si="0"/>
        <v>1963.2584843732623</v>
      </c>
      <c r="AK6" s="311"/>
    </row>
    <row r="7" spans="1:37" x14ac:dyDescent="0.3">
      <c r="B7" s="11"/>
      <c r="C7" s="3" t="s">
        <v>421</v>
      </c>
      <c r="L7" s="16"/>
      <c r="M7" s="16"/>
      <c r="N7" s="15"/>
      <c r="O7" s="246"/>
      <c r="P7" s="16"/>
      <c r="Q7" s="16"/>
      <c r="R7" s="16"/>
      <c r="S7" s="16"/>
      <c r="T7" s="16"/>
      <c r="U7" s="16"/>
      <c r="V7" s="16"/>
      <c r="W7" s="16"/>
      <c r="X7" s="16"/>
      <c r="Y7" s="246">
        <f>Y8</f>
        <v>0</v>
      </c>
      <c r="Z7" s="306"/>
      <c r="AA7" s="16">
        <f t="shared" ref="AA7:AD7" si="1">AA8</f>
        <v>0</v>
      </c>
      <c r="AB7" s="16">
        <f t="shared" si="1"/>
        <v>0</v>
      </c>
      <c r="AC7" s="16">
        <f t="shared" si="1"/>
        <v>0</v>
      </c>
      <c r="AD7" s="16">
        <f t="shared" si="1"/>
        <v>0</v>
      </c>
      <c r="AK7" s="311"/>
    </row>
    <row r="8" spans="1:37" x14ac:dyDescent="0.3">
      <c r="B8" s="11"/>
      <c r="D8" s="3" t="s">
        <v>422</v>
      </c>
      <c r="L8" s="16"/>
      <c r="M8" s="16"/>
      <c r="N8" s="15"/>
      <c r="O8" s="246"/>
      <c r="P8" s="16"/>
      <c r="Q8" s="16"/>
      <c r="R8" s="16"/>
      <c r="S8" s="16"/>
      <c r="T8" s="16"/>
      <c r="U8" s="16"/>
      <c r="V8" s="16"/>
      <c r="W8" s="16"/>
      <c r="X8" s="16"/>
      <c r="Y8" s="246">
        <f>Y16</f>
        <v>0</v>
      </c>
      <c r="Z8" s="306"/>
      <c r="AA8" s="16">
        <f t="shared" ref="AA8:AD8" si="2">AA16</f>
        <v>0</v>
      </c>
      <c r="AB8" s="16">
        <f t="shared" si="2"/>
        <v>0</v>
      </c>
      <c r="AC8" s="16">
        <f t="shared" si="2"/>
        <v>0</v>
      </c>
      <c r="AD8" s="16">
        <f t="shared" si="2"/>
        <v>0</v>
      </c>
      <c r="AK8" s="311"/>
    </row>
    <row r="9" spans="1:37" x14ac:dyDescent="0.3">
      <c r="B9" s="11"/>
      <c r="C9" s="3" t="s">
        <v>423</v>
      </c>
      <c r="L9" s="16"/>
      <c r="M9" s="16"/>
      <c r="N9" s="15"/>
      <c r="O9" s="246"/>
      <c r="P9" s="16"/>
      <c r="Q9" s="16"/>
      <c r="R9" s="16"/>
      <c r="S9" s="16"/>
      <c r="T9" s="16"/>
      <c r="U9" s="16"/>
      <c r="V9" s="16"/>
      <c r="W9" s="16"/>
      <c r="X9" s="16"/>
      <c r="Y9" s="246">
        <f>Y10</f>
        <v>1372.3855469999996</v>
      </c>
      <c r="Z9" s="306"/>
      <c r="AA9" s="16">
        <f t="shared" ref="AA9:AD9" si="3">AA10</f>
        <v>1859.1249543359997</v>
      </c>
      <c r="AB9" s="16">
        <f t="shared" si="3"/>
        <v>1896.3074534227198</v>
      </c>
      <c r="AC9" s="16">
        <f t="shared" si="3"/>
        <v>1928.5446801309058</v>
      </c>
      <c r="AD9" s="16">
        <f t="shared" si="3"/>
        <v>1963.2584843732623</v>
      </c>
      <c r="AK9" s="311"/>
    </row>
    <row r="10" spans="1:37" x14ac:dyDescent="0.3">
      <c r="B10" s="65"/>
      <c r="C10" s="92"/>
      <c r="D10" s="92" t="s">
        <v>424</v>
      </c>
      <c r="E10" s="92"/>
      <c r="F10" s="92"/>
      <c r="G10" s="92"/>
      <c r="H10" s="92"/>
      <c r="I10" s="92"/>
      <c r="J10" s="92"/>
      <c r="K10" s="92"/>
      <c r="L10" s="130"/>
      <c r="M10" s="130"/>
      <c r="N10" s="131"/>
      <c r="O10" s="330"/>
      <c r="P10" s="130"/>
      <c r="Q10" s="130"/>
      <c r="R10" s="130"/>
      <c r="S10" s="130"/>
      <c r="T10" s="130"/>
      <c r="U10" s="130"/>
      <c r="V10" s="130"/>
      <c r="W10" s="130"/>
      <c r="X10" s="130"/>
      <c r="Y10" s="330">
        <f>Y19</f>
        <v>1372.3855469999996</v>
      </c>
      <c r="Z10" s="315"/>
      <c r="AA10" s="130">
        <f t="shared" ref="AA10:AD10" si="4">AA19</f>
        <v>1859.1249543359997</v>
      </c>
      <c r="AB10" s="130">
        <f t="shared" si="4"/>
        <v>1896.3074534227198</v>
      </c>
      <c r="AC10" s="130">
        <f t="shared" si="4"/>
        <v>1928.5446801309058</v>
      </c>
      <c r="AD10" s="130">
        <f t="shared" si="4"/>
        <v>1963.2584843732623</v>
      </c>
      <c r="AK10" s="311"/>
    </row>
    <row r="11" spans="1:37" x14ac:dyDescent="0.3">
      <c r="B11" s="11"/>
      <c r="L11" s="16"/>
      <c r="M11" s="16"/>
      <c r="N11" s="15"/>
      <c r="O11" s="246"/>
      <c r="P11" s="16"/>
      <c r="Q11" s="16"/>
      <c r="R11" s="16"/>
      <c r="S11" s="16"/>
      <c r="T11" s="16"/>
      <c r="U11" s="16"/>
      <c r="V11" s="16"/>
      <c r="W11" s="16"/>
      <c r="X11" s="16"/>
      <c r="Y11" s="16"/>
      <c r="Z11" s="16"/>
      <c r="AA11" s="16"/>
      <c r="AB11" s="16"/>
      <c r="AC11" s="16"/>
      <c r="AD11" s="16"/>
      <c r="AK11" s="311"/>
    </row>
    <row r="12" spans="1:37" x14ac:dyDescent="0.3">
      <c r="B12" s="8"/>
      <c r="C12" s="8"/>
      <c r="D12" s="8"/>
      <c r="E12" s="8"/>
      <c r="F12" s="8"/>
      <c r="G12" s="8"/>
      <c r="H12" s="8"/>
      <c r="I12" s="8"/>
      <c r="J12" s="8"/>
      <c r="K12" s="8"/>
      <c r="L12" s="9" t="s">
        <v>425</v>
      </c>
      <c r="M12" s="9" t="s">
        <v>426</v>
      </c>
      <c r="N12" s="10" t="s">
        <v>414</v>
      </c>
      <c r="O12" s="244" t="s">
        <v>4</v>
      </c>
      <c r="P12" s="9" t="s">
        <v>188</v>
      </c>
      <c r="Q12" s="9" t="s">
        <v>189</v>
      </c>
      <c r="R12" s="9" t="s">
        <v>190</v>
      </c>
      <c r="S12" s="9" t="s">
        <v>191</v>
      </c>
      <c r="T12" s="9" t="s">
        <v>192</v>
      </c>
      <c r="U12" s="9" t="s">
        <v>193</v>
      </c>
      <c r="V12" s="9" t="s">
        <v>194</v>
      </c>
      <c r="W12" s="9" t="s">
        <v>195</v>
      </c>
      <c r="X12" s="9" t="s">
        <v>196</v>
      </c>
      <c r="Y12" s="407" t="s">
        <v>5</v>
      </c>
      <c r="Z12" s="10" t="s">
        <v>427</v>
      </c>
      <c r="AA12" s="9" t="s">
        <v>428</v>
      </c>
      <c r="AB12" s="9" t="s">
        <v>429</v>
      </c>
      <c r="AC12" s="9" t="s">
        <v>430</v>
      </c>
      <c r="AD12" s="9" t="s">
        <v>431</v>
      </c>
      <c r="AK12" s="311"/>
    </row>
    <row r="13" spans="1:37" x14ac:dyDescent="0.3">
      <c r="B13" s="11" t="s">
        <v>23</v>
      </c>
      <c r="L13" s="16"/>
      <c r="M13" s="16"/>
      <c r="N13" s="124"/>
      <c r="O13" s="326">
        <f t="shared" ref="O13:AD13" si="5">O14+O17</f>
        <v>457.46184899999997</v>
      </c>
      <c r="P13" s="13">
        <f t="shared" si="5"/>
        <v>152.48728299999999</v>
      </c>
      <c r="Q13" s="13">
        <f t="shared" si="5"/>
        <v>152.48728299999999</v>
      </c>
      <c r="R13" s="13">
        <f t="shared" si="5"/>
        <v>152.48728299999999</v>
      </c>
      <c r="S13" s="13">
        <f t="shared" si="5"/>
        <v>152.48728299999999</v>
      </c>
      <c r="T13" s="13">
        <f t="shared" si="5"/>
        <v>152.48728299999999</v>
      </c>
      <c r="U13" s="13">
        <f t="shared" si="5"/>
        <v>152.48728299999999</v>
      </c>
      <c r="V13" s="13">
        <f t="shared" si="5"/>
        <v>152.48728299999999</v>
      </c>
      <c r="W13" s="13">
        <f t="shared" si="5"/>
        <v>152.48728299999999</v>
      </c>
      <c r="X13" s="13">
        <f t="shared" si="5"/>
        <v>152.48728299999999</v>
      </c>
      <c r="Y13" s="395">
        <f t="shared" si="5"/>
        <v>1372.3855469999996</v>
      </c>
      <c r="Z13" s="326">
        <f t="shared" si="5"/>
        <v>1829.8473959999997</v>
      </c>
      <c r="AA13" s="13">
        <f t="shared" si="5"/>
        <v>1859.1249543359997</v>
      </c>
      <c r="AB13" s="13">
        <f t="shared" si="5"/>
        <v>1896.3074534227198</v>
      </c>
      <c r="AC13" s="13">
        <f t="shared" si="5"/>
        <v>1928.5446801309058</v>
      </c>
      <c r="AD13" s="13">
        <f t="shared" si="5"/>
        <v>1963.2584843732623</v>
      </c>
      <c r="AK13" s="311"/>
    </row>
    <row r="14" spans="1:37" x14ac:dyDescent="0.3">
      <c r="B14" s="11"/>
      <c r="C14" s="3" t="s">
        <v>421</v>
      </c>
      <c r="L14" s="16"/>
      <c r="M14" s="16"/>
      <c r="N14" s="124"/>
      <c r="O14" s="246">
        <f t="shared" ref="O14:AD14" si="6">O15+O16</f>
        <v>0</v>
      </c>
      <c r="P14" s="16">
        <f t="shared" si="6"/>
        <v>0</v>
      </c>
      <c r="Q14" s="16">
        <f t="shared" si="6"/>
        <v>0</v>
      </c>
      <c r="R14" s="16">
        <f t="shared" si="6"/>
        <v>0</v>
      </c>
      <c r="S14" s="16">
        <f t="shared" si="6"/>
        <v>0</v>
      </c>
      <c r="T14" s="16">
        <f t="shared" si="6"/>
        <v>0</v>
      </c>
      <c r="U14" s="16">
        <f t="shared" si="6"/>
        <v>0</v>
      </c>
      <c r="V14" s="16">
        <f t="shared" si="6"/>
        <v>0</v>
      </c>
      <c r="W14" s="16">
        <f t="shared" si="6"/>
        <v>0</v>
      </c>
      <c r="X14" s="16">
        <f t="shared" si="6"/>
        <v>0</v>
      </c>
      <c r="Y14" s="246">
        <f t="shared" si="6"/>
        <v>0</v>
      </c>
      <c r="Z14" s="246">
        <f t="shared" si="6"/>
        <v>0</v>
      </c>
      <c r="AA14" s="16">
        <f t="shared" si="6"/>
        <v>0</v>
      </c>
      <c r="AB14" s="16">
        <f t="shared" si="6"/>
        <v>0</v>
      </c>
      <c r="AC14" s="16">
        <f t="shared" si="6"/>
        <v>0</v>
      </c>
      <c r="AD14" s="16">
        <f t="shared" si="6"/>
        <v>0</v>
      </c>
      <c r="AK14" s="311"/>
    </row>
    <row r="15" spans="1:37" x14ac:dyDescent="0.3">
      <c r="D15" s="3" t="s">
        <v>432</v>
      </c>
      <c r="L15" s="16"/>
      <c r="M15" s="16"/>
      <c r="N15" s="15"/>
      <c r="O15" s="119">
        <v>0</v>
      </c>
      <c r="P15" s="119">
        <f t="shared" ref="P15:X16" si="7">$O15/3</f>
        <v>0</v>
      </c>
      <c r="Q15" s="119">
        <f t="shared" si="7"/>
        <v>0</v>
      </c>
      <c r="R15" s="119">
        <f t="shared" si="7"/>
        <v>0</v>
      </c>
      <c r="S15" s="119">
        <f t="shared" si="7"/>
        <v>0</v>
      </c>
      <c r="T15" s="119">
        <f t="shared" si="7"/>
        <v>0</v>
      </c>
      <c r="U15" s="119">
        <f t="shared" si="7"/>
        <v>0</v>
      </c>
      <c r="V15" s="119">
        <f t="shared" si="7"/>
        <v>0</v>
      </c>
      <c r="W15" s="119">
        <f t="shared" si="7"/>
        <v>0</v>
      </c>
      <c r="X15" s="119">
        <f t="shared" si="7"/>
        <v>0</v>
      </c>
      <c r="Y15" s="119">
        <f>SUM(P15:X15)</f>
        <v>0</v>
      </c>
      <c r="Z15" s="119">
        <f>O15+Y15</f>
        <v>0</v>
      </c>
      <c r="AA15" s="119"/>
      <c r="AB15" s="119"/>
      <c r="AC15" s="119"/>
      <c r="AD15" s="119"/>
      <c r="AK15" s="311"/>
    </row>
    <row r="16" spans="1:37" x14ac:dyDescent="0.3">
      <c r="D16" s="3" t="s">
        <v>422</v>
      </c>
      <c r="L16" s="16"/>
      <c r="M16" s="16"/>
      <c r="N16" s="15"/>
      <c r="O16" s="246">
        <v>0</v>
      </c>
      <c r="P16" s="16">
        <f>$O16/3</f>
        <v>0</v>
      </c>
      <c r="Q16" s="16">
        <f t="shared" si="7"/>
        <v>0</v>
      </c>
      <c r="R16" s="16">
        <f t="shared" si="7"/>
        <v>0</v>
      </c>
      <c r="S16" s="16">
        <f t="shared" si="7"/>
        <v>0</v>
      </c>
      <c r="T16" s="16">
        <f t="shared" si="7"/>
        <v>0</v>
      </c>
      <c r="U16" s="16">
        <f t="shared" si="7"/>
        <v>0</v>
      </c>
      <c r="V16" s="16">
        <f t="shared" si="7"/>
        <v>0</v>
      </c>
      <c r="W16" s="16">
        <f t="shared" si="7"/>
        <v>0</v>
      </c>
      <c r="X16" s="16">
        <f t="shared" si="7"/>
        <v>0</v>
      </c>
      <c r="Y16" s="246">
        <f>SUM(P16:X16)</f>
        <v>0</v>
      </c>
      <c r="Z16" s="246">
        <f>O16+Y16</f>
        <v>0</v>
      </c>
      <c r="AA16" s="16"/>
      <c r="AB16" s="16"/>
      <c r="AC16" s="16"/>
      <c r="AD16" s="16"/>
      <c r="AK16" s="311"/>
    </row>
    <row r="17" spans="2:37" x14ac:dyDescent="0.3">
      <c r="C17" s="3" t="s">
        <v>433</v>
      </c>
      <c r="L17" s="16"/>
      <c r="M17" s="16"/>
      <c r="N17" s="15"/>
      <c r="O17" s="246">
        <f t="shared" ref="O17:AD17" si="8">O18+O19</f>
        <v>457.46184899999997</v>
      </c>
      <c r="P17" s="16">
        <f t="shared" si="8"/>
        <v>152.48728299999999</v>
      </c>
      <c r="Q17" s="16">
        <f t="shared" si="8"/>
        <v>152.48728299999999</v>
      </c>
      <c r="R17" s="16">
        <f t="shared" si="8"/>
        <v>152.48728299999999</v>
      </c>
      <c r="S17" s="16">
        <f t="shared" si="8"/>
        <v>152.48728299999999</v>
      </c>
      <c r="T17" s="16">
        <f t="shared" si="8"/>
        <v>152.48728299999999</v>
      </c>
      <c r="U17" s="16">
        <f t="shared" si="8"/>
        <v>152.48728299999999</v>
      </c>
      <c r="V17" s="16">
        <f t="shared" si="8"/>
        <v>152.48728299999999</v>
      </c>
      <c r="W17" s="16">
        <f t="shared" si="8"/>
        <v>152.48728299999999</v>
      </c>
      <c r="X17" s="16">
        <f t="shared" si="8"/>
        <v>152.48728299999999</v>
      </c>
      <c r="Y17" s="246">
        <f t="shared" si="8"/>
        <v>1372.3855469999996</v>
      </c>
      <c r="Z17" s="246">
        <f t="shared" si="8"/>
        <v>1829.8473959999997</v>
      </c>
      <c r="AA17" s="16">
        <f t="shared" si="8"/>
        <v>1859.1249543359997</v>
      </c>
      <c r="AB17" s="16">
        <f t="shared" si="8"/>
        <v>1896.3074534227198</v>
      </c>
      <c r="AC17" s="16">
        <f t="shared" si="8"/>
        <v>1928.5446801309058</v>
      </c>
      <c r="AD17" s="16">
        <f t="shared" si="8"/>
        <v>1963.2584843732623</v>
      </c>
      <c r="AK17" s="311"/>
    </row>
    <row r="18" spans="2:37" x14ac:dyDescent="0.3">
      <c r="D18" s="3" t="s">
        <v>432</v>
      </c>
      <c r="L18" s="16"/>
      <c r="M18" s="16"/>
      <c r="N18" s="15"/>
      <c r="O18" s="119">
        <v>0</v>
      </c>
      <c r="P18" s="119">
        <f t="shared" ref="P18:X19" si="9">$O18/3</f>
        <v>0</v>
      </c>
      <c r="Q18" s="119">
        <f t="shared" si="9"/>
        <v>0</v>
      </c>
      <c r="R18" s="119">
        <f t="shared" si="9"/>
        <v>0</v>
      </c>
      <c r="S18" s="119">
        <f t="shared" si="9"/>
        <v>0</v>
      </c>
      <c r="T18" s="119">
        <f t="shared" si="9"/>
        <v>0</v>
      </c>
      <c r="U18" s="119">
        <f t="shared" si="9"/>
        <v>0</v>
      </c>
      <c r="V18" s="119">
        <f t="shared" si="9"/>
        <v>0</v>
      </c>
      <c r="W18" s="119">
        <f t="shared" si="9"/>
        <v>0</v>
      </c>
      <c r="X18" s="119">
        <f t="shared" si="9"/>
        <v>0</v>
      </c>
      <c r="Y18" s="119">
        <f>SUM(P18:X18)</f>
        <v>0</v>
      </c>
      <c r="Z18" s="119">
        <f>O18+Y18</f>
        <v>0</v>
      </c>
      <c r="AA18" s="119"/>
      <c r="AB18" s="119"/>
      <c r="AC18" s="119"/>
      <c r="AD18" s="119"/>
      <c r="AK18" s="311"/>
    </row>
    <row r="19" spans="2:37" x14ac:dyDescent="0.3">
      <c r="B19" s="92"/>
      <c r="C19" s="92"/>
      <c r="D19" s="92" t="s">
        <v>422</v>
      </c>
      <c r="E19" s="92"/>
      <c r="F19" s="92"/>
      <c r="G19" s="92"/>
      <c r="H19" s="92"/>
      <c r="I19" s="92"/>
      <c r="J19" s="92"/>
      <c r="K19" s="92"/>
      <c r="L19" s="130"/>
      <c r="M19" s="130"/>
      <c r="N19" s="131"/>
      <c r="O19" s="330">
        <f>'SG&amp;A_HW'!O52</f>
        <v>457.46184899999997</v>
      </c>
      <c r="P19" s="130">
        <f t="shared" si="9"/>
        <v>152.48728299999999</v>
      </c>
      <c r="Q19" s="130">
        <f t="shared" si="9"/>
        <v>152.48728299999999</v>
      </c>
      <c r="R19" s="130">
        <f t="shared" si="9"/>
        <v>152.48728299999999</v>
      </c>
      <c r="S19" s="130">
        <f t="shared" si="9"/>
        <v>152.48728299999999</v>
      </c>
      <c r="T19" s="130">
        <f t="shared" si="9"/>
        <v>152.48728299999999</v>
      </c>
      <c r="U19" s="130">
        <f t="shared" si="9"/>
        <v>152.48728299999999</v>
      </c>
      <c r="V19" s="130">
        <f t="shared" si="9"/>
        <v>152.48728299999999</v>
      </c>
      <c r="W19" s="130">
        <f t="shared" si="9"/>
        <v>152.48728299999999</v>
      </c>
      <c r="X19" s="130">
        <f t="shared" si="9"/>
        <v>152.48728299999999</v>
      </c>
      <c r="Y19" s="330">
        <f>SUM(P19:X19)</f>
        <v>1372.3855469999996</v>
      </c>
      <c r="Z19" s="330">
        <f>O19+Y19</f>
        <v>1829.8473959999997</v>
      </c>
      <c r="AA19" s="130">
        <f>Z19*(1+'Key Assumption'!AB$13)</f>
        <v>1859.1249543359997</v>
      </c>
      <c r="AB19" s="130">
        <f>AA19*(1+'Key Assumption'!AC$13)</f>
        <v>1896.3074534227198</v>
      </c>
      <c r="AC19" s="130">
        <f>AB19*(1+'Key Assumption'!AD$13)</f>
        <v>1928.5446801309058</v>
      </c>
      <c r="AD19" s="130">
        <f>AC19*(1+'Key Assumption'!AE$13)</f>
        <v>1963.2584843732623</v>
      </c>
      <c r="AK19" s="311"/>
    </row>
    <row r="20" spans="2:37" x14ac:dyDescent="0.3">
      <c r="AK20" s="311"/>
    </row>
    <row r="23" spans="2:37" x14ac:dyDescent="0.3">
      <c r="O23" s="146"/>
    </row>
  </sheetData>
  <phoneticPr fontId="3"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3D0B2-B22A-4FA4-BA04-6B98991694C3}">
  <sheetPr>
    <tabColor theme="8" tint="-0.249977111117893"/>
  </sheetPr>
  <dimension ref="A1:V54"/>
  <sheetViews>
    <sheetView showGridLines="0" topLeftCell="A5" workbookViewId="0">
      <selection activeCell="M24" sqref="M24:N24"/>
    </sheetView>
  </sheetViews>
  <sheetFormatPr defaultRowHeight="12" x14ac:dyDescent="0.3"/>
  <cols>
    <col min="1" max="1" width="2.625" style="3" customWidth="1"/>
    <col min="2" max="6" width="1.625" style="3" customWidth="1"/>
    <col min="7" max="11" width="9" style="3"/>
    <col min="12" max="13" width="9" style="3" customWidth="1"/>
    <col min="14" max="14" width="9" style="3"/>
    <col min="15" max="22" width="9" style="3" customWidth="1"/>
    <col min="23" max="16384" width="9" style="3"/>
  </cols>
  <sheetData>
    <row r="1" spans="1:22" x14ac:dyDescent="0.3">
      <c r="A1" s="1" t="str">
        <f ca="1">MID(CELL("filename",A1),FIND("]",CELL("filename",A1))+1,255)</f>
        <v>NWC_연결</v>
      </c>
      <c r="B1" s="2"/>
      <c r="C1" s="2"/>
      <c r="D1" s="2"/>
      <c r="E1" s="2"/>
      <c r="F1" s="2"/>
      <c r="G1" s="2"/>
      <c r="H1" s="2"/>
      <c r="I1" s="2"/>
      <c r="J1" s="2"/>
      <c r="K1" s="2"/>
      <c r="L1" s="2"/>
      <c r="M1" s="2"/>
      <c r="N1" s="2"/>
      <c r="O1" s="2"/>
      <c r="P1" s="2"/>
      <c r="Q1" s="2"/>
      <c r="R1" s="2"/>
      <c r="S1" s="2"/>
      <c r="T1" s="2"/>
      <c r="U1" s="2"/>
      <c r="V1" s="2"/>
    </row>
    <row r="3" spans="1:22" x14ac:dyDescent="0.3">
      <c r="A3" s="4"/>
      <c r="B3" s="161" t="s">
        <v>292</v>
      </c>
      <c r="C3" s="4"/>
      <c r="D3" s="4"/>
      <c r="E3" s="4"/>
      <c r="F3" s="4"/>
      <c r="G3" s="4"/>
      <c r="H3" s="4"/>
      <c r="I3" s="4"/>
      <c r="J3" s="4"/>
      <c r="K3" s="4"/>
      <c r="L3" s="4"/>
      <c r="M3" s="4"/>
      <c r="N3" s="4"/>
      <c r="O3" s="4"/>
      <c r="P3" s="4"/>
      <c r="Q3" s="4"/>
      <c r="R3" s="4"/>
      <c r="S3" s="4"/>
      <c r="T3" s="4"/>
      <c r="U3" s="4"/>
      <c r="V3" s="4"/>
    </row>
    <row r="5" spans="1:22" x14ac:dyDescent="0.3">
      <c r="B5" s="518"/>
      <c r="C5" s="518"/>
      <c r="D5" s="518"/>
      <c r="E5" s="518"/>
      <c r="F5" s="408"/>
      <c r="G5" s="408"/>
      <c r="H5" s="408"/>
      <c r="I5" s="408"/>
      <c r="J5" s="408"/>
      <c r="K5" s="9" t="s">
        <v>211</v>
      </c>
      <c r="L5" s="9" t="s">
        <v>182</v>
      </c>
      <c r="M5" s="9" t="s">
        <v>183</v>
      </c>
      <c r="N5" s="10" t="s">
        <v>184</v>
      </c>
      <c r="O5" s="233" t="s">
        <v>293</v>
      </c>
      <c r="P5" s="10" t="s">
        <v>294</v>
      </c>
      <c r="Q5" s="233" t="s">
        <v>197</v>
      </c>
      <c r="R5" s="9" t="s">
        <v>198</v>
      </c>
      <c r="S5" s="9" t="s">
        <v>199</v>
      </c>
      <c r="T5" s="9" t="s">
        <v>200</v>
      </c>
      <c r="U5" s="9" t="s">
        <v>201</v>
      </c>
      <c r="V5" s="9" t="s">
        <v>27</v>
      </c>
    </row>
    <row r="6" spans="1:22" x14ac:dyDescent="0.3">
      <c r="B6" s="11" t="s">
        <v>434</v>
      </c>
      <c r="C6" s="11"/>
      <c r="D6" s="11"/>
      <c r="E6" s="11"/>
      <c r="F6" s="11"/>
      <c r="G6" s="11"/>
      <c r="H6" s="11"/>
      <c r="I6" s="11"/>
      <c r="J6" s="11"/>
      <c r="K6" s="13"/>
      <c r="L6" s="13">
        <f>L7-K7</f>
        <v>-47572.090973000042</v>
      </c>
      <c r="M6" s="13">
        <f>M7-L7</f>
        <v>-29183.720602999965</v>
      </c>
      <c r="N6" s="13">
        <f>N7-M7</f>
        <v>-12889.659738000046</v>
      </c>
      <c r="O6" s="396">
        <f>O7-N7</f>
        <v>3792.0324259999907</v>
      </c>
      <c r="P6" s="12">
        <f>P7-O7</f>
        <v>-16257.033508374094</v>
      </c>
      <c r="Q6" s="13">
        <f>Q7-N7</f>
        <v>-12465.001082374103</v>
      </c>
      <c r="R6" s="13">
        <f>R7-Q7</f>
        <v>-9574.7874443378532</v>
      </c>
      <c r="S6" s="13">
        <f>S7-R7</f>
        <v>20834.398655807949</v>
      </c>
      <c r="T6" s="13">
        <f>T7-S7</f>
        <v>20951.381015220279</v>
      </c>
      <c r="U6" s="13">
        <f>U7-T7</f>
        <v>20590.111461572145</v>
      </c>
      <c r="V6" s="13">
        <f>V7-U7</f>
        <v>1079.4050529595115</v>
      </c>
    </row>
    <row r="7" spans="1:22" x14ac:dyDescent="0.3">
      <c r="B7" s="65" t="s">
        <v>435</v>
      </c>
      <c r="C7" s="65"/>
      <c r="D7" s="65"/>
      <c r="E7" s="11"/>
      <c r="F7" s="11"/>
      <c r="G7" s="11"/>
      <c r="H7" s="11"/>
      <c r="I7" s="11"/>
      <c r="J7" s="11"/>
      <c r="K7" s="93">
        <f t="shared" ref="K7:V7" si="0">K8-K36</f>
        <v>265190.37930000003</v>
      </c>
      <c r="L7" s="93">
        <f t="shared" si="0"/>
        <v>217618.28832699999</v>
      </c>
      <c r="M7" s="93">
        <f t="shared" si="0"/>
        <v>188434.56772400002</v>
      </c>
      <c r="N7" s="93">
        <f t="shared" si="0"/>
        <v>175544.90798599998</v>
      </c>
      <c r="O7" s="409">
        <f t="shared" si="0"/>
        <v>179336.94041199997</v>
      </c>
      <c r="P7" s="116">
        <f t="shared" si="0"/>
        <v>163079.90690362587</v>
      </c>
      <c r="Q7" s="93">
        <f t="shared" si="0"/>
        <v>163079.90690362587</v>
      </c>
      <c r="R7" s="93">
        <f t="shared" si="0"/>
        <v>153505.11945928802</v>
      </c>
      <c r="S7" s="93">
        <f t="shared" si="0"/>
        <v>174339.51811509597</v>
      </c>
      <c r="T7" s="93">
        <f t="shared" si="0"/>
        <v>195290.89913031625</v>
      </c>
      <c r="U7" s="93">
        <f t="shared" si="0"/>
        <v>215881.01059188839</v>
      </c>
      <c r="V7" s="93">
        <f t="shared" si="0"/>
        <v>216960.4156448479</v>
      </c>
    </row>
    <row r="8" spans="1:22" s="11" customFormat="1" x14ac:dyDescent="0.3">
      <c r="B8" s="410" t="s">
        <v>74</v>
      </c>
      <c r="C8" s="410"/>
      <c r="D8" s="410"/>
      <c r="E8" s="410"/>
      <c r="F8" s="410"/>
      <c r="G8" s="410"/>
      <c r="H8" s="410"/>
      <c r="I8" s="410"/>
      <c r="J8" s="410"/>
      <c r="K8" s="411">
        <f>K9+K12+K21+K27+K33+K24+K18+K30+K15</f>
        <v>310760.73720000003</v>
      </c>
      <c r="L8" s="411">
        <f t="shared" ref="L8:V8" si="1">L9+L12+L21+L27+L33+L24+L18+L30+L15</f>
        <v>296182.390013</v>
      </c>
      <c r="M8" s="411">
        <f t="shared" si="1"/>
        <v>275437.11626000004</v>
      </c>
      <c r="N8" s="411">
        <f t="shared" si="1"/>
        <v>224805.55161165798</v>
      </c>
      <c r="O8" s="412">
        <f t="shared" si="1"/>
        <v>225839.02918327597</v>
      </c>
      <c r="P8" s="413">
        <f t="shared" si="1"/>
        <v>223065.66013277517</v>
      </c>
      <c r="Q8" s="411">
        <f t="shared" si="1"/>
        <v>223065.66013277517</v>
      </c>
      <c r="R8" s="411">
        <f t="shared" si="1"/>
        <v>209778.16263536</v>
      </c>
      <c r="S8" s="411">
        <f t="shared" si="1"/>
        <v>238194.96953527193</v>
      </c>
      <c r="T8" s="411">
        <f t="shared" si="1"/>
        <v>266698.39064581908</v>
      </c>
      <c r="U8" s="411">
        <f t="shared" si="1"/>
        <v>294867.15349734231</v>
      </c>
      <c r="V8" s="411">
        <f t="shared" si="1"/>
        <v>296341.48926482908</v>
      </c>
    </row>
    <row r="9" spans="1:22" x14ac:dyDescent="0.3">
      <c r="B9" s="6"/>
      <c r="C9" s="6" t="s">
        <v>436</v>
      </c>
      <c r="D9" s="6"/>
      <c r="E9" s="6"/>
      <c r="F9" s="6"/>
      <c r="G9" s="6"/>
      <c r="H9" s="6"/>
      <c r="I9" s="6"/>
      <c r="J9" s="6"/>
      <c r="K9" s="19">
        <v>105441.925252</v>
      </c>
      <c r="L9" s="19">
        <v>101196.20183400001</v>
      </c>
      <c r="M9" s="19">
        <v>84333.457146999994</v>
      </c>
      <c r="N9" s="19">
        <v>76242.912591999993</v>
      </c>
      <c r="O9" s="414">
        <v>82165.750872171993</v>
      </c>
      <c r="P9" s="18">
        <f>Q9</f>
        <v>84100.814464299794</v>
      </c>
      <c r="Q9" s="19">
        <f t="shared" ref="Q9:V9" si="2">Q46/Q10</f>
        <v>84100.814464299794</v>
      </c>
      <c r="R9" s="19">
        <f t="shared" si="2"/>
        <v>80362.917321816931</v>
      </c>
      <c r="S9" s="19">
        <f t="shared" si="2"/>
        <v>90789.48602566465</v>
      </c>
      <c r="T9" s="19">
        <f t="shared" si="2"/>
        <v>101243.86249079146</v>
      </c>
      <c r="U9" s="19">
        <f t="shared" si="2"/>
        <v>112067.98712466189</v>
      </c>
      <c r="V9" s="19">
        <f t="shared" si="2"/>
        <v>112628.32706028517</v>
      </c>
    </row>
    <row r="10" spans="1:22" x14ac:dyDescent="0.3">
      <c r="B10" s="6"/>
      <c r="C10" s="6"/>
      <c r="D10" s="6" t="s">
        <v>437</v>
      </c>
      <c r="E10" s="6"/>
      <c r="F10" s="415"/>
      <c r="G10" s="415"/>
      <c r="H10" s="415"/>
      <c r="I10" s="415"/>
      <c r="J10" s="415"/>
      <c r="K10" s="416"/>
      <c r="L10" s="415">
        <f>L46/AVERAGE(K9:L9)</f>
        <v>4.3810730758086462</v>
      </c>
      <c r="M10" s="415">
        <f>M46/AVERAGE(L9:M9)</f>
        <v>4.7503999694100525</v>
      </c>
      <c r="N10" s="415">
        <f>N46/AVERAGE(M9:N9)</f>
        <v>5.2901355153608556</v>
      </c>
      <c r="O10" s="417">
        <f>O46/AVERAGE(N9:O9)*4</f>
        <v>4.5308824466556556</v>
      </c>
      <c r="P10" s="418"/>
      <c r="Q10" s="415">
        <f t="shared" ref="Q10:V10" si="3">365/Q11</f>
        <v>4.7786357087980509</v>
      </c>
      <c r="R10" s="415">
        <f t="shared" si="3"/>
        <v>4.7786357087980509</v>
      </c>
      <c r="S10" s="415">
        <f t="shared" si="3"/>
        <v>4.7786357087980509</v>
      </c>
      <c r="T10" s="415">
        <f t="shared" si="3"/>
        <v>4.7786357087980509</v>
      </c>
      <c r="U10" s="415">
        <f t="shared" si="3"/>
        <v>4.7786357087980509</v>
      </c>
      <c r="V10" s="415">
        <f t="shared" si="3"/>
        <v>4.7786357087980509</v>
      </c>
    </row>
    <row r="11" spans="1:22" x14ac:dyDescent="0.3">
      <c r="B11" s="6"/>
      <c r="C11" s="6"/>
      <c r="D11" s="6" t="s">
        <v>438</v>
      </c>
      <c r="E11" s="6"/>
      <c r="G11" s="415"/>
      <c r="H11" s="419">
        <f>AVERAGE(L11:N11)</f>
        <v>76.381633219705463</v>
      </c>
      <c r="I11" s="415"/>
      <c r="J11" s="415"/>
      <c r="K11" s="416"/>
      <c r="L11" s="415">
        <f>365/L10</f>
        <v>83.312922127561023</v>
      </c>
      <c r="M11" s="415">
        <f>365/M10</f>
        <v>76.835635388682647</v>
      </c>
      <c r="N11" s="415">
        <f>365/N10</f>
        <v>68.996342142872734</v>
      </c>
      <c r="O11" s="417">
        <f>365/O10</f>
        <v>80.558258638869461</v>
      </c>
      <c r="P11" s="418"/>
      <c r="Q11" s="415">
        <f t="shared" ref="Q11:V11" si="4">$H11</f>
        <v>76.381633219705463</v>
      </c>
      <c r="R11" s="415">
        <f t="shared" si="4"/>
        <v>76.381633219705463</v>
      </c>
      <c r="S11" s="415">
        <f t="shared" si="4"/>
        <v>76.381633219705463</v>
      </c>
      <c r="T11" s="415">
        <f t="shared" si="4"/>
        <v>76.381633219705463</v>
      </c>
      <c r="U11" s="415">
        <f t="shared" si="4"/>
        <v>76.381633219705463</v>
      </c>
      <c r="V11" s="415">
        <f t="shared" si="4"/>
        <v>76.381633219705463</v>
      </c>
    </row>
    <row r="12" spans="1:22" x14ac:dyDescent="0.3">
      <c r="B12" s="6"/>
      <c r="C12" s="6" t="s">
        <v>439</v>
      </c>
      <c r="D12" s="6"/>
      <c r="E12" s="6"/>
      <c r="F12" s="6"/>
      <c r="G12" s="6"/>
      <c r="H12" s="6"/>
      <c r="I12" s="6"/>
      <c r="J12" s="6"/>
      <c r="K12" s="19">
        <v>52516.678247000003</v>
      </c>
      <c r="L12" s="19">
        <v>68062.258853000007</v>
      </c>
      <c r="M12" s="19">
        <v>64500.430897999999</v>
      </c>
      <c r="N12" s="19">
        <v>40453.077791000003</v>
      </c>
      <c r="O12" s="420">
        <v>40726.625745999998</v>
      </c>
      <c r="P12" s="18">
        <f>Q12</f>
        <v>48003.936820579678</v>
      </c>
      <c r="Q12" s="19">
        <f t="shared" ref="Q12:V12" si="5">Q47/Q13</f>
        <v>48003.936820579678</v>
      </c>
      <c r="R12" s="19">
        <f t="shared" si="5"/>
        <v>44523.416542690087</v>
      </c>
      <c r="S12" s="19">
        <f t="shared" si="5"/>
        <v>50662.124138476247</v>
      </c>
      <c r="T12" s="19">
        <f t="shared" si="5"/>
        <v>56752.095288620338</v>
      </c>
      <c r="U12" s="19">
        <f t="shared" si="5"/>
        <v>62747.954962667121</v>
      </c>
      <c r="V12" s="19">
        <f t="shared" si="5"/>
        <v>63061.694737480451</v>
      </c>
    </row>
    <row r="13" spans="1:22" x14ac:dyDescent="0.3">
      <c r="B13" s="6"/>
      <c r="C13" s="6"/>
      <c r="D13" s="6" t="s">
        <v>437</v>
      </c>
      <c r="E13" s="6"/>
      <c r="F13" s="415"/>
      <c r="G13" s="415"/>
      <c r="H13" s="415"/>
      <c r="I13" s="415"/>
      <c r="J13" s="415"/>
      <c r="K13" s="416"/>
      <c r="L13" s="415">
        <f>L47/AVERAGE(K12:L12)</f>
        <v>6.8601767600421146</v>
      </c>
      <c r="M13" s="415">
        <f>M47/AVERAGE(L12:M12)</f>
        <v>5.4931821954714586</v>
      </c>
      <c r="N13" s="415">
        <f>N47/AVERAGE(M12:N12)</f>
        <v>6.6580802280432838</v>
      </c>
      <c r="O13" s="417">
        <f>O47/AVERAGE(N12:O12)*4</f>
        <v>6.9132671732930033</v>
      </c>
      <c r="P13" s="418"/>
      <c r="Q13" s="415">
        <f t="shared" ref="Q13:V13" si="6">365/Q14</f>
        <v>6.2760701902584515</v>
      </c>
      <c r="R13" s="415">
        <f t="shared" si="6"/>
        <v>6.2760701902584515</v>
      </c>
      <c r="S13" s="415">
        <f t="shared" si="6"/>
        <v>6.2760701902584515</v>
      </c>
      <c r="T13" s="415">
        <f t="shared" si="6"/>
        <v>6.2760701902584515</v>
      </c>
      <c r="U13" s="415">
        <f t="shared" si="6"/>
        <v>6.2760701902584515</v>
      </c>
      <c r="V13" s="415">
        <f t="shared" si="6"/>
        <v>6.2760701902584515</v>
      </c>
    </row>
    <row r="14" spans="1:22" x14ac:dyDescent="0.3">
      <c r="B14" s="6"/>
      <c r="C14" s="6"/>
      <c r="D14" s="6" t="s">
        <v>438</v>
      </c>
      <c r="E14" s="6"/>
      <c r="G14" s="415"/>
      <c r="H14" s="419">
        <f>AVERAGE(L14:N14)</f>
        <v>58.157412032539604</v>
      </c>
      <c r="I14" s="415"/>
      <c r="J14" s="415"/>
      <c r="K14" s="416"/>
      <c r="L14" s="415">
        <f>365/L13</f>
        <v>53.205626147417121</v>
      </c>
      <c r="M14" s="415">
        <f>365/M13</f>
        <v>66.446002883520492</v>
      </c>
      <c r="N14" s="415">
        <f>365/N13</f>
        <v>54.820607066681198</v>
      </c>
      <c r="O14" s="417">
        <f>365/O13</f>
        <v>52.797033710782969</v>
      </c>
      <c r="P14" s="418"/>
      <c r="Q14" s="415">
        <f t="shared" ref="Q14:V14" si="7">$H14</f>
        <v>58.157412032539604</v>
      </c>
      <c r="R14" s="415">
        <f t="shared" si="7"/>
        <v>58.157412032539604</v>
      </c>
      <c r="S14" s="415">
        <f t="shared" si="7"/>
        <v>58.157412032539604</v>
      </c>
      <c r="T14" s="415">
        <f t="shared" si="7"/>
        <v>58.157412032539604</v>
      </c>
      <c r="U14" s="415">
        <f t="shared" si="7"/>
        <v>58.157412032539604</v>
      </c>
      <c r="V14" s="415">
        <f t="shared" si="7"/>
        <v>58.157412032539604</v>
      </c>
    </row>
    <row r="15" spans="1:22" x14ac:dyDescent="0.3">
      <c r="B15" s="6"/>
      <c r="C15" s="6" t="s">
        <v>440</v>
      </c>
      <c r="D15" s="6"/>
      <c r="E15" s="6"/>
      <c r="G15" s="415"/>
      <c r="H15" s="415"/>
      <c r="I15" s="415"/>
      <c r="J15" s="415"/>
      <c r="K15" s="19">
        <v>96.095433999999997</v>
      </c>
      <c r="L15" s="19">
        <v>141.62016</v>
      </c>
      <c r="M15" s="19">
        <v>171.840969</v>
      </c>
      <c r="N15" s="19">
        <v>484.844492</v>
      </c>
      <c r="O15" s="420">
        <v>215.06551899999999</v>
      </c>
      <c r="P15" s="18">
        <f>Q15</f>
        <v>166.46405269191661</v>
      </c>
      <c r="Q15" s="19">
        <f>Q47/Q16</f>
        <v>166.46405269191661</v>
      </c>
      <c r="R15" s="19">
        <f t="shared" ref="R15:V15" si="8">R47/R16</f>
        <v>154.39459444936864</v>
      </c>
      <c r="S15" s="19">
        <f t="shared" si="8"/>
        <v>175.68189320789733</v>
      </c>
      <c r="T15" s="19">
        <f t="shared" si="8"/>
        <v>196.80018778067142</v>
      </c>
      <c r="U15" s="19">
        <f t="shared" si="8"/>
        <v>217.59213041746722</v>
      </c>
      <c r="V15" s="19">
        <f t="shared" si="8"/>
        <v>218.68009106955452</v>
      </c>
    </row>
    <row r="16" spans="1:22" x14ac:dyDescent="0.3">
      <c r="B16" s="6"/>
      <c r="C16" s="6"/>
      <c r="D16" s="6" t="s">
        <v>437</v>
      </c>
      <c r="E16" s="6"/>
      <c r="G16" s="415"/>
      <c r="H16" s="415"/>
      <c r="I16" s="415"/>
      <c r="J16" s="415"/>
      <c r="K16" s="416"/>
      <c r="L16" s="415">
        <f>L47/AVERAGE(K15:L15)</f>
        <v>3479.7583453612219</v>
      </c>
      <c r="M16" s="415">
        <f>M47/AVERAGE(L15:M15)</f>
        <v>2323.0663701335675</v>
      </c>
      <c r="N16" s="415">
        <f>N47/AVERAGE(M15:N15)</f>
        <v>1064.1150483244824</v>
      </c>
      <c r="O16" s="417">
        <f>O47/AVERAGE(N15:O15)*4</f>
        <v>801.84162360838127</v>
      </c>
      <c r="P16" s="418"/>
      <c r="Q16" s="415">
        <f>365/Q17</f>
        <v>1809.8566748959126</v>
      </c>
      <c r="R16" s="415">
        <f t="shared" ref="R16:V16" si="9">365/R17</f>
        <v>1809.8566748959126</v>
      </c>
      <c r="S16" s="415">
        <f t="shared" si="9"/>
        <v>1809.8566748959126</v>
      </c>
      <c r="T16" s="415">
        <f t="shared" si="9"/>
        <v>1809.8566748959126</v>
      </c>
      <c r="U16" s="415">
        <f t="shared" si="9"/>
        <v>1809.8566748959126</v>
      </c>
      <c r="V16" s="415">
        <f t="shared" si="9"/>
        <v>1809.8566748959126</v>
      </c>
    </row>
    <row r="17" spans="2:22" x14ac:dyDescent="0.3">
      <c r="B17" s="6"/>
      <c r="C17" s="6"/>
      <c r="D17" s="6" t="s">
        <v>438</v>
      </c>
      <c r="E17" s="6"/>
      <c r="G17" s="415"/>
      <c r="H17" s="419">
        <f>AVERAGE(L17:N17)</f>
        <v>0.20167342810225106</v>
      </c>
      <c r="I17" s="415"/>
      <c r="J17" s="415"/>
      <c r="K17" s="416"/>
      <c r="L17" s="415">
        <f>365/L16</f>
        <v>0.10489234129909403</v>
      </c>
      <c r="M17" s="415">
        <f t="shared" ref="M17:O17" si="10">365/M16</f>
        <v>0.15711991904002892</v>
      </c>
      <c r="N17" s="415">
        <f t="shared" si="10"/>
        <v>0.34300802396763019</v>
      </c>
      <c r="O17" s="417">
        <f t="shared" si="10"/>
        <v>0.45520211130654109</v>
      </c>
      <c r="P17" s="418"/>
      <c r="Q17" s="415">
        <f>$H$17</f>
        <v>0.20167342810225106</v>
      </c>
      <c r="R17" s="415">
        <f t="shared" ref="R17:V17" si="11">$H$17</f>
        <v>0.20167342810225106</v>
      </c>
      <c r="S17" s="415">
        <f t="shared" si="11"/>
        <v>0.20167342810225106</v>
      </c>
      <c r="T17" s="415">
        <f t="shared" si="11"/>
        <v>0.20167342810225106</v>
      </c>
      <c r="U17" s="415">
        <f t="shared" si="11"/>
        <v>0.20167342810225106</v>
      </c>
      <c r="V17" s="415">
        <f t="shared" si="11"/>
        <v>0.20167342810225106</v>
      </c>
    </row>
    <row r="18" spans="2:22" x14ac:dyDescent="0.3">
      <c r="B18" s="6"/>
      <c r="C18" s="6" t="s">
        <v>441</v>
      </c>
      <c r="D18" s="6"/>
      <c r="E18" s="6"/>
      <c r="F18" s="6"/>
      <c r="G18" s="6"/>
      <c r="H18" s="6"/>
      <c r="I18" s="6"/>
      <c r="J18" s="6"/>
      <c r="K18" s="19">
        <v>3737.3757209999999</v>
      </c>
      <c r="L18" s="19">
        <v>11678.956903</v>
      </c>
      <c r="M18" s="19">
        <v>3744.504445</v>
      </c>
      <c r="N18" s="19">
        <v>3017.3541140000002</v>
      </c>
      <c r="O18" s="420">
        <v>9552.1098970000003</v>
      </c>
      <c r="P18" s="18">
        <f>Q18</f>
        <v>4970.4510657777555</v>
      </c>
      <c r="Q18" s="19">
        <f t="shared" ref="Q18:V18" si="12">Q47/Q19</f>
        <v>4970.4510657777555</v>
      </c>
      <c r="R18" s="19">
        <f t="shared" si="12"/>
        <v>4610.0690456664206</v>
      </c>
      <c r="S18" s="19">
        <f t="shared" si="12"/>
        <v>5245.6866164922476</v>
      </c>
      <c r="T18" s="19">
        <f t="shared" si="12"/>
        <v>5876.2578904051934</v>
      </c>
      <c r="U18" s="19">
        <f t="shared" si="12"/>
        <v>6497.0846200650676</v>
      </c>
      <c r="V18" s="19">
        <f t="shared" si="12"/>
        <v>6529.5700431653922</v>
      </c>
    </row>
    <row r="19" spans="2:22" x14ac:dyDescent="0.3">
      <c r="B19" s="6"/>
      <c r="C19" s="6"/>
      <c r="D19" s="6" t="s">
        <v>437</v>
      </c>
      <c r="E19" s="6"/>
      <c r="F19" s="415"/>
      <c r="G19" s="415"/>
      <c r="H19" s="415"/>
      <c r="I19" s="415"/>
      <c r="J19" s="415"/>
      <c r="K19" s="416"/>
      <c r="L19" s="415">
        <f>L47/AVERAGE(K18:L18)</f>
        <v>53.656913237343758</v>
      </c>
      <c r="M19" s="415">
        <f>M47/AVERAGE(L18:M18)</f>
        <v>47.213202710714889</v>
      </c>
      <c r="N19" s="415">
        <f>N47/AVERAGE(M18:N18)</f>
        <v>103.34272374507383</v>
      </c>
      <c r="O19" s="417">
        <f>O47/AVERAGE(N18:O18)*4</f>
        <v>44.649237159902633</v>
      </c>
      <c r="P19" s="418"/>
      <c r="Q19" s="415">
        <f t="shared" ref="Q19:V19" si="13">365/Q20</f>
        <v>60.613427817249367</v>
      </c>
      <c r="R19" s="415">
        <f t="shared" si="13"/>
        <v>60.613427817249367</v>
      </c>
      <c r="S19" s="415">
        <f t="shared" si="13"/>
        <v>60.613427817249367</v>
      </c>
      <c r="T19" s="415">
        <f t="shared" si="13"/>
        <v>60.613427817249367</v>
      </c>
      <c r="U19" s="415">
        <f t="shared" si="13"/>
        <v>60.613427817249367</v>
      </c>
      <c r="V19" s="415">
        <f t="shared" si="13"/>
        <v>60.613427817249367</v>
      </c>
    </row>
    <row r="20" spans="2:22" x14ac:dyDescent="0.3">
      <c r="B20" s="6"/>
      <c r="C20" s="6"/>
      <c r="D20" s="6" t="s">
        <v>438</v>
      </c>
      <c r="E20" s="6"/>
      <c r="G20" s="415"/>
      <c r="H20" s="419">
        <f>AVERAGE(L20:N20)</f>
        <v>6.0217679999963361</v>
      </c>
      <c r="I20" s="415"/>
      <c r="J20" s="415"/>
      <c r="K20" s="416"/>
      <c r="L20" s="415">
        <f>365/L19</f>
        <v>6.8024785247238171</v>
      </c>
      <c r="M20" s="415">
        <f>365/M19</f>
        <v>7.7308883753646391</v>
      </c>
      <c r="N20" s="415">
        <f>365/N19</f>
        <v>3.5319370999005524</v>
      </c>
      <c r="O20" s="417">
        <f>365/O19</f>
        <v>8.1748317153285939</v>
      </c>
      <c r="P20" s="418"/>
      <c r="Q20" s="415">
        <f t="shared" ref="Q20:V20" si="14">$H20</f>
        <v>6.0217679999963361</v>
      </c>
      <c r="R20" s="415">
        <f t="shared" si="14"/>
        <v>6.0217679999963361</v>
      </c>
      <c r="S20" s="415">
        <f t="shared" si="14"/>
        <v>6.0217679999963361</v>
      </c>
      <c r="T20" s="415">
        <f t="shared" si="14"/>
        <v>6.0217679999963361</v>
      </c>
      <c r="U20" s="415">
        <f t="shared" si="14"/>
        <v>6.0217679999963361</v>
      </c>
      <c r="V20" s="415">
        <f t="shared" si="14"/>
        <v>6.0217679999963361</v>
      </c>
    </row>
    <row r="21" spans="2:22" x14ac:dyDescent="0.3">
      <c r="B21" s="6"/>
      <c r="C21" s="6" t="s">
        <v>442</v>
      </c>
      <c r="D21" s="6"/>
      <c r="E21" s="6"/>
      <c r="F21" s="6"/>
      <c r="G21" s="6"/>
      <c r="H21" s="6"/>
      <c r="I21" s="6"/>
      <c r="J21" s="6"/>
      <c r="K21" s="19">
        <v>17540.896970999998</v>
      </c>
      <c r="L21" s="19">
        <v>19044.332504999998</v>
      </c>
      <c r="M21" s="19">
        <v>15176.007141</v>
      </c>
      <c r="N21" s="19">
        <v>12580.185906000001</v>
      </c>
      <c r="O21" s="420">
        <v>7742.0806000000002</v>
      </c>
      <c r="P21" s="421"/>
      <c r="Q21" s="120"/>
      <c r="R21" s="120"/>
      <c r="S21" s="120"/>
      <c r="T21" s="120"/>
      <c r="U21" s="120"/>
      <c r="V21" s="120"/>
    </row>
    <row r="22" spans="2:22" x14ac:dyDescent="0.3">
      <c r="B22" s="6"/>
      <c r="C22" s="6"/>
      <c r="D22" s="6" t="s">
        <v>437</v>
      </c>
      <c r="E22" s="6"/>
      <c r="F22" s="415"/>
      <c r="G22" s="415"/>
      <c r="H22" s="415"/>
      <c r="I22" s="415"/>
      <c r="J22" s="415"/>
      <c r="K22" s="416"/>
      <c r="L22" s="415">
        <f>L51/AVERAGE(K21:L21)</f>
        <v>18.458449179415506</v>
      </c>
      <c r="M22" s="415">
        <f>M51/AVERAGE(L21:M21)</f>
        <v>18.223201998081066</v>
      </c>
      <c r="N22" s="415">
        <f>N51/AVERAGE(M21:N21)</f>
        <v>22.880999730784154</v>
      </c>
      <c r="O22" s="417">
        <f>O51/AVERAGE(N21:O21)*4</f>
        <v>24.392913574952011</v>
      </c>
      <c r="P22" s="418"/>
      <c r="Q22" s="415">
        <f t="shared" ref="Q22:V22" si="15">365/Q23</f>
        <v>19.639264094327469</v>
      </c>
      <c r="R22" s="415">
        <f t="shared" si="15"/>
        <v>19.639264094327469</v>
      </c>
      <c r="S22" s="415">
        <f t="shared" si="15"/>
        <v>19.639264094327469</v>
      </c>
      <c r="T22" s="415">
        <f t="shared" si="15"/>
        <v>19.639264094327469</v>
      </c>
      <c r="U22" s="415">
        <f t="shared" si="15"/>
        <v>19.639264094327469</v>
      </c>
      <c r="V22" s="415">
        <f t="shared" si="15"/>
        <v>19.639264094327469</v>
      </c>
    </row>
    <row r="23" spans="2:22" x14ac:dyDescent="0.3">
      <c r="B23" s="6"/>
      <c r="C23" s="6"/>
      <c r="D23" s="6" t="s">
        <v>438</v>
      </c>
      <c r="E23" s="6"/>
      <c r="G23" s="415"/>
      <c r="H23" s="419">
        <f>AVERAGE(L23:N23)</f>
        <v>18.585217768186396</v>
      </c>
      <c r="I23" s="415"/>
      <c r="J23" s="415"/>
      <c r="K23" s="416"/>
      <c r="L23" s="415">
        <f>365/L22</f>
        <v>19.774142261476698</v>
      </c>
      <c r="M23" s="415">
        <f>365/M22</f>
        <v>20.029410859761917</v>
      </c>
      <c r="N23" s="415">
        <f>365/N22</f>
        <v>15.952100183320578</v>
      </c>
      <c r="O23" s="417">
        <f>365/O22</f>
        <v>14.963362161656741</v>
      </c>
      <c r="P23" s="418"/>
      <c r="Q23" s="415">
        <f t="shared" ref="Q23:V23" si="16">$H23</f>
        <v>18.585217768186396</v>
      </c>
      <c r="R23" s="415">
        <f t="shared" si="16"/>
        <v>18.585217768186396</v>
      </c>
      <c r="S23" s="415">
        <f t="shared" si="16"/>
        <v>18.585217768186396</v>
      </c>
      <c r="T23" s="415">
        <f t="shared" si="16"/>
        <v>18.585217768186396</v>
      </c>
      <c r="U23" s="415">
        <f t="shared" si="16"/>
        <v>18.585217768186396</v>
      </c>
      <c r="V23" s="415">
        <f t="shared" si="16"/>
        <v>18.585217768186396</v>
      </c>
    </row>
    <row r="24" spans="2:22" x14ac:dyDescent="0.3">
      <c r="B24" s="6"/>
      <c r="C24" s="6" t="s">
        <v>443</v>
      </c>
      <c r="D24" s="6"/>
      <c r="E24" s="6"/>
      <c r="F24" s="6"/>
      <c r="G24" s="6"/>
      <c r="H24" s="6"/>
      <c r="I24" s="6"/>
      <c r="J24" s="6"/>
      <c r="K24" s="19">
        <v>1566.339354</v>
      </c>
      <c r="L24" s="19">
        <v>1674.0061450000001</v>
      </c>
      <c r="M24" s="19">
        <v>4865.4948510000004</v>
      </c>
      <c r="N24" s="19">
        <v>6270.0368120000003</v>
      </c>
      <c r="O24" s="420">
        <v>4419.4442849999996</v>
      </c>
      <c r="P24" s="18">
        <f>Q24</f>
        <v>4020.169926477533</v>
      </c>
      <c r="Q24" s="19">
        <f t="shared" ref="Q24:V24" si="17">Q52/Q25</f>
        <v>4020.169926477533</v>
      </c>
      <c r="R24" s="19">
        <f t="shared" si="17"/>
        <v>4179.8510780525557</v>
      </c>
      <c r="S24" s="19">
        <f t="shared" si="17"/>
        <v>4923.8767556517969</v>
      </c>
      <c r="T24" s="19">
        <f t="shared" si="17"/>
        <v>5860.1216027735172</v>
      </c>
      <c r="U24" s="19">
        <f t="shared" si="17"/>
        <v>6339.5568028073722</v>
      </c>
      <c r="V24" s="19">
        <f t="shared" si="17"/>
        <v>6371.2545868214083</v>
      </c>
    </row>
    <row r="25" spans="2:22" x14ac:dyDescent="0.3">
      <c r="B25" s="6"/>
      <c r="C25" s="6"/>
      <c r="D25" s="6" t="s">
        <v>437</v>
      </c>
      <c r="E25" s="6"/>
      <c r="F25" s="415"/>
      <c r="G25" s="415"/>
      <c r="H25" s="415"/>
      <c r="I25" s="415"/>
      <c r="J25" s="415"/>
      <c r="K25" s="416"/>
      <c r="L25" s="415">
        <f>L52/AVERAGE(K24:L24)</f>
        <v>29.55827662376073</v>
      </c>
      <c r="M25" s="415">
        <f>M52/AVERAGE(L24:M24)</f>
        <v>11.868241603980634</v>
      </c>
      <c r="N25" s="415">
        <f>N52/AVERAGE(M24:N24)</f>
        <v>5.2641654431978413</v>
      </c>
      <c r="O25" s="417">
        <f>O52/AVERAGE(N24:O24)*4</f>
        <v>7.290947734205063</v>
      </c>
      <c r="P25" s="418"/>
      <c r="Q25" s="415">
        <f t="shared" ref="Q25:V25" si="18">365/Q26</f>
        <v>9.7385654077015342</v>
      </c>
      <c r="R25" s="415">
        <f t="shared" si="18"/>
        <v>9.7385654077015342</v>
      </c>
      <c r="S25" s="415">
        <f t="shared" si="18"/>
        <v>9.7385654077015342</v>
      </c>
      <c r="T25" s="415">
        <f t="shared" si="18"/>
        <v>9.7385654077015342</v>
      </c>
      <c r="U25" s="415">
        <f t="shared" si="18"/>
        <v>9.7385654077015342</v>
      </c>
      <c r="V25" s="415">
        <f t="shared" si="18"/>
        <v>9.7385654077015342</v>
      </c>
    </row>
    <row r="26" spans="2:22" x14ac:dyDescent="0.3">
      <c r="B26" s="6"/>
      <c r="C26" s="6"/>
      <c r="D26" s="6" t="s">
        <v>438</v>
      </c>
      <c r="E26" s="6"/>
      <c r="G26" s="415"/>
      <c r="H26" s="419">
        <f>AVERAGE(L26:N26)</f>
        <v>37.479853009083619</v>
      </c>
      <c r="I26" s="415"/>
      <c r="J26" s="415"/>
      <c r="K26" s="416"/>
      <c r="L26" s="415">
        <f>365/L25</f>
        <v>12.348487181644106</v>
      </c>
      <c r="M26" s="415">
        <f>365/M25</f>
        <v>30.754345266916221</v>
      </c>
      <c r="N26" s="415">
        <f>365/N25</f>
        <v>69.336726578690531</v>
      </c>
      <c r="O26" s="417">
        <f>365/O25</f>
        <v>50.062078800486177</v>
      </c>
      <c r="P26" s="418"/>
      <c r="Q26" s="415">
        <f t="shared" ref="Q26:V26" si="19">$H26</f>
        <v>37.479853009083619</v>
      </c>
      <c r="R26" s="415">
        <f t="shared" si="19"/>
        <v>37.479853009083619</v>
      </c>
      <c r="S26" s="415">
        <f t="shared" si="19"/>
        <v>37.479853009083619</v>
      </c>
      <c r="T26" s="415">
        <f t="shared" si="19"/>
        <v>37.479853009083619</v>
      </c>
      <c r="U26" s="415">
        <f t="shared" si="19"/>
        <v>37.479853009083619</v>
      </c>
      <c r="V26" s="415">
        <f t="shared" si="19"/>
        <v>37.479853009083619</v>
      </c>
    </row>
    <row r="27" spans="2:22" x14ac:dyDescent="0.3">
      <c r="B27" s="6"/>
      <c r="C27" s="6" t="s">
        <v>444</v>
      </c>
      <c r="D27" s="6"/>
      <c r="E27" s="6"/>
      <c r="F27" s="6"/>
      <c r="G27" s="6"/>
      <c r="H27" s="6"/>
      <c r="I27" s="6"/>
      <c r="J27" s="6"/>
      <c r="K27" s="19">
        <v>63884.109394999999</v>
      </c>
      <c r="L27" s="19">
        <v>65151.578264999996</v>
      </c>
      <c r="M27" s="19">
        <v>72333.672575999997</v>
      </c>
      <c r="N27" s="19">
        <v>54689.814757</v>
      </c>
      <c r="O27" s="420">
        <v>57389.976552</v>
      </c>
      <c r="P27" s="18">
        <f>Q27</f>
        <v>52881.255511400144</v>
      </c>
      <c r="Q27" s="19">
        <f t="shared" ref="Q27:V27" si="20">Q47/Q28</f>
        <v>52881.255511400144</v>
      </c>
      <c r="R27" s="19">
        <f t="shared" si="20"/>
        <v>49047.105766232104</v>
      </c>
      <c r="S27" s="19">
        <f t="shared" si="20"/>
        <v>55809.521234277054</v>
      </c>
      <c r="T27" s="19">
        <f t="shared" si="20"/>
        <v>62518.248513281425</v>
      </c>
      <c r="U27" s="19">
        <f t="shared" si="20"/>
        <v>69123.302357486929</v>
      </c>
      <c r="V27" s="19">
        <f t="shared" si="20"/>
        <v>69468.918869274363</v>
      </c>
    </row>
    <row r="28" spans="2:22" x14ac:dyDescent="0.3">
      <c r="B28" s="6"/>
      <c r="C28" s="6"/>
      <c r="D28" s="6" t="s">
        <v>437</v>
      </c>
      <c r="E28" s="6"/>
      <c r="F28" s="415"/>
      <c r="G28" s="415"/>
      <c r="H28" s="415"/>
      <c r="I28" s="415"/>
      <c r="J28" s="415"/>
      <c r="K28" s="416"/>
      <c r="L28" s="415">
        <f>L47/AVERAGE(K27:L27)</f>
        <v>6.4105739818552774</v>
      </c>
      <c r="M28" s="415">
        <f>M47/AVERAGE(L27:M27)</f>
        <v>5.2965027351635259</v>
      </c>
      <c r="N28" s="415">
        <f>N47/AVERAGE(M27:N27)</f>
        <v>5.5012572535824127</v>
      </c>
      <c r="O28" s="417">
        <f>O47/AVERAGE(N27:O27)*4</f>
        <v>5.0072985776065977</v>
      </c>
      <c r="P28" s="418"/>
      <c r="Q28" s="415">
        <f t="shared" ref="Q28:V28" si="21">365/Q29</f>
        <v>5.6972186832769323</v>
      </c>
      <c r="R28" s="415">
        <f t="shared" si="21"/>
        <v>5.6972186832769323</v>
      </c>
      <c r="S28" s="415">
        <f t="shared" si="21"/>
        <v>5.6972186832769323</v>
      </c>
      <c r="T28" s="415">
        <f t="shared" si="21"/>
        <v>5.6972186832769323</v>
      </c>
      <c r="U28" s="415">
        <f t="shared" si="21"/>
        <v>5.6972186832769323</v>
      </c>
      <c r="V28" s="415">
        <f t="shared" si="21"/>
        <v>5.6972186832769323</v>
      </c>
    </row>
    <row r="29" spans="2:22" x14ac:dyDescent="0.3">
      <c r="B29" s="6"/>
      <c r="C29" s="6"/>
      <c r="D29" s="6" t="s">
        <v>438</v>
      </c>
      <c r="E29" s="6"/>
      <c r="G29" s="415"/>
      <c r="H29" s="419">
        <f>AVERAGE(L29:N29)</f>
        <v>64.066348913617432</v>
      </c>
      <c r="I29" s="415"/>
      <c r="J29" s="415"/>
      <c r="K29" s="416"/>
      <c r="L29" s="415">
        <f>365/L28</f>
        <v>56.937179265555521</v>
      </c>
      <c r="M29" s="415">
        <f>365/M28</f>
        <v>68.91339781187348</v>
      </c>
      <c r="N29" s="415">
        <f>365/N28</f>
        <v>66.348469663423288</v>
      </c>
      <c r="O29" s="417">
        <f>365/O28</f>
        <v>72.893596086387902</v>
      </c>
      <c r="P29" s="418"/>
      <c r="Q29" s="415">
        <f t="shared" ref="Q29:V29" si="22">$H29</f>
        <v>64.066348913617432</v>
      </c>
      <c r="R29" s="415">
        <f t="shared" si="22"/>
        <v>64.066348913617432</v>
      </c>
      <c r="S29" s="415">
        <f t="shared" si="22"/>
        <v>64.066348913617432</v>
      </c>
      <c r="T29" s="415">
        <f t="shared" si="22"/>
        <v>64.066348913617432</v>
      </c>
      <c r="U29" s="415">
        <f t="shared" si="22"/>
        <v>64.066348913617432</v>
      </c>
      <c r="V29" s="415">
        <f t="shared" si="22"/>
        <v>64.066348913617432</v>
      </c>
    </row>
    <row r="30" spans="2:22" x14ac:dyDescent="0.3">
      <c r="B30" s="6"/>
      <c r="C30" s="6" t="s">
        <v>445</v>
      </c>
      <c r="D30" s="6"/>
      <c r="E30" s="6"/>
      <c r="F30" s="6"/>
      <c r="G30" s="6"/>
      <c r="H30" s="6"/>
      <c r="I30" s="6"/>
      <c r="J30" s="6"/>
      <c r="K30" s="19">
        <v>61956.738361000003</v>
      </c>
      <c r="L30" s="19">
        <v>26513.721693</v>
      </c>
      <c r="M30" s="19">
        <v>27572.659239000001</v>
      </c>
      <c r="N30" s="19">
        <v>28473.156953999998</v>
      </c>
      <c r="O30" s="420">
        <v>22502.015544000002</v>
      </c>
      <c r="P30" s="18">
        <f>Q30</f>
        <v>26254.387882663956</v>
      </c>
      <c r="Q30" s="19">
        <f>Q47/Q31</f>
        <v>26254.387882663956</v>
      </c>
      <c r="R30" s="19">
        <f t="shared" ref="R30:V30" si="23">R47/R31</f>
        <v>24350.81631205028</v>
      </c>
      <c r="S30" s="19">
        <f t="shared" si="23"/>
        <v>27708.207830175335</v>
      </c>
      <c r="T30" s="19">
        <f t="shared" si="23"/>
        <v>31038.94433555234</v>
      </c>
      <c r="U30" s="19">
        <f t="shared" si="23"/>
        <v>34318.209245861966</v>
      </c>
      <c r="V30" s="19">
        <f t="shared" si="23"/>
        <v>34489.800292091277</v>
      </c>
    </row>
    <row r="31" spans="2:22" x14ac:dyDescent="0.3">
      <c r="B31" s="6"/>
      <c r="C31" s="6"/>
      <c r="D31" s="6" t="s">
        <v>437</v>
      </c>
      <c r="E31" s="6"/>
      <c r="F31" s="415"/>
      <c r="G31" s="415"/>
      <c r="H31" s="415"/>
      <c r="I31" s="415"/>
      <c r="J31" s="415"/>
      <c r="K31" s="416"/>
      <c r="L31" s="415">
        <f>L47/AVERAGE(K30:L30)</f>
        <v>9.3499324129105208</v>
      </c>
      <c r="M31" s="415">
        <f t="shared" ref="M31:N31" si="24">M47/AVERAGE(L30:M30)</f>
        <v>13.463481833615688</v>
      </c>
      <c r="N31" s="415">
        <f t="shared" si="24"/>
        <v>12.468172087273077</v>
      </c>
      <c r="O31" s="417">
        <f>O47/AVERAGE(N30:O30)*4</f>
        <v>11.009614133665153</v>
      </c>
      <c r="P31" s="418"/>
      <c r="Q31" s="415">
        <f t="shared" ref="Q31:V31" si="25">365/Q32</f>
        <v>11.475265705723267</v>
      </c>
      <c r="R31" s="415">
        <f t="shared" si="25"/>
        <v>11.475265705723267</v>
      </c>
      <c r="S31" s="415">
        <f t="shared" si="25"/>
        <v>11.475265705723267</v>
      </c>
      <c r="T31" s="415">
        <f t="shared" si="25"/>
        <v>11.475265705723267</v>
      </c>
      <c r="U31" s="415">
        <f t="shared" si="25"/>
        <v>11.475265705723267</v>
      </c>
      <c r="V31" s="415">
        <f t="shared" si="25"/>
        <v>11.475265705723267</v>
      </c>
    </row>
    <row r="32" spans="2:22" x14ac:dyDescent="0.3">
      <c r="B32" s="6"/>
      <c r="C32" s="6"/>
      <c r="D32" s="6" t="s">
        <v>438</v>
      </c>
      <c r="E32" s="6"/>
      <c r="G32" s="415"/>
      <c r="H32" s="419">
        <f>AVERAGE(L32:N32)</f>
        <v>31.807542357642919</v>
      </c>
      <c r="I32" s="415"/>
      <c r="J32" s="415"/>
      <c r="K32" s="416"/>
      <c r="L32" s="415">
        <f>365/L31</f>
        <v>39.037715341771111</v>
      </c>
      <c r="M32" s="415">
        <f>365/M31</f>
        <v>27.110371931328061</v>
      </c>
      <c r="N32" s="415">
        <f>365/N31</f>
        <v>29.274539799829586</v>
      </c>
      <c r="O32" s="417">
        <f>365/O31</f>
        <v>33.15284219488715</v>
      </c>
      <c r="P32" s="418"/>
      <c r="Q32" s="415">
        <f t="shared" ref="Q32:V32" si="26">$H32</f>
        <v>31.807542357642919</v>
      </c>
      <c r="R32" s="415">
        <f t="shared" si="26"/>
        <v>31.807542357642919</v>
      </c>
      <c r="S32" s="415">
        <f t="shared" si="26"/>
        <v>31.807542357642919</v>
      </c>
      <c r="T32" s="415">
        <f t="shared" si="26"/>
        <v>31.807542357642919</v>
      </c>
      <c r="U32" s="415">
        <f t="shared" si="26"/>
        <v>31.807542357642919</v>
      </c>
      <c r="V32" s="415">
        <f t="shared" si="26"/>
        <v>31.807542357642919</v>
      </c>
    </row>
    <row r="33" spans="2:22" x14ac:dyDescent="0.3">
      <c r="B33" s="6"/>
      <c r="C33" s="6" t="s">
        <v>446</v>
      </c>
      <c r="D33" s="6"/>
      <c r="E33" s="6"/>
      <c r="F33" s="6"/>
      <c r="G33" s="6"/>
      <c r="H33" s="6"/>
      <c r="I33" s="6"/>
      <c r="J33" s="6"/>
      <c r="K33" s="19">
        <v>4020.5784650000001</v>
      </c>
      <c r="L33" s="19">
        <v>2719.713655</v>
      </c>
      <c r="M33" s="19">
        <v>2739.0489940000002</v>
      </c>
      <c r="N33" s="19">
        <v>2594.1681936579998</v>
      </c>
      <c r="O33" s="420">
        <v>1125.9601681040001</v>
      </c>
      <c r="P33" s="18">
        <f>Q33</f>
        <v>2668.1804088844133</v>
      </c>
      <c r="Q33" s="19">
        <f t="shared" ref="Q33:V33" si="27">Q46/Q34</f>
        <v>2668.1804088844133</v>
      </c>
      <c r="R33" s="19">
        <f t="shared" si="27"/>
        <v>2549.5919744022308</v>
      </c>
      <c r="S33" s="19">
        <f t="shared" si="27"/>
        <v>2880.3850413267282</v>
      </c>
      <c r="T33" s="19">
        <f t="shared" si="27"/>
        <v>3212.0603366140826</v>
      </c>
      <c r="U33" s="19">
        <f t="shared" si="27"/>
        <v>3555.4662533745663</v>
      </c>
      <c r="V33" s="19">
        <f t="shared" si="27"/>
        <v>3573.2435846414387</v>
      </c>
    </row>
    <row r="34" spans="2:22" x14ac:dyDescent="0.3">
      <c r="B34" s="6"/>
      <c r="C34" s="6"/>
      <c r="D34" s="6" t="s">
        <v>437</v>
      </c>
      <c r="E34" s="6"/>
      <c r="F34" s="415"/>
      <c r="G34" s="415"/>
      <c r="H34" s="415"/>
      <c r="I34" s="415"/>
      <c r="J34" s="415"/>
      <c r="K34" s="416"/>
      <c r="L34" s="415">
        <f>L46/AVERAGE(K33:L33)</f>
        <v>134.31120178393692</v>
      </c>
      <c r="M34" s="415">
        <f>M46/AVERAGE(L33:M33)</f>
        <v>161.45418715163484</v>
      </c>
      <c r="N34" s="415">
        <f>N46/AVERAGE(M33:N33)</f>
        <v>159.27923551469542</v>
      </c>
      <c r="O34" s="417">
        <f>O46/AVERAGE(N33:O33)*4</f>
        <v>192.931792371824</v>
      </c>
      <c r="P34" s="418"/>
      <c r="Q34" s="415">
        <f t="shared" ref="Q34:V34" si="28">365/Q35</f>
        <v>150.62218199335879</v>
      </c>
      <c r="R34" s="415">
        <f t="shared" si="28"/>
        <v>150.62218199335879</v>
      </c>
      <c r="S34" s="415">
        <f t="shared" si="28"/>
        <v>150.62218199335879</v>
      </c>
      <c r="T34" s="415">
        <f t="shared" si="28"/>
        <v>150.62218199335879</v>
      </c>
      <c r="U34" s="415">
        <f t="shared" si="28"/>
        <v>150.62218199335879</v>
      </c>
      <c r="V34" s="415">
        <f t="shared" si="28"/>
        <v>150.62218199335879</v>
      </c>
    </row>
    <row r="35" spans="2:22" x14ac:dyDescent="0.3">
      <c r="B35" s="6"/>
      <c r="C35" s="6"/>
      <c r="D35" s="6" t="s">
        <v>438</v>
      </c>
      <c r="E35" s="6"/>
      <c r="G35" s="415"/>
      <c r="H35" s="419">
        <f>AVERAGE(L35:N35)</f>
        <v>2.4232818511160161</v>
      </c>
      <c r="I35" s="415"/>
      <c r="J35" s="415"/>
      <c r="K35" s="416"/>
      <c r="L35" s="415">
        <f>365/L34</f>
        <v>2.7175693103183334</v>
      </c>
      <c r="M35" s="415">
        <f>365/M34</f>
        <v>2.2607032151925464</v>
      </c>
      <c r="N35" s="415">
        <f>365/N34</f>
        <v>2.2915730278371682</v>
      </c>
      <c r="O35" s="417">
        <f>365/O34</f>
        <v>1.8918603072766822</v>
      </c>
      <c r="P35" s="418"/>
      <c r="Q35" s="415">
        <f t="shared" ref="Q35:V35" si="29">$H35</f>
        <v>2.4232818511160161</v>
      </c>
      <c r="R35" s="415">
        <f t="shared" si="29"/>
        <v>2.4232818511160161</v>
      </c>
      <c r="S35" s="415">
        <f t="shared" si="29"/>
        <v>2.4232818511160161</v>
      </c>
      <c r="T35" s="415">
        <f t="shared" si="29"/>
        <v>2.4232818511160161</v>
      </c>
      <c r="U35" s="415">
        <f t="shared" si="29"/>
        <v>2.4232818511160161</v>
      </c>
      <c r="V35" s="415">
        <f t="shared" si="29"/>
        <v>2.4232818511160161</v>
      </c>
    </row>
    <row r="36" spans="2:22" s="11" customFormat="1" x14ac:dyDescent="0.3">
      <c r="B36" s="11" t="s">
        <v>81</v>
      </c>
      <c r="K36" s="13">
        <f t="shared" ref="K36:V36" si="30">K37+K40+K43</f>
        <v>45570.357899999995</v>
      </c>
      <c r="L36" s="13">
        <f t="shared" si="30"/>
        <v>78564.101685999995</v>
      </c>
      <c r="M36" s="13">
        <f t="shared" si="30"/>
        <v>87002.548536000002</v>
      </c>
      <c r="N36" s="13">
        <f t="shared" si="30"/>
        <v>49260.643625658005</v>
      </c>
      <c r="O36" s="359">
        <f t="shared" si="30"/>
        <v>46502.088771276001</v>
      </c>
      <c r="P36" s="124">
        <f t="shared" si="30"/>
        <v>59985.753229149283</v>
      </c>
      <c r="Q36" s="13">
        <f t="shared" si="30"/>
        <v>59985.753229149283</v>
      </c>
      <c r="R36" s="13">
        <f t="shared" si="30"/>
        <v>56273.04317607198</v>
      </c>
      <c r="S36" s="13">
        <f t="shared" si="30"/>
        <v>63855.451420175959</v>
      </c>
      <c r="T36" s="13">
        <f t="shared" si="30"/>
        <v>71407.491515502828</v>
      </c>
      <c r="U36" s="13">
        <f t="shared" si="30"/>
        <v>78986.142905453904</v>
      </c>
      <c r="V36" s="13">
        <f t="shared" si="30"/>
        <v>79381.073619981165</v>
      </c>
    </row>
    <row r="37" spans="2:22" x14ac:dyDescent="0.3">
      <c r="B37" s="6"/>
      <c r="C37" s="6" t="s">
        <v>447</v>
      </c>
      <c r="D37" s="6"/>
      <c r="E37" s="6"/>
      <c r="F37" s="6"/>
      <c r="G37" s="6"/>
      <c r="H37" s="6"/>
      <c r="I37" s="6"/>
      <c r="J37" s="6"/>
      <c r="K37" s="19">
        <v>22456.105957</v>
      </c>
      <c r="L37" s="19">
        <v>38940.427588999999</v>
      </c>
      <c r="M37" s="19">
        <v>27509.430758999999</v>
      </c>
      <c r="N37" s="19">
        <v>22185.138297658003</v>
      </c>
      <c r="O37" s="420">
        <v>20759.995672276</v>
      </c>
      <c r="P37" s="18">
        <f>Q37</f>
        <v>23759.774034236776</v>
      </c>
      <c r="Q37" s="19">
        <f t="shared" ref="Q37:V37" si="31">Q47/Q38</f>
        <v>23759.774034236776</v>
      </c>
      <c r="R37" s="19">
        <f t="shared" si="31"/>
        <v>22037.074172487461</v>
      </c>
      <c r="S37" s="19">
        <f t="shared" si="31"/>
        <v>25075.456334418879</v>
      </c>
      <c r="T37" s="19">
        <f t="shared" si="31"/>
        <v>28089.716163633806</v>
      </c>
      <c r="U37" s="19">
        <f t="shared" si="31"/>
        <v>31057.395075653167</v>
      </c>
      <c r="V37" s="19">
        <f t="shared" si="31"/>
        <v>31212.682051031432</v>
      </c>
    </row>
    <row r="38" spans="2:22" x14ac:dyDescent="0.3">
      <c r="B38" s="6"/>
      <c r="C38" s="6"/>
      <c r="D38" s="6" t="s">
        <v>437</v>
      </c>
      <c r="E38" s="6"/>
      <c r="F38" s="415"/>
      <c r="G38" s="415"/>
      <c r="H38" s="415"/>
      <c r="I38" s="415"/>
      <c r="J38" s="415"/>
      <c r="K38" s="416"/>
      <c r="L38" s="415">
        <f>L47/AVERAGE(K37:L37)</f>
        <v>13.47295644019127</v>
      </c>
      <c r="M38" s="415">
        <f>M47/AVERAGE(L37:M37)</f>
        <v>10.958503527734264</v>
      </c>
      <c r="N38" s="415">
        <f>N47/AVERAGE(M37:N37)</f>
        <v>14.061675034736563</v>
      </c>
      <c r="O38" s="417">
        <f>O47/AVERAGE(N37:O37)*4</f>
        <v>13.068232130627637</v>
      </c>
      <c r="P38" s="418"/>
      <c r="Q38" s="415">
        <f t="shared" ref="Q38:V38" si="32">365/Q39</f>
        <v>12.680090158288742</v>
      </c>
      <c r="R38" s="415">
        <f t="shared" si="32"/>
        <v>12.680090158288742</v>
      </c>
      <c r="S38" s="415">
        <f t="shared" si="32"/>
        <v>12.680090158288742</v>
      </c>
      <c r="T38" s="415">
        <f t="shared" si="32"/>
        <v>12.680090158288742</v>
      </c>
      <c r="U38" s="415">
        <f t="shared" si="32"/>
        <v>12.680090158288742</v>
      </c>
      <c r="V38" s="415">
        <f t="shared" si="32"/>
        <v>12.680090158288742</v>
      </c>
    </row>
    <row r="39" spans="2:22" x14ac:dyDescent="0.3">
      <c r="B39" s="6"/>
      <c r="C39" s="6"/>
      <c r="D39" s="6" t="s">
        <v>438</v>
      </c>
      <c r="E39" s="6"/>
      <c r="G39" s="415"/>
      <c r="H39" s="419">
        <f>AVERAGE(L39:N39)</f>
        <v>28.785284287699344</v>
      </c>
      <c r="I39" s="415"/>
      <c r="J39" s="415"/>
      <c r="K39" s="416"/>
      <c r="L39" s="415">
        <f>365/L38</f>
        <v>27.09130706540147</v>
      </c>
      <c r="M39" s="415">
        <f>365/M38</f>
        <v>33.307467490998377</v>
      </c>
      <c r="N39" s="415">
        <f>365/N38</f>
        <v>25.957078306698193</v>
      </c>
      <c r="O39" s="417">
        <f>365/O38</f>
        <v>27.930327250964581</v>
      </c>
      <c r="P39" s="418"/>
      <c r="Q39" s="415">
        <f t="shared" ref="Q39:V39" si="33">$H39</f>
        <v>28.785284287699344</v>
      </c>
      <c r="R39" s="415">
        <f t="shared" si="33"/>
        <v>28.785284287699344</v>
      </c>
      <c r="S39" s="415">
        <f t="shared" si="33"/>
        <v>28.785284287699344</v>
      </c>
      <c r="T39" s="415">
        <f t="shared" si="33"/>
        <v>28.785284287699344</v>
      </c>
      <c r="U39" s="415">
        <f t="shared" si="33"/>
        <v>28.785284287699344</v>
      </c>
      <c r="V39" s="415">
        <f t="shared" si="33"/>
        <v>28.785284287699344</v>
      </c>
    </row>
    <row r="40" spans="2:22" x14ac:dyDescent="0.3">
      <c r="B40" s="6"/>
      <c r="C40" s="6" t="s">
        <v>448</v>
      </c>
      <c r="D40" s="6"/>
      <c r="E40" s="6"/>
      <c r="F40" s="6"/>
      <c r="G40" s="6"/>
      <c r="H40" s="6"/>
      <c r="I40" s="6"/>
      <c r="J40" s="6"/>
      <c r="K40" s="19">
        <v>12699.358811</v>
      </c>
      <c r="L40" s="19">
        <v>16395.281422</v>
      </c>
      <c r="M40" s="19">
        <v>25943.582759000001</v>
      </c>
      <c r="N40" s="19">
        <v>3065.4380660000002</v>
      </c>
      <c r="O40" s="420">
        <v>2470.4140040000002</v>
      </c>
      <c r="P40" s="18">
        <f>Q40</f>
        <v>13540.205678636408</v>
      </c>
      <c r="Q40" s="19">
        <f t="shared" ref="Q40:V40" si="34">Q47/Q41</f>
        <v>13540.205678636408</v>
      </c>
      <c r="R40" s="19">
        <f t="shared" si="34"/>
        <v>12558.474521722503</v>
      </c>
      <c r="S40" s="19">
        <f t="shared" si="34"/>
        <v>14289.985913353163</v>
      </c>
      <c r="T40" s="19">
        <f t="shared" si="34"/>
        <v>16007.750484582286</v>
      </c>
      <c r="U40" s="19">
        <f t="shared" si="34"/>
        <v>17698.969550849171</v>
      </c>
      <c r="V40" s="19">
        <f t="shared" si="34"/>
        <v>17787.464398603413</v>
      </c>
    </row>
    <row r="41" spans="2:22" x14ac:dyDescent="0.3">
      <c r="B41" s="6"/>
      <c r="C41" s="6"/>
      <c r="D41" s="6" t="s">
        <v>437</v>
      </c>
      <c r="E41" s="6"/>
      <c r="F41" s="415"/>
      <c r="G41" s="415"/>
      <c r="H41" s="415"/>
      <c r="I41" s="415"/>
      <c r="J41" s="415"/>
      <c r="K41" s="416"/>
      <c r="L41" s="415">
        <f>L47/AVERAGE(K40:L40)</f>
        <v>28.431106740607625</v>
      </c>
      <c r="M41" s="415">
        <f>M47/AVERAGE(L40:M40)</f>
        <v>17.199115309540666</v>
      </c>
      <c r="N41" s="415">
        <f>N47/AVERAGE(M40:N40)</f>
        <v>24.08867521870242</v>
      </c>
      <c r="O41" s="417">
        <f>O47/AVERAGE(N40:O40)*4</f>
        <v>101.37860847860406</v>
      </c>
      <c r="P41" s="418"/>
      <c r="Q41" s="415">
        <f t="shared" ref="Q41:V41" si="35">365/Q42</f>
        <v>22.250480092044711</v>
      </c>
      <c r="R41" s="415">
        <f t="shared" si="35"/>
        <v>22.250480092044711</v>
      </c>
      <c r="S41" s="415">
        <f t="shared" si="35"/>
        <v>22.250480092044711</v>
      </c>
      <c r="T41" s="415">
        <f t="shared" si="35"/>
        <v>22.250480092044711</v>
      </c>
      <c r="U41" s="415">
        <f t="shared" si="35"/>
        <v>22.250480092044711</v>
      </c>
      <c r="V41" s="415">
        <f t="shared" si="35"/>
        <v>22.250480092044711</v>
      </c>
    </row>
    <row r="42" spans="2:22" x14ac:dyDescent="0.3">
      <c r="B42" s="6"/>
      <c r="C42" s="6"/>
      <c r="D42" s="6" t="s">
        <v>438</v>
      </c>
      <c r="E42" s="6"/>
      <c r="G42" s="415"/>
      <c r="H42" s="419">
        <f>AVERAGE(L42:N42)</f>
        <v>16.404140427086769</v>
      </c>
      <c r="I42" s="415"/>
      <c r="J42" s="415"/>
      <c r="K42" s="416"/>
      <c r="L42" s="415">
        <f>365/L41</f>
        <v>12.838051059007043</v>
      </c>
      <c r="M42" s="415">
        <f>365/M41</f>
        <v>21.222021797686754</v>
      </c>
      <c r="N42" s="415">
        <f>365/N41</f>
        <v>15.152348424566512</v>
      </c>
      <c r="O42" s="417">
        <f>365/O41</f>
        <v>3.6003650619946432</v>
      </c>
      <c r="P42" s="418"/>
      <c r="Q42" s="415">
        <f t="shared" ref="Q42:V42" si="36">$H42</f>
        <v>16.404140427086769</v>
      </c>
      <c r="R42" s="415">
        <f t="shared" si="36"/>
        <v>16.404140427086769</v>
      </c>
      <c r="S42" s="415">
        <f t="shared" si="36"/>
        <v>16.404140427086769</v>
      </c>
      <c r="T42" s="415">
        <f t="shared" si="36"/>
        <v>16.404140427086769</v>
      </c>
      <c r="U42" s="415">
        <f t="shared" si="36"/>
        <v>16.404140427086769</v>
      </c>
      <c r="V42" s="415">
        <f t="shared" si="36"/>
        <v>16.404140427086769</v>
      </c>
    </row>
    <row r="43" spans="2:22" x14ac:dyDescent="0.3">
      <c r="B43" s="6"/>
      <c r="C43" s="6" t="s">
        <v>449</v>
      </c>
      <c r="D43" s="6"/>
      <c r="E43" s="6"/>
      <c r="F43" s="6"/>
      <c r="G43" s="6"/>
      <c r="H43" s="6"/>
      <c r="I43" s="6"/>
      <c r="J43" s="6"/>
      <c r="K43" s="19">
        <v>10414.893131999999</v>
      </c>
      <c r="L43" s="19">
        <v>23228.392674999999</v>
      </c>
      <c r="M43" s="19">
        <v>33549.535018000002</v>
      </c>
      <c r="N43" s="19">
        <v>24010.067262</v>
      </c>
      <c r="O43" s="420">
        <v>23271.679095</v>
      </c>
      <c r="P43" s="18">
        <f>Q43</f>
        <v>22685.773516276095</v>
      </c>
      <c r="Q43" s="19">
        <f t="shared" ref="Q43:V43" si="37">Q46/Q44</f>
        <v>22685.773516276095</v>
      </c>
      <c r="R43" s="19">
        <f t="shared" si="37"/>
        <v>21677.494481862013</v>
      </c>
      <c r="S43" s="19">
        <f t="shared" si="37"/>
        <v>24490.009172403916</v>
      </c>
      <c r="T43" s="19">
        <f t="shared" si="37"/>
        <v>27310.024867286742</v>
      </c>
      <c r="U43" s="19">
        <f t="shared" si="37"/>
        <v>30229.778278951559</v>
      </c>
      <c r="V43" s="19">
        <f t="shared" si="37"/>
        <v>30380.927170346313</v>
      </c>
    </row>
    <row r="44" spans="2:22" x14ac:dyDescent="0.3">
      <c r="B44" s="6"/>
      <c r="C44" s="6"/>
      <c r="D44" s="6" t="s">
        <v>437</v>
      </c>
      <c r="E44" s="6"/>
      <c r="F44" s="415"/>
      <c r="G44" s="415"/>
      <c r="H44" s="415"/>
      <c r="I44" s="415"/>
      <c r="J44" s="415"/>
      <c r="K44" s="416"/>
      <c r="L44" s="415">
        <f>L46/AVERAGE(K43:L43)</f>
        <v>26.908689603190872</v>
      </c>
      <c r="M44" s="415">
        <f>M46/AVERAGE(L43:M43)</f>
        <v>15.522582844400958</v>
      </c>
      <c r="N44" s="415">
        <f>N46/AVERAGE(M43:N43)</f>
        <v>14.758106776897623</v>
      </c>
      <c r="O44" s="417">
        <f>O46/AVERAGE(N43:O43)*4</f>
        <v>15.179875702322509</v>
      </c>
      <c r="P44" s="418"/>
      <c r="Q44" s="415">
        <f t="shared" ref="Q44:V44" si="38">365/Q45</f>
        <v>17.715382499510778</v>
      </c>
      <c r="R44" s="415">
        <f t="shared" si="38"/>
        <v>17.715382499510778</v>
      </c>
      <c r="S44" s="415">
        <f t="shared" si="38"/>
        <v>17.715382499510778</v>
      </c>
      <c r="T44" s="415">
        <f t="shared" si="38"/>
        <v>17.715382499510778</v>
      </c>
      <c r="U44" s="415">
        <f t="shared" si="38"/>
        <v>17.715382499510778</v>
      </c>
      <c r="V44" s="415">
        <f t="shared" si="38"/>
        <v>17.715382499510778</v>
      </c>
    </row>
    <row r="45" spans="2:22" x14ac:dyDescent="0.3">
      <c r="B45" s="66"/>
      <c r="C45" s="66"/>
      <c r="D45" s="66" t="s">
        <v>438</v>
      </c>
      <c r="E45" s="66"/>
      <c r="F45" s="422"/>
      <c r="G45" s="422"/>
      <c r="H45" s="419">
        <f>AVERAGE(L45:N45)</f>
        <v>20.603563033994877</v>
      </c>
      <c r="I45" s="422"/>
      <c r="J45" s="422"/>
      <c r="K45" s="423"/>
      <c r="L45" s="422">
        <f>365/L44</f>
        <v>13.564391480316372</v>
      </c>
      <c r="M45" s="422">
        <f>365/M44</f>
        <v>23.51412800683854</v>
      </c>
      <c r="N45" s="422">
        <f>365/N44</f>
        <v>24.732169614829722</v>
      </c>
      <c r="O45" s="424">
        <f>365/O44</f>
        <v>24.04499267040476</v>
      </c>
      <c r="P45" s="425"/>
      <c r="Q45" s="422">
        <f t="shared" ref="Q45:V45" si="39">$H45</f>
        <v>20.603563033994877</v>
      </c>
      <c r="R45" s="422">
        <f t="shared" si="39"/>
        <v>20.603563033994877</v>
      </c>
      <c r="S45" s="422">
        <f t="shared" si="39"/>
        <v>20.603563033994877</v>
      </c>
      <c r="T45" s="422">
        <f t="shared" si="39"/>
        <v>20.603563033994877</v>
      </c>
      <c r="U45" s="422">
        <f t="shared" si="39"/>
        <v>20.603563033994877</v>
      </c>
      <c r="V45" s="422">
        <f t="shared" si="39"/>
        <v>20.603563033994877</v>
      </c>
    </row>
    <row r="46" spans="2:22" x14ac:dyDescent="0.3">
      <c r="B46" s="6" t="s">
        <v>450</v>
      </c>
      <c r="C46" s="6"/>
      <c r="D46" s="6"/>
      <c r="E46" s="6"/>
      <c r="F46" s="6"/>
      <c r="G46" s="6"/>
      <c r="H46" s="6"/>
      <c r="I46" s="6"/>
      <c r="J46" s="6"/>
      <c r="K46" s="19">
        <v>349304.35701099999</v>
      </c>
      <c r="L46" s="19">
        <v>452648.36750599998</v>
      </c>
      <c r="M46" s="19">
        <v>440670.04317399999</v>
      </c>
      <c r="N46" s="19">
        <v>424735.37824200001</v>
      </c>
      <c r="O46" s="420">
        <v>89716.379086000001</v>
      </c>
      <c r="P46" s="18">
        <f>'Proforma PL'!P6</f>
        <v>312170.77605210256</v>
      </c>
      <c r="Q46" s="19">
        <f>SUM(O46:P46)</f>
        <v>401887.15513810259</v>
      </c>
      <c r="R46" s="19">
        <f>'Proforma PL'!R6</f>
        <v>384025.10637721978</v>
      </c>
      <c r="S46" s="19">
        <f>'Proforma PL'!S6</f>
        <v>433849.87990566273</v>
      </c>
      <c r="T46" s="19">
        <f>'Proforma PL'!T6</f>
        <v>483807.53659513569</v>
      </c>
      <c r="U46" s="19">
        <f>'Proforma PL'!U6</f>
        <v>535532.0850870295</v>
      </c>
      <c r="V46" s="19">
        <f>U46*(1+DCF!$I$26)</f>
        <v>538209.74551246455</v>
      </c>
    </row>
    <row r="47" spans="2:22" x14ac:dyDescent="0.3">
      <c r="B47" s="6" t="s">
        <v>451</v>
      </c>
      <c r="C47" s="6"/>
      <c r="D47" s="6"/>
      <c r="E47" s="6"/>
      <c r="F47" s="6"/>
      <c r="G47" s="6"/>
      <c r="H47" s="6"/>
      <c r="I47" s="6"/>
      <c r="J47" s="6"/>
      <c r="K47" s="19">
        <v>326916.72280699998</v>
      </c>
      <c r="L47" s="19">
        <v>413596.41102200001</v>
      </c>
      <c r="M47" s="19">
        <v>364095.503562</v>
      </c>
      <c r="N47" s="19">
        <v>349394.44053299999</v>
      </c>
      <c r="O47" s="420">
        <v>70152.122449999995</v>
      </c>
      <c r="P47" s="18">
        <f>'Proforma PL'!P12</f>
        <v>231123.95444469014</v>
      </c>
      <c r="Q47" s="19">
        <f>SUM(O47:P47)</f>
        <v>301276.07689469017</v>
      </c>
      <c r="R47" s="19">
        <f>'Proforma PL'!R12</f>
        <v>279432.08733203728</v>
      </c>
      <c r="S47" s="19">
        <f>'Proforma PL'!S12</f>
        <v>317959.04708066391</v>
      </c>
      <c r="T47" s="19">
        <f>'Proforma PL'!T12</f>
        <v>356180.13347561721</v>
      </c>
      <c r="U47" s="19">
        <f>'Proforma PL'!U12</f>
        <v>393810.56964087498</v>
      </c>
      <c r="V47" s="19">
        <f>U47*(1+DCF!$I$26)</f>
        <v>395779.62248907931</v>
      </c>
    </row>
    <row r="48" spans="2:22" x14ac:dyDescent="0.3">
      <c r="B48" s="6" t="s">
        <v>452</v>
      </c>
      <c r="C48" s="6"/>
      <c r="D48" s="6"/>
      <c r="E48" s="6"/>
      <c r="F48" s="6"/>
      <c r="G48" s="6"/>
      <c r="H48" s="6"/>
      <c r="I48" s="6"/>
      <c r="J48" s="6"/>
      <c r="K48" s="19">
        <v>174395.78890340548</v>
      </c>
      <c r="L48" s="19">
        <v>220199.77373012798</v>
      </c>
      <c r="M48" s="19">
        <v>194757.3141673909</v>
      </c>
      <c r="N48" s="19">
        <v>183495.38044350463</v>
      </c>
      <c r="O48" s="420">
        <v>35986.101714004275</v>
      </c>
      <c r="P48" s="18">
        <f>SUM(COGS_HW!Y25-COGS_HW!Y29+Projection_강소!Y72)</f>
        <v>131526.23291869854</v>
      </c>
      <c r="Q48" s="19">
        <f>SUM(COGS_HW!Z26,Projection_강소!Z72)</f>
        <v>169800.29796643712</v>
      </c>
      <c r="R48" s="19">
        <f>SUM(COGS_HW!AA26,Projection_강소!AA72)</f>
        <v>155503.08297559127</v>
      </c>
      <c r="S48" s="19">
        <f>SUM(COGS_HW!AB26,Projection_강소!AB72)</f>
        <v>180760.82412298911</v>
      </c>
      <c r="T48" s="19">
        <f>SUM(COGS_HW!AC26,Projection_강소!AC72)</f>
        <v>206128.0506154933</v>
      </c>
      <c r="U48" s="19">
        <f>SUM(COGS_HW!AD26,Projection_강소!AD72)</f>
        <v>229762.67175458407</v>
      </c>
      <c r="V48" s="19">
        <f>U48*(1+DCF!$I$26)</f>
        <v>230911.48511335696</v>
      </c>
    </row>
    <row r="49" spans="2:22" x14ac:dyDescent="0.3">
      <c r="B49" s="6" t="s">
        <v>453</v>
      </c>
      <c r="C49" s="6"/>
      <c r="D49" s="6"/>
      <c r="E49" s="6"/>
      <c r="F49" s="6"/>
      <c r="G49" s="6"/>
      <c r="H49" s="6"/>
      <c r="I49" s="6"/>
      <c r="J49" s="6"/>
      <c r="K49" s="19">
        <v>145423.406495</v>
      </c>
      <c r="L49" s="19">
        <v>179734.82159400001</v>
      </c>
      <c r="M49" s="19">
        <v>163356.158681</v>
      </c>
      <c r="N49" s="19">
        <v>159514.412648</v>
      </c>
      <c r="O49" s="420">
        <v>28081.105288999999</v>
      </c>
      <c r="P49" s="18">
        <f>COGS_HW!Y26</f>
        <v>107893.12271026171</v>
      </c>
      <c r="Q49" s="19">
        <f>COGS_HW!Z26</f>
        <v>138262.19133299604</v>
      </c>
      <c r="R49" s="19">
        <f>COGS_HW!AA26</f>
        <v>121979.83446864157</v>
      </c>
      <c r="S49" s="19">
        <f>COGS_HW!AB26</f>
        <v>140652.36683460709</v>
      </c>
      <c r="T49" s="19">
        <f>COGS_HW!AC26</f>
        <v>157533.52146220513</v>
      </c>
      <c r="U49" s="19">
        <f>COGS_HW!AD26</f>
        <v>177027.13545904262</v>
      </c>
      <c r="V49" s="19">
        <f>U49*(1+DCF!$I$26)</f>
        <v>177912.2711363378</v>
      </c>
    </row>
    <row r="50" spans="2:22" x14ac:dyDescent="0.3">
      <c r="B50" s="6" t="s">
        <v>454</v>
      </c>
      <c r="C50" s="6"/>
      <c r="D50" s="6"/>
      <c r="E50" s="6"/>
      <c r="F50" s="6"/>
      <c r="G50" s="6"/>
      <c r="H50" s="6"/>
      <c r="I50" s="6"/>
      <c r="J50" s="6"/>
      <c r="K50" s="19">
        <v>28972.382408405476</v>
      </c>
      <c r="L50" s="19">
        <v>40464.952136128006</v>
      </c>
      <c r="M50" s="19">
        <v>31401.1554863909</v>
      </c>
      <c r="N50" s="19">
        <v>23980.967795504628</v>
      </c>
      <c r="O50" s="420">
        <v>7904.996425004274</v>
      </c>
      <c r="P50" s="18">
        <f>Projection_강소!Y72</f>
        <v>23633.110208436807</v>
      </c>
      <c r="Q50" s="19">
        <f>Projection_강소!Z72</f>
        <v>31538.106633441079</v>
      </c>
      <c r="R50" s="19">
        <f>Projection_강소!AA72</f>
        <v>33523.248506949705</v>
      </c>
      <c r="S50" s="19">
        <f>Projection_강소!AB72</f>
        <v>40108.457288382022</v>
      </c>
      <c r="T50" s="19">
        <f>Projection_강소!AC72</f>
        <v>48594.52915328816</v>
      </c>
      <c r="U50" s="19">
        <f>Projection_강소!AD72</f>
        <v>52735.536295541446</v>
      </c>
      <c r="V50" s="19">
        <f>U50*(1+DCF!$I$26)</f>
        <v>52999.21397701915</v>
      </c>
    </row>
    <row r="51" spans="2:22" x14ac:dyDescent="0.3">
      <c r="B51" s="6" t="s">
        <v>455</v>
      </c>
      <c r="C51" s="6"/>
      <c r="D51" s="6"/>
      <c r="E51" s="6"/>
      <c r="F51" s="6"/>
      <c r="G51" s="6"/>
      <c r="H51" s="6"/>
      <c r="I51" s="6"/>
      <c r="J51" s="6"/>
      <c r="K51" s="19">
        <v>276171.54194199998</v>
      </c>
      <c r="L51" s="19">
        <v>337653.29950000002</v>
      </c>
      <c r="M51" s="19">
        <v>311802.08090599999</v>
      </c>
      <c r="N51" s="19">
        <v>317544.72281800001</v>
      </c>
      <c r="O51" s="420">
        <v>61964.911315999998</v>
      </c>
      <c r="P51" s="18">
        <f>'Proforma PL'!P38</f>
        <v>201130.51203719448</v>
      </c>
      <c r="Q51" s="19">
        <f>SUM(O51:P51)</f>
        <v>263095.42335319449</v>
      </c>
      <c r="R51" s="19">
        <f>'Proforma PL'!R38</f>
        <v>238001.55847920338</v>
      </c>
      <c r="S51" s="19">
        <f>'Proforma PL'!S38</f>
        <v>269199.44874648046</v>
      </c>
      <c r="T51" s="19">
        <f>'Proforma PL'!T38</f>
        <v>298232.3206525459</v>
      </c>
      <c r="U51" s="19">
        <f>'Proforma PL'!U38</f>
        <v>331122.79634165636</v>
      </c>
      <c r="V51" s="19">
        <f>U51*(1+DCF!$I$26)</f>
        <v>332778.4103233646</v>
      </c>
    </row>
    <row r="52" spans="2:22" x14ac:dyDescent="0.3">
      <c r="B52" s="6" t="s">
        <v>456</v>
      </c>
      <c r="C52" s="6"/>
      <c r="D52" s="6"/>
      <c r="E52" s="6"/>
      <c r="F52" s="6"/>
      <c r="G52" s="6"/>
      <c r="H52" s="6"/>
      <c r="I52" s="6"/>
      <c r="J52" s="6"/>
      <c r="K52" s="19">
        <v>34775.548616</v>
      </c>
      <c r="L52" s="19">
        <v>47889.514307999998</v>
      </c>
      <c r="M52" s="19">
        <v>38806.188894999999</v>
      </c>
      <c r="N52" s="19">
        <v>29309.640486</v>
      </c>
      <c r="O52" s="420">
        <v>9742.0559979999998</v>
      </c>
      <c r="P52" s="18">
        <f>'Proforma PL'!P126</f>
        <v>29408.631781076117</v>
      </c>
      <c r="Q52" s="19">
        <f>SUM(O52:P52)</f>
        <v>39150.687779076121</v>
      </c>
      <c r="R52" s="19">
        <f>'Proforma PL'!R126</f>
        <v>40705.753118066583</v>
      </c>
      <c r="S52" s="19">
        <f>'Proforma PL'!S126</f>
        <v>47951.495844376252</v>
      </c>
      <c r="T52" s="19">
        <f>'Proforma PL'!T126</f>
        <v>57069.177525694642</v>
      </c>
      <c r="U52" s="19">
        <f>'Proforma PL'!U126</f>
        <v>61738.188579978814</v>
      </c>
      <c r="V52" s="19">
        <f>U52*(1+DCF!$I$26)</f>
        <v>62046.879522878698</v>
      </c>
    </row>
    <row r="53" spans="2:22" x14ac:dyDescent="0.3">
      <c r="B53" s="66" t="s">
        <v>457</v>
      </c>
      <c r="C53" s="66"/>
      <c r="D53" s="66"/>
      <c r="E53" s="66"/>
      <c r="F53" s="66"/>
      <c r="G53" s="66"/>
      <c r="H53" s="66"/>
      <c r="I53" s="66"/>
      <c r="J53" s="66"/>
      <c r="K53" s="426">
        <v>77640.138175999993</v>
      </c>
      <c r="L53" s="426">
        <v>99153.348349000007</v>
      </c>
      <c r="M53" s="426">
        <v>95001.493872999999</v>
      </c>
      <c r="N53" s="426">
        <v>78808.021219999995</v>
      </c>
      <c r="O53" s="427">
        <v>17549.270772</v>
      </c>
      <c r="P53" s="428">
        <f>'Proforma PL'!P15</f>
        <v>60236.141953667546</v>
      </c>
      <c r="Q53" s="426">
        <f>SUM(O53:P53)</f>
        <v>77785.412725667542</v>
      </c>
      <c r="R53" s="426">
        <f>'Proforma PL'!R15</f>
        <v>79066.552726676862</v>
      </c>
      <c r="S53" s="426">
        <f>'Proforma PL'!S15</f>
        <v>83876.936076966536</v>
      </c>
      <c r="T53" s="426">
        <f>'Proforma PL'!T15</f>
        <v>88454.287497459751</v>
      </c>
      <c r="U53" s="426">
        <f>'Proforma PL'!U15</f>
        <v>93105.563033504557</v>
      </c>
      <c r="V53" s="426">
        <f>U53*(1+DCF!$I$26)</f>
        <v>93571.090848672073</v>
      </c>
    </row>
    <row r="54" spans="2:22" x14ac:dyDescent="0.3">
      <c r="O54" s="16"/>
    </row>
  </sheetData>
  <mergeCells count="1">
    <mergeCell ref="B5:E5"/>
  </mergeCells>
  <phoneticPr fontId="3"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8029C-A151-4DDB-BF6B-E420D686A5CF}">
  <sheetPr>
    <tabColor theme="9" tint="0.39997558519241921"/>
  </sheetPr>
  <dimension ref="A1:AK189"/>
  <sheetViews>
    <sheetView showGridLines="0" zoomScale="55" zoomScaleNormal="55" workbookViewId="0">
      <selection activeCell="M24" sqref="M24:N24"/>
    </sheetView>
  </sheetViews>
  <sheetFormatPr defaultColWidth="9" defaultRowHeight="12" outlineLevelCol="1" x14ac:dyDescent="0.3"/>
  <cols>
    <col min="1" max="1" width="2.625" style="3" customWidth="1"/>
    <col min="2" max="6" width="1.625" style="3" customWidth="1"/>
    <col min="7" max="11" width="9" style="3"/>
    <col min="12" max="14" width="0" style="3" hidden="1" customWidth="1"/>
    <col min="15" max="25" width="9" style="3" hidden="1" customWidth="1" outlineLevel="1"/>
    <col min="26" max="26" width="9" style="3" collapsed="1"/>
    <col min="27" max="32" width="9" style="3"/>
    <col min="33" max="33" width="9" style="322"/>
    <col min="34" max="16384" width="9" style="3"/>
  </cols>
  <sheetData>
    <row r="1" spans="1:37" x14ac:dyDescent="0.3">
      <c r="A1" s="1" t="str">
        <f ca="1">MID(CELL("filename",A1),FIND("]",CELL("filename",A1))+1,255)</f>
        <v>Projection_유럽</v>
      </c>
      <c r="B1" s="2"/>
      <c r="C1" s="2"/>
      <c r="D1" s="2"/>
      <c r="E1" s="2"/>
      <c r="F1" s="2"/>
      <c r="G1" s="2"/>
      <c r="H1" s="2"/>
      <c r="I1" s="2"/>
      <c r="J1" s="2"/>
      <c r="K1" s="2"/>
      <c r="L1" s="2"/>
      <c r="M1" s="2"/>
      <c r="N1" s="2"/>
      <c r="O1" s="2"/>
      <c r="P1" s="2"/>
      <c r="Q1" s="2"/>
      <c r="R1" s="2"/>
      <c r="S1" s="2"/>
      <c r="T1" s="2"/>
      <c r="U1" s="2"/>
      <c r="V1" s="2"/>
      <c r="W1" s="2"/>
      <c r="X1" s="2"/>
      <c r="Y1" s="2"/>
      <c r="Z1" s="2"/>
      <c r="AA1" s="2"/>
      <c r="AB1" s="2"/>
      <c r="AC1" s="2"/>
      <c r="AD1" s="2"/>
    </row>
    <row r="3" spans="1:37" x14ac:dyDescent="0.3">
      <c r="A3" s="4"/>
      <c r="B3" s="161" t="s">
        <v>292</v>
      </c>
      <c r="C3" s="4"/>
      <c r="D3" s="4"/>
      <c r="E3" s="4"/>
      <c r="F3" s="4"/>
      <c r="G3" s="4"/>
      <c r="H3" s="4"/>
      <c r="I3" s="4"/>
      <c r="J3" s="4"/>
      <c r="K3" s="4"/>
      <c r="L3" s="4"/>
      <c r="M3" s="4"/>
      <c r="N3" s="4"/>
      <c r="O3" s="4"/>
      <c r="P3" s="4"/>
      <c r="Q3" s="4"/>
      <c r="R3" s="4"/>
      <c r="S3" s="4"/>
      <c r="T3" s="4"/>
      <c r="U3" s="4"/>
      <c r="V3" s="4"/>
      <c r="W3" s="4"/>
      <c r="X3" s="4"/>
      <c r="Y3" s="4"/>
      <c r="Z3" s="4"/>
      <c r="AA3" s="4"/>
      <c r="AB3" s="4"/>
      <c r="AC3" s="4"/>
      <c r="AD3" s="4"/>
    </row>
    <row r="5" spans="1:37" x14ac:dyDescent="0.3">
      <c r="B5" s="8"/>
      <c r="C5" s="8"/>
      <c r="D5" s="8"/>
      <c r="E5" s="8"/>
      <c r="F5" s="8"/>
      <c r="G5" s="8"/>
      <c r="H5" s="8"/>
      <c r="I5" s="8"/>
      <c r="J5" s="8"/>
      <c r="K5" s="8"/>
      <c r="L5" s="9" t="s">
        <v>182</v>
      </c>
      <c r="M5" s="9" t="s">
        <v>183</v>
      </c>
      <c r="N5" s="10" t="s">
        <v>184</v>
      </c>
      <c r="O5" s="244" t="s">
        <v>4</v>
      </c>
      <c r="P5" s="9" t="s">
        <v>215</v>
      </c>
      <c r="Q5" s="9" t="s">
        <v>216</v>
      </c>
      <c r="R5" s="9" t="s">
        <v>217</v>
      </c>
      <c r="S5" s="9" t="s">
        <v>218</v>
      </c>
      <c r="T5" s="9" t="s">
        <v>219</v>
      </c>
      <c r="U5" s="9" t="s">
        <v>220</v>
      </c>
      <c r="V5" s="9" t="s">
        <v>221</v>
      </c>
      <c r="W5" s="9" t="s">
        <v>222</v>
      </c>
      <c r="X5" s="10" t="s">
        <v>223</v>
      </c>
      <c r="Y5" s="9" t="s">
        <v>294</v>
      </c>
      <c r="Z5" s="244" t="s">
        <v>197</v>
      </c>
      <c r="AA5" s="9" t="s">
        <v>198</v>
      </c>
      <c r="AB5" s="9" t="s">
        <v>199</v>
      </c>
      <c r="AC5" s="9" t="s">
        <v>200</v>
      </c>
      <c r="AD5" s="9" t="s">
        <v>201</v>
      </c>
    </row>
    <row r="6" spans="1:37" x14ac:dyDescent="0.3">
      <c r="B6" s="11" t="s">
        <v>28</v>
      </c>
      <c r="L6" s="16"/>
      <c r="M6" s="16"/>
      <c r="N6" s="15"/>
      <c r="O6" s="326">
        <f>O20</f>
        <v>13509.220899600998</v>
      </c>
      <c r="P6" s="13">
        <f t="shared" ref="P6:AD6" si="0">P20</f>
        <v>5237.3164053492619</v>
      </c>
      <c r="Q6" s="13">
        <f t="shared" si="0"/>
        <v>6334.0659372276423</v>
      </c>
      <c r="R6" s="13">
        <f t="shared" si="0"/>
        <v>6298.8331590982825</v>
      </c>
      <c r="S6" s="13">
        <f t="shared" si="0"/>
        <v>3621.5192552772533</v>
      </c>
      <c r="T6" s="13">
        <f t="shared" si="0"/>
        <v>4181.9697228282193</v>
      </c>
      <c r="U6" s="13">
        <f t="shared" si="0"/>
        <v>5795.5521620456648</v>
      </c>
      <c r="V6" s="13">
        <f t="shared" si="0"/>
        <v>5751.5360068151576</v>
      </c>
      <c r="W6" s="13">
        <f t="shared" si="0"/>
        <v>5486.501005199787</v>
      </c>
      <c r="X6" s="124">
        <f t="shared" si="0"/>
        <v>6085.7463646630576</v>
      </c>
      <c r="Y6" s="13">
        <f t="shared" si="0"/>
        <v>48793.040018504325</v>
      </c>
      <c r="Z6" s="326">
        <f t="shared" si="0"/>
        <v>62302.260918105327</v>
      </c>
      <c r="AA6" s="13">
        <f t="shared" si="0"/>
        <v>59615.669835615299</v>
      </c>
      <c r="AB6" s="13">
        <f t="shared" si="0"/>
        <v>66472.549535427155</v>
      </c>
      <c r="AC6" s="13">
        <f t="shared" si="0"/>
        <v>72281.457198912423</v>
      </c>
      <c r="AD6" s="13">
        <f t="shared" si="0"/>
        <v>78126.58912295998</v>
      </c>
      <c r="AE6" s="151"/>
      <c r="AF6" s="327"/>
      <c r="AK6" s="311"/>
    </row>
    <row r="7" spans="1:37" x14ac:dyDescent="0.3">
      <c r="B7" s="3" t="s">
        <v>29</v>
      </c>
      <c r="L7" s="16"/>
      <c r="M7" s="16"/>
      <c r="N7" s="15"/>
      <c r="O7" s="246">
        <f>O73</f>
        <v>11220.599908</v>
      </c>
      <c r="P7" s="16">
        <f t="shared" ref="P7:AD7" si="1">P73</f>
        <v>4449.6882816642028</v>
      </c>
      <c r="Q7" s="16">
        <f t="shared" si="1"/>
        <v>5562.357324002448</v>
      </c>
      <c r="R7" s="16">
        <f t="shared" si="1"/>
        <v>5541.5348660590835</v>
      </c>
      <c r="S7" s="16">
        <f t="shared" si="1"/>
        <v>2942.0319994985903</v>
      </c>
      <c r="T7" s="16">
        <f t="shared" si="1"/>
        <v>3677.6058547641087</v>
      </c>
      <c r="U7" s="16">
        <f t="shared" si="1"/>
        <v>5096.174392606903</v>
      </c>
      <c r="V7" s="16">
        <f t="shared" si="1"/>
        <v>4902.5325727165264</v>
      </c>
      <c r="W7" s="16">
        <f t="shared" si="1"/>
        <v>4826.9885108568324</v>
      </c>
      <c r="X7" s="15">
        <f>X73</f>
        <v>5358.0844256441369</v>
      </c>
      <c r="Y7" s="16">
        <f>Y73</f>
        <v>42356.998227812837</v>
      </c>
      <c r="Z7" s="246">
        <f>Z73</f>
        <v>53577.598135812841</v>
      </c>
      <c r="AA7" s="16">
        <f t="shared" si="1"/>
        <v>52494.47107528826</v>
      </c>
      <c r="AB7" s="16">
        <f t="shared" si="1"/>
        <v>58529.708904604413</v>
      </c>
      <c r="AC7" s="16">
        <f t="shared" si="1"/>
        <v>63638.29939570673</v>
      </c>
      <c r="AD7" s="16">
        <f t="shared" si="1"/>
        <v>68777.064664945152</v>
      </c>
      <c r="AE7" s="151"/>
      <c r="AF7" s="327"/>
      <c r="AK7" s="311"/>
    </row>
    <row r="8" spans="1:37" s="11" customFormat="1" x14ac:dyDescent="0.3">
      <c r="B8" s="20" t="s">
        <v>30</v>
      </c>
      <c r="C8" s="20"/>
      <c r="D8" s="20"/>
      <c r="E8" s="20"/>
      <c r="F8" s="20"/>
      <c r="G8" s="20"/>
      <c r="H8" s="20"/>
      <c r="I8" s="20"/>
      <c r="J8" s="20"/>
      <c r="K8" s="20"/>
      <c r="L8" s="22"/>
      <c r="M8" s="22"/>
      <c r="N8" s="21"/>
      <c r="O8" s="429">
        <f>O6-O7</f>
        <v>2288.6209916009975</v>
      </c>
      <c r="P8" s="22">
        <f t="shared" ref="P8:AD8" si="2">P6-P7</f>
        <v>787.62812368505911</v>
      </c>
      <c r="Q8" s="22">
        <f t="shared" si="2"/>
        <v>771.70861322519431</v>
      </c>
      <c r="R8" s="22">
        <f t="shared" si="2"/>
        <v>757.29829303919905</v>
      </c>
      <c r="S8" s="22">
        <f t="shared" si="2"/>
        <v>679.48725577866298</v>
      </c>
      <c r="T8" s="22">
        <f t="shared" si="2"/>
        <v>504.36386806411065</v>
      </c>
      <c r="U8" s="22">
        <f t="shared" si="2"/>
        <v>699.37776943876179</v>
      </c>
      <c r="V8" s="22">
        <f t="shared" si="2"/>
        <v>849.00343409863126</v>
      </c>
      <c r="W8" s="22">
        <f t="shared" si="2"/>
        <v>659.5124943429546</v>
      </c>
      <c r="X8" s="21">
        <f>X6-X7</f>
        <v>727.66193901892075</v>
      </c>
      <c r="Y8" s="22">
        <f>Y6-Y7</f>
        <v>6436.0417906914881</v>
      </c>
      <c r="Z8" s="429">
        <f t="shared" si="2"/>
        <v>8724.6627822924856</v>
      </c>
      <c r="AA8" s="22">
        <f t="shared" si="2"/>
        <v>7121.1987603270391</v>
      </c>
      <c r="AB8" s="22">
        <f t="shared" si="2"/>
        <v>7942.8406308227422</v>
      </c>
      <c r="AC8" s="22">
        <f t="shared" si="2"/>
        <v>8643.1578032056932</v>
      </c>
      <c r="AD8" s="22">
        <f t="shared" si="2"/>
        <v>9349.5244580148283</v>
      </c>
      <c r="AE8" s="151"/>
      <c r="AF8" s="327"/>
      <c r="AG8" s="328"/>
      <c r="AJ8" s="3"/>
      <c r="AK8" s="311"/>
    </row>
    <row r="9" spans="1:37" s="23" customFormat="1" x14ac:dyDescent="0.3">
      <c r="B9" s="24" t="s">
        <v>458</v>
      </c>
      <c r="C9" s="24"/>
      <c r="D9" s="24"/>
      <c r="E9" s="24"/>
      <c r="F9" s="24"/>
      <c r="G9" s="24"/>
      <c r="H9" s="24"/>
      <c r="I9" s="24"/>
      <c r="J9" s="24"/>
      <c r="K9" s="24"/>
      <c r="L9" s="149"/>
      <c r="M9" s="149"/>
      <c r="N9" s="148"/>
      <c r="O9" s="430">
        <f>O8/O$6</f>
        <v>0.16941176760745641</v>
      </c>
      <c r="P9" s="431">
        <f t="shared" ref="P9:AD9" si="3">P8/P$6</f>
        <v>0.15038772965494232</v>
      </c>
      <c r="Q9" s="431">
        <f t="shared" si="3"/>
        <v>0.12183463526793716</v>
      </c>
      <c r="R9" s="431">
        <f t="shared" si="3"/>
        <v>0.12022834609380431</v>
      </c>
      <c r="S9" s="431">
        <f t="shared" si="3"/>
        <v>0.18762491868254427</v>
      </c>
      <c r="T9" s="431">
        <f t="shared" si="3"/>
        <v>0.1206043805891103</v>
      </c>
      <c r="U9" s="431">
        <f t="shared" si="3"/>
        <v>0.12067491584648275</v>
      </c>
      <c r="V9" s="431">
        <f t="shared" si="3"/>
        <v>0.14761333895721473</v>
      </c>
      <c r="W9" s="431">
        <f t="shared" si="3"/>
        <v>0.12020639269324966</v>
      </c>
      <c r="X9" s="432">
        <f>X8/X$6</f>
        <v>0.11956823295234525</v>
      </c>
      <c r="Y9" s="431">
        <f>Y8/Y$6</f>
        <v>0.13190491488644029</v>
      </c>
      <c r="Z9" s="430">
        <f t="shared" si="3"/>
        <v>0.14003765920727698</v>
      </c>
      <c r="AA9" s="431">
        <f t="shared" si="3"/>
        <v>0.11945179480433729</v>
      </c>
      <c r="AB9" s="431">
        <f t="shared" si="3"/>
        <v>0.11949053686574083</v>
      </c>
      <c r="AC9" s="433">
        <f t="shared" si="3"/>
        <v>0.11957641887905578</v>
      </c>
      <c r="AD9" s="433">
        <f t="shared" si="3"/>
        <v>0.11967147885209765</v>
      </c>
      <c r="AG9" s="434"/>
      <c r="AJ9" s="3"/>
      <c r="AK9" s="311"/>
    </row>
    <row r="10" spans="1:37" x14ac:dyDescent="0.3">
      <c r="B10" s="3" t="s">
        <v>32</v>
      </c>
      <c r="L10" s="16"/>
      <c r="M10" s="16"/>
      <c r="N10" s="15"/>
      <c r="O10" s="246">
        <f>O113</f>
        <v>1831.946555</v>
      </c>
      <c r="P10" s="16">
        <f t="shared" ref="P10:AC10" si="4">P113</f>
        <v>692.13494581496241</v>
      </c>
      <c r="Q10" s="16">
        <f t="shared" si="4"/>
        <v>692.13494581496241</v>
      </c>
      <c r="R10" s="16">
        <f t="shared" si="4"/>
        <v>692.13494581496241</v>
      </c>
      <c r="S10" s="16">
        <f t="shared" si="4"/>
        <v>692.43283096512369</v>
      </c>
      <c r="T10" s="16">
        <f t="shared" si="4"/>
        <v>692.43283096512369</v>
      </c>
      <c r="U10" s="16">
        <f t="shared" si="4"/>
        <v>692.43283096512369</v>
      </c>
      <c r="V10" s="16">
        <f t="shared" si="4"/>
        <v>690.5521679352205</v>
      </c>
      <c r="W10" s="16">
        <f t="shared" si="4"/>
        <v>690.5521679352205</v>
      </c>
      <c r="X10" s="15">
        <f>X113</f>
        <v>690.5521679352205</v>
      </c>
      <c r="Y10" s="16">
        <f>Y113</f>
        <v>6225.3598341459192</v>
      </c>
      <c r="Z10" s="246">
        <f t="shared" si="4"/>
        <v>8057.3063891459187</v>
      </c>
      <c r="AA10" s="16">
        <f t="shared" si="4"/>
        <v>7748.0762344042359</v>
      </c>
      <c r="AB10" s="16">
        <f t="shared" si="4"/>
        <v>8040.5478016309098</v>
      </c>
      <c r="AC10" s="16">
        <f t="shared" si="4"/>
        <v>8326.3218860771904</v>
      </c>
      <c r="AD10" s="16">
        <f>AD113</f>
        <v>8600.768808803874</v>
      </c>
      <c r="AE10" s="151"/>
      <c r="AF10" s="327"/>
      <c r="AK10" s="311"/>
    </row>
    <row r="11" spans="1:37" s="11" customFormat="1" x14ac:dyDescent="0.3">
      <c r="B11" s="20" t="s">
        <v>33</v>
      </c>
      <c r="C11" s="20"/>
      <c r="D11" s="20"/>
      <c r="E11" s="20"/>
      <c r="F11" s="20"/>
      <c r="G11" s="20"/>
      <c r="H11" s="20"/>
      <c r="I11" s="20"/>
      <c r="J11" s="20"/>
      <c r="K11" s="20"/>
      <c r="L11" s="22"/>
      <c r="M11" s="22"/>
      <c r="N11" s="21"/>
      <c r="O11" s="429">
        <f>O8-O10</f>
        <v>456.67443660099752</v>
      </c>
      <c r="P11" s="22">
        <f t="shared" ref="P11:AD11" si="5">P8-P10</f>
        <v>95.493177870096702</v>
      </c>
      <c r="Q11" s="22">
        <f t="shared" si="5"/>
        <v>79.573667410231906</v>
      </c>
      <c r="R11" s="22">
        <f t="shared" si="5"/>
        <v>65.163347224236645</v>
      </c>
      <c r="S11" s="22">
        <f t="shared" si="5"/>
        <v>-12.945575186460701</v>
      </c>
      <c r="T11" s="22">
        <f t="shared" si="5"/>
        <v>-188.06896290101304</v>
      </c>
      <c r="U11" s="22">
        <f t="shared" si="5"/>
        <v>6.9449384736381035</v>
      </c>
      <c r="V11" s="22">
        <f t="shared" si="5"/>
        <v>158.45126616341076</v>
      </c>
      <c r="W11" s="22">
        <f t="shared" si="5"/>
        <v>-31.039673592265899</v>
      </c>
      <c r="X11" s="21">
        <f>X8-X10</f>
        <v>37.109771083700252</v>
      </c>
      <c r="Y11" s="22">
        <f>Y8-Y10</f>
        <v>210.68195654556894</v>
      </c>
      <c r="Z11" s="429">
        <f t="shared" si="5"/>
        <v>667.35639314656692</v>
      </c>
      <c r="AA11" s="22">
        <f t="shared" si="5"/>
        <v>-626.87747407719689</v>
      </c>
      <c r="AB11" s="22">
        <f t="shared" si="5"/>
        <v>-97.707170808167575</v>
      </c>
      <c r="AC11" s="22">
        <f t="shared" si="5"/>
        <v>316.83591712850284</v>
      </c>
      <c r="AD11" s="22">
        <f t="shared" si="5"/>
        <v>748.75564921095429</v>
      </c>
      <c r="AE11" s="151"/>
      <c r="AF11" s="327"/>
      <c r="AG11" s="328"/>
      <c r="AJ11" s="3"/>
      <c r="AK11" s="311"/>
    </row>
    <row r="12" spans="1:37" s="23" customFormat="1" x14ac:dyDescent="0.3">
      <c r="B12" s="24" t="s">
        <v>459</v>
      </c>
      <c r="C12" s="24"/>
      <c r="D12" s="24"/>
      <c r="E12" s="24"/>
      <c r="F12" s="24"/>
      <c r="G12" s="24"/>
      <c r="H12" s="24"/>
      <c r="I12" s="24"/>
      <c r="J12" s="24"/>
      <c r="K12" s="24"/>
      <c r="L12" s="149"/>
      <c r="M12" s="149"/>
      <c r="N12" s="148"/>
      <c r="O12" s="430">
        <f>O11/O$6</f>
        <v>3.3804646470359044E-2</v>
      </c>
      <c r="P12" s="431">
        <f t="shared" ref="P12:AD12" si="6">P11/P$6</f>
        <v>1.8233226805346798E-2</v>
      </c>
      <c r="Q12" s="431">
        <f t="shared" si="6"/>
        <v>1.2562810081048904E-2</v>
      </c>
      <c r="R12" s="431">
        <f t="shared" si="6"/>
        <v>1.034530453154044E-2</v>
      </c>
      <c r="S12" s="431">
        <f t="shared" si="6"/>
        <v>-3.5746255297680655E-3</v>
      </c>
      <c r="T12" s="431">
        <f t="shared" si="6"/>
        <v>-4.4971383191608594E-2</v>
      </c>
      <c r="U12" s="431">
        <f t="shared" si="6"/>
        <v>1.1983221407478003E-3</v>
      </c>
      <c r="V12" s="431">
        <f t="shared" si="6"/>
        <v>2.7549382630249968E-2</v>
      </c>
      <c r="W12" s="431">
        <f t="shared" si="6"/>
        <v>-5.6574624816159332E-3</v>
      </c>
      <c r="X12" s="432">
        <f>X11/X$6</f>
        <v>6.0978175658417972E-3</v>
      </c>
      <c r="Y12" s="431">
        <f>Y11/Y$6</f>
        <v>4.3178690334865315E-3</v>
      </c>
      <c r="Z12" s="430">
        <f t="shared" si="6"/>
        <v>1.0711591895899078E-2</v>
      </c>
      <c r="AA12" s="431">
        <f t="shared" si="6"/>
        <v>-1.051531377246542E-2</v>
      </c>
      <c r="AB12" s="431">
        <f t="shared" si="6"/>
        <v>-1.4698875173441879E-3</v>
      </c>
      <c r="AC12" s="433">
        <f t="shared" si="6"/>
        <v>4.3833637201944799E-3</v>
      </c>
      <c r="AD12" s="433">
        <f t="shared" si="6"/>
        <v>9.5838773664177375E-3</v>
      </c>
      <c r="AG12" s="434"/>
      <c r="AJ12" s="3"/>
      <c r="AK12" s="311"/>
    </row>
    <row r="13" spans="1:37" x14ac:dyDescent="0.3">
      <c r="B13" s="103" t="s">
        <v>23</v>
      </c>
      <c r="C13" s="103"/>
      <c r="D13" s="103"/>
      <c r="E13" s="103"/>
      <c r="F13" s="103"/>
      <c r="G13" s="103"/>
      <c r="H13" s="103"/>
      <c r="I13" s="103"/>
      <c r="J13" s="103"/>
      <c r="K13" s="103"/>
      <c r="L13" s="104"/>
      <c r="M13" s="104"/>
      <c r="N13" s="435"/>
      <c r="O13" s="436">
        <f t="shared" ref="O13:AD13" si="7">O176</f>
        <v>205.40436</v>
      </c>
      <c r="P13" s="104">
        <f t="shared" si="7"/>
        <v>80.828508694962352</v>
      </c>
      <c r="Q13" s="104">
        <f t="shared" si="7"/>
        <v>80.828508694962352</v>
      </c>
      <c r="R13" s="104">
        <f t="shared" si="7"/>
        <v>80.828508694962352</v>
      </c>
      <c r="S13" s="104">
        <f t="shared" si="7"/>
        <v>81.126393845123602</v>
      </c>
      <c r="T13" s="104">
        <f t="shared" si="7"/>
        <v>81.126393845123602</v>
      </c>
      <c r="U13" s="104">
        <f t="shared" si="7"/>
        <v>81.126393845123602</v>
      </c>
      <c r="V13" s="104">
        <f t="shared" si="7"/>
        <v>79.245730815220384</v>
      </c>
      <c r="W13" s="104">
        <f t="shared" si="7"/>
        <v>79.245730815220384</v>
      </c>
      <c r="X13" s="435">
        <f t="shared" si="7"/>
        <v>79.245730815220384</v>
      </c>
      <c r="Y13" s="104">
        <f t="shared" si="7"/>
        <v>723.60190006591904</v>
      </c>
      <c r="Z13" s="436">
        <f t="shared" si="7"/>
        <v>929.00626006591904</v>
      </c>
      <c r="AA13" s="104">
        <f>AA176</f>
        <v>641.7506648065156</v>
      </c>
      <c r="AB13" s="104">
        <f t="shared" si="7"/>
        <v>643.80317069940884</v>
      </c>
      <c r="AC13" s="104">
        <f t="shared" si="7"/>
        <v>646.54457096415558</v>
      </c>
      <c r="AD13" s="104">
        <f t="shared" si="7"/>
        <v>650.35060013128316</v>
      </c>
      <c r="AF13" s="327"/>
      <c r="AK13" s="311"/>
    </row>
    <row r="14" spans="1:37" s="11" customFormat="1" x14ac:dyDescent="0.3">
      <c r="B14" s="11" t="s">
        <v>24</v>
      </c>
      <c r="L14" s="13"/>
      <c r="M14" s="13"/>
      <c r="N14" s="124"/>
      <c r="O14" s="326">
        <f>O11+O13</f>
        <v>662.07879660099752</v>
      </c>
      <c r="P14" s="13">
        <f t="shared" ref="P14:AD14" si="8">P11+P13</f>
        <v>176.32168656505905</v>
      </c>
      <c r="Q14" s="13">
        <f t="shared" si="8"/>
        <v>160.40217610519426</v>
      </c>
      <c r="R14" s="13">
        <f t="shared" si="8"/>
        <v>145.991855919199</v>
      </c>
      <c r="S14" s="13">
        <f t="shared" si="8"/>
        <v>68.180818658662901</v>
      </c>
      <c r="T14" s="13">
        <f t="shared" si="8"/>
        <v>-106.94256905588944</v>
      </c>
      <c r="U14" s="13">
        <f t="shared" si="8"/>
        <v>88.071332318761705</v>
      </c>
      <c r="V14" s="13">
        <f t="shared" si="8"/>
        <v>237.69699697863115</v>
      </c>
      <c r="W14" s="13">
        <f t="shared" si="8"/>
        <v>48.206057222954485</v>
      </c>
      <c r="X14" s="124">
        <f>X11+X13</f>
        <v>116.35550189892064</v>
      </c>
      <c r="Y14" s="13">
        <f>Y11+Y13</f>
        <v>934.28385661148798</v>
      </c>
      <c r="Z14" s="326">
        <f t="shared" si="8"/>
        <v>1596.3626532124858</v>
      </c>
      <c r="AA14" s="13">
        <f t="shared" si="8"/>
        <v>14.873190729318708</v>
      </c>
      <c r="AB14" s="13">
        <f t="shared" si="8"/>
        <v>546.09599989124126</v>
      </c>
      <c r="AC14" s="13">
        <f t="shared" si="8"/>
        <v>963.38048809265842</v>
      </c>
      <c r="AD14" s="13">
        <f t="shared" si="8"/>
        <v>1399.1062493422373</v>
      </c>
      <c r="AF14" s="327"/>
      <c r="AG14" s="328"/>
      <c r="AJ14" s="3"/>
      <c r="AK14" s="311"/>
    </row>
    <row r="15" spans="1:37" s="23" customFormat="1" x14ac:dyDescent="0.3">
      <c r="B15" s="32" t="s">
        <v>460</v>
      </c>
      <c r="C15" s="32"/>
      <c r="D15" s="32"/>
      <c r="E15" s="32"/>
      <c r="F15" s="32"/>
      <c r="G15" s="32"/>
      <c r="H15" s="32"/>
      <c r="I15" s="32"/>
      <c r="J15" s="32"/>
      <c r="K15" s="32"/>
      <c r="L15" s="153"/>
      <c r="M15" s="153"/>
      <c r="N15" s="152"/>
      <c r="O15" s="437">
        <f>O14/O$6</f>
        <v>4.9009398952129975E-2</v>
      </c>
      <c r="P15" s="438">
        <f t="shared" ref="P15:AD15" si="9">P14/P$6</f>
        <v>3.3666418623279772E-2</v>
      </c>
      <c r="Q15" s="438">
        <f t="shared" si="9"/>
        <v>2.5323730080303E-2</v>
      </c>
      <c r="R15" s="438">
        <f t="shared" si="9"/>
        <v>2.3177603253123576E-2</v>
      </c>
      <c r="S15" s="438">
        <f t="shared" si="9"/>
        <v>1.8826579082607466E-2</v>
      </c>
      <c r="T15" s="438">
        <f t="shared" si="9"/>
        <v>-2.5572296344499923E-2</v>
      </c>
      <c r="U15" s="438">
        <f t="shared" si="9"/>
        <v>1.5196366084931421E-2</v>
      </c>
      <c r="V15" s="438">
        <f t="shared" si="9"/>
        <v>4.1327568269932981E-2</v>
      </c>
      <c r="W15" s="438">
        <f t="shared" si="9"/>
        <v>8.7863024498250498E-3</v>
      </c>
      <c r="X15" s="439">
        <f>X14/X$6</f>
        <v>1.9119347887144939E-2</v>
      </c>
      <c r="Y15" s="438">
        <f>Y14/Y$6</f>
        <v>1.9147891917723699E-2</v>
      </c>
      <c r="Z15" s="437">
        <f t="shared" si="9"/>
        <v>2.5622868732017003E-2</v>
      </c>
      <c r="AA15" s="438">
        <f t="shared" si="9"/>
        <v>2.494845863567441E-4</v>
      </c>
      <c r="AB15" s="438">
        <f t="shared" si="9"/>
        <v>8.2153611333982968E-3</v>
      </c>
      <c r="AC15" s="438">
        <f t="shared" si="9"/>
        <v>1.3328182986703177E-2</v>
      </c>
      <c r="AD15" s="438">
        <f t="shared" si="9"/>
        <v>1.7908195725020656E-2</v>
      </c>
      <c r="AF15" s="327"/>
      <c r="AG15" s="434"/>
      <c r="AJ15" s="3"/>
      <c r="AK15" s="311"/>
    </row>
    <row r="16" spans="1:37" x14ac:dyDescent="0.3">
      <c r="AK16" s="311"/>
    </row>
    <row r="17" spans="1:37" x14ac:dyDescent="0.3">
      <c r="A17" s="4"/>
      <c r="B17" s="161" t="s">
        <v>461</v>
      </c>
      <c r="C17" s="4"/>
      <c r="D17" s="4"/>
      <c r="E17" s="4"/>
      <c r="F17" s="4"/>
      <c r="G17" s="4"/>
      <c r="H17" s="4"/>
      <c r="I17" s="4"/>
      <c r="J17" s="4"/>
      <c r="K17" s="4"/>
      <c r="L17" s="4"/>
      <c r="M17" s="4"/>
      <c r="N17" s="4"/>
      <c r="O17" s="390"/>
      <c r="P17" s="4"/>
      <c r="Q17" s="4"/>
      <c r="R17" s="4"/>
      <c r="S17" s="4"/>
      <c r="T17" s="4"/>
      <c r="U17" s="4"/>
      <c r="V17" s="4"/>
      <c r="W17" s="4"/>
      <c r="X17" s="4"/>
      <c r="Y17" s="4"/>
      <c r="Z17" s="4"/>
      <c r="AA17" s="4"/>
      <c r="AB17" s="4"/>
      <c r="AC17" s="4"/>
      <c r="AD17" s="4"/>
      <c r="AK17" s="311"/>
    </row>
    <row r="18" spans="1:37" x14ac:dyDescent="0.3">
      <c r="AK18" s="311"/>
    </row>
    <row r="19" spans="1:37" x14ac:dyDescent="0.3">
      <c r="B19" s="8"/>
      <c r="C19" s="8"/>
      <c r="D19" s="8"/>
      <c r="E19" s="8"/>
      <c r="F19" s="8"/>
      <c r="G19" s="8"/>
      <c r="H19" s="8"/>
      <c r="I19" s="8"/>
      <c r="J19" s="8"/>
      <c r="K19" s="8"/>
      <c r="L19" s="9" t="s">
        <v>182</v>
      </c>
      <c r="M19" s="9" t="s">
        <v>183</v>
      </c>
      <c r="N19" s="10" t="s">
        <v>184</v>
      </c>
      <c r="O19" s="244" t="s">
        <v>4</v>
      </c>
      <c r="P19" s="9" t="s">
        <v>215</v>
      </c>
      <c r="Q19" s="9" t="s">
        <v>216</v>
      </c>
      <c r="R19" s="9" t="s">
        <v>217</v>
      </c>
      <c r="S19" s="9" t="s">
        <v>218</v>
      </c>
      <c r="T19" s="9" t="s">
        <v>219</v>
      </c>
      <c r="U19" s="9" t="s">
        <v>220</v>
      </c>
      <c r="V19" s="9" t="s">
        <v>221</v>
      </c>
      <c r="W19" s="9" t="s">
        <v>222</v>
      </c>
      <c r="X19" s="10" t="s">
        <v>223</v>
      </c>
      <c r="Y19" s="9" t="s">
        <v>294</v>
      </c>
      <c r="Z19" s="244" t="s">
        <v>197</v>
      </c>
      <c r="AA19" s="9" t="s">
        <v>198</v>
      </c>
      <c r="AB19" s="9" t="s">
        <v>199</v>
      </c>
      <c r="AC19" s="9" t="s">
        <v>200</v>
      </c>
      <c r="AD19" s="9" t="s">
        <v>201</v>
      </c>
      <c r="AK19" s="311"/>
    </row>
    <row r="20" spans="1:37" x14ac:dyDescent="0.3">
      <c r="B20" s="11" t="s">
        <v>462</v>
      </c>
      <c r="L20" s="16"/>
      <c r="M20" s="16"/>
      <c r="N20" s="15"/>
      <c r="O20" s="326">
        <f>O21+O28+O35+O42+O56+O49</f>
        <v>13509.220899600998</v>
      </c>
      <c r="P20" s="13">
        <f t="shared" ref="P20:AD20" si="10">P21+P28+P35+P42+P56+P49</f>
        <v>5237.3164053492619</v>
      </c>
      <c r="Q20" s="13">
        <f t="shared" si="10"/>
        <v>6334.0659372276423</v>
      </c>
      <c r="R20" s="13">
        <f t="shared" si="10"/>
        <v>6298.8331590982825</v>
      </c>
      <c r="S20" s="13">
        <f t="shared" si="10"/>
        <v>3621.5192552772533</v>
      </c>
      <c r="T20" s="13">
        <f t="shared" si="10"/>
        <v>4181.9697228282193</v>
      </c>
      <c r="U20" s="13">
        <f t="shared" si="10"/>
        <v>5795.5521620456648</v>
      </c>
      <c r="V20" s="13">
        <f t="shared" si="10"/>
        <v>5751.5360068151576</v>
      </c>
      <c r="W20" s="13">
        <f t="shared" si="10"/>
        <v>5486.501005199787</v>
      </c>
      <c r="X20" s="124">
        <f t="shared" si="10"/>
        <v>6085.7463646630576</v>
      </c>
      <c r="Y20" s="13">
        <f t="shared" si="10"/>
        <v>48793.040018504325</v>
      </c>
      <c r="Z20" s="326">
        <f t="shared" si="10"/>
        <v>62302.260918105327</v>
      </c>
      <c r="AA20" s="13">
        <f t="shared" si="10"/>
        <v>59615.669835615299</v>
      </c>
      <c r="AB20" s="13">
        <f t="shared" si="10"/>
        <v>66472.549535427155</v>
      </c>
      <c r="AC20" s="13">
        <f t="shared" si="10"/>
        <v>72281.457198912423</v>
      </c>
      <c r="AD20" s="13">
        <f t="shared" si="10"/>
        <v>78126.58912295998</v>
      </c>
      <c r="AF20" s="327"/>
      <c r="AK20" s="311"/>
    </row>
    <row r="21" spans="1:37" x14ac:dyDescent="0.3">
      <c r="A21" s="338" t="s">
        <v>262</v>
      </c>
      <c r="B21" s="11"/>
      <c r="C21" s="3" t="s">
        <v>146</v>
      </c>
      <c r="L21" s="16"/>
      <c r="M21" s="16"/>
      <c r="N21" s="15"/>
      <c r="O21" s="246">
        <v>398.24480288000001</v>
      </c>
      <c r="P21" s="16">
        <f t="shared" ref="P21:X21" si="11">P22*P27/10^6</f>
        <v>0</v>
      </c>
      <c r="Q21" s="16">
        <f t="shared" si="11"/>
        <v>273.00193507233627</v>
      </c>
      <c r="R21" s="16">
        <f t="shared" si="11"/>
        <v>0</v>
      </c>
      <c r="S21" s="16">
        <f t="shared" si="11"/>
        <v>0</v>
      </c>
      <c r="T21" s="16">
        <f t="shared" si="11"/>
        <v>0</v>
      </c>
      <c r="U21" s="16">
        <f t="shared" si="11"/>
        <v>0</v>
      </c>
      <c r="V21" s="16">
        <f t="shared" si="11"/>
        <v>0</v>
      </c>
      <c r="W21" s="16">
        <f t="shared" si="11"/>
        <v>0</v>
      </c>
      <c r="X21" s="15">
        <f t="shared" si="11"/>
        <v>0</v>
      </c>
      <c r="Y21" s="16">
        <f>SUM(P21:X21)</f>
        <v>273.00193507233627</v>
      </c>
      <c r="Z21" s="246">
        <f>SUM(O21,Y21)</f>
        <v>671.24673795233628</v>
      </c>
      <c r="AA21" s="16">
        <f>AA22*AA27/10^6</f>
        <v>648.90223386079754</v>
      </c>
      <c r="AB21" s="16">
        <f>AB22*AB27/10^6</f>
        <v>655.9796003637199</v>
      </c>
      <c r="AC21" s="16">
        <f>AC22*AC27/10^6</f>
        <v>886.15248230318673</v>
      </c>
      <c r="AD21" s="16">
        <f>AD22*AD27/10^6</f>
        <v>905.37895836547852</v>
      </c>
      <c r="AF21" s="327"/>
      <c r="AK21" s="311"/>
    </row>
    <row r="22" spans="1:37" x14ac:dyDescent="0.3">
      <c r="A22" s="338" t="s">
        <v>262</v>
      </c>
      <c r="B22" s="11"/>
      <c r="D22" s="3" t="s">
        <v>463</v>
      </c>
      <c r="L22" s="16"/>
      <c r="M22" s="16"/>
      <c r="N22" s="15"/>
      <c r="O22" s="246">
        <v>275964.79999999999</v>
      </c>
      <c r="P22" s="16">
        <f t="shared" ref="P22:X22" si="12">P23*P26</f>
        <v>0</v>
      </c>
      <c r="Q22" s="16">
        <f t="shared" si="12"/>
        <v>191389.25205208719</v>
      </c>
      <c r="R22" s="16">
        <f t="shared" si="12"/>
        <v>0</v>
      </c>
      <c r="S22" s="16">
        <f t="shared" si="12"/>
        <v>0</v>
      </c>
      <c r="T22" s="16">
        <f t="shared" si="12"/>
        <v>0</v>
      </c>
      <c r="U22" s="16">
        <f t="shared" si="12"/>
        <v>0</v>
      </c>
      <c r="V22" s="16">
        <f t="shared" si="12"/>
        <v>0</v>
      </c>
      <c r="W22" s="16">
        <f t="shared" si="12"/>
        <v>0</v>
      </c>
      <c r="X22" s="15">
        <f t="shared" si="12"/>
        <v>0</v>
      </c>
      <c r="Y22" s="16">
        <f>SUM(P22:X22)</f>
        <v>191389.25205208719</v>
      </c>
      <c r="Z22" s="246">
        <f>Y22+O22</f>
        <v>467354.05205208715</v>
      </c>
      <c r="AA22" s="16">
        <f>AA23*AA26</f>
        <v>469815.47832896316</v>
      </c>
      <c r="AB22" s="16">
        <f>AB23*AB26</f>
        <v>472580.41104585514</v>
      </c>
      <c r="AC22" s="16">
        <f>AC23*AC26</f>
        <v>634264.39657221339</v>
      </c>
      <c r="AD22" s="16">
        <f>AD23*AD26</f>
        <v>638471.44860971498</v>
      </c>
      <c r="AF22" s="327"/>
      <c r="AK22" s="311"/>
    </row>
    <row r="23" spans="1:37" x14ac:dyDescent="0.3">
      <c r="A23" s="338" t="s">
        <v>262</v>
      </c>
      <c r="B23" s="11"/>
      <c r="E23" s="3" t="s">
        <v>324</v>
      </c>
      <c r="L23" s="16"/>
      <c r="M23" s="16"/>
      <c r="N23" s="15"/>
      <c r="O23" s="246">
        <v>2</v>
      </c>
      <c r="P23" s="16">
        <f>SUMIFS(INDEX(판매수량!$N$2:$V$82,0,MATCH(P$19,판매수량!$N$2:$V$2,0)),판매수량!$A$2:$A$82,$A23,판매수량!$B$2:$B$82,$AG23)</f>
        <v>0</v>
      </c>
      <c r="Q23" s="16">
        <f>SUMIFS(INDEX(판매수량!$N$2:$V$82,0,MATCH(Q$19,판매수량!$N$2:$V$2,0)),판매수량!$A$2:$A$82,$A23,판매수량!$B$2:$B$82,$AG23)</f>
        <v>1</v>
      </c>
      <c r="R23" s="16">
        <f>SUMIFS(INDEX(판매수량!$N$2:$V$82,0,MATCH(R$19,판매수량!$N$2:$V$2,0)),판매수량!$A$2:$A$82,$A23,판매수량!$B$2:$B$82,$AG23)</f>
        <v>0</v>
      </c>
      <c r="S23" s="16">
        <f>SUMIFS(INDEX(판매수량!$N$2:$V$82,0,MATCH(S$19,판매수량!$N$2:$V$2,0)),판매수량!$A$2:$A$82,$A23,판매수량!$B$2:$B$82,$AG23)</f>
        <v>0</v>
      </c>
      <c r="T23" s="16">
        <f>SUMIFS(INDEX(판매수량!$N$2:$V$82,0,MATCH(T$19,판매수량!$N$2:$V$2,0)),판매수량!$A$2:$A$82,$A23,판매수량!$B$2:$B$82,$AG23)</f>
        <v>0</v>
      </c>
      <c r="U23" s="16">
        <f>SUMIFS(INDEX(판매수량!$N$2:$V$82,0,MATCH(U$19,판매수량!$N$2:$V$2,0)),판매수량!$A$2:$A$82,$A23,판매수량!$B$2:$B$82,$AG23)</f>
        <v>0</v>
      </c>
      <c r="V23" s="16">
        <f>SUMIFS(INDEX(판매수량!$N$2:$V$82,0,MATCH(V$19,판매수량!$N$2:$V$2,0)),판매수량!$A$2:$A$82,$A23,판매수량!$B$2:$B$82,$AG23)</f>
        <v>0</v>
      </c>
      <c r="W23" s="16">
        <f>SUMIFS(INDEX(판매수량!$N$2:$V$82,0,MATCH(W$19,판매수량!$N$2:$V$2,0)),판매수량!$A$2:$A$82,$A23,판매수량!$B$2:$B$82,$AG23)</f>
        <v>0</v>
      </c>
      <c r="X23" s="15">
        <f>SUMIFS(INDEX(판매수량!$N$2:$V$82,0,MATCH(X$19,판매수량!$N$2:$V$2,0)),판매수량!$A$2:$A$82,$A23,판매수량!$B$2:$B$82,$AG23)</f>
        <v>0</v>
      </c>
      <c r="Y23" s="16">
        <f>SUM(P23:X23)</f>
        <v>1</v>
      </c>
      <c r="Z23" s="246">
        <f>SUM(O23,Y23)</f>
        <v>3</v>
      </c>
      <c r="AA23" s="16">
        <f>ROUND(AA24*AA25,)</f>
        <v>3</v>
      </c>
      <c r="AB23" s="16">
        <f>ROUND(AB24*AB25,)</f>
        <v>3</v>
      </c>
      <c r="AC23" s="16">
        <f>ROUND(AC24*AC25,)</f>
        <v>4</v>
      </c>
      <c r="AD23" s="16">
        <f>ROUND(AD24*AD25,)</f>
        <v>4</v>
      </c>
      <c r="AF23" s="327"/>
      <c r="AG23" s="322" t="str">
        <f>IF($E23="판매수량",$C21,)</f>
        <v>5축</v>
      </c>
      <c r="AK23" s="311"/>
    </row>
    <row r="24" spans="1:37" x14ac:dyDescent="0.3">
      <c r="A24" s="338" t="s">
        <v>262</v>
      </c>
      <c r="B24" s="11"/>
      <c r="F24" s="3" t="s">
        <v>464</v>
      </c>
      <c r="L24" s="16"/>
      <c r="M24" s="16"/>
      <c r="N24" s="15"/>
      <c r="O24" s="306"/>
      <c r="P24" s="119"/>
      <c r="Q24" s="119"/>
      <c r="R24" s="119"/>
      <c r="S24" s="119"/>
      <c r="T24" s="119"/>
      <c r="U24" s="119"/>
      <c r="V24" s="119"/>
      <c r="W24" s="119"/>
      <c r="X24" s="294"/>
      <c r="Y24" s="119"/>
      <c r="Z24" s="246">
        <f>'Key Assumption'!AA102</f>
        <v>1</v>
      </c>
      <c r="AA24" s="16">
        <f>'Key Assumption'!AB102</f>
        <v>1</v>
      </c>
      <c r="AB24" s="16">
        <f>'Key Assumption'!AC102</f>
        <v>1</v>
      </c>
      <c r="AC24" s="16">
        <f>'Key Assumption'!AD102</f>
        <v>1</v>
      </c>
      <c r="AD24" s="16">
        <f>'Key Assumption'!AE102</f>
        <v>1</v>
      </c>
      <c r="AF24" s="327"/>
      <c r="AG24" s="322">
        <f t="shared" ref="AG24:AG68" si="13">IF($E24="판매수량",$C22,)</f>
        <v>0</v>
      </c>
      <c r="AK24" s="311"/>
    </row>
    <row r="25" spans="1:37" x14ac:dyDescent="0.3">
      <c r="A25" s="338" t="s">
        <v>262</v>
      </c>
      <c r="B25" s="11"/>
      <c r="F25" s="3" t="s">
        <v>465</v>
      </c>
      <c r="L25" s="16"/>
      <c r="M25" s="16"/>
      <c r="N25" s="15"/>
      <c r="O25" s="306"/>
      <c r="P25" s="119"/>
      <c r="Q25" s="119"/>
      <c r="R25" s="119"/>
      <c r="S25" s="119"/>
      <c r="T25" s="119"/>
      <c r="U25" s="119"/>
      <c r="V25" s="119"/>
      <c r="W25" s="119"/>
      <c r="X25" s="294"/>
      <c r="Y25" s="119"/>
      <c r="Z25" s="246">
        <f>IFERROR(Z23/Z24,)</f>
        <v>3</v>
      </c>
      <c r="AA25" s="16">
        <f>'Key Assumption'!AB214</f>
        <v>3.1711780404117418</v>
      </c>
      <c r="AB25" s="16">
        <f>'Key Assumption'!AC214</f>
        <v>3.3574151734654967</v>
      </c>
      <c r="AC25" s="16">
        <f>'Key Assumption'!AD214</f>
        <v>3.5522302706824238</v>
      </c>
      <c r="AD25" s="16">
        <f>'Key Assumption'!AE214</f>
        <v>3.7508577964163168</v>
      </c>
      <c r="AF25" s="327"/>
      <c r="AG25" s="322">
        <f t="shared" si="13"/>
        <v>0</v>
      </c>
      <c r="AK25" s="311"/>
    </row>
    <row r="26" spans="1:37" x14ac:dyDescent="0.3">
      <c r="A26" s="338" t="s">
        <v>262</v>
      </c>
      <c r="B26" s="11"/>
      <c r="E26" s="3" t="s">
        <v>466</v>
      </c>
      <c r="I26" s="291" t="s">
        <v>467</v>
      </c>
      <c r="L26" s="16"/>
      <c r="M26" s="16"/>
      <c r="N26" s="15"/>
      <c r="O26" s="246">
        <f>O22/O23</f>
        <v>137982.39999999999</v>
      </c>
      <c r="P26" s="16">
        <f>'Key Assumption'!R351</f>
        <v>191389.25205208719</v>
      </c>
      <c r="Q26" s="16">
        <f>'Key Assumption'!S351</f>
        <v>191389.25205208719</v>
      </c>
      <c r="R26" s="16">
        <f>'Key Assumption'!T351</f>
        <v>191389.25205208719</v>
      </c>
      <c r="S26" s="16">
        <f>'Key Assumption'!U351</f>
        <v>191389.25205208719</v>
      </c>
      <c r="T26" s="16">
        <f>'Key Assumption'!V351</f>
        <v>191389.25205208719</v>
      </c>
      <c r="U26" s="16">
        <f>'Key Assumption'!W351</f>
        <v>191389.25205208719</v>
      </c>
      <c r="V26" s="16">
        <f>'Key Assumption'!X351</f>
        <v>191389.25205208719</v>
      </c>
      <c r="W26" s="16">
        <f>'Key Assumption'!Y351</f>
        <v>191389.25205208719</v>
      </c>
      <c r="X26" s="15">
        <f>'Key Assumption'!Z351</f>
        <v>191389.25205208719</v>
      </c>
      <c r="Y26" s="16">
        <f>IFERROR(Y22/Y23,)</f>
        <v>191389.25205208719</v>
      </c>
      <c r="Z26" s="246">
        <f>Z22/Z23</f>
        <v>155784.68401736239</v>
      </c>
      <c r="AA26" s="16">
        <f>'Key Assumption'!AB351</f>
        <v>156605.15944298773</v>
      </c>
      <c r="AB26" s="16">
        <f>'Key Assumption'!AC351</f>
        <v>157526.80368195171</v>
      </c>
      <c r="AC26" s="16">
        <f>'Key Assumption'!AD351</f>
        <v>158566.09914305335</v>
      </c>
      <c r="AD26" s="16">
        <f>'Key Assumption'!AE351</f>
        <v>159617.86215242874</v>
      </c>
      <c r="AF26" s="327"/>
      <c r="AG26" s="322">
        <f t="shared" si="13"/>
        <v>0</v>
      </c>
      <c r="AK26" s="311"/>
    </row>
    <row r="27" spans="1:37" x14ac:dyDescent="0.3">
      <c r="A27" s="338" t="s">
        <v>262</v>
      </c>
      <c r="B27" s="11"/>
      <c r="D27" s="3" t="s">
        <v>333</v>
      </c>
      <c r="I27" s="291"/>
      <c r="L27" s="16"/>
      <c r="M27" s="16"/>
      <c r="N27" s="15"/>
      <c r="O27" s="246">
        <f>O21/O22*10^6</f>
        <v>1443.1000000000001</v>
      </c>
      <c r="P27" s="16">
        <f t="shared" ref="P27:X27" si="14">P$188</f>
        <v>1426.4224983649444</v>
      </c>
      <c r="Q27" s="16">
        <f t="shared" si="14"/>
        <v>1426.4224983649444</v>
      </c>
      <c r="R27" s="16">
        <f t="shared" si="14"/>
        <v>1426.4224983649444</v>
      </c>
      <c r="S27" s="16">
        <f t="shared" si="14"/>
        <v>1431.6794316794317</v>
      </c>
      <c r="T27" s="16">
        <f t="shared" si="14"/>
        <v>1431.6794316794317</v>
      </c>
      <c r="U27" s="16">
        <f t="shared" si="14"/>
        <v>1431.6794316794317</v>
      </c>
      <c r="V27" s="16">
        <f t="shared" si="14"/>
        <v>1398.4903984903985</v>
      </c>
      <c r="W27" s="16">
        <f t="shared" si="14"/>
        <v>1398.4903984903985</v>
      </c>
      <c r="X27" s="15">
        <f t="shared" si="14"/>
        <v>1398.4903984903985</v>
      </c>
      <c r="Y27" s="16">
        <f>IFERROR(Y21/Y22,)*10^6</f>
        <v>1426.4224983649444</v>
      </c>
      <c r="Z27" s="246">
        <f>Z21/Z22*10^6</f>
        <v>1436.2702858892194</v>
      </c>
      <c r="AA27" s="16">
        <f t="shared" ref="AA27:AD27" si="15">AA$188</f>
        <v>1381.1853031509499</v>
      </c>
      <c r="AB27" s="16">
        <f t="shared" si="15"/>
        <v>1388.080388080388</v>
      </c>
      <c r="AC27" s="16">
        <f t="shared" si="15"/>
        <v>1397.1342031686859</v>
      </c>
      <c r="AD27" s="16">
        <f t="shared" si="15"/>
        <v>1418.041418041418</v>
      </c>
      <c r="AF27" s="327"/>
      <c r="AG27" s="322">
        <f t="shared" si="13"/>
        <v>0</v>
      </c>
      <c r="AK27" s="311"/>
    </row>
    <row r="28" spans="1:37" x14ac:dyDescent="0.3">
      <c r="A28" s="338" t="s">
        <v>262</v>
      </c>
      <c r="C28" s="3" t="s">
        <v>147</v>
      </c>
      <c r="L28" s="16"/>
      <c r="M28" s="16"/>
      <c r="N28" s="15"/>
      <c r="O28" s="246">
        <v>6416.7585809999955</v>
      </c>
      <c r="P28" s="16">
        <f t="shared" ref="P28:X28" si="16">P29*P34/10^6</f>
        <v>3261.7878410756966</v>
      </c>
      <c r="Q28" s="16">
        <f t="shared" si="16"/>
        <v>3261.7878410756966</v>
      </c>
      <c r="R28" s="16">
        <f t="shared" si="16"/>
        <v>3479.2403638140763</v>
      </c>
      <c r="S28" s="16">
        <f t="shared" si="16"/>
        <v>2182.5392163135361</v>
      </c>
      <c r="T28" s="16">
        <f t="shared" si="16"/>
        <v>2509.9200987605668</v>
      </c>
      <c r="U28" s="16">
        <f t="shared" si="16"/>
        <v>3601.1897069173351</v>
      </c>
      <c r="V28" s="16">
        <f t="shared" si="16"/>
        <v>2878.124177512113</v>
      </c>
      <c r="W28" s="16">
        <f t="shared" si="16"/>
        <v>3304.5129445509442</v>
      </c>
      <c r="X28" s="15">
        <f t="shared" si="16"/>
        <v>3517.7073280703603</v>
      </c>
      <c r="Y28" s="16">
        <f>SUM(P28:X28)</f>
        <v>27996.809518090326</v>
      </c>
      <c r="Z28" s="246">
        <f>SUM(O28,Y28)</f>
        <v>34413.56809909032</v>
      </c>
      <c r="AA28" s="16">
        <f>AA29*AA34/10^6</f>
        <v>35086.496517665444</v>
      </c>
      <c r="AB28" s="16">
        <f>AB29*AB34/10^6</f>
        <v>38735.398408784342</v>
      </c>
      <c r="AC28" s="16">
        <f>AC29*AC34/10^6</f>
        <v>41561.787853545829</v>
      </c>
      <c r="AD28" s="16">
        <f>AD29*AD34/10^6</f>
        <v>44378.718208192768</v>
      </c>
      <c r="AF28" s="327"/>
      <c r="AG28" s="322">
        <f t="shared" si="13"/>
        <v>0</v>
      </c>
      <c r="AK28" s="311"/>
    </row>
    <row r="29" spans="1:37" x14ac:dyDescent="0.3">
      <c r="A29" s="338" t="s">
        <v>262</v>
      </c>
      <c r="D29" s="3" t="s">
        <v>463</v>
      </c>
      <c r="L29" s="16"/>
      <c r="M29" s="16"/>
      <c r="N29" s="15"/>
      <c r="O29" s="246">
        <v>4446509.9999999991</v>
      </c>
      <c r="P29" s="16">
        <f t="shared" ref="P29:X29" si="17">P30*P33</f>
        <v>2286691.2466780101</v>
      </c>
      <c r="Q29" s="16">
        <f t="shared" si="17"/>
        <v>2286691.2466780101</v>
      </c>
      <c r="R29" s="16">
        <f t="shared" si="17"/>
        <v>2439137.3297898774</v>
      </c>
      <c r="S29" s="16">
        <f t="shared" si="17"/>
        <v>1524460.8311186733</v>
      </c>
      <c r="T29" s="16">
        <f t="shared" si="17"/>
        <v>1753129.9557864743</v>
      </c>
      <c r="U29" s="16">
        <f t="shared" si="17"/>
        <v>2515360.3713458111</v>
      </c>
      <c r="V29" s="16">
        <f t="shared" si="17"/>
        <v>2058022.1220102091</v>
      </c>
      <c r="W29" s="16">
        <f t="shared" si="17"/>
        <v>2362914.2882339437</v>
      </c>
      <c r="X29" s="15">
        <f t="shared" si="17"/>
        <v>2515360.3713458111</v>
      </c>
      <c r="Y29" s="16">
        <f>SUM(P29:X29)</f>
        <v>19741767.76298682</v>
      </c>
      <c r="Z29" s="246">
        <f>Y29+O29</f>
        <v>24188277.76298682</v>
      </c>
      <c r="AA29" s="16">
        <f>AA30*AA33</f>
        <v>25403178.297380734</v>
      </c>
      <c r="AB29" s="16">
        <f>AB30*AB33</f>
        <v>27905731.354905542</v>
      </c>
      <c r="AC29" s="16">
        <f>AC30*AC33</f>
        <v>29747885.177590046</v>
      </c>
      <c r="AD29" s="16">
        <f>AD30*AD33</f>
        <v>31295784.20176762</v>
      </c>
      <c r="AF29" s="327"/>
      <c r="AG29" s="322">
        <f t="shared" si="13"/>
        <v>0</v>
      </c>
      <c r="AK29" s="311"/>
    </row>
    <row r="30" spans="1:37" x14ac:dyDescent="0.3">
      <c r="A30" s="338" t="s">
        <v>262</v>
      </c>
      <c r="E30" s="3" t="s">
        <v>324</v>
      </c>
      <c r="L30" s="16"/>
      <c r="M30" s="16"/>
      <c r="N30" s="15"/>
      <c r="O30" s="246">
        <v>54</v>
      </c>
      <c r="P30" s="16">
        <f>SUMIFS(INDEX(판매수량!$N$2:$V$82,0,MATCH(P$19,판매수량!$N$2:$V$2,0)),판매수량!$A$2:$A$82,$A30,판매수량!$B$2:$B$82,$AG30)</f>
        <v>30</v>
      </c>
      <c r="Q30" s="16">
        <f>SUMIFS(INDEX(판매수량!$N$2:$V$82,0,MATCH(Q$19,판매수량!$N$2:$V$2,0)),판매수량!$A$2:$A$82,$A30,판매수량!$B$2:$B$82,$AG30)</f>
        <v>30</v>
      </c>
      <c r="R30" s="16">
        <f>SUMIFS(INDEX(판매수량!$N$2:$V$82,0,MATCH(R$19,판매수량!$N$2:$V$2,0)),판매수량!$A$2:$A$82,$A30,판매수량!$B$2:$B$82,$AG30)</f>
        <v>32</v>
      </c>
      <c r="S30" s="16">
        <f>SUMIFS(INDEX(판매수량!$N$2:$V$82,0,MATCH(S$19,판매수량!$N$2:$V$2,0)),판매수량!$A$2:$A$82,$A30,판매수량!$B$2:$B$82,$AG30)</f>
        <v>20</v>
      </c>
      <c r="T30" s="16">
        <f>SUMIFS(INDEX(판매수량!$N$2:$V$82,0,MATCH(T$19,판매수량!$N$2:$V$2,0)),판매수량!$A$2:$A$82,$A30,판매수량!$B$2:$B$82,$AG30)</f>
        <v>23</v>
      </c>
      <c r="U30" s="16">
        <f>SUMIFS(INDEX(판매수량!$N$2:$V$82,0,MATCH(U$19,판매수량!$N$2:$V$2,0)),판매수량!$A$2:$A$82,$A30,판매수량!$B$2:$B$82,$AG30)</f>
        <v>33</v>
      </c>
      <c r="V30" s="16">
        <f>SUMIFS(INDEX(판매수량!$N$2:$V$82,0,MATCH(V$19,판매수량!$N$2:$V$2,0)),판매수량!$A$2:$A$82,$A30,판매수량!$B$2:$B$82,$AG30)</f>
        <v>27</v>
      </c>
      <c r="W30" s="16">
        <f>SUMIFS(INDEX(판매수량!$N$2:$V$82,0,MATCH(W$19,판매수량!$N$2:$V$2,0)),판매수량!$A$2:$A$82,$A30,판매수량!$B$2:$B$82,$AG30)</f>
        <v>31</v>
      </c>
      <c r="X30" s="15">
        <f>SUMIFS(INDEX(판매수량!$N$2:$V$82,0,MATCH(X$19,판매수량!$N$2:$V$2,0)),판매수량!$A$2:$A$82,$A30,판매수량!$B$2:$B$82,$AG30)</f>
        <v>33</v>
      </c>
      <c r="Y30" s="16">
        <f>SUM(P30:X30)</f>
        <v>259</v>
      </c>
      <c r="Z30" s="246">
        <f>SUM(O30,Y30)</f>
        <v>313</v>
      </c>
      <c r="AA30" s="16">
        <f>ROUND(AA31*AA32,)</f>
        <v>327</v>
      </c>
      <c r="AB30" s="16">
        <f>ROUND(AB31*AB32,)</f>
        <v>357</v>
      </c>
      <c r="AC30" s="16">
        <f>ROUND(AC31*AC32,)</f>
        <v>378</v>
      </c>
      <c r="AD30" s="16">
        <f>ROUND(AD31*AD32,)</f>
        <v>395</v>
      </c>
      <c r="AF30" s="327"/>
      <c r="AG30" s="322" t="str">
        <f t="shared" si="13"/>
        <v>선반</v>
      </c>
      <c r="AK30" s="311"/>
    </row>
    <row r="31" spans="1:37" x14ac:dyDescent="0.3">
      <c r="A31" s="338" t="s">
        <v>262</v>
      </c>
      <c r="F31" s="3" t="s">
        <v>464</v>
      </c>
      <c r="L31" s="16"/>
      <c r="M31" s="16"/>
      <c r="N31" s="15"/>
      <c r="O31" s="306"/>
      <c r="P31" s="119"/>
      <c r="Q31" s="119"/>
      <c r="R31" s="119"/>
      <c r="S31" s="119"/>
      <c r="T31" s="119"/>
      <c r="U31" s="119"/>
      <c r="V31" s="119"/>
      <c r="W31" s="119"/>
      <c r="X31" s="294"/>
      <c r="Y31" s="119"/>
      <c r="Z31" s="246">
        <f>'Key Assumption'!AA103</f>
        <v>113</v>
      </c>
      <c r="AA31" s="16">
        <f>'Key Assumption'!AB103</f>
        <v>113</v>
      </c>
      <c r="AB31" s="16">
        <f>'Key Assumption'!AC103</f>
        <v>118</v>
      </c>
      <c r="AC31" s="16">
        <f>'Key Assumption'!AD103</f>
        <v>120</v>
      </c>
      <c r="AD31" s="16">
        <f>'Key Assumption'!AE103</f>
        <v>120</v>
      </c>
      <c r="AF31" s="327"/>
      <c r="AG31" s="322">
        <f t="shared" si="13"/>
        <v>0</v>
      </c>
      <c r="AK31" s="311"/>
    </row>
    <row r="32" spans="1:37" x14ac:dyDescent="0.3">
      <c r="A32" s="338" t="s">
        <v>262</v>
      </c>
      <c r="F32" s="3" t="s">
        <v>465</v>
      </c>
      <c r="L32" s="16"/>
      <c r="M32" s="16"/>
      <c r="N32" s="15"/>
      <c r="O32" s="306"/>
      <c r="P32" s="119"/>
      <c r="Q32" s="119"/>
      <c r="R32" s="119"/>
      <c r="S32" s="119"/>
      <c r="T32" s="119"/>
      <c r="U32" s="119"/>
      <c r="V32" s="119"/>
      <c r="W32" s="119"/>
      <c r="X32" s="294"/>
      <c r="Y32" s="119"/>
      <c r="Z32" s="246">
        <f>IFERROR(Z30/Z31,)</f>
        <v>2.7699115044247788</v>
      </c>
      <c r="AA32" s="16">
        <f>'Key Assumption'!AB215</f>
        <v>2.8943355545059095</v>
      </c>
      <c r="AB32" s="16">
        <f>'Key Assumption'!AC215</f>
        <v>3.0214069248015325</v>
      </c>
      <c r="AC32" s="16">
        <f>'Key Assumption'!AD215</f>
        <v>3.1535014155041408</v>
      </c>
      <c r="AD32" s="16">
        <f>'Key Assumption'!AE215</f>
        <v>3.2944881869272225</v>
      </c>
      <c r="AF32" s="327"/>
      <c r="AG32" s="322">
        <f t="shared" si="13"/>
        <v>0</v>
      </c>
      <c r="AK32" s="311"/>
    </row>
    <row r="33" spans="1:37" x14ac:dyDescent="0.3">
      <c r="A33" s="338" t="s">
        <v>262</v>
      </c>
      <c r="E33" s="3" t="s">
        <v>466</v>
      </c>
      <c r="I33" s="291" t="s">
        <v>467</v>
      </c>
      <c r="L33" s="16"/>
      <c r="M33" s="16"/>
      <c r="N33" s="15"/>
      <c r="O33" s="246">
        <f>O29/O30</f>
        <v>82342.777777777766</v>
      </c>
      <c r="P33" s="16">
        <f>'Key Assumption'!R352</f>
        <v>76223.041555933669</v>
      </c>
      <c r="Q33" s="16">
        <f>'Key Assumption'!S352</f>
        <v>76223.041555933669</v>
      </c>
      <c r="R33" s="16">
        <f>'Key Assumption'!T352</f>
        <v>76223.041555933669</v>
      </c>
      <c r="S33" s="16">
        <f>'Key Assumption'!U352</f>
        <v>76223.041555933669</v>
      </c>
      <c r="T33" s="16">
        <f>'Key Assumption'!V352</f>
        <v>76223.041555933669</v>
      </c>
      <c r="U33" s="16">
        <f>'Key Assumption'!W352</f>
        <v>76223.041555933669</v>
      </c>
      <c r="V33" s="16">
        <f>'Key Assumption'!X352</f>
        <v>76223.041555933669</v>
      </c>
      <c r="W33" s="16">
        <f>'Key Assumption'!Y352</f>
        <v>76223.041555933669</v>
      </c>
      <c r="X33" s="15">
        <f>'Key Assumption'!Z352</f>
        <v>76223.041555933669</v>
      </c>
      <c r="Y33" s="16">
        <f>IFERROR(Y29/Y30,)</f>
        <v>76223.041555933669</v>
      </c>
      <c r="Z33" s="246">
        <f>Z29/Z30</f>
        <v>77278.842693248633</v>
      </c>
      <c r="AA33" s="16">
        <f>'Key Assumption'!AB352</f>
        <v>77685.560542448729</v>
      </c>
      <c r="AB33" s="16">
        <f>'Key Assumption'!AC352</f>
        <v>78167.314719623362</v>
      </c>
      <c r="AC33" s="16">
        <f>'Key Assumption'!AD352</f>
        <v>78698.108935423399</v>
      </c>
      <c r="AD33" s="16">
        <f>'Key Assumption'!AE352</f>
        <v>79229.833422196505</v>
      </c>
      <c r="AF33" s="327"/>
      <c r="AG33" s="322">
        <f t="shared" si="13"/>
        <v>0</v>
      </c>
      <c r="AK33" s="311"/>
    </row>
    <row r="34" spans="1:37" x14ac:dyDescent="0.3">
      <c r="A34" s="338" t="s">
        <v>262</v>
      </c>
      <c r="D34" s="3" t="s">
        <v>333</v>
      </c>
      <c r="I34" s="291"/>
      <c r="L34" s="16"/>
      <c r="M34" s="16"/>
      <c r="N34" s="15"/>
      <c r="O34" s="246">
        <f>O28/O29*10^6</f>
        <v>1443.0999999999992</v>
      </c>
      <c r="P34" s="16">
        <f t="shared" ref="P34:X34" si="18">P$188</f>
        <v>1426.4224983649444</v>
      </c>
      <c r="Q34" s="16">
        <f t="shared" si="18"/>
        <v>1426.4224983649444</v>
      </c>
      <c r="R34" s="16">
        <f t="shared" si="18"/>
        <v>1426.4224983649444</v>
      </c>
      <c r="S34" s="16">
        <f t="shared" si="18"/>
        <v>1431.6794316794317</v>
      </c>
      <c r="T34" s="16">
        <f t="shared" si="18"/>
        <v>1431.6794316794317</v>
      </c>
      <c r="U34" s="16">
        <f t="shared" si="18"/>
        <v>1431.6794316794317</v>
      </c>
      <c r="V34" s="16">
        <f t="shared" si="18"/>
        <v>1398.4903984903985</v>
      </c>
      <c r="W34" s="16">
        <f t="shared" si="18"/>
        <v>1398.4903984903985</v>
      </c>
      <c r="X34" s="15">
        <f t="shared" si="18"/>
        <v>1398.4903984903985</v>
      </c>
      <c r="Y34" s="16">
        <f>IFERROR(Y28/Y29,)*10^6</f>
        <v>1418.1510923545868</v>
      </c>
      <c r="Z34" s="246">
        <f>Z28/Z29*10^6</f>
        <v>1422.7374282823209</v>
      </c>
      <c r="AA34" s="16">
        <f t="shared" ref="AA34:AD34" si="19">AA$188</f>
        <v>1381.1853031509499</v>
      </c>
      <c r="AB34" s="16">
        <f t="shared" si="19"/>
        <v>1388.080388080388</v>
      </c>
      <c r="AC34" s="16">
        <f t="shared" si="19"/>
        <v>1397.1342031686859</v>
      </c>
      <c r="AD34" s="16">
        <f t="shared" si="19"/>
        <v>1418.041418041418</v>
      </c>
      <c r="AF34" s="327"/>
      <c r="AG34" s="322">
        <f t="shared" si="13"/>
        <v>0</v>
      </c>
      <c r="AK34" s="311"/>
    </row>
    <row r="35" spans="1:37" x14ac:dyDescent="0.3">
      <c r="A35" s="338" t="s">
        <v>262</v>
      </c>
      <c r="C35" s="3" t="s">
        <v>148</v>
      </c>
      <c r="L35" s="16"/>
      <c r="M35" s="16"/>
      <c r="N35" s="15"/>
      <c r="O35" s="246">
        <v>1775.02627652</v>
      </c>
      <c r="P35" s="16">
        <f t="shared" ref="P35:X35" si="20">P36*P41/10^6</f>
        <v>754.60005569521775</v>
      </c>
      <c r="Q35" s="16">
        <f t="shared" si="20"/>
        <v>848.92506265711995</v>
      </c>
      <c r="R35" s="16">
        <f t="shared" si="20"/>
        <v>660.27504873331543</v>
      </c>
      <c r="S35" s="16">
        <f t="shared" si="20"/>
        <v>473.36316033703059</v>
      </c>
      <c r="T35" s="16">
        <f t="shared" si="20"/>
        <v>662.70842447184293</v>
      </c>
      <c r="U35" s="16">
        <f t="shared" si="20"/>
        <v>852.0536886066551</v>
      </c>
      <c r="V35" s="16">
        <f t="shared" si="20"/>
        <v>554.86764990723361</v>
      </c>
      <c r="W35" s="16">
        <f t="shared" si="20"/>
        <v>554.86764990723361</v>
      </c>
      <c r="X35" s="15">
        <f t="shared" si="20"/>
        <v>739.82353320964478</v>
      </c>
      <c r="Y35" s="16">
        <f>SUM(P35:X35)</f>
        <v>6101.4842735252932</v>
      </c>
      <c r="Z35" s="246">
        <f>SUM(O35,Y35)</f>
        <v>7876.5105500452937</v>
      </c>
      <c r="AA35" s="16">
        <f>AA36*AA41/10^6</f>
        <v>8044.8540455745269</v>
      </c>
      <c r="AB35" s="16">
        <f>AB36*AB41/10^6</f>
        <v>9413.6584098577732</v>
      </c>
      <c r="AC35" s="16">
        <f>AC36*AC41/10^6</f>
        <v>10927.591633539439</v>
      </c>
      <c r="AD35" s="16">
        <f>AD36*AD41/10^6</f>
        <v>12308.35079756989</v>
      </c>
      <c r="AF35" s="327"/>
      <c r="AG35" s="322">
        <f t="shared" si="13"/>
        <v>0</v>
      </c>
      <c r="AK35" s="311"/>
    </row>
    <row r="36" spans="1:37" x14ac:dyDescent="0.3">
      <c r="A36" s="338" t="s">
        <v>262</v>
      </c>
      <c r="D36" s="3" t="s">
        <v>463</v>
      </c>
      <c r="L36" s="16"/>
      <c r="M36" s="16"/>
      <c r="N36" s="15"/>
      <c r="O36" s="246">
        <v>1230009.2</v>
      </c>
      <c r="P36" s="16">
        <f t="shared" ref="P36:X36" si="21">P37*P40</f>
        <v>529015.81162677112</v>
      </c>
      <c r="Q36" s="16">
        <f t="shared" si="21"/>
        <v>595142.78808011755</v>
      </c>
      <c r="R36" s="16">
        <f t="shared" si="21"/>
        <v>462888.83517342474</v>
      </c>
      <c r="S36" s="16">
        <f t="shared" si="21"/>
        <v>330634.88226673193</v>
      </c>
      <c r="T36" s="16">
        <f t="shared" si="21"/>
        <v>462888.83517342474</v>
      </c>
      <c r="U36" s="16">
        <f t="shared" si="21"/>
        <v>595142.78808011755</v>
      </c>
      <c r="V36" s="16">
        <f t="shared" si="21"/>
        <v>396761.85872007837</v>
      </c>
      <c r="W36" s="16">
        <f t="shared" si="21"/>
        <v>396761.85872007837</v>
      </c>
      <c r="X36" s="15">
        <f t="shared" si="21"/>
        <v>529015.81162677112</v>
      </c>
      <c r="Y36" s="16">
        <f>SUM(P36:X36)</f>
        <v>4298253.4694675161</v>
      </c>
      <c r="Z36" s="246">
        <f>Y36+O36</f>
        <v>5528262.6694675162</v>
      </c>
      <c r="AA36" s="16">
        <f>AA37*AA40</f>
        <v>5824601.541314912</v>
      </c>
      <c r="AB36" s="16">
        <f>AB37*AB40</f>
        <v>6781781.8699075216</v>
      </c>
      <c r="AC36" s="16">
        <f>AC37*AC40</f>
        <v>7821433.0511383768</v>
      </c>
      <c r="AD36" s="16">
        <f>AD37*AD40</f>
        <v>8679824.6094744112</v>
      </c>
      <c r="AF36" s="327"/>
      <c r="AG36" s="322">
        <f t="shared" si="13"/>
        <v>0</v>
      </c>
      <c r="AK36" s="311"/>
    </row>
    <row r="37" spans="1:37" x14ac:dyDescent="0.3">
      <c r="A37" s="338" t="s">
        <v>262</v>
      </c>
      <c r="E37" s="3" t="s">
        <v>324</v>
      </c>
      <c r="L37" s="16"/>
      <c r="M37" s="16"/>
      <c r="N37" s="15"/>
      <c r="O37" s="246">
        <v>21</v>
      </c>
      <c r="P37" s="16">
        <f>SUMIFS(INDEX(판매수량!$N$2:$V$82,0,MATCH(P$19,판매수량!$N$2:$V$2,0)),판매수량!$A$2:$A$82,$A37,판매수량!$B$2:$B$82,$AG37)</f>
        <v>8</v>
      </c>
      <c r="Q37" s="16">
        <f>SUMIFS(INDEX(판매수량!$N$2:$V$82,0,MATCH(Q$19,판매수량!$N$2:$V$2,0)),판매수량!$A$2:$A$82,$A37,판매수량!$B$2:$B$82,$AG37)</f>
        <v>9</v>
      </c>
      <c r="R37" s="16">
        <f>SUMIFS(INDEX(판매수량!$N$2:$V$82,0,MATCH(R$19,판매수량!$N$2:$V$2,0)),판매수량!$A$2:$A$82,$A37,판매수량!$B$2:$B$82,$AG37)</f>
        <v>7</v>
      </c>
      <c r="S37" s="16">
        <f>SUMIFS(INDEX(판매수량!$N$2:$V$82,0,MATCH(S$19,판매수량!$N$2:$V$2,0)),판매수량!$A$2:$A$82,$A37,판매수량!$B$2:$B$82,$AG37)</f>
        <v>5</v>
      </c>
      <c r="T37" s="16">
        <f>SUMIFS(INDEX(판매수량!$N$2:$V$82,0,MATCH(T$19,판매수량!$N$2:$V$2,0)),판매수량!$A$2:$A$82,$A37,판매수량!$B$2:$B$82,$AG37)</f>
        <v>7</v>
      </c>
      <c r="U37" s="16">
        <f>SUMIFS(INDEX(판매수량!$N$2:$V$82,0,MATCH(U$19,판매수량!$N$2:$V$2,0)),판매수량!$A$2:$A$82,$A37,판매수량!$B$2:$B$82,$AG37)</f>
        <v>9</v>
      </c>
      <c r="V37" s="16">
        <f>SUMIFS(INDEX(판매수량!$N$2:$V$82,0,MATCH(V$19,판매수량!$N$2:$V$2,0)),판매수량!$A$2:$A$82,$A37,판매수량!$B$2:$B$82,$AG37)</f>
        <v>6</v>
      </c>
      <c r="W37" s="16">
        <f>SUMIFS(INDEX(판매수량!$N$2:$V$82,0,MATCH(W$19,판매수량!$N$2:$V$2,0)),판매수량!$A$2:$A$82,$A37,판매수량!$B$2:$B$82,$AG37)</f>
        <v>6</v>
      </c>
      <c r="X37" s="15">
        <f>SUMIFS(INDEX(판매수량!$N$2:$V$82,0,MATCH(X$19,판매수량!$N$2:$V$2,0)),판매수량!$A$2:$A$82,$A37,판매수량!$B$2:$B$82,$AG37)</f>
        <v>8</v>
      </c>
      <c r="Y37" s="16">
        <f>SUM(P37:X37)</f>
        <v>65</v>
      </c>
      <c r="Z37" s="246">
        <f>SUM(O37,Y37)</f>
        <v>86</v>
      </c>
      <c r="AA37" s="16">
        <f>ROUND(AA38*AA39,)</f>
        <v>90</v>
      </c>
      <c r="AB37" s="16">
        <f>ROUND(AB38*AB39,)</f>
        <v>104</v>
      </c>
      <c r="AC37" s="16">
        <f>ROUND(AC38*AC39,)</f>
        <v>119</v>
      </c>
      <c r="AD37" s="16">
        <f>ROUND(AD38*AD39,)</f>
        <v>131</v>
      </c>
      <c r="AF37" s="327"/>
      <c r="AG37" s="322" t="str">
        <f t="shared" si="13"/>
        <v>VMC</v>
      </c>
      <c r="AK37" s="311"/>
    </row>
    <row r="38" spans="1:37" x14ac:dyDescent="0.3">
      <c r="A38" s="338" t="s">
        <v>262</v>
      </c>
      <c r="F38" s="3" t="s">
        <v>464</v>
      </c>
      <c r="L38" s="16"/>
      <c r="M38" s="16"/>
      <c r="N38" s="15"/>
      <c r="O38" s="306"/>
      <c r="P38" s="119"/>
      <c r="Q38" s="119"/>
      <c r="R38" s="119"/>
      <c r="S38" s="119"/>
      <c r="T38" s="119"/>
      <c r="U38" s="119"/>
      <c r="V38" s="119"/>
      <c r="W38" s="119"/>
      <c r="X38" s="294"/>
      <c r="Y38" s="119"/>
      <c r="Z38" s="246">
        <f>'Key Assumption'!AA104</f>
        <v>20</v>
      </c>
      <c r="AA38" s="16">
        <f>'Key Assumption'!AB104</f>
        <v>20</v>
      </c>
      <c r="AB38" s="16">
        <f>'Key Assumption'!AC104</f>
        <v>22</v>
      </c>
      <c r="AC38" s="16">
        <f>'Key Assumption'!AD104</f>
        <v>24</v>
      </c>
      <c r="AD38" s="16">
        <f>'Key Assumption'!AE104</f>
        <v>25</v>
      </c>
      <c r="AF38" s="327"/>
      <c r="AG38" s="322">
        <f t="shared" si="13"/>
        <v>0</v>
      </c>
      <c r="AK38" s="311"/>
    </row>
    <row r="39" spans="1:37" x14ac:dyDescent="0.3">
      <c r="A39" s="338" t="s">
        <v>262</v>
      </c>
      <c r="F39" s="3" t="s">
        <v>465</v>
      </c>
      <c r="L39" s="16"/>
      <c r="M39" s="16"/>
      <c r="N39" s="15"/>
      <c r="O39" s="306"/>
      <c r="P39" s="119"/>
      <c r="Q39" s="119"/>
      <c r="R39" s="119"/>
      <c r="S39" s="119"/>
      <c r="T39" s="119"/>
      <c r="U39" s="119"/>
      <c r="V39" s="119"/>
      <c r="W39" s="119"/>
      <c r="X39" s="294"/>
      <c r="Y39" s="119"/>
      <c r="Z39" s="246">
        <f>IFERROR(Z37/Z38,)</f>
        <v>4.3</v>
      </c>
      <c r="AA39" s="16">
        <f>'Key Assumption'!AB216</f>
        <v>4.5190139767394406</v>
      </c>
      <c r="AB39" s="16">
        <f>'Key Assumption'!AC216</f>
        <v>4.74285349928586</v>
      </c>
      <c r="AC39" s="16">
        <f>'Key Assumption'!AD216</f>
        <v>4.9777698428892059</v>
      </c>
      <c r="AD39" s="16">
        <f>'Key Assumption'!AE216</f>
        <v>5.2329754131809825</v>
      </c>
      <c r="AF39" s="327"/>
      <c r="AG39" s="322">
        <f t="shared" si="13"/>
        <v>0</v>
      </c>
      <c r="AK39" s="311"/>
    </row>
    <row r="40" spans="1:37" x14ac:dyDescent="0.3">
      <c r="A40" s="338" t="s">
        <v>262</v>
      </c>
      <c r="E40" s="3" t="s">
        <v>466</v>
      </c>
      <c r="I40" s="291" t="s">
        <v>467</v>
      </c>
      <c r="L40" s="16"/>
      <c r="M40" s="16"/>
      <c r="N40" s="15"/>
      <c r="O40" s="246">
        <f>O36/O37</f>
        <v>58571.866666666661</v>
      </c>
      <c r="P40" s="16">
        <f>'Key Assumption'!R353</f>
        <v>66126.976453346389</v>
      </c>
      <c r="Q40" s="16">
        <f>'Key Assumption'!S353</f>
        <v>66126.976453346389</v>
      </c>
      <c r="R40" s="16">
        <f>'Key Assumption'!T353</f>
        <v>66126.976453346389</v>
      </c>
      <c r="S40" s="16">
        <f>'Key Assumption'!U353</f>
        <v>66126.976453346389</v>
      </c>
      <c r="T40" s="16">
        <f>'Key Assumption'!V353</f>
        <v>66126.976453346389</v>
      </c>
      <c r="U40" s="16">
        <f>'Key Assumption'!W353</f>
        <v>66126.976453346389</v>
      </c>
      <c r="V40" s="16">
        <f>'Key Assumption'!X353</f>
        <v>66126.976453346389</v>
      </c>
      <c r="W40" s="16">
        <f>'Key Assumption'!Y353</f>
        <v>66126.976453346389</v>
      </c>
      <c r="X40" s="15">
        <f>'Key Assumption'!Z353</f>
        <v>66126.976453346389</v>
      </c>
      <c r="Y40" s="16">
        <f>IFERROR(Y36/Y37,)</f>
        <v>66126.976453346404</v>
      </c>
      <c r="Z40" s="246">
        <f>Z36/Z37</f>
        <v>64282.124063575771</v>
      </c>
      <c r="AA40" s="16">
        <f>'Key Assumption'!AB353</f>
        <v>64717.794903499023</v>
      </c>
      <c r="AB40" s="16">
        <f>'Key Assumption'!AC353</f>
        <v>65209.441056803094</v>
      </c>
      <c r="AC40" s="16">
        <f>'Key Assumption'!AD353</f>
        <v>65726.328160826699</v>
      </c>
      <c r="AD40" s="16">
        <f>'Key Assumption'!AE353</f>
        <v>66258.203125758868</v>
      </c>
      <c r="AF40" s="327"/>
      <c r="AG40" s="322">
        <f t="shared" si="13"/>
        <v>0</v>
      </c>
      <c r="AK40" s="311"/>
    </row>
    <row r="41" spans="1:37" x14ac:dyDescent="0.3">
      <c r="A41" s="338" t="s">
        <v>262</v>
      </c>
      <c r="D41" s="3" t="s">
        <v>333</v>
      </c>
      <c r="I41" s="291"/>
      <c r="L41" s="16"/>
      <c r="M41" s="16"/>
      <c r="N41" s="15"/>
      <c r="O41" s="246">
        <f>O35/O36*10^6</f>
        <v>1443.1000000000001</v>
      </c>
      <c r="P41" s="16">
        <f t="shared" ref="P41:X41" si="22">P$188</f>
        <v>1426.4224983649444</v>
      </c>
      <c r="Q41" s="16">
        <f t="shared" si="22"/>
        <v>1426.4224983649444</v>
      </c>
      <c r="R41" s="16">
        <f t="shared" si="22"/>
        <v>1426.4224983649444</v>
      </c>
      <c r="S41" s="16">
        <f t="shared" si="22"/>
        <v>1431.6794316794317</v>
      </c>
      <c r="T41" s="16">
        <f t="shared" si="22"/>
        <v>1431.6794316794317</v>
      </c>
      <c r="U41" s="16">
        <f t="shared" si="22"/>
        <v>1431.6794316794317</v>
      </c>
      <c r="V41" s="16">
        <f t="shared" si="22"/>
        <v>1398.4903984903985</v>
      </c>
      <c r="W41" s="16">
        <f t="shared" si="22"/>
        <v>1398.4903984903985</v>
      </c>
      <c r="X41" s="15">
        <f t="shared" si="22"/>
        <v>1398.4903984903985</v>
      </c>
      <c r="Y41" s="16">
        <f>IFERROR(Y35/Y36,)*10^6</f>
        <v>1419.5263999359183</v>
      </c>
      <c r="Z41" s="246">
        <f>Z35/Z36*10^6</f>
        <v>1424.7714012481904</v>
      </c>
      <c r="AA41" s="16">
        <f t="shared" ref="AA41:AD41" si="23">AA$188</f>
        <v>1381.1853031509499</v>
      </c>
      <c r="AB41" s="16">
        <f t="shared" si="23"/>
        <v>1388.080388080388</v>
      </c>
      <c r="AC41" s="16">
        <f t="shared" si="23"/>
        <v>1397.1342031686859</v>
      </c>
      <c r="AD41" s="16">
        <f t="shared" si="23"/>
        <v>1418.041418041418</v>
      </c>
      <c r="AF41" s="327"/>
      <c r="AG41" s="322">
        <f t="shared" si="13"/>
        <v>0</v>
      </c>
      <c r="AK41" s="311"/>
    </row>
    <row r="42" spans="1:37" x14ac:dyDescent="0.3">
      <c r="A42" s="338" t="s">
        <v>262</v>
      </c>
      <c r="C42" s="3" t="s">
        <v>149</v>
      </c>
      <c r="L42" s="16"/>
      <c r="M42" s="16"/>
      <c r="N42" s="15"/>
      <c r="O42" s="246">
        <v>1472.12882236</v>
      </c>
      <c r="P42" s="16">
        <f t="shared" ref="P42:X42" si="24">P43*P48/10^6</f>
        <v>0</v>
      </c>
      <c r="Q42" s="16">
        <f t="shared" si="24"/>
        <v>364.93978782645212</v>
      </c>
      <c r="R42" s="16">
        <f t="shared" si="24"/>
        <v>729.87957565290424</v>
      </c>
      <c r="S42" s="16">
        <f t="shared" si="24"/>
        <v>0</v>
      </c>
      <c r="T42" s="16">
        <f t="shared" si="24"/>
        <v>0</v>
      </c>
      <c r="U42" s="16">
        <f t="shared" si="24"/>
        <v>0</v>
      </c>
      <c r="V42" s="16">
        <f t="shared" si="24"/>
        <v>715.5871277793625</v>
      </c>
      <c r="W42" s="16">
        <f t="shared" si="24"/>
        <v>357.79356388968125</v>
      </c>
      <c r="X42" s="15">
        <f t="shared" si="24"/>
        <v>0</v>
      </c>
      <c r="Y42" s="16">
        <f>SUM(P42:X42)</f>
        <v>2168.2000551483998</v>
      </c>
      <c r="Z42" s="246">
        <f>SUM(O42,Y42)</f>
        <v>3640.3288775083997</v>
      </c>
      <c r="AA42" s="16">
        <f>AA43*AA48/10^6</f>
        <v>3551.2356021994256</v>
      </c>
      <c r="AB42" s="16">
        <f>AB43*AB48/10^6</f>
        <v>3954.5465077136282</v>
      </c>
      <c r="AC42" s="16">
        <f>AC43*AC48/10^6</f>
        <v>4008.8073764878359</v>
      </c>
      <c r="AD42" s="16">
        <f>AD43*AD48/10^6</f>
        <v>4472.79710166121</v>
      </c>
      <c r="AF42" s="327"/>
      <c r="AG42" s="322">
        <f t="shared" si="13"/>
        <v>0</v>
      </c>
      <c r="AK42" s="311"/>
    </row>
    <row r="43" spans="1:37" x14ac:dyDescent="0.3">
      <c r="A43" s="338" t="s">
        <v>262</v>
      </c>
      <c r="D43" s="3" t="s">
        <v>463</v>
      </c>
      <c r="L43" s="16"/>
      <c r="M43" s="16"/>
      <c r="N43" s="15"/>
      <c r="O43" s="246">
        <v>1020115.6000000001</v>
      </c>
      <c r="P43" s="16">
        <f t="shared" ref="P43:X43" si="25">P44*P47</f>
        <v>0</v>
      </c>
      <c r="Q43" s="16">
        <f t="shared" si="25"/>
        <v>255842.7031575632</v>
      </c>
      <c r="R43" s="16">
        <f t="shared" si="25"/>
        <v>511685.4063151264</v>
      </c>
      <c r="S43" s="16">
        <f t="shared" si="25"/>
        <v>0</v>
      </c>
      <c r="T43" s="16">
        <f t="shared" si="25"/>
        <v>0</v>
      </c>
      <c r="U43" s="16">
        <f t="shared" si="25"/>
        <v>0</v>
      </c>
      <c r="V43" s="16">
        <f t="shared" si="25"/>
        <v>511685.4063151264</v>
      </c>
      <c r="W43" s="16">
        <f t="shared" si="25"/>
        <v>255842.7031575632</v>
      </c>
      <c r="X43" s="15">
        <f t="shared" si="25"/>
        <v>0</v>
      </c>
      <c r="Y43" s="16">
        <f>SUM(P43:X43)</f>
        <v>1535056.2189453791</v>
      </c>
      <c r="Z43" s="246">
        <f>Y43+O43</f>
        <v>2555171.818945379</v>
      </c>
      <c r="AA43" s="16">
        <f>AA44*AA47</f>
        <v>2571150.7312580422</v>
      </c>
      <c r="AB43" s="16">
        <f>AB44*AB47</f>
        <v>2848931.9074542015</v>
      </c>
      <c r="AC43" s="16">
        <f>AC44*AC47</f>
        <v>2869307.3059094124</v>
      </c>
      <c r="AD43" s="16">
        <f>AD44*AD47</f>
        <v>3154207.6590675218</v>
      </c>
      <c r="AF43" s="327"/>
      <c r="AG43" s="322">
        <f t="shared" si="13"/>
        <v>0</v>
      </c>
      <c r="AK43" s="311"/>
    </row>
    <row r="44" spans="1:37" x14ac:dyDescent="0.3">
      <c r="A44" s="338" t="s">
        <v>262</v>
      </c>
      <c r="E44" s="3" t="s">
        <v>324</v>
      </c>
      <c r="L44" s="16"/>
      <c r="M44" s="16"/>
      <c r="N44" s="15"/>
      <c r="O44" s="246">
        <v>4</v>
      </c>
      <c r="P44" s="16">
        <v>0</v>
      </c>
      <c r="Q44" s="16">
        <v>1</v>
      </c>
      <c r="R44" s="16">
        <v>2</v>
      </c>
      <c r="S44" s="16">
        <v>0</v>
      </c>
      <c r="T44" s="16">
        <v>0</v>
      </c>
      <c r="U44" s="16">
        <v>0</v>
      </c>
      <c r="V44" s="16">
        <v>2</v>
      </c>
      <c r="W44" s="16">
        <v>1</v>
      </c>
      <c r="X44" s="15">
        <v>0</v>
      </c>
      <c r="Y44" s="16">
        <f>SUM(P44:X44)</f>
        <v>6</v>
      </c>
      <c r="Z44" s="246">
        <f>SUM(O44,Y44)</f>
        <v>10</v>
      </c>
      <c r="AA44" s="16">
        <f>ROUND(AA45*AA46,)</f>
        <v>10</v>
      </c>
      <c r="AB44" s="16">
        <f>ROUND(AB45*AB46,)</f>
        <v>11</v>
      </c>
      <c r="AC44" s="16">
        <f>ROUND(AC45*AC46,)</f>
        <v>11</v>
      </c>
      <c r="AD44" s="16">
        <f>ROUND(AD45*AD46,)</f>
        <v>12</v>
      </c>
      <c r="AF44" s="327"/>
      <c r="AG44" s="322" t="str">
        <f t="shared" si="13"/>
        <v>HMC</v>
      </c>
      <c r="AK44" s="311"/>
    </row>
    <row r="45" spans="1:37" x14ac:dyDescent="0.3">
      <c r="A45" s="338" t="s">
        <v>262</v>
      </c>
      <c r="F45" s="3" t="s">
        <v>464</v>
      </c>
      <c r="L45" s="16"/>
      <c r="M45" s="16"/>
      <c r="N45" s="15"/>
      <c r="O45" s="306"/>
      <c r="P45" s="119"/>
      <c r="Q45" s="119"/>
      <c r="R45" s="119"/>
      <c r="S45" s="119"/>
      <c r="T45" s="119"/>
      <c r="U45" s="119"/>
      <c r="V45" s="119"/>
      <c r="W45" s="119"/>
      <c r="X45" s="294"/>
      <c r="Y45" s="119"/>
      <c r="Z45" s="246">
        <f>'Key Assumption'!AA105</f>
        <v>5</v>
      </c>
      <c r="AA45" s="16">
        <f>'Key Assumption'!AB105</f>
        <v>5</v>
      </c>
      <c r="AB45" s="16">
        <f>'Key Assumption'!AC105</f>
        <v>5</v>
      </c>
      <c r="AC45" s="16">
        <f>'Key Assumption'!AD105</f>
        <v>5</v>
      </c>
      <c r="AD45" s="16">
        <f>'Key Assumption'!AE105</f>
        <v>5</v>
      </c>
      <c r="AF45" s="327"/>
      <c r="AG45" s="322">
        <f t="shared" si="13"/>
        <v>0</v>
      </c>
      <c r="AK45" s="311"/>
    </row>
    <row r="46" spans="1:37" x14ac:dyDescent="0.3">
      <c r="A46" s="338" t="s">
        <v>262</v>
      </c>
      <c r="F46" s="3" t="s">
        <v>465</v>
      </c>
      <c r="L46" s="16"/>
      <c r="M46" s="16"/>
      <c r="N46" s="15"/>
      <c r="O46" s="306"/>
      <c r="P46" s="119"/>
      <c r="Q46" s="119"/>
      <c r="R46" s="119"/>
      <c r="S46" s="119"/>
      <c r="T46" s="119"/>
      <c r="U46" s="119"/>
      <c r="V46" s="119"/>
      <c r="W46" s="119"/>
      <c r="X46" s="294"/>
      <c r="Y46" s="119"/>
      <c r="Z46" s="246">
        <f>IFERROR(Z44/Z45,)</f>
        <v>2</v>
      </c>
      <c r="AA46" s="16">
        <f>'Key Assumption'!AB217</f>
        <v>2.094266516258767</v>
      </c>
      <c r="AB46" s="16">
        <f>'Key Assumption'!AC217</f>
        <v>2.1923586247486391</v>
      </c>
      <c r="AC46" s="16">
        <f>'Key Assumption'!AD217</f>
        <v>2.2967286281818629</v>
      </c>
      <c r="AD46" s="16">
        <f>'Key Assumption'!AE217</f>
        <v>2.4090440924027661</v>
      </c>
      <c r="AF46" s="327"/>
      <c r="AG46" s="322">
        <f t="shared" si="13"/>
        <v>0</v>
      </c>
      <c r="AK46" s="311"/>
    </row>
    <row r="47" spans="1:37" x14ac:dyDescent="0.3">
      <c r="A47" s="338" t="s">
        <v>262</v>
      </c>
      <c r="E47" s="3" t="s">
        <v>466</v>
      </c>
      <c r="I47" s="291" t="s">
        <v>467</v>
      </c>
      <c r="L47" s="16"/>
      <c r="M47" s="16"/>
      <c r="N47" s="15"/>
      <c r="O47" s="246">
        <f>O43/O44</f>
        <v>255028.90000000002</v>
      </c>
      <c r="P47" s="16">
        <f>'Key Assumption'!R354</f>
        <v>255842.7031575632</v>
      </c>
      <c r="Q47" s="16">
        <f>'Key Assumption'!S354</f>
        <v>255842.7031575632</v>
      </c>
      <c r="R47" s="16">
        <f>'Key Assumption'!T354</f>
        <v>255842.7031575632</v>
      </c>
      <c r="S47" s="16">
        <f>'Key Assumption'!U354</f>
        <v>255842.7031575632</v>
      </c>
      <c r="T47" s="16">
        <f>'Key Assumption'!V354</f>
        <v>255842.7031575632</v>
      </c>
      <c r="U47" s="16">
        <f>'Key Assumption'!W354</f>
        <v>255842.7031575632</v>
      </c>
      <c r="V47" s="16">
        <f>'Key Assumption'!X354</f>
        <v>255842.7031575632</v>
      </c>
      <c r="W47" s="16">
        <f>'Key Assumption'!Y354</f>
        <v>255842.7031575632</v>
      </c>
      <c r="X47" s="15">
        <f>'Key Assumption'!Z354</f>
        <v>255842.7031575632</v>
      </c>
      <c r="Y47" s="16">
        <f>IFERROR(Y43/Y44,)</f>
        <v>255842.7031575632</v>
      </c>
      <c r="Z47" s="246">
        <f>Z43/Z44</f>
        <v>255517.18189453791</v>
      </c>
      <c r="AA47" s="16">
        <f>'Key Assumption'!AB354</f>
        <v>257115.07312580422</v>
      </c>
      <c r="AB47" s="16">
        <f>'Key Assumption'!AC354</f>
        <v>258993.80976856378</v>
      </c>
      <c r="AC47" s="16">
        <f>'Key Assumption'!AD354</f>
        <v>260846.11871903748</v>
      </c>
      <c r="AD47" s="16">
        <f>'Key Assumption'!AE354</f>
        <v>262850.63825562684</v>
      </c>
      <c r="AF47" s="327"/>
      <c r="AG47" s="322">
        <f t="shared" si="13"/>
        <v>0</v>
      </c>
      <c r="AK47" s="311"/>
    </row>
    <row r="48" spans="1:37" x14ac:dyDescent="0.3">
      <c r="A48" s="338" t="s">
        <v>262</v>
      </c>
      <c r="D48" s="3" t="s">
        <v>333</v>
      </c>
      <c r="I48" s="291"/>
      <c r="L48" s="16"/>
      <c r="M48" s="16"/>
      <c r="N48" s="15"/>
      <c r="O48" s="246">
        <f>O42/O43*10^6</f>
        <v>1443.1</v>
      </c>
      <c r="P48" s="16">
        <f t="shared" ref="P48:X48" si="26">P$188</f>
        <v>1426.4224983649444</v>
      </c>
      <c r="Q48" s="16">
        <f t="shared" si="26"/>
        <v>1426.4224983649444</v>
      </c>
      <c r="R48" s="16">
        <f t="shared" si="26"/>
        <v>1426.4224983649444</v>
      </c>
      <c r="S48" s="16">
        <f t="shared" si="26"/>
        <v>1431.6794316794317</v>
      </c>
      <c r="T48" s="16">
        <f t="shared" si="26"/>
        <v>1431.6794316794317</v>
      </c>
      <c r="U48" s="16">
        <f t="shared" si="26"/>
        <v>1431.6794316794317</v>
      </c>
      <c r="V48" s="16">
        <f t="shared" si="26"/>
        <v>1398.4903984903985</v>
      </c>
      <c r="W48" s="16">
        <f t="shared" si="26"/>
        <v>1398.4903984903985</v>
      </c>
      <c r="X48" s="15">
        <f t="shared" si="26"/>
        <v>1398.4903984903985</v>
      </c>
      <c r="Y48" s="16">
        <f>IFERROR(Y42/Y43,)*10^6</f>
        <v>1412.4564484276711</v>
      </c>
      <c r="Z48" s="246">
        <f>Z42/Z43*10^6</f>
        <v>1424.6904456745722</v>
      </c>
      <c r="AA48" s="16">
        <f t="shared" ref="AA48:AD48" si="27">AA$188</f>
        <v>1381.1853031509499</v>
      </c>
      <c r="AB48" s="16">
        <f t="shared" si="27"/>
        <v>1388.080388080388</v>
      </c>
      <c r="AC48" s="16">
        <f t="shared" si="27"/>
        <v>1397.1342031686859</v>
      </c>
      <c r="AD48" s="16">
        <f t="shared" si="27"/>
        <v>1418.041418041418</v>
      </c>
      <c r="AF48" s="327"/>
      <c r="AG48" s="322">
        <f t="shared" si="13"/>
        <v>0</v>
      </c>
      <c r="AK48" s="311"/>
    </row>
    <row r="49" spans="1:37" x14ac:dyDescent="0.3">
      <c r="A49" s="338" t="s">
        <v>262</v>
      </c>
      <c r="C49" s="3" t="s">
        <v>150</v>
      </c>
      <c r="L49" s="16"/>
      <c r="M49" s="16"/>
      <c r="N49" s="15"/>
      <c r="O49" s="246">
        <v>594.77424224000004</v>
      </c>
      <c r="P49" s="16">
        <f t="shared" ref="P49:X49" si="28">P50*P55/10^6</f>
        <v>0</v>
      </c>
      <c r="Q49" s="16">
        <f t="shared" si="28"/>
        <v>292.36865278086998</v>
      </c>
      <c r="R49" s="16">
        <f t="shared" si="28"/>
        <v>146.18432639043499</v>
      </c>
      <c r="S49" s="16">
        <f t="shared" si="28"/>
        <v>0</v>
      </c>
      <c r="T49" s="16">
        <f t="shared" si="28"/>
        <v>146.72307368048308</v>
      </c>
      <c r="U49" s="16">
        <f t="shared" si="28"/>
        <v>146.72307368048308</v>
      </c>
      <c r="V49" s="16">
        <f t="shared" si="28"/>
        <v>286.64351144369772</v>
      </c>
      <c r="W49" s="16">
        <f t="shared" si="28"/>
        <v>143.32175572184886</v>
      </c>
      <c r="X49" s="15">
        <f t="shared" si="28"/>
        <v>573.28702288739544</v>
      </c>
      <c r="Y49" s="16">
        <f>SUM(P49:X49)</f>
        <v>1735.2514165852131</v>
      </c>
      <c r="Z49" s="246">
        <f>SUM(O49,Y49)</f>
        <v>2330.0256588252132</v>
      </c>
      <c r="AA49" s="16">
        <f>AA50*AA55/10^6</f>
        <v>0</v>
      </c>
      <c r="AB49" s="16">
        <f t="shared" ref="AB49:AD49" si="29">AB50*AB55/10^6</f>
        <v>0</v>
      </c>
      <c r="AC49" s="16">
        <f t="shared" si="29"/>
        <v>0</v>
      </c>
      <c r="AD49" s="16">
        <f t="shared" si="29"/>
        <v>0</v>
      </c>
      <c r="AF49" s="327"/>
      <c r="AG49" s="322">
        <f t="shared" si="13"/>
        <v>0</v>
      </c>
      <c r="AK49" s="311"/>
    </row>
    <row r="50" spans="1:37" x14ac:dyDescent="0.3">
      <c r="A50" s="338" t="s">
        <v>262</v>
      </c>
      <c r="D50" s="3" t="s">
        <v>463</v>
      </c>
      <c r="L50" s="16"/>
      <c r="M50" s="16"/>
      <c r="N50" s="15"/>
      <c r="O50" s="246">
        <v>412150.4</v>
      </c>
      <c r="P50" s="16">
        <f t="shared" ref="P50:X50" si="30">P51*P54</f>
        <v>0</v>
      </c>
      <c r="Q50" s="16">
        <f t="shared" si="30"/>
        <v>204966.37785508949</v>
      </c>
      <c r="R50" s="16">
        <f t="shared" si="30"/>
        <v>102483.18892754475</v>
      </c>
      <c r="S50" s="16">
        <f t="shared" si="30"/>
        <v>0</v>
      </c>
      <c r="T50" s="16">
        <f t="shared" si="30"/>
        <v>102483.18892754475</v>
      </c>
      <c r="U50" s="16">
        <f t="shared" si="30"/>
        <v>102483.18892754475</v>
      </c>
      <c r="V50" s="16">
        <f t="shared" si="30"/>
        <v>204966.37785508949</v>
      </c>
      <c r="W50" s="16">
        <f t="shared" si="30"/>
        <v>102483.18892754475</v>
      </c>
      <c r="X50" s="15">
        <f t="shared" si="30"/>
        <v>409932.75571017899</v>
      </c>
      <c r="Y50" s="16">
        <f>SUM(P50:X50)</f>
        <v>1229798.267130537</v>
      </c>
      <c r="Z50" s="246">
        <f>Y50+O50</f>
        <v>1641948.6671305369</v>
      </c>
      <c r="AA50" s="16">
        <f>AA51*AA54</f>
        <v>0</v>
      </c>
      <c r="AB50" s="16">
        <f t="shared" ref="AB50:AD50" si="31">AB51*AB54</f>
        <v>0</v>
      </c>
      <c r="AC50" s="16">
        <f t="shared" si="31"/>
        <v>0</v>
      </c>
      <c r="AD50" s="16">
        <f t="shared" si="31"/>
        <v>0</v>
      </c>
      <c r="AF50" s="327"/>
      <c r="AG50" s="322">
        <f t="shared" si="13"/>
        <v>0</v>
      </c>
      <c r="AK50" s="311"/>
    </row>
    <row r="51" spans="1:37" x14ac:dyDescent="0.3">
      <c r="A51" s="338" t="s">
        <v>262</v>
      </c>
      <c r="E51" s="3" t="s">
        <v>324</v>
      </c>
      <c r="L51" s="16"/>
      <c r="M51" s="16"/>
      <c r="N51" s="15"/>
      <c r="O51" s="246">
        <v>4</v>
      </c>
      <c r="P51" s="16">
        <f>SUMIFS(INDEX(판매수량!$N$2:$V$82,0,MATCH(P$19,판매수량!$N$2:$V$2,0)),판매수량!$A$2:$A$82,$A51,판매수량!$B$2:$B$82,$AG51)</f>
        <v>0</v>
      </c>
      <c r="Q51" s="16">
        <f>SUMIFS(INDEX(판매수량!$N$2:$V$82,0,MATCH(Q$19,판매수량!$N$2:$V$2,0)),판매수량!$A$2:$A$82,$A51,판매수량!$B$2:$B$82,$AG51)</f>
        <v>2</v>
      </c>
      <c r="R51" s="16">
        <f>SUMIFS(INDEX(판매수량!$N$2:$V$82,0,MATCH(R$19,판매수량!$N$2:$V$2,0)),판매수량!$A$2:$A$82,$A51,판매수량!$B$2:$B$82,$AG51)</f>
        <v>1</v>
      </c>
      <c r="S51" s="16">
        <f>SUMIFS(INDEX(판매수량!$N$2:$V$82,0,MATCH(S$19,판매수량!$N$2:$V$2,0)),판매수량!$A$2:$A$82,$A51,판매수량!$B$2:$B$82,$AG51)</f>
        <v>0</v>
      </c>
      <c r="T51" s="16">
        <f>SUMIFS(INDEX(판매수량!$N$2:$V$82,0,MATCH(T$19,판매수량!$N$2:$V$2,0)),판매수량!$A$2:$A$82,$A51,판매수량!$B$2:$B$82,$AG51)</f>
        <v>1</v>
      </c>
      <c r="U51" s="16">
        <f>SUMIFS(INDEX(판매수량!$N$2:$V$82,0,MATCH(U$19,판매수량!$N$2:$V$2,0)),판매수량!$A$2:$A$82,$A51,판매수량!$B$2:$B$82,$AG51)</f>
        <v>1</v>
      </c>
      <c r="V51" s="16">
        <f>SUMIFS(INDEX(판매수량!$N$2:$V$82,0,MATCH(V$19,판매수량!$N$2:$V$2,0)),판매수량!$A$2:$A$82,$A51,판매수량!$B$2:$B$82,$AG51)</f>
        <v>2</v>
      </c>
      <c r="W51" s="16">
        <f>SUMIFS(INDEX(판매수량!$N$2:$V$82,0,MATCH(W$19,판매수량!$N$2:$V$2,0)),판매수량!$A$2:$A$82,$A51,판매수량!$B$2:$B$82,$AG51)</f>
        <v>1</v>
      </c>
      <c r="X51" s="15">
        <f>SUMIFS(INDEX(판매수량!$N$2:$V$82,0,MATCH(X$19,판매수량!$N$2:$V$2,0)),판매수량!$A$2:$A$82,$A51,판매수량!$B$2:$B$82,$AG51)</f>
        <v>4</v>
      </c>
      <c r="Y51" s="16">
        <f>SUM(P51:X51)</f>
        <v>12</v>
      </c>
      <c r="Z51" s="246">
        <f>SUM(O51,Y51)</f>
        <v>16</v>
      </c>
      <c r="AA51" s="16">
        <f>ROUND(AA52*AA53,)</f>
        <v>0</v>
      </c>
      <c r="AB51" s="16">
        <f>ROUND(AB52*AB53,)</f>
        <v>0</v>
      </c>
      <c r="AC51" s="16">
        <f>ROUND(AC52*AC53,)</f>
        <v>0</v>
      </c>
      <c r="AD51" s="16">
        <f>ROUND(AD52*AD53,)</f>
        <v>0</v>
      </c>
      <c r="AF51" s="327"/>
      <c r="AG51" s="322" t="str">
        <f t="shared" si="13"/>
        <v>단종</v>
      </c>
      <c r="AK51" s="311"/>
    </row>
    <row r="52" spans="1:37" x14ac:dyDescent="0.3">
      <c r="A52" s="338" t="s">
        <v>262</v>
      </c>
      <c r="F52" s="3" t="s">
        <v>304</v>
      </c>
      <c r="L52" s="16"/>
      <c r="M52" s="16"/>
      <c r="N52" s="15"/>
      <c r="O52" s="306"/>
      <c r="P52" s="119"/>
      <c r="Q52" s="119"/>
      <c r="R52" s="119"/>
      <c r="S52" s="119"/>
      <c r="T52" s="119"/>
      <c r="U52" s="119"/>
      <c r="V52" s="119"/>
      <c r="W52" s="119"/>
      <c r="X52" s="294"/>
      <c r="Y52" s="119"/>
      <c r="Z52" s="246">
        <v>7</v>
      </c>
      <c r="AA52" s="16">
        <f>'Key Assumption'!AB106</f>
        <v>0</v>
      </c>
      <c r="AB52" s="16">
        <f>'Key Assumption'!AC106</f>
        <v>0</v>
      </c>
      <c r="AC52" s="16">
        <f>'Key Assumption'!AD106</f>
        <v>0</v>
      </c>
      <c r="AD52" s="16">
        <f>'Key Assumption'!AE106</f>
        <v>0</v>
      </c>
      <c r="AF52" s="327"/>
      <c r="AG52" s="322">
        <f t="shared" si="13"/>
        <v>0</v>
      </c>
      <c r="AK52" s="311"/>
    </row>
    <row r="53" spans="1:37" x14ac:dyDescent="0.3">
      <c r="A53" s="338" t="s">
        <v>262</v>
      </c>
      <c r="F53" s="3" t="s">
        <v>305</v>
      </c>
      <c r="L53" s="16"/>
      <c r="M53" s="16"/>
      <c r="N53" s="15"/>
      <c r="O53" s="306"/>
      <c r="P53" s="119"/>
      <c r="Q53" s="119"/>
      <c r="R53" s="119"/>
      <c r="S53" s="119"/>
      <c r="T53" s="119"/>
      <c r="U53" s="119"/>
      <c r="V53" s="119"/>
      <c r="W53" s="119"/>
      <c r="X53" s="294"/>
      <c r="Y53" s="119"/>
      <c r="Z53" s="246">
        <f>IFERROR(Z51/Z52,)</f>
        <v>2.2857142857142856</v>
      </c>
      <c r="AA53" s="16">
        <f>'Key Assumption'!AB218</f>
        <v>0</v>
      </c>
      <c r="AB53" s="16">
        <f>'Key Assumption'!AC218</f>
        <v>0</v>
      </c>
      <c r="AC53" s="16">
        <f>'Key Assumption'!AD218</f>
        <v>0</v>
      </c>
      <c r="AD53" s="16">
        <f>'Key Assumption'!AE218</f>
        <v>0</v>
      </c>
      <c r="AF53" s="327"/>
      <c r="AG53" s="322">
        <f t="shared" si="13"/>
        <v>0</v>
      </c>
      <c r="AK53" s="311"/>
    </row>
    <row r="54" spans="1:37" x14ac:dyDescent="0.3">
      <c r="A54" s="338" t="s">
        <v>262</v>
      </c>
      <c r="E54" s="3" t="s">
        <v>466</v>
      </c>
      <c r="I54" s="291" t="s">
        <v>467</v>
      </c>
      <c r="L54" s="16"/>
      <c r="M54" s="16"/>
      <c r="N54" s="15"/>
      <c r="O54" s="246">
        <f>O50/O51</f>
        <v>103037.6</v>
      </c>
      <c r="P54" s="16">
        <f>'Key Assumption'!R355</f>
        <v>102483.18892754475</v>
      </c>
      <c r="Q54" s="16">
        <f>'Key Assumption'!S355</f>
        <v>102483.18892754475</v>
      </c>
      <c r="R54" s="16">
        <f>'Key Assumption'!T355</f>
        <v>102483.18892754475</v>
      </c>
      <c r="S54" s="16">
        <f>'Key Assumption'!U355</f>
        <v>102483.18892754475</v>
      </c>
      <c r="T54" s="16">
        <f>'Key Assumption'!V355</f>
        <v>102483.18892754475</v>
      </c>
      <c r="U54" s="16">
        <f>'Key Assumption'!W355</f>
        <v>102483.18892754475</v>
      </c>
      <c r="V54" s="16">
        <f>'Key Assumption'!X355</f>
        <v>102483.18892754475</v>
      </c>
      <c r="W54" s="16">
        <f>'Key Assumption'!Y355</f>
        <v>102483.18892754475</v>
      </c>
      <c r="X54" s="15">
        <f>'Key Assumption'!Z355</f>
        <v>102483.18892754475</v>
      </c>
      <c r="Y54" s="16">
        <f>IFERROR(Y50/Y51,)</f>
        <v>102483.18892754475</v>
      </c>
      <c r="Z54" s="246">
        <f>Z50/Z51</f>
        <v>102621.79169565855</v>
      </c>
      <c r="AA54" s="16">
        <f>'Key Assumption'!AB355</f>
        <v>0</v>
      </c>
      <c r="AB54" s="16">
        <f>'Key Assumption'!AC355</f>
        <v>0</v>
      </c>
      <c r="AC54" s="16">
        <f>'Key Assumption'!AD355</f>
        <v>0</v>
      </c>
      <c r="AD54" s="16">
        <f>'Key Assumption'!AE355</f>
        <v>0</v>
      </c>
      <c r="AF54" s="327"/>
      <c r="AG54" s="322">
        <f t="shared" si="13"/>
        <v>0</v>
      </c>
      <c r="AK54" s="311"/>
    </row>
    <row r="55" spans="1:37" x14ac:dyDescent="0.3">
      <c r="A55" s="338" t="s">
        <v>262</v>
      </c>
      <c r="D55" s="3" t="s">
        <v>333</v>
      </c>
      <c r="I55" s="291"/>
      <c r="L55" s="16"/>
      <c r="M55" s="16"/>
      <c r="N55" s="15"/>
      <c r="O55" s="246">
        <f>O49/O50*10^6</f>
        <v>1443.1000000000001</v>
      </c>
      <c r="P55" s="16">
        <f t="shared" ref="P55:X55" si="32">P$188</f>
        <v>1426.4224983649444</v>
      </c>
      <c r="Q55" s="16">
        <f t="shared" si="32"/>
        <v>1426.4224983649444</v>
      </c>
      <c r="R55" s="16">
        <f t="shared" si="32"/>
        <v>1426.4224983649444</v>
      </c>
      <c r="S55" s="16">
        <f t="shared" si="32"/>
        <v>1431.6794316794317</v>
      </c>
      <c r="T55" s="16">
        <f t="shared" si="32"/>
        <v>1431.6794316794317</v>
      </c>
      <c r="U55" s="16">
        <f t="shared" si="32"/>
        <v>1431.6794316794317</v>
      </c>
      <c r="V55" s="16">
        <f t="shared" si="32"/>
        <v>1398.4903984903985</v>
      </c>
      <c r="W55" s="16">
        <f t="shared" si="32"/>
        <v>1398.4903984903985</v>
      </c>
      <c r="X55" s="15">
        <f t="shared" si="32"/>
        <v>1398.4903984903985</v>
      </c>
      <c r="Y55" s="16">
        <f>IFERROR(Y49/Y50,)*10^6</f>
        <v>1411.0049289905405</v>
      </c>
      <c r="Z55" s="246">
        <f>Z49/Z50*10^6</f>
        <v>1419.0612078617276</v>
      </c>
      <c r="AA55" s="16">
        <f t="shared" ref="AA55:AD55" si="33">AA$188</f>
        <v>1381.1853031509499</v>
      </c>
      <c r="AB55" s="16">
        <f t="shared" si="33"/>
        <v>1388.080388080388</v>
      </c>
      <c r="AC55" s="16">
        <f t="shared" si="33"/>
        <v>1397.1342031686859</v>
      </c>
      <c r="AD55" s="16">
        <f t="shared" si="33"/>
        <v>1418.041418041418</v>
      </c>
      <c r="AF55" s="327"/>
      <c r="AG55" s="322">
        <f t="shared" si="13"/>
        <v>0</v>
      </c>
      <c r="AK55" s="311"/>
    </row>
    <row r="56" spans="1:37" x14ac:dyDescent="0.3">
      <c r="A56" s="338" t="s">
        <v>262</v>
      </c>
      <c r="C56" s="3" t="s">
        <v>105</v>
      </c>
      <c r="L56" s="16"/>
      <c r="M56" s="16"/>
      <c r="N56" s="15"/>
      <c r="O56" s="246">
        <f>O57+O59+O61+O63+O66+O67+O68</f>
        <v>2852.2881746010012</v>
      </c>
      <c r="P56" s="16">
        <f t="shared" ref="P56:AD56" si="34">P57+P59+P61+P63+P66+P67+P68</f>
        <v>1220.9285085783479</v>
      </c>
      <c r="Q56" s="16">
        <f t="shared" si="34"/>
        <v>1293.0426578151682</v>
      </c>
      <c r="R56" s="16">
        <f t="shared" si="34"/>
        <v>1283.2538445075515</v>
      </c>
      <c r="S56" s="16">
        <f t="shared" si="34"/>
        <v>965.61687862668668</v>
      </c>
      <c r="T56" s="16">
        <f t="shared" si="34"/>
        <v>862.6181259153268</v>
      </c>
      <c r="U56" s="16">
        <f t="shared" si="34"/>
        <v>1195.5856928411915</v>
      </c>
      <c r="V56" s="16">
        <f t="shared" si="34"/>
        <v>1316.31354017275</v>
      </c>
      <c r="W56" s="16">
        <f t="shared" si="34"/>
        <v>1126.0050911300791</v>
      </c>
      <c r="X56" s="15">
        <f t="shared" si="34"/>
        <v>1254.9284804956574</v>
      </c>
      <c r="Y56" s="16">
        <f>Y57+Y59+Y61+Y63+Y66+Y67+Y68</f>
        <v>10518.292820082761</v>
      </c>
      <c r="Z56" s="246">
        <f>Z57+Z59+Z61+Z63+Z66+Z67+Z68</f>
        <v>13370.580994683762</v>
      </c>
      <c r="AA56" s="16">
        <f t="shared" si="34"/>
        <v>12284.181436315104</v>
      </c>
      <c r="AB56" s="16">
        <f t="shared" si="34"/>
        <v>13712.966608707698</v>
      </c>
      <c r="AC56" s="16">
        <f t="shared" si="34"/>
        <v>14897.117853036132</v>
      </c>
      <c r="AD56" s="16">
        <f t="shared" si="34"/>
        <v>16061.344057170631</v>
      </c>
      <c r="AF56" s="327"/>
      <c r="AG56" s="322">
        <f t="shared" si="13"/>
        <v>0</v>
      </c>
      <c r="AK56" s="311"/>
    </row>
    <row r="57" spans="1:37" ht="12.75" thickBot="1" x14ac:dyDescent="0.35">
      <c r="A57" s="338" t="s">
        <v>262</v>
      </c>
      <c r="D57" s="3" t="s">
        <v>307</v>
      </c>
      <c r="I57" s="341"/>
      <c r="L57" s="16"/>
      <c r="M57" s="16"/>
      <c r="N57" s="15"/>
      <c r="O57" s="246">
        <v>1350.3086699999997</v>
      </c>
      <c r="P57" s="16">
        <f t="shared" ref="P57:X57" si="35">SUM(P$21,P$28,P$35,P$42,P$49)*P58</f>
        <v>629.37463675685387</v>
      </c>
      <c r="Q57" s="16">
        <f t="shared" si="35"/>
        <v>789.93669857282566</v>
      </c>
      <c r="R57" s="16">
        <f t="shared" si="35"/>
        <v>785.9495871361504</v>
      </c>
      <c r="S57" s="16">
        <f t="shared" si="35"/>
        <v>416.18430204662508</v>
      </c>
      <c r="T57" s="16">
        <f t="shared" si="35"/>
        <v>520.14789389613918</v>
      </c>
      <c r="U57" s="16">
        <f t="shared" si="35"/>
        <v>720.82236578216725</v>
      </c>
      <c r="V57" s="16">
        <f t="shared" si="35"/>
        <v>695.00670767460952</v>
      </c>
      <c r="W57" s="16">
        <f t="shared" si="35"/>
        <v>683.29693309846698</v>
      </c>
      <c r="X57" s="15">
        <f t="shared" si="35"/>
        <v>756.99716492293487</v>
      </c>
      <c r="Y57" s="16">
        <f>SUM(P57:X57)</f>
        <v>5997.7162898867728</v>
      </c>
      <c r="Z57" s="246">
        <f>SUM(O57,Y57)</f>
        <v>7348.0249598867722</v>
      </c>
      <c r="AA57" s="16">
        <f>SUM(AA$21,AA$28,AA$35,AA$42,AA$49)*AA58</f>
        <v>7416.9226389763508</v>
      </c>
      <c r="AB57" s="16">
        <f>SUM(AB$21,AB$28,AB$35,AB$42,AB$49)*AB58</f>
        <v>8267.5140433133165</v>
      </c>
      <c r="AC57" s="16">
        <f>SUM(AC$21,AC$28,AC$35,AC$42,AC$49)*AC58</f>
        <v>8992.2210353187202</v>
      </c>
      <c r="AD57" s="16">
        <f>SUM(AD$21,AD$28,AD$35,AD$42,AD$49)*AD58</f>
        <v>9725.7267157665465</v>
      </c>
      <c r="AF57" s="327"/>
      <c r="AG57" s="322">
        <f t="shared" si="13"/>
        <v>0</v>
      </c>
      <c r="AK57" s="311"/>
    </row>
    <row r="58" spans="1:37" ht="12.75" thickBot="1" x14ac:dyDescent="0.35">
      <c r="A58" s="338" t="s">
        <v>262</v>
      </c>
      <c r="E58" s="3" t="s">
        <v>317</v>
      </c>
      <c r="I58" s="348">
        <v>0.15670165654638513</v>
      </c>
      <c r="J58" s="349">
        <f>I58</f>
        <v>0.15670165654638513</v>
      </c>
      <c r="L58" s="16"/>
      <c r="M58" s="16"/>
      <c r="N58" s="15"/>
      <c r="O58" s="362">
        <f>O57/SUM(O$21,O$28,O$35,O$42,O$49)</f>
        <v>0.12670706523578998</v>
      </c>
      <c r="P58" s="363">
        <f t="shared" ref="P58:X58" si="36">$I58</f>
        <v>0.15670165654638513</v>
      </c>
      <c r="Q58" s="137">
        <f t="shared" si="36"/>
        <v>0.15670165654638513</v>
      </c>
      <c r="R58" s="137">
        <f t="shared" si="36"/>
        <v>0.15670165654638513</v>
      </c>
      <c r="S58" s="137">
        <f t="shared" si="36"/>
        <v>0.15670165654638513</v>
      </c>
      <c r="T58" s="137">
        <f t="shared" si="36"/>
        <v>0.15670165654638513</v>
      </c>
      <c r="U58" s="137">
        <f t="shared" si="36"/>
        <v>0.15670165654638513</v>
      </c>
      <c r="V58" s="137">
        <f t="shared" si="36"/>
        <v>0.15670165654638513</v>
      </c>
      <c r="W58" s="137">
        <f t="shared" si="36"/>
        <v>0.15670165654638513</v>
      </c>
      <c r="X58" s="369">
        <f t="shared" si="36"/>
        <v>0.15670165654638513</v>
      </c>
      <c r="Y58" s="137">
        <f>IFERROR(Y57/SUM(Y$21,Y$28,Y$35,Y$42,Y$49),)</f>
        <v>0.15670165654638513</v>
      </c>
      <c r="Z58" s="362">
        <f>IFERROR(Z57/SUM(Z$21,Z$28,Z$35,Z$42,Z$49),)</f>
        <v>0.15016907188525888</v>
      </c>
      <c r="AA58" s="17">
        <f>$J58</f>
        <v>0.15670165654638513</v>
      </c>
      <c r="AB58" s="17">
        <f>$J58</f>
        <v>0.15670165654638513</v>
      </c>
      <c r="AC58" s="17">
        <f>$J58</f>
        <v>0.15670165654638513</v>
      </c>
      <c r="AD58" s="17">
        <f>$J58</f>
        <v>0.15670165654638513</v>
      </c>
      <c r="AF58" s="327"/>
      <c r="AG58" s="322">
        <f t="shared" si="13"/>
        <v>0</v>
      </c>
      <c r="AK58" s="311"/>
    </row>
    <row r="59" spans="1:37" ht="12.75" thickBot="1" x14ac:dyDescent="0.35">
      <c r="A59" s="338" t="s">
        <v>262</v>
      </c>
      <c r="D59" s="3" t="s">
        <v>309</v>
      </c>
      <c r="I59" s="341"/>
      <c r="J59" s="341"/>
      <c r="L59" s="16"/>
      <c r="M59" s="16"/>
      <c r="N59" s="15"/>
      <c r="O59" s="246">
        <v>1063.3925526010012</v>
      </c>
      <c r="P59" s="16">
        <f t="shared" ref="P59:X59" si="37">SUM(P$21,P$28,P$35,P$42,P$49)*P60</f>
        <v>258.09601445678817</v>
      </c>
      <c r="Q59" s="16">
        <f t="shared" si="37"/>
        <v>323.93983117175441</v>
      </c>
      <c r="R59" s="16">
        <f t="shared" si="37"/>
        <v>322.3047834419894</v>
      </c>
      <c r="S59" s="16">
        <f t="shared" si="37"/>
        <v>170.67022305064992</v>
      </c>
      <c r="T59" s="16">
        <f t="shared" si="37"/>
        <v>213.30395364271703</v>
      </c>
      <c r="U59" s="16">
        <f t="shared" si="37"/>
        <v>295.59719898843616</v>
      </c>
      <c r="V59" s="16">
        <f t="shared" si="37"/>
        <v>285.01062927461118</v>
      </c>
      <c r="W59" s="16">
        <f t="shared" si="37"/>
        <v>280.20864652572988</v>
      </c>
      <c r="X59" s="15">
        <f t="shared" si="37"/>
        <v>310.43187921978137</v>
      </c>
      <c r="Y59" s="16">
        <f>SUM(P59:X59)</f>
        <v>2459.5631597724578</v>
      </c>
      <c r="Z59" s="246">
        <f>SUM(O59,Y59)</f>
        <v>3522.9557123734589</v>
      </c>
      <c r="AA59" s="16">
        <f>SUM(AA$21,AA$28,AA$35,AA$42,AA$49)*AA60</f>
        <v>3041.5559522994599</v>
      </c>
      <c r="AB59" s="16">
        <f>SUM(AB$21,AB$28,AB$35,AB$42,AB$49)*AB60</f>
        <v>3390.3692640684658</v>
      </c>
      <c r="AC59" s="16">
        <f>SUM(AC$21,AC$28,AC$35,AC$42,AC$49)*AC60</f>
        <v>3687.5594833143405</v>
      </c>
      <c r="AD59" s="16">
        <f>SUM(AD$21,AD$28,AD$35,AD$42,AD$49)*AD60</f>
        <v>3988.3578975633345</v>
      </c>
      <c r="AF59" s="327"/>
      <c r="AG59" s="322">
        <f t="shared" si="13"/>
        <v>0</v>
      </c>
      <c r="AK59" s="311"/>
    </row>
    <row r="60" spans="1:37" ht="12.75" thickBot="1" x14ac:dyDescent="0.35">
      <c r="A60" s="338" t="s">
        <v>262</v>
      </c>
      <c r="E60" s="3" t="s">
        <v>317</v>
      </c>
      <c r="I60" s="348">
        <v>6.4260729065609312E-2</v>
      </c>
      <c r="J60" s="349">
        <f>I60</f>
        <v>6.4260729065609312E-2</v>
      </c>
      <c r="L60" s="16"/>
      <c r="M60" s="16"/>
      <c r="N60" s="15"/>
      <c r="O60" s="362">
        <f>O59/SUM(O$21,O$28,O$35,O$42,O$49)</f>
        <v>9.9784110497985856E-2</v>
      </c>
      <c r="P60" s="363">
        <f t="shared" ref="P60:X60" si="38">$I60</f>
        <v>6.4260729065609312E-2</v>
      </c>
      <c r="Q60" s="137">
        <f t="shared" si="38"/>
        <v>6.4260729065609312E-2</v>
      </c>
      <c r="R60" s="137">
        <f t="shared" si="38"/>
        <v>6.4260729065609312E-2</v>
      </c>
      <c r="S60" s="137">
        <f t="shared" si="38"/>
        <v>6.4260729065609312E-2</v>
      </c>
      <c r="T60" s="137">
        <f t="shared" si="38"/>
        <v>6.4260729065609312E-2</v>
      </c>
      <c r="U60" s="137">
        <f t="shared" si="38"/>
        <v>6.4260729065609312E-2</v>
      </c>
      <c r="V60" s="137">
        <f t="shared" si="38"/>
        <v>6.4260729065609312E-2</v>
      </c>
      <c r="W60" s="137">
        <f t="shared" si="38"/>
        <v>6.4260729065609312E-2</v>
      </c>
      <c r="X60" s="369">
        <f t="shared" si="38"/>
        <v>6.4260729065609312E-2</v>
      </c>
      <c r="Y60" s="137">
        <f>IFERROR(Y59/SUM(Y$21,Y$28,Y$35,Y$42,Y$49),)</f>
        <v>6.4260729065609326E-2</v>
      </c>
      <c r="Z60" s="362">
        <f>IFERROR(Z59/SUM(Z$21,Z$28,Z$35,Z$42,Z$49),)</f>
        <v>7.1997440469791965E-2</v>
      </c>
      <c r="AA60" s="17">
        <f>$J60</f>
        <v>6.4260729065609312E-2</v>
      </c>
      <c r="AB60" s="17">
        <f>$J60</f>
        <v>6.4260729065609312E-2</v>
      </c>
      <c r="AC60" s="17">
        <f>$J60</f>
        <v>6.4260729065609312E-2</v>
      </c>
      <c r="AD60" s="17">
        <f>$J60</f>
        <v>6.4260729065609312E-2</v>
      </c>
      <c r="AF60" s="327"/>
      <c r="AG60" s="322">
        <f t="shared" si="13"/>
        <v>0</v>
      </c>
      <c r="AK60" s="311"/>
    </row>
    <row r="61" spans="1:37" ht="12.75" thickBot="1" x14ac:dyDescent="0.35">
      <c r="A61" s="338" t="s">
        <v>262</v>
      </c>
      <c r="D61" s="3" t="s">
        <v>310</v>
      </c>
      <c r="I61" s="341"/>
      <c r="J61" s="341"/>
      <c r="L61" s="16"/>
      <c r="M61" s="16"/>
      <c r="N61" s="15"/>
      <c r="O61" s="246">
        <v>84.421350000000004</v>
      </c>
      <c r="P61" s="16">
        <f t="shared" ref="P61:X61" si="39">SUM(P$21,P$28,P$35,P$42,P$49)*P62</f>
        <v>0</v>
      </c>
      <c r="Q61" s="16">
        <f t="shared" si="39"/>
        <v>0</v>
      </c>
      <c r="R61" s="16">
        <f t="shared" si="39"/>
        <v>0</v>
      </c>
      <c r="S61" s="16">
        <f t="shared" si="39"/>
        <v>0</v>
      </c>
      <c r="T61" s="16">
        <f t="shared" si="39"/>
        <v>0</v>
      </c>
      <c r="U61" s="16">
        <f t="shared" si="39"/>
        <v>0</v>
      </c>
      <c r="V61" s="16">
        <f t="shared" si="39"/>
        <v>0</v>
      </c>
      <c r="W61" s="16">
        <f t="shared" si="39"/>
        <v>0</v>
      </c>
      <c r="X61" s="15">
        <f t="shared" si="39"/>
        <v>0</v>
      </c>
      <c r="Y61" s="16">
        <f>SUM(P61:X61)</f>
        <v>0</v>
      </c>
      <c r="Z61" s="246">
        <f>SUM(O61,Y61)</f>
        <v>84.421350000000004</v>
      </c>
      <c r="AA61" s="16">
        <f>SUM(AA$21,AA$28,AA$35,AA$42,AA$49)*AA62</f>
        <v>0</v>
      </c>
      <c r="AB61" s="16">
        <f>SUM(AB$21,AB$28,AB$35,AB$42,AB$49)*AB62</f>
        <v>0</v>
      </c>
      <c r="AC61" s="16">
        <f>SUM(AC$21,AC$28,AC$35,AC$42,AC$49)*AC62</f>
        <v>0</v>
      </c>
      <c r="AD61" s="16">
        <f>SUM(AD$21,AD$28,AD$35,AD$42,AD$49)*AD62</f>
        <v>0</v>
      </c>
      <c r="AF61" s="327"/>
      <c r="AG61" s="322">
        <f t="shared" si="13"/>
        <v>0</v>
      </c>
      <c r="AK61" s="311"/>
    </row>
    <row r="62" spans="1:37" ht="12.75" thickBot="1" x14ac:dyDescent="0.35">
      <c r="A62" s="338" t="s">
        <v>262</v>
      </c>
      <c r="E62" s="3" t="s">
        <v>317</v>
      </c>
      <c r="I62" s="348">
        <v>0</v>
      </c>
      <c r="J62" s="349">
        <f>I62</f>
        <v>0</v>
      </c>
      <c r="L62" s="16"/>
      <c r="M62" s="16"/>
      <c r="N62" s="15"/>
      <c r="O62" s="362">
        <f>O61/SUM(O$21,O$28,O$35,O$42,O$49)</f>
        <v>7.9217305934527263E-3</v>
      </c>
      <c r="P62" s="363">
        <f t="shared" ref="P62:X62" si="40">$I62</f>
        <v>0</v>
      </c>
      <c r="Q62" s="137">
        <f t="shared" si="40"/>
        <v>0</v>
      </c>
      <c r="R62" s="137">
        <f t="shared" si="40"/>
        <v>0</v>
      </c>
      <c r="S62" s="137">
        <f t="shared" si="40"/>
        <v>0</v>
      </c>
      <c r="T62" s="137">
        <f t="shared" si="40"/>
        <v>0</v>
      </c>
      <c r="U62" s="137">
        <f t="shared" si="40"/>
        <v>0</v>
      </c>
      <c r="V62" s="137">
        <f t="shared" si="40"/>
        <v>0</v>
      </c>
      <c r="W62" s="137">
        <f t="shared" si="40"/>
        <v>0</v>
      </c>
      <c r="X62" s="369">
        <f t="shared" si="40"/>
        <v>0</v>
      </c>
      <c r="Y62" s="137">
        <f>IFERROR(Y61/SUM(Y$21,Y$28,Y$35,Y$42,Y$49),)</f>
        <v>0</v>
      </c>
      <c r="Z62" s="373">
        <f>IFERROR(Z61/SUM(Z$21,Z$28,Z$35,Z$42,Z$49),)</f>
        <v>1.7252902441142431E-3</v>
      </c>
      <c r="AA62" s="17">
        <f>$J62</f>
        <v>0</v>
      </c>
      <c r="AB62" s="17">
        <f>$J62</f>
        <v>0</v>
      </c>
      <c r="AC62" s="17">
        <f>$J62</f>
        <v>0</v>
      </c>
      <c r="AD62" s="17">
        <f>$J62</f>
        <v>0</v>
      </c>
      <c r="AF62" s="327"/>
      <c r="AG62" s="322">
        <f t="shared" si="13"/>
        <v>0</v>
      </c>
      <c r="AK62" s="311"/>
    </row>
    <row r="63" spans="1:37" x14ac:dyDescent="0.3">
      <c r="A63" s="338" t="s">
        <v>262</v>
      </c>
      <c r="D63" s="3" t="s">
        <v>311</v>
      </c>
      <c r="I63" s="341"/>
      <c r="J63" s="341"/>
      <c r="L63" s="16"/>
      <c r="M63" s="16"/>
      <c r="N63" s="15"/>
      <c r="O63" s="246">
        <v>354.16560199999998</v>
      </c>
      <c r="P63" s="16">
        <f t="shared" ref="P63:X63" si="41">P64*P65</f>
        <v>158.33285736470586</v>
      </c>
      <c r="Q63" s="16">
        <f t="shared" si="41"/>
        <v>179.1661280705882</v>
      </c>
      <c r="R63" s="16">
        <f t="shared" si="41"/>
        <v>174.99947392941175</v>
      </c>
      <c r="S63" s="16">
        <f t="shared" si="41"/>
        <v>104.16635352941175</v>
      </c>
      <c r="T63" s="16">
        <f t="shared" si="41"/>
        <v>129.16627837647056</v>
      </c>
      <c r="U63" s="16">
        <f t="shared" si="41"/>
        <v>179.1661280705882</v>
      </c>
      <c r="V63" s="16">
        <f t="shared" si="41"/>
        <v>154.16620322352938</v>
      </c>
      <c r="W63" s="16">
        <f t="shared" si="41"/>
        <v>162.49951150588234</v>
      </c>
      <c r="X63" s="15">
        <f t="shared" si="41"/>
        <v>187.49943635294116</v>
      </c>
      <c r="Y63" s="16">
        <f>SUM(P63:X63)</f>
        <v>1429.1623704235292</v>
      </c>
      <c r="Z63" s="246">
        <f>SUM(O63,Y63)</f>
        <v>1783.3279724235292</v>
      </c>
      <c r="AA63" s="16">
        <f>AA64*AA65</f>
        <v>1825.7028450392936</v>
      </c>
      <c r="AB63" s="16">
        <f>AB64*AB65</f>
        <v>2055.0833013259166</v>
      </c>
      <c r="AC63" s="16">
        <f>AC64*AC65</f>
        <v>2217.3373344030715</v>
      </c>
      <c r="AD63" s="16">
        <f>AD64*AD65</f>
        <v>2347.2594438407514</v>
      </c>
      <c r="AF63" s="327"/>
      <c r="AG63" s="322">
        <f t="shared" si="13"/>
        <v>0</v>
      </c>
      <c r="AK63" s="311"/>
    </row>
    <row r="64" spans="1:37" ht="12.75" thickBot="1" x14ac:dyDescent="0.35">
      <c r="A64" s="338" t="s">
        <v>262</v>
      </c>
      <c r="E64" s="3" t="s">
        <v>318</v>
      </c>
      <c r="I64" s="341"/>
      <c r="J64" s="341"/>
      <c r="L64" s="16"/>
      <c r="M64" s="16"/>
      <c r="N64" s="15"/>
      <c r="O64" s="246">
        <f>SUM(O23,O30,O37,O44,O51)</f>
        <v>85</v>
      </c>
      <c r="P64" s="16">
        <f t="shared" ref="P64:X64" si="42">SUM(P23,P30,P37,P44,P51)</f>
        <v>38</v>
      </c>
      <c r="Q64" s="16">
        <f t="shared" si="42"/>
        <v>43</v>
      </c>
      <c r="R64" s="16">
        <f t="shared" si="42"/>
        <v>42</v>
      </c>
      <c r="S64" s="16">
        <f t="shared" si="42"/>
        <v>25</v>
      </c>
      <c r="T64" s="16">
        <f t="shared" si="42"/>
        <v>31</v>
      </c>
      <c r="U64" s="16">
        <f t="shared" si="42"/>
        <v>43</v>
      </c>
      <c r="V64" s="16">
        <f t="shared" si="42"/>
        <v>37</v>
      </c>
      <c r="W64" s="16">
        <f t="shared" si="42"/>
        <v>39</v>
      </c>
      <c r="X64" s="16">
        <f t="shared" si="42"/>
        <v>45</v>
      </c>
      <c r="Y64" s="16">
        <f>SUM(P64:X64)</f>
        <v>343</v>
      </c>
      <c r="Z64" s="246">
        <f>SUM(O64,Y64)</f>
        <v>428</v>
      </c>
      <c r="AA64" s="16">
        <f>SUM(AA23,AA30,AA37,AA44,AA51)</f>
        <v>430</v>
      </c>
      <c r="AB64" s="16">
        <f>SUM(AB23,AB30,AB37,AB44,AB51)</f>
        <v>475</v>
      </c>
      <c r="AC64" s="16">
        <f>SUM(AC23,AC30,AC37,AC44,AC51)</f>
        <v>512</v>
      </c>
      <c r="AD64" s="16">
        <f>SUM(AD23,AD30,AD37,AD44,AD51)</f>
        <v>542</v>
      </c>
      <c r="AF64" s="327"/>
      <c r="AG64" s="322">
        <f t="shared" si="13"/>
        <v>0</v>
      </c>
      <c r="AK64" s="311"/>
    </row>
    <row r="65" spans="1:37" ht="12.75" thickBot="1" x14ac:dyDescent="0.35">
      <c r="A65" s="338" t="s">
        <v>262</v>
      </c>
      <c r="E65" s="3" t="s">
        <v>319</v>
      </c>
      <c r="I65" s="440">
        <v>1.5584781763004032</v>
      </c>
      <c r="J65" s="354">
        <f>O65</f>
        <v>4.1666541411764699</v>
      </c>
      <c r="L65" s="16"/>
      <c r="M65" s="16"/>
      <c r="N65" s="15"/>
      <c r="O65" s="250">
        <f>O63/O64</f>
        <v>4.1666541411764699</v>
      </c>
      <c r="P65" s="247">
        <f>$J65</f>
        <v>4.1666541411764699</v>
      </c>
      <c r="Q65" s="247">
        <f t="shared" ref="Q65:X65" si="43">$J65</f>
        <v>4.1666541411764699</v>
      </c>
      <c r="R65" s="247">
        <f t="shared" si="43"/>
        <v>4.1666541411764699</v>
      </c>
      <c r="S65" s="247">
        <f t="shared" si="43"/>
        <v>4.1666541411764699</v>
      </c>
      <c r="T65" s="247">
        <f t="shared" si="43"/>
        <v>4.1666541411764699</v>
      </c>
      <c r="U65" s="247">
        <f t="shared" si="43"/>
        <v>4.1666541411764699</v>
      </c>
      <c r="V65" s="247">
        <f t="shared" si="43"/>
        <v>4.1666541411764699</v>
      </c>
      <c r="W65" s="247">
        <f t="shared" si="43"/>
        <v>4.1666541411764699</v>
      </c>
      <c r="X65" s="247">
        <f t="shared" si="43"/>
        <v>4.1666541411764699</v>
      </c>
      <c r="Y65" s="250">
        <f>Y63/Y64</f>
        <v>4.1666541411764699</v>
      </c>
      <c r="Z65" s="250">
        <f>Z63/Z64</f>
        <v>4.1666541411764699</v>
      </c>
      <c r="AA65" s="355">
        <f>$J65*(1+'Key Assumption'!AB$29)</f>
        <v>4.2458205698588225</v>
      </c>
      <c r="AB65" s="355">
        <f>$AA65*(1+'Key Assumption'!AC$29)</f>
        <v>4.3264911606861398</v>
      </c>
      <c r="AC65" s="355">
        <f>$AA65*(1+'Key Assumption'!AD$29)</f>
        <v>4.330736981255999</v>
      </c>
      <c r="AD65" s="355">
        <f>$AA65*(1+'Key Assumption'!AE$29)</f>
        <v>4.330736981255999</v>
      </c>
      <c r="AE65" s="247"/>
      <c r="AF65" s="327"/>
      <c r="AG65" s="322">
        <f t="shared" si="13"/>
        <v>0</v>
      </c>
      <c r="AK65" s="311"/>
    </row>
    <row r="66" spans="1:37" x14ac:dyDescent="0.3">
      <c r="A66" s="338" t="s">
        <v>262</v>
      </c>
      <c r="D66" s="3" t="s">
        <v>314</v>
      </c>
      <c r="I66" s="341"/>
      <c r="L66" s="16"/>
      <c r="M66" s="16"/>
      <c r="N66" s="15"/>
      <c r="O66" s="246">
        <v>0</v>
      </c>
      <c r="P66" s="16">
        <v>0</v>
      </c>
      <c r="Q66" s="16">
        <v>0</v>
      </c>
      <c r="R66" s="16">
        <v>0</v>
      </c>
      <c r="S66" s="16">
        <v>0</v>
      </c>
      <c r="T66" s="16">
        <v>0</v>
      </c>
      <c r="U66" s="16">
        <v>0</v>
      </c>
      <c r="V66" s="16">
        <v>0</v>
      </c>
      <c r="W66" s="16">
        <v>0</v>
      </c>
      <c r="X66" s="16">
        <v>0</v>
      </c>
      <c r="Y66" s="246">
        <f>SUM(P66:X66)</f>
        <v>0</v>
      </c>
      <c r="Z66" s="246">
        <f>SUM(O66,Y66)</f>
        <v>0</v>
      </c>
      <c r="AA66" s="119"/>
      <c r="AB66" s="119"/>
      <c r="AC66" s="119"/>
      <c r="AD66" s="119"/>
      <c r="AF66" s="327"/>
      <c r="AG66" s="322">
        <f t="shared" si="13"/>
        <v>0</v>
      </c>
      <c r="AK66" s="311"/>
    </row>
    <row r="67" spans="1:37" x14ac:dyDescent="0.3">
      <c r="A67" s="338" t="s">
        <v>262</v>
      </c>
      <c r="D67" s="3" t="s">
        <v>468</v>
      </c>
      <c r="L67" s="16"/>
      <c r="M67" s="16"/>
      <c r="N67" s="15"/>
      <c r="O67" s="246">
        <v>0</v>
      </c>
      <c r="P67" s="16">
        <v>175.125</v>
      </c>
      <c r="Q67" s="16">
        <v>0</v>
      </c>
      <c r="R67" s="16">
        <v>0</v>
      </c>
      <c r="S67" s="16">
        <v>274.596</v>
      </c>
      <c r="T67" s="16">
        <v>0</v>
      </c>
      <c r="U67" s="16">
        <v>0</v>
      </c>
      <c r="V67" s="16">
        <v>182.13</v>
      </c>
      <c r="W67" s="16">
        <v>0</v>
      </c>
      <c r="X67" s="16">
        <v>0</v>
      </c>
      <c r="Y67" s="246">
        <f>SUM(P67:X67)</f>
        <v>631.851</v>
      </c>
      <c r="Z67" s="246">
        <f>SUM(O67,Y67)</f>
        <v>631.851</v>
      </c>
      <c r="AA67" s="119"/>
      <c r="AB67" s="119"/>
      <c r="AC67" s="119"/>
      <c r="AD67" s="119"/>
      <c r="AF67" s="327"/>
      <c r="AG67" s="322">
        <f t="shared" si="13"/>
        <v>0</v>
      </c>
      <c r="AK67" s="311"/>
    </row>
    <row r="68" spans="1:37" x14ac:dyDescent="0.3">
      <c r="A68" s="338" t="s">
        <v>262</v>
      </c>
      <c r="B68" s="92"/>
      <c r="C68" s="92"/>
      <c r="D68" s="92" t="s">
        <v>105</v>
      </c>
      <c r="E68" s="92"/>
      <c r="F68" s="92"/>
      <c r="G68" s="92"/>
      <c r="H68" s="92"/>
      <c r="I68" s="92"/>
      <c r="J68" s="92"/>
      <c r="K68" s="92"/>
      <c r="L68" s="130"/>
      <c r="M68" s="130"/>
      <c r="N68" s="131"/>
      <c r="O68" s="330">
        <v>0</v>
      </c>
      <c r="P68" s="130">
        <v>0</v>
      </c>
      <c r="Q68" s="130">
        <v>0</v>
      </c>
      <c r="R68" s="130">
        <v>0</v>
      </c>
      <c r="S68" s="130">
        <v>0</v>
      </c>
      <c r="T68" s="130">
        <v>0</v>
      </c>
      <c r="U68" s="130">
        <v>0</v>
      </c>
      <c r="V68" s="130">
        <v>0</v>
      </c>
      <c r="W68" s="130">
        <v>0</v>
      </c>
      <c r="X68" s="130">
        <v>0</v>
      </c>
      <c r="Y68" s="330">
        <f>SUM(P68:X68)</f>
        <v>0</v>
      </c>
      <c r="Z68" s="330">
        <f>SUM(O68,Y68)</f>
        <v>0</v>
      </c>
      <c r="AA68" s="281"/>
      <c r="AB68" s="281"/>
      <c r="AC68" s="281"/>
      <c r="AD68" s="281"/>
      <c r="AF68" s="327"/>
      <c r="AG68" s="322">
        <f t="shared" si="13"/>
        <v>0</v>
      </c>
      <c r="AK68" s="311"/>
    </row>
    <row r="69" spans="1:37" x14ac:dyDescent="0.3">
      <c r="AF69" s="327"/>
      <c r="AK69" s="311"/>
    </row>
    <row r="70" spans="1:37" x14ac:dyDescent="0.3">
      <c r="A70" s="4"/>
      <c r="B70" s="5" t="s">
        <v>469</v>
      </c>
      <c r="C70" s="4"/>
      <c r="D70" s="4"/>
      <c r="E70" s="4"/>
      <c r="F70" s="4"/>
      <c r="G70" s="4"/>
      <c r="H70" s="4"/>
      <c r="I70" s="4"/>
      <c r="J70" s="4"/>
      <c r="K70" s="4"/>
      <c r="L70" s="4"/>
      <c r="M70" s="4"/>
      <c r="N70" s="4"/>
      <c r="O70" s="356"/>
      <c r="P70" s="4"/>
      <c r="Q70" s="4"/>
      <c r="R70" s="4"/>
      <c r="S70" s="4"/>
      <c r="T70" s="4"/>
      <c r="U70" s="4"/>
      <c r="V70" s="4"/>
      <c r="W70" s="4"/>
      <c r="X70" s="4"/>
      <c r="Y70" s="4"/>
      <c r="Z70" s="4"/>
      <c r="AA70" s="4"/>
      <c r="AB70" s="4"/>
      <c r="AC70" s="4"/>
      <c r="AD70" s="4"/>
      <c r="AF70" s="327"/>
      <c r="AK70" s="311"/>
    </row>
    <row r="71" spans="1:37" x14ac:dyDescent="0.3">
      <c r="AF71" s="327"/>
      <c r="AK71" s="311"/>
    </row>
    <row r="72" spans="1:37" x14ac:dyDescent="0.3">
      <c r="B72" s="8"/>
      <c r="C72" s="8"/>
      <c r="D72" s="8"/>
      <c r="E72" s="8"/>
      <c r="F72" s="8"/>
      <c r="G72" s="8"/>
      <c r="H72" s="8"/>
      <c r="I72" s="8"/>
      <c r="J72" s="8"/>
      <c r="K72" s="8"/>
      <c r="L72" s="9" t="s">
        <v>182</v>
      </c>
      <c r="M72" s="9" t="s">
        <v>183</v>
      </c>
      <c r="N72" s="10" t="s">
        <v>184</v>
      </c>
      <c r="O72" s="244" t="s">
        <v>4</v>
      </c>
      <c r="P72" s="9" t="s">
        <v>215</v>
      </c>
      <c r="Q72" s="9" t="s">
        <v>216</v>
      </c>
      <c r="R72" s="9" t="s">
        <v>217</v>
      </c>
      <c r="S72" s="9" t="s">
        <v>218</v>
      </c>
      <c r="T72" s="9" t="s">
        <v>219</v>
      </c>
      <c r="U72" s="9" t="s">
        <v>220</v>
      </c>
      <c r="V72" s="9" t="s">
        <v>221</v>
      </c>
      <c r="W72" s="9" t="s">
        <v>222</v>
      </c>
      <c r="X72" s="10" t="s">
        <v>223</v>
      </c>
      <c r="Y72" s="9" t="s">
        <v>294</v>
      </c>
      <c r="Z72" s="244" t="s">
        <v>197</v>
      </c>
      <c r="AA72" s="9" t="s">
        <v>198</v>
      </c>
      <c r="AB72" s="9" t="s">
        <v>199</v>
      </c>
      <c r="AC72" s="9" t="s">
        <v>200</v>
      </c>
      <c r="AD72" s="9" t="s">
        <v>201</v>
      </c>
      <c r="AF72" s="327"/>
      <c r="AK72" s="311"/>
    </row>
    <row r="73" spans="1:37" s="11" customFormat="1" x14ac:dyDescent="0.3">
      <c r="B73" s="11" t="s">
        <v>29</v>
      </c>
      <c r="L73" s="13"/>
      <c r="M73" s="13"/>
      <c r="N73" s="124"/>
      <c r="O73" s="326">
        <f>O74+O107</f>
        <v>11220.599908</v>
      </c>
      <c r="P73" s="13">
        <f t="shared" ref="P73:AD73" si="44">P74+P107</f>
        <v>4449.6882816642028</v>
      </c>
      <c r="Q73" s="13">
        <f t="shared" si="44"/>
        <v>5562.357324002448</v>
      </c>
      <c r="R73" s="13">
        <f t="shared" si="44"/>
        <v>5541.5348660590835</v>
      </c>
      <c r="S73" s="13">
        <f t="shared" si="44"/>
        <v>2942.0319994985903</v>
      </c>
      <c r="T73" s="13">
        <f t="shared" si="44"/>
        <v>3677.6058547641087</v>
      </c>
      <c r="U73" s="13">
        <f t="shared" si="44"/>
        <v>5096.174392606903</v>
      </c>
      <c r="V73" s="13">
        <f t="shared" si="44"/>
        <v>4902.5325727165264</v>
      </c>
      <c r="W73" s="13">
        <f t="shared" si="44"/>
        <v>4826.9885108568324</v>
      </c>
      <c r="X73" s="13">
        <f t="shared" si="44"/>
        <v>5358.0844256441369</v>
      </c>
      <c r="Y73" s="326">
        <f t="shared" si="44"/>
        <v>42356.998227812837</v>
      </c>
      <c r="Z73" s="326">
        <f t="shared" si="44"/>
        <v>53577.598135812841</v>
      </c>
      <c r="AA73" s="13">
        <f t="shared" si="44"/>
        <v>52494.47107528826</v>
      </c>
      <c r="AB73" s="13">
        <f t="shared" si="44"/>
        <v>58529.708904604413</v>
      </c>
      <c r="AC73" s="13">
        <f t="shared" si="44"/>
        <v>63638.29939570673</v>
      </c>
      <c r="AD73" s="13">
        <f t="shared" si="44"/>
        <v>68777.064664945152</v>
      </c>
      <c r="AF73" s="327"/>
      <c r="AG73" s="328"/>
      <c r="AJ73" s="3"/>
      <c r="AK73" s="311"/>
    </row>
    <row r="74" spans="1:37" x14ac:dyDescent="0.3">
      <c r="C74" s="3" t="s">
        <v>470</v>
      </c>
      <c r="L74" s="16"/>
      <c r="M74" s="16"/>
      <c r="N74" s="15"/>
      <c r="O74" s="246">
        <f>O75+O80+O85+O90+O95+O100</f>
        <v>11218.6776988</v>
      </c>
      <c r="P74" s="16">
        <f t="shared" ref="P74:AD74" si="45">P75+P80+P85+P90+P95+P100</f>
        <v>4388.252743258583</v>
      </c>
      <c r="Q74" s="16">
        <f t="shared" si="45"/>
        <v>5485.5594911266744</v>
      </c>
      <c r="R74" s="16">
        <f t="shared" si="45"/>
        <v>5465.0245227407131</v>
      </c>
      <c r="S74" s="16">
        <f t="shared" si="45"/>
        <v>2901.4122283023571</v>
      </c>
      <c r="T74" s="16">
        <f t="shared" si="45"/>
        <v>3626.8302315227897</v>
      </c>
      <c r="U74" s="16">
        <f t="shared" si="45"/>
        <v>5025.813010460457</v>
      </c>
      <c r="V74" s="16">
        <f t="shared" si="45"/>
        <v>4834.8447462687636</v>
      </c>
      <c r="W74" s="16">
        <f t="shared" si="45"/>
        <v>4760.3436990698547</v>
      </c>
      <c r="X74" s="16">
        <f t="shared" si="45"/>
        <v>5284.106928643133</v>
      </c>
      <c r="Y74" s="246">
        <f t="shared" si="45"/>
        <v>41772.187601393329</v>
      </c>
      <c r="Z74" s="246">
        <f t="shared" si="45"/>
        <v>52990.865300193334</v>
      </c>
      <c r="AA74" s="16">
        <f t="shared" si="45"/>
        <v>51769.695340520964</v>
      </c>
      <c r="AB74" s="16">
        <f t="shared" si="45"/>
        <v>57721.60641479725</v>
      </c>
      <c r="AC74" s="16">
        <f t="shared" si="45"/>
        <v>62759.664098330111</v>
      </c>
      <c r="AD74" s="16">
        <f t="shared" si="45"/>
        <v>67827.479945705272</v>
      </c>
      <c r="AF74" s="327"/>
      <c r="AK74" s="311"/>
    </row>
    <row r="75" spans="1:37" x14ac:dyDescent="0.3">
      <c r="D75" s="3" t="s">
        <v>146</v>
      </c>
      <c r="L75" s="16"/>
      <c r="M75" s="16"/>
      <c r="N75" s="15"/>
      <c r="O75" s="246">
        <v>390.73063890399993</v>
      </c>
      <c r="P75" s="16">
        <f t="shared" ref="P75:X75" si="46">P76*P79/10^6</f>
        <v>0</v>
      </c>
      <c r="Q75" s="16">
        <f t="shared" si="46"/>
        <v>231.49125441465011</v>
      </c>
      <c r="R75" s="16">
        <f t="shared" si="46"/>
        <v>0</v>
      </c>
      <c r="S75" s="16">
        <f t="shared" si="46"/>
        <v>0</v>
      </c>
      <c r="T75" s="16">
        <f t="shared" si="46"/>
        <v>0</v>
      </c>
      <c r="U75" s="16">
        <f t="shared" si="46"/>
        <v>0</v>
      </c>
      <c r="V75" s="16">
        <f t="shared" si="46"/>
        <v>0</v>
      </c>
      <c r="W75" s="16">
        <f t="shared" si="46"/>
        <v>0</v>
      </c>
      <c r="X75" s="16">
        <f t="shared" si="46"/>
        <v>0</v>
      </c>
      <c r="Y75" s="246">
        <f>SUM(P75:X75)</f>
        <v>231.49125441465011</v>
      </c>
      <c r="Z75" s="246">
        <f>Y75+O75</f>
        <v>622.22189331865002</v>
      </c>
      <c r="AA75" s="16">
        <f>AA76*AA79/10^6</f>
        <v>601.26666647325294</v>
      </c>
      <c r="AB75" s="16">
        <f t="shared" ref="AB75:AD75" si="47">AB76*AB79/10^6</f>
        <v>607.82448727054486</v>
      </c>
      <c r="AC75" s="16">
        <f t="shared" si="47"/>
        <v>821.10050053508428</v>
      </c>
      <c r="AD75" s="16">
        <f t="shared" si="47"/>
        <v>838.91557122951178</v>
      </c>
      <c r="AF75" s="327"/>
      <c r="AK75" s="311"/>
    </row>
    <row r="76" spans="1:37" x14ac:dyDescent="0.3">
      <c r="E76" s="3" t="s">
        <v>361</v>
      </c>
      <c r="L76" s="16"/>
      <c r="M76" s="16"/>
      <c r="N76" s="15"/>
      <c r="O76" s="246">
        <v>270757.84000000003</v>
      </c>
      <c r="P76" s="16">
        <f t="shared" ref="P76:X76" si="48">P77*P78</f>
        <v>0</v>
      </c>
      <c r="Q76" s="16">
        <f t="shared" si="48"/>
        <v>162288</v>
      </c>
      <c r="R76" s="16">
        <f t="shared" si="48"/>
        <v>0</v>
      </c>
      <c r="S76" s="16">
        <f t="shared" si="48"/>
        <v>0</v>
      </c>
      <c r="T76" s="16">
        <f t="shared" si="48"/>
        <v>0</v>
      </c>
      <c r="U76" s="16">
        <f t="shared" si="48"/>
        <v>0</v>
      </c>
      <c r="V76" s="16">
        <f t="shared" si="48"/>
        <v>0</v>
      </c>
      <c r="W76" s="16">
        <f t="shared" si="48"/>
        <v>0</v>
      </c>
      <c r="X76" s="16">
        <f t="shared" si="48"/>
        <v>0</v>
      </c>
      <c r="Y76" s="246">
        <f>SUM(P76:X76)</f>
        <v>162288</v>
      </c>
      <c r="Z76" s="246">
        <f>Y76+O76</f>
        <v>433045.84</v>
      </c>
      <c r="AA76" s="16">
        <f>AA77*AA78</f>
        <v>435326.5742848267</v>
      </c>
      <c r="AB76" s="16">
        <f t="shared" ref="AB76:AD76" si="49">AB77*AB78</f>
        <v>437888.53476355283</v>
      </c>
      <c r="AC76" s="16">
        <f t="shared" si="49"/>
        <v>587703.38502402767</v>
      </c>
      <c r="AD76" s="16">
        <f t="shared" si="49"/>
        <v>591601.59961209877</v>
      </c>
      <c r="AF76" s="327"/>
      <c r="AK76" s="311"/>
    </row>
    <row r="77" spans="1:37" x14ac:dyDescent="0.3">
      <c r="F77" s="3" t="s">
        <v>298</v>
      </c>
      <c r="I77" s="341"/>
      <c r="L77" s="16"/>
      <c r="M77" s="16"/>
      <c r="N77" s="15"/>
      <c r="O77" s="246">
        <f t="shared" ref="O77:X77" si="50">O23</f>
        <v>2</v>
      </c>
      <c r="P77" s="16">
        <f t="shared" si="50"/>
        <v>0</v>
      </c>
      <c r="Q77" s="16">
        <f t="shared" si="50"/>
        <v>1</v>
      </c>
      <c r="R77" s="16">
        <f t="shared" si="50"/>
        <v>0</v>
      </c>
      <c r="S77" s="16">
        <f t="shared" si="50"/>
        <v>0</v>
      </c>
      <c r="T77" s="16">
        <f t="shared" si="50"/>
        <v>0</v>
      </c>
      <c r="U77" s="16">
        <f t="shared" si="50"/>
        <v>0</v>
      </c>
      <c r="V77" s="16">
        <f t="shared" si="50"/>
        <v>0</v>
      </c>
      <c r="W77" s="16">
        <f t="shared" si="50"/>
        <v>0</v>
      </c>
      <c r="X77" s="16">
        <f t="shared" si="50"/>
        <v>0</v>
      </c>
      <c r="Y77" s="246">
        <f>SUM(P77:X77)</f>
        <v>1</v>
      </c>
      <c r="Z77" s="246">
        <f>Y77+O77</f>
        <v>3</v>
      </c>
      <c r="AA77" s="16">
        <f>AA23</f>
        <v>3</v>
      </c>
      <c r="AB77" s="16">
        <f>AB23</f>
        <v>3</v>
      </c>
      <c r="AC77" s="16">
        <f>AC23</f>
        <v>4</v>
      </c>
      <c r="AD77" s="16">
        <f>AD23</f>
        <v>4</v>
      </c>
      <c r="AF77" s="327"/>
      <c r="AK77" s="311"/>
    </row>
    <row r="78" spans="1:37" x14ac:dyDescent="0.3">
      <c r="F78" s="3" t="s">
        <v>362</v>
      </c>
      <c r="I78" s="339">
        <f>Z78/Z26</f>
        <v>0.92659053259205837</v>
      </c>
      <c r="L78" s="16"/>
      <c r="M78" s="16"/>
      <c r="N78" s="15"/>
      <c r="O78" s="246">
        <f>O76/O77</f>
        <v>135378.92000000001</v>
      </c>
      <c r="P78" s="16">
        <v>162288</v>
      </c>
      <c r="Q78" s="16">
        <v>162288</v>
      </c>
      <c r="R78" s="16">
        <v>162288</v>
      </c>
      <c r="S78" s="16">
        <v>162288</v>
      </c>
      <c r="T78" s="16">
        <v>162288</v>
      </c>
      <c r="U78" s="16">
        <v>162288</v>
      </c>
      <c r="V78" s="16">
        <v>162288</v>
      </c>
      <c r="W78" s="16">
        <v>162288</v>
      </c>
      <c r="X78" s="16">
        <v>162288</v>
      </c>
      <c r="Y78" s="246">
        <f>Y76/Y77</f>
        <v>162288</v>
      </c>
      <c r="Z78" s="246">
        <f>Z76/Z77</f>
        <v>144348.61333333334</v>
      </c>
      <c r="AA78" s="16">
        <f>$I78*AA26</f>
        <v>145108.85809494223</v>
      </c>
      <c r="AB78" s="16">
        <f>$I78*AB26</f>
        <v>145962.84492118427</v>
      </c>
      <c r="AC78" s="16">
        <f>$I78*AC26</f>
        <v>146925.84625600692</v>
      </c>
      <c r="AD78" s="16">
        <f>$I78*AD26</f>
        <v>147900.39990302469</v>
      </c>
      <c r="AF78" s="327"/>
      <c r="AK78" s="311"/>
    </row>
    <row r="79" spans="1:37" x14ac:dyDescent="0.3">
      <c r="E79" s="3" t="s">
        <v>333</v>
      </c>
      <c r="I79" s="341"/>
      <c r="L79" s="16"/>
      <c r="M79" s="16"/>
      <c r="N79" s="15"/>
      <c r="O79" s="246">
        <f>O75/O76*10^6</f>
        <v>1443.0999999999997</v>
      </c>
      <c r="P79" s="16">
        <f t="shared" ref="P79:X79" si="51">P$188</f>
        <v>1426.4224983649444</v>
      </c>
      <c r="Q79" s="16">
        <f t="shared" si="51"/>
        <v>1426.4224983649444</v>
      </c>
      <c r="R79" s="16">
        <f t="shared" si="51"/>
        <v>1426.4224983649444</v>
      </c>
      <c r="S79" s="16">
        <f t="shared" si="51"/>
        <v>1431.6794316794317</v>
      </c>
      <c r="T79" s="16">
        <f t="shared" si="51"/>
        <v>1431.6794316794317</v>
      </c>
      <c r="U79" s="16">
        <f t="shared" si="51"/>
        <v>1431.6794316794317</v>
      </c>
      <c r="V79" s="16">
        <f t="shared" si="51"/>
        <v>1398.4903984903985</v>
      </c>
      <c r="W79" s="16">
        <f t="shared" si="51"/>
        <v>1398.4903984903985</v>
      </c>
      <c r="X79" s="16">
        <f t="shared" si="51"/>
        <v>1398.4903984903985</v>
      </c>
      <c r="Y79" s="246">
        <f>Y75/Y76*10^6</f>
        <v>1426.4224983649444</v>
      </c>
      <c r="Z79" s="246">
        <f>Z75/Z76*10^6</f>
        <v>1436.8499494618168</v>
      </c>
      <c r="AA79" s="16">
        <f>AA$188</f>
        <v>1381.1853031509499</v>
      </c>
      <c r="AB79" s="16">
        <f>AB$188</f>
        <v>1388.080388080388</v>
      </c>
      <c r="AC79" s="16">
        <f>AC$188</f>
        <v>1397.1342031686859</v>
      </c>
      <c r="AD79" s="16">
        <f>AD$188</f>
        <v>1418.041418041418</v>
      </c>
      <c r="AF79" s="327"/>
      <c r="AK79" s="311"/>
    </row>
    <row r="80" spans="1:37" x14ac:dyDescent="0.3">
      <c r="D80" s="3" t="s">
        <v>147</v>
      </c>
      <c r="I80" s="341"/>
      <c r="L80" s="16"/>
      <c r="M80" s="16"/>
      <c r="N80" s="15"/>
      <c r="O80" s="246">
        <v>5624.3740174999984</v>
      </c>
      <c r="P80" s="16">
        <f t="shared" ref="P80:X80" si="52">P81*P84/10^6</f>
        <v>2877.7305246616429</v>
      </c>
      <c r="Q80" s="16">
        <f t="shared" si="52"/>
        <v>2877.7305246616429</v>
      </c>
      <c r="R80" s="16">
        <f t="shared" si="52"/>
        <v>3069.5792263057529</v>
      </c>
      <c r="S80" s="16">
        <f t="shared" si="52"/>
        <v>1925.5574028951096</v>
      </c>
      <c r="T80" s="16">
        <f t="shared" si="52"/>
        <v>2214.3910133293757</v>
      </c>
      <c r="U80" s="16">
        <f t="shared" si="52"/>
        <v>3177.169714776931</v>
      </c>
      <c r="V80" s="16">
        <f t="shared" si="52"/>
        <v>2539.2411165104595</v>
      </c>
      <c r="W80" s="16">
        <f t="shared" si="52"/>
        <v>2915.4249856231204</v>
      </c>
      <c r="X80" s="16">
        <f t="shared" si="52"/>
        <v>3103.5169201794506</v>
      </c>
      <c r="Y80" s="246">
        <f>SUM(P80:X80)</f>
        <v>24700.341428943488</v>
      </c>
      <c r="Z80" s="246">
        <f>Y80+O80</f>
        <v>30324.715446443486</v>
      </c>
      <c r="AA80" s="16">
        <f>AA81*AA84/10^6</f>
        <v>30918.219875322222</v>
      </c>
      <c r="AB80" s="16">
        <f t="shared" ref="AB80:AD80" si="53">AB81*AB84/10^6</f>
        <v>34133.632132749844</v>
      </c>
      <c r="AC80" s="16">
        <f t="shared" si="53"/>
        <v>36624.246442515076</v>
      </c>
      <c r="AD80" s="16">
        <f t="shared" si="53"/>
        <v>39106.525402302148</v>
      </c>
      <c r="AF80" s="327"/>
      <c r="AK80" s="311"/>
    </row>
    <row r="81" spans="4:37" x14ac:dyDescent="0.3">
      <c r="E81" s="3" t="s">
        <v>361</v>
      </c>
      <c r="I81" s="341"/>
      <c r="L81" s="16"/>
      <c r="M81" s="16"/>
      <c r="N81" s="15"/>
      <c r="O81" s="246">
        <v>3897425.0000000014</v>
      </c>
      <c r="P81" s="16">
        <f t="shared" ref="P81:X81" si="54">P82*P83</f>
        <v>2017446.1128875068</v>
      </c>
      <c r="Q81" s="16">
        <f t="shared" si="54"/>
        <v>2017446.1128875068</v>
      </c>
      <c r="R81" s="16">
        <f t="shared" si="54"/>
        <v>2151942.5204133405</v>
      </c>
      <c r="S81" s="16">
        <f t="shared" si="54"/>
        <v>1344964.0752583379</v>
      </c>
      <c r="T81" s="16">
        <f t="shared" si="54"/>
        <v>1546708.6865470884</v>
      </c>
      <c r="U81" s="16">
        <f t="shared" si="54"/>
        <v>2219190.7241762574</v>
      </c>
      <c r="V81" s="16">
        <f t="shared" si="54"/>
        <v>1815701.5015987561</v>
      </c>
      <c r="W81" s="16">
        <f t="shared" si="54"/>
        <v>2084694.3166504237</v>
      </c>
      <c r="X81" s="16">
        <f t="shared" si="54"/>
        <v>2219190.7241762574</v>
      </c>
      <c r="Y81" s="246">
        <f>SUM(P81:X81)</f>
        <v>17417284.774595477</v>
      </c>
      <c r="Z81" s="246">
        <f>Y81+O81</f>
        <v>21314709.774595477</v>
      </c>
      <c r="AA81" s="16">
        <f>AA82*AA83</f>
        <v>22385280.095862102</v>
      </c>
      <c r="AB81" s="16">
        <f t="shared" ref="AB81:AD81" si="55">AB82*AB83</f>
        <v>24590529.789095372</v>
      </c>
      <c r="AC81" s="16">
        <f t="shared" si="55"/>
        <v>26213835.692699861</v>
      </c>
      <c r="AD81" s="16">
        <f t="shared" si="55"/>
        <v>27577844.275039315</v>
      </c>
      <c r="AF81" s="327"/>
      <c r="AK81" s="311"/>
    </row>
    <row r="82" spans="4:37" x14ac:dyDescent="0.3">
      <c r="F82" s="3" t="s">
        <v>298</v>
      </c>
      <c r="I82" s="341"/>
      <c r="L82" s="16"/>
      <c r="M82" s="16"/>
      <c r="N82" s="15"/>
      <c r="O82" s="246">
        <f t="shared" ref="O82:X82" si="56">O30</f>
        <v>54</v>
      </c>
      <c r="P82" s="16">
        <f t="shared" si="56"/>
        <v>30</v>
      </c>
      <c r="Q82" s="16">
        <f t="shared" si="56"/>
        <v>30</v>
      </c>
      <c r="R82" s="16">
        <f t="shared" si="56"/>
        <v>32</v>
      </c>
      <c r="S82" s="16">
        <f t="shared" si="56"/>
        <v>20</v>
      </c>
      <c r="T82" s="16">
        <f t="shared" si="56"/>
        <v>23</v>
      </c>
      <c r="U82" s="16">
        <f t="shared" si="56"/>
        <v>33</v>
      </c>
      <c r="V82" s="16">
        <f t="shared" si="56"/>
        <v>27</v>
      </c>
      <c r="W82" s="16">
        <f t="shared" si="56"/>
        <v>31</v>
      </c>
      <c r="X82" s="16">
        <f t="shared" si="56"/>
        <v>33</v>
      </c>
      <c r="Y82" s="246">
        <f>SUM(P82:X82)</f>
        <v>259</v>
      </c>
      <c r="Z82" s="246">
        <f>Y82+O82</f>
        <v>313</v>
      </c>
      <c r="AA82" s="16">
        <f>AA30</f>
        <v>327</v>
      </c>
      <c r="AB82" s="16">
        <f>AB30</f>
        <v>357</v>
      </c>
      <c r="AC82" s="16">
        <f>AC30</f>
        <v>378</v>
      </c>
      <c r="AD82" s="16">
        <f>AD30</f>
        <v>395</v>
      </c>
      <c r="AF82" s="327"/>
      <c r="AK82" s="311"/>
    </row>
    <row r="83" spans="4:37" x14ac:dyDescent="0.3">
      <c r="F83" s="3" t="s">
        <v>362</v>
      </c>
      <c r="I83" s="339">
        <f>Z83/Z33</f>
        <v>0.88119997560187957</v>
      </c>
      <c r="L83" s="16"/>
      <c r="M83" s="16"/>
      <c r="N83" s="15"/>
      <c r="O83" s="246">
        <f>O81/O82</f>
        <v>72174.537037037066</v>
      </c>
      <c r="P83" s="16">
        <v>67248.203762916892</v>
      </c>
      <c r="Q83" s="16">
        <v>67248.203762916892</v>
      </c>
      <c r="R83" s="16">
        <v>67248.203762916892</v>
      </c>
      <c r="S83" s="16">
        <v>67248.203762916892</v>
      </c>
      <c r="T83" s="16">
        <v>67248.203762916892</v>
      </c>
      <c r="U83" s="16">
        <v>67248.203762916892</v>
      </c>
      <c r="V83" s="16">
        <v>67248.203762916892</v>
      </c>
      <c r="W83" s="16">
        <v>67248.203762916892</v>
      </c>
      <c r="X83" s="16">
        <v>67248.203762916892</v>
      </c>
      <c r="Y83" s="246">
        <f>Y81/Y82</f>
        <v>67248.203762916892</v>
      </c>
      <c r="Z83" s="246">
        <f>Z81/Z82</f>
        <v>68098.114295832187</v>
      </c>
      <c r="AA83" s="16">
        <f>$I83*AA33</f>
        <v>68456.51405462416</v>
      </c>
      <c r="AB83" s="16">
        <f>$I83*AB33</f>
        <v>68881.035823796556</v>
      </c>
      <c r="AC83" s="16">
        <f>$I83*AC33</f>
        <v>69348.771673809155</v>
      </c>
      <c r="AD83" s="16">
        <f>$I83*AD33</f>
        <v>69817.327278580546</v>
      </c>
      <c r="AF83" s="327"/>
      <c r="AK83" s="311"/>
    </row>
    <row r="84" spans="4:37" x14ac:dyDescent="0.3">
      <c r="E84" s="3" t="s">
        <v>333</v>
      </c>
      <c r="I84" s="341"/>
      <c r="L84" s="16"/>
      <c r="M84" s="16"/>
      <c r="N84" s="15"/>
      <c r="O84" s="246">
        <f>O80/O81*10^6</f>
        <v>1443.099999999999</v>
      </c>
      <c r="P84" s="16">
        <f t="shared" ref="P84:X84" si="57">P$188</f>
        <v>1426.4224983649444</v>
      </c>
      <c r="Q84" s="16">
        <f t="shared" si="57"/>
        <v>1426.4224983649444</v>
      </c>
      <c r="R84" s="16">
        <f t="shared" si="57"/>
        <v>1426.4224983649444</v>
      </c>
      <c r="S84" s="16">
        <f t="shared" si="57"/>
        <v>1431.6794316794317</v>
      </c>
      <c r="T84" s="16">
        <f t="shared" si="57"/>
        <v>1431.6794316794317</v>
      </c>
      <c r="U84" s="16">
        <f t="shared" si="57"/>
        <v>1431.6794316794317</v>
      </c>
      <c r="V84" s="16">
        <f t="shared" si="57"/>
        <v>1398.4903984903985</v>
      </c>
      <c r="W84" s="16">
        <f t="shared" si="57"/>
        <v>1398.4903984903985</v>
      </c>
      <c r="X84" s="16">
        <f t="shared" si="57"/>
        <v>1398.4903984903985</v>
      </c>
      <c r="Y84" s="246">
        <f>Y80/Y81*10^6</f>
        <v>1418.1510923545868</v>
      </c>
      <c r="Z84" s="246">
        <f>Z80/Z81*10^6</f>
        <v>1422.7130356044929</v>
      </c>
      <c r="AA84" s="16">
        <f>AA$188</f>
        <v>1381.1853031509499</v>
      </c>
      <c r="AB84" s="16">
        <f>AB$188</f>
        <v>1388.080388080388</v>
      </c>
      <c r="AC84" s="16">
        <f>AC$188</f>
        <v>1397.1342031686859</v>
      </c>
      <c r="AD84" s="16">
        <f>AD$188</f>
        <v>1418.041418041418</v>
      </c>
      <c r="AF84" s="327"/>
      <c r="AK84" s="311"/>
    </row>
    <row r="85" spans="4:37" x14ac:dyDescent="0.3">
      <c r="D85" s="3" t="s">
        <v>148</v>
      </c>
      <c r="I85" s="341"/>
      <c r="L85" s="16"/>
      <c r="M85" s="16"/>
      <c r="N85" s="15"/>
      <c r="O85" s="246">
        <v>1500.5979528159996</v>
      </c>
      <c r="P85" s="16">
        <f t="shared" ref="P85:X85" si="58">P86*P89/10^6</f>
        <v>661.57004134557963</v>
      </c>
      <c r="Q85" s="16">
        <f t="shared" si="58"/>
        <v>744.26629651377709</v>
      </c>
      <c r="R85" s="16">
        <f t="shared" si="58"/>
        <v>578.87378617738227</v>
      </c>
      <c r="S85" s="16">
        <f t="shared" si="58"/>
        <v>415.00511852881419</v>
      </c>
      <c r="T85" s="16">
        <f t="shared" si="58"/>
        <v>581.00716594033986</v>
      </c>
      <c r="U85" s="16">
        <f t="shared" si="58"/>
        <v>747.00921335186558</v>
      </c>
      <c r="V85" s="16">
        <f t="shared" si="58"/>
        <v>486.46141929085411</v>
      </c>
      <c r="W85" s="16">
        <f t="shared" si="58"/>
        <v>486.46141929085411</v>
      </c>
      <c r="X85" s="16">
        <f t="shared" si="58"/>
        <v>648.6152257211387</v>
      </c>
      <c r="Y85" s="246">
        <f>SUM(P85:X85)</f>
        <v>5349.2696861606055</v>
      </c>
      <c r="Z85" s="246">
        <f>Y85+O85</f>
        <v>6849.8676389766051</v>
      </c>
      <c r="AA85" s="16">
        <f>AA86*AA89/10^6</f>
        <v>7053.0533139789986</v>
      </c>
      <c r="AB85" s="16">
        <f t="shared" ref="AB85:AD85" si="59">AB86*AB89/10^6</f>
        <v>8253.106180445564</v>
      </c>
      <c r="AC85" s="16">
        <f t="shared" si="59"/>
        <v>9580.395859032682</v>
      </c>
      <c r="AD85" s="16">
        <f t="shared" si="59"/>
        <v>10790.929691281513</v>
      </c>
      <c r="AF85" s="327"/>
      <c r="AK85" s="311"/>
    </row>
    <row r="86" spans="4:37" x14ac:dyDescent="0.3">
      <c r="E86" s="3" t="s">
        <v>361</v>
      </c>
      <c r="I86" s="341"/>
      <c r="L86" s="16"/>
      <c r="M86" s="16"/>
      <c r="N86" s="15"/>
      <c r="O86" s="246">
        <v>1039843.3599999999</v>
      </c>
      <c r="P86" s="16">
        <f t="shared" ref="P86:X86" si="60">P87*P88</f>
        <v>463796.69565217389</v>
      </c>
      <c r="Q86" s="16">
        <f t="shared" si="60"/>
        <v>521771.28260869562</v>
      </c>
      <c r="R86" s="16">
        <f t="shared" si="60"/>
        <v>405822.10869565216</v>
      </c>
      <c r="S86" s="16">
        <f t="shared" si="60"/>
        <v>289872.9347826087</v>
      </c>
      <c r="T86" s="16">
        <f t="shared" si="60"/>
        <v>405822.10869565216</v>
      </c>
      <c r="U86" s="16">
        <f t="shared" si="60"/>
        <v>521771.28260869562</v>
      </c>
      <c r="V86" s="16">
        <f t="shared" si="60"/>
        <v>347847.52173913043</v>
      </c>
      <c r="W86" s="16">
        <f t="shared" si="60"/>
        <v>347847.52173913043</v>
      </c>
      <c r="X86" s="16">
        <f t="shared" si="60"/>
        <v>463796.69565217389</v>
      </c>
      <c r="Y86" s="246">
        <f>SUM(P86:X86)</f>
        <v>3768348.1521739126</v>
      </c>
      <c r="Z86" s="246">
        <f>Y86+O86</f>
        <v>4808191.5121739125</v>
      </c>
      <c r="AA86" s="16">
        <f>AA87*AA88</f>
        <v>5106522.1284128949</v>
      </c>
      <c r="AB86" s="16">
        <f t="shared" ref="AB86:AD86" si="61">AB87*AB88</f>
        <v>5945697.5628472036</v>
      </c>
      <c r="AC86" s="16">
        <f t="shared" si="61"/>
        <v>6857176.5241337903</v>
      </c>
      <c r="AD86" s="16">
        <f t="shared" si="61"/>
        <v>7609742.2501141177</v>
      </c>
      <c r="AF86" s="327"/>
      <c r="AK86" s="311"/>
    </row>
    <row r="87" spans="4:37" x14ac:dyDescent="0.3">
      <c r="F87" s="3" t="s">
        <v>298</v>
      </c>
      <c r="I87" s="341"/>
      <c r="L87" s="16"/>
      <c r="M87" s="16"/>
      <c r="N87" s="15"/>
      <c r="O87" s="246">
        <f t="shared" ref="O87:X87" si="62">O37</f>
        <v>21</v>
      </c>
      <c r="P87" s="16">
        <f t="shared" si="62"/>
        <v>8</v>
      </c>
      <c r="Q87" s="16">
        <f t="shared" si="62"/>
        <v>9</v>
      </c>
      <c r="R87" s="16">
        <f t="shared" si="62"/>
        <v>7</v>
      </c>
      <c r="S87" s="16">
        <f t="shared" si="62"/>
        <v>5</v>
      </c>
      <c r="T87" s="16">
        <f t="shared" si="62"/>
        <v>7</v>
      </c>
      <c r="U87" s="16">
        <f t="shared" si="62"/>
        <v>9</v>
      </c>
      <c r="V87" s="16">
        <f t="shared" si="62"/>
        <v>6</v>
      </c>
      <c r="W87" s="16">
        <f t="shared" si="62"/>
        <v>6</v>
      </c>
      <c r="X87" s="16">
        <f t="shared" si="62"/>
        <v>8</v>
      </c>
      <c r="Y87" s="246">
        <f>SUM(P87:X87)</f>
        <v>65</v>
      </c>
      <c r="Z87" s="246">
        <f>Y87+O87</f>
        <v>86</v>
      </c>
      <c r="AA87" s="16">
        <f>AA37</f>
        <v>90</v>
      </c>
      <c r="AB87" s="16">
        <f>AB37</f>
        <v>104</v>
      </c>
      <c r="AC87" s="16">
        <f>AC37</f>
        <v>119</v>
      </c>
      <c r="AD87" s="16">
        <f>AD37</f>
        <v>131</v>
      </c>
      <c r="AF87" s="327"/>
      <c r="AK87" s="311"/>
    </row>
    <row r="88" spans="4:37" x14ac:dyDescent="0.3">
      <c r="F88" s="3" t="s">
        <v>362</v>
      </c>
      <c r="I88" s="339">
        <f>Y88/Y40</f>
        <v>0.87671613108492397</v>
      </c>
      <c r="L88" s="16"/>
      <c r="M88" s="16"/>
      <c r="N88" s="15"/>
      <c r="O88" s="246">
        <f>O86/O87</f>
        <v>49516.35047619047</v>
      </c>
      <c r="P88" s="16">
        <v>57974.586956521736</v>
      </c>
      <c r="Q88" s="16">
        <v>57974.586956521736</v>
      </c>
      <c r="R88" s="16">
        <v>57974.586956521736</v>
      </c>
      <c r="S88" s="16">
        <v>57974.586956521736</v>
      </c>
      <c r="T88" s="16">
        <v>57974.586956521736</v>
      </c>
      <c r="U88" s="16">
        <v>57974.586956521736</v>
      </c>
      <c r="V88" s="16">
        <v>57974.586956521736</v>
      </c>
      <c r="W88" s="16">
        <v>57974.586956521736</v>
      </c>
      <c r="X88" s="16">
        <v>57974.586956521736</v>
      </c>
      <c r="Y88" s="246">
        <f>Y86/Y87</f>
        <v>57974.586956521729</v>
      </c>
      <c r="Z88" s="246">
        <f>Z86/Z87</f>
        <v>55909.203629929216</v>
      </c>
      <c r="AA88" s="16">
        <f>AA40*$I88</f>
        <v>56739.134760143272</v>
      </c>
      <c r="AB88" s="16">
        <f>AB40*$I88</f>
        <v>57170.168873530805</v>
      </c>
      <c r="AC88" s="16">
        <f>AC40*$I88</f>
        <v>57623.332135578072</v>
      </c>
      <c r="AD88" s="16">
        <f>AD40*$I88</f>
        <v>58089.635497054333</v>
      </c>
      <c r="AF88" s="327"/>
      <c r="AK88" s="311"/>
    </row>
    <row r="89" spans="4:37" x14ac:dyDescent="0.3">
      <c r="E89" s="3" t="s">
        <v>333</v>
      </c>
      <c r="I89" s="341"/>
      <c r="L89" s="16"/>
      <c r="M89" s="16"/>
      <c r="N89" s="15"/>
      <c r="O89" s="246">
        <f>O85/O86*10^6</f>
        <v>1443.1</v>
      </c>
      <c r="P89" s="16">
        <f t="shared" ref="P89:X89" si="63">P$188</f>
        <v>1426.4224983649444</v>
      </c>
      <c r="Q89" s="16">
        <f t="shared" si="63"/>
        <v>1426.4224983649444</v>
      </c>
      <c r="R89" s="16">
        <f t="shared" si="63"/>
        <v>1426.4224983649444</v>
      </c>
      <c r="S89" s="16">
        <f t="shared" si="63"/>
        <v>1431.6794316794317</v>
      </c>
      <c r="T89" s="16">
        <f t="shared" si="63"/>
        <v>1431.6794316794317</v>
      </c>
      <c r="U89" s="16">
        <f t="shared" si="63"/>
        <v>1431.6794316794317</v>
      </c>
      <c r="V89" s="16">
        <f t="shared" si="63"/>
        <v>1398.4903984903985</v>
      </c>
      <c r="W89" s="16">
        <f t="shared" si="63"/>
        <v>1398.4903984903985</v>
      </c>
      <c r="X89" s="16">
        <f t="shared" si="63"/>
        <v>1398.4903984903985</v>
      </c>
      <c r="Y89" s="246">
        <f>Y85/Y86*10^6</f>
        <v>1419.5263999359188</v>
      </c>
      <c r="Z89" s="246">
        <f>Z85/Z86*10^6</f>
        <v>1424.624543684117</v>
      </c>
      <c r="AA89" s="16">
        <f>AA$188</f>
        <v>1381.1853031509499</v>
      </c>
      <c r="AB89" s="16">
        <f>AB$188</f>
        <v>1388.080388080388</v>
      </c>
      <c r="AC89" s="16">
        <f>AC$188</f>
        <v>1397.1342031686859</v>
      </c>
      <c r="AD89" s="16">
        <f>AD$188</f>
        <v>1418.041418041418</v>
      </c>
      <c r="AF89" s="327"/>
      <c r="AK89" s="311"/>
    </row>
    <row r="90" spans="4:37" x14ac:dyDescent="0.3">
      <c r="D90" s="3" t="s">
        <v>149</v>
      </c>
      <c r="I90" s="341"/>
      <c r="L90" s="16"/>
      <c r="M90" s="16"/>
      <c r="N90" s="15"/>
      <c r="O90" s="246">
        <v>1389.612191188</v>
      </c>
      <c r="P90" s="16">
        <f t="shared" ref="P90:X90" si="64">P91*P94/10^6</f>
        <v>0</v>
      </c>
      <c r="Q90" s="16">
        <f t="shared" si="64"/>
        <v>324.06108207979065</v>
      </c>
      <c r="R90" s="16">
        <f t="shared" si="64"/>
        <v>648.1221641595813</v>
      </c>
      <c r="S90" s="16">
        <f t="shared" si="64"/>
        <v>0</v>
      </c>
      <c r="T90" s="16">
        <f t="shared" si="64"/>
        <v>0</v>
      </c>
      <c r="U90" s="16">
        <f t="shared" si="64"/>
        <v>0</v>
      </c>
      <c r="V90" s="16">
        <f t="shared" si="64"/>
        <v>635.43068387168387</v>
      </c>
      <c r="W90" s="16">
        <f t="shared" si="64"/>
        <v>317.71534193584193</v>
      </c>
      <c r="X90" s="16">
        <f t="shared" si="64"/>
        <v>0</v>
      </c>
      <c r="Y90" s="246">
        <f>SUM(P90:X90)</f>
        <v>1925.3292720468978</v>
      </c>
      <c r="Z90" s="246">
        <f>Y90+O90</f>
        <v>3314.941463234898</v>
      </c>
      <c r="AA90" s="16">
        <f>AA91*AA94/10^6</f>
        <v>3232.7864631090088</v>
      </c>
      <c r="AB90" s="16">
        <f t="shared" ref="AB90:AD90" si="65">AB91*AB94/10^6</f>
        <v>3599.9313619050904</v>
      </c>
      <c r="AC90" s="16">
        <f t="shared" si="65"/>
        <v>3649.3265081863315</v>
      </c>
      <c r="AD90" s="16">
        <f t="shared" si="65"/>
        <v>4071.7089887047064</v>
      </c>
      <c r="AF90" s="327"/>
      <c r="AK90" s="311"/>
    </row>
    <row r="91" spans="4:37" x14ac:dyDescent="0.3">
      <c r="E91" s="3" t="s">
        <v>361</v>
      </c>
      <c r="I91" s="341"/>
      <c r="L91" s="16"/>
      <c r="M91" s="16"/>
      <c r="N91" s="15"/>
      <c r="O91" s="246">
        <v>962935.48</v>
      </c>
      <c r="P91" s="16">
        <f t="shared" ref="P91:X91" si="66">P92*P93</f>
        <v>0</v>
      </c>
      <c r="Q91" s="16">
        <f t="shared" si="66"/>
        <v>227184.49999999997</v>
      </c>
      <c r="R91" s="16">
        <f t="shared" si="66"/>
        <v>454368.99999999994</v>
      </c>
      <c r="S91" s="16">
        <f t="shared" si="66"/>
        <v>0</v>
      </c>
      <c r="T91" s="16">
        <f t="shared" si="66"/>
        <v>0</v>
      </c>
      <c r="U91" s="16">
        <f t="shared" si="66"/>
        <v>0</v>
      </c>
      <c r="V91" s="16">
        <f t="shared" si="66"/>
        <v>454368.99999999994</v>
      </c>
      <c r="W91" s="16">
        <f t="shared" si="66"/>
        <v>227184.49999999997</v>
      </c>
      <c r="X91" s="16">
        <f t="shared" si="66"/>
        <v>0</v>
      </c>
      <c r="Y91" s="246">
        <f>SUM(P91:X91)</f>
        <v>1363106.9999999998</v>
      </c>
      <c r="Z91" s="246">
        <f>Y91+O91</f>
        <v>2326042.4799999995</v>
      </c>
      <c r="AA91" s="16">
        <f>AA92*AA93</f>
        <v>2340588.5189582682</v>
      </c>
      <c r="AB91" s="16">
        <f t="shared" ref="AB91:AD91" si="67">AB92*AB93</f>
        <v>2593460.2871837472</v>
      </c>
      <c r="AC91" s="16">
        <f t="shared" si="67"/>
        <v>2612008.5671868147</v>
      </c>
      <c r="AD91" s="16">
        <f t="shared" si="67"/>
        <v>2871361.1160444822</v>
      </c>
      <c r="AF91" s="327"/>
      <c r="AK91" s="311"/>
    </row>
    <row r="92" spans="4:37" x14ac:dyDescent="0.3">
      <c r="F92" s="3" t="s">
        <v>298</v>
      </c>
      <c r="I92" s="341"/>
      <c r="L92" s="16"/>
      <c r="M92" s="16"/>
      <c r="N92" s="15"/>
      <c r="O92" s="246">
        <f t="shared" ref="O92:X92" si="68">O44</f>
        <v>4</v>
      </c>
      <c r="P92" s="16">
        <f t="shared" si="68"/>
        <v>0</v>
      </c>
      <c r="Q92" s="16">
        <f t="shared" si="68"/>
        <v>1</v>
      </c>
      <c r="R92" s="16">
        <f t="shared" si="68"/>
        <v>2</v>
      </c>
      <c r="S92" s="16">
        <f t="shared" si="68"/>
        <v>0</v>
      </c>
      <c r="T92" s="16">
        <f t="shared" si="68"/>
        <v>0</v>
      </c>
      <c r="U92" s="16">
        <f t="shared" si="68"/>
        <v>0</v>
      </c>
      <c r="V92" s="16">
        <f t="shared" si="68"/>
        <v>2</v>
      </c>
      <c r="W92" s="16">
        <f t="shared" si="68"/>
        <v>1</v>
      </c>
      <c r="X92" s="16">
        <f t="shared" si="68"/>
        <v>0</v>
      </c>
      <c r="Y92" s="246">
        <f>SUM(P92:X92)</f>
        <v>6</v>
      </c>
      <c r="Z92" s="246">
        <f>Y92+O92</f>
        <v>10</v>
      </c>
      <c r="AA92" s="16">
        <f>AA44</f>
        <v>10</v>
      </c>
      <c r="AB92" s="16">
        <f>AB44</f>
        <v>11</v>
      </c>
      <c r="AC92" s="16">
        <f>AC44</f>
        <v>11</v>
      </c>
      <c r="AD92" s="16">
        <f>AD44</f>
        <v>12</v>
      </c>
      <c r="AF92" s="327"/>
      <c r="AK92" s="311"/>
    </row>
    <row r="93" spans="4:37" x14ac:dyDescent="0.3">
      <c r="F93" s="3" t="s">
        <v>362</v>
      </c>
      <c r="I93" s="339">
        <f>Z93/Z47</f>
        <v>0.91032722838969393</v>
      </c>
      <c r="L93" s="16"/>
      <c r="M93" s="16"/>
      <c r="N93" s="15"/>
      <c r="O93" s="246">
        <f>O91/O92</f>
        <v>240733.87</v>
      </c>
      <c r="P93" s="16">
        <v>227184.49999999997</v>
      </c>
      <c r="Q93" s="16">
        <v>227184.49999999997</v>
      </c>
      <c r="R93" s="16">
        <v>227184.49999999997</v>
      </c>
      <c r="S93" s="16">
        <v>227184.49999999997</v>
      </c>
      <c r="T93" s="16">
        <v>227184.49999999997</v>
      </c>
      <c r="U93" s="16">
        <v>227184.49999999997</v>
      </c>
      <c r="V93" s="16">
        <v>227184.49999999997</v>
      </c>
      <c r="W93" s="16">
        <v>227184.49999999997</v>
      </c>
      <c r="X93" s="16">
        <v>227184.49999999997</v>
      </c>
      <c r="Y93" s="246">
        <f>Y91/Y92</f>
        <v>227184.49999999997</v>
      </c>
      <c r="Z93" s="246">
        <f>Z91/Z92</f>
        <v>232604.24799999996</v>
      </c>
      <c r="AA93" s="16">
        <f>$I93*AA47</f>
        <v>234058.85189582684</v>
      </c>
      <c r="AB93" s="16">
        <f>$I93*AB47</f>
        <v>235769.11701670429</v>
      </c>
      <c r="AC93" s="16">
        <f>$I93*AC47</f>
        <v>237455.32428971044</v>
      </c>
      <c r="AD93" s="16">
        <f>$I93*AD47</f>
        <v>239280.09300370683</v>
      </c>
      <c r="AF93" s="327"/>
      <c r="AK93" s="311"/>
    </row>
    <row r="94" spans="4:37" x14ac:dyDescent="0.3">
      <c r="E94" s="3" t="s">
        <v>333</v>
      </c>
      <c r="I94" s="341"/>
      <c r="L94" s="16"/>
      <c r="M94" s="16"/>
      <c r="N94" s="15"/>
      <c r="O94" s="246">
        <f>O90/O91*10^6</f>
        <v>1443.1000000000001</v>
      </c>
      <c r="P94" s="16">
        <f t="shared" ref="P94:X94" si="69">P$188</f>
        <v>1426.4224983649444</v>
      </c>
      <c r="Q94" s="16">
        <f t="shared" si="69"/>
        <v>1426.4224983649444</v>
      </c>
      <c r="R94" s="16">
        <f t="shared" si="69"/>
        <v>1426.4224983649444</v>
      </c>
      <c r="S94" s="16">
        <f t="shared" si="69"/>
        <v>1431.6794316794317</v>
      </c>
      <c r="T94" s="16">
        <f t="shared" si="69"/>
        <v>1431.6794316794317</v>
      </c>
      <c r="U94" s="16">
        <f t="shared" si="69"/>
        <v>1431.6794316794317</v>
      </c>
      <c r="V94" s="16">
        <f t="shared" si="69"/>
        <v>1398.4903984903985</v>
      </c>
      <c r="W94" s="16">
        <f t="shared" si="69"/>
        <v>1398.4903984903985</v>
      </c>
      <c r="X94" s="16">
        <f t="shared" si="69"/>
        <v>1398.4903984903985</v>
      </c>
      <c r="Y94" s="246">
        <f>Y90/Y91*10^6</f>
        <v>1412.4564484276716</v>
      </c>
      <c r="Z94" s="246">
        <f>Z90/Z91*10^6</f>
        <v>1425.1422713633754</v>
      </c>
      <c r="AA94" s="16">
        <f>AA$188</f>
        <v>1381.1853031509499</v>
      </c>
      <c r="AB94" s="16">
        <f>AB$188</f>
        <v>1388.080388080388</v>
      </c>
      <c r="AC94" s="16">
        <f>AC$188</f>
        <v>1397.1342031686859</v>
      </c>
      <c r="AD94" s="16">
        <f>AD$188</f>
        <v>1418.041418041418</v>
      </c>
      <c r="AF94" s="327"/>
      <c r="AK94" s="311"/>
    </row>
    <row r="95" spans="4:37" x14ac:dyDescent="0.3">
      <c r="D95" s="3" t="s">
        <v>150</v>
      </c>
      <c r="I95" s="341"/>
      <c r="L95" s="16"/>
      <c r="M95" s="16"/>
      <c r="N95" s="15"/>
      <c r="O95" s="246">
        <v>479.56856759200002</v>
      </c>
      <c r="P95" s="16">
        <f t="shared" ref="P95:X95" si="70">P96*P99/10^6</f>
        <v>0</v>
      </c>
      <c r="Q95" s="16">
        <f t="shared" si="70"/>
        <v>262.03846892844325</v>
      </c>
      <c r="R95" s="16">
        <f t="shared" si="70"/>
        <v>131.01923446422163</v>
      </c>
      <c r="S95" s="16">
        <f t="shared" si="70"/>
        <v>0</v>
      </c>
      <c r="T95" s="16">
        <f t="shared" si="70"/>
        <v>131.50209236872263</v>
      </c>
      <c r="U95" s="16">
        <f t="shared" si="70"/>
        <v>131.50209236872263</v>
      </c>
      <c r="V95" s="16">
        <f t="shared" si="70"/>
        <v>256.90725100845651</v>
      </c>
      <c r="W95" s="16">
        <f t="shared" si="70"/>
        <v>128.45362550422826</v>
      </c>
      <c r="X95" s="16">
        <f t="shared" si="70"/>
        <v>513.81450201691302</v>
      </c>
      <c r="Y95" s="246">
        <f>SUM(P95:X95)</f>
        <v>1555.237266659708</v>
      </c>
      <c r="Z95" s="246">
        <f>Y95+O95</f>
        <v>2034.8058342517079</v>
      </c>
      <c r="AA95" s="16">
        <f>AA96*AA99/10^6</f>
        <v>0</v>
      </c>
      <c r="AB95" s="16">
        <f t="shared" ref="AB95:AD95" si="71">AB96*AB99/10^6</f>
        <v>0</v>
      </c>
      <c r="AC95" s="16">
        <f t="shared" si="71"/>
        <v>0</v>
      </c>
      <c r="AD95" s="16">
        <f t="shared" si="71"/>
        <v>0</v>
      </c>
      <c r="AF95" s="327"/>
      <c r="AK95" s="311"/>
    </row>
    <row r="96" spans="4:37" x14ac:dyDescent="0.3">
      <c r="E96" s="3" t="s">
        <v>361</v>
      </c>
      <c r="I96" s="341"/>
      <c r="L96" s="16"/>
      <c r="M96" s="16"/>
      <c r="N96" s="15"/>
      <c r="O96" s="246">
        <v>332318.31999999995</v>
      </c>
      <c r="P96" s="16">
        <f t="shared" ref="P96:X96" si="72">P97*P98</f>
        <v>0</v>
      </c>
      <c r="Q96" s="16">
        <f t="shared" si="72"/>
        <v>183703.26409518096</v>
      </c>
      <c r="R96" s="16">
        <f t="shared" si="72"/>
        <v>91851.632047590479</v>
      </c>
      <c r="S96" s="16">
        <f t="shared" si="72"/>
        <v>0</v>
      </c>
      <c r="T96" s="16">
        <f t="shared" si="72"/>
        <v>91851.632047590479</v>
      </c>
      <c r="U96" s="16">
        <f t="shared" si="72"/>
        <v>91851.632047590479</v>
      </c>
      <c r="V96" s="16">
        <f t="shared" si="72"/>
        <v>183703.26409518096</v>
      </c>
      <c r="W96" s="16">
        <f t="shared" si="72"/>
        <v>91851.632047590479</v>
      </c>
      <c r="X96" s="16">
        <f t="shared" si="72"/>
        <v>367406.52819036192</v>
      </c>
      <c r="Y96" s="246">
        <f>SUM(P96:X96)</f>
        <v>1102219.5845710856</v>
      </c>
      <c r="Z96" s="246">
        <f>Y96+O96</f>
        <v>1434537.9045710857</v>
      </c>
      <c r="AA96" s="16">
        <f>AA97*AA98</f>
        <v>0</v>
      </c>
      <c r="AB96" s="16">
        <f t="shared" ref="AB96:AD96" si="73">AB97*AB98</f>
        <v>0</v>
      </c>
      <c r="AC96" s="16">
        <f t="shared" si="73"/>
        <v>0</v>
      </c>
      <c r="AD96" s="16">
        <f t="shared" si="73"/>
        <v>0</v>
      </c>
      <c r="AF96" s="327"/>
      <c r="AK96" s="311"/>
    </row>
    <row r="97" spans="2:37" x14ac:dyDescent="0.3">
      <c r="F97" s="3" t="s">
        <v>298</v>
      </c>
      <c r="I97" s="341"/>
      <c r="L97" s="16"/>
      <c r="M97" s="16"/>
      <c r="N97" s="15"/>
      <c r="O97" s="246">
        <f t="shared" ref="O97:X97" si="74">O51</f>
        <v>4</v>
      </c>
      <c r="P97" s="16">
        <f t="shared" si="74"/>
        <v>0</v>
      </c>
      <c r="Q97" s="16">
        <f t="shared" si="74"/>
        <v>2</v>
      </c>
      <c r="R97" s="16">
        <f t="shared" si="74"/>
        <v>1</v>
      </c>
      <c r="S97" s="16">
        <f t="shared" si="74"/>
        <v>0</v>
      </c>
      <c r="T97" s="16">
        <f t="shared" si="74"/>
        <v>1</v>
      </c>
      <c r="U97" s="16">
        <f t="shared" si="74"/>
        <v>1</v>
      </c>
      <c r="V97" s="16">
        <f t="shared" si="74"/>
        <v>2</v>
      </c>
      <c r="W97" s="16">
        <f t="shared" si="74"/>
        <v>1</v>
      </c>
      <c r="X97" s="16">
        <f t="shared" si="74"/>
        <v>4</v>
      </c>
      <c r="Y97" s="246">
        <f>SUM(P97:X97)</f>
        <v>12</v>
      </c>
      <c r="Z97" s="246">
        <f>Y97+O97</f>
        <v>16</v>
      </c>
      <c r="AA97" s="16">
        <f>AA51</f>
        <v>0</v>
      </c>
      <c r="AB97" s="16">
        <f>AB51</f>
        <v>0</v>
      </c>
      <c r="AC97" s="16">
        <f>AC51</f>
        <v>0</v>
      </c>
      <c r="AD97" s="16">
        <f>AD51</f>
        <v>0</v>
      </c>
      <c r="AF97" s="327"/>
      <c r="AK97" s="311"/>
    </row>
    <row r="98" spans="2:37" x14ac:dyDescent="0.3">
      <c r="F98" s="3" t="s">
        <v>362</v>
      </c>
      <c r="I98" s="339">
        <f>Z98/Z54</f>
        <v>0.87368011758740216</v>
      </c>
      <c r="L98" s="16"/>
      <c r="M98" s="16"/>
      <c r="N98" s="15"/>
      <c r="O98" s="246">
        <f>O96/O97</f>
        <v>83079.579999999987</v>
      </c>
      <c r="P98" s="16">
        <v>91851.632047590479</v>
      </c>
      <c r="Q98" s="16">
        <v>91851.632047590479</v>
      </c>
      <c r="R98" s="16">
        <v>91851.632047590479</v>
      </c>
      <c r="S98" s="16">
        <v>91851.632047590479</v>
      </c>
      <c r="T98" s="16">
        <v>91851.632047590479</v>
      </c>
      <c r="U98" s="16">
        <v>91851.632047590479</v>
      </c>
      <c r="V98" s="16">
        <v>91851.632047590479</v>
      </c>
      <c r="W98" s="16">
        <v>91851.632047590479</v>
      </c>
      <c r="X98" s="16">
        <v>91851.632047590479</v>
      </c>
      <c r="Y98" s="246">
        <f>Y96/Y97</f>
        <v>91851.632047590465</v>
      </c>
      <c r="Z98" s="246">
        <f>Z96/Z97</f>
        <v>89658.619035692856</v>
      </c>
      <c r="AA98" s="16">
        <f>AA54*$I98</f>
        <v>0</v>
      </c>
      <c r="AB98" s="16">
        <f>AB54*$I98</f>
        <v>0</v>
      </c>
      <c r="AC98" s="16">
        <f>AC54*$I98</f>
        <v>0</v>
      </c>
      <c r="AD98" s="16">
        <f>AD54*$I98</f>
        <v>0</v>
      </c>
      <c r="AF98" s="327"/>
      <c r="AK98" s="311"/>
    </row>
    <row r="99" spans="2:37" x14ac:dyDescent="0.3">
      <c r="E99" s="3" t="s">
        <v>333</v>
      </c>
      <c r="I99" s="341"/>
      <c r="L99" s="16"/>
      <c r="M99" s="16"/>
      <c r="N99" s="15"/>
      <c r="O99" s="246">
        <f>O95/O96*10^6</f>
        <v>1443.1000000000004</v>
      </c>
      <c r="P99" s="16">
        <f t="shared" ref="P99:X99" si="75">P$188</f>
        <v>1426.4224983649444</v>
      </c>
      <c r="Q99" s="16">
        <f t="shared" si="75"/>
        <v>1426.4224983649444</v>
      </c>
      <c r="R99" s="16">
        <f t="shared" si="75"/>
        <v>1426.4224983649444</v>
      </c>
      <c r="S99" s="16">
        <f t="shared" si="75"/>
        <v>1431.6794316794317</v>
      </c>
      <c r="T99" s="16">
        <f t="shared" si="75"/>
        <v>1431.6794316794317</v>
      </c>
      <c r="U99" s="16">
        <f t="shared" si="75"/>
        <v>1431.6794316794317</v>
      </c>
      <c r="V99" s="16">
        <f t="shared" si="75"/>
        <v>1398.4903984903985</v>
      </c>
      <c r="W99" s="16">
        <f t="shared" si="75"/>
        <v>1398.4903984903985</v>
      </c>
      <c r="X99" s="16">
        <f t="shared" si="75"/>
        <v>1398.4903984903985</v>
      </c>
      <c r="Y99" s="246">
        <f>Y95/Y96*10^6</f>
        <v>1411.0049289905407</v>
      </c>
      <c r="Z99" s="246">
        <f>Z95/Z96*10^6</f>
        <v>1418.4399225478096</v>
      </c>
      <c r="AA99" s="16">
        <f>AA$188</f>
        <v>1381.1853031509499</v>
      </c>
      <c r="AB99" s="16">
        <f t="shared" ref="AB99:AD99" si="76">AB$188</f>
        <v>1388.080388080388</v>
      </c>
      <c r="AC99" s="16">
        <f t="shared" si="76"/>
        <v>1397.1342031686859</v>
      </c>
      <c r="AD99" s="16">
        <f t="shared" si="76"/>
        <v>1418.041418041418</v>
      </c>
      <c r="AF99" s="327"/>
      <c r="AK99" s="311"/>
    </row>
    <row r="100" spans="2:37" x14ac:dyDescent="0.3">
      <c r="D100" s="3" t="s">
        <v>105</v>
      </c>
      <c r="I100" s="341"/>
      <c r="L100" s="16"/>
      <c r="M100" s="16"/>
      <c r="N100" s="15"/>
      <c r="O100" s="246">
        <f>O101+O103+O105</f>
        <v>1833.7943308000026</v>
      </c>
      <c r="P100" s="16">
        <f t="shared" ref="P100:Y100" si="77">P101+P103+P105</f>
        <v>848.95217725136047</v>
      </c>
      <c r="Q100" s="16">
        <f t="shared" si="77"/>
        <v>1045.9718645283706</v>
      </c>
      <c r="R100" s="16">
        <f t="shared" si="77"/>
        <v>1037.4301116337745</v>
      </c>
      <c r="S100" s="16">
        <f t="shared" si="77"/>
        <v>560.84970687843304</v>
      </c>
      <c r="T100" s="16">
        <f t="shared" si="77"/>
        <v>699.92995988435189</v>
      </c>
      <c r="U100" s="16">
        <f t="shared" si="77"/>
        <v>970.13198996293818</v>
      </c>
      <c r="V100" s="16">
        <f t="shared" si="77"/>
        <v>916.80427558731014</v>
      </c>
      <c r="W100" s="16">
        <f t="shared" si="77"/>
        <v>912.28832671581006</v>
      </c>
      <c r="X100" s="16">
        <f t="shared" si="77"/>
        <v>1018.1602807256306</v>
      </c>
      <c r="Y100" s="246">
        <f t="shared" si="77"/>
        <v>8010.51869316798</v>
      </c>
      <c r="Z100" s="246">
        <f>Z101+Z103+Z105</f>
        <v>9844.3130239679831</v>
      </c>
      <c r="AA100" s="16">
        <f>AA101+AA103+AA105</f>
        <v>9964.3690216374835</v>
      </c>
      <c r="AB100" s="16">
        <f>AB101+AB103+AB105</f>
        <v>11127.112252426208</v>
      </c>
      <c r="AC100" s="16">
        <f>AC101+AC103+AC105</f>
        <v>12084.594788060946</v>
      </c>
      <c r="AD100" s="16">
        <f>AD101+AD103+AD105</f>
        <v>13019.400292187405</v>
      </c>
      <c r="AF100" s="327"/>
      <c r="AK100" s="311"/>
    </row>
    <row r="101" spans="2:37" x14ac:dyDescent="0.3">
      <c r="E101" s="3" t="s">
        <v>307</v>
      </c>
      <c r="I101" s="341"/>
      <c r="L101" s="16"/>
      <c r="M101" s="16"/>
      <c r="N101" s="15"/>
      <c r="O101" s="246">
        <v>1080.246936</v>
      </c>
      <c r="P101" s="16">
        <f t="shared" ref="P101:X101" si="78">P102*P57</f>
        <v>503.49970940548315</v>
      </c>
      <c r="Q101" s="16">
        <f t="shared" si="78"/>
        <v>631.94935885826055</v>
      </c>
      <c r="R101" s="16">
        <f t="shared" si="78"/>
        <v>628.75966970892034</v>
      </c>
      <c r="S101" s="16">
        <f t="shared" si="78"/>
        <v>332.94744163730007</v>
      </c>
      <c r="T101" s="16">
        <f t="shared" si="78"/>
        <v>416.11831511691139</v>
      </c>
      <c r="U101" s="16">
        <f t="shared" si="78"/>
        <v>576.65789262573378</v>
      </c>
      <c r="V101" s="16">
        <f t="shared" si="78"/>
        <v>556.00536613968768</v>
      </c>
      <c r="W101" s="16">
        <f t="shared" si="78"/>
        <v>546.63754647877363</v>
      </c>
      <c r="X101" s="16">
        <f t="shared" si="78"/>
        <v>605.59773193834792</v>
      </c>
      <c r="Y101" s="246">
        <f>SUM(P101:X101)</f>
        <v>4798.1730319094195</v>
      </c>
      <c r="Z101" s="246">
        <f>Y101+O101</f>
        <v>5878.4199679094199</v>
      </c>
      <c r="AA101" s="16">
        <f>AA102*AA57</f>
        <v>5933.5381111810811</v>
      </c>
      <c r="AB101" s="16">
        <f>AB102*AB57</f>
        <v>6614.0112346506539</v>
      </c>
      <c r="AC101" s="16">
        <f>AC102*AC57</f>
        <v>7193.7768282549769</v>
      </c>
      <c r="AD101" s="16">
        <f>AD102*AD57</f>
        <v>7780.5813726132374</v>
      </c>
      <c r="AF101" s="327"/>
      <c r="AK101" s="311"/>
    </row>
    <row r="102" spans="2:37" x14ac:dyDescent="0.3">
      <c r="F102" s="3" t="s">
        <v>471</v>
      </c>
      <c r="I102" s="441">
        <v>0.8</v>
      </c>
      <c r="L102" s="16"/>
      <c r="M102" s="16"/>
      <c r="N102" s="15"/>
      <c r="O102" s="350">
        <f>O101/O57</f>
        <v>0.80000000000000016</v>
      </c>
      <c r="P102" s="17">
        <f t="shared" ref="P102:X102" si="79">$I102</f>
        <v>0.8</v>
      </c>
      <c r="Q102" s="17">
        <f t="shared" si="79"/>
        <v>0.8</v>
      </c>
      <c r="R102" s="17">
        <f t="shared" si="79"/>
        <v>0.8</v>
      </c>
      <c r="S102" s="17">
        <f t="shared" si="79"/>
        <v>0.8</v>
      </c>
      <c r="T102" s="17">
        <f t="shared" si="79"/>
        <v>0.8</v>
      </c>
      <c r="U102" s="17">
        <f t="shared" si="79"/>
        <v>0.8</v>
      </c>
      <c r="V102" s="17">
        <f t="shared" si="79"/>
        <v>0.8</v>
      </c>
      <c r="W102" s="17">
        <f t="shared" si="79"/>
        <v>0.8</v>
      </c>
      <c r="X102" s="17">
        <f t="shared" si="79"/>
        <v>0.8</v>
      </c>
      <c r="Y102" s="350">
        <f>Y101/Y57</f>
        <v>0.80000000000000027</v>
      </c>
      <c r="Z102" s="362">
        <f>Z101/Z57</f>
        <v>0.80000000000000027</v>
      </c>
      <c r="AA102" s="17">
        <f>$I102</f>
        <v>0.8</v>
      </c>
      <c r="AB102" s="17">
        <f>$I102</f>
        <v>0.8</v>
      </c>
      <c r="AC102" s="17">
        <f>$I102</f>
        <v>0.8</v>
      </c>
      <c r="AD102" s="17">
        <f>$I102</f>
        <v>0.8</v>
      </c>
      <c r="AF102" s="327"/>
      <c r="AK102" s="311"/>
    </row>
    <row r="103" spans="2:37" x14ac:dyDescent="0.3">
      <c r="E103" s="3" t="s">
        <v>309</v>
      </c>
      <c r="I103" s="341"/>
      <c r="L103" s="16"/>
      <c r="M103" s="16"/>
      <c r="N103" s="15"/>
      <c r="O103" s="246">
        <v>399.38179280000259</v>
      </c>
      <c r="P103" s="16">
        <f t="shared" ref="P103:X103" si="80">P104*P59</f>
        <v>187.11961048117141</v>
      </c>
      <c r="Q103" s="16">
        <f t="shared" si="80"/>
        <v>234.85637759952195</v>
      </c>
      <c r="R103" s="16">
        <f t="shared" si="80"/>
        <v>233.67096799544231</v>
      </c>
      <c r="S103" s="16">
        <f t="shared" si="80"/>
        <v>123.73591171172119</v>
      </c>
      <c r="T103" s="16">
        <f t="shared" si="80"/>
        <v>154.64536639096985</v>
      </c>
      <c r="U103" s="16">
        <f t="shared" si="80"/>
        <v>214.3079692666162</v>
      </c>
      <c r="V103" s="16">
        <f t="shared" si="80"/>
        <v>206.63270622409308</v>
      </c>
      <c r="W103" s="16">
        <f t="shared" si="80"/>
        <v>203.15126873115415</v>
      </c>
      <c r="X103" s="16">
        <f t="shared" si="80"/>
        <v>225.06311243434149</v>
      </c>
      <c r="Y103" s="246">
        <f>SUM(P103:X103)</f>
        <v>1783.1832908350318</v>
      </c>
      <c r="Z103" s="246">
        <f>Y103+O103</f>
        <v>2182.5650836350342</v>
      </c>
      <c r="AA103" s="16">
        <f>AA104*AA59</f>
        <v>2205.1280654171082</v>
      </c>
      <c r="AB103" s="16">
        <f>AB104*AB59</f>
        <v>2458.0177164496376</v>
      </c>
      <c r="AC103" s="16">
        <f>AC104*AC59</f>
        <v>2673.4806254028967</v>
      </c>
      <c r="AD103" s="16">
        <f>AD104*AD59</f>
        <v>2891.5594757334175</v>
      </c>
      <c r="AF103" s="327"/>
      <c r="AK103" s="311"/>
    </row>
    <row r="104" spans="2:37" x14ac:dyDescent="0.3">
      <c r="F104" s="3" t="s">
        <v>472</v>
      </c>
      <c r="I104" s="441">
        <v>0.72499999999999998</v>
      </c>
      <c r="L104" s="16"/>
      <c r="M104" s="16"/>
      <c r="N104" s="15"/>
      <c r="O104" s="350">
        <f>O103/O59</f>
        <v>0.37557324604459202</v>
      </c>
      <c r="P104" s="17">
        <f t="shared" ref="P104:X104" si="81">$I104</f>
        <v>0.72499999999999998</v>
      </c>
      <c r="Q104" s="17">
        <f t="shared" si="81"/>
        <v>0.72499999999999998</v>
      </c>
      <c r="R104" s="17">
        <f t="shared" si="81"/>
        <v>0.72499999999999998</v>
      </c>
      <c r="S104" s="17">
        <f t="shared" si="81"/>
        <v>0.72499999999999998</v>
      </c>
      <c r="T104" s="17">
        <f t="shared" si="81"/>
        <v>0.72499999999999998</v>
      </c>
      <c r="U104" s="17">
        <f t="shared" si="81"/>
        <v>0.72499999999999998</v>
      </c>
      <c r="V104" s="17">
        <f t="shared" si="81"/>
        <v>0.72499999999999998</v>
      </c>
      <c r="W104" s="17">
        <f t="shared" si="81"/>
        <v>0.72499999999999998</v>
      </c>
      <c r="X104" s="17">
        <f t="shared" si="81"/>
        <v>0.72499999999999998</v>
      </c>
      <c r="Y104" s="350">
        <f>Y103/Y59</f>
        <v>0.72499999999999998</v>
      </c>
      <c r="Z104" s="362">
        <f>Z103/Z59</f>
        <v>0.61952668776656661</v>
      </c>
      <c r="AA104" s="17">
        <f>$I104</f>
        <v>0.72499999999999998</v>
      </c>
      <c r="AB104" s="17">
        <f>$I104</f>
        <v>0.72499999999999998</v>
      </c>
      <c r="AC104" s="17">
        <f>$I104</f>
        <v>0.72499999999999998</v>
      </c>
      <c r="AD104" s="17">
        <f>$I104</f>
        <v>0.72499999999999998</v>
      </c>
      <c r="AF104" s="327"/>
      <c r="AK104" s="311"/>
    </row>
    <row r="105" spans="2:37" x14ac:dyDescent="0.3">
      <c r="E105" s="3" t="s">
        <v>473</v>
      </c>
      <c r="I105" s="442"/>
      <c r="L105" s="16"/>
      <c r="M105" s="16"/>
      <c r="N105" s="15"/>
      <c r="O105" s="313">
        <f t="shared" ref="O105:X105" si="82">O106*O63</f>
        <v>354.16560199999998</v>
      </c>
      <c r="P105" s="121">
        <f t="shared" si="82"/>
        <v>158.33285736470586</v>
      </c>
      <c r="Q105" s="121">
        <f t="shared" si="82"/>
        <v>179.1661280705882</v>
      </c>
      <c r="R105" s="121">
        <f t="shared" si="82"/>
        <v>174.99947392941175</v>
      </c>
      <c r="S105" s="121">
        <f t="shared" si="82"/>
        <v>104.16635352941175</v>
      </c>
      <c r="T105" s="121">
        <f t="shared" si="82"/>
        <v>129.16627837647056</v>
      </c>
      <c r="U105" s="121">
        <f t="shared" si="82"/>
        <v>179.1661280705882</v>
      </c>
      <c r="V105" s="121">
        <f t="shared" si="82"/>
        <v>154.16620322352938</v>
      </c>
      <c r="W105" s="121">
        <f t="shared" si="82"/>
        <v>162.49951150588234</v>
      </c>
      <c r="X105" s="121">
        <f t="shared" si="82"/>
        <v>187.49943635294116</v>
      </c>
      <c r="Y105" s="246">
        <f>SUM(P105:X105)</f>
        <v>1429.1623704235292</v>
      </c>
      <c r="Z105" s="246">
        <f>Y105+O105</f>
        <v>1783.3279724235292</v>
      </c>
      <c r="AA105" s="121">
        <f>AA106*AA63</f>
        <v>1825.7028450392936</v>
      </c>
      <c r="AB105" s="121">
        <f>AB106*AB63</f>
        <v>2055.0833013259166</v>
      </c>
      <c r="AC105" s="121">
        <f>AC106*AC63</f>
        <v>2217.3373344030715</v>
      </c>
      <c r="AD105" s="121">
        <f>AD106*AD63</f>
        <v>2347.2594438407514</v>
      </c>
      <c r="AF105" s="327"/>
      <c r="AK105" s="311"/>
    </row>
    <row r="106" spans="2:37" x14ac:dyDescent="0.3">
      <c r="F106" s="3" t="s">
        <v>474</v>
      </c>
      <c r="I106" s="441">
        <v>1</v>
      </c>
      <c r="L106" s="16"/>
      <c r="M106" s="16"/>
      <c r="N106" s="15"/>
      <c r="O106" s="350">
        <f>$I$106</f>
        <v>1</v>
      </c>
      <c r="P106" s="17">
        <f t="shared" ref="P106:X106" si="83">$I$106</f>
        <v>1</v>
      </c>
      <c r="Q106" s="17">
        <f t="shared" si="83"/>
        <v>1</v>
      </c>
      <c r="R106" s="17">
        <f t="shared" si="83"/>
        <v>1</v>
      </c>
      <c r="S106" s="17">
        <f t="shared" si="83"/>
        <v>1</v>
      </c>
      <c r="T106" s="17">
        <f t="shared" si="83"/>
        <v>1</v>
      </c>
      <c r="U106" s="17">
        <f t="shared" si="83"/>
        <v>1</v>
      </c>
      <c r="V106" s="17">
        <f t="shared" si="83"/>
        <v>1</v>
      </c>
      <c r="W106" s="17">
        <f t="shared" si="83"/>
        <v>1</v>
      </c>
      <c r="X106" s="17">
        <f t="shared" si="83"/>
        <v>1</v>
      </c>
      <c r="Y106" s="350">
        <f>Y105/Y63</f>
        <v>1</v>
      </c>
      <c r="Z106" s="373">
        <f>Z105/Z63</f>
        <v>1</v>
      </c>
      <c r="AA106" s="17">
        <f>$I106</f>
        <v>1</v>
      </c>
      <c r="AB106" s="17">
        <f>$I106</f>
        <v>1</v>
      </c>
      <c r="AC106" s="17">
        <f>$I106</f>
        <v>1</v>
      </c>
      <c r="AD106" s="17">
        <f>$I106</f>
        <v>1</v>
      </c>
      <c r="AF106" s="327"/>
      <c r="AK106" s="311"/>
    </row>
    <row r="107" spans="2:37" x14ac:dyDescent="0.3">
      <c r="C107" s="3" t="s">
        <v>475</v>
      </c>
      <c r="I107" s="341"/>
      <c r="L107" s="16"/>
      <c r="M107" s="16"/>
      <c r="N107" s="15"/>
      <c r="O107" s="246">
        <v>1.9222091999999995</v>
      </c>
      <c r="P107" s="16">
        <f t="shared" ref="P107:X107" si="84">P108*P74</f>
        <v>61.435538405620164</v>
      </c>
      <c r="Q107" s="16">
        <f t="shared" si="84"/>
        <v>76.797832875773437</v>
      </c>
      <c r="R107" s="16">
        <f t="shared" si="84"/>
        <v>76.510343318369991</v>
      </c>
      <c r="S107" s="16">
        <f t="shared" si="84"/>
        <v>40.619771196233003</v>
      </c>
      <c r="T107" s="16">
        <f t="shared" si="84"/>
        <v>50.77562324131906</v>
      </c>
      <c r="U107" s="16">
        <f t="shared" si="84"/>
        <v>70.361382146446402</v>
      </c>
      <c r="V107" s="16">
        <f t="shared" si="84"/>
        <v>67.687826447762689</v>
      </c>
      <c r="W107" s="16">
        <f t="shared" si="84"/>
        <v>66.644811786977968</v>
      </c>
      <c r="X107" s="16">
        <f t="shared" si="84"/>
        <v>73.977497001003869</v>
      </c>
      <c r="Y107" s="246">
        <f>SUM(P107:X107)</f>
        <v>584.81062641950655</v>
      </c>
      <c r="Z107" s="246">
        <f>Y107+O107</f>
        <v>586.73283561950655</v>
      </c>
      <c r="AA107" s="16">
        <f>AA108*AA74</f>
        <v>724.77573476729356</v>
      </c>
      <c r="AB107" s="16">
        <f>AB108*AB74</f>
        <v>808.10248980716153</v>
      </c>
      <c r="AC107" s="16">
        <f>AC108*AC74</f>
        <v>878.63529737662157</v>
      </c>
      <c r="AD107" s="16">
        <f>AD108*AD74</f>
        <v>949.58471923987383</v>
      </c>
      <c r="AF107" s="327"/>
      <c r="AK107" s="311"/>
    </row>
    <row r="108" spans="2:37" x14ac:dyDescent="0.3">
      <c r="B108" s="92"/>
      <c r="C108" s="92"/>
      <c r="D108" s="92" t="s">
        <v>476</v>
      </c>
      <c r="E108" s="92"/>
      <c r="F108" s="92"/>
      <c r="G108" s="92"/>
      <c r="H108" s="92"/>
      <c r="I108" s="441">
        <v>1.4E-2</v>
      </c>
      <c r="J108" s="92"/>
      <c r="K108" s="92"/>
      <c r="L108" s="130"/>
      <c r="M108" s="130"/>
      <c r="N108" s="131"/>
      <c r="O108" s="330">
        <f>O107/O74</f>
        <v>1.713400858468024E-4</v>
      </c>
      <c r="P108" s="279">
        <f t="shared" ref="P108:X108" si="85">$I108</f>
        <v>1.4E-2</v>
      </c>
      <c r="Q108" s="279">
        <f t="shared" si="85"/>
        <v>1.4E-2</v>
      </c>
      <c r="R108" s="279">
        <f t="shared" si="85"/>
        <v>1.4E-2</v>
      </c>
      <c r="S108" s="279">
        <f t="shared" si="85"/>
        <v>1.4E-2</v>
      </c>
      <c r="T108" s="279">
        <f t="shared" si="85"/>
        <v>1.4E-2</v>
      </c>
      <c r="U108" s="279">
        <f t="shared" si="85"/>
        <v>1.4E-2</v>
      </c>
      <c r="V108" s="279">
        <f t="shared" si="85"/>
        <v>1.4E-2</v>
      </c>
      <c r="W108" s="279">
        <f t="shared" si="85"/>
        <v>1.4E-2</v>
      </c>
      <c r="X108" s="279">
        <f t="shared" si="85"/>
        <v>1.4E-2</v>
      </c>
      <c r="Y108" s="443">
        <f>Y107/Y74</f>
        <v>1.3999999999999999E-2</v>
      </c>
      <c r="Z108" s="443">
        <f>Z107/Z74</f>
        <v>1.1072339209704619E-2</v>
      </c>
      <c r="AA108" s="279">
        <f>$I108</f>
        <v>1.4E-2</v>
      </c>
      <c r="AB108" s="279">
        <f>$I108</f>
        <v>1.4E-2</v>
      </c>
      <c r="AC108" s="279">
        <f>$I108</f>
        <v>1.4E-2</v>
      </c>
      <c r="AD108" s="279">
        <f>$I108</f>
        <v>1.4E-2</v>
      </c>
      <c r="AF108" s="327"/>
      <c r="AK108" s="311"/>
    </row>
    <row r="109" spans="2:37" x14ac:dyDescent="0.3">
      <c r="AK109" s="311"/>
    </row>
    <row r="110" spans="2:37" x14ac:dyDescent="0.3">
      <c r="B110" s="5" t="s">
        <v>477</v>
      </c>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F110" s="327"/>
      <c r="AK110" s="311"/>
    </row>
    <row r="111" spans="2:37" x14ac:dyDescent="0.3">
      <c r="AF111" s="327"/>
      <c r="AK111" s="311"/>
    </row>
    <row r="112" spans="2:37" x14ac:dyDescent="0.3">
      <c r="B112" s="8"/>
      <c r="C112" s="8"/>
      <c r="D112" s="8"/>
      <c r="E112" s="8"/>
      <c r="F112" s="8"/>
      <c r="G112" s="8"/>
      <c r="H112" s="8"/>
      <c r="I112" s="8"/>
      <c r="J112" s="8"/>
      <c r="K112" s="8"/>
      <c r="L112" s="9" t="s">
        <v>182</v>
      </c>
      <c r="M112" s="9" t="s">
        <v>183</v>
      </c>
      <c r="N112" s="10" t="s">
        <v>184</v>
      </c>
      <c r="O112" s="244" t="s">
        <v>4</v>
      </c>
      <c r="P112" s="9" t="s">
        <v>215</v>
      </c>
      <c r="Q112" s="9" t="s">
        <v>216</v>
      </c>
      <c r="R112" s="9" t="s">
        <v>217</v>
      </c>
      <c r="S112" s="9" t="s">
        <v>218</v>
      </c>
      <c r="T112" s="9" t="s">
        <v>219</v>
      </c>
      <c r="U112" s="9" t="s">
        <v>220</v>
      </c>
      <c r="V112" s="9" t="s">
        <v>221</v>
      </c>
      <c r="W112" s="9" t="s">
        <v>222</v>
      </c>
      <c r="X112" s="10" t="s">
        <v>223</v>
      </c>
      <c r="Y112" s="9" t="s">
        <v>294</v>
      </c>
      <c r="Z112" s="244" t="s">
        <v>197</v>
      </c>
      <c r="AA112" s="9" t="s">
        <v>198</v>
      </c>
      <c r="AB112" s="9" t="s">
        <v>199</v>
      </c>
      <c r="AC112" s="9" t="s">
        <v>200</v>
      </c>
      <c r="AD112" s="9" t="s">
        <v>201</v>
      </c>
      <c r="AF112" s="327"/>
      <c r="AK112" s="311"/>
    </row>
    <row r="113" spans="1:37" x14ac:dyDescent="0.3">
      <c r="B113" s="11" t="s">
        <v>32</v>
      </c>
      <c r="L113" s="13">
        <f>SUM(L114:L116)</f>
        <v>10423.600013000001</v>
      </c>
      <c r="M113" s="13">
        <f>SUM(M114:M116)</f>
        <v>7383.9105670000008</v>
      </c>
      <c r="N113" s="124">
        <f>SUM(N114:N116)</f>
        <v>7576.0956109999997</v>
      </c>
      <c r="O113" s="326">
        <f>SUM(O114:O116)</f>
        <v>1831.946555</v>
      </c>
      <c r="P113" s="13">
        <f t="shared" ref="P113:AD113" si="86">SUM(P114:P116)</f>
        <v>692.13494581496241</v>
      </c>
      <c r="Q113" s="13">
        <f t="shared" si="86"/>
        <v>692.13494581496241</v>
      </c>
      <c r="R113" s="13">
        <f t="shared" si="86"/>
        <v>692.13494581496241</v>
      </c>
      <c r="S113" s="13">
        <f t="shared" si="86"/>
        <v>692.43283096512369</v>
      </c>
      <c r="T113" s="13">
        <f t="shared" si="86"/>
        <v>692.43283096512369</v>
      </c>
      <c r="U113" s="13">
        <f t="shared" si="86"/>
        <v>692.43283096512369</v>
      </c>
      <c r="V113" s="13">
        <f t="shared" si="86"/>
        <v>690.5521679352205</v>
      </c>
      <c r="W113" s="13">
        <f t="shared" si="86"/>
        <v>690.5521679352205</v>
      </c>
      <c r="X113" s="13">
        <f t="shared" si="86"/>
        <v>690.5521679352205</v>
      </c>
      <c r="Y113" s="326">
        <f t="shared" si="86"/>
        <v>6225.3598341459192</v>
      </c>
      <c r="Z113" s="326">
        <f>O113+Y113</f>
        <v>8057.3063891459187</v>
      </c>
      <c r="AA113" s="13">
        <f t="shared" si="86"/>
        <v>7748.0762344042359</v>
      </c>
      <c r="AB113" s="13">
        <f t="shared" si="86"/>
        <v>8040.5478016309098</v>
      </c>
      <c r="AC113" s="13">
        <f t="shared" si="86"/>
        <v>8326.3218860771904</v>
      </c>
      <c r="AD113" s="13">
        <f t="shared" si="86"/>
        <v>8600.768808803874</v>
      </c>
      <c r="AF113" s="327"/>
      <c r="AK113" s="311"/>
    </row>
    <row r="114" spans="1:37" x14ac:dyDescent="0.3">
      <c r="B114" s="11"/>
      <c r="C114" s="3" t="s">
        <v>141</v>
      </c>
      <c r="L114" s="16">
        <f>L119</f>
        <v>3835.0201360000001</v>
      </c>
      <c r="M114" s="16">
        <f>M119</f>
        <v>3477.9421950000001</v>
      </c>
      <c r="N114" s="15">
        <f>N119</f>
        <v>3271.0763360000001</v>
      </c>
      <c r="O114" s="246">
        <f t="shared" ref="O114:AD114" si="87">O119</f>
        <v>800.88107500000001</v>
      </c>
      <c r="P114" s="16">
        <f t="shared" si="87"/>
        <v>306.10257530000001</v>
      </c>
      <c r="Q114" s="16">
        <f t="shared" si="87"/>
        <v>306.10257530000001</v>
      </c>
      <c r="R114" s="16">
        <f t="shared" si="87"/>
        <v>306.10257530000001</v>
      </c>
      <c r="S114" s="16">
        <f t="shared" si="87"/>
        <v>306.10257530000001</v>
      </c>
      <c r="T114" s="16">
        <f t="shared" si="87"/>
        <v>306.10257530000001</v>
      </c>
      <c r="U114" s="16">
        <f t="shared" si="87"/>
        <v>306.10257530000001</v>
      </c>
      <c r="V114" s="16">
        <f t="shared" si="87"/>
        <v>306.10257530000001</v>
      </c>
      <c r="W114" s="16">
        <f t="shared" si="87"/>
        <v>306.10257530000001</v>
      </c>
      <c r="X114" s="16">
        <f t="shared" si="87"/>
        <v>306.10257530000001</v>
      </c>
      <c r="Y114" s="246">
        <f t="shared" si="87"/>
        <v>2754.9231777</v>
      </c>
      <c r="Z114" s="246">
        <f t="shared" si="87"/>
        <v>3555.8042526999998</v>
      </c>
      <c r="AA114" s="16">
        <f t="shared" si="87"/>
        <v>3658.9225760282993</v>
      </c>
      <c r="AB114" s="16">
        <f t="shared" si="87"/>
        <v>3754.0545630050351</v>
      </c>
      <c r="AC114" s="16">
        <f t="shared" si="87"/>
        <v>3855.4140362061703</v>
      </c>
      <c r="AD114" s="16">
        <f t="shared" si="87"/>
        <v>3959.5102151837364</v>
      </c>
      <c r="AF114" s="327"/>
      <c r="AK114" s="311"/>
    </row>
    <row r="115" spans="1:37" x14ac:dyDescent="0.3">
      <c r="C115" s="3" t="s">
        <v>142</v>
      </c>
      <c r="L115" s="16">
        <f>L129</f>
        <v>1045.546161</v>
      </c>
      <c r="M115" s="16">
        <f>M129</f>
        <v>909.34047499999997</v>
      </c>
      <c r="N115" s="15">
        <f>N129</f>
        <v>1436.457163</v>
      </c>
      <c r="O115" s="246">
        <f>O129</f>
        <v>262.70191</v>
      </c>
      <c r="P115" s="16">
        <f t="shared" ref="P115:AD115" si="88">P129</f>
        <v>102.99684999999999</v>
      </c>
      <c r="Q115" s="16">
        <f t="shared" si="88"/>
        <v>102.99684999999999</v>
      </c>
      <c r="R115" s="16">
        <f t="shared" si="88"/>
        <v>102.99684999999999</v>
      </c>
      <c r="S115" s="16">
        <f t="shared" si="88"/>
        <v>102.99684999999999</v>
      </c>
      <c r="T115" s="16">
        <f t="shared" si="88"/>
        <v>102.99684999999999</v>
      </c>
      <c r="U115" s="16">
        <f t="shared" si="88"/>
        <v>102.99684999999999</v>
      </c>
      <c r="V115" s="16">
        <f t="shared" si="88"/>
        <v>102.99684999999999</v>
      </c>
      <c r="W115" s="16">
        <f t="shared" si="88"/>
        <v>102.99684999999999</v>
      </c>
      <c r="X115" s="16">
        <f t="shared" si="88"/>
        <v>102.99684999999999</v>
      </c>
      <c r="Y115" s="246">
        <f t="shared" si="88"/>
        <v>926.97165000000007</v>
      </c>
      <c r="Z115" s="246">
        <f t="shared" si="88"/>
        <v>1189.6735600000002</v>
      </c>
      <c r="AA115" s="16">
        <f t="shared" si="88"/>
        <v>1217.5772632012017</v>
      </c>
      <c r="AB115" s="16">
        <f t="shared" si="88"/>
        <v>1370.4976486812493</v>
      </c>
      <c r="AC115" s="16">
        <f t="shared" si="88"/>
        <v>1506.7270112767444</v>
      </c>
      <c r="AD115" s="16">
        <f t="shared" si="88"/>
        <v>1626.9190005061312</v>
      </c>
      <c r="AF115" s="327"/>
      <c r="AK115" s="311"/>
    </row>
    <row r="116" spans="1:37" x14ac:dyDescent="0.3">
      <c r="B116" s="92"/>
      <c r="C116" s="92" t="s">
        <v>143</v>
      </c>
      <c r="D116" s="92"/>
      <c r="E116" s="92"/>
      <c r="F116" s="92"/>
      <c r="G116" s="92"/>
      <c r="H116" s="92"/>
      <c r="I116" s="92"/>
      <c r="J116" s="92"/>
      <c r="K116" s="92"/>
      <c r="L116" s="130">
        <f>L143</f>
        <v>5543.0337160000008</v>
      </c>
      <c r="M116" s="130">
        <f>M143</f>
        <v>2996.6278970000003</v>
      </c>
      <c r="N116" s="131">
        <f>N143</f>
        <v>2868.5621119999996</v>
      </c>
      <c r="O116" s="330">
        <f>O143</f>
        <v>768.36356999999998</v>
      </c>
      <c r="P116" s="130">
        <f t="shared" ref="P116:AD116" si="89">P143</f>
        <v>283.0355205149624</v>
      </c>
      <c r="Q116" s="130">
        <f t="shared" si="89"/>
        <v>283.0355205149624</v>
      </c>
      <c r="R116" s="130">
        <f t="shared" si="89"/>
        <v>283.0355205149624</v>
      </c>
      <c r="S116" s="130">
        <f t="shared" si="89"/>
        <v>283.33340566512362</v>
      </c>
      <c r="T116" s="130">
        <f t="shared" si="89"/>
        <v>283.33340566512362</v>
      </c>
      <c r="U116" s="130">
        <f t="shared" si="89"/>
        <v>283.33340566512362</v>
      </c>
      <c r="V116" s="130">
        <f t="shared" si="89"/>
        <v>281.45274263522043</v>
      </c>
      <c r="W116" s="130">
        <f t="shared" si="89"/>
        <v>281.45274263522043</v>
      </c>
      <c r="X116" s="130">
        <f t="shared" si="89"/>
        <v>281.45274263522043</v>
      </c>
      <c r="Y116" s="330">
        <f t="shared" si="89"/>
        <v>2543.4650064459192</v>
      </c>
      <c r="Z116" s="330">
        <f t="shared" si="89"/>
        <v>3311.8285764459192</v>
      </c>
      <c r="AA116" s="130">
        <f t="shared" si="89"/>
        <v>2871.5763951747349</v>
      </c>
      <c r="AB116" s="130">
        <f t="shared" si="89"/>
        <v>2915.9955899446245</v>
      </c>
      <c r="AC116" s="130">
        <f t="shared" si="89"/>
        <v>2964.1808385942763</v>
      </c>
      <c r="AD116" s="130">
        <f t="shared" si="89"/>
        <v>3014.3395931140058</v>
      </c>
      <c r="AF116" s="327"/>
      <c r="AK116" s="311"/>
    </row>
    <row r="117" spans="1:37" x14ac:dyDescent="0.3">
      <c r="AF117" s="327"/>
      <c r="AK117" s="311"/>
    </row>
    <row r="118" spans="1:37" x14ac:dyDescent="0.3">
      <c r="B118" s="8"/>
      <c r="C118" s="8"/>
      <c r="D118" s="8"/>
      <c r="E118" s="8"/>
      <c r="F118" s="8"/>
      <c r="G118" s="8"/>
      <c r="H118" s="8"/>
      <c r="I118" s="8"/>
      <c r="J118" s="8"/>
      <c r="K118" s="8"/>
      <c r="L118" s="9" t="s">
        <v>425</v>
      </c>
      <c r="M118" s="9" t="s">
        <v>426</v>
      </c>
      <c r="N118" s="10" t="s">
        <v>414</v>
      </c>
      <c r="O118" s="244" t="s">
        <v>4</v>
      </c>
      <c r="P118" s="9" t="s">
        <v>188</v>
      </c>
      <c r="Q118" s="9" t="s">
        <v>189</v>
      </c>
      <c r="R118" s="9" t="s">
        <v>190</v>
      </c>
      <c r="S118" s="9" t="s">
        <v>191</v>
      </c>
      <c r="T118" s="9" t="s">
        <v>192</v>
      </c>
      <c r="U118" s="9" t="s">
        <v>193</v>
      </c>
      <c r="V118" s="9" t="s">
        <v>194</v>
      </c>
      <c r="W118" s="9" t="s">
        <v>195</v>
      </c>
      <c r="X118" s="10" t="s">
        <v>196</v>
      </c>
      <c r="Y118" s="9" t="s">
        <v>5</v>
      </c>
      <c r="Z118" s="244" t="s">
        <v>427</v>
      </c>
      <c r="AA118" s="9" t="s">
        <v>428</v>
      </c>
      <c r="AB118" s="9" t="s">
        <v>429</v>
      </c>
      <c r="AC118" s="9" t="s">
        <v>430</v>
      </c>
      <c r="AD118" s="9" t="s">
        <v>431</v>
      </c>
      <c r="AF118" s="327"/>
      <c r="AK118" s="311"/>
    </row>
    <row r="119" spans="1:37" x14ac:dyDescent="0.3">
      <c r="B119" s="11" t="s">
        <v>478</v>
      </c>
      <c r="L119" s="13">
        <f t="shared" ref="L119:AD119" si="90">L120+L123+L125</f>
        <v>3835.0201360000001</v>
      </c>
      <c r="M119" s="13">
        <f t="shared" si="90"/>
        <v>3477.9421950000001</v>
      </c>
      <c r="N119" s="124">
        <f t="shared" si="90"/>
        <v>3271.0763360000001</v>
      </c>
      <c r="O119" s="326">
        <f t="shared" si="90"/>
        <v>800.88107500000001</v>
      </c>
      <c r="P119" s="13">
        <f t="shared" si="90"/>
        <v>306.10257530000001</v>
      </c>
      <c r="Q119" s="13">
        <f t="shared" si="90"/>
        <v>306.10257530000001</v>
      </c>
      <c r="R119" s="13">
        <f t="shared" si="90"/>
        <v>306.10257530000001</v>
      </c>
      <c r="S119" s="13">
        <f t="shared" si="90"/>
        <v>306.10257530000001</v>
      </c>
      <c r="T119" s="13">
        <f t="shared" si="90"/>
        <v>306.10257530000001</v>
      </c>
      <c r="U119" s="13">
        <f t="shared" si="90"/>
        <v>306.10257530000001</v>
      </c>
      <c r="V119" s="13">
        <f t="shared" si="90"/>
        <v>306.10257530000001</v>
      </c>
      <c r="W119" s="13">
        <f t="shared" si="90"/>
        <v>306.10257530000001</v>
      </c>
      <c r="X119" s="13">
        <f t="shared" si="90"/>
        <v>306.10257530000001</v>
      </c>
      <c r="Y119" s="326">
        <f t="shared" si="90"/>
        <v>2754.9231777</v>
      </c>
      <c r="Z119" s="326">
        <f t="shared" si="90"/>
        <v>3555.8042526999998</v>
      </c>
      <c r="AA119" s="13">
        <f t="shared" si="90"/>
        <v>3658.9225760282993</v>
      </c>
      <c r="AB119" s="13">
        <f t="shared" si="90"/>
        <v>3754.0545630050351</v>
      </c>
      <c r="AC119" s="13">
        <f t="shared" si="90"/>
        <v>3855.4140362061703</v>
      </c>
      <c r="AD119" s="13">
        <f t="shared" si="90"/>
        <v>3959.5102151837364</v>
      </c>
      <c r="AF119" s="327"/>
      <c r="AK119" s="311"/>
    </row>
    <row r="120" spans="1:37" x14ac:dyDescent="0.3">
      <c r="B120" s="141"/>
      <c r="C120" s="3" t="s">
        <v>479</v>
      </c>
      <c r="I120" s="141"/>
      <c r="J120" s="141"/>
      <c r="K120" s="141"/>
      <c r="L120" s="16">
        <v>3438.4211770000002</v>
      </c>
      <c r="M120" s="16">
        <v>3055.0040610000001</v>
      </c>
      <c r="N120" s="15">
        <v>2836.960161</v>
      </c>
      <c r="O120" s="444">
        <v>689.47887800000001</v>
      </c>
      <c r="P120" s="445">
        <v>262.62842449999999</v>
      </c>
      <c r="Q120" s="445">
        <v>262.62842449999999</v>
      </c>
      <c r="R120" s="445">
        <v>262.62842449999999</v>
      </c>
      <c r="S120" s="445">
        <v>262.62842449999999</v>
      </c>
      <c r="T120" s="445">
        <v>262.62842449999999</v>
      </c>
      <c r="U120" s="445">
        <v>262.62842449999999</v>
      </c>
      <c r="V120" s="445">
        <v>262.62842449999999</v>
      </c>
      <c r="W120" s="445">
        <v>262.62842449999999</v>
      </c>
      <c r="X120" s="445">
        <v>262.62842449999999</v>
      </c>
      <c r="Y120" s="246">
        <f>SUM(P120:X120)</f>
        <v>2363.6558205000001</v>
      </c>
      <c r="Z120" s="246">
        <f>SUM(O120,Y120)</f>
        <v>3053.1346985</v>
      </c>
      <c r="AA120" s="16">
        <f>AA121*AA122</f>
        <v>3141.6756047564995</v>
      </c>
      <c r="AB120" s="16">
        <f>AB121*AB122</f>
        <v>3223.3591704801684</v>
      </c>
      <c r="AC120" s="16">
        <f>AC121*AC122</f>
        <v>3310.3898680831321</v>
      </c>
      <c r="AD120" s="16">
        <f>AD121*AD122</f>
        <v>3399.7703945213761</v>
      </c>
      <c r="AF120" s="327"/>
      <c r="AK120" s="311"/>
    </row>
    <row r="121" spans="1:37" x14ac:dyDescent="0.3">
      <c r="B121" s="141"/>
      <c r="D121" s="3" t="s">
        <v>371</v>
      </c>
      <c r="I121" s="141"/>
      <c r="J121" s="141"/>
      <c r="K121" s="141"/>
      <c r="L121" s="446">
        <v>23.416666666666664</v>
      </c>
      <c r="M121" s="16">
        <v>21.333333333333332</v>
      </c>
      <c r="N121" s="15">
        <v>19.25</v>
      </c>
      <c r="O121" s="246">
        <f t="shared" ref="O121:Y121" si="91">$Z121</f>
        <v>22</v>
      </c>
      <c r="P121" s="16">
        <f t="shared" si="91"/>
        <v>22</v>
      </c>
      <c r="Q121" s="16">
        <f t="shared" si="91"/>
        <v>22</v>
      </c>
      <c r="R121" s="16">
        <f t="shared" si="91"/>
        <v>22</v>
      </c>
      <c r="S121" s="16">
        <f t="shared" si="91"/>
        <v>22</v>
      </c>
      <c r="T121" s="16">
        <f t="shared" si="91"/>
        <v>22</v>
      </c>
      <c r="U121" s="16">
        <f t="shared" si="91"/>
        <v>22</v>
      </c>
      <c r="V121" s="16">
        <f t="shared" si="91"/>
        <v>22</v>
      </c>
      <c r="W121" s="16">
        <f t="shared" si="91"/>
        <v>22</v>
      </c>
      <c r="X121" s="16">
        <f t="shared" si="91"/>
        <v>22</v>
      </c>
      <c r="Y121" s="246">
        <f t="shared" si="91"/>
        <v>22</v>
      </c>
      <c r="Z121" s="246">
        <v>22</v>
      </c>
      <c r="AA121" s="16">
        <f>Z121</f>
        <v>22</v>
      </c>
      <c r="AB121" s="16">
        <f>AA121</f>
        <v>22</v>
      </c>
      <c r="AC121" s="16">
        <f>AB121</f>
        <v>22</v>
      </c>
      <c r="AD121" s="16">
        <f>AC121</f>
        <v>22</v>
      </c>
      <c r="AF121" s="327"/>
      <c r="AK121" s="311"/>
    </row>
    <row r="122" spans="1:37" x14ac:dyDescent="0.3">
      <c r="B122" s="137"/>
      <c r="D122" s="3" t="s">
        <v>372</v>
      </c>
      <c r="I122" s="137"/>
      <c r="J122" s="137"/>
      <c r="K122" s="137"/>
      <c r="L122" s="16">
        <f>L120/L121</f>
        <v>146.83649154448401</v>
      </c>
      <c r="M122" s="446">
        <f>M120/M121</f>
        <v>143.20331535937501</v>
      </c>
      <c r="N122" s="447">
        <f>N120/N121</f>
        <v>147.37455381818182</v>
      </c>
      <c r="O122" s="444">
        <f>O120/O121*4</f>
        <v>125.359796</v>
      </c>
      <c r="P122" s="446">
        <f t="shared" ref="P122:X122" si="92">P120/P121*12</f>
        <v>143.25186790909092</v>
      </c>
      <c r="Q122" s="446">
        <f t="shared" si="92"/>
        <v>143.25186790909092</v>
      </c>
      <c r="R122" s="446">
        <f t="shared" si="92"/>
        <v>143.25186790909092</v>
      </c>
      <c r="S122" s="446">
        <f t="shared" si="92"/>
        <v>143.25186790909092</v>
      </c>
      <c r="T122" s="446">
        <f t="shared" si="92"/>
        <v>143.25186790909092</v>
      </c>
      <c r="U122" s="446">
        <f t="shared" si="92"/>
        <v>143.25186790909092</v>
      </c>
      <c r="V122" s="446">
        <f t="shared" si="92"/>
        <v>143.25186790909092</v>
      </c>
      <c r="W122" s="446">
        <f t="shared" si="92"/>
        <v>143.25186790909092</v>
      </c>
      <c r="X122" s="446">
        <f t="shared" si="92"/>
        <v>143.25186790909092</v>
      </c>
      <c r="Y122" s="444"/>
      <c r="Z122" s="444">
        <f>Z120/Z121</f>
        <v>138.77884993181817</v>
      </c>
      <c r="AA122" s="446">
        <f>Z122*(1+'Key Assumption'!AB$31)</f>
        <v>142.80343657984088</v>
      </c>
      <c r="AB122" s="446">
        <f>AA122*(1+'Key Assumption'!AC$31)</f>
        <v>146.51632593091674</v>
      </c>
      <c r="AC122" s="446">
        <f>AB122*(1+'Key Assumption'!AD$31)</f>
        <v>150.47226673105146</v>
      </c>
      <c r="AD122" s="446">
        <f>AC122*(1+'Key Assumption'!AE$31)</f>
        <v>154.53501793278983</v>
      </c>
      <c r="AF122" s="327"/>
      <c r="AK122" s="311"/>
    </row>
    <row r="123" spans="1:37" x14ac:dyDescent="0.3">
      <c r="B123" s="141"/>
      <c r="C123" s="3" t="s">
        <v>480</v>
      </c>
      <c r="I123" s="141"/>
      <c r="J123" s="141"/>
      <c r="K123" s="141"/>
      <c r="L123" s="393">
        <v>0</v>
      </c>
      <c r="M123" s="448">
        <v>0</v>
      </c>
      <c r="N123" s="449">
        <v>0</v>
      </c>
      <c r="O123" s="450">
        <v>0</v>
      </c>
      <c r="P123" s="445">
        <v>4.0862499999999997</v>
      </c>
      <c r="Q123" s="445">
        <v>4.0862499999999997</v>
      </c>
      <c r="R123" s="445">
        <v>4.0862499999999997</v>
      </c>
      <c r="S123" s="445">
        <v>4.0862499999999997</v>
      </c>
      <c r="T123" s="445">
        <v>4.0862499999999997</v>
      </c>
      <c r="U123" s="445">
        <v>4.0862499999999997</v>
      </c>
      <c r="V123" s="445">
        <v>4.0862499999999997</v>
      </c>
      <c r="W123" s="445">
        <v>4.0862499999999997</v>
      </c>
      <c r="X123" s="445">
        <v>4.0862499999999997</v>
      </c>
      <c r="Y123" s="246">
        <f>SUM(P123:X123)</f>
        <v>36.776249999999997</v>
      </c>
      <c r="Z123" s="246">
        <f>SUM(O123,Y123)</f>
        <v>36.776249999999997</v>
      </c>
      <c r="AA123" s="445">
        <f>AA120*AA124</f>
        <v>37.842761249999995</v>
      </c>
      <c r="AB123" s="445">
        <f>AB120*AB124</f>
        <v>38.826673042499991</v>
      </c>
      <c r="AC123" s="445">
        <f>AC120*AC124</f>
        <v>39.874993214647482</v>
      </c>
      <c r="AD123" s="445">
        <f>AD120*AD124</f>
        <v>40.951618031442955</v>
      </c>
      <c r="AF123" s="327"/>
      <c r="AK123" s="311"/>
    </row>
    <row r="124" spans="1:37" x14ac:dyDescent="0.3">
      <c r="A124" s="137"/>
      <c r="B124" s="141"/>
      <c r="C124" s="137"/>
      <c r="D124" s="141" t="s">
        <v>481</v>
      </c>
      <c r="E124" s="137"/>
      <c r="F124" s="137"/>
      <c r="H124" s="137"/>
      <c r="I124" s="141"/>
      <c r="J124" s="141"/>
      <c r="K124" s="141"/>
      <c r="L124" s="451"/>
      <c r="M124" s="451"/>
      <c r="N124" s="452"/>
      <c r="O124" s="453"/>
      <c r="P124" s="141">
        <f t="shared" ref="P124:X124" si="93">P123/P120</f>
        <v>1.5559054614059872E-2</v>
      </c>
      <c r="Q124" s="141">
        <f t="shared" si="93"/>
        <v>1.5559054614059872E-2</v>
      </c>
      <c r="R124" s="141">
        <f t="shared" si="93"/>
        <v>1.5559054614059872E-2</v>
      </c>
      <c r="S124" s="141">
        <f t="shared" si="93"/>
        <v>1.5559054614059872E-2</v>
      </c>
      <c r="T124" s="141">
        <f t="shared" si="93"/>
        <v>1.5559054614059872E-2</v>
      </c>
      <c r="U124" s="141">
        <f t="shared" si="93"/>
        <v>1.5559054614059872E-2</v>
      </c>
      <c r="V124" s="141">
        <f t="shared" si="93"/>
        <v>1.5559054614059872E-2</v>
      </c>
      <c r="W124" s="141">
        <f t="shared" si="93"/>
        <v>1.5559054614059872E-2</v>
      </c>
      <c r="X124" s="141">
        <f t="shared" si="93"/>
        <v>1.5559054614059872E-2</v>
      </c>
      <c r="Y124" s="453"/>
      <c r="Z124" s="454">
        <f>Z123/Z120</f>
        <v>1.2045406977316825E-2</v>
      </c>
      <c r="AA124" s="141">
        <f>Z124</f>
        <v>1.2045406977316825E-2</v>
      </c>
      <c r="AB124" s="141">
        <f>AA124</f>
        <v>1.2045406977316825E-2</v>
      </c>
      <c r="AC124" s="141">
        <f>AB124</f>
        <v>1.2045406977316825E-2</v>
      </c>
      <c r="AD124" s="141">
        <f>AC124</f>
        <v>1.2045406977316825E-2</v>
      </c>
      <c r="AF124" s="327"/>
      <c r="AK124" s="311"/>
    </row>
    <row r="125" spans="1:37" x14ac:dyDescent="0.3">
      <c r="B125" s="11"/>
      <c r="C125" s="3" t="s">
        <v>482</v>
      </c>
      <c r="L125" s="16">
        <v>396.59895899999998</v>
      </c>
      <c r="M125" s="16">
        <v>422.93813399999999</v>
      </c>
      <c r="N125" s="15">
        <v>434.116175</v>
      </c>
      <c r="O125" s="246">
        <v>111.402197</v>
      </c>
      <c r="P125" s="16">
        <v>39.387900800000004</v>
      </c>
      <c r="Q125" s="16">
        <v>39.387900800000004</v>
      </c>
      <c r="R125" s="16">
        <v>39.387900800000004</v>
      </c>
      <c r="S125" s="16">
        <v>39.387900800000004</v>
      </c>
      <c r="T125" s="16">
        <v>39.387900800000004</v>
      </c>
      <c r="U125" s="16">
        <v>39.387900800000004</v>
      </c>
      <c r="V125" s="16">
        <v>39.387900800000004</v>
      </c>
      <c r="W125" s="16">
        <v>39.387900800000004</v>
      </c>
      <c r="X125" s="16">
        <v>39.387900800000004</v>
      </c>
      <c r="Y125" s="246">
        <f>SUM(P125:X125)</f>
        <v>354.49110720000004</v>
      </c>
      <c r="Z125" s="246">
        <f>SUM(O125,Y125)</f>
        <v>465.89330420000005</v>
      </c>
      <c r="AA125" s="16">
        <f>AA126*AA121</f>
        <v>479.4042100218</v>
      </c>
      <c r="AB125" s="16">
        <f>AB126*AB121</f>
        <v>491.86871948236677</v>
      </c>
      <c r="AC125" s="16">
        <f>AC126*AC121</f>
        <v>505.14917490839059</v>
      </c>
      <c r="AD125" s="16">
        <f>AD126*AD121</f>
        <v>518.78820263091711</v>
      </c>
      <c r="AF125" s="327"/>
      <c r="AK125" s="311"/>
    </row>
    <row r="126" spans="1:37" x14ac:dyDescent="0.3">
      <c r="B126" s="455"/>
      <c r="C126" s="455"/>
      <c r="D126" s="455" t="s">
        <v>483</v>
      </c>
      <c r="E126" s="455"/>
      <c r="F126" s="455"/>
      <c r="G126" s="455"/>
      <c r="H126" s="455"/>
      <c r="I126" s="455"/>
      <c r="J126" s="455"/>
      <c r="K126" s="455"/>
      <c r="L126" s="456">
        <f>L125/L121</f>
        <v>16.936610348754449</v>
      </c>
      <c r="M126" s="456">
        <f>M125/M121</f>
        <v>19.82522503125</v>
      </c>
      <c r="N126" s="457">
        <f>N125/N121</f>
        <v>22.551489610389609</v>
      </c>
      <c r="O126" s="458">
        <f>O125/O121*4</f>
        <v>20.254944909090909</v>
      </c>
      <c r="P126" s="456">
        <f t="shared" ref="P126:X126" si="94">P125/P121*12</f>
        <v>21.484309527272728</v>
      </c>
      <c r="Q126" s="456">
        <f t="shared" si="94"/>
        <v>21.484309527272728</v>
      </c>
      <c r="R126" s="456">
        <f t="shared" si="94"/>
        <v>21.484309527272728</v>
      </c>
      <c r="S126" s="456">
        <f t="shared" si="94"/>
        <v>21.484309527272728</v>
      </c>
      <c r="T126" s="456">
        <f t="shared" si="94"/>
        <v>21.484309527272728</v>
      </c>
      <c r="U126" s="456">
        <f t="shared" si="94"/>
        <v>21.484309527272728</v>
      </c>
      <c r="V126" s="456">
        <f t="shared" si="94"/>
        <v>21.484309527272728</v>
      </c>
      <c r="W126" s="456">
        <f t="shared" si="94"/>
        <v>21.484309527272728</v>
      </c>
      <c r="X126" s="456">
        <f t="shared" si="94"/>
        <v>21.484309527272728</v>
      </c>
      <c r="Y126" s="458"/>
      <c r="Z126" s="458">
        <f>Z125/Z121</f>
        <v>21.176968372727274</v>
      </c>
      <c r="AA126" s="456">
        <f>Z126*(1+'Key Assumption'!AB$31)</f>
        <v>21.791100455536363</v>
      </c>
      <c r="AB126" s="456">
        <f>AA126*(1+'Key Assumption'!AC$31)</f>
        <v>22.357669067380307</v>
      </c>
      <c r="AC126" s="456">
        <f>AB126*(1+'Key Assumption'!AD$31)</f>
        <v>22.961326132199574</v>
      </c>
      <c r="AD126" s="456">
        <f>AC126*(1+'Key Assumption'!AE$31)</f>
        <v>23.58128193776896</v>
      </c>
      <c r="AF126" s="327"/>
      <c r="AK126" s="311"/>
    </row>
    <row r="127" spans="1:37" x14ac:dyDescent="0.3">
      <c r="B127" s="459"/>
      <c r="C127" s="459"/>
      <c r="D127" s="402"/>
      <c r="E127" s="459"/>
      <c r="F127" s="459"/>
      <c r="G127" s="459"/>
      <c r="H127" s="459"/>
      <c r="I127" s="459"/>
      <c r="J127" s="459"/>
      <c r="K127" s="459"/>
      <c r="L127" s="460"/>
      <c r="M127" s="460"/>
      <c r="N127" s="460"/>
      <c r="O127" s="461"/>
      <c r="P127" s="461"/>
      <c r="Q127" s="461"/>
      <c r="R127" s="461"/>
      <c r="S127" s="461"/>
      <c r="T127" s="461"/>
      <c r="U127" s="461"/>
      <c r="V127" s="461"/>
      <c r="W127" s="461"/>
      <c r="X127" s="461"/>
      <c r="Y127" s="461"/>
      <c r="Z127" s="461"/>
      <c r="AA127" s="461"/>
      <c r="AB127" s="461"/>
      <c r="AC127" s="461"/>
      <c r="AD127" s="461"/>
      <c r="AF127" s="327"/>
      <c r="AK127" s="311"/>
    </row>
    <row r="128" spans="1:37" x14ac:dyDescent="0.3">
      <c r="B128" s="8"/>
      <c r="C128" s="8"/>
      <c r="D128" s="8"/>
      <c r="E128" s="8"/>
      <c r="F128" s="8"/>
      <c r="G128" s="8"/>
      <c r="H128" s="8"/>
      <c r="I128" s="8"/>
      <c r="J128" s="8"/>
      <c r="K128" s="8"/>
      <c r="L128" s="9" t="s">
        <v>182</v>
      </c>
      <c r="M128" s="9" t="s">
        <v>183</v>
      </c>
      <c r="N128" s="10" t="s">
        <v>184</v>
      </c>
      <c r="O128" s="244" t="s">
        <v>4</v>
      </c>
      <c r="P128" s="9" t="s">
        <v>215</v>
      </c>
      <c r="Q128" s="9" t="s">
        <v>216</v>
      </c>
      <c r="R128" s="9" t="s">
        <v>217</v>
      </c>
      <c r="S128" s="9" t="s">
        <v>218</v>
      </c>
      <c r="T128" s="9" t="s">
        <v>219</v>
      </c>
      <c r="U128" s="9" t="s">
        <v>220</v>
      </c>
      <c r="V128" s="9" t="s">
        <v>221</v>
      </c>
      <c r="W128" s="9" t="s">
        <v>222</v>
      </c>
      <c r="X128" s="10" t="s">
        <v>223</v>
      </c>
      <c r="Y128" s="9" t="s">
        <v>294</v>
      </c>
      <c r="Z128" s="244" t="s">
        <v>197</v>
      </c>
      <c r="AA128" s="9" t="s">
        <v>198</v>
      </c>
      <c r="AB128" s="9" t="s">
        <v>199</v>
      </c>
      <c r="AC128" s="9" t="s">
        <v>200</v>
      </c>
      <c r="AD128" s="9" t="s">
        <v>201</v>
      </c>
      <c r="AF128" s="327"/>
      <c r="AK128" s="311"/>
    </row>
    <row r="129" spans="2:37" x14ac:dyDescent="0.3">
      <c r="B129" s="11" t="s">
        <v>484</v>
      </c>
      <c r="L129" s="13">
        <f t="shared" ref="L129:AD129" si="95">SUM(L130,L133,L136,L139)</f>
        <v>1045.546161</v>
      </c>
      <c r="M129" s="13">
        <f t="shared" si="95"/>
        <v>909.34047499999997</v>
      </c>
      <c r="N129" s="124">
        <f t="shared" si="95"/>
        <v>1436.457163</v>
      </c>
      <c r="O129" s="326">
        <f t="shared" si="95"/>
        <v>262.70191</v>
      </c>
      <c r="P129" s="13">
        <f t="shared" si="95"/>
        <v>102.99684999999999</v>
      </c>
      <c r="Q129" s="13">
        <f t="shared" si="95"/>
        <v>102.99684999999999</v>
      </c>
      <c r="R129" s="13">
        <f t="shared" si="95"/>
        <v>102.99684999999999</v>
      </c>
      <c r="S129" s="13">
        <f t="shared" si="95"/>
        <v>102.99684999999999</v>
      </c>
      <c r="T129" s="13">
        <f t="shared" si="95"/>
        <v>102.99684999999999</v>
      </c>
      <c r="U129" s="13">
        <f t="shared" si="95"/>
        <v>102.99684999999999</v>
      </c>
      <c r="V129" s="13">
        <f t="shared" si="95"/>
        <v>102.99684999999999</v>
      </c>
      <c r="W129" s="13">
        <f t="shared" si="95"/>
        <v>102.99684999999999</v>
      </c>
      <c r="X129" s="13">
        <f t="shared" si="95"/>
        <v>102.99684999999999</v>
      </c>
      <c r="Y129" s="326">
        <f t="shared" si="95"/>
        <v>926.97165000000007</v>
      </c>
      <c r="Z129" s="326">
        <f t="shared" si="95"/>
        <v>1189.6735600000002</v>
      </c>
      <c r="AA129" s="13">
        <f t="shared" si="95"/>
        <v>1217.5772632012017</v>
      </c>
      <c r="AB129" s="13">
        <f t="shared" si="95"/>
        <v>1370.4976486812493</v>
      </c>
      <c r="AC129" s="13">
        <f t="shared" si="95"/>
        <v>1506.7270112767444</v>
      </c>
      <c r="AD129" s="13">
        <f t="shared" si="95"/>
        <v>1626.9190005061312</v>
      </c>
      <c r="AF129" s="327"/>
      <c r="AK129" s="311"/>
    </row>
    <row r="130" spans="2:37" x14ac:dyDescent="0.3">
      <c r="B130" s="11"/>
      <c r="C130" s="3" t="s">
        <v>402</v>
      </c>
      <c r="L130" s="16">
        <v>357.73293699999999</v>
      </c>
      <c r="M130" s="16">
        <v>380.56533200000001</v>
      </c>
      <c r="N130" s="15">
        <v>657.17062799999997</v>
      </c>
      <c r="O130" s="246">
        <v>139.84790599999999</v>
      </c>
      <c r="P130" s="16">
        <v>36.566099999999999</v>
      </c>
      <c r="Q130" s="16">
        <v>36.566099999999999</v>
      </c>
      <c r="R130" s="16">
        <v>36.566099999999999</v>
      </c>
      <c r="S130" s="16">
        <v>36.566099999999999</v>
      </c>
      <c r="T130" s="16">
        <v>36.566099999999999</v>
      </c>
      <c r="U130" s="16">
        <v>36.566099999999999</v>
      </c>
      <c r="V130" s="16">
        <v>36.566099999999999</v>
      </c>
      <c r="W130" s="16">
        <v>36.566099999999999</v>
      </c>
      <c r="X130" s="16">
        <v>36.566099999999999</v>
      </c>
      <c r="Y130" s="246">
        <f>SUM(P130:X130)</f>
        <v>329.0949</v>
      </c>
      <c r="Z130" s="246">
        <f>SUM(O130,Y130)</f>
        <v>468.94280600000002</v>
      </c>
      <c r="AA130" s="16">
        <f>AA131*AA132</f>
        <v>480.08567594630841</v>
      </c>
      <c r="AB130" s="16">
        <f t="shared" ref="AB130:AD130" si="96">AB131*AB132</f>
        <v>540.40341697653935</v>
      </c>
      <c r="AC130" s="16">
        <f t="shared" si="96"/>
        <v>594.14795890911137</v>
      </c>
      <c r="AD130" s="16">
        <f t="shared" si="96"/>
        <v>641.54054219397096</v>
      </c>
      <c r="AF130" s="327"/>
      <c r="AK130" s="311"/>
    </row>
    <row r="131" spans="2:37" x14ac:dyDescent="0.3">
      <c r="B131" s="11"/>
      <c r="D131" s="3" t="s">
        <v>324</v>
      </c>
      <c r="L131" s="16"/>
      <c r="M131" s="16"/>
      <c r="N131" s="15"/>
      <c r="O131" s="246">
        <f t="shared" ref="O131:X131" si="97">SUMIFS(O$20:O$68,$E$20:$E$68,$D131)</f>
        <v>85</v>
      </c>
      <c r="P131" s="16">
        <f t="shared" si="97"/>
        <v>38</v>
      </c>
      <c r="Q131" s="16">
        <f t="shared" si="97"/>
        <v>43</v>
      </c>
      <c r="R131" s="16">
        <f t="shared" si="97"/>
        <v>42</v>
      </c>
      <c r="S131" s="16">
        <f t="shared" si="97"/>
        <v>25</v>
      </c>
      <c r="T131" s="16">
        <f t="shared" si="97"/>
        <v>31</v>
      </c>
      <c r="U131" s="16">
        <f t="shared" si="97"/>
        <v>43</v>
      </c>
      <c r="V131" s="16">
        <f t="shared" si="97"/>
        <v>37</v>
      </c>
      <c r="W131" s="16">
        <f t="shared" si="97"/>
        <v>39</v>
      </c>
      <c r="X131" s="16">
        <f t="shared" si="97"/>
        <v>45</v>
      </c>
      <c r="Y131" s="246">
        <f>SUM(P131:X131)</f>
        <v>343</v>
      </c>
      <c r="Z131" s="246">
        <f>SUM(O131,Y131)</f>
        <v>428</v>
      </c>
      <c r="AA131" s="16">
        <f t="shared" ref="AA131:AD131" si="98">SUMIFS(AA$20:AA$68,$E$20:$E$68,$D131)</f>
        <v>430</v>
      </c>
      <c r="AB131" s="16">
        <f t="shared" si="98"/>
        <v>475</v>
      </c>
      <c r="AC131" s="16">
        <f t="shared" si="98"/>
        <v>512</v>
      </c>
      <c r="AD131" s="16">
        <f t="shared" si="98"/>
        <v>542</v>
      </c>
      <c r="AF131" s="327"/>
      <c r="AK131" s="311"/>
    </row>
    <row r="132" spans="2:37" x14ac:dyDescent="0.3">
      <c r="B132" s="11"/>
      <c r="D132" s="3" t="s">
        <v>403</v>
      </c>
      <c r="L132" s="16"/>
      <c r="M132" s="16"/>
      <c r="N132" s="15"/>
      <c r="O132" s="246">
        <f t="shared" ref="O132:Z132" si="99">O130/O131</f>
        <v>1.645269482352941</v>
      </c>
      <c r="P132" s="16">
        <f t="shared" si="99"/>
        <v>0.96226578947368413</v>
      </c>
      <c r="Q132" s="16">
        <f t="shared" si="99"/>
        <v>0.85037441860465113</v>
      </c>
      <c r="R132" s="16">
        <f t="shared" si="99"/>
        <v>0.87062142857142855</v>
      </c>
      <c r="S132" s="16">
        <f t="shared" si="99"/>
        <v>1.4626440000000001</v>
      </c>
      <c r="T132" s="16">
        <f t="shared" si="99"/>
        <v>1.1795516129032257</v>
      </c>
      <c r="U132" s="16">
        <f t="shared" si="99"/>
        <v>0.85037441860465113</v>
      </c>
      <c r="V132" s="16">
        <f t="shared" si="99"/>
        <v>0.9882729729729729</v>
      </c>
      <c r="W132" s="16">
        <f t="shared" si="99"/>
        <v>0.93759230769230761</v>
      </c>
      <c r="X132" s="16">
        <f t="shared" si="99"/>
        <v>0.81257999999999997</v>
      </c>
      <c r="Y132" s="246">
        <f t="shared" si="99"/>
        <v>0.95946034985422735</v>
      </c>
      <c r="Z132" s="15">
        <f t="shared" si="99"/>
        <v>1.0956607616822431</v>
      </c>
      <c r="AA132" s="16">
        <f>Z132*(1+'Key Assumption'!AB$29)</f>
        <v>1.1164783161542056</v>
      </c>
      <c r="AB132" s="16">
        <f>AA132*(1+'Key Assumption'!AC$29)</f>
        <v>1.1376914041611355</v>
      </c>
      <c r="AC132" s="16">
        <f>AB132*(1+'Key Assumption'!AD$29)</f>
        <v>1.1604452322443581</v>
      </c>
      <c r="AD132" s="16">
        <f>AC132*(1+'Key Assumption'!AE$29)</f>
        <v>1.1836541368892453</v>
      </c>
      <c r="AF132" s="327"/>
      <c r="AK132" s="311"/>
    </row>
    <row r="133" spans="2:37" x14ac:dyDescent="0.3">
      <c r="B133" s="11"/>
      <c r="C133" s="3" t="s">
        <v>485</v>
      </c>
      <c r="L133" s="16">
        <v>402.07844899999998</v>
      </c>
      <c r="M133" s="16">
        <v>208.075549</v>
      </c>
      <c r="N133" s="15">
        <v>188.27686700000001</v>
      </c>
      <c r="O133" s="246">
        <v>38.230027999999997</v>
      </c>
      <c r="P133" s="16">
        <v>9.8070000000000004</v>
      </c>
      <c r="Q133" s="16">
        <v>9.8070000000000004</v>
      </c>
      <c r="R133" s="16">
        <v>9.8070000000000004</v>
      </c>
      <c r="S133" s="16">
        <v>9.8070000000000004</v>
      </c>
      <c r="T133" s="16">
        <v>9.8070000000000004</v>
      </c>
      <c r="U133" s="16">
        <v>9.8070000000000004</v>
      </c>
      <c r="V133" s="16">
        <v>9.8070000000000004</v>
      </c>
      <c r="W133" s="16">
        <v>9.8070000000000004</v>
      </c>
      <c r="X133" s="16">
        <v>9.8070000000000004</v>
      </c>
      <c r="Y133" s="246">
        <f>SUM(P133:X133)</f>
        <v>88.263000000000005</v>
      </c>
      <c r="Z133" s="246">
        <f>SUM(O133,Y133)</f>
        <v>126.49302800000001</v>
      </c>
      <c r="AA133" s="16">
        <f>AA134*AA135</f>
        <v>129.49871513728971</v>
      </c>
      <c r="AB133" s="16">
        <f t="shared" ref="AB133:AD133" si="100">AB134*AB135</f>
        <v>145.76887347517825</v>
      </c>
      <c r="AC133" s="16">
        <f t="shared" si="100"/>
        <v>160.26597154458335</v>
      </c>
      <c r="AD133" s="16">
        <f t="shared" si="100"/>
        <v>173.04968693106926</v>
      </c>
      <c r="AF133" s="327"/>
      <c r="AK133" s="311"/>
    </row>
    <row r="134" spans="2:37" x14ac:dyDescent="0.3">
      <c r="B134" s="11"/>
      <c r="D134" s="3" t="s">
        <v>324</v>
      </c>
      <c r="L134" s="16"/>
      <c r="M134" s="16"/>
      <c r="N134" s="15"/>
      <c r="O134" s="246">
        <f t="shared" ref="O134:X134" si="101">SUMIFS(O$20:O$68,$E$20:$E$68,$D134)</f>
        <v>85</v>
      </c>
      <c r="P134" s="16">
        <f t="shared" si="101"/>
        <v>38</v>
      </c>
      <c r="Q134" s="16">
        <f t="shared" si="101"/>
        <v>43</v>
      </c>
      <c r="R134" s="16">
        <f t="shared" si="101"/>
        <v>42</v>
      </c>
      <c r="S134" s="16">
        <f t="shared" si="101"/>
        <v>25</v>
      </c>
      <c r="T134" s="16">
        <f t="shared" si="101"/>
        <v>31</v>
      </c>
      <c r="U134" s="16">
        <f t="shared" si="101"/>
        <v>43</v>
      </c>
      <c r="V134" s="16">
        <f t="shared" si="101"/>
        <v>37</v>
      </c>
      <c r="W134" s="16">
        <f t="shared" si="101"/>
        <v>39</v>
      </c>
      <c r="X134" s="16">
        <f t="shared" si="101"/>
        <v>45</v>
      </c>
      <c r="Y134" s="246">
        <f>SUM(P134:X134)</f>
        <v>343</v>
      </c>
      <c r="Z134" s="246">
        <f>SUM(O134,Y134)</f>
        <v>428</v>
      </c>
      <c r="AA134" s="16">
        <f t="shared" ref="AA134:AD134" si="102">SUMIFS(AA$20:AA$68,$E$20:$E$68,$D134)</f>
        <v>430</v>
      </c>
      <c r="AB134" s="16">
        <f t="shared" si="102"/>
        <v>475</v>
      </c>
      <c r="AC134" s="16">
        <f t="shared" si="102"/>
        <v>512</v>
      </c>
      <c r="AD134" s="16">
        <f t="shared" si="102"/>
        <v>542</v>
      </c>
      <c r="AF134" s="327"/>
      <c r="AK134" s="311"/>
    </row>
    <row r="135" spans="2:37" x14ac:dyDescent="0.3">
      <c r="B135" s="11"/>
      <c r="D135" s="3" t="s">
        <v>405</v>
      </c>
      <c r="L135" s="16"/>
      <c r="M135" s="16"/>
      <c r="N135" s="15"/>
      <c r="O135" s="246">
        <f t="shared" ref="O135:Z135" si="103">O133/O134</f>
        <v>0.4497650352941176</v>
      </c>
      <c r="P135" s="16">
        <f t="shared" si="103"/>
        <v>0.25807894736842107</v>
      </c>
      <c r="Q135" s="16">
        <f t="shared" si="103"/>
        <v>0.22806976744186047</v>
      </c>
      <c r="R135" s="16">
        <f t="shared" si="103"/>
        <v>0.23350000000000001</v>
      </c>
      <c r="S135" s="16">
        <f t="shared" si="103"/>
        <v>0.39228000000000002</v>
      </c>
      <c r="T135" s="16">
        <f t="shared" si="103"/>
        <v>0.31635483870967746</v>
      </c>
      <c r="U135" s="16">
        <f t="shared" si="103"/>
        <v>0.22806976744186047</v>
      </c>
      <c r="V135" s="16">
        <f t="shared" si="103"/>
        <v>0.26505405405405408</v>
      </c>
      <c r="W135" s="16">
        <f t="shared" si="103"/>
        <v>0.25146153846153846</v>
      </c>
      <c r="X135" s="16">
        <f t="shared" si="103"/>
        <v>0.21793333333333334</v>
      </c>
      <c r="Y135" s="246">
        <f t="shared" si="103"/>
        <v>0.25732653061224492</v>
      </c>
      <c r="Z135" s="15">
        <f t="shared" si="103"/>
        <v>0.29554445794392525</v>
      </c>
      <c r="AA135" s="16">
        <f>Z135*(1+'Key Assumption'!AB$29)</f>
        <v>0.30115980264485981</v>
      </c>
      <c r="AB135" s="16">
        <f>AA135*(1+'Key Assumption'!AC$29)</f>
        <v>0.30688183889511211</v>
      </c>
      <c r="AC135" s="16">
        <f>AB135*(1+'Key Assumption'!AD$29)</f>
        <v>0.31301947567301436</v>
      </c>
      <c r="AD135" s="16">
        <f>AC135*(1+'Key Assumption'!AE$29)</f>
        <v>0.31927986518647467</v>
      </c>
      <c r="AF135" s="327"/>
      <c r="AK135" s="311"/>
    </row>
    <row r="136" spans="2:37" x14ac:dyDescent="0.3">
      <c r="C136" s="3" t="s">
        <v>486</v>
      </c>
      <c r="L136" s="16">
        <v>278.64852300000001</v>
      </c>
      <c r="M136" s="16">
        <v>316.77654899999999</v>
      </c>
      <c r="N136" s="15">
        <v>587.99089000000004</v>
      </c>
      <c r="O136" s="246">
        <v>84.421350000000004</v>
      </c>
      <c r="P136" s="16">
        <v>56.04</v>
      </c>
      <c r="Q136" s="16">
        <v>56.04</v>
      </c>
      <c r="R136" s="16">
        <v>56.04</v>
      </c>
      <c r="S136" s="16">
        <v>56.04</v>
      </c>
      <c r="T136" s="16">
        <v>56.04</v>
      </c>
      <c r="U136" s="16">
        <v>56.04</v>
      </c>
      <c r="V136" s="16">
        <v>56.04</v>
      </c>
      <c r="W136" s="16">
        <v>56.04</v>
      </c>
      <c r="X136" s="16">
        <v>56.04</v>
      </c>
      <c r="Y136" s="246">
        <f>SUM(P136:X136)</f>
        <v>504.36000000000007</v>
      </c>
      <c r="Z136" s="246">
        <f>SUM(O136,Y136)</f>
        <v>588.78135000000009</v>
      </c>
      <c r="AA136" s="16">
        <f>AA137*AA138</f>
        <v>602.77178534929908</v>
      </c>
      <c r="AB136" s="16">
        <f t="shared" ref="AB136:AD136" si="104">AB137*AB138</f>
        <v>678.50375210161496</v>
      </c>
      <c r="AC136" s="16">
        <f t="shared" si="104"/>
        <v>745.98273578431031</v>
      </c>
      <c r="AD136" s="16">
        <f t="shared" si="104"/>
        <v>805.4865149433557</v>
      </c>
      <c r="AF136" s="327"/>
      <c r="AK136" s="311"/>
    </row>
    <row r="137" spans="2:37" x14ac:dyDescent="0.3">
      <c r="D137" s="3" t="s">
        <v>324</v>
      </c>
      <c r="L137" s="16"/>
      <c r="M137" s="16"/>
      <c r="N137" s="15"/>
      <c r="O137" s="246">
        <f t="shared" ref="O137:X137" si="105">SUMIFS(O$20:O$68,$E$20:$E$68,$D137)</f>
        <v>85</v>
      </c>
      <c r="P137" s="16">
        <f t="shared" si="105"/>
        <v>38</v>
      </c>
      <c r="Q137" s="16">
        <f t="shared" si="105"/>
        <v>43</v>
      </c>
      <c r="R137" s="16">
        <f t="shared" si="105"/>
        <v>42</v>
      </c>
      <c r="S137" s="16">
        <f t="shared" si="105"/>
        <v>25</v>
      </c>
      <c r="T137" s="16">
        <f t="shared" si="105"/>
        <v>31</v>
      </c>
      <c r="U137" s="16">
        <f t="shared" si="105"/>
        <v>43</v>
      </c>
      <c r="V137" s="16">
        <f t="shared" si="105"/>
        <v>37</v>
      </c>
      <c r="W137" s="16">
        <f t="shared" si="105"/>
        <v>39</v>
      </c>
      <c r="X137" s="16">
        <f t="shared" si="105"/>
        <v>45</v>
      </c>
      <c r="Y137" s="246">
        <f>SUM(P137:X137)</f>
        <v>343</v>
      </c>
      <c r="Z137" s="246">
        <f>SUM(O137,Y137)</f>
        <v>428</v>
      </c>
      <c r="AA137" s="16">
        <f t="shared" ref="AA137:AD137" si="106">SUMIFS(AA$20:AA$68,$E$20:$E$68,$D137)</f>
        <v>430</v>
      </c>
      <c r="AB137" s="16">
        <f t="shared" si="106"/>
        <v>475</v>
      </c>
      <c r="AC137" s="16">
        <f t="shared" si="106"/>
        <v>512</v>
      </c>
      <c r="AD137" s="16">
        <f t="shared" si="106"/>
        <v>542</v>
      </c>
      <c r="AF137" s="327"/>
      <c r="AK137" s="311"/>
    </row>
    <row r="138" spans="2:37" x14ac:dyDescent="0.3">
      <c r="D138" s="3" t="s">
        <v>405</v>
      </c>
      <c r="L138" s="16"/>
      <c r="M138" s="16"/>
      <c r="N138" s="15"/>
      <c r="O138" s="246">
        <f t="shared" ref="O138:Z138" si="107">O136/O137</f>
        <v>0.99319235294117647</v>
      </c>
      <c r="P138" s="16">
        <f t="shared" si="107"/>
        <v>1.4747368421052631</v>
      </c>
      <c r="Q138" s="16">
        <f t="shared" si="107"/>
        <v>1.3032558139534884</v>
      </c>
      <c r="R138" s="16">
        <f t="shared" si="107"/>
        <v>1.3342857142857143</v>
      </c>
      <c r="S138" s="16">
        <f t="shared" si="107"/>
        <v>2.2416</v>
      </c>
      <c r="T138" s="16">
        <f t="shared" si="107"/>
        <v>1.8077419354838709</v>
      </c>
      <c r="U138" s="16">
        <f t="shared" si="107"/>
        <v>1.3032558139534884</v>
      </c>
      <c r="V138" s="16">
        <f t="shared" si="107"/>
        <v>1.5145945945945947</v>
      </c>
      <c r="W138" s="16">
        <f t="shared" si="107"/>
        <v>1.436923076923077</v>
      </c>
      <c r="X138" s="16">
        <f t="shared" si="107"/>
        <v>1.2453333333333334</v>
      </c>
      <c r="Y138" s="246">
        <f t="shared" si="107"/>
        <v>1.4704373177842567</v>
      </c>
      <c r="Z138" s="15">
        <f t="shared" si="107"/>
        <v>1.3756573598130843</v>
      </c>
      <c r="AA138" s="16">
        <f>Z138*(1+'Key Assumption'!AB$29)</f>
        <v>1.4017948496495327</v>
      </c>
      <c r="AB138" s="16">
        <f>AA138*(1+'Key Assumption'!AC$29)</f>
        <v>1.4284289517928737</v>
      </c>
      <c r="AC138" s="16">
        <f>AB138*(1+'Key Assumption'!AD$29)</f>
        <v>1.4569975308287311</v>
      </c>
      <c r="AD138" s="16">
        <f>AC138*(1+'Key Assumption'!AE$29)</f>
        <v>1.4861374814453057</v>
      </c>
      <c r="AF138" s="327"/>
      <c r="AK138" s="311"/>
    </row>
    <row r="139" spans="2:37" x14ac:dyDescent="0.3">
      <c r="C139" s="3" t="s">
        <v>381</v>
      </c>
      <c r="L139" s="16">
        <v>7.086252</v>
      </c>
      <c r="M139" s="16">
        <v>3.9230450000000001</v>
      </c>
      <c r="N139" s="15">
        <v>3.0187780000000002</v>
      </c>
      <c r="O139" s="246">
        <v>0.202626</v>
      </c>
      <c r="P139" s="16">
        <v>0.5837500000000001</v>
      </c>
      <c r="Q139" s="16">
        <v>0.5837500000000001</v>
      </c>
      <c r="R139" s="16">
        <v>0.5837500000000001</v>
      </c>
      <c r="S139" s="16">
        <v>0.5837500000000001</v>
      </c>
      <c r="T139" s="16">
        <v>0.5837500000000001</v>
      </c>
      <c r="U139" s="16">
        <v>0.5837500000000001</v>
      </c>
      <c r="V139" s="16">
        <v>0.5837500000000001</v>
      </c>
      <c r="W139" s="16">
        <v>0.5837500000000001</v>
      </c>
      <c r="X139" s="16">
        <v>0.5837500000000001</v>
      </c>
      <c r="Y139" s="246">
        <f>SUM(P139:X139)</f>
        <v>5.253750000000001</v>
      </c>
      <c r="Z139" s="246">
        <f>SUM(O139,Y139)</f>
        <v>5.4563760000000014</v>
      </c>
      <c r="AA139" s="16">
        <f>AA6*AA140</f>
        <v>5.2210867683045175</v>
      </c>
      <c r="AB139" s="16">
        <f>AB6*AB140</f>
        <v>5.8216061279168425</v>
      </c>
      <c r="AC139" s="16">
        <f>AC6*AC140</f>
        <v>6.3303450387393587</v>
      </c>
      <c r="AD139" s="16">
        <f>AD6*AD140</f>
        <v>6.8422564377354513</v>
      </c>
      <c r="AF139" s="327"/>
      <c r="AK139" s="311"/>
    </row>
    <row r="140" spans="2:37" x14ac:dyDescent="0.3">
      <c r="B140" s="92"/>
      <c r="C140" s="92"/>
      <c r="D140" s="92" t="s">
        <v>411</v>
      </c>
      <c r="E140" s="92"/>
      <c r="F140" s="92"/>
      <c r="G140" s="92"/>
      <c r="H140" s="92"/>
      <c r="I140" s="92"/>
      <c r="J140" s="92"/>
      <c r="K140" s="92"/>
      <c r="L140" s="130"/>
      <c r="M140" s="130"/>
      <c r="N140" s="131"/>
      <c r="O140" s="462">
        <f t="shared" ref="O140:Z140" si="108">O139/O$6</f>
        <v>1.4999088511905574E-5</v>
      </c>
      <c r="P140" s="455">
        <f t="shared" si="108"/>
        <v>1.1145975435124994E-4</v>
      </c>
      <c r="Q140" s="455">
        <f t="shared" si="108"/>
        <v>9.2160392042824499E-5</v>
      </c>
      <c r="R140" s="455">
        <f t="shared" si="108"/>
        <v>9.2675894924571639E-5</v>
      </c>
      <c r="S140" s="455">
        <f t="shared" si="108"/>
        <v>1.6118925756072221E-4</v>
      </c>
      <c r="T140" s="455">
        <f t="shared" si="108"/>
        <v>1.3958733292913859E-4</v>
      </c>
      <c r="U140" s="455">
        <f t="shared" si="108"/>
        <v>1.007237936400443E-4</v>
      </c>
      <c r="V140" s="455">
        <f t="shared" si="108"/>
        <v>1.0149462670637865E-4</v>
      </c>
      <c r="W140" s="455">
        <f t="shared" si="108"/>
        <v>1.0639750169493376E-4</v>
      </c>
      <c r="X140" s="455">
        <f t="shared" si="108"/>
        <v>9.5920855885409532E-5</v>
      </c>
      <c r="Y140" s="462">
        <f t="shared" si="108"/>
        <v>1.0767416824218296E-4</v>
      </c>
      <c r="Z140" s="462">
        <f t="shared" si="108"/>
        <v>8.7579100976323531E-5</v>
      </c>
      <c r="AA140" s="455">
        <f>Z140</f>
        <v>8.7579100976323531E-5</v>
      </c>
      <c r="AB140" s="455">
        <f t="shared" ref="AB140:AD140" si="109">AA140</f>
        <v>8.7579100976323531E-5</v>
      </c>
      <c r="AC140" s="455">
        <f t="shared" si="109"/>
        <v>8.7579100976323531E-5</v>
      </c>
      <c r="AD140" s="455">
        <f t="shared" si="109"/>
        <v>8.7579100976323531E-5</v>
      </c>
      <c r="AF140" s="327"/>
      <c r="AK140" s="311"/>
    </row>
    <row r="141" spans="2:37" x14ac:dyDescent="0.3">
      <c r="AF141" s="327"/>
      <c r="AK141" s="311"/>
    </row>
    <row r="142" spans="2:37" x14ac:dyDescent="0.3">
      <c r="B142" s="8"/>
      <c r="C142" s="8"/>
      <c r="D142" s="8"/>
      <c r="E142" s="8"/>
      <c r="F142" s="8"/>
      <c r="G142" s="8"/>
      <c r="H142" s="8"/>
      <c r="I142" s="8"/>
      <c r="J142" s="8"/>
      <c r="K142" s="8"/>
      <c r="L142" s="9" t="s">
        <v>182</v>
      </c>
      <c r="M142" s="9" t="s">
        <v>183</v>
      </c>
      <c r="N142" s="10" t="s">
        <v>184</v>
      </c>
      <c r="O142" s="244" t="s">
        <v>4</v>
      </c>
      <c r="P142" s="9" t="s">
        <v>215</v>
      </c>
      <c r="Q142" s="9" t="s">
        <v>216</v>
      </c>
      <c r="R142" s="9" t="s">
        <v>217</v>
      </c>
      <c r="S142" s="9" t="s">
        <v>218</v>
      </c>
      <c r="T142" s="9" t="s">
        <v>219</v>
      </c>
      <c r="U142" s="9" t="s">
        <v>220</v>
      </c>
      <c r="V142" s="9" t="s">
        <v>221</v>
      </c>
      <c r="W142" s="9" t="s">
        <v>222</v>
      </c>
      <c r="X142" s="10" t="s">
        <v>223</v>
      </c>
      <c r="Y142" s="9" t="s">
        <v>294</v>
      </c>
      <c r="Z142" s="244" t="s">
        <v>197</v>
      </c>
      <c r="AA142" s="9" t="s">
        <v>198</v>
      </c>
      <c r="AB142" s="9" t="s">
        <v>199</v>
      </c>
      <c r="AC142" s="9" t="s">
        <v>200</v>
      </c>
      <c r="AD142" s="9" t="s">
        <v>201</v>
      </c>
      <c r="AF142" s="327"/>
      <c r="AK142" s="311"/>
    </row>
    <row r="143" spans="2:37" x14ac:dyDescent="0.3">
      <c r="B143" s="11" t="s">
        <v>143</v>
      </c>
      <c r="L143" s="13">
        <f t="shared" ref="L143:N143" si="110">SUM(L144:L161)</f>
        <v>5543.0337160000008</v>
      </c>
      <c r="M143" s="13">
        <f t="shared" si="110"/>
        <v>2996.6278970000003</v>
      </c>
      <c r="N143" s="124">
        <f t="shared" si="110"/>
        <v>2868.5621119999996</v>
      </c>
      <c r="O143" s="326">
        <f t="shared" ref="O143:AD143" si="111">SUM(O144:O159)</f>
        <v>768.36356999999998</v>
      </c>
      <c r="P143" s="13">
        <f t="shared" si="111"/>
        <v>283.0355205149624</v>
      </c>
      <c r="Q143" s="13">
        <f t="shared" si="111"/>
        <v>283.0355205149624</v>
      </c>
      <c r="R143" s="13">
        <f t="shared" si="111"/>
        <v>283.0355205149624</v>
      </c>
      <c r="S143" s="13">
        <f t="shared" si="111"/>
        <v>283.33340566512362</v>
      </c>
      <c r="T143" s="13">
        <f t="shared" si="111"/>
        <v>283.33340566512362</v>
      </c>
      <c r="U143" s="13">
        <f t="shared" si="111"/>
        <v>283.33340566512362</v>
      </c>
      <c r="V143" s="13">
        <f t="shared" si="111"/>
        <v>281.45274263522043</v>
      </c>
      <c r="W143" s="13">
        <f t="shared" si="111"/>
        <v>281.45274263522043</v>
      </c>
      <c r="X143" s="13">
        <f t="shared" si="111"/>
        <v>281.45274263522043</v>
      </c>
      <c r="Y143" s="326">
        <f t="shared" si="111"/>
        <v>2543.4650064459192</v>
      </c>
      <c r="Z143" s="326">
        <f t="shared" si="111"/>
        <v>3311.8285764459192</v>
      </c>
      <c r="AA143" s="13">
        <f t="shared" si="111"/>
        <v>2871.5763951747349</v>
      </c>
      <c r="AB143" s="13">
        <f t="shared" si="111"/>
        <v>2915.9955899446245</v>
      </c>
      <c r="AC143" s="13">
        <f t="shared" si="111"/>
        <v>2964.1808385942763</v>
      </c>
      <c r="AD143" s="13">
        <f t="shared" si="111"/>
        <v>3014.3395931140058</v>
      </c>
      <c r="AF143" s="327"/>
      <c r="AK143" s="311"/>
    </row>
    <row r="144" spans="2:37" x14ac:dyDescent="0.3">
      <c r="B144" s="11"/>
      <c r="C144" s="3" t="s">
        <v>487</v>
      </c>
      <c r="L144" s="16">
        <v>821.97693000000004</v>
      </c>
      <c r="M144" s="16">
        <v>798.70579299999997</v>
      </c>
      <c r="N144" s="15">
        <v>781.628243</v>
      </c>
      <c r="O144" s="246">
        <v>198.778828</v>
      </c>
      <c r="P144" s="16">
        <f t="shared" ref="P144:AD144" si="112">P177</f>
        <v>79.128220209023823</v>
      </c>
      <c r="Q144" s="16">
        <f t="shared" si="112"/>
        <v>79.128220209023823</v>
      </c>
      <c r="R144" s="16">
        <f t="shared" si="112"/>
        <v>79.128220209023823</v>
      </c>
      <c r="S144" s="16">
        <f t="shared" si="112"/>
        <v>79.419839120958883</v>
      </c>
      <c r="T144" s="16">
        <f t="shared" si="112"/>
        <v>79.419839120958883</v>
      </c>
      <c r="U144" s="16">
        <f t="shared" si="112"/>
        <v>79.419839120958883</v>
      </c>
      <c r="V144" s="16">
        <f t="shared" si="112"/>
        <v>77.578737252671814</v>
      </c>
      <c r="W144" s="16">
        <f t="shared" si="112"/>
        <v>77.578737252671814</v>
      </c>
      <c r="X144" s="16">
        <f t="shared" si="112"/>
        <v>77.578737252671814</v>
      </c>
      <c r="Y144" s="246">
        <f t="shared" si="112"/>
        <v>708.38038974796359</v>
      </c>
      <c r="Z144" s="246">
        <f t="shared" si="112"/>
        <v>907.15921774796357</v>
      </c>
      <c r="AA144" s="16">
        <f t="shared" si="112"/>
        <v>641.7506648065156</v>
      </c>
      <c r="AB144" s="16">
        <f t="shared" si="112"/>
        <v>643.80317069940884</v>
      </c>
      <c r="AC144" s="16">
        <f t="shared" si="112"/>
        <v>646.54457096415558</v>
      </c>
      <c r="AD144" s="16">
        <f t="shared" si="112"/>
        <v>650.35060013128316</v>
      </c>
      <c r="AF144" s="327"/>
      <c r="AK144" s="311"/>
    </row>
    <row r="145" spans="2:37" x14ac:dyDescent="0.3">
      <c r="B145" s="11"/>
      <c r="C145" s="3" t="s">
        <v>416</v>
      </c>
      <c r="L145" s="16">
        <v>31.507954000000002</v>
      </c>
      <c r="M145" s="16">
        <v>31.307617</v>
      </c>
      <c r="N145" s="15">
        <v>26.490788999999999</v>
      </c>
      <c r="O145" s="246">
        <v>6.6255319999999998</v>
      </c>
      <c r="P145" s="16">
        <f t="shared" ref="P145:AD145" si="113">P182</f>
        <v>1.7002884859385219</v>
      </c>
      <c r="Q145" s="16">
        <f t="shared" si="113"/>
        <v>1.7002884859385219</v>
      </c>
      <c r="R145" s="16">
        <f t="shared" si="113"/>
        <v>1.7002884859385219</v>
      </c>
      <c r="S145" s="16">
        <f t="shared" si="113"/>
        <v>1.7065547241647243</v>
      </c>
      <c r="T145" s="16">
        <f t="shared" si="113"/>
        <v>1.7065547241647243</v>
      </c>
      <c r="U145" s="16">
        <f t="shared" si="113"/>
        <v>1.7065547241647243</v>
      </c>
      <c r="V145" s="16">
        <f t="shared" si="113"/>
        <v>1.6669935625485628</v>
      </c>
      <c r="W145" s="16">
        <f t="shared" si="113"/>
        <v>1.6669935625485628</v>
      </c>
      <c r="X145" s="16">
        <f t="shared" si="113"/>
        <v>1.6669935625485628</v>
      </c>
      <c r="Y145" s="246">
        <f t="shared" si="113"/>
        <v>15.221510317955424</v>
      </c>
      <c r="Z145" s="246">
        <f t="shared" si="113"/>
        <v>21.847042317955424</v>
      </c>
      <c r="AA145" s="16">
        <f t="shared" si="113"/>
        <v>0</v>
      </c>
      <c r="AB145" s="16">
        <f t="shared" si="113"/>
        <v>0</v>
      </c>
      <c r="AC145" s="16">
        <f t="shared" si="113"/>
        <v>0</v>
      </c>
      <c r="AD145" s="16">
        <f t="shared" si="113"/>
        <v>0</v>
      </c>
      <c r="AF145" s="327"/>
      <c r="AK145" s="311"/>
    </row>
    <row r="146" spans="2:37" x14ac:dyDescent="0.3">
      <c r="B146" s="11"/>
      <c r="C146" s="3" t="s">
        <v>417</v>
      </c>
      <c r="L146" s="16">
        <v>104.806769</v>
      </c>
      <c r="M146" s="16">
        <v>131.84070399999999</v>
      </c>
      <c r="N146" s="15">
        <v>202.77753899999999</v>
      </c>
      <c r="O146" s="246">
        <v>0.217446</v>
      </c>
      <c r="P146" s="16">
        <v>22.182500000000001</v>
      </c>
      <c r="Q146" s="16">
        <v>22.182500000000001</v>
      </c>
      <c r="R146" s="16">
        <v>22.182500000000001</v>
      </c>
      <c r="S146" s="16">
        <v>22.182500000000001</v>
      </c>
      <c r="T146" s="16">
        <v>22.182500000000001</v>
      </c>
      <c r="U146" s="16">
        <v>22.182500000000001</v>
      </c>
      <c r="V146" s="16">
        <v>22.182500000000001</v>
      </c>
      <c r="W146" s="16">
        <v>22.182500000000001</v>
      </c>
      <c r="X146" s="16">
        <v>22.182500000000001</v>
      </c>
      <c r="Y146" s="246">
        <f t="shared" ref="Y146:Y156" si="114">SUM(P146:X146)</f>
        <v>199.64250000000001</v>
      </c>
      <c r="Z146" s="246">
        <f t="shared" ref="Z146:Z156" si="115">SUM(O146,Y146)</f>
        <v>199.85994600000001</v>
      </c>
      <c r="AA146" s="16">
        <f>Z146*(1+'Key Assumption'!AB$29)</f>
        <v>203.65728497399999</v>
      </c>
      <c r="AB146" s="16">
        <f>AA146*(1+'Key Assumption'!AC$29)</f>
        <v>207.52677338850597</v>
      </c>
      <c r="AC146" s="16">
        <f>AB146*(1+'Key Assumption'!AD$29)</f>
        <v>211.67730885627608</v>
      </c>
      <c r="AD146" s="16">
        <f>AC146*(1+'Key Assumption'!AE$29)</f>
        <v>215.91085503340162</v>
      </c>
      <c r="AF146" s="327"/>
      <c r="AK146" s="311"/>
    </row>
    <row r="147" spans="2:37" x14ac:dyDescent="0.3">
      <c r="B147" s="11"/>
      <c r="C147" s="3" t="s">
        <v>395</v>
      </c>
      <c r="L147" s="16">
        <v>150.41942599999999</v>
      </c>
      <c r="M147" s="16">
        <v>254.85230300000001</v>
      </c>
      <c r="N147" s="15">
        <v>291.64488299999999</v>
      </c>
      <c r="O147" s="246">
        <v>61.065728999999997</v>
      </c>
      <c r="P147" s="16">
        <v>28.087715000000003</v>
      </c>
      <c r="Q147" s="16">
        <v>28.087715000000003</v>
      </c>
      <c r="R147" s="16">
        <v>28.087715000000003</v>
      </c>
      <c r="S147" s="16">
        <v>28.087715000000003</v>
      </c>
      <c r="T147" s="16">
        <v>28.087715000000003</v>
      </c>
      <c r="U147" s="16">
        <v>28.087715000000003</v>
      </c>
      <c r="V147" s="16">
        <v>28.087715000000003</v>
      </c>
      <c r="W147" s="16">
        <v>28.087715000000003</v>
      </c>
      <c r="X147" s="16">
        <v>28.087715000000003</v>
      </c>
      <c r="Y147" s="246">
        <f t="shared" si="114"/>
        <v>252.78943500000003</v>
      </c>
      <c r="Z147" s="246">
        <f t="shared" si="115"/>
        <v>313.855164</v>
      </c>
      <c r="AA147" s="16">
        <f>Z147*(1+'Key Assumption'!AB$29)</f>
        <v>319.81841211599999</v>
      </c>
      <c r="AB147" s="16">
        <f>AA147*(1+'Key Assumption'!AC$29)</f>
        <v>325.89496194620398</v>
      </c>
      <c r="AC147" s="16">
        <f>AB147*(1+'Key Assumption'!AD$29)</f>
        <v>332.41286118512807</v>
      </c>
      <c r="AD147" s="16">
        <f>AC147*(1+'Key Assumption'!AE$29)</f>
        <v>339.06111840883062</v>
      </c>
      <c r="AF147" s="327"/>
      <c r="AK147" s="311"/>
    </row>
    <row r="148" spans="2:37" x14ac:dyDescent="0.3">
      <c r="B148" s="11"/>
      <c r="C148" s="3" t="s">
        <v>488</v>
      </c>
      <c r="L148" s="16">
        <v>75.643957999999998</v>
      </c>
      <c r="M148" s="16">
        <v>66.312764000000001</v>
      </c>
      <c r="N148" s="15">
        <v>59.272131000000002</v>
      </c>
      <c r="O148" s="246">
        <v>9.9830769999999998</v>
      </c>
      <c r="P148" s="16">
        <v>5.09621222</v>
      </c>
      <c r="Q148" s="16">
        <v>5.09621222</v>
      </c>
      <c r="R148" s="16">
        <v>5.09621222</v>
      </c>
      <c r="S148" s="16">
        <v>5.09621222</v>
      </c>
      <c r="T148" s="16">
        <v>5.09621222</v>
      </c>
      <c r="U148" s="16">
        <v>5.09621222</v>
      </c>
      <c r="V148" s="16">
        <v>5.09621222</v>
      </c>
      <c r="W148" s="16">
        <v>5.09621222</v>
      </c>
      <c r="X148" s="16">
        <v>5.09621222</v>
      </c>
      <c r="Y148" s="246">
        <f t="shared" si="114"/>
        <v>45.865909979999991</v>
      </c>
      <c r="Z148" s="246">
        <f t="shared" si="115"/>
        <v>55.848986979999992</v>
      </c>
      <c r="AA148" s="16">
        <f>Z148*(1+'Key Assumption'!AB$29)</f>
        <v>56.910117732619987</v>
      </c>
      <c r="AB148" s="16">
        <f>AA148*(1+'Key Assumption'!AC$29)</f>
        <v>57.99140996953976</v>
      </c>
      <c r="AC148" s="16">
        <f>AB148*(1+'Key Assumption'!AD$29)</f>
        <v>59.151238168930554</v>
      </c>
      <c r="AD148" s="16">
        <f>AC148*(1+'Key Assumption'!AE$29)</f>
        <v>60.334262932309166</v>
      </c>
      <c r="AF148" s="327"/>
      <c r="AK148" s="311"/>
    </row>
    <row r="149" spans="2:37" x14ac:dyDescent="0.3">
      <c r="B149" s="11"/>
      <c r="C149" s="3" t="s">
        <v>489</v>
      </c>
      <c r="L149" s="16">
        <v>107.149179</v>
      </c>
      <c r="M149" s="16">
        <v>114.193515</v>
      </c>
      <c r="N149" s="15">
        <v>118.34576800000001</v>
      </c>
      <c r="O149" s="246">
        <v>42.720970000000001</v>
      </c>
      <c r="P149" s="16">
        <v>11.051555</v>
      </c>
      <c r="Q149" s="16">
        <v>11.051555</v>
      </c>
      <c r="R149" s="16">
        <v>11.051555</v>
      </c>
      <c r="S149" s="16">
        <v>11.051555</v>
      </c>
      <c r="T149" s="16">
        <v>11.051555</v>
      </c>
      <c r="U149" s="16">
        <v>11.051555</v>
      </c>
      <c r="V149" s="16">
        <v>11.051555</v>
      </c>
      <c r="W149" s="16">
        <v>11.051555</v>
      </c>
      <c r="X149" s="16">
        <v>11.051555</v>
      </c>
      <c r="Y149" s="246">
        <f t="shared" si="114"/>
        <v>99.463995000000011</v>
      </c>
      <c r="Z149" s="246">
        <f t="shared" si="115"/>
        <v>142.18496500000001</v>
      </c>
      <c r="AA149" s="16">
        <f>Z149*(1+'Key Assumption'!AB$29)</f>
        <v>144.88647933499999</v>
      </c>
      <c r="AB149" s="16">
        <f>AA149*(1+'Key Assumption'!AC$29)</f>
        <v>147.63932244236497</v>
      </c>
      <c r="AC149" s="16">
        <f>AB149*(1+'Key Assumption'!AD$29)</f>
        <v>150.59210889121226</v>
      </c>
      <c r="AD149" s="16">
        <f>AC149*(1+'Key Assumption'!AE$29)</f>
        <v>153.6039510690365</v>
      </c>
      <c r="AF149" s="327"/>
      <c r="AK149" s="311"/>
    </row>
    <row r="150" spans="2:37" x14ac:dyDescent="0.3">
      <c r="B150" s="11"/>
      <c r="C150" s="3" t="s">
        <v>389</v>
      </c>
      <c r="L150" s="16">
        <v>189.605964</v>
      </c>
      <c r="M150" s="16">
        <v>180.58093500000001</v>
      </c>
      <c r="N150" s="15">
        <v>177.94704999999999</v>
      </c>
      <c r="O150" s="246">
        <v>44.535148</v>
      </c>
      <c r="P150" s="16">
        <v>16.803594</v>
      </c>
      <c r="Q150" s="16">
        <v>16.803594</v>
      </c>
      <c r="R150" s="16">
        <v>16.803594</v>
      </c>
      <c r="S150" s="16">
        <v>16.803594</v>
      </c>
      <c r="T150" s="16">
        <v>16.803594</v>
      </c>
      <c r="U150" s="16">
        <v>16.803594</v>
      </c>
      <c r="V150" s="16">
        <v>16.803594</v>
      </c>
      <c r="W150" s="16">
        <v>16.803594</v>
      </c>
      <c r="X150" s="16">
        <v>16.803594</v>
      </c>
      <c r="Y150" s="246">
        <f t="shared" si="114"/>
        <v>151.23234600000001</v>
      </c>
      <c r="Z150" s="246">
        <f t="shared" si="115"/>
        <v>195.767494</v>
      </c>
      <c r="AA150" s="16">
        <f>Z150*(1+'Key Assumption'!AB$29)</f>
        <v>199.48707638599998</v>
      </c>
      <c r="AB150" s="16">
        <f>AA150*(1+'Key Assumption'!AC$29)</f>
        <v>203.27733083733398</v>
      </c>
      <c r="AC150" s="16">
        <f>AB150*(1+'Key Assumption'!AD$29)</f>
        <v>207.34287745408065</v>
      </c>
      <c r="AD150" s="16">
        <f>AC150*(1+'Key Assumption'!AE$29)</f>
        <v>211.48973500316228</v>
      </c>
      <c r="AF150" s="327"/>
      <c r="AK150" s="311"/>
    </row>
    <row r="151" spans="2:37" x14ac:dyDescent="0.3">
      <c r="B151" s="11"/>
      <c r="C151" s="3" t="s">
        <v>394</v>
      </c>
      <c r="L151" s="16">
        <v>0.779802</v>
      </c>
      <c r="M151" s="16">
        <v>0.81520199999999998</v>
      </c>
      <c r="N151" s="15">
        <v>3.7637130000000001</v>
      </c>
      <c r="O151" s="246">
        <v>0.98238999999999999</v>
      </c>
      <c r="P151" s="16">
        <v>0.67726674999999992</v>
      </c>
      <c r="Q151" s="16">
        <v>0.67726674999999992</v>
      </c>
      <c r="R151" s="16">
        <v>0.67726674999999992</v>
      </c>
      <c r="S151" s="16">
        <v>0.67726674999999992</v>
      </c>
      <c r="T151" s="16">
        <v>0.67726674999999992</v>
      </c>
      <c r="U151" s="16">
        <v>0.67726674999999992</v>
      </c>
      <c r="V151" s="16">
        <v>0.67726674999999992</v>
      </c>
      <c r="W151" s="16">
        <v>0.67726674999999992</v>
      </c>
      <c r="X151" s="16">
        <v>0.67726674999999992</v>
      </c>
      <c r="Y151" s="246">
        <f t="shared" si="114"/>
        <v>6.0954007500000005</v>
      </c>
      <c r="Z151" s="246">
        <f t="shared" si="115"/>
        <v>7.0777907500000001</v>
      </c>
      <c r="AA151" s="16">
        <f>Z151*(1+'Key Assumption'!AB$29)</f>
        <v>7.2122687742499991</v>
      </c>
      <c r="AB151" s="16">
        <f>AA151*(1+'Key Assumption'!AC$29)</f>
        <v>7.3493018809607484</v>
      </c>
      <c r="AC151" s="16">
        <f>AB151*(1+'Key Assumption'!AD$29)</f>
        <v>7.4962879185799638</v>
      </c>
      <c r="AD151" s="16">
        <f>AC151*(1+'Key Assumption'!AE$29)</f>
        <v>7.6462136769515636</v>
      </c>
      <c r="AF151" s="327"/>
      <c r="AK151" s="311"/>
    </row>
    <row r="152" spans="2:37" x14ac:dyDescent="0.3">
      <c r="B152" s="11"/>
      <c r="C152" s="3" t="s">
        <v>392</v>
      </c>
      <c r="L152" s="16">
        <v>148.02947900000001</v>
      </c>
      <c r="M152" s="16">
        <v>131.08198300000001</v>
      </c>
      <c r="N152" s="15">
        <v>158.18636799999999</v>
      </c>
      <c r="O152" s="246">
        <v>107.388142</v>
      </c>
      <c r="P152" s="16">
        <v>13.6095475</v>
      </c>
      <c r="Q152" s="16">
        <v>13.6095475</v>
      </c>
      <c r="R152" s="16">
        <v>13.6095475</v>
      </c>
      <c r="S152" s="16">
        <v>13.6095475</v>
      </c>
      <c r="T152" s="16">
        <v>13.6095475</v>
      </c>
      <c r="U152" s="16">
        <v>13.6095475</v>
      </c>
      <c r="V152" s="16">
        <v>13.6095475</v>
      </c>
      <c r="W152" s="16">
        <v>13.6095475</v>
      </c>
      <c r="X152" s="16">
        <v>13.6095475</v>
      </c>
      <c r="Y152" s="246">
        <f t="shared" si="114"/>
        <v>122.48592750000002</v>
      </c>
      <c r="Z152" s="246">
        <f t="shared" si="115"/>
        <v>229.87406950000002</v>
      </c>
      <c r="AA152" s="16">
        <f>Z152*(1+'Key Assumption'!AB$29)</f>
        <v>234.2416768205</v>
      </c>
      <c r="AB152" s="16">
        <f>AA152*(1+'Key Assumption'!AC$29)</f>
        <v>238.69226868008948</v>
      </c>
      <c r="AC152" s="16">
        <f>AB152*(1+'Key Assumption'!AD$29)</f>
        <v>243.46611405369129</v>
      </c>
      <c r="AD152" s="16">
        <f>AC152*(1+'Key Assumption'!AE$29)</f>
        <v>248.33543633476512</v>
      </c>
      <c r="AF152" s="327"/>
      <c r="AK152" s="311"/>
    </row>
    <row r="153" spans="2:37" x14ac:dyDescent="0.3">
      <c r="B153" s="11"/>
      <c r="C153" s="3" t="s">
        <v>490</v>
      </c>
      <c r="L153" s="16">
        <v>36.383761</v>
      </c>
      <c r="M153" s="16">
        <v>58.198304999999998</v>
      </c>
      <c r="N153" s="15">
        <v>66.580754999999996</v>
      </c>
      <c r="O153" s="246">
        <v>9.0619460000000007</v>
      </c>
      <c r="P153" s="16">
        <v>9.5968499999999981</v>
      </c>
      <c r="Q153" s="16">
        <v>9.5968499999999981</v>
      </c>
      <c r="R153" s="16">
        <v>9.5968499999999981</v>
      </c>
      <c r="S153" s="16">
        <v>9.5968499999999981</v>
      </c>
      <c r="T153" s="16">
        <v>9.5968499999999981</v>
      </c>
      <c r="U153" s="16">
        <v>9.5968499999999981</v>
      </c>
      <c r="V153" s="16">
        <v>9.5968499999999981</v>
      </c>
      <c r="W153" s="16">
        <v>9.5968499999999981</v>
      </c>
      <c r="X153" s="16">
        <v>9.5968499999999981</v>
      </c>
      <c r="Y153" s="246">
        <f t="shared" si="114"/>
        <v>86.371649999999988</v>
      </c>
      <c r="Z153" s="246">
        <f t="shared" si="115"/>
        <v>95.433595999999994</v>
      </c>
      <c r="AA153" s="16">
        <f>Z153*(1+'Key Assumption'!AB$29)</f>
        <v>97.246834323999991</v>
      </c>
      <c r="AB153" s="16">
        <f>AA153*(1+'Key Assumption'!AC$29)</f>
        <v>99.094524176155986</v>
      </c>
      <c r="AC153" s="16">
        <f>AB153*(1+'Key Assumption'!AD$29)</f>
        <v>101.0764146596791</v>
      </c>
      <c r="AD153" s="16">
        <f>AC153*(1+'Key Assumption'!AE$29)</f>
        <v>103.09794295287269</v>
      </c>
      <c r="AF153" s="327"/>
      <c r="AK153" s="311"/>
    </row>
    <row r="154" spans="2:37" x14ac:dyDescent="0.3">
      <c r="B154" s="11"/>
      <c r="C154" s="3" t="s">
        <v>393</v>
      </c>
      <c r="L154" s="16">
        <v>121.680403</v>
      </c>
      <c r="M154" s="16">
        <v>83.194946999999999</v>
      </c>
      <c r="N154" s="15">
        <v>51.028410999999998</v>
      </c>
      <c r="O154" s="246">
        <v>12.301042000000001</v>
      </c>
      <c r="P154" s="16">
        <v>5.7732874999999995</v>
      </c>
      <c r="Q154" s="16">
        <v>5.7732874999999995</v>
      </c>
      <c r="R154" s="16">
        <v>5.7732874999999995</v>
      </c>
      <c r="S154" s="16">
        <v>5.7732874999999995</v>
      </c>
      <c r="T154" s="16">
        <v>5.7732874999999995</v>
      </c>
      <c r="U154" s="16">
        <v>5.7732874999999995</v>
      </c>
      <c r="V154" s="16">
        <v>5.7732874999999995</v>
      </c>
      <c r="W154" s="16">
        <v>5.7732874999999995</v>
      </c>
      <c r="X154" s="16">
        <v>5.7732874999999995</v>
      </c>
      <c r="Y154" s="246">
        <f t="shared" si="114"/>
        <v>51.959587500000005</v>
      </c>
      <c r="Z154" s="246">
        <f t="shared" si="115"/>
        <v>64.260629500000007</v>
      </c>
      <c r="AA154" s="16">
        <f>Z154*(1+'Key Assumption'!AB$29)</f>
        <v>65.481581460499996</v>
      </c>
      <c r="AB154" s="16">
        <f>AA154*(1+'Key Assumption'!AC$29)</f>
        <v>66.725731508249496</v>
      </c>
      <c r="AC154" s="16">
        <f>AB154*(1+'Key Assumption'!AD$29)</f>
        <v>68.060246138414485</v>
      </c>
      <c r="AD154" s="16">
        <f>AC154*(1+'Key Assumption'!AE$29)</f>
        <v>69.421451061182779</v>
      </c>
      <c r="AF154" s="327"/>
      <c r="AK154" s="311"/>
    </row>
    <row r="155" spans="2:37" x14ac:dyDescent="0.3">
      <c r="B155" s="11"/>
      <c r="C155" s="3" t="s">
        <v>491</v>
      </c>
      <c r="L155" s="16">
        <v>8.9034279999999999</v>
      </c>
      <c r="M155" s="16">
        <v>3.1205759999999998</v>
      </c>
      <c r="N155" s="15">
        <v>6.0171619999999999</v>
      </c>
      <c r="O155" s="246">
        <v>3.550271</v>
      </c>
      <c r="P155" s="16">
        <v>0.75887500000000008</v>
      </c>
      <c r="Q155" s="16">
        <v>0.75887500000000008</v>
      </c>
      <c r="R155" s="16">
        <v>0.75887500000000008</v>
      </c>
      <c r="S155" s="16">
        <v>0.75887500000000008</v>
      </c>
      <c r="T155" s="16">
        <v>0.75887500000000008</v>
      </c>
      <c r="U155" s="16">
        <v>0.75887500000000008</v>
      </c>
      <c r="V155" s="16">
        <v>0.75887500000000008</v>
      </c>
      <c r="W155" s="16">
        <v>0.75887500000000008</v>
      </c>
      <c r="X155" s="16">
        <v>0.75887500000000008</v>
      </c>
      <c r="Y155" s="246">
        <f t="shared" si="114"/>
        <v>6.8298749999999995</v>
      </c>
      <c r="Z155" s="246">
        <f t="shared" si="115"/>
        <v>10.380146</v>
      </c>
      <c r="AA155" s="16">
        <f>Z155*(1+'Key Assumption'!AB$29)</f>
        <v>10.577368773999998</v>
      </c>
      <c r="AB155" s="16">
        <f>AA155*(1+'Key Assumption'!AC$29)</f>
        <v>10.778338780705997</v>
      </c>
      <c r="AC155" s="16">
        <f>AB155*(1+'Key Assumption'!AD$29)</f>
        <v>10.993905556320117</v>
      </c>
      <c r="AD155" s="16">
        <f>AC155*(1+'Key Assumption'!AE$29)</f>
        <v>11.213783667446519</v>
      </c>
      <c r="AF155" s="327"/>
      <c r="AK155" s="311"/>
    </row>
    <row r="156" spans="2:37" x14ac:dyDescent="0.3">
      <c r="B156" s="11"/>
      <c r="C156" s="3" t="s">
        <v>388</v>
      </c>
      <c r="L156" s="16">
        <v>300.78986700000002</v>
      </c>
      <c r="M156" s="16">
        <v>429.358026</v>
      </c>
      <c r="N156" s="15">
        <v>284.55164400000001</v>
      </c>
      <c r="O156" s="246">
        <v>76.579732000000007</v>
      </c>
      <c r="P156" s="16">
        <v>30.790711000000002</v>
      </c>
      <c r="Q156" s="16">
        <v>30.790711000000002</v>
      </c>
      <c r="R156" s="16">
        <v>30.790711000000002</v>
      </c>
      <c r="S156" s="16">
        <v>30.790711000000002</v>
      </c>
      <c r="T156" s="16">
        <v>30.790711000000002</v>
      </c>
      <c r="U156" s="16">
        <v>30.790711000000002</v>
      </c>
      <c r="V156" s="16">
        <v>30.790711000000002</v>
      </c>
      <c r="W156" s="16">
        <v>30.790711000000002</v>
      </c>
      <c r="X156" s="16">
        <v>30.790711000000002</v>
      </c>
      <c r="Y156" s="246">
        <f t="shared" si="114"/>
        <v>277.11639899999994</v>
      </c>
      <c r="Z156" s="246">
        <f t="shared" si="115"/>
        <v>353.69613099999992</v>
      </c>
      <c r="AA156" s="16">
        <f>Z156*(1+'Key Assumption'!AB$29)</f>
        <v>360.41635748899989</v>
      </c>
      <c r="AB156" s="16">
        <f>AA156*(1+'Key Assumption'!AC$29)</f>
        <v>367.26426828129087</v>
      </c>
      <c r="AC156" s="16">
        <f>AB156*(1+'Key Assumption'!AD$29)</f>
        <v>374.60955364691671</v>
      </c>
      <c r="AD156" s="16">
        <f>AC156*(1+'Key Assumption'!AE$29)</f>
        <v>382.10174471985505</v>
      </c>
      <c r="AF156" s="327"/>
      <c r="AK156" s="311"/>
    </row>
    <row r="157" spans="2:37" x14ac:dyDescent="0.3">
      <c r="B157" s="11"/>
      <c r="C157" s="3" t="s">
        <v>412</v>
      </c>
      <c r="L157" s="16">
        <v>0.57294699999999998</v>
      </c>
      <c r="M157" s="16">
        <v>0.44793500000000003</v>
      </c>
      <c r="N157" s="15">
        <v>0</v>
      </c>
      <c r="O157" s="306">
        <v>0</v>
      </c>
      <c r="P157" s="119"/>
      <c r="Q157" s="119"/>
      <c r="R157" s="119"/>
      <c r="S157" s="119"/>
      <c r="T157" s="119"/>
      <c r="U157" s="119"/>
      <c r="V157" s="119"/>
      <c r="W157" s="119"/>
      <c r="X157" s="119"/>
      <c r="Y157" s="306"/>
      <c r="Z157" s="306"/>
      <c r="AA157" s="119"/>
      <c r="AB157" s="119"/>
      <c r="AC157" s="119"/>
      <c r="AD157" s="119"/>
      <c r="AF157" s="327"/>
      <c r="AK157" s="311"/>
    </row>
    <row r="158" spans="2:37" x14ac:dyDescent="0.3">
      <c r="B158" s="11"/>
      <c r="C158" s="3" t="s">
        <v>492</v>
      </c>
      <c r="L158" s="16">
        <v>2939.0641270000001</v>
      </c>
      <c r="M158" s="16">
        <v>185.70519400000001</v>
      </c>
      <c r="N158" s="15">
        <v>43.232905000000002</v>
      </c>
      <c r="O158" s="246">
        <v>9.4104550000000007</v>
      </c>
      <c r="P158" s="119"/>
      <c r="Q158" s="119"/>
      <c r="R158" s="119"/>
      <c r="S158" s="119"/>
      <c r="T158" s="119"/>
      <c r="U158" s="119"/>
      <c r="V158" s="119"/>
      <c r="W158" s="119"/>
      <c r="X158" s="119"/>
      <c r="Y158" s="306"/>
      <c r="Z158" s="246">
        <f>SUM(O158,Y158)</f>
        <v>9.4104550000000007</v>
      </c>
      <c r="AA158" s="119"/>
      <c r="AB158" s="119"/>
      <c r="AC158" s="119"/>
      <c r="AD158" s="119"/>
      <c r="AF158" s="327"/>
      <c r="AK158" s="311"/>
    </row>
    <row r="159" spans="2:37" x14ac:dyDescent="0.3">
      <c r="B159" s="11"/>
      <c r="C159" s="3" t="s">
        <v>493</v>
      </c>
      <c r="L159" s="16">
        <v>505.71972199999999</v>
      </c>
      <c r="M159" s="16">
        <v>526.91209800000001</v>
      </c>
      <c r="N159" s="15">
        <v>597.09475099999997</v>
      </c>
      <c r="O159" s="246">
        <v>185.16286199999999</v>
      </c>
      <c r="P159" s="16">
        <f t="shared" ref="P159:X159" si="116">SUM(P160:P161)</f>
        <v>57.77889785</v>
      </c>
      <c r="Q159" s="16">
        <f t="shared" si="116"/>
        <v>57.77889785</v>
      </c>
      <c r="R159" s="16">
        <f t="shared" si="116"/>
        <v>57.77889785</v>
      </c>
      <c r="S159" s="16">
        <f t="shared" si="116"/>
        <v>57.77889785</v>
      </c>
      <c r="T159" s="16">
        <f t="shared" si="116"/>
        <v>57.77889785</v>
      </c>
      <c r="U159" s="16">
        <f t="shared" si="116"/>
        <v>57.77889785</v>
      </c>
      <c r="V159" s="16">
        <f t="shared" si="116"/>
        <v>57.77889785</v>
      </c>
      <c r="W159" s="16">
        <f t="shared" si="116"/>
        <v>57.77889785</v>
      </c>
      <c r="X159" s="16">
        <f t="shared" si="116"/>
        <v>57.77889785</v>
      </c>
      <c r="Y159" s="246">
        <f>SUM(P159:X159)</f>
        <v>520.01008065000008</v>
      </c>
      <c r="Z159" s="246">
        <f>SUM(O159,Y159)</f>
        <v>705.1729426500001</v>
      </c>
      <c r="AA159" s="16">
        <f>SUM(AA160:AA161)</f>
        <v>529.89027218234992</v>
      </c>
      <c r="AB159" s="16">
        <f>SUM(AB160:AB161)</f>
        <v>539.95818735381454</v>
      </c>
      <c r="AC159" s="16">
        <f>SUM(AC160:AC161)</f>
        <v>550.7573511008909</v>
      </c>
      <c r="AD159" s="16">
        <f>SUM(AD160:AD161)</f>
        <v>561.7724981229087</v>
      </c>
      <c r="AF159" s="327"/>
      <c r="AK159" s="311"/>
    </row>
    <row r="160" spans="2:37" x14ac:dyDescent="0.3">
      <c r="B160" s="11"/>
      <c r="D160" s="3" t="s">
        <v>494</v>
      </c>
      <c r="L160" s="16"/>
      <c r="M160" s="16"/>
      <c r="N160" s="15"/>
      <c r="O160" s="246"/>
      <c r="P160" s="16">
        <v>51.78845535</v>
      </c>
      <c r="Q160" s="16">
        <v>51.78845535</v>
      </c>
      <c r="R160" s="16">
        <v>51.78845535</v>
      </c>
      <c r="S160" s="16">
        <v>51.78845535</v>
      </c>
      <c r="T160" s="16">
        <v>51.78845535</v>
      </c>
      <c r="U160" s="16">
        <v>51.78845535</v>
      </c>
      <c r="V160" s="16">
        <v>51.78845535</v>
      </c>
      <c r="W160" s="16">
        <v>51.78845535</v>
      </c>
      <c r="X160" s="16">
        <v>51.78845535</v>
      </c>
      <c r="Y160" s="246">
        <f>SUM(P160:X160)</f>
        <v>466.09609814999999</v>
      </c>
      <c r="Z160" s="246">
        <f>SUM(O160,Y160)</f>
        <v>466.09609814999999</v>
      </c>
      <c r="AA160" s="16">
        <f>Z160*(1+'Key Assumption'!AB$29)</f>
        <v>474.95192401484996</v>
      </c>
      <c r="AB160" s="16">
        <f>AA160*(1+'Key Assumption'!AC$29)</f>
        <v>483.97601057113206</v>
      </c>
      <c r="AC160" s="16">
        <f>AB160*(1+'Key Assumption'!AD$29)</f>
        <v>493.65553078255471</v>
      </c>
      <c r="AD160" s="16">
        <f>AC160*(1+'Key Assumption'!AE$29)</f>
        <v>503.52864139820582</v>
      </c>
      <c r="AF160" s="327"/>
      <c r="AK160" s="311"/>
    </row>
    <row r="161" spans="2:37" x14ac:dyDescent="0.3">
      <c r="B161" s="92"/>
      <c r="C161" s="92"/>
      <c r="D161" s="92" t="s">
        <v>495</v>
      </c>
      <c r="E161" s="92"/>
      <c r="F161" s="92"/>
      <c r="G161" s="92"/>
      <c r="H161" s="92"/>
      <c r="I161" s="92"/>
      <c r="J161" s="92"/>
      <c r="K161" s="92"/>
      <c r="L161" s="130"/>
      <c r="M161" s="130"/>
      <c r="N161" s="131"/>
      <c r="O161" s="330"/>
      <c r="P161" s="130">
        <v>5.9904425000000003</v>
      </c>
      <c r="Q161" s="130">
        <v>5.9904425000000003</v>
      </c>
      <c r="R161" s="130">
        <v>5.9904425000000003</v>
      </c>
      <c r="S161" s="130">
        <v>5.9904425000000003</v>
      </c>
      <c r="T161" s="130">
        <v>5.9904425000000003</v>
      </c>
      <c r="U161" s="130">
        <v>5.9904425000000003</v>
      </c>
      <c r="V161" s="130">
        <v>5.9904425000000003</v>
      </c>
      <c r="W161" s="130">
        <v>5.9904425000000003</v>
      </c>
      <c r="X161" s="130">
        <v>5.9904425000000003</v>
      </c>
      <c r="Y161" s="330">
        <f>SUM(P161:X161)</f>
        <v>53.913982500000003</v>
      </c>
      <c r="Z161" s="330">
        <f>SUM(O161,Y161)</f>
        <v>53.913982500000003</v>
      </c>
      <c r="AA161" s="130">
        <f>Z161*(1+'Key Assumption'!AB$29)</f>
        <v>54.938348167499996</v>
      </c>
      <c r="AB161" s="130">
        <f>AA161*(1+'Key Assumption'!AC$29)</f>
        <v>55.982176782682494</v>
      </c>
      <c r="AC161" s="130">
        <f>AB161*(1+'Key Assumption'!AD$29)</f>
        <v>57.101820318336145</v>
      </c>
      <c r="AD161" s="130">
        <f>AC161*(1+'Key Assumption'!AE$29)</f>
        <v>58.243856724702866</v>
      </c>
      <c r="AF161" s="327"/>
      <c r="AK161" s="311"/>
    </row>
    <row r="162" spans="2:37" x14ac:dyDescent="0.3">
      <c r="AF162" s="327"/>
      <c r="AK162" s="311"/>
    </row>
    <row r="163" spans="2:37" x14ac:dyDescent="0.3">
      <c r="B163" s="5" t="s">
        <v>496</v>
      </c>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F163" s="327"/>
      <c r="AK163" s="311"/>
    </row>
    <row r="164" spans="2:37" x14ac:dyDescent="0.3">
      <c r="AF164" s="327"/>
      <c r="AK164" s="311"/>
    </row>
    <row r="165" spans="2:37" x14ac:dyDescent="0.3">
      <c r="B165" s="8"/>
      <c r="C165" s="8"/>
      <c r="D165" s="8"/>
      <c r="E165" s="8"/>
      <c r="F165" s="8"/>
      <c r="G165" s="8"/>
      <c r="H165" s="8"/>
      <c r="I165" s="8"/>
      <c r="J165" s="8"/>
      <c r="K165" s="8"/>
      <c r="L165" s="9" t="s">
        <v>182</v>
      </c>
      <c r="M165" s="9" t="s">
        <v>183</v>
      </c>
      <c r="N165" s="10" t="s">
        <v>184</v>
      </c>
      <c r="O165" s="244" t="s">
        <v>4</v>
      </c>
      <c r="P165" s="9" t="s">
        <v>215</v>
      </c>
      <c r="Q165" s="9" t="s">
        <v>216</v>
      </c>
      <c r="R165" s="9" t="s">
        <v>217</v>
      </c>
      <c r="S165" s="9" t="s">
        <v>218</v>
      </c>
      <c r="T165" s="9" t="s">
        <v>219</v>
      </c>
      <c r="U165" s="9" t="s">
        <v>220</v>
      </c>
      <c r="V165" s="9" t="s">
        <v>221</v>
      </c>
      <c r="W165" s="9" t="s">
        <v>222</v>
      </c>
      <c r="X165" s="10" t="s">
        <v>223</v>
      </c>
      <c r="Y165" s="9" t="s">
        <v>294</v>
      </c>
      <c r="Z165" s="244" t="s">
        <v>197</v>
      </c>
      <c r="AA165" s="9" t="s">
        <v>198</v>
      </c>
      <c r="AB165" s="9" t="s">
        <v>199</v>
      </c>
      <c r="AC165" s="9" t="s">
        <v>200</v>
      </c>
      <c r="AD165" s="9" t="s">
        <v>201</v>
      </c>
      <c r="AF165" s="327"/>
      <c r="AK165" s="311"/>
    </row>
    <row r="166" spans="2:37" s="11" customFormat="1" x14ac:dyDescent="0.3">
      <c r="B166" s="11" t="s">
        <v>420</v>
      </c>
      <c r="L166" s="13"/>
      <c r="M166" s="13"/>
      <c r="N166" s="124"/>
      <c r="O166" s="326"/>
      <c r="P166" s="13">
        <f t="shared" ref="P166:AD166" si="117">P167+P172</f>
        <v>80.828508694962352</v>
      </c>
      <c r="Q166" s="13">
        <f t="shared" si="117"/>
        <v>80.828508694962352</v>
      </c>
      <c r="R166" s="13">
        <f t="shared" si="117"/>
        <v>80.828508694962352</v>
      </c>
      <c r="S166" s="13">
        <f t="shared" si="117"/>
        <v>81.126393845123602</v>
      </c>
      <c r="T166" s="13">
        <f t="shared" si="117"/>
        <v>81.126393845123602</v>
      </c>
      <c r="U166" s="13">
        <f t="shared" si="117"/>
        <v>81.126393845123602</v>
      </c>
      <c r="V166" s="13">
        <f t="shared" si="117"/>
        <v>79.245730815220384</v>
      </c>
      <c r="W166" s="13">
        <f t="shared" si="117"/>
        <v>79.245730815220384</v>
      </c>
      <c r="X166" s="13">
        <f t="shared" si="117"/>
        <v>79.245730815220384</v>
      </c>
      <c r="Y166" s="326">
        <f t="shared" si="117"/>
        <v>723.60190006591904</v>
      </c>
      <c r="Z166" s="352"/>
      <c r="AA166" s="13">
        <f t="shared" si="117"/>
        <v>641.7506648065156</v>
      </c>
      <c r="AB166" s="13">
        <f t="shared" si="117"/>
        <v>643.80317069940884</v>
      </c>
      <c r="AC166" s="13">
        <f t="shared" si="117"/>
        <v>646.54457096415558</v>
      </c>
      <c r="AD166" s="13">
        <f t="shared" si="117"/>
        <v>650.35060013128316</v>
      </c>
      <c r="AE166" s="243"/>
      <c r="AF166" s="327"/>
      <c r="AG166" s="328"/>
      <c r="AJ166" s="3"/>
      <c r="AK166" s="311"/>
    </row>
    <row r="167" spans="2:37" x14ac:dyDescent="0.3">
      <c r="B167" s="11"/>
      <c r="C167" s="3" t="s">
        <v>497</v>
      </c>
      <c r="L167" s="16"/>
      <c r="M167" s="16"/>
      <c r="N167" s="15"/>
      <c r="O167" s="246"/>
      <c r="P167" s="16">
        <f t="shared" ref="P167:AD167" si="118">SUM(P168:P171)</f>
        <v>79.128220209023823</v>
      </c>
      <c r="Q167" s="16">
        <f t="shared" si="118"/>
        <v>79.128220209023823</v>
      </c>
      <c r="R167" s="16">
        <f t="shared" si="118"/>
        <v>79.128220209023823</v>
      </c>
      <c r="S167" s="16">
        <f t="shared" si="118"/>
        <v>79.419839120958883</v>
      </c>
      <c r="T167" s="16">
        <f t="shared" si="118"/>
        <v>79.419839120958883</v>
      </c>
      <c r="U167" s="16">
        <f t="shared" si="118"/>
        <v>79.419839120958883</v>
      </c>
      <c r="V167" s="16">
        <f t="shared" si="118"/>
        <v>77.578737252671814</v>
      </c>
      <c r="W167" s="16">
        <f t="shared" si="118"/>
        <v>77.578737252671814</v>
      </c>
      <c r="X167" s="16">
        <f t="shared" si="118"/>
        <v>77.578737252671814</v>
      </c>
      <c r="Y167" s="246">
        <f t="shared" si="118"/>
        <v>708.38038974796359</v>
      </c>
      <c r="Z167" s="306"/>
      <c r="AA167" s="16">
        <f t="shared" si="118"/>
        <v>641.7506648065156</v>
      </c>
      <c r="AB167" s="16">
        <f t="shared" si="118"/>
        <v>643.80317069940884</v>
      </c>
      <c r="AC167" s="16">
        <f t="shared" si="118"/>
        <v>646.54457096415558</v>
      </c>
      <c r="AD167" s="16">
        <f t="shared" si="118"/>
        <v>650.35060013128316</v>
      </c>
      <c r="AF167" s="327"/>
      <c r="AK167" s="311"/>
    </row>
    <row r="168" spans="2:37" x14ac:dyDescent="0.3">
      <c r="B168" s="11"/>
      <c r="D168" s="3" t="s">
        <v>498</v>
      </c>
      <c r="L168" s="16"/>
      <c r="M168" s="16"/>
      <c r="N168" s="15"/>
      <c r="O168" s="246"/>
      <c r="P168" s="16">
        <f t="shared" ref="P168:AD171" si="119">P178</f>
        <v>52.70414459321799</v>
      </c>
      <c r="Q168" s="16">
        <f t="shared" si="119"/>
        <v>52.70414459321799</v>
      </c>
      <c r="R168" s="16">
        <f t="shared" si="119"/>
        <v>52.70414459321799</v>
      </c>
      <c r="S168" s="16">
        <f t="shared" si="119"/>
        <v>52.89838029395969</v>
      </c>
      <c r="T168" s="16">
        <f t="shared" si="119"/>
        <v>52.89838029395969</v>
      </c>
      <c r="U168" s="16">
        <f t="shared" si="119"/>
        <v>52.89838029395969</v>
      </c>
      <c r="V168" s="16">
        <f t="shared" si="119"/>
        <v>51.67209593143108</v>
      </c>
      <c r="W168" s="16">
        <f t="shared" si="119"/>
        <v>51.67209593143108</v>
      </c>
      <c r="X168" s="16">
        <f t="shared" si="119"/>
        <v>51.67209593143108</v>
      </c>
      <c r="Y168" s="246">
        <f t="shared" si="119"/>
        <v>471.82386245582637</v>
      </c>
      <c r="Z168" s="306"/>
      <c r="AA168" s="16">
        <f t="shared" si="119"/>
        <v>612.39238733884179</v>
      </c>
      <c r="AB168" s="16">
        <f t="shared" si="119"/>
        <v>615.44954231378233</v>
      </c>
      <c r="AC168" s="16">
        <f t="shared" si="119"/>
        <v>619.4638388920896</v>
      </c>
      <c r="AD168" s="16">
        <f t="shared" si="119"/>
        <v>628.7337168724805</v>
      </c>
      <c r="AF168" s="327"/>
      <c r="AK168" s="311"/>
    </row>
    <row r="169" spans="2:37" x14ac:dyDescent="0.3">
      <c r="B169" s="11"/>
      <c r="D169" s="3" t="s">
        <v>499</v>
      </c>
      <c r="L169" s="16"/>
      <c r="M169" s="16"/>
      <c r="N169" s="15"/>
      <c r="O169" s="246"/>
      <c r="P169" s="16">
        <f t="shared" si="119"/>
        <v>1.2746665614285431</v>
      </c>
      <c r="Q169" s="16">
        <f t="shared" si="119"/>
        <v>1.2746665614285431</v>
      </c>
      <c r="R169" s="16">
        <f t="shared" si="119"/>
        <v>1.2746665614285431</v>
      </c>
      <c r="S169" s="16">
        <f t="shared" si="119"/>
        <v>1.2793642138557291</v>
      </c>
      <c r="T169" s="16">
        <f t="shared" si="119"/>
        <v>1.2793642138557291</v>
      </c>
      <c r="U169" s="16">
        <f t="shared" si="119"/>
        <v>1.2793642138557291</v>
      </c>
      <c r="V169" s="16">
        <f t="shared" si="119"/>
        <v>1.2497061350882561</v>
      </c>
      <c r="W169" s="16">
        <f t="shared" si="119"/>
        <v>1.2497061350882561</v>
      </c>
      <c r="X169" s="16">
        <f t="shared" si="119"/>
        <v>1.2497061350882561</v>
      </c>
      <c r="Y169" s="246">
        <f t="shared" si="119"/>
        <v>11.411210731117587</v>
      </c>
      <c r="Z169" s="306"/>
      <c r="AA169" s="16">
        <f t="shared" si="119"/>
        <v>14.810905378296676</v>
      </c>
      <c r="AB169" s="16">
        <f t="shared" si="119"/>
        <v>14.884843647283647</v>
      </c>
      <c r="AC169" s="16">
        <f t="shared" si="119"/>
        <v>14.981930691490863</v>
      </c>
      <c r="AD169" s="16">
        <f t="shared" si="119"/>
        <v>15.206125649616558</v>
      </c>
      <c r="AF169" s="327"/>
      <c r="AK169" s="311"/>
    </row>
    <row r="170" spans="2:37" x14ac:dyDescent="0.3">
      <c r="B170" s="11"/>
      <c r="D170" s="3" t="s">
        <v>500</v>
      </c>
      <c r="L170" s="16"/>
      <c r="M170" s="16"/>
      <c r="N170" s="15"/>
      <c r="O170" s="246"/>
      <c r="P170" s="16">
        <f t="shared" si="119"/>
        <v>0.50173952887041018</v>
      </c>
      <c r="Q170" s="16">
        <f t="shared" si="119"/>
        <v>0.50173952887041018</v>
      </c>
      <c r="R170" s="16">
        <f t="shared" si="119"/>
        <v>0.50173952887041018</v>
      </c>
      <c r="S170" s="16">
        <f t="shared" si="119"/>
        <v>0.50358863826649547</v>
      </c>
      <c r="T170" s="16">
        <f t="shared" si="119"/>
        <v>0.50358863826649547</v>
      </c>
      <c r="U170" s="16">
        <f t="shared" si="119"/>
        <v>0.50358863826649547</v>
      </c>
      <c r="V170" s="16">
        <f t="shared" si="119"/>
        <v>0.49191450252128827</v>
      </c>
      <c r="W170" s="16">
        <f t="shared" si="119"/>
        <v>0.49191450252128827</v>
      </c>
      <c r="X170" s="16">
        <f t="shared" si="119"/>
        <v>0.49191450252128827</v>
      </c>
      <c r="Y170" s="246">
        <f t="shared" si="119"/>
        <v>4.4917280089745812</v>
      </c>
      <c r="Z170" s="306"/>
      <c r="AA170" s="16">
        <f t="shared" si="119"/>
        <v>5.8299298903098951</v>
      </c>
      <c r="AB170" s="16">
        <f t="shared" si="119"/>
        <v>5.859033777843778</v>
      </c>
      <c r="AC170" s="16">
        <f t="shared" si="119"/>
        <v>5.8972495821129005</v>
      </c>
      <c r="AD170" s="16">
        <f t="shared" si="119"/>
        <v>5.7710649450935154</v>
      </c>
      <c r="AF170" s="327"/>
      <c r="AK170" s="311"/>
    </row>
    <row r="171" spans="2:37" x14ac:dyDescent="0.3">
      <c r="B171" s="11"/>
      <c r="D171" s="3" t="s">
        <v>501</v>
      </c>
      <c r="L171" s="16"/>
      <c r="M171" s="16"/>
      <c r="N171" s="15"/>
      <c r="O171" s="246"/>
      <c r="P171" s="16">
        <f t="shared" si="119"/>
        <v>24.647669525506871</v>
      </c>
      <c r="Q171" s="16">
        <f t="shared" si="119"/>
        <v>24.647669525506871</v>
      </c>
      <c r="R171" s="16">
        <f t="shared" si="119"/>
        <v>24.647669525506871</v>
      </c>
      <c r="S171" s="16">
        <f t="shared" si="119"/>
        <v>24.738505974876976</v>
      </c>
      <c r="T171" s="16">
        <f t="shared" si="119"/>
        <v>24.738505974876976</v>
      </c>
      <c r="U171" s="16">
        <f t="shared" si="119"/>
        <v>24.738505974876976</v>
      </c>
      <c r="V171" s="16">
        <f t="shared" si="119"/>
        <v>24.165020683631187</v>
      </c>
      <c r="W171" s="16">
        <f t="shared" si="119"/>
        <v>24.165020683631187</v>
      </c>
      <c r="X171" s="16">
        <f t="shared" si="119"/>
        <v>24.165020683631187</v>
      </c>
      <c r="Y171" s="246">
        <f t="shared" si="119"/>
        <v>220.65358855204508</v>
      </c>
      <c r="Z171" s="306"/>
      <c r="AA171" s="16">
        <f t="shared" si="119"/>
        <v>8.7174421990672268</v>
      </c>
      <c r="AB171" s="16">
        <f t="shared" si="119"/>
        <v>7.6097509604989595</v>
      </c>
      <c r="AC171" s="16">
        <f t="shared" si="119"/>
        <v>6.2015517984622548</v>
      </c>
      <c r="AD171" s="16">
        <f t="shared" si="119"/>
        <v>0.63969266409266223</v>
      </c>
      <c r="AF171" s="327"/>
      <c r="AK171" s="311"/>
    </row>
    <row r="172" spans="2:37" x14ac:dyDescent="0.3">
      <c r="B172" s="11"/>
      <c r="C172" s="3" t="s">
        <v>423</v>
      </c>
      <c r="L172" s="16"/>
      <c r="M172" s="16"/>
      <c r="N172" s="15"/>
      <c r="O172" s="246"/>
      <c r="P172" s="16">
        <f t="shared" ref="P172:AD172" si="120">P173</f>
        <v>1.7002884859385219</v>
      </c>
      <c r="Q172" s="16">
        <f t="shared" si="120"/>
        <v>1.7002884859385219</v>
      </c>
      <c r="R172" s="16">
        <f t="shared" si="120"/>
        <v>1.7002884859385219</v>
      </c>
      <c r="S172" s="16">
        <f t="shared" si="120"/>
        <v>1.7065547241647243</v>
      </c>
      <c r="T172" s="16">
        <f t="shared" si="120"/>
        <v>1.7065547241647243</v>
      </c>
      <c r="U172" s="16">
        <f t="shared" si="120"/>
        <v>1.7065547241647243</v>
      </c>
      <c r="V172" s="16">
        <f t="shared" si="120"/>
        <v>1.6669935625485628</v>
      </c>
      <c r="W172" s="16">
        <f t="shared" si="120"/>
        <v>1.6669935625485628</v>
      </c>
      <c r="X172" s="16">
        <f t="shared" si="120"/>
        <v>1.6669935625485628</v>
      </c>
      <c r="Y172" s="246">
        <f t="shared" si="120"/>
        <v>15.221510317955424</v>
      </c>
      <c r="Z172" s="306"/>
      <c r="AA172" s="16">
        <f t="shared" si="120"/>
        <v>0</v>
      </c>
      <c r="AB172" s="16">
        <f t="shared" si="120"/>
        <v>0</v>
      </c>
      <c r="AC172" s="16">
        <f t="shared" si="120"/>
        <v>0</v>
      </c>
      <c r="AD172" s="16">
        <f t="shared" si="120"/>
        <v>0</v>
      </c>
      <c r="AF172" s="327"/>
      <c r="AK172" s="311"/>
    </row>
    <row r="173" spans="2:37" x14ac:dyDescent="0.3">
      <c r="B173" s="92"/>
      <c r="C173" s="92"/>
      <c r="D173" s="92" t="s">
        <v>502</v>
      </c>
      <c r="E173" s="92"/>
      <c r="F173" s="92"/>
      <c r="G173" s="92"/>
      <c r="H173" s="92"/>
      <c r="I173" s="92"/>
      <c r="J173" s="92"/>
      <c r="K173" s="92"/>
      <c r="L173" s="130"/>
      <c r="M173" s="130"/>
      <c r="N173" s="131"/>
      <c r="O173" s="330"/>
      <c r="P173" s="130">
        <f t="shared" ref="P173:AD173" si="121">P183</f>
        <v>1.7002884859385219</v>
      </c>
      <c r="Q173" s="130">
        <f t="shared" si="121"/>
        <v>1.7002884859385219</v>
      </c>
      <c r="R173" s="130">
        <f t="shared" si="121"/>
        <v>1.7002884859385219</v>
      </c>
      <c r="S173" s="130">
        <f t="shared" si="121"/>
        <v>1.7065547241647243</v>
      </c>
      <c r="T173" s="130">
        <f t="shared" si="121"/>
        <v>1.7065547241647243</v>
      </c>
      <c r="U173" s="130">
        <f t="shared" si="121"/>
        <v>1.7065547241647243</v>
      </c>
      <c r="V173" s="130">
        <f t="shared" si="121"/>
        <v>1.6669935625485628</v>
      </c>
      <c r="W173" s="130">
        <f t="shared" si="121"/>
        <v>1.6669935625485628</v>
      </c>
      <c r="X173" s="130">
        <f t="shared" si="121"/>
        <v>1.6669935625485628</v>
      </c>
      <c r="Y173" s="330">
        <f t="shared" si="121"/>
        <v>15.221510317955424</v>
      </c>
      <c r="Z173" s="315"/>
      <c r="AA173" s="130">
        <f t="shared" si="121"/>
        <v>0</v>
      </c>
      <c r="AB173" s="130">
        <f t="shared" si="121"/>
        <v>0</v>
      </c>
      <c r="AC173" s="130">
        <f t="shared" si="121"/>
        <v>0</v>
      </c>
      <c r="AD173" s="130">
        <f t="shared" si="121"/>
        <v>0</v>
      </c>
      <c r="AF173" s="327"/>
      <c r="AK173" s="311"/>
    </row>
    <row r="174" spans="2:37" x14ac:dyDescent="0.3">
      <c r="AF174" s="327"/>
      <c r="AK174" s="311"/>
    </row>
    <row r="175" spans="2:37" x14ac:dyDescent="0.3">
      <c r="B175" s="8"/>
      <c r="C175" s="8"/>
      <c r="D175" s="8"/>
      <c r="E175" s="8"/>
      <c r="F175" s="8"/>
      <c r="G175" s="8"/>
      <c r="H175" s="8"/>
      <c r="I175" s="8"/>
      <c r="J175" s="8"/>
      <c r="K175" s="8"/>
      <c r="L175" s="9" t="s">
        <v>182</v>
      </c>
      <c r="M175" s="9" t="s">
        <v>183</v>
      </c>
      <c r="N175" s="10" t="s">
        <v>184</v>
      </c>
      <c r="O175" s="244" t="s">
        <v>4</v>
      </c>
      <c r="P175" s="9" t="s">
        <v>215</v>
      </c>
      <c r="Q175" s="9" t="s">
        <v>216</v>
      </c>
      <c r="R175" s="9" t="s">
        <v>217</v>
      </c>
      <c r="S175" s="9" t="s">
        <v>218</v>
      </c>
      <c r="T175" s="9" t="s">
        <v>219</v>
      </c>
      <c r="U175" s="9" t="s">
        <v>220</v>
      </c>
      <c r="V175" s="9" t="s">
        <v>221</v>
      </c>
      <c r="W175" s="9" t="s">
        <v>222</v>
      </c>
      <c r="X175" s="10" t="s">
        <v>223</v>
      </c>
      <c r="Y175" s="9" t="s">
        <v>294</v>
      </c>
      <c r="Z175" s="244" t="s">
        <v>197</v>
      </c>
      <c r="AA175" s="9" t="s">
        <v>198</v>
      </c>
      <c r="AB175" s="9" t="s">
        <v>199</v>
      </c>
      <c r="AC175" s="9" t="s">
        <v>200</v>
      </c>
      <c r="AD175" s="9" t="s">
        <v>201</v>
      </c>
      <c r="AF175" s="327"/>
      <c r="AK175" s="311"/>
    </row>
    <row r="176" spans="2:37" s="11" customFormat="1" x14ac:dyDescent="0.3">
      <c r="B176" s="11" t="s">
        <v>23</v>
      </c>
      <c r="L176" s="13"/>
      <c r="M176" s="13"/>
      <c r="N176" s="124"/>
      <c r="O176" s="326">
        <f t="shared" ref="O176:AD176" si="122">O177+O182</f>
        <v>205.40436</v>
      </c>
      <c r="P176" s="13">
        <f t="shared" si="122"/>
        <v>80.828508694962352</v>
      </c>
      <c r="Q176" s="13">
        <f t="shared" si="122"/>
        <v>80.828508694962352</v>
      </c>
      <c r="R176" s="13">
        <f t="shared" si="122"/>
        <v>80.828508694962352</v>
      </c>
      <c r="S176" s="13">
        <f t="shared" si="122"/>
        <v>81.126393845123602</v>
      </c>
      <c r="T176" s="13">
        <f t="shared" si="122"/>
        <v>81.126393845123602</v>
      </c>
      <c r="U176" s="13">
        <f t="shared" si="122"/>
        <v>81.126393845123602</v>
      </c>
      <c r="V176" s="13">
        <f t="shared" si="122"/>
        <v>79.245730815220384</v>
      </c>
      <c r="W176" s="13">
        <f t="shared" si="122"/>
        <v>79.245730815220384</v>
      </c>
      <c r="X176" s="13">
        <f t="shared" si="122"/>
        <v>79.245730815220384</v>
      </c>
      <c r="Y176" s="326">
        <f t="shared" si="122"/>
        <v>723.60190006591904</v>
      </c>
      <c r="Z176" s="326">
        <f t="shared" si="122"/>
        <v>929.00626006591904</v>
      </c>
      <c r="AA176" s="13">
        <f t="shared" si="122"/>
        <v>641.7506648065156</v>
      </c>
      <c r="AB176" s="13">
        <f t="shared" si="122"/>
        <v>643.80317069940884</v>
      </c>
      <c r="AC176" s="13">
        <f t="shared" si="122"/>
        <v>646.54457096415558</v>
      </c>
      <c r="AD176" s="13">
        <f t="shared" si="122"/>
        <v>650.35060013128316</v>
      </c>
      <c r="AE176" s="463"/>
      <c r="AF176" s="327"/>
      <c r="AG176" s="328"/>
      <c r="AJ176" s="3"/>
      <c r="AK176" s="311"/>
    </row>
    <row r="177" spans="2:37" x14ac:dyDescent="0.3">
      <c r="B177" s="11"/>
      <c r="C177" s="3" t="s">
        <v>421</v>
      </c>
      <c r="L177" s="16"/>
      <c r="M177" s="16"/>
      <c r="N177" s="15"/>
      <c r="O177" s="246">
        <f>O144</f>
        <v>198.778828</v>
      </c>
      <c r="P177" s="16">
        <f t="shared" ref="P177:AD177" si="123">SUM(P178:P181)</f>
        <v>79.128220209023823</v>
      </c>
      <c r="Q177" s="16">
        <f t="shared" si="123"/>
        <v>79.128220209023823</v>
      </c>
      <c r="R177" s="16">
        <f t="shared" si="123"/>
        <v>79.128220209023823</v>
      </c>
      <c r="S177" s="16">
        <f t="shared" si="123"/>
        <v>79.419839120958883</v>
      </c>
      <c r="T177" s="16">
        <f t="shared" si="123"/>
        <v>79.419839120958883</v>
      </c>
      <c r="U177" s="16">
        <f t="shared" si="123"/>
        <v>79.419839120958883</v>
      </c>
      <c r="V177" s="16">
        <f t="shared" si="123"/>
        <v>77.578737252671814</v>
      </c>
      <c r="W177" s="16">
        <f t="shared" si="123"/>
        <v>77.578737252671814</v>
      </c>
      <c r="X177" s="16">
        <f t="shared" si="123"/>
        <v>77.578737252671814</v>
      </c>
      <c r="Y177" s="246">
        <f>SUM(Y178:Y181)</f>
        <v>708.38038974796359</v>
      </c>
      <c r="Z177" s="246">
        <f>O177+Y177</f>
        <v>907.15921774796357</v>
      </c>
      <c r="AA177" s="16">
        <f t="shared" si="123"/>
        <v>641.7506648065156</v>
      </c>
      <c r="AB177" s="16">
        <f t="shared" si="123"/>
        <v>643.80317069940884</v>
      </c>
      <c r="AC177" s="16">
        <f t="shared" si="123"/>
        <v>646.54457096415558</v>
      </c>
      <c r="AD177" s="16">
        <f t="shared" si="123"/>
        <v>650.35060013128316</v>
      </c>
      <c r="AE177" s="11"/>
      <c r="AF177" s="327"/>
      <c r="AK177" s="311"/>
    </row>
    <row r="178" spans="2:37" x14ac:dyDescent="0.3">
      <c r="B178" s="11"/>
      <c r="D178" s="3" t="s">
        <v>503</v>
      </c>
      <c r="L178" s="16"/>
      <c r="M178" s="16"/>
      <c r="N178" s="15"/>
      <c r="O178" s="246"/>
      <c r="P178" s="16">
        <v>52.70414459321799</v>
      </c>
      <c r="Q178" s="16">
        <v>52.70414459321799</v>
      </c>
      <c r="R178" s="16">
        <v>52.70414459321799</v>
      </c>
      <c r="S178" s="16">
        <v>52.89838029395969</v>
      </c>
      <c r="T178" s="16">
        <v>52.89838029395969</v>
      </c>
      <c r="U178" s="16">
        <v>52.89838029395969</v>
      </c>
      <c r="V178" s="16">
        <v>51.67209593143108</v>
      </c>
      <c r="W178" s="16">
        <v>51.67209593143108</v>
      </c>
      <c r="X178" s="16">
        <v>51.67209593143108</v>
      </c>
      <c r="Y178" s="246">
        <f>SUM(P178:X178)</f>
        <v>471.82386245582637</v>
      </c>
      <c r="Z178" s="246">
        <f>O178+Y178</f>
        <v>471.82386245582637</v>
      </c>
      <c r="AA178" s="16">
        <v>612.39238733884179</v>
      </c>
      <c r="AB178" s="16">
        <v>615.44954231378233</v>
      </c>
      <c r="AC178" s="16">
        <v>619.4638388920896</v>
      </c>
      <c r="AD178" s="16">
        <v>628.7337168724805</v>
      </c>
      <c r="AE178" s="11"/>
      <c r="AF178" s="327"/>
      <c r="AK178" s="311"/>
    </row>
    <row r="179" spans="2:37" x14ac:dyDescent="0.3">
      <c r="B179" s="11"/>
      <c r="D179" s="3" t="s">
        <v>504</v>
      </c>
      <c r="L179" s="16"/>
      <c r="M179" s="16"/>
      <c r="N179" s="15"/>
      <c r="O179" s="246"/>
      <c r="P179" s="16">
        <v>1.2746665614285431</v>
      </c>
      <c r="Q179" s="16">
        <v>1.2746665614285431</v>
      </c>
      <c r="R179" s="16">
        <v>1.2746665614285431</v>
      </c>
      <c r="S179" s="16">
        <v>1.2793642138557291</v>
      </c>
      <c r="T179" s="16">
        <v>1.2793642138557291</v>
      </c>
      <c r="U179" s="16">
        <v>1.2793642138557291</v>
      </c>
      <c r="V179" s="16">
        <v>1.2497061350882561</v>
      </c>
      <c r="W179" s="16">
        <v>1.2497061350882561</v>
      </c>
      <c r="X179" s="16">
        <v>1.2497061350882561</v>
      </c>
      <c r="Y179" s="246">
        <f>SUM(P179:X179)</f>
        <v>11.411210731117587</v>
      </c>
      <c r="Z179" s="246">
        <f>O179+Y179</f>
        <v>11.411210731117587</v>
      </c>
      <c r="AA179" s="16">
        <v>14.810905378296676</v>
      </c>
      <c r="AB179" s="16">
        <v>14.884843647283647</v>
      </c>
      <c r="AC179" s="16">
        <v>14.981930691490863</v>
      </c>
      <c r="AD179" s="16">
        <v>15.206125649616558</v>
      </c>
      <c r="AE179" s="11"/>
      <c r="AF179" s="327"/>
      <c r="AK179" s="311"/>
    </row>
    <row r="180" spans="2:37" x14ac:dyDescent="0.3">
      <c r="B180" s="11"/>
      <c r="D180" s="3" t="s">
        <v>505</v>
      </c>
      <c r="L180" s="16"/>
      <c r="M180" s="16"/>
      <c r="N180" s="15"/>
      <c r="O180" s="246"/>
      <c r="P180" s="16">
        <v>0.50173952887041018</v>
      </c>
      <c r="Q180" s="16">
        <v>0.50173952887041018</v>
      </c>
      <c r="R180" s="16">
        <v>0.50173952887041018</v>
      </c>
      <c r="S180" s="16">
        <v>0.50358863826649547</v>
      </c>
      <c r="T180" s="16">
        <v>0.50358863826649547</v>
      </c>
      <c r="U180" s="16">
        <v>0.50358863826649547</v>
      </c>
      <c r="V180" s="16">
        <v>0.49191450252128827</v>
      </c>
      <c r="W180" s="16">
        <v>0.49191450252128827</v>
      </c>
      <c r="X180" s="16">
        <v>0.49191450252128827</v>
      </c>
      <c r="Y180" s="246">
        <f>SUM(P180:X180)</f>
        <v>4.4917280089745812</v>
      </c>
      <c r="Z180" s="246">
        <f>O180+Y180</f>
        <v>4.4917280089745812</v>
      </c>
      <c r="AA180" s="16">
        <v>5.8299298903098951</v>
      </c>
      <c r="AB180" s="16">
        <v>5.859033777843778</v>
      </c>
      <c r="AC180" s="16">
        <v>5.8972495821129005</v>
      </c>
      <c r="AD180" s="16">
        <v>5.7710649450935154</v>
      </c>
      <c r="AE180" s="11"/>
      <c r="AF180" s="327"/>
      <c r="AK180" s="311"/>
    </row>
    <row r="181" spans="2:37" x14ac:dyDescent="0.3">
      <c r="D181" s="3" t="s">
        <v>506</v>
      </c>
      <c r="L181" s="16"/>
      <c r="M181" s="16"/>
      <c r="N181" s="15"/>
      <c r="O181" s="246"/>
      <c r="P181" s="16">
        <v>24.647669525506871</v>
      </c>
      <c r="Q181" s="16">
        <v>24.647669525506871</v>
      </c>
      <c r="R181" s="16">
        <v>24.647669525506871</v>
      </c>
      <c r="S181" s="16">
        <v>24.738505974876976</v>
      </c>
      <c r="T181" s="16">
        <v>24.738505974876976</v>
      </c>
      <c r="U181" s="16">
        <v>24.738505974876976</v>
      </c>
      <c r="V181" s="16">
        <v>24.165020683631187</v>
      </c>
      <c r="W181" s="16">
        <v>24.165020683631187</v>
      </c>
      <c r="X181" s="16">
        <v>24.165020683631187</v>
      </c>
      <c r="Y181" s="246">
        <f>SUM(P181:X181)</f>
        <v>220.65358855204508</v>
      </c>
      <c r="Z181" s="246">
        <f>O181+Y181</f>
        <v>220.65358855204508</v>
      </c>
      <c r="AA181" s="16">
        <v>8.7174421990672268</v>
      </c>
      <c r="AB181" s="16">
        <v>7.6097509604989595</v>
      </c>
      <c r="AC181" s="16">
        <v>6.2015517984622548</v>
      </c>
      <c r="AD181" s="16">
        <v>0.63969266409266223</v>
      </c>
      <c r="AF181" s="327"/>
      <c r="AK181" s="311"/>
    </row>
    <row r="182" spans="2:37" x14ac:dyDescent="0.3">
      <c r="C182" s="3" t="s">
        <v>433</v>
      </c>
      <c r="L182" s="16"/>
      <c r="M182" s="16"/>
      <c r="N182" s="15"/>
      <c r="O182" s="246">
        <f>O145</f>
        <v>6.6255319999999998</v>
      </c>
      <c r="P182" s="16">
        <f t="shared" ref="P182:AD182" si="124">P183</f>
        <v>1.7002884859385219</v>
      </c>
      <c r="Q182" s="16">
        <f t="shared" si="124"/>
        <v>1.7002884859385219</v>
      </c>
      <c r="R182" s="16">
        <f t="shared" si="124"/>
        <v>1.7002884859385219</v>
      </c>
      <c r="S182" s="16">
        <f t="shared" si="124"/>
        <v>1.7065547241647243</v>
      </c>
      <c r="T182" s="16">
        <f t="shared" si="124"/>
        <v>1.7065547241647243</v>
      </c>
      <c r="U182" s="16">
        <f t="shared" si="124"/>
        <v>1.7065547241647243</v>
      </c>
      <c r="V182" s="16">
        <f t="shared" si="124"/>
        <v>1.6669935625485628</v>
      </c>
      <c r="W182" s="16">
        <f t="shared" si="124"/>
        <v>1.6669935625485628</v>
      </c>
      <c r="X182" s="16">
        <f t="shared" si="124"/>
        <v>1.6669935625485628</v>
      </c>
      <c r="Y182" s="246">
        <f t="shared" si="124"/>
        <v>15.221510317955424</v>
      </c>
      <c r="Z182" s="246">
        <f t="shared" si="124"/>
        <v>21.847042317955424</v>
      </c>
      <c r="AA182" s="16">
        <f t="shared" si="124"/>
        <v>0</v>
      </c>
      <c r="AB182" s="16">
        <f t="shared" si="124"/>
        <v>0</v>
      </c>
      <c r="AC182" s="16">
        <f t="shared" si="124"/>
        <v>0</v>
      </c>
      <c r="AD182" s="16">
        <f t="shared" si="124"/>
        <v>0</v>
      </c>
      <c r="AF182" s="327"/>
      <c r="AK182" s="311"/>
    </row>
    <row r="183" spans="2:37" x14ac:dyDescent="0.3">
      <c r="B183" s="92"/>
      <c r="C183" s="92"/>
      <c r="D183" s="92" t="s">
        <v>507</v>
      </c>
      <c r="E183" s="92"/>
      <c r="F183" s="92"/>
      <c r="G183" s="92"/>
      <c r="H183" s="92"/>
      <c r="I183" s="92"/>
      <c r="J183" s="92"/>
      <c r="K183" s="92"/>
      <c r="L183" s="130"/>
      <c r="M183" s="130"/>
      <c r="N183" s="131"/>
      <c r="O183" s="330">
        <f>O182</f>
        <v>6.6255319999999998</v>
      </c>
      <c r="P183" s="130">
        <v>1.7002884859385219</v>
      </c>
      <c r="Q183" s="130">
        <v>1.7002884859385219</v>
      </c>
      <c r="R183" s="130">
        <v>1.7002884859385219</v>
      </c>
      <c r="S183" s="130">
        <v>1.7065547241647243</v>
      </c>
      <c r="T183" s="130">
        <v>1.7065547241647243</v>
      </c>
      <c r="U183" s="130">
        <v>1.7065547241647243</v>
      </c>
      <c r="V183" s="130">
        <v>1.6669935625485628</v>
      </c>
      <c r="W183" s="130">
        <v>1.6669935625485628</v>
      </c>
      <c r="X183" s="130">
        <v>1.6669935625485628</v>
      </c>
      <c r="Y183" s="330">
        <f>SUM(P183:X183)</f>
        <v>15.221510317955424</v>
      </c>
      <c r="Z183" s="330">
        <f>O183+Y183</f>
        <v>21.847042317955424</v>
      </c>
      <c r="AA183" s="130">
        <v>0</v>
      </c>
      <c r="AB183" s="130">
        <v>0</v>
      </c>
      <c r="AC183" s="130">
        <v>0</v>
      </c>
      <c r="AD183" s="130">
        <v>0</v>
      </c>
      <c r="AF183" s="327"/>
      <c r="AK183" s="311"/>
    </row>
    <row r="185" spans="2:37" x14ac:dyDescent="0.3">
      <c r="B185" s="8"/>
      <c r="C185" s="8"/>
      <c r="D185" s="8"/>
      <c r="E185" s="8"/>
      <c r="F185" s="8"/>
      <c r="G185" s="8"/>
      <c r="H185" s="8"/>
      <c r="I185" s="325"/>
      <c r="J185" s="8"/>
      <c r="K185" s="8"/>
      <c r="L185" s="9" t="s">
        <v>182</v>
      </c>
      <c r="M185" s="9" t="s">
        <v>183</v>
      </c>
      <c r="N185" s="10" t="s">
        <v>184</v>
      </c>
      <c r="O185" s="244" t="s">
        <v>4</v>
      </c>
      <c r="P185" s="9" t="s">
        <v>215</v>
      </c>
      <c r="Q185" s="9" t="s">
        <v>216</v>
      </c>
      <c r="R185" s="9" t="s">
        <v>217</v>
      </c>
      <c r="S185" s="9" t="s">
        <v>218</v>
      </c>
      <c r="T185" s="9" t="s">
        <v>219</v>
      </c>
      <c r="U185" s="9" t="s">
        <v>220</v>
      </c>
      <c r="V185" s="9" t="s">
        <v>221</v>
      </c>
      <c r="W185" s="9" t="s">
        <v>222</v>
      </c>
      <c r="X185" s="10" t="s">
        <v>223</v>
      </c>
      <c r="Y185" s="9" t="s">
        <v>294</v>
      </c>
      <c r="Z185" s="244" t="s">
        <v>197</v>
      </c>
      <c r="AA185" s="9" t="s">
        <v>198</v>
      </c>
      <c r="AB185" s="9" t="s">
        <v>199</v>
      </c>
      <c r="AC185" s="9" t="s">
        <v>200</v>
      </c>
      <c r="AD185" s="9" t="s">
        <v>201</v>
      </c>
    </row>
    <row r="186" spans="2:37" x14ac:dyDescent="0.3">
      <c r="B186" s="11" t="s">
        <v>333</v>
      </c>
      <c r="I186" s="291"/>
      <c r="L186" s="16"/>
      <c r="M186" s="16"/>
      <c r="N186" s="15"/>
      <c r="O186" s="246"/>
      <c r="P186" s="16"/>
      <c r="Q186" s="16"/>
      <c r="R186" s="16"/>
      <c r="S186" s="16"/>
      <c r="T186" s="16"/>
      <c r="U186" s="16"/>
      <c r="V186" s="16"/>
      <c r="W186" s="16"/>
      <c r="X186" s="16"/>
      <c r="Y186" s="246"/>
      <c r="Z186" s="246"/>
      <c r="AA186" s="16"/>
      <c r="AB186" s="16"/>
      <c r="AC186" s="16"/>
      <c r="AD186" s="16"/>
    </row>
    <row r="187" spans="2:37" x14ac:dyDescent="0.3">
      <c r="C187" s="3" t="s">
        <v>344</v>
      </c>
      <c r="I187" s="291"/>
      <c r="N187" s="15"/>
      <c r="O187" s="246">
        <v>1328.45</v>
      </c>
      <c r="P187" s="16">
        <f>'Key Assumption'!R35</f>
        <v>1308.5999999999999</v>
      </c>
      <c r="Q187" s="16">
        <f>'Key Assumption'!S35</f>
        <v>1308.5999999999999</v>
      </c>
      <c r="R187" s="16">
        <f>'Key Assumption'!T35</f>
        <v>1308.5999999999999</v>
      </c>
      <c r="S187" s="16">
        <f>'Key Assumption'!U35</f>
        <v>1289.8</v>
      </c>
      <c r="T187" s="16">
        <f>'Key Assumption'!V35</f>
        <v>1289.8</v>
      </c>
      <c r="U187" s="16">
        <f>'Key Assumption'!W35</f>
        <v>1289.8</v>
      </c>
      <c r="V187" s="16">
        <f>'Key Assumption'!X35</f>
        <v>1259.9000000000001</v>
      </c>
      <c r="W187" s="16">
        <f>'Key Assumption'!Y35</f>
        <v>1259.9000000000001</v>
      </c>
      <c r="X187" s="16">
        <f>'Key Assumption'!Z35</f>
        <v>1259.9000000000001</v>
      </c>
      <c r="Y187" s="246">
        <f>Z187</f>
        <v>1289.2</v>
      </c>
      <c r="Z187" s="246">
        <f>'Key Assumption'!AA35</f>
        <v>1289.2</v>
      </c>
      <c r="AA187" s="16">
        <f>'Key Assumption'!AB35</f>
        <v>1214.2</v>
      </c>
      <c r="AB187" s="16">
        <f>'Key Assumption'!AC35</f>
        <v>1201.8</v>
      </c>
      <c r="AC187" s="16">
        <f>'Key Assumption'!AD35</f>
        <v>1199.3</v>
      </c>
      <c r="AD187" s="16">
        <f>'Key Assumption'!AE35</f>
        <v>1212</v>
      </c>
    </row>
    <row r="188" spans="2:37" x14ac:dyDescent="0.3">
      <c r="C188" s="3" t="s">
        <v>345</v>
      </c>
      <c r="I188" s="291"/>
      <c r="N188" s="15"/>
      <c r="O188" s="246">
        <v>1443.1</v>
      </c>
      <c r="P188" s="16">
        <f>'Key Assumption'!R41</f>
        <v>1426.4224983649444</v>
      </c>
      <c r="Q188" s="16">
        <f>'Key Assumption'!S41</f>
        <v>1426.4224983649444</v>
      </c>
      <c r="R188" s="16">
        <f>'Key Assumption'!T41</f>
        <v>1426.4224983649444</v>
      </c>
      <c r="S188" s="16">
        <f>'Key Assumption'!U41</f>
        <v>1431.6794316794317</v>
      </c>
      <c r="T188" s="16">
        <f>'Key Assumption'!V41</f>
        <v>1431.6794316794317</v>
      </c>
      <c r="U188" s="16">
        <f>'Key Assumption'!W41</f>
        <v>1431.6794316794317</v>
      </c>
      <c r="V188" s="16">
        <f>'Key Assumption'!X41</f>
        <v>1398.4903984903985</v>
      </c>
      <c r="W188" s="16">
        <f>'Key Assumption'!Y41</f>
        <v>1398.4903984903985</v>
      </c>
      <c r="X188" s="16">
        <f>'Key Assumption'!Z41</f>
        <v>1398.4903984903985</v>
      </c>
      <c r="Y188" s="246">
        <f>Z188</f>
        <v>1418.1058189418106</v>
      </c>
      <c r="Z188" s="246">
        <f>'Key Assumption'!AA41</f>
        <v>1418.1058189418106</v>
      </c>
      <c r="AA188" s="16">
        <f>'Key Assumption'!AB41</f>
        <v>1381.1853031509499</v>
      </c>
      <c r="AB188" s="16">
        <f>'Key Assumption'!AC41</f>
        <v>1388.080388080388</v>
      </c>
      <c r="AC188" s="16">
        <f>'Key Assumption'!AD41</f>
        <v>1397.1342031686859</v>
      </c>
      <c r="AD188" s="16">
        <f>'Key Assumption'!AE41</f>
        <v>1418.041418041418</v>
      </c>
    </row>
    <row r="189" spans="2:37" x14ac:dyDescent="0.3">
      <c r="B189" s="92"/>
      <c r="C189" s="92" t="s">
        <v>229</v>
      </c>
      <c r="D189" s="92"/>
      <c r="E189" s="92"/>
      <c r="F189" s="92"/>
      <c r="G189" s="92"/>
      <c r="H189" s="92"/>
      <c r="I189" s="295"/>
      <c r="J189" s="92"/>
      <c r="K189" s="92"/>
      <c r="L189" s="92"/>
      <c r="M189" s="92"/>
      <c r="N189" s="131"/>
      <c r="O189" s="330">
        <v>184.56</v>
      </c>
      <c r="P189" s="130">
        <f>'Key Assumption'!R44</f>
        <v>182.15478841870822</v>
      </c>
      <c r="Q189" s="130">
        <f>'Key Assumption'!S44</f>
        <v>182.15478841870822</v>
      </c>
      <c r="R189" s="130">
        <f>'Key Assumption'!T44</f>
        <v>182.15478841870822</v>
      </c>
      <c r="S189" s="130">
        <f>'Key Assumption'!U44</f>
        <v>180.89761570827488</v>
      </c>
      <c r="T189" s="130">
        <f>'Key Assumption'!V44</f>
        <v>180.89761570827488</v>
      </c>
      <c r="U189" s="130">
        <f>'Key Assumption'!W44</f>
        <v>180.89761570827488</v>
      </c>
      <c r="V189" s="130">
        <f>'Key Assumption'!X44</f>
        <v>177.57575757575759</v>
      </c>
      <c r="W189" s="130">
        <f>'Key Assumption'!Y44</f>
        <v>177.57575757575759</v>
      </c>
      <c r="X189" s="130">
        <f>'Key Assumption'!Z44</f>
        <v>177.57575757575759</v>
      </c>
      <c r="Y189" s="330">
        <f>Z189</f>
        <v>182.27060653188181</v>
      </c>
      <c r="Z189" s="330">
        <f>'Key Assumption'!AA44</f>
        <v>182.27060653188181</v>
      </c>
      <c r="AA189" s="130">
        <f>'Key Assumption'!AB44</f>
        <v>174.00401261106336</v>
      </c>
      <c r="AB189" s="130">
        <f>'Key Assumption'!AC44</f>
        <v>175.7017543859649</v>
      </c>
      <c r="AC189" s="130">
        <f>'Key Assumption'!AD44</f>
        <v>177.80578206078576</v>
      </c>
      <c r="AD189" s="130">
        <f>'Key Assumption'!AE44</f>
        <v>178.68199911543564</v>
      </c>
    </row>
  </sheetData>
  <phoneticPr fontId="3" type="noConversion"/>
  <conditionalFormatting sqref="C176:F182">
    <cfRule type="duplicateValues" dxfId="0" priority="1"/>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3B79A-1C34-475A-B456-90A51AB270BB}">
  <sheetPr>
    <tabColor theme="9" tint="0.39997558519241921"/>
  </sheetPr>
  <dimension ref="A1:AK299"/>
  <sheetViews>
    <sheetView showGridLines="0" zoomScale="55" zoomScaleNormal="55" workbookViewId="0">
      <selection activeCell="M24" sqref="M24:N24"/>
    </sheetView>
  </sheetViews>
  <sheetFormatPr defaultRowHeight="12" outlineLevelCol="1" x14ac:dyDescent="0.3"/>
  <cols>
    <col min="1" max="1" width="2.625" style="3" customWidth="1"/>
    <col min="2" max="6" width="1.625" style="3" customWidth="1"/>
    <col min="7" max="10" width="9" style="3"/>
    <col min="11" max="11" width="9" style="3" customWidth="1"/>
    <col min="12" max="14" width="9" style="3" hidden="1" customWidth="1"/>
    <col min="15" max="25" width="9" style="3" hidden="1" customWidth="1" outlineLevel="1"/>
    <col min="26" max="26" width="9" style="3" collapsed="1"/>
    <col min="27" max="29" width="9" style="3"/>
    <col min="30" max="30" width="9" style="3" customWidth="1"/>
    <col min="31" max="32" width="9" style="3"/>
    <col min="33" max="33" width="9" style="322"/>
    <col min="34" max="16384" width="9" style="3"/>
  </cols>
  <sheetData>
    <row r="1" spans="1:37" x14ac:dyDescent="0.3">
      <c r="A1" s="1" t="str">
        <f ca="1">MID(CELL("filename",A1),FIND("]",CELL("filename",A1))+1,255)</f>
        <v>Projection_미국</v>
      </c>
      <c r="B1" s="2"/>
      <c r="C1" s="2"/>
      <c r="D1" s="2"/>
      <c r="E1" s="2"/>
      <c r="F1" s="2"/>
      <c r="G1" s="2"/>
      <c r="H1" s="2"/>
      <c r="I1" s="2"/>
      <c r="J1" s="2"/>
      <c r="K1" s="2"/>
      <c r="L1" s="2"/>
      <c r="M1" s="2"/>
      <c r="N1" s="2"/>
      <c r="O1" s="2"/>
      <c r="P1" s="2"/>
      <c r="Q1" s="2"/>
      <c r="R1" s="2"/>
      <c r="S1" s="2"/>
      <c r="T1" s="2"/>
      <c r="U1" s="2"/>
      <c r="V1" s="2"/>
      <c r="W1" s="2"/>
      <c r="X1" s="2"/>
      <c r="Y1" s="2"/>
      <c r="Z1" s="2"/>
      <c r="AA1" s="2"/>
      <c r="AB1" s="2"/>
      <c r="AC1" s="2"/>
      <c r="AD1" s="2"/>
    </row>
    <row r="3" spans="1:37" x14ac:dyDescent="0.3">
      <c r="A3" s="4"/>
      <c r="B3" s="161" t="s">
        <v>292</v>
      </c>
      <c r="C3" s="4"/>
      <c r="D3" s="4"/>
      <c r="E3" s="4"/>
      <c r="F3" s="4"/>
      <c r="G3" s="4"/>
      <c r="H3" s="4"/>
      <c r="I3" s="4"/>
      <c r="J3" s="4"/>
      <c r="K3" s="4"/>
      <c r="L3" s="4"/>
      <c r="M3" s="4"/>
      <c r="N3" s="4"/>
      <c r="O3" s="4"/>
      <c r="P3" s="4"/>
      <c r="Q3" s="4"/>
      <c r="R3" s="4"/>
      <c r="S3" s="4"/>
      <c r="T3" s="4"/>
      <c r="U3" s="4"/>
      <c r="V3" s="4"/>
      <c r="W3" s="4"/>
      <c r="X3" s="4"/>
      <c r="Y3" s="4"/>
      <c r="Z3" s="4"/>
      <c r="AA3" s="4"/>
      <c r="AB3" s="4"/>
      <c r="AC3" s="4"/>
      <c r="AD3" s="4"/>
    </row>
    <row r="5" spans="1:37" x14ac:dyDescent="0.3">
      <c r="B5" s="8"/>
      <c r="C5" s="8"/>
      <c r="D5" s="8"/>
      <c r="E5" s="8"/>
      <c r="F5" s="8"/>
      <c r="G5" s="8"/>
      <c r="H5" s="8"/>
      <c r="I5" s="8"/>
      <c r="J5" s="8"/>
      <c r="K5" s="8"/>
      <c r="L5" s="9" t="s">
        <v>182</v>
      </c>
      <c r="M5" s="9" t="s">
        <v>183</v>
      </c>
      <c r="N5" s="10" t="s">
        <v>184</v>
      </c>
      <c r="O5" s="244" t="s">
        <v>4</v>
      </c>
      <c r="P5" s="9" t="s">
        <v>215</v>
      </c>
      <c r="Q5" s="9" t="s">
        <v>216</v>
      </c>
      <c r="R5" s="9" t="s">
        <v>217</v>
      </c>
      <c r="S5" s="9" t="s">
        <v>218</v>
      </c>
      <c r="T5" s="9" t="s">
        <v>219</v>
      </c>
      <c r="U5" s="9" t="s">
        <v>220</v>
      </c>
      <c r="V5" s="9" t="s">
        <v>221</v>
      </c>
      <c r="W5" s="9" t="s">
        <v>222</v>
      </c>
      <c r="X5" s="10" t="s">
        <v>223</v>
      </c>
      <c r="Y5" s="9" t="s">
        <v>5</v>
      </c>
      <c r="Z5" s="244" t="s">
        <v>197</v>
      </c>
      <c r="AA5" s="9" t="s">
        <v>198</v>
      </c>
      <c r="AB5" s="9" t="s">
        <v>199</v>
      </c>
      <c r="AC5" s="9" t="s">
        <v>200</v>
      </c>
      <c r="AD5" s="9" t="s">
        <v>201</v>
      </c>
    </row>
    <row r="6" spans="1:37" x14ac:dyDescent="0.3">
      <c r="B6" s="11" t="s">
        <v>28</v>
      </c>
      <c r="L6" s="16"/>
      <c r="M6" s="16"/>
      <c r="N6" s="15"/>
      <c r="O6" s="326">
        <f t="shared" ref="O6:AD6" si="0">O20</f>
        <v>13953.786713328</v>
      </c>
      <c r="P6" s="13">
        <f t="shared" si="0"/>
        <v>6027.6588996023138</v>
      </c>
      <c r="Q6" s="13">
        <f t="shared" si="0"/>
        <v>4533.3833306044025</v>
      </c>
      <c r="R6" s="13">
        <f t="shared" si="0"/>
        <v>5376.3012648924096</v>
      </c>
      <c r="S6" s="13">
        <f t="shared" si="0"/>
        <v>5168.6784163799857</v>
      </c>
      <c r="T6" s="13">
        <f t="shared" si="0"/>
        <v>5074.9694270115097</v>
      </c>
      <c r="U6" s="13">
        <f t="shared" si="0"/>
        <v>5876.5883117418834</v>
      </c>
      <c r="V6" s="13">
        <f t="shared" si="0"/>
        <v>6911.1669729439691</v>
      </c>
      <c r="W6" s="13">
        <f t="shared" si="0"/>
        <v>6764.9210126072576</v>
      </c>
      <c r="X6" s="124">
        <f t="shared" si="0"/>
        <v>6600.5559945516434</v>
      </c>
      <c r="Y6" s="13">
        <f t="shared" si="0"/>
        <v>52334.223630335378</v>
      </c>
      <c r="Z6" s="326">
        <f t="shared" si="0"/>
        <v>66288.01034366338</v>
      </c>
      <c r="AA6" s="13">
        <f t="shared" si="0"/>
        <v>59731.02624433981</v>
      </c>
      <c r="AB6" s="13">
        <f t="shared" si="0"/>
        <v>64926.092912396052</v>
      </c>
      <c r="AC6" s="13">
        <f t="shared" si="0"/>
        <v>69442.615535731893</v>
      </c>
      <c r="AD6" s="13">
        <f t="shared" si="0"/>
        <v>76922.962902153507</v>
      </c>
      <c r="AE6" s="151"/>
      <c r="AF6" s="327"/>
      <c r="AK6" s="311"/>
    </row>
    <row r="7" spans="1:37" x14ac:dyDescent="0.3">
      <c r="B7" s="3" t="s">
        <v>29</v>
      </c>
      <c r="L7" s="16"/>
      <c r="M7" s="16"/>
      <c r="N7" s="15"/>
      <c r="O7" s="246">
        <f>O145</f>
        <v>10605.122745560488</v>
      </c>
      <c r="P7" s="16">
        <f t="shared" ref="P7:AD7" si="1">P145</f>
        <v>4809.1767904958397</v>
      </c>
      <c r="Q7" s="16">
        <f t="shared" si="1"/>
        <v>3635.5931598607222</v>
      </c>
      <c r="R7" s="16">
        <f t="shared" si="1"/>
        <v>4321.2246441600219</v>
      </c>
      <c r="S7" s="16">
        <f t="shared" si="1"/>
        <v>4128.0001564271142</v>
      </c>
      <c r="T7" s="16">
        <f t="shared" si="1"/>
        <v>4068.8043941493852</v>
      </c>
      <c r="U7" s="16">
        <f t="shared" si="1"/>
        <v>4693.9055877551609</v>
      </c>
      <c r="V7" s="16">
        <f t="shared" si="1"/>
        <v>5556.8440840029434</v>
      </c>
      <c r="W7" s="16">
        <f t="shared" si="1"/>
        <v>5408.4484721513127</v>
      </c>
      <c r="X7" s="15">
        <f>X145</f>
        <v>5283.9870877837193</v>
      </c>
      <c r="Y7" s="16">
        <f>Y145</f>
        <v>41905.984376786218</v>
      </c>
      <c r="Z7" s="246">
        <f t="shared" si="1"/>
        <v>52511.107122346708</v>
      </c>
      <c r="AA7" s="16">
        <f t="shared" si="1"/>
        <v>48000.829126445729</v>
      </c>
      <c r="AB7" s="16">
        <f t="shared" si="1"/>
        <v>52173.483283722948</v>
      </c>
      <c r="AC7" s="16">
        <f t="shared" si="1"/>
        <v>55812.689790735312</v>
      </c>
      <c r="AD7" s="16">
        <f t="shared" si="1"/>
        <v>61789.765206033611</v>
      </c>
      <c r="AE7" s="151"/>
      <c r="AF7" s="327"/>
      <c r="AK7" s="311"/>
    </row>
    <row r="8" spans="1:37" s="11" customFormat="1" x14ac:dyDescent="0.3">
      <c r="B8" s="20" t="s">
        <v>30</v>
      </c>
      <c r="C8" s="20"/>
      <c r="D8" s="20"/>
      <c r="E8" s="20"/>
      <c r="F8" s="20"/>
      <c r="G8" s="20"/>
      <c r="H8" s="20"/>
      <c r="I8" s="20"/>
      <c r="J8" s="20"/>
      <c r="K8" s="20"/>
      <c r="L8" s="22"/>
      <c r="M8" s="22"/>
      <c r="N8" s="21"/>
      <c r="O8" s="429">
        <f t="shared" ref="O8:AD8" si="2">O6-O7</f>
        <v>3348.6639677675121</v>
      </c>
      <c r="P8" s="22">
        <f t="shared" si="2"/>
        <v>1218.4821091064741</v>
      </c>
      <c r="Q8" s="22">
        <f t="shared" si="2"/>
        <v>897.79017074368039</v>
      </c>
      <c r="R8" s="22">
        <f t="shared" si="2"/>
        <v>1055.0766207323877</v>
      </c>
      <c r="S8" s="22">
        <f t="shared" si="2"/>
        <v>1040.6782599528715</v>
      </c>
      <c r="T8" s="22">
        <f t="shared" si="2"/>
        <v>1006.1650328621245</v>
      </c>
      <c r="U8" s="22">
        <f t="shared" si="2"/>
        <v>1182.6827239867225</v>
      </c>
      <c r="V8" s="22">
        <f t="shared" si="2"/>
        <v>1354.3228889410257</v>
      </c>
      <c r="W8" s="22">
        <f t="shared" si="2"/>
        <v>1356.4725404559449</v>
      </c>
      <c r="X8" s="21">
        <f t="shared" si="2"/>
        <v>1316.5689067679241</v>
      </c>
      <c r="Y8" s="22">
        <f t="shared" si="2"/>
        <v>10428.23925354916</v>
      </c>
      <c r="Z8" s="429">
        <f t="shared" si="2"/>
        <v>13776.903221316672</v>
      </c>
      <c r="AA8" s="22">
        <f t="shared" si="2"/>
        <v>11730.19711789408</v>
      </c>
      <c r="AB8" s="22">
        <f t="shared" si="2"/>
        <v>12752.609628673104</v>
      </c>
      <c r="AC8" s="22">
        <f t="shared" si="2"/>
        <v>13629.925744996581</v>
      </c>
      <c r="AD8" s="22">
        <f t="shared" si="2"/>
        <v>15133.197696119896</v>
      </c>
      <c r="AE8" s="151"/>
      <c r="AF8" s="327"/>
      <c r="AG8" s="322"/>
      <c r="AK8" s="311"/>
    </row>
    <row r="9" spans="1:37" s="23" customFormat="1" x14ac:dyDescent="0.3">
      <c r="B9" s="24" t="s">
        <v>458</v>
      </c>
      <c r="C9" s="24"/>
      <c r="D9" s="24"/>
      <c r="E9" s="24"/>
      <c r="F9" s="24"/>
      <c r="G9" s="24"/>
      <c r="H9" s="24"/>
      <c r="I9" s="24"/>
      <c r="J9" s="24"/>
      <c r="K9" s="24"/>
      <c r="L9" s="149"/>
      <c r="M9" s="149"/>
      <c r="N9" s="148"/>
      <c r="O9" s="430">
        <f t="shared" ref="O9:AD9" si="3">O8/O$6</f>
        <v>0.23998245326259904</v>
      </c>
      <c r="P9" s="431">
        <f t="shared" si="3"/>
        <v>0.20214848408009051</v>
      </c>
      <c r="Q9" s="431">
        <f t="shared" si="3"/>
        <v>0.19803976528584991</v>
      </c>
      <c r="R9" s="431">
        <f t="shared" si="3"/>
        <v>0.19624581450115255</v>
      </c>
      <c r="S9" s="431">
        <f t="shared" si="3"/>
        <v>0.20134320151450566</v>
      </c>
      <c r="T9" s="431">
        <f t="shared" si="3"/>
        <v>0.19826031414235012</v>
      </c>
      <c r="U9" s="431">
        <f t="shared" si="3"/>
        <v>0.20125328868514233</v>
      </c>
      <c r="V9" s="431">
        <f t="shared" si="3"/>
        <v>0.19596153504074884</v>
      </c>
      <c r="W9" s="431">
        <f t="shared" si="3"/>
        <v>0.200515650948177</v>
      </c>
      <c r="X9" s="432">
        <f t="shared" si="3"/>
        <v>0.19946333427891097</v>
      </c>
      <c r="Y9" s="431">
        <f t="shared" si="3"/>
        <v>0.19926232836106242</v>
      </c>
      <c r="Z9" s="430">
        <f t="shared" si="3"/>
        <v>0.20783401326863987</v>
      </c>
      <c r="AA9" s="431">
        <f t="shared" si="3"/>
        <v>0.196383652775523</v>
      </c>
      <c r="AB9" s="433">
        <f t="shared" si="3"/>
        <v>0.19641732709651938</v>
      </c>
      <c r="AC9" s="433">
        <f t="shared" si="3"/>
        <v>0.19627609991134715</v>
      </c>
      <c r="AD9" s="433">
        <f t="shared" si="3"/>
        <v>0.19673186165968956</v>
      </c>
      <c r="AF9" s="327"/>
      <c r="AG9" s="322"/>
      <c r="AK9" s="311"/>
    </row>
    <row r="10" spans="1:37" x14ac:dyDescent="0.3">
      <c r="B10" s="3" t="s">
        <v>32</v>
      </c>
      <c r="L10" s="16"/>
      <c r="M10" s="16"/>
      <c r="N10" s="15"/>
      <c r="O10" s="246">
        <f>O223</f>
        <v>2235.3252950000001</v>
      </c>
      <c r="P10" s="16">
        <f t="shared" ref="P10:AD10" si="4">P223</f>
        <v>832.61495831414993</v>
      </c>
      <c r="Q10" s="16">
        <f t="shared" si="4"/>
        <v>832.61495831414993</v>
      </c>
      <c r="R10" s="16">
        <f t="shared" si="4"/>
        <v>832.61495831414993</v>
      </c>
      <c r="S10" s="16">
        <f t="shared" si="4"/>
        <v>832.35478321900553</v>
      </c>
      <c r="T10" s="16">
        <f t="shared" si="4"/>
        <v>832.35478321900553</v>
      </c>
      <c r="U10" s="16">
        <f t="shared" si="4"/>
        <v>832.35478321900553</v>
      </c>
      <c r="V10" s="16">
        <f t="shared" si="4"/>
        <v>831.94099410491935</v>
      </c>
      <c r="W10" s="16">
        <f t="shared" si="4"/>
        <v>831.94099410491935</v>
      </c>
      <c r="X10" s="15">
        <f>X223</f>
        <v>831.94099410491935</v>
      </c>
      <c r="Y10" s="16">
        <f>Y223</f>
        <v>7490.7322069142247</v>
      </c>
      <c r="Z10" s="246">
        <f>Z223</f>
        <v>9726.057501914227</v>
      </c>
      <c r="AA10" s="16">
        <f t="shared" si="4"/>
        <v>9896.5172026808905</v>
      </c>
      <c r="AB10" s="16">
        <f t="shared" si="4"/>
        <v>10285.701689146033</v>
      </c>
      <c r="AC10" s="16">
        <f t="shared" si="4"/>
        <v>10692.279620059278</v>
      </c>
      <c r="AD10" s="16">
        <f t="shared" si="4"/>
        <v>11166.186312562717</v>
      </c>
      <c r="AE10" s="151"/>
      <c r="AF10" s="327"/>
      <c r="AK10" s="311"/>
    </row>
    <row r="11" spans="1:37" s="11" customFormat="1" x14ac:dyDescent="0.3">
      <c r="B11" s="20" t="s">
        <v>33</v>
      </c>
      <c r="C11" s="20"/>
      <c r="D11" s="20"/>
      <c r="E11" s="20"/>
      <c r="F11" s="20"/>
      <c r="G11" s="20"/>
      <c r="H11" s="20"/>
      <c r="I11" s="20"/>
      <c r="J11" s="20"/>
      <c r="K11" s="20"/>
      <c r="L11" s="22"/>
      <c r="M11" s="22"/>
      <c r="N11" s="21"/>
      <c r="O11" s="429">
        <f t="shared" ref="O11:AD11" si="5">O8-O10</f>
        <v>1113.338672767512</v>
      </c>
      <c r="P11" s="22">
        <f t="shared" si="5"/>
        <v>385.8671507923242</v>
      </c>
      <c r="Q11" s="22">
        <f t="shared" si="5"/>
        <v>65.175212429530461</v>
      </c>
      <c r="R11" s="22">
        <f t="shared" si="5"/>
        <v>222.46166241823778</v>
      </c>
      <c r="S11" s="22">
        <f t="shared" si="5"/>
        <v>208.32347673386596</v>
      </c>
      <c r="T11" s="22">
        <f t="shared" si="5"/>
        <v>173.81024964311894</v>
      </c>
      <c r="U11" s="22">
        <f t="shared" si="5"/>
        <v>350.327940767717</v>
      </c>
      <c r="V11" s="22">
        <f t="shared" si="5"/>
        <v>522.38189483610631</v>
      </c>
      <c r="W11" s="22">
        <f t="shared" si="5"/>
        <v>524.53154635102555</v>
      </c>
      <c r="X11" s="21">
        <f t="shared" si="5"/>
        <v>484.62791266300474</v>
      </c>
      <c r="Y11" s="22">
        <f t="shared" si="5"/>
        <v>2937.5070466349353</v>
      </c>
      <c r="Z11" s="429">
        <f t="shared" si="5"/>
        <v>4050.845719402445</v>
      </c>
      <c r="AA11" s="22">
        <f t="shared" si="5"/>
        <v>1833.6799152131898</v>
      </c>
      <c r="AB11" s="22">
        <f t="shared" si="5"/>
        <v>2466.907939527071</v>
      </c>
      <c r="AC11" s="22">
        <f t="shared" si="5"/>
        <v>2937.6461249373024</v>
      </c>
      <c r="AD11" s="22">
        <f t="shared" si="5"/>
        <v>3967.0113835571792</v>
      </c>
      <c r="AE11" s="151"/>
      <c r="AF11" s="327"/>
      <c r="AG11" s="322"/>
      <c r="AK11" s="311"/>
    </row>
    <row r="12" spans="1:37" s="23" customFormat="1" x14ac:dyDescent="0.3">
      <c r="B12" s="24" t="s">
        <v>459</v>
      </c>
      <c r="C12" s="24"/>
      <c r="D12" s="24"/>
      <c r="E12" s="24"/>
      <c r="F12" s="24"/>
      <c r="G12" s="24"/>
      <c r="H12" s="24"/>
      <c r="I12" s="24"/>
      <c r="J12" s="24"/>
      <c r="K12" s="24"/>
      <c r="L12" s="149"/>
      <c r="M12" s="149"/>
      <c r="N12" s="148"/>
      <c r="O12" s="430">
        <f t="shared" ref="O12:AD12" si="6">O11/O$6</f>
        <v>7.978756560067693E-2</v>
      </c>
      <c r="P12" s="431">
        <f t="shared" si="6"/>
        <v>6.4016089367263718E-2</v>
      </c>
      <c r="Q12" s="431">
        <f t="shared" si="6"/>
        <v>1.4376726536566924E-2</v>
      </c>
      <c r="R12" s="431">
        <f t="shared" si="6"/>
        <v>4.1378198775973853E-2</v>
      </c>
      <c r="S12" s="431">
        <f t="shared" si="6"/>
        <v>4.0304979329662101E-2</v>
      </c>
      <c r="T12" s="431">
        <f t="shared" si="6"/>
        <v>3.4248531374004819E-2</v>
      </c>
      <c r="U12" s="431">
        <f t="shared" si="6"/>
        <v>5.9614171043381473E-2</v>
      </c>
      <c r="V12" s="431">
        <f t="shared" si="6"/>
        <v>7.5585193771347398E-2</v>
      </c>
      <c r="W12" s="431">
        <f t="shared" si="6"/>
        <v>7.7536980161852134E-2</v>
      </c>
      <c r="X12" s="432">
        <f t="shared" si="6"/>
        <v>7.3422286404817336E-2</v>
      </c>
      <c r="Y12" s="431">
        <f t="shared" si="6"/>
        <v>5.6129753015619746E-2</v>
      </c>
      <c r="Z12" s="430">
        <f t="shared" si="6"/>
        <v>6.1109779859151774E-2</v>
      </c>
      <c r="AA12" s="431">
        <f t="shared" si="6"/>
        <v>3.0698952127696813E-2</v>
      </c>
      <c r="AB12" s="433">
        <f t="shared" si="6"/>
        <v>3.7995632092872711E-2</v>
      </c>
      <c r="AC12" s="433">
        <f t="shared" si="6"/>
        <v>4.2303218308730441E-2</v>
      </c>
      <c r="AD12" s="433">
        <f t="shared" si="6"/>
        <v>5.1571224428825536E-2</v>
      </c>
      <c r="AF12" s="327"/>
      <c r="AG12" s="322"/>
      <c r="AK12" s="311"/>
    </row>
    <row r="13" spans="1:37" x14ac:dyDescent="0.3">
      <c r="B13" s="103" t="s">
        <v>23</v>
      </c>
      <c r="C13" s="103"/>
      <c r="D13" s="103"/>
      <c r="E13" s="103"/>
      <c r="F13" s="103"/>
      <c r="G13" s="103"/>
      <c r="H13" s="103"/>
      <c r="I13" s="103"/>
      <c r="J13" s="103"/>
      <c r="K13" s="103"/>
      <c r="L13" s="104"/>
      <c r="M13" s="104"/>
      <c r="N13" s="435"/>
      <c r="O13" s="436">
        <f t="shared" ref="O13:AD13" si="7">O285</f>
        <v>282.80612200000002</v>
      </c>
      <c r="P13" s="104">
        <f t="shared" si="7"/>
        <v>99.781624980816673</v>
      </c>
      <c r="Q13" s="104">
        <f t="shared" si="7"/>
        <v>99.781624980816673</v>
      </c>
      <c r="R13" s="104">
        <f t="shared" si="7"/>
        <v>99.781624980816673</v>
      </c>
      <c r="S13" s="104">
        <f t="shared" si="7"/>
        <v>99.521449885672226</v>
      </c>
      <c r="T13" s="104">
        <f t="shared" si="7"/>
        <v>99.521449885672226</v>
      </c>
      <c r="U13" s="104">
        <f t="shared" si="7"/>
        <v>99.521449885672226</v>
      </c>
      <c r="V13" s="104">
        <f t="shared" si="7"/>
        <v>99.107660771586126</v>
      </c>
      <c r="W13" s="104">
        <f t="shared" si="7"/>
        <v>99.107660771586126</v>
      </c>
      <c r="X13" s="435">
        <f t="shared" si="7"/>
        <v>99.107660771586126</v>
      </c>
      <c r="Y13" s="104">
        <f t="shared" si="7"/>
        <v>895.232206914225</v>
      </c>
      <c r="Z13" s="436">
        <f t="shared" si="7"/>
        <v>1178.0383289142251</v>
      </c>
      <c r="AA13" s="104">
        <f t="shared" si="7"/>
        <v>1189.5051509390667</v>
      </c>
      <c r="AB13" s="104">
        <f t="shared" si="7"/>
        <v>1172.4708965469558</v>
      </c>
      <c r="AC13" s="104">
        <f t="shared" si="7"/>
        <v>1181.3922032496102</v>
      </c>
      <c r="AD13" s="104">
        <f t="shared" si="7"/>
        <v>1201.6200969591571</v>
      </c>
      <c r="AF13" s="327"/>
      <c r="AK13" s="311"/>
    </row>
    <row r="14" spans="1:37" s="11" customFormat="1" x14ac:dyDescent="0.3">
      <c r="B14" s="11" t="s">
        <v>24</v>
      </c>
      <c r="L14" s="13"/>
      <c r="M14" s="13"/>
      <c r="N14" s="124"/>
      <c r="O14" s="326">
        <f t="shared" ref="O14:AD14" si="8">O11+O13</f>
        <v>1396.1447947675119</v>
      </c>
      <c r="P14" s="13">
        <f t="shared" si="8"/>
        <v>485.64877577314087</v>
      </c>
      <c r="Q14" s="13">
        <f t="shared" si="8"/>
        <v>164.95683741034713</v>
      </c>
      <c r="R14" s="13">
        <f t="shared" si="8"/>
        <v>322.24328739905445</v>
      </c>
      <c r="S14" s="13">
        <f t="shared" si="8"/>
        <v>307.84492661953817</v>
      </c>
      <c r="T14" s="13">
        <f t="shared" si="8"/>
        <v>273.33169952879115</v>
      </c>
      <c r="U14" s="13">
        <f t="shared" si="8"/>
        <v>449.84939065338921</v>
      </c>
      <c r="V14" s="13">
        <f t="shared" si="8"/>
        <v>621.48955560769241</v>
      </c>
      <c r="W14" s="13">
        <f t="shared" si="8"/>
        <v>623.63920712261165</v>
      </c>
      <c r="X14" s="124">
        <f t="shared" si="8"/>
        <v>583.73557343459083</v>
      </c>
      <c r="Y14" s="13">
        <f t="shared" si="8"/>
        <v>3832.7392535491604</v>
      </c>
      <c r="Z14" s="326">
        <f t="shared" si="8"/>
        <v>5228.8840483166696</v>
      </c>
      <c r="AA14" s="13">
        <f t="shared" si="8"/>
        <v>3023.1850661522567</v>
      </c>
      <c r="AB14" s="13">
        <f t="shared" si="8"/>
        <v>3639.3788360740268</v>
      </c>
      <c r="AC14" s="13">
        <f t="shared" si="8"/>
        <v>4119.0383281869126</v>
      </c>
      <c r="AD14" s="13">
        <f t="shared" si="8"/>
        <v>5168.6314805163365</v>
      </c>
      <c r="AF14" s="327"/>
      <c r="AG14" s="322"/>
      <c r="AK14" s="311"/>
    </row>
    <row r="15" spans="1:37" s="23" customFormat="1" x14ac:dyDescent="0.3">
      <c r="B15" s="32" t="s">
        <v>460</v>
      </c>
      <c r="C15" s="32"/>
      <c r="D15" s="32"/>
      <c r="E15" s="32"/>
      <c r="F15" s="32"/>
      <c r="G15" s="32"/>
      <c r="H15" s="32"/>
      <c r="I15" s="32"/>
      <c r="J15" s="32"/>
      <c r="K15" s="32"/>
      <c r="L15" s="153"/>
      <c r="M15" s="153"/>
      <c r="N15" s="152"/>
      <c r="O15" s="437">
        <f t="shared" ref="O15:AD15" si="9">O14/O$6</f>
        <v>0.10005490433890467</v>
      </c>
      <c r="P15" s="438">
        <f t="shared" si="9"/>
        <v>8.0570049477282538E-2</v>
      </c>
      <c r="Q15" s="438">
        <f t="shared" si="9"/>
        <v>3.6387136357241306E-2</v>
      </c>
      <c r="R15" s="438">
        <f t="shared" si="9"/>
        <v>5.9937728844051893E-2</v>
      </c>
      <c r="S15" s="438">
        <f t="shared" si="9"/>
        <v>5.9559698209111091E-2</v>
      </c>
      <c r="T15" s="438">
        <f t="shared" si="9"/>
        <v>5.3858787419286507E-2</v>
      </c>
      <c r="U15" s="438">
        <f t="shared" si="9"/>
        <v>7.6549413841795741E-2</v>
      </c>
      <c r="V15" s="438">
        <f t="shared" si="9"/>
        <v>8.9925414628342387E-2</v>
      </c>
      <c r="W15" s="438">
        <f t="shared" si="9"/>
        <v>9.2187211936456279E-2</v>
      </c>
      <c r="X15" s="439">
        <f t="shared" si="9"/>
        <v>8.8437333751342911E-2</v>
      </c>
      <c r="Y15" s="438">
        <f t="shared" si="9"/>
        <v>7.3235809909436095E-2</v>
      </c>
      <c r="Z15" s="437">
        <f t="shared" si="9"/>
        <v>7.8881294237193991E-2</v>
      </c>
      <c r="AA15" s="438">
        <f t="shared" si="9"/>
        <v>5.0613311979362446E-2</v>
      </c>
      <c r="AB15" s="438">
        <f t="shared" si="9"/>
        <v>5.605417903376065E-2</v>
      </c>
      <c r="AC15" s="438">
        <f t="shared" si="9"/>
        <v>5.9315714081469899E-2</v>
      </c>
      <c r="AD15" s="438">
        <f t="shared" si="9"/>
        <v>6.7192308843990689E-2</v>
      </c>
      <c r="AF15" s="327"/>
      <c r="AG15" s="322"/>
      <c r="AK15" s="311"/>
    </row>
    <row r="16" spans="1:37" x14ac:dyDescent="0.3">
      <c r="AK16" s="311"/>
    </row>
    <row r="17" spans="2:37" x14ac:dyDescent="0.3">
      <c r="B17" s="161" t="s">
        <v>461</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K17" s="311"/>
    </row>
    <row r="18" spans="2:37" x14ac:dyDescent="0.3">
      <c r="AK18" s="311"/>
    </row>
    <row r="19" spans="2:37" x14ac:dyDescent="0.3">
      <c r="B19" s="8"/>
      <c r="C19" s="8"/>
      <c r="D19" s="8"/>
      <c r="E19" s="8"/>
      <c r="F19" s="8"/>
      <c r="G19" s="8"/>
      <c r="H19" s="8"/>
      <c r="I19" s="8"/>
      <c r="J19" s="8"/>
      <c r="K19" s="8"/>
      <c r="L19" s="9" t="s">
        <v>182</v>
      </c>
      <c r="M19" s="9" t="s">
        <v>183</v>
      </c>
      <c r="N19" s="10" t="s">
        <v>184</v>
      </c>
      <c r="O19" s="244" t="s">
        <v>4</v>
      </c>
      <c r="P19" s="9" t="s">
        <v>215</v>
      </c>
      <c r="Q19" s="9" t="s">
        <v>216</v>
      </c>
      <c r="R19" s="9" t="s">
        <v>217</v>
      </c>
      <c r="S19" s="9" t="s">
        <v>218</v>
      </c>
      <c r="T19" s="9" t="s">
        <v>219</v>
      </c>
      <c r="U19" s="9" t="s">
        <v>220</v>
      </c>
      <c r="V19" s="9" t="s">
        <v>221</v>
      </c>
      <c r="W19" s="9" t="s">
        <v>222</v>
      </c>
      <c r="X19" s="10" t="s">
        <v>223</v>
      </c>
      <c r="Y19" s="9" t="s">
        <v>294</v>
      </c>
      <c r="Z19" s="244" t="s">
        <v>197</v>
      </c>
      <c r="AA19" s="9" t="s">
        <v>198</v>
      </c>
      <c r="AB19" s="9" t="s">
        <v>199</v>
      </c>
      <c r="AC19" s="9" t="s">
        <v>200</v>
      </c>
      <c r="AD19" s="9" t="s">
        <v>201</v>
      </c>
      <c r="AK19" s="311"/>
    </row>
    <row r="20" spans="2:37" x14ac:dyDescent="0.3">
      <c r="B20" s="11" t="s">
        <v>462</v>
      </c>
      <c r="C20" s="11"/>
      <c r="D20" s="11"/>
      <c r="E20" s="11"/>
      <c r="F20" s="11"/>
      <c r="G20" s="11"/>
      <c r="H20" s="11"/>
      <c r="I20" s="11"/>
      <c r="J20" s="11"/>
      <c r="K20" s="11"/>
      <c r="L20" s="13"/>
      <c r="M20" s="13"/>
      <c r="N20" s="124"/>
      <c r="O20" s="326">
        <f>SUM(O21:O26)</f>
        <v>13953.786713328</v>
      </c>
      <c r="P20" s="13">
        <f t="shared" ref="P20:AD20" si="10">SUM(P21:P26)</f>
        <v>6027.6588996023138</v>
      </c>
      <c r="Q20" s="13">
        <f t="shared" si="10"/>
        <v>4533.3833306044025</v>
      </c>
      <c r="R20" s="13">
        <f t="shared" si="10"/>
        <v>5376.3012648924096</v>
      </c>
      <c r="S20" s="13">
        <f t="shared" si="10"/>
        <v>5168.6784163799857</v>
      </c>
      <c r="T20" s="13">
        <f t="shared" si="10"/>
        <v>5074.9694270115097</v>
      </c>
      <c r="U20" s="13">
        <f t="shared" si="10"/>
        <v>5876.5883117418834</v>
      </c>
      <c r="V20" s="13">
        <f t="shared" si="10"/>
        <v>6911.1669729439691</v>
      </c>
      <c r="W20" s="13">
        <f t="shared" si="10"/>
        <v>6764.9210126072576</v>
      </c>
      <c r="X20" s="124">
        <f t="shared" si="10"/>
        <v>6600.5559945516434</v>
      </c>
      <c r="Y20" s="326">
        <f t="shared" si="10"/>
        <v>52334.223630335378</v>
      </c>
      <c r="Z20" s="326">
        <f t="shared" si="10"/>
        <v>66288.01034366338</v>
      </c>
      <c r="AA20" s="13">
        <f t="shared" si="10"/>
        <v>59731.02624433981</v>
      </c>
      <c r="AB20" s="13">
        <f t="shared" si="10"/>
        <v>64926.092912396052</v>
      </c>
      <c r="AC20" s="13">
        <f t="shared" si="10"/>
        <v>69442.615535731893</v>
      </c>
      <c r="AD20" s="13">
        <f t="shared" si="10"/>
        <v>76922.962902153507</v>
      </c>
      <c r="AF20" s="327"/>
      <c r="AK20" s="311"/>
    </row>
    <row r="21" spans="2:37" x14ac:dyDescent="0.3">
      <c r="B21" s="11"/>
      <c r="C21" s="98" t="s">
        <v>146</v>
      </c>
      <c r="D21" s="97"/>
      <c r="E21" s="97"/>
      <c r="F21" s="97"/>
      <c r="G21" s="97"/>
      <c r="H21" s="97"/>
      <c r="I21" s="97"/>
      <c r="J21" s="97"/>
      <c r="K21" s="97"/>
      <c r="L21" s="333"/>
      <c r="M21" s="333"/>
      <c r="N21" s="334"/>
      <c r="O21" s="335">
        <f t="shared" ref="O21:AD26" si="11">O28+O35</f>
        <v>0</v>
      </c>
      <c r="P21" s="333">
        <f t="shared" si="11"/>
        <v>531.09047207704316</v>
      </c>
      <c r="Q21" s="333">
        <f t="shared" si="11"/>
        <v>241.00891328977784</v>
      </c>
      <c r="R21" s="333">
        <f t="shared" si="11"/>
        <v>0</v>
      </c>
      <c r="S21" s="333">
        <f t="shared" si="11"/>
        <v>499.27673987745726</v>
      </c>
      <c r="T21" s="333">
        <f t="shared" si="11"/>
        <v>261.73028079052813</v>
      </c>
      <c r="U21" s="333">
        <f t="shared" si="11"/>
        <v>261.73028079052813</v>
      </c>
      <c r="V21" s="333">
        <f t="shared" si="11"/>
        <v>232.03968351963255</v>
      </c>
      <c r="W21" s="333">
        <f t="shared" si="11"/>
        <v>255.66287856100672</v>
      </c>
      <c r="X21" s="334">
        <f t="shared" si="11"/>
        <v>255.66287856100672</v>
      </c>
      <c r="Y21" s="335">
        <f t="shared" si="11"/>
        <v>2538.2021274669805</v>
      </c>
      <c r="Z21" s="335">
        <f t="shared" si="11"/>
        <v>2538.2021274669805</v>
      </c>
      <c r="AA21" s="333">
        <f t="shared" si="11"/>
        <v>2407.9314687222127</v>
      </c>
      <c r="AB21" s="333">
        <f t="shared" si="11"/>
        <v>2643.5354166601819</v>
      </c>
      <c r="AC21" s="333">
        <f t="shared" si="11"/>
        <v>2880.9396485667703</v>
      </c>
      <c r="AD21" s="334">
        <f t="shared" si="11"/>
        <v>4649.236720603617</v>
      </c>
      <c r="AF21" s="327"/>
      <c r="AK21" s="311"/>
    </row>
    <row r="22" spans="2:37" x14ac:dyDescent="0.3">
      <c r="B22" s="11"/>
      <c r="C22" s="99" t="s">
        <v>147</v>
      </c>
      <c r="L22" s="16"/>
      <c r="M22" s="16"/>
      <c r="N22" s="15"/>
      <c r="O22" s="246">
        <f t="shared" si="11"/>
        <v>6878.2616299300007</v>
      </c>
      <c r="P22" s="16">
        <f t="shared" si="11"/>
        <v>3178.5525955490684</v>
      </c>
      <c r="Q22" s="16">
        <f t="shared" si="11"/>
        <v>2602.0669693697541</v>
      </c>
      <c r="R22" s="16">
        <f t="shared" si="11"/>
        <v>3131.2626861720196</v>
      </c>
      <c r="S22" s="16">
        <f t="shared" si="11"/>
        <v>3309.8967000890998</v>
      </c>
      <c r="T22" s="16">
        <f t="shared" si="11"/>
        <v>3409.2212776069655</v>
      </c>
      <c r="U22" s="16">
        <f t="shared" si="11"/>
        <v>4008.498503183223</v>
      </c>
      <c r="V22" s="16">
        <f t="shared" si="11"/>
        <v>4470.6054520882144</v>
      </c>
      <c r="W22" s="16">
        <f t="shared" si="11"/>
        <v>3345.365755882588</v>
      </c>
      <c r="X22" s="15">
        <f t="shared" si="11"/>
        <v>3615.2931801586342</v>
      </c>
      <c r="Y22" s="246">
        <f t="shared" si="11"/>
        <v>31070.763120099567</v>
      </c>
      <c r="Z22" s="246">
        <f t="shared" si="11"/>
        <v>37949.024750029566</v>
      </c>
      <c r="AA22" s="16">
        <f t="shared" si="11"/>
        <v>37168.460112664201</v>
      </c>
      <c r="AB22" s="16">
        <f t="shared" si="11"/>
        <v>40271.559945494751</v>
      </c>
      <c r="AC22" s="16">
        <f t="shared" si="11"/>
        <v>42454.981137259434</v>
      </c>
      <c r="AD22" s="15">
        <f t="shared" si="11"/>
        <v>45148.257597656855</v>
      </c>
      <c r="AF22" s="327"/>
      <c r="AK22" s="311"/>
    </row>
    <row r="23" spans="2:37" x14ac:dyDescent="0.3">
      <c r="B23" s="11"/>
      <c r="C23" s="99" t="s">
        <v>148</v>
      </c>
      <c r="L23" s="16"/>
      <c r="M23" s="16"/>
      <c r="N23" s="15"/>
      <c r="O23" s="246">
        <f t="shared" si="11"/>
        <v>1813.4564673999998</v>
      </c>
      <c r="P23" s="16">
        <f t="shared" si="11"/>
        <v>719.46296977111842</v>
      </c>
      <c r="Q23" s="16">
        <f t="shared" si="11"/>
        <v>719.46296977111842</v>
      </c>
      <c r="R23" s="16">
        <f t="shared" si="11"/>
        <v>753.60492735967659</v>
      </c>
      <c r="S23" s="16">
        <f t="shared" si="11"/>
        <v>709.1268060605139</v>
      </c>
      <c r="T23" s="16">
        <f t="shared" si="11"/>
        <v>579.72185264895018</v>
      </c>
      <c r="U23" s="16">
        <f t="shared" si="11"/>
        <v>647.02476705781828</v>
      </c>
      <c r="V23" s="16">
        <f t="shared" si="11"/>
        <v>692.68790739311635</v>
      </c>
      <c r="W23" s="16">
        <f t="shared" si="11"/>
        <v>912.62675890078549</v>
      </c>
      <c r="X23" s="15">
        <f t="shared" si="11"/>
        <v>912.62675890078549</v>
      </c>
      <c r="Y23" s="246">
        <f t="shared" si="11"/>
        <v>6646.3457178638828</v>
      </c>
      <c r="Z23" s="246">
        <f t="shared" si="11"/>
        <v>8459.8021852638831</v>
      </c>
      <c r="AA23" s="16">
        <f t="shared" si="11"/>
        <v>8321.5590370958689</v>
      </c>
      <c r="AB23" s="16">
        <f t="shared" si="11"/>
        <v>9101.5092143426409</v>
      </c>
      <c r="AC23" s="16">
        <f t="shared" si="11"/>
        <v>10639.62572984383</v>
      </c>
      <c r="AD23" s="15">
        <f t="shared" si="11"/>
        <v>12265.219055547996</v>
      </c>
      <c r="AF23" s="327"/>
      <c r="AK23" s="311"/>
    </row>
    <row r="24" spans="2:37" x14ac:dyDescent="0.3">
      <c r="B24" s="11"/>
      <c r="C24" s="99" t="s">
        <v>149</v>
      </c>
      <c r="L24" s="16"/>
      <c r="M24" s="16"/>
      <c r="N24" s="15"/>
      <c r="O24" s="246">
        <f t="shared" si="11"/>
        <v>1257.8083428</v>
      </c>
      <c r="P24" s="16">
        <f t="shared" si="11"/>
        <v>847.66473815115785</v>
      </c>
      <c r="Q24" s="16">
        <f t="shared" si="11"/>
        <v>423.83236907557892</v>
      </c>
      <c r="R24" s="16">
        <f t="shared" si="11"/>
        <v>847.66473815115785</v>
      </c>
      <c r="S24" s="16">
        <f t="shared" si="11"/>
        <v>0</v>
      </c>
      <c r="T24" s="16">
        <f t="shared" si="11"/>
        <v>0</v>
      </c>
      <c r="U24" s="16">
        <f t="shared" si="11"/>
        <v>0</v>
      </c>
      <c r="V24" s="16">
        <f t="shared" si="11"/>
        <v>0</v>
      </c>
      <c r="W24" s="16">
        <f t="shared" si="11"/>
        <v>816.11860277903406</v>
      </c>
      <c r="X24" s="15">
        <f t="shared" si="11"/>
        <v>408.05930138951703</v>
      </c>
      <c r="Y24" s="246">
        <f t="shared" si="11"/>
        <v>3343.339749546446</v>
      </c>
      <c r="Z24" s="246">
        <f t="shared" si="11"/>
        <v>4601.148092346446</v>
      </c>
      <c r="AA24" s="16">
        <f t="shared" si="11"/>
        <v>4323.1379119710737</v>
      </c>
      <c r="AB24" s="16">
        <f t="shared" si="11"/>
        <v>4701.1892093845272</v>
      </c>
      <c r="AC24" s="16">
        <f t="shared" si="11"/>
        <v>4725.8660297179767</v>
      </c>
      <c r="AD24" s="15">
        <f t="shared" si="11"/>
        <v>5214.1850808924537</v>
      </c>
      <c r="AF24" s="327"/>
      <c r="AK24" s="311"/>
    </row>
    <row r="25" spans="2:37" x14ac:dyDescent="0.3">
      <c r="B25" s="11"/>
      <c r="C25" s="99" t="s">
        <v>150</v>
      </c>
      <c r="L25" s="16"/>
      <c r="M25" s="16"/>
      <c r="N25" s="15"/>
      <c r="O25" s="246">
        <f t="shared" si="11"/>
        <v>500.66357909999999</v>
      </c>
      <c r="P25" s="16">
        <f t="shared" si="11"/>
        <v>0</v>
      </c>
      <c r="Q25" s="16">
        <f t="shared" si="11"/>
        <v>0</v>
      </c>
      <c r="R25" s="16">
        <f t="shared" si="11"/>
        <v>0</v>
      </c>
      <c r="S25" s="16">
        <f t="shared" si="11"/>
        <v>0</v>
      </c>
      <c r="T25" s="16">
        <f t="shared" si="11"/>
        <v>198.86439609956128</v>
      </c>
      <c r="U25" s="16">
        <f t="shared" si="11"/>
        <v>198.86439609956128</v>
      </c>
      <c r="V25" s="16">
        <f t="shared" si="11"/>
        <v>672.35327920193595</v>
      </c>
      <c r="W25" s="16">
        <f t="shared" si="11"/>
        <v>582.76303142930055</v>
      </c>
      <c r="X25" s="15">
        <f t="shared" si="11"/>
        <v>582.76303142930055</v>
      </c>
      <c r="Y25" s="246">
        <f t="shared" si="11"/>
        <v>2235.6081342596599</v>
      </c>
      <c r="Z25" s="246">
        <f t="shared" si="11"/>
        <v>2736.2717133596598</v>
      </c>
      <c r="AA25" s="16">
        <f t="shared" si="11"/>
        <v>0</v>
      </c>
      <c r="AB25" s="16">
        <f t="shared" si="11"/>
        <v>0</v>
      </c>
      <c r="AC25" s="16">
        <f t="shared" si="11"/>
        <v>0</v>
      </c>
      <c r="AD25" s="15">
        <f t="shared" si="11"/>
        <v>0</v>
      </c>
      <c r="AF25" s="327"/>
      <c r="AK25" s="311"/>
    </row>
    <row r="26" spans="2:37" x14ac:dyDescent="0.3">
      <c r="B26" s="11"/>
      <c r="C26" s="101" t="s">
        <v>105</v>
      </c>
      <c r="D26" s="100"/>
      <c r="E26" s="100"/>
      <c r="F26" s="100"/>
      <c r="G26" s="100"/>
      <c r="H26" s="100"/>
      <c r="I26" s="100"/>
      <c r="J26" s="100"/>
      <c r="K26" s="100"/>
      <c r="L26" s="126"/>
      <c r="M26" s="126"/>
      <c r="N26" s="135"/>
      <c r="O26" s="337">
        <f t="shared" si="11"/>
        <v>3503.5966940979979</v>
      </c>
      <c r="P26" s="126">
        <f t="shared" si="11"/>
        <v>750.88812405392548</v>
      </c>
      <c r="Q26" s="126">
        <f t="shared" si="11"/>
        <v>547.01210909817348</v>
      </c>
      <c r="R26" s="126">
        <f t="shared" si="11"/>
        <v>643.76891320955599</v>
      </c>
      <c r="S26" s="126">
        <f t="shared" si="11"/>
        <v>650.37817035291494</v>
      </c>
      <c r="T26" s="126">
        <f t="shared" si="11"/>
        <v>625.4316198655041</v>
      </c>
      <c r="U26" s="126">
        <f t="shared" si="11"/>
        <v>760.47036461075265</v>
      </c>
      <c r="V26" s="126">
        <f t="shared" si="11"/>
        <v>843.4806507410708</v>
      </c>
      <c r="W26" s="126">
        <f t="shared" si="11"/>
        <v>852.38398505454256</v>
      </c>
      <c r="X26" s="135">
        <f t="shared" si="11"/>
        <v>826.15084411239832</v>
      </c>
      <c r="Y26" s="337">
        <f t="shared" si="11"/>
        <v>6499.9647810988372</v>
      </c>
      <c r="Z26" s="337">
        <f t="shared" si="11"/>
        <v>10003.561475196837</v>
      </c>
      <c r="AA26" s="126">
        <f t="shared" si="11"/>
        <v>7509.9377138864511</v>
      </c>
      <c r="AB26" s="126">
        <f t="shared" si="11"/>
        <v>8208.2991265139608</v>
      </c>
      <c r="AC26" s="126">
        <f t="shared" si="11"/>
        <v>8741.2029903438961</v>
      </c>
      <c r="AD26" s="135">
        <f t="shared" si="11"/>
        <v>9646.0644474525943</v>
      </c>
      <c r="AF26" s="327"/>
      <c r="AK26" s="311"/>
    </row>
    <row r="27" spans="2:37" x14ac:dyDescent="0.3">
      <c r="B27" s="11"/>
      <c r="C27" s="11" t="s">
        <v>239</v>
      </c>
      <c r="D27" s="11"/>
      <c r="E27" s="11"/>
      <c r="F27" s="11"/>
      <c r="G27" s="11"/>
      <c r="H27" s="11"/>
      <c r="I27" s="11"/>
      <c r="J27" s="11"/>
      <c r="K27" s="11"/>
      <c r="L27" s="13"/>
      <c r="M27" s="13"/>
      <c r="N27" s="124"/>
      <c r="O27" s="326">
        <f>SUM(O28:O33)</f>
        <v>11166.591593395999</v>
      </c>
      <c r="P27" s="13">
        <f t="shared" ref="P27:AD27" si="12">SUM(P28:P33)</f>
        <v>5109.0288731910878</v>
      </c>
      <c r="Q27" s="13">
        <f t="shared" si="12"/>
        <v>3499.5653319755006</v>
      </c>
      <c r="R27" s="13">
        <f t="shared" si="12"/>
        <v>4136.6787604710862</v>
      </c>
      <c r="S27" s="13">
        <f t="shared" si="12"/>
        <v>4289.4028110212548</v>
      </c>
      <c r="T27" s="13">
        <f t="shared" si="12"/>
        <v>4029.5066329005103</v>
      </c>
      <c r="U27" s="13">
        <f t="shared" si="12"/>
        <v>5177.2875289060739</v>
      </c>
      <c r="V27" s="13">
        <f t="shared" si="12"/>
        <v>5339.6176199157326</v>
      </c>
      <c r="W27" s="13">
        <f t="shared" si="12"/>
        <v>5779.2385603705598</v>
      </c>
      <c r="X27" s="124">
        <f t="shared" si="12"/>
        <v>5478.2163958046485</v>
      </c>
      <c r="Y27" s="326">
        <f t="shared" si="12"/>
        <v>42838.542514556451</v>
      </c>
      <c r="Z27" s="326">
        <f t="shared" si="12"/>
        <v>54005.134107952457</v>
      </c>
      <c r="AA27" s="13">
        <f t="shared" si="12"/>
        <v>48578.282997000555</v>
      </c>
      <c r="AB27" s="13">
        <f t="shared" si="12"/>
        <v>52981.118197902048</v>
      </c>
      <c r="AC27" s="13">
        <f t="shared" si="12"/>
        <v>56104.770463568602</v>
      </c>
      <c r="AD27" s="13">
        <f t="shared" si="12"/>
        <v>62149.039660914612</v>
      </c>
      <c r="AE27" s="151"/>
      <c r="AF27" s="327"/>
      <c r="AK27" s="311"/>
    </row>
    <row r="28" spans="2:37" x14ac:dyDescent="0.3">
      <c r="D28" s="3" t="s">
        <v>146</v>
      </c>
      <c r="L28" s="16"/>
      <c r="M28" s="16"/>
      <c r="N28" s="15"/>
      <c r="O28" s="246">
        <f>O44</f>
        <v>0</v>
      </c>
      <c r="P28" s="16">
        <f t="shared" ref="P28:AD28" si="13">P44</f>
        <v>531.09047207704316</v>
      </c>
      <c r="Q28" s="16">
        <f t="shared" si="13"/>
        <v>0</v>
      </c>
      <c r="R28" s="16">
        <f t="shared" si="13"/>
        <v>0</v>
      </c>
      <c r="S28" s="16">
        <f t="shared" si="13"/>
        <v>261.73028079052813</v>
      </c>
      <c r="T28" s="16">
        <f t="shared" si="13"/>
        <v>261.73028079052813</v>
      </c>
      <c r="U28" s="16">
        <f t="shared" si="13"/>
        <v>261.73028079052813</v>
      </c>
      <c r="V28" s="16">
        <f t="shared" si="13"/>
        <v>0</v>
      </c>
      <c r="W28" s="16">
        <f t="shared" si="13"/>
        <v>255.66287856100672</v>
      </c>
      <c r="X28" s="15">
        <f t="shared" si="13"/>
        <v>255.66287856100672</v>
      </c>
      <c r="Y28" s="246">
        <f t="shared" si="13"/>
        <v>1827.607071570641</v>
      </c>
      <c r="Z28" s="246">
        <f t="shared" si="13"/>
        <v>1827.607071570641</v>
      </c>
      <c r="AA28" s="16">
        <f t="shared" si="13"/>
        <v>1734.6981275416188</v>
      </c>
      <c r="AB28" s="16">
        <f t="shared" si="13"/>
        <v>1974.3489419891253</v>
      </c>
      <c r="AC28" s="16">
        <f t="shared" si="13"/>
        <v>1982.629047706708</v>
      </c>
      <c r="AD28" s="16">
        <f t="shared" si="13"/>
        <v>3277.0293470404995</v>
      </c>
      <c r="AF28" s="327"/>
      <c r="AK28" s="311"/>
    </row>
    <row r="29" spans="2:37" x14ac:dyDescent="0.3">
      <c r="D29" s="3" t="s">
        <v>147</v>
      </c>
      <c r="L29" s="16"/>
      <c r="M29" s="16"/>
      <c r="N29" s="15"/>
      <c r="O29" s="246">
        <f>O51</f>
        <v>5373.000780110001</v>
      </c>
      <c r="P29" s="16">
        <f t="shared" ref="P29:AD29" si="14">P51</f>
        <v>2517.0579495462366</v>
      </c>
      <c r="Q29" s="16">
        <f t="shared" si="14"/>
        <v>2072.8712525674887</v>
      </c>
      <c r="R29" s="16">
        <f t="shared" si="14"/>
        <v>2072.8712525674887</v>
      </c>
      <c r="S29" s="16">
        <f t="shared" si="14"/>
        <v>2918.701929610213</v>
      </c>
      <c r="T29" s="16">
        <f t="shared" si="14"/>
        <v>2626.8317366491915</v>
      </c>
      <c r="U29" s="16">
        <f t="shared" si="14"/>
        <v>3356.5072190517449</v>
      </c>
      <c r="V29" s="16">
        <f t="shared" si="14"/>
        <v>3706.3531783615131</v>
      </c>
      <c r="W29" s="16">
        <f t="shared" si="14"/>
        <v>2708.488861110337</v>
      </c>
      <c r="X29" s="15">
        <f t="shared" si="14"/>
        <v>2851.0409064319329</v>
      </c>
      <c r="Y29" s="246">
        <f t="shared" si="14"/>
        <v>24830.724285896147</v>
      </c>
      <c r="Z29" s="246">
        <f t="shared" si="14"/>
        <v>30203.725066006147</v>
      </c>
      <c r="AA29" s="16">
        <f t="shared" si="14"/>
        <v>29508.03307466285</v>
      </c>
      <c r="AB29" s="16">
        <f t="shared" si="14"/>
        <v>31962.625605098288</v>
      </c>
      <c r="AC29" s="16">
        <f t="shared" si="14"/>
        <v>33744.316113645684</v>
      </c>
      <c r="AD29" s="16">
        <f t="shared" si="14"/>
        <v>35716.975016269898</v>
      </c>
      <c r="AF29" s="327"/>
      <c r="AK29" s="311"/>
    </row>
    <row r="30" spans="2:37" x14ac:dyDescent="0.3">
      <c r="D30" s="3" t="s">
        <v>148</v>
      </c>
      <c r="L30" s="16"/>
      <c r="M30" s="16"/>
      <c r="N30" s="15"/>
      <c r="O30" s="246">
        <f>O58</f>
        <v>1366.3214525999999</v>
      </c>
      <c r="P30" s="16">
        <f t="shared" ref="P30:AD30" si="15">P58</f>
        <v>525.16458996548988</v>
      </c>
      <c r="Q30" s="16">
        <f t="shared" si="15"/>
        <v>525.16458996548988</v>
      </c>
      <c r="R30" s="16">
        <f t="shared" si="15"/>
        <v>656.45573745686238</v>
      </c>
      <c r="S30" s="16">
        <f t="shared" si="15"/>
        <v>517.61981364625467</v>
      </c>
      <c r="T30" s="16">
        <f t="shared" si="15"/>
        <v>388.21486023469095</v>
      </c>
      <c r="U30" s="16">
        <f t="shared" si="15"/>
        <v>647.02476705781828</v>
      </c>
      <c r="V30" s="16">
        <f t="shared" si="15"/>
        <v>505.62040875555613</v>
      </c>
      <c r="W30" s="16">
        <f t="shared" si="15"/>
        <v>632.02551094444516</v>
      </c>
      <c r="X30" s="15">
        <f t="shared" si="15"/>
        <v>632.02551094444516</v>
      </c>
      <c r="Y30" s="246">
        <f t="shared" si="15"/>
        <v>5029.3157889710519</v>
      </c>
      <c r="Z30" s="246">
        <f t="shared" si="15"/>
        <v>6395.6372415710521</v>
      </c>
      <c r="AA30" s="16">
        <f t="shared" si="15"/>
        <v>6278.0106252774058</v>
      </c>
      <c r="AB30" s="16">
        <f t="shared" si="15"/>
        <v>6969.8268073559293</v>
      </c>
      <c r="AC30" s="16">
        <f t="shared" si="15"/>
        <v>7842.6019782807753</v>
      </c>
      <c r="AD30" s="16">
        <f t="shared" si="15"/>
        <v>9320.9241091696695</v>
      </c>
      <c r="AF30" s="327"/>
      <c r="AK30" s="311"/>
    </row>
    <row r="31" spans="2:37" x14ac:dyDescent="0.3">
      <c r="D31" s="3" t="s">
        <v>149</v>
      </c>
      <c r="L31" s="16"/>
      <c r="M31" s="16"/>
      <c r="N31" s="15"/>
      <c r="O31" s="246">
        <f>O65</f>
        <v>1257.8083428</v>
      </c>
      <c r="P31" s="16">
        <f t="shared" ref="P31:AD31" si="16">P65</f>
        <v>847.66473815115785</v>
      </c>
      <c r="Q31" s="16">
        <f t="shared" si="16"/>
        <v>423.83236907557892</v>
      </c>
      <c r="R31" s="16">
        <f t="shared" si="16"/>
        <v>847.66473815115785</v>
      </c>
      <c r="S31" s="16">
        <f t="shared" si="16"/>
        <v>0</v>
      </c>
      <c r="T31" s="16">
        <f t="shared" si="16"/>
        <v>0</v>
      </c>
      <c r="U31" s="16">
        <f t="shared" si="16"/>
        <v>0</v>
      </c>
      <c r="V31" s="16">
        <f t="shared" si="16"/>
        <v>0</v>
      </c>
      <c r="W31" s="16">
        <f t="shared" si="16"/>
        <v>816.11860277903406</v>
      </c>
      <c r="X31" s="15">
        <f t="shared" si="16"/>
        <v>408.05930138951703</v>
      </c>
      <c r="Y31" s="246">
        <f t="shared" si="16"/>
        <v>3343.339749546446</v>
      </c>
      <c r="Z31" s="246">
        <f t="shared" si="16"/>
        <v>4601.148092346446</v>
      </c>
      <c r="AA31" s="16">
        <f t="shared" si="16"/>
        <v>4323.1379119710737</v>
      </c>
      <c r="AB31" s="16">
        <f t="shared" si="16"/>
        <v>4701.1892093845272</v>
      </c>
      <c r="AC31" s="16">
        <f t="shared" si="16"/>
        <v>4725.8660297179767</v>
      </c>
      <c r="AD31" s="16">
        <f t="shared" si="16"/>
        <v>5214.1850808924537</v>
      </c>
      <c r="AF31" s="327"/>
      <c r="AK31" s="311"/>
    </row>
    <row r="32" spans="2:37" x14ac:dyDescent="0.3">
      <c r="D32" s="3" t="s">
        <v>150</v>
      </c>
      <c r="L32" s="16"/>
      <c r="M32" s="16"/>
      <c r="N32" s="15"/>
      <c r="O32" s="246">
        <f>O72</f>
        <v>401.73922139999996</v>
      </c>
      <c r="P32" s="16">
        <f t="shared" ref="P32:AD32" si="17">P72</f>
        <v>0</v>
      </c>
      <c r="Q32" s="16">
        <f t="shared" si="17"/>
        <v>0</v>
      </c>
      <c r="R32" s="16">
        <f t="shared" si="17"/>
        <v>0</v>
      </c>
      <c r="S32" s="16">
        <f t="shared" si="17"/>
        <v>0</v>
      </c>
      <c r="T32" s="16">
        <f t="shared" si="17"/>
        <v>198.86439609956128</v>
      </c>
      <c r="U32" s="16">
        <f t="shared" si="17"/>
        <v>198.86439609956128</v>
      </c>
      <c r="V32" s="16">
        <f t="shared" si="17"/>
        <v>388.5086876195337</v>
      </c>
      <c r="W32" s="16">
        <f t="shared" si="17"/>
        <v>582.76303142930055</v>
      </c>
      <c r="X32" s="15">
        <f t="shared" si="17"/>
        <v>582.76303142930055</v>
      </c>
      <c r="Y32" s="246">
        <f t="shared" si="17"/>
        <v>1951.7635426772574</v>
      </c>
      <c r="Z32" s="246">
        <f t="shared" si="17"/>
        <v>2353.5027640772573</v>
      </c>
      <c r="AA32" s="16">
        <f t="shared" si="17"/>
        <v>0</v>
      </c>
      <c r="AB32" s="16">
        <f t="shared" si="17"/>
        <v>0</v>
      </c>
      <c r="AC32" s="16">
        <f t="shared" si="17"/>
        <v>0</v>
      </c>
      <c r="AD32" s="16">
        <f t="shared" si="17"/>
        <v>0</v>
      </c>
      <c r="AF32" s="327"/>
      <c r="AK32" s="311"/>
    </row>
    <row r="33" spans="1:37" x14ac:dyDescent="0.3">
      <c r="D33" s="3" t="s">
        <v>105</v>
      </c>
      <c r="L33" s="16"/>
      <c r="M33" s="16"/>
      <c r="N33" s="15"/>
      <c r="O33" s="246">
        <f>O79</f>
        <v>2767.7217964859983</v>
      </c>
      <c r="P33" s="16">
        <f t="shared" ref="P33:AD33" si="18">P79</f>
        <v>688.05112345116015</v>
      </c>
      <c r="Q33" s="16">
        <f t="shared" si="18"/>
        <v>477.69712036694318</v>
      </c>
      <c r="R33" s="16">
        <f t="shared" si="18"/>
        <v>559.6870322955765</v>
      </c>
      <c r="S33" s="16">
        <f t="shared" si="18"/>
        <v>591.35078697425888</v>
      </c>
      <c r="T33" s="16">
        <f t="shared" si="18"/>
        <v>553.86535912653858</v>
      </c>
      <c r="U33" s="16">
        <f t="shared" si="18"/>
        <v>713.16086590642158</v>
      </c>
      <c r="V33" s="16">
        <f t="shared" si="18"/>
        <v>739.13534517912967</v>
      </c>
      <c r="W33" s="16">
        <f t="shared" si="18"/>
        <v>784.17967554643542</v>
      </c>
      <c r="X33" s="15">
        <f>X79</f>
        <v>748.66476704844627</v>
      </c>
      <c r="Y33" s="246">
        <f>Y79</f>
        <v>5855.7920758949094</v>
      </c>
      <c r="Z33" s="246">
        <f t="shared" si="18"/>
        <v>8623.5138723809087</v>
      </c>
      <c r="AA33" s="16">
        <f t="shared" si="18"/>
        <v>6734.403257547604</v>
      </c>
      <c r="AB33" s="16">
        <f t="shared" si="18"/>
        <v>7373.127634074177</v>
      </c>
      <c r="AC33" s="16">
        <f t="shared" si="18"/>
        <v>7809.3572942174587</v>
      </c>
      <c r="AD33" s="16">
        <f t="shared" si="18"/>
        <v>8619.9261075420964</v>
      </c>
      <c r="AF33" s="327"/>
      <c r="AK33" s="311"/>
    </row>
    <row r="34" spans="1:37" x14ac:dyDescent="0.3">
      <c r="B34" s="11"/>
      <c r="C34" s="11" t="s">
        <v>240</v>
      </c>
      <c r="D34" s="11"/>
      <c r="E34" s="11"/>
      <c r="F34" s="11"/>
      <c r="G34" s="11"/>
      <c r="H34" s="11"/>
      <c r="I34" s="11"/>
      <c r="J34" s="11"/>
      <c r="K34" s="11"/>
      <c r="L34" s="13"/>
      <c r="M34" s="13"/>
      <c r="N34" s="124"/>
      <c r="O34" s="326">
        <f>SUM(O35:O40)</f>
        <v>2787.1951199320001</v>
      </c>
      <c r="P34" s="13">
        <f t="shared" ref="P34:AD34" si="19">SUM(P35:P40)</f>
        <v>918.63002641122557</v>
      </c>
      <c r="Q34" s="13">
        <f t="shared" si="19"/>
        <v>1033.8179986289022</v>
      </c>
      <c r="R34" s="13">
        <f t="shared" si="19"/>
        <v>1239.6225044213245</v>
      </c>
      <c r="S34" s="13">
        <f t="shared" si="19"/>
        <v>879.27560535873135</v>
      </c>
      <c r="T34" s="13">
        <f t="shared" si="19"/>
        <v>1045.4627941109986</v>
      </c>
      <c r="U34" s="13">
        <f t="shared" si="19"/>
        <v>699.30078283580929</v>
      </c>
      <c r="V34" s="13">
        <f t="shared" si="19"/>
        <v>1571.5493530282374</v>
      </c>
      <c r="W34" s="13">
        <f t="shared" si="19"/>
        <v>985.68245223669874</v>
      </c>
      <c r="X34" s="124">
        <f t="shared" si="19"/>
        <v>1122.3395987469937</v>
      </c>
      <c r="Y34" s="326">
        <f t="shared" si="19"/>
        <v>9495.6811157789216</v>
      </c>
      <c r="Z34" s="326">
        <f t="shared" si="19"/>
        <v>12282.876235710923</v>
      </c>
      <c r="AA34" s="13">
        <f t="shared" si="19"/>
        <v>11152.743247339258</v>
      </c>
      <c r="AB34" s="13">
        <f t="shared" si="19"/>
        <v>11944.974714494014</v>
      </c>
      <c r="AC34" s="13">
        <f t="shared" si="19"/>
        <v>13337.845072163307</v>
      </c>
      <c r="AD34" s="13">
        <f t="shared" si="19"/>
        <v>14773.923241238897</v>
      </c>
      <c r="AE34" s="151"/>
      <c r="AF34" s="327"/>
      <c r="AK34" s="311"/>
    </row>
    <row r="35" spans="1:37" x14ac:dyDescent="0.3">
      <c r="D35" s="3" t="s">
        <v>146</v>
      </c>
      <c r="L35" s="16"/>
      <c r="M35" s="16"/>
      <c r="N35" s="15"/>
      <c r="O35" s="246">
        <f>O94</f>
        <v>0</v>
      </c>
      <c r="P35" s="16">
        <f t="shared" ref="P35:AD35" si="20">P94</f>
        <v>0</v>
      </c>
      <c r="Q35" s="16">
        <f t="shared" si="20"/>
        <v>241.00891328977784</v>
      </c>
      <c r="R35" s="16">
        <f t="shared" si="20"/>
        <v>0</v>
      </c>
      <c r="S35" s="16">
        <f t="shared" si="20"/>
        <v>237.54645908692913</v>
      </c>
      <c r="T35" s="16">
        <f t="shared" si="20"/>
        <v>0</v>
      </c>
      <c r="U35" s="16">
        <f t="shared" si="20"/>
        <v>0</v>
      </c>
      <c r="V35" s="16">
        <f t="shared" si="20"/>
        <v>232.03968351963255</v>
      </c>
      <c r="W35" s="16">
        <f t="shared" si="20"/>
        <v>0</v>
      </c>
      <c r="X35" s="15">
        <f>X94</f>
        <v>0</v>
      </c>
      <c r="Y35" s="246">
        <f>Y94</f>
        <v>710.59505589633955</v>
      </c>
      <c r="Z35" s="246">
        <f t="shared" si="20"/>
        <v>710.59505589633955</v>
      </c>
      <c r="AA35" s="16">
        <f t="shared" si="20"/>
        <v>673.23334118059404</v>
      </c>
      <c r="AB35" s="16">
        <f t="shared" si="20"/>
        <v>669.18647467105677</v>
      </c>
      <c r="AC35" s="16">
        <f t="shared" si="20"/>
        <v>898.31060086006232</v>
      </c>
      <c r="AD35" s="16">
        <f t="shared" si="20"/>
        <v>1372.2073735631175</v>
      </c>
      <c r="AF35" s="327"/>
      <c r="AK35" s="311"/>
    </row>
    <row r="36" spans="1:37" x14ac:dyDescent="0.3">
      <c r="D36" s="3" t="s">
        <v>147</v>
      </c>
      <c r="L36" s="16"/>
      <c r="M36" s="16"/>
      <c r="N36" s="15"/>
      <c r="O36" s="246">
        <f>O101</f>
        <v>1505.26084982</v>
      </c>
      <c r="P36" s="16">
        <f t="shared" ref="P36:AD36" si="21">P101</f>
        <v>661.4946460028317</v>
      </c>
      <c r="Q36" s="16">
        <f t="shared" si="21"/>
        <v>529.19571680226545</v>
      </c>
      <c r="R36" s="16">
        <f t="shared" si="21"/>
        <v>1058.3914336045309</v>
      </c>
      <c r="S36" s="16">
        <f t="shared" si="21"/>
        <v>391.19477047888694</v>
      </c>
      <c r="T36" s="16">
        <f t="shared" si="21"/>
        <v>782.38954095777387</v>
      </c>
      <c r="U36" s="16">
        <f t="shared" si="21"/>
        <v>651.99128413147821</v>
      </c>
      <c r="V36" s="16">
        <f t="shared" si="21"/>
        <v>764.25227372670133</v>
      </c>
      <c r="W36" s="16">
        <f t="shared" si="21"/>
        <v>636.87689477225115</v>
      </c>
      <c r="X36" s="15">
        <f>X101</f>
        <v>764.25227372670133</v>
      </c>
      <c r="Y36" s="246">
        <f>Y101</f>
        <v>6240.0388342034203</v>
      </c>
      <c r="Z36" s="246">
        <f t="shared" si="21"/>
        <v>7745.29968402342</v>
      </c>
      <c r="AA36" s="16">
        <f t="shared" si="21"/>
        <v>7660.4270380013531</v>
      </c>
      <c r="AB36" s="16">
        <f t="shared" si="21"/>
        <v>8308.9343403964631</v>
      </c>
      <c r="AC36" s="16">
        <f t="shared" si="21"/>
        <v>8710.6650236137521</v>
      </c>
      <c r="AD36" s="16">
        <f t="shared" si="21"/>
        <v>9431.2825813869549</v>
      </c>
      <c r="AF36" s="327"/>
      <c r="AK36" s="311"/>
    </row>
    <row r="37" spans="1:37" x14ac:dyDescent="0.3">
      <c r="D37" s="3" t="s">
        <v>148</v>
      </c>
      <c r="L37" s="16"/>
      <c r="M37" s="16"/>
      <c r="N37" s="15"/>
      <c r="O37" s="246">
        <f>O108</f>
        <v>447.13501480000002</v>
      </c>
      <c r="P37" s="16">
        <f t="shared" ref="P37:AD37" si="22">P108</f>
        <v>194.29837980562849</v>
      </c>
      <c r="Q37" s="16">
        <f t="shared" si="22"/>
        <v>194.29837980562849</v>
      </c>
      <c r="R37" s="16">
        <f t="shared" si="22"/>
        <v>97.149189902814243</v>
      </c>
      <c r="S37" s="16">
        <f t="shared" si="22"/>
        <v>191.50699241425923</v>
      </c>
      <c r="T37" s="16">
        <f t="shared" si="22"/>
        <v>191.50699241425923</v>
      </c>
      <c r="U37" s="16">
        <f t="shared" si="22"/>
        <v>0</v>
      </c>
      <c r="V37" s="16">
        <f t="shared" si="22"/>
        <v>187.06749863756025</v>
      </c>
      <c r="W37" s="16">
        <f t="shared" si="22"/>
        <v>280.60124795634039</v>
      </c>
      <c r="X37" s="15">
        <f>X108</f>
        <v>280.60124795634039</v>
      </c>
      <c r="Y37" s="246">
        <f>Y108</f>
        <v>1617.0299288928306</v>
      </c>
      <c r="Z37" s="246">
        <f t="shared" si="22"/>
        <v>2064.1649436928305</v>
      </c>
      <c r="AA37" s="16">
        <f t="shared" si="22"/>
        <v>2043.5484118184627</v>
      </c>
      <c r="AB37" s="16">
        <f t="shared" si="22"/>
        <v>2131.6824069867107</v>
      </c>
      <c r="AC37" s="16">
        <f t="shared" si="22"/>
        <v>2797.0237515630556</v>
      </c>
      <c r="AD37" s="16">
        <f t="shared" si="22"/>
        <v>2944.2949463783266</v>
      </c>
      <c r="AF37" s="327"/>
      <c r="AK37" s="311"/>
    </row>
    <row r="38" spans="1:37" x14ac:dyDescent="0.3">
      <c r="D38" s="3" t="s">
        <v>149</v>
      </c>
      <c r="L38" s="16"/>
      <c r="M38" s="16"/>
      <c r="N38" s="15"/>
      <c r="O38" s="246">
        <f>O115</f>
        <v>0</v>
      </c>
      <c r="P38" s="16">
        <f t="shared" ref="P38:AD38" si="23">P115</f>
        <v>0</v>
      </c>
      <c r="Q38" s="16">
        <f t="shared" si="23"/>
        <v>0</v>
      </c>
      <c r="R38" s="16">
        <f t="shared" si="23"/>
        <v>0</v>
      </c>
      <c r="S38" s="16">
        <f t="shared" si="23"/>
        <v>0</v>
      </c>
      <c r="T38" s="16">
        <f t="shared" si="23"/>
        <v>0</v>
      </c>
      <c r="U38" s="16">
        <f t="shared" si="23"/>
        <v>0</v>
      </c>
      <c r="V38" s="16">
        <f t="shared" si="23"/>
        <v>0</v>
      </c>
      <c r="W38" s="16">
        <f t="shared" si="23"/>
        <v>0</v>
      </c>
      <c r="X38" s="15">
        <f>X115</f>
        <v>0</v>
      </c>
      <c r="Y38" s="246">
        <f>Y115</f>
        <v>0</v>
      </c>
      <c r="Z38" s="246">
        <f t="shared" si="23"/>
        <v>0</v>
      </c>
      <c r="AA38" s="16">
        <f t="shared" si="23"/>
        <v>0</v>
      </c>
      <c r="AB38" s="16">
        <f t="shared" si="23"/>
        <v>0</v>
      </c>
      <c r="AC38" s="16">
        <f t="shared" si="23"/>
        <v>0</v>
      </c>
      <c r="AD38" s="16">
        <f t="shared" si="23"/>
        <v>0</v>
      </c>
      <c r="AF38" s="327"/>
      <c r="AK38" s="311"/>
    </row>
    <row r="39" spans="1:37" x14ac:dyDescent="0.3">
      <c r="D39" s="3" t="s">
        <v>150</v>
      </c>
      <c r="L39" s="16"/>
      <c r="M39" s="16"/>
      <c r="N39" s="15"/>
      <c r="O39" s="246">
        <f>O122</f>
        <v>98.924357700000002</v>
      </c>
      <c r="P39" s="16">
        <f t="shared" ref="P39:AD39" si="24">P122</f>
        <v>0</v>
      </c>
      <c r="Q39" s="16">
        <f t="shared" si="24"/>
        <v>0</v>
      </c>
      <c r="R39" s="16">
        <f t="shared" si="24"/>
        <v>0</v>
      </c>
      <c r="S39" s="16">
        <f t="shared" si="24"/>
        <v>0</v>
      </c>
      <c r="T39" s="16">
        <f t="shared" si="24"/>
        <v>0</v>
      </c>
      <c r="U39" s="16">
        <f t="shared" si="24"/>
        <v>0</v>
      </c>
      <c r="V39" s="16">
        <f t="shared" si="24"/>
        <v>283.8445915824023</v>
      </c>
      <c r="W39" s="16">
        <f t="shared" si="24"/>
        <v>0</v>
      </c>
      <c r="X39" s="15">
        <f>X122</f>
        <v>0</v>
      </c>
      <c r="Y39" s="246">
        <f>Y122</f>
        <v>283.8445915824023</v>
      </c>
      <c r="Z39" s="246">
        <f t="shared" si="24"/>
        <v>382.76894928240233</v>
      </c>
      <c r="AA39" s="16">
        <f t="shared" si="24"/>
        <v>0</v>
      </c>
      <c r="AB39" s="16">
        <f t="shared" si="24"/>
        <v>0</v>
      </c>
      <c r="AC39" s="16">
        <f t="shared" si="24"/>
        <v>0</v>
      </c>
      <c r="AD39" s="16">
        <f t="shared" si="24"/>
        <v>0</v>
      </c>
      <c r="AF39" s="327"/>
      <c r="AK39" s="311"/>
    </row>
    <row r="40" spans="1:37" x14ac:dyDescent="0.3">
      <c r="B40" s="92"/>
      <c r="C40" s="92"/>
      <c r="D40" s="92" t="s">
        <v>105</v>
      </c>
      <c r="E40" s="92"/>
      <c r="F40" s="92"/>
      <c r="G40" s="92"/>
      <c r="H40" s="92"/>
      <c r="I40" s="92"/>
      <c r="J40" s="92"/>
      <c r="K40" s="92"/>
      <c r="L40" s="130"/>
      <c r="M40" s="130"/>
      <c r="N40" s="131"/>
      <c r="O40" s="330">
        <f>O129</f>
        <v>735.87489761199981</v>
      </c>
      <c r="P40" s="130">
        <f t="shared" ref="P40:AD40" si="25">P129</f>
        <v>62.837000602765329</v>
      </c>
      <c r="Q40" s="130">
        <f t="shared" si="25"/>
        <v>69.314988731230329</v>
      </c>
      <c r="R40" s="130">
        <f t="shared" si="25"/>
        <v>84.081880913979475</v>
      </c>
      <c r="S40" s="130">
        <f t="shared" si="25"/>
        <v>59.027383378656083</v>
      </c>
      <c r="T40" s="130">
        <f t="shared" si="25"/>
        <v>71.566260738965482</v>
      </c>
      <c r="U40" s="130">
        <f t="shared" si="25"/>
        <v>47.309498704331034</v>
      </c>
      <c r="V40" s="130">
        <f t="shared" si="25"/>
        <v>104.3453055619411</v>
      </c>
      <c r="W40" s="130">
        <f t="shared" si="25"/>
        <v>68.204309508107144</v>
      </c>
      <c r="X40" s="131">
        <f>X129</f>
        <v>77.486077063952109</v>
      </c>
      <c r="Y40" s="330">
        <f>Y129</f>
        <v>644.17270520392822</v>
      </c>
      <c r="Z40" s="330">
        <f t="shared" si="25"/>
        <v>1380.047602815928</v>
      </c>
      <c r="AA40" s="130">
        <f t="shared" si="25"/>
        <v>775.53445633884735</v>
      </c>
      <c r="AB40" s="130">
        <f t="shared" si="25"/>
        <v>835.17149243978383</v>
      </c>
      <c r="AC40" s="130">
        <f t="shared" si="25"/>
        <v>931.84569612643668</v>
      </c>
      <c r="AD40" s="130">
        <f t="shared" si="25"/>
        <v>1026.1383399104982</v>
      </c>
      <c r="AF40" s="327"/>
      <c r="AK40" s="311"/>
    </row>
    <row r="41" spans="1:37" x14ac:dyDescent="0.3">
      <c r="AF41" s="327"/>
      <c r="AK41" s="311"/>
    </row>
    <row r="42" spans="1:37" x14ac:dyDescent="0.3">
      <c r="B42" s="8"/>
      <c r="C42" s="8"/>
      <c r="D42" s="8"/>
      <c r="E42" s="8"/>
      <c r="F42" s="8"/>
      <c r="G42" s="8"/>
      <c r="H42" s="8"/>
      <c r="I42" s="8"/>
      <c r="J42" s="8"/>
      <c r="K42" s="8"/>
      <c r="L42" s="9" t="s">
        <v>182</v>
      </c>
      <c r="M42" s="9" t="s">
        <v>183</v>
      </c>
      <c r="N42" s="10" t="s">
        <v>184</v>
      </c>
      <c r="O42" s="244" t="s">
        <v>4</v>
      </c>
      <c r="P42" s="9" t="s">
        <v>215</v>
      </c>
      <c r="Q42" s="9" t="s">
        <v>216</v>
      </c>
      <c r="R42" s="9" t="s">
        <v>217</v>
      </c>
      <c r="S42" s="9" t="s">
        <v>218</v>
      </c>
      <c r="T42" s="9" t="s">
        <v>219</v>
      </c>
      <c r="U42" s="9" t="s">
        <v>220</v>
      </c>
      <c r="V42" s="9" t="s">
        <v>221</v>
      </c>
      <c r="W42" s="9" t="s">
        <v>222</v>
      </c>
      <c r="X42" s="10" t="s">
        <v>223</v>
      </c>
      <c r="Y42" s="9" t="s">
        <v>294</v>
      </c>
      <c r="Z42" s="244" t="s">
        <v>197</v>
      </c>
      <c r="AA42" s="9" t="s">
        <v>198</v>
      </c>
      <c r="AB42" s="9" t="s">
        <v>199</v>
      </c>
      <c r="AC42" s="9" t="s">
        <v>200</v>
      </c>
      <c r="AD42" s="9" t="s">
        <v>201</v>
      </c>
      <c r="AF42" s="327"/>
      <c r="AK42" s="311"/>
    </row>
    <row r="43" spans="1:37" x14ac:dyDescent="0.3">
      <c r="A43" s="338" t="s">
        <v>260</v>
      </c>
      <c r="B43" s="11" t="s">
        <v>239</v>
      </c>
      <c r="L43" s="16"/>
      <c r="M43" s="16"/>
      <c r="N43" s="15"/>
      <c r="O43" s="326">
        <f>O44+O51+O58+O65+O79+O72</f>
        <v>11166.591593395999</v>
      </c>
      <c r="P43" s="13">
        <f t="shared" ref="P43:AD43" si="26">P44+P51+P58+P65+P79+P72</f>
        <v>5109.0288731910878</v>
      </c>
      <c r="Q43" s="13">
        <f t="shared" si="26"/>
        <v>3499.5653319755006</v>
      </c>
      <c r="R43" s="13">
        <f t="shared" si="26"/>
        <v>4136.6787604710862</v>
      </c>
      <c r="S43" s="13">
        <f t="shared" si="26"/>
        <v>4289.4028110212548</v>
      </c>
      <c r="T43" s="13">
        <f t="shared" si="26"/>
        <v>4029.5066329005103</v>
      </c>
      <c r="U43" s="13">
        <f t="shared" si="26"/>
        <v>5177.2875289060739</v>
      </c>
      <c r="V43" s="13">
        <f t="shared" si="26"/>
        <v>5339.6176199157317</v>
      </c>
      <c r="W43" s="13">
        <f t="shared" si="26"/>
        <v>5779.2385603705588</v>
      </c>
      <c r="X43" s="124">
        <f t="shared" si="26"/>
        <v>5478.2163958046494</v>
      </c>
      <c r="Y43" s="13">
        <f t="shared" si="26"/>
        <v>42838.542514556451</v>
      </c>
      <c r="Z43" s="326">
        <f t="shared" si="26"/>
        <v>54005.134107952457</v>
      </c>
      <c r="AA43" s="13">
        <f>AA44+AA51+AA58+AA65+AA79+AA72</f>
        <v>48578.282997000555</v>
      </c>
      <c r="AB43" s="13">
        <f t="shared" si="26"/>
        <v>52981.118197902048</v>
      </c>
      <c r="AC43" s="13">
        <f t="shared" si="26"/>
        <v>56104.770463568602</v>
      </c>
      <c r="AD43" s="13">
        <f t="shared" si="26"/>
        <v>62149.039660914612</v>
      </c>
      <c r="AE43" s="151"/>
      <c r="AF43" s="327"/>
      <c r="AG43" s="322">
        <f>IF($E43="판매수량",$C41,)</f>
        <v>0</v>
      </c>
      <c r="AK43" s="311"/>
    </row>
    <row r="44" spans="1:37" x14ac:dyDescent="0.3">
      <c r="A44" s="338" t="s">
        <v>260</v>
      </c>
      <c r="B44" s="11"/>
      <c r="C44" s="3" t="s">
        <v>146</v>
      </c>
      <c r="L44" s="16"/>
      <c r="M44" s="16"/>
      <c r="N44" s="15"/>
      <c r="O44" s="246">
        <v>0</v>
      </c>
      <c r="P44" s="16">
        <f t="shared" ref="P44:X44" si="27">P45*P50/10^6</f>
        <v>531.09047207704316</v>
      </c>
      <c r="Q44" s="16">
        <f t="shared" si="27"/>
        <v>0</v>
      </c>
      <c r="R44" s="16">
        <f t="shared" si="27"/>
        <v>0</v>
      </c>
      <c r="S44" s="16">
        <f t="shared" si="27"/>
        <v>261.73028079052813</v>
      </c>
      <c r="T44" s="16">
        <f t="shared" si="27"/>
        <v>261.73028079052813</v>
      </c>
      <c r="U44" s="16">
        <f t="shared" si="27"/>
        <v>261.73028079052813</v>
      </c>
      <c r="V44" s="16">
        <f t="shared" si="27"/>
        <v>0</v>
      </c>
      <c r="W44" s="16">
        <f t="shared" si="27"/>
        <v>255.66287856100672</v>
      </c>
      <c r="X44" s="15">
        <f t="shared" si="27"/>
        <v>255.66287856100672</v>
      </c>
      <c r="Y44" s="16">
        <f>SUM(P44:X44)</f>
        <v>1827.607071570641</v>
      </c>
      <c r="Z44" s="246">
        <f>SUM(O44,Y44)</f>
        <v>1827.607071570641</v>
      </c>
      <c r="AA44" s="16">
        <f t="shared" ref="AA44:AD44" si="28">AA45*AA50/10^6</f>
        <v>1734.6981275416188</v>
      </c>
      <c r="AB44" s="16">
        <f t="shared" si="28"/>
        <v>1974.3489419891253</v>
      </c>
      <c r="AC44" s="16">
        <f t="shared" si="28"/>
        <v>1982.629047706708</v>
      </c>
      <c r="AD44" s="16">
        <f t="shared" si="28"/>
        <v>3277.0293470404995</v>
      </c>
      <c r="AE44" s="151"/>
      <c r="AF44" s="327"/>
      <c r="AG44" s="322">
        <f t="shared" ref="AG44:AG88" si="29">IF($E44="판매수량",$C42,)</f>
        <v>0</v>
      </c>
      <c r="AK44" s="311"/>
    </row>
    <row r="45" spans="1:37" x14ac:dyDescent="0.3">
      <c r="A45" s="338" t="s">
        <v>260</v>
      </c>
      <c r="B45" s="11"/>
      <c r="D45" s="3" t="s">
        <v>508</v>
      </c>
      <c r="L45" s="16"/>
      <c r="M45" s="16"/>
      <c r="N45" s="15"/>
      <c r="O45" s="246">
        <v>0</v>
      </c>
      <c r="P45" s="16">
        <f t="shared" ref="P45:X45" si="30">P46*P49</f>
        <v>405846.30297802476</v>
      </c>
      <c r="Q45" s="16">
        <f t="shared" si="30"/>
        <v>0</v>
      </c>
      <c r="R45" s="16">
        <f t="shared" si="30"/>
        <v>0</v>
      </c>
      <c r="S45" s="16">
        <f t="shared" si="30"/>
        <v>202923.15148901238</v>
      </c>
      <c r="T45" s="16">
        <f t="shared" si="30"/>
        <v>202923.15148901238</v>
      </c>
      <c r="U45" s="16">
        <f t="shared" si="30"/>
        <v>202923.15148901238</v>
      </c>
      <c r="V45" s="16">
        <f t="shared" si="30"/>
        <v>0</v>
      </c>
      <c r="W45" s="16">
        <f t="shared" si="30"/>
        <v>202923.15148901238</v>
      </c>
      <c r="X45" s="15">
        <f t="shared" si="30"/>
        <v>202923.15148901238</v>
      </c>
      <c r="Y45" s="16">
        <f>SUM(P45:X45)</f>
        <v>1420462.0604230866</v>
      </c>
      <c r="Z45" s="246">
        <f>Y45+O45</f>
        <v>1420462.0604230866</v>
      </c>
      <c r="AA45" s="16">
        <f t="shared" ref="AA45:AD45" si="31">AA46*AA49</f>
        <v>1428675.7762655402</v>
      </c>
      <c r="AB45" s="16">
        <f t="shared" si="31"/>
        <v>1642826.545173178</v>
      </c>
      <c r="AC45" s="16">
        <f t="shared" si="31"/>
        <v>1653155.2136302076</v>
      </c>
      <c r="AD45" s="16">
        <f t="shared" si="31"/>
        <v>2703819.5932677388</v>
      </c>
      <c r="AF45" s="327"/>
      <c r="AG45" s="322">
        <f t="shared" si="29"/>
        <v>0</v>
      </c>
      <c r="AK45" s="311"/>
    </row>
    <row r="46" spans="1:37" x14ac:dyDescent="0.3">
      <c r="A46" s="338" t="s">
        <v>260</v>
      </c>
      <c r="B46" s="11"/>
      <c r="E46" s="3" t="s">
        <v>324</v>
      </c>
      <c r="L46" s="16"/>
      <c r="M46" s="16"/>
      <c r="N46" s="15"/>
      <c r="O46" s="246">
        <v>0</v>
      </c>
      <c r="P46" s="16">
        <f>SUMIFS(INDEX(판매수량!$N$2:$V$82,0,MATCH(P$42,판매수량!$N$2:$V$2,0)),판매수량!$A$2:$A$82,$A46,판매수량!$B$2:$B$82,$AG46)</f>
        <v>2</v>
      </c>
      <c r="Q46" s="16">
        <f>SUMIFS(INDEX(판매수량!$N$2:$V$82,0,MATCH(Q$42,판매수량!$N$2:$V$2,0)),판매수량!$A$2:$A$82,$A46,판매수량!$B$2:$B$82,$AG46)</f>
        <v>0</v>
      </c>
      <c r="R46" s="16">
        <f>SUMIFS(INDEX(판매수량!$N$2:$V$82,0,MATCH(R$42,판매수량!$N$2:$V$2,0)),판매수량!$A$2:$A$82,$A46,판매수량!$B$2:$B$82,$AG46)</f>
        <v>0</v>
      </c>
      <c r="S46" s="16">
        <f>SUMIFS(INDEX(판매수량!$N$2:$V$82,0,MATCH(S$42,판매수량!$N$2:$V$2,0)),판매수량!$A$2:$A$82,$A46,판매수량!$B$2:$B$82,$AG46)</f>
        <v>1</v>
      </c>
      <c r="T46" s="16">
        <f>SUMIFS(INDEX(판매수량!$N$2:$V$82,0,MATCH(T$42,판매수량!$N$2:$V$2,0)),판매수량!$A$2:$A$82,$A46,판매수량!$B$2:$B$82,$AG46)</f>
        <v>1</v>
      </c>
      <c r="U46" s="16">
        <f>SUMIFS(INDEX(판매수량!$N$2:$V$82,0,MATCH(U$42,판매수량!$N$2:$V$2,0)),판매수량!$A$2:$A$82,$A46,판매수량!$B$2:$B$82,$AG46)</f>
        <v>1</v>
      </c>
      <c r="V46" s="16">
        <f>SUMIFS(INDEX(판매수량!$N$2:$V$82,0,MATCH(V$42,판매수량!$N$2:$V$2,0)),판매수량!$A$2:$A$82,$A46,판매수량!$B$2:$B$82,$AG46)</f>
        <v>0</v>
      </c>
      <c r="W46" s="16">
        <f>SUMIFS(INDEX(판매수량!$N$2:$V$82,0,MATCH(W$42,판매수량!$N$2:$V$2,0)),판매수량!$A$2:$A$82,$A46,판매수량!$B$2:$B$82,$AG46)</f>
        <v>1</v>
      </c>
      <c r="X46" s="15">
        <f>SUMIFS(INDEX(판매수량!$N$2:$V$82,0,MATCH(X$42,판매수량!$N$2:$V$2,0)),판매수량!$A$2:$A$82,$A46,판매수량!$B$2:$B$82,$AG46)</f>
        <v>1</v>
      </c>
      <c r="Y46" s="16">
        <f>SUM(P46:X46)</f>
        <v>7</v>
      </c>
      <c r="Z46" s="246">
        <f>SUM(O46,Y46)</f>
        <v>7</v>
      </c>
      <c r="AA46" s="16">
        <f>ROUND(AA47*AA48,)</f>
        <v>7</v>
      </c>
      <c r="AB46" s="16">
        <f>ROUND(AB47*AB48,)</f>
        <v>8</v>
      </c>
      <c r="AC46" s="16">
        <f>ROUND(AC47*AC48,)</f>
        <v>8</v>
      </c>
      <c r="AD46" s="16">
        <f>ROUND(AD47*AD48,)</f>
        <v>13</v>
      </c>
      <c r="AF46" s="327"/>
      <c r="AG46" s="322" t="str">
        <f t="shared" si="29"/>
        <v>5축</v>
      </c>
      <c r="AK46" s="311"/>
    </row>
    <row r="47" spans="1:37" x14ac:dyDescent="0.3">
      <c r="A47" s="338" t="s">
        <v>260</v>
      </c>
      <c r="B47" s="11"/>
      <c r="F47" s="3" t="s">
        <v>464</v>
      </c>
      <c r="L47" s="16"/>
      <c r="M47" s="16"/>
      <c r="N47" s="15"/>
      <c r="O47" s="306"/>
      <c r="P47" s="119"/>
      <c r="Q47" s="119"/>
      <c r="R47" s="119"/>
      <c r="S47" s="119"/>
      <c r="T47" s="119"/>
      <c r="U47" s="119"/>
      <c r="V47" s="119"/>
      <c r="W47" s="119"/>
      <c r="X47" s="294"/>
      <c r="Y47" s="119"/>
      <c r="Z47" s="246">
        <f>'Key Assumption'!AA90</f>
        <v>2</v>
      </c>
      <c r="AA47" s="16">
        <f>'Key Assumption'!AB90</f>
        <v>2</v>
      </c>
      <c r="AB47" s="16">
        <f>'Key Assumption'!AC90</f>
        <v>2</v>
      </c>
      <c r="AC47" s="16">
        <f>'Key Assumption'!AD90</f>
        <v>2</v>
      </c>
      <c r="AD47" s="16">
        <f>'Key Assumption'!AE90</f>
        <v>3</v>
      </c>
      <c r="AF47" s="327"/>
      <c r="AG47" s="322">
        <f t="shared" si="29"/>
        <v>0</v>
      </c>
      <c r="AK47" s="311"/>
    </row>
    <row r="48" spans="1:37" x14ac:dyDescent="0.3">
      <c r="A48" s="338" t="s">
        <v>260</v>
      </c>
      <c r="B48" s="11"/>
      <c r="F48" s="3" t="s">
        <v>465</v>
      </c>
      <c r="L48" s="16"/>
      <c r="M48" s="16"/>
      <c r="N48" s="15"/>
      <c r="O48" s="306"/>
      <c r="P48" s="119"/>
      <c r="Q48" s="119"/>
      <c r="R48" s="119"/>
      <c r="S48" s="119"/>
      <c r="T48" s="119"/>
      <c r="U48" s="119"/>
      <c r="V48" s="119"/>
      <c r="W48" s="119"/>
      <c r="X48" s="294"/>
      <c r="Y48" s="119"/>
      <c r="Z48" s="246">
        <f>IFERROR(Z46/Z47,)</f>
        <v>3.5</v>
      </c>
      <c r="AA48" s="16">
        <f>'Key Assumption'!AB202</f>
        <v>3.663515016685206</v>
      </c>
      <c r="AB48" s="16">
        <f>'Key Assumption'!AC202</f>
        <v>3.8479118212154919</v>
      </c>
      <c r="AC48" s="16">
        <f>'Key Assumption'!AD202</f>
        <v>4.0503589847305088</v>
      </c>
      <c r="AD48" s="16">
        <f>'Key Assumption'!AE202</f>
        <v>4.2574072201435937</v>
      </c>
      <c r="AF48" s="327"/>
      <c r="AG48" s="322">
        <f t="shared" si="29"/>
        <v>0</v>
      </c>
      <c r="AK48" s="311"/>
    </row>
    <row r="49" spans="1:37" x14ac:dyDescent="0.3">
      <c r="A49" s="338" t="s">
        <v>260</v>
      </c>
      <c r="B49" s="11"/>
      <c r="E49" s="3" t="s">
        <v>509</v>
      </c>
      <c r="I49" s="291"/>
      <c r="L49" s="16"/>
      <c r="M49" s="16"/>
      <c r="N49" s="15"/>
      <c r="O49" s="246">
        <v>0</v>
      </c>
      <c r="P49" s="16">
        <f>'Key Assumption'!R339</f>
        <v>202923.15148901238</v>
      </c>
      <c r="Q49" s="16">
        <f>'Key Assumption'!S339</f>
        <v>202923.15148901238</v>
      </c>
      <c r="R49" s="16">
        <f>'Key Assumption'!T339</f>
        <v>202923.15148901238</v>
      </c>
      <c r="S49" s="16">
        <f>'Key Assumption'!U339</f>
        <v>202923.15148901238</v>
      </c>
      <c r="T49" s="16">
        <f>'Key Assumption'!V339</f>
        <v>202923.15148901238</v>
      </c>
      <c r="U49" s="16">
        <f>'Key Assumption'!W339</f>
        <v>202923.15148901238</v>
      </c>
      <c r="V49" s="16">
        <f>'Key Assumption'!X339</f>
        <v>202923.15148901238</v>
      </c>
      <c r="W49" s="16">
        <f>'Key Assumption'!Y339</f>
        <v>202923.15148901238</v>
      </c>
      <c r="X49" s="15">
        <f>'Key Assumption'!Z339</f>
        <v>202923.15148901238</v>
      </c>
      <c r="Y49" s="16">
        <f>IFERROR(Y45/Y46,)</f>
        <v>202923.15148901238</v>
      </c>
      <c r="Z49" s="246">
        <f>Z45/Z46</f>
        <v>202923.15148901238</v>
      </c>
      <c r="AA49" s="16">
        <f>'Key Assumption'!AB339</f>
        <v>204096.53946650575</v>
      </c>
      <c r="AB49" s="16">
        <f>'Key Assumption'!AC339</f>
        <v>205353.31814664725</v>
      </c>
      <c r="AC49" s="16">
        <f>'Key Assumption'!AD339</f>
        <v>206644.40170377595</v>
      </c>
      <c r="AD49" s="16">
        <f>'Key Assumption'!AE339</f>
        <v>207986.12255905685</v>
      </c>
      <c r="AF49" s="327"/>
      <c r="AG49" s="322">
        <f t="shared" si="29"/>
        <v>0</v>
      </c>
      <c r="AK49" s="311"/>
    </row>
    <row r="50" spans="1:37" x14ac:dyDescent="0.3">
      <c r="A50" s="338" t="s">
        <v>260</v>
      </c>
      <c r="B50" s="11"/>
      <c r="D50" s="3" t="s">
        <v>333</v>
      </c>
      <c r="I50" s="291"/>
      <c r="L50" s="16"/>
      <c r="M50" s="16"/>
      <c r="N50" s="15"/>
      <c r="O50" s="246">
        <v>0</v>
      </c>
      <c r="P50" s="16">
        <f t="shared" ref="P50:X50" si="32">P$297</f>
        <v>1308.5999999999999</v>
      </c>
      <c r="Q50" s="16">
        <f t="shared" si="32"/>
        <v>1308.5999999999999</v>
      </c>
      <c r="R50" s="16">
        <f t="shared" si="32"/>
        <v>1308.5999999999999</v>
      </c>
      <c r="S50" s="16">
        <f t="shared" si="32"/>
        <v>1289.8</v>
      </c>
      <c r="T50" s="16">
        <f t="shared" si="32"/>
        <v>1289.8</v>
      </c>
      <c r="U50" s="16">
        <f t="shared" si="32"/>
        <v>1289.8</v>
      </c>
      <c r="V50" s="16">
        <f t="shared" si="32"/>
        <v>1259.9000000000001</v>
      </c>
      <c r="W50" s="16">
        <f t="shared" si="32"/>
        <v>1259.9000000000001</v>
      </c>
      <c r="X50" s="15">
        <f t="shared" si="32"/>
        <v>1259.9000000000001</v>
      </c>
      <c r="Y50" s="16">
        <f>IFERROR(Y44/Y45,)*10^6</f>
        <v>1286.6285714285714</v>
      </c>
      <c r="Z50" s="246">
        <f>Z44/Z45*10^6</f>
        <v>1286.6285714285714</v>
      </c>
      <c r="AA50" s="16">
        <f>AA$297</f>
        <v>1214.2</v>
      </c>
      <c r="AB50" s="16">
        <f>AB$297</f>
        <v>1201.8</v>
      </c>
      <c r="AC50" s="16">
        <f>AC$297</f>
        <v>1199.3</v>
      </c>
      <c r="AD50" s="16">
        <f>AD$297</f>
        <v>1212</v>
      </c>
      <c r="AF50" s="327"/>
      <c r="AG50" s="322">
        <f t="shared" si="29"/>
        <v>0</v>
      </c>
      <c r="AK50" s="311"/>
    </row>
    <row r="51" spans="1:37" x14ac:dyDescent="0.3">
      <c r="A51" s="338" t="s">
        <v>260</v>
      </c>
      <c r="C51" s="3" t="s">
        <v>147</v>
      </c>
      <c r="L51" s="16"/>
      <c r="M51" s="16"/>
      <c r="N51" s="15"/>
      <c r="O51" s="246">
        <v>5373.000780110001</v>
      </c>
      <c r="P51" s="16">
        <f t="shared" ref="P51:X51" si="33">P52*P57/10^6</f>
        <v>2517.0579495462366</v>
      </c>
      <c r="Q51" s="16">
        <f t="shared" si="33"/>
        <v>2072.8712525674887</v>
      </c>
      <c r="R51" s="16">
        <f t="shared" si="33"/>
        <v>2072.8712525674887</v>
      </c>
      <c r="S51" s="16">
        <f t="shared" si="33"/>
        <v>2918.701929610213</v>
      </c>
      <c r="T51" s="16">
        <f t="shared" si="33"/>
        <v>2626.8317366491915</v>
      </c>
      <c r="U51" s="16">
        <f t="shared" si="33"/>
        <v>3356.5072190517449</v>
      </c>
      <c r="V51" s="16">
        <f t="shared" si="33"/>
        <v>3706.3531783615131</v>
      </c>
      <c r="W51" s="16">
        <f t="shared" si="33"/>
        <v>2708.488861110337</v>
      </c>
      <c r="X51" s="15">
        <f t="shared" si="33"/>
        <v>2851.0409064319329</v>
      </c>
      <c r="Y51" s="16">
        <f>SUM(P51:X51)</f>
        <v>24830.724285896147</v>
      </c>
      <c r="Z51" s="246">
        <f>SUM(O51,Y51)</f>
        <v>30203.725066006147</v>
      </c>
      <c r="AA51" s="16">
        <f t="shared" ref="AA51:AD51" si="34">AA52*AA57/10^6</f>
        <v>29508.03307466285</v>
      </c>
      <c r="AB51" s="16">
        <f t="shared" si="34"/>
        <v>31962.625605098288</v>
      </c>
      <c r="AC51" s="16">
        <f t="shared" si="34"/>
        <v>33744.316113645684</v>
      </c>
      <c r="AD51" s="16">
        <f t="shared" si="34"/>
        <v>35716.975016269898</v>
      </c>
      <c r="AE51" s="151"/>
      <c r="AF51" s="327"/>
      <c r="AG51" s="322">
        <f t="shared" si="29"/>
        <v>0</v>
      </c>
      <c r="AK51" s="311"/>
    </row>
    <row r="52" spans="1:37" x14ac:dyDescent="0.3">
      <c r="A52" s="338" t="s">
        <v>260</v>
      </c>
      <c r="B52" s="11"/>
      <c r="D52" s="3" t="s">
        <v>508</v>
      </c>
      <c r="L52" s="16"/>
      <c r="M52" s="16"/>
      <c r="N52" s="15"/>
      <c r="O52" s="246">
        <v>4044563.8</v>
      </c>
      <c r="P52" s="16">
        <f t="shared" ref="P52:X52" si="35">P53*P56</f>
        <v>1923473.9030614677</v>
      </c>
      <c r="Q52" s="16">
        <f t="shared" si="35"/>
        <v>1584037.3319329733</v>
      </c>
      <c r="R52" s="16">
        <f t="shared" si="35"/>
        <v>1584037.3319329733</v>
      </c>
      <c r="S52" s="16">
        <f t="shared" si="35"/>
        <v>2262910.4741899618</v>
      </c>
      <c r="T52" s="16">
        <f t="shared" si="35"/>
        <v>2036619.4267709658</v>
      </c>
      <c r="U52" s="16">
        <f t="shared" si="35"/>
        <v>2602347.0453184564</v>
      </c>
      <c r="V52" s="16">
        <f t="shared" si="35"/>
        <v>2941783.6164469505</v>
      </c>
      <c r="W52" s="16">
        <f t="shared" si="35"/>
        <v>2149764.9504804639</v>
      </c>
      <c r="X52" s="15">
        <f t="shared" si="35"/>
        <v>2262910.4741899618</v>
      </c>
      <c r="Y52" s="16">
        <f>SUM(P52:X52)</f>
        <v>19347884.554324176</v>
      </c>
      <c r="Z52" s="246">
        <f>Y52+O52</f>
        <v>23392448.354324177</v>
      </c>
      <c r="AA52" s="16">
        <f t="shared" ref="AA52:AD52" si="36">AA53*AA56</f>
        <v>24302448.587269682</v>
      </c>
      <c r="AB52" s="16">
        <f t="shared" si="36"/>
        <v>26595627.8957383</v>
      </c>
      <c r="AC52" s="16">
        <f t="shared" si="36"/>
        <v>28136676.489323512</v>
      </c>
      <c r="AD52" s="16">
        <f t="shared" si="36"/>
        <v>29469451.333556022</v>
      </c>
      <c r="AF52" s="327"/>
      <c r="AG52" s="322">
        <f t="shared" si="29"/>
        <v>0</v>
      </c>
      <c r="AK52" s="311"/>
    </row>
    <row r="53" spans="1:37" x14ac:dyDescent="0.3">
      <c r="A53" s="338" t="s">
        <v>260</v>
      </c>
      <c r="E53" s="3" t="s">
        <v>324</v>
      </c>
      <c r="L53" s="16"/>
      <c r="M53" s="16"/>
      <c r="N53" s="15"/>
      <c r="O53" s="246">
        <v>39</v>
      </c>
      <c r="P53" s="16">
        <f>SUMIFS(INDEX(판매수량!$N$2:$V$82,0,MATCH(P$42,판매수량!$N$2:$V$2,0)),판매수량!$A$2:$A$82,$A53,판매수량!$B$2:$B$82,$AG53)</f>
        <v>17</v>
      </c>
      <c r="Q53" s="16">
        <f>SUMIFS(INDEX(판매수량!$N$2:$V$82,0,MATCH(Q$42,판매수량!$N$2:$V$2,0)),판매수량!$A$2:$A$82,$A53,판매수량!$B$2:$B$82,$AG53)</f>
        <v>14</v>
      </c>
      <c r="R53" s="16">
        <f>SUMIFS(INDEX(판매수량!$N$2:$V$82,0,MATCH(R$42,판매수량!$N$2:$V$2,0)),판매수량!$A$2:$A$82,$A53,판매수량!$B$2:$B$82,$AG53)</f>
        <v>14</v>
      </c>
      <c r="S53" s="16">
        <f>SUMIFS(INDEX(판매수량!$N$2:$V$82,0,MATCH(S$42,판매수량!$N$2:$V$2,0)),판매수량!$A$2:$A$82,$A53,판매수량!$B$2:$B$82,$AG53)</f>
        <v>20</v>
      </c>
      <c r="T53" s="16">
        <f>SUMIFS(INDEX(판매수량!$N$2:$V$82,0,MATCH(T$42,판매수량!$N$2:$V$2,0)),판매수량!$A$2:$A$82,$A53,판매수량!$B$2:$B$82,$AG53)</f>
        <v>18</v>
      </c>
      <c r="U53" s="16">
        <f>SUMIFS(INDEX(판매수량!$N$2:$V$82,0,MATCH(U$42,판매수량!$N$2:$V$2,0)),판매수량!$A$2:$A$82,$A53,판매수량!$B$2:$B$82,$AG53)</f>
        <v>23</v>
      </c>
      <c r="V53" s="16">
        <f>SUMIFS(INDEX(판매수량!$N$2:$V$82,0,MATCH(V$42,판매수량!$N$2:$V$2,0)),판매수량!$A$2:$A$82,$A53,판매수량!$B$2:$B$82,$AG53)</f>
        <v>26</v>
      </c>
      <c r="W53" s="16">
        <f>SUMIFS(INDEX(판매수량!$N$2:$V$82,0,MATCH(W$42,판매수량!$N$2:$V$2,0)),판매수량!$A$2:$A$82,$A53,판매수량!$B$2:$B$82,$AG53)</f>
        <v>19</v>
      </c>
      <c r="X53" s="15">
        <f>SUMIFS(INDEX(판매수량!$N$2:$V$82,0,MATCH(X$42,판매수량!$N$2:$V$2,0)),판매수량!$A$2:$A$82,$A53,판매수량!$B$2:$B$82,$AG53)</f>
        <v>20</v>
      </c>
      <c r="Y53" s="16">
        <f>SUM(P53:X53)</f>
        <v>171</v>
      </c>
      <c r="Z53" s="246">
        <f>SUM(O53,Y53)</f>
        <v>210</v>
      </c>
      <c r="AA53" s="16">
        <f>ROUND(AA54*AA55,)</f>
        <v>217</v>
      </c>
      <c r="AB53" s="16">
        <f>ROUND(AB54*AB55,)</f>
        <v>236</v>
      </c>
      <c r="AC53" s="16">
        <f>ROUND(AC54*AC55,)</f>
        <v>248</v>
      </c>
      <c r="AD53" s="16">
        <f>ROUND(AD54*AD55,)</f>
        <v>258</v>
      </c>
      <c r="AF53" s="327"/>
      <c r="AG53" s="322" t="str">
        <f t="shared" si="29"/>
        <v>선반</v>
      </c>
      <c r="AK53" s="311"/>
    </row>
    <row r="54" spans="1:37" x14ac:dyDescent="0.3">
      <c r="A54" s="338" t="s">
        <v>260</v>
      </c>
      <c r="F54" s="3" t="s">
        <v>464</v>
      </c>
      <c r="L54" s="16"/>
      <c r="M54" s="16"/>
      <c r="N54" s="15"/>
      <c r="O54" s="306"/>
      <c r="P54" s="119"/>
      <c r="Q54" s="119"/>
      <c r="R54" s="119"/>
      <c r="S54" s="119"/>
      <c r="T54" s="119"/>
      <c r="U54" s="119"/>
      <c r="V54" s="119"/>
      <c r="W54" s="119"/>
      <c r="X54" s="294"/>
      <c r="Y54" s="119"/>
      <c r="Z54" s="246">
        <f>'Key Assumption'!AA91</f>
        <v>63</v>
      </c>
      <c r="AA54" s="16">
        <f>'Key Assumption'!AB91</f>
        <v>63</v>
      </c>
      <c r="AB54" s="16">
        <f>'Key Assumption'!AC91</f>
        <v>66</v>
      </c>
      <c r="AC54" s="16">
        <f>'Key Assumption'!AD91</f>
        <v>67</v>
      </c>
      <c r="AD54" s="16">
        <f>'Key Assumption'!AE91</f>
        <v>67</v>
      </c>
      <c r="AF54" s="327"/>
      <c r="AG54" s="322">
        <f t="shared" si="29"/>
        <v>0</v>
      </c>
      <c r="AK54" s="311"/>
    </row>
    <row r="55" spans="1:37" x14ac:dyDescent="0.3">
      <c r="A55" s="338" t="s">
        <v>260</v>
      </c>
      <c r="F55" s="3" t="s">
        <v>465</v>
      </c>
      <c r="L55" s="16"/>
      <c r="M55" s="16"/>
      <c r="N55" s="15"/>
      <c r="O55" s="306"/>
      <c r="P55" s="119"/>
      <c r="Q55" s="119"/>
      <c r="R55" s="119"/>
      <c r="S55" s="119"/>
      <c r="T55" s="119"/>
      <c r="U55" s="119"/>
      <c r="V55" s="119"/>
      <c r="W55" s="119"/>
      <c r="X55" s="294"/>
      <c r="Y55" s="119"/>
      <c r="Z55" s="246">
        <f>IFERROR(Z53/Z54,)</f>
        <v>3.3333333333333335</v>
      </c>
      <c r="AA55" s="16">
        <f>'Key Assumption'!AB203</f>
        <v>3.4468067155994264</v>
      </c>
      <c r="AB55" s="16">
        <f>'Key Assumption'!AC203</f>
        <v>3.5689980033184288</v>
      </c>
      <c r="AC55" s="16">
        <f>'Key Assumption'!AD203</f>
        <v>3.7056722629995225</v>
      </c>
      <c r="AD55" s="16">
        <f>'Key Assumption'!AE203</f>
        <v>3.8540172670772521</v>
      </c>
      <c r="AF55" s="327"/>
      <c r="AG55" s="322">
        <f t="shared" si="29"/>
        <v>0</v>
      </c>
      <c r="AK55" s="311"/>
    </row>
    <row r="56" spans="1:37" x14ac:dyDescent="0.3">
      <c r="A56" s="338" t="s">
        <v>260</v>
      </c>
      <c r="E56" s="3" t="s">
        <v>509</v>
      </c>
      <c r="I56" s="291" t="s">
        <v>275</v>
      </c>
      <c r="L56" s="16"/>
      <c r="M56" s="16"/>
      <c r="N56" s="15"/>
      <c r="O56" s="246">
        <f>O52/O53</f>
        <v>103706.76410256409</v>
      </c>
      <c r="P56" s="16">
        <f>'Key Assumption'!R340</f>
        <v>113145.5237094981</v>
      </c>
      <c r="Q56" s="16">
        <f>'Key Assumption'!S340</f>
        <v>113145.5237094981</v>
      </c>
      <c r="R56" s="16">
        <f>'Key Assumption'!T340</f>
        <v>113145.5237094981</v>
      </c>
      <c r="S56" s="16">
        <f>'Key Assumption'!U340</f>
        <v>113145.5237094981</v>
      </c>
      <c r="T56" s="16">
        <f>'Key Assumption'!V340</f>
        <v>113145.5237094981</v>
      </c>
      <c r="U56" s="16">
        <f>'Key Assumption'!W340</f>
        <v>113145.5237094981</v>
      </c>
      <c r="V56" s="16">
        <f>'Key Assumption'!X340</f>
        <v>113145.5237094981</v>
      </c>
      <c r="W56" s="16">
        <f>'Key Assumption'!Y340</f>
        <v>113145.5237094981</v>
      </c>
      <c r="X56" s="15">
        <f>'Key Assumption'!Z340</f>
        <v>113145.5237094981</v>
      </c>
      <c r="Y56" s="16">
        <f>IFERROR(Y52/Y53,)</f>
        <v>113145.52370949811</v>
      </c>
      <c r="Z56" s="246">
        <f>Z52/Z53</f>
        <v>111392.6112110675</v>
      </c>
      <c r="AA56" s="16">
        <f>'Key Assumption'!AB340</f>
        <v>111992.85063257918</v>
      </c>
      <c r="AB56" s="16">
        <f>'Key Assumption'!AC340</f>
        <v>112693.33854126398</v>
      </c>
      <c r="AC56" s="16">
        <f>'Key Assumption'!AD340</f>
        <v>113454.3406827561</v>
      </c>
      <c r="AD56" s="16">
        <f>'Key Assumption'!AE340</f>
        <v>114222.67958742645</v>
      </c>
      <c r="AF56" s="327"/>
      <c r="AG56" s="322">
        <f t="shared" si="29"/>
        <v>0</v>
      </c>
      <c r="AK56" s="311"/>
    </row>
    <row r="57" spans="1:37" x14ac:dyDescent="0.3">
      <c r="A57" s="338" t="s">
        <v>260</v>
      </c>
      <c r="D57" s="3" t="s">
        <v>333</v>
      </c>
      <c r="I57" s="291"/>
      <c r="L57" s="16"/>
      <c r="M57" s="16"/>
      <c r="N57" s="15"/>
      <c r="O57" s="246">
        <f>O51/O52*10^6</f>
        <v>1328.4500000000003</v>
      </c>
      <c r="P57" s="16">
        <f t="shared" ref="P57:X57" si="37">P$297</f>
        <v>1308.5999999999999</v>
      </c>
      <c r="Q57" s="16">
        <f t="shared" si="37"/>
        <v>1308.5999999999999</v>
      </c>
      <c r="R57" s="16">
        <f t="shared" si="37"/>
        <v>1308.5999999999999</v>
      </c>
      <c r="S57" s="16">
        <f t="shared" si="37"/>
        <v>1289.8</v>
      </c>
      <c r="T57" s="16">
        <f t="shared" si="37"/>
        <v>1289.8</v>
      </c>
      <c r="U57" s="16">
        <f t="shared" si="37"/>
        <v>1289.8</v>
      </c>
      <c r="V57" s="16">
        <f t="shared" si="37"/>
        <v>1259.9000000000001</v>
      </c>
      <c r="W57" s="16">
        <f t="shared" si="37"/>
        <v>1259.9000000000001</v>
      </c>
      <c r="X57" s="15">
        <f t="shared" si="37"/>
        <v>1259.9000000000001</v>
      </c>
      <c r="Y57" s="16">
        <f>IFERROR(Y51/Y52,)*10^6</f>
        <v>1283.3818713450291</v>
      </c>
      <c r="Z57" s="246">
        <f>Z51/Z52*10^6</f>
        <v>1291.1741690528465</v>
      </c>
      <c r="AA57" s="16">
        <f>AA$297</f>
        <v>1214.2</v>
      </c>
      <c r="AB57" s="16">
        <f>AB$297</f>
        <v>1201.8</v>
      </c>
      <c r="AC57" s="16">
        <f>AC$297</f>
        <v>1199.3</v>
      </c>
      <c r="AD57" s="16">
        <f>AD$297</f>
        <v>1212</v>
      </c>
      <c r="AF57" s="327"/>
      <c r="AG57" s="322">
        <f t="shared" si="29"/>
        <v>0</v>
      </c>
      <c r="AK57" s="311"/>
    </row>
    <row r="58" spans="1:37" x14ac:dyDescent="0.3">
      <c r="A58" s="338" t="s">
        <v>260</v>
      </c>
      <c r="C58" s="3" t="s">
        <v>148</v>
      </c>
      <c r="L58" s="16"/>
      <c r="M58" s="16"/>
      <c r="N58" s="15"/>
      <c r="O58" s="246">
        <v>1366.3214525999999</v>
      </c>
      <c r="P58" s="16">
        <f t="shared" ref="P58:X58" si="38">P59*P64/10^6</f>
        <v>525.16458996548988</v>
      </c>
      <c r="Q58" s="16">
        <f t="shared" si="38"/>
        <v>525.16458996548988</v>
      </c>
      <c r="R58" s="16">
        <f t="shared" si="38"/>
        <v>656.45573745686238</v>
      </c>
      <c r="S58" s="16">
        <f t="shared" si="38"/>
        <v>517.61981364625467</v>
      </c>
      <c r="T58" s="16">
        <f t="shared" si="38"/>
        <v>388.21486023469095</v>
      </c>
      <c r="U58" s="16">
        <f t="shared" si="38"/>
        <v>647.02476705781828</v>
      </c>
      <c r="V58" s="16">
        <f t="shared" si="38"/>
        <v>505.62040875555613</v>
      </c>
      <c r="W58" s="16">
        <f t="shared" si="38"/>
        <v>632.02551094444516</v>
      </c>
      <c r="X58" s="15">
        <f t="shared" si="38"/>
        <v>632.02551094444516</v>
      </c>
      <c r="Y58" s="16">
        <f>SUM(P58:X58)</f>
        <v>5029.3157889710519</v>
      </c>
      <c r="Z58" s="246">
        <f>SUM(O58,Y58)</f>
        <v>6395.6372415710521</v>
      </c>
      <c r="AA58" s="16">
        <f t="shared" ref="AA58:AD58" si="39">AA59*AA64/10^6</f>
        <v>6278.0106252774058</v>
      </c>
      <c r="AB58" s="16">
        <f t="shared" si="39"/>
        <v>6969.8268073559293</v>
      </c>
      <c r="AC58" s="16">
        <f t="shared" si="39"/>
        <v>7842.6019782807753</v>
      </c>
      <c r="AD58" s="16">
        <f t="shared" si="39"/>
        <v>9320.9241091696695</v>
      </c>
      <c r="AE58" s="151"/>
      <c r="AF58" s="327"/>
      <c r="AG58" s="322">
        <f t="shared" si="29"/>
        <v>0</v>
      </c>
      <c r="AK58" s="311"/>
    </row>
    <row r="59" spans="1:37" x14ac:dyDescent="0.3">
      <c r="A59" s="338" t="s">
        <v>260</v>
      </c>
      <c r="B59" s="11"/>
      <c r="D59" s="3" t="s">
        <v>508</v>
      </c>
      <c r="L59" s="16"/>
      <c r="M59" s="16"/>
      <c r="N59" s="15"/>
      <c r="O59" s="246">
        <v>1028508</v>
      </c>
      <c r="P59" s="16">
        <f t="shared" ref="P59:X59" si="40">P60*P63</f>
        <v>401317.88932102238</v>
      </c>
      <c r="Q59" s="16">
        <f t="shared" si="40"/>
        <v>401317.88932102238</v>
      </c>
      <c r="R59" s="16">
        <f t="shared" si="40"/>
        <v>501647.36165127798</v>
      </c>
      <c r="S59" s="16">
        <f t="shared" si="40"/>
        <v>401317.88932102238</v>
      </c>
      <c r="T59" s="16">
        <f t="shared" si="40"/>
        <v>300988.41699076677</v>
      </c>
      <c r="U59" s="16">
        <f t="shared" si="40"/>
        <v>501647.36165127798</v>
      </c>
      <c r="V59" s="16">
        <f t="shared" si="40"/>
        <v>401317.88932102238</v>
      </c>
      <c r="W59" s="16">
        <f t="shared" si="40"/>
        <v>501647.36165127798</v>
      </c>
      <c r="X59" s="15">
        <f t="shared" si="40"/>
        <v>501647.36165127798</v>
      </c>
      <c r="Y59" s="16">
        <f>SUM(P59:X59)</f>
        <v>3912849.4208799684</v>
      </c>
      <c r="Z59" s="246">
        <f>Y59+O59</f>
        <v>4941357.4208799684</v>
      </c>
      <c r="AA59" s="16">
        <f t="shared" ref="AA59:AD59" si="41">AA60*AA63</f>
        <v>5170491.3731489088</v>
      </c>
      <c r="AB59" s="16">
        <f t="shared" si="41"/>
        <v>5799489.7714727325</v>
      </c>
      <c r="AC59" s="16">
        <f t="shared" si="41"/>
        <v>6539316.2497129785</v>
      </c>
      <c r="AD59" s="16">
        <f t="shared" si="41"/>
        <v>7690531.4432092989</v>
      </c>
      <c r="AF59" s="327"/>
      <c r="AG59" s="322">
        <f t="shared" si="29"/>
        <v>0</v>
      </c>
      <c r="AK59" s="311"/>
    </row>
    <row r="60" spans="1:37" x14ac:dyDescent="0.3">
      <c r="A60" s="338" t="s">
        <v>260</v>
      </c>
      <c r="E60" s="3" t="s">
        <v>324</v>
      </c>
      <c r="L60" s="16"/>
      <c r="M60" s="16"/>
      <c r="N60" s="15"/>
      <c r="O60" s="246">
        <v>12</v>
      </c>
      <c r="P60" s="16">
        <f>SUMIFS(INDEX(판매수량!$N$2:$V$82,0,MATCH(P$42,판매수량!$N$2:$V$2,0)),판매수량!$A$2:$A$82,$A60,판매수량!$B$2:$B$82,$AG60)</f>
        <v>4</v>
      </c>
      <c r="Q60" s="16">
        <f>SUMIFS(INDEX(판매수량!$N$2:$V$82,0,MATCH(Q$42,판매수량!$N$2:$V$2,0)),판매수량!$A$2:$A$82,$A60,판매수량!$B$2:$B$82,$AG60)</f>
        <v>4</v>
      </c>
      <c r="R60" s="16">
        <f>SUMIFS(INDEX(판매수량!$N$2:$V$82,0,MATCH(R$42,판매수량!$N$2:$V$2,0)),판매수량!$A$2:$A$82,$A60,판매수량!$B$2:$B$82,$AG60)</f>
        <v>5</v>
      </c>
      <c r="S60" s="16">
        <f>SUMIFS(INDEX(판매수량!$N$2:$V$82,0,MATCH(S$42,판매수량!$N$2:$V$2,0)),판매수량!$A$2:$A$82,$A60,판매수량!$B$2:$B$82,$AG60)</f>
        <v>4</v>
      </c>
      <c r="T60" s="16">
        <f>SUMIFS(INDEX(판매수량!$N$2:$V$82,0,MATCH(T$42,판매수량!$N$2:$V$2,0)),판매수량!$A$2:$A$82,$A60,판매수량!$B$2:$B$82,$AG60)</f>
        <v>3</v>
      </c>
      <c r="U60" s="16">
        <f>SUMIFS(INDEX(판매수량!$N$2:$V$82,0,MATCH(U$42,판매수량!$N$2:$V$2,0)),판매수량!$A$2:$A$82,$A60,판매수량!$B$2:$B$82,$AG60)</f>
        <v>5</v>
      </c>
      <c r="V60" s="16">
        <f>SUMIFS(INDEX(판매수량!$N$2:$V$82,0,MATCH(V$42,판매수량!$N$2:$V$2,0)),판매수량!$A$2:$A$82,$A60,판매수량!$B$2:$B$82,$AG60)</f>
        <v>4</v>
      </c>
      <c r="W60" s="16">
        <f>SUMIFS(INDEX(판매수량!$N$2:$V$82,0,MATCH(W$42,판매수량!$N$2:$V$2,0)),판매수량!$A$2:$A$82,$A60,판매수량!$B$2:$B$82,$AG60)</f>
        <v>5</v>
      </c>
      <c r="X60" s="15">
        <f>SUMIFS(INDEX(판매수량!$N$2:$V$82,0,MATCH(X$42,판매수량!$N$2:$V$2,0)),판매수량!$A$2:$A$82,$A60,판매수량!$B$2:$B$82,$AG60)</f>
        <v>5</v>
      </c>
      <c r="Y60" s="16">
        <f>SUM(P60:X60)</f>
        <v>39</v>
      </c>
      <c r="Z60" s="246">
        <f>SUM(O60,Y60)</f>
        <v>51</v>
      </c>
      <c r="AA60" s="16">
        <f>ROUND(AA61*AA62,)</f>
        <v>53</v>
      </c>
      <c r="AB60" s="16">
        <f>ROUND(AB61*AB62,)</f>
        <v>59</v>
      </c>
      <c r="AC60" s="16">
        <f>ROUND(AC61*AC62,)</f>
        <v>66</v>
      </c>
      <c r="AD60" s="16">
        <f>ROUND(AD61*AD62,)</f>
        <v>77</v>
      </c>
      <c r="AF60" s="327"/>
      <c r="AG60" s="322" t="str">
        <f t="shared" si="29"/>
        <v>VMC</v>
      </c>
      <c r="AK60" s="311"/>
    </row>
    <row r="61" spans="1:37" x14ac:dyDescent="0.3">
      <c r="A61" s="338" t="s">
        <v>260</v>
      </c>
      <c r="F61" s="3" t="s">
        <v>464</v>
      </c>
      <c r="L61" s="16"/>
      <c r="M61" s="16"/>
      <c r="N61" s="15"/>
      <c r="O61" s="306"/>
      <c r="P61" s="119"/>
      <c r="Q61" s="119"/>
      <c r="R61" s="119"/>
      <c r="S61" s="119"/>
      <c r="T61" s="119"/>
      <c r="U61" s="119"/>
      <c r="V61" s="119"/>
      <c r="W61" s="119"/>
      <c r="X61" s="294"/>
      <c r="Y61" s="119"/>
      <c r="Z61" s="246">
        <f>'Key Assumption'!AA92</f>
        <v>14</v>
      </c>
      <c r="AA61" s="16">
        <f>'Key Assumption'!AB92</f>
        <v>14</v>
      </c>
      <c r="AB61" s="16">
        <f>'Key Assumption'!AC92</f>
        <v>15</v>
      </c>
      <c r="AC61" s="16">
        <f>'Key Assumption'!AD92</f>
        <v>16</v>
      </c>
      <c r="AD61" s="16">
        <f>'Key Assumption'!AE92</f>
        <v>18</v>
      </c>
      <c r="AF61" s="327"/>
      <c r="AG61" s="322">
        <f t="shared" si="29"/>
        <v>0</v>
      </c>
      <c r="AK61" s="311"/>
    </row>
    <row r="62" spans="1:37" x14ac:dyDescent="0.3">
      <c r="A62" s="338" t="s">
        <v>260</v>
      </c>
      <c r="F62" s="3" t="s">
        <v>465</v>
      </c>
      <c r="L62" s="16"/>
      <c r="M62" s="16"/>
      <c r="N62" s="15"/>
      <c r="O62" s="306"/>
      <c r="P62" s="119"/>
      <c r="Q62" s="119"/>
      <c r="R62" s="119"/>
      <c r="S62" s="119"/>
      <c r="T62" s="119"/>
      <c r="U62" s="119"/>
      <c r="V62" s="119"/>
      <c r="W62" s="119"/>
      <c r="X62" s="294"/>
      <c r="Y62" s="119"/>
      <c r="Z62" s="246">
        <f>IFERROR(Z60/Z61,)</f>
        <v>3.6428571428571428</v>
      </c>
      <c r="AA62" s="16">
        <f>'Key Assumption'!AB204</f>
        <v>3.7883300609494817</v>
      </c>
      <c r="AB62" s="16">
        <f>'Key Assumption'!AC204</f>
        <v>3.9417942043630361</v>
      </c>
      <c r="AC62" s="16">
        <f>'Key Assumption'!AD204</f>
        <v>4.1128716607294749</v>
      </c>
      <c r="AD62" s="16">
        <f>'Key Assumption'!AE204</f>
        <v>4.3048241546697028</v>
      </c>
      <c r="AF62" s="327"/>
      <c r="AG62" s="322">
        <f t="shared" si="29"/>
        <v>0</v>
      </c>
      <c r="AK62" s="311"/>
    </row>
    <row r="63" spans="1:37" x14ac:dyDescent="0.3">
      <c r="A63" s="338" t="s">
        <v>260</v>
      </c>
      <c r="E63" s="3" t="s">
        <v>509</v>
      </c>
      <c r="I63" s="291" t="s">
        <v>275</v>
      </c>
      <c r="L63" s="16"/>
      <c r="M63" s="16"/>
      <c r="N63" s="15"/>
      <c r="O63" s="246">
        <f>O59/O60</f>
        <v>85709</v>
      </c>
      <c r="P63" s="16">
        <f>'Key Assumption'!R341</f>
        <v>100329.47233025559</v>
      </c>
      <c r="Q63" s="16">
        <f>'Key Assumption'!S341</f>
        <v>100329.47233025559</v>
      </c>
      <c r="R63" s="16">
        <f>'Key Assumption'!T341</f>
        <v>100329.47233025559</v>
      </c>
      <c r="S63" s="16">
        <f>'Key Assumption'!U341</f>
        <v>100329.47233025559</v>
      </c>
      <c r="T63" s="16">
        <f>'Key Assumption'!V341</f>
        <v>100329.47233025559</v>
      </c>
      <c r="U63" s="16">
        <f>'Key Assumption'!W341</f>
        <v>100329.47233025559</v>
      </c>
      <c r="V63" s="16">
        <f>'Key Assumption'!X341</f>
        <v>100329.47233025559</v>
      </c>
      <c r="W63" s="16">
        <f>'Key Assumption'!Y341</f>
        <v>100329.47233025559</v>
      </c>
      <c r="X63" s="15">
        <f>'Key Assumption'!Z341</f>
        <v>100329.47233025559</v>
      </c>
      <c r="Y63" s="16">
        <f>IFERROR(Y59/Y60,)</f>
        <v>100329.47233025559</v>
      </c>
      <c r="Z63" s="246">
        <f>Z59/Z60</f>
        <v>96889.361193724864</v>
      </c>
      <c r="AA63" s="16">
        <f>'Key Assumption'!AB341</f>
        <v>97556.441002809603</v>
      </c>
      <c r="AB63" s="16">
        <f>'Key Assumption'!AC341</f>
        <v>98296.436804622586</v>
      </c>
      <c r="AC63" s="16">
        <f>'Key Assumption'!AD341</f>
        <v>99080.549238075429</v>
      </c>
      <c r="AD63" s="16">
        <f>'Key Assumption'!AE341</f>
        <v>99877.031729990893</v>
      </c>
      <c r="AF63" s="327"/>
      <c r="AG63" s="322">
        <f t="shared" si="29"/>
        <v>0</v>
      </c>
      <c r="AK63" s="311"/>
    </row>
    <row r="64" spans="1:37" x14ac:dyDescent="0.3">
      <c r="A64" s="338" t="s">
        <v>260</v>
      </c>
      <c r="D64" s="3" t="s">
        <v>333</v>
      </c>
      <c r="I64" s="291"/>
      <c r="L64" s="16"/>
      <c r="M64" s="16"/>
      <c r="N64" s="15"/>
      <c r="O64" s="246">
        <f>O58/O59*10^6</f>
        <v>1328.4499999999998</v>
      </c>
      <c r="P64" s="16">
        <f t="shared" ref="P64:X64" si="42">P$297</f>
        <v>1308.5999999999999</v>
      </c>
      <c r="Q64" s="16">
        <f t="shared" si="42"/>
        <v>1308.5999999999999</v>
      </c>
      <c r="R64" s="16">
        <f t="shared" si="42"/>
        <v>1308.5999999999999</v>
      </c>
      <c r="S64" s="16">
        <f t="shared" si="42"/>
        <v>1289.8</v>
      </c>
      <c r="T64" s="16">
        <f t="shared" si="42"/>
        <v>1289.8</v>
      </c>
      <c r="U64" s="16">
        <f t="shared" si="42"/>
        <v>1289.8</v>
      </c>
      <c r="V64" s="16">
        <f t="shared" si="42"/>
        <v>1259.9000000000001</v>
      </c>
      <c r="W64" s="16">
        <f t="shared" si="42"/>
        <v>1259.9000000000001</v>
      </c>
      <c r="X64" s="15">
        <f t="shared" si="42"/>
        <v>1259.9000000000001</v>
      </c>
      <c r="Y64" s="16">
        <f>IFERROR(Y58/Y59,)*10^6</f>
        <v>1285.3333333333333</v>
      </c>
      <c r="Z64" s="246">
        <f>Z58/Z59*10^6</f>
        <v>1294.307757327156</v>
      </c>
      <c r="AA64" s="16">
        <f>AA$297</f>
        <v>1214.2</v>
      </c>
      <c r="AB64" s="16">
        <f>AB$297</f>
        <v>1201.8</v>
      </c>
      <c r="AC64" s="16">
        <f>AC$297</f>
        <v>1199.3</v>
      </c>
      <c r="AD64" s="16">
        <f>AD$297</f>
        <v>1212</v>
      </c>
      <c r="AF64" s="327"/>
      <c r="AG64" s="322">
        <f t="shared" si="29"/>
        <v>0</v>
      </c>
      <c r="AK64" s="311"/>
    </row>
    <row r="65" spans="1:37" x14ac:dyDescent="0.3">
      <c r="A65" s="338" t="s">
        <v>260</v>
      </c>
      <c r="C65" s="3" t="s">
        <v>149</v>
      </c>
      <c r="L65" s="16"/>
      <c r="M65" s="16"/>
      <c r="N65" s="15"/>
      <c r="O65" s="246">
        <v>1257.8083428</v>
      </c>
      <c r="P65" s="16">
        <f t="shared" ref="P65:X65" si="43">P66*P71/10^6</f>
        <v>847.66473815115785</v>
      </c>
      <c r="Q65" s="16">
        <f t="shared" si="43"/>
        <v>423.83236907557892</v>
      </c>
      <c r="R65" s="16">
        <f t="shared" si="43"/>
        <v>847.66473815115785</v>
      </c>
      <c r="S65" s="16">
        <f t="shared" si="43"/>
        <v>0</v>
      </c>
      <c r="T65" s="16">
        <f t="shared" si="43"/>
        <v>0</v>
      </c>
      <c r="U65" s="16">
        <f t="shared" si="43"/>
        <v>0</v>
      </c>
      <c r="V65" s="16">
        <f t="shared" si="43"/>
        <v>0</v>
      </c>
      <c r="W65" s="16">
        <f t="shared" si="43"/>
        <v>816.11860277903406</v>
      </c>
      <c r="X65" s="15">
        <f t="shared" si="43"/>
        <v>408.05930138951703</v>
      </c>
      <c r="Y65" s="16">
        <f>SUM(P65:X65)</f>
        <v>3343.339749546446</v>
      </c>
      <c r="Z65" s="246">
        <f>SUM(O65,Y65)</f>
        <v>4601.148092346446</v>
      </c>
      <c r="AA65" s="16">
        <f t="shared" ref="AA65:AD65" si="44">AA66*AA71/10^6</f>
        <v>4323.1379119710737</v>
      </c>
      <c r="AB65" s="16">
        <f t="shared" si="44"/>
        <v>4701.1892093845272</v>
      </c>
      <c r="AC65" s="16">
        <f t="shared" si="44"/>
        <v>4725.8660297179767</v>
      </c>
      <c r="AD65" s="16">
        <f t="shared" si="44"/>
        <v>5214.1850808924537</v>
      </c>
      <c r="AE65" s="151"/>
      <c r="AF65" s="327"/>
      <c r="AG65" s="322">
        <f t="shared" si="29"/>
        <v>0</v>
      </c>
      <c r="AK65" s="311"/>
    </row>
    <row r="66" spans="1:37" x14ac:dyDescent="0.3">
      <c r="A66" s="338" t="s">
        <v>260</v>
      </c>
      <c r="B66" s="11"/>
      <c r="D66" s="3" t="s">
        <v>508</v>
      </c>
      <c r="L66" s="16"/>
      <c r="M66" s="16"/>
      <c r="N66" s="15"/>
      <c r="O66" s="246">
        <v>946824</v>
      </c>
      <c r="P66" s="16">
        <f t="shared" ref="P66:X66" si="45">P67*P70</f>
        <v>647764.58669659018</v>
      </c>
      <c r="Q66" s="16">
        <f t="shared" si="45"/>
        <v>323882.29334829509</v>
      </c>
      <c r="R66" s="16">
        <f t="shared" si="45"/>
        <v>647764.58669659018</v>
      </c>
      <c r="S66" s="16">
        <f t="shared" si="45"/>
        <v>0</v>
      </c>
      <c r="T66" s="16">
        <f t="shared" si="45"/>
        <v>0</v>
      </c>
      <c r="U66" s="16">
        <f t="shared" si="45"/>
        <v>0</v>
      </c>
      <c r="V66" s="16">
        <f t="shared" si="45"/>
        <v>0</v>
      </c>
      <c r="W66" s="16">
        <f t="shared" si="45"/>
        <v>647764.58669659018</v>
      </c>
      <c r="X66" s="15">
        <f t="shared" si="45"/>
        <v>323882.29334829509</v>
      </c>
      <c r="Y66" s="16">
        <f>SUM(P66:X66)</f>
        <v>2591058.3467863607</v>
      </c>
      <c r="Z66" s="246">
        <f>Y66+O66</f>
        <v>3537882.3467863607</v>
      </c>
      <c r="AA66" s="16">
        <f t="shared" ref="AA66:AD66" si="46">AA67*AA70</f>
        <v>3560482.5498032235</v>
      </c>
      <c r="AB66" s="16">
        <f t="shared" si="46"/>
        <v>3911789.9895028519</v>
      </c>
      <c r="AC66" s="16">
        <f t="shared" si="46"/>
        <v>3940520.3282898162</v>
      </c>
      <c r="AD66" s="16">
        <f t="shared" si="46"/>
        <v>4302132.9050267776</v>
      </c>
      <c r="AF66" s="327"/>
      <c r="AG66" s="322">
        <f t="shared" si="29"/>
        <v>0</v>
      </c>
      <c r="AK66" s="311"/>
    </row>
    <row r="67" spans="1:37" x14ac:dyDescent="0.3">
      <c r="A67" s="338" t="s">
        <v>260</v>
      </c>
      <c r="E67" s="3" t="s">
        <v>324</v>
      </c>
      <c r="L67" s="16"/>
      <c r="M67" s="16"/>
      <c r="N67" s="15"/>
      <c r="O67" s="246">
        <v>3</v>
      </c>
      <c r="P67" s="16">
        <f>SUMIFS(INDEX(판매수량!$N$2:$V$82,0,MATCH(P$42,판매수량!$N$2:$V$2,0)),판매수량!$A$2:$A$82,$A67,판매수량!$B$2:$B$82,$AG67)</f>
        <v>2</v>
      </c>
      <c r="Q67" s="16">
        <f>SUMIFS(INDEX(판매수량!$N$2:$V$82,0,MATCH(Q$42,판매수량!$N$2:$V$2,0)),판매수량!$A$2:$A$82,$A67,판매수량!$B$2:$B$82,$AG67)</f>
        <v>1</v>
      </c>
      <c r="R67" s="16">
        <f>SUMIFS(INDEX(판매수량!$N$2:$V$82,0,MATCH(R$42,판매수량!$N$2:$V$2,0)),판매수량!$A$2:$A$82,$A67,판매수량!$B$2:$B$82,$AG67)</f>
        <v>2</v>
      </c>
      <c r="S67" s="16">
        <f>SUMIFS(INDEX(판매수량!$N$2:$V$82,0,MATCH(S$42,판매수량!$N$2:$V$2,0)),판매수량!$A$2:$A$82,$A67,판매수량!$B$2:$B$82,$AG67)</f>
        <v>0</v>
      </c>
      <c r="T67" s="16">
        <f>SUMIFS(INDEX(판매수량!$N$2:$V$82,0,MATCH(T$42,판매수량!$N$2:$V$2,0)),판매수량!$A$2:$A$82,$A67,판매수량!$B$2:$B$82,$AG67)</f>
        <v>0</v>
      </c>
      <c r="U67" s="16">
        <f>SUMIFS(INDEX(판매수량!$N$2:$V$82,0,MATCH(U$42,판매수량!$N$2:$V$2,0)),판매수량!$A$2:$A$82,$A67,판매수량!$B$2:$B$82,$AG67)</f>
        <v>0</v>
      </c>
      <c r="V67" s="16">
        <f>SUMIFS(INDEX(판매수량!$N$2:$V$82,0,MATCH(V$42,판매수량!$N$2:$V$2,0)),판매수량!$A$2:$A$82,$A67,판매수량!$B$2:$B$82,$AG67)</f>
        <v>0</v>
      </c>
      <c r="W67" s="16">
        <f>SUMIFS(INDEX(판매수량!$N$2:$V$82,0,MATCH(W$42,판매수량!$N$2:$V$2,0)),판매수량!$A$2:$A$82,$A67,판매수량!$B$2:$B$82,$AG67)</f>
        <v>2</v>
      </c>
      <c r="X67" s="15">
        <f>SUMIFS(INDEX(판매수량!$N$2:$V$82,0,MATCH(X$42,판매수량!$N$2:$V$2,0)),판매수량!$A$2:$A$82,$A67,판매수량!$B$2:$B$82,$AG67)</f>
        <v>1</v>
      </c>
      <c r="Y67" s="16">
        <f>SUM(P67:X67)</f>
        <v>8</v>
      </c>
      <c r="Z67" s="246">
        <f>SUM(O67,Y67)</f>
        <v>11</v>
      </c>
      <c r="AA67" s="16">
        <f>ROUND(AA68*AA69,)</f>
        <v>11</v>
      </c>
      <c r="AB67" s="16">
        <f>ROUND(AB68*AB69,)</f>
        <v>12</v>
      </c>
      <c r="AC67" s="16">
        <f>ROUND(AC68*AC69,)</f>
        <v>12</v>
      </c>
      <c r="AD67" s="16">
        <f>ROUND(AD68*AD69,)</f>
        <v>13</v>
      </c>
      <c r="AF67" s="327"/>
      <c r="AG67" s="322" t="str">
        <f t="shared" si="29"/>
        <v>HMC</v>
      </c>
      <c r="AK67" s="311"/>
    </row>
    <row r="68" spans="1:37" x14ac:dyDescent="0.3">
      <c r="A68" s="338" t="s">
        <v>260</v>
      </c>
      <c r="F68" s="3" t="s">
        <v>464</v>
      </c>
      <c r="L68" s="16"/>
      <c r="M68" s="16"/>
      <c r="N68" s="15"/>
      <c r="O68" s="306"/>
      <c r="P68" s="119"/>
      <c r="Q68" s="119"/>
      <c r="R68" s="119"/>
      <c r="S68" s="119"/>
      <c r="T68" s="119"/>
      <c r="U68" s="119"/>
      <c r="V68" s="119"/>
      <c r="W68" s="119"/>
      <c r="X68" s="294"/>
      <c r="Y68" s="119"/>
      <c r="Z68" s="246">
        <f>'Key Assumption'!AA93</f>
        <v>5</v>
      </c>
      <c r="AA68" s="16">
        <f>'Key Assumption'!AB93</f>
        <v>5</v>
      </c>
      <c r="AB68" s="16">
        <f>'Key Assumption'!AC93</f>
        <v>5</v>
      </c>
      <c r="AC68" s="16">
        <f>'Key Assumption'!AD93</f>
        <v>5</v>
      </c>
      <c r="AD68" s="16">
        <f>'Key Assumption'!AE93</f>
        <v>5</v>
      </c>
      <c r="AF68" s="327"/>
      <c r="AG68" s="322">
        <f t="shared" si="29"/>
        <v>0</v>
      </c>
      <c r="AK68" s="311"/>
    </row>
    <row r="69" spans="1:37" x14ac:dyDescent="0.3">
      <c r="A69" s="338" t="s">
        <v>260</v>
      </c>
      <c r="F69" s="3" t="s">
        <v>465</v>
      </c>
      <c r="L69" s="16"/>
      <c r="M69" s="16"/>
      <c r="N69" s="15"/>
      <c r="O69" s="306"/>
      <c r="P69" s="119"/>
      <c r="Q69" s="119"/>
      <c r="R69" s="119"/>
      <c r="S69" s="119"/>
      <c r="T69" s="119"/>
      <c r="U69" s="119"/>
      <c r="V69" s="119"/>
      <c r="W69" s="119"/>
      <c r="X69" s="294"/>
      <c r="Y69" s="119"/>
      <c r="Z69" s="246">
        <f>IFERROR(Z67/Z68,)</f>
        <v>2.2000000000000002</v>
      </c>
      <c r="AA69" s="16">
        <f>'Key Assumption'!AB205</f>
        <v>2.2781462733461337</v>
      </c>
      <c r="AB69" s="16">
        <f>'Key Assumption'!AC205</f>
        <v>2.3658928259731189</v>
      </c>
      <c r="AC69" s="16">
        <f>'Key Assumption'!AD205</f>
        <v>2.4640076802234243</v>
      </c>
      <c r="AD69" s="16">
        <f>'Key Assumption'!AE205</f>
        <v>2.5713388025833477</v>
      </c>
      <c r="AF69" s="327"/>
      <c r="AG69" s="322">
        <f t="shared" si="29"/>
        <v>0</v>
      </c>
      <c r="AK69" s="311"/>
    </row>
    <row r="70" spans="1:37" x14ac:dyDescent="0.3">
      <c r="A70" s="338" t="s">
        <v>260</v>
      </c>
      <c r="E70" s="3" t="s">
        <v>509</v>
      </c>
      <c r="I70" s="291" t="s">
        <v>275</v>
      </c>
      <c r="L70" s="16"/>
      <c r="M70" s="16"/>
      <c r="N70" s="15"/>
      <c r="O70" s="246">
        <f>O66/O67</f>
        <v>315608</v>
      </c>
      <c r="P70" s="16">
        <f>'Key Assumption'!R342</f>
        <v>323882.29334829509</v>
      </c>
      <c r="Q70" s="16">
        <f>'Key Assumption'!S342</f>
        <v>323882.29334829509</v>
      </c>
      <c r="R70" s="16">
        <f>'Key Assumption'!T342</f>
        <v>323882.29334829509</v>
      </c>
      <c r="S70" s="16">
        <f>'Key Assumption'!U342</f>
        <v>323882.29334829509</v>
      </c>
      <c r="T70" s="16">
        <f>'Key Assumption'!V342</f>
        <v>323882.29334829509</v>
      </c>
      <c r="U70" s="16">
        <f>'Key Assumption'!W342</f>
        <v>323882.29334829509</v>
      </c>
      <c r="V70" s="16">
        <f>'Key Assumption'!X342</f>
        <v>323882.29334829509</v>
      </c>
      <c r="W70" s="16">
        <f>'Key Assumption'!Y342</f>
        <v>323882.29334829509</v>
      </c>
      <c r="X70" s="15">
        <f>'Key Assumption'!Z342</f>
        <v>323882.29334829509</v>
      </c>
      <c r="Y70" s="16">
        <f>IFERROR(Y66/Y67,)</f>
        <v>323882.29334829509</v>
      </c>
      <c r="Z70" s="246">
        <f>Z66/Z67</f>
        <v>321625.66788966913</v>
      </c>
      <c r="AA70" s="16">
        <f>'Key Assumption'!AB342</f>
        <v>323680.23180029303</v>
      </c>
      <c r="AB70" s="16">
        <f>'Key Assumption'!AC342</f>
        <v>325982.49912523763</v>
      </c>
      <c r="AC70" s="16">
        <f>'Key Assumption'!AD342</f>
        <v>328376.69402415137</v>
      </c>
      <c r="AD70" s="16">
        <f>'Key Assumption'!AE342</f>
        <v>330933.30038667523</v>
      </c>
      <c r="AF70" s="327"/>
      <c r="AG70" s="322">
        <f t="shared" si="29"/>
        <v>0</v>
      </c>
      <c r="AK70" s="311"/>
    </row>
    <row r="71" spans="1:37" x14ac:dyDescent="0.3">
      <c r="A71" s="338" t="s">
        <v>260</v>
      </c>
      <c r="D71" s="3" t="s">
        <v>333</v>
      </c>
      <c r="I71" s="291"/>
      <c r="L71" s="16"/>
      <c r="M71" s="16"/>
      <c r="N71" s="15"/>
      <c r="O71" s="246">
        <f>O65/O66*10^6</f>
        <v>1328.4499999999998</v>
      </c>
      <c r="P71" s="16">
        <f t="shared" ref="P71:X71" si="47">P$297</f>
        <v>1308.5999999999999</v>
      </c>
      <c r="Q71" s="16">
        <f t="shared" si="47"/>
        <v>1308.5999999999999</v>
      </c>
      <c r="R71" s="16">
        <f t="shared" si="47"/>
        <v>1308.5999999999999</v>
      </c>
      <c r="S71" s="16">
        <f t="shared" si="47"/>
        <v>1289.8</v>
      </c>
      <c r="T71" s="16">
        <f t="shared" si="47"/>
        <v>1289.8</v>
      </c>
      <c r="U71" s="16">
        <f t="shared" si="47"/>
        <v>1289.8</v>
      </c>
      <c r="V71" s="16">
        <f t="shared" si="47"/>
        <v>1259.9000000000001</v>
      </c>
      <c r="W71" s="16">
        <f t="shared" si="47"/>
        <v>1259.9000000000001</v>
      </c>
      <c r="X71" s="15">
        <f t="shared" si="47"/>
        <v>1259.9000000000001</v>
      </c>
      <c r="Y71" s="16">
        <f>IFERROR(Y65/Y66,)*10^6</f>
        <v>1290.3375000000001</v>
      </c>
      <c r="Z71" s="246">
        <f>Z65/Z66*10^6</f>
        <v>1300.5373388196201</v>
      </c>
      <c r="AA71" s="16">
        <f>AA$297</f>
        <v>1214.2</v>
      </c>
      <c r="AB71" s="16">
        <f>AB$297</f>
        <v>1201.8</v>
      </c>
      <c r="AC71" s="16">
        <f>AC$297</f>
        <v>1199.3</v>
      </c>
      <c r="AD71" s="16">
        <f>AD$297</f>
        <v>1212</v>
      </c>
      <c r="AF71" s="327"/>
      <c r="AG71" s="322">
        <f t="shared" si="29"/>
        <v>0</v>
      </c>
      <c r="AK71" s="311"/>
    </row>
    <row r="72" spans="1:37" x14ac:dyDescent="0.3">
      <c r="A72" s="338" t="s">
        <v>260</v>
      </c>
      <c r="C72" s="3" t="s">
        <v>150</v>
      </c>
      <c r="L72" s="16"/>
      <c r="M72" s="16"/>
      <c r="N72" s="15"/>
      <c r="O72" s="246">
        <v>401.73922139999996</v>
      </c>
      <c r="P72" s="16">
        <f t="shared" ref="P72:X72" si="48">P73*P78/10^6</f>
        <v>0</v>
      </c>
      <c r="Q72" s="16">
        <f t="shared" si="48"/>
        <v>0</v>
      </c>
      <c r="R72" s="16">
        <f t="shared" si="48"/>
        <v>0</v>
      </c>
      <c r="S72" s="16">
        <f t="shared" si="48"/>
        <v>0</v>
      </c>
      <c r="T72" s="16">
        <f t="shared" si="48"/>
        <v>198.86439609956128</v>
      </c>
      <c r="U72" s="16">
        <f t="shared" si="48"/>
        <v>198.86439609956128</v>
      </c>
      <c r="V72" s="16">
        <f t="shared" si="48"/>
        <v>388.5086876195337</v>
      </c>
      <c r="W72" s="16">
        <f t="shared" si="48"/>
        <v>582.76303142930055</v>
      </c>
      <c r="X72" s="15">
        <f t="shared" si="48"/>
        <v>582.76303142930055</v>
      </c>
      <c r="Y72" s="16">
        <f>SUM(P72:X72)</f>
        <v>1951.7635426772574</v>
      </c>
      <c r="Z72" s="246">
        <f>SUM(O72,Y72)</f>
        <v>2353.5027640772573</v>
      </c>
      <c r="AA72" s="16">
        <f>AA73*AA78/10^6</f>
        <v>0</v>
      </c>
      <c r="AB72" s="16">
        <f t="shared" ref="AB72:AD72" si="49">AB73*AB78/10^6</f>
        <v>0</v>
      </c>
      <c r="AC72" s="16">
        <f t="shared" si="49"/>
        <v>0</v>
      </c>
      <c r="AD72" s="16">
        <f t="shared" si="49"/>
        <v>0</v>
      </c>
      <c r="AE72" s="151"/>
      <c r="AF72" s="327"/>
      <c r="AG72" s="322">
        <f t="shared" si="29"/>
        <v>0</v>
      </c>
      <c r="AK72" s="311"/>
    </row>
    <row r="73" spans="1:37" x14ac:dyDescent="0.3">
      <c r="A73" s="338" t="s">
        <v>260</v>
      </c>
      <c r="B73" s="11"/>
      <c r="D73" s="3" t="s">
        <v>508</v>
      </c>
      <c r="L73" s="16"/>
      <c r="M73" s="16"/>
      <c r="N73" s="15"/>
      <c r="O73" s="246">
        <v>302412</v>
      </c>
      <c r="P73" s="16">
        <f t="shared" ref="P73:X73" si="50">P74*P77</f>
        <v>0</v>
      </c>
      <c r="Q73" s="16">
        <f t="shared" si="50"/>
        <v>0</v>
      </c>
      <c r="R73" s="16">
        <f t="shared" si="50"/>
        <v>0</v>
      </c>
      <c r="S73" s="16">
        <f t="shared" si="50"/>
        <v>0</v>
      </c>
      <c r="T73" s="16">
        <f t="shared" si="50"/>
        <v>154182.35082924584</v>
      </c>
      <c r="U73" s="16">
        <f t="shared" si="50"/>
        <v>154182.35082924584</v>
      </c>
      <c r="V73" s="16">
        <f t="shared" si="50"/>
        <v>308364.70165849169</v>
      </c>
      <c r="W73" s="16">
        <f t="shared" si="50"/>
        <v>462547.0524877375</v>
      </c>
      <c r="X73" s="15">
        <f t="shared" si="50"/>
        <v>462547.0524877375</v>
      </c>
      <c r="Y73" s="16">
        <f>SUM(P73:X73)</f>
        <v>1541823.5082924585</v>
      </c>
      <c r="Z73" s="246">
        <f>Y73+O73</f>
        <v>1844235.5082924585</v>
      </c>
      <c r="AA73" s="16">
        <f>AA74*AA77</f>
        <v>0</v>
      </c>
      <c r="AB73" s="16">
        <f t="shared" ref="AB73:AD73" si="51">AB74*AB77</f>
        <v>0</v>
      </c>
      <c r="AC73" s="16">
        <f t="shared" si="51"/>
        <v>0</v>
      </c>
      <c r="AD73" s="16">
        <f t="shared" si="51"/>
        <v>0</v>
      </c>
      <c r="AF73" s="327"/>
      <c r="AG73" s="322">
        <f t="shared" si="29"/>
        <v>0</v>
      </c>
      <c r="AK73" s="311"/>
    </row>
    <row r="74" spans="1:37" x14ac:dyDescent="0.3">
      <c r="A74" s="338" t="s">
        <v>260</v>
      </c>
      <c r="E74" s="3" t="s">
        <v>324</v>
      </c>
      <c r="L74" s="16"/>
      <c r="M74" s="16"/>
      <c r="N74" s="15"/>
      <c r="O74" s="246">
        <v>3</v>
      </c>
      <c r="P74" s="16">
        <f>SUMIFS(INDEX(판매수량!$N$2:$V$82,0,MATCH(P$42,판매수량!$N$2:$V$2,0)),판매수량!$A$2:$A$82,$A74,판매수량!$B$2:$B$82,$AG74)</f>
        <v>0</v>
      </c>
      <c r="Q74" s="16">
        <f>SUMIFS(INDEX(판매수량!$N$2:$V$82,0,MATCH(Q$42,판매수량!$N$2:$V$2,0)),판매수량!$A$2:$A$82,$A74,판매수량!$B$2:$B$82,$AG74)</f>
        <v>0</v>
      </c>
      <c r="R74" s="16">
        <f>SUMIFS(INDEX(판매수량!$N$2:$V$82,0,MATCH(R$42,판매수량!$N$2:$V$2,0)),판매수량!$A$2:$A$82,$A74,판매수량!$B$2:$B$82,$AG74)</f>
        <v>0</v>
      </c>
      <c r="S74" s="16">
        <f>SUMIFS(INDEX(판매수량!$N$2:$V$82,0,MATCH(S$42,판매수량!$N$2:$V$2,0)),판매수량!$A$2:$A$82,$A74,판매수량!$B$2:$B$82,$AG74)</f>
        <v>0</v>
      </c>
      <c r="T74" s="16">
        <f>SUMIFS(INDEX(판매수량!$N$2:$V$82,0,MATCH(T$42,판매수량!$N$2:$V$2,0)),판매수량!$A$2:$A$82,$A74,판매수량!$B$2:$B$82,$AG74)</f>
        <v>1</v>
      </c>
      <c r="U74" s="16">
        <f>SUMIFS(INDEX(판매수량!$N$2:$V$82,0,MATCH(U$42,판매수량!$N$2:$V$2,0)),판매수량!$A$2:$A$82,$A74,판매수량!$B$2:$B$82,$AG74)</f>
        <v>1</v>
      </c>
      <c r="V74" s="16">
        <f>SUMIFS(INDEX(판매수량!$N$2:$V$82,0,MATCH(V$42,판매수량!$N$2:$V$2,0)),판매수량!$A$2:$A$82,$A74,판매수량!$B$2:$B$82,$AG74)</f>
        <v>2</v>
      </c>
      <c r="W74" s="16">
        <f>SUMIFS(INDEX(판매수량!$N$2:$V$82,0,MATCH(W$42,판매수량!$N$2:$V$2,0)),판매수량!$A$2:$A$82,$A74,판매수량!$B$2:$B$82,$AG74)</f>
        <v>3</v>
      </c>
      <c r="X74" s="15">
        <f>SUMIFS(INDEX(판매수량!$N$2:$V$82,0,MATCH(X$42,판매수량!$N$2:$V$2,0)),판매수량!$A$2:$A$82,$A74,판매수량!$B$2:$B$82,$AG74)</f>
        <v>3</v>
      </c>
      <c r="Y74" s="16">
        <f>SUM(P74:X74)</f>
        <v>10</v>
      </c>
      <c r="Z74" s="246">
        <f>SUM(O74,Y74)</f>
        <v>13</v>
      </c>
      <c r="AA74" s="16">
        <f>ROUND(AA75*AA76,)</f>
        <v>0</v>
      </c>
      <c r="AB74" s="16">
        <f>ROUND(AB75*AB76,)</f>
        <v>0</v>
      </c>
      <c r="AC74" s="16">
        <f>ROUND(AC75*AC76,)</f>
        <v>0</v>
      </c>
      <c r="AD74" s="16">
        <f>ROUND(AD75*AD76,)</f>
        <v>0</v>
      </c>
      <c r="AF74" s="327"/>
      <c r="AG74" s="322" t="str">
        <f t="shared" si="29"/>
        <v>단종</v>
      </c>
      <c r="AK74" s="311"/>
    </row>
    <row r="75" spans="1:37" x14ac:dyDescent="0.3">
      <c r="A75" s="338" t="s">
        <v>260</v>
      </c>
      <c r="F75" s="3" t="s">
        <v>304</v>
      </c>
      <c r="L75" s="16"/>
      <c r="M75" s="16"/>
      <c r="N75" s="15"/>
      <c r="O75" s="306"/>
      <c r="P75" s="119"/>
      <c r="Q75" s="119"/>
      <c r="R75" s="119"/>
      <c r="S75" s="119"/>
      <c r="T75" s="119"/>
      <c r="U75" s="119"/>
      <c r="V75" s="119"/>
      <c r="W75" s="119"/>
      <c r="X75" s="294"/>
      <c r="Y75" s="119"/>
      <c r="Z75" s="246">
        <v>7</v>
      </c>
      <c r="AA75" s="16">
        <f>'Key Assumption'!AB94</f>
        <v>0</v>
      </c>
      <c r="AB75" s="16">
        <f>'Key Assumption'!AC94</f>
        <v>0</v>
      </c>
      <c r="AC75" s="16">
        <f>'Key Assumption'!AD94</f>
        <v>0</v>
      </c>
      <c r="AD75" s="16">
        <f>'Key Assumption'!AE94</f>
        <v>0</v>
      </c>
      <c r="AF75" s="327"/>
      <c r="AG75" s="322">
        <f t="shared" si="29"/>
        <v>0</v>
      </c>
      <c r="AK75" s="311"/>
    </row>
    <row r="76" spans="1:37" x14ac:dyDescent="0.3">
      <c r="A76" s="338" t="s">
        <v>260</v>
      </c>
      <c r="F76" s="3" t="s">
        <v>305</v>
      </c>
      <c r="L76" s="16"/>
      <c r="M76" s="16"/>
      <c r="N76" s="15"/>
      <c r="O76" s="306"/>
      <c r="P76" s="119"/>
      <c r="Q76" s="119"/>
      <c r="R76" s="119"/>
      <c r="S76" s="119"/>
      <c r="T76" s="119"/>
      <c r="U76" s="119"/>
      <c r="V76" s="119"/>
      <c r="W76" s="119"/>
      <c r="X76" s="294"/>
      <c r="Y76" s="119"/>
      <c r="Z76" s="246">
        <f>IFERROR(Z74/Z75,)</f>
        <v>1.8571428571428572</v>
      </c>
      <c r="AA76" s="16">
        <f>'Key Assumption'!AB206</f>
        <v>0</v>
      </c>
      <c r="AB76" s="16">
        <f>'Key Assumption'!AC206</f>
        <v>0</v>
      </c>
      <c r="AC76" s="16">
        <f>'Key Assumption'!AD206</f>
        <v>0</v>
      </c>
      <c r="AD76" s="16">
        <f>'Key Assumption'!AE206</f>
        <v>0</v>
      </c>
      <c r="AF76" s="327"/>
      <c r="AG76" s="322">
        <f t="shared" si="29"/>
        <v>0</v>
      </c>
      <c r="AK76" s="311"/>
    </row>
    <row r="77" spans="1:37" x14ac:dyDescent="0.3">
      <c r="A77" s="338" t="s">
        <v>260</v>
      </c>
      <c r="E77" s="3" t="s">
        <v>509</v>
      </c>
      <c r="I77" s="291" t="s">
        <v>275</v>
      </c>
      <c r="L77" s="16"/>
      <c r="M77" s="16"/>
      <c r="N77" s="15"/>
      <c r="O77" s="246">
        <f>O73/O74</f>
        <v>100804</v>
      </c>
      <c r="P77" s="16">
        <f>'Key Assumption'!R343</f>
        <v>154182.35082924584</v>
      </c>
      <c r="Q77" s="16">
        <f>'Key Assumption'!S343</f>
        <v>154182.35082924584</v>
      </c>
      <c r="R77" s="16">
        <f>'Key Assumption'!T343</f>
        <v>154182.35082924584</v>
      </c>
      <c r="S77" s="16">
        <f>'Key Assumption'!U343</f>
        <v>154182.35082924584</v>
      </c>
      <c r="T77" s="16">
        <f>'Key Assumption'!V343</f>
        <v>154182.35082924584</v>
      </c>
      <c r="U77" s="16">
        <f>'Key Assumption'!W343</f>
        <v>154182.35082924584</v>
      </c>
      <c r="V77" s="16">
        <f>'Key Assumption'!X343</f>
        <v>154182.35082924584</v>
      </c>
      <c r="W77" s="16">
        <f>'Key Assumption'!Y343</f>
        <v>154182.35082924584</v>
      </c>
      <c r="X77" s="15">
        <f>'Key Assumption'!Z343</f>
        <v>154182.35082924584</v>
      </c>
      <c r="Y77" s="16">
        <f>IFERROR(Y73/Y74,)</f>
        <v>154182.35082924584</v>
      </c>
      <c r="Z77" s="246">
        <f>Z73/Z74</f>
        <v>141864.26986865065</v>
      </c>
      <c r="AA77" s="16">
        <f>'Key Assumption'!AB343</f>
        <v>0</v>
      </c>
      <c r="AB77" s="16">
        <f>'Key Assumption'!AC343</f>
        <v>0</v>
      </c>
      <c r="AC77" s="16">
        <f>'Key Assumption'!AD343</f>
        <v>0</v>
      </c>
      <c r="AD77" s="16">
        <f>'Key Assumption'!AE343</f>
        <v>0</v>
      </c>
      <c r="AF77" s="327"/>
      <c r="AG77" s="322">
        <f t="shared" si="29"/>
        <v>0</v>
      </c>
      <c r="AK77" s="311"/>
    </row>
    <row r="78" spans="1:37" x14ac:dyDescent="0.3">
      <c r="A78" s="338" t="s">
        <v>260</v>
      </c>
      <c r="D78" s="3" t="s">
        <v>333</v>
      </c>
      <c r="I78" s="291"/>
      <c r="L78" s="16"/>
      <c r="M78" s="16"/>
      <c r="N78" s="15"/>
      <c r="O78" s="246">
        <f>O72/O73*10^6</f>
        <v>1328.4499999999998</v>
      </c>
      <c r="P78" s="16">
        <f t="shared" ref="P78:X78" si="52">P$297</f>
        <v>1308.5999999999999</v>
      </c>
      <c r="Q78" s="16">
        <f t="shared" si="52"/>
        <v>1308.5999999999999</v>
      </c>
      <c r="R78" s="16">
        <f t="shared" si="52"/>
        <v>1308.5999999999999</v>
      </c>
      <c r="S78" s="16">
        <f t="shared" si="52"/>
        <v>1289.8</v>
      </c>
      <c r="T78" s="16">
        <f t="shared" si="52"/>
        <v>1289.8</v>
      </c>
      <c r="U78" s="16">
        <f t="shared" si="52"/>
        <v>1289.8</v>
      </c>
      <c r="V78" s="16">
        <f t="shared" si="52"/>
        <v>1259.9000000000001</v>
      </c>
      <c r="W78" s="16">
        <f t="shared" si="52"/>
        <v>1259.9000000000001</v>
      </c>
      <c r="X78" s="15">
        <f t="shared" si="52"/>
        <v>1259.9000000000001</v>
      </c>
      <c r="Y78" s="16">
        <f>IFERROR(Y72/Y73,)*10^6</f>
        <v>1265.8800000000001</v>
      </c>
      <c r="Z78" s="246">
        <f>Z72/Z73*10^6</f>
        <v>1276.140033902893</v>
      </c>
      <c r="AA78" s="16">
        <f>AA$297</f>
        <v>1214.2</v>
      </c>
      <c r="AB78" s="16">
        <f>AB$297</f>
        <v>1201.8</v>
      </c>
      <c r="AC78" s="16">
        <f>AC$297</f>
        <v>1199.3</v>
      </c>
      <c r="AD78" s="16">
        <f>AD$297</f>
        <v>1212</v>
      </c>
      <c r="AF78" s="327"/>
      <c r="AG78" s="322">
        <f t="shared" si="29"/>
        <v>0</v>
      </c>
      <c r="AK78" s="311"/>
    </row>
    <row r="79" spans="1:37" x14ac:dyDescent="0.3">
      <c r="A79" s="338" t="s">
        <v>260</v>
      </c>
      <c r="C79" s="3" t="s">
        <v>105</v>
      </c>
      <c r="L79" s="16"/>
      <c r="M79" s="16"/>
      <c r="N79" s="15"/>
      <c r="O79" s="246">
        <f>O80+O82+O84+O86+O89+O90</f>
        <v>2767.7217964859983</v>
      </c>
      <c r="P79" s="16">
        <f>P80+P82+P84+P86+P89+P90</f>
        <v>688.05112345116015</v>
      </c>
      <c r="Q79" s="16">
        <f t="shared" ref="Q79:X79" si="53">Q80+Q82+Q84+Q86+Q89+Q90</f>
        <v>477.69712036694318</v>
      </c>
      <c r="R79" s="16">
        <f t="shared" si="53"/>
        <v>559.6870322955765</v>
      </c>
      <c r="S79" s="16">
        <f t="shared" si="53"/>
        <v>591.35078697425888</v>
      </c>
      <c r="T79" s="16">
        <f t="shared" si="53"/>
        <v>553.86535912653858</v>
      </c>
      <c r="U79" s="16">
        <f t="shared" si="53"/>
        <v>713.16086590642158</v>
      </c>
      <c r="V79" s="16">
        <f t="shared" si="53"/>
        <v>739.13534517912967</v>
      </c>
      <c r="W79" s="16">
        <f t="shared" si="53"/>
        <v>784.17967554643542</v>
      </c>
      <c r="X79" s="15">
        <f t="shared" si="53"/>
        <v>748.66476704844627</v>
      </c>
      <c r="Y79" s="16">
        <f>Y80+Y82+Y84+Y86+Y89+Y90</f>
        <v>5855.7920758949094</v>
      </c>
      <c r="Z79" s="246">
        <f>Z80+Z82+Z84+Z86+Z89+Z90</f>
        <v>8623.5138723809087</v>
      </c>
      <c r="AA79" s="16">
        <f t="shared" ref="AA79:AD79" si="54">AA80+AA82+AA84+AA86+AA89+AA90</f>
        <v>6734.403257547604</v>
      </c>
      <c r="AB79" s="16">
        <f t="shared" si="54"/>
        <v>7373.127634074177</v>
      </c>
      <c r="AC79" s="16">
        <f t="shared" si="54"/>
        <v>7809.3572942174587</v>
      </c>
      <c r="AD79" s="16">
        <f t="shared" si="54"/>
        <v>8619.9261075420964</v>
      </c>
      <c r="AE79" s="151"/>
      <c r="AF79" s="327"/>
      <c r="AG79" s="322">
        <f t="shared" si="29"/>
        <v>0</v>
      </c>
      <c r="AK79" s="311"/>
    </row>
    <row r="80" spans="1:37" ht="12.75" thickBot="1" x14ac:dyDescent="0.35">
      <c r="A80" s="338" t="s">
        <v>260</v>
      </c>
      <c r="D80" s="3" t="s">
        <v>307</v>
      </c>
      <c r="L80" s="16"/>
      <c r="M80" s="16"/>
      <c r="N80" s="15"/>
      <c r="O80" s="246">
        <v>1229.2668602399997</v>
      </c>
      <c r="P80" s="16">
        <f t="shared" ref="P80:X80" si="55">SUM(P$44,P$51,P$58,P$65,P$72)*P81</f>
        <v>189.83577884724417</v>
      </c>
      <c r="Q80" s="16">
        <f t="shared" si="55"/>
        <v>129.75833356279298</v>
      </c>
      <c r="R80" s="16">
        <f t="shared" si="55"/>
        <v>153.59521107933503</v>
      </c>
      <c r="S80" s="16">
        <f t="shared" si="55"/>
        <v>158.79351264409487</v>
      </c>
      <c r="T80" s="16">
        <f t="shared" si="55"/>
        <v>149.24324562351029</v>
      </c>
      <c r="U80" s="16">
        <f t="shared" si="55"/>
        <v>191.68858336668652</v>
      </c>
      <c r="V80" s="16">
        <f t="shared" si="55"/>
        <v>197.54366231518361</v>
      </c>
      <c r="W80" s="16">
        <f t="shared" si="55"/>
        <v>214.48669219025513</v>
      </c>
      <c r="X80" s="15">
        <f t="shared" si="55"/>
        <v>203.08587101484574</v>
      </c>
      <c r="Y80" s="16">
        <f>SUM(P80:X80)</f>
        <v>1588.0308906439484</v>
      </c>
      <c r="Z80" s="246">
        <f>SUM(O80,Y80)</f>
        <v>2817.2977508839481</v>
      </c>
      <c r="AA80" s="16">
        <f>SUM(AA$44,AA$51,AA$58,AA$65)*AA81</f>
        <v>1796.7666769634302</v>
      </c>
      <c r="AB80" s="16">
        <f>SUM(AB$44,AB$51,AB$58,AB$65)*AB81</f>
        <v>1958.3967394659139</v>
      </c>
      <c r="AC80" s="16">
        <f>SUM(AC$44,AC$51,AC$58,AC$65)*AC81</f>
        <v>2073.7940547863118</v>
      </c>
      <c r="AD80" s="16">
        <f>SUM(AD$44,AD$51,AD$58,AD$65)*AD81</f>
        <v>2298.5279586636307</v>
      </c>
      <c r="AE80" s="151"/>
      <c r="AF80" s="327"/>
      <c r="AG80" s="322">
        <f t="shared" si="29"/>
        <v>0</v>
      </c>
      <c r="AK80" s="311"/>
    </row>
    <row r="81" spans="1:37" ht="12.75" thickBot="1" x14ac:dyDescent="0.35">
      <c r="A81" s="338" t="s">
        <v>260</v>
      </c>
      <c r="E81" s="3" t="s">
        <v>317</v>
      </c>
      <c r="I81" s="361">
        <v>4.2939772510370955E-2</v>
      </c>
      <c r="J81" s="349">
        <f>I81</f>
        <v>4.2939772510370955E-2</v>
      </c>
      <c r="L81" s="137"/>
      <c r="M81" s="137"/>
      <c r="N81" s="374"/>
      <c r="O81" s="362">
        <f>O80/SUM(O$44,O$51,O$58,O$65,O$72)</f>
        <v>0.14636098546166948</v>
      </c>
      <c r="P81" s="363">
        <f t="shared" ref="P81:X81" si="56">$I81</f>
        <v>4.2939772510370955E-2</v>
      </c>
      <c r="Q81" s="363">
        <f t="shared" si="56"/>
        <v>4.2939772510370955E-2</v>
      </c>
      <c r="R81" s="363">
        <f t="shared" si="56"/>
        <v>4.2939772510370955E-2</v>
      </c>
      <c r="S81" s="363">
        <f t="shared" si="56"/>
        <v>4.2939772510370955E-2</v>
      </c>
      <c r="T81" s="363">
        <f t="shared" si="56"/>
        <v>4.2939772510370955E-2</v>
      </c>
      <c r="U81" s="363">
        <f t="shared" si="56"/>
        <v>4.2939772510370955E-2</v>
      </c>
      <c r="V81" s="363">
        <f t="shared" si="56"/>
        <v>4.2939772510370955E-2</v>
      </c>
      <c r="W81" s="363">
        <f t="shared" si="56"/>
        <v>4.2939772510370955E-2</v>
      </c>
      <c r="X81" s="374">
        <f t="shared" si="56"/>
        <v>4.2939772510370955E-2</v>
      </c>
      <c r="Y81" s="363">
        <f>IFERROR(Y80/SUM(Y$44,Y$51,Y$58,Y$65,Y$72),)</f>
        <v>4.2939772510370962E-2</v>
      </c>
      <c r="Z81" s="362">
        <f>IFERROR(Z80/SUM(Z$44,Z$51,Z$58,Z$65,Z$72),)</f>
        <v>6.2080149105731154E-2</v>
      </c>
      <c r="AA81" s="17">
        <f>$J81</f>
        <v>4.2939772510370955E-2</v>
      </c>
      <c r="AB81" s="17">
        <f>$J81</f>
        <v>4.2939772510370955E-2</v>
      </c>
      <c r="AC81" s="17">
        <f>$J81</f>
        <v>4.2939772510370955E-2</v>
      </c>
      <c r="AD81" s="17">
        <f>$J81</f>
        <v>4.2939772510370955E-2</v>
      </c>
      <c r="AF81" s="327"/>
      <c r="AG81" s="322">
        <f t="shared" si="29"/>
        <v>0</v>
      </c>
      <c r="AK81" s="311"/>
    </row>
    <row r="82" spans="1:37" ht="12.75" thickBot="1" x14ac:dyDescent="0.35">
      <c r="A82" s="338" t="s">
        <v>260</v>
      </c>
      <c r="D82" s="3" t="s">
        <v>309</v>
      </c>
      <c r="J82" s="341"/>
      <c r="L82" s="16"/>
      <c r="M82" s="16"/>
      <c r="N82" s="15"/>
      <c r="O82" s="246">
        <v>1318.0013156459988</v>
      </c>
      <c r="P82" s="16">
        <f t="shared" ref="P82:X82" si="57">SUM(P$44,P$51,P$58,P$65,P$72)*P83</f>
        <v>401.52516013023177</v>
      </c>
      <c r="Q82" s="16">
        <f t="shared" si="57"/>
        <v>274.45424660415023</v>
      </c>
      <c r="R82" s="16">
        <f t="shared" si="57"/>
        <v>324.87206625834665</v>
      </c>
      <c r="S82" s="16">
        <f t="shared" si="57"/>
        <v>335.86708985647977</v>
      </c>
      <c r="T82" s="16">
        <f t="shared" si="57"/>
        <v>315.66714378723879</v>
      </c>
      <c r="U82" s="16">
        <f t="shared" si="57"/>
        <v>405.44406117131393</v>
      </c>
      <c r="V82" s="16">
        <f t="shared" si="57"/>
        <v>417.8282467376302</v>
      </c>
      <c r="W82" s="16">
        <f t="shared" si="57"/>
        <v>453.66476198775922</v>
      </c>
      <c r="X82" s="15">
        <f t="shared" si="57"/>
        <v>429.55067466517949</v>
      </c>
      <c r="Y82" s="16">
        <f>SUM(P82:X82)</f>
        <v>3358.8734511983298</v>
      </c>
      <c r="Z82" s="246">
        <f>SUM(O82,Y82)</f>
        <v>4676.8747668443284</v>
      </c>
      <c r="AA82" s="16">
        <f>SUM(AA$44,AA$51,AA$58,AA$65)*AA83</f>
        <v>3800.3743660194586</v>
      </c>
      <c r="AB82" s="16">
        <f>SUM(AB$44,AB$51,AB$58,AB$65)*AB83</f>
        <v>4142.2410948429615</v>
      </c>
      <c r="AC82" s="16">
        <f>SUM(AC$44,AC$51,AC$58,AC$65)*AC83</f>
        <v>4386.3200866641291</v>
      </c>
      <c r="AD82" s="16">
        <f>SUM(AD$44,AD$51,AD$58,AD$65)*AD83</f>
        <v>4861.6589152505112</v>
      </c>
      <c r="AE82" s="151"/>
      <c r="AF82" s="327"/>
      <c r="AG82" s="322">
        <f t="shared" si="29"/>
        <v>0</v>
      </c>
      <c r="AK82" s="311"/>
    </row>
    <row r="83" spans="1:37" ht="12.75" thickBot="1" x14ac:dyDescent="0.35">
      <c r="A83" s="338" t="s">
        <v>260</v>
      </c>
      <c r="E83" s="3" t="s">
        <v>317</v>
      </c>
      <c r="I83" s="361">
        <v>9.0822705487231259E-2</v>
      </c>
      <c r="J83" s="349">
        <f>I83</f>
        <v>9.0822705487231259E-2</v>
      </c>
      <c r="L83" s="137"/>
      <c r="M83" s="137"/>
      <c r="N83" s="374"/>
      <c r="O83" s="362">
        <f>O82/SUM(O$44,O$51,O$58,O$65,O$72)</f>
        <v>0.15692603261106633</v>
      </c>
      <c r="P83" s="363">
        <f t="shared" ref="P83:X83" si="58">$I83</f>
        <v>9.0822705487231259E-2</v>
      </c>
      <c r="Q83" s="363">
        <f t="shared" si="58"/>
        <v>9.0822705487231259E-2</v>
      </c>
      <c r="R83" s="363">
        <f t="shared" si="58"/>
        <v>9.0822705487231259E-2</v>
      </c>
      <c r="S83" s="363">
        <f t="shared" si="58"/>
        <v>9.0822705487231259E-2</v>
      </c>
      <c r="T83" s="363">
        <f t="shared" si="58"/>
        <v>9.0822705487231259E-2</v>
      </c>
      <c r="U83" s="363">
        <f t="shared" si="58"/>
        <v>9.0822705487231259E-2</v>
      </c>
      <c r="V83" s="363">
        <f t="shared" si="58"/>
        <v>9.0822705487231259E-2</v>
      </c>
      <c r="W83" s="363">
        <f t="shared" si="58"/>
        <v>9.0822705487231259E-2</v>
      </c>
      <c r="X83" s="374">
        <f t="shared" si="58"/>
        <v>9.0822705487231259E-2</v>
      </c>
      <c r="Y83" s="363">
        <f>IFERROR(Y82/SUM(Y$44,Y$51,Y$58,Y$65,Y$72),)</f>
        <v>9.0822705487231259E-2</v>
      </c>
      <c r="Z83" s="362">
        <f>IFERROR(Z82/SUM(Z$44,Z$51,Z$58,Z$65,Z$72),)</f>
        <v>0.10305658419790058</v>
      </c>
      <c r="AA83" s="17">
        <f>$J83</f>
        <v>9.0822705487231259E-2</v>
      </c>
      <c r="AB83" s="17">
        <f>$J83</f>
        <v>9.0822705487231259E-2</v>
      </c>
      <c r="AC83" s="17">
        <f>$J83</f>
        <v>9.0822705487231259E-2</v>
      </c>
      <c r="AD83" s="17">
        <f>$J83</f>
        <v>9.0822705487231259E-2</v>
      </c>
      <c r="AF83" s="327"/>
      <c r="AG83" s="322">
        <f t="shared" si="29"/>
        <v>0</v>
      </c>
      <c r="AK83" s="311"/>
    </row>
    <row r="84" spans="1:37" ht="12.75" thickBot="1" x14ac:dyDescent="0.35">
      <c r="A84" s="338" t="s">
        <v>260</v>
      </c>
      <c r="D84" s="3" t="s">
        <v>310</v>
      </c>
      <c r="J84" s="341"/>
      <c r="L84" s="16"/>
      <c r="M84" s="16"/>
      <c r="N84" s="15"/>
      <c r="O84" s="246">
        <v>0</v>
      </c>
      <c r="P84" s="16">
        <f t="shared" ref="P84:X84" si="59">SUM(P$44,P$51,P$58,P$65,P$72)*P85</f>
        <v>0</v>
      </c>
      <c r="Q84" s="16">
        <f t="shared" si="59"/>
        <v>0</v>
      </c>
      <c r="R84" s="16">
        <f t="shared" si="59"/>
        <v>0</v>
      </c>
      <c r="S84" s="16">
        <f t="shared" si="59"/>
        <v>0</v>
      </c>
      <c r="T84" s="16">
        <f t="shared" si="59"/>
        <v>0</v>
      </c>
      <c r="U84" s="16">
        <f t="shared" si="59"/>
        <v>0</v>
      </c>
      <c r="V84" s="16">
        <f t="shared" si="59"/>
        <v>0</v>
      </c>
      <c r="W84" s="16">
        <f t="shared" si="59"/>
        <v>0</v>
      </c>
      <c r="X84" s="15">
        <f t="shared" si="59"/>
        <v>0</v>
      </c>
      <c r="Y84" s="16">
        <f>SUM(P84:X84)</f>
        <v>0</v>
      </c>
      <c r="Z84" s="246">
        <f>SUM(O84,Y84)</f>
        <v>0</v>
      </c>
      <c r="AA84" s="16">
        <f>SUM(AA$44,AA$51,AA$58,AA$65)*AA85</f>
        <v>0</v>
      </c>
      <c r="AB84" s="16">
        <f>SUM(AB$44,AB$51,AB$58,AB$65)*AB85</f>
        <v>0</v>
      </c>
      <c r="AC84" s="16">
        <f>SUM(AC$44,AC$51,AC$58,AC$65)*AC85</f>
        <v>0</v>
      </c>
      <c r="AD84" s="16">
        <f>SUM(AD$44,AD$51,AD$58,AD$65)*AD85</f>
        <v>0</v>
      </c>
      <c r="AE84" s="151"/>
      <c r="AF84" s="327"/>
      <c r="AG84" s="322">
        <f t="shared" si="29"/>
        <v>0</v>
      </c>
      <c r="AK84" s="311"/>
    </row>
    <row r="85" spans="1:37" ht="12.75" thickBot="1" x14ac:dyDescent="0.35">
      <c r="A85" s="338" t="s">
        <v>260</v>
      </c>
      <c r="E85" s="3" t="s">
        <v>317</v>
      </c>
      <c r="I85" s="361">
        <v>0</v>
      </c>
      <c r="J85" s="349">
        <f>I85</f>
        <v>0</v>
      </c>
      <c r="L85" s="137"/>
      <c r="M85" s="137"/>
      <c r="N85" s="374"/>
      <c r="O85" s="362">
        <f>O84/SUM(O$44,O$51,O$58,O$65,O$72)</f>
        <v>0</v>
      </c>
      <c r="P85" s="363">
        <f t="shared" ref="P85:X85" si="60">$I85</f>
        <v>0</v>
      </c>
      <c r="Q85" s="363">
        <f t="shared" si="60"/>
        <v>0</v>
      </c>
      <c r="R85" s="363">
        <f t="shared" si="60"/>
        <v>0</v>
      </c>
      <c r="S85" s="363">
        <f t="shared" si="60"/>
        <v>0</v>
      </c>
      <c r="T85" s="363">
        <f t="shared" si="60"/>
        <v>0</v>
      </c>
      <c r="U85" s="363">
        <f t="shared" si="60"/>
        <v>0</v>
      </c>
      <c r="V85" s="363">
        <f t="shared" si="60"/>
        <v>0</v>
      </c>
      <c r="W85" s="363">
        <f t="shared" si="60"/>
        <v>0</v>
      </c>
      <c r="X85" s="374">
        <f t="shared" si="60"/>
        <v>0</v>
      </c>
      <c r="Y85" s="363">
        <f>IFERROR(Y84/SUM(Y$44,Y$51,Y$58,Y$65,Y$72),)</f>
        <v>0</v>
      </c>
      <c r="Z85" s="373">
        <f>IFERROR(Z84/SUM(Z$44,Z$51,Z$58,Z$65,Z$72),)</f>
        <v>0</v>
      </c>
      <c r="AA85" s="17">
        <f>$J85</f>
        <v>0</v>
      </c>
      <c r="AB85" s="17">
        <f>$J85</f>
        <v>0</v>
      </c>
      <c r="AC85" s="17">
        <f>$J85</f>
        <v>0</v>
      </c>
      <c r="AD85" s="17">
        <f>$J85</f>
        <v>0</v>
      </c>
      <c r="AF85" s="327"/>
      <c r="AG85" s="322">
        <f t="shared" si="29"/>
        <v>0</v>
      </c>
      <c r="AK85" s="311"/>
    </row>
    <row r="86" spans="1:37" x14ac:dyDescent="0.3">
      <c r="A86" s="338" t="s">
        <v>260</v>
      </c>
      <c r="D86" s="3" t="s">
        <v>311</v>
      </c>
      <c r="J86" s="341"/>
      <c r="L86" s="16"/>
      <c r="M86" s="16"/>
      <c r="N86" s="15"/>
      <c r="O86" s="246">
        <v>220.45362060000002</v>
      </c>
      <c r="P86" s="16">
        <f t="shared" ref="P86:X86" si="61">P87*P88</f>
        <v>96.690184473684212</v>
      </c>
      <c r="Q86" s="16">
        <f t="shared" si="61"/>
        <v>73.484540199999998</v>
      </c>
      <c r="R86" s="16">
        <f t="shared" si="61"/>
        <v>81.219754957894736</v>
      </c>
      <c r="S86" s="16">
        <f t="shared" si="61"/>
        <v>96.690184473684212</v>
      </c>
      <c r="T86" s="16">
        <f t="shared" si="61"/>
        <v>88.954969715789474</v>
      </c>
      <c r="U86" s="16">
        <f t="shared" si="61"/>
        <v>116.02822136842106</v>
      </c>
      <c r="V86" s="16">
        <f t="shared" si="61"/>
        <v>123.7634361263158</v>
      </c>
      <c r="W86" s="16">
        <f t="shared" si="61"/>
        <v>116.02822136842106</v>
      </c>
      <c r="X86" s="15">
        <f t="shared" si="61"/>
        <v>116.02822136842106</v>
      </c>
      <c r="Y86" s="16">
        <f>SUM(P86:X86)</f>
        <v>908.8877340526318</v>
      </c>
      <c r="Z86" s="246">
        <f>SUM(O86,Y86)</f>
        <v>1129.3413546526317</v>
      </c>
      <c r="AA86" s="16">
        <f>AA87*AA88</f>
        <v>1137.2622145647158</v>
      </c>
      <c r="AB86" s="16">
        <f>AB87*AB88</f>
        <v>1272.4897997653013</v>
      </c>
      <c r="AC86" s="16">
        <f>AC87*AC88</f>
        <v>1349.243152767018</v>
      </c>
      <c r="AD86" s="16">
        <f>AD87*AD88</f>
        <v>1459.7392336279552</v>
      </c>
      <c r="AE86" s="151"/>
      <c r="AF86" s="327"/>
      <c r="AG86" s="322">
        <f t="shared" si="29"/>
        <v>0</v>
      </c>
      <c r="AK86" s="311"/>
    </row>
    <row r="87" spans="1:37" ht="12.75" thickBot="1" x14ac:dyDescent="0.35">
      <c r="A87" s="338" t="s">
        <v>260</v>
      </c>
      <c r="E87" s="3" t="s">
        <v>318</v>
      </c>
      <c r="J87" s="341"/>
      <c r="L87" s="16"/>
      <c r="M87" s="16"/>
      <c r="N87" s="15"/>
      <c r="O87" s="246">
        <f>SUM(O46,O53,O60,O67,O74)</f>
        <v>57</v>
      </c>
      <c r="P87" s="16">
        <f t="shared" ref="P87:X87" si="62">SUM(P46,P53,P60,P67,P74)</f>
        <v>25</v>
      </c>
      <c r="Q87" s="16">
        <f t="shared" si="62"/>
        <v>19</v>
      </c>
      <c r="R87" s="16">
        <f t="shared" si="62"/>
        <v>21</v>
      </c>
      <c r="S87" s="16">
        <f t="shared" si="62"/>
        <v>25</v>
      </c>
      <c r="T87" s="16">
        <f t="shared" si="62"/>
        <v>23</v>
      </c>
      <c r="U87" s="16">
        <f t="shared" si="62"/>
        <v>30</v>
      </c>
      <c r="V87" s="16">
        <f t="shared" si="62"/>
        <v>32</v>
      </c>
      <c r="W87" s="16">
        <f t="shared" si="62"/>
        <v>30</v>
      </c>
      <c r="X87" s="15">
        <f t="shared" si="62"/>
        <v>30</v>
      </c>
      <c r="Y87" s="16">
        <f>SUM(P87:X87)</f>
        <v>235</v>
      </c>
      <c r="Z87" s="246">
        <f>SUM(O87,Y87)</f>
        <v>292</v>
      </c>
      <c r="AA87" s="16">
        <f>SUM(AA46,AA53,AA60,AA67,AA74)</f>
        <v>288</v>
      </c>
      <c r="AB87" s="16">
        <f>SUM(AB46,AB53,AB60,AB67,AB74)</f>
        <v>315</v>
      </c>
      <c r="AC87" s="16">
        <f>SUM(AC46,AC53,AC60,AC67,AC74)</f>
        <v>334</v>
      </c>
      <c r="AD87" s="16">
        <f>SUM(AD46,AD53,AD60,AD67,AD74)</f>
        <v>361</v>
      </c>
      <c r="AF87" s="327"/>
      <c r="AG87" s="322">
        <f t="shared" si="29"/>
        <v>0</v>
      </c>
      <c r="AK87" s="311"/>
    </row>
    <row r="88" spans="1:37" ht="12.75" thickBot="1" x14ac:dyDescent="0.35">
      <c r="A88" s="338" t="s">
        <v>260</v>
      </c>
      <c r="E88" s="3" t="s">
        <v>319</v>
      </c>
      <c r="I88" s="365">
        <v>2.5663918277945617</v>
      </c>
      <c r="J88" s="354">
        <f>O88</f>
        <v>3.8676073789473686</v>
      </c>
      <c r="L88" s="16"/>
      <c r="M88" s="16"/>
      <c r="N88" s="15"/>
      <c r="O88" s="250">
        <f>O86/O87</f>
        <v>3.8676073789473686</v>
      </c>
      <c r="P88" s="247">
        <f>$J88</f>
        <v>3.8676073789473686</v>
      </c>
      <c r="Q88" s="247">
        <f t="shared" ref="Q88:X88" si="63">$J88</f>
        <v>3.8676073789473686</v>
      </c>
      <c r="R88" s="247">
        <f t="shared" si="63"/>
        <v>3.8676073789473686</v>
      </c>
      <c r="S88" s="247">
        <f t="shared" si="63"/>
        <v>3.8676073789473686</v>
      </c>
      <c r="T88" s="247">
        <f t="shared" si="63"/>
        <v>3.8676073789473686</v>
      </c>
      <c r="U88" s="247">
        <f t="shared" si="63"/>
        <v>3.8676073789473686</v>
      </c>
      <c r="V88" s="247">
        <f t="shared" si="63"/>
        <v>3.8676073789473686</v>
      </c>
      <c r="W88" s="247">
        <f t="shared" si="63"/>
        <v>3.8676073789473686</v>
      </c>
      <c r="X88" s="247">
        <f t="shared" si="63"/>
        <v>3.8676073789473686</v>
      </c>
      <c r="Y88" s="250">
        <f>Y86/Y87</f>
        <v>3.8676073789473695</v>
      </c>
      <c r="Z88" s="250">
        <f>Z86/Z87</f>
        <v>3.8676073789473691</v>
      </c>
      <c r="AA88" s="355">
        <f>$J88*(1+'Key Assumption'!AB$21)</f>
        <v>3.948827133905263</v>
      </c>
      <c r="AB88" s="355">
        <f>$AA88*(1+'Key Assumption'!AC$21)</f>
        <v>4.0396501579850836</v>
      </c>
      <c r="AC88" s="355">
        <f>$AA88*(1+'Key Assumption'!AD$21)</f>
        <v>4.0396501579850836</v>
      </c>
      <c r="AD88" s="355">
        <f>$AA88*(1+'Key Assumption'!AE$21)</f>
        <v>4.0435989851189893</v>
      </c>
      <c r="AF88" s="327"/>
      <c r="AG88" s="322">
        <f t="shared" si="29"/>
        <v>0</v>
      </c>
      <c r="AK88" s="311"/>
    </row>
    <row r="89" spans="1:37" x14ac:dyDescent="0.3">
      <c r="A89" s="338" t="s">
        <v>260</v>
      </c>
      <c r="D89" s="3" t="s">
        <v>314</v>
      </c>
      <c r="L89" s="16"/>
      <c r="M89" s="16"/>
      <c r="N89" s="15"/>
      <c r="O89" s="246">
        <v>0</v>
      </c>
      <c r="P89" s="16">
        <v>0</v>
      </c>
      <c r="Q89" s="16">
        <v>0</v>
      </c>
      <c r="R89" s="16">
        <v>0</v>
      </c>
      <c r="S89" s="16">
        <v>0</v>
      </c>
      <c r="T89" s="16">
        <v>0</v>
      </c>
      <c r="U89" s="16">
        <v>0</v>
      </c>
      <c r="V89" s="16">
        <v>0</v>
      </c>
      <c r="W89" s="16">
        <v>0</v>
      </c>
      <c r="X89" s="15">
        <v>0</v>
      </c>
      <c r="Y89" s="16">
        <f>SUM(P89:X89)</f>
        <v>0</v>
      </c>
      <c r="Z89" s="246">
        <f>SUM(O89,Y89)</f>
        <v>0</v>
      </c>
      <c r="AA89" s="119"/>
      <c r="AB89" s="119"/>
      <c r="AC89" s="119"/>
      <c r="AD89" s="119"/>
      <c r="AE89" s="151"/>
      <c r="AF89" s="327"/>
      <c r="AK89" s="311"/>
    </row>
    <row r="90" spans="1:37" x14ac:dyDescent="0.3">
      <c r="A90" s="338" t="s">
        <v>260</v>
      </c>
      <c r="B90" s="92"/>
      <c r="C90" s="92"/>
      <c r="D90" s="92" t="s">
        <v>105</v>
      </c>
      <c r="E90" s="92"/>
      <c r="F90" s="92"/>
      <c r="G90" s="92"/>
      <c r="H90" s="92"/>
      <c r="I90" s="92"/>
      <c r="J90" s="92"/>
      <c r="K90" s="92"/>
      <c r="L90" s="130"/>
      <c r="M90" s="130"/>
      <c r="N90" s="131"/>
      <c r="O90" s="330">
        <v>0</v>
      </c>
      <c r="P90" s="130">
        <v>0</v>
      </c>
      <c r="Q90" s="130">
        <v>0</v>
      </c>
      <c r="R90" s="130">
        <v>0</v>
      </c>
      <c r="S90" s="130">
        <v>0</v>
      </c>
      <c r="T90" s="130">
        <v>0</v>
      </c>
      <c r="U90" s="130">
        <v>0</v>
      </c>
      <c r="V90" s="130">
        <v>0</v>
      </c>
      <c r="W90" s="130">
        <v>0</v>
      </c>
      <c r="X90" s="131">
        <v>0</v>
      </c>
      <c r="Y90" s="130">
        <f>SUM(P90:X90)</f>
        <v>0</v>
      </c>
      <c r="Z90" s="330">
        <f>SUM(O90,Y90)</f>
        <v>0</v>
      </c>
      <c r="AA90" s="281"/>
      <c r="AB90" s="281"/>
      <c r="AC90" s="281"/>
      <c r="AD90" s="281"/>
      <c r="AF90" s="327"/>
      <c r="AK90" s="311"/>
    </row>
    <row r="91" spans="1:37" x14ac:dyDescent="0.3">
      <c r="AF91" s="327"/>
      <c r="AK91" s="311"/>
    </row>
    <row r="92" spans="1:37" x14ac:dyDescent="0.3">
      <c r="B92" s="8"/>
      <c r="C92" s="8"/>
      <c r="D92" s="8"/>
      <c r="E92" s="8"/>
      <c r="F92" s="8"/>
      <c r="G92" s="8"/>
      <c r="H92" s="8"/>
      <c r="I92" s="8"/>
      <c r="J92" s="8"/>
      <c r="K92" s="8"/>
      <c r="L92" s="9" t="s">
        <v>182</v>
      </c>
      <c r="M92" s="9" t="s">
        <v>183</v>
      </c>
      <c r="N92" s="10" t="s">
        <v>184</v>
      </c>
      <c r="O92" s="244" t="s">
        <v>4</v>
      </c>
      <c r="P92" s="9" t="s">
        <v>215</v>
      </c>
      <c r="Q92" s="9" t="s">
        <v>216</v>
      </c>
      <c r="R92" s="9" t="s">
        <v>217</v>
      </c>
      <c r="S92" s="9" t="s">
        <v>218</v>
      </c>
      <c r="T92" s="9" t="s">
        <v>219</v>
      </c>
      <c r="U92" s="9" t="s">
        <v>220</v>
      </c>
      <c r="V92" s="9" t="s">
        <v>221</v>
      </c>
      <c r="W92" s="9" t="s">
        <v>222</v>
      </c>
      <c r="X92" s="10" t="s">
        <v>223</v>
      </c>
      <c r="Y92" s="9" t="s">
        <v>294</v>
      </c>
      <c r="Z92" s="244" t="s">
        <v>197</v>
      </c>
      <c r="AA92" s="9" t="s">
        <v>198</v>
      </c>
      <c r="AB92" s="9" t="s">
        <v>199</v>
      </c>
      <c r="AC92" s="9" t="s">
        <v>200</v>
      </c>
      <c r="AD92" s="9" t="s">
        <v>201</v>
      </c>
      <c r="AF92" s="327"/>
      <c r="AK92" s="311"/>
    </row>
    <row r="93" spans="1:37" x14ac:dyDescent="0.3">
      <c r="A93" s="338" t="s">
        <v>240</v>
      </c>
      <c r="B93" s="11" t="s">
        <v>240</v>
      </c>
      <c r="L93" s="16"/>
      <c r="M93" s="16"/>
      <c r="N93" s="15"/>
      <c r="O93" s="326">
        <f>O94+O101+O108+O115+O129+O122</f>
        <v>2787.1951199319997</v>
      </c>
      <c r="P93" s="13">
        <f t="shared" ref="P93:AD93" si="64">P94+P101+P108+P115+P129+P122</f>
        <v>918.63002641122557</v>
      </c>
      <c r="Q93" s="13">
        <f t="shared" si="64"/>
        <v>1033.8179986289022</v>
      </c>
      <c r="R93" s="13">
        <f t="shared" si="64"/>
        <v>1239.6225044213245</v>
      </c>
      <c r="S93" s="13">
        <f t="shared" si="64"/>
        <v>879.27560535873135</v>
      </c>
      <c r="T93" s="13">
        <f t="shared" si="64"/>
        <v>1045.4627941109986</v>
      </c>
      <c r="U93" s="13">
        <f t="shared" si="64"/>
        <v>699.30078283580929</v>
      </c>
      <c r="V93" s="13">
        <f t="shared" si="64"/>
        <v>1571.5493530282374</v>
      </c>
      <c r="W93" s="13">
        <f t="shared" si="64"/>
        <v>985.68245223669874</v>
      </c>
      <c r="X93" s="124">
        <f t="shared" si="64"/>
        <v>1122.3395987469937</v>
      </c>
      <c r="Y93" s="13">
        <f t="shared" si="64"/>
        <v>9495.6811157789216</v>
      </c>
      <c r="Z93" s="326">
        <f t="shared" si="64"/>
        <v>12282.876235710923</v>
      </c>
      <c r="AA93" s="13">
        <f t="shared" si="64"/>
        <v>11152.743247339258</v>
      </c>
      <c r="AB93" s="13">
        <f t="shared" si="64"/>
        <v>11944.974714494014</v>
      </c>
      <c r="AC93" s="13">
        <f t="shared" si="64"/>
        <v>13337.845072163307</v>
      </c>
      <c r="AD93" s="13">
        <f t="shared" si="64"/>
        <v>14773.923241238897</v>
      </c>
      <c r="AF93" s="327"/>
      <c r="AG93" s="322">
        <f t="shared" ref="AG93:AG138" si="65">IF($E93="판매수량",$C91,)</f>
        <v>0</v>
      </c>
      <c r="AK93" s="311"/>
    </row>
    <row r="94" spans="1:37" x14ac:dyDescent="0.3">
      <c r="A94" s="338" t="s">
        <v>240</v>
      </c>
      <c r="B94" s="11"/>
      <c r="C94" s="3" t="s">
        <v>146</v>
      </c>
      <c r="L94" s="16"/>
      <c r="M94" s="16"/>
      <c r="N94" s="15"/>
      <c r="O94" s="246">
        <v>0</v>
      </c>
      <c r="P94" s="16">
        <f t="shared" ref="P94:X94" si="66">P95*P100/10^6</f>
        <v>0</v>
      </c>
      <c r="Q94" s="16">
        <f t="shared" si="66"/>
        <v>241.00891328977784</v>
      </c>
      <c r="R94" s="16">
        <f t="shared" si="66"/>
        <v>0</v>
      </c>
      <c r="S94" s="16">
        <f t="shared" si="66"/>
        <v>237.54645908692913</v>
      </c>
      <c r="T94" s="16">
        <f t="shared" si="66"/>
        <v>0</v>
      </c>
      <c r="U94" s="16">
        <f t="shared" si="66"/>
        <v>0</v>
      </c>
      <c r="V94" s="16">
        <f t="shared" si="66"/>
        <v>232.03968351963255</v>
      </c>
      <c r="W94" s="16">
        <f t="shared" si="66"/>
        <v>0</v>
      </c>
      <c r="X94" s="15">
        <f t="shared" si="66"/>
        <v>0</v>
      </c>
      <c r="Y94" s="16">
        <f>SUM(P94:X94)</f>
        <v>710.59505589633955</v>
      </c>
      <c r="Z94" s="246">
        <f>SUM(O94,Y94)</f>
        <v>710.59505589633955</v>
      </c>
      <c r="AA94" s="16">
        <f t="shared" ref="AA94:AD94" si="67">AA95*AA100/10^6</f>
        <v>673.23334118059404</v>
      </c>
      <c r="AB94" s="16">
        <f t="shared" si="67"/>
        <v>669.18647467105677</v>
      </c>
      <c r="AC94" s="16">
        <f t="shared" si="67"/>
        <v>898.31060086006232</v>
      </c>
      <c r="AD94" s="16">
        <f t="shared" si="67"/>
        <v>1372.2073735631175</v>
      </c>
      <c r="AF94" s="327"/>
      <c r="AG94" s="322">
        <f t="shared" si="65"/>
        <v>0</v>
      </c>
      <c r="AK94" s="311"/>
    </row>
    <row r="95" spans="1:37" x14ac:dyDescent="0.3">
      <c r="A95" s="338" t="s">
        <v>240</v>
      </c>
      <c r="B95" s="11"/>
      <c r="D95" s="3" t="s">
        <v>508</v>
      </c>
      <c r="L95" s="16"/>
      <c r="M95" s="16"/>
      <c r="N95" s="15"/>
      <c r="O95" s="246">
        <v>0</v>
      </c>
      <c r="P95" s="16">
        <f t="shared" ref="P95:X95" si="68">P96*P99</f>
        <v>0</v>
      </c>
      <c r="Q95" s="16">
        <f t="shared" si="68"/>
        <v>184173.09589620805</v>
      </c>
      <c r="R95" s="16">
        <f t="shared" si="68"/>
        <v>0</v>
      </c>
      <c r="S95" s="16">
        <f t="shared" si="68"/>
        <v>184173.09589620805</v>
      </c>
      <c r="T95" s="16">
        <f t="shared" si="68"/>
        <v>0</v>
      </c>
      <c r="U95" s="16">
        <f t="shared" si="68"/>
        <v>0</v>
      </c>
      <c r="V95" s="16">
        <f t="shared" si="68"/>
        <v>184173.09589620805</v>
      </c>
      <c r="W95" s="16">
        <f t="shared" si="68"/>
        <v>0</v>
      </c>
      <c r="X95" s="15">
        <f t="shared" si="68"/>
        <v>0</v>
      </c>
      <c r="Y95" s="16">
        <f>SUM(P95:X95)</f>
        <v>552519.28768862411</v>
      </c>
      <c r="Z95" s="246">
        <f>Y95+O95</f>
        <v>552519.28768862411</v>
      </c>
      <c r="AA95" s="16">
        <f t="shared" ref="AA95:AD95" si="69">AA96*AA99</f>
        <v>554466.59626140178</v>
      </c>
      <c r="AB95" s="16">
        <f t="shared" si="69"/>
        <v>556820.16531124711</v>
      </c>
      <c r="AC95" s="16">
        <f t="shared" si="69"/>
        <v>749029.10102565028</v>
      </c>
      <c r="AD95" s="16">
        <f t="shared" si="69"/>
        <v>1132184.3016197339</v>
      </c>
      <c r="AF95" s="327"/>
      <c r="AG95" s="322">
        <f t="shared" si="65"/>
        <v>0</v>
      </c>
      <c r="AK95" s="311"/>
    </row>
    <row r="96" spans="1:37" x14ac:dyDescent="0.3">
      <c r="A96" s="338" t="s">
        <v>240</v>
      </c>
      <c r="B96" s="11"/>
      <c r="E96" s="3" t="s">
        <v>324</v>
      </c>
      <c r="L96" s="16"/>
      <c r="M96" s="16"/>
      <c r="N96" s="15"/>
      <c r="O96" s="246">
        <v>0</v>
      </c>
      <c r="P96" s="16">
        <f>SUMIFS(INDEX(판매수량!$N$2:$V$82,0,MATCH(P$42,판매수량!$N$2:$V$2,0)),판매수량!$A$2:$A$82,$A96,판매수량!$B$2:$B$82,$AG96)</f>
        <v>0</v>
      </c>
      <c r="Q96" s="16">
        <f>SUMIFS(INDEX(판매수량!$N$2:$V$82,0,MATCH(Q$42,판매수량!$N$2:$V$2,0)),판매수량!$A$2:$A$82,$A96,판매수량!$B$2:$B$82,$AG96)</f>
        <v>1</v>
      </c>
      <c r="R96" s="16">
        <f>SUMIFS(INDEX(판매수량!$N$2:$V$82,0,MATCH(R$42,판매수량!$N$2:$V$2,0)),판매수량!$A$2:$A$82,$A96,판매수량!$B$2:$B$82,$AG96)</f>
        <v>0</v>
      </c>
      <c r="S96" s="16">
        <f>SUMIFS(INDEX(판매수량!$N$2:$V$82,0,MATCH(S$42,판매수량!$N$2:$V$2,0)),판매수량!$A$2:$A$82,$A96,판매수량!$B$2:$B$82,$AG96)</f>
        <v>1</v>
      </c>
      <c r="T96" s="16">
        <f>SUMIFS(INDEX(판매수량!$N$2:$V$82,0,MATCH(T$42,판매수량!$N$2:$V$2,0)),판매수량!$A$2:$A$82,$A96,판매수량!$B$2:$B$82,$AG96)</f>
        <v>0</v>
      </c>
      <c r="U96" s="16">
        <f>SUMIFS(INDEX(판매수량!$N$2:$V$82,0,MATCH(U$42,판매수량!$N$2:$V$2,0)),판매수량!$A$2:$A$82,$A96,판매수량!$B$2:$B$82,$AG96)</f>
        <v>0</v>
      </c>
      <c r="V96" s="16">
        <f>SUMIFS(INDEX(판매수량!$N$2:$V$82,0,MATCH(V$42,판매수량!$N$2:$V$2,0)),판매수량!$A$2:$A$82,$A96,판매수량!$B$2:$B$82,$AG96)</f>
        <v>1</v>
      </c>
      <c r="W96" s="16">
        <f>SUMIFS(INDEX(판매수량!$N$2:$V$82,0,MATCH(W$42,판매수량!$N$2:$V$2,0)),판매수량!$A$2:$A$82,$A96,판매수량!$B$2:$B$82,$AG96)</f>
        <v>0</v>
      </c>
      <c r="X96" s="15">
        <f>SUMIFS(INDEX(판매수량!$N$2:$V$82,0,MATCH(X$42,판매수량!$N$2:$V$2,0)),판매수량!$A$2:$A$82,$A96,판매수량!$B$2:$B$82,$AG96)</f>
        <v>0</v>
      </c>
      <c r="Y96" s="16">
        <f>SUM(P96:X96)</f>
        <v>3</v>
      </c>
      <c r="Z96" s="246">
        <f>SUM(O96,Y96)</f>
        <v>3</v>
      </c>
      <c r="AA96" s="16">
        <f>ROUND(AA97*AA98,)</f>
        <v>3</v>
      </c>
      <c r="AB96" s="16">
        <f>ROUND(AB97*AB98,)</f>
        <v>3</v>
      </c>
      <c r="AC96" s="16">
        <f>ROUND(AC97*AC98,)</f>
        <v>4</v>
      </c>
      <c r="AD96" s="16">
        <f>ROUND(AD97*AD98,)</f>
        <v>6</v>
      </c>
      <c r="AF96" s="327"/>
      <c r="AG96" s="322" t="str">
        <f t="shared" si="65"/>
        <v>5축</v>
      </c>
      <c r="AK96" s="311"/>
    </row>
    <row r="97" spans="1:37" x14ac:dyDescent="0.3">
      <c r="A97" s="338" t="s">
        <v>240</v>
      </c>
      <c r="B97" s="11"/>
      <c r="F97" s="3" t="s">
        <v>464</v>
      </c>
      <c r="L97" s="16"/>
      <c r="M97" s="16"/>
      <c r="N97" s="15"/>
      <c r="O97" s="306"/>
      <c r="P97" s="119"/>
      <c r="Q97" s="119"/>
      <c r="R97" s="119"/>
      <c r="S97" s="119"/>
      <c r="T97" s="119"/>
      <c r="U97" s="119"/>
      <c r="V97" s="119"/>
      <c r="W97" s="119"/>
      <c r="X97" s="294"/>
      <c r="Y97" s="119"/>
      <c r="Z97" s="246">
        <f>'Key Assumption'!AA96</f>
        <v>2</v>
      </c>
      <c r="AA97" s="16">
        <f>'Key Assumption'!AB96</f>
        <v>2</v>
      </c>
      <c r="AB97" s="16">
        <f>'Key Assumption'!AC96</f>
        <v>2</v>
      </c>
      <c r="AC97" s="16">
        <f>'Key Assumption'!AD96</f>
        <v>2</v>
      </c>
      <c r="AD97" s="16">
        <f>'Key Assumption'!AE96</f>
        <v>3</v>
      </c>
      <c r="AF97" s="327"/>
      <c r="AG97" s="322">
        <f t="shared" si="65"/>
        <v>0</v>
      </c>
      <c r="AK97" s="311"/>
    </row>
    <row r="98" spans="1:37" x14ac:dyDescent="0.3">
      <c r="A98" s="338" t="s">
        <v>240</v>
      </c>
      <c r="B98" s="11"/>
      <c r="F98" s="3" t="s">
        <v>465</v>
      </c>
      <c r="L98" s="16"/>
      <c r="M98" s="16"/>
      <c r="N98" s="15"/>
      <c r="O98" s="306"/>
      <c r="P98" s="119"/>
      <c r="Q98" s="119"/>
      <c r="R98" s="119"/>
      <c r="S98" s="119"/>
      <c r="T98" s="119"/>
      <c r="U98" s="119"/>
      <c r="V98" s="119"/>
      <c r="W98" s="119"/>
      <c r="X98" s="294"/>
      <c r="Y98" s="119"/>
      <c r="Z98" s="246">
        <f>IFERROR(Z96/Z97,)</f>
        <v>1.5</v>
      </c>
      <c r="AA98" s="16">
        <f>'Key Assumption'!AB208</f>
        <v>1.5985663082437276</v>
      </c>
      <c r="AB98" s="16">
        <f>'Key Assumption'!AC208</f>
        <v>1.7168458781362008</v>
      </c>
      <c r="AC98" s="16">
        <f>'Key Assumption'!AD208</f>
        <v>1.8566308243727601</v>
      </c>
      <c r="AD98" s="16">
        <f>'Key Assumption'!AE208</f>
        <v>1.9749103942652331</v>
      </c>
      <c r="AF98" s="327"/>
      <c r="AG98" s="322">
        <f t="shared" si="65"/>
        <v>0</v>
      </c>
      <c r="AK98" s="311"/>
    </row>
    <row r="99" spans="1:37" x14ac:dyDescent="0.3">
      <c r="A99" s="338" t="s">
        <v>240</v>
      </c>
      <c r="B99" s="11"/>
      <c r="E99" s="3" t="s">
        <v>509</v>
      </c>
      <c r="I99" s="291" t="s">
        <v>275</v>
      </c>
      <c r="L99" s="16"/>
      <c r="M99" s="16"/>
      <c r="N99" s="15"/>
      <c r="O99" s="246">
        <v>0</v>
      </c>
      <c r="P99" s="16">
        <f>'Key Assumption'!R345</f>
        <v>184173.09589620805</v>
      </c>
      <c r="Q99" s="16">
        <f>'Key Assumption'!S345</f>
        <v>184173.09589620805</v>
      </c>
      <c r="R99" s="16">
        <f>'Key Assumption'!T345</f>
        <v>184173.09589620805</v>
      </c>
      <c r="S99" s="16">
        <f>'Key Assumption'!U345</f>
        <v>184173.09589620805</v>
      </c>
      <c r="T99" s="16">
        <f>'Key Assumption'!V345</f>
        <v>184173.09589620805</v>
      </c>
      <c r="U99" s="16">
        <f>'Key Assumption'!W345</f>
        <v>184173.09589620805</v>
      </c>
      <c r="V99" s="16">
        <f>'Key Assumption'!X345</f>
        <v>184173.09589620805</v>
      </c>
      <c r="W99" s="16">
        <f>'Key Assumption'!Y345</f>
        <v>184173.09589620805</v>
      </c>
      <c r="X99" s="15">
        <f>'Key Assumption'!Z345</f>
        <v>184173.09589620805</v>
      </c>
      <c r="Y99" s="16">
        <f>IFERROR(Y95/Y96,)</f>
        <v>184173.09589620805</v>
      </c>
      <c r="Z99" s="246">
        <f>IFERROR(Z95/Z96,)</f>
        <v>184173.09589620805</v>
      </c>
      <c r="AA99" s="16">
        <f>'Key Assumption'!AB345</f>
        <v>184822.19875380059</v>
      </c>
      <c r="AB99" s="16">
        <f>'Key Assumption'!AC345</f>
        <v>185606.72177041572</v>
      </c>
      <c r="AC99" s="16">
        <f>'Key Assumption'!AD345</f>
        <v>187257.27525641257</v>
      </c>
      <c r="AD99" s="16">
        <f>'Key Assumption'!AE345</f>
        <v>188697.383603289</v>
      </c>
      <c r="AF99" s="327"/>
      <c r="AG99" s="322">
        <f t="shared" si="65"/>
        <v>0</v>
      </c>
      <c r="AK99" s="311"/>
    </row>
    <row r="100" spans="1:37" x14ac:dyDescent="0.3">
      <c r="A100" s="338" t="s">
        <v>240</v>
      </c>
      <c r="B100" s="11"/>
      <c r="D100" s="3" t="s">
        <v>333</v>
      </c>
      <c r="I100" s="291"/>
      <c r="L100" s="16"/>
      <c r="M100" s="16"/>
      <c r="N100" s="15"/>
      <c r="O100" s="246">
        <v>0</v>
      </c>
      <c r="P100" s="16">
        <f t="shared" ref="P100:X100" si="70">P$297</f>
        <v>1308.5999999999999</v>
      </c>
      <c r="Q100" s="16">
        <f t="shared" si="70"/>
        <v>1308.5999999999999</v>
      </c>
      <c r="R100" s="16">
        <f t="shared" si="70"/>
        <v>1308.5999999999999</v>
      </c>
      <c r="S100" s="16">
        <f t="shared" si="70"/>
        <v>1289.8</v>
      </c>
      <c r="T100" s="16">
        <f t="shared" si="70"/>
        <v>1289.8</v>
      </c>
      <c r="U100" s="16">
        <f t="shared" si="70"/>
        <v>1289.8</v>
      </c>
      <c r="V100" s="16">
        <f t="shared" si="70"/>
        <v>1259.9000000000001</v>
      </c>
      <c r="W100" s="16">
        <f t="shared" si="70"/>
        <v>1259.9000000000001</v>
      </c>
      <c r="X100" s="15">
        <f t="shared" si="70"/>
        <v>1259.9000000000001</v>
      </c>
      <c r="Y100" s="16">
        <f>IFERROR(Y94/Y95,)*10^6</f>
        <v>1286.1000000000001</v>
      </c>
      <c r="Z100" s="246">
        <f>IFERROR(Z94/Z95*10^6,)</f>
        <v>1286.1000000000001</v>
      </c>
      <c r="AA100" s="16">
        <f>AA$297</f>
        <v>1214.2</v>
      </c>
      <c r="AB100" s="16">
        <f>AB$297</f>
        <v>1201.8</v>
      </c>
      <c r="AC100" s="16">
        <f>AC$297</f>
        <v>1199.3</v>
      </c>
      <c r="AD100" s="16">
        <f>AD$297</f>
        <v>1212</v>
      </c>
      <c r="AF100" s="327"/>
      <c r="AG100" s="322">
        <f t="shared" si="65"/>
        <v>0</v>
      </c>
      <c r="AK100" s="311"/>
    </row>
    <row r="101" spans="1:37" x14ac:dyDescent="0.3">
      <c r="A101" s="338" t="s">
        <v>240</v>
      </c>
      <c r="C101" s="3" t="s">
        <v>147</v>
      </c>
      <c r="L101" s="16"/>
      <c r="M101" s="16"/>
      <c r="N101" s="15"/>
      <c r="O101" s="246">
        <v>1505.26084982</v>
      </c>
      <c r="P101" s="16">
        <f t="shared" ref="P101:X101" si="71">P102*P107/10^6</f>
        <v>661.4946460028317</v>
      </c>
      <c r="Q101" s="16">
        <f t="shared" si="71"/>
        <v>529.19571680226545</v>
      </c>
      <c r="R101" s="16">
        <f t="shared" si="71"/>
        <v>1058.3914336045309</v>
      </c>
      <c r="S101" s="16">
        <f t="shared" si="71"/>
        <v>391.19477047888694</v>
      </c>
      <c r="T101" s="16">
        <f t="shared" si="71"/>
        <v>782.38954095777387</v>
      </c>
      <c r="U101" s="16">
        <f t="shared" si="71"/>
        <v>651.99128413147821</v>
      </c>
      <c r="V101" s="16">
        <f t="shared" si="71"/>
        <v>764.25227372670133</v>
      </c>
      <c r="W101" s="16">
        <f t="shared" si="71"/>
        <v>636.87689477225115</v>
      </c>
      <c r="X101" s="15">
        <f t="shared" si="71"/>
        <v>764.25227372670133</v>
      </c>
      <c r="Y101" s="16">
        <f>SUM(P101:X101)</f>
        <v>6240.0388342034203</v>
      </c>
      <c r="Z101" s="246">
        <f>SUM(O101,Y101)</f>
        <v>7745.29968402342</v>
      </c>
      <c r="AA101" s="16">
        <f t="shared" ref="AA101:AD101" si="72">AA102*AA107/10^6</f>
        <v>7660.4270380013531</v>
      </c>
      <c r="AB101" s="16">
        <f t="shared" si="72"/>
        <v>8308.9343403964631</v>
      </c>
      <c r="AC101" s="16">
        <f t="shared" si="72"/>
        <v>8710.6650236137521</v>
      </c>
      <c r="AD101" s="16">
        <f t="shared" si="72"/>
        <v>9431.2825813869549</v>
      </c>
      <c r="AF101" s="327"/>
      <c r="AG101" s="322">
        <f t="shared" si="65"/>
        <v>0</v>
      </c>
      <c r="AK101" s="311"/>
    </row>
    <row r="102" spans="1:37" x14ac:dyDescent="0.3">
      <c r="A102" s="338" t="s">
        <v>240</v>
      </c>
      <c r="B102" s="11"/>
      <c r="D102" s="3" t="s">
        <v>508</v>
      </c>
      <c r="L102" s="16"/>
      <c r="M102" s="16"/>
      <c r="N102" s="15"/>
      <c r="O102" s="246">
        <v>1133095.6000000001</v>
      </c>
      <c r="P102" s="16">
        <f t="shared" ref="P102:X102" si="73">P103*P106</f>
        <v>505497.97188050725</v>
      </c>
      <c r="Q102" s="16">
        <f t="shared" si="73"/>
        <v>404398.3775044058</v>
      </c>
      <c r="R102" s="16">
        <f t="shared" si="73"/>
        <v>808796.7550088116</v>
      </c>
      <c r="S102" s="16">
        <f t="shared" si="73"/>
        <v>303298.78312830435</v>
      </c>
      <c r="T102" s="16">
        <f t="shared" si="73"/>
        <v>606597.5662566087</v>
      </c>
      <c r="U102" s="16">
        <f t="shared" si="73"/>
        <v>505497.97188050725</v>
      </c>
      <c r="V102" s="16">
        <f t="shared" si="73"/>
        <v>606597.5662566087</v>
      </c>
      <c r="W102" s="16">
        <f t="shared" si="73"/>
        <v>505497.97188050725</v>
      </c>
      <c r="X102" s="15">
        <f t="shared" si="73"/>
        <v>606597.5662566087</v>
      </c>
      <c r="Y102" s="16">
        <f>SUM(P102:X102)</f>
        <v>4852780.5300528696</v>
      </c>
      <c r="Z102" s="246">
        <f>Y102+O102</f>
        <v>5985876.1300528701</v>
      </c>
      <c r="AA102" s="16">
        <f t="shared" ref="AA102:AD102" si="74">AA103*AA106</f>
        <v>6309032.3159292974</v>
      </c>
      <c r="AB102" s="16">
        <f t="shared" si="74"/>
        <v>6913741.3383229012</v>
      </c>
      <c r="AC102" s="16">
        <f t="shared" si="74"/>
        <v>7263124.3422110835</v>
      </c>
      <c r="AD102" s="16">
        <f t="shared" si="74"/>
        <v>7781586.2882730654</v>
      </c>
      <c r="AF102" s="327"/>
      <c r="AG102" s="322">
        <f t="shared" si="65"/>
        <v>0</v>
      </c>
      <c r="AK102" s="311"/>
    </row>
    <row r="103" spans="1:37" x14ac:dyDescent="0.3">
      <c r="A103" s="338" t="s">
        <v>240</v>
      </c>
      <c r="E103" s="3" t="s">
        <v>324</v>
      </c>
      <c r="L103" s="16"/>
      <c r="M103" s="16"/>
      <c r="N103" s="15"/>
      <c r="O103" s="246">
        <v>15</v>
      </c>
      <c r="P103" s="16">
        <f>SUMIFS(INDEX(판매수량!$N$2:$V$82,0,MATCH(P$42,판매수량!$N$2:$V$2,0)),판매수량!$A$2:$A$82,$A103,판매수량!$B$2:$B$82,$AG103)</f>
        <v>5</v>
      </c>
      <c r="Q103" s="16">
        <f>SUMIFS(INDEX(판매수량!$N$2:$V$82,0,MATCH(Q$42,판매수량!$N$2:$V$2,0)),판매수량!$A$2:$A$82,$A103,판매수량!$B$2:$B$82,$AG103)</f>
        <v>4</v>
      </c>
      <c r="R103" s="16">
        <f>SUMIFS(INDEX(판매수량!$N$2:$V$82,0,MATCH(R$42,판매수량!$N$2:$V$2,0)),판매수량!$A$2:$A$82,$A103,판매수량!$B$2:$B$82,$AG103)</f>
        <v>8</v>
      </c>
      <c r="S103" s="16">
        <f>SUMIFS(INDEX(판매수량!$N$2:$V$82,0,MATCH(S$42,판매수량!$N$2:$V$2,0)),판매수량!$A$2:$A$82,$A103,판매수량!$B$2:$B$82,$AG103)</f>
        <v>3</v>
      </c>
      <c r="T103" s="16">
        <f>SUMIFS(INDEX(판매수량!$N$2:$V$82,0,MATCH(T$42,판매수량!$N$2:$V$2,0)),판매수량!$A$2:$A$82,$A103,판매수량!$B$2:$B$82,$AG103)</f>
        <v>6</v>
      </c>
      <c r="U103" s="16">
        <f>SUMIFS(INDEX(판매수량!$N$2:$V$82,0,MATCH(U$42,판매수량!$N$2:$V$2,0)),판매수량!$A$2:$A$82,$A103,판매수량!$B$2:$B$82,$AG103)</f>
        <v>5</v>
      </c>
      <c r="V103" s="16">
        <f>SUMIFS(INDEX(판매수량!$N$2:$V$82,0,MATCH(V$42,판매수량!$N$2:$V$2,0)),판매수량!$A$2:$A$82,$A103,판매수량!$B$2:$B$82,$AG103)</f>
        <v>6</v>
      </c>
      <c r="W103" s="16">
        <f>SUMIFS(INDEX(판매수량!$N$2:$V$82,0,MATCH(W$42,판매수량!$N$2:$V$2,0)),판매수량!$A$2:$A$82,$A103,판매수량!$B$2:$B$82,$AG103)</f>
        <v>5</v>
      </c>
      <c r="X103" s="15">
        <f>SUMIFS(INDEX(판매수량!$N$2:$V$82,0,MATCH(X$42,판매수량!$N$2:$V$2,0)),판매수량!$A$2:$A$82,$A103,판매수량!$B$2:$B$82,$AG103)</f>
        <v>6</v>
      </c>
      <c r="Y103" s="16">
        <f>SUM(P103:X103)</f>
        <v>48</v>
      </c>
      <c r="Z103" s="246">
        <f>SUM(O103,Y103)</f>
        <v>63</v>
      </c>
      <c r="AA103" s="16">
        <f>ROUND(AA104*AA105,)</f>
        <v>66</v>
      </c>
      <c r="AB103" s="16">
        <f>ROUND(AB104*AB105,)</f>
        <v>72</v>
      </c>
      <c r="AC103" s="16">
        <f>ROUND(AC104*AC105,)</f>
        <v>75</v>
      </c>
      <c r="AD103" s="16">
        <f>ROUND(AD104*AD105,)</f>
        <v>80</v>
      </c>
      <c r="AF103" s="327"/>
      <c r="AG103" s="322" t="str">
        <f t="shared" si="65"/>
        <v>선반</v>
      </c>
      <c r="AK103" s="311"/>
    </row>
    <row r="104" spans="1:37" x14ac:dyDescent="0.3">
      <c r="A104" s="338" t="s">
        <v>240</v>
      </c>
      <c r="F104" s="3" t="s">
        <v>464</v>
      </c>
      <c r="L104" s="16"/>
      <c r="M104" s="16"/>
      <c r="N104" s="15"/>
      <c r="O104" s="306"/>
      <c r="P104" s="119"/>
      <c r="Q104" s="119"/>
      <c r="R104" s="119"/>
      <c r="S104" s="119"/>
      <c r="T104" s="119"/>
      <c r="U104" s="119"/>
      <c r="V104" s="119"/>
      <c r="W104" s="119"/>
      <c r="X104" s="294"/>
      <c r="Y104" s="119"/>
      <c r="Z104" s="246">
        <f>'Key Assumption'!AA97</f>
        <v>30</v>
      </c>
      <c r="AA104" s="16">
        <f>'Key Assumption'!AB97</f>
        <v>30</v>
      </c>
      <c r="AB104" s="16">
        <f>'Key Assumption'!AC97</f>
        <v>31</v>
      </c>
      <c r="AC104" s="16">
        <f>'Key Assumption'!AD97</f>
        <v>31</v>
      </c>
      <c r="AD104" s="16">
        <f>'Key Assumption'!AE97</f>
        <v>31</v>
      </c>
      <c r="AF104" s="327"/>
      <c r="AG104" s="322">
        <f t="shared" si="65"/>
        <v>0</v>
      </c>
      <c r="AK104" s="311"/>
    </row>
    <row r="105" spans="1:37" x14ac:dyDescent="0.3">
      <c r="A105" s="338" t="s">
        <v>240</v>
      </c>
      <c r="F105" s="3" t="s">
        <v>465</v>
      </c>
      <c r="L105" s="16"/>
      <c r="M105" s="16"/>
      <c r="N105" s="15"/>
      <c r="O105" s="306"/>
      <c r="P105" s="119"/>
      <c r="Q105" s="119"/>
      <c r="R105" s="119"/>
      <c r="S105" s="119"/>
      <c r="T105" s="119"/>
      <c r="U105" s="119"/>
      <c r="V105" s="119"/>
      <c r="W105" s="119"/>
      <c r="X105" s="294"/>
      <c r="Y105" s="119"/>
      <c r="Z105" s="246">
        <f>IFERROR(Z103/Z104,)</f>
        <v>2.1</v>
      </c>
      <c r="AA105" s="16">
        <f>'Key Assumption'!AB209</f>
        <v>2.2066696113074205</v>
      </c>
      <c r="AB105" s="16">
        <f>'Key Assumption'!AC209</f>
        <v>2.3226148409893996</v>
      </c>
      <c r="AC105" s="16">
        <f>'Key Assumption'!AD209</f>
        <v>2.4348498233215548</v>
      </c>
      <c r="AD105" s="16">
        <f>'Key Assumption'!AE209</f>
        <v>2.5665636042402831</v>
      </c>
      <c r="AF105" s="327"/>
      <c r="AG105" s="322">
        <f t="shared" si="65"/>
        <v>0</v>
      </c>
      <c r="AK105" s="311"/>
    </row>
    <row r="106" spans="1:37" x14ac:dyDescent="0.3">
      <c r="A106" s="338" t="s">
        <v>240</v>
      </c>
      <c r="E106" s="3" t="s">
        <v>509</v>
      </c>
      <c r="I106" s="291" t="s">
        <v>275</v>
      </c>
      <c r="L106" s="16"/>
      <c r="M106" s="16"/>
      <c r="N106" s="15"/>
      <c r="O106" s="246">
        <f>O102/O103</f>
        <v>75539.70666666668</v>
      </c>
      <c r="P106" s="16">
        <f>'Key Assumption'!R346</f>
        <v>101099.59437610145</v>
      </c>
      <c r="Q106" s="16">
        <f>'Key Assumption'!S346</f>
        <v>101099.59437610145</v>
      </c>
      <c r="R106" s="16">
        <f>'Key Assumption'!T346</f>
        <v>101099.59437610145</v>
      </c>
      <c r="S106" s="16">
        <f>'Key Assumption'!U346</f>
        <v>101099.59437610145</v>
      </c>
      <c r="T106" s="16">
        <f>'Key Assumption'!V346</f>
        <v>101099.59437610145</v>
      </c>
      <c r="U106" s="16">
        <f>'Key Assumption'!W346</f>
        <v>101099.59437610145</v>
      </c>
      <c r="V106" s="16">
        <f>'Key Assumption'!X346</f>
        <v>101099.59437610145</v>
      </c>
      <c r="W106" s="16">
        <f>'Key Assumption'!Y346</f>
        <v>101099.59437610145</v>
      </c>
      <c r="X106" s="15">
        <f>'Key Assumption'!Z346</f>
        <v>101099.59437610145</v>
      </c>
      <c r="Y106" s="16">
        <f>IFERROR(Y102/Y103,)</f>
        <v>101099.59437610145</v>
      </c>
      <c r="Z106" s="246">
        <f>Z102/Z103</f>
        <v>95013.906826236038</v>
      </c>
      <c r="AA106" s="16">
        <f>'Key Assumption'!AB346</f>
        <v>95591.398726201471</v>
      </c>
      <c r="AB106" s="16">
        <f>'Key Assumption'!AC346</f>
        <v>96024.185254484735</v>
      </c>
      <c r="AC106" s="16">
        <f>'Key Assumption'!AD346</f>
        <v>96841.657896147779</v>
      </c>
      <c r="AD106" s="16">
        <f>'Key Assumption'!AE346</f>
        <v>97269.82860341332</v>
      </c>
      <c r="AF106" s="327"/>
      <c r="AG106" s="322">
        <f t="shared" si="65"/>
        <v>0</v>
      </c>
      <c r="AK106" s="311"/>
    </row>
    <row r="107" spans="1:37" x14ac:dyDescent="0.3">
      <c r="A107" s="338" t="s">
        <v>240</v>
      </c>
      <c r="D107" s="3" t="s">
        <v>333</v>
      </c>
      <c r="I107" s="291"/>
      <c r="L107" s="16"/>
      <c r="M107" s="16"/>
      <c r="N107" s="15"/>
      <c r="O107" s="246">
        <f>O101/O102*10^6</f>
        <v>1328.4499999999998</v>
      </c>
      <c r="P107" s="16">
        <f t="shared" ref="P107:X107" si="75">P$297</f>
        <v>1308.5999999999999</v>
      </c>
      <c r="Q107" s="16">
        <f t="shared" si="75"/>
        <v>1308.5999999999999</v>
      </c>
      <c r="R107" s="16">
        <f t="shared" si="75"/>
        <v>1308.5999999999999</v>
      </c>
      <c r="S107" s="16">
        <f t="shared" si="75"/>
        <v>1289.8</v>
      </c>
      <c r="T107" s="16">
        <f t="shared" si="75"/>
        <v>1289.8</v>
      </c>
      <c r="U107" s="16">
        <f t="shared" si="75"/>
        <v>1289.8</v>
      </c>
      <c r="V107" s="16">
        <f t="shared" si="75"/>
        <v>1259.9000000000001</v>
      </c>
      <c r="W107" s="16">
        <f t="shared" si="75"/>
        <v>1259.9000000000001</v>
      </c>
      <c r="X107" s="15">
        <f t="shared" si="75"/>
        <v>1259.9000000000001</v>
      </c>
      <c r="Y107" s="16">
        <f>IFERROR(Y101/Y102,)*10^6</f>
        <v>1285.8687499999999</v>
      </c>
      <c r="Z107" s="246">
        <f>Z101/Z102*10^6</f>
        <v>1293.9291618710811</v>
      </c>
      <c r="AA107" s="16">
        <f>AA$297</f>
        <v>1214.2</v>
      </c>
      <c r="AB107" s="16">
        <f>AB$297</f>
        <v>1201.8</v>
      </c>
      <c r="AC107" s="16">
        <f>AC$297</f>
        <v>1199.3</v>
      </c>
      <c r="AD107" s="16">
        <f>AD$297</f>
        <v>1212</v>
      </c>
      <c r="AF107" s="327"/>
      <c r="AG107" s="322">
        <f t="shared" si="65"/>
        <v>0</v>
      </c>
      <c r="AK107" s="311"/>
    </row>
    <row r="108" spans="1:37" x14ac:dyDescent="0.3">
      <c r="A108" s="338" t="s">
        <v>240</v>
      </c>
      <c r="C108" s="3" t="s">
        <v>148</v>
      </c>
      <c r="L108" s="16"/>
      <c r="M108" s="16"/>
      <c r="N108" s="15"/>
      <c r="O108" s="246">
        <v>447.13501480000002</v>
      </c>
      <c r="P108" s="16">
        <f t="shared" ref="P108:X108" si="76">P109*P114/10^6</f>
        <v>194.29837980562849</v>
      </c>
      <c r="Q108" s="16">
        <f t="shared" si="76"/>
        <v>194.29837980562849</v>
      </c>
      <c r="R108" s="16">
        <f t="shared" si="76"/>
        <v>97.149189902814243</v>
      </c>
      <c r="S108" s="16">
        <f t="shared" si="76"/>
        <v>191.50699241425923</v>
      </c>
      <c r="T108" s="16">
        <f t="shared" si="76"/>
        <v>191.50699241425923</v>
      </c>
      <c r="U108" s="16">
        <f t="shared" si="76"/>
        <v>0</v>
      </c>
      <c r="V108" s="16">
        <f t="shared" si="76"/>
        <v>187.06749863756025</v>
      </c>
      <c r="W108" s="16">
        <f t="shared" si="76"/>
        <v>280.60124795634039</v>
      </c>
      <c r="X108" s="15">
        <f t="shared" si="76"/>
        <v>280.60124795634039</v>
      </c>
      <c r="Y108" s="16">
        <f>SUM(P108:X108)</f>
        <v>1617.0299288928306</v>
      </c>
      <c r="Z108" s="246">
        <f>SUM(O108,Y108)</f>
        <v>2064.1649436928305</v>
      </c>
      <c r="AA108" s="16">
        <f t="shared" ref="AA108:AD108" si="77">AA109*AA114/10^6</f>
        <v>2043.5484118184627</v>
      </c>
      <c r="AB108" s="16">
        <f t="shared" si="77"/>
        <v>2131.6824069867107</v>
      </c>
      <c r="AC108" s="16">
        <f t="shared" si="77"/>
        <v>2797.0237515630556</v>
      </c>
      <c r="AD108" s="16">
        <f t="shared" si="77"/>
        <v>2944.2949463783266</v>
      </c>
      <c r="AF108" s="327"/>
      <c r="AG108" s="322">
        <f t="shared" si="65"/>
        <v>0</v>
      </c>
      <c r="AK108" s="311"/>
    </row>
    <row r="109" spans="1:37" x14ac:dyDescent="0.3">
      <c r="A109" s="338" t="s">
        <v>240</v>
      </c>
      <c r="B109" s="11"/>
      <c r="D109" s="3" t="s">
        <v>508</v>
      </c>
      <c r="L109" s="16"/>
      <c r="M109" s="16"/>
      <c r="N109" s="15"/>
      <c r="O109" s="246">
        <v>336584</v>
      </c>
      <c r="P109" s="16">
        <f t="shared" ref="P109:X109" si="78">P110*P113</f>
        <v>148478.05273240752</v>
      </c>
      <c r="Q109" s="16">
        <f t="shared" si="78"/>
        <v>148478.05273240752</v>
      </c>
      <c r="R109" s="16">
        <f t="shared" si="78"/>
        <v>74239.026366203761</v>
      </c>
      <c r="S109" s="16">
        <f t="shared" si="78"/>
        <v>148478.05273240752</v>
      </c>
      <c r="T109" s="16">
        <f t="shared" si="78"/>
        <v>148478.05273240752</v>
      </c>
      <c r="U109" s="16">
        <f t="shared" si="78"/>
        <v>0</v>
      </c>
      <c r="V109" s="16">
        <f t="shared" si="78"/>
        <v>148478.05273240752</v>
      </c>
      <c r="W109" s="16">
        <f t="shared" si="78"/>
        <v>222717.07909861128</v>
      </c>
      <c r="X109" s="15">
        <f t="shared" si="78"/>
        <v>222717.07909861128</v>
      </c>
      <c r="Y109" s="16">
        <f>SUM(P109:X109)</f>
        <v>1262063.448225464</v>
      </c>
      <c r="Z109" s="246">
        <f>Y109+O109</f>
        <v>1598647.448225464</v>
      </c>
      <c r="AA109" s="16">
        <f t="shared" ref="AA109:AD109" si="79">AA110*AA113</f>
        <v>1683041.0243933969</v>
      </c>
      <c r="AB109" s="16">
        <f t="shared" si="79"/>
        <v>1773741.3937316614</v>
      </c>
      <c r="AC109" s="16">
        <f t="shared" si="79"/>
        <v>2332213.5842266786</v>
      </c>
      <c r="AD109" s="16">
        <f t="shared" si="79"/>
        <v>2429286.259388058</v>
      </c>
      <c r="AF109" s="327"/>
      <c r="AG109" s="322">
        <f t="shared" si="65"/>
        <v>0</v>
      </c>
      <c r="AK109" s="311"/>
    </row>
    <row r="110" spans="1:37" x14ac:dyDescent="0.3">
      <c r="A110" s="338" t="s">
        <v>240</v>
      </c>
      <c r="E110" s="3" t="s">
        <v>324</v>
      </c>
      <c r="L110" s="16"/>
      <c r="M110" s="16"/>
      <c r="N110" s="15"/>
      <c r="O110" s="246">
        <v>4</v>
      </c>
      <c r="P110" s="16">
        <f>SUMIFS(INDEX(판매수량!$N$2:$V$82,0,MATCH(P$42,판매수량!$N$2:$V$2,0)),판매수량!$A$2:$A$82,$A110,판매수량!$B$2:$B$82,$AG110)</f>
        <v>2</v>
      </c>
      <c r="Q110" s="16">
        <f>SUMIFS(INDEX(판매수량!$N$2:$V$82,0,MATCH(Q$42,판매수량!$N$2:$V$2,0)),판매수량!$A$2:$A$82,$A110,판매수량!$B$2:$B$82,$AG110)</f>
        <v>2</v>
      </c>
      <c r="R110" s="16">
        <f>SUMIFS(INDEX(판매수량!$N$2:$V$82,0,MATCH(R$42,판매수량!$N$2:$V$2,0)),판매수량!$A$2:$A$82,$A110,판매수량!$B$2:$B$82,$AG110)</f>
        <v>1</v>
      </c>
      <c r="S110" s="16">
        <f>SUMIFS(INDEX(판매수량!$N$2:$V$82,0,MATCH(S$42,판매수량!$N$2:$V$2,0)),판매수량!$A$2:$A$82,$A110,판매수량!$B$2:$B$82,$AG110)</f>
        <v>2</v>
      </c>
      <c r="T110" s="16">
        <f>SUMIFS(INDEX(판매수량!$N$2:$V$82,0,MATCH(T$42,판매수량!$N$2:$V$2,0)),판매수량!$A$2:$A$82,$A110,판매수량!$B$2:$B$82,$AG110)</f>
        <v>2</v>
      </c>
      <c r="U110" s="16">
        <f>SUMIFS(INDEX(판매수량!$N$2:$V$82,0,MATCH(U$42,판매수량!$N$2:$V$2,0)),판매수량!$A$2:$A$82,$A110,판매수량!$B$2:$B$82,$AG110)</f>
        <v>0</v>
      </c>
      <c r="V110" s="16">
        <f>SUMIFS(INDEX(판매수량!$N$2:$V$82,0,MATCH(V$42,판매수량!$N$2:$V$2,0)),판매수량!$A$2:$A$82,$A110,판매수량!$B$2:$B$82,$AG110)</f>
        <v>2</v>
      </c>
      <c r="W110" s="16">
        <f>SUMIFS(INDEX(판매수량!$N$2:$V$82,0,MATCH(W$42,판매수량!$N$2:$V$2,0)),판매수량!$A$2:$A$82,$A110,판매수량!$B$2:$B$82,$AG110)</f>
        <v>3</v>
      </c>
      <c r="X110" s="15">
        <f>SUMIFS(INDEX(판매수량!$N$2:$V$82,0,MATCH(X$42,판매수량!$N$2:$V$2,0)),판매수량!$A$2:$A$82,$A110,판매수량!$B$2:$B$82,$AG110)</f>
        <v>3</v>
      </c>
      <c r="Y110" s="16">
        <f>SUM(P110:X110)</f>
        <v>17</v>
      </c>
      <c r="Z110" s="246">
        <f>SUM(O110,Y110)</f>
        <v>21</v>
      </c>
      <c r="AA110" s="16">
        <f>ROUND(AA111*AA112,)</f>
        <v>22</v>
      </c>
      <c r="AB110" s="16">
        <f>ROUND(AB111*AB112,)</f>
        <v>23</v>
      </c>
      <c r="AC110" s="16">
        <f>ROUND(AC111*AC112,)</f>
        <v>30</v>
      </c>
      <c r="AD110" s="16">
        <f>ROUND(AD111*AD112,)</f>
        <v>31</v>
      </c>
      <c r="AF110" s="327"/>
      <c r="AG110" s="322" t="str">
        <f t="shared" si="65"/>
        <v>VMC</v>
      </c>
      <c r="AK110" s="311"/>
    </row>
    <row r="111" spans="1:37" x14ac:dyDescent="0.3">
      <c r="A111" s="338" t="s">
        <v>240</v>
      </c>
      <c r="F111" s="3" t="s">
        <v>464</v>
      </c>
      <c r="L111" s="16"/>
      <c r="M111" s="16"/>
      <c r="N111" s="15"/>
      <c r="O111" s="306"/>
      <c r="P111" s="119"/>
      <c r="Q111" s="119"/>
      <c r="R111" s="119"/>
      <c r="S111" s="119"/>
      <c r="T111" s="119"/>
      <c r="U111" s="119"/>
      <c r="V111" s="119"/>
      <c r="W111" s="119"/>
      <c r="X111" s="294"/>
      <c r="Y111" s="119"/>
      <c r="Z111" s="246">
        <f>'Key Assumption'!AA98</f>
        <v>5</v>
      </c>
      <c r="AA111" s="16">
        <f>'Key Assumption'!AB98</f>
        <v>5</v>
      </c>
      <c r="AB111" s="16">
        <f>'Key Assumption'!AC98</f>
        <v>5</v>
      </c>
      <c r="AC111" s="16">
        <f>'Key Assumption'!AD98</f>
        <v>6</v>
      </c>
      <c r="AD111" s="16">
        <f>'Key Assumption'!AE98</f>
        <v>6</v>
      </c>
      <c r="AF111" s="327"/>
      <c r="AG111" s="322">
        <f t="shared" si="65"/>
        <v>0</v>
      </c>
      <c r="AK111" s="311"/>
    </row>
    <row r="112" spans="1:37" x14ac:dyDescent="0.3">
      <c r="A112" s="338" t="s">
        <v>240</v>
      </c>
      <c r="F112" s="3" t="s">
        <v>465</v>
      </c>
      <c r="L112" s="16"/>
      <c r="M112" s="16"/>
      <c r="N112" s="15"/>
      <c r="O112" s="306"/>
      <c r="P112" s="119"/>
      <c r="Q112" s="119"/>
      <c r="R112" s="119"/>
      <c r="S112" s="119"/>
      <c r="T112" s="119"/>
      <c r="U112" s="119"/>
      <c r="V112" s="119"/>
      <c r="W112" s="119"/>
      <c r="X112" s="294"/>
      <c r="Y112" s="119"/>
      <c r="Z112" s="246">
        <f>IFERROR(Z110/Z111,)</f>
        <v>4.2</v>
      </c>
      <c r="AA112" s="16">
        <f>'Key Assumption'!AB210</f>
        <v>4.4496370235934668</v>
      </c>
      <c r="AB112" s="16">
        <f>'Key Assumption'!AC210</f>
        <v>4.682123411978222</v>
      </c>
      <c r="AC112" s="16">
        <f>'Key Assumption'!AD210</f>
        <v>4.9222323049001826</v>
      </c>
      <c r="AD112" s="16">
        <f>'Key Assumption'!AE210</f>
        <v>5.2042649727767705</v>
      </c>
      <c r="AF112" s="327"/>
      <c r="AG112" s="322">
        <f t="shared" si="65"/>
        <v>0</v>
      </c>
      <c r="AK112" s="311"/>
    </row>
    <row r="113" spans="1:37" x14ac:dyDescent="0.3">
      <c r="A113" s="338" t="s">
        <v>240</v>
      </c>
      <c r="E113" s="3" t="s">
        <v>509</v>
      </c>
      <c r="I113" s="291" t="s">
        <v>275</v>
      </c>
      <c r="L113" s="16"/>
      <c r="M113" s="16"/>
      <c r="N113" s="15"/>
      <c r="O113" s="246">
        <f>O109/O110</f>
        <v>84146</v>
      </c>
      <c r="P113" s="16">
        <f>'Key Assumption'!R347</f>
        <v>74239.026366203761</v>
      </c>
      <c r="Q113" s="16">
        <f>'Key Assumption'!S347</f>
        <v>74239.026366203761</v>
      </c>
      <c r="R113" s="16">
        <f>'Key Assumption'!T347</f>
        <v>74239.026366203761</v>
      </c>
      <c r="S113" s="16">
        <f>'Key Assumption'!U347</f>
        <v>74239.026366203761</v>
      </c>
      <c r="T113" s="16">
        <f>'Key Assumption'!V347</f>
        <v>74239.026366203761</v>
      </c>
      <c r="U113" s="16">
        <f>'Key Assumption'!W347</f>
        <v>74239.026366203761</v>
      </c>
      <c r="V113" s="16">
        <f>'Key Assumption'!X347</f>
        <v>74239.026366203761</v>
      </c>
      <c r="W113" s="16">
        <f>'Key Assumption'!Y347</f>
        <v>74239.026366203761</v>
      </c>
      <c r="X113" s="15">
        <f>'Key Assumption'!Z347</f>
        <v>74239.026366203761</v>
      </c>
      <c r="Y113" s="16">
        <f>IFERROR(Y109/Y110,)</f>
        <v>74239.026366203761</v>
      </c>
      <c r="Z113" s="246">
        <f>Z109/Z110</f>
        <v>76126.06896311733</v>
      </c>
      <c r="AA113" s="16">
        <f>'Key Assumption'!AB347</f>
        <v>76501.864745154409</v>
      </c>
      <c r="AB113" s="16">
        <f>'Key Assumption'!AC347</f>
        <v>77119.191031811366</v>
      </c>
      <c r="AC113" s="16">
        <f>'Key Assumption'!AD347</f>
        <v>77740.45280755595</v>
      </c>
      <c r="AD113" s="16">
        <f>'Key Assumption'!AE347</f>
        <v>78364.072883485744</v>
      </c>
      <c r="AF113" s="327"/>
      <c r="AG113" s="322">
        <f t="shared" si="65"/>
        <v>0</v>
      </c>
      <c r="AK113" s="311"/>
    </row>
    <row r="114" spans="1:37" x14ac:dyDescent="0.3">
      <c r="A114" s="338" t="s">
        <v>240</v>
      </c>
      <c r="D114" s="3" t="s">
        <v>333</v>
      </c>
      <c r="I114" s="291"/>
      <c r="L114" s="16"/>
      <c r="M114" s="16"/>
      <c r="N114" s="15"/>
      <c r="O114" s="246">
        <f>O108/O109*10^6</f>
        <v>1328.45</v>
      </c>
      <c r="P114" s="16">
        <f t="shared" ref="P114:X114" si="80">P$297</f>
        <v>1308.5999999999999</v>
      </c>
      <c r="Q114" s="16">
        <f t="shared" si="80"/>
        <v>1308.5999999999999</v>
      </c>
      <c r="R114" s="16">
        <f t="shared" si="80"/>
        <v>1308.5999999999999</v>
      </c>
      <c r="S114" s="16">
        <f t="shared" si="80"/>
        <v>1289.8</v>
      </c>
      <c r="T114" s="16">
        <f t="shared" si="80"/>
        <v>1289.8</v>
      </c>
      <c r="U114" s="16">
        <f t="shared" si="80"/>
        <v>1289.8</v>
      </c>
      <c r="V114" s="16">
        <f t="shared" si="80"/>
        <v>1259.9000000000001</v>
      </c>
      <c r="W114" s="16">
        <f t="shared" si="80"/>
        <v>1259.9000000000001</v>
      </c>
      <c r="X114" s="15">
        <f t="shared" si="80"/>
        <v>1259.9000000000001</v>
      </c>
      <c r="Y114" s="16">
        <f>IFERROR(Y108/Y109,)*10^6</f>
        <v>1281.2588235294118</v>
      </c>
      <c r="Z114" s="246">
        <f>Z108/Z109*10^6</f>
        <v>1291.1945945205755</v>
      </c>
      <c r="AA114" s="16">
        <f>AA$297</f>
        <v>1214.2</v>
      </c>
      <c r="AB114" s="16">
        <f>AB$297</f>
        <v>1201.8</v>
      </c>
      <c r="AC114" s="16">
        <f>AC$297</f>
        <v>1199.3</v>
      </c>
      <c r="AD114" s="16">
        <f>AD$297</f>
        <v>1212</v>
      </c>
      <c r="AF114" s="327"/>
      <c r="AG114" s="322">
        <f t="shared" si="65"/>
        <v>0</v>
      </c>
      <c r="AK114" s="311"/>
    </row>
    <row r="115" spans="1:37" x14ac:dyDescent="0.3">
      <c r="A115" s="338" t="s">
        <v>240</v>
      </c>
      <c r="C115" s="3" t="s">
        <v>149</v>
      </c>
      <c r="L115" s="16"/>
      <c r="M115" s="16"/>
      <c r="N115" s="15"/>
      <c r="O115" s="306"/>
      <c r="P115" s="119"/>
      <c r="Q115" s="119"/>
      <c r="R115" s="119"/>
      <c r="S115" s="119"/>
      <c r="T115" s="119"/>
      <c r="U115" s="119"/>
      <c r="V115" s="119"/>
      <c r="W115" s="119"/>
      <c r="X115" s="294"/>
      <c r="Y115" s="306"/>
      <c r="Z115" s="306"/>
      <c r="AA115" s="119"/>
      <c r="AB115" s="119"/>
      <c r="AC115" s="119"/>
      <c r="AD115" s="119"/>
      <c r="AF115" s="327"/>
      <c r="AG115" s="322">
        <f t="shared" si="65"/>
        <v>0</v>
      </c>
      <c r="AK115" s="311"/>
    </row>
    <row r="116" spans="1:37" x14ac:dyDescent="0.3">
      <c r="A116" s="338" t="s">
        <v>240</v>
      </c>
      <c r="B116" s="11"/>
      <c r="D116" s="3" t="s">
        <v>508</v>
      </c>
      <c r="L116" s="16"/>
      <c r="M116" s="16"/>
      <c r="N116" s="15"/>
      <c r="O116" s="306"/>
      <c r="P116" s="119"/>
      <c r="Q116" s="119"/>
      <c r="R116" s="119"/>
      <c r="S116" s="119"/>
      <c r="T116" s="119"/>
      <c r="U116" s="119"/>
      <c r="V116" s="119"/>
      <c r="W116" s="119"/>
      <c r="X116" s="294"/>
      <c r="Y116" s="306"/>
      <c r="Z116" s="306"/>
      <c r="AA116" s="119"/>
      <c r="AB116" s="119"/>
      <c r="AC116" s="119"/>
      <c r="AD116" s="119"/>
      <c r="AF116" s="327"/>
      <c r="AG116" s="322">
        <f t="shared" si="65"/>
        <v>0</v>
      </c>
      <c r="AK116" s="311"/>
    </row>
    <row r="117" spans="1:37" x14ac:dyDescent="0.3">
      <c r="A117" s="338" t="s">
        <v>240</v>
      </c>
      <c r="E117" s="3" t="s">
        <v>324</v>
      </c>
      <c r="L117" s="16"/>
      <c r="M117" s="16"/>
      <c r="N117" s="15"/>
      <c r="O117" s="306"/>
      <c r="P117" s="119"/>
      <c r="Q117" s="119"/>
      <c r="R117" s="119"/>
      <c r="S117" s="119"/>
      <c r="T117" s="119"/>
      <c r="U117" s="119"/>
      <c r="V117" s="119"/>
      <c r="W117" s="119"/>
      <c r="X117" s="294"/>
      <c r="Y117" s="306"/>
      <c r="Z117" s="306"/>
      <c r="AA117" s="119"/>
      <c r="AB117" s="119"/>
      <c r="AC117" s="119"/>
      <c r="AD117" s="119"/>
      <c r="AF117" s="327"/>
      <c r="AG117" s="322" t="str">
        <f t="shared" si="65"/>
        <v>HMC</v>
      </c>
      <c r="AK117" s="311"/>
    </row>
    <row r="118" spans="1:37" x14ac:dyDescent="0.3">
      <c r="A118" s="338" t="s">
        <v>240</v>
      </c>
      <c r="F118" s="3" t="s">
        <v>464</v>
      </c>
      <c r="L118" s="16"/>
      <c r="M118" s="16"/>
      <c r="N118" s="15"/>
      <c r="O118" s="306"/>
      <c r="P118" s="119"/>
      <c r="Q118" s="119"/>
      <c r="R118" s="119"/>
      <c r="S118" s="119"/>
      <c r="T118" s="119"/>
      <c r="U118" s="119"/>
      <c r="V118" s="119"/>
      <c r="W118" s="119"/>
      <c r="X118" s="294"/>
      <c r="Y118" s="306"/>
      <c r="Z118" s="306"/>
      <c r="AA118" s="119"/>
      <c r="AB118" s="119"/>
      <c r="AC118" s="119"/>
      <c r="AD118" s="119"/>
      <c r="AF118" s="327"/>
      <c r="AG118" s="322">
        <f t="shared" si="65"/>
        <v>0</v>
      </c>
      <c r="AK118" s="311"/>
    </row>
    <row r="119" spans="1:37" x14ac:dyDescent="0.3">
      <c r="A119" s="338" t="s">
        <v>240</v>
      </c>
      <c r="F119" s="3" t="s">
        <v>465</v>
      </c>
      <c r="L119" s="16"/>
      <c r="M119" s="16"/>
      <c r="N119" s="15"/>
      <c r="O119" s="306"/>
      <c r="P119" s="119"/>
      <c r="Q119" s="119"/>
      <c r="R119" s="119"/>
      <c r="S119" s="119"/>
      <c r="T119" s="119"/>
      <c r="U119" s="119"/>
      <c r="V119" s="119"/>
      <c r="W119" s="119"/>
      <c r="X119" s="294"/>
      <c r="Y119" s="306"/>
      <c r="Z119" s="306"/>
      <c r="AA119" s="119"/>
      <c r="AB119" s="119"/>
      <c r="AC119" s="119"/>
      <c r="AD119" s="119"/>
      <c r="AF119" s="327"/>
      <c r="AG119" s="322">
        <f t="shared" si="65"/>
        <v>0</v>
      </c>
      <c r="AK119" s="311"/>
    </row>
    <row r="120" spans="1:37" x14ac:dyDescent="0.3">
      <c r="A120" s="338" t="s">
        <v>240</v>
      </c>
      <c r="E120" s="3" t="s">
        <v>509</v>
      </c>
      <c r="I120" s="291" t="s">
        <v>275</v>
      </c>
      <c r="L120" s="16"/>
      <c r="M120" s="16"/>
      <c r="N120" s="15"/>
      <c r="O120" s="306"/>
      <c r="P120" s="119"/>
      <c r="Q120" s="119"/>
      <c r="R120" s="119"/>
      <c r="S120" s="119"/>
      <c r="T120" s="119"/>
      <c r="U120" s="119"/>
      <c r="V120" s="119"/>
      <c r="W120" s="119"/>
      <c r="X120" s="294"/>
      <c r="Y120" s="306"/>
      <c r="Z120" s="306"/>
      <c r="AA120" s="119"/>
      <c r="AB120" s="119"/>
      <c r="AC120" s="119"/>
      <c r="AD120" s="119"/>
      <c r="AF120" s="327"/>
      <c r="AG120" s="322">
        <f t="shared" si="65"/>
        <v>0</v>
      </c>
      <c r="AK120" s="311"/>
    </row>
    <row r="121" spans="1:37" x14ac:dyDescent="0.3">
      <c r="A121" s="338" t="s">
        <v>240</v>
      </c>
      <c r="D121" s="3" t="s">
        <v>333</v>
      </c>
      <c r="I121" s="291"/>
      <c r="L121" s="16"/>
      <c r="M121" s="16"/>
      <c r="N121" s="15"/>
      <c r="O121" s="306"/>
      <c r="P121" s="119"/>
      <c r="Q121" s="119"/>
      <c r="R121" s="119"/>
      <c r="S121" s="119"/>
      <c r="T121" s="119"/>
      <c r="U121" s="119"/>
      <c r="V121" s="119"/>
      <c r="W121" s="119"/>
      <c r="X121" s="294"/>
      <c r="Y121" s="306"/>
      <c r="Z121" s="306"/>
      <c r="AA121" s="119"/>
      <c r="AB121" s="119"/>
      <c r="AC121" s="119"/>
      <c r="AD121" s="119"/>
      <c r="AF121" s="327"/>
      <c r="AG121" s="322">
        <f t="shared" si="65"/>
        <v>0</v>
      </c>
      <c r="AK121" s="311"/>
    </row>
    <row r="122" spans="1:37" x14ac:dyDescent="0.3">
      <c r="A122" s="338" t="s">
        <v>240</v>
      </c>
      <c r="C122" s="3" t="s">
        <v>150</v>
      </c>
      <c r="L122" s="16"/>
      <c r="M122" s="16"/>
      <c r="N122" s="15"/>
      <c r="O122" s="246">
        <v>98.924357700000002</v>
      </c>
      <c r="P122" s="16">
        <f t="shared" ref="P122:X122" si="81">P123*P128/10^6</f>
        <v>0</v>
      </c>
      <c r="Q122" s="16">
        <f t="shared" si="81"/>
        <v>0</v>
      </c>
      <c r="R122" s="16">
        <f t="shared" si="81"/>
        <v>0</v>
      </c>
      <c r="S122" s="16">
        <f t="shared" si="81"/>
        <v>0</v>
      </c>
      <c r="T122" s="16">
        <f t="shared" si="81"/>
        <v>0</v>
      </c>
      <c r="U122" s="16">
        <f t="shared" si="81"/>
        <v>0</v>
      </c>
      <c r="V122" s="16">
        <f t="shared" si="81"/>
        <v>283.8445915824023</v>
      </c>
      <c r="W122" s="16">
        <f t="shared" si="81"/>
        <v>0</v>
      </c>
      <c r="X122" s="15">
        <f t="shared" si="81"/>
        <v>0</v>
      </c>
      <c r="Y122" s="16">
        <f>SUM(P122:X122)</f>
        <v>283.8445915824023</v>
      </c>
      <c r="Z122" s="246">
        <f>SUM(O122,Y122)</f>
        <v>382.76894928240233</v>
      </c>
      <c r="AA122" s="119"/>
      <c r="AB122" s="119"/>
      <c r="AC122" s="119"/>
      <c r="AD122" s="119"/>
      <c r="AF122" s="327"/>
      <c r="AG122" s="322">
        <f t="shared" si="65"/>
        <v>0</v>
      </c>
      <c r="AK122" s="311"/>
    </row>
    <row r="123" spans="1:37" x14ac:dyDescent="0.3">
      <c r="A123" s="338" t="s">
        <v>240</v>
      </c>
      <c r="B123" s="11"/>
      <c r="D123" s="3" t="s">
        <v>508</v>
      </c>
      <c r="L123" s="16"/>
      <c r="M123" s="16"/>
      <c r="N123" s="15"/>
      <c r="O123" s="246">
        <v>74466</v>
      </c>
      <c r="P123" s="16">
        <f t="shared" ref="P123:X123" si="82">P124*P127</f>
        <v>0</v>
      </c>
      <c r="Q123" s="16">
        <f t="shared" si="82"/>
        <v>0</v>
      </c>
      <c r="R123" s="16">
        <f t="shared" si="82"/>
        <v>0</v>
      </c>
      <c r="S123" s="16">
        <f t="shared" si="82"/>
        <v>0</v>
      </c>
      <c r="T123" s="16">
        <f t="shared" si="82"/>
        <v>0</v>
      </c>
      <c r="U123" s="16">
        <f t="shared" si="82"/>
        <v>0</v>
      </c>
      <c r="V123" s="16">
        <f t="shared" si="82"/>
        <v>225291.36564997403</v>
      </c>
      <c r="W123" s="16">
        <f t="shared" si="82"/>
        <v>0</v>
      </c>
      <c r="X123" s="15">
        <f t="shared" si="82"/>
        <v>0</v>
      </c>
      <c r="Y123" s="16">
        <f>SUM(P123:X123)</f>
        <v>225291.36564997403</v>
      </c>
      <c r="Z123" s="246">
        <f>Y123+O123</f>
        <v>299757.36564997403</v>
      </c>
      <c r="AA123" s="119"/>
      <c r="AB123" s="119"/>
      <c r="AC123" s="119"/>
      <c r="AD123" s="119"/>
      <c r="AF123" s="327"/>
      <c r="AG123" s="322">
        <f t="shared" si="65"/>
        <v>0</v>
      </c>
      <c r="AK123" s="311"/>
    </row>
    <row r="124" spans="1:37" x14ac:dyDescent="0.3">
      <c r="A124" s="338" t="s">
        <v>240</v>
      </c>
      <c r="E124" s="3" t="s">
        <v>324</v>
      </c>
      <c r="L124" s="16"/>
      <c r="M124" s="16"/>
      <c r="N124" s="15"/>
      <c r="O124" s="246">
        <v>1</v>
      </c>
      <c r="P124" s="16">
        <f>SUMIFS(INDEX(판매수량!$N$2:$V$82,0,MATCH(P$42,판매수량!$N$2:$V$2,0)),판매수량!$A$2:$A$82,$A124,판매수량!$B$2:$B$82,$AG124)</f>
        <v>0</v>
      </c>
      <c r="Q124" s="16">
        <f>SUMIFS(INDEX(판매수량!$N$2:$V$82,0,MATCH(Q$42,판매수량!$N$2:$V$2,0)),판매수량!$A$2:$A$82,$A124,판매수량!$B$2:$B$82,$AG124)</f>
        <v>0</v>
      </c>
      <c r="R124" s="16">
        <f>SUMIFS(INDEX(판매수량!$N$2:$V$82,0,MATCH(R$42,판매수량!$N$2:$V$2,0)),판매수량!$A$2:$A$82,$A124,판매수량!$B$2:$B$82,$AG124)</f>
        <v>0</v>
      </c>
      <c r="S124" s="16">
        <f>SUMIFS(INDEX(판매수량!$N$2:$V$82,0,MATCH(S$42,판매수량!$N$2:$V$2,0)),판매수량!$A$2:$A$82,$A124,판매수량!$B$2:$B$82,$AG124)</f>
        <v>0</v>
      </c>
      <c r="T124" s="16">
        <f>SUMIFS(INDEX(판매수량!$N$2:$V$82,0,MATCH(T$42,판매수량!$N$2:$V$2,0)),판매수량!$A$2:$A$82,$A124,판매수량!$B$2:$B$82,$AG124)</f>
        <v>0</v>
      </c>
      <c r="U124" s="16">
        <f>SUMIFS(INDEX(판매수량!$N$2:$V$82,0,MATCH(U$42,판매수량!$N$2:$V$2,0)),판매수량!$A$2:$A$82,$A124,판매수량!$B$2:$B$82,$AG124)</f>
        <v>0</v>
      </c>
      <c r="V124" s="16">
        <f>SUMIFS(INDEX(판매수량!$N$2:$V$82,0,MATCH(V$42,판매수량!$N$2:$V$2,0)),판매수량!$A$2:$A$82,$A124,판매수량!$B$2:$B$82,$AG124)</f>
        <v>1</v>
      </c>
      <c r="W124" s="16">
        <f>SUMIFS(INDEX(판매수량!$N$2:$V$82,0,MATCH(W$42,판매수량!$N$2:$V$2,0)),판매수량!$A$2:$A$82,$A124,판매수량!$B$2:$B$82,$AG124)</f>
        <v>0</v>
      </c>
      <c r="X124" s="15">
        <f>SUMIFS(INDEX(판매수량!$N$2:$V$82,0,MATCH(X$42,판매수량!$N$2:$V$2,0)),판매수량!$A$2:$A$82,$A124,판매수량!$B$2:$B$82,$AG124)</f>
        <v>0</v>
      </c>
      <c r="Y124" s="16">
        <f>SUM(P124:X124)</f>
        <v>1</v>
      </c>
      <c r="Z124" s="246">
        <f>SUM(O124,Y124)</f>
        <v>2</v>
      </c>
      <c r="AA124" s="119"/>
      <c r="AB124" s="119"/>
      <c r="AC124" s="119"/>
      <c r="AD124" s="119"/>
      <c r="AF124" s="327"/>
      <c r="AG124" s="322" t="str">
        <f t="shared" si="65"/>
        <v>단종</v>
      </c>
      <c r="AK124" s="311"/>
    </row>
    <row r="125" spans="1:37" x14ac:dyDescent="0.3">
      <c r="A125" s="338" t="s">
        <v>240</v>
      </c>
      <c r="F125" s="3" t="s">
        <v>304</v>
      </c>
      <c r="L125" s="16"/>
      <c r="M125" s="16"/>
      <c r="N125" s="15"/>
      <c r="O125" s="306"/>
      <c r="P125" s="119"/>
      <c r="Q125" s="119"/>
      <c r="R125" s="119"/>
      <c r="S125" s="119"/>
      <c r="T125" s="119"/>
      <c r="U125" s="119"/>
      <c r="V125" s="119"/>
      <c r="W125" s="119"/>
      <c r="X125" s="294"/>
      <c r="Y125" s="119"/>
      <c r="Z125" s="246">
        <f>'Key Assumption'!AA168</f>
        <v>15.083333333333334</v>
      </c>
      <c r="AA125" s="119"/>
      <c r="AB125" s="119"/>
      <c r="AC125" s="119"/>
      <c r="AD125" s="119"/>
      <c r="AF125" s="327"/>
      <c r="AG125" s="322">
        <f t="shared" si="65"/>
        <v>0</v>
      </c>
      <c r="AK125" s="311"/>
    </row>
    <row r="126" spans="1:37" x14ac:dyDescent="0.3">
      <c r="A126" s="338" t="s">
        <v>240</v>
      </c>
      <c r="F126" s="3" t="s">
        <v>305</v>
      </c>
      <c r="L126" s="16"/>
      <c r="M126" s="16"/>
      <c r="N126" s="15"/>
      <c r="O126" s="306"/>
      <c r="P126" s="119"/>
      <c r="Q126" s="119"/>
      <c r="R126" s="119"/>
      <c r="S126" s="119"/>
      <c r="T126" s="119"/>
      <c r="U126" s="119"/>
      <c r="V126" s="119"/>
      <c r="W126" s="119"/>
      <c r="X126" s="294"/>
      <c r="Y126" s="119"/>
      <c r="Z126" s="246">
        <f>IFERROR(Z124/Z125,)</f>
        <v>0.13259668508287292</v>
      </c>
      <c r="AA126" s="119"/>
      <c r="AB126" s="119"/>
      <c r="AC126" s="119"/>
      <c r="AD126" s="119"/>
      <c r="AF126" s="327"/>
      <c r="AG126" s="322">
        <f t="shared" si="65"/>
        <v>0</v>
      </c>
      <c r="AK126" s="311"/>
    </row>
    <row r="127" spans="1:37" x14ac:dyDescent="0.3">
      <c r="A127" s="338" t="s">
        <v>240</v>
      </c>
      <c r="E127" s="3" t="s">
        <v>509</v>
      </c>
      <c r="I127" s="291" t="s">
        <v>275</v>
      </c>
      <c r="L127" s="16"/>
      <c r="M127" s="16"/>
      <c r="N127" s="15"/>
      <c r="O127" s="246">
        <f>O123/O124</f>
        <v>74466</v>
      </c>
      <c r="P127" s="16">
        <f>'Key Assumption'!R349</f>
        <v>225291.36564997403</v>
      </c>
      <c r="Q127" s="16">
        <f>'Key Assumption'!S349</f>
        <v>225291.36564997403</v>
      </c>
      <c r="R127" s="16">
        <f>'Key Assumption'!T349</f>
        <v>225291.36564997403</v>
      </c>
      <c r="S127" s="16">
        <f>'Key Assumption'!U349</f>
        <v>225291.36564997403</v>
      </c>
      <c r="T127" s="16">
        <f>'Key Assumption'!V349</f>
        <v>225291.36564997403</v>
      </c>
      <c r="U127" s="16">
        <f>'Key Assumption'!W349</f>
        <v>225291.36564997403</v>
      </c>
      <c r="V127" s="16">
        <f>'Key Assumption'!X349</f>
        <v>225291.36564997403</v>
      </c>
      <c r="W127" s="16">
        <f>'Key Assumption'!Y349</f>
        <v>225291.36564997403</v>
      </c>
      <c r="X127" s="15">
        <f>'Key Assumption'!Z349</f>
        <v>225291.36564997403</v>
      </c>
      <c r="Y127" s="16">
        <f>IFERROR(Y123/Y124,)</f>
        <v>225291.36564997403</v>
      </c>
      <c r="Z127" s="246">
        <f>Z123/Z124</f>
        <v>149878.68282498702</v>
      </c>
      <c r="AA127" s="119"/>
      <c r="AB127" s="119"/>
      <c r="AC127" s="119"/>
      <c r="AD127" s="119"/>
      <c r="AF127" s="327"/>
      <c r="AG127" s="322">
        <f t="shared" si="65"/>
        <v>0</v>
      </c>
      <c r="AK127" s="311"/>
    </row>
    <row r="128" spans="1:37" x14ac:dyDescent="0.3">
      <c r="A128" s="338" t="s">
        <v>240</v>
      </c>
      <c r="D128" s="3" t="s">
        <v>333</v>
      </c>
      <c r="I128" s="291"/>
      <c r="L128" s="16"/>
      <c r="M128" s="16"/>
      <c r="N128" s="15"/>
      <c r="O128" s="246">
        <f>O122/O123*10^6</f>
        <v>1328.45</v>
      </c>
      <c r="P128" s="16">
        <f t="shared" ref="P128:X128" si="83">P$297</f>
        <v>1308.5999999999999</v>
      </c>
      <c r="Q128" s="16">
        <f t="shared" si="83"/>
        <v>1308.5999999999999</v>
      </c>
      <c r="R128" s="16">
        <f t="shared" si="83"/>
        <v>1308.5999999999999</v>
      </c>
      <c r="S128" s="16">
        <f t="shared" si="83"/>
        <v>1289.8</v>
      </c>
      <c r="T128" s="16">
        <f t="shared" si="83"/>
        <v>1289.8</v>
      </c>
      <c r="U128" s="16">
        <f t="shared" si="83"/>
        <v>1289.8</v>
      </c>
      <c r="V128" s="16">
        <f t="shared" si="83"/>
        <v>1259.9000000000001</v>
      </c>
      <c r="W128" s="16">
        <f t="shared" si="83"/>
        <v>1259.9000000000001</v>
      </c>
      <c r="X128" s="15">
        <f t="shared" si="83"/>
        <v>1259.9000000000001</v>
      </c>
      <c r="Y128" s="16">
        <f>IFERROR(Y122/Y123,)*10^6</f>
        <v>1259.9000000000001</v>
      </c>
      <c r="Z128" s="246">
        <f>Z122/Z123*10^6</f>
        <v>1276.9292539398707</v>
      </c>
      <c r="AA128" s="119"/>
      <c r="AB128" s="119"/>
      <c r="AC128" s="119"/>
      <c r="AD128" s="119"/>
      <c r="AF128" s="327"/>
      <c r="AG128" s="322">
        <f t="shared" si="65"/>
        <v>0</v>
      </c>
      <c r="AK128" s="311"/>
    </row>
    <row r="129" spans="1:37" x14ac:dyDescent="0.3">
      <c r="A129" s="338" t="s">
        <v>240</v>
      </c>
      <c r="C129" s="3" t="s">
        <v>105</v>
      </c>
      <c r="L129" s="16"/>
      <c r="M129" s="16"/>
      <c r="N129" s="15"/>
      <c r="O129" s="246">
        <f>O130+O132+O134+O136+O139+O140</f>
        <v>735.87489761199981</v>
      </c>
      <c r="P129" s="16">
        <f t="shared" ref="P129:X129" si="84">P130+P132+P134+P136+P139+P140</f>
        <v>62.837000602765329</v>
      </c>
      <c r="Q129" s="16">
        <f t="shared" si="84"/>
        <v>69.314988731230329</v>
      </c>
      <c r="R129" s="16">
        <f t="shared" si="84"/>
        <v>84.081880913979475</v>
      </c>
      <c r="S129" s="16">
        <f t="shared" si="84"/>
        <v>59.027383378656083</v>
      </c>
      <c r="T129" s="16">
        <f t="shared" si="84"/>
        <v>71.566260738965482</v>
      </c>
      <c r="U129" s="16">
        <f t="shared" si="84"/>
        <v>47.309498704331034</v>
      </c>
      <c r="V129" s="16">
        <f t="shared" si="84"/>
        <v>104.3453055619411</v>
      </c>
      <c r="W129" s="16">
        <f t="shared" si="84"/>
        <v>68.204309508107144</v>
      </c>
      <c r="X129" s="15">
        <f t="shared" si="84"/>
        <v>77.486077063952109</v>
      </c>
      <c r="Y129" s="16">
        <f>Y130+Y132+Y134+Y136+Y139+Y140</f>
        <v>644.17270520392822</v>
      </c>
      <c r="Z129" s="246">
        <f>Z130+Z132+Z134+Z136+Z139+Z140</f>
        <v>1380.047602815928</v>
      </c>
      <c r="AA129" s="16">
        <f t="shared" ref="AA129:AD129" si="85">AA130+AA132+AA134+AA136+AA139+AA140</f>
        <v>775.53445633884735</v>
      </c>
      <c r="AB129" s="16">
        <f t="shared" si="85"/>
        <v>835.17149243978383</v>
      </c>
      <c r="AC129" s="16">
        <f t="shared" si="85"/>
        <v>931.84569612643668</v>
      </c>
      <c r="AD129" s="16">
        <f t="shared" si="85"/>
        <v>1026.1383399104982</v>
      </c>
      <c r="AF129" s="327"/>
      <c r="AG129" s="322">
        <f t="shared" si="65"/>
        <v>0</v>
      </c>
      <c r="AK129" s="311"/>
    </row>
    <row r="130" spans="1:37" ht="12.75" thickBot="1" x14ac:dyDescent="0.35">
      <c r="A130" s="338" t="s">
        <v>240</v>
      </c>
      <c r="D130" s="3" t="s">
        <v>307</v>
      </c>
      <c r="L130" s="16"/>
      <c r="M130" s="16"/>
      <c r="N130" s="15"/>
      <c r="O130" s="246">
        <v>417.58019058000002</v>
      </c>
      <c r="P130" s="16">
        <f t="shared" ref="P130:X130" si="86">SUM(P$94,P$101,P$108,P$115,P$122)*P131</f>
        <v>50.996392907765326</v>
      </c>
      <c r="Q130" s="16">
        <f t="shared" si="86"/>
        <v>57.474381036230326</v>
      </c>
      <c r="R130" s="16">
        <f t="shared" si="86"/>
        <v>68.858242448979468</v>
      </c>
      <c r="S130" s="16">
        <f t="shared" si="86"/>
        <v>48.878291068656083</v>
      </c>
      <c r="T130" s="16">
        <f t="shared" si="86"/>
        <v>58.034137658965484</v>
      </c>
      <c r="U130" s="16">
        <f t="shared" si="86"/>
        <v>38.851921779331036</v>
      </c>
      <c r="V130" s="16">
        <f t="shared" si="86"/>
        <v>87.430151711941107</v>
      </c>
      <c r="W130" s="16">
        <f t="shared" si="86"/>
        <v>54.672186428107146</v>
      </c>
      <c r="X130" s="15">
        <f t="shared" si="86"/>
        <v>62.262438598952102</v>
      </c>
      <c r="Y130" s="16">
        <f>SUM(P130:X130)</f>
        <v>527.45814363892816</v>
      </c>
      <c r="Z130" s="246">
        <f>SUM(O130,Y130)</f>
        <v>945.03833421892818</v>
      </c>
      <c r="AA130" s="16">
        <f>SUM(AA$94,AA$101,AA$108,AA$115,AA$122)*AA131</f>
        <v>618.37407040311234</v>
      </c>
      <c r="AB130" s="16">
        <f>SUM(AB$94,AB$101,AB$108,AB$115,AB$122)*AB131</f>
        <v>662.02910418043018</v>
      </c>
      <c r="AC130" s="16">
        <f>SUM(AC$94,AC$101,AC$108,AC$115,AC$122)*AC131</f>
        <v>739.26895816450258</v>
      </c>
      <c r="AD130" s="16">
        <f>SUM(AD$94,AD$101,AD$108,AD$115,AD$122)*AD131</f>
        <v>819.22546608425046</v>
      </c>
      <c r="AF130" s="327"/>
      <c r="AG130" s="322">
        <f t="shared" si="65"/>
        <v>0</v>
      </c>
      <c r="AK130" s="311"/>
    </row>
    <row r="131" spans="1:37" ht="12.75" thickBot="1" x14ac:dyDescent="0.35">
      <c r="A131" s="338" t="s">
        <v>240</v>
      </c>
      <c r="E131" s="3" t="s">
        <v>317</v>
      </c>
      <c r="I131" s="339">
        <v>5.9589633672919307E-2</v>
      </c>
      <c r="J131" s="349">
        <f>I131</f>
        <v>5.9589633672919307E-2</v>
      </c>
      <c r="L131" s="137"/>
      <c r="M131" s="137"/>
      <c r="N131" s="374"/>
      <c r="O131" s="362">
        <f>O130/SUM(O$122,O$108,O$101,O$94)</f>
        <v>0.20356655486373823</v>
      </c>
      <c r="P131" s="363">
        <f t="shared" ref="P131:X131" si="87">$I131</f>
        <v>5.9589633672919307E-2</v>
      </c>
      <c r="Q131" s="363">
        <f t="shared" si="87"/>
        <v>5.9589633672919307E-2</v>
      </c>
      <c r="R131" s="363">
        <f t="shared" si="87"/>
        <v>5.9589633672919307E-2</v>
      </c>
      <c r="S131" s="363">
        <f t="shared" si="87"/>
        <v>5.9589633672919307E-2</v>
      </c>
      <c r="T131" s="363">
        <f t="shared" si="87"/>
        <v>5.9589633672919307E-2</v>
      </c>
      <c r="U131" s="363">
        <f t="shared" si="87"/>
        <v>5.9589633672919307E-2</v>
      </c>
      <c r="V131" s="363">
        <f t="shared" si="87"/>
        <v>5.9589633672919307E-2</v>
      </c>
      <c r="W131" s="363">
        <f t="shared" si="87"/>
        <v>5.9589633672919307E-2</v>
      </c>
      <c r="X131" s="374">
        <f t="shared" si="87"/>
        <v>5.9589633672919307E-2</v>
      </c>
      <c r="Y131" s="363">
        <f>Y130/SUM(Y$122,Y$108,Y$101,Y$94)</f>
        <v>5.9589633672919327E-2</v>
      </c>
      <c r="Z131" s="362">
        <f>Z130/SUM(Z$94,Z$101,Z$108,Z$122)</f>
        <v>8.6678270936740853E-2</v>
      </c>
      <c r="AA131" s="17">
        <f>$J131</f>
        <v>5.9589633672919307E-2</v>
      </c>
      <c r="AB131" s="17">
        <f>$J131</f>
        <v>5.9589633672919307E-2</v>
      </c>
      <c r="AC131" s="17">
        <f>$J131</f>
        <v>5.9589633672919307E-2</v>
      </c>
      <c r="AD131" s="17">
        <f>$J131</f>
        <v>5.9589633672919307E-2</v>
      </c>
      <c r="AF131" s="327"/>
      <c r="AG131" s="322">
        <f t="shared" si="65"/>
        <v>0</v>
      </c>
      <c r="AK131" s="311"/>
    </row>
    <row r="132" spans="1:37" ht="12.75" thickBot="1" x14ac:dyDescent="0.35">
      <c r="A132" s="338" t="s">
        <v>240</v>
      </c>
      <c r="D132" s="3" t="s">
        <v>309</v>
      </c>
      <c r="I132" s="341"/>
      <c r="J132" s="341"/>
      <c r="L132" s="16"/>
      <c r="M132" s="16"/>
      <c r="N132" s="15"/>
      <c r="O132" s="246">
        <v>0</v>
      </c>
      <c r="P132" s="16">
        <f t="shared" ref="P132:X132" si="88">SUM(P$94,P$101,P$108,P$115,P$122)*P133</f>
        <v>0</v>
      </c>
      <c r="Q132" s="16">
        <f t="shared" si="88"/>
        <v>0</v>
      </c>
      <c r="R132" s="16">
        <f t="shared" si="88"/>
        <v>0</v>
      </c>
      <c r="S132" s="16">
        <f t="shared" si="88"/>
        <v>0</v>
      </c>
      <c r="T132" s="16">
        <f t="shared" si="88"/>
        <v>0</v>
      </c>
      <c r="U132" s="16">
        <f t="shared" si="88"/>
        <v>0</v>
      </c>
      <c r="V132" s="16">
        <f t="shared" si="88"/>
        <v>0</v>
      </c>
      <c r="W132" s="16">
        <f t="shared" si="88"/>
        <v>0</v>
      </c>
      <c r="X132" s="15">
        <f t="shared" si="88"/>
        <v>0</v>
      </c>
      <c r="Y132" s="16">
        <f>SUM(P132:X132)</f>
        <v>0</v>
      </c>
      <c r="Z132" s="246">
        <f>SUM(O132,Y132)</f>
        <v>0</v>
      </c>
      <c r="AA132" s="16">
        <f>SUM(AA$94,AA$101,AA$108,AA$115,AA$122)*AA133</f>
        <v>0</v>
      </c>
      <c r="AB132" s="16">
        <f>SUM(AB$94,AB$101,AB$108,AB$115,AB$122)*AB133</f>
        <v>0</v>
      </c>
      <c r="AC132" s="16">
        <f>SUM(AC$94,AC$101,AC$108,AC$115,AC$122)*AC133</f>
        <v>0</v>
      </c>
      <c r="AD132" s="16">
        <f>SUM(AD$94,AD$101,AD$108,AD$115,AD$122)*AD133</f>
        <v>0</v>
      </c>
      <c r="AF132" s="327"/>
      <c r="AG132" s="322">
        <f t="shared" si="65"/>
        <v>0</v>
      </c>
      <c r="AK132" s="311"/>
    </row>
    <row r="133" spans="1:37" ht="12.75" thickBot="1" x14ac:dyDescent="0.35">
      <c r="A133" s="338" t="s">
        <v>240</v>
      </c>
      <c r="E133" s="3" t="s">
        <v>317</v>
      </c>
      <c r="I133" s="339">
        <v>0</v>
      </c>
      <c r="J133" s="349">
        <f>I133</f>
        <v>0</v>
      </c>
      <c r="L133" s="137"/>
      <c r="M133" s="137"/>
      <c r="N133" s="374"/>
      <c r="O133" s="362">
        <f>O132/SUM(O$122,O$108,O$101,O$94)</f>
        <v>0</v>
      </c>
      <c r="P133" s="363">
        <f t="shared" ref="P133:X133" si="89">$I133</f>
        <v>0</v>
      </c>
      <c r="Q133" s="363">
        <f t="shared" si="89"/>
        <v>0</v>
      </c>
      <c r="R133" s="363">
        <f t="shared" si="89"/>
        <v>0</v>
      </c>
      <c r="S133" s="363">
        <f t="shared" si="89"/>
        <v>0</v>
      </c>
      <c r="T133" s="363">
        <f t="shared" si="89"/>
        <v>0</v>
      </c>
      <c r="U133" s="363">
        <f t="shared" si="89"/>
        <v>0</v>
      </c>
      <c r="V133" s="363">
        <f t="shared" si="89"/>
        <v>0</v>
      </c>
      <c r="W133" s="363">
        <f t="shared" si="89"/>
        <v>0</v>
      </c>
      <c r="X133" s="374">
        <f t="shared" si="89"/>
        <v>0</v>
      </c>
      <c r="Y133" s="363">
        <f>Y132/SUM(Y$122,Y$108,Y$101,Y$94)</f>
        <v>0</v>
      </c>
      <c r="Z133" s="362">
        <f>IFERROR(Z132/SUM(Z$44,Z$51,Z$58,Z$65,Z$72),)</f>
        <v>0</v>
      </c>
      <c r="AA133" s="17">
        <f>$J133</f>
        <v>0</v>
      </c>
      <c r="AB133" s="17">
        <f>$J133</f>
        <v>0</v>
      </c>
      <c r="AC133" s="17">
        <f>$J133</f>
        <v>0</v>
      </c>
      <c r="AD133" s="17">
        <f>$J133</f>
        <v>0</v>
      </c>
      <c r="AF133" s="327"/>
      <c r="AG133" s="322">
        <f t="shared" si="65"/>
        <v>0</v>
      </c>
      <c r="AK133" s="311"/>
    </row>
    <row r="134" spans="1:37" ht="12.75" thickBot="1" x14ac:dyDescent="0.35">
      <c r="A134" s="338" t="s">
        <v>240</v>
      </c>
      <c r="D134" s="3" t="s">
        <v>310</v>
      </c>
      <c r="I134" s="341"/>
      <c r="J134" s="341"/>
      <c r="L134" s="16"/>
      <c r="M134" s="16"/>
      <c r="N134" s="15"/>
      <c r="O134" s="246">
        <v>284.4643993319998</v>
      </c>
      <c r="P134" s="16">
        <f t="shared" ref="P134:X134" si="90">SUM(P$94,P$101,P$108,P$115,P$122)*P135</f>
        <v>0</v>
      </c>
      <c r="Q134" s="16">
        <f t="shared" si="90"/>
        <v>0</v>
      </c>
      <c r="R134" s="16">
        <f t="shared" si="90"/>
        <v>0</v>
      </c>
      <c r="S134" s="16">
        <f t="shared" si="90"/>
        <v>0</v>
      </c>
      <c r="T134" s="16">
        <f t="shared" si="90"/>
        <v>0</v>
      </c>
      <c r="U134" s="16">
        <f t="shared" si="90"/>
        <v>0</v>
      </c>
      <c r="V134" s="16">
        <f t="shared" si="90"/>
        <v>0</v>
      </c>
      <c r="W134" s="16">
        <f t="shared" si="90"/>
        <v>0</v>
      </c>
      <c r="X134" s="15">
        <f t="shared" si="90"/>
        <v>0</v>
      </c>
      <c r="Y134" s="16">
        <f>SUM(P134:X134)</f>
        <v>0</v>
      </c>
      <c r="Z134" s="246">
        <f>SUM(O134,Y134)</f>
        <v>284.4643993319998</v>
      </c>
      <c r="AA134" s="16">
        <f>SUM(AA$94,AA$101,AA$108,AA$115,AA$122)*AA135</f>
        <v>0</v>
      </c>
      <c r="AB134" s="16">
        <f>SUM(AB$94,AB$101,AB$108,AB$115,AB$122)*AB135</f>
        <v>0</v>
      </c>
      <c r="AC134" s="16">
        <f>SUM(AC$94,AC$101,AC$108,AC$115,AC$122)*AC135</f>
        <v>0</v>
      </c>
      <c r="AD134" s="16">
        <f>SUM(AD$94,AD$101,AD$108,AD$115,AD$122)*AD135</f>
        <v>0</v>
      </c>
      <c r="AF134" s="327"/>
      <c r="AG134" s="322">
        <f t="shared" si="65"/>
        <v>0</v>
      </c>
      <c r="AK134" s="311"/>
    </row>
    <row r="135" spans="1:37" ht="12.75" thickBot="1" x14ac:dyDescent="0.35">
      <c r="A135" s="338" t="s">
        <v>240</v>
      </c>
      <c r="E135" s="3" t="s">
        <v>317</v>
      </c>
      <c r="I135" s="339">
        <v>0</v>
      </c>
      <c r="J135" s="349">
        <f>I135</f>
        <v>0</v>
      </c>
      <c r="L135" s="137"/>
      <c r="M135" s="137"/>
      <c r="N135" s="374"/>
      <c r="O135" s="362">
        <f>O134/SUM(O$122,O$108,O$101,O$94)</f>
        <v>0.13867381417918093</v>
      </c>
      <c r="P135" s="363">
        <f t="shared" ref="P135:X135" si="91">$I135</f>
        <v>0</v>
      </c>
      <c r="Q135" s="363">
        <f t="shared" si="91"/>
        <v>0</v>
      </c>
      <c r="R135" s="363">
        <f t="shared" si="91"/>
        <v>0</v>
      </c>
      <c r="S135" s="363">
        <f t="shared" si="91"/>
        <v>0</v>
      </c>
      <c r="T135" s="363">
        <f t="shared" si="91"/>
        <v>0</v>
      </c>
      <c r="U135" s="363">
        <f t="shared" si="91"/>
        <v>0</v>
      </c>
      <c r="V135" s="363">
        <f t="shared" si="91"/>
        <v>0</v>
      </c>
      <c r="W135" s="363">
        <f t="shared" si="91"/>
        <v>0</v>
      </c>
      <c r="X135" s="374">
        <f t="shared" si="91"/>
        <v>0</v>
      </c>
      <c r="Y135" s="363">
        <f>Y134/SUM(Y$122,Y$108,Y$101,Y$94)</f>
        <v>0</v>
      </c>
      <c r="Z135" s="362">
        <f>Z134/SUM(Z$94,Z$101,Z$108,Z$122)</f>
        <v>2.609088053294174E-2</v>
      </c>
      <c r="AA135" s="17">
        <f>$J135</f>
        <v>0</v>
      </c>
      <c r="AB135" s="17">
        <f>$J135</f>
        <v>0</v>
      </c>
      <c r="AC135" s="17">
        <f>$J135</f>
        <v>0</v>
      </c>
      <c r="AD135" s="17">
        <f>$J135</f>
        <v>0</v>
      </c>
      <c r="AF135" s="327"/>
      <c r="AG135" s="322">
        <f t="shared" si="65"/>
        <v>0</v>
      </c>
      <c r="AK135" s="311"/>
    </row>
    <row r="136" spans="1:37" x14ac:dyDescent="0.3">
      <c r="A136" s="338" t="s">
        <v>240</v>
      </c>
      <c r="D136" s="3" t="s">
        <v>311</v>
      </c>
      <c r="I136" s="341"/>
      <c r="J136" s="341"/>
      <c r="L136" s="16"/>
      <c r="M136" s="16"/>
      <c r="N136" s="15"/>
      <c r="O136" s="246">
        <v>33.830307700000006</v>
      </c>
      <c r="P136" s="16">
        <f t="shared" ref="P136:X136" si="92">P137*P138</f>
        <v>11.840607695000001</v>
      </c>
      <c r="Q136" s="16">
        <f t="shared" si="92"/>
        <v>11.840607695000001</v>
      </c>
      <c r="R136" s="16">
        <f t="shared" si="92"/>
        <v>15.223638465000002</v>
      </c>
      <c r="S136" s="16">
        <f t="shared" si="92"/>
        <v>10.14909231</v>
      </c>
      <c r="T136" s="16">
        <f t="shared" si="92"/>
        <v>13.532123080000002</v>
      </c>
      <c r="U136" s="16">
        <f t="shared" si="92"/>
        <v>8.4575769250000015</v>
      </c>
      <c r="V136" s="16">
        <f t="shared" si="92"/>
        <v>16.915153850000003</v>
      </c>
      <c r="W136" s="16">
        <f t="shared" si="92"/>
        <v>13.532123080000002</v>
      </c>
      <c r="X136" s="15">
        <f t="shared" si="92"/>
        <v>15.223638465000002</v>
      </c>
      <c r="Y136" s="16">
        <f>SUM(P136:X136)</f>
        <v>116.71456156500003</v>
      </c>
      <c r="Z136" s="246">
        <f>SUM(O136,Y136)</f>
        <v>150.54486926500005</v>
      </c>
      <c r="AA136" s="16">
        <f>AA137*AA138</f>
        <v>157.16038593573501</v>
      </c>
      <c r="AB136" s="16">
        <f>AB137*AB138</f>
        <v>173.1423882593536</v>
      </c>
      <c r="AC136" s="16">
        <f>AC137*AC138</f>
        <v>192.5767379619341</v>
      </c>
      <c r="AD136" s="16">
        <f>AD137*AD138</f>
        <v>206.91287382624768</v>
      </c>
      <c r="AF136" s="327"/>
      <c r="AG136" s="322">
        <f t="shared" si="65"/>
        <v>0</v>
      </c>
      <c r="AK136" s="311"/>
    </row>
    <row r="137" spans="1:37" ht="12.75" thickBot="1" x14ac:dyDescent="0.35">
      <c r="A137" s="338" t="s">
        <v>240</v>
      </c>
      <c r="E137" s="3" t="s">
        <v>318</v>
      </c>
      <c r="I137" s="341"/>
      <c r="J137" s="341"/>
      <c r="L137" s="16"/>
      <c r="M137" s="16"/>
      <c r="N137" s="15"/>
      <c r="O137" s="246">
        <f>SUM(O96,O103,O110,O117,O124)</f>
        <v>20</v>
      </c>
      <c r="P137" s="16">
        <f t="shared" ref="P137:X137" si="93">SUM(P96,P103,P110,P117,P124)</f>
        <v>7</v>
      </c>
      <c r="Q137" s="16">
        <f t="shared" si="93"/>
        <v>7</v>
      </c>
      <c r="R137" s="16">
        <f t="shared" si="93"/>
        <v>9</v>
      </c>
      <c r="S137" s="16">
        <f t="shared" si="93"/>
        <v>6</v>
      </c>
      <c r="T137" s="16">
        <f t="shared" si="93"/>
        <v>8</v>
      </c>
      <c r="U137" s="16">
        <f t="shared" si="93"/>
        <v>5</v>
      </c>
      <c r="V137" s="16">
        <f t="shared" si="93"/>
        <v>10</v>
      </c>
      <c r="W137" s="16">
        <f t="shared" si="93"/>
        <v>8</v>
      </c>
      <c r="X137" s="15">
        <f t="shared" si="93"/>
        <v>9</v>
      </c>
      <c r="Y137" s="16">
        <f>SUM(P137:X137)</f>
        <v>69</v>
      </c>
      <c r="Z137" s="246">
        <f>SUM(O137,Y137)</f>
        <v>89</v>
      </c>
      <c r="AA137" s="16">
        <f>SUM(AA96,AA103,AA110,AA117,AA124)</f>
        <v>91</v>
      </c>
      <c r="AB137" s="16">
        <f>SUM(AB96,AB103,AB110,AB117,AB124)</f>
        <v>98</v>
      </c>
      <c r="AC137" s="16">
        <f>SUM(AC96,AC103,AC110,AC117,AC124)</f>
        <v>109</v>
      </c>
      <c r="AD137" s="16">
        <f>SUM(AD96,AD103,AD110,AD117,AD124)</f>
        <v>117</v>
      </c>
      <c r="AF137" s="327"/>
      <c r="AG137" s="322">
        <f t="shared" si="65"/>
        <v>0</v>
      </c>
      <c r="AK137" s="311"/>
    </row>
    <row r="138" spans="1:37" ht="12.75" thickBot="1" x14ac:dyDescent="0.35">
      <c r="A138" s="338" t="s">
        <v>240</v>
      </c>
      <c r="E138" s="3" t="s">
        <v>319</v>
      </c>
      <c r="I138" s="353">
        <v>2.5645825477430555</v>
      </c>
      <c r="J138" s="354">
        <f>O138</f>
        <v>1.6915153850000002</v>
      </c>
      <c r="L138" s="16"/>
      <c r="M138" s="16"/>
      <c r="N138" s="15"/>
      <c r="O138" s="250">
        <f>O136/O137</f>
        <v>1.6915153850000002</v>
      </c>
      <c r="P138" s="247">
        <f>$J138</f>
        <v>1.6915153850000002</v>
      </c>
      <c r="Q138" s="247">
        <f t="shared" ref="Q138:X138" si="94">$J138</f>
        <v>1.6915153850000002</v>
      </c>
      <c r="R138" s="247">
        <f t="shared" si="94"/>
        <v>1.6915153850000002</v>
      </c>
      <c r="S138" s="247">
        <f t="shared" si="94"/>
        <v>1.6915153850000002</v>
      </c>
      <c r="T138" s="247">
        <f t="shared" si="94"/>
        <v>1.6915153850000002</v>
      </c>
      <c r="U138" s="247">
        <f t="shared" si="94"/>
        <v>1.6915153850000002</v>
      </c>
      <c r="V138" s="247">
        <f t="shared" si="94"/>
        <v>1.6915153850000002</v>
      </c>
      <c r="W138" s="247">
        <f t="shared" si="94"/>
        <v>1.6915153850000002</v>
      </c>
      <c r="X138" s="247">
        <f t="shared" si="94"/>
        <v>1.6915153850000002</v>
      </c>
      <c r="Y138" s="250">
        <f>Y136/Y137</f>
        <v>1.6915153850000004</v>
      </c>
      <c r="Z138" s="464">
        <f>Z136/Z137</f>
        <v>1.6915153850000004</v>
      </c>
      <c r="AA138" s="355">
        <f>$J138*(1+'Key Assumption'!AB$21)</f>
        <v>1.7270372080850001</v>
      </c>
      <c r="AB138" s="355">
        <f>$AA138*(1+'Key Assumption'!AC$21)</f>
        <v>1.7667590638709549</v>
      </c>
      <c r="AC138" s="355">
        <f>$AA138*(1+'Key Assumption'!AD$21)</f>
        <v>1.7667590638709549</v>
      </c>
      <c r="AD138" s="355">
        <f>$AA138*(1+'Key Assumption'!AE$21)</f>
        <v>1.76848610107904</v>
      </c>
      <c r="AF138" s="327"/>
      <c r="AG138" s="322">
        <f t="shared" si="65"/>
        <v>0</v>
      </c>
      <c r="AK138" s="311"/>
    </row>
    <row r="139" spans="1:37" x14ac:dyDescent="0.3">
      <c r="A139" s="338" t="s">
        <v>240</v>
      </c>
      <c r="D139" s="3" t="s">
        <v>314</v>
      </c>
      <c r="L139" s="16"/>
      <c r="M139" s="16"/>
      <c r="N139" s="15"/>
      <c r="O139" s="246">
        <v>0</v>
      </c>
      <c r="P139" s="16">
        <v>0</v>
      </c>
      <c r="Q139" s="16">
        <v>0</v>
      </c>
      <c r="R139" s="16">
        <v>0</v>
      </c>
      <c r="S139" s="16">
        <v>0</v>
      </c>
      <c r="T139" s="16">
        <v>0</v>
      </c>
      <c r="U139" s="16">
        <v>0</v>
      </c>
      <c r="V139" s="16">
        <v>0</v>
      </c>
      <c r="W139" s="16">
        <v>0</v>
      </c>
      <c r="X139" s="15">
        <v>0</v>
      </c>
      <c r="Y139" s="16">
        <f>SUM(P139:X139)</f>
        <v>0</v>
      </c>
      <c r="Z139" s="246">
        <f>SUM(O139,Y139)</f>
        <v>0</v>
      </c>
      <c r="AA139" s="119"/>
      <c r="AB139" s="119"/>
      <c r="AC139" s="119"/>
      <c r="AD139" s="119"/>
      <c r="AF139" s="327"/>
      <c r="AK139" s="311"/>
    </row>
    <row r="140" spans="1:37" x14ac:dyDescent="0.3">
      <c r="A140" s="338" t="s">
        <v>240</v>
      </c>
      <c r="B140" s="92"/>
      <c r="C140" s="92"/>
      <c r="D140" s="92" t="s">
        <v>105</v>
      </c>
      <c r="E140" s="92"/>
      <c r="F140" s="92"/>
      <c r="G140" s="92"/>
      <c r="H140" s="92"/>
      <c r="I140" s="92"/>
      <c r="J140" s="92"/>
      <c r="K140" s="92"/>
      <c r="L140" s="130"/>
      <c r="M140" s="130"/>
      <c r="N140" s="131"/>
      <c r="O140" s="330">
        <v>0</v>
      </c>
      <c r="P140" s="130">
        <v>0</v>
      </c>
      <c r="Q140" s="130">
        <v>0</v>
      </c>
      <c r="R140" s="130">
        <v>0</v>
      </c>
      <c r="S140" s="130">
        <v>0</v>
      </c>
      <c r="T140" s="130">
        <v>0</v>
      </c>
      <c r="U140" s="130">
        <v>0</v>
      </c>
      <c r="V140" s="130">
        <v>0</v>
      </c>
      <c r="W140" s="130">
        <v>0</v>
      </c>
      <c r="X140" s="131">
        <v>0</v>
      </c>
      <c r="Y140" s="130">
        <f>SUM(P140:X140)</f>
        <v>0</v>
      </c>
      <c r="Z140" s="330">
        <f>SUM(O140,Y140)</f>
        <v>0</v>
      </c>
      <c r="AA140" s="281"/>
      <c r="AB140" s="281"/>
      <c r="AC140" s="281"/>
      <c r="AD140" s="281"/>
      <c r="AF140" s="327"/>
      <c r="AK140" s="311"/>
    </row>
    <row r="141" spans="1:37" x14ac:dyDescent="0.3">
      <c r="AF141" s="327"/>
      <c r="AK141" s="311"/>
    </row>
    <row r="142" spans="1:37" x14ac:dyDescent="0.3">
      <c r="A142" s="4"/>
      <c r="B142" s="5" t="s">
        <v>469</v>
      </c>
      <c r="C142" s="4"/>
      <c r="D142" s="4"/>
      <c r="E142" s="4"/>
      <c r="F142" s="4"/>
      <c r="G142" s="4"/>
      <c r="H142" s="4"/>
      <c r="I142" s="4"/>
      <c r="J142" s="4"/>
      <c r="K142" s="4"/>
      <c r="L142" s="4"/>
      <c r="M142" s="4"/>
      <c r="N142" s="4"/>
      <c r="O142" s="356"/>
      <c r="P142" s="4"/>
      <c r="Q142" s="4"/>
      <c r="R142" s="4"/>
      <c r="S142" s="4"/>
      <c r="T142" s="4"/>
      <c r="U142" s="4"/>
      <c r="V142" s="4"/>
      <c r="W142" s="4"/>
      <c r="X142" s="4"/>
      <c r="Y142" s="4"/>
      <c r="Z142" s="4"/>
      <c r="AA142" s="4"/>
      <c r="AB142" s="4"/>
      <c r="AC142" s="4"/>
      <c r="AD142" s="4"/>
      <c r="AF142" s="327"/>
      <c r="AK142" s="311"/>
    </row>
    <row r="143" spans="1:37" x14ac:dyDescent="0.3">
      <c r="AK143" s="311"/>
    </row>
    <row r="144" spans="1:37" x14ac:dyDescent="0.3">
      <c r="B144" s="8"/>
      <c r="C144" s="8"/>
      <c r="D144" s="8"/>
      <c r="E144" s="8"/>
      <c r="F144" s="8"/>
      <c r="G144" s="8"/>
      <c r="H144" s="8"/>
      <c r="I144" s="8"/>
      <c r="J144" s="8"/>
      <c r="K144" s="8"/>
      <c r="L144" s="9" t="s">
        <v>182</v>
      </c>
      <c r="M144" s="9" t="s">
        <v>183</v>
      </c>
      <c r="N144" s="10" t="s">
        <v>184</v>
      </c>
      <c r="O144" s="244" t="s">
        <v>4</v>
      </c>
      <c r="P144" s="9" t="s">
        <v>215</v>
      </c>
      <c r="Q144" s="9" t="s">
        <v>216</v>
      </c>
      <c r="R144" s="9" t="s">
        <v>217</v>
      </c>
      <c r="S144" s="9" t="s">
        <v>218</v>
      </c>
      <c r="T144" s="9" t="s">
        <v>219</v>
      </c>
      <c r="U144" s="9" t="s">
        <v>220</v>
      </c>
      <c r="V144" s="9" t="s">
        <v>221</v>
      </c>
      <c r="W144" s="9" t="s">
        <v>222</v>
      </c>
      <c r="X144" s="10" t="s">
        <v>223</v>
      </c>
      <c r="Y144" s="9" t="s">
        <v>294</v>
      </c>
      <c r="Z144" s="244" t="s">
        <v>197</v>
      </c>
      <c r="AA144" s="9" t="s">
        <v>198</v>
      </c>
      <c r="AB144" s="9" t="s">
        <v>199</v>
      </c>
      <c r="AC144" s="9" t="s">
        <v>200</v>
      </c>
      <c r="AD144" s="9" t="s">
        <v>201</v>
      </c>
      <c r="AF144" s="327"/>
      <c r="AK144" s="311"/>
    </row>
    <row r="145" spans="2:37" s="11" customFormat="1" x14ac:dyDescent="0.3">
      <c r="B145" s="11" t="s">
        <v>29</v>
      </c>
      <c r="L145" s="13"/>
      <c r="M145" s="13"/>
      <c r="N145" s="124"/>
      <c r="O145" s="395">
        <f>O146+O182</f>
        <v>10605.122745560488</v>
      </c>
      <c r="P145" s="13">
        <f t="shared" ref="P145:X145" si="95">P146+P182</f>
        <v>4809.1767904958397</v>
      </c>
      <c r="Q145" s="13">
        <f t="shared" si="95"/>
        <v>3635.5931598607222</v>
      </c>
      <c r="R145" s="13">
        <f t="shared" si="95"/>
        <v>4321.2246441600219</v>
      </c>
      <c r="S145" s="13">
        <f t="shared" si="95"/>
        <v>4128.0001564271142</v>
      </c>
      <c r="T145" s="13">
        <f t="shared" si="95"/>
        <v>4068.8043941493852</v>
      </c>
      <c r="U145" s="13">
        <f t="shared" si="95"/>
        <v>4693.9055877551609</v>
      </c>
      <c r="V145" s="13">
        <f t="shared" si="95"/>
        <v>5556.8440840029434</v>
      </c>
      <c r="W145" s="13">
        <f t="shared" si="95"/>
        <v>5408.4484721513127</v>
      </c>
      <c r="X145" s="13">
        <f t="shared" si="95"/>
        <v>5283.9870877837193</v>
      </c>
      <c r="Y145" s="395">
        <f>Y146+Y182</f>
        <v>41905.984376786218</v>
      </c>
      <c r="Z145" s="326">
        <f>Z146+Z182</f>
        <v>52511.107122346708</v>
      </c>
      <c r="AA145" s="13">
        <f t="shared" ref="AA145:AD145" si="96">AA146+AA182</f>
        <v>48000.829126445729</v>
      </c>
      <c r="AB145" s="13">
        <f t="shared" si="96"/>
        <v>52173.483283722948</v>
      </c>
      <c r="AC145" s="13">
        <f t="shared" si="96"/>
        <v>55812.689790735312</v>
      </c>
      <c r="AD145" s="13">
        <f t="shared" si="96"/>
        <v>61789.765206033611</v>
      </c>
      <c r="AF145" s="327"/>
      <c r="AG145" s="322"/>
      <c r="AH145" s="151"/>
      <c r="AK145" s="311"/>
    </row>
    <row r="146" spans="2:37" x14ac:dyDescent="0.3">
      <c r="B146" s="11"/>
      <c r="C146" s="3" t="s">
        <v>239</v>
      </c>
      <c r="L146" s="16"/>
      <c r="M146" s="16"/>
      <c r="N146" s="15"/>
      <c r="O146" s="246">
        <f>O147+O179</f>
        <v>8471.143667486991</v>
      </c>
      <c r="P146" s="16">
        <f t="shared" ref="P146:X146" si="97">P147+P179</f>
        <v>4043.6124893171209</v>
      </c>
      <c r="Q146" s="16">
        <f t="shared" si="97"/>
        <v>2779.0801002754915</v>
      </c>
      <c r="R146" s="16">
        <f t="shared" si="97"/>
        <v>3284.0672659767793</v>
      </c>
      <c r="S146" s="16">
        <f t="shared" si="97"/>
        <v>3400.9144102464729</v>
      </c>
      <c r="T146" s="16">
        <f t="shared" si="97"/>
        <v>3196.7761354678273</v>
      </c>
      <c r="U146" s="16">
        <f t="shared" si="97"/>
        <v>4107.4439485005796</v>
      </c>
      <c r="V146" s="16">
        <f t="shared" si="97"/>
        <v>4248.225857290674</v>
      </c>
      <c r="W146" s="16">
        <f t="shared" si="97"/>
        <v>4588.7083576281639</v>
      </c>
      <c r="X146" s="16">
        <f t="shared" si="97"/>
        <v>4349.6344905738124</v>
      </c>
      <c r="Y146" s="246">
        <f>Y147+Y179</f>
        <v>33998.463055276923</v>
      </c>
      <c r="Z146" s="246">
        <f>Z147+Z179</f>
        <v>42469.606722763914</v>
      </c>
      <c r="AA146" s="16">
        <f t="shared" ref="AA146:AD146" si="98">AA147+AA179</f>
        <v>38604.516951735459</v>
      </c>
      <c r="AB146" s="16">
        <f t="shared" si="98"/>
        <v>42107.168368875151</v>
      </c>
      <c r="AC146" s="16">
        <f t="shared" si="98"/>
        <v>44585.821247356595</v>
      </c>
      <c r="AD146" s="16">
        <f t="shared" si="98"/>
        <v>49350.240898077725</v>
      </c>
      <c r="AF146" s="327"/>
      <c r="AH146" s="151"/>
      <c r="AI146" s="151"/>
      <c r="AJ146" s="16"/>
      <c r="AK146" s="311"/>
    </row>
    <row r="147" spans="2:37" x14ac:dyDescent="0.3">
      <c r="D147" s="3" t="s">
        <v>470</v>
      </c>
      <c r="L147" s="16"/>
      <c r="M147" s="16"/>
      <c r="N147" s="15"/>
      <c r="O147" s="246">
        <f>O148+O153+O158+O163+O168+O173</f>
        <v>8500.532568301991</v>
      </c>
      <c r="P147" s="16">
        <f t="shared" ref="P147:X147" si="99">P148+P153+P158+P163+P168+P173</f>
        <v>4043.6124893171209</v>
      </c>
      <c r="Q147" s="16">
        <f t="shared" si="99"/>
        <v>2779.0801002754915</v>
      </c>
      <c r="R147" s="16">
        <f t="shared" si="99"/>
        <v>3284.0672659767793</v>
      </c>
      <c r="S147" s="16">
        <f t="shared" si="99"/>
        <v>3400.9144102464729</v>
      </c>
      <c r="T147" s="16">
        <f t="shared" si="99"/>
        <v>3196.7761354678273</v>
      </c>
      <c r="U147" s="16">
        <f t="shared" si="99"/>
        <v>4107.4439485005796</v>
      </c>
      <c r="V147" s="16">
        <f t="shared" si="99"/>
        <v>4248.225857290674</v>
      </c>
      <c r="W147" s="16">
        <f t="shared" si="99"/>
        <v>4588.7083576281639</v>
      </c>
      <c r="X147" s="16">
        <f t="shared" si="99"/>
        <v>4349.6344905738124</v>
      </c>
      <c r="Y147" s="246">
        <f>Y148+Y153+Y158+Y163+Y168+Y173</f>
        <v>33998.463055276923</v>
      </c>
      <c r="Z147" s="246">
        <f>Z148+Z153+Z158+Z163+Z168+Z173</f>
        <v>42498.995623578914</v>
      </c>
      <c r="AA147" s="16">
        <f t="shared" ref="AA147:AD147" si="100">AA148+AA153+AA158+AA163+AA168+AA173</f>
        <v>38604.516951735459</v>
      </c>
      <c r="AB147" s="16">
        <f t="shared" si="100"/>
        <v>42107.168368875151</v>
      </c>
      <c r="AC147" s="16">
        <f t="shared" si="100"/>
        <v>44585.821247356595</v>
      </c>
      <c r="AD147" s="16">
        <f t="shared" si="100"/>
        <v>49350.240898077725</v>
      </c>
      <c r="AF147" s="327"/>
      <c r="AH147" s="151"/>
      <c r="AI147" s="151"/>
      <c r="AJ147" s="16"/>
      <c r="AK147" s="311"/>
    </row>
    <row r="148" spans="2:37" x14ac:dyDescent="0.3">
      <c r="E148" s="3" t="s">
        <v>146</v>
      </c>
      <c r="L148" s="16"/>
      <c r="M148" s="16"/>
      <c r="N148" s="15"/>
      <c r="O148" s="246">
        <v>0</v>
      </c>
      <c r="P148" s="16">
        <f t="shared" ref="P148:X148" si="101">P149*P152/10^6</f>
        <v>419.18383799999981</v>
      </c>
      <c r="Q148" s="16">
        <f t="shared" si="101"/>
        <v>0</v>
      </c>
      <c r="R148" s="16">
        <f t="shared" si="101"/>
        <v>0</v>
      </c>
      <c r="S148" s="16">
        <f t="shared" si="101"/>
        <v>206.58081699999991</v>
      </c>
      <c r="T148" s="16">
        <f t="shared" si="101"/>
        <v>206.58081699999991</v>
      </c>
      <c r="U148" s="16">
        <f t="shared" si="101"/>
        <v>206.58081699999991</v>
      </c>
      <c r="V148" s="16">
        <f t="shared" si="101"/>
        <v>0</v>
      </c>
      <c r="W148" s="16">
        <f t="shared" si="101"/>
        <v>201.79188349999993</v>
      </c>
      <c r="X148" s="16">
        <f t="shared" si="101"/>
        <v>201.79188349999993</v>
      </c>
      <c r="Y148" s="246">
        <f>SUM(P148:X148)</f>
        <v>1442.5100559999996</v>
      </c>
      <c r="Z148" s="246">
        <f>Y148+O148</f>
        <v>1442.5100559999996</v>
      </c>
      <c r="AA148" s="16">
        <f>AA149*AA152/10^6</f>
        <v>1369.1780536571619</v>
      </c>
      <c r="AB148" s="16">
        <f t="shared" ref="AB148:AD148" si="102">AB149*AB152/10^6</f>
        <v>1558.3317919779624</v>
      </c>
      <c r="AC148" s="16">
        <f t="shared" si="102"/>
        <v>1564.8671878779635</v>
      </c>
      <c r="AD148" s="16">
        <f t="shared" si="102"/>
        <v>2586.5230335591418</v>
      </c>
      <c r="AF148" s="327"/>
      <c r="AH148" s="151"/>
      <c r="AI148" s="151"/>
      <c r="AJ148" s="16"/>
      <c r="AK148" s="311"/>
    </row>
    <row r="149" spans="2:37" x14ac:dyDescent="0.3">
      <c r="F149" s="3" t="s">
        <v>510</v>
      </c>
      <c r="L149" s="16"/>
      <c r="M149" s="16"/>
      <c r="N149" s="15"/>
      <c r="O149" s="246">
        <v>0</v>
      </c>
      <c r="P149" s="16">
        <f t="shared" ref="P149:X149" si="103">P150*P151</f>
        <v>320329.99999999988</v>
      </c>
      <c r="Q149" s="16">
        <f t="shared" si="103"/>
        <v>0</v>
      </c>
      <c r="R149" s="16">
        <f t="shared" si="103"/>
        <v>0</v>
      </c>
      <c r="S149" s="16">
        <f t="shared" si="103"/>
        <v>160164.99999999994</v>
      </c>
      <c r="T149" s="16">
        <f t="shared" si="103"/>
        <v>160164.99999999994</v>
      </c>
      <c r="U149" s="16">
        <f t="shared" si="103"/>
        <v>160164.99999999994</v>
      </c>
      <c r="V149" s="16">
        <f t="shared" si="103"/>
        <v>0</v>
      </c>
      <c r="W149" s="16">
        <f t="shared" si="103"/>
        <v>160164.99999999994</v>
      </c>
      <c r="X149" s="16">
        <f t="shared" si="103"/>
        <v>160164.99999999994</v>
      </c>
      <c r="Y149" s="246">
        <f>SUM(P149:X149)</f>
        <v>1121154.9999999998</v>
      </c>
      <c r="Z149" s="246">
        <f>Y149+O149</f>
        <v>1121154.9999999998</v>
      </c>
      <c r="AA149" s="16">
        <f>AA150*AA151</f>
        <v>1127637.9951055525</v>
      </c>
      <c r="AB149" s="16">
        <f t="shared" ref="AB149:AD149" si="104">AB150*AB151</f>
        <v>1296664.8294041958</v>
      </c>
      <c r="AC149" s="16">
        <f t="shared" si="104"/>
        <v>1304817.1332260182</v>
      </c>
      <c r="AD149" s="16">
        <f t="shared" si="104"/>
        <v>2134094.9121775096</v>
      </c>
      <c r="AF149" s="327"/>
      <c r="AK149" s="311"/>
    </row>
    <row r="150" spans="2:37" x14ac:dyDescent="0.3">
      <c r="G150" s="3" t="s">
        <v>298</v>
      </c>
      <c r="L150" s="16"/>
      <c r="M150" s="16"/>
      <c r="N150" s="15"/>
      <c r="O150" s="246">
        <f>O46</f>
        <v>0</v>
      </c>
      <c r="P150" s="16">
        <f t="shared" ref="P150:X150" si="105">P46</f>
        <v>2</v>
      </c>
      <c r="Q150" s="16">
        <f t="shared" si="105"/>
        <v>0</v>
      </c>
      <c r="R150" s="16">
        <f t="shared" si="105"/>
        <v>0</v>
      </c>
      <c r="S150" s="16">
        <f t="shared" si="105"/>
        <v>1</v>
      </c>
      <c r="T150" s="16">
        <f t="shared" si="105"/>
        <v>1</v>
      </c>
      <c r="U150" s="16">
        <f t="shared" si="105"/>
        <v>1</v>
      </c>
      <c r="V150" s="16">
        <f t="shared" si="105"/>
        <v>0</v>
      </c>
      <c r="W150" s="16">
        <f t="shared" si="105"/>
        <v>1</v>
      </c>
      <c r="X150" s="16">
        <f t="shared" si="105"/>
        <v>1</v>
      </c>
      <c r="Y150" s="246">
        <f>SUM(P150:X150)</f>
        <v>7</v>
      </c>
      <c r="Z150" s="246">
        <f>Y150+O150</f>
        <v>7</v>
      </c>
      <c r="AA150" s="16">
        <f>AA46</f>
        <v>7</v>
      </c>
      <c r="AB150" s="16">
        <f>AB46</f>
        <v>8</v>
      </c>
      <c r="AC150" s="16">
        <f>AC46</f>
        <v>8</v>
      </c>
      <c r="AD150" s="16">
        <f>AD46</f>
        <v>13</v>
      </c>
      <c r="AF150" s="327"/>
      <c r="AK150" s="311"/>
    </row>
    <row r="151" spans="2:37" x14ac:dyDescent="0.3">
      <c r="G151" s="3" t="s">
        <v>511</v>
      </c>
      <c r="I151" s="262">
        <f>Z151/Z49</f>
        <v>0.78928894423696339</v>
      </c>
      <c r="L151" s="16"/>
      <c r="M151" s="16"/>
      <c r="N151" s="15"/>
      <c r="O151" s="246">
        <v>0</v>
      </c>
      <c r="P151" s="16">
        <v>160164.99999999994</v>
      </c>
      <c r="Q151" s="16">
        <v>160164.99999999994</v>
      </c>
      <c r="R151" s="16">
        <v>160164.99999999994</v>
      </c>
      <c r="S151" s="16">
        <v>160164.99999999994</v>
      </c>
      <c r="T151" s="16">
        <v>160164.99999999994</v>
      </c>
      <c r="U151" s="16">
        <v>160164.99999999994</v>
      </c>
      <c r="V151" s="16">
        <v>160164.99999999994</v>
      </c>
      <c r="W151" s="16">
        <v>160164.99999999994</v>
      </c>
      <c r="X151" s="16">
        <v>160164.99999999994</v>
      </c>
      <c r="Y151" s="246">
        <f>Y149/Y150</f>
        <v>160164.99999999997</v>
      </c>
      <c r="Z151" s="246">
        <f>Z149/Z150</f>
        <v>160164.99999999997</v>
      </c>
      <c r="AA151" s="16">
        <f>AA49*$I151</f>
        <v>161091.14215793606</v>
      </c>
      <c r="AB151" s="16">
        <f>AB49*$I151</f>
        <v>162083.10367552447</v>
      </c>
      <c r="AC151" s="16">
        <f>AC49*$I151</f>
        <v>163102.14165325227</v>
      </c>
      <c r="AD151" s="16">
        <f>AD49*$I151</f>
        <v>164161.14709057767</v>
      </c>
      <c r="AF151" s="327"/>
      <c r="AK151" s="311"/>
    </row>
    <row r="152" spans="2:37" x14ac:dyDescent="0.3">
      <c r="F152" s="3" t="s">
        <v>333</v>
      </c>
      <c r="L152" s="16"/>
      <c r="M152" s="16"/>
      <c r="N152" s="15"/>
      <c r="O152" s="246">
        <v>0</v>
      </c>
      <c r="P152" s="16">
        <f t="shared" ref="P152:X152" si="106">P$297</f>
        <v>1308.5999999999999</v>
      </c>
      <c r="Q152" s="16">
        <f t="shared" si="106"/>
        <v>1308.5999999999999</v>
      </c>
      <c r="R152" s="16">
        <f t="shared" si="106"/>
        <v>1308.5999999999999</v>
      </c>
      <c r="S152" s="16">
        <f t="shared" si="106"/>
        <v>1289.8</v>
      </c>
      <c r="T152" s="16">
        <f t="shared" si="106"/>
        <v>1289.8</v>
      </c>
      <c r="U152" s="16">
        <f t="shared" si="106"/>
        <v>1289.8</v>
      </c>
      <c r="V152" s="16">
        <f t="shared" si="106"/>
        <v>1259.9000000000001</v>
      </c>
      <c r="W152" s="16">
        <f t="shared" si="106"/>
        <v>1259.9000000000001</v>
      </c>
      <c r="X152" s="16">
        <f t="shared" si="106"/>
        <v>1259.9000000000001</v>
      </c>
      <c r="Y152" s="246">
        <f>Y148/Y149*10^6</f>
        <v>1286.6285714285714</v>
      </c>
      <c r="Z152" s="246">
        <f>Z148/Z149*10^6</f>
        <v>1286.6285714285714</v>
      </c>
      <c r="AA152" s="16">
        <f>AA$297</f>
        <v>1214.2</v>
      </c>
      <c r="AB152" s="16">
        <f>AB$297</f>
        <v>1201.8</v>
      </c>
      <c r="AC152" s="16">
        <f>AC$297</f>
        <v>1199.3</v>
      </c>
      <c r="AD152" s="16">
        <f>AD$297</f>
        <v>1212</v>
      </c>
      <c r="AF152" s="327"/>
      <c r="AK152" s="311"/>
    </row>
    <row r="153" spans="2:37" x14ac:dyDescent="0.3">
      <c r="E153" s="3" t="s">
        <v>147</v>
      </c>
      <c r="L153" s="16"/>
      <c r="M153" s="16"/>
      <c r="N153" s="15"/>
      <c r="O153" s="246">
        <v>4324.303432981993</v>
      </c>
      <c r="P153" s="16">
        <f t="shared" ref="P153:X153" si="107">P154*P157/10^6</f>
        <v>2057.9638961882806</v>
      </c>
      <c r="Q153" s="16">
        <f t="shared" si="107"/>
        <v>1694.7937968609372</v>
      </c>
      <c r="R153" s="16">
        <f t="shared" si="107"/>
        <v>1694.7937968609372</v>
      </c>
      <c r="S153" s="16">
        <f t="shared" si="107"/>
        <v>2386.3507774843747</v>
      </c>
      <c r="T153" s="16">
        <f t="shared" si="107"/>
        <v>2147.7156997359371</v>
      </c>
      <c r="U153" s="16">
        <f t="shared" si="107"/>
        <v>2744.3033941070303</v>
      </c>
      <c r="V153" s="16">
        <f t="shared" si="107"/>
        <v>3030.339857278906</v>
      </c>
      <c r="W153" s="16">
        <f t="shared" si="107"/>
        <v>2214.4791264730466</v>
      </c>
      <c r="X153" s="16">
        <f t="shared" si="107"/>
        <v>2331.0306594453127</v>
      </c>
      <c r="Y153" s="246">
        <f>SUM(P153:X153)</f>
        <v>20301.771004434762</v>
      </c>
      <c r="Z153" s="246">
        <f>Y153+O153</f>
        <v>24626.074437416755</v>
      </c>
      <c r="AA153" s="16">
        <f>AA154*AA157/10^6</f>
        <v>24060.737512181968</v>
      </c>
      <c r="AB153" s="16">
        <f t="shared" ref="AB153:AD153" si="108">AB154*AB157/10^6</f>
        <v>26062.202890261709</v>
      </c>
      <c r="AC153" s="16">
        <f t="shared" si="108"/>
        <v>27514.986528725043</v>
      </c>
      <c r="AD153" s="16">
        <f t="shared" si="108"/>
        <v>29123.485066632162</v>
      </c>
      <c r="AF153" s="327"/>
      <c r="AH153" s="151"/>
      <c r="AI153" s="151"/>
      <c r="AJ153" s="16"/>
      <c r="AK153" s="311"/>
    </row>
    <row r="154" spans="2:37" x14ac:dyDescent="0.3">
      <c r="F154" s="3" t="s">
        <v>510</v>
      </c>
      <c r="L154" s="16"/>
      <c r="M154" s="16"/>
      <c r="N154" s="15"/>
      <c r="O154" s="246">
        <v>3255149.5599999945</v>
      </c>
      <c r="P154" s="16">
        <f t="shared" ref="P154:X154" si="109">P155*P156</f>
        <v>1572645.4960937498</v>
      </c>
      <c r="Q154" s="16">
        <f t="shared" si="109"/>
        <v>1295119.8203124998</v>
      </c>
      <c r="R154" s="16">
        <f t="shared" si="109"/>
        <v>1295119.8203124998</v>
      </c>
      <c r="S154" s="16">
        <f t="shared" si="109"/>
        <v>1850171.1718749998</v>
      </c>
      <c r="T154" s="16">
        <f t="shared" si="109"/>
        <v>1665154.0546874998</v>
      </c>
      <c r="U154" s="16">
        <f t="shared" si="109"/>
        <v>2127696.8476562495</v>
      </c>
      <c r="V154" s="16">
        <f t="shared" si="109"/>
        <v>2405222.5234374995</v>
      </c>
      <c r="W154" s="16">
        <f t="shared" si="109"/>
        <v>1757662.6132812498</v>
      </c>
      <c r="X154" s="16">
        <f t="shared" si="109"/>
        <v>1850171.1718749998</v>
      </c>
      <c r="Y154" s="246">
        <f>SUM(P154:X154)</f>
        <v>15818963.519531248</v>
      </c>
      <c r="Z154" s="246">
        <f>Y154+O154</f>
        <v>19074113.079531241</v>
      </c>
      <c r="AA154" s="16">
        <f>AA155*AA156</f>
        <v>19816123.795241285</v>
      </c>
      <c r="AB154" s="16">
        <f t="shared" ref="AB154:AD154" si="110">AB155*AB156</f>
        <v>21685973.448378857</v>
      </c>
      <c r="AC154" s="16">
        <f t="shared" si="110"/>
        <v>22942538.588113938</v>
      </c>
      <c r="AD154" s="16">
        <f t="shared" si="110"/>
        <v>24029278.107782312</v>
      </c>
      <c r="AF154" s="327"/>
      <c r="AK154" s="311"/>
    </row>
    <row r="155" spans="2:37" x14ac:dyDescent="0.3">
      <c r="G155" s="3" t="s">
        <v>298</v>
      </c>
      <c r="L155" s="16"/>
      <c r="M155" s="16"/>
      <c r="N155" s="15"/>
      <c r="O155" s="246">
        <f>O53</f>
        <v>39</v>
      </c>
      <c r="P155" s="16">
        <f t="shared" ref="P155:X155" si="111">P53</f>
        <v>17</v>
      </c>
      <c r="Q155" s="16">
        <f t="shared" si="111"/>
        <v>14</v>
      </c>
      <c r="R155" s="16">
        <f t="shared" si="111"/>
        <v>14</v>
      </c>
      <c r="S155" s="16">
        <f t="shared" si="111"/>
        <v>20</v>
      </c>
      <c r="T155" s="16">
        <f t="shared" si="111"/>
        <v>18</v>
      </c>
      <c r="U155" s="16">
        <f t="shared" si="111"/>
        <v>23</v>
      </c>
      <c r="V155" s="16">
        <f t="shared" si="111"/>
        <v>26</v>
      </c>
      <c r="W155" s="16">
        <f t="shared" si="111"/>
        <v>19</v>
      </c>
      <c r="X155" s="16">
        <f t="shared" si="111"/>
        <v>20</v>
      </c>
      <c r="Y155" s="246">
        <f>SUM(P155:X155)</f>
        <v>171</v>
      </c>
      <c r="Z155" s="246">
        <f>Y155+O155</f>
        <v>210</v>
      </c>
      <c r="AA155" s="16">
        <f>AA53</f>
        <v>217</v>
      </c>
      <c r="AB155" s="16">
        <f>AB53</f>
        <v>236</v>
      </c>
      <c r="AC155" s="16">
        <f>AC53</f>
        <v>248</v>
      </c>
      <c r="AD155" s="16">
        <f>AD53</f>
        <v>258</v>
      </c>
      <c r="AF155" s="327"/>
      <c r="AK155" s="311"/>
    </row>
    <row r="156" spans="2:37" x14ac:dyDescent="0.3">
      <c r="G156" s="3" t="s">
        <v>511</v>
      </c>
      <c r="I156" s="262">
        <f>Z156/Z56</f>
        <v>0.81539618216172416</v>
      </c>
      <c r="L156" s="16"/>
      <c r="M156" s="16"/>
      <c r="N156" s="15"/>
      <c r="O156" s="246">
        <f>O154/O155</f>
        <v>83465.373333333191</v>
      </c>
      <c r="P156" s="16">
        <v>92508.558593749985</v>
      </c>
      <c r="Q156" s="16">
        <v>92508.558593749985</v>
      </c>
      <c r="R156" s="16">
        <v>92508.558593749985</v>
      </c>
      <c r="S156" s="16">
        <v>92508.558593749985</v>
      </c>
      <c r="T156" s="16">
        <v>92508.558593749985</v>
      </c>
      <c r="U156" s="16">
        <v>92508.558593749985</v>
      </c>
      <c r="V156" s="16">
        <v>92508.558593749985</v>
      </c>
      <c r="W156" s="16">
        <v>92508.558593749985</v>
      </c>
      <c r="X156" s="16">
        <v>92508.558593749985</v>
      </c>
      <c r="Y156" s="246">
        <f>Y154/Y155</f>
        <v>92508.558593749985</v>
      </c>
      <c r="Z156" s="246">
        <f>Z154/Z155</f>
        <v>90829.109902529715</v>
      </c>
      <c r="AA156" s="16">
        <f>AA56*$I156</f>
        <v>91318.542835213302</v>
      </c>
      <c r="AB156" s="16">
        <f>AB56*$I156</f>
        <v>91889.718001605332</v>
      </c>
      <c r="AC156" s="16">
        <f>AC56*$I156</f>
        <v>92510.236242394909</v>
      </c>
      <c r="AD156" s="16">
        <f>AD56*$I156</f>
        <v>93136.736851869427</v>
      </c>
      <c r="AF156" s="327"/>
      <c r="AK156" s="311"/>
    </row>
    <row r="157" spans="2:37" x14ac:dyDescent="0.3">
      <c r="F157" s="3" t="s">
        <v>333</v>
      </c>
      <c r="L157" s="16"/>
      <c r="M157" s="16"/>
      <c r="N157" s="15"/>
      <c r="O157" s="246">
        <f>O153/O154*10^6</f>
        <v>1328.45</v>
      </c>
      <c r="P157" s="16">
        <f t="shared" ref="P157:X157" si="112">P$297</f>
        <v>1308.5999999999999</v>
      </c>
      <c r="Q157" s="16">
        <f t="shared" si="112"/>
        <v>1308.5999999999999</v>
      </c>
      <c r="R157" s="16">
        <f t="shared" si="112"/>
        <v>1308.5999999999999</v>
      </c>
      <c r="S157" s="16">
        <f t="shared" si="112"/>
        <v>1289.8</v>
      </c>
      <c r="T157" s="16">
        <f t="shared" si="112"/>
        <v>1289.8</v>
      </c>
      <c r="U157" s="16">
        <f t="shared" si="112"/>
        <v>1289.8</v>
      </c>
      <c r="V157" s="16">
        <f t="shared" si="112"/>
        <v>1259.9000000000001</v>
      </c>
      <c r="W157" s="16">
        <f t="shared" si="112"/>
        <v>1259.9000000000001</v>
      </c>
      <c r="X157" s="16">
        <f t="shared" si="112"/>
        <v>1259.9000000000001</v>
      </c>
      <c r="Y157" s="246">
        <f>Y153/Y154*10^6</f>
        <v>1283.3818713450291</v>
      </c>
      <c r="Z157" s="246">
        <f>Z153/Z154*10^6</f>
        <v>1291.0731070292027</v>
      </c>
      <c r="AA157" s="16">
        <f>AA$297</f>
        <v>1214.2</v>
      </c>
      <c r="AB157" s="16">
        <f>AB$297</f>
        <v>1201.8</v>
      </c>
      <c r="AC157" s="16">
        <f>AC$297</f>
        <v>1199.3</v>
      </c>
      <c r="AD157" s="16">
        <f>AD$297</f>
        <v>1212</v>
      </c>
      <c r="AF157" s="327"/>
      <c r="AK157" s="311"/>
    </row>
    <row r="158" spans="2:37" x14ac:dyDescent="0.3">
      <c r="E158" s="3" t="s">
        <v>148</v>
      </c>
      <c r="L158" s="16"/>
      <c r="M158" s="16"/>
      <c r="N158" s="15"/>
      <c r="O158" s="246">
        <v>1141.3664987354991</v>
      </c>
      <c r="P158" s="16">
        <f t="shared" ref="P158:X158" si="113">P159*P162/10^6</f>
        <v>422.39257861224485</v>
      </c>
      <c r="Q158" s="16">
        <f t="shared" si="113"/>
        <v>422.39257861224485</v>
      </c>
      <c r="R158" s="16">
        <f t="shared" si="113"/>
        <v>527.99072326530609</v>
      </c>
      <c r="S158" s="16">
        <f t="shared" si="113"/>
        <v>416.32427624489787</v>
      </c>
      <c r="T158" s="16">
        <f t="shared" si="113"/>
        <v>312.24320718367346</v>
      </c>
      <c r="U158" s="16">
        <f t="shared" si="113"/>
        <v>520.4053453061224</v>
      </c>
      <c r="V158" s="16">
        <f t="shared" si="113"/>
        <v>406.67309322448983</v>
      </c>
      <c r="W158" s="16">
        <f t="shared" si="113"/>
        <v>508.34136653061228</v>
      </c>
      <c r="X158" s="16">
        <f t="shared" si="113"/>
        <v>508.34136653061228</v>
      </c>
      <c r="Y158" s="246">
        <f>SUM(P158:X158)</f>
        <v>4045.1045355102042</v>
      </c>
      <c r="Z158" s="246">
        <f>Y158+O158</f>
        <v>5186.4710342457038</v>
      </c>
      <c r="AA158" s="16">
        <f>AA159*AA162/10^6</f>
        <v>5090.0126781236277</v>
      </c>
      <c r="AB158" s="16">
        <f t="shared" ref="AB158:AD158" si="114">AB159*AB162/10^6</f>
        <v>5650.9153824823316</v>
      </c>
      <c r="AC158" s="16">
        <f t="shared" si="114"/>
        <v>6358.533918085348</v>
      </c>
      <c r="AD158" s="16">
        <f t="shared" si="114"/>
        <v>7557.1107982005724</v>
      </c>
      <c r="AF158" s="327"/>
      <c r="AH158" s="151"/>
      <c r="AI158" s="151"/>
      <c r="AJ158" s="16"/>
      <c r="AK158" s="311"/>
    </row>
    <row r="159" spans="2:37" x14ac:dyDescent="0.3">
      <c r="F159" s="3" t="s">
        <v>510</v>
      </c>
      <c r="L159" s="16"/>
      <c r="M159" s="16"/>
      <c r="N159" s="15"/>
      <c r="O159" s="246">
        <v>859171.58999999939</v>
      </c>
      <c r="P159" s="16">
        <f t="shared" ref="P159:X159" si="115">P160*P161</f>
        <v>322782.04081632651</v>
      </c>
      <c r="Q159" s="16">
        <f t="shared" si="115"/>
        <v>322782.04081632651</v>
      </c>
      <c r="R159" s="16">
        <f t="shared" si="115"/>
        <v>403477.55102040817</v>
      </c>
      <c r="S159" s="16">
        <f t="shared" si="115"/>
        <v>322782.04081632651</v>
      </c>
      <c r="T159" s="16">
        <f t="shared" si="115"/>
        <v>242086.53061224488</v>
      </c>
      <c r="U159" s="16">
        <f t="shared" si="115"/>
        <v>403477.55102040817</v>
      </c>
      <c r="V159" s="16">
        <f t="shared" si="115"/>
        <v>322782.04081632651</v>
      </c>
      <c r="W159" s="16">
        <f t="shared" si="115"/>
        <v>403477.55102040817</v>
      </c>
      <c r="X159" s="16">
        <f t="shared" si="115"/>
        <v>403477.55102040817</v>
      </c>
      <c r="Y159" s="246">
        <f>SUM(P159:X159)</f>
        <v>3147124.8979591839</v>
      </c>
      <c r="Z159" s="246">
        <f>Y159+O159</f>
        <v>4006296.4879591833</v>
      </c>
      <c r="AA159" s="16">
        <f>AA160*AA161</f>
        <v>4192071.057588229</v>
      </c>
      <c r="AB159" s="16">
        <f t="shared" ref="AB159:AD159" si="116">AB160*AB161</f>
        <v>4702043.0874374537</v>
      </c>
      <c r="AC159" s="16">
        <f t="shared" si="116"/>
        <v>5301871.0231679715</v>
      </c>
      <c r="AD159" s="16">
        <f t="shared" si="116"/>
        <v>6235239.9325087229</v>
      </c>
      <c r="AF159" s="327"/>
      <c r="AK159" s="311"/>
    </row>
    <row r="160" spans="2:37" x14ac:dyDescent="0.3">
      <c r="G160" s="3" t="s">
        <v>298</v>
      </c>
      <c r="L160" s="16"/>
      <c r="M160" s="16"/>
      <c r="N160" s="15"/>
      <c r="O160" s="246">
        <f>O60</f>
        <v>12</v>
      </c>
      <c r="P160" s="16">
        <f t="shared" ref="P160:X160" si="117">P60</f>
        <v>4</v>
      </c>
      <c r="Q160" s="16">
        <f t="shared" si="117"/>
        <v>4</v>
      </c>
      <c r="R160" s="16">
        <f t="shared" si="117"/>
        <v>5</v>
      </c>
      <c r="S160" s="16">
        <f t="shared" si="117"/>
        <v>4</v>
      </c>
      <c r="T160" s="16">
        <f t="shared" si="117"/>
        <v>3</v>
      </c>
      <c r="U160" s="16">
        <f t="shared" si="117"/>
        <v>5</v>
      </c>
      <c r="V160" s="16">
        <f t="shared" si="117"/>
        <v>4</v>
      </c>
      <c r="W160" s="16">
        <f t="shared" si="117"/>
        <v>5</v>
      </c>
      <c r="X160" s="16">
        <f t="shared" si="117"/>
        <v>5</v>
      </c>
      <c r="Y160" s="246">
        <f>SUM(P160:X160)</f>
        <v>39</v>
      </c>
      <c r="Z160" s="246">
        <f>Y160+O160</f>
        <v>51</v>
      </c>
      <c r="AA160" s="16">
        <f>AA60</f>
        <v>53</v>
      </c>
      <c r="AB160" s="16">
        <f>AB60</f>
        <v>59</v>
      </c>
      <c r="AC160" s="16">
        <f>AC60</f>
        <v>66</v>
      </c>
      <c r="AD160" s="16">
        <f>AD60</f>
        <v>77</v>
      </c>
      <c r="AF160" s="327"/>
      <c r="AK160" s="311"/>
    </row>
    <row r="161" spans="5:37" x14ac:dyDescent="0.3">
      <c r="G161" s="3" t="s">
        <v>511</v>
      </c>
      <c r="I161" s="262">
        <f>Z161/Z63</f>
        <v>0.81076840769104563</v>
      </c>
      <c r="L161" s="16"/>
      <c r="M161" s="16"/>
      <c r="N161" s="15"/>
      <c r="O161" s="246">
        <f>O159/O160</f>
        <v>71597.632499999949</v>
      </c>
      <c r="P161" s="16">
        <v>80695.510204081627</v>
      </c>
      <c r="Q161" s="16">
        <v>80695.510204081627</v>
      </c>
      <c r="R161" s="16">
        <v>80695.510204081627</v>
      </c>
      <c r="S161" s="16">
        <v>80695.510204081627</v>
      </c>
      <c r="T161" s="16">
        <v>80695.510204081627</v>
      </c>
      <c r="U161" s="16">
        <v>80695.510204081627</v>
      </c>
      <c r="V161" s="16">
        <v>80695.510204081627</v>
      </c>
      <c r="W161" s="16">
        <v>80695.510204081627</v>
      </c>
      <c r="X161" s="16">
        <v>80695.510204081627</v>
      </c>
      <c r="Y161" s="246">
        <f>Y159/Y160</f>
        <v>80695.510204081642</v>
      </c>
      <c r="Z161" s="246">
        <f>Z159/Z160</f>
        <v>78554.833097238894</v>
      </c>
      <c r="AA161" s="16">
        <f>AA63*$I161</f>
        <v>79095.680331853378</v>
      </c>
      <c r="AB161" s="16">
        <f>AB63*$I161</f>
        <v>79695.645549787354</v>
      </c>
      <c r="AC161" s="16">
        <f>AC63*$I161</f>
        <v>80331.379138908655</v>
      </c>
      <c r="AD161" s="16">
        <f>AD63*$I161</f>
        <v>80977.141980632761</v>
      </c>
      <c r="AF161" s="327"/>
      <c r="AK161" s="311"/>
    </row>
    <row r="162" spans="5:37" x14ac:dyDescent="0.3">
      <c r="F162" s="3" t="s">
        <v>333</v>
      </c>
      <c r="L162" s="16"/>
      <c r="M162" s="16"/>
      <c r="N162" s="15"/>
      <c r="O162" s="246">
        <f>O158/O159*10^6</f>
        <v>1328.4499999999998</v>
      </c>
      <c r="P162" s="16">
        <f t="shared" ref="P162:X162" si="118">P$297</f>
        <v>1308.5999999999999</v>
      </c>
      <c r="Q162" s="16">
        <f t="shared" si="118"/>
        <v>1308.5999999999999</v>
      </c>
      <c r="R162" s="16">
        <f t="shared" si="118"/>
        <v>1308.5999999999999</v>
      </c>
      <c r="S162" s="16">
        <f t="shared" si="118"/>
        <v>1289.8</v>
      </c>
      <c r="T162" s="16">
        <f t="shared" si="118"/>
        <v>1289.8</v>
      </c>
      <c r="U162" s="16">
        <f t="shared" si="118"/>
        <v>1289.8</v>
      </c>
      <c r="V162" s="16">
        <f t="shared" si="118"/>
        <v>1259.9000000000001</v>
      </c>
      <c r="W162" s="16">
        <f t="shared" si="118"/>
        <v>1259.9000000000001</v>
      </c>
      <c r="X162" s="16">
        <f t="shared" si="118"/>
        <v>1259.9000000000001</v>
      </c>
      <c r="Y162" s="246">
        <f>Y158/Y159*10^6</f>
        <v>1285.3333333333333</v>
      </c>
      <c r="Z162" s="246">
        <f>Z158/Z159*10^6</f>
        <v>1294.5799318231948</v>
      </c>
      <c r="AA162" s="16">
        <f>AA$297</f>
        <v>1214.2</v>
      </c>
      <c r="AB162" s="16">
        <f>AB$297</f>
        <v>1201.8</v>
      </c>
      <c r="AC162" s="16">
        <f>AC$297</f>
        <v>1199.3</v>
      </c>
      <c r="AD162" s="16">
        <f>AD$297</f>
        <v>1212</v>
      </c>
      <c r="AF162" s="327"/>
      <c r="AK162" s="311"/>
    </row>
    <row r="163" spans="5:37" x14ac:dyDescent="0.3">
      <c r="E163" s="3" t="s">
        <v>149</v>
      </c>
      <c r="L163" s="16"/>
      <c r="M163" s="16"/>
      <c r="N163" s="15"/>
      <c r="O163" s="246">
        <v>1103.1564109460001</v>
      </c>
      <c r="P163" s="16">
        <f t="shared" ref="P163:X163" si="119">P164*P167/10^6</f>
        <v>694.75078889999998</v>
      </c>
      <c r="Q163" s="16">
        <f t="shared" si="119"/>
        <v>347.37539444999999</v>
      </c>
      <c r="R163" s="16">
        <f t="shared" si="119"/>
        <v>694.75078889999998</v>
      </c>
      <c r="S163" s="16">
        <f t="shared" si="119"/>
        <v>0</v>
      </c>
      <c r="T163" s="16">
        <f t="shared" si="119"/>
        <v>0</v>
      </c>
      <c r="U163" s="16">
        <f t="shared" si="119"/>
        <v>0</v>
      </c>
      <c r="V163" s="16">
        <f t="shared" si="119"/>
        <v>0</v>
      </c>
      <c r="W163" s="16">
        <f t="shared" si="119"/>
        <v>668.89539884999999</v>
      </c>
      <c r="X163" s="16">
        <f t="shared" si="119"/>
        <v>334.447699425</v>
      </c>
      <c r="Y163" s="246">
        <f>SUM(P163:X163)</f>
        <v>2740.2200705249998</v>
      </c>
      <c r="Z163" s="246">
        <f>Y163+O163</f>
        <v>3843.3764814709998</v>
      </c>
      <c r="AA163" s="16">
        <f>AA164*AA167/10^6</f>
        <v>3609.7259686275138</v>
      </c>
      <c r="AB163" s="16">
        <f t="shared" ref="AB163:AD163" si="120">AB164*AB167/10^6</f>
        <v>3925.3905653936317</v>
      </c>
      <c r="AC163" s="16">
        <f t="shared" si="120"/>
        <v>3945.995172740103</v>
      </c>
      <c r="AD163" s="16">
        <f t="shared" si="120"/>
        <v>4353.7309415017307</v>
      </c>
      <c r="AF163" s="327"/>
      <c r="AH163" s="151"/>
      <c r="AI163" s="151"/>
      <c r="AJ163" s="16"/>
      <c r="AK163" s="311"/>
    </row>
    <row r="164" spans="5:37" x14ac:dyDescent="0.3">
      <c r="F164" s="3" t="s">
        <v>510</v>
      </c>
      <c r="L164" s="16"/>
      <c r="M164" s="16"/>
      <c r="N164" s="15"/>
      <c r="O164" s="246">
        <v>830408.67999999993</v>
      </c>
      <c r="P164" s="16">
        <f t="shared" ref="P164:X164" si="121">P165*P166</f>
        <v>530911.5</v>
      </c>
      <c r="Q164" s="16">
        <f t="shared" si="121"/>
        <v>265455.75</v>
      </c>
      <c r="R164" s="16">
        <f t="shared" si="121"/>
        <v>530911.5</v>
      </c>
      <c r="S164" s="16">
        <f t="shared" si="121"/>
        <v>0</v>
      </c>
      <c r="T164" s="16">
        <f t="shared" si="121"/>
        <v>0</v>
      </c>
      <c r="U164" s="16">
        <f t="shared" si="121"/>
        <v>0</v>
      </c>
      <c r="V164" s="16">
        <f t="shared" si="121"/>
        <v>0</v>
      </c>
      <c r="W164" s="16">
        <f t="shared" si="121"/>
        <v>530911.5</v>
      </c>
      <c r="X164" s="16">
        <f t="shared" si="121"/>
        <v>265455.75</v>
      </c>
      <c r="Y164" s="246">
        <f>SUM(P164:X164)</f>
        <v>2123646</v>
      </c>
      <c r="Z164" s="246">
        <f>Y164+O164</f>
        <v>2954054.6799999997</v>
      </c>
      <c r="AA164" s="16">
        <f>AA165*AA166</f>
        <v>2972925.3571302206</v>
      </c>
      <c r="AB164" s="16">
        <f t="shared" ref="AB164:AD164" si="122">AB165*AB166</f>
        <v>3266259.4153716359</v>
      </c>
      <c r="AC164" s="16">
        <f t="shared" si="122"/>
        <v>3290248.6223131022</v>
      </c>
      <c r="AD164" s="16">
        <f t="shared" si="122"/>
        <v>3592187.2454634742</v>
      </c>
      <c r="AF164" s="327"/>
      <c r="AK164" s="311"/>
    </row>
    <row r="165" spans="5:37" x14ac:dyDescent="0.3">
      <c r="G165" s="3" t="s">
        <v>298</v>
      </c>
      <c r="L165" s="16"/>
      <c r="M165" s="16"/>
      <c r="N165" s="15"/>
      <c r="O165" s="246">
        <f>O67</f>
        <v>3</v>
      </c>
      <c r="P165" s="16">
        <f t="shared" ref="P165:X165" si="123">P67</f>
        <v>2</v>
      </c>
      <c r="Q165" s="16">
        <f t="shared" si="123"/>
        <v>1</v>
      </c>
      <c r="R165" s="16">
        <f t="shared" si="123"/>
        <v>2</v>
      </c>
      <c r="S165" s="16">
        <f t="shared" si="123"/>
        <v>0</v>
      </c>
      <c r="T165" s="16">
        <f t="shared" si="123"/>
        <v>0</v>
      </c>
      <c r="U165" s="16">
        <f t="shared" si="123"/>
        <v>0</v>
      </c>
      <c r="V165" s="16">
        <f t="shared" si="123"/>
        <v>0</v>
      </c>
      <c r="W165" s="16">
        <f t="shared" si="123"/>
        <v>2</v>
      </c>
      <c r="X165" s="16">
        <f t="shared" si="123"/>
        <v>1</v>
      </c>
      <c r="Y165" s="246">
        <f>SUM(P165:X165)</f>
        <v>8</v>
      </c>
      <c r="Z165" s="246">
        <f>Y165+O165</f>
        <v>11</v>
      </c>
      <c r="AA165" s="16">
        <f>AA67</f>
        <v>11</v>
      </c>
      <c r="AB165" s="16">
        <f>AB67</f>
        <v>12</v>
      </c>
      <c r="AC165" s="16">
        <f>AC67</f>
        <v>12</v>
      </c>
      <c r="AD165" s="16">
        <f>AD67</f>
        <v>13</v>
      </c>
      <c r="AF165" s="327"/>
      <c r="AK165" s="311"/>
    </row>
    <row r="166" spans="5:37" x14ac:dyDescent="0.3">
      <c r="G166" s="3" t="s">
        <v>511</v>
      </c>
      <c r="I166" s="262">
        <f>Z166/Z70</f>
        <v>0.83497821307803488</v>
      </c>
      <c r="L166" s="16"/>
      <c r="M166" s="16"/>
      <c r="N166" s="15"/>
      <c r="O166" s="246">
        <f>O164/O165</f>
        <v>276802.89333333331</v>
      </c>
      <c r="P166" s="16">
        <v>265455.75</v>
      </c>
      <c r="Q166" s="16">
        <v>265455.75</v>
      </c>
      <c r="R166" s="16">
        <v>265455.75</v>
      </c>
      <c r="S166" s="16">
        <v>265455.75</v>
      </c>
      <c r="T166" s="16">
        <v>265455.75</v>
      </c>
      <c r="U166" s="16">
        <v>265455.75</v>
      </c>
      <c r="V166" s="16">
        <v>265455.75</v>
      </c>
      <c r="W166" s="16">
        <v>265455.75</v>
      </c>
      <c r="X166" s="16">
        <v>265455.75</v>
      </c>
      <c r="Y166" s="246">
        <f>Y164/Y165</f>
        <v>265455.75</v>
      </c>
      <c r="Z166" s="246">
        <f>Z164/Z165</f>
        <v>268550.42545454542</v>
      </c>
      <c r="AA166" s="16">
        <f>AA70*$I166</f>
        <v>270265.94155729277</v>
      </c>
      <c r="AB166" s="16">
        <f>AB70*$I166</f>
        <v>272188.28461430297</v>
      </c>
      <c r="AC166" s="16">
        <f>AC70*$I166</f>
        <v>274187.38519275852</v>
      </c>
      <c r="AD166" s="16">
        <f>AD70*$I166</f>
        <v>276322.09580488264</v>
      </c>
      <c r="AF166" s="327"/>
      <c r="AK166" s="311"/>
    </row>
    <row r="167" spans="5:37" x14ac:dyDescent="0.3">
      <c r="F167" s="3" t="s">
        <v>333</v>
      </c>
      <c r="L167" s="16"/>
      <c r="M167" s="16"/>
      <c r="N167" s="15"/>
      <c r="O167" s="246">
        <f>O163/O164*10^6</f>
        <v>1328.45</v>
      </c>
      <c r="P167" s="16">
        <f t="shared" ref="P167:X167" si="124">P$297</f>
        <v>1308.5999999999999</v>
      </c>
      <c r="Q167" s="16">
        <f t="shared" si="124"/>
        <v>1308.5999999999999</v>
      </c>
      <c r="R167" s="16">
        <f t="shared" si="124"/>
        <v>1308.5999999999999</v>
      </c>
      <c r="S167" s="16">
        <f t="shared" si="124"/>
        <v>1289.8</v>
      </c>
      <c r="T167" s="16">
        <f t="shared" si="124"/>
        <v>1289.8</v>
      </c>
      <c r="U167" s="16">
        <f t="shared" si="124"/>
        <v>1289.8</v>
      </c>
      <c r="V167" s="16">
        <f t="shared" si="124"/>
        <v>1259.9000000000001</v>
      </c>
      <c r="W167" s="16">
        <f t="shared" si="124"/>
        <v>1259.9000000000001</v>
      </c>
      <c r="X167" s="16">
        <f t="shared" si="124"/>
        <v>1259.9000000000001</v>
      </c>
      <c r="Y167" s="246">
        <f>Y163/Y164*10^6</f>
        <v>1290.3374999999999</v>
      </c>
      <c r="Z167" s="246">
        <f>Z163/Z164*10^6</f>
        <v>1301.0512322239749</v>
      </c>
      <c r="AA167" s="16">
        <f>AA$297</f>
        <v>1214.2</v>
      </c>
      <c r="AB167" s="16">
        <f>AB$297</f>
        <v>1201.8</v>
      </c>
      <c r="AC167" s="16">
        <f>AC$297</f>
        <v>1199.3</v>
      </c>
      <c r="AD167" s="16">
        <f>AD$297</f>
        <v>1212</v>
      </c>
      <c r="AF167" s="327"/>
      <c r="AK167" s="311"/>
    </row>
    <row r="168" spans="5:37" x14ac:dyDescent="0.3">
      <c r="E168" s="3" t="s">
        <v>150</v>
      </c>
      <c r="L168" s="16"/>
      <c r="M168" s="16"/>
      <c r="N168" s="15"/>
      <c r="O168" s="246">
        <v>319.52733593350007</v>
      </c>
      <c r="P168" s="16">
        <f t="shared" ref="P168:X168" si="125">P169*P172/10^6</f>
        <v>0</v>
      </c>
      <c r="Q168" s="16">
        <f t="shared" si="125"/>
        <v>0</v>
      </c>
      <c r="R168" s="16">
        <f t="shared" si="125"/>
        <v>0</v>
      </c>
      <c r="S168" s="16">
        <f t="shared" si="125"/>
        <v>0</v>
      </c>
      <c r="T168" s="16">
        <f t="shared" si="125"/>
        <v>164.05327343999997</v>
      </c>
      <c r="U168" s="16">
        <f t="shared" si="125"/>
        <v>164.05327343999997</v>
      </c>
      <c r="V168" s="16">
        <f t="shared" si="125"/>
        <v>320.50041743999998</v>
      </c>
      <c r="W168" s="16">
        <f t="shared" si="125"/>
        <v>480.75062615999997</v>
      </c>
      <c r="X168" s="16">
        <f t="shared" si="125"/>
        <v>480.75062615999997</v>
      </c>
      <c r="Y168" s="246">
        <f>SUM(P168:X168)</f>
        <v>1610.1082166399997</v>
      </c>
      <c r="Z168" s="246">
        <f>Y168+O168</f>
        <v>1929.6355525734998</v>
      </c>
      <c r="AA168" s="16">
        <f t="shared" ref="AA168:AD168" si="126">AA169*AA172/10^6</f>
        <v>0</v>
      </c>
      <c r="AB168" s="16">
        <f t="shared" si="126"/>
        <v>0</v>
      </c>
      <c r="AC168" s="16">
        <f t="shared" si="126"/>
        <v>0</v>
      </c>
      <c r="AD168" s="16">
        <f t="shared" si="126"/>
        <v>0</v>
      </c>
      <c r="AF168" s="327"/>
      <c r="AH168" s="151"/>
      <c r="AI168" s="151"/>
      <c r="AJ168" s="16"/>
      <c r="AK168" s="311"/>
    </row>
    <row r="169" spans="5:37" x14ac:dyDescent="0.3">
      <c r="F169" s="3" t="s">
        <v>510</v>
      </c>
      <c r="L169" s="16"/>
      <c r="M169" s="16"/>
      <c r="N169" s="15"/>
      <c r="O169" s="246">
        <v>240526.43000000005</v>
      </c>
      <c r="P169" s="16">
        <f t="shared" ref="P169:X169" si="127">P170*P171</f>
        <v>0</v>
      </c>
      <c r="Q169" s="16">
        <f t="shared" si="127"/>
        <v>0</v>
      </c>
      <c r="R169" s="16">
        <f t="shared" si="127"/>
        <v>0</v>
      </c>
      <c r="S169" s="16">
        <f t="shared" si="127"/>
        <v>0</v>
      </c>
      <c r="T169" s="16">
        <f t="shared" si="127"/>
        <v>127192.79999999999</v>
      </c>
      <c r="U169" s="16">
        <f t="shared" si="127"/>
        <v>127192.79999999999</v>
      </c>
      <c r="V169" s="16">
        <f t="shared" si="127"/>
        <v>254385.59999999998</v>
      </c>
      <c r="W169" s="16">
        <f t="shared" si="127"/>
        <v>381578.39999999997</v>
      </c>
      <c r="X169" s="16">
        <f t="shared" si="127"/>
        <v>381578.39999999997</v>
      </c>
      <c r="Y169" s="246">
        <f>SUM(P169:X169)</f>
        <v>1271927.9999999998</v>
      </c>
      <c r="Z169" s="246">
        <f>Y169+O169</f>
        <v>1512454.4299999997</v>
      </c>
      <c r="AA169" s="16">
        <f t="shared" ref="AA169:AD169" si="128">AA170*AA171</f>
        <v>0</v>
      </c>
      <c r="AB169" s="16">
        <f t="shared" si="128"/>
        <v>0</v>
      </c>
      <c r="AC169" s="16">
        <f t="shared" si="128"/>
        <v>0</v>
      </c>
      <c r="AD169" s="16">
        <f t="shared" si="128"/>
        <v>0</v>
      </c>
      <c r="AF169" s="327"/>
      <c r="AK169" s="311"/>
    </row>
    <row r="170" spans="5:37" x14ac:dyDescent="0.3">
      <c r="G170" s="3" t="s">
        <v>298</v>
      </c>
      <c r="L170" s="16"/>
      <c r="M170" s="16"/>
      <c r="N170" s="15"/>
      <c r="O170" s="246">
        <f>O74</f>
        <v>3</v>
      </c>
      <c r="P170" s="16">
        <f t="shared" ref="P170:X170" si="129">P74</f>
        <v>0</v>
      </c>
      <c r="Q170" s="16">
        <f t="shared" si="129"/>
        <v>0</v>
      </c>
      <c r="R170" s="16">
        <f t="shared" si="129"/>
        <v>0</v>
      </c>
      <c r="S170" s="16">
        <f t="shared" si="129"/>
        <v>0</v>
      </c>
      <c r="T170" s="16">
        <f t="shared" si="129"/>
        <v>1</v>
      </c>
      <c r="U170" s="16">
        <f t="shared" si="129"/>
        <v>1</v>
      </c>
      <c r="V170" s="16">
        <f t="shared" si="129"/>
        <v>2</v>
      </c>
      <c r="W170" s="16">
        <f t="shared" si="129"/>
        <v>3</v>
      </c>
      <c r="X170" s="16">
        <f t="shared" si="129"/>
        <v>3</v>
      </c>
      <c r="Y170" s="246">
        <f>SUM(P170:X170)</f>
        <v>10</v>
      </c>
      <c r="Z170" s="246">
        <f>Y170+O170</f>
        <v>13</v>
      </c>
      <c r="AA170" s="16">
        <f t="shared" ref="AA170:AD170" si="130">AA74</f>
        <v>0</v>
      </c>
      <c r="AB170" s="16">
        <f t="shared" si="130"/>
        <v>0</v>
      </c>
      <c r="AC170" s="16">
        <f t="shared" si="130"/>
        <v>0</v>
      </c>
      <c r="AD170" s="16">
        <f t="shared" si="130"/>
        <v>0</v>
      </c>
      <c r="AF170" s="327"/>
      <c r="AK170" s="311"/>
    </row>
    <row r="171" spans="5:37" x14ac:dyDescent="0.3">
      <c r="G171" s="3" t="s">
        <v>511</v>
      </c>
      <c r="I171" s="262">
        <f>Z171/Z77</f>
        <v>0.82009831347426543</v>
      </c>
      <c r="L171" s="16"/>
      <c r="M171" s="16"/>
      <c r="N171" s="15"/>
      <c r="O171" s="246">
        <f>O169/O170</f>
        <v>80175.476666666684</v>
      </c>
      <c r="P171" s="16">
        <v>127192.79999999999</v>
      </c>
      <c r="Q171" s="16">
        <v>127192.79999999999</v>
      </c>
      <c r="R171" s="16">
        <v>127192.79999999999</v>
      </c>
      <c r="S171" s="16">
        <v>127192.79999999999</v>
      </c>
      <c r="T171" s="16">
        <v>127192.79999999999</v>
      </c>
      <c r="U171" s="16">
        <v>127192.79999999999</v>
      </c>
      <c r="V171" s="16">
        <v>127192.79999999999</v>
      </c>
      <c r="W171" s="16">
        <v>127192.79999999999</v>
      </c>
      <c r="X171" s="16">
        <v>127192.79999999999</v>
      </c>
      <c r="Y171" s="246">
        <f>Y169/Y170</f>
        <v>127192.79999999997</v>
      </c>
      <c r="Z171" s="246">
        <f>Z169/Z170</f>
        <v>116342.64846153844</v>
      </c>
      <c r="AA171" s="16">
        <f>AA77*$I171</f>
        <v>0</v>
      </c>
      <c r="AB171" s="16">
        <f t="shared" ref="AB171:AD171" si="131">AB77*$I171</f>
        <v>0</v>
      </c>
      <c r="AC171" s="16">
        <f t="shared" si="131"/>
        <v>0</v>
      </c>
      <c r="AD171" s="16">
        <f t="shared" si="131"/>
        <v>0</v>
      </c>
      <c r="AF171" s="327"/>
      <c r="AK171" s="311"/>
    </row>
    <row r="172" spans="5:37" x14ac:dyDescent="0.3">
      <c r="F172" s="3" t="s">
        <v>333</v>
      </c>
      <c r="L172" s="16"/>
      <c r="M172" s="16"/>
      <c r="N172" s="15"/>
      <c r="O172" s="246">
        <f>O168/O169*10^6</f>
        <v>1328.4499999999998</v>
      </c>
      <c r="P172" s="16">
        <f t="shared" ref="P172:X172" si="132">P$297</f>
        <v>1308.5999999999999</v>
      </c>
      <c r="Q172" s="16">
        <f t="shared" si="132"/>
        <v>1308.5999999999999</v>
      </c>
      <c r="R172" s="16">
        <f t="shared" si="132"/>
        <v>1308.5999999999999</v>
      </c>
      <c r="S172" s="16">
        <f t="shared" si="132"/>
        <v>1289.8</v>
      </c>
      <c r="T172" s="16">
        <f t="shared" si="132"/>
        <v>1289.8</v>
      </c>
      <c r="U172" s="16">
        <f t="shared" si="132"/>
        <v>1289.8</v>
      </c>
      <c r="V172" s="16">
        <f t="shared" si="132"/>
        <v>1259.9000000000001</v>
      </c>
      <c r="W172" s="16">
        <f t="shared" si="132"/>
        <v>1259.9000000000001</v>
      </c>
      <c r="X172" s="16">
        <f t="shared" si="132"/>
        <v>1259.9000000000001</v>
      </c>
      <c r="Y172" s="246">
        <f>Y168/Y169*10^6</f>
        <v>1265.8800000000001</v>
      </c>
      <c r="Z172" s="246">
        <f>Z168/Z169*10^6</f>
        <v>1275.8305402784931</v>
      </c>
      <c r="AA172" s="16">
        <f>AA$297</f>
        <v>1214.2</v>
      </c>
      <c r="AB172" s="16">
        <f>AB$297</f>
        <v>1201.8</v>
      </c>
      <c r="AC172" s="16">
        <f>AC$297</f>
        <v>1199.3</v>
      </c>
      <c r="AD172" s="16">
        <f>AD$297</f>
        <v>1212</v>
      </c>
      <c r="AF172" s="327"/>
      <c r="AK172" s="311"/>
    </row>
    <row r="173" spans="5:37" x14ac:dyDescent="0.3">
      <c r="E173" s="3" t="s">
        <v>105</v>
      </c>
      <c r="L173" s="16"/>
      <c r="M173" s="16"/>
      <c r="N173" s="15"/>
      <c r="O173" s="246">
        <f>O174+O176+O178</f>
        <v>1612.1788897049994</v>
      </c>
      <c r="P173" s="16">
        <f t="shared" ref="P173:X173" si="133">P174+P176+P178</f>
        <v>449.32138761659542</v>
      </c>
      <c r="Q173" s="16">
        <f t="shared" si="133"/>
        <v>314.51833035230948</v>
      </c>
      <c r="R173" s="16">
        <f t="shared" si="133"/>
        <v>366.53195695053608</v>
      </c>
      <c r="S173" s="16">
        <f t="shared" si="133"/>
        <v>391.65853951719998</v>
      </c>
      <c r="T173" s="16">
        <f t="shared" si="133"/>
        <v>366.18313810821712</v>
      </c>
      <c r="U173" s="16">
        <f t="shared" si="133"/>
        <v>472.1011186474272</v>
      </c>
      <c r="V173" s="16">
        <f t="shared" si="133"/>
        <v>490.71248934727782</v>
      </c>
      <c r="W173" s="16">
        <f t="shared" si="133"/>
        <v>514.44995611450486</v>
      </c>
      <c r="X173" s="16">
        <f t="shared" si="133"/>
        <v>493.2722555128874</v>
      </c>
      <c r="Y173" s="246">
        <f>Y174+Y176+Y178</f>
        <v>3858.7491721669553</v>
      </c>
      <c r="Z173" s="246">
        <f>Z174+Z176+Z178</f>
        <v>5470.9280618719549</v>
      </c>
      <c r="AA173" s="16">
        <f t="shared" ref="AA173:AD173" si="134">AA174+AA176+AA178</f>
        <v>4474.8627391451892</v>
      </c>
      <c r="AB173" s="16">
        <f t="shared" si="134"/>
        <v>4910.3277387595135</v>
      </c>
      <c r="AC173" s="16">
        <f t="shared" si="134"/>
        <v>5201.4384399281316</v>
      </c>
      <c r="AD173" s="16">
        <f t="shared" si="134"/>
        <v>5729.3910581841155</v>
      </c>
      <c r="AF173" s="327"/>
      <c r="AH173" s="151"/>
      <c r="AI173" s="151"/>
      <c r="AJ173" s="16"/>
      <c r="AK173" s="311"/>
    </row>
    <row r="174" spans="5:37" x14ac:dyDescent="0.3">
      <c r="F174" s="3" t="s">
        <v>307</v>
      </c>
      <c r="L174" s="16"/>
      <c r="M174" s="16"/>
      <c r="N174" s="15"/>
      <c r="O174" s="246">
        <v>983.41348819199993</v>
      </c>
      <c r="P174" s="16">
        <f t="shared" ref="P174:X174" si="135">P80*P175</f>
        <v>151.86862307779535</v>
      </c>
      <c r="Q174" s="16">
        <f t="shared" si="135"/>
        <v>103.80666685023439</v>
      </c>
      <c r="R174" s="16">
        <f t="shared" si="135"/>
        <v>122.87616886346802</v>
      </c>
      <c r="S174" s="16">
        <f t="shared" si="135"/>
        <v>127.0348101152759</v>
      </c>
      <c r="T174" s="16">
        <f t="shared" si="135"/>
        <v>119.39459649880824</v>
      </c>
      <c r="U174" s="16">
        <f t="shared" si="135"/>
        <v>153.35086669334922</v>
      </c>
      <c r="V174" s="16">
        <f t="shared" si="135"/>
        <v>158.03492985214689</v>
      </c>
      <c r="W174" s="16">
        <f t="shared" si="135"/>
        <v>171.58935375220412</v>
      </c>
      <c r="X174" s="16">
        <f t="shared" si="135"/>
        <v>162.46869681187661</v>
      </c>
      <c r="Y174" s="246">
        <f>SUM(P174:X174)</f>
        <v>1270.4247125151587</v>
      </c>
      <c r="Z174" s="246">
        <f>Y174+O174</f>
        <v>2253.8382007071586</v>
      </c>
      <c r="AA174" s="16">
        <f>AA80*AA175</f>
        <v>1437.4133415707443</v>
      </c>
      <c r="AB174" s="16">
        <f>AB80*AB175</f>
        <v>1566.7173915727312</v>
      </c>
      <c r="AC174" s="16">
        <f>AC80*AC175</f>
        <v>1659.0352438290495</v>
      </c>
      <c r="AD174" s="16">
        <f>AD80*AD175</f>
        <v>1838.8223669309045</v>
      </c>
      <c r="AF174" s="327"/>
      <c r="AK174" s="311"/>
    </row>
    <row r="175" spans="5:37" s="43" customFormat="1" x14ac:dyDescent="0.3">
      <c r="G175" s="43" t="s">
        <v>512</v>
      </c>
      <c r="I175" s="262">
        <v>0.8</v>
      </c>
      <c r="N175" s="44"/>
      <c r="O175" s="340">
        <f>O174/O80</f>
        <v>0.80000000000000016</v>
      </c>
      <c r="P175" s="43">
        <f t="shared" ref="P175:X175" si="136">$I175</f>
        <v>0.8</v>
      </c>
      <c r="Q175" s="43">
        <f t="shared" si="136"/>
        <v>0.8</v>
      </c>
      <c r="R175" s="43">
        <f t="shared" si="136"/>
        <v>0.8</v>
      </c>
      <c r="S175" s="43">
        <f t="shared" si="136"/>
        <v>0.8</v>
      </c>
      <c r="T175" s="43">
        <f t="shared" si="136"/>
        <v>0.8</v>
      </c>
      <c r="U175" s="43">
        <f t="shared" si="136"/>
        <v>0.8</v>
      </c>
      <c r="V175" s="43">
        <f t="shared" si="136"/>
        <v>0.8</v>
      </c>
      <c r="W175" s="43">
        <f t="shared" si="136"/>
        <v>0.8</v>
      </c>
      <c r="X175" s="43">
        <f t="shared" si="136"/>
        <v>0.8</v>
      </c>
      <c r="Y175" s="340">
        <f>Y174/Y80</f>
        <v>0.8</v>
      </c>
      <c r="Z175" s="340">
        <f>Z174/Z80</f>
        <v>0.8</v>
      </c>
      <c r="AA175" s="43">
        <f>$I175</f>
        <v>0.8</v>
      </c>
      <c r="AB175" s="43">
        <f t="shared" ref="AB175:AD175" si="137">$I175</f>
        <v>0.8</v>
      </c>
      <c r="AC175" s="43">
        <f t="shared" si="137"/>
        <v>0.8</v>
      </c>
      <c r="AD175" s="43">
        <f t="shared" si="137"/>
        <v>0.8</v>
      </c>
      <c r="AF175" s="327"/>
      <c r="AG175" s="322"/>
      <c r="AK175" s="311"/>
    </row>
    <row r="176" spans="5:37" x14ac:dyDescent="0.3">
      <c r="F176" s="3" t="s">
        <v>309</v>
      </c>
      <c r="L176" s="16"/>
      <c r="M176" s="16"/>
      <c r="N176" s="15"/>
      <c r="O176" s="246">
        <v>408.31178091299955</v>
      </c>
      <c r="P176" s="16">
        <f t="shared" ref="P176:X176" si="138">P82*P177</f>
        <v>200.76258006511588</v>
      </c>
      <c r="Q176" s="16">
        <f t="shared" si="138"/>
        <v>137.22712330207511</v>
      </c>
      <c r="R176" s="16">
        <f t="shared" si="138"/>
        <v>162.43603312917332</v>
      </c>
      <c r="S176" s="16">
        <f t="shared" si="138"/>
        <v>167.93354492823988</v>
      </c>
      <c r="T176" s="16">
        <f t="shared" si="138"/>
        <v>157.83357189361939</v>
      </c>
      <c r="U176" s="16">
        <f t="shared" si="138"/>
        <v>202.72203058565697</v>
      </c>
      <c r="V176" s="16">
        <f t="shared" si="138"/>
        <v>208.9141233688151</v>
      </c>
      <c r="W176" s="16">
        <f t="shared" si="138"/>
        <v>226.83238099387961</v>
      </c>
      <c r="X176" s="16">
        <f t="shared" si="138"/>
        <v>214.77533733258974</v>
      </c>
      <c r="Y176" s="246">
        <f>SUM(P176:X176)</f>
        <v>1679.4367255991649</v>
      </c>
      <c r="Z176" s="246">
        <f>Y176+O176</f>
        <v>2087.7485065121646</v>
      </c>
      <c r="AA176" s="16">
        <f>AA82*AA177</f>
        <v>1900.1871830097293</v>
      </c>
      <c r="AB176" s="16">
        <f>AB82*AB177</f>
        <v>2071.1205474214808</v>
      </c>
      <c r="AC176" s="16">
        <f>AC82*AC177</f>
        <v>2193.1600433320646</v>
      </c>
      <c r="AD176" s="16">
        <f>AD82*AD177</f>
        <v>2430.8294576252556</v>
      </c>
      <c r="AF176" s="327"/>
      <c r="AK176" s="311"/>
    </row>
    <row r="177" spans="2:37" x14ac:dyDescent="0.3">
      <c r="G177" s="23" t="s">
        <v>513</v>
      </c>
      <c r="I177" s="262">
        <v>0.5</v>
      </c>
      <c r="L177" s="16"/>
      <c r="M177" s="16"/>
      <c r="N177" s="15"/>
      <c r="O177" s="350">
        <f>O176/O82</f>
        <v>0.30979618613876087</v>
      </c>
      <c r="P177" s="17">
        <f t="shared" ref="P177:X177" si="139">$I177</f>
        <v>0.5</v>
      </c>
      <c r="Q177" s="17">
        <f t="shared" si="139"/>
        <v>0.5</v>
      </c>
      <c r="R177" s="17">
        <f t="shared" si="139"/>
        <v>0.5</v>
      </c>
      <c r="S177" s="17">
        <f t="shared" si="139"/>
        <v>0.5</v>
      </c>
      <c r="T177" s="17">
        <f t="shared" si="139"/>
        <v>0.5</v>
      </c>
      <c r="U177" s="17">
        <f t="shared" si="139"/>
        <v>0.5</v>
      </c>
      <c r="V177" s="17">
        <f t="shared" si="139"/>
        <v>0.5</v>
      </c>
      <c r="W177" s="17">
        <f t="shared" si="139"/>
        <v>0.5</v>
      </c>
      <c r="X177" s="17">
        <f t="shared" si="139"/>
        <v>0.5</v>
      </c>
      <c r="Y177" s="350">
        <f>Y176/Y82</f>
        <v>0.5</v>
      </c>
      <c r="Z177" s="350">
        <f>Z176/Z82</f>
        <v>0.44639820619375931</v>
      </c>
      <c r="AA177" s="43">
        <f>$I177</f>
        <v>0.5</v>
      </c>
      <c r="AB177" s="17">
        <f t="shared" ref="AB177:AD177" si="140">$I177</f>
        <v>0.5</v>
      </c>
      <c r="AC177" s="17">
        <f t="shared" si="140"/>
        <v>0.5</v>
      </c>
      <c r="AD177" s="17">
        <f t="shared" si="140"/>
        <v>0.5</v>
      </c>
      <c r="AF177" s="327"/>
      <c r="AK177" s="311"/>
    </row>
    <row r="178" spans="2:37" x14ac:dyDescent="0.3">
      <c r="F178" s="3" t="s">
        <v>311</v>
      </c>
      <c r="L178" s="16"/>
      <c r="M178" s="16"/>
      <c r="N178" s="15"/>
      <c r="O178" s="246">
        <f>O86</f>
        <v>220.45362060000002</v>
      </c>
      <c r="P178" s="16">
        <f t="shared" ref="P178:X178" si="141">P86</f>
        <v>96.690184473684212</v>
      </c>
      <c r="Q178" s="16">
        <f t="shared" si="141"/>
        <v>73.484540199999998</v>
      </c>
      <c r="R178" s="16">
        <f t="shared" si="141"/>
        <v>81.219754957894736</v>
      </c>
      <c r="S178" s="16">
        <f t="shared" si="141"/>
        <v>96.690184473684212</v>
      </c>
      <c r="T178" s="16">
        <f t="shared" si="141"/>
        <v>88.954969715789474</v>
      </c>
      <c r="U178" s="16">
        <f t="shared" si="141"/>
        <v>116.02822136842106</v>
      </c>
      <c r="V178" s="16">
        <f t="shared" si="141"/>
        <v>123.7634361263158</v>
      </c>
      <c r="W178" s="16">
        <f t="shared" si="141"/>
        <v>116.02822136842106</v>
      </c>
      <c r="X178" s="16">
        <f t="shared" si="141"/>
        <v>116.02822136842106</v>
      </c>
      <c r="Y178" s="246">
        <f>SUM(P178:X178)</f>
        <v>908.8877340526318</v>
      </c>
      <c r="Z178" s="246">
        <f>Y178+O178</f>
        <v>1129.3413546526317</v>
      </c>
      <c r="AA178" s="16">
        <f>AA86</f>
        <v>1137.2622145647158</v>
      </c>
      <c r="AB178" s="16">
        <f>AB86</f>
        <v>1272.4897997653013</v>
      </c>
      <c r="AC178" s="16">
        <f>AC86</f>
        <v>1349.243152767018</v>
      </c>
      <c r="AD178" s="16">
        <f>AD86</f>
        <v>1459.7392336279552</v>
      </c>
      <c r="AF178" s="327"/>
      <c r="AK178" s="311"/>
    </row>
    <row r="179" spans="2:37" x14ac:dyDescent="0.3">
      <c r="D179" s="3" t="s">
        <v>514</v>
      </c>
      <c r="L179" s="16"/>
      <c r="M179" s="16"/>
      <c r="N179" s="15"/>
      <c r="O179" s="246">
        <v>-29.388900815000003</v>
      </c>
      <c r="P179" s="16">
        <f t="shared" ref="P179:X179" si="142">P180*P181</f>
        <v>0</v>
      </c>
      <c r="Q179" s="16">
        <f t="shared" si="142"/>
        <v>0</v>
      </c>
      <c r="R179" s="16">
        <f t="shared" si="142"/>
        <v>0</v>
      </c>
      <c r="S179" s="16">
        <f t="shared" si="142"/>
        <v>0</v>
      </c>
      <c r="T179" s="16">
        <f t="shared" si="142"/>
        <v>0</v>
      </c>
      <c r="U179" s="16">
        <f t="shared" si="142"/>
        <v>0</v>
      </c>
      <c r="V179" s="16">
        <f t="shared" si="142"/>
        <v>0</v>
      </c>
      <c r="W179" s="16">
        <f t="shared" si="142"/>
        <v>0</v>
      </c>
      <c r="X179" s="16">
        <f t="shared" si="142"/>
        <v>0</v>
      </c>
      <c r="Y179" s="246">
        <f>SUM(P179:X179)</f>
        <v>0</v>
      </c>
      <c r="Z179" s="246">
        <f>Y179+O179</f>
        <v>-29.388900815000003</v>
      </c>
      <c r="AA179" s="16">
        <f>AA180*AA181</f>
        <v>0</v>
      </c>
      <c r="AB179" s="16">
        <f>AB180*AB181</f>
        <v>0</v>
      </c>
      <c r="AC179" s="16">
        <f>AC180*AC181</f>
        <v>0</v>
      </c>
      <c r="AD179" s="16">
        <f>AD180*AD181</f>
        <v>0</v>
      </c>
      <c r="AF179" s="327"/>
      <c r="AH179" s="151"/>
      <c r="AK179" s="311"/>
    </row>
    <row r="180" spans="2:37" x14ac:dyDescent="0.3">
      <c r="E180" s="3" t="s">
        <v>312</v>
      </c>
      <c r="L180" s="16"/>
      <c r="M180" s="16"/>
      <c r="N180" s="15"/>
      <c r="O180" s="246">
        <f t="shared" ref="O180:X180" si="143">O170+O165+O160+O155+O150</f>
        <v>57</v>
      </c>
      <c r="P180" s="16">
        <f t="shared" si="143"/>
        <v>25</v>
      </c>
      <c r="Q180" s="16">
        <f t="shared" si="143"/>
        <v>19</v>
      </c>
      <c r="R180" s="16">
        <f t="shared" si="143"/>
        <v>21</v>
      </c>
      <c r="S180" s="16">
        <f t="shared" si="143"/>
        <v>25</v>
      </c>
      <c r="T180" s="16">
        <f t="shared" si="143"/>
        <v>23</v>
      </c>
      <c r="U180" s="16">
        <f t="shared" si="143"/>
        <v>30</v>
      </c>
      <c r="V180" s="16">
        <f t="shared" si="143"/>
        <v>32</v>
      </c>
      <c r="W180" s="16">
        <f t="shared" si="143"/>
        <v>30</v>
      </c>
      <c r="X180" s="16">
        <f t="shared" si="143"/>
        <v>30</v>
      </c>
      <c r="Y180" s="246">
        <f>SUM(P180:X180)</f>
        <v>235</v>
      </c>
      <c r="Z180" s="246">
        <f>Y180+O180</f>
        <v>292</v>
      </c>
      <c r="AA180" s="16">
        <f>AA170+AA165+AA160+AA155+AA150</f>
        <v>288</v>
      </c>
      <c r="AB180" s="16">
        <f>AB170+AB165+AB160+AB155+AB150</f>
        <v>315</v>
      </c>
      <c r="AC180" s="16">
        <f>AC170+AC165+AC160+AC155+AC150</f>
        <v>334</v>
      </c>
      <c r="AD180" s="16">
        <f>AD170+AD165+AD160+AD155+AD150</f>
        <v>361</v>
      </c>
      <c r="AF180" s="327"/>
      <c r="AK180" s="311"/>
    </row>
    <row r="181" spans="2:37" x14ac:dyDescent="0.3">
      <c r="E181" s="3" t="s">
        <v>380</v>
      </c>
      <c r="I181" s="465">
        <v>0</v>
      </c>
      <c r="L181" s="16"/>
      <c r="M181" s="16"/>
      <c r="N181" s="15"/>
      <c r="O181" s="246">
        <f>O179/O180</f>
        <v>-0.51559475114035092</v>
      </c>
      <c r="P181" s="16">
        <f t="shared" ref="P181:X181" si="144">$I181</f>
        <v>0</v>
      </c>
      <c r="Q181" s="16">
        <f t="shared" si="144"/>
        <v>0</v>
      </c>
      <c r="R181" s="16">
        <f t="shared" si="144"/>
        <v>0</v>
      </c>
      <c r="S181" s="16">
        <f t="shared" si="144"/>
        <v>0</v>
      </c>
      <c r="T181" s="16">
        <f t="shared" si="144"/>
        <v>0</v>
      </c>
      <c r="U181" s="16">
        <f t="shared" si="144"/>
        <v>0</v>
      </c>
      <c r="V181" s="16">
        <f t="shared" si="144"/>
        <v>0</v>
      </c>
      <c r="W181" s="16">
        <f t="shared" si="144"/>
        <v>0</v>
      </c>
      <c r="X181" s="16">
        <f t="shared" si="144"/>
        <v>0</v>
      </c>
      <c r="Y181" s="246"/>
      <c r="Z181" s="246">
        <f>Z179/Z180</f>
        <v>-0.10064692059931508</v>
      </c>
      <c r="AA181" s="16">
        <v>0</v>
      </c>
      <c r="AB181" s="16">
        <v>0</v>
      </c>
      <c r="AC181" s="16">
        <v>0</v>
      </c>
      <c r="AD181" s="16">
        <v>0</v>
      </c>
      <c r="AF181" s="327"/>
      <c r="AK181" s="311"/>
    </row>
    <row r="182" spans="2:37" x14ac:dyDescent="0.3">
      <c r="B182" s="11"/>
      <c r="C182" s="3" t="s">
        <v>240</v>
      </c>
      <c r="L182" s="16"/>
      <c r="M182" s="16"/>
      <c r="N182" s="15"/>
      <c r="O182" s="246">
        <f>O183+O215</f>
        <v>2133.9790780734961</v>
      </c>
      <c r="P182" s="16">
        <f t="shared" ref="P182:X182" si="145">P183+P215</f>
        <v>765.56430117871901</v>
      </c>
      <c r="Q182" s="16">
        <f t="shared" si="145"/>
        <v>856.51305958523051</v>
      </c>
      <c r="R182" s="16">
        <f t="shared" si="145"/>
        <v>1037.1573781832428</v>
      </c>
      <c r="S182" s="16">
        <f t="shared" si="145"/>
        <v>727.08574618064131</v>
      </c>
      <c r="T182" s="16">
        <f t="shared" si="145"/>
        <v>872.0282586815581</v>
      </c>
      <c r="U182" s="16">
        <f t="shared" si="145"/>
        <v>586.46163925458143</v>
      </c>
      <c r="V182" s="16">
        <f t="shared" si="145"/>
        <v>1308.6182267122695</v>
      </c>
      <c r="W182" s="16">
        <f t="shared" si="145"/>
        <v>819.74011452314846</v>
      </c>
      <c r="X182" s="16">
        <f t="shared" si="145"/>
        <v>934.35259720990689</v>
      </c>
      <c r="Y182" s="246">
        <f>Y183+Y215</f>
        <v>7907.5213215092972</v>
      </c>
      <c r="Z182" s="246">
        <f>Z183+Z215</f>
        <v>10041.500399582792</v>
      </c>
      <c r="AA182" s="16">
        <f t="shared" ref="AA182:AD182" si="146">AA183+AA215</f>
        <v>9396.3121747102687</v>
      </c>
      <c r="AB182" s="16">
        <f t="shared" si="146"/>
        <v>10066.314914847799</v>
      </c>
      <c r="AC182" s="16">
        <f t="shared" si="146"/>
        <v>11226.868543378721</v>
      </c>
      <c r="AD182" s="16">
        <f t="shared" si="146"/>
        <v>12439.524307955882</v>
      </c>
      <c r="AF182" s="327"/>
      <c r="AK182" s="311"/>
    </row>
    <row r="183" spans="2:37" x14ac:dyDescent="0.3">
      <c r="D183" s="3" t="s">
        <v>470</v>
      </c>
      <c r="L183" s="16"/>
      <c r="M183" s="16"/>
      <c r="N183" s="15"/>
      <c r="O183" s="246">
        <f>O184+O189+O194+O199+O204+O209</f>
        <v>2181.362551501496</v>
      </c>
      <c r="P183" s="16">
        <f t="shared" ref="P183:X183" si="147">P184+P189+P194+P199+P204+P209</f>
        <v>765.56430117871901</v>
      </c>
      <c r="Q183" s="16">
        <f t="shared" si="147"/>
        <v>856.51305958523051</v>
      </c>
      <c r="R183" s="16">
        <f t="shared" si="147"/>
        <v>1037.1573781832428</v>
      </c>
      <c r="S183" s="16">
        <f t="shared" si="147"/>
        <v>727.08574618064131</v>
      </c>
      <c r="T183" s="16">
        <f t="shared" si="147"/>
        <v>872.0282586815581</v>
      </c>
      <c r="U183" s="16">
        <f t="shared" si="147"/>
        <v>586.46163925458143</v>
      </c>
      <c r="V183" s="16">
        <f t="shared" si="147"/>
        <v>1308.6182267122695</v>
      </c>
      <c r="W183" s="16">
        <f t="shared" si="147"/>
        <v>819.74011452314846</v>
      </c>
      <c r="X183" s="16">
        <f t="shared" si="147"/>
        <v>934.35259720990689</v>
      </c>
      <c r="Y183" s="246">
        <f>Y184+Y189+Y194+Y199+Y204+Y209</f>
        <v>7907.5213215092972</v>
      </c>
      <c r="Z183" s="246">
        <f>Z184+Z189+Z194+Z199+Z204+Z209</f>
        <v>10088.883873010793</v>
      </c>
      <c r="AA183" s="16">
        <f t="shared" ref="AA183:AD183" si="148">AA184+AA189+AA194+AA199+AA204+AA209</f>
        <v>9396.3121747102687</v>
      </c>
      <c r="AB183" s="16">
        <f t="shared" si="148"/>
        <v>10066.314914847799</v>
      </c>
      <c r="AC183" s="16">
        <f t="shared" si="148"/>
        <v>11226.868543378721</v>
      </c>
      <c r="AD183" s="16">
        <f t="shared" si="148"/>
        <v>12439.524307955882</v>
      </c>
      <c r="AF183" s="327"/>
      <c r="AK183" s="311"/>
    </row>
    <row r="184" spans="2:37" x14ac:dyDescent="0.3">
      <c r="E184" s="3" t="s">
        <v>146</v>
      </c>
      <c r="L184" s="16"/>
      <c r="M184" s="16"/>
      <c r="N184" s="15"/>
      <c r="O184" s="246">
        <v>0</v>
      </c>
      <c r="P184" s="16">
        <f t="shared" ref="P184:X184" si="149">P185*P188/10^6</f>
        <v>0</v>
      </c>
      <c r="Q184" s="16">
        <f t="shared" si="149"/>
        <v>196.113339</v>
      </c>
      <c r="R184" s="16">
        <f t="shared" si="149"/>
        <v>0</v>
      </c>
      <c r="S184" s="16">
        <f t="shared" si="149"/>
        <v>193.29587699999999</v>
      </c>
      <c r="T184" s="16">
        <f t="shared" si="149"/>
        <v>0</v>
      </c>
      <c r="U184" s="16">
        <f t="shared" si="149"/>
        <v>0</v>
      </c>
      <c r="V184" s="16">
        <f t="shared" si="149"/>
        <v>188.81491349999999</v>
      </c>
      <c r="W184" s="16">
        <f t="shared" si="149"/>
        <v>0</v>
      </c>
      <c r="X184" s="16">
        <f t="shared" si="149"/>
        <v>0</v>
      </c>
      <c r="Y184" s="246">
        <f>SUM(P184:X184)</f>
        <v>578.2241295</v>
      </c>
      <c r="Z184" s="246">
        <f>Y184+O184</f>
        <v>578.2241295</v>
      </c>
      <c r="AA184" s="16">
        <f t="shared" ref="AA184:AD184" si="150">AA185*AA188/10^6</f>
        <v>569.71960588052855</v>
      </c>
      <c r="AB184" s="16">
        <f t="shared" si="150"/>
        <v>566.29496979696569</v>
      </c>
      <c r="AC184" s="16">
        <f t="shared" si="150"/>
        <v>760.18986312059326</v>
      </c>
      <c r="AD184" s="16">
        <f t="shared" si="150"/>
        <v>1161.2221145818514</v>
      </c>
      <c r="AF184" s="327"/>
      <c r="AK184" s="311"/>
    </row>
    <row r="185" spans="2:37" x14ac:dyDescent="0.3">
      <c r="F185" s="3" t="s">
        <v>510</v>
      </c>
      <c r="L185" s="16"/>
      <c r="M185" s="16"/>
      <c r="N185" s="15"/>
      <c r="O185" s="246">
        <v>0</v>
      </c>
      <c r="P185" s="16">
        <f t="shared" ref="P185:X185" si="151">P186*P187</f>
        <v>0</v>
      </c>
      <c r="Q185" s="16">
        <f t="shared" si="151"/>
        <v>149865</v>
      </c>
      <c r="R185" s="16">
        <f t="shared" si="151"/>
        <v>0</v>
      </c>
      <c r="S185" s="16">
        <f t="shared" si="151"/>
        <v>149865</v>
      </c>
      <c r="T185" s="16">
        <f t="shared" si="151"/>
        <v>0</v>
      </c>
      <c r="U185" s="16">
        <f t="shared" si="151"/>
        <v>0</v>
      </c>
      <c r="V185" s="16">
        <f t="shared" si="151"/>
        <v>149865</v>
      </c>
      <c r="W185" s="16">
        <f t="shared" si="151"/>
        <v>0</v>
      </c>
      <c r="X185" s="16">
        <f t="shared" si="151"/>
        <v>0</v>
      </c>
      <c r="Y185" s="246">
        <f>SUM(P185:X185)</f>
        <v>449595</v>
      </c>
      <c r="Z185" s="246">
        <f>Y185+O185</f>
        <v>449595</v>
      </c>
      <c r="AA185" s="16">
        <f t="shared" ref="AA185:AD185" si="152">AA186*AA187</f>
        <v>469213.97288793325</v>
      </c>
      <c r="AB185" s="16">
        <f t="shared" si="152"/>
        <v>471205.66633130779</v>
      </c>
      <c r="AC185" s="16">
        <f t="shared" si="152"/>
        <v>633861.30502842774</v>
      </c>
      <c r="AD185" s="16">
        <f t="shared" si="152"/>
        <v>958104.0549355211</v>
      </c>
      <c r="AF185" s="327"/>
      <c r="AK185" s="311"/>
    </row>
    <row r="186" spans="2:37" x14ac:dyDescent="0.3">
      <c r="G186" s="3" t="s">
        <v>298</v>
      </c>
      <c r="L186" s="16"/>
      <c r="M186" s="16"/>
      <c r="N186" s="15"/>
      <c r="O186" s="246">
        <v>0</v>
      </c>
      <c r="P186" s="16">
        <f>Revenue_HW!P437</f>
        <v>0</v>
      </c>
      <c r="Q186" s="16">
        <f>Revenue_HW!Q437</f>
        <v>1</v>
      </c>
      <c r="R186" s="16">
        <f>Revenue_HW!R437</f>
        <v>0</v>
      </c>
      <c r="S186" s="16">
        <f>Revenue_HW!S437</f>
        <v>1</v>
      </c>
      <c r="T186" s="16">
        <f>Revenue_HW!T437</f>
        <v>0</v>
      </c>
      <c r="U186" s="16">
        <f>Revenue_HW!U437</f>
        <v>0</v>
      </c>
      <c r="V186" s="16">
        <f>Revenue_HW!V437</f>
        <v>1</v>
      </c>
      <c r="W186" s="16">
        <f>Revenue_HW!W437</f>
        <v>0</v>
      </c>
      <c r="X186" s="16">
        <f>Revenue_HW!X437</f>
        <v>0</v>
      </c>
      <c r="Y186" s="246">
        <f>SUM(P186:X186)</f>
        <v>3</v>
      </c>
      <c r="Z186" s="246">
        <f>Y186+O186</f>
        <v>3</v>
      </c>
      <c r="AA186" s="16">
        <f>Revenue_HW!AA437</f>
        <v>3</v>
      </c>
      <c r="AB186" s="16">
        <f>Revenue_HW!AB437</f>
        <v>3</v>
      </c>
      <c r="AC186" s="16">
        <f>Revenue_HW!AC437</f>
        <v>4</v>
      </c>
      <c r="AD186" s="16">
        <f>Revenue_HW!AD437</f>
        <v>6</v>
      </c>
      <c r="AF186" s="327"/>
      <c r="AK186" s="311"/>
    </row>
    <row r="187" spans="2:37" x14ac:dyDescent="0.3">
      <c r="G187" s="3" t="s">
        <v>511</v>
      </c>
      <c r="I187" s="262">
        <f>I192</f>
        <v>0.84624389647942577</v>
      </c>
      <c r="L187" s="16"/>
      <c r="M187" s="16"/>
      <c r="N187" s="15"/>
      <c r="O187" s="246">
        <v>0</v>
      </c>
      <c r="P187" s="16">
        <f>Revenue_HW!P438</f>
        <v>149865</v>
      </c>
      <c r="Q187" s="16">
        <f>Revenue_HW!Q438</f>
        <v>149865</v>
      </c>
      <c r="R187" s="16">
        <f>Revenue_HW!R438</f>
        <v>149865</v>
      </c>
      <c r="S187" s="16">
        <f>Revenue_HW!S438</f>
        <v>149865</v>
      </c>
      <c r="T187" s="16">
        <f>Revenue_HW!T438</f>
        <v>149865</v>
      </c>
      <c r="U187" s="16">
        <f>Revenue_HW!U438</f>
        <v>149865</v>
      </c>
      <c r="V187" s="16">
        <f>Revenue_HW!V438</f>
        <v>149865</v>
      </c>
      <c r="W187" s="16">
        <f>Revenue_HW!W438</f>
        <v>149865</v>
      </c>
      <c r="X187" s="16">
        <f>Revenue_HW!X438</f>
        <v>149865</v>
      </c>
      <c r="Y187" s="246">
        <f>Y185/Y186</f>
        <v>149865</v>
      </c>
      <c r="Z187" s="246">
        <f>Z185/Z186</f>
        <v>149865</v>
      </c>
      <c r="AA187" s="16">
        <f>AA99*$I187</f>
        <v>156404.65762931108</v>
      </c>
      <c r="AB187" s="16">
        <f>AB99*$I187</f>
        <v>157068.55544376926</v>
      </c>
      <c r="AC187" s="16">
        <f t="shared" ref="AC187:AD187" si="153">AC99*$I187</f>
        <v>158465.32625710694</v>
      </c>
      <c r="AD187" s="16">
        <f t="shared" si="153"/>
        <v>159684.00915592018</v>
      </c>
      <c r="AF187" s="327"/>
      <c r="AK187" s="311"/>
    </row>
    <row r="188" spans="2:37" x14ac:dyDescent="0.3">
      <c r="F188" s="3" t="s">
        <v>333</v>
      </c>
      <c r="L188" s="16"/>
      <c r="M188" s="16"/>
      <c r="N188" s="15"/>
      <c r="O188" s="246">
        <v>0</v>
      </c>
      <c r="P188" s="16">
        <f t="shared" ref="P188:X188" si="154">P$297</f>
        <v>1308.5999999999999</v>
      </c>
      <c r="Q188" s="16">
        <f t="shared" si="154"/>
        <v>1308.5999999999999</v>
      </c>
      <c r="R188" s="16">
        <f t="shared" si="154"/>
        <v>1308.5999999999999</v>
      </c>
      <c r="S188" s="16">
        <f t="shared" si="154"/>
        <v>1289.8</v>
      </c>
      <c r="T188" s="16">
        <f t="shared" si="154"/>
        <v>1289.8</v>
      </c>
      <c r="U188" s="16">
        <f t="shared" si="154"/>
        <v>1289.8</v>
      </c>
      <c r="V188" s="16">
        <f t="shared" si="154"/>
        <v>1259.9000000000001</v>
      </c>
      <c r="W188" s="16">
        <f t="shared" si="154"/>
        <v>1259.9000000000001</v>
      </c>
      <c r="X188" s="16">
        <f t="shared" si="154"/>
        <v>1259.9000000000001</v>
      </c>
      <c r="Y188" s="246">
        <f>Y184/Y185*10^6</f>
        <v>1286.1000000000001</v>
      </c>
      <c r="Z188" s="246">
        <f>Z184/Z185*10^6</f>
        <v>1286.1000000000001</v>
      </c>
      <c r="AA188" s="16">
        <f>AA$297</f>
        <v>1214.2</v>
      </c>
      <c r="AB188" s="16">
        <f>AB$297</f>
        <v>1201.8</v>
      </c>
      <c r="AC188" s="16">
        <f>AC$297</f>
        <v>1199.3</v>
      </c>
      <c r="AD188" s="16">
        <f>AD$297</f>
        <v>1212</v>
      </c>
      <c r="AF188" s="327"/>
      <c r="AK188" s="311"/>
    </row>
    <row r="189" spans="2:37" x14ac:dyDescent="0.3">
      <c r="E189" s="3" t="s">
        <v>147</v>
      </c>
      <c r="L189" s="16"/>
      <c r="M189" s="16"/>
      <c r="N189" s="15"/>
      <c r="O189" s="246">
        <v>1338.3902844134761</v>
      </c>
      <c r="P189" s="16">
        <f t="shared" ref="P189:X189" si="155">P190*P193/10^6</f>
        <v>553.16001286956498</v>
      </c>
      <c r="Q189" s="16">
        <f t="shared" si="155"/>
        <v>442.52801029565205</v>
      </c>
      <c r="R189" s="16">
        <f t="shared" si="155"/>
        <v>885.0560205913041</v>
      </c>
      <c r="S189" s="16">
        <f t="shared" si="155"/>
        <v>327.12782420869559</v>
      </c>
      <c r="T189" s="16">
        <f t="shared" si="155"/>
        <v>654.25564841739117</v>
      </c>
      <c r="U189" s="16">
        <f t="shared" si="155"/>
        <v>545.213040347826</v>
      </c>
      <c r="V189" s="16">
        <f t="shared" si="155"/>
        <v>639.08876681739127</v>
      </c>
      <c r="W189" s="16">
        <f t="shared" si="155"/>
        <v>532.57397234782604</v>
      </c>
      <c r="X189" s="16">
        <f t="shared" si="155"/>
        <v>639.08876681739127</v>
      </c>
      <c r="Y189" s="246">
        <f>SUM(P189:X189)</f>
        <v>5218.0920627130417</v>
      </c>
      <c r="Z189" s="246">
        <f>Y189+O189</f>
        <v>6556.4823471265181</v>
      </c>
      <c r="AA189" s="16">
        <f t="shared" ref="AA189:AD189" si="156">AA190*AA193/10^6</f>
        <v>6482.5896253346109</v>
      </c>
      <c r="AB189" s="16">
        <f t="shared" si="156"/>
        <v>7031.3849718088086</v>
      </c>
      <c r="AC189" s="16">
        <f t="shared" si="156"/>
        <v>7371.3471105099507</v>
      </c>
      <c r="AD189" s="16">
        <f t="shared" si="156"/>
        <v>7981.1653204714348</v>
      </c>
      <c r="AF189" s="327"/>
      <c r="AK189" s="311"/>
    </row>
    <row r="190" spans="2:37" x14ac:dyDescent="0.3">
      <c r="F190" s="3" t="s">
        <v>510</v>
      </c>
      <c r="L190" s="16"/>
      <c r="M190" s="16"/>
      <c r="N190" s="15"/>
      <c r="O190" s="246">
        <v>1007482.6183999972</v>
      </c>
      <c r="P190" s="16">
        <f t="shared" ref="P190:X190" si="157">P191*P192</f>
        <v>422711.30434782599</v>
      </c>
      <c r="Q190" s="16">
        <f t="shared" si="157"/>
        <v>338169.04347826081</v>
      </c>
      <c r="R190" s="16">
        <f t="shared" si="157"/>
        <v>676338.08695652161</v>
      </c>
      <c r="S190" s="16">
        <f t="shared" si="157"/>
        <v>253626.78260869562</v>
      </c>
      <c r="T190" s="16">
        <f t="shared" si="157"/>
        <v>507253.56521739124</v>
      </c>
      <c r="U190" s="16">
        <f t="shared" si="157"/>
        <v>422711.30434782599</v>
      </c>
      <c r="V190" s="16">
        <f t="shared" si="157"/>
        <v>507253.56521739124</v>
      </c>
      <c r="W190" s="16">
        <f t="shared" si="157"/>
        <v>422711.30434782599</v>
      </c>
      <c r="X190" s="16">
        <f t="shared" si="157"/>
        <v>507253.56521739124</v>
      </c>
      <c r="Y190" s="246">
        <f>SUM(P190:X190)</f>
        <v>4058028.5217391299</v>
      </c>
      <c r="Z190" s="246">
        <f>Y190+O190</f>
        <v>5065511.1401391272</v>
      </c>
      <c r="AA190" s="16">
        <f t="shared" ref="AA190:AD190" si="158">AA191*AA192</f>
        <v>5338980.0900466237</v>
      </c>
      <c r="AB190" s="16">
        <f t="shared" si="158"/>
        <v>5850711.4093932509</v>
      </c>
      <c r="AC190" s="16">
        <f t="shared" si="158"/>
        <v>6146374.6439672736</v>
      </c>
      <c r="AD190" s="16">
        <f t="shared" si="158"/>
        <v>6585119.9013790712</v>
      </c>
      <c r="AF190" s="327"/>
      <c r="AK190" s="311"/>
    </row>
    <row r="191" spans="2:37" x14ac:dyDescent="0.3">
      <c r="G191" s="3" t="s">
        <v>298</v>
      </c>
      <c r="L191" s="16"/>
      <c r="M191" s="16"/>
      <c r="N191" s="15"/>
      <c r="O191" s="246">
        <f>O103</f>
        <v>15</v>
      </c>
      <c r="P191" s="16">
        <f>Revenue_HW!P442</f>
        <v>5</v>
      </c>
      <c r="Q191" s="16">
        <f>Revenue_HW!Q442</f>
        <v>4</v>
      </c>
      <c r="R191" s="16">
        <f>Revenue_HW!R442</f>
        <v>8</v>
      </c>
      <c r="S191" s="16">
        <f>Revenue_HW!S442</f>
        <v>3</v>
      </c>
      <c r="T191" s="16">
        <f>Revenue_HW!T442</f>
        <v>6</v>
      </c>
      <c r="U191" s="16">
        <f>Revenue_HW!U442</f>
        <v>5</v>
      </c>
      <c r="V191" s="16">
        <f>Revenue_HW!V442</f>
        <v>6</v>
      </c>
      <c r="W191" s="16">
        <f>Revenue_HW!W442</f>
        <v>5</v>
      </c>
      <c r="X191" s="16">
        <f>Revenue_HW!X442</f>
        <v>6</v>
      </c>
      <c r="Y191" s="246">
        <f>SUM(P191:X191)</f>
        <v>48</v>
      </c>
      <c r="Z191" s="246">
        <f>Y191+O191</f>
        <v>63</v>
      </c>
      <c r="AA191" s="16">
        <f>Revenue_HW!AA442</f>
        <v>66</v>
      </c>
      <c r="AB191" s="16">
        <f>Revenue_HW!AB442</f>
        <v>72</v>
      </c>
      <c r="AC191" s="16">
        <f>Revenue_HW!AC442</f>
        <v>75</v>
      </c>
      <c r="AD191" s="16">
        <f>Revenue_HW!AD442</f>
        <v>80</v>
      </c>
      <c r="AF191" s="327"/>
      <c r="AK191" s="311"/>
    </row>
    <row r="192" spans="2:37" x14ac:dyDescent="0.3">
      <c r="G192" s="3" t="s">
        <v>511</v>
      </c>
      <c r="I192" s="262">
        <f>Z192/Z106</f>
        <v>0.84624389647942577</v>
      </c>
      <c r="L192" s="16"/>
      <c r="M192" s="16"/>
      <c r="N192" s="15"/>
      <c r="O192" s="246">
        <f>O190/O191</f>
        <v>67165.507893333153</v>
      </c>
      <c r="P192" s="16">
        <f>Revenue_HW!P443</f>
        <v>84542.260869565202</v>
      </c>
      <c r="Q192" s="16">
        <f>Revenue_HW!Q443</f>
        <v>84542.260869565202</v>
      </c>
      <c r="R192" s="16">
        <f>Revenue_HW!R443</f>
        <v>84542.260869565202</v>
      </c>
      <c r="S192" s="16">
        <f>Revenue_HW!S443</f>
        <v>84542.260869565202</v>
      </c>
      <c r="T192" s="16">
        <f>Revenue_HW!T443</f>
        <v>84542.260869565202</v>
      </c>
      <c r="U192" s="16">
        <f>Revenue_HW!U443</f>
        <v>84542.260869565202</v>
      </c>
      <c r="V192" s="16">
        <f>Revenue_HW!V443</f>
        <v>84542.260869565202</v>
      </c>
      <c r="W192" s="16">
        <f>Revenue_HW!W443</f>
        <v>84542.260869565202</v>
      </c>
      <c r="X192" s="16">
        <f>Revenue_HW!X443</f>
        <v>84542.260869565202</v>
      </c>
      <c r="Y192" s="246">
        <f>Y190/Y191</f>
        <v>84542.260869565202</v>
      </c>
      <c r="Z192" s="246">
        <f>Z190/Z191</f>
        <v>80404.938732367096</v>
      </c>
      <c r="AA192" s="16">
        <f>AA106*$I192</f>
        <v>80893.637727979149</v>
      </c>
      <c r="AB192" s="16">
        <f t="shared" ref="AB192:AD192" si="159">AB106*$I192</f>
        <v>81259.880686017379</v>
      </c>
      <c r="AC192" s="16">
        <f t="shared" si="159"/>
        <v>81951.661919563645</v>
      </c>
      <c r="AD192" s="16">
        <f t="shared" si="159"/>
        <v>82313.998767238387</v>
      </c>
      <c r="AF192" s="327"/>
      <c r="AK192" s="311"/>
    </row>
    <row r="193" spans="5:37" x14ac:dyDescent="0.3">
      <c r="F193" s="3" t="s">
        <v>333</v>
      </c>
      <c r="L193" s="16"/>
      <c r="M193" s="16"/>
      <c r="N193" s="15"/>
      <c r="O193" s="246">
        <f>O189/O190*10^6</f>
        <v>1328.4499999999998</v>
      </c>
      <c r="P193" s="16">
        <f t="shared" ref="P193:X193" si="160">P$297</f>
        <v>1308.5999999999999</v>
      </c>
      <c r="Q193" s="16">
        <f t="shared" si="160"/>
        <v>1308.5999999999999</v>
      </c>
      <c r="R193" s="16">
        <f t="shared" si="160"/>
        <v>1308.5999999999999</v>
      </c>
      <c r="S193" s="16">
        <f t="shared" si="160"/>
        <v>1289.8</v>
      </c>
      <c r="T193" s="16">
        <f t="shared" si="160"/>
        <v>1289.8</v>
      </c>
      <c r="U193" s="16">
        <f t="shared" si="160"/>
        <v>1289.8</v>
      </c>
      <c r="V193" s="16">
        <f t="shared" si="160"/>
        <v>1259.9000000000001</v>
      </c>
      <c r="W193" s="16">
        <f t="shared" si="160"/>
        <v>1259.9000000000001</v>
      </c>
      <c r="X193" s="16">
        <f t="shared" si="160"/>
        <v>1259.9000000000001</v>
      </c>
      <c r="Y193" s="246">
        <f>Y189/Y190*10^6</f>
        <v>1285.8687499999996</v>
      </c>
      <c r="Z193" s="246">
        <f>Z189/Z190*10^6</f>
        <v>1294.3377609364888</v>
      </c>
      <c r="AA193" s="16">
        <f>AA$297</f>
        <v>1214.2</v>
      </c>
      <c r="AB193" s="16">
        <f>AB$297</f>
        <v>1201.8</v>
      </c>
      <c r="AC193" s="16">
        <f>AC$297</f>
        <v>1199.3</v>
      </c>
      <c r="AD193" s="16">
        <f>AD$297</f>
        <v>1212</v>
      </c>
      <c r="AF193" s="327"/>
      <c r="AK193" s="311"/>
    </row>
    <row r="194" spans="5:37" x14ac:dyDescent="0.3">
      <c r="E194" s="3" t="s">
        <v>148</v>
      </c>
      <c r="L194" s="16"/>
      <c r="M194" s="16"/>
      <c r="N194" s="15"/>
      <c r="O194" s="246">
        <v>371.00200494369977</v>
      </c>
      <c r="P194" s="16">
        <f t="shared" ref="P194:X194" si="161">P195*P198/10^6</f>
        <v>157.52272500000001</v>
      </c>
      <c r="Q194" s="16">
        <f t="shared" si="161"/>
        <v>157.52272500000001</v>
      </c>
      <c r="R194" s="16">
        <f t="shared" si="161"/>
        <v>78.761362500000004</v>
      </c>
      <c r="S194" s="16">
        <f t="shared" si="161"/>
        <v>155.25967499999999</v>
      </c>
      <c r="T194" s="16">
        <f t="shared" si="161"/>
        <v>155.25967499999999</v>
      </c>
      <c r="U194" s="16">
        <f t="shared" si="161"/>
        <v>0</v>
      </c>
      <c r="V194" s="16">
        <f t="shared" si="161"/>
        <v>151.66046249999999</v>
      </c>
      <c r="W194" s="16">
        <f t="shared" si="161"/>
        <v>227.49069375000002</v>
      </c>
      <c r="X194" s="16">
        <f t="shared" si="161"/>
        <v>227.49069375000002</v>
      </c>
      <c r="Y194" s="246">
        <f>SUM(P194:X194)</f>
        <v>1310.9680125</v>
      </c>
      <c r="Z194" s="246">
        <f>Y194+O194</f>
        <v>1681.9700174436998</v>
      </c>
      <c r="AA194" s="16">
        <f t="shared" ref="AA194:AD194" si="162">AA195*AA198/10^6</f>
        <v>1664.9348421391662</v>
      </c>
      <c r="AB194" s="16">
        <f t="shared" si="162"/>
        <v>1736.7400210543872</v>
      </c>
      <c r="AC194" s="16">
        <f t="shared" si="162"/>
        <v>2278.8118310954028</v>
      </c>
      <c r="AD194" s="16">
        <f t="shared" si="162"/>
        <v>2398.7977057012408</v>
      </c>
      <c r="AF194" s="327"/>
      <c r="AK194" s="311"/>
    </row>
    <row r="195" spans="5:37" x14ac:dyDescent="0.3">
      <c r="F195" s="3" t="s">
        <v>510</v>
      </c>
      <c r="L195" s="16"/>
      <c r="M195" s="16"/>
      <c r="N195" s="15"/>
      <c r="O195" s="246">
        <v>279274.34599999979</v>
      </c>
      <c r="P195" s="16">
        <f t="shared" ref="P195:X195" si="163">P196*P197</f>
        <v>120375</v>
      </c>
      <c r="Q195" s="16">
        <f t="shared" si="163"/>
        <v>120375</v>
      </c>
      <c r="R195" s="16">
        <f t="shared" si="163"/>
        <v>60187.5</v>
      </c>
      <c r="S195" s="16">
        <f t="shared" si="163"/>
        <v>120375</v>
      </c>
      <c r="T195" s="16">
        <f t="shared" si="163"/>
        <v>120375</v>
      </c>
      <c r="U195" s="16">
        <f t="shared" si="163"/>
        <v>0</v>
      </c>
      <c r="V195" s="16">
        <f t="shared" si="163"/>
        <v>120375</v>
      </c>
      <c r="W195" s="16">
        <f t="shared" si="163"/>
        <v>180562.5</v>
      </c>
      <c r="X195" s="16">
        <f t="shared" si="163"/>
        <v>180562.5</v>
      </c>
      <c r="Y195" s="246">
        <f>SUM(P195:X195)</f>
        <v>1023187.5</v>
      </c>
      <c r="Z195" s="246">
        <f>Y195+O195</f>
        <v>1302461.8459999999</v>
      </c>
      <c r="AA195" s="16">
        <f t="shared" ref="AA195:AD195" si="164">AA196*AA197</f>
        <v>1371219.6031454175</v>
      </c>
      <c r="AB195" s="16">
        <f t="shared" si="164"/>
        <v>1445115.677362612</v>
      </c>
      <c r="AC195" s="16">
        <f t="shared" si="164"/>
        <v>1900118.2615654154</v>
      </c>
      <c r="AD195" s="16">
        <f t="shared" si="164"/>
        <v>1979206.0278063044</v>
      </c>
      <c r="AF195" s="327"/>
      <c r="AK195" s="311"/>
    </row>
    <row r="196" spans="5:37" x14ac:dyDescent="0.3">
      <c r="G196" s="3" t="s">
        <v>298</v>
      </c>
      <c r="L196" s="16"/>
      <c r="M196" s="16"/>
      <c r="N196" s="15"/>
      <c r="O196" s="246">
        <f>O110</f>
        <v>4</v>
      </c>
      <c r="P196" s="16">
        <f>Revenue_HW!P447</f>
        <v>2</v>
      </c>
      <c r="Q196" s="16">
        <f>Revenue_HW!Q447</f>
        <v>2</v>
      </c>
      <c r="R196" s="16">
        <f>Revenue_HW!R447</f>
        <v>1</v>
      </c>
      <c r="S196" s="16">
        <f>Revenue_HW!S447</f>
        <v>2</v>
      </c>
      <c r="T196" s="16">
        <f>Revenue_HW!T447</f>
        <v>2</v>
      </c>
      <c r="U196" s="16">
        <f>Revenue_HW!U447</f>
        <v>0</v>
      </c>
      <c r="V196" s="16">
        <f>Revenue_HW!V447</f>
        <v>2</v>
      </c>
      <c r="W196" s="16">
        <f>Revenue_HW!W447</f>
        <v>3</v>
      </c>
      <c r="X196" s="16">
        <f>Revenue_HW!X447</f>
        <v>3</v>
      </c>
      <c r="Y196" s="246">
        <f>SUM(P196:X196)</f>
        <v>17</v>
      </c>
      <c r="Z196" s="246">
        <f>Y196+O196</f>
        <v>21</v>
      </c>
      <c r="AA196" s="16">
        <f>Revenue_HW!AA447</f>
        <v>22</v>
      </c>
      <c r="AB196" s="16">
        <f>Revenue_HW!AB447</f>
        <v>23</v>
      </c>
      <c r="AC196" s="16">
        <f>Revenue_HW!AC447</f>
        <v>30</v>
      </c>
      <c r="AD196" s="16">
        <f>Revenue_HW!AD447</f>
        <v>31</v>
      </c>
      <c r="AF196" s="327"/>
      <c r="AK196" s="311"/>
    </row>
    <row r="197" spans="5:37" x14ac:dyDescent="0.3">
      <c r="G197" s="3" t="s">
        <v>511</v>
      </c>
      <c r="I197" s="262">
        <f>Z197/Z113</f>
        <v>0.81472737935169082</v>
      </c>
      <c r="L197" s="16"/>
      <c r="M197" s="16"/>
      <c r="N197" s="15"/>
      <c r="O197" s="246">
        <f>O195/O196</f>
        <v>69818.586499999947</v>
      </c>
      <c r="P197" s="16">
        <f>Revenue_HW!P448</f>
        <v>60187.5</v>
      </c>
      <c r="Q197" s="16">
        <f>Revenue_HW!Q448</f>
        <v>60187.5</v>
      </c>
      <c r="R197" s="16">
        <f>Revenue_HW!R448</f>
        <v>60187.5</v>
      </c>
      <c r="S197" s="16">
        <f>Revenue_HW!S448</f>
        <v>60187.5</v>
      </c>
      <c r="T197" s="16">
        <f>Revenue_HW!T448</f>
        <v>60187.5</v>
      </c>
      <c r="U197" s="16">
        <f>Revenue_HW!U448</f>
        <v>60187.5</v>
      </c>
      <c r="V197" s="16">
        <f>Revenue_HW!V448</f>
        <v>60187.5</v>
      </c>
      <c r="W197" s="16">
        <f>Revenue_HW!W448</f>
        <v>60187.5</v>
      </c>
      <c r="X197" s="16">
        <f>Revenue_HW!X448</f>
        <v>60187.5</v>
      </c>
      <c r="Y197" s="246">
        <f>Y195/Y196</f>
        <v>60187.5</v>
      </c>
      <c r="Z197" s="246">
        <f>Z195/Z196</f>
        <v>62021.992666666665</v>
      </c>
      <c r="AA197" s="16">
        <f>AA113*$I197</f>
        <v>62328.163779337156</v>
      </c>
      <c r="AB197" s="16">
        <f t="shared" ref="AB197:AD197" si="165">AB113*$I197</f>
        <v>62831.116407070091</v>
      </c>
      <c r="AC197" s="16">
        <f t="shared" si="165"/>
        <v>63337.275385513851</v>
      </c>
      <c r="AD197" s="16">
        <f t="shared" si="165"/>
        <v>63845.355735687241</v>
      </c>
      <c r="AF197" s="327"/>
      <c r="AK197" s="311"/>
    </row>
    <row r="198" spans="5:37" x14ac:dyDescent="0.3">
      <c r="F198" s="3" t="s">
        <v>333</v>
      </c>
      <c r="L198" s="16"/>
      <c r="M198" s="16"/>
      <c r="N198" s="15"/>
      <c r="O198" s="246">
        <f>O194/O195*10^6</f>
        <v>1328.45</v>
      </c>
      <c r="P198" s="16">
        <f t="shared" ref="P198:X198" si="166">P$297</f>
        <v>1308.5999999999999</v>
      </c>
      <c r="Q198" s="16">
        <f t="shared" si="166"/>
        <v>1308.5999999999999</v>
      </c>
      <c r="R198" s="16">
        <f t="shared" si="166"/>
        <v>1308.5999999999999</v>
      </c>
      <c r="S198" s="16">
        <f t="shared" si="166"/>
        <v>1289.8</v>
      </c>
      <c r="T198" s="16">
        <f t="shared" si="166"/>
        <v>1289.8</v>
      </c>
      <c r="U198" s="16">
        <f t="shared" si="166"/>
        <v>1289.8</v>
      </c>
      <c r="V198" s="16">
        <f t="shared" si="166"/>
        <v>1259.9000000000001</v>
      </c>
      <c r="W198" s="16">
        <f t="shared" si="166"/>
        <v>1259.9000000000001</v>
      </c>
      <c r="X198" s="16">
        <f t="shared" si="166"/>
        <v>1259.9000000000001</v>
      </c>
      <c r="Y198" s="246">
        <f>Y194/Y195*10^6</f>
        <v>1281.2588235294118</v>
      </c>
      <c r="Z198" s="246">
        <f>Z194/Z195*10^6</f>
        <v>1291.3775728703381</v>
      </c>
      <c r="AA198" s="16">
        <f>AA$297</f>
        <v>1214.2</v>
      </c>
      <c r="AB198" s="16">
        <f>AB$297</f>
        <v>1201.8</v>
      </c>
      <c r="AC198" s="16">
        <f>AC$297</f>
        <v>1199.3</v>
      </c>
      <c r="AD198" s="16">
        <f>AD$297</f>
        <v>1212</v>
      </c>
      <c r="AF198" s="327"/>
      <c r="AK198" s="311"/>
    </row>
    <row r="199" spans="5:37" x14ac:dyDescent="0.3">
      <c r="E199" s="3" t="s">
        <v>149</v>
      </c>
      <c r="L199" s="16"/>
      <c r="M199" s="16"/>
      <c r="N199" s="15"/>
      <c r="O199" s="306"/>
      <c r="P199" s="119">
        <f t="shared" ref="P199:X199" si="167">P200*P203/10^6</f>
        <v>0</v>
      </c>
      <c r="Q199" s="119">
        <f t="shared" si="167"/>
        <v>0</v>
      </c>
      <c r="R199" s="119">
        <f t="shared" si="167"/>
        <v>0</v>
      </c>
      <c r="S199" s="119">
        <f t="shared" si="167"/>
        <v>0</v>
      </c>
      <c r="T199" s="119">
        <f t="shared" si="167"/>
        <v>0</v>
      </c>
      <c r="U199" s="119">
        <f t="shared" si="167"/>
        <v>0</v>
      </c>
      <c r="V199" s="119">
        <f t="shared" si="167"/>
        <v>0</v>
      </c>
      <c r="W199" s="119">
        <f t="shared" si="167"/>
        <v>0</v>
      </c>
      <c r="X199" s="119">
        <f t="shared" si="167"/>
        <v>0</v>
      </c>
      <c r="Y199" s="306">
        <f>SUM(P199:X199)</f>
        <v>0</v>
      </c>
      <c r="Z199" s="306">
        <f>Y199+O199</f>
        <v>0</v>
      </c>
      <c r="AA199" s="119"/>
      <c r="AB199" s="119"/>
      <c r="AC199" s="119"/>
      <c r="AD199" s="119"/>
      <c r="AF199" s="327"/>
      <c r="AK199" s="311"/>
    </row>
    <row r="200" spans="5:37" x14ac:dyDescent="0.3">
      <c r="F200" s="3" t="s">
        <v>510</v>
      </c>
      <c r="L200" s="16"/>
      <c r="M200" s="16"/>
      <c r="N200" s="15"/>
      <c r="O200" s="306"/>
      <c r="P200" s="119">
        <f t="shared" ref="P200:X200" si="168">P201*P202</f>
        <v>0</v>
      </c>
      <c r="Q200" s="119">
        <f t="shared" si="168"/>
        <v>0</v>
      </c>
      <c r="R200" s="119">
        <f t="shared" si="168"/>
        <v>0</v>
      </c>
      <c r="S200" s="119">
        <f t="shared" si="168"/>
        <v>0</v>
      </c>
      <c r="T200" s="119">
        <f t="shared" si="168"/>
        <v>0</v>
      </c>
      <c r="U200" s="119">
        <f t="shared" si="168"/>
        <v>0</v>
      </c>
      <c r="V200" s="119">
        <f t="shared" si="168"/>
        <v>0</v>
      </c>
      <c r="W200" s="119">
        <f t="shared" si="168"/>
        <v>0</v>
      </c>
      <c r="X200" s="119">
        <f t="shared" si="168"/>
        <v>0</v>
      </c>
      <c r="Y200" s="306">
        <f>SUM(P200:X200)</f>
        <v>0</v>
      </c>
      <c r="Z200" s="306">
        <f>Y200+O200</f>
        <v>0</v>
      </c>
      <c r="AA200" s="119"/>
      <c r="AB200" s="119"/>
      <c r="AC200" s="119"/>
      <c r="AD200" s="119"/>
      <c r="AF200" s="327"/>
      <c r="AK200" s="311"/>
    </row>
    <row r="201" spans="5:37" x14ac:dyDescent="0.3">
      <c r="G201" s="3" t="s">
        <v>298</v>
      </c>
      <c r="L201" s="16"/>
      <c r="M201" s="16"/>
      <c r="N201" s="15"/>
      <c r="O201" s="306"/>
      <c r="P201" s="119">
        <f>Revenue_HW!P452</f>
        <v>0</v>
      </c>
      <c r="Q201" s="119">
        <f>Revenue_HW!Q452</f>
        <v>0</v>
      </c>
      <c r="R201" s="119">
        <f>Revenue_HW!R452</f>
        <v>0</v>
      </c>
      <c r="S201" s="119">
        <f>Revenue_HW!S452</f>
        <v>0</v>
      </c>
      <c r="T201" s="119">
        <f>Revenue_HW!T452</f>
        <v>0</v>
      </c>
      <c r="U201" s="119">
        <f>Revenue_HW!U452</f>
        <v>0</v>
      </c>
      <c r="V201" s="119">
        <f>Revenue_HW!V452</f>
        <v>0</v>
      </c>
      <c r="W201" s="119">
        <f>Revenue_HW!W452</f>
        <v>0</v>
      </c>
      <c r="X201" s="119">
        <f>Revenue_HW!X452</f>
        <v>0</v>
      </c>
      <c r="Y201" s="306">
        <f>SUM(P201:X201)</f>
        <v>0</v>
      </c>
      <c r="Z201" s="306">
        <f>Y201+O201</f>
        <v>0</v>
      </c>
      <c r="AA201" s="119"/>
      <c r="AB201" s="119"/>
      <c r="AC201" s="119"/>
      <c r="AD201" s="119"/>
      <c r="AF201" s="327"/>
      <c r="AK201" s="311"/>
    </row>
    <row r="202" spans="5:37" x14ac:dyDescent="0.3">
      <c r="G202" s="3" t="s">
        <v>511</v>
      </c>
      <c r="L202" s="16"/>
      <c r="M202" s="16"/>
      <c r="N202" s="15"/>
      <c r="O202" s="306"/>
      <c r="P202" s="119">
        <f>Revenue_HW!P453</f>
        <v>0</v>
      </c>
      <c r="Q202" s="119">
        <f>Revenue_HW!Q453</f>
        <v>0</v>
      </c>
      <c r="R202" s="119">
        <f>Revenue_HW!R453</f>
        <v>0</v>
      </c>
      <c r="S202" s="119">
        <f>Revenue_HW!S453</f>
        <v>0</v>
      </c>
      <c r="T202" s="119">
        <f>Revenue_HW!T453</f>
        <v>0</v>
      </c>
      <c r="U202" s="119">
        <f>Revenue_HW!U453</f>
        <v>0</v>
      </c>
      <c r="V202" s="119">
        <f>Revenue_HW!V453</f>
        <v>0</v>
      </c>
      <c r="W202" s="119">
        <f>Revenue_HW!W453</f>
        <v>0</v>
      </c>
      <c r="X202" s="119">
        <f>Revenue_HW!X453</f>
        <v>0</v>
      </c>
      <c r="Y202" s="306">
        <f>IFERROR(Y200/Y201,)</f>
        <v>0</v>
      </c>
      <c r="Z202" s="306">
        <f>IFERROR(Z200/Z201,)</f>
        <v>0</v>
      </c>
      <c r="AA202" s="119"/>
      <c r="AB202" s="119"/>
      <c r="AC202" s="119"/>
      <c r="AD202" s="119"/>
      <c r="AF202" s="327"/>
      <c r="AK202" s="311"/>
    </row>
    <row r="203" spans="5:37" x14ac:dyDescent="0.3">
      <c r="F203" s="3" t="s">
        <v>333</v>
      </c>
      <c r="L203" s="16"/>
      <c r="M203" s="16"/>
      <c r="N203" s="15"/>
      <c r="O203" s="306"/>
      <c r="P203" s="119"/>
      <c r="Q203" s="119"/>
      <c r="R203" s="119"/>
      <c r="S203" s="119"/>
      <c r="T203" s="119"/>
      <c r="U203" s="119"/>
      <c r="V203" s="119"/>
      <c r="W203" s="119"/>
      <c r="X203" s="119"/>
      <c r="Y203" s="306"/>
      <c r="Z203" s="306">
        <f>IFERROR(Z199/Z200*10^6,)</f>
        <v>0</v>
      </c>
      <c r="AA203" s="119"/>
      <c r="AB203" s="119"/>
      <c r="AC203" s="119"/>
      <c r="AD203" s="119"/>
      <c r="AF203" s="327"/>
      <c r="AK203" s="311"/>
    </row>
    <row r="204" spans="5:37" x14ac:dyDescent="0.3">
      <c r="E204" s="3" t="s">
        <v>150</v>
      </c>
      <c r="L204" s="16"/>
      <c r="M204" s="16"/>
      <c r="N204" s="15"/>
      <c r="O204" s="246">
        <v>85.702273594800005</v>
      </c>
      <c r="P204" s="16">
        <f t="shared" ref="P204:X204" si="169">P205*P208/10^6</f>
        <v>0</v>
      </c>
      <c r="Q204" s="16">
        <f t="shared" si="169"/>
        <v>0</v>
      </c>
      <c r="R204" s="16">
        <f t="shared" si="169"/>
        <v>0</v>
      </c>
      <c r="S204" s="16">
        <f t="shared" si="169"/>
        <v>0</v>
      </c>
      <c r="T204" s="16">
        <f t="shared" si="169"/>
        <v>0</v>
      </c>
      <c r="U204" s="16">
        <f t="shared" si="169"/>
        <v>0</v>
      </c>
      <c r="V204" s="16">
        <f t="shared" si="169"/>
        <v>238.34788200000006</v>
      </c>
      <c r="W204" s="16">
        <f t="shared" si="169"/>
        <v>0</v>
      </c>
      <c r="X204" s="16">
        <f t="shared" si="169"/>
        <v>0</v>
      </c>
      <c r="Y204" s="246">
        <f>SUM(P204:X204)</f>
        <v>238.34788200000006</v>
      </c>
      <c r="Z204" s="246">
        <f>Y204+O204</f>
        <v>324.05015559480006</v>
      </c>
      <c r="AA204" s="119"/>
      <c r="AB204" s="119"/>
      <c r="AC204" s="119"/>
      <c r="AD204" s="119"/>
      <c r="AF204" s="327"/>
      <c r="AK204" s="311"/>
    </row>
    <row r="205" spans="5:37" x14ac:dyDescent="0.3">
      <c r="F205" s="3" t="s">
        <v>510</v>
      </c>
      <c r="L205" s="16"/>
      <c r="M205" s="16"/>
      <c r="N205" s="15"/>
      <c r="O205" s="246">
        <v>64512.984000000004</v>
      </c>
      <c r="P205" s="16">
        <f t="shared" ref="P205:X205" si="170">P206*P207</f>
        <v>0</v>
      </c>
      <c r="Q205" s="16">
        <f t="shared" si="170"/>
        <v>0</v>
      </c>
      <c r="R205" s="16">
        <f t="shared" si="170"/>
        <v>0</v>
      </c>
      <c r="S205" s="16">
        <f t="shared" si="170"/>
        <v>0</v>
      </c>
      <c r="T205" s="16">
        <f t="shared" si="170"/>
        <v>0</v>
      </c>
      <c r="U205" s="16">
        <f t="shared" si="170"/>
        <v>0</v>
      </c>
      <c r="V205" s="16">
        <f t="shared" si="170"/>
        <v>189180.00000000003</v>
      </c>
      <c r="W205" s="16">
        <f t="shared" si="170"/>
        <v>0</v>
      </c>
      <c r="X205" s="16">
        <f t="shared" si="170"/>
        <v>0</v>
      </c>
      <c r="Y205" s="246">
        <f>SUM(P205:X205)</f>
        <v>189180.00000000003</v>
      </c>
      <c r="Z205" s="246">
        <f>Y205+O205</f>
        <v>253692.98400000003</v>
      </c>
      <c r="AA205" s="119"/>
      <c r="AB205" s="119"/>
      <c r="AC205" s="119"/>
      <c r="AD205" s="119"/>
      <c r="AF205" s="327"/>
      <c r="AK205" s="311"/>
    </row>
    <row r="206" spans="5:37" x14ac:dyDescent="0.3">
      <c r="G206" s="3" t="s">
        <v>298</v>
      </c>
      <c r="L206" s="16"/>
      <c r="M206" s="16"/>
      <c r="N206" s="15"/>
      <c r="O206" s="246">
        <f>O124</f>
        <v>1</v>
      </c>
      <c r="P206" s="16">
        <f>Revenue_HW!P457</f>
        <v>0</v>
      </c>
      <c r="Q206" s="16">
        <f>Revenue_HW!Q457</f>
        <v>0</v>
      </c>
      <c r="R206" s="16">
        <f>Revenue_HW!R457</f>
        <v>0</v>
      </c>
      <c r="S206" s="16">
        <f>Revenue_HW!S457</f>
        <v>0</v>
      </c>
      <c r="T206" s="16">
        <f>Revenue_HW!T457</f>
        <v>0</v>
      </c>
      <c r="U206" s="16">
        <f>Revenue_HW!U457</f>
        <v>0</v>
      </c>
      <c r="V206" s="16">
        <f>Revenue_HW!V457</f>
        <v>1</v>
      </c>
      <c r="W206" s="16">
        <f>Revenue_HW!W457</f>
        <v>0</v>
      </c>
      <c r="X206" s="16">
        <f>Revenue_HW!X457</f>
        <v>0</v>
      </c>
      <c r="Y206" s="246">
        <f>SUM(P206:X206)</f>
        <v>1</v>
      </c>
      <c r="Z206" s="246">
        <f>Y206+O206</f>
        <v>2</v>
      </c>
      <c r="AA206" s="119"/>
      <c r="AB206" s="119"/>
      <c r="AC206" s="119"/>
      <c r="AD206" s="119"/>
      <c r="AF206" s="327"/>
      <c r="AK206" s="311"/>
    </row>
    <row r="207" spans="5:37" x14ac:dyDescent="0.3">
      <c r="G207" s="3" t="s">
        <v>511</v>
      </c>
      <c r="L207" s="16"/>
      <c r="M207" s="16"/>
      <c r="N207" s="15"/>
      <c r="O207" s="246">
        <f>O205/O206</f>
        <v>64512.984000000004</v>
      </c>
      <c r="P207" s="16">
        <f>Revenue_HW!P458</f>
        <v>189180.00000000003</v>
      </c>
      <c r="Q207" s="16">
        <f>Revenue_HW!Q458</f>
        <v>189180.00000000003</v>
      </c>
      <c r="R207" s="16">
        <f>Revenue_HW!R458</f>
        <v>189180.00000000003</v>
      </c>
      <c r="S207" s="16">
        <f>Revenue_HW!S458</f>
        <v>189180.00000000003</v>
      </c>
      <c r="T207" s="16">
        <f>Revenue_HW!T458</f>
        <v>189180.00000000003</v>
      </c>
      <c r="U207" s="16">
        <f>Revenue_HW!U458</f>
        <v>189180.00000000003</v>
      </c>
      <c r="V207" s="16">
        <f>Revenue_HW!V458</f>
        <v>189180.00000000003</v>
      </c>
      <c r="W207" s="16">
        <f>Revenue_HW!W458</f>
        <v>189180.00000000003</v>
      </c>
      <c r="X207" s="16">
        <f>Revenue_HW!X458</f>
        <v>189180.00000000003</v>
      </c>
      <c r="Y207" s="246">
        <f>Y205/Y206</f>
        <v>189180.00000000003</v>
      </c>
      <c r="Z207" s="246">
        <f>IFERROR(Z205/Z206,)</f>
        <v>126846.49200000001</v>
      </c>
      <c r="AA207" s="119"/>
      <c r="AB207" s="119"/>
      <c r="AC207" s="119"/>
      <c r="AD207" s="119"/>
      <c r="AF207" s="327"/>
      <c r="AK207" s="311"/>
    </row>
    <row r="208" spans="5:37" x14ac:dyDescent="0.3">
      <c r="F208" s="3" t="s">
        <v>333</v>
      </c>
      <c r="L208" s="16"/>
      <c r="M208" s="16"/>
      <c r="N208" s="15"/>
      <c r="O208" s="246">
        <f>O204/O205*10^6</f>
        <v>1328.4499999999998</v>
      </c>
      <c r="P208" s="16">
        <f t="shared" ref="P208:X208" si="171">P$297</f>
        <v>1308.5999999999999</v>
      </c>
      <c r="Q208" s="16">
        <f t="shared" si="171"/>
        <v>1308.5999999999999</v>
      </c>
      <c r="R208" s="16">
        <f t="shared" si="171"/>
        <v>1308.5999999999999</v>
      </c>
      <c r="S208" s="16">
        <f t="shared" si="171"/>
        <v>1289.8</v>
      </c>
      <c r="T208" s="16">
        <f t="shared" si="171"/>
        <v>1289.8</v>
      </c>
      <c r="U208" s="16">
        <f t="shared" si="171"/>
        <v>1289.8</v>
      </c>
      <c r="V208" s="16">
        <f t="shared" si="171"/>
        <v>1259.9000000000001</v>
      </c>
      <c r="W208" s="16">
        <f t="shared" si="171"/>
        <v>1259.9000000000001</v>
      </c>
      <c r="X208" s="16">
        <f t="shared" si="171"/>
        <v>1259.9000000000001</v>
      </c>
      <c r="Y208" s="246">
        <f>Y204/Y205*10^6</f>
        <v>1259.9000000000001</v>
      </c>
      <c r="Z208" s="246">
        <f>IFERROR(Z204/Z205*10^6,)</f>
        <v>1277.3319564675073</v>
      </c>
      <c r="AA208" s="119"/>
      <c r="AB208" s="119"/>
      <c r="AC208" s="119"/>
      <c r="AD208" s="119"/>
      <c r="AF208" s="327"/>
      <c r="AK208" s="311"/>
    </row>
    <row r="209" spans="2:37" x14ac:dyDescent="0.3">
      <c r="E209" s="3" t="s">
        <v>105</v>
      </c>
      <c r="L209" s="16"/>
      <c r="M209" s="16"/>
      <c r="N209" s="15"/>
      <c r="O209" s="246">
        <f>O210+O212+O214</f>
        <v>386.26798854952</v>
      </c>
      <c r="P209" s="16">
        <f t="shared" ref="P209:Y209" si="172">P210+P212+P214</f>
        <v>54.88156330915394</v>
      </c>
      <c r="Q209" s="16">
        <f t="shared" si="172"/>
        <v>60.348985289578394</v>
      </c>
      <c r="R209" s="16">
        <f t="shared" si="172"/>
        <v>73.339995091938675</v>
      </c>
      <c r="S209" s="16">
        <f t="shared" si="172"/>
        <v>51.402369971945731</v>
      </c>
      <c r="T209" s="16">
        <f t="shared" si="172"/>
        <v>62.51293526416687</v>
      </c>
      <c r="U209" s="16">
        <f t="shared" si="172"/>
        <v>41.24859890675539</v>
      </c>
      <c r="V209" s="16">
        <f t="shared" si="172"/>
        <v>90.706201894878291</v>
      </c>
      <c r="W209" s="16">
        <f t="shared" si="172"/>
        <v>59.675448425322429</v>
      </c>
      <c r="X209" s="16">
        <f t="shared" si="172"/>
        <v>67.773136642515581</v>
      </c>
      <c r="Y209" s="246">
        <f t="shared" si="172"/>
        <v>561.88923479625532</v>
      </c>
      <c r="Z209" s="246">
        <f>Z210+Z212+Z214</f>
        <v>948.15722334577526</v>
      </c>
      <c r="AA209" s="16">
        <f t="shared" ref="AA209:AD209" si="173">AA210+AA212+AA214</f>
        <v>679.06810135596186</v>
      </c>
      <c r="AB209" s="16">
        <f t="shared" si="173"/>
        <v>731.89495218763659</v>
      </c>
      <c r="AC209" s="16">
        <f t="shared" si="173"/>
        <v>816.51973865277421</v>
      </c>
      <c r="AD209" s="16">
        <f t="shared" si="173"/>
        <v>898.33916720135494</v>
      </c>
      <c r="AF209" s="327"/>
      <c r="AK209" s="311"/>
    </row>
    <row r="210" spans="2:37" x14ac:dyDescent="0.3">
      <c r="F210" s="3" t="s">
        <v>307</v>
      </c>
      <c r="L210" s="16"/>
      <c r="M210" s="16"/>
      <c r="N210" s="15"/>
      <c r="O210" s="246">
        <v>352.43768084952001</v>
      </c>
      <c r="P210" s="16">
        <f t="shared" ref="P210:X210" si="174">P130*P211</f>
        <v>43.040955614153937</v>
      </c>
      <c r="Q210" s="16">
        <f t="shared" si="174"/>
        <v>48.508377594578391</v>
      </c>
      <c r="R210" s="16">
        <f t="shared" si="174"/>
        <v>58.116356626938668</v>
      </c>
      <c r="S210" s="16">
        <f t="shared" si="174"/>
        <v>41.253277661945731</v>
      </c>
      <c r="T210" s="16">
        <f t="shared" si="174"/>
        <v>48.980812184166865</v>
      </c>
      <c r="U210" s="16">
        <f t="shared" si="174"/>
        <v>32.791021981755392</v>
      </c>
      <c r="V210" s="16">
        <f t="shared" si="174"/>
        <v>73.791048044878295</v>
      </c>
      <c r="W210" s="16">
        <f t="shared" si="174"/>
        <v>46.143325345322431</v>
      </c>
      <c r="X210" s="16">
        <f t="shared" si="174"/>
        <v>52.549498177515574</v>
      </c>
      <c r="Y210" s="246">
        <f>SUM(P210:X210)</f>
        <v>445.17467323125527</v>
      </c>
      <c r="Z210" s="246">
        <f>Y210+O210</f>
        <v>797.61235408077528</v>
      </c>
      <c r="AA210" s="16">
        <f>AA211*AA130</f>
        <v>521.90771542022685</v>
      </c>
      <c r="AB210" s="16">
        <f t="shared" ref="AB210:AD210" si="175">AB211*AB130</f>
        <v>558.75256392828305</v>
      </c>
      <c r="AC210" s="16">
        <f t="shared" si="175"/>
        <v>623.94300069084011</v>
      </c>
      <c r="AD210" s="16">
        <f t="shared" si="175"/>
        <v>691.42629337510732</v>
      </c>
      <c r="AF210" s="327"/>
      <c r="AK210" s="311"/>
    </row>
    <row r="211" spans="2:37" s="23" customFormat="1" x14ac:dyDescent="0.3">
      <c r="G211" s="23" t="s">
        <v>512</v>
      </c>
      <c r="I211" s="466">
        <v>0.84399999999999997</v>
      </c>
      <c r="L211" s="151"/>
      <c r="M211" s="151"/>
      <c r="N211" s="150"/>
      <c r="O211" s="340">
        <f>O210/O130</f>
        <v>0.84399999999999997</v>
      </c>
      <c r="P211" s="43">
        <f t="shared" ref="P211:X211" si="176">$I211</f>
        <v>0.84399999999999997</v>
      </c>
      <c r="Q211" s="43">
        <f t="shared" si="176"/>
        <v>0.84399999999999997</v>
      </c>
      <c r="R211" s="43">
        <f t="shared" si="176"/>
        <v>0.84399999999999997</v>
      </c>
      <c r="S211" s="43">
        <f t="shared" si="176"/>
        <v>0.84399999999999997</v>
      </c>
      <c r="T211" s="43">
        <f t="shared" si="176"/>
        <v>0.84399999999999997</v>
      </c>
      <c r="U211" s="43">
        <f t="shared" si="176"/>
        <v>0.84399999999999997</v>
      </c>
      <c r="V211" s="43">
        <f t="shared" si="176"/>
        <v>0.84399999999999997</v>
      </c>
      <c r="W211" s="43">
        <f t="shared" si="176"/>
        <v>0.84399999999999997</v>
      </c>
      <c r="X211" s="43">
        <f t="shared" si="176"/>
        <v>0.84399999999999997</v>
      </c>
      <c r="Y211" s="340">
        <f>Y210/Y130</f>
        <v>0.84399999999999986</v>
      </c>
      <c r="Z211" s="340">
        <f>Z210/Z130</f>
        <v>0.84399999999999986</v>
      </c>
      <c r="AA211" s="43">
        <f>$I211</f>
        <v>0.84399999999999997</v>
      </c>
      <c r="AB211" s="43">
        <f t="shared" ref="AB211:AD213" si="177">$I211</f>
        <v>0.84399999999999997</v>
      </c>
      <c r="AC211" s="43">
        <f t="shared" si="177"/>
        <v>0.84399999999999997</v>
      </c>
      <c r="AD211" s="43">
        <f t="shared" si="177"/>
        <v>0.84399999999999997</v>
      </c>
      <c r="AF211" s="327"/>
      <c r="AG211" s="322"/>
      <c r="AH211" s="3"/>
      <c r="AI211" s="3"/>
      <c r="AK211" s="311"/>
    </row>
    <row r="212" spans="2:37" x14ac:dyDescent="0.3">
      <c r="F212" s="3" t="s">
        <v>309</v>
      </c>
      <c r="L212" s="16"/>
      <c r="M212" s="16"/>
      <c r="N212" s="15"/>
      <c r="O212" s="246">
        <v>0</v>
      </c>
      <c r="P212" s="16">
        <f t="shared" ref="P212:X212" si="178">P132*P213</f>
        <v>0</v>
      </c>
      <c r="Q212" s="16">
        <f t="shared" si="178"/>
        <v>0</v>
      </c>
      <c r="R212" s="16">
        <f t="shared" si="178"/>
        <v>0</v>
      </c>
      <c r="S212" s="16">
        <f t="shared" si="178"/>
        <v>0</v>
      </c>
      <c r="T212" s="16">
        <f t="shared" si="178"/>
        <v>0</v>
      </c>
      <c r="U212" s="16">
        <f t="shared" si="178"/>
        <v>0</v>
      </c>
      <c r="V212" s="16">
        <f t="shared" si="178"/>
        <v>0</v>
      </c>
      <c r="W212" s="16">
        <f t="shared" si="178"/>
        <v>0</v>
      </c>
      <c r="X212" s="16">
        <f t="shared" si="178"/>
        <v>0</v>
      </c>
      <c r="Y212" s="246">
        <f>SUM(P212:X212)</f>
        <v>0</v>
      </c>
      <c r="Z212" s="246">
        <f>Y212+O212</f>
        <v>0</v>
      </c>
      <c r="AA212" s="16">
        <f>AA132*AA213</f>
        <v>0</v>
      </c>
      <c r="AB212" s="16">
        <f t="shared" ref="AB212:AD212" si="179">AB132*AB213</f>
        <v>0</v>
      </c>
      <c r="AC212" s="16">
        <f t="shared" si="179"/>
        <v>0</v>
      </c>
      <c r="AD212" s="16">
        <f t="shared" si="179"/>
        <v>0</v>
      </c>
      <c r="AF212" s="327"/>
      <c r="AK212" s="311"/>
    </row>
    <row r="213" spans="2:37" s="23" customFormat="1" x14ac:dyDescent="0.3">
      <c r="G213" s="23" t="s">
        <v>513</v>
      </c>
      <c r="I213" s="262">
        <v>0</v>
      </c>
      <c r="L213" s="151"/>
      <c r="M213" s="151"/>
      <c r="N213" s="150"/>
      <c r="O213" s="467">
        <v>0</v>
      </c>
      <c r="P213" s="43">
        <f t="shared" ref="P213:Z213" si="180">$I213</f>
        <v>0</v>
      </c>
      <c r="Q213" s="43">
        <f t="shared" si="180"/>
        <v>0</v>
      </c>
      <c r="R213" s="43">
        <f t="shared" si="180"/>
        <v>0</v>
      </c>
      <c r="S213" s="43">
        <f t="shared" si="180"/>
        <v>0</v>
      </c>
      <c r="T213" s="43">
        <f t="shared" si="180"/>
        <v>0</v>
      </c>
      <c r="U213" s="43">
        <f t="shared" si="180"/>
        <v>0</v>
      </c>
      <c r="V213" s="43">
        <f t="shared" si="180"/>
        <v>0</v>
      </c>
      <c r="W213" s="43">
        <f t="shared" si="180"/>
        <v>0</v>
      </c>
      <c r="X213" s="43">
        <f t="shared" si="180"/>
        <v>0</v>
      </c>
      <c r="Y213" s="340">
        <f t="shared" si="180"/>
        <v>0</v>
      </c>
      <c r="Z213" s="340">
        <f t="shared" si="180"/>
        <v>0</v>
      </c>
      <c r="AA213" s="43">
        <f>$I213</f>
        <v>0</v>
      </c>
      <c r="AB213" s="43">
        <f t="shared" si="177"/>
        <v>0</v>
      </c>
      <c r="AC213" s="43">
        <f t="shared" si="177"/>
        <v>0</v>
      </c>
      <c r="AD213" s="43">
        <f t="shared" si="177"/>
        <v>0</v>
      </c>
      <c r="AF213" s="327"/>
      <c r="AG213" s="322"/>
      <c r="AH213" s="3"/>
      <c r="AI213" s="3"/>
      <c r="AK213" s="311"/>
    </row>
    <row r="214" spans="2:37" x14ac:dyDescent="0.3">
      <c r="F214" s="3" t="s">
        <v>311</v>
      </c>
      <c r="L214" s="16"/>
      <c r="M214" s="16"/>
      <c r="N214" s="15"/>
      <c r="O214" s="246">
        <f>O136</f>
        <v>33.830307700000006</v>
      </c>
      <c r="P214" s="16">
        <f t="shared" ref="P214:X214" si="181">P136</f>
        <v>11.840607695000001</v>
      </c>
      <c r="Q214" s="16">
        <f t="shared" si="181"/>
        <v>11.840607695000001</v>
      </c>
      <c r="R214" s="16">
        <f t="shared" si="181"/>
        <v>15.223638465000002</v>
      </c>
      <c r="S214" s="16">
        <f t="shared" si="181"/>
        <v>10.14909231</v>
      </c>
      <c r="T214" s="16">
        <f t="shared" si="181"/>
        <v>13.532123080000002</v>
      </c>
      <c r="U214" s="16">
        <f t="shared" si="181"/>
        <v>8.4575769250000015</v>
      </c>
      <c r="V214" s="16">
        <f t="shared" si="181"/>
        <v>16.915153850000003</v>
      </c>
      <c r="W214" s="16">
        <f t="shared" si="181"/>
        <v>13.532123080000002</v>
      </c>
      <c r="X214" s="16">
        <f t="shared" si="181"/>
        <v>15.223638465000002</v>
      </c>
      <c r="Y214" s="246">
        <f>SUM(P214:X214)</f>
        <v>116.71456156500003</v>
      </c>
      <c r="Z214" s="246">
        <f>Y214+O214</f>
        <v>150.54486926500005</v>
      </c>
      <c r="AA214" s="16">
        <f t="shared" ref="AA214:AD214" si="182">AA136</f>
        <v>157.16038593573501</v>
      </c>
      <c r="AB214" s="16">
        <f t="shared" si="182"/>
        <v>173.1423882593536</v>
      </c>
      <c r="AC214" s="16">
        <f t="shared" si="182"/>
        <v>192.5767379619341</v>
      </c>
      <c r="AD214" s="16">
        <f t="shared" si="182"/>
        <v>206.91287382624768</v>
      </c>
      <c r="AF214" s="327"/>
      <c r="AK214" s="311"/>
    </row>
    <row r="215" spans="2:37" x14ac:dyDescent="0.3">
      <c r="D215" s="3" t="s">
        <v>514</v>
      </c>
      <c r="L215" s="16"/>
      <c r="M215" s="16"/>
      <c r="N215" s="15"/>
      <c r="O215" s="246">
        <v>-47.383473428000002</v>
      </c>
      <c r="P215" s="16">
        <f t="shared" ref="P215:X215" si="183">P216*P217</f>
        <v>0</v>
      </c>
      <c r="Q215" s="16">
        <f t="shared" si="183"/>
        <v>0</v>
      </c>
      <c r="R215" s="16">
        <f t="shared" si="183"/>
        <v>0</v>
      </c>
      <c r="S215" s="16">
        <f t="shared" si="183"/>
        <v>0</v>
      </c>
      <c r="T215" s="16">
        <f t="shared" si="183"/>
        <v>0</v>
      </c>
      <c r="U215" s="16">
        <f t="shared" si="183"/>
        <v>0</v>
      </c>
      <c r="V215" s="16">
        <f t="shared" si="183"/>
        <v>0</v>
      </c>
      <c r="W215" s="16">
        <f t="shared" si="183"/>
        <v>0</v>
      </c>
      <c r="X215" s="16">
        <f t="shared" si="183"/>
        <v>0</v>
      </c>
      <c r="Y215" s="246">
        <f>SUM(P215:X215)</f>
        <v>0</v>
      </c>
      <c r="Z215" s="246">
        <f>Y215+O215</f>
        <v>-47.383473428000002</v>
      </c>
      <c r="AA215" s="16">
        <f>AA216*AA217</f>
        <v>0</v>
      </c>
      <c r="AB215" s="16">
        <f>AB216*AB217</f>
        <v>0</v>
      </c>
      <c r="AC215" s="16">
        <f>AC216*AC217</f>
        <v>0</v>
      </c>
      <c r="AD215" s="16">
        <f>AD216*AD217</f>
        <v>0</v>
      </c>
      <c r="AF215" s="327"/>
      <c r="AK215" s="311"/>
    </row>
    <row r="216" spans="2:37" x14ac:dyDescent="0.3">
      <c r="E216" s="3" t="s">
        <v>318</v>
      </c>
      <c r="L216" s="16"/>
      <c r="M216" s="16"/>
      <c r="N216" s="15"/>
      <c r="O216" s="246">
        <f t="shared" ref="O216:X216" si="184">O206+O201+O196+O191+O186</f>
        <v>20</v>
      </c>
      <c r="P216" s="16">
        <f t="shared" si="184"/>
        <v>7</v>
      </c>
      <c r="Q216" s="16">
        <f t="shared" si="184"/>
        <v>7</v>
      </c>
      <c r="R216" s="16">
        <f t="shared" si="184"/>
        <v>9</v>
      </c>
      <c r="S216" s="16">
        <f t="shared" si="184"/>
        <v>6</v>
      </c>
      <c r="T216" s="16">
        <f t="shared" si="184"/>
        <v>8</v>
      </c>
      <c r="U216" s="16">
        <f t="shared" si="184"/>
        <v>5</v>
      </c>
      <c r="V216" s="16">
        <f t="shared" si="184"/>
        <v>10</v>
      </c>
      <c r="W216" s="16">
        <f t="shared" si="184"/>
        <v>8</v>
      </c>
      <c r="X216" s="16">
        <f t="shared" si="184"/>
        <v>9</v>
      </c>
      <c r="Y216" s="246">
        <f>SUM(P216:X216)</f>
        <v>69</v>
      </c>
      <c r="Z216" s="246">
        <f>Y216+O216</f>
        <v>89</v>
      </c>
      <c r="AA216" s="16">
        <f>AA206+AA201+AA196+AA191+AA186</f>
        <v>91</v>
      </c>
      <c r="AB216" s="16">
        <f>AB206+AB201+AB196+AB191+AB186</f>
        <v>98</v>
      </c>
      <c r="AC216" s="16">
        <f>AC206+AC201+AC196+AC191+AC186</f>
        <v>109</v>
      </c>
      <c r="AD216" s="16">
        <f>AD206+AD201+AD196+AD191+AD186</f>
        <v>117</v>
      </c>
      <c r="AF216" s="327"/>
      <c r="AK216" s="311"/>
    </row>
    <row r="217" spans="2:37" s="43" customFormat="1" x14ac:dyDescent="0.3">
      <c r="B217" s="468"/>
      <c r="C217" s="468"/>
      <c r="D217" s="468"/>
      <c r="E217" s="279" t="s">
        <v>515</v>
      </c>
      <c r="F217" s="468"/>
      <c r="G217" s="468"/>
      <c r="H217" s="468"/>
      <c r="I217" s="465">
        <v>0</v>
      </c>
      <c r="J217" s="468"/>
      <c r="K217" s="468"/>
      <c r="L217" s="468"/>
      <c r="M217" s="468"/>
      <c r="N217" s="469"/>
      <c r="O217" s="470">
        <f>O215/O216</f>
        <v>-2.3691736714</v>
      </c>
      <c r="P217" s="153">
        <f t="shared" ref="P217:X217" si="185">$I217</f>
        <v>0</v>
      </c>
      <c r="Q217" s="153">
        <f t="shared" si="185"/>
        <v>0</v>
      </c>
      <c r="R217" s="153">
        <f t="shared" si="185"/>
        <v>0</v>
      </c>
      <c r="S217" s="153">
        <f t="shared" si="185"/>
        <v>0</v>
      </c>
      <c r="T217" s="153">
        <f t="shared" si="185"/>
        <v>0</v>
      </c>
      <c r="U217" s="153">
        <f t="shared" si="185"/>
        <v>0</v>
      </c>
      <c r="V217" s="153">
        <f t="shared" si="185"/>
        <v>0</v>
      </c>
      <c r="W217" s="153">
        <f t="shared" si="185"/>
        <v>0</v>
      </c>
      <c r="X217" s="153">
        <f t="shared" si="185"/>
        <v>0</v>
      </c>
      <c r="Y217" s="470"/>
      <c r="Z217" s="470">
        <f>Z215/Z216</f>
        <v>-0.53239857784269662</v>
      </c>
      <c r="AA217" s="153">
        <v>0</v>
      </c>
      <c r="AB217" s="153">
        <v>0</v>
      </c>
      <c r="AC217" s="153">
        <v>0</v>
      </c>
      <c r="AD217" s="153">
        <v>0</v>
      </c>
      <c r="AF217" s="327"/>
      <c r="AG217" s="322"/>
      <c r="AH217" s="3"/>
      <c r="AI217" s="3"/>
      <c r="AK217" s="311"/>
    </row>
    <row r="218" spans="2:37" x14ac:dyDescent="0.3">
      <c r="L218" s="16"/>
      <c r="M218" s="16"/>
      <c r="N218" s="16"/>
      <c r="O218" s="16"/>
      <c r="P218" s="16"/>
      <c r="Q218" s="16"/>
      <c r="R218" s="16"/>
      <c r="S218" s="16"/>
      <c r="T218" s="16"/>
      <c r="U218" s="16"/>
      <c r="V218" s="16"/>
      <c r="W218" s="16"/>
      <c r="X218" s="16"/>
      <c r="Y218" s="16"/>
      <c r="Z218" s="16"/>
      <c r="AA218" s="16"/>
      <c r="AB218" s="16"/>
      <c r="AC218" s="16"/>
      <c r="AD218" s="16"/>
      <c r="AK218" s="311"/>
    </row>
    <row r="219" spans="2:37" x14ac:dyDescent="0.3">
      <c r="L219" s="16"/>
      <c r="M219" s="16"/>
      <c r="N219" s="16"/>
      <c r="O219" s="16"/>
      <c r="P219" s="16"/>
      <c r="Q219" s="16"/>
      <c r="R219" s="16"/>
      <c r="S219" s="16"/>
      <c r="T219" s="16"/>
      <c r="U219" s="16"/>
      <c r="V219" s="16"/>
      <c r="W219" s="16"/>
      <c r="X219" s="16"/>
      <c r="Y219" s="16"/>
      <c r="Z219" s="16"/>
      <c r="AA219" s="16"/>
      <c r="AB219" s="16"/>
      <c r="AC219" s="16"/>
      <c r="AD219" s="16"/>
      <c r="AK219" s="311"/>
    </row>
    <row r="220" spans="2:37" x14ac:dyDescent="0.3">
      <c r="B220" s="5" t="s">
        <v>477</v>
      </c>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K220" s="311"/>
    </row>
    <row r="221" spans="2:37" x14ac:dyDescent="0.3">
      <c r="AK221" s="311"/>
    </row>
    <row r="222" spans="2:37" x14ac:dyDescent="0.3">
      <c r="B222" s="8"/>
      <c r="C222" s="8"/>
      <c r="D222" s="8"/>
      <c r="E222" s="8"/>
      <c r="F222" s="8"/>
      <c r="G222" s="8"/>
      <c r="H222" s="8"/>
      <c r="I222" s="8"/>
      <c r="J222" s="8"/>
      <c r="K222" s="8"/>
      <c r="L222" s="9" t="s">
        <v>182</v>
      </c>
      <c r="M222" s="9" t="s">
        <v>183</v>
      </c>
      <c r="N222" s="10" t="s">
        <v>184</v>
      </c>
      <c r="O222" s="244" t="s">
        <v>4</v>
      </c>
      <c r="P222" s="9" t="s">
        <v>215</v>
      </c>
      <c r="Q222" s="9" t="s">
        <v>216</v>
      </c>
      <c r="R222" s="9" t="s">
        <v>217</v>
      </c>
      <c r="S222" s="9" t="s">
        <v>218</v>
      </c>
      <c r="T222" s="9" t="s">
        <v>219</v>
      </c>
      <c r="U222" s="9" t="s">
        <v>220</v>
      </c>
      <c r="V222" s="9" t="s">
        <v>221</v>
      </c>
      <c r="W222" s="9" t="s">
        <v>222</v>
      </c>
      <c r="X222" s="10" t="s">
        <v>223</v>
      </c>
      <c r="Y222" s="9" t="s">
        <v>294</v>
      </c>
      <c r="Z222" s="244" t="s">
        <v>197</v>
      </c>
      <c r="AA222" s="9" t="s">
        <v>198</v>
      </c>
      <c r="AB222" s="9" t="s">
        <v>199</v>
      </c>
      <c r="AC222" s="9" t="s">
        <v>200</v>
      </c>
      <c r="AD222" s="9" t="s">
        <v>201</v>
      </c>
      <c r="AK222" s="311"/>
    </row>
    <row r="223" spans="2:37" x14ac:dyDescent="0.3">
      <c r="B223" s="11" t="s">
        <v>32</v>
      </c>
      <c r="L223" s="13">
        <f>SUM(L224:L226)</f>
        <v>9445.8817060000001</v>
      </c>
      <c r="M223" s="13">
        <f>SUM(M224:M226)</f>
        <v>9929.6259639999989</v>
      </c>
      <c r="N223" s="124">
        <f>SUM(N224:N226)</f>
        <v>8430.401758</v>
      </c>
      <c r="O223" s="326">
        <f t="shared" ref="O223:AD223" si="186">SUM(O224:O226)</f>
        <v>2235.3252950000001</v>
      </c>
      <c r="P223" s="13">
        <f t="shared" si="186"/>
        <v>832.61495831414993</v>
      </c>
      <c r="Q223" s="13">
        <f t="shared" si="186"/>
        <v>832.61495831414993</v>
      </c>
      <c r="R223" s="13">
        <f t="shared" si="186"/>
        <v>832.61495831414993</v>
      </c>
      <c r="S223" s="13">
        <f t="shared" si="186"/>
        <v>832.35478321900553</v>
      </c>
      <c r="T223" s="13">
        <f t="shared" si="186"/>
        <v>832.35478321900553</v>
      </c>
      <c r="U223" s="13">
        <f t="shared" si="186"/>
        <v>832.35478321900553</v>
      </c>
      <c r="V223" s="13">
        <f t="shared" si="186"/>
        <v>831.94099410491935</v>
      </c>
      <c r="W223" s="13">
        <f t="shared" si="186"/>
        <v>831.94099410491935</v>
      </c>
      <c r="X223" s="13">
        <f t="shared" si="186"/>
        <v>831.94099410491935</v>
      </c>
      <c r="Y223" s="395">
        <f t="shared" si="186"/>
        <v>7490.7322069142247</v>
      </c>
      <c r="Z223" s="326">
        <f t="shared" si="186"/>
        <v>9726.057501914227</v>
      </c>
      <c r="AA223" s="13">
        <f t="shared" si="186"/>
        <v>9896.5172026808905</v>
      </c>
      <c r="AB223" s="13">
        <f t="shared" si="186"/>
        <v>10285.701689146033</v>
      </c>
      <c r="AC223" s="13">
        <f t="shared" si="186"/>
        <v>10692.279620059278</v>
      </c>
      <c r="AD223" s="13">
        <f t="shared" si="186"/>
        <v>11166.186312562717</v>
      </c>
      <c r="AF223" s="327"/>
      <c r="AK223" s="311"/>
    </row>
    <row r="224" spans="2:37" x14ac:dyDescent="0.3">
      <c r="B224" s="11"/>
      <c r="C224" s="3" t="s">
        <v>141</v>
      </c>
      <c r="L224" s="16">
        <f>L229</f>
        <v>2897.760327</v>
      </c>
      <c r="M224" s="16">
        <f>M229</f>
        <v>3350.7313279999998</v>
      </c>
      <c r="N224" s="15">
        <f>N229</f>
        <v>3072.3551339999999</v>
      </c>
      <c r="O224" s="246">
        <f t="shared" ref="O224:AD224" si="187">O229</f>
        <v>771.6818330000001</v>
      </c>
      <c r="P224" s="16">
        <f t="shared" si="187"/>
        <v>239</v>
      </c>
      <c r="Q224" s="16">
        <f t="shared" si="187"/>
        <v>239</v>
      </c>
      <c r="R224" s="16">
        <f t="shared" si="187"/>
        <v>239</v>
      </c>
      <c r="S224" s="16">
        <f t="shared" si="187"/>
        <v>239</v>
      </c>
      <c r="T224" s="16">
        <f t="shared" si="187"/>
        <v>239</v>
      </c>
      <c r="U224" s="16">
        <f t="shared" si="187"/>
        <v>239</v>
      </c>
      <c r="V224" s="16">
        <f t="shared" si="187"/>
        <v>239</v>
      </c>
      <c r="W224" s="16">
        <f t="shared" si="187"/>
        <v>239</v>
      </c>
      <c r="X224" s="16">
        <f t="shared" si="187"/>
        <v>239</v>
      </c>
      <c r="Y224" s="246">
        <f t="shared" si="187"/>
        <v>2151</v>
      </c>
      <c r="Z224" s="246">
        <f t="shared" si="187"/>
        <v>2922.6818330000001</v>
      </c>
      <c r="AA224" s="16">
        <f t="shared" si="187"/>
        <v>2995.7488788249998</v>
      </c>
      <c r="AB224" s="16">
        <f t="shared" si="187"/>
        <v>3082.6255963109243</v>
      </c>
      <c r="AC224" s="16">
        <f t="shared" si="187"/>
        <v>3172.0217386039412</v>
      </c>
      <c r="AD224" s="16">
        <f t="shared" si="187"/>
        <v>3270.3544125006629</v>
      </c>
      <c r="AF224" s="327"/>
      <c r="AK224" s="311"/>
    </row>
    <row r="225" spans="1:37" x14ac:dyDescent="0.3">
      <c r="C225" s="3" t="s">
        <v>142</v>
      </c>
      <c r="L225" s="16">
        <f>L237</f>
        <v>2976.3839039999998</v>
      </c>
      <c r="M225" s="16">
        <f>M237</f>
        <v>2926.8376490000001</v>
      </c>
      <c r="N225" s="15">
        <f>N237</f>
        <v>2129.591347</v>
      </c>
      <c r="O225" s="246">
        <f t="shared" ref="O225:AD225" si="188">O237</f>
        <v>513.28641900000002</v>
      </c>
      <c r="P225" s="16">
        <f t="shared" si="188"/>
        <v>168.75</v>
      </c>
      <c r="Q225" s="16">
        <f t="shared" si="188"/>
        <v>168.75</v>
      </c>
      <c r="R225" s="16">
        <f t="shared" si="188"/>
        <v>168.75</v>
      </c>
      <c r="S225" s="16">
        <f t="shared" si="188"/>
        <v>168.75</v>
      </c>
      <c r="T225" s="16">
        <f t="shared" si="188"/>
        <v>168.75</v>
      </c>
      <c r="U225" s="16">
        <f t="shared" si="188"/>
        <v>168.75</v>
      </c>
      <c r="V225" s="16">
        <f t="shared" si="188"/>
        <v>168.75</v>
      </c>
      <c r="W225" s="16">
        <f t="shared" si="188"/>
        <v>168.75</v>
      </c>
      <c r="X225" s="16">
        <f t="shared" si="188"/>
        <v>168.75</v>
      </c>
      <c r="Y225" s="246">
        <f t="shared" si="188"/>
        <v>1518.75</v>
      </c>
      <c r="Z225" s="246">
        <f t="shared" si="188"/>
        <v>2032.0364190000005</v>
      </c>
      <c r="AA225" s="16">
        <f t="shared" si="188"/>
        <v>2053.6842813458243</v>
      </c>
      <c r="AB225" s="16">
        <f t="shared" si="188"/>
        <v>2288.9019902110226</v>
      </c>
      <c r="AC225" s="16">
        <f t="shared" si="188"/>
        <v>2511.1032983888203</v>
      </c>
      <c r="AD225" s="16">
        <f t="shared" si="188"/>
        <v>2774.5831261703861</v>
      </c>
      <c r="AF225" s="327"/>
      <c r="AK225" s="311"/>
    </row>
    <row r="226" spans="1:37" x14ac:dyDescent="0.3">
      <c r="B226" s="92"/>
      <c r="C226" s="92" t="s">
        <v>143</v>
      </c>
      <c r="D226" s="92"/>
      <c r="E226" s="92"/>
      <c r="F226" s="92"/>
      <c r="G226" s="92"/>
      <c r="H226" s="92"/>
      <c r="I226" s="92"/>
      <c r="J226" s="92"/>
      <c r="K226" s="92"/>
      <c r="L226" s="130">
        <f>L253</f>
        <v>3571.7374749999999</v>
      </c>
      <c r="M226" s="130">
        <f>M253</f>
        <v>3652.0569869999999</v>
      </c>
      <c r="N226" s="131">
        <f>N253</f>
        <v>3228.4552769999996</v>
      </c>
      <c r="O226" s="330">
        <f t="shared" ref="O226:AD226" si="189">O253</f>
        <v>950.35704299999998</v>
      </c>
      <c r="P226" s="130">
        <f t="shared" si="189"/>
        <v>424.86495831414993</v>
      </c>
      <c r="Q226" s="130">
        <f t="shared" si="189"/>
        <v>424.86495831414993</v>
      </c>
      <c r="R226" s="130">
        <f t="shared" si="189"/>
        <v>424.86495831414993</v>
      </c>
      <c r="S226" s="130">
        <f t="shared" si="189"/>
        <v>424.60478321900553</v>
      </c>
      <c r="T226" s="130">
        <f t="shared" si="189"/>
        <v>424.60478321900553</v>
      </c>
      <c r="U226" s="130">
        <f t="shared" si="189"/>
        <v>424.60478321900553</v>
      </c>
      <c r="V226" s="130">
        <f t="shared" si="189"/>
        <v>424.19099410491941</v>
      </c>
      <c r="W226" s="130">
        <f t="shared" si="189"/>
        <v>424.19099410491941</v>
      </c>
      <c r="X226" s="130">
        <f t="shared" si="189"/>
        <v>424.19099410491941</v>
      </c>
      <c r="Y226" s="330">
        <f t="shared" si="189"/>
        <v>3820.9822069142251</v>
      </c>
      <c r="Z226" s="330">
        <f t="shared" si="189"/>
        <v>4771.3392499142265</v>
      </c>
      <c r="AA226" s="130">
        <f t="shared" si="189"/>
        <v>4847.084042510066</v>
      </c>
      <c r="AB226" s="130">
        <f t="shared" si="189"/>
        <v>4914.174102624087</v>
      </c>
      <c r="AC226" s="130">
        <f t="shared" si="189"/>
        <v>5009.1545830665173</v>
      </c>
      <c r="AD226" s="130">
        <f t="shared" si="189"/>
        <v>5121.248773891668</v>
      </c>
      <c r="AF226" s="327"/>
      <c r="AK226" s="311"/>
    </row>
    <row r="227" spans="1:37" x14ac:dyDescent="0.3">
      <c r="AK227" s="311"/>
    </row>
    <row r="228" spans="1:37" s="137" customFormat="1" x14ac:dyDescent="0.3">
      <c r="A228" s="3"/>
      <c r="B228" s="8"/>
      <c r="C228" s="8"/>
      <c r="D228" s="8"/>
      <c r="E228" s="8"/>
      <c r="F228" s="8"/>
      <c r="G228" s="8"/>
      <c r="H228" s="8"/>
      <c r="I228" s="8"/>
      <c r="J228" s="8"/>
      <c r="K228" s="8"/>
      <c r="L228" s="9" t="s">
        <v>425</v>
      </c>
      <c r="M228" s="9" t="s">
        <v>426</v>
      </c>
      <c r="N228" s="10" t="s">
        <v>414</v>
      </c>
      <c r="O228" s="244" t="s">
        <v>4</v>
      </c>
      <c r="P228" s="9" t="s">
        <v>188</v>
      </c>
      <c r="Q228" s="9" t="s">
        <v>189</v>
      </c>
      <c r="R228" s="9" t="s">
        <v>190</v>
      </c>
      <c r="S228" s="9" t="s">
        <v>191</v>
      </c>
      <c r="T228" s="9" t="s">
        <v>192</v>
      </c>
      <c r="U228" s="9" t="s">
        <v>193</v>
      </c>
      <c r="V228" s="9" t="s">
        <v>194</v>
      </c>
      <c r="W228" s="9" t="s">
        <v>195</v>
      </c>
      <c r="X228" s="10" t="s">
        <v>196</v>
      </c>
      <c r="Y228" s="9" t="s">
        <v>5</v>
      </c>
      <c r="Z228" s="244" t="s">
        <v>427</v>
      </c>
      <c r="AA228" s="9" t="s">
        <v>428</v>
      </c>
      <c r="AB228" s="9" t="s">
        <v>429</v>
      </c>
      <c r="AC228" s="9" t="s">
        <v>430</v>
      </c>
      <c r="AD228" s="9" t="s">
        <v>431</v>
      </c>
      <c r="AF228" s="327"/>
      <c r="AG228" s="322"/>
      <c r="AK228" s="311"/>
    </row>
    <row r="229" spans="1:37" s="137" customFormat="1" x14ac:dyDescent="0.3">
      <c r="B229" s="11" t="s">
        <v>478</v>
      </c>
      <c r="C229" s="3"/>
      <c r="D229" s="3"/>
      <c r="E229" s="3"/>
      <c r="F229" s="3"/>
      <c r="G229" s="3"/>
      <c r="H229" s="3"/>
      <c r="I229" s="3"/>
      <c r="J229" s="3"/>
      <c r="K229" s="3"/>
      <c r="L229" s="13">
        <f>L230+L233</f>
        <v>2897.760327</v>
      </c>
      <c r="M229" s="13">
        <f>M230+M233</f>
        <v>3350.7313279999998</v>
      </c>
      <c r="N229" s="124">
        <f>N230+N233</f>
        <v>3072.3551339999999</v>
      </c>
      <c r="O229" s="326">
        <f t="shared" ref="O229:AD229" si="190">O230+O233</f>
        <v>771.6818330000001</v>
      </c>
      <c r="P229" s="13">
        <f t="shared" si="190"/>
        <v>239</v>
      </c>
      <c r="Q229" s="13">
        <f t="shared" si="190"/>
        <v>239</v>
      </c>
      <c r="R229" s="13">
        <f t="shared" si="190"/>
        <v>239</v>
      </c>
      <c r="S229" s="13">
        <f t="shared" si="190"/>
        <v>239</v>
      </c>
      <c r="T229" s="13">
        <f t="shared" si="190"/>
        <v>239</v>
      </c>
      <c r="U229" s="13">
        <f t="shared" si="190"/>
        <v>239</v>
      </c>
      <c r="V229" s="13">
        <f t="shared" si="190"/>
        <v>239</v>
      </c>
      <c r="W229" s="13">
        <f t="shared" si="190"/>
        <v>239</v>
      </c>
      <c r="X229" s="13">
        <f t="shared" si="190"/>
        <v>239</v>
      </c>
      <c r="Y229" s="326">
        <f t="shared" si="190"/>
        <v>2151</v>
      </c>
      <c r="Z229" s="326">
        <f t="shared" si="190"/>
        <v>2922.6818330000001</v>
      </c>
      <c r="AA229" s="13">
        <f t="shared" si="190"/>
        <v>2995.7488788249998</v>
      </c>
      <c r="AB229" s="13">
        <f t="shared" si="190"/>
        <v>3082.6255963109243</v>
      </c>
      <c r="AC229" s="13">
        <f t="shared" si="190"/>
        <v>3172.0217386039412</v>
      </c>
      <c r="AD229" s="13">
        <f t="shared" si="190"/>
        <v>3270.3544125006629</v>
      </c>
      <c r="AF229" s="327"/>
      <c r="AG229" s="322"/>
      <c r="AK229" s="311"/>
    </row>
    <row r="230" spans="1:37" s="137" customFormat="1" x14ac:dyDescent="0.3">
      <c r="B230" s="11"/>
      <c r="C230" s="3" t="s">
        <v>479</v>
      </c>
      <c r="D230" s="3"/>
      <c r="E230" s="3"/>
      <c r="F230" s="3"/>
      <c r="H230" s="3"/>
      <c r="I230" s="3"/>
      <c r="J230" s="3"/>
      <c r="K230" s="3"/>
      <c r="L230" s="16">
        <v>2441.5162369999998</v>
      </c>
      <c r="M230" s="16">
        <v>2845.7530069999998</v>
      </c>
      <c r="N230" s="15">
        <v>2642.934679</v>
      </c>
      <c r="O230" s="246">
        <v>682.10205800000006</v>
      </c>
      <c r="P230" s="16">
        <v>207</v>
      </c>
      <c r="Q230" s="16">
        <v>207</v>
      </c>
      <c r="R230" s="16">
        <v>207</v>
      </c>
      <c r="S230" s="16">
        <v>207</v>
      </c>
      <c r="T230" s="16">
        <v>207</v>
      </c>
      <c r="U230" s="16">
        <v>207</v>
      </c>
      <c r="V230" s="16">
        <v>207</v>
      </c>
      <c r="W230" s="16">
        <v>207</v>
      </c>
      <c r="X230" s="16">
        <v>207</v>
      </c>
      <c r="Y230" s="246">
        <f>SUM(P230:X230)</f>
        <v>1863</v>
      </c>
      <c r="Z230" s="246">
        <f>SUM(O230,Y230)</f>
        <v>2545.1020579999999</v>
      </c>
      <c r="AA230" s="446">
        <f>AA231*AA232</f>
        <v>2608.7296094499998</v>
      </c>
      <c r="AB230" s="446">
        <f>AB231*AB232</f>
        <v>2684.3827681240496</v>
      </c>
      <c r="AC230" s="446">
        <f>AC231*AC232</f>
        <v>2762.2298683996469</v>
      </c>
      <c r="AD230" s="446">
        <f>AD231*AD232</f>
        <v>2847.8589943200354</v>
      </c>
      <c r="AF230" s="327"/>
      <c r="AG230" s="322"/>
      <c r="AK230" s="311"/>
    </row>
    <row r="231" spans="1:37" s="137" customFormat="1" x14ac:dyDescent="0.3">
      <c r="B231" s="3"/>
      <c r="C231" s="3"/>
      <c r="D231" s="3" t="s">
        <v>371</v>
      </c>
      <c r="E231" s="3"/>
      <c r="F231" s="3"/>
      <c r="H231" s="3"/>
      <c r="I231" s="3"/>
      <c r="J231" s="3"/>
      <c r="K231" s="3"/>
      <c r="L231" s="16">
        <v>19.833333333333336</v>
      </c>
      <c r="M231" s="16">
        <v>19.416666666666664</v>
      </c>
      <c r="N231" s="15">
        <v>16.75</v>
      </c>
      <c r="O231" s="444">
        <f t="shared" ref="O231:Y231" si="191">$Z231</f>
        <v>17</v>
      </c>
      <c r="P231" s="446">
        <f t="shared" si="191"/>
        <v>17</v>
      </c>
      <c r="Q231" s="446">
        <f t="shared" si="191"/>
        <v>17</v>
      </c>
      <c r="R231" s="446">
        <f t="shared" si="191"/>
        <v>17</v>
      </c>
      <c r="S231" s="446">
        <f t="shared" si="191"/>
        <v>17</v>
      </c>
      <c r="T231" s="446">
        <f t="shared" si="191"/>
        <v>17</v>
      </c>
      <c r="U231" s="446">
        <f t="shared" si="191"/>
        <v>17</v>
      </c>
      <c r="V231" s="446">
        <f t="shared" si="191"/>
        <v>17</v>
      </c>
      <c r="W231" s="446">
        <f t="shared" si="191"/>
        <v>17</v>
      </c>
      <c r="X231" s="446">
        <f t="shared" si="191"/>
        <v>17</v>
      </c>
      <c r="Y231" s="444">
        <f t="shared" si="191"/>
        <v>17</v>
      </c>
      <c r="Z231" s="246">
        <v>17</v>
      </c>
      <c r="AA231" s="446">
        <f>Z231</f>
        <v>17</v>
      </c>
      <c r="AB231" s="446">
        <f>AA231</f>
        <v>17</v>
      </c>
      <c r="AC231" s="446">
        <f>AB231</f>
        <v>17</v>
      </c>
      <c r="AD231" s="446">
        <f>AC231</f>
        <v>17</v>
      </c>
      <c r="AF231" s="327"/>
      <c r="AG231" s="322"/>
      <c r="AK231" s="311"/>
    </row>
    <row r="232" spans="1:37" s="137" customFormat="1" x14ac:dyDescent="0.3">
      <c r="B232" s="3"/>
      <c r="C232" s="3"/>
      <c r="D232" s="3" t="s">
        <v>372</v>
      </c>
      <c r="E232" s="3"/>
      <c r="F232" s="3"/>
      <c r="H232" s="3"/>
      <c r="I232" s="3"/>
      <c r="J232" s="3"/>
      <c r="K232" s="3"/>
      <c r="L232" s="16">
        <f>L230/L231</f>
        <v>123.10165900840333</v>
      </c>
      <c r="M232" s="16">
        <f>M230/M231</f>
        <v>146.56238662660945</v>
      </c>
      <c r="N232" s="15">
        <f>N230/N231</f>
        <v>157.78714501492536</v>
      </c>
      <c r="O232" s="246">
        <f>O230/O231*4</f>
        <v>160.49460188235295</v>
      </c>
      <c r="P232" s="16">
        <f t="shared" ref="P232:X232" si="192">P230/P231*12</f>
        <v>146.11764705882354</v>
      </c>
      <c r="Q232" s="16">
        <f t="shared" si="192"/>
        <v>146.11764705882354</v>
      </c>
      <c r="R232" s="16">
        <f t="shared" si="192"/>
        <v>146.11764705882354</v>
      </c>
      <c r="S232" s="16">
        <f t="shared" si="192"/>
        <v>146.11764705882354</v>
      </c>
      <c r="T232" s="16">
        <f t="shared" si="192"/>
        <v>146.11764705882354</v>
      </c>
      <c r="U232" s="16">
        <f t="shared" si="192"/>
        <v>146.11764705882354</v>
      </c>
      <c r="V232" s="16">
        <f t="shared" si="192"/>
        <v>146.11764705882354</v>
      </c>
      <c r="W232" s="16">
        <f t="shared" si="192"/>
        <v>146.11764705882354</v>
      </c>
      <c r="X232" s="16">
        <f t="shared" si="192"/>
        <v>146.11764705882354</v>
      </c>
      <c r="Y232" s="246"/>
      <c r="Z232" s="246">
        <f>Z230/Z231</f>
        <v>149.71188576470587</v>
      </c>
      <c r="AA232" s="16">
        <f>Z232*(1+'Key Assumption'!AB$23)</f>
        <v>153.45468290882351</v>
      </c>
      <c r="AB232" s="16">
        <f>AA232*(1+'Key Assumption'!AC$23)</f>
        <v>157.90486871317938</v>
      </c>
      <c r="AC232" s="16">
        <f>AB232*(1+'Key Assumption'!AD$23)</f>
        <v>162.48410990586157</v>
      </c>
      <c r="AD232" s="16">
        <f>AC232*(1+'Key Assumption'!AE$23)</f>
        <v>167.52111731294326</v>
      </c>
      <c r="AF232" s="327"/>
      <c r="AG232" s="322"/>
      <c r="AK232" s="311"/>
    </row>
    <row r="233" spans="1:37" s="137" customFormat="1" x14ac:dyDescent="0.3">
      <c r="B233" s="11"/>
      <c r="C233" s="3" t="s">
        <v>482</v>
      </c>
      <c r="D233" s="3"/>
      <c r="E233" s="3"/>
      <c r="F233" s="3"/>
      <c r="G233" s="3"/>
      <c r="H233" s="3"/>
      <c r="I233" s="3"/>
      <c r="J233" s="3"/>
      <c r="K233" s="3"/>
      <c r="L233" s="16">
        <v>456.24409000000003</v>
      </c>
      <c r="M233" s="16">
        <v>504.97832099999999</v>
      </c>
      <c r="N233" s="15">
        <v>429.420455</v>
      </c>
      <c r="O233" s="246">
        <v>89.579774999999998</v>
      </c>
      <c r="P233" s="16">
        <v>32</v>
      </c>
      <c r="Q233" s="16">
        <v>32</v>
      </c>
      <c r="R233" s="16">
        <v>32</v>
      </c>
      <c r="S233" s="16">
        <v>32</v>
      </c>
      <c r="T233" s="16">
        <v>32</v>
      </c>
      <c r="U233" s="16">
        <v>32</v>
      </c>
      <c r="V233" s="16">
        <v>32</v>
      </c>
      <c r="W233" s="16">
        <v>32</v>
      </c>
      <c r="X233" s="16">
        <v>32</v>
      </c>
      <c r="Y233" s="246">
        <f>SUM(P233:X233)</f>
        <v>288</v>
      </c>
      <c r="Z233" s="246">
        <f>SUM(O233,Y233)</f>
        <v>377.57977499999998</v>
      </c>
      <c r="AA233" s="16">
        <f>AA231*AA234</f>
        <v>387.01926937499991</v>
      </c>
      <c r="AB233" s="16">
        <f>AB231*AB234</f>
        <v>398.24282818687493</v>
      </c>
      <c r="AC233" s="16">
        <f>AC231*AC234</f>
        <v>409.79187020429424</v>
      </c>
      <c r="AD233" s="16">
        <f>AD231*AD234</f>
        <v>422.49541818062738</v>
      </c>
      <c r="AF233" s="327"/>
      <c r="AG233" s="322"/>
      <c r="AK233" s="311"/>
    </row>
    <row r="234" spans="1:37" s="137" customFormat="1" x14ac:dyDescent="0.3">
      <c r="B234" s="438"/>
      <c r="C234" s="438"/>
      <c r="D234" s="455" t="s">
        <v>483</v>
      </c>
      <c r="E234" s="438"/>
      <c r="F234" s="438"/>
      <c r="G234" s="438"/>
      <c r="H234" s="438"/>
      <c r="I234" s="438"/>
      <c r="J234" s="438"/>
      <c r="K234" s="438"/>
      <c r="L234" s="456">
        <f>L233/L231</f>
        <v>23.003903697478989</v>
      </c>
      <c r="M234" s="456">
        <f>M233/M231</f>
        <v>26.007467175965669</v>
      </c>
      <c r="N234" s="457">
        <f>N233/N231</f>
        <v>25.637042089552239</v>
      </c>
      <c r="O234" s="458">
        <f>O233/O231*4</f>
        <v>21.07759411764706</v>
      </c>
      <c r="P234" s="456">
        <f t="shared" ref="P234:X234" si="193">P233/P231*12</f>
        <v>22.588235294117645</v>
      </c>
      <c r="Q234" s="456">
        <f t="shared" si="193"/>
        <v>22.588235294117645</v>
      </c>
      <c r="R234" s="456">
        <f t="shared" si="193"/>
        <v>22.588235294117645</v>
      </c>
      <c r="S234" s="456">
        <f t="shared" si="193"/>
        <v>22.588235294117645</v>
      </c>
      <c r="T234" s="456">
        <f t="shared" si="193"/>
        <v>22.588235294117645</v>
      </c>
      <c r="U234" s="456">
        <f t="shared" si="193"/>
        <v>22.588235294117645</v>
      </c>
      <c r="V234" s="456">
        <f t="shared" si="193"/>
        <v>22.588235294117645</v>
      </c>
      <c r="W234" s="456">
        <f t="shared" si="193"/>
        <v>22.588235294117645</v>
      </c>
      <c r="X234" s="456">
        <f t="shared" si="193"/>
        <v>22.588235294117645</v>
      </c>
      <c r="Y234" s="458"/>
      <c r="Z234" s="458">
        <f>Z233/Z231</f>
        <v>22.210574999999999</v>
      </c>
      <c r="AA234" s="456">
        <f>Z234*(1+'Key Assumption'!AB$23)</f>
        <v>22.765839374999995</v>
      </c>
      <c r="AB234" s="456">
        <f>AA234*(1+'Key Assumption'!AC$23)</f>
        <v>23.426048716874995</v>
      </c>
      <c r="AC234" s="456">
        <f>AB234*(1+'Key Assumption'!AD$23)</f>
        <v>24.105404129664368</v>
      </c>
      <c r="AD234" s="456">
        <f>AC234*(1+'Key Assumption'!AE$23)</f>
        <v>24.852671657683963</v>
      </c>
      <c r="AF234" s="327"/>
      <c r="AG234" s="322"/>
      <c r="AK234" s="311"/>
    </row>
    <row r="235" spans="1:37" s="137" customFormat="1" x14ac:dyDescent="0.3">
      <c r="B235" s="471"/>
      <c r="C235" s="471"/>
      <c r="D235" s="471"/>
      <c r="E235" s="471"/>
      <c r="F235" s="471"/>
      <c r="G235" s="471"/>
      <c r="H235" s="471"/>
      <c r="I235" s="471"/>
      <c r="J235" s="471"/>
      <c r="K235" s="471"/>
      <c r="L235" s="471"/>
      <c r="M235" s="471"/>
      <c r="N235" s="459"/>
      <c r="O235" s="459"/>
      <c r="P235" s="459"/>
      <c r="Q235" s="459"/>
      <c r="R235" s="459"/>
      <c r="S235" s="459"/>
      <c r="T235" s="459"/>
      <c r="U235" s="459"/>
      <c r="V235" s="459"/>
      <c r="W235" s="459"/>
      <c r="X235" s="459"/>
      <c r="Y235" s="459"/>
      <c r="Z235" s="459"/>
      <c r="AA235" s="471"/>
      <c r="AB235" s="471"/>
      <c r="AC235" s="471"/>
      <c r="AD235" s="471"/>
      <c r="AF235" s="327"/>
      <c r="AG235" s="322"/>
      <c r="AK235" s="311"/>
    </row>
    <row r="236" spans="1:37" x14ac:dyDescent="0.3">
      <c r="B236" s="8"/>
      <c r="C236" s="8"/>
      <c r="D236" s="8"/>
      <c r="E236" s="8"/>
      <c r="F236" s="8"/>
      <c r="G236" s="8"/>
      <c r="H236" s="8"/>
      <c r="I236" s="8"/>
      <c r="J236" s="8"/>
      <c r="K236" s="8"/>
      <c r="L236" s="9" t="s">
        <v>182</v>
      </c>
      <c r="M236" s="9" t="s">
        <v>183</v>
      </c>
      <c r="N236" s="10" t="s">
        <v>184</v>
      </c>
      <c r="O236" s="244" t="s">
        <v>4</v>
      </c>
      <c r="P236" s="9" t="s">
        <v>215</v>
      </c>
      <c r="Q236" s="9" t="s">
        <v>216</v>
      </c>
      <c r="R236" s="9" t="s">
        <v>217</v>
      </c>
      <c r="S236" s="9" t="s">
        <v>218</v>
      </c>
      <c r="T236" s="9" t="s">
        <v>219</v>
      </c>
      <c r="U236" s="9" t="s">
        <v>220</v>
      </c>
      <c r="V236" s="9" t="s">
        <v>221</v>
      </c>
      <c r="W236" s="9" t="s">
        <v>222</v>
      </c>
      <c r="X236" s="10" t="s">
        <v>223</v>
      </c>
      <c r="Y236" s="9" t="s">
        <v>294</v>
      </c>
      <c r="Z236" s="244" t="s">
        <v>197</v>
      </c>
      <c r="AA236" s="9" t="s">
        <v>198</v>
      </c>
      <c r="AB236" s="9" t="s">
        <v>199</v>
      </c>
      <c r="AC236" s="9" t="s">
        <v>200</v>
      </c>
      <c r="AD236" s="9" t="s">
        <v>201</v>
      </c>
      <c r="AF236" s="327"/>
      <c r="AK236" s="311"/>
    </row>
    <row r="237" spans="1:37" x14ac:dyDescent="0.3">
      <c r="B237" s="11" t="s">
        <v>142</v>
      </c>
      <c r="L237" s="13">
        <f>SUM(L238,L241,L244,L247,L249)</f>
        <v>2976.3839039999998</v>
      </c>
      <c r="M237" s="13">
        <f>SUM(M238,M241,M244,M247,M249)</f>
        <v>2926.8376490000001</v>
      </c>
      <c r="N237" s="124">
        <f>SUM(N238,N241,N244,N247,N249)</f>
        <v>2129.591347</v>
      </c>
      <c r="O237" s="326">
        <f t="shared" ref="O237:AD237" si="194">SUM(O238,O241,O244,O247,O249)</f>
        <v>513.28641900000002</v>
      </c>
      <c r="P237" s="13">
        <f t="shared" si="194"/>
        <v>168.75</v>
      </c>
      <c r="Q237" s="13">
        <f t="shared" si="194"/>
        <v>168.75</v>
      </c>
      <c r="R237" s="13">
        <f t="shared" si="194"/>
        <v>168.75</v>
      </c>
      <c r="S237" s="13">
        <f t="shared" si="194"/>
        <v>168.75</v>
      </c>
      <c r="T237" s="13">
        <f t="shared" si="194"/>
        <v>168.75</v>
      </c>
      <c r="U237" s="13">
        <f t="shared" si="194"/>
        <v>168.75</v>
      </c>
      <c r="V237" s="13">
        <f t="shared" si="194"/>
        <v>168.75</v>
      </c>
      <c r="W237" s="13">
        <f t="shared" si="194"/>
        <v>168.75</v>
      </c>
      <c r="X237" s="13">
        <f t="shared" si="194"/>
        <v>168.75</v>
      </c>
      <c r="Y237" s="395">
        <f t="shared" si="194"/>
        <v>1518.75</v>
      </c>
      <c r="Z237" s="326">
        <f t="shared" si="194"/>
        <v>2032.0364190000005</v>
      </c>
      <c r="AA237" s="13">
        <f t="shared" si="194"/>
        <v>2053.6842813458243</v>
      </c>
      <c r="AB237" s="13">
        <f t="shared" si="194"/>
        <v>2288.9019902110226</v>
      </c>
      <c r="AC237" s="13">
        <f t="shared" si="194"/>
        <v>2511.1032983888203</v>
      </c>
      <c r="AD237" s="13">
        <f t="shared" si="194"/>
        <v>2774.5831261703861</v>
      </c>
      <c r="AF237" s="327"/>
      <c r="AK237" s="311"/>
    </row>
    <row r="238" spans="1:37" x14ac:dyDescent="0.3">
      <c r="B238" s="11"/>
      <c r="C238" s="3" t="s">
        <v>402</v>
      </c>
      <c r="L238" s="16">
        <v>875.14986499999998</v>
      </c>
      <c r="M238" s="16">
        <v>837.40474300000005</v>
      </c>
      <c r="N238" s="15">
        <v>827.11156200000005</v>
      </c>
      <c r="O238" s="246">
        <v>186.13214500000001</v>
      </c>
      <c r="P238" s="16">
        <v>76.916666666666671</v>
      </c>
      <c r="Q238" s="16">
        <v>76.916666666666671</v>
      </c>
      <c r="R238" s="16">
        <v>76.916666666666671</v>
      </c>
      <c r="S238" s="16">
        <v>76.916666666666671</v>
      </c>
      <c r="T238" s="16">
        <v>76.916666666666671</v>
      </c>
      <c r="U238" s="16">
        <v>76.916666666666671</v>
      </c>
      <c r="V238" s="16">
        <v>76.916666666666671</v>
      </c>
      <c r="W238" s="16">
        <v>76.916666666666671</v>
      </c>
      <c r="X238" s="16">
        <v>76.916666666666671</v>
      </c>
      <c r="Y238" s="246">
        <f>SUM(P238:X238)</f>
        <v>692.25</v>
      </c>
      <c r="Z238" s="246">
        <f>SUM(O238,Y238)</f>
        <v>878.38214500000004</v>
      </c>
      <c r="AA238" s="16">
        <f>AA239*AA240</f>
        <v>892.12041062219168</v>
      </c>
      <c r="AB238" s="16">
        <f t="shared" ref="AB238:AD238" si="195">AB239*AB240</f>
        <v>994.51182418856285</v>
      </c>
      <c r="AC238" s="16">
        <f t="shared" si="195"/>
        <v>1091.2876975597835</v>
      </c>
      <c r="AD238" s="16">
        <f t="shared" si="195"/>
        <v>1205.7669794581996</v>
      </c>
      <c r="AF238" s="327"/>
      <c r="AK238" s="311"/>
    </row>
    <row r="239" spans="1:37" x14ac:dyDescent="0.3">
      <c r="B239" s="11"/>
      <c r="D239" s="3" t="s">
        <v>298</v>
      </c>
      <c r="L239" s="16"/>
      <c r="M239" s="16"/>
      <c r="N239" s="15"/>
      <c r="O239" s="246">
        <f>SUM(O46,O53,O60,O67,O74,O96,O103,O110,O117,O124)</f>
        <v>77</v>
      </c>
      <c r="P239" s="16">
        <f t="shared" ref="P239:X239" si="196">SUMIFS(P$43:P$140,$E$43:$E$140,$D239)</f>
        <v>32</v>
      </c>
      <c r="Q239" s="16">
        <f t="shared" si="196"/>
        <v>26</v>
      </c>
      <c r="R239" s="16">
        <f t="shared" si="196"/>
        <v>30</v>
      </c>
      <c r="S239" s="16">
        <f t="shared" si="196"/>
        <v>31</v>
      </c>
      <c r="T239" s="16">
        <f t="shared" si="196"/>
        <v>31</v>
      </c>
      <c r="U239" s="16">
        <f t="shared" si="196"/>
        <v>35</v>
      </c>
      <c r="V239" s="16">
        <f t="shared" si="196"/>
        <v>42</v>
      </c>
      <c r="W239" s="16">
        <f t="shared" si="196"/>
        <v>38</v>
      </c>
      <c r="X239" s="16">
        <f t="shared" si="196"/>
        <v>39</v>
      </c>
      <c r="Y239" s="246">
        <f>SUM(P239:X239)</f>
        <v>304</v>
      </c>
      <c r="Z239" s="246">
        <f>SUM(O239,Y239)</f>
        <v>381</v>
      </c>
      <c r="AA239" s="16">
        <f t="shared" ref="AA239:AD239" si="197">SUMIFS(AA$43:AA$140,$E$43:$E$140,$D239)</f>
        <v>379</v>
      </c>
      <c r="AB239" s="16">
        <f t="shared" si="197"/>
        <v>413</v>
      </c>
      <c r="AC239" s="16">
        <f t="shared" si="197"/>
        <v>443</v>
      </c>
      <c r="AD239" s="16">
        <f t="shared" si="197"/>
        <v>478</v>
      </c>
      <c r="AF239" s="327"/>
      <c r="AK239" s="311"/>
    </row>
    <row r="240" spans="1:37" x14ac:dyDescent="0.3">
      <c r="B240" s="11"/>
      <c r="D240" s="3" t="s">
        <v>403</v>
      </c>
      <c r="L240" s="16"/>
      <c r="M240" s="16"/>
      <c r="N240" s="15"/>
      <c r="O240" s="246">
        <f>O238/O239</f>
        <v>2.4173005844155844</v>
      </c>
      <c r="P240" s="16">
        <f t="shared" ref="P240:Z240" si="198">P238/P239</f>
        <v>2.4036458333333335</v>
      </c>
      <c r="Q240" s="16">
        <f t="shared" si="198"/>
        <v>2.9583333333333335</v>
      </c>
      <c r="R240" s="16">
        <f t="shared" si="198"/>
        <v>2.5638888888888891</v>
      </c>
      <c r="S240" s="16">
        <f t="shared" si="198"/>
        <v>2.481182795698925</v>
      </c>
      <c r="T240" s="16">
        <f t="shared" si="198"/>
        <v>2.481182795698925</v>
      </c>
      <c r="U240" s="16">
        <f t="shared" si="198"/>
        <v>2.1976190476190478</v>
      </c>
      <c r="V240" s="16">
        <f t="shared" si="198"/>
        <v>1.8313492063492065</v>
      </c>
      <c r="W240" s="16">
        <f t="shared" si="198"/>
        <v>2.0241228070175441</v>
      </c>
      <c r="X240" s="16">
        <f t="shared" si="198"/>
        <v>1.9722222222222223</v>
      </c>
      <c r="Y240" s="246">
        <f t="shared" si="198"/>
        <v>2.2771381578947367</v>
      </c>
      <c r="Z240" s="246">
        <f t="shared" si="198"/>
        <v>2.3054649475065618</v>
      </c>
      <c r="AA240" s="16">
        <f>Z240*(1+'Key Assumption'!AB$21)</f>
        <v>2.3538797114041996</v>
      </c>
      <c r="AB240" s="16">
        <f>AA240*(1+'Key Assumption'!AC$21)</f>
        <v>2.4080189447664959</v>
      </c>
      <c r="AC240" s="16">
        <f>AB240*(1+'Key Assumption'!AD$21)</f>
        <v>2.4634033804961253</v>
      </c>
      <c r="AD240" s="16">
        <f>AC240*(1+'Key Assumption'!AE$21)</f>
        <v>2.5225250616280324</v>
      </c>
      <c r="AF240" s="327"/>
      <c r="AK240" s="311"/>
    </row>
    <row r="241" spans="2:37" x14ac:dyDescent="0.3">
      <c r="B241" s="11"/>
      <c r="C241" s="3" t="s">
        <v>485</v>
      </c>
      <c r="L241" s="16">
        <v>1333.6188099999999</v>
      </c>
      <c r="M241" s="16">
        <v>415.48246399999999</v>
      </c>
      <c r="N241" s="15">
        <v>544.282736</v>
      </c>
      <c r="O241" s="246">
        <v>31.856909000000002</v>
      </c>
      <c r="P241" s="16">
        <v>36.833333333333336</v>
      </c>
      <c r="Q241" s="16">
        <v>36.833333333333336</v>
      </c>
      <c r="R241" s="16">
        <v>36.833333333333336</v>
      </c>
      <c r="S241" s="16">
        <v>36.833333333333336</v>
      </c>
      <c r="T241" s="16">
        <v>36.833333333333336</v>
      </c>
      <c r="U241" s="16">
        <v>36.833333333333336</v>
      </c>
      <c r="V241" s="16">
        <v>36.833333333333336</v>
      </c>
      <c r="W241" s="16">
        <v>36.833333333333336</v>
      </c>
      <c r="X241" s="16">
        <v>36.833333333333336</v>
      </c>
      <c r="Y241" s="246">
        <f>SUM(P241:X241)</f>
        <v>331.5</v>
      </c>
      <c r="Z241" s="246">
        <f>SUM(O241,Y241)</f>
        <v>363.35690899999997</v>
      </c>
      <c r="AA241" s="16">
        <f>AA242*AA243</f>
        <v>369.03996364758785</v>
      </c>
      <c r="AB241" s="16">
        <f t="shared" ref="AB241:AD241" si="199">AB242*AB243</f>
        <v>411.3958195280797</v>
      </c>
      <c r="AC241" s="16">
        <f t="shared" si="199"/>
        <v>451.42871684288355</v>
      </c>
      <c r="AD241" s="16">
        <f t="shared" si="199"/>
        <v>498.7849139740855</v>
      </c>
      <c r="AF241" s="327"/>
      <c r="AK241" s="311"/>
    </row>
    <row r="242" spans="2:37" x14ac:dyDescent="0.3">
      <c r="B242" s="11"/>
      <c r="D242" s="3" t="s">
        <v>298</v>
      </c>
      <c r="L242" s="16"/>
      <c r="M242" s="16"/>
      <c r="N242" s="15"/>
      <c r="O242" s="246">
        <f>SUM(O46,O53,O60,O67,O74,O96,O103,O110,O117,O124)</f>
        <v>77</v>
      </c>
      <c r="P242" s="16">
        <f t="shared" ref="P242:X242" si="200">SUMIFS(P$43:P$140,$E$43:$E$140,$D242)</f>
        <v>32</v>
      </c>
      <c r="Q242" s="16">
        <f t="shared" si="200"/>
        <v>26</v>
      </c>
      <c r="R242" s="16">
        <f t="shared" si="200"/>
        <v>30</v>
      </c>
      <c r="S242" s="16">
        <f t="shared" si="200"/>
        <v>31</v>
      </c>
      <c r="T242" s="16">
        <f t="shared" si="200"/>
        <v>31</v>
      </c>
      <c r="U242" s="16">
        <f t="shared" si="200"/>
        <v>35</v>
      </c>
      <c r="V242" s="16">
        <f t="shared" si="200"/>
        <v>42</v>
      </c>
      <c r="W242" s="16">
        <f t="shared" si="200"/>
        <v>38</v>
      </c>
      <c r="X242" s="16">
        <f t="shared" si="200"/>
        <v>39</v>
      </c>
      <c r="Y242" s="246">
        <f>SUM(P242:X242)</f>
        <v>304</v>
      </c>
      <c r="Z242" s="246">
        <f>SUM(O242,Y242)</f>
        <v>381</v>
      </c>
      <c r="AA242" s="16">
        <f t="shared" ref="AA242:AD242" si="201">SUMIFS(AA$43:AA$140,$E$43:$E$140,$D242)</f>
        <v>379</v>
      </c>
      <c r="AB242" s="16">
        <f t="shared" si="201"/>
        <v>413</v>
      </c>
      <c r="AC242" s="16">
        <f t="shared" si="201"/>
        <v>443</v>
      </c>
      <c r="AD242" s="16">
        <f t="shared" si="201"/>
        <v>478</v>
      </c>
      <c r="AF242" s="327"/>
      <c r="AK242" s="311"/>
    </row>
    <row r="243" spans="2:37" x14ac:dyDescent="0.3">
      <c r="B243" s="11"/>
      <c r="D243" s="3" t="s">
        <v>405</v>
      </c>
      <c r="L243" s="16"/>
      <c r="M243" s="16"/>
      <c r="N243" s="15"/>
      <c r="O243" s="246">
        <f>O241/O242</f>
        <v>0.4137260909090909</v>
      </c>
      <c r="P243" s="16">
        <f t="shared" ref="P243:Z243" si="202">P241/P242</f>
        <v>1.1510416666666667</v>
      </c>
      <c r="Q243" s="16">
        <f t="shared" si="202"/>
        <v>1.4166666666666667</v>
      </c>
      <c r="R243" s="16">
        <f t="shared" si="202"/>
        <v>1.2277777777777779</v>
      </c>
      <c r="S243" s="16">
        <f t="shared" si="202"/>
        <v>1.1881720430107527</v>
      </c>
      <c r="T243" s="16">
        <f t="shared" si="202"/>
        <v>1.1881720430107527</v>
      </c>
      <c r="U243" s="16">
        <f t="shared" si="202"/>
        <v>1.0523809523809524</v>
      </c>
      <c r="V243" s="16">
        <f t="shared" si="202"/>
        <v>0.87698412698412709</v>
      </c>
      <c r="W243" s="16">
        <f t="shared" si="202"/>
        <v>0.9692982456140351</v>
      </c>
      <c r="X243" s="16">
        <f t="shared" si="202"/>
        <v>0.94444444444444453</v>
      </c>
      <c r="Y243" s="246">
        <f t="shared" si="202"/>
        <v>1.0904605263157894</v>
      </c>
      <c r="Z243" s="246">
        <f t="shared" si="202"/>
        <v>0.95369267454068229</v>
      </c>
      <c r="AA243" s="16">
        <f>Z243*(1+'Key Assumption'!AB$21)</f>
        <v>0.97372022070603659</v>
      </c>
      <c r="AB243" s="16">
        <f>AA243*(1+'Key Assumption'!AC$21)</f>
        <v>0.99611578578227533</v>
      </c>
      <c r="AC243" s="16">
        <f>AB243*(1+'Key Assumption'!AD$21)</f>
        <v>1.0190264488552676</v>
      </c>
      <c r="AD243" s="16">
        <f>AC243*(1+'Key Assumption'!AE$21)</f>
        <v>1.043483083627794</v>
      </c>
      <c r="AF243" s="327"/>
      <c r="AK243" s="311"/>
    </row>
    <row r="244" spans="2:37" x14ac:dyDescent="0.3">
      <c r="C244" s="3" t="s">
        <v>486</v>
      </c>
      <c r="L244" s="16">
        <v>739.28177000000005</v>
      </c>
      <c r="M244" s="16">
        <v>1642.7448890000001</v>
      </c>
      <c r="N244" s="15">
        <v>712.09874000000002</v>
      </c>
      <c r="O244" s="246">
        <v>284.46498400000002</v>
      </c>
      <c r="P244" s="16">
        <v>53.166666666666664</v>
      </c>
      <c r="Q244" s="16">
        <v>53.166666666666664</v>
      </c>
      <c r="R244" s="16">
        <v>53.166666666666664</v>
      </c>
      <c r="S244" s="16">
        <v>53.166666666666664</v>
      </c>
      <c r="T244" s="16">
        <v>53.166666666666664</v>
      </c>
      <c r="U244" s="16">
        <v>53.166666666666664</v>
      </c>
      <c r="V244" s="16">
        <v>53.166666666666664</v>
      </c>
      <c r="W244" s="16">
        <v>53.166666666666664</v>
      </c>
      <c r="X244" s="16">
        <v>53.166666666666664</v>
      </c>
      <c r="Y244" s="246">
        <f>SUM(P244:X244)</f>
        <v>478.50000000000006</v>
      </c>
      <c r="Z244" s="246">
        <f>SUM(O244,Y244)</f>
        <v>762.96498400000007</v>
      </c>
      <c r="AA244" s="16">
        <f>AA245*AA246</f>
        <v>774.89807675500265</v>
      </c>
      <c r="AB244" s="16">
        <f t="shared" ref="AB244:AD244" si="203">AB245*AB246</f>
        <v>863.83552118974103</v>
      </c>
      <c r="AC244" s="16">
        <f t="shared" si="203"/>
        <v>947.8952930083716</v>
      </c>
      <c r="AD244" s="16">
        <f t="shared" si="203"/>
        <v>1047.3322908789924</v>
      </c>
      <c r="AF244" s="327"/>
      <c r="AK244" s="311"/>
    </row>
    <row r="245" spans="2:37" x14ac:dyDescent="0.3">
      <c r="D245" s="3" t="s">
        <v>298</v>
      </c>
      <c r="L245" s="16"/>
      <c r="M245" s="16"/>
      <c r="N245" s="15"/>
      <c r="O245" s="246">
        <f>SUM(O46,O53,O60,O67,O74,O96,O103,O110,O117,O124)</f>
        <v>77</v>
      </c>
      <c r="P245" s="16">
        <f t="shared" ref="P245:X245" si="204">SUMIFS(P$43:P$140,$E$43:$E$140,$D245)</f>
        <v>32</v>
      </c>
      <c r="Q245" s="16">
        <f t="shared" si="204"/>
        <v>26</v>
      </c>
      <c r="R245" s="16">
        <f t="shared" si="204"/>
        <v>30</v>
      </c>
      <c r="S245" s="16">
        <f t="shared" si="204"/>
        <v>31</v>
      </c>
      <c r="T245" s="16">
        <f t="shared" si="204"/>
        <v>31</v>
      </c>
      <c r="U245" s="16">
        <f t="shared" si="204"/>
        <v>35</v>
      </c>
      <c r="V245" s="16">
        <f t="shared" si="204"/>
        <v>42</v>
      </c>
      <c r="W245" s="16">
        <f t="shared" si="204"/>
        <v>38</v>
      </c>
      <c r="X245" s="16">
        <f t="shared" si="204"/>
        <v>39</v>
      </c>
      <c r="Y245" s="246">
        <f>SUM(P245:X245)</f>
        <v>304</v>
      </c>
      <c r="Z245" s="246">
        <f>SUM(O245,Y245)</f>
        <v>381</v>
      </c>
      <c r="AA245" s="16">
        <f t="shared" ref="AA245:AD245" si="205">SUMIFS(AA$43:AA$140,$E$43:$E$140,$D245)</f>
        <v>379</v>
      </c>
      <c r="AB245" s="16">
        <f t="shared" si="205"/>
        <v>413</v>
      </c>
      <c r="AC245" s="16">
        <f t="shared" si="205"/>
        <v>443</v>
      </c>
      <c r="AD245" s="16">
        <f t="shared" si="205"/>
        <v>478</v>
      </c>
      <c r="AF245" s="327"/>
      <c r="AK245" s="311"/>
    </row>
    <row r="246" spans="2:37" x14ac:dyDescent="0.3">
      <c r="D246" s="3" t="s">
        <v>405</v>
      </c>
      <c r="L246" s="16"/>
      <c r="M246" s="16"/>
      <c r="N246" s="15"/>
      <c r="O246" s="246">
        <f>O244/O245</f>
        <v>3.6943504415584418</v>
      </c>
      <c r="P246" s="16">
        <f t="shared" ref="P246:Z246" si="206">P244/P245</f>
        <v>1.6614583333333333</v>
      </c>
      <c r="Q246" s="16">
        <f t="shared" si="206"/>
        <v>2.0448717948717947</v>
      </c>
      <c r="R246" s="16">
        <f t="shared" si="206"/>
        <v>1.7722222222222221</v>
      </c>
      <c r="S246" s="16">
        <f t="shared" si="206"/>
        <v>1.7150537634408602</v>
      </c>
      <c r="T246" s="16">
        <f t="shared" si="206"/>
        <v>1.7150537634408602</v>
      </c>
      <c r="U246" s="16">
        <f t="shared" si="206"/>
        <v>1.519047619047619</v>
      </c>
      <c r="V246" s="16">
        <f t="shared" si="206"/>
        <v>1.2658730158730158</v>
      </c>
      <c r="W246" s="16">
        <f t="shared" si="206"/>
        <v>1.3991228070175439</v>
      </c>
      <c r="X246" s="16">
        <f t="shared" si="206"/>
        <v>1.3632478632478633</v>
      </c>
      <c r="Y246" s="246">
        <f t="shared" si="206"/>
        <v>1.5740131578947369</v>
      </c>
      <c r="Z246" s="246">
        <f t="shared" si="206"/>
        <v>2.0025327664041996</v>
      </c>
      <c r="AA246" s="16">
        <f>Z246*(1+'Key Assumption'!AB$21)</f>
        <v>2.0445859544986877</v>
      </c>
      <c r="AB246" s="16">
        <f>AA246*(1+'Key Assumption'!AC$21)</f>
        <v>2.0916114314521574</v>
      </c>
      <c r="AC246" s="16">
        <f>AB246*(1+'Key Assumption'!AD$21)</f>
        <v>2.1397184943755567</v>
      </c>
      <c r="AD246" s="16">
        <f>AC246*(1+'Key Assumption'!AE$21)</f>
        <v>2.19107173824057</v>
      </c>
      <c r="AF246" s="327"/>
      <c r="AK246" s="311"/>
    </row>
    <row r="247" spans="2:37" x14ac:dyDescent="0.3">
      <c r="C247" s="3" t="s">
        <v>381</v>
      </c>
      <c r="L247" s="16">
        <v>9.2276419999999995</v>
      </c>
      <c r="M247" s="16">
        <v>8.3575210000000002</v>
      </c>
      <c r="N247" s="15">
        <v>21.859259999999999</v>
      </c>
      <c r="O247" s="246">
        <v>3.0607090000000001</v>
      </c>
      <c r="P247" s="16">
        <v>1.8333333333333333</v>
      </c>
      <c r="Q247" s="16">
        <v>1.8333333333333333</v>
      </c>
      <c r="R247" s="16">
        <v>1.8333333333333333</v>
      </c>
      <c r="S247" s="16">
        <v>1.8333333333333333</v>
      </c>
      <c r="T247" s="16">
        <v>1.8333333333333333</v>
      </c>
      <c r="U247" s="16">
        <v>1.8333333333333333</v>
      </c>
      <c r="V247" s="16">
        <v>1.8333333333333333</v>
      </c>
      <c r="W247" s="16">
        <v>1.8333333333333333</v>
      </c>
      <c r="X247" s="16">
        <v>1.8333333333333333</v>
      </c>
      <c r="Y247" s="246">
        <f>SUM(P247:X247)</f>
        <v>16.5</v>
      </c>
      <c r="Z247" s="246">
        <f>SUM(O247,Y247)</f>
        <v>19.560708999999999</v>
      </c>
      <c r="AA247" s="16">
        <f>AA$6*AA248</f>
        <v>17.625830321042091</v>
      </c>
      <c r="AB247" s="16">
        <f t="shared" ref="AB247:AD247" si="207">AB$6*AB248</f>
        <v>19.158825304638878</v>
      </c>
      <c r="AC247" s="16">
        <f t="shared" si="207"/>
        <v>20.491590977781971</v>
      </c>
      <c r="AD247" s="16">
        <f t="shared" si="207"/>
        <v>22.698941859108835</v>
      </c>
      <c r="AF247" s="327"/>
      <c r="AK247" s="311"/>
    </row>
    <row r="248" spans="2:37" x14ac:dyDescent="0.3">
      <c r="D248" s="3" t="s">
        <v>411</v>
      </c>
      <c r="L248" s="16"/>
      <c r="M248" s="16"/>
      <c r="N248" s="15"/>
      <c r="O248" s="373">
        <f t="shared" ref="O248:Z248" si="208">O247/O$6</f>
        <v>2.1934612180051134E-4</v>
      </c>
      <c r="P248" s="401">
        <f t="shared" si="208"/>
        <v>3.0415346386874857E-4</v>
      </c>
      <c r="Q248" s="401">
        <f t="shared" si="208"/>
        <v>4.0440730457464059E-4</v>
      </c>
      <c r="R248" s="401">
        <f t="shared" si="208"/>
        <v>3.4100271599456618E-4</v>
      </c>
      <c r="S248" s="401">
        <f t="shared" si="208"/>
        <v>3.5470059958138281E-4</v>
      </c>
      <c r="T248" s="401">
        <f t="shared" si="208"/>
        <v>3.6125012371018871E-4</v>
      </c>
      <c r="U248" s="401">
        <f t="shared" si="208"/>
        <v>3.1197239555988458E-4</v>
      </c>
      <c r="V248" s="401">
        <f t="shared" si="208"/>
        <v>2.6527116773629087E-4</v>
      </c>
      <c r="W248" s="401">
        <f t="shared" si="208"/>
        <v>2.71005874261753E-4</v>
      </c>
      <c r="X248" s="471">
        <f t="shared" si="208"/>
        <v>2.7775437930480979E-4</v>
      </c>
      <c r="Y248" s="453">
        <f t="shared" si="208"/>
        <v>3.1528126062494648E-4</v>
      </c>
      <c r="Z248" s="453">
        <f t="shared" si="208"/>
        <v>2.9508668156714182E-4</v>
      </c>
      <c r="AA248" s="471">
        <f>Z248</f>
        <v>2.9508668156714182E-4</v>
      </c>
      <c r="AB248" s="401">
        <f t="shared" ref="AB248:AD248" si="209">AA248</f>
        <v>2.9508668156714182E-4</v>
      </c>
      <c r="AC248" s="401">
        <f t="shared" si="209"/>
        <v>2.9508668156714182E-4</v>
      </c>
      <c r="AD248" s="401">
        <f t="shared" si="209"/>
        <v>2.9508668156714182E-4</v>
      </c>
      <c r="AF248" s="327"/>
      <c r="AK248" s="311"/>
    </row>
    <row r="249" spans="2:37" x14ac:dyDescent="0.3">
      <c r="C249" s="3" t="s">
        <v>382</v>
      </c>
      <c r="L249" s="16">
        <v>19.105816999999998</v>
      </c>
      <c r="M249" s="16">
        <v>22.848032</v>
      </c>
      <c r="N249" s="15">
        <v>24.239049000000001</v>
      </c>
      <c r="O249" s="246">
        <v>7.7716719999999997</v>
      </c>
      <c r="P249" s="119"/>
      <c r="Q249" s="119"/>
      <c r="R249" s="119"/>
      <c r="S249" s="119"/>
      <c r="T249" s="119"/>
      <c r="U249" s="119"/>
      <c r="V249" s="119"/>
      <c r="W249" s="119"/>
      <c r="X249" s="119"/>
      <c r="Y249" s="306"/>
      <c r="Z249" s="246">
        <f>SUM(O249,Y249)</f>
        <v>7.7716719999999997</v>
      </c>
      <c r="AA249" s="119"/>
      <c r="AB249" s="119"/>
      <c r="AC249" s="119"/>
      <c r="AD249" s="119"/>
      <c r="AF249" s="327"/>
      <c r="AK249" s="311"/>
    </row>
    <row r="250" spans="2:37" x14ac:dyDescent="0.3">
      <c r="B250" s="92"/>
      <c r="C250" s="92"/>
      <c r="D250" s="92" t="s">
        <v>411</v>
      </c>
      <c r="E250" s="92"/>
      <c r="F250" s="92"/>
      <c r="G250" s="92"/>
      <c r="H250" s="92"/>
      <c r="I250" s="92"/>
      <c r="J250" s="92"/>
      <c r="K250" s="92"/>
      <c r="L250" s="130"/>
      <c r="M250" s="130"/>
      <c r="N250" s="131"/>
      <c r="O250" s="462"/>
      <c r="P250" s="472"/>
      <c r="Q250" s="472"/>
      <c r="R250" s="472"/>
      <c r="S250" s="472"/>
      <c r="T250" s="472"/>
      <c r="U250" s="472"/>
      <c r="V250" s="472"/>
      <c r="W250" s="472"/>
      <c r="X250" s="473"/>
      <c r="Y250" s="474"/>
      <c r="Z250" s="474"/>
      <c r="AA250" s="473"/>
      <c r="AB250" s="472"/>
      <c r="AC250" s="472"/>
      <c r="AD250" s="472"/>
      <c r="AF250" s="327"/>
      <c r="AK250" s="311"/>
    </row>
    <row r="251" spans="2:37" x14ac:dyDescent="0.3">
      <c r="Z251" s="16"/>
      <c r="AF251" s="327"/>
      <c r="AK251" s="311"/>
    </row>
    <row r="252" spans="2:37" x14ac:dyDescent="0.3">
      <c r="B252" s="8"/>
      <c r="C252" s="8"/>
      <c r="D252" s="8"/>
      <c r="E252" s="8"/>
      <c r="F252" s="8"/>
      <c r="G252" s="8"/>
      <c r="H252" s="8"/>
      <c r="I252" s="8"/>
      <c r="J252" s="8"/>
      <c r="K252" s="8"/>
      <c r="L252" s="9" t="s">
        <v>182</v>
      </c>
      <c r="M252" s="9" t="s">
        <v>183</v>
      </c>
      <c r="N252" s="10" t="s">
        <v>184</v>
      </c>
      <c r="O252" s="244" t="s">
        <v>4</v>
      </c>
      <c r="P252" s="9" t="s">
        <v>215</v>
      </c>
      <c r="Q252" s="9" t="s">
        <v>216</v>
      </c>
      <c r="R252" s="9" t="s">
        <v>217</v>
      </c>
      <c r="S252" s="9" t="s">
        <v>218</v>
      </c>
      <c r="T252" s="9" t="s">
        <v>219</v>
      </c>
      <c r="U252" s="9" t="s">
        <v>220</v>
      </c>
      <c r="V252" s="9" t="s">
        <v>221</v>
      </c>
      <c r="W252" s="9" t="s">
        <v>222</v>
      </c>
      <c r="X252" s="10" t="s">
        <v>223</v>
      </c>
      <c r="Y252" s="9" t="s">
        <v>294</v>
      </c>
      <c r="Z252" s="244" t="s">
        <v>197</v>
      </c>
      <c r="AA252" s="9" t="s">
        <v>198</v>
      </c>
      <c r="AB252" s="9" t="s">
        <v>199</v>
      </c>
      <c r="AC252" s="9" t="s">
        <v>200</v>
      </c>
      <c r="AD252" s="9" t="s">
        <v>201</v>
      </c>
      <c r="AF252" s="327"/>
      <c r="AK252" s="311"/>
    </row>
    <row r="253" spans="2:37" x14ac:dyDescent="0.3">
      <c r="B253" s="11" t="s">
        <v>143</v>
      </c>
      <c r="L253" s="13">
        <f>SUM(L254:L268)</f>
        <v>3571.7374749999999</v>
      </c>
      <c r="M253" s="13">
        <f>SUM(M254:M268)</f>
        <v>3652.0569869999999</v>
      </c>
      <c r="N253" s="124">
        <f>SUM(N254:N268)</f>
        <v>3228.4552769999996</v>
      </c>
      <c r="O253" s="326">
        <f t="shared" ref="O253:AD253" si="210">SUM(O254:O268)</f>
        <v>950.35704299999998</v>
      </c>
      <c r="P253" s="13">
        <f t="shared" si="210"/>
        <v>424.86495831414993</v>
      </c>
      <c r="Q253" s="13">
        <f t="shared" si="210"/>
        <v>424.86495831414993</v>
      </c>
      <c r="R253" s="13">
        <f t="shared" si="210"/>
        <v>424.86495831414993</v>
      </c>
      <c r="S253" s="13">
        <f t="shared" si="210"/>
        <v>424.60478321900553</v>
      </c>
      <c r="T253" s="13">
        <f t="shared" si="210"/>
        <v>424.60478321900553</v>
      </c>
      <c r="U253" s="13">
        <f t="shared" si="210"/>
        <v>424.60478321900553</v>
      </c>
      <c r="V253" s="13">
        <f t="shared" si="210"/>
        <v>424.19099410491941</v>
      </c>
      <c r="W253" s="13">
        <f t="shared" si="210"/>
        <v>424.19099410491941</v>
      </c>
      <c r="X253" s="13">
        <f t="shared" si="210"/>
        <v>424.19099410491941</v>
      </c>
      <c r="Y253" s="359">
        <f t="shared" si="210"/>
        <v>3820.9822069142251</v>
      </c>
      <c r="Z253" s="326">
        <f t="shared" si="210"/>
        <v>4771.3392499142265</v>
      </c>
      <c r="AA253" s="13">
        <f t="shared" si="210"/>
        <v>4847.084042510066</v>
      </c>
      <c r="AB253" s="13">
        <f t="shared" si="210"/>
        <v>4914.174102624087</v>
      </c>
      <c r="AC253" s="13">
        <f t="shared" si="210"/>
        <v>5009.1545830665173</v>
      </c>
      <c r="AD253" s="13">
        <f t="shared" si="210"/>
        <v>5121.248773891668</v>
      </c>
      <c r="AF253" s="327"/>
      <c r="AK253" s="311"/>
    </row>
    <row r="254" spans="2:37" x14ac:dyDescent="0.3">
      <c r="B254" s="11"/>
      <c r="C254" s="3" t="s">
        <v>487</v>
      </c>
      <c r="L254" s="16">
        <v>134.19545600000001</v>
      </c>
      <c r="M254" s="16">
        <v>143.919096</v>
      </c>
      <c r="N254" s="15">
        <v>147.93186800000001</v>
      </c>
      <c r="O254" s="246">
        <v>34.673036000000003</v>
      </c>
      <c r="P254" s="16">
        <f t="shared" ref="P254:X254" si="211">P287</f>
        <v>17.155585769199998</v>
      </c>
      <c r="Q254" s="16">
        <f t="shared" si="211"/>
        <v>17.155585769199998</v>
      </c>
      <c r="R254" s="16">
        <f t="shared" si="211"/>
        <v>17.155585769199998</v>
      </c>
      <c r="S254" s="16">
        <f t="shared" si="211"/>
        <v>16.909120071155556</v>
      </c>
      <c r="T254" s="16">
        <f t="shared" si="211"/>
        <v>16.909120071155556</v>
      </c>
      <c r="U254" s="16">
        <f t="shared" si="211"/>
        <v>16.909120071155556</v>
      </c>
      <c r="V254" s="16">
        <f t="shared" si="211"/>
        <v>16.517134732244447</v>
      </c>
      <c r="W254" s="16">
        <f t="shared" si="211"/>
        <v>16.517134732244447</v>
      </c>
      <c r="X254" s="16">
        <f t="shared" si="211"/>
        <v>16.517134732244447</v>
      </c>
      <c r="Y254" s="292">
        <f>SUM(P254:X254)</f>
        <v>151.74552171779999</v>
      </c>
      <c r="Z254" s="246">
        <f>SUM(O254,Y254)</f>
        <v>186.41855771779998</v>
      </c>
      <c r="AA254" s="16">
        <f>AA287</f>
        <v>188.08910985106667</v>
      </c>
      <c r="AB254" s="16">
        <f>AB287</f>
        <v>148.04797375159998</v>
      </c>
      <c r="AC254" s="16">
        <f>AC287</f>
        <v>133.42675269893331</v>
      </c>
      <c r="AD254" s="16">
        <f>AD287</f>
        <v>128.51372027199997</v>
      </c>
      <c r="AF254" s="327"/>
      <c r="AK254" s="311"/>
    </row>
    <row r="255" spans="2:37" x14ac:dyDescent="0.3">
      <c r="B255" s="11"/>
      <c r="C255" s="3" t="s">
        <v>416</v>
      </c>
      <c r="L255" s="16">
        <v>10.621911000000001</v>
      </c>
      <c r="M255" s="16">
        <v>12.128399999999999</v>
      </c>
      <c r="N255" s="15">
        <v>12.254719</v>
      </c>
      <c r="O255" s="246">
        <v>3.117753</v>
      </c>
      <c r="P255" s="16">
        <f t="shared" ref="P255:X255" si="212">P291</f>
        <v>0.95426154495000004</v>
      </c>
      <c r="Q255" s="16">
        <f t="shared" si="212"/>
        <v>0.95426154495000004</v>
      </c>
      <c r="R255" s="16">
        <f t="shared" si="212"/>
        <v>0.95426154495000004</v>
      </c>
      <c r="S255" s="16">
        <f t="shared" si="212"/>
        <v>0.94055214784999996</v>
      </c>
      <c r="T255" s="16">
        <f t="shared" si="212"/>
        <v>0.94055214784999996</v>
      </c>
      <c r="U255" s="16">
        <f t="shared" si="212"/>
        <v>0.94055214784999996</v>
      </c>
      <c r="V255" s="16">
        <f t="shared" si="212"/>
        <v>0.91874837267500009</v>
      </c>
      <c r="W255" s="16">
        <f t="shared" si="212"/>
        <v>0.91874837267500009</v>
      </c>
      <c r="X255" s="16">
        <f t="shared" si="212"/>
        <v>0.91874837267500009</v>
      </c>
      <c r="Y255" s="292">
        <f>SUM(P255:X255)</f>
        <v>8.4406861964250002</v>
      </c>
      <c r="Z255" s="246">
        <f>SUM(O255,Y255)</f>
        <v>11.558439196425001</v>
      </c>
      <c r="AA255" s="16">
        <f>AA291</f>
        <v>0.77342111600000008</v>
      </c>
      <c r="AB255" s="16">
        <f>AB291</f>
        <v>0.76552256399999996</v>
      </c>
      <c r="AC255" s="16">
        <f>AC291</f>
        <v>0.76393011399999999</v>
      </c>
      <c r="AD255" s="16">
        <f>AD291</f>
        <v>0.77201976000000005</v>
      </c>
      <c r="AF255" s="327"/>
      <c r="AK255" s="311"/>
    </row>
    <row r="256" spans="2:37" x14ac:dyDescent="0.3">
      <c r="B256" s="11"/>
      <c r="C256" s="3" t="s">
        <v>516</v>
      </c>
      <c r="L256" s="16">
        <v>844.29356600000006</v>
      </c>
      <c r="M256" s="16">
        <v>953.13352899999995</v>
      </c>
      <c r="N256" s="15">
        <v>963.06361700000002</v>
      </c>
      <c r="O256" s="246">
        <v>245.015333</v>
      </c>
      <c r="P256" s="16">
        <f t="shared" ref="P256:AD256" si="213">P293</f>
        <v>81.671777666666671</v>
      </c>
      <c r="Q256" s="16">
        <f t="shared" si="213"/>
        <v>81.671777666666671</v>
      </c>
      <c r="R256" s="16">
        <f t="shared" si="213"/>
        <v>81.671777666666671</v>
      </c>
      <c r="S256" s="16">
        <f t="shared" si="213"/>
        <v>81.671777666666671</v>
      </c>
      <c r="T256" s="16">
        <f t="shared" si="213"/>
        <v>81.671777666666671</v>
      </c>
      <c r="U256" s="16">
        <f t="shared" si="213"/>
        <v>81.671777666666671</v>
      </c>
      <c r="V256" s="16">
        <f t="shared" si="213"/>
        <v>81.671777666666671</v>
      </c>
      <c r="W256" s="16">
        <f t="shared" si="213"/>
        <v>81.671777666666671</v>
      </c>
      <c r="X256" s="16">
        <f t="shared" si="213"/>
        <v>81.671777666666671</v>
      </c>
      <c r="Y256" s="292">
        <f t="shared" si="213"/>
        <v>735.04599900000005</v>
      </c>
      <c r="Z256" s="246">
        <f t="shared" si="213"/>
        <v>980.06133199999999</v>
      </c>
      <c r="AA256" s="16">
        <f t="shared" si="213"/>
        <v>1000.6426199719999</v>
      </c>
      <c r="AB256" s="16">
        <f t="shared" si="213"/>
        <v>1023.6574002313558</v>
      </c>
      <c r="AC256" s="16">
        <f t="shared" si="213"/>
        <v>1047.2015204366769</v>
      </c>
      <c r="AD256" s="16">
        <f t="shared" si="213"/>
        <v>1072.3343569271572</v>
      </c>
      <c r="AF256" s="327"/>
      <c r="AK256" s="311"/>
    </row>
    <row r="257" spans="2:37" x14ac:dyDescent="0.3">
      <c r="B257" s="11"/>
      <c r="C257" s="3" t="s">
        <v>417</v>
      </c>
      <c r="L257" s="16">
        <v>177.64882</v>
      </c>
      <c r="M257" s="16">
        <v>168.35985700000001</v>
      </c>
      <c r="N257" s="15">
        <v>224.291721</v>
      </c>
      <c r="O257" s="246">
        <v>38.662784000000002</v>
      </c>
      <c r="P257" s="16">
        <v>23.583333333333332</v>
      </c>
      <c r="Q257" s="16">
        <v>23.583333333333332</v>
      </c>
      <c r="R257" s="16">
        <v>23.583333333333332</v>
      </c>
      <c r="S257" s="16">
        <v>23.583333333333332</v>
      </c>
      <c r="T257" s="16">
        <v>23.583333333333332</v>
      </c>
      <c r="U257" s="16">
        <v>23.583333333333332</v>
      </c>
      <c r="V257" s="16">
        <v>23.583333333333332</v>
      </c>
      <c r="W257" s="16">
        <v>23.583333333333332</v>
      </c>
      <c r="X257" s="16">
        <v>23.583333333333332</v>
      </c>
      <c r="Y257" s="292">
        <f t="shared" ref="Y257:Y267" si="214">SUM(P257:X257)</f>
        <v>212.25000000000003</v>
      </c>
      <c r="Z257" s="246">
        <f t="shared" ref="Z257:Z267" si="215">SUM(O257,Y257)</f>
        <v>250.91278400000004</v>
      </c>
      <c r="AA257" s="16">
        <f>Z257*(1+'Key Assumption'!AB$21)</f>
        <v>256.18195246400001</v>
      </c>
      <c r="AB257" s="16">
        <f>AA257*(1+'Key Assumption'!AC$21)</f>
        <v>262.07413737067196</v>
      </c>
      <c r="AC257" s="16">
        <f>AB257*(1+'Key Assumption'!AD$21)</f>
        <v>268.10184253019742</v>
      </c>
      <c r="AD257" s="16">
        <f>AC257*(1+'Key Assumption'!AE$21)</f>
        <v>274.53628675092216</v>
      </c>
      <c r="AF257" s="327"/>
      <c r="AK257" s="311"/>
    </row>
    <row r="258" spans="2:37" x14ac:dyDescent="0.3">
      <c r="B258" s="11"/>
      <c r="C258" s="3" t="s">
        <v>395</v>
      </c>
      <c r="L258" s="16">
        <v>247.91548700000001</v>
      </c>
      <c r="M258" s="16">
        <v>412.62631099999999</v>
      </c>
      <c r="N258" s="15">
        <v>367.60449999999997</v>
      </c>
      <c r="O258" s="246">
        <v>76.964335000000005</v>
      </c>
      <c r="P258" s="16">
        <v>29</v>
      </c>
      <c r="Q258" s="16">
        <v>29</v>
      </c>
      <c r="R258" s="16">
        <v>29</v>
      </c>
      <c r="S258" s="16">
        <v>29</v>
      </c>
      <c r="T258" s="16">
        <v>29</v>
      </c>
      <c r="U258" s="16">
        <v>29</v>
      </c>
      <c r="V258" s="16">
        <v>29</v>
      </c>
      <c r="W258" s="16">
        <v>29</v>
      </c>
      <c r="X258" s="16">
        <v>29</v>
      </c>
      <c r="Y258" s="292">
        <f t="shared" si="214"/>
        <v>261</v>
      </c>
      <c r="Z258" s="246">
        <f t="shared" si="215"/>
        <v>337.96433500000001</v>
      </c>
      <c r="AA258" s="16">
        <f>Z258*(1+'Key Assumption'!AB$21)</f>
        <v>345.06158603499995</v>
      </c>
      <c r="AB258" s="16">
        <f>AA258*(1+'Key Assumption'!AC$21)</f>
        <v>352.99800251380492</v>
      </c>
      <c r="AC258" s="16">
        <f>AB258*(1+'Key Assumption'!AD$21)</f>
        <v>361.11695657162238</v>
      </c>
      <c r="AD258" s="16">
        <f>AC258*(1+'Key Assumption'!AE$21)</f>
        <v>369.78376352934134</v>
      </c>
      <c r="AF258" s="327"/>
      <c r="AK258" s="311"/>
    </row>
    <row r="259" spans="2:37" x14ac:dyDescent="0.3">
      <c r="B259" s="11"/>
      <c r="C259" s="3" t="s">
        <v>488</v>
      </c>
      <c r="L259" s="16">
        <v>120.45439399999999</v>
      </c>
      <c r="M259" s="16">
        <v>147.74334500000001</v>
      </c>
      <c r="N259" s="15">
        <v>166.37757199999999</v>
      </c>
      <c r="O259" s="246">
        <v>66.832818000000003</v>
      </c>
      <c r="P259" s="16">
        <v>17.083333333333332</v>
      </c>
      <c r="Q259" s="16">
        <v>17.083333333333332</v>
      </c>
      <c r="R259" s="16">
        <v>17.083333333333332</v>
      </c>
      <c r="S259" s="16">
        <v>17.083333333333332</v>
      </c>
      <c r="T259" s="16">
        <v>17.083333333333332</v>
      </c>
      <c r="U259" s="16">
        <v>17.083333333333332</v>
      </c>
      <c r="V259" s="16">
        <v>17.083333333333332</v>
      </c>
      <c r="W259" s="16">
        <v>17.083333333333332</v>
      </c>
      <c r="X259" s="16">
        <v>17.083333333333332</v>
      </c>
      <c r="Y259" s="292">
        <f t="shared" si="214"/>
        <v>153.75</v>
      </c>
      <c r="Z259" s="246">
        <f t="shared" si="215"/>
        <v>220.582818</v>
      </c>
      <c r="AA259" s="16">
        <f>Z259*(1+'Key Assumption'!AB$21)</f>
        <v>225.215057178</v>
      </c>
      <c r="AB259" s="16">
        <f>AA259*(1+'Key Assumption'!AC$21)</f>
        <v>230.39500349309398</v>
      </c>
      <c r="AC259" s="16">
        <f>AB259*(1+'Key Assumption'!AD$21)</f>
        <v>235.69408857343512</v>
      </c>
      <c r="AD259" s="16">
        <f>AC259*(1+'Key Assumption'!AE$21)</f>
        <v>241.35074669919757</v>
      </c>
      <c r="AF259" s="327"/>
      <c r="AK259" s="311"/>
    </row>
    <row r="260" spans="2:37" x14ac:dyDescent="0.3">
      <c r="B260" s="11"/>
      <c r="C260" s="3" t="s">
        <v>489</v>
      </c>
      <c r="L260" s="16">
        <v>14.725298</v>
      </c>
      <c r="M260" s="16">
        <v>20.703911999999999</v>
      </c>
      <c r="N260" s="15">
        <v>19.96857</v>
      </c>
      <c r="O260" s="246">
        <v>3.7678829999999999</v>
      </c>
      <c r="P260" s="16">
        <v>1.1666666666666667</v>
      </c>
      <c r="Q260" s="16">
        <v>1.1666666666666667</v>
      </c>
      <c r="R260" s="16">
        <v>1.1666666666666667</v>
      </c>
      <c r="S260" s="16">
        <v>1.1666666666666667</v>
      </c>
      <c r="T260" s="16">
        <v>1.1666666666666667</v>
      </c>
      <c r="U260" s="16">
        <v>1.1666666666666667</v>
      </c>
      <c r="V260" s="16">
        <v>1.1666666666666667</v>
      </c>
      <c r="W260" s="16">
        <v>1.1666666666666667</v>
      </c>
      <c r="X260" s="16">
        <v>1.1666666666666667</v>
      </c>
      <c r="Y260" s="292">
        <f t="shared" si="214"/>
        <v>10.5</v>
      </c>
      <c r="Z260" s="246">
        <f t="shared" si="215"/>
        <v>14.267882999999999</v>
      </c>
      <c r="AA260" s="16">
        <f>Z260*(1+'Key Assumption'!AB$21)</f>
        <v>14.567508542999999</v>
      </c>
      <c r="AB260" s="16">
        <f>AA260*(1+'Key Assumption'!AC$21)</f>
        <v>14.902561239488998</v>
      </c>
      <c r="AC260" s="16">
        <f>AB260*(1+'Key Assumption'!AD$21)</f>
        <v>15.245320147997244</v>
      </c>
      <c r="AD260" s="16">
        <f>AC260*(1+'Key Assumption'!AE$21)</f>
        <v>15.611207831549178</v>
      </c>
      <c r="AF260" s="327"/>
      <c r="AK260" s="311"/>
    </row>
    <row r="261" spans="2:37" x14ac:dyDescent="0.3">
      <c r="B261" s="11"/>
      <c r="C261" s="3" t="s">
        <v>389</v>
      </c>
      <c r="L261" s="16">
        <v>300.70517799999999</v>
      </c>
      <c r="M261" s="16">
        <v>391.983948</v>
      </c>
      <c r="N261" s="15">
        <v>403.35246100000001</v>
      </c>
      <c r="O261" s="246">
        <v>100.377244</v>
      </c>
      <c r="P261" s="16">
        <v>124.33333333333333</v>
      </c>
      <c r="Q261" s="16">
        <v>124.33333333333333</v>
      </c>
      <c r="R261" s="16">
        <v>124.33333333333333</v>
      </c>
      <c r="S261" s="16">
        <v>124.33333333333333</v>
      </c>
      <c r="T261" s="16">
        <v>124.33333333333333</v>
      </c>
      <c r="U261" s="16">
        <v>124.33333333333333</v>
      </c>
      <c r="V261" s="16">
        <v>124.33333333333333</v>
      </c>
      <c r="W261" s="16">
        <v>124.33333333333333</v>
      </c>
      <c r="X261" s="16">
        <v>124.33333333333333</v>
      </c>
      <c r="Y261" s="292">
        <f t="shared" si="214"/>
        <v>1119</v>
      </c>
      <c r="Z261" s="246">
        <f t="shared" si="215"/>
        <v>1219.377244</v>
      </c>
      <c r="AA261" s="16">
        <f>Z261*(1+'Key Assumption'!AB$21)</f>
        <v>1244.984166124</v>
      </c>
      <c r="AB261" s="16">
        <f>AA261*(1+'Key Assumption'!AC$21)</f>
        <v>1273.6188019448518</v>
      </c>
      <c r="AC261" s="16">
        <f>AB261*(1+'Key Assumption'!AD$21)</f>
        <v>1302.9120343895834</v>
      </c>
      <c r="AD261" s="16">
        <f>AC261*(1+'Key Assumption'!AE$21)</f>
        <v>1334.1819232149335</v>
      </c>
      <c r="AF261" s="327"/>
      <c r="AK261" s="311"/>
    </row>
    <row r="262" spans="2:37" x14ac:dyDescent="0.3">
      <c r="B262" s="11"/>
      <c r="C262" s="3" t="s">
        <v>392</v>
      </c>
      <c r="L262" s="16">
        <v>568.56893600000001</v>
      </c>
      <c r="M262" s="16">
        <v>688.45164199999999</v>
      </c>
      <c r="N262" s="15">
        <v>662.42820300000005</v>
      </c>
      <c r="O262" s="246">
        <v>172.319759</v>
      </c>
      <c r="P262" s="16">
        <v>58.416666666666664</v>
      </c>
      <c r="Q262" s="16">
        <v>58.416666666666664</v>
      </c>
      <c r="R262" s="16">
        <v>58.416666666666664</v>
      </c>
      <c r="S262" s="16">
        <v>58.416666666666664</v>
      </c>
      <c r="T262" s="16">
        <v>58.416666666666664</v>
      </c>
      <c r="U262" s="16">
        <v>58.416666666666664</v>
      </c>
      <c r="V262" s="16">
        <v>58.416666666666664</v>
      </c>
      <c r="W262" s="16">
        <v>58.416666666666664</v>
      </c>
      <c r="X262" s="16">
        <v>58.416666666666664</v>
      </c>
      <c r="Y262" s="292">
        <f t="shared" si="214"/>
        <v>525.75</v>
      </c>
      <c r="Z262" s="246">
        <f t="shared" si="215"/>
        <v>698.06975899999998</v>
      </c>
      <c r="AA262" s="16">
        <f>Z262*(1+'Key Assumption'!AB$21)</f>
        <v>712.72922393899989</v>
      </c>
      <c r="AB262" s="16">
        <f>AA262*(1+'Key Assumption'!AC$21)</f>
        <v>729.12199608959679</v>
      </c>
      <c r="AC262" s="16">
        <f>AB262*(1+'Key Assumption'!AD$21)</f>
        <v>745.89180199965745</v>
      </c>
      <c r="AD262" s="16">
        <f>AC262*(1+'Key Assumption'!AE$21)</f>
        <v>763.79320524764921</v>
      </c>
      <c r="AF262" s="327"/>
      <c r="AK262" s="311"/>
    </row>
    <row r="263" spans="2:37" x14ac:dyDescent="0.3">
      <c r="B263" s="11"/>
      <c r="C263" s="3" t="s">
        <v>490</v>
      </c>
      <c r="L263" s="16">
        <v>5.8772380000000002</v>
      </c>
      <c r="M263" s="16">
        <v>11.901353</v>
      </c>
      <c r="N263" s="15">
        <v>31.146991</v>
      </c>
      <c r="O263" s="246">
        <v>2.2382520000000001</v>
      </c>
      <c r="P263" s="16">
        <v>1.5833333333333333</v>
      </c>
      <c r="Q263" s="16">
        <v>1.5833333333333333</v>
      </c>
      <c r="R263" s="16">
        <v>1.5833333333333333</v>
      </c>
      <c r="S263" s="16">
        <v>1.5833333333333333</v>
      </c>
      <c r="T263" s="16">
        <v>1.5833333333333333</v>
      </c>
      <c r="U263" s="16">
        <v>1.5833333333333333</v>
      </c>
      <c r="V263" s="16">
        <v>1.5833333333333333</v>
      </c>
      <c r="W263" s="16">
        <v>1.5833333333333333</v>
      </c>
      <c r="X263" s="16">
        <v>1.5833333333333333</v>
      </c>
      <c r="Y263" s="292">
        <f t="shared" si="214"/>
        <v>14.250000000000002</v>
      </c>
      <c r="Z263" s="246">
        <f t="shared" si="215"/>
        <v>16.488252000000003</v>
      </c>
      <c r="AA263" s="16">
        <f>Z263*(1+'Key Assumption'!AB$21)</f>
        <v>16.834505292000003</v>
      </c>
      <c r="AB263" s="16">
        <f>AA263*(1+'Key Assumption'!AC$21)</f>
        <v>17.221698913716001</v>
      </c>
      <c r="AC263" s="16">
        <f>AB263*(1+'Key Assumption'!AD$21)</f>
        <v>17.617797988731468</v>
      </c>
      <c r="AD263" s="16">
        <f>AC263*(1+'Key Assumption'!AE$21)</f>
        <v>18.040625140461025</v>
      </c>
      <c r="AF263" s="327"/>
      <c r="AK263" s="311"/>
    </row>
    <row r="264" spans="2:37" x14ac:dyDescent="0.3">
      <c r="B264" s="11"/>
      <c r="C264" s="3" t="s">
        <v>388</v>
      </c>
      <c r="L264" s="16">
        <v>408.68716799999999</v>
      </c>
      <c r="M264" s="16">
        <v>687.24215700000002</v>
      </c>
      <c r="N264" s="15">
        <v>352.43202000000002</v>
      </c>
      <c r="O264" s="246">
        <v>127.81034699999999</v>
      </c>
      <c r="P264" s="16">
        <v>36.333333333333336</v>
      </c>
      <c r="Q264" s="16">
        <v>36.333333333333336</v>
      </c>
      <c r="R264" s="16">
        <v>36.333333333333336</v>
      </c>
      <c r="S264" s="16">
        <v>36.333333333333336</v>
      </c>
      <c r="T264" s="16">
        <v>36.333333333333336</v>
      </c>
      <c r="U264" s="16">
        <v>36.333333333333336</v>
      </c>
      <c r="V264" s="16">
        <v>36.333333333333336</v>
      </c>
      <c r="W264" s="16">
        <v>36.333333333333336</v>
      </c>
      <c r="X264" s="16">
        <v>36.333333333333336</v>
      </c>
      <c r="Y264" s="292">
        <f t="shared" si="214"/>
        <v>327</v>
      </c>
      <c r="Z264" s="246">
        <f t="shared" si="215"/>
        <v>454.81034699999998</v>
      </c>
      <c r="AA264" s="16">
        <f>Z264*(1+'Key Assumption'!AB$21)</f>
        <v>464.36136428699996</v>
      </c>
      <c r="AB264" s="16">
        <f>AA264*(1+'Key Assumption'!AC$21)</f>
        <v>475.04167566560091</v>
      </c>
      <c r="AC264" s="16">
        <f>AB264*(1+'Key Assumption'!AD$21)</f>
        <v>485.96763420590969</v>
      </c>
      <c r="AD264" s="16">
        <f>AC264*(1+'Key Assumption'!AE$21)</f>
        <v>497.63085742685155</v>
      </c>
      <c r="AF264" s="327"/>
      <c r="AK264" s="311"/>
    </row>
    <row r="265" spans="2:37" x14ac:dyDescent="0.3">
      <c r="B265" s="11"/>
      <c r="C265" s="3" t="s">
        <v>393</v>
      </c>
      <c r="L265" s="16">
        <v>107.402444</v>
      </c>
      <c r="M265" s="16">
        <v>173.794974</v>
      </c>
      <c r="N265" s="15">
        <v>150.53775300000001</v>
      </c>
      <c r="O265" s="246">
        <v>67.626129000000006</v>
      </c>
      <c r="P265" s="16">
        <v>14.833333333333334</v>
      </c>
      <c r="Q265" s="16">
        <v>14.833333333333334</v>
      </c>
      <c r="R265" s="16">
        <v>14.833333333333334</v>
      </c>
      <c r="S265" s="16">
        <v>14.833333333333334</v>
      </c>
      <c r="T265" s="16">
        <v>14.833333333333334</v>
      </c>
      <c r="U265" s="16">
        <v>14.833333333333334</v>
      </c>
      <c r="V265" s="16">
        <v>14.833333333333334</v>
      </c>
      <c r="W265" s="16">
        <v>14.833333333333334</v>
      </c>
      <c r="X265" s="16">
        <v>14.833333333333334</v>
      </c>
      <c r="Y265" s="292">
        <f t="shared" si="214"/>
        <v>133.5</v>
      </c>
      <c r="Z265" s="246">
        <f>SUM(O265,Y265)</f>
        <v>201.12612899999999</v>
      </c>
      <c r="AA265" s="16">
        <f>Z265*(1+'Key Assumption'!AB$21)</f>
        <v>205.34977770899997</v>
      </c>
      <c r="AB265" s="16">
        <f>AA265*(1+'Key Assumption'!AC$21)</f>
        <v>210.07282259630693</v>
      </c>
      <c r="AC265" s="16">
        <f>AB265*(1+'Key Assumption'!AD$21)</f>
        <v>214.90449751602196</v>
      </c>
      <c r="AD265" s="16">
        <f>AC265*(1+'Key Assumption'!AE$21)</f>
        <v>220.0622054564065</v>
      </c>
      <c r="AF265" s="327"/>
      <c r="AK265" s="311"/>
    </row>
    <row r="266" spans="2:37" x14ac:dyDescent="0.3">
      <c r="B266" s="11"/>
      <c r="C266" s="3" t="s">
        <v>492</v>
      </c>
      <c r="L266" s="16">
        <v>527.49485600000003</v>
      </c>
      <c r="M266" s="16">
        <v>-303.728543</v>
      </c>
      <c r="N266" s="15">
        <v>-402.903818</v>
      </c>
      <c r="O266" s="246">
        <v>-26.341463000000001</v>
      </c>
      <c r="P266" s="119"/>
      <c r="Q266" s="119"/>
      <c r="R266" s="119"/>
      <c r="S266" s="119"/>
      <c r="T266" s="119"/>
      <c r="U266" s="119"/>
      <c r="V266" s="119"/>
      <c r="W266" s="119"/>
      <c r="X266" s="119"/>
      <c r="Y266" s="293"/>
      <c r="Z266" s="246">
        <f>SUM(O266,Y266)</f>
        <v>-26.341463000000001</v>
      </c>
      <c r="AA266" s="119"/>
      <c r="AB266" s="119"/>
      <c r="AC266" s="119"/>
      <c r="AD266" s="119"/>
      <c r="AF266" s="327"/>
      <c r="AK266" s="311"/>
    </row>
    <row r="267" spans="2:37" x14ac:dyDescent="0.3">
      <c r="B267" s="11"/>
      <c r="C267" s="3" t="s">
        <v>491</v>
      </c>
      <c r="L267" s="16">
        <v>0</v>
      </c>
      <c r="M267" s="16">
        <v>0</v>
      </c>
      <c r="N267" s="15">
        <v>0</v>
      </c>
      <c r="O267" s="246">
        <v>0</v>
      </c>
      <c r="P267" s="16">
        <v>3.1666666666666665</v>
      </c>
      <c r="Q267" s="16">
        <v>3.1666666666666665</v>
      </c>
      <c r="R267" s="16">
        <v>3.1666666666666665</v>
      </c>
      <c r="S267" s="16">
        <v>3.1666666666666665</v>
      </c>
      <c r="T267" s="16">
        <v>3.1666666666666665</v>
      </c>
      <c r="U267" s="16">
        <v>3.1666666666666665</v>
      </c>
      <c r="V267" s="16">
        <v>3.1666666666666665</v>
      </c>
      <c r="W267" s="16">
        <v>3.1666666666666665</v>
      </c>
      <c r="X267" s="16">
        <v>3.1666666666666665</v>
      </c>
      <c r="Y267" s="292">
        <f t="shared" si="214"/>
        <v>28.500000000000004</v>
      </c>
      <c r="Z267" s="246">
        <f t="shared" si="215"/>
        <v>28.500000000000004</v>
      </c>
      <c r="AA267" s="16">
        <f>Z267*(1+'Key Assumption'!AB$21)</f>
        <v>29.098500000000001</v>
      </c>
      <c r="AB267" s="16">
        <f>AA267*(1+'Key Assumption'!AC$21)</f>
        <v>29.767765499999999</v>
      </c>
      <c r="AC267" s="16">
        <f>AB267*(1+'Key Assumption'!AD$21)</f>
        <v>30.452424106499997</v>
      </c>
      <c r="AD267" s="16">
        <f>AC267*(1+'Key Assumption'!AE$21)</f>
        <v>31.183282285055999</v>
      </c>
      <c r="AF267" s="327"/>
      <c r="AK267" s="311"/>
    </row>
    <row r="268" spans="2:37" x14ac:dyDescent="0.3">
      <c r="B268" s="11"/>
      <c r="C268" s="3" t="s">
        <v>419</v>
      </c>
      <c r="L268" s="16">
        <v>103.14672299999999</v>
      </c>
      <c r="M268" s="16">
        <v>143.79700600000001</v>
      </c>
      <c r="N268" s="15">
        <v>129.9691</v>
      </c>
      <c r="O268" s="246">
        <v>37.292833000000002</v>
      </c>
      <c r="P268" s="16">
        <f t="shared" ref="P268:Y268" si="216">P269</f>
        <v>15.583333333333334</v>
      </c>
      <c r="Q268" s="16">
        <f t="shared" si="216"/>
        <v>15.583333333333334</v>
      </c>
      <c r="R268" s="16">
        <f t="shared" si="216"/>
        <v>15.583333333333334</v>
      </c>
      <c r="S268" s="16">
        <f t="shared" si="216"/>
        <v>15.583333333333334</v>
      </c>
      <c r="T268" s="16">
        <f t="shared" si="216"/>
        <v>15.583333333333334</v>
      </c>
      <c r="U268" s="16">
        <f t="shared" si="216"/>
        <v>15.583333333333334</v>
      </c>
      <c r="V268" s="16">
        <f t="shared" si="216"/>
        <v>15.583333333333334</v>
      </c>
      <c r="W268" s="16">
        <f t="shared" si="216"/>
        <v>15.583333333333334</v>
      </c>
      <c r="X268" s="16">
        <f t="shared" si="216"/>
        <v>15.583333333333334</v>
      </c>
      <c r="Y268" s="292">
        <f t="shared" si="216"/>
        <v>140.25</v>
      </c>
      <c r="Z268" s="246">
        <f>SUM(O268,Y268)</f>
        <v>177.542833</v>
      </c>
      <c r="AA268" s="16">
        <f>AA269</f>
        <v>143.19524999999999</v>
      </c>
      <c r="AB268" s="16">
        <f>AB269</f>
        <v>146.48874074999998</v>
      </c>
      <c r="AC268" s="16">
        <f>AC269</f>
        <v>149.85798178724997</v>
      </c>
      <c r="AD268" s="16">
        <f>AD269</f>
        <v>153.45457335014396</v>
      </c>
      <c r="AF268" s="327"/>
      <c r="AK268" s="311"/>
    </row>
    <row r="269" spans="2:37" x14ac:dyDescent="0.3">
      <c r="B269" s="65"/>
      <c r="C269" s="92"/>
      <c r="D269" s="92" t="s">
        <v>494</v>
      </c>
      <c r="E269" s="92"/>
      <c r="F269" s="92"/>
      <c r="G269" s="92"/>
      <c r="H269" s="92"/>
      <c r="I269" s="92"/>
      <c r="J269" s="92"/>
      <c r="K269" s="92"/>
      <c r="L269" s="130"/>
      <c r="M269" s="130"/>
      <c r="N269" s="131"/>
      <c r="O269" s="330"/>
      <c r="P269" s="130">
        <v>15.583333333333334</v>
      </c>
      <c r="Q269" s="130">
        <v>15.583333333333334</v>
      </c>
      <c r="R269" s="130">
        <v>15.583333333333334</v>
      </c>
      <c r="S269" s="130">
        <v>15.583333333333334</v>
      </c>
      <c r="T269" s="130">
        <v>15.583333333333334</v>
      </c>
      <c r="U269" s="130">
        <v>15.583333333333334</v>
      </c>
      <c r="V269" s="130">
        <v>15.583333333333334</v>
      </c>
      <c r="W269" s="130">
        <v>15.583333333333334</v>
      </c>
      <c r="X269" s="130">
        <v>15.583333333333334</v>
      </c>
      <c r="Y269" s="296">
        <f>SUM(P269:X269)</f>
        <v>140.25</v>
      </c>
      <c r="Z269" s="330">
        <f>SUM(O269,Y269)</f>
        <v>140.25</v>
      </c>
      <c r="AA269" s="130">
        <f>Z269*(1+'Key Assumption'!AB$21)</f>
        <v>143.19524999999999</v>
      </c>
      <c r="AB269" s="130">
        <f>AA269*(1+'Key Assumption'!AC$21)</f>
        <v>146.48874074999998</v>
      </c>
      <c r="AC269" s="130">
        <f>AB269*(1+'Key Assumption'!AD$21)</f>
        <v>149.85798178724997</v>
      </c>
      <c r="AD269" s="130">
        <f>AC269*(1+'Key Assumption'!AE$21)</f>
        <v>153.45457335014396</v>
      </c>
      <c r="AF269" s="327"/>
      <c r="AK269" s="311"/>
    </row>
    <row r="270" spans="2:37" x14ac:dyDescent="0.3">
      <c r="AK270" s="311"/>
    </row>
    <row r="271" spans="2:37" x14ac:dyDescent="0.3">
      <c r="B271" s="5" t="s">
        <v>496</v>
      </c>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K271" s="311"/>
    </row>
    <row r="272" spans="2:37" x14ac:dyDescent="0.3">
      <c r="AK272" s="311"/>
    </row>
    <row r="273" spans="2:37" x14ac:dyDescent="0.3">
      <c r="B273" s="8"/>
      <c r="C273" s="8"/>
      <c r="D273" s="8"/>
      <c r="E273" s="8"/>
      <c r="F273" s="8"/>
      <c r="G273" s="8"/>
      <c r="H273" s="8"/>
      <c r="I273" s="8"/>
      <c r="J273" s="8"/>
      <c r="K273" s="8"/>
      <c r="L273" s="9" t="s">
        <v>182</v>
      </c>
      <c r="M273" s="9" t="s">
        <v>183</v>
      </c>
      <c r="N273" s="10" t="s">
        <v>184</v>
      </c>
      <c r="O273" s="244" t="s">
        <v>4</v>
      </c>
      <c r="P273" s="9" t="s">
        <v>215</v>
      </c>
      <c r="Q273" s="9" t="s">
        <v>216</v>
      </c>
      <c r="R273" s="9" t="s">
        <v>217</v>
      </c>
      <c r="S273" s="9" t="s">
        <v>218</v>
      </c>
      <c r="T273" s="9" t="s">
        <v>219</v>
      </c>
      <c r="U273" s="9" t="s">
        <v>220</v>
      </c>
      <c r="V273" s="9" t="s">
        <v>221</v>
      </c>
      <c r="W273" s="9" t="s">
        <v>222</v>
      </c>
      <c r="X273" s="10" t="s">
        <v>223</v>
      </c>
      <c r="Y273" s="9" t="s">
        <v>294</v>
      </c>
      <c r="Z273" s="244" t="s">
        <v>197</v>
      </c>
      <c r="AA273" s="9" t="s">
        <v>198</v>
      </c>
      <c r="AB273" s="9" t="s">
        <v>199</v>
      </c>
      <c r="AC273" s="9" t="s">
        <v>200</v>
      </c>
      <c r="AD273" s="9" t="s">
        <v>201</v>
      </c>
      <c r="AK273" s="311"/>
    </row>
    <row r="274" spans="2:37" x14ac:dyDescent="0.3">
      <c r="B274" s="11" t="s">
        <v>420</v>
      </c>
      <c r="L274" s="16"/>
      <c r="M274" s="16"/>
      <c r="N274" s="15"/>
      <c r="O274" s="246"/>
      <c r="P274" s="13">
        <f t="shared" ref="P274:AD274" si="217">P275</f>
        <v>99.513146425188893</v>
      </c>
      <c r="Q274" s="13">
        <f t="shared" si="217"/>
        <v>99.513146425188893</v>
      </c>
      <c r="R274" s="13">
        <f t="shared" si="217"/>
        <v>99.513146425188893</v>
      </c>
      <c r="S274" s="13">
        <f t="shared" si="217"/>
        <v>99.513146425188893</v>
      </c>
      <c r="T274" s="13">
        <f t="shared" si="217"/>
        <v>99.513146425188893</v>
      </c>
      <c r="U274" s="13">
        <f t="shared" si="217"/>
        <v>99.513146425188893</v>
      </c>
      <c r="V274" s="13">
        <f t="shared" si="217"/>
        <v>99.513146425188893</v>
      </c>
      <c r="W274" s="13">
        <f t="shared" si="217"/>
        <v>99.513146425188893</v>
      </c>
      <c r="X274" s="13">
        <f t="shared" si="217"/>
        <v>99.513146425188893</v>
      </c>
      <c r="Y274" s="359">
        <f t="shared" si="217"/>
        <v>895.61831782670004</v>
      </c>
      <c r="Z274" s="352"/>
      <c r="AA274" s="13">
        <f t="shared" si="217"/>
        <v>1189.5051509390667</v>
      </c>
      <c r="AB274" s="13">
        <f t="shared" si="217"/>
        <v>1172.4708965469558</v>
      </c>
      <c r="AC274" s="13">
        <f t="shared" si="217"/>
        <v>1181.3922032496102</v>
      </c>
      <c r="AD274" s="13">
        <f t="shared" si="217"/>
        <v>1201.6200969591571</v>
      </c>
      <c r="AE274" s="11"/>
      <c r="AK274" s="311"/>
    </row>
    <row r="275" spans="2:37" x14ac:dyDescent="0.3">
      <c r="B275" s="11"/>
      <c r="C275" s="3" t="s">
        <v>32</v>
      </c>
      <c r="L275" s="16"/>
      <c r="M275" s="16"/>
      <c r="N275" s="15"/>
      <c r="O275" s="246"/>
      <c r="P275" s="16">
        <f t="shared" ref="P275:AD275" si="218">P276+P280+P282</f>
        <v>99.513146425188893</v>
      </c>
      <c r="Q275" s="16">
        <f t="shared" si="218"/>
        <v>99.513146425188893</v>
      </c>
      <c r="R275" s="16">
        <f t="shared" si="218"/>
        <v>99.513146425188893</v>
      </c>
      <c r="S275" s="16">
        <f t="shared" si="218"/>
        <v>99.513146425188893</v>
      </c>
      <c r="T275" s="16">
        <f t="shared" si="218"/>
        <v>99.513146425188893</v>
      </c>
      <c r="U275" s="16">
        <f t="shared" si="218"/>
        <v>99.513146425188893</v>
      </c>
      <c r="V275" s="16">
        <f t="shared" si="218"/>
        <v>99.513146425188893</v>
      </c>
      <c r="W275" s="16">
        <f t="shared" si="218"/>
        <v>99.513146425188893</v>
      </c>
      <c r="X275" s="16">
        <f t="shared" si="218"/>
        <v>99.513146425188893</v>
      </c>
      <c r="Y275" s="292">
        <f t="shared" si="218"/>
        <v>895.61831782670004</v>
      </c>
      <c r="Z275" s="306"/>
      <c r="AA275" s="16">
        <f t="shared" si="218"/>
        <v>1189.5051509390667</v>
      </c>
      <c r="AB275" s="16">
        <f t="shared" si="218"/>
        <v>1172.4708965469558</v>
      </c>
      <c r="AC275" s="16">
        <f t="shared" si="218"/>
        <v>1181.3922032496102</v>
      </c>
      <c r="AD275" s="16">
        <f t="shared" si="218"/>
        <v>1201.6200969591571</v>
      </c>
      <c r="AK275" s="311"/>
    </row>
    <row r="276" spans="2:37" x14ac:dyDescent="0.3">
      <c r="B276" s="11"/>
      <c r="D276" s="3" t="s">
        <v>421</v>
      </c>
      <c r="L276" s="16"/>
      <c r="M276" s="16"/>
      <c r="N276" s="15"/>
      <c r="O276" s="246"/>
      <c r="P276" s="16">
        <v>16.901254144622222</v>
      </c>
      <c r="Q276" s="16">
        <v>16.901254144622222</v>
      </c>
      <c r="R276" s="16">
        <v>16.901254144622222</v>
      </c>
      <c r="S276" s="16">
        <v>16.901254144622222</v>
      </c>
      <c r="T276" s="16">
        <v>16.901254144622222</v>
      </c>
      <c r="U276" s="16">
        <v>16.901254144622222</v>
      </c>
      <c r="V276" s="16">
        <v>16.901254144622222</v>
      </c>
      <c r="W276" s="16">
        <v>16.901254144622222</v>
      </c>
      <c r="X276" s="16">
        <v>16.901254144622222</v>
      </c>
      <c r="Y276" s="292">
        <v>152.11128730160002</v>
      </c>
      <c r="Z276" s="306"/>
      <c r="AA276" s="16">
        <f>SUM(AA277:AA279)</f>
        <v>188.08910985106667</v>
      </c>
      <c r="AB276" s="16">
        <f t="shared" ref="AB276:AD276" si="219">SUM(AB277:AB279)</f>
        <v>148.04797375159998</v>
      </c>
      <c r="AC276" s="16">
        <f t="shared" si="219"/>
        <v>133.42675269893331</v>
      </c>
      <c r="AD276" s="16">
        <f t="shared" si="219"/>
        <v>128.51372027199997</v>
      </c>
      <c r="AK276" s="311"/>
    </row>
    <row r="277" spans="2:37" x14ac:dyDescent="0.3">
      <c r="B277" s="11"/>
      <c r="E277" s="3" t="s">
        <v>517</v>
      </c>
      <c r="L277" s="16"/>
      <c r="M277" s="16"/>
      <c r="N277" s="15"/>
      <c r="O277" s="246"/>
      <c r="P277" s="16">
        <f t="shared" ref="P277:AD281" si="220">P288</f>
        <v>16.207320774699998</v>
      </c>
      <c r="Q277" s="16">
        <f t="shared" si="220"/>
        <v>16.207320774699998</v>
      </c>
      <c r="R277" s="16">
        <f t="shared" si="220"/>
        <v>16.207320774699998</v>
      </c>
      <c r="S277" s="16">
        <f t="shared" si="220"/>
        <v>15.97447832432222</v>
      </c>
      <c r="T277" s="16">
        <f t="shared" si="220"/>
        <v>15.97447832432222</v>
      </c>
      <c r="U277" s="16">
        <f t="shared" si="220"/>
        <v>15.97447832432222</v>
      </c>
      <c r="V277" s="16">
        <f t="shared" si="220"/>
        <v>15.604159746327779</v>
      </c>
      <c r="W277" s="16">
        <f t="shared" si="220"/>
        <v>15.604159746327779</v>
      </c>
      <c r="X277" s="16">
        <f t="shared" si="220"/>
        <v>15.604159746327779</v>
      </c>
      <c r="Y277" s="292">
        <f t="shared" si="220"/>
        <v>143.35787653604999</v>
      </c>
      <c r="Z277" s="306"/>
      <c r="AA277" s="16">
        <f t="shared" si="220"/>
        <v>180.45785313746666</v>
      </c>
      <c r="AB277" s="16">
        <f t="shared" si="220"/>
        <v>141.06899376079997</v>
      </c>
      <c r="AC277" s="16">
        <f t="shared" si="220"/>
        <v>126.46229047313332</v>
      </c>
      <c r="AD277" s="16">
        <f t="shared" si="220"/>
        <v>127.80146423199999</v>
      </c>
      <c r="AK277" s="311"/>
    </row>
    <row r="278" spans="2:37" x14ac:dyDescent="0.3">
      <c r="B278" s="11"/>
      <c r="E278" s="3" t="s">
        <v>500</v>
      </c>
      <c r="L278" s="16"/>
      <c r="M278" s="16"/>
      <c r="N278" s="15"/>
      <c r="O278" s="246"/>
      <c r="P278" s="16">
        <f t="shared" si="220"/>
        <v>0.90775401000000011</v>
      </c>
      <c r="Q278" s="16">
        <f t="shared" si="220"/>
        <v>0.90775401000000011</v>
      </c>
      <c r="R278" s="16">
        <f t="shared" si="220"/>
        <v>0.90775401000000011</v>
      </c>
      <c r="S278" s="16">
        <f t="shared" si="220"/>
        <v>0.89471276333333327</v>
      </c>
      <c r="T278" s="16">
        <f t="shared" si="220"/>
        <v>0.89471276333333327</v>
      </c>
      <c r="U278" s="16">
        <f t="shared" si="220"/>
        <v>0.89471276333333327</v>
      </c>
      <c r="V278" s="16">
        <f t="shared" si="220"/>
        <v>0.87397163166666691</v>
      </c>
      <c r="W278" s="16">
        <f t="shared" si="220"/>
        <v>0.87397163166666691</v>
      </c>
      <c r="X278" s="16">
        <f t="shared" si="220"/>
        <v>0.87397163166666691</v>
      </c>
      <c r="Y278" s="292">
        <f t="shared" si="220"/>
        <v>8.0293152150000004</v>
      </c>
      <c r="Z278" s="306"/>
      <c r="AA278" s="16">
        <f t="shared" si="220"/>
        <v>7.1801935556000007</v>
      </c>
      <c r="AB278" s="16">
        <f t="shared" si="220"/>
        <v>6.9789799908000001</v>
      </c>
      <c r="AC278" s="16">
        <f t="shared" si="220"/>
        <v>6.9644622257999993</v>
      </c>
      <c r="AD278" s="16">
        <f t="shared" si="220"/>
        <v>0.71225603999999798</v>
      </c>
      <c r="AK278" s="311"/>
    </row>
    <row r="279" spans="2:37" x14ac:dyDescent="0.3">
      <c r="B279" s="11"/>
      <c r="E279" s="3" t="s">
        <v>501</v>
      </c>
      <c r="L279" s="16"/>
      <c r="M279" s="16"/>
      <c r="N279" s="15"/>
      <c r="O279" s="246"/>
      <c r="P279" s="16">
        <f t="shared" si="220"/>
        <v>4.0510984499999993E-2</v>
      </c>
      <c r="Q279" s="16">
        <f t="shared" si="220"/>
        <v>4.0510984499999993E-2</v>
      </c>
      <c r="R279" s="16">
        <f t="shared" si="220"/>
        <v>4.0510984499999993E-2</v>
      </c>
      <c r="S279" s="16">
        <f t="shared" si="220"/>
        <v>3.9928983499999994E-2</v>
      </c>
      <c r="T279" s="16">
        <f t="shared" si="220"/>
        <v>3.9928983499999994E-2</v>
      </c>
      <c r="U279" s="16">
        <f t="shared" si="220"/>
        <v>3.9928983499999994E-2</v>
      </c>
      <c r="V279" s="16">
        <f t="shared" si="220"/>
        <v>3.9003354250000004E-2</v>
      </c>
      <c r="W279" s="16">
        <f t="shared" si="220"/>
        <v>3.9003354250000004E-2</v>
      </c>
      <c r="X279" s="16">
        <f t="shared" si="220"/>
        <v>3.9003354250000004E-2</v>
      </c>
      <c r="Y279" s="292">
        <f t="shared" si="220"/>
        <v>0.35832996674999995</v>
      </c>
      <c r="Z279" s="306"/>
      <c r="AA279" s="16">
        <f t="shared" si="220"/>
        <v>0.45106315800000008</v>
      </c>
      <c r="AB279" s="16">
        <f t="shared" si="220"/>
        <v>0</v>
      </c>
      <c r="AC279" s="16">
        <f t="shared" si="220"/>
        <v>0</v>
      </c>
      <c r="AD279" s="16">
        <f t="shared" si="220"/>
        <v>0</v>
      </c>
      <c r="AK279" s="311"/>
    </row>
    <row r="280" spans="2:37" x14ac:dyDescent="0.3">
      <c r="B280" s="11"/>
      <c r="D280" s="3" t="s">
        <v>433</v>
      </c>
      <c r="L280" s="16"/>
      <c r="M280" s="16"/>
      <c r="N280" s="15"/>
      <c r="O280" s="246"/>
      <c r="P280" s="16">
        <v>0.94011461390000006</v>
      </c>
      <c r="Q280" s="16">
        <v>0.94011461390000006</v>
      </c>
      <c r="R280" s="16">
        <v>0.94011461390000006</v>
      </c>
      <c r="S280" s="16">
        <v>0.94011461390000006</v>
      </c>
      <c r="T280" s="16">
        <v>0.94011461390000006</v>
      </c>
      <c r="U280" s="16">
        <v>0.94011461390000006</v>
      </c>
      <c r="V280" s="16">
        <v>0.94011461390000006</v>
      </c>
      <c r="W280" s="16">
        <v>0.94011461390000006</v>
      </c>
      <c r="X280" s="16">
        <v>0.94011461390000006</v>
      </c>
      <c r="Y280" s="292">
        <v>8.4610315251000028</v>
      </c>
      <c r="Z280" s="306"/>
      <c r="AA280" s="16">
        <f t="shared" ref="AA280:AD280" si="221">AA281</f>
        <v>0.77342111600000008</v>
      </c>
      <c r="AB280" s="16">
        <f t="shared" si="221"/>
        <v>0.76552256399999996</v>
      </c>
      <c r="AC280" s="16">
        <f t="shared" si="221"/>
        <v>0.76393011399999999</v>
      </c>
      <c r="AD280" s="16">
        <f t="shared" si="221"/>
        <v>0.77201976000000005</v>
      </c>
      <c r="AK280" s="311"/>
    </row>
    <row r="281" spans="2:37" x14ac:dyDescent="0.3">
      <c r="B281" s="11"/>
      <c r="E281" s="3" t="s">
        <v>507</v>
      </c>
      <c r="L281" s="16"/>
      <c r="M281" s="16"/>
      <c r="N281" s="15"/>
      <c r="O281" s="246"/>
      <c r="P281" s="16">
        <f t="shared" ref="P281:AD282" si="222">P292</f>
        <v>0.95426154495000004</v>
      </c>
      <c r="Q281" s="16">
        <f t="shared" si="222"/>
        <v>0.95426154495000004</v>
      </c>
      <c r="R281" s="16">
        <f t="shared" si="222"/>
        <v>0.95426154495000004</v>
      </c>
      <c r="S281" s="16">
        <f t="shared" si="222"/>
        <v>0.94055214784999996</v>
      </c>
      <c r="T281" s="16">
        <f t="shared" si="222"/>
        <v>0.94055214784999996</v>
      </c>
      <c r="U281" s="16">
        <f t="shared" si="222"/>
        <v>0.94055214784999996</v>
      </c>
      <c r="V281" s="16">
        <f t="shared" si="222"/>
        <v>0.91874837267500009</v>
      </c>
      <c r="W281" s="16">
        <f t="shared" si="222"/>
        <v>0.91874837267500009</v>
      </c>
      <c r="X281" s="16">
        <f t="shared" si="222"/>
        <v>0.91874837267500009</v>
      </c>
      <c r="Y281" s="292">
        <f t="shared" si="222"/>
        <v>8.4406861964250002</v>
      </c>
      <c r="Z281" s="306"/>
      <c r="AA281" s="16">
        <f t="shared" si="222"/>
        <v>0.77342111600000008</v>
      </c>
      <c r="AB281" s="16">
        <f t="shared" si="222"/>
        <v>0.76552256399999996</v>
      </c>
      <c r="AC281" s="16">
        <f t="shared" si="222"/>
        <v>0.76393011399999999</v>
      </c>
      <c r="AD281" s="16">
        <f t="shared" si="220"/>
        <v>0.77201976000000005</v>
      </c>
      <c r="AK281" s="311"/>
    </row>
    <row r="282" spans="2:37" x14ac:dyDescent="0.3">
      <c r="B282" s="92"/>
      <c r="C282" s="92"/>
      <c r="D282" s="92" t="s">
        <v>518</v>
      </c>
      <c r="E282" s="92"/>
      <c r="F282" s="92"/>
      <c r="G282" s="92"/>
      <c r="H282" s="92"/>
      <c r="I282" s="92"/>
      <c r="J282" s="92"/>
      <c r="K282" s="92"/>
      <c r="L282" s="130"/>
      <c r="M282" s="130"/>
      <c r="N282" s="131"/>
      <c r="O282" s="330"/>
      <c r="P282" s="130">
        <f t="shared" si="222"/>
        <v>81.671777666666671</v>
      </c>
      <c r="Q282" s="130">
        <f t="shared" si="222"/>
        <v>81.671777666666671</v>
      </c>
      <c r="R282" s="130">
        <f t="shared" si="222"/>
        <v>81.671777666666671</v>
      </c>
      <c r="S282" s="130">
        <f t="shared" si="222"/>
        <v>81.671777666666671</v>
      </c>
      <c r="T282" s="130">
        <f t="shared" si="222"/>
        <v>81.671777666666671</v>
      </c>
      <c r="U282" s="130">
        <f t="shared" si="222"/>
        <v>81.671777666666671</v>
      </c>
      <c r="V282" s="130">
        <f t="shared" si="222"/>
        <v>81.671777666666671</v>
      </c>
      <c r="W282" s="130">
        <f t="shared" si="222"/>
        <v>81.671777666666671</v>
      </c>
      <c r="X282" s="130">
        <f t="shared" si="222"/>
        <v>81.671777666666671</v>
      </c>
      <c r="Y282" s="296">
        <f t="shared" si="222"/>
        <v>735.04599900000005</v>
      </c>
      <c r="Z282" s="315"/>
      <c r="AA282" s="130">
        <f t="shared" si="222"/>
        <v>1000.6426199719999</v>
      </c>
      <c r="AB282" s="130">
        <f t="shared" si="222"/>
        <v>1023.6574002313558</v>
      </c>
      <c r="AC282" s="130">
        <f t="shared" si="222"/>
        <v>1047.2015204366769</v>
      </c>
      <c r="AD282" s="130">
        <f t="shared" si="222"/>
        <v>1072.3343569271572</v>
      </c>
      <c r="AK282" s="311"/>
    </row>
    <row r="283" spans="2:37" x14ac:dyDescent="0.3">
      <c r="L283" s="16"/>
      <c r="M283" s="16"/>
      <c r="N283" s="16"/>
      <c r="O283" s="16"/>
      <c r="P283" s="16"/>
      <c r="Q283" s="16"/>
      <c r="R283" s="16"/>
      <c r="S283" s="16"/>
      <c r="T283" s="16"/>
      <c r="U283" s="16"/>
      <c r="V283" s="16"/>
      <c r="W283" s="16"/>
      <c r="X283" s="16"/>
      <c r="Y283" s="16"/>
      <c r="Z283" s="16"/>
      <c r="AA283" s="16"/>
      <c r="AB283" s="16"/>
      <c r="AC283" s="16"/>
      <c r="AD283" s="16"/>
      <c r="AK283" s="311"/>
    </row>
    <row r="284" spans="2:37" x14ac:dyDescent="0.3">
      <c r="B284" s="8"/>
      <c r="C284" s="8"/>
      <c r="D284" s="8"/>
      <c r="E284" s="8"/>
      <c r="F284" s="8"/>
      <c r="G284" s="8"/>
      <c r="H284" s="8"/>
      <c r="I284" s="8"/>
      <c r="J284" s="8"/>
      <c r="K284" s="8"/>
      <c r="L284" s="9" t="s">
        <v>182</v>
      </c>
      <c r="M284" s="9" t="s">
        <v>183</v>
      </c>
      <c r="N284" s="10" t="s">
        <v>184</v>
      </c>
      <c r="O284" s="244" t="s">
        <v>4</v>
      </c>
      <c r="P284" s="9" t="s">
        <v>215</v>
      </c>
      <c r="Q284" s="9" t="s">
        <v>216</v>
      </c>
      <c r="R284" s="9" t="s">
        <v>217</v>
      </c>
      <c r="S284" s="9" t="s">
        <v>218</v>
      </c>
      <c r="T284" s="9" t="s">
        <v>219</v>
      </c>
      <c r="U284" s="9" t="s">
        <v>220</v>
      </c>
      <c r="V284" s="9" t="s">
        <v>221</v>
      </c>
      <c r="W284" s="9" t="s">
        <v>222</v>
      </c>
      <c r="X284" s="10" t="s">
        <v>223</v>
      </c>
      <c r="Y284" s="9" t="s">
        <v>294</v>
      </c>
      <c r="Z284" s="244" t="s">
        <v>197</v>
      </c>
      <c r="AA284" s="9" t="s">
        <v>198</v>
      </c>
      <c r="AB284" s="9" t="s">
        <v>199</v>
      </c>
      <c r="AC284" s="9" t="s">
        <v>200</v>
      </c>
      <c r="AD284" s="9" t="s">
        <v>201</v>
      </c>
      <c r="AK284" s="311"/>
    </row>
    <row r="285" spans="2:37" x14ac:dyDescent="0.3">
      <c r="B285" s="11" t="s">
        <v>23</v>
      </c>
      <c r="L285" s="16"/>
      <c r="M285" s="16"/>
      <c r="N285" s="15"/>
      <c r="O285" s="246">
        <f t="shared" ref="O285:AD285" si="223">O286</f>
        <v>282.80612200000002</v>
      </c>
      <c r="P285" s="13">
        <f t="shared" si="223"/>
        <v>99.781624980816673</v>
      </c>
      <c r="Q285" s="13">
        <f t="shared" si="223"/>
        <v>99.781624980816673</v>
      </c>
      <c r="R285" s="13">
        <f t="shared" si="223"/>
        <v>99.781624980816673</v>
      </c>
      <c r="S285" s="13">
        <f t="shared" si="223"/>
        <v>99.521449885672226</v>
      </c>
      <c r="T285" s="13">
        <f t="shared" si="223"/>
        <v>99.521449885672226</v>
      </c>
      <c r="U285" s="13">
        <f t="shared" si="223"/>
        <v>99.521449885672226</v>
      </c>
      <c r="V285" s="13">
        <f t="shared" si="223"/>
        <v>99.107660771586126</v>
      </c>
      <c r="W285" s="13">
        <f t="shared" si="223"/>
        <v>99.107660771586126</v>
      </c>
      <c r="X285" s="13">
        <f t="shared" si="223"/>
        <v>99.107660771586126</v>
      </c>
      <c r="Y285" s="359">
        <f t="shared" si="223"/>
        <v>895.232206914225</v>
      </c>
      <c r="Z285" s="326">
        <f t="shared" si="223"/>
        <v>1178.0383289142251</v>
      </c>
      <c r="AA285" s="13">
        <f t="shared" si="223"/>
        <v>1189.5051509390667</v>
      </c>
      <c r="AB285" s="13">
        <f t="shared" si="223"/>
        <v>1172.4708965469558</v>
      </c>
      <c r="AC285" s="13">
        <f t="shared" si="223"/>
        <v>1181.3922032496102</v>
      </c>
      <c r="AD285" s="13">
        <f t="shared" si="223"/>
        <v>1201.6200969591571</v>
      </c>
      <c r="AF285" s="327"/>
      <c r="AK285" s="311"/>
    </row>
    <row r="286" spans="2:37" x14ac:dyDescent="0.3">
      <c r="B286" s="11"/>
      <c r="C286" s="3" t="s">
        <v>32</v>
      </c>
      <c r="L286" s="16"/>
      <c r="M286" s="16"/>
      <c r="N286" s="15"/>
      <c r="O286" s="246">
        <f t="shared" ref="O286:AD286" si="224">O287+O291+O293</f>
        <v>282.80612200000002</v>
      </c>
      <c r="P286" s="16">
        <f t="shared" si="224"/>
        <v>99.781624980816673</v>
      </c>
      <c r="Q286" s="16">
        <f t="shared" si="224"/>
        <v>99.781624980816673</v>
      </c>
      <c r="R286" s="16">
        <f t="shared" si="224"/>
        <v>99.781624980816673</v>
      </c>
      <c r="S286" s="16">
        <f t="shared" si="224"/>
        <v>99.521449885672226</v>
      </c>
      <c r="T286" s="16">
        <f t="shared" si="224"/>
        <v>99.521449885672226</v>
      </c>
      <c r="U286" s="16">
        <f t="shared" si="224"/>
        <v>99.521449885672226</v>
      </c>
      <c r="V286" s="16">
        <f t="shared" si="224"/>
        <v>99.107660771586126</v>
      </c>
      <c r="W286" s="16">
        <f t="shared" si="224"/>
        <v>99.107660771586126</v>
      </c>
      <c r="X286" s="16">
        <f t="shared" si="224"/>
        <v>99.107660771586126</v>
      </c>
      <c r="Y286" s="292">
        <f t="shared" si="224"/>
        <v>895.232206914225</v>
      </c>
      <c r="Z286" s="246">
        <f t="shared" si="224"/>
        <v>1178.0383289142251</v>
      </c>
      <c r="AA286" s="16">
        <f t="shared" si="224"/>
        <v>1189.5051509390667</v>
      </c>
      <c r="AB286" s="16">
        <f t="shared" si="224"/>
        <v>1172.4708965469558</v>
      </c>
      <c r="AC286" s="16">
        <f t="shared" si="224"/>
        <v>1181.3922032496102</v>
      </c>
      <c r="AD286" s="16">
        <f t="shared" si="224"/>
        <v>1201.6200969591571</v>
      </c>
      <c r="AF286" s="327"/>
      <c r="AK286" s="311"/>
    </row>
    <row r="287" spans="2:37" x14ac:dyDescent="0.3">
      <c r="B287" s="11"/>
      <c r="D287" s="3" t="s">
        <v>421</v>
      </c>
      <c r="L287" s="16"/>
      <c r="M287" s="16"/>
      <c r="N287" s="15"/>
      <c r="O287" s="246">
        <f>O254</f>
        <v>34.673036000000003</v>
      </c>
      <c r="P287" s="16">
        <f t="shared" ref="P287:Y287" si="225">SUM(P288:P290)</f>
        <v>17.155585769199998</v>
      </c>
      <c r="Q287" s="16">
        <f t="shared" si="225"/>
        <v>17.155585769199998</v>
      </c>
      <c r="R287" s="16">
        <f t="shared" si="225"/>
        <v>17.155585769199998</v>
      </c>
      <c r="S287" s="16">
        <f t="shared" si="225"/>
        <v>16.909120071155556</v>
      </c>
      <c r="T287" s="16">
        <f t="shared" si="225"/>
        <v>16.909120071155556</v>
      </c>
      <c r="U287" s="16">
        <f t="shared" si="225"/>
        <v>16.909120071155556</v>
      </c>
      <c r="V287" s="16">
        <f t="shared" si="225"/>
        <v>16.517134732244447</v>
      </c>
      <c r="W287" s="16">
        <f t="shared" si="225"/>
        <v>16.517134732244447</v>
      </c>
      <c r="X287" s="16">
        <f t="shared" si="225"/>
        <v>16.517134732244447</v>
      </c>
      <c r="Y287" s="292">
        <f t="shared" si="225"/>
        <v>151.74552171779999</v>
      </c>
      <c r="Z287" s="246">
        <f t="shared" ref="Z287:Z290" si="226">O287+Y287</f>
        <v>186.41855771779998</v>
      </c>
      <c r="AA287" s="16">
        <f>SUM(AA288:AA290)</f>
        <v>188.08910985106667</v>
      </c>
      <c r="AB287" s="16">
        <f>SUM(AB288:AB290)</f>
        <v>148.04797375159998</v>
      </c>
      <c r="AC287" s="16">
        <f>SUM(AC288:AC290)</f>
        <v>133.42675269893331</v>
      </c>
      <c r="AD287" s="16">
        <f>SUM(AD288:AD290)</f>
        <v>128.51372027199997</v>
      </c>
      <c r="AF287" s="327"/>
      <c r="AK287" s="311"/>
    </row>
    <row r="288" spans="2:37" x14ac:dyDescent="0.3">
      <c r="B288" s="11"/>
      <c r="E288" s="3" t="s">
        <v>517</v>
      </c>
      <c r="L288" s="16"/>
      <c r="M288" s="16"/>
      <c r="N288" s="15"/>
      <c r="O288" s="246"/>
      <c r="P288" s="16">
        <v>16.207320774699998</v>
      </c>
      <c r="Q288" s="16">
        <v>16.207320774699998</v>
      </c>
      <c r="R288" s="16">
        <v>16.207320774699998</v>
      </c>
      <c r="S288" s="16">
        <v>15.97447832432222</v>
      </c>
      <c r="T288" s="16">
        <v>15.97447832432222</v>
      </c>
      <c r="U288" s="16">
        <v>15.97447832432222</v>
      </c>
      <c r="V288" s="16">
        <v>15.604159746327779</v>
      </c>
      <c r="W288" s="16">
        <v>15.604159746327779</v>
      </c>
      <c r="X288" s="16">
        <v>15.604159746327779</v>
      </c>
      <c r="Y288" s="292">
        <f t="shared" ref="Y288:Y290" si="227">SUM(P288:X288)</f>
        <v>143.35787653604999</v>
      </c>
      <c r="Z288" s="246">
        <f t="shared" si="226"/>
        <v>143.35787653604999</v>
      </c>
      <c r="AA288" s="16">
        <v>180.45785313746666</v>
      </c>
      <c r="AB288" s="16">
        <v>141.06899376079997</v>
      </c>
      <c r="AC288" s="16">
        <v>126.46229047313332</v>
      </c>
      <c r="AD288" s="16">
        <v>127.80146423199999</v>
      </c>
      <c r="AF288" s="327"/>
      <c r="AK288" s="311"/>
    </row>
    <row r="289" spans="2:37" x14ac:dyDescent="0.3">
      <c r="B289" s="11"/>
      <c r="E289" s="3" t="s">
        <v>500</v>
      </c>
      <c r="L289" s="16"/>
      <c r="M289" s="16"/>
      <c r="N289" s="15"/>
      <c r="O289" s="246"/>
      <c r="P289" s="16">
        <v>0.90775401000000011</v>
      </c>
      <c r="Q289" s="16">
        <v>0.90775401000000011</v>
      </c>
      <c r="R289" s="16">
        <v>0.90775401000000011</v>
      </c>
      <c r="S289" s="16">
        <v>0.89471276333333327</v>
      </c>
      <c r="T289" s="16">
        <v>0.89471276333333327</v>
      </c>
      <c r="U289" s="16">
        <v>0.89471276333333327</v>
      </c>
      <c r="V289" s="16">
        <v>0.87397163166666691</v>
      </c>
      <c r="W289" s="16">
        <v>0.87397163166666691</v>
      </c>
      <c r="X289" s="16">
        <v>0.87397163166666691</v>
      </c>
      <c r="Y289" s="292">
        <f t="shared" si="227"/>
        <v>8.0293152150000004</v>
      </c>
      <c r="Z289" s="246">
        <f t="shared" si="226"/>
        <v>8.0293152150000004</v>
      </c>
      <c r="AA289" s="16">
        <v>7.1801935556000007</v>
      </c>
      <c r="AB289" s="16">
        <v>6.9789799908000001</v>
      </c>
      <c r="AC289" s="16">
        <v>6.9644622257999993</v>
      </c>
      <c r="AD289" s="16">
        <v>0.71225603999999798</v>
      </c>
      <c r="AF289" s="327"/>
      <c r="AK289" s="311"/>
    </row>
    <row r="290" spans="2:37" x14ac:dyDescent="0.3">
      <c r="B290" s="11"/>
      <c r="E290" s="3" t="s">
        <v>501</v>
      </c>
      <c r="L290" s="16"/>
      <c r="M290" s="16"/>
      <c r="N290" s="15"/>
      <c r="O290" s="246"/>
      <c r="P290" s="16">
        <v>4.0510984499999993E-2</v>
      </c>
      <c r="Q290" s="16">
        <v>4.0510984499999993E-2</v>
      </c>
      <c r="R290" s="16">
        <v>4.0510984499999993E-2</v>
      </c>
      <c r="S290" s="16">
        <v>3.9928983499999994E-2</v>
      </c>
      <c r="T290" s="16">
        <v>3.9928983499999994E-2</v>
      </c>
      <c r="U290" s="16">
        <v>3.9928983499999994E-2</v>
      </c>
      <c r="V290" s="16">
        <v>3.9003354250000004E-2</v>
      </c>
      <c r="W290" s="16">
        <v>3.9003354250000004E-2</v>
      </c>
      <c r="X290" s="16">
        <v>3.9003354250000004E-2</v>
      </c>
      <c r="Y290" s="292">
        <f t="shared" si="227"/>
        <v>0.35832996674999995</v>
      </c>
      <c r="Z290" s="246">
        <f t="shared" si="226"/>
        <v>0.35832996674999995</v>
      </c>
      <c r="AA290" s="16">
        <v>0.45106315800000008</v>
      </c>
      <c r="AB290" s="16">
        <v>0</v>
      </c>
      <c r="AC290" s="16">
        <v>0</v>
      </c>
      <c r="AD290" s="16">
        <v>0</v>
      </c>
      <c r="AF290" s="327"/>
      <c r="AK290" s="311"/>
    </row>
    <row r="291" spans="2:37" x14ac:dyDescent="0.3">
      <c r="B291" s="11"/>
      <c r="D291" s="3" t="s">
        <v>433</v>
      </c>
      <c r="L291" s="16"/>
      <c r="M291" s="16"/>
      <c r="N291" s="15"/>
      <c r="O291" s="246">
        <f>O255</f>
        <v>3.117753</v>
      </c>
      <c r="P291" s="16">
        <f t="shared" ref="P291:AD291" si="228">P292</f>
        <v>0.95426154495000004</v>
      </c>
      <c r="Q291" s="16">
        <f t="shared" si="228"/>
        <v>0.95426154495000004</v>
      </c>
      <c r="R291" s="16">
        <f t="shared" si="228"/>
        <v>0.95426154495000004</v>
      </c>
      <c r="S291" s="16">
        <f t="shared" si="228"/>
        <v>0.94055214784999996</v>
      </c>
      <c r="T291" s="16">
        <f t="shared" si="228"/>
        <v>0.94055214784999996</v>
      </c>
      <c r="U291" s="16">
        <f t="shared" si="228"/>
        <v>0.94055214784999996</v>
      </c>
      <c r="V291" s="16">
        <f t="shared" si="228"/>
        <v>0.91874837267500009</v>
      </c>
      <c r="W291" s="16">
        <f t="shared" si="228"/>
        <v>0.91874837267500009</v>
      </c>
      <c r="X291" s="16">
        <f t="shared" si="228"/>
        <v>0.91874837267500009</v>
      </c>
      <c r="Y291" s="292">
        <f t="shared" si="228"/>
        <v>8.4406861964250002</v>
      </c>
      <c r="Z291" s="246">
        <f t="shared" si="228"/>
        <v>11.558439196425001</v>
      </c>
      <c r="AA291" s="16">
        <f t="shared" si="228"/>
        <v>0.77342111600000008</v>
      </c>
      <c r="AB291" s="16">
        <f t="shared" si="228"/>
        <v>0.76552256399999996</v>
      </c>
      <c r="AC291" s="16">
        <f t="shared" si="228"/>
        <v>0.76393011399999999</v>
      </c>
      <c r="AD291" s="16">
        <f t="shared" si="228"/>
        <v>0.77201976000000005</v>
      </c>
      <c r="AF291" s="327"/>
      <c r="AK291" s="311"/>
    </row>
    <row r="292" spans="2:37" x14ac:dyDescent="0.3">
      <c r="B292" s="11"/>
      <c r="E292" s="3" t="s">
        <v>507</v>
      </c>
      <c r="L292" s="16"/>
      <c r="M292" s="16"/>
      <c r="N292" s="15"/>
      <c r="O292" s="246">
        <f>O291</f>
        <v>3.117753</v>
      </c>
      <c r="P292" s="16">
        <v>0.95426154495000004</v>
      </c>
      <c r="Q292" s="16">
        <v>0.95426154495000004</v>
      </c>
      <c r="R292" s="16">
        <v>0.95426154495000004</v>
      </c>
      <c r="S292" s="16">
        <v>0.94055214784999996</v>
      </c>
      <c r="T292" s="16">
        <v>0.94055214784999996</v>
      </c>
      <c r="U292" s="16">
        <v>0.94055214784999996</v>
      </c>
      <c r="V292" s="16">
        <v>0.91874837267500009</v>
      </c>
      <c r="W292" s="16">
        <v>0.91874837267500009</v>
      </c>
      <c r="X292" s="16">
        <v>0.91874837267500009</v>
      </c>
      <c r="Y292" s="292">
        <f t="shared" ref="Y292" si="229">SUM(P292:X292)</f>
        <v>8.4406861964250002</v>
      </c>
      <c r="Z292" s="246">
        <f t="shared" ref="Z292" si="230">O292+Y292</f>
        <v>11.558439196425001</v>
      </c>
      <c r="AA292" s="16">
        <v>0.77342111600000008</v>
      </c>
      <c r="AB292" s="16">
        <v>0.76552256399999996</v>
      </c>
      <c r="AC292" s="16">
        <v>0.76393011399999999</v>
      </c>
      <c r="AD292" s="16">
        <v>0.77201976000000005</v>
      </c>
      <c r="AF292" s="327"/>
      <c r="AK292" s="311"/>
    </row>
    <row r="293" spans="2:37" x14ac:dyDescent="0.3">
      <c r="B293" s="92"/>
      <c r="C293" s="92"/>
      <c r="D293" s="92" t="s">
        <v>518</v>
      </c>
      <c r="E293" s="92"/>
      <c r="F293" s="92"/>
      <c r="G293" s="92"/>
      <c r="H293" s="92"/>
      <c r="I293" s="92"/>
      <c r="J293" s="92"/>
      <c r="K293" s="92"/>
      <c r="L293" s="130"/>
      <c r="M293" s="130"/>
      <c r="N293" s="131"/>
      <c r="O293" s="330">
        <f>O256</f>
        <v>245.015333</v>
      </c>
      <c r="P293" s="130">
        <f t="shared" ref="P293:X293" si="231">$O293/3</f>
        <v>81.671777666666671</v>
      </c>
      <c r="Q293" s="130">
        <f t="shared" si="231"/>
        <v>81.671777666666671</v>
      </c>
      <c r="R293" s="130">
        <f t="shared" si="231"/>
        <v>81.671777666666671</v>
      </c>
      <c r="S293" s="130">
        <f t="shared" si="231"/>
        <v>81.671777666666671</v>
      </c>
      <c r="T293" s="130">
        <f t="shared" si="231"/>
        <v>81.671777666666671</v>
      </c>
      <c r="U293" s="130">
        <f t="shared" si="231"/>
        <v>81.671777666666671</v>
      </c>
      <c r="V293" s="130">
        <f t="shared" si="231"/>
        <v>81.671777666666671</v>
      </c>
      <c r="W293" s="130">
        <f t="shared" si="231"/>
        <v>81.671777666666671</v>
      </c>
      <c r="X293" s="130">
        <f t="shared" si="231"/>
        <v>81.671777666666671</v>
      </c>
      <c r="Y293" s="296">
        <f>SUM(P293:X293)</f>
        <v>735.04599900000005</v>
      </c>
      <c r="Z293" s="330">
        <f>O293+Y293</f>
        <v>980.06133199999999</v>
      </c>
      <c r="AA293" s="130">
        <f>Z293*(1+'Key Assumption'!AB$21)</f>
        <v>1000.6426199719999</v>
      </c>
      <c r="AB293" s="130">
        <f>AA293*(1+'Key Assumption'!AC$21)</f>
        <v>1023.6574002313558</v>
      </c>
      <c r="AC293" s="130">
        <f>AB293*(1+'Key Assumption'!AD$21)</f>
        <v>1047.2015204366769</v>
      </c>
      <c r="AD293" s="130">
        <f>AC293*(1+'Key Assumption'!AE$21)</f>
        <v>1072.3343569271572</v>
      </c>
      <c r="AF293" s="327"/>
      <c r="AK293" s="311"/>
    </row>
    <row r="294" spans="2:37" x14ac:dyDescent="0.3">
      <c r="B294" s="92"/>
      <c r="C294" s="92"/>
      <c r="D294" s="92"/>
      <c r="E294" s="92"/>
      <c r="F294" s="92"/>
      <c r="G294" s="92"/>
      <c r="H294" s="92"/>
      <c r="I294" s="92"/>
      <c r="J294" s="92"/>
      <c r="K294" s="92"/>
      <c r="L294" s="130"/>
      <c r="M294" s="130"/>
      <c r="N294" s="131"/>
      <c r="O294" s="330"/>
      <c r="P294" s="130"/>
      <c r="Q294" s="130"/>
      <c r="R294" s="130"/>
      <c r="S294" s="130"/>
      <c r="T294" s="130"/>
      <c r="U294" s="130"/>
      <c r="V294" s="130"/>
      <c r="W294" s="130"/>
      <c r="X294" s="130"/>
      <c r="Y294" s="130"/>
      <c r="Z294" s="15"/>
      <c r="AA294" s="130"/>
      <c r="AB294" s="130"/>
      <c r="AC294" s="130"/>
      <c r="AD294" s="130"/>
      <c r="AF294" s="327"/>
      <c r="AK294" s="311"/>
    </row>
    <row r="295" spans="2:37" x14ac:dyDescent="0.3">
      <c r="B295" s="8"/>
      <c r="C295" s="8"/>
      <c r="D295" s="8"/>
      <c r="E295" s="8"/>
      <c r="F295" s="8"/>
      <c r="G295" s="8"/>
      <c r="H295" s="8"/>
      <c r="I295" s="8"/>
      <c r="J295" s="8"/>
      <c r="K295" s="8"/>
      <c r="L295" s="9" t="s">
        <v>182</v>
      </c>
      <c r="M295" s="9" t="s">
        <v>183</v>
      </c>
      <c r="N295" s="10" t="s">
        <v>184</v>
      </c>
      <c r="O295" s="244" t="s">
        <v>4</v>
      </c>
      <c r="P295" s="9" t="s">
        <v>215</v>
      </c>
      <c r="Q295" s="9" t="s">
        <v>216</v>
      </c>
      <c r="R295" s="9" t="s">
        <v>217</v>
      </c>
      <c r="S295" s="9" t="s">
        <v>218</v>
      </c>
      <c r="T295" s="9" t="s">
        <v>219</v>
      </c>
      <c r="U295" s="9" t="s">
        <v>220</v>
      </c>
      <c r="V295" s="9" t="s">
        <v>221</v>
      </c>
      <c r="W295" s="9" t="s">
        <v>222</v>
      </c>
      <c r="X295" s="10" t="s">
        <v>223</v>
      </c>
      <c r="Y295" s="9" t="s">
        <v>294</v>
      </c>
      <c r="Z295" s="244" t="s">
        <v>197</v>
      </c>
      <c r="AA295" s="9" t="s">
        <v>198</v>
      </c>
      <c r="AB295" s="9" t="s">
        <v>199</v>
      </c>
      <c r="AC295" s="9" t="s">
        <v>200</v>
      </c>
      <c r="AD295" s="9" t="s">
        <v>201</v>
      </c>
    </row>
    <row r="296" spans="2:37" x14ac:dyDescent="0.3">
      <c r="B296" s="11" t="s">
        <v>333</v>
      </c>
      <c r="I296" s="291"/>
      <c r="L296" s="16"/>
      <c r="M296" s="16"/>
      <c r="N296" s="15"/>
      <c r="O296" s="246"/>
      <c r="P296" s="16"/>
      <c r="Q296" s="16"/>
      <c r="R296" s="16"/>
      <c r="S296" s="16"/>
      <c r="T296" s="16"/>
      <c r="U296" s="16"/>
      <c r="V296" s="16"/>
      <c r="W296" s="16"/>
      <c r="X296" s="16"/>
      <c r="Y296" s="292"/>
      <c r="Z296" s="246"/>
      <c r="AA296" s="16"/>
      <c r="AB296" s="16"/>
      <c r="AC296" s="16"/>
      <c r="AD296" s="16"/>
    </row>
    <row r="297" spans="2:37" x14ac:dyDescent="0.3">
      <c r="C297" s="3" t="s">
        <v>344</v>
      </c>
      <c r="I297" s="291"/>
      <c r="N297" s="15"/>
      <c r="O297" s="246">
        <f>Revenue_HW!O553</f>
        <v>1330.6</v>
      </c>
      <c r="P297" s="16">
        <f>Revenue_HW!P553</f>
        <v>1308.5999999999999</v>
      </c>
      <c r="Q297" s="16">
        <f>Revenue_HW!Q553</f>
        <v>1308.5999999999999</v>
      </c>
      <c r="R297" s="16">
        <f>Revenue_HW!R553</f>
        <v>1308.5999999999999</v>
      </c>
      <c r="S297" s="16">
        <f>Revenue_HW!S553</f>
        <v>1289.8</v>
      </c>
      <c r="T297" s="16">
        <f>Revenue_HW!T553</f>
        <v>1289.8</v>
      </c>
      <c r="U297" s="16">
        <f>Revenue_HW!U553</f>
        <v>1289.8</v>
      </c>
      <c r="V297" s="16">
        <f>Revenue_HW!V553</f>
        <v>1259.9000000000001</v>
      </c>
      <c r="W297" s="16">
        <f>Revenue_HW!W553</f>
        <v>1259.9000000000001</v>
      </c>
      <c r="X297" s="16">
        <f>Revenue_HW!X553</f>
        <v>1259.9000000000001</v>
      </c>
      <c r="Y297" s="292">
        <f>Revenue_HW!Y553</f>
        <v>1286.0999999999999</v>
      </c>
      <c r="Z297" s="246">
        <f>Revenue_HW!Z553</f>
        <v>1289.2</v>
      </c>
      <c r="AA297" s="16">
        <f>Revenue_HW!AA553</f>
        <v>1214.2</v>
      </c>
      <c r="AB297" s="16">
        <f>Revenue_HW!AB553</f>
        <v>1201.8</v>
      </c>
      <c r="AC297" s="16">
        <f>Revenue_HW!AC553</f>
        <v>1199.3</v>
      </c>
      <c r="AD297" s="16">
        <f>Revenue_HW!AD553</f>
        <v>1212</v>
      </c>
    </row>
    <row r="298" spans="2:37" x14ac:dyDescent="0.3">
      <c r="C298" s="3" t="s">
        <v>345</v>
      </c>
      <c r="I298" s="291"/>
      <c r="N298" s="15"/>
      <c r="O298" s="246">
        <f>Revenue_HW!O554</f>
        <v>1444.7339847991311</v>
      </c>
      <c r="P298" s="16">
        <f>Revenue_HW!P554</f>
        <v>1426.4224983649444</v>
      </c>
      <c r="Q298" s="16">
        <f>Revenue_HW!Q554</f>
        <v>1426.4224983649444</v>
      </c>
      <c r="R298" s="16">
        <f>Revenue_HW!R554</f>
        <v>1426.4224983649444</v>
      </c>
      <c r="S298" s="16">
        <f>Revenue_HW!S554</f>
        <v>1431.6794316794317</v>
      </c>
      <c r="T298" s="16">
        <f>Revenue_HW!T554</f>
        <v>1431.6794316794317</v>
      </c>
      <c r="U298" s="16">
        <f>Revenue_HW!U554</f>
        <v>1431.6794316794317</v>
      </c>
      <c r="V298" s="16">
        <f>Revenue_HW!V554</f>
        <v>1398.4903984903985</v>
      </c>
      <c r="W298" s="16">
        <f>Revenue_HW!W554</f>
        <v>1398.4903984903985</v>
      </c>
      <c r="X298" s="16">
        <f>Revenue_HW!X554</f>
        <v>1398.4903984903985</v>
      </c>
      <c r="Y298" s="292">
        <f>Revenue_HW!Y554</f>
        <v>1418.8641095115911</v>
      </c>
      <c r="Z298" s="246">
        <f>Revenue_HW!Z554</f>
        <v>1418.1058189418106</v>
      </c>
      <c r="AA298" s="16">
        <f>Revenue_HW!AA554</f>
        <v>1381.1853031509499</v>
      </c>
      <c r="AB298" s="16">
        <f>Revenue_HW!AB554</f>
        <v>1388.080388080388</v>
      </c>
      <c r="AC298" s="16">
        <f>Revenue_HW!AC554</f>
        <v>1397.1342031686859</v>
      </c>
      <c r="AD298" s="16">
        <f>Revenue_HW!AD554</f>
        <v>1418.041418041418</v>
      </c>
    </row>
    <row r="299" spans="2:37" x14ac:dyDescent="0.3">
      <c r="B299" s="92"/>
      <c r="C299" s="92" t="s">
        <v>229</v>
      </c>
      <c r="D299" s="92"/>
      <c r="E299" s="92"/>
      <c r="F299" s="92"/>
      <c r="G299" s="92"/>
      <c r="H299" s="92"/>
      <c r="I299" s="295"/>
      <c r="J299" s="92"/>
      <c r="K299" s="92"/>
      <c r="L299" s="92"/>
      <c r="M299" s="92"/>
      <c r="N299" s="131"/>
      <c r="O299" s="330">
        <f>Revenue_HW!O555</f>
        <v>185.26872737399052</v>
      </c>
      <c r="P299" s="130">
        <f>Revenue_HW!P555</f>
        <v>182.15478841870822</v>
      </c>
      <c r="Q299" s="130">
        <f>Revenue_HW!Q555</f>
        <v>182.15478841870822</v>
      </c>
      <c r="R299" s="130">
        <f>Revenue_HW!R555</f>
        <v>182.15478841870822</v>
      </c>
      <c r="S299" s="130">
        <f>Revenue_HW!S555</f>
        <v>180.89761570827488</v>
      </c>
      <c r="T299" s="130">
        <f>Revenue_HW!T555</f>
        <v>180.89761570827488</v>
      </c>
      <c r="U299" s="130">
        <f>Revenue_HW!U555</f>
        <v>180.89761570827488</v>
      </c>
      <c r="V299" s="130">
        <f>Revenue_HW!V555</f>
        <v>177.57575757575759</v>
      </c>
      <c r="W299" s="130">
        <f>Revenue_HW!W555</f>
        <v>177.57575757575759</v>
      </c>
      <c r="X299" s="130">
        <f>Revenue_HW!X555</f>
        <v>177.57575757575759</v>
      </c>
      <c r="Y299" s="296">
        <f>Revenue_HW!Y555</f>
        <v>180.20938723424686</v>
      </c>
      <c r="Z299" s="330">
        <f>Revenue_HW!Z555</f>
        <v>182.27060653188181</v>
      </c>
      <c r="AA299" s="130">
        <f>Revenue_HW!AA555</f>
        <v>174.00401261106336</v>
      </c>
      <c r="AB299" s="130">
        <f>Revenue_HW!AB555</f>
        <v>175.7017543859649</v>
      </c>
      <c r="AC299" s="130">
        <f>Revenue_HW!AC555</f>
        <v>177.80578206078576</v>
      </c>
      <c r="AD299" s="130">
        <f>Revenue_HW!AD555</f>
        <v>178.68199911543564</v>
      </c>
    </row>
  </sheetData>
  <phoneticPr fontId="3"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2A89D-A6CC-4BAE-AECC-D465551796C8}">
  <sheetPr>
    <tabColor theme="9" tint="0.39997558519241921"/>
  </sheetPr>
  <dimension ref="A1:AM217"/>
  <sheetViews>
    <sheetView showGridLines="0" topLeftCell="A131" zoomScale="55" zoomScaleNormal="55" workbookViewId="0">
      <selection activeCell="M24" sqref="M24:N24"/>
    </sheetView>
  </sheetViews>
  <sheetFormatPr defaultColWidth="9" defaultRowHeight="12" outlineLevelCol="1" x14ac:dyDescent="0.3"/>
  <cols>
    <col min="1" max="1" width="2.625" style="3" customWidth="1"/>
    <col min="2" max="6" width="1.625" style="3" customWidth="1"/>
    <col min="7" max="11" width="9" style="3"/>
    <col min="12" max="14" width="0" style="3" hidden="1" customWidth="1"/>
    <col min="15" max="25" width="9" style="3" hidden="1" customWidth="1" outlineLevel="1"/>
    <col min="26" max="26" width="9" style="3" collapsed="1"/>
    <col min="27" max="32" width="9" style="3"/>
    <col min="33" max="33" width="9" style="322"/>
    <col min="34" max="16384" width="9" style="3"/>
  </cols>
  <sheetData>
    <row r="1" spans="1:39" x14ac:dyDescent="0.3">
      <c r="A1" s="1" t="str">
        <f ca="1">MID(CELL("filename",A1),FIND("]",CELL("filename",A1))+1,255)</f>
        <v>Projection_강소</v>
      </c>
      <c r="B1" s="2"/>
      <c r="C1" s="2"/>
      <c r="D1" s="2"/>
      <c r="E1" s="2"/>
      <c r="F1" s="2"/>
      <c r="G1" s="2"/>
      <c r="H1" s="2"/>
      <c r="I1" s="2"/>
      <c r="J1" s="2"/>
      <c r="K1" s="2"/>
      <c r="L1" s="2"/>
      <c r="M1" s="2"/>
      <c r="N1" s="2"/>
      <c r="O1" s="2"/>
      <c r="P1" s="2"/>
      <c r="Q1" s="2"/>
      <c r="R1" s="2"/>
      <c r="S1" s="2"/>
      <c r="T1" s="2"/>
      <c r="U1" s="2"/>
      <c r="V1" s="2"/>
      <c r="W1" s="2"/>
      <c r="X1" s="2"/>
      <c r="Y1" s="2"/>
      <c r="Z1" s="2"/>
      <c r="AA1" s="2"/>
      <c r="AB1" s="2"/>
      <c r="AC1" s="2"/>
      <c r="AD1" s="2"/>
    </row>
    <row r="3" spans="1:39" x14ac:dyDescent="0.3">
      <c r="A3" s="4"/>
      <c r="B3" s="161" t="s">
        <v>292</v>
      </c>
      <c r="C3" s="4"/>
      <c r="D3" s="4"/>
      <c r="E3" s="4"/>
      <c r="F3" s="4"/>
      <c r="G3" s="4"/>
      <c r="H3" s="4"/>
      <c r="I3" s="4"/>
      <c r="J3" s="4"/>
      <c r="K3" s="4"/>
      <c r="L3" s="4"/>
      <c r="M3" s="4"/>
      <c r="N3" s="4"/>
      <c r="O3" s="4"/>
      <c r="P3" s="4"/>
      <c r="Q3" s="4"/>
      <c r="R3" s="4"/>
      <c r="S3" s="4"/>
      <c r="T3" s="4"/>
      <c r="U3" s="4"/>
      <c r="V3" s="4"/>
      <c r="W3" s="4"/>
      <c r="X3" s="4"/>
      <c r="Y3" s="4"/>
      <c r="Z3" s="4"/>
      <c r="AA3" s="4"/>
      <c r="AB3" s="4"/>
      <c r="AC3" s="4"/>
      <c r="AD3" s="4"/>
    </row>
    <row r="5" spans="1:39" x14ac:dyDescent="0.3">
      <c r="B5" s="8"/>
      <c r="C5" s="8"/>
      <c r="D5" s="8"/>
      <c r="E5" s="8"/>
      <c r="F5" s="8"/>
      <c r="G5" s="8"/>
      <c r="H5" s="8"/>
      <c r="I5" s="8"/>
      <c r="J5" s="8"/>
      <c r="K5" s="8"/>
      <c r="L5" s="9" t="s">
        <v>182</v>
      </c>
      <c r="M5" s="9" t="s">
        <v>183</v>
      </c>
      <c r="N5" s="10" t="s">
        <v>184</v>
      </c>
      <c r="O5" s="244" t="s">
        <v>4</v>
      </c>
      <c r="P5" s="9" t="s">
        <v>215</v>
      </c>
      <c r="Q5" s="9" t="s">
        <v>216</v>
      </c>
      <c r="R5" s="9" t="s">
        <v>217</v>
      </c>
      <c r="S5" s="9" t="s">
        <v>218</v>
      </c>
      <c r="T5" s="9" t="s">
        <v>219</v>
      </c>
      <c r="U5" s="9" t="s">
        <v>220</v>
      </c>
      <c r="V5" s="9" t="s">
        <v>221</v>
      </c>
      <c r="W5" s="9" t="s">
        <v>222</v>
      </c>
      <c r="X5" s="10" t="s">
        <v>223</v>
      </c>
      <c r="Y5" s="475" t="s">
        <v>294</v>
      </c>
      <c r="Z5" s="244" t="s">
        <v>197</v>
      </c>
      <c r="AA5" s="9" t="s">
        <v>198</v>
      </c>
      <c r="AB5" s="9" t="s">
        <v>199</v>
      </c>
      <c r="AC5" s="9" t="s">
        <v>200</v>
      </c>
      <c r="AD5" s="9" t="s">
        <v>201</v>
      </c>
    </row>
    <row r="6" spans="1:39" x14ac:dyDescent="0.3">
      <c r="B6" s="11" t="s">
        <v>28</v>
      </c>
      <c r="L6" s="16"/>
      <c r="M6" s="16"/>
      <c r="N6" s="15"/>
      <c r="O6" s="326">
        <f t="shared" ref="O6:AD6" si="0">O20</f>
        <v>9979.8575250000013</v>
      </c>
      <c r="P6" s="13">
        <f t="shared" si="0"/>
        <v>3384.1239577734241</v>
      </c>
      <c r="Q6" s="13">
        <f t="shared" si="0"/>
        <v>3653.026302871338</v>
      </c>
      <c r="R6" s="13">
        <f t="shared" si="0"/>
        <v>3364.3374853858222</v>
      </c>
      <c r="S6" s="13">
        <f t="shared" si="0"/>
        <v>3607.548999592153</v>
      </c>
      <c r="T6" s="13">
        <f t="shared" si="0"/>
        <v>3488.5475370527074</v>
      </c>
      <c r="U6" s="13">
        <f t="shared" si="0"/>
        <v>3445.7490984815372</v>
      </c>
      <c r="V6" s="13">
        <f t="shared" si="0"/>
        <v>2922.1342427447848</v>
      </c>
      <c r="W6" s="13">
        <f t="shared" si="0"/>
        <v>3384.2711197325502</v>
      </c>
      <c r="X6" s="13">
        <f t="shared" si="0"/>
        <v>3296.8119247826462</v>
      </c>
      <c r="Y6" s="396">
        <f t="shared" si="0"/>
        <v>30546.550668416967</v>
      </c>
      <c r="Z6" s="326">
        <f t="shared" si="0"/>
        <v>40526.408193416959</v>
      </c>
      <c r="AA6" s="13">
        <f t="shared" si="0"/>
        <v>43581.694601710493</v>
      </c>
      <c r="AB6" s="13">
        <f t="shared" si="0"/>
        <v>52034.381725812229</v>
      </c>
      <c r="AC6" s="13">
        <f t="shared" si="0"/>
        <v>62520.702520545805</v>
      </c>
      <c r="AD6" s="13">
        <f t="shared" si="0"/>
        <v>67883.146173821049</v>
      </c>
      <c r="AE6" s="151"/>
      <c r="AF6" s="327"/>
      <c r="AK6" s="311"/>
    </row>
    <row r="7" spans="1:39" x14ac:dyDescent="0.3">
      <c r="B7" s="3" t="s">
        <v>29</v>
      </c>
      <c r="L7" s="16"/>
      <c r="M7" s="16"/>
      <c r="N7" s="15"/>
      <c r="O7" s="246">
        <f t="shared" ref="O7:AD7" si="1">O64</f>
        <v>9742.0559979999998</v>
      </c>
      <c r="P7" s="16">
        <f t="shared" si="1"/>
        <v>3258.4463476152014</v>
      </c>
      <c r="Q7" s="16">
        <f t="shared" si="1"/>
        <v>3475.7695883903293</v>
      </c>
      <c r="R7" s="16">
        <f t="shared" si="1"/>
        <v>3244.6827075452243</v>
      </c>
      <c r="S7" s="16">
        <f t="shared" si="1"/>
        <v>3441.0292792331447</v>
      </c>
      <c r="T7" s="16">
        <f t="shared" si="1"/>
        <v>3334.1070736652914</v>
      </c>
      <c r="U7" s="16">
        <f t="shared" si="1"/>
        <v>3314.9861436513988</v>
      </c>
      <c r="V7" s="16">
        <f t="shared" si="1"/>
        <v>2898.6429727561117</v>
      </c>
      <c r="W7" s="16">
        <f t="shared" si="1"/>
        <v>3253.808046522528</v>
      </c>
      <c r="X7" s="16">
        <f t="shared" si="1"/>
        <v>3187.1596216968924</v>
      </c>
      <c r="Y7" s="292">
        <f t="shared" si="1"/>
        <v>29408.631781076117</v>
      </c>
      <c r="Z7" s="246">
        <f t="shared" si="1"/>
        <v>39150.687779076121</v>
      </c>
      <c r="AA7" s="16">
        <f t="shared" si="1"/>
        <v>40705.753118066583</v>
      </c>
      <c r="AB7" s="16">
        <f t="shared" si="1"/>
        <v>47951.495844376252</v>
      </c>
      <c r="AC7" s="16">
        <f t="shared" si="1"/>
        <v>57069.177525694642</v>
      </c>
      <c r="AD7" s="16">
        <f t="shared" si="1"/>
        <v>61738.188579978814</v>
      </c>
      <c r="AE7" s="151"/>
      <c r="AF7" s="327"/>
      <c r="AK7" s="311"/>
    </row>
    <row r="8" spans="1:39" s="11" customFormat="1" x14ac:dyDescent="0.3">
      <c r="B8" s="20" t="s">
        <v>30</v>
      </c>
      <c r="C8" s="20"/>
      <c r="D8" s="20"/>
      <c r="E8" s="20"/>
      <c r="F8" s="20"/>
      <c r="G8" s="20"/>
      <c r="H8" s="20"/>
      <c r="I8" s="20"/>
      <c r="J8" s="20"/>
      <c r="K8" s="20"/>
      <c r="L8" s="22"/>
      <c r="M8" s="22"/>
      <c r="N8" s="21"/>
      <c r="O8" s="429">
        <f t="shared" ref="O8:AD8" si="2">O6-O7</f>
        <v>237.80152700000144</v>
      </c>
      <c r="P8" s="22">
        <f t="shared" si="2"/>
        <v>125.67761015822271</v>
      </c>
      <c r="Q8" s="22">
        <f t="shared" si="2"/>
        <v>177.25671448100866</v>
      </c>
      <c r="R8" s="22">
        <f t="shared" si="2"/>
        <v>119.65477784059794</v>
      </c>
      <c r="S8" s="22">
        <f t="shared" si="2"/>
        <v>166.51972035900826</v>
      </c>
      <c r="T8" s="22">
        <f t="shared" si="2"/>
        <v>154.440463387416</v>
      </c>
      <c r="U8" s="22">
        <f t="shared" si="2"/>
        <v>130.76295483013837</v>
      </c>
      <c r="V8" s="22">
        <f t="shared" si="2"/>
        <v>23.491269988673139</v>
      </c>
      <c r="W8" s="22">
        <f t="shared" si="2"/>
        <v>130.46307321002223</v>
      </c>
      <c r="X8" s="22">
        <f t="shared" si="2"/>
        <v>109.65230308575383</v>
      </c>
      <c r="Y8" s="476">
        <f t="shared" si="2"/>
        <v>1137.9188873408493</v>
      </c>
      <c r="Z8" s="429">
        <f t="shared" si="2"/>
        <v>1375.720414340838</v>
      </c>
      <c r="AA8" s="22">
        <f t="shared" si="2"/>
        <v>2875.94148364391</v>
      </c>
      <c r="AB8" s="22">
        <f t="shared" si="2"/>
        <v>4082.8858814359774</v>
      </c>
      <c r="AC8" s="22">
        <f t="shared" si="2"/>
        <v>5451.5249948511628</v>
      </c>
      <c r="AD8" s="22">
        <f t="shared" si="2"/>
        <v>6144.9575938422349</v>
      </c>
      <c r="AE8" s="151"/>
      <c r="AF8" s="327"/>
      <c r="AG8" s="322"/>
      <c r="AK8" s="311"/>
      <c r="AL8" s="3"/>
      <c r="AM8" s="3"/>
    </row>
    <row r="9" spans="1:39" s="23" customFormat="1" x14ac:dyDescent="0.3">
      <c r="B9" s="24" t="s">
        <v>458</v>
      </c>
      <c r="C9" s="24"/>
      <c r="D9" s="24"/>
      <c r="E9" s="24"/>
      <c r="F9" s="24"/>
      <c r="G9" s="24"/>
      <c r="H9" s="24"/>
      <c r="I9" s="24"/>
      <c r="J9" s="24"/>
      <c r="K9" s="24"/>
      <c r="L9" s="149"/>
      <c r="M9" s="149"/>
      <c r="N9" s="148"/>
      <c r="O9" s="477">
        <f t="shared" ref="O9:AD9" si="3">O8/O$6</f>
        <v>2.3828148488522778E-2</v>
      </c>
      <c r="P9" s="433">
        <f t="shared" si="3"/>
        <v>3.7137413323627771E-2</v>
      </c>
      <c r="Q9" s="433">
        <f t="shared" si="3"/>
        <v>4.8523251623368277E-2</v>
      </c>
      <c r="R9" s="433">
        <f t="shared" si="3"/>
        <v>3.5565628704123879E-2</v>
      </c>
      <c r="S9" s="433">
        <f t="shared" si="3"/>
        <v>4.6158685683225356E-2</v>
      </c>
      <c r="T9" s="433">
        <f t="shared" si="3"/>
        <v>4.4270706288811169E-2</v>
      </c>
      <c r="U9" s="433">
        <f t="shared" si="3"/>
        <v>3.7949064511911969E-2</v>
      </c>
      <c r="V9" s="433">
        <f t="shared" si="3"/>
        <v>8.0390796716469787E-3</v>
      </c>
      <c r="W9" s="433">
        <f t="shared" si="3"/>
        <v>3.854982907525812E-2</v>
      </c>
      <c r="X9" s="433">
        <f t="shared" si="3"/>
        <v>3.3260102665086978E-2</v>
      </c>
      <c r="Y9" s="478">
        <f t="shared" si="3"/>
        <v>3.7251960121225051E-2</v>
      </c>
      <c r="Z9" s="477">
        <f t="shared" si="3"/>
        <v>3.3946270485532636E-2</v>
      </c>
      <c r="AA9" s="433">
        <f t="shared" si="3"/>
        <v>6.5989666302031208E-2</v>
      </c>
      <c r="AB9" s="433">
        <f t="shared" si="3"/>
        <v>7.8465156037601513E-2</v>
      </c>
      <c r="AC9" s="433">
        <f t="shared" si="3"/>
        <v>8.7195517245822071E-2</v>
      </c>
      <c r="AD9" s="433">
        <f t="shared" si="3"/>
        <v>9.0522580937947475E-2</v>
      </c>
      <c r="AF9" s="327"/>
      <c r="AG9" s="322"/>
      <c r="AK9" s="311"/>
      <c r="AL9" s="3"/>
      <c r="AM9" s="3"/>
    </row>
    <row r="10" spans="1:39" x14ac:dyDescent="0.3">
      <c r="B10" s="3" t="s">
        <v>32</v>
      </c>
      <c r="L10" s="16"/>
      <c r="M10" s="16"/>
      <c r="N10" s="15"/>
      <c r="O10" s="246">
        <f t="shared" ref="O10:AD10" si="4">O159</f>
        <v>958.56811500000003</v>
      </c>
      <c r="P10" s="16">
        <f t="shared" si="4"/>
        <v>261.59906533008643</v>
      </c>
      <c r="Q10" s="16">
        <f t="shared" si="4"/>
        <v>261.59906533008643</v>
      </c>
      <c r="R10" s="16">
        <f t="shared" si="4"/>
        <v>261.59906533008643</v>
      </c>
      <c r="S10" s="16">
        <f t="shared" si="4"/>
        <v>261.56326481966852</v>
      </c>
      <c r="T10" s="16">
        <f t="shared" si="4"/>
        <v>261.56326481966852</v>
      </c>
      <c r="U10" s="16">
        <f t="shared" si="4"/>
        <v>261.56326481966852</v>
      </c>
      <c r="V10" s="16">
        <f t="shared" si="4"/>
        <v>261.46866825732417</v>
      </c>
      <c r="W10" s="16">
        <f t="shared" si="4"/>
        <v>261.46866825732417</v>
      </c>
      <c r="X10" s="16">
        <f t="shared" si="4"/>
        <v>261.46866825732417</v>
      </c>
      <c r="Y10" s="292">
        <f t="shared" si="4"/>
        <v>2353.892995221237</v>
      </c>
      <c r="Z10" s="246">
        <f t="shared" si="4"/>
        <v>3312.4611102212375</v>
      </c>
      <c r="AA10" s="16">
        <f>AA159</f>
        <v>3277.5638515994674</v>
      </c>
      <c r="AB10" s="16">
        <f t="shared" si="4"/>
        <v>3415.5231380269402</v>
      </c>
      <c r="AC10" s="16">
        <f t="shared" si="4"/>
        <v>3550.5272610666561</v>
      </c>
      <c r="AD10" s="16">
        <f t="shared" si="4"/>
        <v>3683.198377942449</v>
      </c>
      <c r="AE10" s="151"/>
      <c r="AF10" s="327"/>
      <c r="AK10" s="311"/>
    </row>
    <row r="11" spans="1:39" s="11" customFormat="1" x14ac:dyDescent="0.3">
      <c r="B11" s="20" t="s">
        <v>33</v>
      </c>
      <c r="C11" s="20"/>
      <c r="D11" s="20"/>
      <c r="E11" s="20"/>
      <c r="F11" s="20"/>
      <c r="G11" s="20"/>
      <c r="H11" s="20"/>
      <c r="I11" s="20"/>
      <c r="J11" s="20"/>
      <c r="K11" s="20"/>
      <c r="L11" s="22"/>
      <c r="M11" s="22"/>
      <c r="N11" s="21"/>
      <c r="O11" s="429">
        <f t="shared" ref="O11:AD11" si="5">O8-O10</f>
        <v>-720.76658799999859</v>
      </c>
      <c r="P11" s="22">
        <f t="shared" si="5"/>
        <v>-135.92145517186373</v>
      </c>
      <c r="Q11" s="22">
        <f t="shared" si="5"/>
        <v>-84.342350849077775</v>
      </c>
      <c r="R11" s="22">
        <f t="shared" si="5"/>
        <v>-141.94428748948849</v>
      </c>
      <c r="S11" s="22">
        <f t="shared" si="5"/>
        <v>-95.043544460660257</v>
      </c>
      <c r="T11" s="22">
        <f t="shared" si="5"/>
        <v>-107.12280143225252</v>
      </c>
      <c r="U11" s="22">
        <f t="shared" si="5"/>
        <v>-130.80030998953015</v>
      </c>
      <c r="V11" s="22">
        <f t="shared" si="5"/>
        <v>-237.97739826865103</v>
      </c>
      <c r="W11" s="22">
        <f t="shared" si="5"/>
        <v>-131.00559504730194</v>
      </c>
      <c r="X11" s="22">
        <f t="shared" si="5"/>
        <v>-151.81636517157034</v>
      </c>
      <c r="Y11" s="476">
        <f t="shared" si="5"/>
        <v>-1215.9741078803877</v>
      </c>
      <c r="Z11" s="429">
        <f t="shared" si="5"/>
        <v>-1936.7406958803995</v>
      </c>
      <c r="AA11" s="22">
        <f t="shared" si="5"/>
        <v>-401.62236795555737</v>
      </c>
      <c r="AB11" s="22">
        <f t="shared" si="5"/>
        <v>667.36274340903719</v>
      </c>
      <c r="AC11" s="22">
        <f t="shared" si="5"/>
        <v>1900.9977337845066</v>
      </c>
      <c r="AD11" s="22">
        <f t="shared" si="5"/>
        <v>2461.7592158997859</v>
      </c>
      <c r="AE11" s="151"/>
      <c r="AF11" s="327"/>
      <c r="AG11" s="322"/>
      <c r="AK11" s="311"/>
      <c r="AL11" s="3"/>
      <c r="AM11" s="3"/>
    </row>
    <row r="12" spans="1:39" s="23" customFormat="1" x14ac:dyDescent="0.3">
      <c r="B12" s="24" t="s">
        <v>459</v>
      </c>
      <c r="C12" s="24"/>
      <c r="D12" s="24"/>
      <c r="E12" s="24"/>
      <c r="F12" s="24"/>
      <c r="G12" s="24"/>
      <c r="H12" s="24"/>
      <c r="I12" s="24"/>
      <c r="J12" s="24"/>
      <c r="K12" s="24"/>
      <c r="L12" s="149"/>
      <c r="M12" s="149"/>
      <c r="N12" s="148"/>
      <c r="O12" s="477">
        <f t="shared" ref="O12:AD12" si="6">O11/O$6</f>
        <v>-7.2222132048924068E-2</v>
      </c>
      <c r="P12" s="433">
        <f t="shared" si="6"/>
        <v>-4.0164443403335887E-2</v>
      </c>
      <c r="Q12" s="433">
        <f t="shared" si="6"/>
        <v>-2.3088350276258159E-2</v>
      </c>
      <c r="R12" s="433">
        <f t="shared" si="6"/>
        <v>-4.2190858707270955E-2</v>
      </c>
      <c r="S12" s="433">
        <f t="shared" si="6"/>
        <v>-2.6345739024308552E-2</v>
      </c>
      <c r="T12" s="433">
        <f t="shared" si="6"/>
        <v>-3.0706992034500124E-2</v>
      </c>
      <c r="U12" s="433">
        <f t="shared" si="6"/>
        <v>-3.7959905451958431E-2</v>
      </c>
      <c r="V12" s="433">
        <f t="shared" si="6"/>
        <v>-8.1439584392644773E-2</v>
      </c>
      <c r="W12" s="433">
        <f t="shared" si="6"/>
        <v>-3.8710135923641649E-2</v>
      </c>
      <c r="X12" s="433">
        <f t="shared" si="6"/>
        <v>-4.6049446748946517E-2</v>
      </c>
      <c r="Y12" s="478">
        <f t="shared" si="6"/>
        <v>-3.9807247668641729E-2</v>
      </c>
      <c r="Z12" s="477">
        <f t="shared" si="6"/>
        <v>-4.7789596517833037E-2</v>
      </c>
      <c r="AA12" s="433">
        <f t="shared" si="6"/>
        <v>-9.2153912697968948E-3</v>
      </c>
      <c r="AB12" s="433">
        <f t="shared" si="6"/>
        <v>1.2825418911011766E-2</v>
      </c>
      <c r="AC12" s="433">
        <f t="shared" si="6"/>
        <v>3.0405892082863161E-2</v>
      </c>
      <c r="AD12" s="433">
        <f t="shared" si="6"/>
        <v>3.6264660002590696E-2</v>
      </c>
      <c r="AF12" s="327"/>
      <c r="AG12" s="322"/>
      <c r="AK12" s="311"/>
      <c r="AL12" s="3"/>
      <c r="AM12" s="3"/>
    </row>
    <row r="13" spans="1:39" x14ac:dyDescent="0.3">
      <c r="B13" s="103" t="s">
        <v>23</v>
      </c>
      <c r="C13" s="103"/>
      <c r="D13" s="103"/>
      <c r="E13" s="103"/>
      <c r="F13" s="103"/>
      <c r="G13" s="103"/>
      <c r="H13" s="103"/>
      <c r="I13" s="103"/>
      <c r="J13" s="103"/>
      <c r="K13" s="103"/>
      <c r="L13" s="104"/>
      <c r="M13" s="104"/>
      <c r="N13" s="435"/>
      <c r="O13" s="436">
        <f>CAPEX_강소!O23</f>
        <v>121.30390560000001</v>
      </c>
      <c r="P13" s="104">
        <f>CAPEX_강소!P23</f>
        <v>136.5018732816223</v>
      </c>
      <c r="Q13" s="104">
        <f>CAPEX_강소!Q23</f>
        <v>136.5018732816223</v>
      </c>
      <c r="R13" s="104">
        <f>CAPEX_강소!R23</f>
        <v>136.5018732816223</v>
      </c>
      <c r="S13" s="104">
        <f>CAPEX_강소!S23</f>
        <v>135.55978204426088</v>
      </c>
      <c r="T13" s="104">
        <f>CAPEX_강소!T23</f>
        <v>135.55978204426088</v>
      </c>
      <c r="U13" s="104">
        <f>CAPEX_강소!U23</f>
        <v>135.55978204426088</v>
      </c>
      <c r="V13" s="104">
        <f>CAPEX_강소!V23</f>
        <v>133.07047137721378</v>
      </c>
      <c r="W13" s="104">
        <f>CAPEX_강소!W23</f>
        <v>133.07047137721378</v>
      </c>
      <c r="X13" s="104">
        <f>CAPEX_강소!X23</f>
        <v>133.07047137721378</v>
      </c>
      <c r="Y13" s="105">
        <f>CAPEX_강소!Y23</f>
        <v>1262.2928646712314</v>
      </c>
      <c r="Z13" s="436">
        <f>CAPEX_강소!Z23</f>
        <v>1383.5967702712312</v>
      </c>
      <c r="AA13" s="104">
        <f>CAPEX_강소!AA23</f>
        <v>664.01793222561321</v>
      </c>
      <c r="AB13" s="104">
        <f>CAPEX_강소!AB23</f>
        <v>665.77222271651431</v>
      </c>
      <c r="AC13" s="104">
        <f>CAPEX_강소!AC23</f>
        <v>653.11960082923167</v>
      </c>
      <c r="AD13" s="104">
        <f>CAPEX_강소!AD23</f>
        <v>682.13186614627193</v>
      </c>
      <c r="AF13" s="327"/>
      <c r="AK13" s="311"/>
    </row>
    <row r="14" spans="1:39" s="11" customFormat="1" x14ac:dyDescent="0.3">
      <c r="B14" s="11" t="s">
        <v>24</v>
      </c>
      <c r="L14" s="13"/>
      <c r="M14" s="13"/>
      <c r="N14" s="124"/>
      <c r="O14" s="326">
        <f t="shared" ref="O14:AD14" si="7">O11+O13</f>
        <v>-599.46268239999858</v>
      </c>
      <c r="P14" s="13">
        <f t="shared" si="7"/>
        <v>0.58041810975856833</v>
      </c>
      <c r="Q14" s="13">
        <f t="shared" si="7"/>
        <v>52.15952243254452</v>
      </c>
      <c r="R14" s="13">
        <f t="shared" si="7"/>
        <v>-5.442414207866193</v>
      </c>
      <c r="S14" s="13">
        <f t="shared" si="7"/>
        <v>40.516237583600628</v>
      </c>
      <c r="T14" s="13">
        <f t="shared" si="7"/>
        <v>28.436980612008369</v>
      </c>
      <c r="U14" s="13">
        <f t="shared" si="7"/>
        <v>4.7594720547307361</v>
      </c>
      <c r="V14" s="13">
        <f t="shared" si="7"/>
        <v>-104.90692689143725</v>
      </c>
      <c r="W14" s="13">
        <f t="shared" si="7"/>
        <v>2.06487632991184</v>
      </c>
      <c r="X14" s="13">
        <f t="shared" si="7"/>
        <v>-18.745893794356562</v>
      </c>
      <c r="Y14" s="359">
        <f t="shared" si="7"/>
        <v>46.318756790843736</v>
      </c>
      <c r="Z14" s="326">
        <f t="shared" si="7"/>
        <v>-553.14392560916826</v>
      </c>
      <c r="AA14" s="13">
        <f t="shared" si="7"/>
        <v>262.39556427005584</v>
      </c>
      <c r="AB14" s="13">
        <f t="shared" si="7"/>
        <v>1333.1349661255515</v>
      </c>
      <c r="AC14" s="13">
        <f t="shared" si="7"/>
        <v>2554.1173346137384</v>
      </c>
      <c r="AD14" s="13">
        <f t="shared" si="7"/>
        <v>3143.8910820460578</v>
      </c>
      <c r="AF14" s="327"/>
      <c r="AG14" s="322"/>
      <c r="AK14" s="311"/>
      <c r="AL14" s="3"/>
      <c r="AM14" s="3"/>
    </row>
    <row r="15" spans="1:39" s="23" customFormat="1" x14ac:dyDescent="0.3">
      <c r="B15" s="32" t="s">
        <v>460</v>
      </c>
      <c r="C15" s="32"/>
      <c r="D15" s="32"/>
      <c r="E15" s="32"/>
      <c r="F15" s="32"/>
      <c r="G15" s="32"/>
      <c r="H15" s="32"/>
      <c r="I15" s="32"/>
      <c r="J15" s="32"/>
      <c r="K15" s="32"/>
      <c r="L15" s="153"/>
      <c r="M15" s="153"/>
      <c r="N15" s="152"/>
      <c r="O15" s="437">
        <f t="shared" ref="O15:AD15" si="8">O14/O$6</f>
        <v>-6.0067258565397054E-2</v>
      </c>
      <c r="P15" s="438">
        <f t="shared" si="8"/>
        <v>1.7151207136645579E-4</v>
      </c>
      <c r="Q15" s="438">
        <f t="shared" si="8"/>
        <v>1.4278441518897986E-2</v>
      </c>
      <c r="R15" s="438">
        <f t="shared" si="8"/>
        <v>-1.6176778434111394E-3</v>
      </c>
      <c r="S15" s="438">
        <f t="shared" si="8"/>
        <v>1.1230959742523564E-2</v>
      </c>
      <c r="T15" s="438">
        <f t="shared" si="8"/>
        <v>8.151524469703313E-3</v>
      </c>
      <c r="U15" s="438">
        <f t="shared" si="8"/>
        <v>1.3812590292276725E-3</v>
      </c>
      <c r="V15" s="438">
        <f t="shared" si="8"/>
        <v>-3.5900789688873877E-2</v>
      </c>
      <c r="W15" s="438">
        <f t="shared" si="8"/>
        <v>6.101391575492396E-4</v>
      </c>
      <c r="X15" s="438">
        <f t="shared" si="8"/>
        <v>-5.6860670921021527E-3</v>
      </c>
      <c r="Y15" s="479">
        <f t="shared" si="8"/>
        <v>1.516333457536145E-3</v>
      </c>
      <c r="Z15" s="437">
        <f t="shared" si="8"/>
        <v>-1.3648974835599174E-2</v>
      </c>
      <c r="AA15" s="438">
        <f t="shared" si="8"/>
        <v>6.0207747006642866E-3</v>
      </c>
      <c r="AB15" s="438">
        <f t="shared" si="8"/>
        <v>2.5620271095951837E-2</v>
      </c>
      <c r="AC15" s="438">
        <f t="shared" si="8"/>
        <v>4.0852345409496865E-2</v>
      </c>
      <c r="AD15" s="438">
        <f t="shared" si="8"/>
        <v>4.6313278910141184E-2</v>
      </c>
      <c r="AF15" s="327"/>
      <c r="AG15" s="322"/>
      <c r="AK15" s="311"/>
      <c r="AL15" s="3"/>
      <c r="AM15" s="3"/>
    </row>
    <row r="16" spans="1:39" x14ac:dyDescent="0.3">
      <c r="AK16" s="311"/>
    </row>
    <row r="17" spans="1:37" x14ac:dyDescent="0.3">
      <c r="A17" s="4"/>
      <c r="B17" s="161" t="s">
        <v>461</v>
      </c>
      <c r="C17" s="4"/>
      <c r="D17" s="4"/>
      <c r="E17" s="4"/>
      <c r="F17" s="4"/>
      <c r="G17" s="4"/>
      <c r="H17" s="4"/>
      <c r="I17" s="4"/>
      <c r="J17" s="4"/>
      <c r="K17" s="4"/>
      <c r="L17" s="4"/>
      <c r="M17" s="4"/>
      <c r="N17" s="4"/>
      <c r="O17" s="390"/>
      <c r="P17" s="4"/>
      <c r="Q17" s="4"/>
      <c r="R17" s="4"/>
      <c r="S17" s="4"/>
      <c r="T17" s="4"/>
      <c r="U17" s="4"/>
      <c r="V17" s="4"/>
      <c r="W17" s="4"/>
      <c r="X17" s="4"/>
      <c r="Y17" s="4"/>
      <c r="Z17" s="4"/>
      <c r="AA17" s="4"/>
      <c r="AB17" s="4"/>
      <c r="AC17" s="4"/>
      <c r="AD17" s="4"/>
      <c r="AK17" s="311"/>
    </row>
    <row r="18" spans="1:37" x14ac:dyDescent="0.3">
      <c r="O18" s="16"/>
      <c r="AK18" s="311"/>
    </row>
    <row r="19" spans="1:37" x14ac:dyDescent="0.3">
      <c r="B19" s="8"/>
      <c r="C19" s="8"/>
      <c r="D19" s="8"/>
      <c r="E19" s="8"/>
      <c r="F19" s="8"/>
      <c r="G19" s="8"/>
      <c r="H19" s="8"/>
      <c r="I19" s="8"/>
      <c r="J19" s="8"/>
      <c r="K19" s="8"/>
      <c r="L19" s="9" t="s">
        <v>182</v>
      </c>
      <c r="M19" s="9" t="s">
        <v>183</v>
      </c>
      <c r="N19" s="10" t="s">
        <v>184</v>
      </c>
      <c r="O19" s="244" t="s">
        <v>4</v>
      </c>
      <c r="P19" s="9" t="s">
        <v>215</v>
      </c>
      <c r="Q19" s="9" t="s">
        <v>216</v>
      </c>
      <c r="R19" s="9" t="s">
        <v>217</v>
      </c>
      <c r="S19" s="9" t="s">
        <v>218</v>
      </c>
      <c r="T19" s="9" t="s">
        <v>219</v>
      </c>
      <c r="U19" s="9" t="s">
        <v>220</v>
      </c>
      <c r="V19" s="9" t="s">
        <v>221</v>
      </c>
      <c r="W19" s="9" t="s">
        <v>222</v>
      </c>
      <c r="X19" s="10" t="s">
        <v>223</v>
      </c>
      <c r="Y19" s="9" t="s">
        <v>294</v>
      </c>
      <c r="Z19" s="244" t="s">
        <v>197</v>
      </c>
      <c r="AA19" s="9" t="s">
        <v>198</v>
      </c>
      <c r="AB19" s="9" t="s">
        <v>199</v>
      </c>
      <c r="AC19" s="9" t="s">
        <v>200</v>
      </c>
      <c r="AD19" s="9" t="s">
        <v>201</v>
      </c>
      <c r="AK19" s="311"/>
    </row>
    <row r="20" spans="1:37" x14ac:dyDescent="0.3">
      <c r="A20" s="338" t="s">
        <v>519</v>
      </c>
      <c r="B20" s="11" t="s">
        <v>28</v>
      </c>
      <c r="L20" s="16"/>
      <c r="M20" s="16"/>
      <c r="N20" s="15"/>
      <c r="O20" s="326">
        <f t="shared" ref="O20:AD20" si="9">O21+O26+O31+O36+O41+O46</f>
        <v>9979.8575250000013</v>
      </c>
      <c r="P20" s="13">
        <f t="shared" si="9"/>
        <v>3384.1239577734241</v>
      </c>
      <c r="Q20" s="13">
        <f t="shared" si="9"/>
        <v>3653.026302871338</v>
      </c>
      <c r="R20" s="13">
        <f t="shared" si="9"/>
        <v>3364.3374853858222</v>
      </c>
      <c r="S20" s="13">
        <f t="shared" si="9"/>
        <v>3607.548999592153</v>
      </c>
      <c r="T20" s="13">
        <f t="shared" si="9"/>
        <v>3488.5475370527074</v>
      </c>
      <c r="U20" s="13">
        <f t="shared" si="9"/>
        <v>3445.7490984815372</v>
      </c>
      <c r="V20" s="13">
        <f t="shared" si="9"/>
        <v>2922.1342427447848</v>
      </c>
      <c r="W20" s="13">
        <f t="shared" si="9"/>
        <v>3384.2711197325502</v>
      </c>
      <c r="X20" s="13">
        <f t="shared" si="9"/>
        <v>3296.8119247826462</v>
      </c>
      <c r="Y20" s="396">
        <f t="shared" si="9"/>
        <v>30546.550668416967</v>
      </c>
      <c r="Z20" s="326">
        <f t="shared" si="9"/>
        <v>40526.408193416959</v>
      </c>
      <c r="AA20" s="13">
        <f t="shared" si="9"/>
        <v>43581.694601710493</v>
      </c>
      <c r="AB20" s="13">
        <f t="shared" si="9"/>
        <v>52034.381725812229</v>
      </c>
      <c r="AC20" s="13">
        <f t="shared" si="9"/>
        <v>62520.702520545805</v>
      </c>
      <c r="AD20" s="13">
        <f t="shared" si="9"/>
        <v>67883.146173821049</v>
      </c>
      <c r="AF20" s="327"/>
      <c r="AG20" s="322">
        <f>IF($E20="선적수량",$C18,)</f>
        <v>0</v>
      </c>
      <c r="AK20" s="311"/>
    </row>
    <row r="21" spans="1:37" x14ac:dyDescent="0.3">
      <c r="A21" s="338" t="s">
        <v>519</v>
      </c>
      <c r="B21" s="11"/>
      <c r="C21" s="3" t="s">
        <v>146</v>
      </c>
      <c r="L21" s="16"/>
      <c r="M21" s="16"/>
      <c r="N21" s="15"/>
      <c r="O21" s="306"/>
      <c r="P21" s="119"/>
      <c r="Q21" s="119"/>
      <c r="R21" s="119"/>
      <c r="S21" s="119"/>
      <c r="T21" s="119"/>
      <c r="U21" s="119"/>
      <c r="V21" s="119"/>
      <c r="W21" s="119"/>
      <c r="X21" s="119"/>
      <c r="Y21" s="293"/>
      <c r="Z21" s="306"/>
      <c r="AA21" s="119"/>
      <c r="AB21" s="119"/>
      <c r="AC21" s="119"/>
      <c r="AD21" s="119"/>
      <c r="AE21" s="151"/>
      <c r="AF21" s="327"/>
      <c r="AG21" s="322">
        <f t="shared" ref="AG21:AG59" si="10">IF($E21="선적수량",$C19,)</f>
        <v>0</v>
      </c>
      <c r="AK21" s="311"/>
    </row>
    <row r="22" spans="1:37" x14ac:dyDescent="0.3">
      <c r="A22" s="338" t="s">
        <v>519</v>
      </c>
      <c r="B22" s="11"/>
      <c r="D22" s="3" t="s">
        <v>520</v>
      </c>
      <c r="L22" s="16"/>
      <c r="M22" s="16"/>
      <c r="N22" s="15"/>
      <c r="O22" s="306"/>
      <c r="P22" s="119"/>
      <c r="Q22" s="119"/>
      <c r="R22" s="119"/>
      <c r="S22" s="119"/>
      <c r="T22" s="119"/>
      <c r="U22" s="119"/>
      <c r="V22" s="119"/>
      <c r="W22" s="119"/>
      <c r="X22" s="119"/>
      <c r="Y22" s="293"/>
      <c r="Z22" s="306"/>
      <c r="AA22" s="119"/>
      <c r="AB22" s="119"/>
      <c r="AC22" s="119"/>
      <c r="AD22" s="119"/>
      <c r="AF22" s="327"/>
      <c r="AG22" s="322">
        <f t="shared" si="10"/>
        <v>0</v>
      </c>
      <c r="AK22" s="311"/>
    </row>
    <row r="23" spans="1:37" x14ac:dyDescent="0.3">
      <c r="A23" s="338" t="s">
        <v>519</v>
      </c>
      <c r="B23" s="11"/>
      <c r="E23" s="3" t="s">
        <v>521</v>
      </c>
      <c r="L23" s="16"/>
      <c r="M23" s="16"/>
      <c r="N23" s="15"/>
      <c r="O23" s="306"/>
      <c r="P23" s="119"/>
      <c r="Q23" s="119"/>
      <c r="R23" s="119"/>
      <c r="S23" s="119"/>
      <c r="T23" s="119"/>
      <c r="U23" s="119"/>
      <c r="V23" s="119"/>
      <c r="W23" s="119"/>
      <c r="X23" s="119"/>
      <c r="Y23" s="293"/>
      <c r="Z23" s="306"/>
      <c r="AA23" s="119"/>
      <c r="AB23" s="119"/>
      <c r="AC23" s="119"/>
      <c r="AD23" s="119"/>
      <c r="AE23" s="23"/>
      <c r="AF23" s="327"/>
      <c r="AG23" s="322" t="str">
        <f t="shared" si="10"/>
        <v>5축</v>
      </c>
      <c r="AK23" s="311"/>
    </row>
    <row r="24" spans="1:37" x14ac:dyDescent="0.3">
      <c r="A24" s="338" t="s">
        <v>15</v>
      </c>
      <c r="B24" s="11"/>
      <c r="E24" s="3" t="s">
        <v>340</v>
      </c>
      <c r="L24" s="16"/>
      <c r="M24" s="16"/>
      <c r="N24" s="15"/>
      <c r="O24" s="306"/>
      <c r="P24" s="119"/>
      <c r="Q24" s="119"/>
      <c r="R24" s="119"/>
      <c r="S24" s="119"/>
      <c r="T24" s="119"/>
      <c r="U24" s="119"/>
      <c r="V24" s="119"/>
      <c r="W24" s="119"/>
      <c r="X24" s="119"/>
      <c r="Y24" s="293"/>
      <c r="Z24" s="306"/>
      <c r="AA24" s="119"/>
      <c r="AB24" s="119"/>
      <c r="AC24" s="119"/>
      <c r="AD24" s="119"/>
      <c r="AE24" s="23"/>
      <c r="AF24" s="327"/>
      <c r="AG24" s="322">
        <f t="shared" si="10"/>
        <v>0</v>
      </c>
      <c r="AK24" s="311"/>
    </row>
    <row r="25" spans="1:37" x14ac:dyDescent="0.3">
      <c r="A25" s="338" t="s">
        <v>519</v>
      </c>
      <c r="B25" s="11"/>
      <c r="D25" s="3" t="s">
        <v>522</v>
      </c>
      <c r="L25" s="16"/>
      <c r="M25" s="16"/>
      <c r="N25" s="15"/>
      <c r="O25" s="306"/>
      <c r="P25" s="119"/>
      <c r="Q25" s="119"/>
      <c r="R25" s="119"/>
      <c r="S25" s="119"/>
      <c r="T25" s="119"/>
      <c r="U25" s="119"/>
      <c r="V25" s="119"/>
      <c r="W25" s="119"/>
      <c r="X25" s="119"/>
      <c r="Y25" s="293"/>
      <c r="Z25" s="306"/>
      <c r="AA25" s="119"/>
      <c r="AB25" s="119"/>
      <c r="AC25" s="119"/>
      <c r="AD25" s="119"/>
      <c r="AE25" s="23"/>
      <c r="AF25" s="327"/>
      <c r="AG25" s="322">
        <f t="shared" si="10"/>
        <v>0</v>
      </c>
      <c r="AK25" s="311"/>
    </row>
    <row r="26" spans="1:37" x14ac:dyDescent="0.3">
      <c r="A26" s="338" t="s">
        <v>519</v>
      </c>
      <c r="B26" s="11"/>
      <c r="C26" s="3" t="s">
        <v>147</v>
      </c>
      <c r="L26" s="16"/>
      <c r="M26" s="16"/>
      <c r="N26" s="15"/>
      <c r="O26" s="246">
        <f>O27*O30/10^6</f>
        <v>2176.8579275687994</v>
      </c>
      <c r="P26" s="16">
        <f t="shared" ref="P26:X26" si="11">P27*P30/10^6</f>
        <v>1561.0999832437685</v>
      </c>
      <c r="Q26" s="16">
        <f t="shared" si="11"/>
        <v>1805.021855625607</v>
      </c>
      <c r="R26" s="16">
        <f t="shared" si="11"/>
        <v>1658.6687321965039</v>
      </c>
      <c r="S26" s="16">
        <f t="shared" si="11"/>
        <v>1889.4595471520363</v>
      </c>
      <c r="T26" s="16">
        <f t="shared" si="11"/>
        <v>1744.1165050634181</v>
      </c>
      <c r="U26" s="16">
        <f t="shared" si="11"/>
        <v>1792.564185759624</v>
      </c>
      <c r="V26" s="16">
        <f t="shared" si="11"/>
        <v>1093.8346095986949</v>
      </c>
      <c r="W26" s="16">
        <f t="shared" si="11"/>
        <v>1902.321060171643</v>
      </c>
      <c r="X26" s="16">
        <f t="shared" si="11"/>
        <v>1521.8568481373143</v>
      </c>
      <c r="Y26" s="292">
        <f>SUM(P26:X26)</f>
        <v>14968.943326948611</v>
      </c>
      <c r="Z26" s="246">
        <f>SUM(O26,Y26)</f>
        <v>17145.80125451741</v>
      </c>
      <c r="AA26" s="16">
        <f>AA27*AA30/10^6</f>
        <v>19201.098339247455</v>
      </c>
      <c r="AB26" s="16">
        <f>AB27*AB30/10^6</f>
        <v>22409.642852205161</v>
      </c>
      <c r="AC26" s="16">
        <f>AC27*AC30/10^6</f>
        <v>24403.319606959598</v>
      </c>
      <c r="AD26" s="16">
        <f>AD27*AD30/10^6</f>
        <v>26380.886377861872</v>
      </c>
      <c r="AE26" s="151"/>
      <c r="AF26" s="327"/>
      <c r="AG26" s="322">
        <f>IF($E26="선적수량",$C25,)</f>
        <v>0</v>
      </c>
      <c r="AK26" s="311"/>
    </row>
    <row r="27" spans="1:37" x14ac:dyDescent="0.3">
      <c r="A27" s="338" t="s">
        <v>519</v>
      </c>
      <c r="B27" s="11"/>
      <c r="D27" s="3" t="s">
        <v>520</v>
      </c>
      <c r="L27" s="16"/>
      <c r="M27" s="16"/>
      <c r="N27" s="15"/>
      <c r="O27" s="246">
        <f>O28*O29</f>
        <v>11794852.229999999</v>
      </c>
      <c r="P27" s="16">
        <f t="shared" ref="P27:X27" si="12">P28*P29</f>
        <v>8570183.6157903355</v>
      </c>
      <c r="Q27" s="16">
        <f t="shared" si="12"/>
        <v>9909274.8057575747</v>
      </c>
      <c r="R27" s="16">
        <f t="shared" si="12"/>
        <v>9105820.0917772315</v>
      </c>
      <c r="S27" s="16">
        <f t="shared" si="12"/>
        <v>10444911.281744471</v>
      </c>
      <c r="T27" s="16">
        <f t="shared" si="12"/>
        <v>9641456.5677641276</v>
      </c>
      <c r="U27" s="16">
        <f t="shared" si="12"/>
        <v>9909274.8057575747</v>
      </c>
      <c r="V27" s="16">
        <f t="shared" si="12"/>
        <v>6159819.473849304</v>
      </c>
      <c r="W27" s="16">
        <f t="shared" si="12"/>
        <v>10712729.51973792</v>
      </c>
      <c r="X27" s="16">
        <f t="shared" si="12"/>
        <v>8570183.6157903355</v>
      </c>
      <c r="Y27" s="292">
        <f>SUM(P27:X27)</f>
        <v>83023653.777968869</v>
      </c>
      <c r="Z27" s="246">
        <f>SUM(O27,Y27)</f>
        <v>94818506.007968873</v>
      </c>
      <c r="AA27" s="16">
        <f>AA28*AA29</f>
        <v>110348595.13364251</v>
      </c>
      <c r="AB27" s="16">
        <f>AB28*AB29</f>
        <v>127543648.78439283</v>
      </c>
      <c r="AC27" s="16">
        <f>AC28*AC29</f>
        <v>137247053.07174394</v>
      </c>
      <c r="AD27" s="16">
        <f>AD28*AD29</f>
        <v>147641544.80283588</v>
      </c>
      <c r="AE27" s="23"/>
      <c r="AF27" s="327"/>
      <c r="AG27" s="322">
        <f>IF($E27="선적수량",#REF!,)</f>
        <v>0</v>
      </c>
      <c r="AK27" s="311"/>
    </row>
    <row r="28" spans="1:37" x14ac:dyDescent="0.3">
      <c r="A28" s="338" t="s">
        <v>519</v>
      </c>
      <c r="B28" s="11"/>
      <c r="E28" s="3" t="s">
        <v>521</v>
      </c>
      <c r="L28" s="16"/>
      <c r="M28" s="16"/>
      <c r="N28" s="15"/>
      <c r="O28" s="246">
        <f>Projection_중국!O187</f>
        <v>39</v>
      </c>
      <c r="P28" s="16">
        <f>SUMIFS(INDEX(판매수량!$N$2:$V$82,0,MATCH(P$19,판매수량!$N$2:$V$2,0)),판매수량!$A$2:$A$82,$A28,판매수량!$B$2:$B$82,$AG28)</f>
        <v>32</v>
      </c>
      <c r="Q28" s="16">
        <f>SUMIFS(INDEX(판매수량!$N$2:$V$82,0,MATCH(Q$19,판매수량!$N$2:$V$2,0)),판매수량!$A$2:$A$82,$A28,판매수량!$B$2:$B$82,$AG28)</f>
        <v>37</v>
      </c>
      <c r="R28" s="16">
        <f>SUMIFS(INDEX(판매수량!$N$2:$V$82,0,MATCH(R$19,판매수량!$N$2:$V$2,0)),판매수량!$A$2:$A$82,$A28,판매수량!$B$2:$B$82,$AG28)</f>
        <v>34</v>
      </c>
      <c r="S28" s="16">
        <f>SUMIFS(INDEX(판매수량!$N$2:$V$82,0,MATCH(S$19,판매수량!$N$2:$V$2,0)),판매수량!$A$2:$A$82,$A28,판매수량!$B$2:$B$82,$AG28)</f>
        <v>39</v>
      </c>
      <c r="T28" s="16">
        <f>SUMIFS(INDEX(판매수량!$N$2:$V$82,0,MATCH(T$19,판매수량!$N$2:$V$2,0)),판매수량!$A$2:$A$82,$A28,판매수량!$B$2:$B$82,$AG28)</f>
        <v>36</v>
      </c>
      <c r="U28" s="16">
        <f>SUMIFS(INDEX(판매수량!$N$2:$V$82,0,MATCH(U$19,판매수량!$N$2:$V$2,0)),판매수량!$A$2:$A$82,$A28,판매수량!$B$2:$B$82,$AG28)</f>
        <v>37</v>
      </c>
      <c r="V28" s="16">
        <f>SUMIFS(INDEX(판매수량!$N$2:$V$82,0,MATCH(V$19,판매수량!$N$2:$V$2,0)),판매수량!$A$2:$A$82,$A28,판매수량!$B$2:$B$82,$AG28)</f>
        <v>23</v>
      </c>
      <c r="W28" s="16">
        <f>SUMIFS(INDEX(판매수량!$N$2:$V$82,0,MATCH(W$19,판매수량!$N$2:$V$2,0)),판매수량!$A$2:$A$82,$A28,판매수량!$B$2:$B$82,$AG28)</f>
        <v>40</v>
      </c>
      <c r="X28" s="16">
        <f>SUMIFS(INDEX(판매수량!$N$2:$V$82,0,MATCH(X$19,판매수량!$N$2:$V$2,0)),판매수량!$A$2:$A$82,$A28,판매수량!$B$2:$B$82,$AG28)</f>
        <v>32</v>
      </c>
      <c r="Y28" s="292">
        <f>SUM(P28:X28)</f>
        <v>310</v>
      </c>
      <c r="Z28" s="246">
        <f>SUM(O28,Y28)</f>
        <v>349</v>
      </c>
      <c r="AA28" s="16">
        <f>Projection_중국!AA187</f>
        <v>404</v>
      </c>
      <c r="AB28" s="16">
        <f>Projection_중국!AB187</f>
        <v>464</v>
      </c>
      <c r="AC28" s="16">
        <f>Projection_중국!AC187</f>
        <v>496</v>
      </c>
      <c r="AD28" s="16">
        <f>Projection_중국!AD187</f>
        <v>530</v>
      </c>
      <c r="AE28" s="23"/>
      <c r="AF28" s="327"/>
      <c r="AG28" s="322" t="str">
        <f t="shared" si="10"/>
        <v>선반</v>
      </c>
      <c r="AK28" s="311"/>
    </row>
    <row r="29" spans="1:37" x14ac:dyDescent="0.3">
      <c r="A29" s="338" t="s">
        <v>15</v>
      </c>
      <c r="B29" s="11"/>
      <c r="E29" s="3" t="s">
        <v>340</v>
      </c>
      <c r="L29" s="16"/>
      <c r="M29" s="16"/>
      <c r="N29" s="15"/>
      <c r="O29" s="246">
        <f>Projection_중국!O188</f>
        <v>302432.10846153845</v>
      </c>
      <c r="P29" s="16">
        <v>267818.23799344798</v>
      </c>
      <c r="Q29" s="16">
        <v>267818.23799344798</v>
      </c>
      <c r="R29" s="16">
        <v>267818.23799344798</v>
      </c>
      <c r="S29" s="16">
        <v>267818.23799344798</v>
      </c>
      <c r="T29" s="16">
        <v>267818.23799344798</v>
      </c>
      <c r="U29" s="16">
        <v>267818.23799344798</v>
      </c>
      <c r="V29" s="16">
        <v>267818.23799344798</v>
      </c>
      <c r="W29" s="16">
        <v>267818.23799344798</v>
      </c>
      <c r="X29" s="16">
        <v>267818.23799344798</v>
      </c>
      <c r="Y29" s="292">
        <f>Y27/Y28</f>
        <v>267818.23799344798</v>
      </c>
      <c r="Z29" s="246">
        <f>Z27/Z28</f>
        <v>271686.26363314863</v>
      </c>
      <c r="AA29" s="16">
        <f>Projection_중국!AA188</f>
        <v>273140.08696446166</v>
      </c>
      <c r="AB29" s="16">
        <f>Projection_중국!AB188</f>
        <v>274878.55341463973</v>
      </c>
      <c r="AC29" s="16">
        <f>Projection_중국!AC188</f>
        <v>276707.76828980632</v>
      </c>
      <c r="AD29" s="16">
        <f>Projection_중국!AD188</f>
        <v>278568.95245818089</v>
      </c>
      <c r="AE29" s="23"/>
      <c r="AF29" s="327"/>
      <c r="AG29" s="322">
        <f t="shared" si="10"/>
        <v>0</v>
      </c>
      <c r="AK29" s="311"/>
    </row>
    <row r="30" spans="1:37" x14ac:dyDescent="0.3">
      <c r="A30" s="338" t="s">
        <v>519</v>
      </c>
      <c r="B30" s="11"/>
      <c r="D30" s="3" t="s">
        <v>522</v>
      </c>
      <c r="L30" s="16"/>
      <c r="M30" s="16"/>
      <c r="N30" s="15"/>
      <c r="O30" s="246">
        <f>Projection_중국!O189</f>
        <v>184.55999999999997</v>
      </c>
      <c r="P30" s="16">
        <f t="shared" ref="P30:AD30" si="13">P$217</f>
        <v>182.15478841870822</v>
      </c>
      <c r="Q30" s="16">
        <f t="shared" si="13"/>
        <v>182.15478841870822</v>
      </c>
      <c r="R30" s="16">
        <f t="shared" si="13"/>
        <v>182.15478841870822</v>
      </c>
      <c r="S30" s="16">
        <f t="shared" si="13"/>
        <v>180.89761570827488</v>
      </c>
      <c r="T30" s="16">
        <f t="shared" si="13"/>
        <v>180.89761570827488</v>
      </c>
      <c r="U30" s="16">
        <f t="shared" si="13"/>
        <v>180.89761570827488</v>
      </c>
      <c r="V30" s="16">
        <f t="shared" si="13"/>
        <v>177.57575757575759</v>
      </c>
      <c r="W30" s="16">
        <f t="shared" si="13"/>
        <v>177.57575757575759</v>
      </c>
      <c r="X30" s="16">
        <f t="shared" si="13"/>
        <v>177.57575757575759</v>
      </c>
      <c r="Y30" s="292">
        <f>Y26/Y27*10^6</f>
        <v>180.29733269726037</v>
      </c>
      <c r="Z30" s="246">
        <f>Z26/Z27*10^6</f>
        <v>180.82758288847558</v>
      </c>
      <c r="AA30" s="16">
        <f t="shared" si="13"/>
        <v>174.00401261106336</v>
      </c>
      <c r="AB30" s="16">
        <f t="shared" si="13"/>
        <v>175.7017543859649</v>
      </c>
      <c r="AC30" s="16">
        <f t="shared" si="13"/>
        <v>177.80578206078576</v>
      </c>
      <c r="AD30" s="16">
        <f t="shared" si="13"/>
        <v>178.68199911543564</v>
      </c>
      <c r="AE30" s="23"/>
      <c r="AF30" s="327"/>
      <c r="AG30" s="322">
        <f t="shared" si="10"/>
        <v>0</v>
      </c>
      <c r="AK30" s="311"/>
    </row>
    <row r="31" spans="1:37" x14ac:dyDescent="0.3">
      <c r="A31" s="338" t="s">
        <v>519</v>
      </c>
      <c r="B31" s="11"/>
      <c r="C31" s="3" t="s">
        <v>148</v>
      </c>
      <c r="L31" s="16"/>
      <c r="M31" s="16"/>
      <c r="N31" s="15"/>
      <c r="O31" s="246">
        <f>O32*O35/10^6</f>
        <v>6534.1701207119995</v>
      </c>
      <c r="P31" s="16">
        <f t="shared" ref="P31:X31" si="14">P32*P35/10^6</f>
        <v>1572.6389847209518</v>
      </c>
      <c r="Q31" s="16">
        <f t="shared" si="14"/>
        <v>1397.9013197519571</v>
      </c>
      <c r="R31" s="16">
        <f t="shared" si="14"/>
        <v>1456.1472080749552</v>
      </c>
      <c r="S31" s="16">
        <f t="shared" si="14"/>
        <v>1272.565673985273</v>
      </c>
      <c r="T31" s="16">
        <f t="shared" si="14"/>
        <v>1677.4729338896775</v>
      </c>
      <c r="U31" s="16">
        <f t="shared" si="14"/>
        <v>1214.7217797132148</v>
      </c>
      <c r="V31" s="16">
        <f t="shared" si="14"/>
        <v>1419.5423895273091</v>
      </c>
      <c r="W31" s="16">
        <f t="shared" si="14"/>
        <v>1419.5423895273091</v>
      </c>
      <c r="X31" s="16">
        <f t="shared" si="14"/>
        <v>1533.1057806894942</v>
      </c>
      <c r="Y31" s="292">
        <f>SUM(P31:X31)</f>
        <v>12963.638459880141</v>
      </c>
      <c r="Z31" s="246">
        <f>SUM(O31,Y31)</f>
        <v>19497.80858059214</v>
      </c>
      <c r="AA31" s="16">
        <f>AA32*AA35/10^6</f>
        <v>20310.536021586671</v>
      </c>
      <c r="AB31" s="16">
        <f>AB32*AB35/10^6</f>
        <v>24965.161237655826</v>
      </c>
      <c r="AC31" s="16">
        <f>AC32*AC35/10^6</f>
        <v>30330.358285944058</v>
      </c>
      <c r="AD31" s="16">
        <f>AD32*AD35/10^6</f>
        <v>33038.305018939071</v>
      </c>
      <c r="AE31" s="151"/>
      <c r="AF31" s="327"/>
      <c r="AG31" s="322">
        <f>IF($E31="선적수량",$C30,)</f>
        <v>0</v>
      </c>
      <c r="AK31" s="311"/>
    </row>
    <row r="32" spans="1:37" x14ac:dyDescent="0.3">
      <c r="A32" s="338" t="s">
        <v>519</v>
      </c>
      <c r="B32" s="11"/>
      <c r="D32" s="3" t="s">
        <v>520</v>
      </c>
      <c r="L32" s="16"/>
      <c r="M32" s="16"/>
      <c r="N32" s="15"/>
      <c r="O32" s="246">
        <f>O33*O34</f>
        <v>35404042.700000003</v>
      </c>
      <c r="P32" s="16">
        <f t="shared" ref="P32:X32" si="15">P33*P34</f>
        <v>8633530.8468862288</v>
      </c>
      <c r="Q32" s="16">
        <f t="shared" si="15"/>
        <v>7674249.6416766476</v>
      </c>
      <c r="R32" s="16">
        <f t="shared" si="15"/>
        <v>7994010.0434131743</v>
      </c>
      <c r="S32" s="16">
        <f t="shared" si="15"/>
        <v>7034728.8382035941</v>
      </c>
      <c r="T32" s="16">
        <f t="shared" si="15"/>
        <v>9273051.6503592823</v>
      </c>
      <c r="U32" s="16">
        <f t="shared" si="15"/>
        <v>6714968.4364670664</v>
      </c>
      <c r="V32" s="16">
        <f t="shared" si="15"/>
        <v>7994010.0434131743</v>
      </c>
      <c r="W32" s="16">
        <f t="shared" si="15"/>
        <v>7994010.0434131743</v>
      </c>
      <c r="X32" s="16">
        <f t="shared" si="15"/>
        <v>8633530.8468862288</v>
      </c>
      <c r="Y32" s="292">
        <f>SUM(P32:X32)</f>
        <v>71946090.390718579</v>
      </c>
      <c r="Z32" s="246">
        <f>SUM(O32,Y32)</f>
        <v>107350133.09071858</v>
      </c>
      <c r="AA32" s="16">
        <f>AA33*AA34</f>
        <v>116724526.73252493</v>
      </c>
      <c r="AB32" s="16">
        <f>AB33*AB34</f>
        <v>142088286.62470117</v>
      </c>
      <c r="AC32" s="16">
        <f>AC33*AC34</f>
        <v>170581394.67914006</v>
      </c>
      <c r="AD32" s="16">
        <f>AD33*AD34</f>
        <v>184900018.93025059</v>
      </c>
      <c r="AE32" s="23"/>
      <c r="AF32" s="327"/>
      <c r="AG32" s="322">
        <f>IF($E32="선적수량",#REF!,)</f>
        <v>0</v>
      </c>
      <c r="AK32" s="311"/>
    </row>
    <row r="33" spans="1:37" x14ac:dyDescent="0.3">
      <c r="A33" s="338" t="s">
        <v>519</v>
      </c>
      <c r="B33" s="11"/>
      <c r="E33" s="3" t="s">
        <v>521</v>
      </c>
      <c r="L33" s="16"/>
      <c r="M33" s="16"/>
      <c r="N33" s="15"/>
      <c r="O33" s="246">
        <f>Projection_중국!O192</f>
        <v>100</v>
      </c>
      <c r="P33" s="16">
        <f>SUMIFS(INDEX(판매수량!$N$2:$V$82,0,MATCH(P$19,판매수량!$N$2:$V$2,0)),판매수량!$A$2:$A$82,$A33,판매수량!$B$2:$B$82,$AG33)</f>
        <v>27</v>
      </c>
      <c r="Q33" s="16">
        <f>SUMIFS(INDEX(판매수량!$N$2:$V$82,0,MATCH(Q$19,판매수량!$N$2:$V$2,0)),판매수량!$A$2:$A$82,$A33,판매수량!$B$2:$B$82,$AG33)</f>
        <v>24</v>
      </c>
      <c r="R33" s="16">
        <f>SUMIFS(INDEX(판매수량!$N$2:$V$82,0,MATCH(R$19,판매수량!$N$2:$V$2,0)),판매수량!$A$2:$A$82,$A33,판매수량!$B$2:$B$82,$AG33)</f>
        <v>25</v>
      </c>
      <c r="S33" s="16">
        <f>SUMIFS(INDEX(판매수량!$N$2:$V$82,0,MATCH(S$19,판매수량!$N$2:$V$2,0)),판매수량!$A$2:$A$82,$A33,판매수량!$B$2:$B$82,$AG33)</f>
        <v>22</v>
      </c>
      <c r="T33" s="16">
        <f>SUMIFS(INDEX(판매수량!$N$2:$V$82,0,MATCH(T$19,판매수량!$N$2:$V$2,0)),판매수량!$A$2:$A$82,$A33,판매수량!$B$2:$B$82,$AG33)</f>
        <v>29</v>
      </c>
      <c r="U33" s="16">
        <f>SUMIFS(INDEX(판매수량!$N$2:$V$82,0,MATCH(U$19,판매수량!$N$2:$V$2,0)),판매수량!$A$2:$A$82,$A33,판매수량!$B$2:$B$82,$AG33)</f>
        <v>21</v>
      </c>
      <c r="V33" s="16">
        <f>SUMIFS(INDEX(판매수량!$N$2:$V$82,0,MATCH(V$19,판매수량!$N$2:$V$2,0)),판매수량!$A$2:$A$82,$A33,판매수량!$B$2:$B$82,$AG33)</f>
        <v>25</v>
      </c>
      <c r="W33" s="16">
        <f>SUMIFS(INDEX(판매수량!$N$2:$V$82,0,MATCH(W$19,판매수량!$N$2:$V$2,0)),판매수량!$A$2:$A$82,$A33,판매수량!$B$2:$B$82,$AG33)</f>
        <v>25</v>
      </c>
      <c r="X33" s="16">
        <f>SUMIFS(INDEX(판매수량!$N$2:$V$82,0,MATCH(X$19,판매수량!$N$2:$V$2,0)),판매수량!$A$2:$A$82,$A33,판매수량!$B$2:$B$82,$AG33)</f>
        <v>27</v>
      </c>
      <c r="Y33" s="292">
        <f>SUM(P33:X33)</f>
        <v>225</v>
      </c>
      <c r="Z33" s="246">
        <f>SUM(O33,Y33)</f>
        <v>325</v>
      </c>
      <c r="AA33" s="16">
        <f>Projection_중국!AA192</f>
        <v>351</v>
      </c>
      <c r="AB33" s="16">
        <f>Projection_중국!AB192</f>
        <v>424</v>
      </c>
      <c r="AC33" s="16">
        <f>Projection_중국!AC192</f>
        <v>505</v>
      </c>
      <c r="AD33" s="16">
        <f>Projection_중국!AD192</f>
        <v>543</v>
      </c>
      <c r="AE33" s="23"/>
      <c r="AF33" s="327"/>
      <c r="AG33" s="322" t="str">
        <f t="shared" si="10"/>
        <v>VMC</v>
      </c>
      <c r="AK33" s="311"/>
    </row>
    <row r="34" spans="1:37" x14ac:dyDescent="0.3">
      <c r="A34" s="338" t="s">
        <v>15</v>
      </c>
      <c r="B34" s="11"/>
      <c r="E34" s="3" t="s">
        <v>340</v>
      </c>
      <c r="L34" s="16"/>
      <c r="M34" s="16"/>
      <c r="N34" s="15"/>
      <c r="O34" s="246">
        <f>Projection_중국!O193</f>
        <v>354040.42700000003</v>
      </c>
      <c r="P34" s="16">
        <v>319760.40173652698</v>
      </c>
      <c r="Q34" s="16">
        <v>319760.40173652698</v>
      </c>
      <c r="R34" s="16">
        <v>319760.40173652698</v>
      </c>
      <c r="S34" s="16">
        <v>319760.40173652698</v>
      </c>
      <c r="T34" s="16">
        <v>319760.40173652698</v>
      </c>
      <c r="U34" s="16">
        <v>319760.40173652698</v>
      </c>
      <c r="V34" s="16">
        <v>319760.40173652698</v>
      </c>
      <c r="W34" s="16">
        <v>319760.40173652698</v>
      </c>
      <c r="X34" s="16">
        <v>319760.40173652698</v>
      </c>
      <c r="Y34" s="292">
        <f>Y32/Y33</f>
        <v>319760.40173652704</v>
      </c>
      <c r="Z34" s="246">
        <f>Z32/Z33</f>
        <v>330308.10181759566</v>
      </c>
      <c r="AA34" s="16">
        <f>Projection_중국!AA193</f>
        <v>332548.50920947274</v>
      </c>
      <c r="AB34" s="16">
        <f>Projection_중국!AB193</f>
        <v>335113.88354882353</v>
      </c>
      <c r="AC34" s="16">
        <f>Projection_중국!AC193</f>
        <v>337784.93995869317</v>
      </c>
      <c r="AD34" s="16">
        <f>Projection_중국!AD193</f>
        <v>340515.68863766221</v>
      </c>
      <c r="AE34" s="23"/>
      <c r="AF34" s="327"/>
      <c r="AG34" s="322">
        <f t="shared" si="10"/>
        <v>0</v>
      </c>
      <c r="AK34" s="311"/>
    </row>
    <row r="35" spans="1:37" x14ac:dyDescent="0.3">
      <c r="A35" s="338" t="s">
        <v>519</v>
      </c>
      <c r="B35" s="11"/>
      <c r="D35" s="3" t="s">
        <v>522</v>
      </c>
      <c r="L35" s="16"/>
      <c r="M35" s="16"/>
      <c r="N35" s="15"/>
      <c r="O35" s="246">
        <f>Projection_중국!O194</f>
        <v>184.55999999999997</v>
      </c>
      <c r="P35" s="16">
        <f t="shared" ref="P35:AD35" si="16">P$217</f>
        <v>182.15478841870822</v>
      </c>
      <c r="Q35" s="16">
        <f t="shared" si="16"/>
        <v>182.15478841870822</v>
      </c>
      <c r="R35" s="16">
        <f t="shared" si="16"/>
        <v>182.15478841870822</v>
      </c>
      <c r="S35" s="16">
        <f t="shared" si="16"/>
        <v>180.89761570827488</v>
      </c>
      <c r="T35" s="16">
        <f t="shared" si="16"/>
        <v>180.89761570827488</v>
      </c>
      <c r="U35" s="16">
        <f t="shared" si="16"/>
        <v>180.89761570827488</v>
      </c>
      <c r="V35" s="16">
        <f t="shared" si="16"/>
        <v>177.57575757575759</v>
      </c>
      <c r="W35" s="16">
        <f t="shared" si="16"/>
        <v>177.57575757575759</v>
      </c>
      <c r="X35" s="16">
        <f t="shared" si="16"/>
        <v>177.57575757575759</v>
      </c>
      <c r="Y35" s="292">
        <f>Y31/Y32*10^6</f>
        <v>180.18544704067085</v>
      </c>
      <c r="Z35" s="246">
        <f>Z31/Z32*10^6</f>
        <v>181.62817333551965</v>
      </c>
      <c r="AA35" s="16">
        <f t="shared" si="16"/>
        <v>174.00401261106336</v>
      </c>
      <c r="AB35" s="16">
        <f t="shared" si="16"/>
        <v>175.7017543859649</v>
      </c>
      <c r="AC35" s="16">
        <f t="shared" si="16"/>
        <v>177.80578206078576</v>
      </c>
      <c r="AD35" s="16">
        <f t="shared" si="16"/>
        <v>178.68199911543564</v>
      </c>
      <c r="AE35" s="23"/>
      <c r="AF35" s="327"/>
      <c r="AG35" s="322">
        <f t="shared" si="10"/>
        <v>0</v>
      </c>
      <c r="AK35" s="311"/>
    </row>
    <row r="36" spans="1:37" x14ac:dyDescent="0.3">
      <c r="A36" s="338" t="s">
        <v>519</v>
      </c>
      <c r="B36" s="11"/>
      <c r="C36" s="3" t="s">
        <v>149</v>
      </c>
      <c r="L36" s="16"/>
      <c r="M36" s="16"/>
      <c r="N36" s="15"/>
      <c r="O36" s="246">
        <f>O37*O40/10^6</f>
        <v>0</v>
      </c>
      <c r="P36" s="16">
        <f t="shared" ref="P36:X36" si="17">P37*P40/10^6</f>
        <v>187.98374164810687</v>
      </c>
      <c r="Q36" s="16">
        <f t="shared" si="17"/>
        <v>375.96748329621374</v>
      </c>
      <c r="R36" s="16">
        <f t="shared" si="17"/>
        <v>187.98374164810687</v>
      </c>
      <c r="S36" s="16">
        <f t="shared" si="17"/>
        <v>373.37267882187939</v>
      </c>
      <c r="T36" s="16">
        <f t="shared" si="17"/>
        <v>0</v>
      </c>
      <c r="U36" s="16">
        <f t="shared" si="17"/>
        <v>373.37267882187939</v>
      </c>
      <c r="V36" s="16">
        <f t="shared" si="17"/>
        <v>366.51636363636368</v>
      </c>
      <c r="W36" s="16">
        <f t="shared" si="17"/>
        <v>0</v>
      </c>
      <c r="X36" s="16">
        <f t="shared" si="17"/>
        <v>183.25818181818184</v>
      </c>
      <c r="Y36" s="292">
        <f>SUM(P36:X36)</f>
        <v>2048.4548696907318</v>
      </c>
      <c r="Z36" s="246">
        <f>SUM(O36,Y36)</f>
        <v>2048.4548696907318</v>
      </c>
      <c r="AA36" s="16">
        <f>AA37*AA40/10^6</f>
        <v>2168.2364980144512</v>
      </c>
      <c r="AB36" s="16">
        <f>AB37*AB40/10^6</f>
        <v>2388.8944164096542</v>
      </c>
      <c r="AC36" s="16">
        <f>AC37*AC40/10^6</f>
        <v>5058.7379568132874</v>
      </c>
      <c r="AD36" s="16">
        <f>AD37*AD40/10^6</f>
        <v>5501.6610820779952</v>
      </c>
      <c r="AE36" s="151"/>
      <c r="AF36" s="327"/>
      <c r="AG36" s="322">
        <f>IF($E36="선적수량",$C35,)</f>
        <v>0</v>
      </c>
      <c r="AK36" s="311"/>
    </row>
    <row r="37" spans="1:37" x14ac:dyDescent="0.3">
      <c r="A37" s="338" t="s">
        <v>519</v>
      </c>
      <c r="B37" s="11"/>
      <c r="D37" s="3" t="s">
        <v>520</v>
      </c>
      <c r="L37" s="16"/>
      <c r="M37" s="16"/>
      <c r="N37" s="15"/>
      <c r="O37" s="246">
        <f>O38*O39</f>
        <v>0</v>
      </c>
      <c r="P37" s="16">
        <f t="shared" ref="P37:X37" si="18">P38*P39</f>
        <v>1032000</v>
      </c>
      <c r="Q37" s="16">
        <f t="shared" si="18"/>
        <v>2064000</v>
      </c>
      <c r="R37" s="16">
        <f t="shared" si="18"/>
        <v>1032000</v>
      </c>
      <c r="S37" s="16">
        <f t="shared" si="18"/>
        <v>2064000</v>
      </c>
      <c r="T37" s="16">
        <f t="shared" si="18"/>
        <v>0</v>
      </c>
      <c r="U37" s="16">
        <f t="shared" si="18"/>
        <v>2064000</v>
      </c>
      <c r="V37" s="16">
        <f t="shared" si="18"/>
        <v>2064000</v>
      </c>
      <c r="W37" s="16">
        <f t="shared" si="18"/>
        <v>0</v>
      </c>
      <c r="X37" s="16">
        <f t="shared" si="18"/>
        <v>1032000</v>
      </c>
      <c r="Y37" s="292">
        <f>SUM(P37:X37)</f>
        <v>11352000</v>
      </c>
      <c r="Z37" s="246">
        <f>SUM(O37,Y37)</f>
        <v>11352000</v>
      </c>
      <c r="AA37" s="16">
        <f>AA38*AA39</f>
        <v>12460841.939667961</v>
      </c>
      <c r="AB37" s="16">
        <f>AB38*AB39</f>
        <v>13596303.717958093</v>
      </c>
      <c r="AC37" s="16">
        <f>AC38*AC39</f>
        <v>28450919.301847436</v>
      </c>
      <c r="AD37" s="16">
        <f>AD38*AD39</f>
        <v>30790236.89747116</v>
      </c>
      <c r="AE37" s="23"/>
      <c r="AF37" s="327"/>
      <c r="AG37" s="322">
        <f>IF($E37="선적수량",#REF!,)</f>
        <v>0</v>
      </c>
      <c r="AK37" s="311"/>
    </row>
    <row r="38" spans="1:37" x14ac:dyDescent="0.3">
      <c r="A38" s="338" t="s">
        <v>519</v>
      </c>
      <c r="B38" s="11"/>
      <c r="E38" s="3" t="s">
        <v>521</v>
      </c>
      <c r="I38" s="291"/>
      <c r="L38" s="16"/>
      <c r="M38" s="16"/>
      <c r="N38" s="15"/>
      <c r="O38" s="246">
        <f>Projection_중국!O197</f>
        <v>0</v>
      </c>
      <c r="P38" s="16">
        <f>SUMIFS(INDEX(판매수량!$N$2:$V$82,0,MATCH(P$19,판매수량!$N$2:$V$2,0)),판매수량!$A$2:$A$82,$A38,판매수량!$B$2:$B$82,$AG38)</f>
        <v>1</v>
      </c>
      <c r="Q38" s="16">
        <f>SUMIFS(INDEX(판매수량!$N$2:$V$82,0,MATCH(Q$19,판매수량!$N$2:$V$2,0)),판매수량!$A$2:$A$82,$A38,판매수량!$B$2:$B$82,$AG38)</f>
        <v>2</v>
      </c>
      <c r="R38" s="16">
        <f>SUMIFS(INDEX(판매수량!$N$2:$V$82,0,MATCH(R$19,판매수량!$N$2:$V$2,0)),판매수량!$A$2:$A$82,$A38,판매수량!$B$2:$B$82,$AG38)</f>
        <v>1</v>
      </c>
      <c r="S38" s="16">
        <f>SUMIFS(INDEX(판매수량!$N$2:$V$82,0,MATCH(S$19,판매수량!$N$2:$V$2,0)),판매수량!$A$2:$A$82,$A38,판매수량!$B$2:$B$82,$AG38)</f>
        <v>2</v>
      </c>
      <c r="T38" s="16">
        <f>SUMIFS(INDEX(판매수량!$N$2:$V$82,0,MATCH(T$19,판매수량!$N$2:$V$2,0)),판매수량!$A$2:$A$82,$A38,판매수량!$B$2:$B$82,$AG38)</f>
        <v>0</v>
      </c>
      <c r="U38" s="16">
        <f>SUMIFS(INDEX(판매수량!$N$2:$V$82,0,MATCH(U$19,판매수량!$N$2:$V$2,0)),판매수량!$A$2:$A$82,$A38,판매수량!$B$2:$B$82,$AG38)</f>
        <v>2</v>
      </c>
      <c r="V38" s="16">
        <f>SUMIFS(INDEX(판매수량!$N$2:$V$82,0,MATCH(V$19,판매수량!$N$2:$V$2,0)),판매수량!$A$2:$A$82,$A38,판매수량!$B$2:$B$82,$AG38)</f>
        <v>2</v>
      </c>
      <c r="W38" s="16">
        <f>SUMIFS(INDEX(판매수량!$N$2:$V$82,0,MATCH(W$19,판매수량!$N$2:$V$2,0)),판매수량!$A$2:$A$82,$A38,판매수량!$B$2:$B$82,$AG38)</f>
        <v>0</v>
      </c>
      <c r="X38" s="16">
        <f>SUMIFS(INDEX(판매수량!$N$2:$V$82,0,MATCH(X$19,판매수량!$N$2:$V$2,0)),판매수량!$A$2:$A$82,$A38,판매수량!$B$2:$B$82,$AG38)</f>
        <v>1</v>
      </c>
      <c r="Y38" s="292">
        <f>SUM(P38:X38)</f>
        <v>11</v>
      </c>
      <c r="Z38" s="246">
        <f>SUM(O38,Y38)</f>
        <v>11</v>
      </c>
      <c r="AA38" s="16">
        <f>Projection_중국!AA197</f>
        <v>12</v>
      </c>
      <c r="AB38" s="16">
        <f>Projection_중국!AB197</f>
        <v>13</v>
      </c>
      <c r="AC38" s="16">
        <f>Projection_중국!AC197</f>
        <v>27</v>
      </c>
      <c r="AD38" s="16">
        <f>Projection_중국!AD197</f>
        <v>29</v>
      </c>
      <c r="AE38" s="23"/>
      <c r="AF38" s="327"/>
      <c r="AG38" s="322" t="str">
        <f t="shared" si="10"/>
        <v>HMC</v>
      </c>
      <c r="AK38" s="311"/>
    </row>
    <row r="39" spans="1:37" x14ac:dyDescent="0.3">
      <c r="A39" s="338" t="s">
        <v>15</v>
      </c>
      <c r="B39" s="11"/>
      <c r="E39" s="3" t="s">
        <v>340</v>
      </c>
      <c r="L39" s="16"/>
      <c r="M39" s="16"/>
      <c r="N39" s="15"/>
      <c r="O39" s="246">
        <f>Projection_중국!O198</f>
        <v>0</v>
      </c>
      <c r="P39" s="16">
        <v>1032000</v>
      </c>
      <c r="Q39" s="16">
        <v>1032000</v>
      </c>
      <c r="R39" s="16">
        <v>1032000</v>
      </c>
      <c r="S39" s="16">
        <v>1032000</v>
      </c>
      <c r="T39" s="16">
        <v>1032000</v>
      </c>
      <c r="U39" s="16">
        <v>1032000</v>
      </c>
      <c r="V39" s="16">
        <v>1032000</v>
      </c>
      <c r="W39" s="16">
        <v>1032000</v>
      </c>
      <c r="X39" s="16">
        <v>1032000</v>
      </c>
      <c r="Y39" s="292">
        <f>Y37/Y38</f>
        <v>1032000</v>
      </c>
      <c r="Z39" s="246">
        <f>Z37/Z38</f>
        <v>1032000</v>
      </c>
      <c r="AA39" s="16">
        <f>Projection_중국!AA198</f>
        <v>1038403.4949723301</v>
      </c>
      <c r="AB39" s="16">
        <f>Projection_중국!AB198</f>
        <v>1045869.5167660072</v>
      </c>
      <c r="AC39" s="16">
        <f>Projection_중국!AC198</f>
        <v>1053737.7519202754</v>
      </c>
      <c r="AD39" s="16">
        <f>Projection_중국!AD198</f>
        <v>1061732.3068093504</v>
      </c>
      <c r="AE39" s="23"/>
      <c r="AF39" s="327"/>
      <c r="AG39" s="322">
        <f t="shared" si="10"/>
        <v>0</v>
      </c>
      <c r="AK39" s="311"/>
    </row>
    <row r="40" spans="1:37" x14ac:dyDescent="0.3">
      <c r="A40" s="338" t="s">
        <v>519</v>
      </c>
      <c r="D40" s="3" t="s">
        <v>522</v>
      </c>
      <c r="L40" s="16"/>
      <c r="M40" s="16"/>
      <c r="N40" s="15"/>
      <c r="O40" s="246">
        <f>Projection_중국!O199</f>
        <v>0</v>
      </c>
      <c r="P40" s="16">
        <f t="shared" ref="P40:AD40" si="19">P$217</f>
        <v>182.15478841870822</v>
      </c>
      <c r="Q40" s="16">
        <f t="shared" si="19"/>
        <v>182.15478841870822</v>
      </c>
      <c r="R40" s="16">
        <f t="shared" si="19"/>
        <v>182.15478841870822</v>
      </c>
      <c r="S40" s="16">
        <f t="shared" si="19"/>
        <v>180.89761570827488</v>
      </c>
      <c r="T40" s="16">
        <f t="shared" si="19"/>
        <v>180.89761570827488</v>
      </c>
      <c r="U40" s="16">
        <f t="shared" si="19"/>
        <v>180.89761570827488</v>
      </c>
      <c r="V40" s="16">
        <f t="shared" si="19"/>
        <v>177.57575757575759</v>
      </c>
      <c r="W40" s="16">
        <f t="shared" si="19"/>
        <v>177.57575757575759</v>
      </c>
      <c r="X40" s="16">
        <f t="shared" si="19"/>
        <v>177.57575757575759</v>
      </c>
      <c r="Y40" s="292">
        <f>Y36/Y37*10^6</f>
        <v>180.44880811229137</v>
      </c>
      <c r="Z40" s="246">
        <f>Z36/Z37*10^6</f>
        <v>180.44880811229137</v>
      </c>
      <c r="AA40" s="16">
        <f t="shared" si="19"/>
        <v>174.00401261106336</v>
      </c>
      <c r="AB40" s="16">
        <f t="shared" si="19"/>
        <v>175.7017543859649</v>
      </c>
      <c r="AC40" s="16">
        <f t="shared" si="19"/>
        <v>177.80578206078576</v>
      </c>
      <c r="AD40" s="16">
        <f t="shared" si="19"/>
        <v>178.68199911543564</v>
      </c>
      <c r="AE40" s="23"/>
      <c r="AF40" s="327"/>
      <c r="AG40" s="322">
        <f t="shared" si="10"/>
        <v>0</v>
      </c>
      <c r="AK40" s="311"/>
    </row>
    <row r="41" spans="1:37" x14ac:dyDescent="0.3">
      <c r="A41" s="338" t="s">
        <v>519</v>
      </c>
      <c r="C41" s="3" t="s">
        <v>150</v>
      </c>
      <c r="L41" s="16"/>
      <c r="M41" s="16"/>
      <c r="N41" s="15"/>
      <c r="O41" s="306"/>
      <c r="P41" s="119"/>
      <c r="Q41" s="119"/>
      <c r="R41" s="119"/>
      <c r="S41" s="119"/>
      <c r="T41" s="119"/>
      <c r="U41" s="119"/>
      <c r="V41" s="119"/>
      <c r="W41" s="119"/>
      <c r="X41" s="119"/>
      <c r="Y41" s="293"/>
      <c r="Z41" s="246">
        <f>SUM(O41,Y41)</f>
        <v>0</v>
      </c>
      <c r="AA41" s="119"/>
      <c r="AB41" s="119"/>
      <c r="AC41" s="119"/>
      <c r="AD41" s="119"/>
      <c r="AE41" s="151"/>
      <c r="AF41" s="327"/>
      <c r="AG41" s="322">
        <f>IF($E41="선적수량",$C40,)</f>
        <v>0</v>
      </c>
      <c r="AK41" s="311"/>
    </row>
    <row r="42" spans="1:37" x14ac:dyDescent="0.3">
      <c r="A42" s="338" t="s">
        <v>519</v>
      </c>
      <c r="D42" s="3" t="s">
        <v>520</v>
      </c>
      <c r="L42" s="16"/>
      <c r="M42" s="16"/>
      <c r="N42" s="15"/>
      <c r="O42" s="306"/>
      <c r="P42" s="119"/>
      <c r="Q42" s="119"/>
      <c r="R42" s="119"/>
      <c r="S42" s="119"/>
      <c r="T42" s="119"/>
      <c r="U42" s="119"/>
      <c r="V42" s="119"/>
      <c r="W42" s="119"/>
      <c r="X42" s="119"/>
      <c r="Y42" s="293"/>
      <c r="Z42" s="246">
        <f>SUM(O42,Y42)</f>
        <v>0</v>
      </c>
      <c r="AA42" s="119"/>
      <c r="AB42" s="119"/>
      <c r="AC42" s="119"/>
      <c r="AD42" s="119"/>
      <c r="AE42" s="23"/>
      <c r="AF42" s="327"/>
      <c r="AG42" s="322">
        <f>IF($E42="선적수량",#REF!,)</f>
        <v>0</v>
      </c>
      <c r="AK42" s="311"/>
    </row>
    <row r="43" spans="1:37" x14ac:dyDescent="0.3">
      <c r="A43" s="338" t="s">
        <v>519</v>
      </c>
      <c r="E43" s="3" t="s">
        <v>521</v>
      </c>
      <c r="I43" s="291"/>
      <c r="L43" s="16"/>
      <c r="M43" s="16"/>
      <c r="N43" s="15"/>
      <c r="O43" s="306"/>
      <c r="P43" s="119"/>
      <c r="Q43" s="119"/>
      <c r="R43" s="119"/>
      <c r="S43" s="119"/>
      <c r="T43" s="119"/>
      <c r="U43" s="119"/>
      <c r="V43" s="119"/>
      <c r="W43" s="119"/>
      <c r="X43" s="119"/>
      <c r="Y43" s="293"/>
      <c r="Z43" s="246">
        <f>SUM(O43,Y43)</f>
        <v>0</v>
      </c>
      <c r="AA43" s="119"/>
      <c r="AB43" s="119"/>
      <c r="AC43" s="119"/>
      <c r="AD43" s="119"/>
      <c r="AE43" s="23"/>
      <c r="AF43" s="327"/>
      <c r="AG43" s="322" t="str">
        <f t="shared" si="10"/>
        <v>단종</v>
      </c>
      <c r="AK43" s="311"/>
    </row>
    <row r="44" spans="1:37" x14ac:dyDescent="0.3">
      <c r="A44" s="338" t="s">
        <v>519</v>
      </c>
      <c r="E44" s="3" t="s">
        <v>340</v>
      </c>
      <c r="I44" s="291"/>
      <c r="L44" s="16"/>
      <c r="M44" s="16"/>
      <c r="N44" s="15"/>
      <c r="O44" s="306"/>
      <c r="P44" s="119"/>
      <c r="Q44" s="119"/>
      <c r="R44" s="119"/>
      <c r="S44" s="119"/>
      <c r="T44" s="119"/>
      <c r="U44" s="119"/>
      <c r="V44" s="119"/>
      <c r="W44" s="119"/>
      <c r="X44" s="119"/>
      <c r="Y44" s="293"/>
      <c r="Z44" s="246">
        <f>IFERROR(Z42/Z43,)</f>
        <v>0</v>
      </c>
      <c r="AA44" s="119"/>
      <c r="AB44" s="119"/>
      <c r="AC44" s="119"/>
      <c r="AD44" s="119"/>
      <c r="AE44" s="23"/>
      <c r="AF44" s="327"/>
      <c r="AG44" s="322">
        <f t="shared" si="10"/>
        <v>0</v>
      </c>
      <c r="AK44" s="311"/>
    </row>
    <row r="45" spans="1:37" x14ac:dyDescent="0.3">
      <c r="A45" s="338" t="s">
        <v>519</v>
      </c>
      <c r="D45" s="3" t="s">
        <v>522</v>
      </c>
      <c r="L45" s="16"/>
      <c r="M45" s="16"/>
      <c r="N45" s="15"/>
      <c r="O45" s="306"/>
      <c r="P45" s="119"/>
      <c r="Q45" s="119"/>
      <c r="R45" s="119"/>
      <c r="S45" s="119"/>
      <c r="T45" s="119"/>
      <c r="U45" s="119"/>
      <c r="V45" s="119"/>
      <c r="W45" s="119"/>
      <c r="X45" s="119"/>
      <c r="Y45" s="293"/>
      <c r="Z45" s="246">
        <f>Z$217</f>
        <v>182.27060653188181</v>
      </c>
      <c r="AA45" s="119"/>
      <c r="AB45" s="119"/>
      <c r="AC45" s="119"/>
      <c r="AD45" s="119"/>
      <c r="AE45" s="23"/>
      <c r="AF45" s="327"/>
      <c r="AG45" s="322">
        <f t="shared" si="10"/>
        <v>0</v>
      </c>
      <c r="AK45" s="311"/>
    </row>
    <row r="46" spans="1:37" x14ac:dyDescent="0.3">
      <c r="A46" s="338" t="s">
        <v>519</v>
      </c>
      <c r="C46" s="3" t="s">
        <v>105</v>
      </c>
      <c r="L46" s="16"/>
      <c r="M46" s="16"/>
      <c r="N46" s="15"/>
      <c r="O46" s="246">
        <f>O47+O49+O51+O53+O55+O58+O59</f>
        <v>1268.8294767192021</v>
      </c>
      <c r="P46" s="16">
        <f t="shared" ref="P46:Y46" si="20">P47+P49+P51+P53+P55+P58+P59</f>
        <v>62.401248160596865</v>
      </c>
      <c r="Q46" s="16">
        <f t="shared" si="20"/>
        <v>74.135644197560268</v>
      </c>
      <c r="R46" s="16">
        <f t="shared" si="20"/>
        <v>61.537803466256165</v>
      </c>
      <c r="S46" s="16">
        <f t="shared" si="20"/>
        <v>72.151099632964772</v>
      </c>
      <c r="T46" s="16">
        <f t="shared" si="20"/>
        <v>66.958098099611632</v>
      </c>
      <c r="U46" s="16">
        <f t="shared" si="20"/>
        <v>65.090454186819059</v>
      </c>
      <c r="V46" s="16">
        <f t="shared" si="20"/>
        <v>42.240879982416985</v>
      </c>
      <c r="W46" s="16">
        <f t="shared" si="20"/>
        <v>62.407670033598137</v>
      </c>
      <c r="X46" s="16">
        <f t="shared" si="20"/>
        <v>58.591114137655794</v>
      </c>
      <c r="Y46" s="292">
        <f t="shared" si="20"/>
        <v>565.51401189747969</v>
      </c>
      <c r="Z46" s="246">
        <f>SUM(O46,Y46)</f>
        <v>1834.343488616682</v>
      </c>
      <c r="AA46" s="16">
        <f>AA47+AA49+AA51+AA53+AA55+AA58+AA59</f>
        <v>1901.8237428619195</v>
      </c>
      <c r="AB46" s="16">
        <f>AB47+AB49+AB51+AB53+AB55+AB58+AB59</f>
        <v>2270.6832195415845</v>
      </c>
      <c r="AC46" s="16">
        <f>AC47+AC49+AC51+AC53+AC55+AC58+AC59</f>
        <v>2728.2866708288657</v>
      </c>
      <c r="AD46" s="16">
        <f>AD47+AD49+AD51+AD53+AD55+AD58+AD59</f>
        <v>2962.2936949420991</v>
      </c>
      <c r="AE46" s="151"/>
      <c r="AF46" s="327"/>
      <c r="AG46" s="322">
        <f>IF($E46="선적수량",$C45,)</f>
        <v>0</v>
      </c>
      <c r="AK46" s="311"/>
    </row>
    <row r="47" spans="1:37" x14ac:dyDescent="0.3">
      <c r="A47" s="338" t="s">
        <v>519</v>
      </c>
      <c r="D47" s="3" t="s">
        <v>341</v>
      </c>
      <c r="L47" s="16"/>
      <c r="M47" s="16"/>
      <c r="N47" s="15"/>
      <c r="O47" s="246">
        <v>0</v>
      </c>
      <c r="P47" s="16">
        <f t="shared" ref="P47:X47" si="21">SUM(P$21,P$26,P$31,P$36,P$41)*P48</f>
        <v>0</v>
      </c>
      <c r="Q47" s="16">
        <f t="shared" si="21"/>
        <v>0</v>
      </c>
      <c r="R47" s="16">
        <f t="shared" si="21"/>
        <v>0</v>
      </c>
      <c r="S47" s="16">
        <f t="shared" si="21"/>
        <v>0</v>
      </c>
      <c r="T47" s="16">
        <f t="shared" si="21"/>
        <v>0</v>
      </c>
      <c r="U47" s="16">
        <f t="shared" si="21"/>
        <v>0</v>
      </c>
      <c r="V47" s="16">
        <f t="shared" si="21"/>
        <v>0</v>
      </c>
      <c r="W47" s="16">
        <f t="shared" si="21"/>
        <v>0</v>
      </c>
      <c r="X47" s="16">
        <f t="shared" si="21"/>
        <v>0</v>
      </c>
      <c r="Y47" s="292">
        <f>SUM(P47:X47)</f>
        <v>0</v>
      </c>
      <c r="Z47" s="246">
        <f>SUM(O47,Y47)</f>
        <v>0</v>
      </c>
      <c r="AA47" s="16">
        <f>SUM(AA$21,AA$26,AA$31,AA$36,AA$41)*AA48</f>
        <v>0</v>
      </c>
      <c r="AB47" s="16">
        <f>SUM(AB$21,AB$26,AB$31,AB$36,AB$41)*AB48</f>
        <v>0</v>
      </c>
      <c r="AC47" s="16">
        <f>SUM(AC$21,AC$26,AC$31,AC$36,AC$41)*AC48</f>
        <v>0</v>
      </c>
      <c r="AD47" s="16">
        <f>SUM(AD$21,AD$26,AD$31,AD$36,AD$41)*AD48</f>
        <v>0</v>
      </c>
      <c r="AF47" s="327"/>
      <c r="AG47" s="322">
        <f>IF($E47="선적수량",#REF!,)</f>
        <v>0</v>
      </c>
      <c r="AK47" s="311"/>
    </row>
    <row r="48" spans="1:37" x14ac:dyDescent="0.3">
      <c r="A48" s="338" t="s">
        <v>519</v>
      </c>
      <c r="E48" s="3" t="s">
        <v>317</v>
      </c>
      <c r="I48" s="361">
        <v>0</v>
      </c>
      <c r="L48" s="16"/>
      <c r="M48" s="16"/>
      <c r="N48" s="15"/>
      <c r="O48" s="350">
        <v>0</v>
      </c>
      <c r="P48" s="17">
        <f t="shared" ref="P48:X48" si="22">$I48</f>
        <v>0</v>
      </c>
      <c r="Q48" s="17">
        <f t="shared" si="22"/>
        <v>0</v>
      </c>
      <c r="R48" s="17">
        <f t="shared" si="22"/>
        <v>0</v>
      </c>
      <c r="S48" s="17">
        <f t="shared" si="22"/>
        <v>0</v>
      </c>
      <c r="T48" s="17">
        <f t="shared" si="22"/>
        <v>0</v>
      </c>
      <c r="U48" s="17">
        <f t="shared" si="22"/>
        <v>0</v>
      </c>
      <c r="V48" s="17">
        <f t="shared" si="22"/>
        <v>0</v>
      </c>
      <c r="W48" s="17">
        <f t="shared" si="22"/>
        <v>0</v>
      </c>
      <c r="X48" s="17">
        <f t="shared" si="22"/>
        <v>0</v>
      </c>
      <c r="Y48" s="480">
        <f>IFERROR(Y47/SUM(Y$21,Y$26,Y$31,Y$36,Y$41),)</f>
        <v>0</v>
      </c>
      <c r="Z48" s="350">
        <f>IFERROR(Z47/SUM(Z$21,Z$26,Z$31,Z$36,Z$41),)</f>
        <v>0</v>
      </c>
      <c r="AA48" s="16">
        <f>$I48</f>
        <v>0</v>
      </c>
      <c r="AB48" s="16">
        <f>$I48</f>
        <v>0</v>
      </c>
      <c r="AC48" s="16">
        <f>$I48</f>
        <v>0</v>
      </c>
      <c r="AD48" s="16">
        <f>$I48</f>
        <v>0</v>
      </c>
      <c r="AF48" s="327"/>
      <c r="AG48" s="322">
        <f t="shared" si="10"/>
        <v>0</v>
      </c>
      <c r="AK48" s="311"/>
    </row>
    <row r="49" spans="1:37" x14ac:dyDescent="0.3">
      <c r="A49" s="338" t="s">
        <v>519</v>
      </c>
      <c r="D49" s="3" t="s">
        <v>342</v>
      </c>
      <c r="L49" s="16"/>
      <c r="M49" s="16"/>
      <c r="N49" s="15"/>
      <c r="O49" s="246">
        <f>Projection_중국!O206</f>
        <v>1909.9579323648002</v>
      </c>
      <c r="P49" s="16">
        <f t="shared" ref="P49:X49" si="23">SUM(P$21,P$26,P$31,P$36,P$41)*P50</f>
        <v>137.00282715499009</v>
      </c>
      <c r="Q49" s="16">
        <f t="shared" si="23"/>
        <v>147.60959332877081</v>
      </c>
      <c r="R49" s="16">
        <f t="shared" si="23"/>
        <v>136.22235614071593</v>
      </c>
      <c r="S49" s="16">
        <f t="shared" si="23"/>
        <v>145.81575578555123</v>
      </c>
      <c r="T49" s="16">
        <f t="shared" si="23"/>
        <v>141.12178152127242</v>
      </c>
      <c r="U49" s="16">
        <f t="shared" si="23"/>
        <v>139.43361093145467</v>
      </c>
      <c r="V49" s="16">
        <f t="shared" si="23"/>
        <v>118.77979202223177</v>
      </c>
      <c r="W49" s="16">
        <f t="shared" si="23"/>
        <v>137.00863191094919</v>
      </c>
      <c r="X49" s="16">
        <f t="shared" si="23"/>
        <v>133.55883220673704</v>
      </c>
      <c r="Y49" s="292">
        <f>SUM(P49:X49)</f>
        <v>1236.553181002673</v>
      </c>
      <c r="Z49" s="246">
        <f>SUM(O49,Y49)</f>
        <v>3146.5111133674732</v>
      </c>
      <c r="AA49" s="16">
        <f>SUM(AA$21,AA$26,AA$31,AA$36,AA$41)*AA50</f>
        <v>1719.065871028926</v>
      </c>
      <c r="AB49" s="16">
        <f>SUM(AB$21,AB$26,AB$31,AB$36,AB$41)*AB50</f>
        <v>2052.4793852652133</v>
      </c>
      <c r="AC49" s="16">
        <f>SUM(AC$21,AC$26,AC$31,AC$36,AC$41)*AC50</f>
        <v>2466.108922978965</v>
      </c>
      <c r="AD49" s="16">
        <f>SUM(AD$21,AD$26,AD$31,AD$36,AD$41)*AD50</f>
        <v>2677.6287813485687</v>
      </c>
      <c r="AF49" s="327"/>
      <c r="AG49" s="322">
        <f t="shared" si="10"/>
        <v>0</v>
      </c>
      <c r="AK49" s="311"/>
    </row>
    <row r="50" spans="1:37" x14ac:dyDescent="0.3">
      <c r="A50" s="338" t="s">
        <v>519</v>
      </c>
      <c r="E50" s="3" t="s">
        <v>317</v>
      </c>
      <c r="I50" s="361">
        <v>4.1244510494061928E-2</v>
      </c>
      <c r="L50" s="16"/>
      <c r="M50" s="16"/>
      <c r="N50" s="15"/>
      <c r="O50" s="350">
        <f>O49/SUM(O$26,O$31,O$36,O$41,O$21)</f>
        <v>0.21925746556880249</v>
      </c>
      <c r="P50" s="17">
        <f t="shared" ref="P50:X50" si="24">$I50</f>
        <v>4.1244510494061928E-2</v>
      </c>
      <c r="Q50" s="17">
        <f t="shared" si="24"/>
        <v>4.1244510494061928E-2</v>
      </c>
      <c r="R50" s="17">
        <f t="shared" si="24"/>
        <v>4.1244510494061928E-2</v>
      </c>
      <c r="S50" s="17">
        <f t="shared" si="24"/>
        <v>4.1244510494061928E-2</v>
      </c>
      <c r="T50" s="17">
        <f t="shared" si="24"/>
        <v>4.1244510494061928E-2</v>
      </c>
      <c r="U50" s="17">
        <f t="shared" si="24"/>
        <v>4.1244510494061928E-2</v>
      </c>
      <c r="V50" s="17">
        <f t="shared" si="24"/>
        <v>4.1244510494061928E-2</v>
      </c>
      <c r="W50" s="17">
        <f t="shared" si="24"/>
        <v>4.1244510494061928E-2</v>
      </c>
      <c r="X50" s="17">
        <f t="shared" si="24"/>
        <v>4.1244510494061928E-2</v>
      </c>
      <c r="Y50" s="480">
        <f>IFERROR(Y49/SUM(Y$21,Y$26,Y$31,Y$36,Y$41),)</f>
        <v>4.1244510494061921E-2</v>
      </c>
      <c r="Z50" s="350">
        <f>IFERROR(Z49/SUM(Z$21,Z$26,Z$31,Z$36,Z$41),)</f>
        <v>8.1321871483821473E-2</v>
      </c>
      <c r="AA50" s="137">
        <f>$I50</f>
        <v>4.1244510494061928E-2</v>
      </c>
      <c r="AB50" s="137">
        <f>$I50</f>
        <v>4.1244510494061928E-2</v>
      </c>
      <c r="AC50" s="137">
        <f>$I50</f>
        <v>4.1244510494061928E-2</v>
      </c>
      <c r="AD50" s="137">
        <f>$I50</f>
        <v>4.1244510494061928E-2</v>
      </c>
      <c r="AF50" s="327"/>
      <c r="AG50" s="322">
        <f t="shared" si="10"/>
        <v>0</v>
      </c>
      <c r="AK50" s="311"/>
    </row>
    <row r="51" spans="1:37" x14ac:dyDescent="0.3">
      <c r="A51" s="338" t="s">
        <v>519</v>
      </c>
      <c r="D51" s="3" t="s">
        <v>309</v>
      </c>
      <c r="L51" s="16"/>
      <c r="M51" s="16"/>
      <c r="N51" s="15"/>
      <c r="O51" s="246">
        <f>Projection_중국!O208</f>
        <v>0</v>
      </c>
      <c r="P51" s="16">
        <f t="shared" ref="P51:X51" si="25">SUM(P$21,P$26,P$31,P$36,P$41)*P52</f>
        <v>14.565087672273458</v>
      </c>
      <c r="Q51" s="16">
        <f t="shared" si="25"/>
        <v>15.692717535456133</v>
      </c>
      <c r="R51" s="16">
        <f t="shared" si="25"/>
        <v>14.482113992206907</v>
      </c>
      <c r="S51" s="16">
        <f t="shared" si="25"/>
        <v>15.502010514080206</v>
      </c>
      <c r="T51" s="16">
        <f t="shared" si="25"/>
        <v>15.002983245005884</v>
      </c>
      <c r="U51" s="16">
        <f t="shared" si="25"/>
        <v>14.823509922031077</v>
      </c>
      <c r="V51" s="16">
        <f t="shared" si="25"/>
        <v>12.627754626851871</v>
      </c>
      <c r="W51" s="16">
        <f t="shared" si="25"/>
        <v>14.565704789315612</v>
      </c>
      <c r="X51" s="16">
        <f t="shared" si="25"/>
        <v>14.198948597585424</v>
      </c>
      <c r="Y51" s="292">
        <f>SUM(P51:X51)</f>
        <v>131.46083089480658</v>
      </c>
      <c r="Z51" s="246">
        <f>SUM(O51,Y51)</f>
        <v>131.46083089480658</v>
      </c>
      <c r="AA51" s="16">
        <f>SUM(AA$21,AA$26,AA$31,AA$36,AA$41)*AA52</f>
        <v>182.75787183299354</v>
      </c>
      <c r="AB51" s="16">
        <f>SUM(AB$21,AB$26,AB$31,AB$36,AB$41)*AB52</f>
        <v>218.20383427637108</v>
      </c>
      <c r="AC51" s="16">
        <f>SUM(AC$21,AC$26,AC$31,AC$36,AC$41)*AC52</f>
        <v>262.17774784990058</v>
      </c>
      <c r="AD51" s="16">
        <f>SUM(AD$21,AD$26,AD$31,AD$36,AD$41)*AD52</f>
        <v>284.66491359353051</v>
      </c>
      <c r="AF51" s="327"/>
      <c r="AG51" s="322">
        <f t="shared" si="10"/>
        <v>0</v>
      </c>
      <c r="AK51" s="311"/>
    </row>
    <row r="52" spans="1:37" x14ac:dyDescent="0.3">
      <c r="A52" s="338" t="s">
        <v>519</v>
      </c>
      <c r="E52" s="3" t="s">
        <v>317</v>
      </c>
      <c r="I52" s="361">
        <v>4.3847993783837341E-3</v>
      </c>
      <c r="L52" s="16"/>
      <c r="M52" s="16"/>
      <c r="N52" s="15"/>
      <c r="O52" s="350">
        <f>O51/SUM(O$26,O$31,O$36,O$41,O$21)</f>
        <v>0</v>
      </c>
      <c r="P52" s="17">
        <f t="shared" ref="P52:X52" si="26">$I52</f>
        <v>4.3847993783837341E-3</v>
      </c>
      <c r="Q52" s="17">
        <f t="shared" si="26"/>
        <v>4.3847993783837341E-3</v>
      </c>
      <c r="R52" s="17">
        <f t="shared" si="26"/>
        <v>4.3847993783837341E-3</v>
      </c>
      <c r="S52" s="17">
        <f t="shared" si="26"/>
        <v>4.3847993783837341E-3</v>
      </c>
      <c r="T52" s="17">
        <f t="shared" si="26"/>
        <v>4.3847993783837341E-3</v>
      </c>
      <c r="U52" s="17">
        <f t="shared" si="26"/>
        <v>4.3847993783837341E-3</v>
      </c>
      <c r="V52" s="17">
        <f t="shared" si="26"/>
        <v>4.3847993783837341E-3</v>
      </c>
      <c r="W52" s="17">
        <f t="shared" si="26"/>
        <v>4.3847993783837341E-3</v>
      </c>
      <c r="X52" s="17">
        <f t="shared" si="26"/>
        <v>4.3847993783837341E-3</v>
      </c>
      <c r="Y52" s="480">
        <f>IFERROR(Y51/SUM(Y$21,Y$26,Y$31,Y$36,Y$41),)</f>
        <v>4.3847993783837341E-3</v>
      </c>
      <c r="Z52" s="350">
        <f>IFERROR(Z51/SUM(Z$21,Z$26,Z$31,Z$36,Z$41),)</f>
        <v>3.3976173641231677E-3</v>
      </c>
      <c r="AA52" s="137">
        <f>$I52</f>
        <v>4.3847993783837341E-3</v>
      </c>
      <c r="AB52" s="137">
        <f>$I52</f>
        <v>4.3847993783837341E-3</v>
      </c>
      <c r="AC52" s="137">
        <f>$I52</f>
        <v>4.3847993783837341E-3</v>
      </c>
      <c r="AD52" s="137">
        <f>$I52</f>
        <v>4.3847993783837341E-3</v>
      </c>
      <c r="AF52" s="327"/>
      <c r="AG52" s="322">
        <f t="shared" si="10"/>
        <v>0</v>
      </c>
      <c r="AK52" s="311"/>
    </row>
    <row r="53" spans="1:37" x14ac:dyDescent="0.3">
      <c r="A53" s="338" t="s">
        <v>519</v>
      </c>
      <c r="D53" s="3" t="s">
        <v>310</v>
      </c>
      <c r="L53" s="16"/>
      <c r="M53" s="16"/>
      <c r="N53" s="15"/>
      <c r="O53" s="246">
        <v>0</v>
      </c>
      <c r="P53" s="16">
        <f t="shared" ref="P53:X53" si="27">SUM(P$21,P$26,P$31,P$36,P$41)*P54</f>
        <v>0</v>
      </c>
      <c r="Q53" s="16">
        <f t="shared" si="27"/>
        <v>0</v>
      </c>
      <c r="R53" s="16">
        <f t="shared" si="27"/>
        <v>0</v>
      </c>
      <c r="S53" s="16">
        <f t="shared" si="27"/>
        <v>0</v>
      </c>
      <c r="T53" s="16">
        <f t="shared" si="27"/>
        <v>0</v>
      </c>
      <c r="U53" s="16">
        <f t="shared" si="27"/>
        <v>0</v>
      </c>
      <c r="V53" s="16">
        <f t="shared" si="27"/>
        <v>0</v>
      </c>
      <c r="W53" s="16">
        <f t="shared" si="27"/>
        <v>0</v>
      </c>
      <c r="X53" s="16">
        <f t="shared" si="27"/>
        <v>0</v>
      </c>
      <c r="Y53" s="292">
        <f>SUM(P53:X53)</f>
        <v>0</v>
      </c>
      <c r="Z53" s="246">
        <f>SUM(O53,Y53)</f>
        <v>0</v>
      </c>
      <c r="AA53" s="16">
        <f>SUM(AA$21,AA$26,AA$31,AA$36,AA$41)*AA54</f>
        <v>0</v>
      </c>
      <c r="AB53" s="16">
        <f>SUM(AB$21,AB$26,AB$31,AB$36,AB$41)*AB54</f>
        <v>0</v>
      </c>
      <c r="AC53" s="16">
        <f>SUM(AC$21,AC$26,AC$31,AC$36,AC$41)*AC54</f>
        <v>0</v>
      </c>
      <c r="AD53" s="16">
        <f>SUM(AD$21,AD$26,AD$31,AD$36,AD$41)*AD54</f>
        <v>0</v>
      </c>
      <c r="AF53" s="327"/>
      <c r="AG53" s="322">
        <f t="shared" si="10"/>
        <v>0</v>
      </c>
      <c r="AK53" s="311"/>
    </row>
    <row r="54" spans="1:37" x14ac:dyDescent="0.3">
      <c r="A54" s="338" t="s">
        <v>519</v>
      </c>
      <c r="E54" s="3" t="s">
        <v>317</v>
      </c>
      <c r="I54" s="361">
        <v>0</v>
      </c>
      <c r="L54" s="16"/>
      <c r="M54" s="16"/>
      <c r="N54" s="15"/>
      <c r="O54" s="350">
        <v>0</v>
      </c>
      <c r="P54" s="17">
        <f t="shared" ref="P54:X54" si="28">$I54</f>
        <v>0</v>
      </c>
      <c r="Q54" s="17">
        <f t="shared" si="28"/>
        <v>0</v>
      </c>
      <c r="R54" s="17">
        <f t="shared" si="28"/>
        <v>0</v>
      </c>
      <c r="S54" s="17">
        <f t="shared" si="28"/>
        <v>0</v>
      </c>
      <c r="T54" s="17">
        <f t="shared" si="28"/>
        <v>0</v>
      </c>
      <c r="U54" s="17">
        <f t="shared" si="28"/>
        <v>0</v>
      </c>
      <c r="V54" s="17">
        <f t="shared" si="28"/>
        <v>0</v>
      </c>
      <c r="W54" s="17">
        <f t="shared" si="28"/>
        <v>0</v>
      </c>
      <c r="X54" s="17">
        <f t="shared" si="28"/>
        <v>0</v>
      </c>
      <c r="Y54" s="480">
        <f>IFERROR(Y53/SUM(Y$21,Y$26,Y$31,Y$36,Y$41),)</f>
        <v>0</v>
      </c>
      <c r="Z54" s="350">
        <f>IFERROR(Z53/SUM(Z$21,Z$26,Z$31,Z$36,Z$41),)</f>
        <v>0</v>
      </c>
      <c r="AA54" s="137">
        <f>$I54</f>
        <v>0</v>
      </c>
      <c r="AB54" s="137">
        <f>$I54</f>
        <v>0</v>
      </c>
      <c r="AC54" s="137">
        <f>$I54</f>
        <v>0</v>
      </c>
      <c r="AD54" s="137">
        <f>$I54</f>
        <v>0</v>
      </c>
      <c r="AF54" s="327"/>
      <c r="AG54" s="322">
        <f t="shared" si="10"/>
        <v>0</v>
      </c>
      <c r="AK54" s="311"/>
    </row>
    <row r="55" spans="1:37" x14ac:dyDescent="0.3">
      <c r="A55" s="338" t="s">
        <v>519</v>
      </c>
      <c r="D55" s="3" t="s">
        <v>311</v>
      </c>
      <c r="L55" s="16"/>
      <c r="M55" s="16"/>
      <c r="N55" s="15"/>
      <c r="O55" s="246">
        <v>0</v>
      </c>
      <c r="P55" s="16">
        <f t="shared" ref="P55:X55" si="29">P56*P57</f>
        <v>0</v>
      </c>
      <c r="Q55" s="16">
        <f t="shared" si="29"/>
        <v>0</v>
      </c>
      <c r="R55" s="16">
        <f t="shared" si="29"/>
        <v>0</v>
      </c>
      <c r="S55" s="16">
        <f t="shared" si="29"/>
        <v>0</v>
      </c>
      <c r="T55" s="16">
        <f t="shared" si="29"/>
        <v>0</v>
      </c>
      <c r="U55" s="16">
        <f t="shared" si="29"/>
        <v>0</v>
      </c>
      <c r="V55" s="16">
        <f t="shared" si="29"/>
        <v>0</v>
      </c>
      <c r="W55" s="16">
        <f t="shared" si="29"/>
        <v>0</v>
      </c>
      <c r="X55" s="16">
        <f t="shared" si="29"/>
        <v>0</v>
      </c>
      <c r="Y55" s="292">
        <f>SUM(P55:X55)</f>
        <v>0</v>
      </c>
      <c r="Z55" s="246">
        <f>SUM(O55,Y55)</f>
        <v>0</v>
      </c>
      <c r="AA55" s="16">
        <f>AA56*AA57</f>
        <v>0</v>
      </c>
      <c r="AB55" s="16">
        <f>AB56*AB57</f>
        <v>0</v>
      </c>
      <c r="AC55" s="16">
        <f>AC56*AC57</f>
        <v>0</v>
      </c>
      <c r="AD55" s="16">
        <f>AD56*AD57</f>
        <v>0</v>
      </c>
      <c r="AF55" s="327"/>
      <c r="AG55" s="322">
        <f t="shared" si="10"/>
        <v>0</v>
      </c>
      <c r="AK55" s="311"/>
    </row>
    <row r="56" spans="1:37" x14ac:dyDescent="0.3">
      <c r="A56" s="338" t="s">
        <v>519</v>
      </c>
      <c r="E56" s="3" t="s">
        <v>318</v>
      </c>
      <c r="L56" s="16"/>
      <c r="M56" s="16"/>
      <c r="N56" s="15"/>
      <c r="O56" s="246">
        <f t="shared" ref="O56:X56" si="30">SUM(O23,O28,O33,O38,O43)</f>
        <v>139</v>
      </c>
      <c r="P56" s="16">
        <f t="shared" si="30"/>
        <v>60</v>
      </c>
      <c r="Q56" s="16">
        <f t="shared" si="30"/>
        <v>63</v>
      </c>
      <c r="R56" s="16">
        <f t="shared" si="30"/>
        <v>60</v>
      </c>
      <c r="S56" s="16">
        <f t="shared" si="30"/>
        <v>63</v>
      </c>
      <c r="T56" s="16">
        <f t="shared" si="30"/>
        <v>65</v>
      </c>
      <c r="U56" s="16">
        <f t="shared" si="30"/>
        <v>60</v>
      </c>
      <c r="V56" s="16">
        <f t="shared" si="30"/>
        <v>50</v>
      </c>
      <c r="W56" s="16">
        <f t="shared" si="30"/>
        <v>65</v>
      </c>
      <c r="X56" s="16">
        <f t="shared" si="30"/>
        <v>60</v>
      </c>
      <c r="Y56" s="292">
        <f>SUM(P56:X56)</f>
        <v>546</v>
      </c>
      <c r="Z56" s="246">
        <f>SUM(O56,Y56)</f>
        <v>685</v>
      </c>
      <c r="AA56" s="16">
        <f>SUM(AA23,AA28,AA33,AA38,AA43)</f>
        <v>767</v>
      </c>
      <c r="AB56" s="16">
        <f>SUM(AB23,AB28,AB33,AB38,AB43)</f>
        <v>901</v>
      </c>
      <c r="AC56" s="16">
        <f>SUM(AC23,AC28,AC33,AC38,AC43)</f>
        <v>1028</v>
      </c>
      <c r="AD56" s="16">
        <f>SUM(AD23,AD28,AD33,AD38,AD43)</f>
        <v>1102</v>
      </c>
      <c r="AF56" s="327"/>
      <c r="AG56" s="322">
        <f t="shared" si="10"/>
        <v>0</v>
      </c>
      <c r="AK56" s="311"/>
    </row>
    <row r="57" spans="1:37" x14ac:dyDescent="0.3">
      <c r="A57" s="338" t="s">
        <v>519</v>
      </c>
      <c r="E57" s="3" t="s">
        <v>319</v>
      </c>
      <c r="I57" s="365">
        <v>0</v>
      </c>
      <c r="L57" s="16"/>
      <c r="M57" s="16"/>
      <c r="N57" s="15"/>
      <c r="O57" s="246">
        <v>0</v>
      </c>
      <c r="P57" s="16">
        <f t="shared" ref="P57:X57" si="31">$I57</f>
        <v>0</v>
      </c>
      <c r="Q57" s="16">
        <f t="shared" si="31"/>
        <v>0</v>
      </c>
      <c r="R57" s="16">
        <f t="shared" si="31"/>
        <v>0</v>
      </c>
      <c r="S57" s="16">
        <f t="shared" si="31"/>
        <v>0</v>
      </c>
      <c r="T57" s="16">
        <f t="shared" si="31"/>
        <v>0</v>
      </c>
      <c r="U57" s="16">
        <f t="shared" si="31"/>
        <v>0</v>
      </c>
      <c r="V57" s="16">
        <f t="shared" si="31"/>
        <v>0</v>
      </c>
      <c r="W57" s="16">
        <f t="shared" si="31"/>
        <v>0</v>
      </c>
      <c r="X57" s="15">
        <f t="shared" si="31"/>
        <v>0</v>
      </c>
      <c r="Y57" s="16">
        <f>Y55/Y56</f>
        <v>0</v>
      </c>
      <c r="Z57" s="246">
        <f>Z55/Z56</f>
        <v>0</v>
      </c>
      <c r="AA57" s="16">
        <f>$I57*(1+'Key Assumption'!AB$25)</f>
        <v>0</v>
      </c>
      <c r="AB57" s="16">
        <f>AA57*(1+'Key Assumption'!AC$25)</f>
        <v>0</v>
      </c>
      <c r="AC57" s="16">
        <f>AB57*(1+'Key Assumption'!AD$25)</f>
        <v>0</v>
      </c>
      <c r="AD57" s="16">
        <f>AC57*(1+'Key Assumption'!AE$25)</f>
        <v>0</v>
      </c>
      <c r="AF57" s="327"/>
      <c r="AG57" s="322">
        <f t="shared" si="10"/>
        <v>0</v>
      </c>
      <c r="AK57" s="311"/>
    </row>
    <row r="58" spans="1:37" x14ac:dyDescent="0.3">
      <c r="A58" s="338" t="s">
        <v>519</v>
      </c>
      <c r="D58" s="3" t="s">
        <v>343</v>
      </c>
      <c r="L58" s="16"/>
      <c r="M58" s="16"/>
      <c r="N58" s="15"/>
      <c r="O58" s="246">
        <v>0</v>
      </c>
      <c r="P58" s="16">
        <v>-89.166666666666671</v>
      </c>
      <c r="Q58" s="16">
        <v>-89.166666666666671</v>
      </c>
      <c r="R58" s="16">
        <v>-89.166666666666671</v>
      </c>
      <c r="S58" s="16">
        <v>-89.166666666666671</v>
      </c>
      <c r="T58" s="16">
        <v>-89.166666666666671</v>
      </c>
      <c r="U58" s="16">
        <v>-89.166666666666671</v>
      </c>
      <c r="V58" s="16">
        <v>-89.166666666666671</v>
      </c>
      <c r="W58" s="16">
        <v>-89.166666666666671</v>
      </c>
      <c r="X58" s="16">
        <v>-89.166666666666671</v>
      </c>
      <c r="Y58" s="292">
        <f>SUM(P58:X58)</f>
        <v>-802.49999999999989</v>
      </c>
      <c r="Z58" s="246">
        <f>SUM(O58,Y58)</f>
        <v>-802.49999999999989</v>
      </c>
      <c r="AA58" s="119"/>
      <c r="AB58" s="119"/>
      <c r="AC58" s="119"/>
      <c r="AD58" s="119"/>
      <c r="AF58" s="327"/>
      <c r="AG58" s="322">
        <f t="shared" si="10"/>
        <v>0</v>
      </c>
      <c r="AK58" s="311"/>
    </row>
    <row r="59" spans="1:37" x14ac:dyDescent="0.3">
      <c r="A59" s="338" t="s">
        <v>519</v>
      </c>
      <c r="B59" s="92"/>
      <c r="C59" s="92"/>
      <c r="D59" s="92" t="s">
        <v>105</v>
      </c>
      <c r="E59" s="92"/>
      <c r="F59" s="92"/>
      <c r="G59" s="92"/>
      <c r="H59" s="92"/>
      <c r="I59" s="92"/>
      <c r="J59" s="92"/>
      <c r="K59" s="92"/>
      <c r="L59" s="130"/>
      <c r="M59" s="130"/>
      <c r="N59" s="131"/>
      <c r="O59" s="330">
        <f>-641.128455645598</f>
        <v>-641.12845564559802</v>
      </c>
      <c r="P59" s="130">
        <v>0</v>
      </c>
      <c r="Q59" s="130">
        <v>0</v>
      </c>
      <c r="R59" s="130">
        <v>0</v>
      </c>
      <c r="S59" s="130">
        <v>0</v>
      </c>
      <c r="T59" s="130">
        <v>0</v>
      </c>
      <c r="U59" s="130">
        <v>0</v>
      </c>
      <c r="V59" s="130">
        <v>0</v>
      </c>
      <c r="W59" s="130">
        <v>0</v>
      </c>
      <c r="X59" s="130">
        <v>0</v>
      </c>
      <c r="Y59" s="296">
        <f>SUM(P59:X59)</f>
        <v>0</v>
      </c>
      <c r="Z59" s="330">
        <f>SUM(O59,Y59)</f>
        <v>-641.12845564559802</v>
      </c>
      <c r="AA59" s="281"/>
      <c r="AB59" s="281"/>
      <c r="AC59" s="281"/>
      <c r="AD59" s="281"/>
      <c r="AF59" s="327"/>
      <c r="AG59" s="322">
        <f t="shared" si="10"/>
        <v>0</v>
      </c>
      <c r="AK59" s="311"/>
    </row>
    <row r="60" spans="1:37" x14ac:dyDescent="0.3">
      <c r="AK60" s="311"/>
    </row>
    <row r="61" spans="1:37" x14ac:dyDescent="0.3">
      <c r="B61" s="5" t="s">
        <v>469</v>
      </c>
      <c r="C61" s="4"/>
      <c r="D61" s="4"/>
      <c r="E61" s="4"/>
      <c r="F61" s="4"/>
      <c r="G61" s="4"/>
      <c r="H61" s="4"/>
      <c r="I61" s="4"/>
      <c r="J61" s="4"/>
      <c r="K61" s="4"/>
      <c r="L61" s="4"/>
      <c r="M61" s="4"/>
      <c r="N61" s="4"/>
      <c r="O61" s="390"/>
      <c r="P61" s="4"/>
      <c r="Q61" s="4"/>
      <c r="R61" s="4"/>
      <c r="S61" s="4"/>
      <c r="T61" s="4"/>
      <c r="U61" s="4"/>
      <c r="V61" s="4"/>
      <c r="W61" s="4"/>
      <c r="X61" s="4"/>
      <c r="Y61" s="4"/>
      <c r="Z61" s="4"/>
      <c r="AA61" s="4"/>
      <c r="AB61" s="4"/>
      <c r="AC61" s="4"/>
      <c r="AD61" s="4"/>
      <c r="AF61" s="327"/>
      <c r="AK61" s="311"/>
    </row>
    <row r="62" spans="1:37" x14ac:dyDescent="0.3">
      <c r="O62" s="16"/>
      <c r="AF62" s="327"/>
      <c r="AK62" s="311"/>
    </row>
    <row r="63" spans="1:37" x14ac:dyDescent="0.3">
      <c r="B63" s="8"/>
      <c r="C63" s="8"/>
      <c r="D63" s="8"/>
      <c r="E63" s="8"/>
      <c r="F63" s="8"/>
      <c r="G63" s="8"/>
      <c r="H63" s="8"/>
      <c r="I63" s="8"/>
      <c r="J63" s="8"/>
      <c r="K63" s="8"/>
      <c r="L63" s="9" t="s">
        <v>182</v>
      </c>
      <c r="M63" s="9" t="s">
        <v>183</v>
      </c>
      <c r="N63" s="10" t="s">
        <v>184</v>
      </c>
      <c r="O63" s="244" t="s">
        <v>4</v>
      </c>
      <c r="P63" s="9" t="s">
        <v>215</v>
      </c>
      <c r="Q63" s="9" t="s">
        <v>216</v>
      </c>
      <c r="R63" s="9" t="s">
        <v>217</v>
      </c>
      <c r="S63" s="9" t="s">
        <v>218</v>
      </c>
      <c r="T63" s="9" t="s">
        <v>219</v>
      </c>
      <c r="U63" s="9" t="s">
        <v>220</v>
      </c>
      <c r="V63" s="9" t="s">
        <v>221</v>
      </c>
      <c r="W63" s="9" t="s">
        <v>222</v>
      </c>
      <c r="X63" s="10" t="s">
        <v>223</v>
      </c>
      <c r="Y63" s="9" t="s">
        <v>294</v>
      </c>
      <c r="Z63" s="244" t="s">
        <v>197</v>
      </c>
      <c r="AA63" s="9" t="s">
        <v>198</v>
      </c>
      <c r="AB63" s="9" t="s">
        <v>199</v>
      </c>
      <c r="AC63" s="9" t="s">
        <v>200</v>
      </c>
      <c r="AD63" s="9" t="s">
        <v>201</v>
      </c>
      <c r="AF63" s="327"/>
      <c r="AK63" s="311"/>
    </row>
    <row r="64" spans="1:37" x14ac:dyDescent="0.3">
      <c r="B64" s="11" t="s">
        <v>29</v>
      </c>
      <c r="L64" s="16"/>
      <c r="M64" s="16"/>
      <c r="N64" s="15"/>
      <c r="O64" s="326">
        <f>SUM(O65:O69)</f>
        <v>9742.0559979999998</v>
      </c>
      <c r="P64" s="13">
        <f t="shared" ref="P64:Y64" si="32">SUM(P65:P68)</f>
        <v>3258.4463476152014</v>
      </c>
      <c r="Q64" s="13">
        <f t="shared" si="32"/>
        <v>3475.7695883903293</v>
      </c>
      <c r="R64" s="13">
        <f t="shared" si="32"/>
        <v>3244.6827075452243</v>
      </c>
      <c r="S64" s="13">
        <f t="shared" si="32"/>
        <v>3441.0292792331447</v>
      </c>
      <c r="T64" s="13">
        <f t="shared" si="32"/>
        <v>3334.1070736652914</v>
      </c>
      <c r="U64" s="13">
        <f t="shared" si="32"/>
        <v>3314.9861436513988</v>
      </c>
      <c r="V64" s="13">
        <f t="shared" si="32"/>
        <v>2898.6429727561117</v>
      </c>
      <c r="W64" s="13">
        <f t="shared" si="32"/>
        <v>3253.808046522528</v>
      </c>
      <c r="X64" s="13">
        <f t="shared" si="32"/>
        <v>3187.1596216968924</v>
      </c>
      <c r="Y64" s="396">
        <f t="shared" si="32"/>
        <v>29408.631781076117</v>
      </c>
      <c r="Z64" s="326">
        <f>O64+Y64</f>
        <v>39150.687779076121</v>
      </c>
      <c r="AA64" s="13">
        <f>SUM(AA65:AA68)</f>
        <v>40705.753118066583</v>
      </c>
      <c r="AB64" s="13">
        <f>SUM(AB65:AB68)</f>
        <v>47951.495844376252</v>
      </c>
      <c r="AC64" s="13">
        <f>SUM(AC65:AC68)</f>
        <v>57069.177525694642</v>
      </c>
      <c r="AD64" s="13">
        <f>SUM(AD65:AD68)</f>
        <v>61738.188579978814</v>
      </c>
      <c r="AF64" s="327"/>
      <c r="AK64" s="311"/>
    </row>
    <row r="65" spans="2:39" x14ac:dyDescent="0.3">
      <c r="C65" s="3" t="s">
        <v>137</v>
      </c>
      <c r="L65" s="16"/>
      <c r="M65" s="16"/>
      <c r="N65" s="15"/>
      <c r="O65" s="246">
        <f>O72</f>
        <v>7904.9964250042731</v>
      </c>
      <c r="P65" s="16">
        <f t="shared" ref="P65:X65" si="33">P72</f>
        <v>2615.3192965801918</v>
      </c>
      <c r="Q65" s="16">
        <f t="shared" si="33"/>
        <v>2832.6425373553197</v>
      </c>
      <c r="R65" s="16">
        <f t="shared" si="33"/>
        <v>2601.5556565102147</v>
      </c>
      <c r="S65" s="16">
        <f t="shared" si="33"/>
        <v>2798.8085189250787</v>
      </c>
      <c r="T65" s="16">
        <f t="shared" si="33"/>
        <v>2691.8863133572254</v>
      </c>
      <c r="U65" s="16">
        <f t="shared" si="33"/>
        <v>2672.7653833433328</v>
      </c>
      <c r="V65" s="16">
        <f t="shared" si="33"/>
        <v>2258.8169265527486</v>
      </c>
      <c r="W65" s="16">
        <f t="shared" si="33"/>
        <v>2613.9820003191649</v>
      </c>
      <c r="X65" s="16">
        <f t="shared" si="33"/>
        <v>2547.3335754935292</v>
      </c>
      <c r="Y65" s="292">
        <f>SUM(P65:X65)</f>
        <v>23633.110208436803</v>
      </c>
      <c r="Z65" s="246">
        <f>Z72</f>
        <v>31538.106633441079</v>
      </c>
      <c r="AA65" s="16">
        <f>AA72</f>
        <v>33523.248506949705</v>
      </c>
      <c r="AB65" s="16">
        <f>AB72</f>
        <v>40108.457288382022</v>
      </c>
      <c r="AC65" s="16">
        <f>AC72</f>
        <v>48594.52915328816</v>
      </c>
      <c r="AD65" s="16">
        <f>AD72</f>
        <v>52735.536295541446</v>
      </c>
      <c r="AF65" s="327"/>
      <c r="AK65" s="311"/>
    </row>
    <row r="66" spans="2:39" x14ac:dyDescent="0.3">
      <c r="C66" s="3" t="s">
        <v>138</v>
      </c>
      <c r="L66" s="16"/>
      <c r="M66" s="16"/>
      <c r="N66" s="15"/>
      <c r="O66" s="246">
        <f t="shared" ref="O66:AD66" si="34">O101</f>
        <v>1008.1285182749231</v>
      </c>
      <c r="P66" s="16">
        <f t="shared" si="34"/>
        <v>314.76385021557377</v>
      </c>
      <c r="Q66" s="16">
        <f t="shared" si="34"/>
        <v>314.76385021557377</v>
      </c>
      <c r="R66" s="16">
        <f t="shared" si="34"/>
        <v>314.76385021557377</v>
      </c>
      <c r="S66" s="16">
        <f t="shared" si="34"/>
        <v>314.76385021557377</v>
      </c>
      <c r="T66" s="16">
        <f t="shared" si="34"/>
        <v>314.76385021557377</v>
      </c>
      <c r="U66" s="16">
        <f t="shared" si="34"/>
        <v>314.76385021557377</v>
      </c>
      <c r="V66" s="16">
        <f t="shared" si="34"/>
        <v>314.76385021557377</v>
      </c>
      <c r="W66" s="16">
        <f t="shared" si="34"/>
        <v>314.76385021557377</v>
      </c>
      <c r="X66" s="16">
        <f t="shared" si="34"/>
        <v>314.76385021557377</v>
      </c>
      <c r="Y66" s="292">
        <f t="shared" si="34"/>
        <v>2832.8746519401634</v>
      </c>
      <c r="Z66" s="246">
        <f t="shared" si="34"/>
        <v>3841.0031702150864</v>
      </c>
      <c r="AA66" s="16">
        <f t="shared" si="34"/>
        <v>4071.463360427992</v>
      </c>
      <c r="AB66" s="16">
        <f t="shared" si="34"/>
        <v>4295.3938452515313</v>
      </c>
      <c r="AC66" s="16">
        <f t="shared" si="34"/>
        <v>4510.1635375141086</v>
      </c>
      <c r="AD66" s="16">
        <f t="shared" si="34"/>
        <v>4722.1412237772711</v>
      </c>
      <c r="AF66" s="327"/>
      <c r="AK66" s="311"/>
    </row>
    <row r="67" spans="2:39" x14ac:dyDescent="0.3">
      <c r="C67" s="3" t="s">
        <v>347</v>
      </c>
      <c r="L67" s="16"/>
      <c r="M67" s="16"/>
      <c r="N67" s="15"/>
      <c r="O67" s="246">
        <f>O115</f>
        <v>405.22412227627495</v>
      </c>
      <c r="P67" s="16">
        <f t="shared" ref="P67:X67" si="35">P115</f>
        <v>174.91688731349998</v>
      </c>
      <c r="Q67" s="16">
        <f t="shared" si="35"/>
        <v>174.91688731349998</v>
      </c>
      <c r="R67" s="16">
        <f t="shared" si="35"/>
        <v>174.91688731349998</v>
      </c>
      <c r="S67" s="16">
        <f t="shared" si="35"/>
        <v>174.91688731349998</v>
      </c>
      <c r="T67" s="16">
        <f t="shared" si="35"/>
        <v>174.91688731349998</v>
      </c>
      <c r="U67" s="16">
        <f t="shared" si="35"/>
        <v>174.91688731349998</v>
      </c>
      <c r="V67" s="16">
        <f t="shared" si="35"/>
        <v>174.91688731349998</v>
      </c>
      <c r="W67" s="16">
        <f t="shared" si="35"/>
        <v>174.91688731349998</v>
      </c>
      <c r="X67" s="16">
        <f t="shared" si="35"/>
        <v>174.91688731349998</v>
      </c>
      <c r="Y67" s="292">
        <f>SUM(P67:X67)</f>
        <v>1574.2519858214998</v>
      </c>
      <c r="Z67" s="246">
        <f>Z115</f>
        <v>1979.4761080977748</v>
      </c>
      <c r="AA67" s="16">
        <f>AA115</f>
        <v>2245.2489506347974</v>
      </c>
      <c r="AB67" s="16">
        <f>AB115</f>
        <v>2677.0715046802889</v>
      </c>
      <c r="AC67" s="16">
        <f>AC115</f>
        <v>3103.2874349837052</v>
      </c>
      <c r="AD67" s="16">
        <f>AD115</f>
        <v>3386.5559950509528</v>
      </c>
      <c r="AF67" s="327"/>
      <c r="AK67" s="311"/>
    </row>
    <row r="68" spans="2:39" x14ac:dyDescent="0.3">
      <c r="C68" s="3" t="s">
        <v>348</v>
      </c>
      <c r="L68" s="16"/>
      <c r="M68" s="16"/>
      <c r="N68" s="15"/>
      <c r="O68" s="246">
        <f>O139</f>
        <v>423.70693244452838</v>
      </c>
      <c r="P68" s="16">
        <f t="shared" ref="P68:X68" si="36">P139</f>
        <v>153.44631350593582</v>
      </c>
      <c r="Q68" s="16">
        <f t="shared" si="36"/>
        <v>153.44631350593582</v>
      </c>
      <c r="R68" s="16">
        <f t="shared" si="36"/>
        <v>153.44631350593582</v>
      </c>
      <c r="S68" s="16">
        <f t="shared" si="36"/>
        <v>152.54002277899235</v>
      </c>
      <c r="T68" s="16">
        <f t="shared" si="36"/>
        <v>152.54002277899235</v>
      </c>
      <c r="U68" s="16">
        <f t="shared" si="36"/>
        <v>152.54002277899235</v>
      </c>
      <c r="V68" s="16">
        <f t="shared" si="36"/>
        <v>150.14530867428959</v>
      </c>
      <c r="W68" s="16">
        <f t="shared" si="36"/>
        <v>150.14530867428959</v>
      </c>
      <c r="X68" s="16">
        <f t="shared" si="36"/>
        <v>150.14530867428959</v>
      </c>
      <c r="Y68" s="292">
        <f>SUM(P68:X68)</f>
        <v>1368.3949348776532</v>
      </c>
      <c r="Z68" s="246">
        <f>Z139</f>
        <v>1792.1018673221815</v>
      </c>
      <c r="AA68" s="16">
        <f>AA139</f>
        <v>865.79230005408465</v>
      </c>
      <c r="AB68" s="16">
        <f>AB139</f>
        <v>870.57320606241285</v>
      </c>
      <c r="AC68" s="16">
        <f>AC139</f>
        <v>861.19739990866435</v>
      </c>
      <c r="AD68" s="16">
        <f>AD139</f>
        <v>893.95506560913441</v>
      </c>
      <c r="AF68" s="327"/>
      <c r="AK68" s="311"/>
    </row>
    <row r="69" spans="2:39" x14ac:dyDescent="0.3">
      <c r="B69" s="92"/>
      <c r="C69" s="92"/>
      <c r="D69" s="92"/>
      <c r="E69" s="92"/>
      <c r="F69" s="92"/>
      <c r="G69" s="92"/>
      <c r="H69" s="92"/>
      <c r="I69" s="92"/>
      <c r="J69" s="92"/>
      <c r="K69" s="92"/>
      <c r="L69" s="130"/>
      <c r="M69" s="130"/>
      <c r="N69" s="131"/>
      <c r="O69" s="330"/>
      <c r="P69" s="130"/>
      <c r="Q69" s="130"/>
      <c r="R69" s="130"/>
      <c r="S69" s="130"/>
      <c r="T69" s="130"/>
      <c r="U69" s="130"/>
      <c r="V69" s="130"/>
      <c r="W69" s="130"/>
      <c r="X69" s="130"/>
      <c r="Y69" s="296"/>
      <c r="Z69" s="330"/>
      <c r="AA69" s="130"/>
      <c r="AB69" s="130"/>
      <c r="AC69" s="130"/>
      <c r="AD69" s="130"/>
      <c r="AF69" s="327"/>
      <c r="AK69" s="311"/>
    </row>
    <row r="70" spans="2:39" x14ac:dyDescent="0.3">
      <c r="N70" s="16"/>
      <c r="O70" s="16"/>
      <c r="P70" s="16"/>
      <c r="Q70" s="16"/>
      <c r="AF70" s="327"/>
      <c r="AK70" s="311"/>
    </row>
    <row r="71" spans="2:39" x14ac:dyDescent="0.3">
      <c r="B71" s="8"/>
      <c r="C71" s="8"/>
      <c r="D71" s="8"/>
      <c r="E71" s="8"/>
      <c r="F71" s="8"/>
      <c r="G71" s="8"/>
      <c r="H71" s="8"/>
      <c r="I71" s="8"/>
      <c r="J71" s="8"/>
      <c r="K71" s="8"/>
      <c r="L71" s="9" t="s">
        <v>182</v>
      </c>
      <c r="M71" s="9" t="s">
        <v>183</v>
      </c>
      <c r="N71" s="10" t="s">
        <v>184</v>
      </c>
      <c r="O71" s="244" t="s">
        <v>4</v>
      </c>
      <c r="P71" s="9" t="s">
        <v>215</v>
      </c>
      <c r="Q71" s="9" t="s">
        <v>216</v>
      </c>
      <c r="R71" s="9" t="s">
        <v>217</v>
      </c>
      <c r="S71" s="9" t="s">
        <v>218</v>
      </c>
      <c r="T71" s="9" t="s">
        <v>219</v>
      </c>
      <c r="U71" s="9" t="s">
        <v>220</v>
      </c>
      <c r="V71" s="9" t="s">
        <v>221</v>
      </c>
      <c r="W71" s="9" t="s">
        <v>222</v>
      </c>
      <c r="X71" s="10" t="s">
        <v>223</v>
      </c>
      <c r="Y71" s="9" t="s">
        <v>294</v>
      </c>
      <c r="Z71" s="244" t="s">
        <v>197</v>
      </c>
      <c r="AA71" s="9" t="s">
        <v>198</v>
      </c>
      <c r="AB71" s="9" t="s">
        <v>199</v>
      </c>
      <c r="AC71" s="9" t="s">
        <v>200</v>
      </c>
      <c r="AD71" s="9" t="s">
        <v>201</v>
      </c>
      <c r="AF71" s="327"/>
      <c r="AK71" s="311"/>
    </row>
    <row r="72" spans="2:39" s="11" customFormat="1" x14ac:dyDescent="0.3">
      <c r="B72" s="11" t="s">
        <v>137</v>
      </c>
      <c r="L72" s="13"/>
      <c r="M72" s="13"/>
      <c r="N72" s="124"/>
      <c r="O72" s="326">
        <f>O73+O77+O81+O85+O89+O93</f>
        <v>7904.9964250042731</v>
      </c>
      <c r="P72" s="13">
        <f t="shared" ref="P72:AD72" si="37">P73+P77+P81+P85+P89+P93</f>
        <v>2615.3192965801918</v>
      </c>
      <c r="Q72" s="13">
        <f t="shared" si="37"/>
        <v>2832.6425373553197</v>
      </c>
      <c r="R72" s="13">
        <f t="shared" si="37"/>
        <v>2601.5556565102147</v>
      </c>
      <c r="S72" s="13">
        <f t="shared" si="37"/>
        <v>2798.8085189250787</v>
      </c>
      <c r="T72" s="13">
        <f t="shared" si="37"/>
        <v>2691.8863133572254</v>
      </c>
      <c r="U72" s="13">
        <f t="shared" si="37"/>
        <v>2672.7653833433328</v>
      </c>
      <c r="V72" s="13">
        <f t="shared" si="37"/>
        <v>2258.8169265527486</v>
      </c>
      <c r="W72" s="13">
        <f t="shared" si="37"/>
        <v>2613.9820003191649</v>
      </c>
      <c r="X72" s="13">
        <f t="shared" si="37"/>
        <v>2547.3335754935292</v>
      </c>
      <c r="Y72" s="396">
        <f t="shared" si="37"/>
        <v>23633.110208436807</v>
      </c>
      <c r="Z72" s="326">
        <f t="shared" si="37"/>
        <v>31538.106633441079</v>
      </c>
      <c r="AA72" s="13">
        <f t="shared" si="37"/>
        <v>33523.248506949705</v>
      </c>
      <c r="AB72" s="13">
        <f t="shared" si="37"/>
        <v>40108.457288382022</v>
      </c>
      <c r="AC72" s="13">
        <f t="shared" si="37"/>
        <v>48594.52915328816</v>
      </c>
      <c r="AD72" s="13">
        <f t="shared" si="37"/>
        <v>52735.536295541446</v>
      </c>
      <c r="AE72" s="160"/>
      <c r="AF72" s="327"/>
      <c r="AG72" s="322"/>
      <c r="AK72" s="311"/>
      <c r="AL72" s="3"/>
      <c r="AM72" s="3"/>
    </row>
    <row r="73" spans="2:39" x14ac:dyDescent="0.3">
      <c r="C73" s="3" t="s">
        <v>146</v>
      </c>
      <c r="L73" s="16"/>
      <c r="M73" s="16"/>
      <c r="N73" s="15"/>
      <c r="O73" s="306"/>
      <c r="P73" s="119"/>
      <c r="Q73" s="119"/>
      <c r="R73" s="119"/>
      <c r="S73" s="119"/>
      <c r="T73" s="119"/>
      <c r="U73" s="119"/>
      <c r="V73" s="119"/>
      <c r="W73" s="119"/>
      <c r="X73" s="119"/>
      <c r="Y73" s="293"/>
      <c r="Z73" s="306"/>
      <c r="AA73" s="119"/>
      <c r="AB73" s="119"/>
      <c r="AC73" s="119"/>
      <c r="AD73" s="119"/>
      <c r="AF73" s="327"/>
      <c r="AK73" s="311"/>
    </row>
    <row r="74" spans="2:39" x14ac:dyDescent="0.3">
      <c r="D74" s="3" t="s">
        <v>358</v>
      </c>
      <c r="L74" s="16"/>
      <c r="M74" s="16"/>
      <c r="N74" s="15"/>
      <c r="O74" s="306"/>
      <c r="P74" s="119"/>
      <c r="Q74" s="119"/>
      <c r="R74" s="119"/>
      <c r="S74" s="119"/>
      <c r="T74" s="119"/>
      <c r="U74" s="119"/>
      <c r="V74" s="119"/>
      <c r="W74" s="119"/>
      <c r="X74" s="119"/>
      <c r="Y74" s="293"/>
      <c r="Z74" s="306"/>
      <c r="AA74" s="119"/>
      <c r="AB74" s="119"/>
      <c r="AC74" s="119"/>
      <c r="AD74" s="119"/>
      <c r="AF74" s="327"/>
      <c r="AK74" s="311"/>
    </row>
    <row r="75" spans="2:39" x14ac:dyDescent="0.3">
      <c r="D75" s="3" t="s">
        <v>523</v>
      </c>
      <c r="L75" s="16"/>
      <c r="M75" s="16"/>
      <c r="N75" s="15"/>
      <c r="O75" s="306"/>
      <c r="P75" s="119"/>
      <c r="Q75" s="119"/>
      <c r="R75" s="119"/>
      <c r="S75" s="119"/>
      <c r="T75" s="119"/>
      <c r="U75" s="119"/>
      <c r="V75" s="119"/>
      <c r="W75" s="119"/>
      <c r="X75" s="119"/>
      <c r="Y75" s="293"/>
      <c r="Z75" s="306"/>
      <c r="AA75" s="119"/>
      <c r="AB75" s="119"/>
      <c r="AC75" s="119"/>
      <c r="AD75" s="119"/>
      <c r="AF75" s="327"/>
      <c r="AK75" s="311"/>
    </row>
    <row r="76" spans="2:39" x14ac:dyDescent="0.3">
      <c r="D76" s="3" t="s">
        <v>333</v>
      </c>
      <c r="L76" s="16"/>
      <c r="M76" s="16"/>
      <c r="N76" s="15"/>
      <c r="O76" s="306"/>
      <c r="P76" s="119"/>
      <c r="Q76" s="119"/>
      <c r="R76" s="119"/>
      <c r="S76" s="119"/>
      <c r="T76" s="119"/>
      <c r="U76" s="119"/>
      <c r="V76" s="119"/>
      <c r="W76" s="119"/>
      <c r="X76" s="119"/>
      <c r="Y76" s="293"/>
      <c r="Z76" s="306"/>
      <c r="AA76" s="119"/>
      <c r="AB76" s="119"/>
      <c r="AC76" s="119"/>
      <c r="AD76" s="119"/>
      <c r="AF76" s="327"/>
      <c r="AK76" s="311"/>
    </row>
    <row r="77" spans="2:39" x14ac:dyDescent="0.3">
      <c r="C77" s="3" t="s">
        <v>147</v>
      </c>
      <c r="L77" s="16"/>
      <c r="M77" s="16"/>
      <c r="N77" s="15"/>
      <c r="O77" s="246">
        <f>O78*O79*O80/10^6</f>
        <v>1506.730391726659</v>
      </c>
      <c r="P77" s="16">
        <f t="shared" ref="P77:X77" si="38">P78*P79*P80/10^6</f>
        <v>1220.1800793971834</v>
      </c>
      <c r="Q77" s="16">
        <f t="shared" si="38"/>
        <v>1410.8332168029935</v>
      </c>
      <c r="R77" s="16">
        <f t="shared" si="38"/>
        <v>1296.4413343595077</v>
      </c>
      <c r="S77" s="16">
        <f t="shared" si="38"/>
        <v>1476.8310326102498</v>
      </c>
      <c r="T77" s="16">
        <f t="shared" si="38"/>
        <v>1363.2286454863845</v>
      </c>
      <c r="U77" s="16">
        <f t="shared" si="38"/>
        <v>1401.0961078610062</v>
      </c>
      <c r="V77" s="16">
        <f t="shared" si="38"/>
        <v>854.95818020203683</v>
      </c>
      <c r="W77" s="16">
        <f t="shared" si="38"/>
        <v>1486.8837916557161</v>
      </c>
      <c r="X77" s="16">
        <f t="shared" si="38"/>
        <v>1189.5070333245731</v>
      </c>
      <c r="Y77" s="292">
        <f>SUM(P77:X77)</f>
        <v>11699.959421699652</v>
      </c>
      <c r="Z77" s="246">
        <f>Y77+O77</f>
        <v>13206.68981342631</v>
      </c>
      <c r="AA77" s="16">
        <f>AA78*AA79*AA80/10^6</f>
        <v>14950.912379886289</v>
      </c>
      <c r="AB77" s="16">
        <f>AB78*AB79*AB80/10^6</f>
        <v>17512.273048545874</v>
      </c>
      <c r="AC77" s="16">
        <f>AC78*AC79*AC80/10^6</f>
        <v>19228.350942172394</v>
      </c>
      <c r="AD77" s="16">
        <f>AD78*AD79*AD80/10^6</f>
        <v>20792.20874840712</v>
      </c>
      <c r="AF77" s="327"/>
      <c r="AK77" s="311"/>
    </row>
    <row r="78" spans="2:39" x14ac:dyDescent="0.3">
      <c r="D78" s="3" t="s">
        <v>358</v>
      </c>
      <c r="L78" s="16"/>
      <c r="M78" s="16"/>
      <c r="N78" s="15"/>
      <c r="O78" s="246">
        <f t="shared" ref="O78:X78" si="39">O28</f>
        <v>39</v>
      </c>
      <c r="P78" s="16">
        <f t="shared" si="39"/>
        <v>32</v>
      </c>
      <c r="Q78" s="16">
        <f t="shared" si="39"/>
        <v>37</v>
      </c>
      <c r="R78" s="16">
        <f t="shared" si="39"/>
        <v>34</v>
      </c>
      <c r="S78" s="16">
        <f t="shared" si="39"/>
        <v>39</v>
      </c>
      <c r="T78" s="16">
        <f t="shared" si="39"/>
        <v>36</v>
      </c>
      <c r="U78" s="16">
        <f t="shared" si="39"/>
        <v>37</v>
      </c>
      <c r="V78" s="16">
        <f t="shared" si="39"/>
        <v>23</v>
      </c>
      <c r="W78" s="16">
        <f t="shared" si="39"/>
        <v>40</v>
      </c>
      <c r="X78" s="16">
        <f t="shared" si="39"/>
        <v>32</v>
      </c>
      <c r="Y78" s="292">
        <f>SUM(P78:X78)</f>
        <v>310</v>
      </c>
      <c r="Z78" s="246">
        <f>Y78+O78</f>
        <v>349</v>
      </c>
      <c r="AA78" s="16">
        <f>AA28</f>
        <v>404</v>
      </c>
      <c r="AB78" s="16">
        <f>AB28</f>
        <v>464</v>
      </c>
      <c r="AC78" s="16">
        <f>AC28</f>
        <v>496</v>
      </c>
      <c r="AD78" s="16">
        <f>AD28</f>
        <v>530</v>
      </c>
      <c r="AF78" s="327"/>
      <c r="AK78" s="311"/>
    </row>
    <row r="79" spans="2:39" x14ac:dyDescent="0.3">
      <c r="D79" s="3" t="s">
        <v>523</v>
      </c>
      <c r="L79" s="16"/>
      <c r="M79" s="16"/>
      <c r="N79" s="15"/>
      <c r="O79" s="246">
        <f>P79</f>
        <v>209330.90923480646</v>
      </c>
      <c r="P79" s="16">
        <f>'Key Assumption'!R459</f>
        <v>209330.90923480646</v>
      </c>
      <c r="Q79" s="16">
        <f>'Key Assumption'!S459</f>
        <v>209330.90923480646</v>
      </c>
      <c r="R79" s="16">
        <f>'Key Assumption'!T459</f>
        <v>209330.90923480646</v>
      </c>
      <c r="S79" s="16">
        <f>'Key Assumption'!U459</f>
        <v>209330.90923480646</v>
      </c>
      <c r="T79" s="16">
        <f>'Key Assumption'!V459</f>
        <v>209330.90923480646</v>
      </c>
      <c r="U79" s="16">
        <f>'Key Assumption'!W459</f>
        <v>209330.90923480646</v>
      </c>
      <c r="V79" s="16">
        <f>'Key Assumption'!X459</f>
        <v>209330.90923480646</v>
      </c>
      <c r="W79" s="16">
        <f>'Key Assumption'!Y459</f>
        <v>209330.90923480646</v>
      </c>
      <c r="X79" s="16">
        <f>'Key Assumption'!Z459</f>
        <v>209330.90923480646</v>
      </c>
      <c r="Y79" s="292">
        <f>SUMPRODUCT(P79:X79,P78:X78)/Y78</f>
        <v>209330.90923480649</v>
      </c>
      <c r="Z79" s="246">
        <f>(Y79*Y78+O79*O78)/Z78</f>
        <v>209330.90923480646</v>
      </c>
      <c r="AA79" s="16">
        <f>'Key Assumption'!AB459</f>
        <v>212680.20378256336</v>
      </c>
      <c r="AB79" s="16">
        <f>'Key Assumption'!AC459</f>
        <v>214807.00582038899</v>
      </c>
      <c r="AC79" s="16">
        <f>'Key Assumption'!AD459</f>
        <v>218029.11090769482</v>
      </c>
      <c r="AD79" s="16">
        <f>'Key Assumption'!AE459</f>
        <v>219555.31468404867</v>
      </c>
      <c r="AF79" s="327"/>
      <c r="AK79" s="311"/>
    </row>
    <row r="80" spans="2:39" x14ac:dyDescent="0.3">
      <c r="D80" s="3" t="s">
        <v>333</v>
      </c>
      <c r="L80" s="16"/>
      <c r="M80" s="16"/>
      <c r="N80" s="15"/>
      <c r="O80" s="246">
        <f>$O$30</f>
        <v>184.55999999999997</v>
      </c>
      <c r="P80" s="16">
        <f t="shared" ref="P80:AD80" si="40">P$217</f>
        <v>182.15478841870822</v>
      </c>
      <c r="Q80" s="16">
        <f t="shared" si="40"/>
        <v>182.15478841870822</v>
      </c>
      <c r="R80" s="16">
        <f t="shared" si="40"/>
        <v>182.15478841870822</v>
      </c>
      <c r="S80" s="16">
        <f t="shared" si="40"/>
        <v>180.89761570827488</v>
      </c>
      <c r="T80" s="16">
        <f t="shared" si="40"/>
        <v>180.89761570827488</v>
      </c>
      <c r="U80" s="16">
        <f t="shared" si="40"/>
        <v>180.89761570827488</v>
      </c>
      <c r="V80" s="16">
        <f t="shared" si="40"/>
        <v>177.57575757575759</v>
      </c>
      <c r="W80" s="16">
        <f t="shared" si="40"/>
        <v>177.57575757575759</v>
      </c>
      <c r="X80" s="16">
        <f t="shared" si="40"/>
        <v>177.57575757575759</v>
      </c>
      <c r="Y80" s="292">
        <f>Y77/(Y79*Y78)*10^6</f>
        <v>180.29733269726034</v>
      </c>
      <c r="Z80" s="246">
        <f>Z77/(Z79*Z78)*10^6</f>
        <v>180.77367660788167</v>
      </c>
      <c r="AA80" s="16">
        <f t="shared" si="40"/>
        <v>174.00401261106336</v>
      </c>
      <c r="AB80" s="16">
        <f t="shared" si="40"/>
        <v>175.7017543859649</v>
      </c>
      <c r="AC80" s="16">
        <f t="shared" si="40"/>
        <v>177.80578206078576</v>
      </c>
      <c r="AD80" s="16">
        <f t="shared" si="40"/>
        <v>178.68199911543564</v>
      </c>
      <c r="AF80" s="327"/>
      <c r="AK80" s="311"/>
    </row>
    <row r="81" spans="3:37" x14ac:dyDescent="0.3">
      <c r="C81" s="3" t="s">
        <v>148</v>
      </c>
      <c r="L81" s="16"/>
      <c r="M81" s="16"/>
      <c r="N81" s="15"/>
      <c r="O81" s="246">
        <f>O82*O83*O84/10^6</f>
        <v>4523.7016646361417</v>
      </c>
      <c r="P81" s="16">
        <f t="shared" ref="P81:X81" si="41">P82*P83*P84/10^6</f>
        <v>1205.4820020026646</v>
      </c>
      <c r="Q81" s="16">
        <f t="shared" si="41"/>
        <v>1071.5395573357018</v>
      </c>
      <c r="R81" s="16">
        <f t="shared" si="41"/>
        <v>1116.187038891356</v>
      </c>
      <c r="S81" s="16">
        <f t="shared" si="41"/>
        <v>975.46546363139964</v>
      </c>
      <c r="T81" s="16">
        <f t="shared" si="41"/>
        <v>1285.8408384232084</v>
      </c>
      <c r="U81" s="16">
        <f t="shared" si="41"/>
        <v>931.12612437542691</v>
      </c>
      <c r="V81" s="16">
        <f t="shared" si="41"/>
        <v>1088.1281834423476</v>
      </c>
      <c r="W81" s="16">
        <f t="shared" si="41"/>
        <v>1088.1281834423476</v>
      </c>
      <c r="X81" s="16">
        <f t="shared" si="41"/>
        <v>1175.1784381177354</v>
      </c>
      <c r="Y81" s="292">
        <f>SUM(P81:X81)</f>
        <v>9937.075829662188</v>
      </c>
      <c r="Z81" s="246">
        <f>Y81+O81</f>
        <v>14460.777494298331</v>
      </c>
      <c r="AA81" s="16">
        <f>AA82*AA83*AA84/10^6</f>
        <v>15209.553402443105</v>
      </c>
      <c r="AB81" s="16">
        <f>AB82*AB83*AB84/10^6</f>
        <v>18737.576135549687</v>
      </c>
      <c r="AC81" s="16">
        <f>AC82*AC83*AC84/10^6</f>
        <v>22923.174266080048</v>
      </c>
      <c r="AD81" s="16">
        <f>AD82*AD83*AD84/10^6</f>
        <v>24942.937650395368</v>
      </c>
      <c r="AF81" s="327"/>
      <c r="AK81" s="311"/>
    </row>
    <row r="82" spans="3:37" x14ac:dyDescent="0.3">
      <c r="D82" s="3" t="s">
        <v>358</v>
      </c>
      <c r="L82" s="16"/>
      <c r="M82" s="16"/>
      <c r="N82" s="15"/>
      <c r="O82" s="246">
        <f t="shared" ref="O82:X82" si="42">O33</f>
        <v>100</v>
      </c>
      <c r="P82" s="16">
        <f t="shared" si="42"/>
        <v>27</v>
      </c>
      <c r="Q82" s="16">
        <f t="shared" si="42"/>
        <v>24</v>
      </c>
      <c r="R82" s="16">
        <f t="shared" si="42"/>
        <v>25</v>
      </c>
      <c r="S82" s="16">
        <f t="shared" si="42"/>
        <v>22</v>
      </c>
      <c r="T82" s="16">
        <f t="shared" si="42"/>
        <v>29</v>
      </c>
      <c r="U82" s="16">
        <f t="shared" si="42"/>
        <v>21</v>
      </c>
      <c r="V82" s="16">
        <f t="shared" si="42"/>
        <v>25</v>
      </c>
      <c r="W82" s="16">
        <f t="shared" si="42"/>
        <v>25</v>
      </c>
      <c r="X82" s="16">
        <f t="shared" si="42"/>
        <v>27</v>
      </c>
      <c r="Y82" s="292">
        <f>SUM(P82:X82)</f>
        <v>225</v>
      </c>
      <c r="Z82" s="246">
        <f>Y82+O82</f>
        <v>325</v>
      </c>
      <c r="AA82" s="16">
        <f>AA33</f>
        <v>351</v>
      </c>
      <c r="AB82" s="16">
        <f>AB33</f>
        <v>424</v>
      </c>
      <c r="AC82" s="16">
        <f>AC33</f>
        <v>505</v>
      </c>
      <c r="AD82" s="16">
        <f>AD33</f>
        <v>543</v>
      </c>
      <c r="AF82" s="327"/>
      <c r="AK82" s="311"/>
    </row>
    <row r="83" spans="3:37" x14ac:dyDescent="0.3">
      <c r="D83" s="3" t="s">
        <v>523</v>
      </c>
      <c r="L83" s="16"/>
      <c r="M83" s="16"/>
      <c r="N83" s="15"/>
      <c r="O83" s="246">
        <f>P83</f>
        <v>245107.3723795049</v>
      </c>
      <c r="P83" s="16">
        <f>'Key Assumption'!R460</f>
        <v>245107.3723795049</v>
      </c>
      <c r="Q83" s="16">
        <f>'Key Assumption'!S460</f>
        <v>245107.3723795049</v>
      </c>
      <c r="R83" s="16">
        <f>'Key Assumption'!T460</f>
        <v>245107.3723795049</v>
      </c>
      <c r="S83" s="16">
        <f>'Key Assumption'!U460</f>
        <v>245107.3723795049</v>
      </c>
      <c r="T83" s="16">
        <f>'Key Assumption'!V460</f>
        <v>245107.3723795049</v>
      </c>
      <c r="U83" s="16">
        <f>'Key Assumption'!W460</f>
        <v>245107.3723795049</v>
      </c>
      <c r="V83" s="16">
        <f>'Key Assumption'!X460</f>
        <v>245107.3723795049</v>
      </c>
      <c r="W83" s="16">
        <f>'Key Assumption'!Y460</f>
        <v>245107.3723795049</v>
      </c>
      <c r="X83" s="16">
        <f>'Key Assumption'!Z460</f>
        <v>245107.3723795049</v>
      </c>
      <c r="Y83" s="292">
        <f>SUMPRODUCT(P83:X83,P82:X82)/Y82</f>
        <v>245107.3723795049</v>
      </c>
      <c r="Z83" s="246">
        <f>(Y83*Y82+O83*O82)/Z82</f>
        <v>245107.3723795049</v>
      </c>
      <c r="AA83" s="16">
        <f>'Key Assumption'!AB460</f>
        <v>249029.09033757698</v>
      </c>
      <c r="AB83" s="16">
        <f>'Key Assumption'!AC460</f>
        <v>251519.38124095276</v>
      </c>
      <c r="AC83" s="16">
        <f>'Key Assumption'!AD460</f>
        <v>255292.17195956703</v>
      </c>
      <c r="AD83" s="16">
        <f>'Key Assumption'!AE460</f>
        <v>257079.21716328396</v>
      </c>
      <c r="AF83" s="327"/>
      <c r="AK83" s="311"/>
    </row>
    <row r="84" spans="3:37" x14ac:dyDescent="0.3">
      <c r="D84" s="3" t="s">
        <v>333</v>
      </c>
      <c r="L84" s="16"/>
      <c r="M84" s="16"/>
      <c r="N84" s="15"/>
      <c r="O84" s="246">
        <f>$O$35</f>
        <v>184.55999999999997</v>
      </c>
      <c r="P84" s="16">
        <f t="shared" ref="P84:AD84" si="43">P$217</f>
        <v>182.15478841870822</v>
      </c>
      <c r="Q84" s="16">
        <f t="shared" si="43"/>
        <v>182.15478841870822</v>
      </c>
      <c r="R84" s="16">
        <f t="shared" si="43"/>
        <v>182.15478841870822</v>
      </c>
      <c r="S84" s="16">
        <f t="shared" si="43"/>
        <v>180.89761570827488</v>
      </c>
      <c r="T84" s="16">
        <f t="shared" si="43"/>
        <v>180.89761570827488</v>
      </c>
      <c r="U84" s="16">
        <f t="shared" si="43"/>
        <v>180.89761570827488</v>
      </c>
      <c r="V84" s="16">
        <f t="shared" si="43"/>
        <v>177.57575757575759</v>
      </c>
      <c r="W84" s="16">
        <f t="shared" si="43"/>
        <v>177.57575757575759</v>
      </c>
      <c r="X84" s="16">
        <f t="shared" si="43"/>
        <v>177.57575757575759</v>
      </c>
      <c r="Y84" s="292">
        <f>Y81/(Y83*Y82)*10^6</f>
        <v>180.18544704067088</v>
      </c>
      <c r="Z84" s="246">
        <f>Z81/(Z83*Z82)*10^6</f>
        <v>181.53146333584908</v>
      </c>
      <c r="AA84" s="16">
        <f t="shared" si="43"/>
        <v>174.00401261106336</v>
      </c>
      <c r="AB84" s="16">
        <f t="shared" si="43"/>
        <v>175.7017543859649</v>
      </c>
      <c r="AC84" s="16">
        <f t="shared" si="43"/>
        <v>177.80578206078576</v>
      </c>
      <c r="AD84" s="16">
        <f t="shared" si="43"/>
        <v>178.68199911543564</v>
      </c>
      <c r="AF84" s="327"/>
      <c r="AK84" s="311"/>
    </row>
    <row r="85" spans="3:37" x14ac:dyDescent="0.3">
      <c r="C85" s="3" t="s">
        <v>149</v>
      </c>
      <c r="L85" s="16"/>
      <c r="M85" s="16"/>
      <c r="N85" s="15"/>
      <c r="O85" s="246">
        <v>0</v>
      </c>
      <c r="P85" s="16">
        <f t="shared" ref="P85:X85" si="44">P86*P87*P88/10^6</f>
        <v>150.69261883051507</v>
      </c>
      <c r="Q85" s="16">
        <f t="shared" si="44"/>
        <v>301.38523766103015</v>
      </c>
      <c r="R85" s="16">
        <f t="shared" si="44"/>
        <v>150.69261883051507</v>
      </c>
      <c r="S85" s="16">
        <f t="shared" si="44"/>
        <v>299.30517542712403</v>
      </c>
      <c r="T85" s="16">
        <f t="shared" si="44"/>
        <v>0</v>
      </c>
      <c r="U85" s="16">
        <f t="shared" si="44"/>
        <v>299.30517542712403</v>
      </c>
      <c r="V85" s="16">
        <f t="shared" si="44"/>
        <v>293.80897622513743</v>
      </c>
      <c r="W85" s="16">
        <f t="shared" si="44"/>
        <v>0</v>
      </c>
      <c r="X85" s="16">
        <f t="shared" si="44"/>
        <v>146.90448811256871</v>
      </c>
      <c r="Y85" s="292">
        <f>SUM(P85:X85)</f>
        <v>1642.0942905140146</v>
      </c>
      <c r="Z85" s="246">
        <f>Y85+O85</f>
        <v>1642.0942905140146</v>
      </c>
      <c r="AA85" s="16">
        <f>AA86*AA87*AA88/10^6</f>
        <v>1755.0342873249033</v>
      </c>
      <c r="AB85" s="16">
        <f>AB86*AB87*AB88/10^6</f>
        <v>1939.0362136141773</v>
      </c>
      <c r="AC85" s="16">
        <f>AC86*AC87*AC88/10^6</f>
        <v>4136.5869345307256</v>
      </c>
      <c r="AD85" s="16">
        <f>AD86*AD87*AD88/10^6</f>
        <v>4496.1499130240209</v>
      </c>
      <c r="AF85" s="327"/>
      <c r="AK85" s="311"/>
    </row>
    <row r="86" spans="3:37" x14ac:dyDescent="0.3">
      <c r="D86" s="3" t="s">
        <v>358</v>
      </c>
      <c r="L86" s="16"/>
      <c r="M86" s="16"/>
      <c r="N86" s="15"/>
      <c r="O86" s="246">
        <v>0</v>
      </c>
      <c r="P86" s="16">
        <f t="shared" ref="P86:X86" si="45">P38</f>
        <v>1</v>
      </c>
      <c r="Q86" s="16">
        <f t="shared" si="45"/>
        <v>2</v>
      </c>
      <c r="R86" s="16">
        <f t="shared" si="45"/>
        <v>1</v>
      </c>
      <c r="S86" s="16">
        <f t="shared" si="45"/>
        <v>2</v>
      </c>
      <c r="T86" s="16">
        <f t="shared" si="45"/>
        <v>0</v>
      </c>
      <c r="U86" s="16">
        <f t="shared" si="45"/>
        <v>2</v>
      </c>
      <c r="V86" s="16">
        <f t="shared" si="45"/>
        <v>2</v>
      </c>
      <c r="W86" s="16">
        <f t="shared" si="45"/>
        <v>0</v>
      </c>
      <c r="X86" s="16">
        <f t="shared" si="45"/>
        <v>1</v>
      </c>
      <c r="Y86" s="292">
        <f>SUM(P86:X86)</f>
        <v>11</v>
      </c>
      <c r="Z86" s="246">
        <f>Y86+O86</f>
        <v>11</v>
      </c>
      <c r="AA86" s="16">
        <f>AA38</f>
        <v>12</v>
      </c>
      <c r="AB86" s="16">
        <f>AB38</f>
        <v>13</v>
      </c>
      <c r="AC86" s="16">
        <f>AC38</f>
        <v>27</v>
      </c>
      <c r="AD86" s="16">
        <f>AD38</f>
        <v>29</v>
      </c>
      <c r="AF86" s="327"/>
      <c r="AK86" s="311"/>
    </row>
    <row r="87" spans="3:37" x14ac:dyDescent="0.3">
      <c r="D87" s="3" t="s">
        <v>523</v>
      </c>
      <c r="L87" s="16"/>
      <c r="M87" s="16"/>
      <c r="N87" s="15"/>
      <c r="O87" s="246">
        <v>0</v>
      </c>
      <c r="P87" s="16">
        <f>'Key Assumption'!R461</f>
        <v>827277.83408101823</v>
      </c>
      <c r="Q87" s="16">
        <f>'Key Assumption'!S461</f>
        <v>827277.83408101823</v>
      </c>
      <c r="R87" s="16">
        <f>'Key Assumption'!T461</f>
        <v>827277.83408101823</v>
      </c>
      <c r="S87" s="16">
        <f>'Key Assumption'!U461</f>
        <v>827277.83408101823</v>
      </c>
      <c r="T87" s="16">
        <f>'Key Assumption'!V461</f>
        <v>827277.83408101823</v>
      </c>
      <c r="U87" s="16">
        <f>'Key Assumption'!W461</f>
        <v>827277.83408101823</v>
      </c>
      <c r="V87" s="16">
        <f>'Key Assumption'!X461</f>
        <v>827277.83408101823</v>
      </c>
      <c r="W87" s="16">
        <f>'Key Assumption'!Y461</f>
        <v>827277.83408101823</v>
      </c>
      <c r="X87" s="16">
        <f>'Key Assumption'!Z461</f>
        <v>827277.83408101823</v>
      </c>
      <c r="Y87" s="292">
        <f>SUMPRODUCT(P87:X87,P86:X86)/Y86</f>
        <v>827277.83408101823</v>
      </c>
      <c r="Z87" s="246">
        <f>(Y87*Y86+O87*O86)/Z86</f>
        <v>827277.83408101823</v>
      </c>
      <c r="AA87" s="16">
        <f>'Key Assumption'!AB461</f>
        <v>840514.27942631452</v>
      </c>
      <c r="AB87" s="16">
        <f>'Key Assumption'!AC461</f>
        <v>848919.42222057772</v>
      </c>
      <c r="AC87" s="16">
        <f>'Key Assumption'!AD461</f>
        <v>861653.21355388628</v>
      </c>
      <c r="AD87" s="16">
        <f>'Key Assumption'!AE461</f>
        <v>867684.78604876343</v>
      </c>
      <c r="AF87" s="327"/>
      <c r="AK87" s="311"/>
    </row>
    <row r="88" spans="3:37" x14ac:dyDescent="0.3">
      <c r="D88" s="3" t="s">
        <v>333</v>
      </c>
      <c r="L88" s="16"/>
      <c r="M88" s="16"/>
      <c r="N88" s="15"/>
      <c r="O88" s="246">
        <v>0</v>
      </c>
      <c r="P88" s="16">
        <f t="shared" ref="P88:AD88" si="46">P$217</f>
        <v>182.15478841870822</v>
      </c>
      <c r="Q88" s="16">
        <f t="shared" si="46"/>
        <v>182.15478841870822</v>
      </c>
      <c r="R88" s="16">
        <f t="shared" si="46"/>
        <v>182.15478841870822</v>
      </c>
      <c r="S88" s="16">
        <f t="shared" si="46"/>
        <v>180.89761570827488</v>
      </c>
      <c r="T88" s="16">
        <f t="shared" si="46"/>
        <v>180.89761570827488</v>
      </c>
      <c r="U88" s="16">
        <f t="shared" si="46"/>
        <v>180.89761570827488</v>
      </c>
      <c r="V88" s="16">
        <f t="shared" si="46"/>
        <v>177.57575757575759</v>
      </c>
      <c r="W88" s="16">
        <f t="shared" si="46"/>
        <v>177.57575757575759</v>
      </c>
      <c r="X88" s="16">
        <f t="shared" si="46"/>
        <v>177.57575757575759</v>
      </c>
      <c r="Y88" s="292">
        <f>Y85/(Y87*Y86)*10^6</f>
        <v>180.4488081122914</v>
      </c>
      <c r="Z88" s="246">
        <f>Z85/(Z87*Z86)*10^6</f>
        <v>180.4488081122914</v>
      </c>
      <c r="AA88" s="16">
        <f t="shared" si="46"/>
        <v>174.00401261106336</v>
      </c>
      <c r="AB88" s="16">
        <f t="shared" si="46"/>
        <v>175.7017543859649</v>
      </c>
      <c r="AC88" s="16">
        <f t="shared" si="46"/>
        <v>177.80578206078576</v>
      </c>
      <c r="AD88" s="16">
        <f t="shared" si="46"/>
        <v>178.68199911543564</v>
      </c>
      <c r="AF88" s="327"/>
      <c r="AK88" s="311"/>
    </row>
    <row r="89" spans="3:37" x14ac:dyDescent="0.3">
      <c r="C89" s="3" t="s">
        <v>135</v>
      </c>
      <c r="L89" s="16"/>
      <c r="M89" s="16"/>
      <c r="N89" s="15"/>
      <c r="O89" s="306"/>
      <c r="P89" s="119"/>
      <c r="Q89" s="119"/>
      <c r="R89" s="119"/>
      <c r="S89" s="119"/>
      <c r="T89" s="119"/>
      <c r="U89" s="119"/>
      <c r="V89" s="119"/>
      <c r="W89" s="119"/>
      <c r="X89" s="119"/>
      <c r="Y89" s="293"/>
      <c r="Z89" s="246">
        <f>Y89+O89</f>
        <v>0</v>
      </c>
      <c r="AA89" s="119"/>
      <c r="AB89" s="119"/>
      <c r="AC89" s="119"/>
      <c r="AD89" s="119"/>
      <c r="AF89" s="327"/>
      <c r="AK89" s="311"/>
    </row>
    <row r="90" spans="3:37" x14ac:dyDescent="0.3">
      <c r="D90" s="3" t="s">
        <v>358</v>
      </c>
      <c r="L90" s="16"/>
      <c r="M90" s="16"/>
      <c r="N90" s="15"/>
      <c r="O90" s="306"/>
      <c r="P90" s="119"/>
      <c r="Q90" s="119"/>
      <c r="R90" s="119"/>
      <c r="S90" s="119"/>
      <c r="T90" s="119"/>
      <c r="U90" s="119"/>
      <c r="V90" s="119"/>
      <c r="W90" s="119"/>
      <c r="X90" s="119"/>
      <c r="Y90" s="293"/>
      <c r="Z90" s="246">
        <f>Y90+O90</f>
        <v>0</v>
      </c>
      <c r="AA90" s="119"/>
      <c r="AB90" s="119"/>
      <c r="AC90" s="119"/>
      <c r="AD90" s="119"/>
      <c r="AF90" s="327"/>
      <c r="AK90" s="311"/>
    </row>
    <row r="91" spans="3:37" x14ac:dyDescent="0.3">
      <c r="D91" s="3" t="s">
        <v>523</v>
      </c>
      <c r="L91" s="16"/>
      <c r="M91" s="16"/>
      <c r="N91" s="15"/>
      <c r="O91" s="306"/>
      <c r="P91" s="119"/>
      <c r="Q91" s="119"/>
      <c r="R91" s="119"/>
      <c r="S91" s="119"/>
      <c r="T91" s="119"/>
      <c r="U91" s="119"/>
      <c r="V91" s="119"/>
      <c r="W91" s="119"/>
      <c r="X91" s="119"/>
      <c r="Y91" s="293"/>
      <c r="Z91" s="246">
        <f>IFERROR((Y91*Y90+O91*O90)/Z90,)</f>
        <v>0</v>
      </c>
      <c r="AA91" s="119"/>
      <c r="AB91" s="119"/>
      <c r="AC91" s="119"/>
      <c r="AD91" s="119"/>
      <c r="AF91" s="327"/>
      <c r="AK91" s="311"/>
    </row>
    <row r="92" spans="3:37" x14ac:dyDescent="0.3">
      <c r="D92" s="3" t="s">
        <v>333</v>
      </c>
      <c r="L92" s="16"/>
      <c r="M92" s="16"/>
      <c r="N92" s="15"/>
      <c r="O92" s="306"/>
      <c r="P92" s="119"/>
      <c r="Q92" s="119"/>
      <c r="R92" s="119"/>
      <c r="S92" s="119"/>
      <c r="T92" s="119"/>
      <c r="U92" s="119"/>
      <c r="V92" s="119"/>
      <c r="W92" s="119"/>
      <c r="X92" s="119"/>
      <c r="Y92" s="293"/>
      <c r="Z92" s="246">
        <f>IFERROR(Z89/(Z91*Z90)*10^6,)</f>
        <v>0</v>
      </c>
      <c r="AA92" s="119"/>
      <c r="AB92" s="119"/>
      <c r="AC92" s="119"/>
      <c r="AD92" s="119"/>
      <c r="AF92" s="327"/>
      <c r="AK92" s="311"/>
    </row>
    <row r="93" spans="3:37" x14ac:dyDescent="0.3">
      <c r="C93" s="3" t="s">
        <v>136</v>
      </c>
      <c r="L93" s="16"/>
      <c r="M93" s="16"/>
      <c r="N93" s="15"/>
      <c r="O93" s="246">
        <f>O95+O97+O94</f>
        <v>1874.5643686414726</v>
      </c>
      <c r="P93" s="16">
        <f t="shared" ref="P93:Z93" si="47">P95+P97+P94</f>
        <v>38.964596349828909</v>
      </c>
      <c r="Q93" s="16">
        <f t="shared" si="47"/>
        <v>48.884525555593953</v>
      </c>
      <c r="R93" s="16">
        <f t="shared" si="47"/>
        <v>38.234664428835913</v>
      </c>
      <c r="S93" s="16">
        <f t="shared" si="47"/>
        <v>47.20684725630521</v>
      </c>
      <c r="T93" s="16">
        <f t="shared" si="47"/>
        <v>42.816829447632117</v>
      </c>
      <c r="U93" s="16">
        <f t="shared" si="47"/>
        <v>41.237975679775602</v>
      </c>
      <c r="V93" s="16">
        <f t="shared" si="47"/>
        <v>21.921586683226934</v>
      </c>
      <c r="W93" s="16">
        <f t="shared" si="47"/>
        <v>38.970025221101039</v>
      </c>
      <c r="X93" s="16">
        <f t="shared" si="47"/>
        <v>35.743615938651885</v>
      </c>
      <c r="Y93" s="292">
        <f t="shared" si="47"/>
        <v>353.98066656095159</v>
      </c>
      <c r="Z93" s="246">
        <f t="shared" si="47"/>
        <v>2228.5450352024245</v>
      </c>
      <c r="AA93" s="16">
        <f>AA95+AA97</f>
        <v>1607.7484372954093</v>
      </c>
      <c r="AB93" s="16">
        <f>AB95+AB97</f>
        <v>1919.5718906722821</v>
      </c>
      <c r="AC93" s="16">
        <f>AC95+AC97</f>
        <v>2306.417010504992</v>
      </c>
      <c r="AD93" s="16">
        <f>AD95+AD97</f>
        <v>2504.2399837149319</v>
      </c>
      <c r="AF93" s="327"/>
      <c r="AK93" s="311"/>
    </row>
    <row r="94" spans="3:37" x14ac:dyDescent="0.3">
      <c r="D94" s="3" t="s">
        <v>524</v>
      </c>
      <c r="L94" s="16"/>
      <c r="M94" s="16"/>
      <c r="N94" s="15"/>
      <c r="O94" s="246">
        <v>259.93951574182802</v>
      </c>
      <c r="P94" s="16">
        <f t="shared" ref="P94:X94" si="48">P58</f>
        <v>-89.166666666666671</v>
      </c>
      <c r="Q94" s="16">
        <f t="shared" si="48"/>
        <v>-89.166666666666671</v>
      </c>
      <c r="R94" s="16">
        <f t="shared" si="48"/>
        <v>-89.166666666666671</v>
      </c>
      <c r="S94" s="16">
        <f t="shared" si="48"/>
        <v>-89.166666666666671</v>
      </c>
      <c r="T94" s="16">
        <f t="shared" si="48"/>
        <v>-89.166666666666671</v>
      </c>
      <c r="U94" s="16">
        <f t="shared" si="48"/>
        <v>-89.166666666666671</v>
      </c>
      <c r="V94" s="16">
        <f t="shared" si="48"/>
        <v>-89.166666666666671</v>
      </c>
      <c r="W94" s="16">
        <f t="shared" si="48"/>
        <v>-89.166666666666671</v>
      </c>
      <c r="X94" s="16">
        <f t="shared" si="48"/>
        <v>-89.166666666666671</v>
      </c>
      <c r="Y94" s="292">
        <f>SUM(P94:X94)</f>
        <v>-802.49999999999989</v>
      </c>
      <c r="Z94" s="246">
        <f>Y94+O94</f>
        <v>-542.56048425817187</v>
      </c>
      <c r="AA94" s="16"/>
      <c r="AB94" s="16"/>
      <c r="AC94" s="16"/>
      <c r="AD94" s="16"/>
      <c r="AF94" s="327"/>
      <c r="AK94" s="311"/>
    </row>
    <row r="95" spans="3:37" x14ac:dyDescent="0.3">
      <c r="D95" s="3" t="s">
        <v>365</v>
      </c>
      <c r="L95" s="16"/>
      <c r="M95" s="16"/>
      <c r="N95" s="15"/>
      <c r="O95" s="246">
        <f>O49*O96</f>
        <v>1614.6248528996446</v>
      </c>
      <c r="P95" s="16">
        <f t="shared" ref="P95:X95" si="49">P96*P49</f>
        <v>115.81834651618429</v>
      </c>
      <c r="Q95" s="16">
        <f t="shared" si="49"/>
        <v>124.78500907082876</v>
      </c>
      <c r="R95" s="16">
        <f t="shared" si="49"/>
        <v>115.15855821652548</v>
      </c>
      <c r="S95" s="16">
        <f t="shared" si="49"/>
        <v>123.26854913720047</v>
      </c>
      <c r="T95" s="16">
        <f t="shared" si="49"/>
        <v>119.30039498178826</v>
      </c>
      <c r="U95" s="16">
        <f t="shared" si="49"/>
        <v>117.87326292612087</v>
      </c>
      <c r="V95" s="16">
        <f t="shared" si="49"/>
        <v>100.4131038550621</v>
      </c>
      <c r="W95" s="16">
        <f t="shared" si="49"/>
        <v>115.82325369402197</v>
      </c>
      <c r="X95" s="16">
        <f t="shared" si="49"/>
        <v>112.90688980686024</v>
      </c>
      <c r="Y95" s="292">
        <f>SUM(P95:X95)</f>
        <v>1045.3473682045924</v>
      </c>
      <c r="Z95" s="246">
        <f>Y95+O95</f>
        <v>2659.9722211042372</v>
      </c>
      <c r="AA95" s="16">
        <f>AA96*AA49</f>
        <v>1453.2500596482946</v>
      </c>
      <c r="AB95" s="16">
        <f>AB96*AB49</f>
        <v>1735.1084907981262</v>
      </c>
      <c r="AC95" s="16">
        <f>AC96*AC49</f>
        <v>2084.7792977666927</v>
      </c>
      <c r="AD95" s="16">
        <f>AD96*AD49</f>
        <v>2263.5922519255932</v>
      </c>
      <c r="AF95" s="327"/>
      <c r="AK95" s="311"/>
    </row>
    <row r="96" spans="3:37" x14ac:dyDescent="0.3">
      <c r="E96" s="3" t="s">
        <v>525</v>
      </c>
      <c r="I96" s="380">
        <v>0.84537194539175475</v>
      </c>
      <c r="L96" s="16"/>
      <c r="M96" s="16"/>
      <c r="N96" s="15"/>
      <c r="O96" s="350">
        <f>$I96</f>
        <v>0.84537194539175475</v>
      </c>
      <c r="P96" s="17">
        <f t="shared" ref="P96:X96" si="50">$I96</f>
        <v>0.84537194539175475</v>
      </c>
      <c r="Q96" s="17">
        <f t="shared" si="50"/>
        <v>0.84537194539175475</v>
      </c>
      <c r="R96" s="17">
        <f t="shared" si="50"/>
        <v>0.84537194539175475</v>
      </c>
      <c r="S96" s="17">
        <f t="shared" si="50"/>
        <v>0.84537194539175475</v>
      </c>
      <c r="T96" s="17">
        <f t="shared" si="50"/>
        <v>0.84537194539175475</v>
      </c>
      <c r="U96" s="17">
        <f t="shared" si="50"/>
        <v>0.84537194539175475</v>
      </c>
      <c r="V96" s="17">
        <f t="shared" si="50"/>
        <v>0.84537194539175475</v>
      </c>
      <c r="W96" s="17">
        <f t="shared" si="50"/>
        <v>0.84537194539175475</v>
      </c>
      <c r="X96" s="17">
        <f t="shared" si="50"/>
        <v>0.84537194539175475</v>
      </c>
      <c r="Y96" s="292"/>
      <c r="Z96" s="246"/>
      <c r="AA96" s="17">
        <f>$I96</f>
        <v>0.84537194539175475</v>
      </c>
      <c r="AB96" s="17">
        <f>$I96</f>
        <v>0.84537194539175475</v>
      </c>
      <c r="AC96" s="17">
        <f>$I96</f>
        <v>0.84537194539175475</v>
      </c>
      <c r="AD96" s="17">
        <f>$I96</f>
        <v>0.84537194539175475</v>
      </c>
      <c r="AF96" s="327"/>
      <c r="AK96" s="311"/>
    </row>
    <row r="97" spans="2:37" x14ac:dyDescent="0.3">
      <c r="D97" s="3" t="s">
        <v>367</v>
      </c>
      <c r="L97" s="16"/>
      <c r="M97" s="16"/>
      <c r="N97" s="15"/>
      <c r="O97" s="246">
        <f>O98*O51</f>
        <v>0</v>
      </c>
      <c r="P97" s="16">
        <f t="shared" ref="P97:X97" si="51">P51*P98</f>
        <v>12.312916500311278</v>
      </c>
      <c r="Q97" s="16">
        <f t="shared" si="51"/>
        <v>13.266183151431854</v>
      </c>
      <c r="R97" s="16">
        <f t="shared" si="51"/>
        <v>12.242772878977105</v>
      </c>
      <c r="S97" s="16">
        <f t="shared" si="51"/>
        <v>13.10496478577142</v>
      </c>
      <c r="T97" s="16">
        <f t="shared" si="51"/>
        <v>12.683101132510526</v>
      </c>
      <c r="U97" s="16">
        <f t="shared" si="51"/>
        <v>12.53137942032139</v>
      </c>
      <c r="V97" s="16">
        <f t="shared" si="51"/>
        <v>10.675149494831498</v>
      </c>
      <c r="W97" s="16">
        <f t="shared" si="51"/>
        <v>12.313438193745739</v>
      </c>
      <c r="X97" s="16">
        <f t="shared" si="51"/>
        <v>12.003392798458318</v>
      </c>
      <c r="Y97" s="292">
        <f>SUM(P97:X97)</f>
        <v>111.13329835635913</v>
      </c>
      <c r="Z97" s="246">
        <f>Y97+O97</f>
        <v>111.13329835635913</v>
      </c>
      <c r="AA97" s="16">
        <f>AA51*AA98</f>
        <v>154.49837764711472</v>
      </c>
      <c r="AB97" s="16">
        <f>AB51*AB98</f>
        <v>184.46339987415587</v>
      </c>
      <c r="AC97" s="16">
        <f>AC51*AC98</f>
        <v>221.6377127382994</v>
      </c>
      <c r="AD97" s="16">
        <f>AD51*AD98</f>
        <v>240.64773178933865</v>
      </c>
      <c r="AF97" s="327"/>
      <c r="AK97" s="311"/>
    </row>
    <row r="98" spans="2:37" x14ac:dyDescent="0.3">
      <c r="B98" s="92"/>
      <c r="C98" s="92"/>
      <c r="D98" s="92"/>
      <c r="E98" s="92" t="s">
        <v>526</v>
      </c>
      <c r="F98" s="92"/>
      <c r="G98" s="92"/>
      <c r="H98" s="92"/>
      <c r="I98" s="380">
        <v>0.84537194539175475</v>
      </c>
      <c r="J98" s="92"/>
      <c r="K98" s="92"/>
      <c r="L98" s="130"/>
      <c r="M98" s="130"/>
      <c r="N98" s="131"/>
      <c r="O98" s="443">
        <f>$I98</f>
        <v>0.84537194539175475</v>
      </c>
      <c r="P98" s="279">
        <f t="shared" ref="P98:X98" si="52">$I98</f>
        <v>0.84537194539175475</v>
      </c>
      <c r="Q98" s="279">
        <f t="shared" si="52"/>
        <v>0.84537194539175475</v>
      </c>
      <c r="R98" s="279">
        <f t="shared" si="52"/>
        <v>0.84537194539175475</v>
      </c>
      <c r="S98" s="279">
        <f t="shared" si="52"/>
        <v>0.84537194539175475</v>
      </c>
      <c r="T98" s="279">
        <f t="shared" si="52"/>
        <v>0.84537194539175475</v>
      </c>
      <c r="U98" s="279">
        <f t="shared" si="52"/>
        <v>0.84537194539175475</v>
      </c>
      <c r="V98" s="279">
        <f t="shared" si="52"/>
        <v>0.84537194539175475</v>
      </c>
      <c r="W98" s="279">
        <f t="shared" si="52"/>
        <v>0.84537194539175475</v>
      </c>
      <c r="X98" s="279">
        <f t="shared" si="52"/>
        <v>0.84537194539175475</v>
      </c>
      <c r="Y98" s="296"/>
      <c r="Z98" s="330"/>
      <c r="AA98" s="279">
        <f>$I98</f>
        <v>0.84537194539175475</v>
      </c>
      <c r="AB98" s="279">
        <f>$I98</f>
        <v>0.84537194539175475</v>
      </c>
      <c r="AC98" s="279">
        <f>$I98</f>
        <v>0.84537194539175475</v>
      </c>
      <c r="AD98" s="279">
        <f>$I98</f>
        <v>0.84537194539175475</v>
      </c>
      <c r="AF98" s="327"/>
      <c r="AK98" s="311"/>
    </row>
    <row r="99" spans="2:37" x14ac:dyDescent="0.3">
      <c r="D99" s="23"/>
      <c r="L99" s="16"/>
      <c r="M99" s="16"/>
      <c r="N99" s="16"/>
      <c r="O99" s="402"/>
      <c r="P99" s="402"/>
      <c r="Q99" s="402"/>
      <c r="R99" s="402"/>
      <c r="S99" s="402"/>
      <c r="T99" s="402"/>
      <c r="U99" s="402"/>
      <c r="V99" s="402"/>
      <c r="W99" s="402"/>
      <c r="X99" s="402"/>
      <c r="Y99" s="402"/>
      <c r="Z99" s="402"/>
      <c r="AA99" s="402"/>
      <c r="AB99" s="402"/>
      <c r="AC99" s="402"/>
      <c r="AD99" s="402"/>
      <c r="AF99" s="327"/>
      <c r="AK99" s="311"/>
    </row>
    <row r="100" spans="2:37" x14ac:dyDescent="0.3">
      <c r="B100" s="8"/>
      <c r="C100" s="8"/>
      <c r="D100" s="8"/>
      <c r="E100" s="8"/>
      <c r="F100" s="8"/>
      <c r="G100" s="8"/>
      <c r="H100" s="8"/>
      <c r="I100" s="8"/>
      <c r="J100" s="8"/>
      <c r="K100" s="8"/>
      <c r="L100" s="9" t="s">
        <v>425</v>
      </c>
      <c r="M100" s="9" t="s">
        <v>426</v>
      </c>
      <c r="N100" s="10" t="s">
        <v>414</v>
      </c>
      <c r="O100" s="244" t="s">
        <v>4</v>
      </c>
      <c r="P100" s="9" t="s">
        <v>188</v>
      </c>
      <c r="Q100" s="9" t="s">
        <v>189</v>
      </c>
      <c r="R100" s="9" t="s">
        <v>190</v>
      </c>
      <c r="S100" s="9" t="s">
        <v>191</v>
      </c>
      <c r="T100" s="9" t="s">
        <v>192</v>
      </c>
      <c r="U100" s="9" t="s">
        <v>193</v>
      </c>
      <c r="V100" s="9" t="s">
        <v>194</v>
      </c>
      <c r="W100" s="9" t="s">
        <v>195</v>
      </c>
      <c r="X100" s="10" t="s">
        <v>196</v>
      </c>
      <c r="Y100" s="9" t="s">
        <v>5</v>
      </c>
      <c r="Z100" s="244" t="s">
        <v>427</v>
      </c>
      <c r="AA100" s="9" t="s">
        <v>428</v>
      </c>
      <c r="AB100" s="9" t="s">
        <v>429</v>
      </c>
      <c r="AC100" s="9" t="s">
        <v>430</v>
      </c>
      <c r="AD100" s="9" t="s">
        <v>431</v>
      </c>
      <c r="AF100" s="327"/>
      <c r="AK100" s="311"/>
    </row>
    <row r="101" spans="2:37" x14ac:dyDescent="0.3">
      <c r="B101" s="11" t="s">
        <v>138</v>
      </c>
      <c r="K101" s="16"/>
      <c r="L101" s="13">
        <f>L102+L105+L108+L111</f>
        <v>3789.6936753636001</v>
      </c>
      <c r="M101" s="13">
        <f>M102+M105+M108+M111</f>
        <v>4168.6007290850994</v>
      </c>
      <c r="N101" s="124">
        <f>N102+N105+N108+N111</f>
        <v>3346.4071245370001</v>
      </c>
      <c r="O101" s="326">
        <v>1008.1285182749231</v>
      </c>
      <c r="P101" s="13">
        <f t="shared" ref="P101:AD101" si="53">P102+P105+P108+P111</f>
        <v>314.76385021557377</v>
      </c>
      <c r="Q101" s="13">
        <f t="shared" si="53"/>
        <v>314.76385021557377</v>
      </c>
      <c r="R101" s="13">
        <f t="shared" si="53"/>
        <v>314.76385021557377</v>
      </c>
      <c r="S101" s="13">
        <f t="shared" si="53"/>
        <v>314.76385021557377</v>
      </c>
      <c r="T101" s="13">
        <f t="shared" si="53"/>
        <v>314.76385021557377</v>
      </c>
      <c r="U101" s="13">
        <f t="shared" si="53"/>
        <v>314.76385021557377</v>
      </c>
      <c r="V101" s="13">
        <f t="shared" si="53"/>
        <v>314.76385021557377</v>
      </c>
      <c r="W101" s="13">
        <f t="shared" si="53"/>
        <v>314.76385021557377</v>
      </c>
      <c r="X101" s="13">
        <f t="shared" si="53"/>
        <v>314.76385021557377</v>
      </c>
      <c r="Y101" s="359">
        <f t="shared" si="53"/>
        <v>2832.8746519401634</v>
      </c>
      <c r="Z101" s="326">
        <f t="shared" si="53"/>
        <v>3841.0031702150864</v>
      </c>
      <c r="AA101" s="13">
        <f t="shared" si="53"/>
        <v>4071.463360427992</v>
      </c>
      <c r="AB101" s="13">
        <f t="shared" si="53"/>
        <v>4295.3938452515313</v>
      </c>
      <c r="AC101" s="13">
        <f t="shared" si="53"/>
        <v>4510.1635375141086</v>
      </c>
      <c r="AD101" s="13">
        <f t="shared" si="53"/>
        <v>4722.1412237772711</v>
      </c>
      <c r="AF101" s="327"/>
      <c r="AK101" s="311"/>
    </row>
    <row r="102" spans="2:37" x14ac:dyDescent="0.3">
      <c r="B102" s="11"/>
      <c r="C102" s="3" t="s">
        <v>527</v>
      </c>
      <c r="K102" s="16"/>
      <c r="L102" s="16">
        <v>1863.0367230879999</v>
      </c>
      <c r="M102" s="16">
        <v>2037.6249585845997</v>
      </c>
      <c r="N102" s="15">
        <v>1699.9736534517999</v>
      </c>
      <c r="O102" s="246">
        <f>$O$101*Y102/$Y$101</f>
        <v>472.65420395614115</v>
      </c>
      <c r="P102" s="16">
        <v>147.57489185246945</v>
      </c>
      <c r="Q102" s="16">
        <v>147.57489185246945</v>
      </c>
      <c r="R102" s="16">
        <v>147.57489185246945</v>
      </c>
      <c r="S102" s="16">
        <v>147.57489185246945</v>
      </c>
      <c r="T102" s="16">
        <v>147.57489185246945</v>
      </c>
      <c r="U102" s="16">
        <v>147.57489185246945</v>
      </c>
      <c r="V102" s="16">
        <v>147.57489185246945</v>
      </c>
      <c r="W102" s="16">
        <v>147.57489185246945</v>
      </c>
      <c r="X102" s="16">
        <v>147.57489185246945</v>
      </c>
      <c r="Y102" s="481">
        <f>SUM(P102:X102)</f>
        <v>1328.174026672225</v>
      </c>
      <c r="Z102" s="444">
        <f>SUM(O102,Y102)</f>
        <v>1800.8282306283661</v>
      </c>
      <c r="AA102" s="16">
        <f>AA103*AA104</f>
        <v>1908.8779244660682</v>
      </c>
      <c r="AB102" s="16">
        <f>AB103*AB104</f>
        <v>2013.8662103117017</v>
      </c>
      <c r="AC102" s="16">
        <f>AC103*AC104</f>
        <v>2114.5595208272871</v>
      </c>
      <c r="AD102" s="16">
        <f>AD103*AD104</f>
        <v>2213.9438183061693</v>
      </c>
      <c r="AF102" s="327"/>
      <c r="AK102" s="311"/>
    </row>
    <row r="103" spans="2:37" x14ac:dyDescent="0.3">
      <c r="B103" s="11"/>
      <c r="D103" s="3" t="s">
        <v>371</v>
      </c>
      <c r="K103" s="16"/>
      <c r="L103" s="16">
        <v>87.75</v>
      </c>
      <c r="M103" s="16">
        <v>86.416666666666671</v>
      </c>
      <c r="N103" s="15">
        <v>77.916666666666657</v>
      </c>
      <c r="O103" s="246">
        <f t="shared" ref="O103:Y103" si="54">$Z103</f>
        <v>73</v>
      </c>
      <c r="P103" s="16">
        <f t="shared" si="54"/>
        <v>73</v>
      </c>
      <c r="Q103" s="16">
        <f t="shared" si="54"/>
        <v>73</v>
      </c>
      <c r="R103" s="16">
        <f t="shared" si="54"/>
        <v>73</v>
      </c>
      <c r="S103" s="16">
        <f t="shared" si="54"/>
        <v>73</v>
      </c>
      <c r="T103" s="16">
        <f t="shared" si="54"/>
        <v>73</v>
      </c>
      <c r="U103" s="16">
        <f t="shared" si="54"/>
        <v>73</v>
      </c>
      <c r="V103" s="16">
        <f t="shared" si="54"/>
        <v>73</v>
      </c>
      <c r="W103" s="16">
        <f t="shared" si="54"/>
        <v>73</v>
      </c>
      <c r="X103" s="16">
        <f t="shared" si="54"/>
        <v>73</v>
      </c>
      <c r="Y103" s="292">
        <f t="shared" si="54"/>
        <v>73</v>
      </c>
      <c r="Z103" s="246">
        <v>73</v>
      </c>
      <c r="AA103" s="16">
        <f>Z103</f>
        <v>73</v>
      </c>
      <c r="AB103" s="16">
        <f>AA103</f>
        <v>73</v>
      </c>
      <c r="AC103" s="16">
        <f>AB103</f>
        <v>73</v>
      </c>
      <c r="AD103" s="16">
        <f>AC103</f>
        <v>73</v>
      </c>
      <c r="AF103" s="327"/>
      <c r="AK103" s="311"/>
    </row>
    <row r="104" spans="2:37" x14ac:dyDescent="0.3">
      <c r="D104" s="3" t="s">
        <v>528</v>
      </c>
      <c r="K104" s="16"/>
      <c r="L104" s="16">
        <f>L102/L103</f>
        <v>21.231187727498575</v>
      </c>
      <c r="M104" s="16">
        <f>M102/M103</f>
        <v>23.579073773399415</v>
      </c>
      <c r="N104" s="15">
        <f>N102/N103</f>
        <v>21.817843680664815</v>
      </c>
      <c r="O104" s="444">
        <f>O102/O103*4</f>
        <v>25.89886049074746</v>
      </c>
      <c r="P104" s="16">
        <f t="shared" ref="P104:X104" si="55">P102/P103*12</f>
        <v>24.258886331912787</v>
      </c>
      <c r="Q104" s="16">
        <f t="shared" si="55"/>
        <v>24.258886331912787</v>
      </c>
      <c r="R104" s="16">
        <f t="shared" si="55"/>
        <v>24.258886331912787</v>
      </c>
      <c r="S104" s="16">
        <f t="shared" si="55"/>
        <v>24.258886331912787</v>
      </c>
      <c r="T104" s="16">
        <f t="shared" si="55"/>
        <v>24.258886331912787</v>
      </c>
      <c r="U104" s="16">
        <f t="shared" si="55"/>
        <v>24.258886331912787</v>
      </c>
      <c r="V104" s="16">
        <f t="shared" si="55"/>
        <v>24.258886331912787</v>
      </c>
      <c r="W104" s="16">
        <f t="shared" si="55"/>
        <v>24.258886331912787</v>
      </c>
      <c r="X104" s="16">
        <f t="shared" si="55"/>
        <v>24.258886331912787</v>
      </c>
      <c r="Y104" s="292"/>
      <c r="Z104" s="246">
        <f>Z102/Z103</f>
        <v>24.668879871621453</v>
      </c>
      <c r="AA104" s="16">
        <f>Z104*(1+'Key Assumption'!AB$27)</f>
        <v>26.149012663918743</v>
      </c>
      <c r="AB104" s="16">
        <f>AA104*(1+'Key Assumption'!AC$27)</f>
        <v>27.587208360434271</v>
      </c>
      <c r="AC104" s="16">
        <f>AB104*(1+'Key Assumption'!AD$27)</f>
        <v>28.966568778455986</v>
      </c>
      <c r="AD104" s="16">
        <f>AC104*(1+'Key Assumption'!AE$27)</f>
        <v>30.327997511043417</v>
      </c>
      <c r="AF104" s="327"/>
      <c r="AK104" s="311"/>
    </row>
    <row r="105" spans="2:37" x14ac:dyDescent="0.3">
      <c r="B105" s="141"/>
      <c r="C105" s="3" t="s">
        <v>529</v>
      </c>
      <c r="I105" s="141"/>
      <c r="J105" s="141"/>
      <c r="K105" s="445"/>
      <c r="L105" s="16">
        <v>1019.6042226848</v>
      </c>
      <c r="M105" s="446">
        <v>1099.6257252287999</v>
      </c>
      <c r="N105" s="447">
        <v>851.54671289679993</v>
      </c>
      <c r="O105" s="246">
        <f>$O$101*Y105/$Y$101</f>
        <v>295.05647355767366</v>
      </c>
      <c r="P105" s="16">
        <v>92.124277772604287</v>
      </c>
      <c r="Q105" s="16">
        <v>92.124277772604287</v>
      </c>
      <c r="R105" s="446">
        <v>92.124277772604287</v>
      </c>
      <c r="S105" s="446">
        <v>92.124277772604287</v>
      </c>
      <c r="T105" s="446">
        <v>92.124277772604287</v>
      </c>
      <c r="U105" s="446">
        <v>92.124277772604287</v>
      </c>
      <c r="V105" s="446">
        <v>92.124277772604287</v>
      </c>
      <c r="W105" s="446">
        <v>92.124277772604287</v>
      </c>
      <c r="X105" s="446">
        <v>92.124277772604287</v>
      </c>
      <c r="Y105" s="481">
        <f>SUM(P105:X105)</f>
        <v>829.11849995343857</v>
      </c>
      <c r="Z105" s="444">
        <f>SUM(O105,Y105)</f>
        <v>1124.1749735111123</v>
      </c>
      <c r="AA105" s="16">
        <f>AA106*AA107</f>
        <v>1191.6254719217791</v>
      </c>
      <c r="AB105" s="16">
        <f>AB106*AB107</f>
        <v>1257.1648728774769</v>
      </c>
      <c r="AC105" s="16">
        <f>AC106*AC107</f>
        <v>1320.0231165213509</v>
      </c>
      <c r="AD105" s="16">
        <f>AD106*AD107</f>
        <v>1382.0642029978544</v>
      </c>
      <c r="AF105" s="327"/>
      <c r="AK105" s="311"/>
    </row>
    <row r="106" spans="2:37" x14ac:dyDescent="0.3">
      <c r="B106" s="141"/>
      <c r="D106" s="3" t="s">
        <v>371</v>
      </c>
      <c r="I106" s="141"/>
      <c r="J106" s="141"/>
      <c r="K106" s="445"/>
      <c r="L106" s="446">
        <v>30.25</v>
      </c>
      <c r="M106" s="446">
        <v>28.916666666666664</v>
      </c>
      <c r="N106" s="447">
        <v>23.749999999999996</v>
      </c>
      <c r="O106" s="246">
        <f t="shared" ref="O106:Y106" si="56">$Z106</f>
        <v>25</v>
      </c>
      <c r="P106" s="16">
        <f t="shared" si="56"/>
        <v>25</v>
      </c>
      <c r="Q106" s="16">
        <f t="shared" si="56"/>
        <v>25</v>
      </c>
      <c r="R106" s="16">
        <f t="shared" si="56"/>
        <v>25</v>
      </c>
      <c r="S106" s="16">
        <f t="shared" si="56"/>
        <v>25</v>
      </c>
      <c r="T106" s="16">
        <f t="shared" si="56"/>
        <v>25</v>
      </c>
      <c r="U106" s="16">
        <f t="shared" si="56"/>
        <v>25</v>
      </c>
      <c r="V106" s="16">
        <f t="shared" si="56"/>
        <v>25</v>
      </c>
      <c r="W106" s="16">
        <f t="shared" si="56"/>
        <v>25</v>
      </c>
      <c r="X106" s="16">
        <f t="shared" si="56"/>
        <v>25</v>
      </c>
      <c r="Y106" s="292">
        <f t="shared" si="56"/>
        <v>25</v>
      </c>
      <c r="Z106" s="246">
        <v>25</v>
      </c>
      <c r="AA106" s="16">
        <f>Z106</f>
        <v>25</v>
      </c>
      <c r="AB106" s="16">
        <f>AA106</f>
        <v>25</v>
      </c>
      <c r="AC106" s="16">
        <f>AB106</f>
        <v>25</v>
      </c>
      <c r="AD106" s="16">
        <f>AC106</f>
        <v>25</v>
      </c>
      <c r="AF106" s="327"/>
      <c r="AK106" s="311"/>
    </row>
    <row r="107" spans="2:37" x14ac:dyDescent="0.3">
      <c r="B107" s="141"/>
      <c r="D107" s="3" t="s">
        <v>372</v>
      </c>
      <c r="I107" s="141"/>
      <c r="J107" s="141"/>
      <c r="K107" s="445"/>
      <c r="L107" s="16">
        <f>L105/L106</f>
        <v>33.705924716852891</v>
      </c>
      <c r="M107" s="16">
        <f>M105/M106</f>
        <v>38.027402601572334</v>
      </c>
      <c r="N107" s="15">
        <f>N105/N106</f>
        <v>35.854598437760004</v>
      </c>
      <c r="O107" s="444">
        <f>O105/O106*4</f>
        <v>47.209035769227782</v>
      </c>
      <c r="P107" s="16">
        <f t="shared" ref="P107:X107" si="57">P105/P106*12</f>
        <v>44.219653330850058</v>
      </c>
      <c r="Q107" s="16">
        <f t="shared" si="57"/>
        <v>44.219653330850058</v>
      </c>
      <c r="R107" s="16">
        <f t="shared" si="57"/>
        <v>44.219653330850058</v>
      </c>
      <c r="S107" s="16">
        <f t="shared" si="57"/>
        <v>44.219653330850058</v>
      </c>
      <c r="T107" s="16">
        <f t="shared" si="57"/>
        <v>44.219653330850058</v>
      </c>
      <c r="U107" s="16">
        <f t="shared" si="57"/>
        <v>44.219653330850058</v>
      </c>
      <c r="V107" s="16">
        <f t="shared" si="57"/>
        <v>44.219653330850058</v>
      </c>
      <c r="W107" s="16">
        <f t="shared" si="57"/>
        <v>44.219653330850058</v>
      </c>
      <c r="X107" s="16">
        <f t="shared" si="57"/>
        <v>44.219653330850058</v>
      </c>
      <c r="Y107" s="292"/>
      <c r="Z107" s="246">
        <f>Z105/Z106</f>
        <v>44.966998940444491</v>
      </c>
      <c r="AA107" s="16">
        <f>Z107*(1+'Key Assumption'!AB$27)</f>
        <v>47.665018876871166</v>
      </c>
      <c r="AB107" s="16">
        <f>AA107*(1+'Key Assumption'!AC$27)</f>
        <v>50.28659491509908</v>
      </c>
      <c r="AC107" s="16">
        <f>AB107*(1+'Key Assumption'!AD$27)</f>
        <v>52.800924660854037</v>
      </c>
      <c r="AD107" s="16">
        <f>AC107*(1+'Key Assumption'!AE$27)</f>
        <v>55.282568119914174</v>
      </c>
      <c r="AF107" s="327"/>
      <c r="AK107" s="311"/>
    </row>
    <row r="108" spans="2:37" x14ac:dyDescent="0.3">
      <c r="B108" s="141"/>
      <c r="C108" s="3" t="s">
        <v>530</v>
      </c>
      <c r="I108" s="141"/>
      <c r="J108" s="141"/>
      <c r="K108" s="445"/>
      <c r="L108" s="16">
        <v>403.23039337280005</v>
      </c>
      <c r="M108" s="446">
        <v>461.9929895427</v>
      </c>
      <c r="N108" s="447">
        <v>342.60030372879999</v>
      </c>
      <c r="O108" s="246">
        <f>$O$101*Y108/$Y$101</f>
        <v>106.66079469352916</v>
      </c>
      <c r="P108" s="16">
        <v>33.302264340499995</v>
      </c>
      <c r="Q108" s="16">
        <v>33.302264340499995</v>
      </c>
      <c r="R108" s="446">
        <v>33.302264340499995</v>
      </c>
      <c r="S108" s="446">
        <v>33.302264340499995</v>
      </c>
      <c r="T108" s="446">
        <v>33.302264340499995</v>
      </c>
      <c r="U108" s="446">
        <v>33.302264340499995</v>
      </c>
      <c r="V108" s="446">
        <v>33.302264340499995</v>
      </c>
      <c r="W108" s="446">
        <v>33.302264340499995</v>
      </c>
      <c r="X108" s="446">
        <v>33.302264340499995</v>
      </c>
      <c r="Y108" s="481">
        <f>SUM(P108:X108)</f>
        <v>299.72037906449998</v>
      </c>
      <c r="Z108" s="444">
        <f>SUM(O108,Y108)</f>
        <v>406.38117375802915</v>
      </c>
      <c r="AA108" s="16">
        <f>AA109*AA110</f>
        <v>430.76404418351092</v>
      </c>
      <c r="AB108" s="16">
        <f>AB109*AB110</f>
        <v>454.45606661360398</v>
      </c>
      <c r="AC108" s="16">
        <f>AC109*AC110</f>
        <v>477.1788699442842</v>
      </c>
      <c r="AD108" s="16">
        <f>AD109*AD110</f>
        <v>499.60627683166553</v>
      </c>
      <c r="AF108" s="327"/>
      <c r="AK108" s="311"/>
    </row>
    <row r="109" spans="2:37" x14ac:dyDescent="0.3">
      <c r="B109" s="141"/>
      <c r="D109" s="3" t="s">
        <v>371</v>
      </c>
      <c r="I109" s="141"/>
      <c r="J109" s="141"/>
      <c r="K109" s="445"/>
      <c r="L109" s="446">
        <v>8</v>
      </c>
      <c r="M109" s="446">
        <v>8.5</v>
      </c>
      <c r="N109" s="447">
        <v>6.5</v>
      </c>
      <c r="O109" s="246">
        <f t="shared" ref="O109:Y109" si="58">$Z109</f>
        <v>2</v>
      </c>
      <c r="P109" s="446">
        <f t="shared" si="58"/>
        <v>2</v>
      </c>
      <c r="Q109" s="446">
        <f t="shared" si="58"/>
        <v>2</v>
      </c>
      <c r="R109" s="446">
        <f t="shared" si="58"/>
        <v>2</v>
      </c>
      <c r="S109" s="446">
        <f t="shared" si="58"/>
        <v>2</v>
      </c>
      <c r="T109" s="446">
        <f t="shared" si="58"/>
        <v>2</v>
      </c>
      <c r="U109" s="446">
        <f t="shared" si="58"/>
        <v>2</v>
      </c>
      <c r="V109" s="446">
        <f t="shared" si="58"/>
        <v>2</v>
      </c>
      <c r="W109" s="446">
        <f t="shared" si="58"/>
        <v>2</v>
      </c>
      <c r="X109" s="446">
        <f t="shared" si="58"/>
        <v>2</v>
      </c>
      <c r="Y109" s="481">
        <f t="shared" si="58"/>
        <v>2</v>
      </c>
      <c r="Z109" s="444">
        <v>2</v>
      </c>
      <c r="AA109" s="446">
        <f>Z109</f>
        <v>2</v>
      </c>
      <c r="AB109" s="446">
        <f>AA109</f>
        <v>2</v>
      </c>
      <c r="AC109" s="446">
        <f>AB109</f>
        <v>2</v>
      </c>
      <c r="AD109" s="446">
        <f>AC109</f>
        <v>2</v>
      </c>
      <c r="AF109" s="327"/>
      <c r="AK109" s="311"/>
    </row>
    <row r="110" spans="2:37" x14ac:dyDescent="0.3">
      <c r="B110" s="141"/>
      <c r="D110" s="3" t="s">
        <v>372</v>
      </c>
      <c r="I110" s="141"/>
      <c r="J110" s="141"/>
      <c r="K110" s="445"/>
      <c r="L110" s="16">
        <f>L108/L109</f>
        <v>50.403799171600006</v>
      </c>
      <c r="M110" s="16">
        <f>M108/M109</f>
        <v>54.352116416788235</v>
      </c>
      <c r="N110" s="15">
        <f>N108/N109</f>
        <v>52.707739035199999</v>
      </c>
      <c r="O110" s="444">
        <f>O108/O109*4</f>
        <v>213.32158938705831</v>
      </c>
      <c r="P110" s="16">
        <f t="shared" ref="P110:X110" si="59">P108/P109*12</f>
        <v>199.81358604299999</v>
      </c>
      <c r="Q110" s="16">
        <f t="shared" si="59"/>
        <v>199.81358604299999</v>
      </c>
      <c r="R110" s="16">
        <f t="shared" si="59"/>
        <v>199.81358604299999</v>
      </c>
      <c r="S110" s="16">
        <f t="shared" si="59"/>
        <v>199.81358604299999</v>
      </c>
      <c r="T110" s="16">
        <f t="shared" si="59"/>
        <v>199.81358604299999</v>
      </c>
      <c r="U110" s="16">
        <f t="shared" si="59"/>
        <v>199.81358604299999</v>
      </c>
      <c r="V110" s="16">
        <f t="shared" si="59"/>
        <v>199.81358604299999</v>
      </c>
      <c r="W110" s="16">
        <f t="shared" si="59"/>
        <v>199.81358604299999</v>
      </c>
      <c r="X110" s="16">
        <f t="shared" si="59"/>
        <v>199.81358604299999</v>
      </c>
      <c r="Y110" s="292"/>
      <c r="Z110" s="246">
        <f>Z108/Z109</f>
        <v>203.19058687901457</v>
      </c>
      <c r="AA110" s="16">
        <f>Z110*(1+'Key Assumption'!AB$27)</f>
        <v>215.38202209175546</v>
      </c>
      <c r="AB110" s="16">
        <f>AA110*(1+'Key Assumption'!AC$27)</f>
        <v>227.22803330680199</v>
      </c>
      <c r="AC110" s="16">
        <f>AB110*(1+'Key Assumption'!AD$27)</f>
        <v>238.5894349721421</v>
      </c>
      <c r="AD110" s="16">
        <f>AC110*(1+'Key Assumption'!AE$27)</f>
        <v>249.80313841583276</v>
      </c>
      <c r="AF110" s="327"/>
      <c r="AK110" s="311"/>
    </row>
    <row r="111" spans="2:37" x14ac:dyDescent="0.3">
      <c r="B111" s="11"/>
      <c r="C111" s="3" t="s">
        <v>482</v>
      </c>
      <c r="K111" s="16"/>
      <c r="L111" s="16">
        <v>503.82233621800009</v>
      </c>
      <c r="M111" s="16">
        <v>569.35705572899997</v>
      </c>
      <c r="N111" s="15">
        <v>452.28645445959984</v>
      </c>
      <c r="O111" s="246">
        <f>$O$101*Y111/$Y$101</f>
        <v>133.7570460675791</v>
      </c>
      <c r="P111" s="16">
        <v>41.762416249999994</v>
      </c>
      <c r="Q111" s="16">
        <v>41.762416249999994</v>
      </c>
      <c r="R111" s="16">
        <v>41.762416249999994</v>
      </c>
      <c r="S111" s="16">
        <v>41.762416249999994</v>
      </c>
      <c r="T111" s="16">
        <v>41.762416249999994</v>
      </c>
      <c r="U111" s="16">
        <v>41.762416249999994</v>
      </c>
      <c r="V111" s="16">
        <v>41.762416249999994</v>
      </c>
      <c r="W111" s="16">
        <v>41.762416249999994</v>
      </c>
      <c r="X111" s="16">
        <v>41.762416249999994</v>
      </c>
      <c r="Y111" s="481">
        <f>SUM(P111:X111)</f>
        <v>375.86174624999995</v>
      </c>
      <c r="Z111" s="444">
        <f>SUM(O111,Y111)</f>
        <v>509.61879231757905</v>
      </c>
      <c r="AA111" s="16">
        <f>SUM(AA103,AA106,AA109)*AA112</f>
        <v>540.19591985663385</v>
      </c>
      <c r="AB111" s="16">
        <f>SUM(AB103,AB106,AB109)*AB112</f>
        <v>569.90669544874868</v>
      </c>
      <c r="AC111" s="16">
        <f>SUM(AC103,AC106,AC109)*AC112</f>
        <v>598.40203022118612</v>
      </c>
      <c r="AD111" s="16">
        <f>SUM(AD103,AD106,AD109)*AD112</f>
        <v>626.52692564158178</v>
      </c>
      <c r="AF111" s="327"/>
      <c r="AK111" s="311"/>
    </row>
    <row r="112" spans="2:37" x14ac:dyDescent="0.3">
      <c r="B112" s="438"/>
      <c r="C112" s="438"/>
      <c r="D112" s="455" t="s">
        <v>483</v>
      </c>
      <c r="E112" s="438"/>
      <c r="F112" s="438"/>
      <c r="G112" s="438"/>
      <c r="H112" s="438"/>
      <c r="I112" s="438"/>
      <c r="J112" s="438"/>
      <c r="K112" s="482"/>
      <c r="L112" s="456">
        <f>L111/SUM(L103,L106,L109)</f>
        <v>3.9985899699841276</v>
      </c>
      <c r="M112" s="456">
        <f>M111/SUM(M103,M106,M109)</f>
        <v>4.5977689560888289</v>
      </c>
      <c r="N112" s="457">
        <f>N111/SUM(N103,N106,N109)</f>
        <v>4.1813847869916785</v>
      </c>
      <c r="O112" s="458">
        <f>O111/SUM(O103,O106,O109)*4</f>
        <v>5.350281842703164</v>
      </c>
      <c r="P112" s="456">
        <f t="shared" ref="P112:X112" si="60">P111/SUM(P103,P106,P109)*12</f>
        <v>5.0114899499999996</v>
      </c>
      <c r="Q112" s="456">
        <f t="shared" si="60"/>
        <v>5.0114899499999996</v>
      </c>
      <c r="R112" s="456">
        <f t="shared" si="60"/>
        <v>5.0114899499999996</v>
      </c>
      <c r="S112" s="456">
        <f t="shared" si="60"/>
        <v>5.0114899499999996</v>
      </c>
      <c r="T112" s="456">
        <f t="shared" si="60"/>
        <v>5.0114899499999996</v>
      </c>
      <c r="U112" s="456">
        <f t="shared" si="60"/>
        <v>5.0114899499999996</v>
      </c>
      <c r="V112" s="456">
        <f t="shared" si="60"/>
        <v>5.0114899499999996</v>
      </c>
      <c r="W112" s="456">
        <f t="shared" si="60"/>
        <v>5.0114899499999996</v>
      </c>
      <c r="X112" s="456">
        <f t="shared" si="60"/>
        <v>5.0114899499999996</v>
      </c>
      <c r="Y112" s="483"/>
      <c r="Z112" s="458">
        <f>Z111/SUM(Z103,Z106,Z109)</f>
        <v>5.0961879231757905</v>
      </c>
      <c r="AA112" s="456">
        <f>Z112*(1+'Key Assumption'!AB$27)</f>
        <v>5.4019591985663382</v>
      </c>
      <c r="AB112" s="456">
        <f>AA112*(1+'Key Assumption'!AC$27)</f>
        <v>5.6990669544874866</v>
      </c>
      <c r="AC112" s="456">
        <f>AB112*(1+'Key Assumption'!AD$27)</f>
        <v>5.984020302211861</v>
      </c>
      <c r="AD112" s="456">
        <f>AC112*(1+'Key Assumption'!AE$27)</f>
        <v>6.2652692564158183</v>
      </c>
      <c r="AF112" s="327"/>
      <c r="AK112" s="311"/>
    </row>
    <row r="113" spans="2:37" x14ac:dyDescent="0.3">
      <c r="D113" s="23"/>
      <c r="L113" s="16"/>
      <c r="M113" s="16"/>
      <c r="N113" s="16"/>
      <c r="O113" s="402"/>
      <c r="P113" s="402"/>
      <c r="Q113" s="402"/>
      <c r="R113" s="402"/>
      <c r="S113" s="402"/>
      <c r="T113" s="402"/>
      <c r="U113" s="402"/>
      <c r="V113" s="402"/>
      <c r="W113" s="402"/>
      <c r="X113" s="402"/>
      <c r="Y113" s="402"/>
      <c r="Z113" s="402"/>
      <c r="AA113" s="402"/>
      <c r="AB113" s="402"/>
      <c r="AC113" s="402"/>
      <c r="AD113" s="402"/>
      <c r="AF113" s="327"/>
      <c r="AK113" s="311"/>
    </row>
    <row r="114" spans="2:37" x14ac:dyDescent="0.3">
      <c r="B114" s="8"/>
      <c r="C114" s="8"/>
      <c r="D114" s="8"/>
      <c r="E114" s="8"/>
      <c r="F114" s="8"/>
      <c r="G114" s="8"/>
      <c r="H114" s="8"/>
      <c r="I114" s="8"/>
      <c r="J114" s="8"/>
      <c r="K114" s="8"/>
      <c r="L114" s="9" t="s">
        <v>182</v>
      </c>
      <c r="M114" s="9" t="s">
        <v>183</v>
      </c>
      <c r="N114" s="10" t="s">
        <v>184</v>
      </c>
      <c r="O114" s="244" t="s">
        <v>4</v>
      </c>
      <c r="P114" s="9" t="s">
        <v>215</v>
      </c>
      <c r="Q114" s="9" t="s">
        <v>216</v>
      </c>
      <c r="R114" s="9" t="s">
        <v>217</v>
      </c>
      <c r="S114" s="9" t="s">
        <v>218</v>
      </c>
      <c r="T114" s="9" t="s">
        <v>219</v>
      </c>
      <c r="U114" s="9" t="s">
        <v>220</v>
      </c>
      <c r="V114" s="9" t="s">
        <v>221</v>
      </c>
      <c r="W114" s="9" t="s">
        <v>222</v>
      </c>
      <c r="X114" s="10" t="s">
        <v>223</v>
      </c>
      <c r="Y114" s="9" t="s">
        <v>294</v>
      </c>
      <c r="Z114" s="244" t="s">
        <v>197</v>
      </c>
      <c r="AA114" s="9" t="s">
        <v>198</v>
      </c>
      <c r="AB114" s="9" t="s">
        <v>199</v>
      </c>
      <c r="AC114" s="9" t="s">
        <v>200</v>
      </c>
      <c r="AD114" s="9" t="s">
        <v>201</v>
      </c>
      <c r="AF114" s="327"/>
      <c r="AK114" s="311"/>
    </row>
    <row r="115" spans="2:37" x14ac:dyDescent="0.3">
      <c r="B115" s="11" t="s">
        <v>347</v>
      </c>
      <c r="L115" s="16"/>
      <c r="M115" s="16"/>
      <c r="N115" s="15"/>
      <c r="O115" s="326">
        <f>SUM(O116,O119,O122,O125,O128,O131,O134)</f>
        <v>405.22412227627495</v>
      </c>
      <c r="P115" s="13">
        <f t="shared" ref="P115:X115" si="61">SUM(P116,P119,P122,P125,P128,P131,P134)</f>
        <v>174.91688731349998</v>
      </c>
      <c r="Q115" s="13">
        <f t="shared" si="61"/>
        <v>174.91688731349998</v>
      </c>
      <c r="R115" s="13">
        <f t="shared" si="61"/>
        <v>174.91688731349998</v>
      </c>
      <c r="S115" s="13">
        <f t="shared" si="61"/>
        <v>174.91688731349998</v>
      </c>
      <c r="T115" s="13">
        <f t="shared" si="61"/>
        <v>174.91688731349998</v>
      </c>
      <c r="U115" s="13">
        <f t="shared" si="61"/>
        <v>174.91688731349998</v>
      </c>
      <c r="V115" s="13">
        <f t="shared" si="61"/>
        <v>174.91688731349998</v>
      </c>
      <c r="W115" s="13">
        <f t="shared" si="61"/>
        <v>174.91688731349998</v>
      </c>
      <c r="X115" s="13">
        <f t="shared" si="61"/>
        <v>174.91688731349998</v>
      </c>
      <c r="Y115" s="396">
        <f>SUM(P115:X115)</f>
        <v>1574.2519858214998</v>
      </c>
      <c r="Z115" s="326">
        <f>SUM(O115,Y115)</f>
        <v>1979.4761080977748</v>
      </c>
      <c r="AA115" s="13">
        <f>SUM(AA116,AA119,AA122,AA125,AA128,AA131,AA134)</f>
        <v>2245.2489506347974</v>
      </c>
      <c r="AB115" s="13">
        <f>SUM(AB116,AB119,AB122,AB125,AB128,AB131,AB134)</f>
        <v>2677.0715046802889</v>
      </c>
      <c r="AC115" s="13">
        <f>SUM(AC116,AC119,AC122,AC125,AC128,AC131,AC134)</f>
        <v>3103.2874349837052</v>
      </c>
      <c r="AD115" s="13">
        <f>SUM(AD116,AD119,AD122,AD125,AD128,AD131,AD134)</f>
        <v>3386.5559950509528</v>
      </c>
      <c r="AF115" s="327"/>
      <c r="AK115" s="311"/>
    </row>
    <row r="116" spans="2:37" x14ac:dyDescent="0.3">
      <c r="C116" s="3" t="s">
        <v>531</v>
      </c>
      <c r="L116" s="16"/>
      <c r="M116" s="16"/>
      <c r="N116" s="15"/>
      <c r="O116" s="246">
        <f>O117*O118</f>
        <v>32.375532499999998</v>
      </c>
      <c r="P116" s="16">
        <v>13.975049999999998</v>
      </c>
      <c r="Q116" s="16">
        <v>13.975049999999998</v>
      </c>
      <c r="R116" s="16">
        <v>13.975049999999998</v>
      </c>
      <c r="S116" s="16">
        <v>13.975049999999998</v>
      </c>
      <c r="T116" s="16">
        <v>13.975049999999998</v>
      </c>
      <c r="U116" s="16">
        <v>13.975049999999998</v>
      </c>
      <c r="V116" s="16">
        <v>13.975049999999998</v>
      </c>
      <c r="W116" s="16">
        <v>13.975049999999998</v>
      </c>
      <c r="X116" s="16">
        <v>13.975049999999998</v>
      </c>
      <c r="Y116" s="292">
        <f>SUM(P116:X116)</f>
        <v>125.77544999999998</v>
      </c>
      <c r="Z116" s="246">
        <f>SUM(O116,Y116)</f>
        <v>158.15098249999997</v>
      </c>
      <c r="AA116" s="16">
        <f>AA117*AA118</f>
        <v>179.38500295475541</v>
      </c>
      <c r="AB116" s="16">
        <f>AB117*AB118</f>
        <v>213.8856270888763</v>
      </c>
      <c r="AC116" s="16">
        <f>AC117*AC118</f>
        <v>247.93830792644027</v>
      </c>
      <c r="AD116" s="16">
        <f>AD117*AD118</f>
        <v>270.57015526358566</v>
      </c>
      <c r="AF116" s="327"/>
      <c r="AK116" s="311"/>
    </row>
    <row r="117" spans="2:37" x14ac:dyDescent="0.3">
      <c r="D117" s="3" t="s">
        <v>358</v>
      </c>
      <c r="L117" s="16"/>
      <c r="M117" s="16"/>
      <c r="N117" s="15"/>
      <c r="O117" s="246">
        <f>SUM(O78,O82,O86,O90)</f>
        <v>139</v>
      </c>
      <c r="P117" s="16">
        <f t="shared" ref="P117:X117" si="62">SUM(P$74,P$78,P$82,P$86,P$90)</f>
        <v>60</v>
      </c>
      <c r="Q117" s="16">
        <f t="shared" si="62"/>
        <v>63</v>
      </c>
      <c r="R117" s="16">
        <f t="shared" si="62"/>
        <v>60</v>
      </c>
      <c r="S117" s="16">
        <f t="shared" si="62"/>
        <v>63</v>
      </c>
      <c r="T117" s="16">
        <f t="shared" si="62"/>
        <v>65</v>
      </c>
      <c r="U117" s="16">
        <f t="shared" si="62"/>
        <v>60</v>
      </c>
      <c r="V117" s="16">
        <f t="shared" si="62"/>
        <v>50</v>
      </c>
      <c r="W117" s="16">
        <f t="shared" si="62"/>
        <v>65</v>
      </c>
      <c r="X117" s="16">
        <f t="shared" si="62"/>
        <v>60</v>
      </c>
      <c r="Y117" s="292">
        <f>SUM(P117:X117)</f>
        <v>546</v>
      </c>
      <c r="Z117" s="246">
        <f>SUM(O117,Y117)</f>
        <v>685</v>
      </c>
      <c r="AA117" s="16">
        <f>SUM(AA$74,AA$78,AA$82,AA$86,AA$90)</f>
        <v>767</v>
      </c>
      <c r="AB117" s="16">
        <f>SUM(AB$74,AB$78,AB$82,AB$86,AB$90)</f>
        <v>901</v>
      </c>
      <c r="AC117" s="16">
        <f>SUM(AC$74,AC$78,AC$82,AC$86,AC$90)</f>
        <v>1028</v>
      </c>
      <c r="AD117" s="16">
        <f>SUM(AD$74,AD$78,AD$82,AD$86,AD$90)</f>
        <v>1102</v>
      </c>
      <c r="AF117" s="327"/>
      <c r="AK117" s="311"/>
    </row>
    <row r="118" spans="2:37" x14ac:dyDescent="0.3">
      <c r="D118" s="3" t="s">
        <v>532</v>
      </c>
      <c r="I118" s="291"/>
      <c r="L118" s="16"/>
      <c r="M118" s="16"/>
      <c r="N118" s="15"/>
      <c r="O118" s="250">
        <f>P118</f>
        <v>0.23291749999999997</v>
      </c>
      <c r="P118" s="247">
        <f t="shared" ref="P118:Z118" si="63">P116/P117</f>
        <v>0.23291749999999997</v>
      </c>
      <c r="Q118" s="247">
        <f t="shared" si="63"/>
        <v>0.22182619047619043</v>
      </c>
      <c r="R118" s="247">
        <f t="shared" si="63"/>
        <v>0.23291749999999997</v>
      </c>
      <c r="S118" s="247">
        <f t="shared" si="63"/>
        <v>0.22182619047619043</v>
      </c>
      <c r="T118" s="247">
        <f t="shared" si="63"/>
        <v>0.21500076923076919</v>
      </c>
      <c r="U118" s="247">
        <f t="shared" si="63"/>
        <v>0.23291749999999997</v>
      </c>
      <c r="V118" s="247">
        <f t="shared" si="63"/>
        <v>0.27950099999999994</v>
      </c>
      <c r="W118" s="247">
        <f t="shared" si="63"/>
        <v>0.21500076923076919</v>
      </c>
      <c r="X118" s="247">
        <f t="shared" si="63"/>
        <v>0.23291749999999997</v>
      </c>
      <c r="Y118" s="366">
        <f t="shared" si="63"/>
        <v>0.23035796703296699</v>
      </c>
      <c r="Z118" s="250">
        <f t="shared" si="63"/>
        <v>0.23087734671532842</v>
      </c>
      <c r="AA118" s="247">
        <f>Z118*(1+'Key Assumption'!AB$25)</f>
        <v>0.23387875222262766</v>
      </c>
      <c r="AB118" s="247">
        <f>AA118*(1+'Key Assumption'!AC$25)</f>
        <v>0.23738693350596704</v>
      </c>
      <c r="AC118" s="247">
        <f>AB118*(1+'Key Assumption'!AD$25)</f>
        <v>0.24118512444206253</v>
      </c>
      <c r="AD118" s="247">
        <f>AC118*(1+'Key Assumption'!AE$25)</f>
        <v>0.24552645668201967</v>
      </c>
      <c r="AF118" s="327"/>
      <c r="AK118" s="311"/>
    </row>
    <row r="119" spans="2:37" x14ac:dyDescent="0.3">
      <c r="C119" s="3" t="s">
        <v>412</v>
      </c>
      <c r="L119" s="16"/>
      <c r="M119" s="16"/>
      <c r="N119" s="15"/>
      <c r="O119" s="246">
        <f>O120*O121</f>
        <v>22.920161749999998</v>
      </c>
      <c r="P119" s="16">
        <v>9.8935949999999995</v>
      </c>
      <c r="Q119" s="16">
        <v>9.8935949999999995</v>
      </c>
      <c r="R119" s="16">
        <v>9.8935949999999995</v>
      </c>
      <c r="S119" s="16">
        <v>9.8935949999999995</v>
      </c>
      <c r="T119" s="16">
        <v>9.8935949999999995</v>
      </c>
      <c r="U119" s="16">
        <v>9.8935949999999995</v>
      </c>
      <c r="V119" s="16">
        <v>9.8935949999999995</v>
      </c>
      <c r="W119" s="16">
        <v>9.8935949999999995</v>
      </c>
      <c r="X119" s="16">
        <v>9.8935949999999995</v>
      </c>
      <c r="Y119" s="292">
        <f>SUM(P119:X119)</f>
        <v>89.042355000000001</v>
      </c>
      <c r="Z119" s="246">
        <f>SUM(O119,Y119)</f>
        <v>111.96251674999999</v>
      </c>
      <c r="AA119" s="16">
        <f>AA120*AA121</f>
        <v>126.99507825075071</v>
      </c>
      <c r="AB119" s="16">
        <f>AB120*AB121</f>
        <v>151.41969229007205</v>
      </c>
      <c r="AC119" s="16">
        <f>AC120*AC121</f>
        <v>175.52718620752628</v>
      </c>
      <c r="AD119" s="16">
        <f>AD120*AD121</f>
        <v>191.5493350839557</v>
      </c>
      <c r="AF119" s="327"/>
      <c r="AK119" s="311"/>
    </row>
    <row r="120" spans="2:37" x14ac:dyDescent="0.3">
      <c r="D120" s="3" t="s">
        <v>358</v>
      </c>
      <c r="L120" s="16"/>
      <c r="M120" s="16"/>
      <c r="N120" s="15"/>
      <c r="O120" s="246">
        <f>O117</f>
        <v>139</v>
      </c>
      <c r="P120" s="16">
        <f t="shared" ref="P120:X120" si="64">SUM(P$74,P$78,P$82,P$86,P$90)</f>
        <v>60</v>
      </c>
      <c r="Q120" s="16">
        <f t="shared" si="64"/>
        <v>63</v>
      </c>
      <c r="R120" s="16">
        <f t="shared" si="64"/>
        <v>60</v>
      </c>
      <c r="S120" s="16">
        <f t="shared" si="64"/>
        <v>63</v>
      </c>
      <c r="T120" s="16">
        <f t="shared" si="64"/>
        <v>65</v>
      </c>
      <c r="U120" s="16">
        <f t="shared" si="64"/>
        <v>60</v>
      </c>
      <c r="V120" s="16">
        <f t="shared" si="64"/>
        <v>50</v>
      </c>
      <c r="W120" s="16">
        <f t="shared" si="64"/>
        <v>65</v>
      </c>
      <c r="X120" s="16">
        <f t="shared" si="64"/>
        <v>60</v>
      </c>
      <c r="Y120" s="292">
        <f>SUM(P120:X120)</f>
        <v>546</v>
      </c>
      <c r="Z120" s="246">
        <f>SUM(O120,Y120)</f>
        <v>685</v>
      </c>
      <c r="AA120" s="16">
        <f>SUM(AA$74,AA$78,AA$82,AA$86,AA$90)</f>
        <v>767</v>
      </c>
      <c r="AB120" s="16">
        <f>SUM(AB$74,AB$78,AB$82,AB$86,AB$90)</f>
        <v>901</v>
      </c>
      <c r="AC120" s="16">
        <f>SUM(AC$74,AC$78,AC$82,AC$86,AC$90)</f>
        <v>1028</v>
      </c>
      <c r="AD120" s="16">
        <f>SUM(AD$74,AD$78,AD$82,AD$86,AD$90)</f>
        <v>1102</v>
      </c>
      <c r="AF120" s="327"/>
      <c r="AK120" s="311"/>
    </row>
    <row r="121" spans="2:37" x14ac:dyDescent="0.3">
      <c r="D121" s="3" t="s">
        <v>533</v>
      </c>
      <c r="L121" s="16"/>
      <c r="M121" s="16"/>
      <c r="N121" s="15"/>
      <c r="O121" s="250">
        <f>P121</f>
        <v>0.16489324999999999</v>
      </c>
      <c r="P121" s="247">
        <f t="shared" ref="P121:Z121" si="65">P119/P120</f>
        <v>0.16489324999999999</v>
      </c>
      <c r="Q121" s="247">
        <f t="shared" si="65"/>
        <v>0.15704119047619047</v>
      </c>
      <c r="R121" s="247">
        <f t="shared" si="65"/>
        <v>0.16489324999999999</v>
      </c>
      <c r="S121" s="247">
        <f t="shared" si="65"/>
        <v>0.15704119047619047</v>
      </c>
      <c r="T121" s="247">
        <f t="shared" si="65"/>
        <v>0.15220915384615383</v>
      </c>
      <c r="U121" s="247">
        <f t="shared" si="65"/>
        <v>0.16489324999999999</v>
      </c>
      <c r="V121" s="247">
        <f t="shared" si="65"/>
        <v>0.19787189999999999</v>
      </c>
      <c r="W121" s="247">
        <f t="shared" si="65"/>
        <v>0.15220915384615383</v>
      </c>
      <c r="X121" s="247">
        <f t="shared" si="65"/>
        <v>0.16489324999999999</v>
      </c>
      <c r="Y121" s="366">
        <f t="shared" si="65"/>
        <v>0.16308123626373627</v>
      </c>
      <c r="Z121" s="250">
        <f t="shared" si="65"/>
        <v>0.16344892956204379</v>
      </c>
      <c r="AA121" s="247">
        <f>Z121*(1+'Key Assumption'!AB$25)</f>
        <v>0.16557376564635035</v>
      </c>
      <c r="AB121" s="247">
        <f>AA121*(1+'Key Assumption'!AC$25)</f>
        <v>0.16805737213104557</v>
      </c>
      <c r="AC121" s="247">
        <f>AB121*(1+'Key Assumption'!AD$25)</f>
        <v>0.1707462900851423</v>
      </c>
      <c r="AD121" s="247">
        <f>AC121*(1+'Key Assumption'!AE$25)</f>
        <v>0.17381972330667486</v>
      </c>
      <c r="AF121" s="327"/>
      <c r="AK121" s="311"/>
    </row>
    <row r="122" spans="2:37" x14ac:dyDescent="0.3">
      <c r="C122" s="3" t="s">
        <v>410</v>
      </c>
      <c r="L122" s="16"/>
      <c r="M122" s="16"/>
      <c r="N122" s="15"/>
      <c r="O122" s="246">
        <f>O123*O124</f>
        <v>34.412403749999996</v>
      </c>
      <c r="P122" s="16">
        <v>14.854274999999999</v>
      </c>
      <c r="Q122" s="16">
        <v>14.854274999999999</v>
      </c>
      <c r="R122" s="16">
        <v>14.854274999999999</v>
      </c>
      <c r="S122" s="16">
        <v>14.854274999999999</v>
      </c>
      <c r="T122" s="16">
        <v>14.854274999999999</v>
      </c>
      <c r="U122" s="16">
        <v>14.854274999999999</v>
      </c>
      <c r="V122" s="16">
        <v>14.854274999999999</v>
      </c>
      <c r="W122" s="16">
        <v>14.854274999999999</v>
      </c>
      <c r="X122" s="16">
        <v>14.854274999999999</v>
      </c>
      <c r="Y122" s="292">
        <f>SUM(P122:X122)</f>
        <v>133.68847499999998</v>
      </c>
      <c r="Z122" s="246">
        <f>SUM(O122,Y122)</f>
        <v>168.10087874999999</v>
      </c>
      <c r="AA122" s="16">
        <f>AA123*AA124</f>
        <v>190.6708143989288</v>
      </c>
      <c r="AB122" s="16">
        <f>AB123*AB124</f>
        <v>227.34200760109042</v>
      </c>
      <c r="AC122" s="16">
        <f>AC123*AC124</f>
        <v>263.5370756436667</v>
      </c>
      <c r="AD122" s="16">
        <f>AD123*AD124</f>
        <v>287.59278092586425</v>
      </c>
      <c r="AF122" s="327"/>
      <c r="AK122" s="311"/>
    </row>
    <row r="123" spans="2:37" x14ac:dyDescent="0.3">
      <c r="D123" s="3" t="s">
        <v>358</v>
      </c>
      <c r="L123" s="16"/>
      <c r="M123" s="16"/>
      <c r="N123" s="15"/>
      <c r="O123" s="246">
        <f>O120</f>
        <v>139</v>
      </c>
      <c r="P123" s="16">
        <f t="shared" ref="P123:X123" si="66">SUM(P$74,P$78,P$82,P$86,P$90)</f>
        <v>60</v>
      </c>
      <c r="Q123" s="16">
        <f t="shared" si="66"/>
        <v>63</v>
      </c>
      <c r="R123" s="16">
        <f t="shared" si="66"/>
        <v>60</v>
      </c>
      <c r="S123" s="16">
        <f t="shared" si="66"/>
        <v>63</v>
      </c>
      <c r="T123" s="16">
        <f t="shared" si="66"/>
        <v>65</v>
      </c>
      <c r="U123" s="16">
        <f t="shared" si="66"/>
        <v>60</v>
      </c>
      <c r="V123" s="16">
        <f t="shared" si="66"/>
        <v>50</v>
      </c>
      <c r="W123" s="16">
        <f t="shared" si="66"/>
        <v>65</v>
      </c>
      <c r="X123" s="16">
        <f t="shared" si="66"/>
        <v>60</v>
      </c>
      <c r="Y123" s="292">
        <f>SUM(P123:X123)</f>
        <v>546</v>
      </c>
      <c r="Z123" s="246">
        <f>SUM(O123,Y123)</f>
        <v>685</v>
      </c>
      <c r="AA123" s="16">
        <f>SUM(AA$74,AA$78,AA$82,AA$86,AA$90)</f>
        <v>767</v>
      </c>
      <c r="AB123" s="16">
        <f>SUM(AB$74,AB$78,AB$82,AB$86,AB$90)</f>
        <v>901</v>
      </c>
      <c r="AC123" s="16">
        <f>SUM(AC$74,AC$78,AC$82,AC$86,AC$90)</f>
        <v>1028</v>
      </c>
      <c r="AD123" s="16">
        <f>SUM(AD$74,AD$78,AD$82,AD$86,AD$90)</f>
        <v>1102</v>
      </c>
      <c r="AF123" s="327"/>
      <c r="AK123" s="311"/>
    </row>
    <row r="124" spans="2:37" x14ac:dyDescent="0.3">
      <c r="D124" s="3" t="s">
        <v>534</v>
      </c>
      <c r="L124" s="16"/>
      <c r="M124" s="16"/>
      <c r="N124" s="15"/>
      <c r="O124" s="250">
        <f>P124</f>
        <v>0.24757124999999999</v>
      </c>
      <c r="P124" s="247">
        <f t="shared" ref="P124:Z124" si="67">P122/P123</f>
        <v>0.24757124999999999</v>
      </c>
      <c r="Q124" s="247">
        <f t="shared" si="67"/>
        <v>0.23578214285714286</v>
      </c>
      <c r="R124" s="247">
        <f t="shared" si="67"/>
        <v>0.24757124999999999</v>
      </c>
      <c r="S124" s="247">
        <f t="shared" si="67"/>
        <v>0.23578214285714286</v>
      </c>
      <c r="T124" s="247">
        <f t="shared" si="67"/>
        <v>0.2285273076923077</v>
      </c>
      <c r="U124" s="247">
        <f t="shared" si="67"/>
        <v>0.24757124999999999</v>
      </c>
      <c r="V124" s="247">
        <f t="shared" si="67"/>
        <v>0.2970855</v>
      </c>
      <c r="W124" s="247">
        <f t="shared" si="67"/>
        <v>0.2285273076923077</v>
      </c>
      <c r="X124" s="247">
        <f t="shared" si="67"/>
        <v>0.24757124999999999</v>
      </c>
      <c r="Y124" s="366">
        <f t="shared" si="67"/>
        <v>0.24485068681318678</v>
      </c>
      <c r="Z124" s="250">
        <f t="shared" si="67"/>
        <v>0.24540274270072993</v>
      </c>
      <c r="AA124" s="247">
        <f>Z124*(1+'Key Assumption'!AB$25)</f>
        <v>0.24859297835583938</v>
      </c>
      <c r="AB124" s="247">
        <f>AA124*(1+'Key Assumption'!AC$25)</f>
        <v>0.25232187303117692</v>
      </c>
      <c r="AC124" s="247">
        <f>AB124*(1+'Key Assumption'!AD$25)</f>
        <v>0.25635902299967578</v>
      </c>
      <c r="AD124" s="247">
        <f>AC124*(1+'Key Assumption'!AE$25)</f>
        <v>0.26097348541366994</v>
      </c>
      <c r="AF124" s="327"/>
      <c r="AK124" s="311"/>
    </row>
    <row r="125" spans="2:37" x14ac:dyDescent="0.3">
      <c r="C125" s="3" t="s">
        <v>535</v>
      </c>
      <c r="L125" s="16"/>
      <c r="M125" s="16"/>
      <c r="N125" s="15"/>
      <c r="O125" s="246">
        <f>O126*O127</f>
        <v>4.0737424999999998</v>
      </c>
      <c r="P125" s="16">
        <v>1.7584499999999998</v>
      </c>
      <c r="Q125" s="16">
        <v>1.7584499999999998</v>
      </c>
      <c r="R125" s="16">
        <v>1.7584499999999998</v>
      </c>
      <c r="S125" s="16">
        <v>1.7584499999999998</v>
      </c>
      <c r="T125" s="16">
        <v>1.7584499999999998</v>
      </c>
      <c r="U125" s="16">
        <v>1.7584499999999998</v>
      </c>
      <c r="V125" s="16">
        <v>1.7584499999999998</v>
      </c>
      <c r="W125" s="16">
        <v>1.7584499999999998</v>
      </c>
      <c r="X125" s="16">
        <v>1.7584499999999998</v>
      </c>
      <c r="Y125" s="292">
        <f>SUM(P125:X125)</f>
        <v>15.826049999999999</v>
      </c>
      <c r="Z125" s="246">
        <f>SUM(O125,Y125)</f>
        <v>19.899792499999997</v>
      </c>
      <c r="AA125" s="16">
        <f>AA126*AA127</f>
        <v>22.57162288834671</v>
      </c>
      <c r="AB125" s="16">
        <f>AB126*AB127</f>
        <v>26.912761024428146</v>
      </c>
      <c r="AC125" s="16">
        <f>AC126*AC127</f>
        <v>31.197535434452753</v>
      </c>
      <c r="AD125" s="16">
        <f>AD126*AD127</f>
        <v>34.045251324557142</v>
      </c>
      <c r="AF125" s="327"/>
      <c r="AK125" s="311"/>
    </row>
    <row r="126" spans="2:37" x14ac:dyDescent="0.3">
      <c r="D126" s="3" t="s">
        <v>358</v>
      </c>
      <c r="L126" s="16"/>
      <c r="M126" s="16"/>
      <c r="N126" s="15"/>
      <c r="O126" s="246">
        <f>O123</f>
        <v>139</v>
      </c>
      <c r="P126" s="16">
        <f t="shared" ref="P126:X126" si="68">SUM(P$74,P$78,P$82,P$86,P$90)</f>
        <v>60</v>
      </c>
      <c r="Q126" s="16">
        <f t="shared" si="68"/>
        <v>63</v>
      </c>
      <c r="R126" s="16">
        <f t="shared" si="68"/>
        <v>60</v>
      </c>
      <c r="S126" s="16">
        <f t="shared" si="68"/>
        <v>63</v>
      </c>
      <c r="T126" s="16">
        <f t="shared" si="68"/>
        <v>65</v>
      </c>
      <c r="U126" s="16">
        <f t="shared" si="68"/>
        <v>60</v>
      </c>
      <c r="V126" s="16">
        <f t="shared" si="68"/>
        <v>50</v>
      </c>
      <c r="W126" s="16">
        <f t="shared" si="68"/>
        <v>65</v>
      </c>
      <c r="X126" s="16">
        <f t="shared" si="68"/>
        <v>60</v>
      </c>
      <c r="Y126" s="292">
        <f>SUM(P126:X126)</f>
        <v>546</v>
      </c>
      <c r="Z126" s="246">
        <f>SUM(O126,Y126)</f>
        <v>685</v>
      </c>
      <c r="AA126" s="16">
        <f>SUM(AA$74,AA$78,AA$82,AA$86,AA$90)</f>
        <v>767</v>
      </c>
      <c r="AB126" s="16">
        <f>SUM(AB$74,AB$78,AB$82,AB$86,AB$90)</f>
        <v>901</v>
      </c>
      <c r="AC126" s="16">
        <f>SUM(AC$74,AC$78,AC$82,AC$86,AC$90)</f>
        <v>1028</v>
      </c>
      <c r="AD126" s="16">
        <f>SUM(AD$74,AD$78,AD$82,AD$86,AD$90)</f>
        <v>1102</v>
      </c>
      <c r="AF126" s="327"/>
      <c r="AK126" s="311"/>
    </row>
    <row r="127" spans="2:37" x14ac:dyDescent="0.3">
      <c r="D127" s="3" t="s">
        <v>536</v>
      </c>
      <c r="L127" s="16"/>
      <c r="M127" s="16"/>
      <c r="N127" s="15"/>
      <c r="O127" s="250">
        <f>P127</f>
        <v>2.9307499999999997E-2</v>
      </c>
      <c r="P127" s="247">
        <f t="shared" ref="P127:Z127" si="69">P125/P126</f>
        <v>2.9307499999999997E-2</v>
      </c>
      <c r="Q127" s="247">
        <f t="shared" si="69"/>
        <v>2.7911904761904759E-2</v>
      </c>
      <c r="R127" s="247">
        <f t="shared" si="69"/>
        <v>2.9307499999999997E-2</v>
      </c>
      <c r="S127" s="247">
        <f t="shared" si="69"/>
        <v>2.7911904761904759E-2</v>
      </c>
      <c r="T127" s="247">
        <f t="shared" si="69"/>
        <v>2.7053076923076919E-2</v>
      </c>
      <c r="U127" s="247">
        <f t="shared" si="69"/>
        <v>2.9307499999999997E-2</v>
      </c>
      <c r="V127" s="247">
        <f t="shared" si="69"/>
        <v>3.5168999999999999E-2</v>
      </c>
      <c r="W127" s="247">
        <f t="shared" si="69"/>
        <v>2.7053076923076919E-2</v>
      </c>
      <c r="X127" s="247">
        <f t="shared" si="69"/>
        <v>2.9307499999999997E-2</v>
      </c>
      <c r="Y127" s="366">
        <f t="shared" si="69"/>
        <v>2.8985439560439558E-2</v>
      </c>
      <c r="Z127" s="250">
        <f t="shared" si="69"/>
        <v>2.9050791970802913E-2</v>
      </c>
      <c r="AA127" s="247">
        <f>Z127*(1+'Key Assumption'!AB$25)</f>
        <v>2.9428452266423349E-2</v>
      </c>
      <c r="AB127" s="247">
        <f>AA127*(1+'Key Assumption'!AC$25)</f>
        <v>2.9869879050419698E-2</v>
      </c>
      <c r="AC127" s="247">
        <f>AB127*(1+'Key Assumption'!AD$25)</f>
        <v>3.0347797115226414E-2</v>
      </c>
      <c r="AD127" s="247">
        <f>AC127*(1+'Key Assumption'!AE$25)</f>
        <v>3.0894057463300491E-2</v>
      </c>
      <c r="AF127" s="327"/>
      <c r="AK127" s="311"/>
    </row>
    <row r="128" spans="2:37" x14ac:dyDescent="0.3">
      <c r="C128" s="3" t="s">
        <v>388</v>
      </c>
      <c r="L128" s="16"/>
      <c r="M128" s="16"/>
      <c r="N128" s="15"/>
      <c r="O128" s="246">
        <f>O129*O130</f>
        <v>254.79981969084164</v>
      </c>
      <c r="P128" s="16">
        <v>109.98553367949999</v>
      </c>
      <c r="Q128" s="16">
        <v>109.98553367949999</v>
      </c>
      <c r="R128" s="16">
        <v>109.98553367949999</v>
      </c>
      <c r="S128" s="16">
        <v>109.98553367949999</v>
      </c>
      <c r="T128" s="16">
        <v>109.98553367949999</v>
      </c>
      <c r="U128" s="16">
        <v>109.98553367949999</v>
      </c>
      <c r="V128" s="16">
        <v>109.98553367949999</v>
      </c>
      <c r="W128" s="16">
        <v>109.98553367949999</v>
      </c>
      <c r="X128" s="16">
        <v>109.98553367949999</v>
      </c>
      <c r="Y128" s="292">
        <f>SUM(P128:X128)</f>
        <v>989.86980311549996</v>
      </c>
      <c r="Z128" s="246">
        <f>SUM(O128,Y128)</f>
        <v>1244.6696228063415</v>
      </c>
      <c r="AA128" s="16">
        <f>AA129*AA130</f>
        <v>1411.7842357685633</v>
      </c>
      <c r="AB128" s="16">
        <f>AB129*AB130</f>
        <v>1683.3088140467896</v>
      </c>
      <c r="AC128" s="16">
        <f>AC129*AC130</f>
        <v>1951.3080179950514</v>
      </c>
      <c r="AD128" s="16">
        <f>AD129*AD130</f>
        <v>2129.4237175831677</v>
      </c>
      <c r="AF128" s="327"/>
      <c r="AK128" s="311"/>
    </row>
    <row r="129" spans="2:37" x14ac:dyDescent="0.3">
      <c r="D129" s="3" t="s">
        <v>358</v>
      </c>
      <c r="L129" s="16"/>
      <c r="M129" s="16"/>
      <c r="N129" s="15"/>
      <c r="O129" s="246">
        <f>O126</f>
        <v>139</v>
      </c>
      <c r="P129" s="16">
        <f t="shared" ref="P129:X129" si="70">SUM(P$74,P$78,P$82,P$86,P$90)</f>
        <v>60</v>
      </c>
      <c r="Q129" s="16">
        <f t="shared" si="70"/>
        <v>63</v>
      </c>
      <c r="R129" s="16">
        <f t="shared" si="70"/>
        <v>60</v>
      </c>
      <c r="S129" s="16">
        <f t="shared" si="70"/>
        <v>63</v>
      </c>
      <c r="T129" s="16">
        <f t="shared" si="70"/>
        <v>65</v>
      </c>
      <c r="U129" s="16">
        <f t="shared" si="70"/>
        <v>60</v>
      </c>
      <c r="V129" s="16">
        <f t="shared" si="70"/>
        <v>50</v>
      </c>
      <c r="W129" s="16">
        <f t="shared" si="70"/>
        <v>65</v>
      </c>
      <c r="X129" s="16">
        <f t="shared" si="70"/>
        <v>60</v>
      </c>
      <c r="Y129" s="292">
        <f>SUM(P129:X129)</f>
        <v>546</v>
      </c>
      <c r="Z129" s="246">
        <f>SUM(O129,Y129)</f>
        <v>685</v>
      </c>
      <c r="AA129" s="16">
        <f>SUM(AA$74,AA$78,AA$82,AA$86,AA$90)</f>
        <v>767</v>
      </c>
      <c r="AB129" s="16">
        <f>SUM(AB$74,AB$78,AB$82,AB$86,AB$90)</f>
        <v>901</v>
      </c>
      <c r="AC129" s="16">
        <f>SUM(AC$74,AC$78,AC$82,AC$86,AC$90)</f>
        <v>1028</v>
      </c>
      <c r="AD129" s="16">
        <f>SUM(AD$74,AD$78,AD$82,AD$86,AD$90)</f>
        <v>1102</v>
      </c>
      <c r="AF129" s="327"/>
      <c r="AK129" s="311"/>
    </row>
    <row r="130" spans="2:37" x14ac:dyDescent="0.3">
      <c r="D130" s="3" t="s">
        <v>537</v>
      </c>
      <c r="L130" s="16"/>
      <c r="M130" s="16"/>
      <c r="N130" s="15"/>
      <c r="O130" s="250">
        <f>P130</f>
        <v>1.8330922279916666</v>
      </c>
      <c r="P130" s="247">
        <f t="shared" ref="P130:Z130" si="71">P128/P129</f>
        <v>1.8330922279916666</v>
      </c>
      <c r="Q130" s="247">
        <f t="shared" si="71"/>
        <v>1.7458021218968254</v>
      </c>
      <c r="R130" s="247">
        <f t="shared" si="71"/>
        <v>1.8330922279916666</v>
      </c>
      <c r="S130" s="247">
        <f t="shared" si="71"/>
        <v>1.7458021218968254</v>
      </c>
      <c r="T130" s="247">
        <f t="shared" si="71"/>
        <v>1.6920851335307692</v>
      </c>
      <c r="U130" s="247">
        <f t="shared" si="71"/>
        <v>1.8330922279916666</v>
      </c>
      <c r="V130" s="247">
        <f t="shared" si="71"/>
        <v>2.1997106735899998</v>
      </c>
      <c r="W130" s="247">
        <f t="shared" si="71"/>
        <v>1.6920851335307692</v>
      </c>
      <c r="X130" s="247">
        <f t="shared" si="71"/>
        <v>1.8330922279916666</v>
      </c>
      <c r="Y130" s="366">
        <f t="shared" si="71"/>
        <v>1.8129483573543956</v>
      </c>
      <c r="Z130" s="250">
        <f t="shared" si="71"/>
        <v>1.8170359457026883</v>
      </c>
      <c r="AA130" s="247">
        <f>Z130*(1+'Key Assumption'!AB$25)</f>
        <v>1.8406574129968232</v>
      </c>
      <c r="AB130" s="247">
        <f>AA130*(1+'Key Assumption'!AC$25)</f>
        <v>1.8682672741917754</v>
      </c>
      <c r="AC130" s="247">
        <f>AB130*(1+'Key Assumption'!AD$25)</f>
        <v>1.8981595505788438</v>
      </c>
      <c r="AD130" s="247">
        <f>AC130*(1+'Key Assumption'!AE$25)</f>
        <v>1.9323264224892629</v>
      </c>
      <c r="AF130" s="327"/>
      <c r="AK130" s="311"/>
    </row>
    <row r="131" spans="2:37" x14ac:dyDescent="0.3">
      <c r="C131" s="3" t="s">
        <v>538</v>
      </c>
      <c r="L131" s="16"/>
      <c r="M131" s="16"/>
      <c r="N131" s="15"/>
      <c r="O131" s="246">
        <f>O132*O133</f>
        <v>0.29531345543333332</v>
      </c>
      <c r="P131" s="16">
        <v>0.127473434</v>
      </c>
      <c r="Q131" s="16">
        <v>0.127473434</v>
      </c>
      <c r="R131" s="16">
        <v>0.127473434</v>
      </c>
      <c r="S131" s="16">
        <v>0.127473434</v>
      </c>
      <c r="T131" s="16">
        <v>0.127473434</v>
      </c>
      <c r="U131" s="16">
        <v>0.127473434</v>
      </c>
      <c r="V131" s="16">
        <v>0.127473434</v>
      </c>
      <c r="W131" s="16">
        <v>0.127473434</v>
      </c>
      <c r="X131" s="16">
        <v>0.127473434</v>
      </c>
      <c r="Y131" s="292">
        <f>SUM(P131:X131)</f>
        <v>1.1472609060000001</v>
      </c>
      <c r="Z131" s="246">
        <f>SUM(O131,Y131)</f>
        <v>1.4425743614333335</v>
      </c>
      <c r="AA131" s="16">
        <f>AA132*AA133</f>
        <v>1.6362605024484942</v>
      </c>
      <c r="AB131" s="16">
        <f>AB132*AB133</f>
        <v>1.9509579835680373</v>
      </c>
      <c r="AC131" s="16">
        <f>AC132*AC133</f>
        <v>2.2615695494136174</v>
      </c>
      <c r="AD131" s="16">
        <f>AD132*AD133</f>
        <v>2.4680059698793531</v>
      </c>
      <c r="AF131" s="327"/>
      <c r="AK131" s="311"/>
    </row>
    <row r="132" spans="2:37" x14ac:dyDescent="0.3">
      <c r="D132" s="3" t="s">
        <v>358</v>
      </c>
      <c r="L132" s="16"/>
      <c r="M132" s="16"/>
      <c r="N132" s="15"/>
      <c r="O132" s="246">
        <f>O129</f>
        <v>139</v>
      </c>
      <c r="P132" s="16">
        <f t="shared" ref="P132:X132" si="72">SUM(P$74,P$78,P$82,P$86,P$90)</f>
        <v>60</v>
      </c>
      <c r="Q132" s="16">
        <f t="shared" si="72"/>
        <v>63</v>
      </c>
      <c r="R132" s="16">
        <f t="shared" si="72"/>
        <v>60</v>
      </c>
      <c r="S132" s="16">
        <f t="shared" si="72"/>
        <v>63</v>
      </c>
      <c r="T132" s="16">
        <f t="shared" si="72"/>
        <v>65</v>
      </c>
      <c r="U132" s="16">
        <f t="shared" si="72"/>
        <v>60</v>
      </c>
      <c r="V132" s="16">
        <f t="shared" si="72"/>
        <v>50</v>
      </c>
      <c r="W132" s="16">
        <f t="shared" si="72"/>
        <v>65</v>
      </c>
      <c r="X132" s="16">
        <f t="shared" si="72"/>
        <v>60</v>
      </c>
      <c r="Y132" s="292">
        <f>SUM(P132:X132)</f>
        <v>546</v>
      </c>
      <c r="Z132" s="246">
        <f>SUM(O132,Y132)</f>
        <v>685</v>
      </c>
      <c r="AA132" s="16">
        <f>SUM(AA$74,AA$78,AA$82,AA$86,AA$90)</f>
        <v>767</v>
      </c>
      <c r="AB132" s="16">
        <f>SUM(AB$74,AB$78,AB$82,AB$86,AB$90)</f>
        <v>901</v>
      </c>
      <c r="AC132" s="16">
        <f>SUM(AC$74,AC$78,AC$82,AC$86,AC$90)</f>
        <v>1028</v>
      </c>
      <c r="AD132" s="16">
        <f>SUM(AD$74,AD$78,AD$82,AD$86,AD$90)</f>
        <v>1102</v>
      </c>
      <c r="AF132" s="327"/>
      <c r="AK132" s="311"/>
    </row>
    <row r="133" spans="2:37" x14ac:dyDescent="0.3">
      <c r="D133" s="3" t="s">
        <v>539</v>
      </c>
      <c r="L133" s="16"/>
      <c r="M133" s="16"/>
      <c r="N133" s="15"/>
      <c r="O133" s="250">
        <f>P133</f>
        <v>2.1245572333333331E-3</v>
      </c>
      <c r="P133" s="247">
        <f t="shared" ref="P133:Z133" si="73">P131/P132</f>
        <v>2.1245572333333331E-3</v>
      </c>
      <c r="Q133" s="247">
        <f t="shared" si="73"/>
        <v>2.0233878412698413E-3</v>
      </c>
      <c r="R133" s="247">
        <f t="shared" si="73"/>
        <v>2.1245572333333331E-3</v>
      </c>
      <c r="S133" s="247">
        <f t="shared" si="73"/>
        <v>2.0233878412698413E-3</v>
      </c>
      <c r="T133" s="247">
        <f t="shared" si="73"/>
        <v>1.9611297538461537E-3</v>
      </c>
      <c r="U133" s="247">
        <f t="shared" si="73"/>
        <v>2.1245572333333331E-3</v>
      </c>
      <c r="V133" s="247">
        <f t="shared" si="73"/>
        <v>2.5494686799999999E-3</v>
      </c>
      <c r="W133" s="247">
        <f t="shared" si="73"/>
        <v>1.9611297538461537E-3</v>
      </c>
      <c r="X133" s="247">
        <f t="shared" si="73"/>
        <v>2.1245572333333331E-3</v>
      </c>
      <c r="Y133" s="366">
        <f t="shared" si="73"/>
        <v>2.1012104505494507E-3</v>
      </c>
      <c r="Z133" s="250">
        <f t="shared" si="73"/>
        <v>2.1059479728953775E-3</v>
      </c>
      <c r="AA133" s="247">
        <f>Z133*(1+'Key Assumption'!AB$25)</f>
        <v>2.1333252965430173E-3</v>
      </c>
      <c r="AB133" s="247">
        <f>AA133*(1+'Key Assumption'!AC$25)</f>
        <v>2.1653251759911622E-3</v>
      </c>
      <c r="AC133" s="247">
        <f>AB133*(1+'Key Assumption'!AD$25)</f>
        <v>2.1999703788070208E-3</v>
      </c>
      <c r="AD133" s="247">
        <f>AC133*(1+'Key Assumption'!AE$25)</f>
        <v>2.2395698456255473E-3</v>
      </c>
      <c r="AF133" s="327"/>
      <c r="AK133" s="311"/>
    </row>
    <row r="134" spans="2:37" x14ac:dyDescent="0.3">
      <c r="C134" s="3" t="s">
        <v>540</v>
      </c>
      <c r="L134" s="16"/>
      <c r="M134" s="16"/>
      <c r="N134" s="15"/>
      <c r="O134" s="246">
        <f>O135*O136</f>
        <v>56.34714863</v>
      </c>
      <c r="P134" s="16">
        <v>24.3225102</v>
      </c>
      <c r="Q134" s="16">
        <v>24.3225102</v>
      </c>
      <c r="R134" s="16">
        <v>24.3225102</v>
      </c>
      <c r="S134" s="16">
        <v>24.3225102</v>
      </c>
      <c r="T134" s="16">
        <v>24.3225102</v>
      </c>
      <c r="U134" s="16">
        <v>24.3225102</v>
      </c>
      <c r="V134" s="16">
        <v>24.3225102</v>
      </c>
      <c r="W134" s="16">
        <v>24.3225102</v>
      </c>
      <c r="X134" s="16">
        <v>24.3225102</v>
      </c>
      <c r="Y134" s="292">
        <f>SUM(P134:X134)</f>
        <v>218.90259180000004</v>
      </c>
      <c r="Z134" s="246">
        <f>SUM(O134,Y134)</f>
        <v>275.24974043000003</v>
      </c>
      <c r="AA134" s="16">
        <f>AA135*AA136</f>
        <v>312.2059358710037</v>
      </c>
      <c r="AB134" s="16">
        <f>AB135*AB136</f>
        <v>372.25164464546407</v>
      </c>
      <c r="AC134" s="16">
        <f>AC135*AC136</f>
        <v>431.51774222715392</v>
      </c>
      <c r="AD134" s="16">
        <f>AD135*AD136</f>
        <v>470.90674889994307</v>
      </c>
      <c r="AF134" s="327"/>
      <c r="AK134" s="311"/>
    </row>
    <row r="135" spans="2:37" x14ac:dyDescent="0.3">
      <c r="D135" s="3" t="s">
        <v>358</v>
      </c>
      <c r="L135" s="16"/>
      <c r="M135" s="16"/>
      <c r="N135" s="15"/>
      <c r="O135" s="246">
        <f>O132</f>
        <v>139</v>
      </c>
      <c r="P135" s="16">
        <f t="shared" ref="P135:X135" si="74">SUM(P$74,P$78,P$82,P$86,P$90)</f>
        <v>60</v>
      </c>
      <c r="Q135" s="16">
        <f t="shared" si="74"/>
        <v>63</v>
      </c>
      <c r="R135" s="16">
        <f t="shared" si="74"/>
        <v>60</v>
      </c>
      <c r="S135" s="16">
        <f t="shared" si="74"/>
        <v>63</v>
      </c>
      <c r="T135" s="16">
        <f t="shared" si="74"/>
        <v>65</v>
      </c>
      <c r="U135" s="16">
        <f t="shared" si="74"/>
        <v>60</v>
      </c>
      <c r="V135" s="16">
        <f t="shared" si="74"/>
        <v>50</v>
      </c>
      <c r="W135" s="16">
        <f t="shared" si="74"/>
        <v>65</v>
      </c>
      <c r="X135" s="16">
        <f t="shared" si="74"/>
        <v>60</v>
      </c>
      <c r="Y135" s="292">
        <f>SUM(P135:X135)</f>
        <v>546</v>
      </c>
      <c r="Z135" s="246">
        <f>SUM(O135,Y135)</f>
        <v>685</v>
      </c>
      <c r="AA135" s="16">
        <f>SUM(AA$74,AA$78,AA$82,AA$86,AA$90)</f>
        <v>767</v>
      </c>
      <c r="AB135" s="16">
        <f>SUM(AB$74,AB$78,AB$82,AB$86,AB$90)</f>
        <v>901</v>
      </c>
      <c r="AC135" s="16">
        <f>SUM(AC$74,AC$78,AC$82,AC$86,AC$90)</f>
        <v>1028</v>
      </c>
      <c r="AD135" s="16">
        <f>SUM(AD$74,AD$78,AD$82,AD$86,AD$90)</f>
        <v>1102</v>
      </c>
      <c r="AF135" s="327"/>
      <c r="AK135" s="311"/>
    </row>
    <row r="136" spans="2:37" x14ac:dyDescent="0.3">
      <c r="B136" s="92"/>
      <c r="C136" s="92"/>
      <c r="D136" s="92" t="s">
        <v>541</v>
      </c>
      <c r="E136" s="92"/>
      <c r="F136" s="92"/>
      <c r="G136" s="92"/>
      <c r="H136" s="92"/>
      <c r="I136" s="92"/>
      <c r="J136" s="92"/>
      <c r="K136" s="92"/>
      <c r="L136" s="130"/>
      <c r="M136" s="130"/>
      <c r="N136" s="131"/>
      <c r="O136" s="253">
        <f>P136</f>
        <v>0.40537517000000001</v>
      </c>
      <c r="P136" s="251">
        <f t="shared" ref="P136:Z136" si="75">P134/P135</f>
        <v>0.40537517000000001</v>
      </c>
      <c r="Q136" s="251">
        <f t="shared" si="75"/>
        <v>0.3860715904761905</v>
      </c>
      <c r="R136" s="251">
        <f t="shared" si="75"/>
        <v>0.40537517000000001</v>
      </c>
      <c r="S136" s="251">
        <f t="shared" si="75"/>
        <v>0.3860715904761905</v>
      </c>
      <c r="T136" s="251">
        <f t="shared" si="75"/>
        <v>0.37419246461538463</v>
      </c>
      <c r="U136" s="251">
        <f t="shared" si="75"/>
        <v>0.40537517000000001</v>
      </c>
      <c r="V136" s="251">
        <f t="shared" si="75"/>
        <v>0.486450204</v>
      </c>
      <c r="W136" s="251">
        <f t="shared" si="75"/>
        <v>0.37419246461538463</v>
      </c>
      <c r="X136" s="251">
        <f t="shared" si="75"/>
        <v>0.40537517000000001</v>
      </c>
      <c r="Y136" s="484">
        <f t="shared" si="75"/>
        <v>0.40092049780219785</v>
      </c>
      <c r="Z136" s="253">
        <f t="shared" si="75"/>
        <v>0.40182443858394168</v>
      </c>
      <c r="AA136" s="251">
        <f>Z136*(1+'Key Assumption'!AB$25)</f>
        <v>0.40704815628553287</v>
      </c>
      <c r="AB136" s="251">
        <f>AA136*(1+'Key Assumption'!AC$25)</f>
        <v>0.41315387862981584</v>
      </c>
      <c r="AC136" s="251">
        <f>AB136*(1+'Key Assumption'!AD$25)</f>
        <v>0.41976434068789292</v>
      </c>
      <c r="AD136" s="251">
        <f>AC136*(1+'Key Assumption'!AE$25)</f>
        <v>0.427320098820275</v>
      </c>
      <c r="AF136" s="327"/>
      <c r="AK136" s="311"/>
    </row>
    <row r="137" spans="2:37" x14ac:dyDescent="0.3">
      <c r="AF137" s="327"/>
      <c r="AK137" s="311"/>
    </row>
    <row r="138" spans="2:37" x14ac:dyDescent="0.3">
      <c r="B138" s="8"/>
      <c r="C138" s="8"/>
      <c r="D138" s="8"/>
      <c r="E138" s="8"/>
      <c r="F138" s="8"/>
      <c r="G138" s="8"/>
      <c r="H138" s="8"/>
      <c r="I138" s="8"/>
      <c r="J138" s="8"/>
      <c r="K138" s="8"/>
      <c r="L138" s="9" t="s">
        <v>182</v>
      </c>
      <c r="M138" s="9" t="s">
        <v>183</v>
      </c>
      <c r="N138" s="10" t="s">
        <v>184</v>
      </c>
      <c r="O138" s="244" t="s">
        <v>4</v>
      </c>
      <c r="P138" s="9" t="s">
        <v>215</v>
      </c>
      <c r="Q138" s="9" t="s">
        <v>216</v>
      </c>
      <c r="R138" s="9" t="s">
        <v>217</v>
      </c>
      <c r="S138" s="9" t="s">
        <v>218</v>
      </c>
      <c r="T138" s="9" t="s">
        <v>219</v>
      </c>
      <c r="U138" s="9" t="s">
        <v>220</v>
      </c>
      <c r="V138" s="9" t="s">
        <v>221</v>
      </c>
      <c r="W138" s="9" t="s">
        <v>222</v>
      </c>
      <c r="X138" s="10" t="s">
        <v>223</v>
      </c>
      <c r="Y138" s="9" t="s">
        <v>294</v>
      </c>
      <c r="Z138" s="244" t="s">
        <v>197</v>
      </c>
      <c r="AA138" s="9" t="s">
        <v>198</v>
      </c>
      <c r="AB138" s="9" t="s">
        <v>199</v>
      </c>
      <c r="AC138" s="9" t="s">
        <v>200</v>
      </c>
      <c r="AD138" s="9" t="s">
        <v>201</v>
      </c>
      <c r="AF138" s="327"/>
      <c r="AK138" s="311"/>
    </row>
    <row r="139" spans="2:37" x14ac:dyDescent="0.3">
      <c r="B139" s="11" t="s">
        <v>348</v>
      </c>
      <c r="L139" s="16"/>
      <c r="M139" s="16"/>
      <c r="N139" s="15"/>
      <c r="O139" s="326">
        <v>423.70693244452838</v>
      </c>
      <c r="P139" s="13">
        <f t="shared" ref="P139:X139" si="76">SUM(P140:P154)</f>
        <v>153.44631350593582</v>
      </c>
      <c r="Q139" s="13">
        <f t="shared" si="76"/>
        <v>153.44631350593582</v>
      </c>
      <c r="R139" s="13">
        <f t="shared" si="76"/>
        <v>153.44631350593582</v>
      </c>
      <c r="S139" s="13">
        <f t="shared" si="76"/>
        <v>152.54002277899235</v>
      </c>
      <c r="T139" s="13">
        <f t="shared" si="76"/>
        <v>152.54002277899235</v>
      </c>
      <c r="U139" s="13">
        <f t="shared" si="76"/>
        <v>152.54002277899235</v>
      </c>
      <c r="V139" s="13">
        <f t="shared" si="76"/>
        <v>150.14530867428959</v>
      </c>
      <c r="W139" s="13">
        <f t="shared" si="76"/>
        <v>150.14530867428959</v>
      </c>
      <c r="X139" s="13">
        <f t="shared" si="76"/>
        <v>150.14530867428959</v>
      </c>
      <c r="Y139" s="396">
        <f t="shared" ref="Y139:Y154" si="77">SUM(P139:X139)</f>
        <v>1368.3949348776532</v>
      </c>
      <c r="Z139" s="326">
        <f t="shared" ref="Z139:Z154" si="78">SUM(O139,Y139)</f>
        <v>1792.1018673221815</v>
      </c>
      <c r="AA139" s="13">
        <f>SUM(AA140:AA154)</f>
        <v>865.79230005408465</v>
      </c>
      <c r="AB139" s="13">
        <f>SUM(AB140:AB154)</f>
        <v>870.57320606241285</v>
      </c>
      <c r="AC139" s="13">
        <f>SUM(AC140:AC154)</f>
        <v>861.19739990866435</v>
      </c>
      <c r="AD139" s="13">
        <f>SUM(AD140:AD154)</f>
        <v>893.95506560913441</v>
      </c>
      <c r="AF139" s="327"/>
      <c r="AK139" s="311"/>
    </row>
    <row r="140" spans="2:37" x14ac:dyDescent="0.3">
      <c r="B140" s="11"/>
      <c r="C140" s="3" t="s">
        <v>386</v>
      </c>
      <c r="L140" s="16"/>
      <c r="M140" s="16"/>
      <c r="N140" s="15"/>
      <c r="O140" s="485"/>
      <c r="P140" s="16">
        <f>CAPEX_강소!P25</f>
        <v>130.25672076942854</v>
      </c>
      <c r="Q140" s="16">
        <f>CAPEX_강소!Q25</f>
        <v>130.25672076942854</v>
      </c>
      <c r="R140" s="16">
        <f>CAPEX_강소!R25</f>
        <v>130.25672076942854</v>
      </c>
      <c r="S140" s="16">
        <f>CAPEX_강소!S25</f>
        <v>129.35773152998317</v>
      </c>
      <c r="T140" s="16">
        <f>CAPEX_강소!T25</f>
        <v>129.35773152998317</v>
      </c>
      <c r="U140" s="16">
        <f>CAPEX_강소!U25</f>
        <v>129.35773152998317</v>
      </c>
      <c r="V140" s="16">
        <f>CAPEX_강소!V25</f>
        <v>126.98231032388044</v>
      </c>
      <c r="W140" s="16">
        <f>CAPEX_강소!W25</f>
        <v>126.98231032388044</v>
      </c>
      <c r="X140" s="16">
        <f>CAPEX_강소!X25</f>
        <v>126.98231032388044</v>
      </c>
      <c r="Y140" s="292">
        <f>CAPEX_강소!Y25</f>
        <v>1206.686772431817</v>
      </c>
      <c r="Z140" s="246">
        <f>CAPEX_강소!Z25</f>
        <v>1256.8098373918169</v>
      </c>
      <c r="AA140" s="16">
        <f>CAPEX_강소!AA25</f>
        <v>655.05743164841329</v>
      </c>
      <c r="AB140" s="16">
        <f>CAPEX_강소!AB25</f>
        <v>661.29949342268685</v>
      </c>
      <c r="AC140" s="16">
        <f>CAPEX_강소!AC25</f>
        <v>649.3482212135234</v>
      </c>
      <c r="AD140" s="16">
        <f>CAPEX_강소!AD25</f>
        <v>679.37093159771382</v>
      </c>
      <c r="AF140" s="327"/>
      <c r="AK140" s="311"/>
    </row>
    <row r="141" spans="2:37" x14ac:dyDescent="0.3">
      <c r="B141" s="11"/>
      <c r="C141" s="3" t="s">
        <v>416</v>
      </c>
      <c r="L141" s="16"/>
      <c r="M141" s="16"/>
      <c r="N141" s="15"/>
      <c r="O141" s="485"/>
      <c r="P141" s="16">
        <f>CAPEX_강소!P36</f>
        <v>1.0579301470072384</v>
      </c>
      <c r="Q141" s="16">
        <f>CAPEX_강소!Q36</f>
        <v>1.0579301470072384</v>
      </c>
      <c r="R141" s="16">
        <f>CAPEX_강소!R36</f>
        <v>1.0579301470072384</v>
      </c>
      <c r="S141" s="16">
        <f>CAPEX_강소!S36</f>
        <v>1.0506286595091165</v>
      </c>
      <c r="T141" s="16">
        <f>CAPEX_강소!T36</f>
        <v>1.0506286595091165</v>
      </c>
      <c r="U141" s="16">
        <f>CAPEX_강소!U36</f>
        <v>1.0506286595091165</v>
      </c>
      <c r="V141" s="16">
        <f>CAPEX_강소!V36</f>
        <v>1.031335760909091</v>
      </c>
      <c r="W141" s="16">
        <f>CAPEX_강소!W36</f>
        <v>1.031335760909091</v>
      </c>
      <c r="X141" s="16">
        <f>CAPEX_강소!X36</f>
        <v>1.031335760909091</v>
      </c>
      <c r="Y141" s="292">
        <f>CAPEX_강소!Y36</f>
        <v>9.7729218411116996</v>
      </c>
      <c r="Z141" s="246">
        <f>CAPEX_강소!Z36</f>
        <v>13.4214884811117</v>
      </c>
      <c r="AA141" s="16">
        <f>CAPEX_강소!AA36</f>
        <v>8.9605005771998929</v>
      </c>
      <c r="AB141" s="16">
        <f>CAPEX_강소!AB36</f>
        <v>4.4727292938274257</v>
      </c>
      <c r="AC141" s="16">
        <f>CAPEX_강소!AC36</f>
        <v>3.771379615708315</v>
      </c>
      <c r="AD141" s="16">
        <f>CAPEX_강소!AD36</f>
        <v>2.7609345485580894</v>
      </c>
      <c r="AF141" s="327"/>
      <c r="AK141" s="311"/>
    </row>
    <row r="142" spans="2:37" x14ac:dyDescent="0.3">
      <c r="B142" s="11"/>
      <c r="C142" s="3" t="s">
        <v>542</v>
      </c>
      <c r="L142" s="16"/>
      <c r="M142" s="16"/>
      <c r="N142" s="15"/>
      <c r="O142" s="485"/>
      <c r="P142" s="16">
        <v>0.98873848949999987</v>
      </c>
      <c r="Q142" s="16">
        <v>0.98873848949999987</v>
      </c>
      <c r="R142" s="16">
        <v>0.98873848949999987</v>
      </c>
      <c r="S142" s="16">
        <v>0.98873848949999987</v>
      </c>
      <c r="T142" s="16">
        <v>0.98873848949999987</v>
      </c>
      <c r="U142" s="16">
        <v>0.98873848949999987</v>
      </c>
      <c r="V142" s="16">
        <v>0.98873848949999987</v>
      </c>
      <c r="W142" s="16">
        <v>0.98873848949999987</v>
      </c>
      <c r="X142" s="16">
        <v>0.98873848949999987</v>
      </c>
      <c r="Y142" s="292">
        <f t="shared" si="77"/>
        <v>8.8986464054999992</v>
      </c>
      <c r="Z142" s="246">
        <f t="shared" si="78"/>
        <v>8.8986464054999992</v>
      </c>
      <c r="AA142" s="16">
        <f>Z142*(1+'Key Assumption'!AB$25)</f>
        <v>9.0143288087714986</v>
      </c>
      <c r="AB142" s="16">
        <f>AA142*(1+'Key Assumption'!AC$25)</f>
        <v>9.14954374090307</v>
      </c>
      <c r="AC142" s="16">
        <f>AB142*(1+'Key Assumption'!AD$25)</f>
        <v>9.2959364407575187</v>
      </c>
      <c r="AD142" s="16">
        <f>AC142*(1+'Key Assumption'!AE$25)</f>
        <v>9.4632632966911547</v>
      </c>
      <c r="AF142" s="327"/>
      <c r="AK142" s="311"/>
    </row>
    <row r="143" spans="2:37" x14ac:dyDescent="0.3">
      <c r="B143" s="11"/>
      <c r="C143" s="3" t="s">
        <v>543</v>
      </c>
      <c r="L143" s="16"/>
      <c r="M143" s="16"/>
      <c r="N143" s="15"/>
      <c r="O143" s="485"/>
      <c r="P143" s="16">
        <v>0.95755314999999985</v>
      </c>
      <c r="Q143" s="16">
        <v>0.95755314999999985</v>
      </c>
      <c r="R143" s="16">
        <v>0.95755314999999985</v>
      </c>
      <c r="S143" s="16">
        <v>0.95755314999999985</v>
      </c>
      <c r="T143" s="16">
        <v>0.95755314999999985</v>
      </c>
      <c r="U143" s="16">
        <v>0.95755314999999985</v>
      </c>
      <c r="V143" s="16">
        <v>0.95755314999999985</v>
      </c>
      <c r="W143" s="16">
        <v>0.95755314999999985</v>
      </c>
      <c r="X143" s="16">
        <v>0.95755314999999985</v>
      </c>
      <c r="Y143" s="292">
        <f t="shared" si="77"/>
        <v>8.6179783499999978</v>
      </c>
      <c r="Z143" s="246">
        <f t="shared" si="78"/>
        <v>8.6179783499999978</v>
      </c>
      <c r="AA143" s="16">
        <f>Z143*(1+'Key Assumption'!AB$25)</f>
        <v>8.7300120685499962</v>
      </c>
      <c r="AB143" s="16">
        <f>AA143*(1+'Key Assumption'!AC$25)</f>
        <v>8.860962249578245</v>
      </c>
      <c r="AC143" s="16">
        <f>AB143*(1+'Key Assumption'!AD$25)</f>
        <v>9.0027376455714965</v>
      </c>
      <c r="AD143" s="16">
        <f>AC143*(1+'Key Assumption'!AE$25)</f>
        <v>9.1647869231917838</v>
      </c>
      <c r="AF143" s="327"/>
      <c r="AK143" s="311"/>
    </row>
    <row r="144" spans="2:37" x14ac:dyDescent="0.3">
      <c r="B144" s="11"/>
      <c r="C144" s="3" t="s">
        <v>395</v>
      </c>
      <c r="L144" s="16"/>
      <c r="M144" s="16"/>
      <c r="N144" s="15"/>
      <c r="O144" s="485"/>
      <c r="P144" s="16">
        <v>2.4926799999999996</v>
      </c>
      <c r="Q144" s="16">
        <v>2.4926799999999996</v>
      </c>
      <c r="R144" s="16">
        <v>2.4926799999999996</v>
      </c>
      <c r="S144" s="16">
        <v>2.4926799999999996</v>
      </c>
      <c r="T144" s="16">
        <v>2.4926799999999996</v>
      </c>
      <c r="U144" s="16">
        <v>2.4926799999999996</v>
      </c>
      <c r="V144" s="16">
        <v>2.4926799999999996</v>
      </c>
      <c r="W144" s="16">
        <v>2.4926799999999996</v>
      </c>
      <c r="X144" s="16">
        <v>2.4926799999999996</v>
      </c>
      <c r="Y144" s="292">
        <f t="shared" si="77"/>
        <v>22.434119999999997</v>
      </c>
      <c r="Z144" s="246">
        <f t="shared" si="78"/>
        <v>22.434119999999997</v>
      </c>
      <c r="AA144" s="16">
        <f>Z144*(1+'Key Assumption'!AB$25)</f>
        <v>22.725763559999994</v>
      </c>
      <c r="AB144" s="16">
        <f>AA144*(1+'Key Assumption'!AC$25)</f>
        <v>23.06665001339999</v>
      </c>
      <c r="AC144" s="16">
        <f>AB144*(1+'Key Assumption'!AD$25)</f>
        <v>23.43571641361439</v>
      </c>
      <c r="AD144" s="16">
        <f>AC144*(1+'Key Assumption'!AE$25)</f>
        <v>23.85755930905945</v>
      </c>
      <c r="AF144" s="327"/>
      <c r="AK144" s="311"/>
    </row>
    <row r="145" spans="2:37" x14ac:dyDescent="0.3">
      <c r="B145" s="11"/>
      <c r="C145" s="3" t="s">
        <v>488</v>
      </c>
      <c r="L145" s="16"/>
      <c r="M145" s="16"/>
      <c r="N145" s="15"/>
      <c r="O145" s="485"/>
      <c r="P145" s="16">
        <v>0.95943499999999993</v>
      </c>
      <c r="Q145" s="16">
        <v>0.95943499999999993</v>
      </c>
      <c r="R145" s="16">
        <v>0.95943499999999993</v>
      </c>
      <c r="S145" s="16">
        <v>0.95943499999999993</v>
      </c>
      <c r="T145" s="16">
        <v>0.95943499999999993</v>
      </c>
      <c r="U145" s="16">
        <v>0.95943499999999993</v>
      </c>
      <c r="V145" s="16">
        <v>0.95943499999999993</v>
      </c>
      <c r="W145" s="16">
        <v>0.95943499999999993</v>
      </c>
      <c r="X145" s="16">
        <v>0.95943499999999993</v>
      </c>
      <c r="Y145" s="292">
        <f t="shared" si="77"/>
        <v>8.6349149999999995</v>
      </c>
      <c r="Z145" s="246">
        <f t="shared" si="78"/>
        <v>8.6349149999999995</v>
      </c>
      <c r="AA145" s="16">
        <f>Z145*(1+'Key Assumption'!AB$25)</f>
        <v>8.7471688949999979</v>
      </c>
      <c r="AB145" s="16">
        <f>AA145*(1+'Key Assumption'!AC$25)</f>
        <v>8.8783764284249962</v>
      </c>
      <c r="AC145" s="16">
        <f>AB145*(1+'Key Assumption'!AD$25)</f>
        <v>9.0204304512797968</v>
      </c>
      <c r="AD145" s="16">
        <f>AC145*(1+'Key Assumption'!AE$25)</f>
        <v>9.1827981994028338</v>
      </c>
      <c r="AF145" s="327"/>
      <c r="AK145" s="311"/>
    </row>
    <row r="146" spans="2:37" x14ac:dyDescent="0.3">
      <c r="B146" s="11"/>
      <c r="C146" s="3" t="s">
        <v>402</v>
      </c>
      <c r="L146" s="16"/>
      <c r="M146" s="16"/>
      <c r="N146" s="15"/>
      <c r="O146" s="485"/>
      <c r="P146" s="16">
        <v>1.0488999999999999</v>
      </c>
      <c r="Q146" s="16">
        <v>1.0488999999999999</v>
      </c>
      <c r="R146" s="16">
        <v>1.0488999999999999</v>
      </c>
      <c r="S146" s="16">
        <v>1.0488999999999999</v>
      </c>
      <c r="T146" s="16">
        <v>1.0488999999999999</v>
      </c>
      <c r="U146" s="16">
        <v>1.0488999999999999</v>
      </c>
      <c r="V146" s="16">
        <v>1.0488999999999999</v>
      </c>
      <c r="W146" s="16">
        <v>1.0488999999999999</v>
      </c>
      <c r="X146" s="16">
        <v>1.0488999999999999</v>
      </c>
      <c r="Y146" s="292">
        <f t="shared" si="77"/>
        <v>9.4400999999999993</v>
      </c>
      <c r="Z146" s="246">
        <f t="shared" si="78"/>
        <v>9.4400999999999993</v>
      </c>
      <c r="AA146" s="16">
        <f>Z146*(1+'Key Assumption'!AB$25)</f>
        <v>9.5628212999999977</v>
      </c>
      <c r="AB146" s="16">
        <f>AA146*(1+'Key Assumption'!AC$25)</f>
        <v>9.7062636194999961</v>
      </c>
      <c r="AC146" s="16">
        <f>AB146*(1+'Key Assumption'!AD$25)</f>
        <v>9.861563837411996</v>
      </c>
      <c r="AD146" s="16">
        <f>AC146*(1+'Key Assumption'!AE$25)</f>
        <v>10.039071986485412</v>
      </c>
      <c r="AF146" s="327"/>
      <c r="AK146" s="311"/>
    </row>
    <row r="147" spans="2:37" x14ac:dyDescent="0.3">
      <c r="C147" s="3" t="s">
        <v>389</v>
      </c>
      <c r="L147" s="16"/>
      <c r="M147" s="16"/>
      <c r="N147" s="15"/>
      <c r="O147" s="485"/>
      <c r="P147" s="16">
        <v>1.6634319999999996</v>
      </c>
      <c r="Q147" s="16">
        <v>1.6634319999999996</v>
      </c>
      <c r="R147" s="16">
        <v>1.6634319999999996</v>
      </c>
      <c r="S147" s="16">
        <v>1.6634319999999996</v>
      </c>
      <c r="T147" s="16">
        <v>1.6634319999999996</v>
      </c>
      <c r="U147" s="16">
        <v>1.6634319999999996</v>
      </c>
      <c r="V147" s="16">
        <v>1.6634319999999996</v>
      </c>
      <c r="W147" s="16">
        <v>1.6634319999999996</v>
      </c>
      <c r="X147" s="16">
        <v>1.6634319999999996</v>
      </c>
      <c r="Y147" s="292">
        <f t="shared" si="77"/>
        <v>14.970887999999999</v>
      </c>
      <c r="Z147" s="246">
        <f t="shared" si="78"/>
        <v>14.970887999999999</v>
      </c>
      <c r="AA147" s="16">
        <f>Z147*(1+'Key Assumption'!AB$25)</f>
        <v>15.165509543999997</v>
      </c>
      <c r="AB147" s="16">
        <f>AA147*(1+'Key Assumption'!AC$25)</f>
        <v>15.392992187159996</v>
      </c>
      <c r="AC147" s="16">
        <f>AB147*(1+'Key Assumption'!AD$25)</f>
        <v>15.639280062154556</v>
      </c>
      <c r="AD147" s="16">
        <f>AC147*(1+'Key Assumption'!AE$25)</f>
        <v>15.920787103273339</v>
      </c>
      <c r="AF147" s="327"/>
      <c r="AK147" s="311"/>
    </row>
    <row r="148" spans="2:37" x14ac:dyDescent="0.3">
      <c r="C148" s="3" t="s">
        <v>544</v>
      </c>
      <c r="L148" s="16"/>
      <c r="M148" s="16"/>
      <c r="N148" s="15"/>
      <c r="O148" s="485"/>
      <c r="P148" s="16">
        <v>0.65633374999999994</v>
      </c>
      <c r="Q148" s="16">
        <v>0.65633374999999994</v>
      </c>
      <c r="R148" s="16">
        <v>0.65633374999999994</v>
      </c>
      <c r="S148" s="16">
        <v>0.65633374999999994</v>
      </c>
      <c r="T148" s="16">
        <v>0.65633374999999994</v>
      </c>
      <c r="U148" s="16">
        <v>0.65633374999999994</v>
      </c>
      <c r="V148" s="16">
        <v>0.65633374999999994</v>
      </c>
      <c r="W148" s="16">
        <v>0.65633374999999994</v>
      </c>
      <c r="X148" s="16">
        <v>0.65633374999999994</v>
      </c>
      <c r="Y148" s="292">
        <f t="shared" si="77"/>
        <v>5.9070037499999994</v>
      </c>
      <c r="Z148" s="246">
        <f t="shared" si="78"/>
        <v>5.9070037499999994</v>
      </c>
      <c r="AA148" s="16">
        <f>Z148*(1+'Key Assumption'!AB$25)</f>
        <v>5.9837947987499991</v>
      </c>
      <c r="AB148" s="16">
        <f>AA148*(1+'Key Assumption'!AC$25)</f>
        <v>6.0735517207312482</v>
      </c>
      <c r="AC148" s="16">
        <f>AB148*(1+'Key Assumption'!AD$25)</f>
        <v>6.1707285482629484</v>
      </c>
      <c r="AD148" s="16">
        <f>AC148*(1+'Key Assumption'!AE$25)</f>
        <v>6.2818016621316817</v>
      </c>
      <c r="AF148" s="327"/>
      <c r="AK148" s="311"/>
    </row>
    <row r="149" spans="2:37" x14ac:dyDescent="0.3">
      <c r="C149" s="3" t="s">
        <v>489</v>
      </c>
      <c r="L149" s="16"/>
      <c r="M149" s="16"/>
      <c r="N149" s="15"/>
      <c r="O149" s="485"/>
      <c r="P149" s="16">
        <v>1.4091662999999999</v>
      </c>
      <c r="Q149" s="16">
        <v>1.4091662999999999</v>
      </c>
      <c r="R149" s="16">
        <v>1.4091662999999999</v>
      </c>
      <c r="S149" s="16">
        <v>1.4091662999999999</v>
      </c>
      <c r="T149" s="16">
        <v>1.4091662999999999</v>
      </c>
      <c r="U149" s="16">
        <v>1.4091662999999999</v>
      </c>
      <c r="V149" s="16">
        <v>1.4091662999999999</v>
      </c>
      <c r="W149" s="16">
        <v>1.4091662999999999</v>
      </c>
      <c r="X149" s="16">
        <v>1.4091662999999999</v>
      </c>
      <c r="Y149" s="292">
        <f t="shared" si="77"/>
        <v>12.682496699999998</v>
      </c>
      <c r="Z149" s="246">
        <f t="shared" si="78"/>
        <v>12.682496699999998</v>
      </c>
      <c r="AA149" s="16">
        <f>Z149*(1+'Key Assumption'!AB$25)</f>
        <v>12.847369157099997</v>
      </c>
      <c r="AB149" s="16">
        <f>AA149*(1+'Key Assumption'!AC$25)</f>
        <v>13.040079694456496</v>
      </c>
      <c r="AC149" s="16">
        <f>AB149*(1+'Key Assumption'!AD$25)</f>
        <v>13.248720969567801</v>
      </c>
      <c r="AD149" s="16">
        <f>AC149*(1+'Key Assumption'!AE$25)</f>
        <v>13.487197947020022</v>
      </c>
      <c r="AF149" s="327"/>
      <c r="AK149" s="311"/>
    </row>
    <row r="150" spans="2:37" x14ac:dyDescent="0.3">
      <c r="C150" s="3" t="s">
        <v>495</v>
      </c>
      <c r="L150" s="16"/>
      <c r="M150" s="16"/>
      <c r="N150" s="15"/>
      <c r="O150" s="485"/>
      <c r="P150" s="16">
        <v>0.23338024999999996</v>
      </c>
      <c r="Q150" s="16">
        <v>0.23338024999999996</v>
      </c>
      <c r="R150" s="16">
        <v>0.23338024999999996</v>
      </c>
      <c r="S150" s="16">
        <v>0.23338024999999996</v>
      </c>
      <c r="T150" s="16">
        <v>0.23338024999999996</v>
      </c>
      <c r="U150" s="16">
        <v>0.23338024999999996</v>
      </c>
      <c r="V150" s="16">
        <v>0.23338024999999996</v>
      </c>
      <c r="W150" s="16">
        <v>0.23338024999999996</v>
      </c>
      <c r="X150" s="16">
        <v>0.23338024999999996</v>
      </c>
      <c r="Y150" s="292">
        <f t="shared" si="77"/>
        <v>2.1004222499999994</v>
      </c>
      <c r="Z150" s="246">
        <f t="shared" si="78"/>
        <v>2.1004222499999994</v>
      </c>
      <c r="AA150" s="16">
        <f>Z150*(1+'Key Assumption'!AB$25)</f>
        <v>2.1277277392499991</v>
      </c>
      <c r="AB150" s="16">
        <f>AA150*(1+'Key Assumption'!AC$25)</f>
        <v>2.159643655338749</v>
      </c>
      <c r="AC150" s="16">
        <f>AB150*(1+'Key Assumption'!AD$25)</f>
        <v>2.1941979538241689</v>
      </c>
      <c r="AD150" s="16">
        <f>AC150*(1+'Key Assumption'!AE$25)</f>
        <v>2.2336935169930041</v>
      </c>
      <c r="AF150" s="327"/>
      <c r="AK150" s="311"/>
    </row>
    <row r="151" spans="2:37" x14ac:dyDescent="0.3">
      <c r="C151" s="3" t="s">
        <v>545</v>
      </c>
      <c r="L151" s="16"/>
      <c r="M151" s="16"/>
      <c r="N151" s="15"/>
      <c r="O151" s="485"/>
      <c r="P151" s="16">
        <v>0.63551000000000002</v>
      </c>
      <c r="Q151" s="16">
        <v>0.63551000000000002</v>
      </c>
      <c r="R151" s="16">
        <v>0.63551000000000002</v>
      </c>
      <c r="S151" s="16">
        <v>0.63551000000000002</v>
      </c>
      <c r="T151" s="16">
        <v>0.63551000000000002</v>
      </c>
      <c r="U151" s="16">
        <v>0.63551000000000002</v>
      </c>
      <c r="V151" s="16">
        <v>0.63551000000000002</v>
      </c>
      <c r="W151" s="16">
        <v>0.63551000000000002</v>
      </c>
      <c r="X151" s="16">
        <v>0.63551000000000002</v>
      </c>
      <c r="Y151" s="292">
        <f t="shared" si="77"/>
        <v>5.7195900000000002</v>
      </c>
      <c r="Z151" s="246">
        <f t="shared" si="78"/>
        <v>5.7195900000000002</v>
      </c>
      <c r="AA151" s="16">
        <f>Z151*(1+'Key Assumption'!AB$25)</f>
        <v>5.7939446699999992</v>
      </c>
      <c r="AB151" s="16">
        <f>AA151*(1+'Key Assumption'!AC$25)</f>
        <v>5.8808538400499986</v>
      </c>
      <c r="AC151" s="16">
        <f>AB151*(1+'Key Assumption'!AD$25)</f>
        <v>5.9749475014907985</v>
      </c>
      <c r="AD151" s="16">
        <f>AC151*(1+'Key Assumption'!AE$25)</f>
        <v>6.0824965565176328</v>
      </c>
      <c r="AF151" s="327"/>
      <c r="AK151" s="311"/>
    </row>
    <row r="152" spans="2:37" x14ac:dyDescent="0.3">
      <c r="C152" s="3" t="s">
        <v>546</v>
      </c>
      <c r="L152" s="16"/>
      <c r="M152" s="16"/>
      <c r="N152" s="15"/>
      <c r="O152" s="485"/>
      <c r="P152" s="16">
        <v>0.80209999999999992</v>
      </c>
      <c r="Q152" s="16">
        <v>0.80209999999999992</v>
      </c>
      <c r="R152" s="16">
        <v>0.80209999999999992</v>
      </c>
      <c r="S152" s="16">
        <v>0.80209999999999992</v>
      </c>
      <c r="T152" s="16">
        <v>0.80209999999999992</v>
      </c>
      <c r="U152" s="16">
        <v>0.80209999999999992</v>
      </c>
      <c r="V152" s="16">
        <v>0.80209999999999992</v>
      </c>
      <c r="W152" s="16">
        <v>0.80209999999999992</v>
      </c>
      <c r="X152" s="16">
        <v>0.80209999999999992</v>
      </c>
      <c r="Y152" s="292">
        <f t="shared" si="77"/>
        <v>7.2189000000000005</v>
      </c>
      <c r="Z152" s="246">
        <f t="shared" si="78"/>
        <v>7.2189000000000005</v>
      </c>
      <c r="AA152" s="16">
        <f>Z152*(1+'Key Assumption'!AB$25)</f>
        <v>7.3127456999999998</v>
      </c>
      <c r="AB152" s="16">
        <f>AA152*(1+'Key Assumption'!AC$25)</f>
        <v>7.4224368854999989</v>
      </c>
      <c r="AC152" s="16">
        <f>AB152*(1+'Key Assumption'!AD$25)</f>
        <v>7.5411958756679986</v>
      </c>
      <c r="AD152" s="16">
        <f>AC152*(1+'Key Assumption'!AE$25)</f>
        <v>7.6769374014300231</v>
      </c>
      <c r="AF152" s="327"/>
      <c r="AK152" s="311"/>
    </row>
    <row r="153" spans="2:37" x14ac:dyDescent="0.3">
      <c r="C153" s="3" t="s">
        <v>547</v>
      </c>
      <c r="L153" s="16"/>
      <c r="M153" s="16"/>
      <c r="N153" s="15"/>
      <c r="O153" s="485"/>
      <c r="P153" s="16">
        <v>10.284433649999999</v>
      </c>
      <c r="Q153" s="16">
        <v>10.284433649999999</v>
      </c>
      <c r="R153" s="16">
        <v>10.284433649999999</v>
      </c>
      <c r="S153" s="16">
        <v>10.284433649999999</v>
      </c>
      <c r="T153" s="16">
        <v>10.284433649999999</v>
      </c>
      <c r="U153" s="16">
        <v>10.284433649999999</v>
      </c>
      <c r="V153" s="16">
        <v>10.284433649999999</v>
      </c>
      <c r="W153" s="16">
        <v>10.284433649999999</v>
      </c>
      <c r="X153" s="16">
        <v>10.284433649999999</v>
      </c>
      <c r="Y153" s="292">
        <f t="shared" si="77"/>
        <v>92.559902849999986</v>
      </c>
      <c r="Z153" s="246">
        <f t="shared" si="78"/>
        <v>92.559902849999986</v>
      </c>
      <c r="AA153" s="16">
        <f>Z153*(1+'Key Assumption'!AB$25)</f>
        <v>93.763181587049971</v>
      </c>
      <c r="AB153" s="16">
        <f>AA153*(1+'Key Assumption'!AC$25)</f>
        <v>95.169629310855711</v>
      </c>
      <c r="AC153" s="16">
        <f>AB153*(1+'Key Assumption'!AD$25)</f>
        <v>96.69234337982941</v>
      </c>
      <c r="AD153" s="16">
        <f>AC153*(1+'Key Assumption'!AE$25)</f>
        <v>98.432805560666338</v>
      </c>
      <c r="AF153" s="327"/>
      <c r="AK153" s="311"/>
    </row>
    <row r="154" spans="2:37" x14ac:dyDescent="0.3">
      <c r="B154" s="92"/>
      <c r="C154" s="92" t="s">
        <v>393</v>
      </c>
      <c r="D154" s="92"/>
      <c r="E154" s="92"/>
      <c r="F154" s="92"/>
      <c r="G154" s="92"/>
      <c r="H154" s="92"/>
      <c r="I154" s="92"/>
      <c r="J154" s="92"/>
      <c r="K154" s="92"/>
      <c r="L154" s="130"/>
      <c r="M154" s="130"/>
      <c r="N154" s="131"/>
      <c r="O154" s="486"/>
      <c r="P154" s="130">
        <v>0</v>
      </c>
      <c r="Q154" s="130">
        <v>0</v>
      </c>
      <c r="R154" s="130">
        <v>0</v>
      </c>
      <c r="S154" s="130">
        <v>0</v>
      </c>
      <c r="T154" s="130">
        <v>0</v>
      </c>
      <c r="U154" s="130">
        <v>0</v>
      </c>
      <c r="V154" s="130">
        <v>0</v>
      </c>
      <c r="W154" s="130">
        <v>0</v>
      </c>
      <c r="X154" s="130">
        <v>0</v>
      </c>
      <c r="Y154" s="296">
        <f t="shared" si="77"/>
        <v>0</v>
      </c>
      <c r="Z154" s="330">
        <f t="shared" si="78"/>
        <v>0</v>
      </c>
      <c r="AA154" s="130">
        <f>Z154*(1+'Key Assumption'!AB$25)</f>
        <v>0</v>
      </c>
      <c r="AB154" s="130">
        <f>AA154*(1+'Key Assumption'!AC$25)</f>
        <v>0</v>
      </c>
      <c r="AC154" s="130">
        <f>AB154*(1+'Key Assumption'!AD$25)</f>
        <v>0</v>
      </c>
      <c r="AD154" s="130">
        <f>AC154*(1+'Key Assumption'!AE$25)</f>
        <v>0</v>
      </c>
      <c r="AF154" s="327"/>
      <c r="AK154" s="311"/>
    </row>
    <row r="155" spans="2:37" x14ac:dyDescent="0.3">
      <c r="AF155" s="327"/>
      <c r="AK155" s="311"/>
    </row>
    <row r="156" spans="2:37" x14ac:dyDescent="0.3">
      <c r="B156" s="5" t="s">
        <v>477</v>
      </c>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243"/>
      <c r="AF156" s="327"/>
      <c r="AK156" s="311"/>
    </row>
    <row r="157" spans="2:37" x14ac:dyDescent="0.3">
      <c r="AE157" s="243"/>
      <c r="AF157" s="327"/>
      <c r="AK157" s="311"/>
    </row>
    <row r="158" spans="2:37" x14ac:dyDescent="0.3">
      <c r="B158" s="8"/>
      <c r="C158" s="8"/>
      <c r="D158" s="8"/>
      <c r="E158" s="8"/>
      <c r="F158" s="8"/>
      <c r="G158" s="8"/>
      <c r="H158" s="8"/>
      <c r="I158" s="8"/>
      <c r="J158" s="8"/>
      <c r="K158" s="8"/>
      <c r="L158" s="9" t="s">
        <v>182</v>
      </c>
      <c r="M158" s="9" t="s">
        <v>183</v>
      </c>
      <c r="N158" s="10" t="s">
        <v>184</v>
      </c>
      <c r="O158" s="244" t="s">
        <v>4</v>
      </c>
      <c r="P158" s="9" t="s">
        <v>215</v>
      </c>
      <c r="Q158" s="9" t="s">
        <v>216</v>
      </c>
      <c r="R158" s="9" t="s">
        <v>217</v>
      </c>
      <c r="S158" s="9" t="s">
        <v>218</v>
      </c>
      <c r="T158" s="9" t="s">
        <v>219</v>
      </c>
      <c r="U158" s="9" t="s">
        <v>220</v>
      </c>
      <c r="V158" s="9" t="s">
        <v>221</v>
      </c>
      <c r="W158" s="9" t="s">
        <v>222</v>
      </c>
      <c r="X158" s="10" t="s">
        <v>223</v>
      </c>
      <c r="Y158" s="9" t="s">
        <v>294</v>
      </c>
      <c r="Z158" s="244" t="s">
        <v>197</v>
      </c>
      <c r="AA158" s="9" t="s">
        <v>198</v>
      </c>
      <c r="AB158" s="9" t="s">
        <v>199</v>
      </c>
      <c r="AC158" s="9" t="s">
        <v>200</v>
      </c>
      <c r="AD158" s="9" t="s">
        <v>201</v>
      </c>
      <c r="AE158" s="243"/>
      <c r="AF158" s="327"/>
      <c r="AK158" s="311"/>
    </row>
    <row r="159" spans="2:37" x14ac:dyDescent="0.3">
      <c r="B159" s="11" t="s">
        <v>32</v>
      </c>
      <c r="L159" s="13">
        <f>SUM(L160:L162)</f>
        <v>2251.7102140000002</v>
      </c>
      <c r="M159" s="13">
        <f>SUM(M160:M162)</f>
        <v>2663.8346179999999</v>
      </c>
      <c r="N159" s="124">
        <f>SUM(N160:N162)</f>
        <v>2503.228752</v>
      </c>
      <c r="O159" s="326">
        <f t="shared" ref="O159:AD159" si="79">SUM(O160:O162)</f>
        <v>958.56811500000003</v>
      </c>
      <c r="P159" s="13">
        <f t="shared" si="79"/>
        <v>261.59906533008643</v>
      </c>
      <c r="Q159" s="13">
        <f t="shared" si="79"/>
        <v>261.59906533008643</v>
      </c>
      <c r="R159" s="13">
        <f t="shared" si="79"/>
        <v>261.59906533008643</v>
      </c>
      <c r="S159" s="13">
        <f t="shared" si="79"/>
        <v>261.56326481966852</v>
      </c>
      <c r="T159" s="13">
        <f t="shared" si="79"/>
        <v>261.56326481966852</v>
      </c>
      <c r="U159" s="13">
        <f t="shared" si="79"/>
        <v>261.56326481966852</v>
      </c>
      <c r="V159" s="13">
        <f t="shared" si="79"/>
        <v>261.46866825732417</v>
      </c>
      <c r="W159" s="13">
        <f t="shared" si="79"/>
        <v>261.46866825732417</v>
      </c>
      <c r="X159" s="13">
        <f t="shared" si="79"/>
        <v>261.46866825732417</v>
      </c>
      <c r="Y159" s="396">
        <f t="shared" si="79"/>
        <v>2353.892995221237</v>
      </c>
      <c r="Z159" s="326">
        <f t="shared" si="79"/>
        <v>3312.4611102212375</v>
      </c>
      <c r="AA159" s="13">
        <f t="shared" si="79"/>
        <v>3277.5638515994674</v>
      </c>
      <c r="AB159" s="13">
        <f t="shared" si="79"/>
        <v>3415.5231380269402</v>
      </c>
      <c r="AC159" s="13">
        <f t="shared" si="79"/>
        <v>3550.5272610666561</v>
      </c>
      <c r="AD159" s="13">
        <f t="shared" si="79"/>
        <v>3683.198377942449</v>
      </c>
      <c r="AE159" s="463"/>
      <c r="AF159" s="327"/>
      <c r="AK159" s="311"/>
    </row>
    <row r="160" spans="2:37" x14ac:dyDescent="0.3">
      <c r="B160" s="11"/>
      <c r="C160" s="3" t="s">
        <v>141</v>
      </c>
      <c r="L160" s="16">
        <f>L165</f>
        <v>929.24747499999989</v>
      </c>
      <c r="M160" s="16">
        <f>M165</f>
        <v>998.54012899999998</v>
      </c>
      <c r="N160" s="15">
        <f>N165</f>
        <v>1060.7826580000001</v>
      </c>
      <c r="O160" s="246">
        <f t="shared" ref="O160:AD160" si="80">O165</f>
        <v>654.58913000000007</v>
      </c>
      <c r="P160" s="16">
        <f t="shared" si="80"/>
        <v>131.12884043149535</v>
      </c>
      <c r="Q160" s="16">
        <f t="shared" si="80"/>
        <v>131.12884043149535</v>
      </c>
      <c r="R160" s="16">
        <f t="shared" si="80"/>
        <v>131.12884043149535</v>
      </c>
      <c r="S160" s="16">
        <f t="shared" si="80"/>
        <v>131.12884043149535</v>
      </c>
      <c r="T160" s="16">
        <f t="shared" si="80"/>
        <v>131.12884043149535</v>
      </c>
      <c r="U160" s="16">
        <f t="shared" si="80"/>
        <v>131.12884043149535</v>
      </c>
      <c r="V160" s="16">
        <f t="shared" si="80"/>
        <v>131.12884043149535</v>
      </c>
      <c r="W160" s="16">
        <f t="shared" si="80"/>
        <v>131.12884043149535</v>
      </c>
      <c r="X160" s="16">
        <f t="shared" si="80"/>
        <v>131.12884043149535</v>
      </c>
      <c r="Y160" s="292">
        <f t="shared" si="80"/>
        <v>1180.1595638834578</v>
      </c>
      <c r="Z160" s="246">
        <f t="shared" si="80"/>
        <v>1834.7486938834581</v>
      </c>
      <c r="AA160" s="16">
        <f t="shared" si="80"/>
        <v>1944.8336155164657</v>
      </c>
      <c r="AB160" s="16">
        <f t="shared" si="80"/>
        <v>2051.7994643698712</v>
      </c>
      <c r="AC160" s="16">
        <f t="shared" si="80"/>
        <v>2154.3894375883647</v>
      </c>
      <c r="AD160" s="16">
        <f t="shared" si="80"/>
        <v>2255.6457411550177</v>
      </c>
      <c r="AE160" s="463"/>
      <c r="AF160" s="327"/>
      <c r="AK160" s="311"/>
    </row>
    <row r="161" spans="1:39" x14ac:dyDescent="0.3">
      <c r="C161" s="3" t="s">
        <v>142</v>
      </c>
      <c r="L161" s="16">
        <f>L177</f>
        <v>-90.289618999999988</v>
      </c>
      <c r="M161" s="16">
        <f>M177</f>
        <v>100.855947</v>
      </c>
      <c r="N161" s="15">
        <f>N177</f>
        <v>250.43935599999998</v>
      </c>
      <c r="O161" s="246">
        <f t="shared" ref="O161:AD161" si="81">O177</f>
        <v>3.0041189999999998</v>
      </c>
      <c r="P161" s="16">
        <f t="shared" si="81"/>
        <v>4.7508999999999997</v>
      </c>
      <c r="Q161" s="16">
        <f t="shared" si="81"/>
        <v>4.7508999999999997</v>
      </c>
      <c r="R161" s="16">
        <f t="shared" si="81"/>
        <v>4.7508999999999997</v>
      </c>
      <c r="S161" s="16">
        <f t="shared" si="81"/>
        <v>4.7508999999999997</v>
      </c>
      <c r="T161" s="16">
        <f t="shared" si="81"/>
        <v>4.7508999999999997</v>
      </c>
      <c r="U161" s="16">
        <f t="shared" si="81"/>
        <v>4.7508999999999997</v>
      </c>
      <c r="V161" s="16">
        <f t="shared" si="81"/>
        <v>4.7508999999999997</v>
      </c>
      <c r="W161" s="16">
        <f t="shared" si="81"/>
        <v>4.7508999999999997</v>
      </c>
      <c r="X161" s="16">
        <f t="shared" si="81"/>
        <v>4.7508999999999997</v>
      </c>
      <c r="Y161" s="292">
        <f t="shared" si="81"/>
        <v>42.758100000000006</v>
      </c>
      <c r="Z161" s="246">
        <f t="shared" si="81"/>
        <v>45.762219000000002</v>
      </c>
      <c r="AA161" s="16">
        <f t="shared" si="81"/>
        <v>62.046211698952376</v>
      </c>
      <c r="AB161" s="16">
        <f t="shared" si="81"/>
        <v>73.979388907258709</v>
      </c>
      <c r="AC161" s="16">
        <f t="shared" si="81"/>
        <v>85.757630172484497</v>
      </c>
      <c r="AD161" s="16">
        <f t="shared" si="81"/>
        <v>93.585600002119975</v>
      </c>
      <c r="AE161" s="243"/>
      <c r="AF161" s="327"/>
      <c r="AK161" s="311"/>
    </row>
    <row r="162" spans="1:39" x14ac:dyDescent="0.3">
      <c r="B162" s="92"/>
      <c r="C162" s="92" t="s">
        <v>143</v>
      </c>
      <c r="D162" s="92"/>
      <c r="E162" s="92"/>
      <c r="F162" s="92"/>
      <c r="G162" s="92"/>
      <c r="H162" s="92"/>
      <c r="I162" s="92"/>
      <c r="J162" s="92"/>
      <c r="K162" s="92"/>
      <c r="L162" s="130">
        <f>L186</f>
        <v>1412.7523580000002</v>
      </c>
      <c r="M162" s="130">
        <f>M186</f>
        <v>1564.4385419999999</v>
      </c>
      <c r="N162" s="131">
        <f>N186</f>
        <v>1192.006738</v>
      </c>
      <c r="O162" s="330">
        <f t="shared" ref="O162:AD162" si="82">O186</f>
        <v>300.97486600000002</v>
      </c>
      <c r="P162" s="130">
        <f t="shared" si="82"/>
        <v>125.71932489859111</v>
      </c>
      <c r="Q162" s="130">
        <f t="shared" si="82"/>
        <v>125.71932489859111</v>
      </c>
      <c r="R162" s="130">
        <f t="shared" si="82"/>
        <v>125.71932489859111</v>
      </c>
      <c r="S162" s="130">
        <f t="shared" si="82"/>
        <v>125.68352438817317</v>
      </c>
      <c r="T162" s="130">
        <f t="shared" si="82"/>
        <v>125.68352438817317</v>
      </c>
      <c r="U162" s="130">
        <f t="shared" si="82"/>
        <v>125.68352438817317</v>
      </c>
      <c r="V162" s="130">
        <f t="shared" si="82"/>
        <v>125.58892782582883</v>
      </c>
      <c r="W162" s="130">
        <f t="shared" si="82"/>
        <v>125.58892782582883</v>
      </c>
      <c r="X162" s="130">
        <f t="shared" si="82"/>
        <v>125.58892782582883</v>
      </c>
      <c r="Y162" s="296">
        <f t="shared" si="82"/>
        <v>1130.9753313377792</v>
      </c>
      <c r="Z162" s="330">
        <f t="shared" si="82"/>
        <v>1431.9501973377792</v>
      </c>
      <c r="AA162" s="130">
        <f t="shared" si="82"/>
        <v>1270.6840243840493</v>
      </c>
      <c r="AB162" s="130">
        <f t="shared" si="82"/>
        <v>1289.74428474981</v>
      </c>
      <c r="AC162" s="130">
        <f t="shared" si="82"/>
        <v>1310.3801933058071</v>
      </c>
      <c r="AD162" s="130">
        <f t="shared" si="82"/>
        <v>1333.9670367853116</v>
      </c>
      <c r="AE162" s="243"/>
      <c r="AF162" s="327"/>
      <c r="AK162" s="311"/>
    </row>
    <row r="163" spans="1:39" x14ac:dyDescent="0.3">
      <c r="AE163" s="243"/>
      <c r="AF163" s="327"/>
      <c r="AK163" s="311"/>
    </row>
    <row r="164" spans="1:39" s="137" customFormat="1" x14ac:dyDescent="0.3">
      <c r="A164" s="3"/>
      <c r="B164" s="8"/>
      <c r="C164" s="8"/>
      <c r="D164" s="8"/>
      <c r="E164" s="8"/>
      <c r="F164" s="8"/>
      <c r="G164" s="8"/>
      <c r="H164" s="8"/>
      <c r="I164" s="8"/>
      <c r="J164" s="8"/>
      <c r="K164" s="8"/>
      <c r="L164" s="9" t="s">
        <v>425</v>
      </c>
      <c r="M164" s="9" t="s">
        <v>426</v>
      </c>
      <c r="N164" s="10" t="s">
        <v>414</v>
      </c>
      <c r="O164" s="244" t="s">
        <v>4</v>
      </c>
      <c r="P164" s="9" t="s">
        <v>188</v>
      </c>
      <c r="Q164" s="9" t="s">
        <v>189</v>
      </c>
      <c r="R164" s="9" t="s">
        <v>190</v>
      </c>
      <c r="S164" s="9" t="s">
        <v>191</v>
      </c>
      <c r="T164" s="9" t="s">
        <v>192</v>
      </c>
      <c r="U164" s="9" t="s">
        <v>193</v>
      </c>
      <c r="V164" s="9" t="s">
        <v>194</v>
      </c>
      <c r="W164" s="9" t="s">
        <v>195</v>
      </c>
      <c r="X164" s="10" t="s">
        <v>196</v>
      </c>
      <c r="Y164" s="9" t="s">
        <v>5</v>
      </c>
      <c r="Z164" s="244" t="s">
        <v>427</v>
      </c>
      <c r="AA164" s="9" t="s">
        <v>428</v>
      </c>
      <c r="AB164" s="9" t="s">
        <v>429</v>
      </c>
      <c r="AC164" s="9" t="s">
        <v>430</v>
      </c>
      <c r="AD164" s="9" t="s">
        <v>431</v>
      </c>
      <c r="AE164" s="487"/>
      <c r="AF164" s="327"/>
      <c r="AG164" s="322"/>
      <c r="AK164" s="311"/>
      <c r="AL164" s="3"/>
      <c r="AM164" s="3"/>
    </row>
    <row r="165" spans="1:39" s="137" customFormat="1" x14ac:dyDescent="0.3">
      <c r="A165" s="3"/>
      <c r="B165" s="11" t="s">
        <v>478</v>
      </c>
      <c r="C165" s="3"/>
      <c r="D165" s="3"/>
      <c r="E165" s="3"/>
      <c r="F165" s="3"/>
      <c r="G165" s="3"/>
      <c r="H165" s="3"/>
      <c r="I165" s="3"/>
      <c r="J165" s="3"/>
      <c r="K165" s="3"/>
      <c r="L165" s="13">
        <f>SUM(L166,L169,L171,L173)</f>
        <v>929.24747499999989</v>
      </c>
      <c r="M165" s="13">
        <f>SUM(M166,M169,M171,M173)</f>
        <v>998.54012899999998</v>
      </c>
      <c r="N165" s="124">
        <f>SUM(N166,N169,N171,N173)</f>
        <v>1060.7826580000001</v>
      </c>
      <c r="O165" s="326">
        <f t="shared" ref="O165:AD165" si="83">SUM(O166,O169,O171,O173)</f>
        <v>654.58913000000007</v>
      </c>
      <c r="P165" s="13">
        <f t="shared" si="83"/>
        <v>131.12884043149535</v>
      </c>
      <c r="Q165" s="13">
        <f t="shared" si="83"/>
        <v>131.12884043149535</v>
      </c>
      <c r="R165" s="13">
        <f t="shared" si="83"/>
        <v>131.12884043149535</v>
      </c>
      <c r="S165" s="13">
        <f t="shared" si="83"/>
        <v>131.12884043149535</v>
      </c>
      <c r="T165" s="13">
        <f t="shared" si="83"/>
        <v>131.12884043149535</v>
      </c>
      <c r="U165" s="13">
        <f t="shared" si="83"/>
        <v>131.12884043149535</v>
      </c>
      <c r="V165" s="13">
        <f t="shared" si="83"/>
        <v>131.12884043149535</v>
      </c>
      <c r="W165" s="13">
        <f t="shared" si="83"/>
        <v>131.12884043149535</v>
      </c>
      <c r="X165" s="13">
        <f t="shared" si="83"/>
        <v>131.12884043149535</v>
      </c>
      <c r="Y165" s="396">
        <f t="shared" si="83"/>
        <v>1180.1595638834578</v>
      </c>
      <c r="Z165" s="326">
        <f t="shared" si="83"/>
        <v>1834.7486938834581</v>
      </c>
      <c r="AA165" s="13">
        <f t="shared" si="83"/>
        <v>1944.8336155164657</v>
      </c>
      <c r="AB165" s="13">
        <f t="shared" si="83"/>
        <v>2051.7994643698712</v>
      </c>
      <c r="AC165" s="13">
        <f t="shared" si="83"/>
        <v>2154.3894375883647</v>
      </c>
      <c r="AD165" s="13">
        <f t="shared" si="83"/>
        <v>2255.6457411550177</v>
      </c>
      <c r="AE165" s="487"/>
      <c r="AF165" s="327"/>
      <c r="AG165" s="322"/>
      <c r="AK165" s="311"/>
      <c r="AL165" s="3"/>
      <c r="AM165" s="3"/>
    </row>
    <row r="166" spans="1:39" s="137" customFormat="1" x14ac:dyDescent="0.3">
      <c r="A166" s="3"/>
      <c r="B166" s="11"/>
      <c r="C166" s="3" t="s">
        <v>479</v>
      </c>
      <c r="D166" s="3"/>
      <c r="E166" s="3"/>
      <c r="F166" s="3"/>
      <c r="G166" s="3"/>
      <c r="H166" s="3"/>
      <c r="I166" s="3"/>
      <c r="J166" s="3"/>
      <c r="K166" s="3"/>
      <c r="L166" s="16">
        <v>746.99326099999996</v>
      </c>
      <c r="M166" s="16">
        <v>817.77952600000003</v>
      </c>
      <c r="N166" s="15">
        <v>868.20335899999998</v>
      </c>
      <c r="O166" s="246">
        <v>222.97188499999999</v>
      </c>
      <c r="P166" s="16">
        <v>93.191692800721668</v>
      </c>
      <c r="Q166" s="16">
        <v>93.191692800721668</v>
      </c>
      <c r="R166" s="16">
        <v>93.191692800721668</v>
      </c>
      <c r="S166" s="16">
        <v>93.191692800721668</v>
      </c>
      <c r="T166" s="16">
        <v>93.191692800721668</v>
      </c>
      <c r="U166" s="16">
        <v>93.191692800721668</v>
      </c>
      <c r="V166" s="16">
        <v>93.191692800721668</v>
      </c>
      <c r="W166" s="16">
        <v>93.191692800721668</v>
      </c>
      <c r="X166" s="16">
        <v>93.191692800721668</v>
      </c>
      <c r="Y166" s="292">
        <f>SUM(P166:X166)</f>
        <v>838.72523520649486</v>
      </c>
      <c r="Z166" s="246">
        <f>SUM(O166,Y166)</f>
        <v>1061.6971202064949</v>
      </c>
      <c r="AA166" s="16">
        <f>AA167*AA168</f>
        <v>1125.3989474188847</v>
      </c>
      <c r="AB166" s="16">
        <f>AB167*AB168</f>
        <v>1187.2958895269232</v>
      </c>
      <c r="AC166" s="16">
        <f>AC167*AC168</f>
        <v>1246.6606840032696</v>
      </c>
      <c r="AD166" s="16">
        <f>AD167*AD168</f>
        <v>1305.253736151423</v>
      </c>
      <c r="AE166" s="487"/>
      <c r="AF166" s="327"/>
      <c r="AG166" s="322"/>
      <c r="AK166" s="311"/>
      <c r="AL166" s="3"/>
      <c r="AM166" s="3"/>
    </row>
    <row r="167" spans="1:39" s="137" customFormat="1" x14ac:dyDescent="0.3">
      <c r="A167" s="3"/>
      <c r="B167" s="3"/>
      <c r="C167" s="3"/>
      <c r="D167" s="3" t="s">
        <v>548</v>
      </c>
      <c r="F167" s="3"/>
      <c r="G167" s="3"/>
      <c r="H167" s="3"/>
      <c r="I167" s="3"/>
      <c r="J167" s="3"/>
      <c r="K167" s="3"/>
      <c r="L167" s="16"/>
      <c r="M167" s="16"/>
      <c r="N167" s="15"/>
      <c r="O167" s="246">
        <f t="shared" ref="O167:Y167" si="84">$Z167</f>
        <v>22</v>
      </c>
      <c r="P167" s="16">
        <f t="shared" si="84"/>
        <v>22</v>
      </c>
      <c r="Q167" s="16">
        <f t="shared" si="84"/>
        <v>22</v>
      </c>
      <c r="R167" s="16">
        <f t="shared" si="84"/>
        <v>22</v>
      </c>
      <c r="S167" s="16">
        <f t="shared" si="84"/>
        <v>22</v>
      </c>
      <c r="T167" s="16">
        <f t="shared" si="84"/>
        <v>22</v>
      </c>
      <c r="U167" s="16">
        <f t="shared" si="84"/>
        <v>22</v>
      </c>
      <c r="V167" s="16">
        <f t="shared" si="84"/>
        <v>22</v>
      </c>
      <c r="W167" s="16">
        <f t="shared" si="84"/>
        <v>22</v>
      </c>
      <c r="X167" s="16">
        <f t="shared" si="84"/>
        <v>22</v>
      </c>
      <c r="Y167" s="292">
        <f t="shared" si="84"/>
        <v>22</v>
      </c>
      <c r="Z167" s="246">
        <v>22</v>
      </c>
      <c r="AA167" s="16">
        <f>Z167</f>
        <v>22</v>
      </c>
      <c r="AB167" s="16">
        <f>AA167</f>
        <v>22</v>
      </c>
      <c r="AC167" s="16">
        <f>AB167</f>
        <v>22</v>
      </c>
      <c r="AD167" s="16">
        <f>AC167</f>
        <v>22</v>
      </c>
      <c r="AE167" s="487"/>
      <c r="AF167" s="327"/>
      <c r="AG167" s="322"/>
      <c r="AK167" s="311"/>
      <c r="AL167" s="3"/>
      <c r="AM167" s="3"/>
    </row>
    <row r="168" spans="1:39" s="137" customFormat="1" x14ac:dyDescent="0.3">
      <c r="A168" s="3"/>
      <c r="B168" s="3"/>
      <c r="C168" s="3"/>
      <c r="D168" s="3" t="s">
        <v>528</v>
      </c>
      <c r="F168" s="3"/>
      <c r="G168" s="3"/>
      <c r="H168" s="3"/>
      <c r="I168" s="3"/>
      <c r="J168" s="3"/>
      <c r="K168" s="3"/>
      <c r="L168" s="16"/>
      <c r="M168" s="16"/>
      <c r="N168" s="15"/>
      <c r="O168" s="246">
        <f>O166/O167*4</f>
        <v>40.540342727272723</v>
      </c>
      <c r="P168" s="16">
        <f t="shared" ref="P168:X168" si="85">P166/P167*12</f>
        <v>50.831832436757267</v>
      </c>
      <c r="Q168" s="16">
        <f t="shared" si="85"/>
        <v>50.831832436757267</v>
      </c>
      <c r="R168" s="16">
        <f t="shared" si="85"/>
        <v>50.831832436757267</v>
      </c>
      <c r="S168" s="16">
        <f t="shared" si="85"/>
        <v>50.831832436757267</v>
      </c>
      <c r="T168" s="16">
        <f t="shared" si="85"/>
        <v>50.831832436757267</v>
      </c>
      <c r="U168" s="16">
        <f t="shared" si="85"/>
        <v>50.831832436757267</v>
      </c>
      <c r="V168" s="16">
        <f t="shared" si="85"/>
        <v>50.831832436757267</v>
      </c>
      <c r="W168" s="16">
        <f t="shared" si="85"/>
        <v>50.831832436757267</v>
      </c>
      <c r="X168" s="16">
        <f t="shared" si="85"/>
        <v>50.831832436757267</v>
      </c>
      <c r="Y168" s="292"/>
      <c r="Z168" s="246">
        <f>Z166/Z167</f>
        <v>48.258960009386129</v>
      </c>
      <c r="AA168" s="16">
        <f>Z168*(1+'Key Assumption'!AB$27)</f>
        <v>51.154497609949303</v>
      </c>
      <c r="AB168" s="16">
        <f>AA168*(1+'Key Assumption'!AC$27)</f>
        <v>53.967994978496513</v>
      </c>
      <c r="AC168" s="16">
        <f>AB168*(1+'Key Assumption'!AD$27)</f>
        <v>56.666394727421341</v>
      </c>
      <c r="AD168" s="16">
        <f>AC168*(1+'Key Assumption'!AE$27)</f>
        <v>59.329715279610141</v>
      </c>
      <c r="AE168" s="487"/>
      <c r="AF168" s="327"/>
      <c r="AG168" s="322"/>
      <c r="AK168" s="311"/>
      <c r="AL168" s="3"/>
      <c r="AM168" s="3"/>
    </row>
    <row r="169" spans="1:39" s="137" customFormat="1" x14ac:dyDescent="0.3">
      <c r="A169" s="3"/>
      <c r="B169" s="3"/>
      <c r="C169" s="3" t="s">
        <v>480</v>
      </c>
      <c r="D169" s="3"/>
      <c r="E169" s="3"/>
      <c r="F169" s="3"/>
      <c r="G169" s="3"/>
      <c r="H169" s="3"/>
      <c r="I169" s="3"/>
      <c r="J169" s="3"/>
      <c r="K169" s="3"/>
      <c r="L169" s="16">
        <v>0</v>
      </c>
      <c r="M169" s="16">
        <v>0</v>
      </c>
      <c r="N169" s="15">
        <v>0</v>
      </c>
      <c r="O169" s="246">
        <v>0</v>
      </c>
      <c r="P169" s="16">
        <v>8.2992509128356016</v>
      </c>
      <c r="Q169" s="16">
        <v>8.2992509128356016</v>
      </c>
      <c r="R169" s="16">
        <v>8.2992509128356016</v>
      </c>
      <c r="S169" s="16">
        <v>8.2992509128356016</v>
      </c>
      <c r="T169" s="16">
        <v>8.2992509128356016</v>
      </c>
      <c r="U169" s="16">
        <v>8.2992509128356016</v>
      </c>
      <c r="V169" s="16">
        <v>8.2992509128356016</v>
      </c>
      <c r="W169" s="16">
        <v>8.2992509128356016</v>
      </c>
      <c r="X169" s="16">
        <v>8.2992509128356016</v>
      </c>
      <c r="Y169" s="292">
        <f>SUM(P169:X169)</f>
        <v>74.693258215520416</v>
      </c>
      <c r="Z169" s="246">
        <f>SUM(O169,Y169)</f>
        <v>74.693258215520416</v>
      </c>
      <c r="AA169" s="16">
        <f>AA166*AA170</f>
        <v>79.174853708451664</v>
      </c>
      <c r="AB169" s="16">
        <f>AB166*AB170</f>
        <v>83.529470662416486</v>
      </c>
      <c r="AC169" s="16">
        <f>AC166*AC170</f>
        <v>87.705944195537327</v>
      </c>
      <c r="AD169" s="16">
        <f>AD166*AD170</f>
        <v>91.828123572727563</v>
      </c>
      <c r="AE169" s="487"/>
      <c r="AF169" s="327"/>
      <c r="AG169" s="322"/>
      <c r="AK169" s="311"/>
      <c r="AL169" s="3"/>
      <c r="AM169" s="3"/>
    </row>
    <row r="170" spans="1:39" s="137" customFormat="1" x14ac:dyDescent="0.3">
      <c r="B170" s="141"/>
      <c r="C170" s="141"/>
      <c r="D170" s="141" t="s">
        <v>481</v>
      </c>
      <c r="E170" s="141"/>
      <c r="F170" s="141"/>
      <c r="G170" s="141"/>
      <c r="H170" s="141"/>
      <c r="I170" s="141"/>
      <c r="J170" s="141"/>
      <c r="K170" s="141"/>
      <c r="L170" s="141"/>
      <c r="M170" s="141"/>
      <c r="N170" s="454"/>
      <c r="O170" s="453">
        <f>IFERROR(O169/O$166,"-")</f>
        <v>0</v>
      </c>
      <c r="P170" s="141">
        <f t="shared" ref="P170:X170" si="86">IFERROR(P169/P$166,"-")</f>
        <v>8.9055694380211242E-2</v>
      </c>
      <c r="Q170" s="141">
        <f t="shared" si="86"/>
        <v>8.9055694380211242E-2</v>
      </c>
      <c r="R170" s="141">
        <f t="shared" si="86"/>
        <v>8.9055694380211242E-2</v>
      </c>
      <c r="S170" s="141">
        <f t="shared" si="86"/>
        <v>8.9055694380211242E-2</v>
      </c>
      <c r="T170" s="141">
        <f t="shared" si="86"/>
        <v>8.9055694380211242E-2</v>
      </c>
      <c r="U170" s="141">
        <f t="shared" si="86"/>
        <v>8.9055694380211242E-2</v>
      </c>
      <c r="V170" s="141">
        <f t="shared" si="86"/>
        <v>8.9055694380211242E-2</v>
      </c>
      <c r="W170" s="141">
        <f t="shared" si="86"/>
        <v>8.9055694380211242E-2</v>
      </c>
      <c r="X170" s="141">
        <f t="shared" si="86"/>
        <v>8.9055694380211242E-2</v>
      </c>
      <c r="Y170" s="488"/>
      <c r="Z170" s="453">
        <f>Z169/Z166</f>
        <v>7.035269927170279E-2</v>
      </c>
      <c r="AA170" s="370">
        <f>Z170</f>
        <v>7.035269927170279E-2</v>
      </c>
      <c r="AB170" s="370">
        <f>AA170</f>
        <v>7.035269927170279E-2</v>
      </c>
      <c r="AC170" s="370">
        <f>AB170</f>
        <v>7.035269927170279E-2</v>
      </c>
      <c r="AD170" s="370">
        <f>AC170</f>
        <v>7.035269927170279E-2</v>
      </c>
      <c r="AE170" s="487"/>
      <c r="AF170" s="327"/>
      <c r="AG170" s="322"/>
      <c r="AK170" s="311"/>
      <c r="AL170" s="3"/>
      <c r="AM170" s="3"/>
    </row>
    <row r="171" spans="1:39" s="137" customFormat="1" x14ac:dyDescent="0.3">
      <c r="A171" s="3"/>
      <c r="B171" s="3"/>
      <c r="C171" s="3" t="s">
        <v>549</v>
      </c>
      <c r="D171" s="3"/>
      <c r="E171" s="3"/>
      <c r="F171" s="3"/>
      <c r="G171" s="3"/>
      <c r="H171" s="3"/>
      <c r="I171" s="3"/>
      <c r="J171" s="3"/>
      <c r="K171" s="3"/>
      <c r="L171" s="16">
        <v>0</v>
      </c>
      <c r="M171" s="16">
        <v>0</v>
      </c>
      <c r="N171" s="15">
        <v>0</v>
      </c>
      <c r="O171" s="246">
        <v>0</v>
      </c>
      <c r="P171" s="16">
        <v>0</v>
      </c>
      <c r="Q171" s="16">
        <v>0</v>
      </c>
      <c r="R171" s="16">
        <v>0</v>
      </c>
      <c r="S171" s="16">
        <v>0</v>
      </c>
      <c r="T171" s="16">
        <v>0</v>
      </c>
      <c r="U171" s="16">
        <v>0</v>
      </c>
      <c r="V171" s="16">
        <v>0</v>
      </c>
      <c r="W171" s="16">
        <v>0</v>
      </c>
      <c r="X171" s="16">
        <v>0</v>
      </c>
      <c r="Y171" s="292">
        <f>SUM(P171:X171)</f>
        <v>0</v>
      </c>
      <c r="Z171" s="246">
        <f>SUM(O171,Y171)</f>
        <v>0</v>
      </c>
      <c r="AA171" s="16">
        <f>AA166*AA172</f>
        <v>0</v>
      </c>
      <c r="AB171" s="16">
        <f>AB166*AB172</f>
        <v>0</v>
      </c>
      <c r="AC171" s="16">
        <f>AC166*AC172</f>
        <v>0</v>
      </c>
      <c r="AD171" s="16">
        <f>AD166*AD172</f>
        <v>0</v>
      </c>
      <c r="AE171" s="487"/>
      <c r="AF171" s="327"/>
      <c r="AG171" s="322"/>
      <c r="AK171" s="311"/>
      <c r="AL171" s="3"/>
      <c r="AM171" s="3"/>
    </row>
    <row r="172" spans="1:39" s="137" customFormat="1" x14ac:dyDescent="0.3">
      <c r="B172" s="141"/>
      <c r="C172" s="141"/>
      <c r="D172" s="141" t="s">
        <v>550</v>
      </c>
      <c r="E172" s="141"/>
      <c r="F172" s="141"/>
      <c r="G172" s="141"/>
      <c r="H172" s="141"/>
      <c r="I172" s="141"/>
      <c r="J172" s="141"/>
      <c r="K172" s="141"/>
      <c r="L172" s="141"/>
      <c r="M172" s="141"/>
      <c r="N172" s="454"/>
      <c r="O172" s="453">
        <f>IFERROR(O171/O$166,"-")</f>
        <v>0</v>
      </c>
      <c r="P172" s="141">
        <f t="shared" ref="P172:X172" si="87">IFERROR(P171/P$166,"-")</f>
        <v>0</v>
      </c>
      <c r="Q172" s="141">
        <f t="shared" si="87"/>
        <v>0</v>
      </c>
      <c r="R172" s="141">
        <f t="shared" si="87"/>
        <v>0</v>
      </c>
      <c r="S172" s="141">
        <f t="shared" si="87"/>
        <v>0</v>
      </c>
      <c r="T172" s="141">
        <f t="shared" si="87"/>
        <v>0</v>
      </c>
      <c r="U172" s="141">
        <f t="shared" si="87"/>
        <v>0</v>
      </c>
      <c r="V172" s="141">
        <f t="shared" si="87"/>
        <v>0</v>
      </c>
      <c r="W172" s="141">
        <f t="shared" si="87"/>
        <v>0</v>
      </c>
      <c r="X172" s="141">
        <f t="shared" si="87"/>
        <v>0</v>
      </c>
      <c r="Y172" s="488"/>
      <c r="Z172" s="453">
        <f>Z171/Z165</f>
        <v>0</v>
      </c>
      <c r="AA172" s="370">
        <f>Z172</f>
        <v>0</v>
      </c>
      <c r="AB172" s="370">
        <f>AA172</f>
        <v>0</v>
      </c>
      <c r="AC172" s="370">
        <f>AB172</f>
        <v>0</v>
      </c>
      <c r="AD172" s="370">
        <f>AC172</f>
        <v>0</v>
      </c>
      <c r="AE172" s="487"/>
      <c r="AF172" s="327"/>
      <c r="AG172" s="322"/>
      <c r="AK172" s="311"/>
      <c r="AL172" s="3"/>
      <c r="AM172" s="3"/>
    </row>
    <row r="173" spans="1:39" s="137" customFormat="1" x14ac:dyDescent="0.3">
      <c r="A173" s="3"/>
      <c r="B173" s="3"/>
      <c r="C173" s="3" t="s">
        <v>482</v>
      </c>
      <c r="D173" s="3"/>
      <c r="E173" s="3"/>
      <c r="F173" s="3"/>
      <c r="G173" s="3"/>
      <c r="H173" s="3"/>
      <c r="I173" s="3"/>
      <c r="J173" s="3"/>
      <c r="K173" s="3"/>
      <c r="L173" s="16">
        <v>182.25421399999999</v>
      </c>
      <c r="M173" s="16">
        <v>180.760603</v>
      </c>
      <c r="N173" s="15">
        <v>192.57929899999999</v>
      </c>
      <c r="O173" s="246">
        <v>431.61724500000003</v>
      </c>
      <c r="P173" s="16">
        <v>29.637896717938087</v>
      </c>
      <c r="Q173" s="16">
        <v>29.637896717938087</v>
      </c>
      <c r="R173" s="16">
        <v>29.637896717938087</v>
      </c>
      <c r="S173" s="16">
        <v>29.637896717938087</v>
      </c>
      <c r="T173" s="16">
        <v>29.637896717938087</v>
      </c>
      <c r="U173" s="16">
        <v>29.637896717938087</v>
      </c>
      <c r="V173" s="16">
        <v>29.637896717938087</v>
      </c>
      <c r="W173" s="16">
        <v>29.637896717938087</v>
      </c>
      <c r="X173" s="16">
        <v>29.637896717938087</v>
      </c>
      <c r="Y173" s="292">
        <f>SUM(P173:X173)</f>
        <v>266.74107046144275</v>
      </c>
      <c r="Z173" s="246">
        <f>SUM(O173,Y173)</f>
        <v>698.35831546144277</v>
      </c>
      <c r="AA173" s="16">
        <f>AA167*AA174</f>
        <v>740.25981438912936</v>
      </c>
      <c r="AB173" s="16">
        <f>AB167*AB174</f>
        <v>780.97410418053141</v>
      </c>
      <c r="AC173" s="16">
        <f>AC167*AC174</f>
        <v>820.02280938955801</v>
      </c>
      <c r="AD173" s="16">
        <f>AD167*AD174</f>
        <v>858.56388143086724</v>
      </c>
      <c r="AE173" s="487"/>
      <c r="AF173" s="327"/>
      <c r="AG173" s="322"/>
      <c r="AK173" s="311"/>
      <c r="AL173" s="3"/>
      <c r="AM173" s="3"/>
    </row>
    <row r="174" spans="1:39" s="137" customFormat="1" x14ac:dyDescent="0.3">
      <c r="B174" s="438"/>
      <c r="C174" s="438"/>
      <c r="D174" s="455" t="s">
        <v>483</v>
      </c>
      <c r="E174" s="438"/>
      <c r="F174" s="438"/>
      <c r="G174" s="438"/>
      <c r="H174" s="438"/>
      <c r="I174" s="438"/>
      <c r="J174" s="438"/>
      <c r="K174" s="438"/>
      <c r="L174" s="438"/>
      <c r="M174" s="438"/>
      <c r="N174" s="439"/>
      <c r="O174" s="437">
        <f>O173/O167*4</f>
        <v>78.475862727272727</v>
      </c>
      <c r="P174" s="130">
        <f t="shared" ref="P174:X174" si="88">P173/P167*12</f>
        <v>16.166125482511685</v>
      </c>
      <c r="Q174" s="130">
        <f t="shared" si="88"/>
        <v>16.166125482511685</v>
      </c>
      <c r="R174" s="130">
        <f t="shared" si="88"/>
        <v>16.166125482511685</v>
      </c>
      <c r="S174" s="130">
        <f t="shared" si="88"/>
        <v>16.166125482511685</v>
      </c>
      <c r="T174" s="130">
        <f t="shared" si="88"/>
        <v>16.166125482511685</v>
      </c>
      <c r="U174" s="130">
        <f t="shared" si="88"/>
        <v>16.166125482511685</v>
      </c>
      <c r="V174" s="130">
        <f t="shared" si="88"/>
        <v>16.166125482511685</v>
      </c>
      <c r="W174" s="130">
        <f t="shared" si="88"/>
        <v>16.166125482511685</v>
      </c>
      <c r="X174" s="130">
        <f t="shared" si="88"/>
        <v>16.166125482511685</v>
      </c>
      <c r="Y174" s="296"/>
      <c r="Z174" s="330">
        <f>Z173/Z167</f>
        <v>31.743559793701944</v>
      </c>
      <c r="AA174" s="130">
        <f>Z174*(1+'Key Assumption'!AB$27)</f>
        <v>33.648173381324064</v>
      </c>
      <c r="AB174" s="130">
        <f>AA174*(1+'Key Assumption'!AC$27)</f>
        <v>35.498822917296884</v>
      </c>
      <c r="AC174" s="130">
        <f>AB174*(1+'Key Assumption'!AD$27)</f>
        <v>37.273764063161728</v>
      </c>
      <c r="AD174" s="130">
        <f>AC174*(1+'Key Assumption'!AE$27)</f>
        <v>39.02563097413033</v>
      </c>
      <c r="AE174" s="487"/>
      <c r="AF174" s="327"/>
      <c r="AG174" s="322"/>
      <c r="AK174" s="311"/>
      <c r="AL174" s="3"/>
      <c r="AM174" s="3"/>
    </row>
    <row r="175" spans="1:39" s="137" customFormat="1" x14ac:dyDescent="0.3">
      <c r="B175" s="438"/>
      <c r="C175" s="438"/>
      <c r="D175" s="455"/>
      <c r="E175" s="438"/>
      <c r="F175" s="438"/>
      <c r="G175" s="438"/>
      <c r="H175" s="438"/>
      <c r="I175" s="438"/>
      <c r="J175" s="438"/>
      <c r="K175" s="438"/>
      <c r="L175" s="438"/>
      <c r="M175" s="438"/>
      <c r="N175" s="439"/>
      <c r="O175" s="437"/>
      <c r="P175" s="130"/>
      <c r="Q175" s="130"/>
      <c r="R175" s="130"/>
      <c r="S175" s="130"/>
      <c r="T175" s="130"/>
      <c r="U175" s="130"/>
      <c r="V175" s="130"/>
      <c r="W175" s="130"/>
      <c r="X175" s="130"/>
      <c r="Y175" s="130"/>
      <c r="Z175" s="15"/>
      <c r="AA175" s="130"/>
      <c r="AB175" s="130"/>
      <c r="AC175" s="130"/>
      <c r="AD175" s="130"/>
      <c r="AE175" s="487"/>
      <c r="AF175" s="327"/>
      <c r="AG175" s="322"/>
      <c r="AK175" s="311"/>
      <c r="AL175" s="3"/>
      <c r="AM175" s="3"/>
    </row>
    <row r="176" spans="1:39" x14ac:dyDescent="0.3">
      <c r="B176" s="8"/>
      <c r="C176" s="8"/>
      <c r="D176" s="8"/>
      <c r="E176" s="8"/>
      <c r="F176" s="8"/>
      <c r="G176" s="8"/>
      <c r="H176" s="8"/>
      <c r="I176" s="8"/>
      <c r="J176" s="8"/>
      <c r="K176" s="8"/>
      <c r="L176" s="9" t="s">
        <v>182</v>
      </c>
      <c r="M176" s="9" t="s">
        <v>183</v>
      </c>
      <c r="N176" s="10" t="s">
        <v>184</v>
      </c>
      <c r="O176" s="244" t="s">
        <v>4</v>
      </c>
      <c r="P176" s="9" t="s">
        <v>215</v>
      </c>
      <c r="Q176" s="9" t="s">
        <v>216</v>
      </c>
      <c r="R176" s="9" t="s">
        <v>217</v>
      </c>
      <c r="S176" s="9" t="s">
        <v>218</v>
      </c>
      <c r="T176" s="9" t="s">
        <v>219</v>
      </c>
      <c r="U176" s="9" t="s">
        <v>220</v>
      </c>
      <c r="V176" s="9" t="s">
        <v>221</v>
      </c>
      <c r="W176" s="9" t="s">
        <v>222</v>
      </c>
      <c r="X176" s="10" t="s">
        <v>223</v>
      </c>
      <c r="Y176" s="9" t="s">
        <v>294</v>
      </c>
      <c r="Z176" s="244" t="s">
        <v>197</v>
      </c>
      <c r="AA176" s="9" t="s">
        <v>198</v>
      </c>
      <c r="AB176" s="9" t="s">
        <v>199</v>
      </c>
      <c r="AC176" s="9" t="s">
        <v>200</v>
      </c>
      <c r="AD176" s="9" t="s">
        <v>201</v>
      </c>
      <c r="AE176" s="243"/>
      <c r="AF176" s="327"/>
      <c r="AK176" s="311"/>
    </row>
    <row r="177" spans="2:37" x14ac:dyDescent="0.3">
      <c r="B177" s="11" t="s">
        <v>142</v>
      </c>
      <c r="L177" s="13">
        <f>SUM(L178,L181,L182,L183)</f>
        <v>-90.289618999999988</v>
      </c>
      <c r="M177" s="13">
        <f>SUM(M178,M181,M182,M183)</f>
        <v>100.855947</v>
      </c>
      <c r="N177" s="124">
        <f>SUM(N178,N181,N182,N183)</f>
        <v>250.43935599999998</v>
      </c>
      <c r="O177" s="326">
        <f t="shared" ref="O177:AD177" si="89">SUM(O178,O181,O182,O183)</f>
        <v>3.0041189999999998</v>
      </c>
      <c r="P177" s="13">
        <f t="shared" si="89"/>
        <v>4.7508999999999997</v>
      </c>
      <c r="Q177" s="13">
        <f t="shared" si="89"/>
        <v>4.7508999999999997</v>
      </c>
      <c r="R177" s="13">
        <f t="shared" si="89"/>
        <v>4.7508999999999997</v>
      </c>
      <c r="S177" s="13">
        <f t="shared" si="89"/>
        <v>4.7508999999999997</v>
      </c>
      <c r="T177" s="13">
        <f t="shared" si="89"/>
        <v>4.7508999999999997</v>
      </c>
      <c r="U177" s="13">
        <f t="shared" si="89"/>
        <v>4.7508999999999997</v>
      </c>
      <c r="V177" s="13">
        <f t="shared" si="89"/>
        <v>4.7508999999999997</v>
      </c>
      <c r="W177" s="13">
        <f t="shared" si="89"/>
        <v>4.7508999999999997</v>
      </c>
      <c r="X177" s="13">
        <f t="shared" si="89"/>
        <v>4.7508999999999997</v>
      </c>
      <c r="Y177" s="396">
        <f t="shared" si="89"/>
        <v>42.758100000000006</v>
      </c>
      <c r="Z177" s="326">
        <f t="shared" si="89"/>
        <v>45.762219000000002</v>
      </c>
      <c r="AA177" s="13">
        <f t="shared" si="89"/>
        <v>62.046211698952376</v>
      </c>
      <c r="AB177" s="13">
        <f t="shared" si="89"/>
        <v>73.979388907258709</v>
      </c>
      <c r="AC177" s="13">
        <f t="shared" si="89"/>
        <v>85.757630172484497</v>
      </c>
      <c r="AD177" s="13">
        <f t="shared" si="89"/>
        <v>93.585600002119975</v>
      </c>
      <c r="AE177" s="151"/>
      <c r="AF177" s="327"/>
      <c r="AK177" s="311"/>
    </row>
    <row r="178" spans="2:37" x14ac:dyDescent="0.3">
      <c r="B178" s="11"/>
      <c r="C178" s="3" t="s">
        <v>485</v>
      </c>
      <c r="L178" s="16">
        <v>-126.949018</v>
      </c>
      <c r="M178" s="16">
        <v>80.620599999999996</v>
      </c>
      <c r="N178" s="15">
        <v>64.884957</v>
      </c>
      <c r="O178" s="246">
        <v>0.84356799999999998</v>
      </c>
      <c r="P178" s="16">
        <v>4.7508999999999997</v>
      </c>
      <c r="Q178" s="16">
        <v>4.7508999999999997</v>
      </c>
      <c r="R178" s="16">
        <v>4.7508999999999997</v>
      </c>
      <c r="S178" s="16">
        <v>4.7508999999999997</v>
      </c>
      <c r="T178" s="16">
        <v>4.7508999999999997</v>
      </c>
      <c r="U178" s="16">
        <v>4.7508999999999997</v>
      </c>
      <c r="V178" s="16">
        <v>4.7508999999999997</v>
      </c>
      <c r="W178" s="16">
        <v>4.7508999999999997</v>
      </c>
      <c r="X178" s="16">
        <v>4.7508999999999997</v>
      </c>
      <c r="Y178" s="292">
        <f>SUM(P178:X178)</f>
        <v>42.758100000000006</v>
      </c>
      <c r="Z178" s="246">
        <f>SUM(O178,Y178)</f>
        <v>43.601668000000004</v>
      </c>
      <c r="AA178" s="16">
        <f>AA179*AA180</f>
        <v>62.046211698952376</v>
      </c>
      <c r="AB178" s="16">
        <f>AB179*AB180</f>
        <v>73.979388907258709</v>
      </c>
      <c r="AC178" s="16">
        <f>AC179*AC180</f>
        <v>85.757630172484497</v>
      </c>
      <c r="AD178" s="16">
        <f>AD179*AD180</f>
        <v>93.585600002119975</v>
      </c>
      <c r="AE178" s="243"/>
      <c r="AF178" s="327"/>
      <c r="AK178" s="311"/>
    </row>
    <row r="179" spans="2:37" x14ac:dyDescent="0.3">
      <c r="B179" s="11"/>
      <c r="D179" s="3" t="s">
        <v>324</v>
      </c>
      <c r="L179" s="16"/>
      <c r="M179" s="16"/>
      <c r="N179" s="15"/>
      <c r="O179" s="246"/>
      <c r="P179" s="16">
        <f t="shared" ref="P179:X179" si="90">SUM(P23,P28,P33,P38,P43)</f>
        <v>60</v>
      </c>
      <c r="Q179" s="16">
        <f t="shared" si="90"/>
        <v>63</v>
      </c>
      <c r="R179" s="16">
        <f t="shared" si="90"/>
        <v>60</v>
      </c>
      <c r="S179" s="16">
        <f t="shared" si="90"/>
        <v>63</v>
      </c>
      <c r="T179" s="16">
        <f t="shared" si="90"/>
        <v>65</v>
      </c>
      <c r="U179" s="16">
        <f t="shared" si="90"/>
        <v>60</v>
      </c>
      <c r="V179" s="16">
        <f t="shared" si="90"/>
        <v>50</v>
      </c>
      <c r="W179" s="16">
        <f t="shared" si="90"/>
        <v>65</v>
      </c>
      <c r="X179" s="16">
        <f t="shared" si="90"/>
        <v>60</v>
      </c>
      <c r="Y179" s="292">
        <f>SUM(P179:X179)</f>
        <v>546</v>
      </c>
      <c r="Z179" s="246">
        <f>SUM(O179,Y179)</f>
        <v>546</v>
      </c>
      <c r="AA179" s="16">
        <f>SUM(AA23,AA28,AA33,AA38,AA43)</f>
        <v>767</v>
      </c>
      <c r="AB179" s="16">
        <f>SUM(AB23,AB28,AB33,AB38,AB43)</f>
        <v>901</v>
      </c>
      <c r="AC179" s="16">
        <f>SUM(AC23,AC28,AC33,AC38,AC43)</f>
        <v>1028</v>
      </c>
      <c r="AD179" s="16">
        <f>SUM(AD23,AD28,AD33,AD38,AD43)</f>
        <v>1102</v>
      </c>
      <c r="AE179" s="243"/>
      <c r="AF179" s="327"/>
      <c r="AK179" s="311"/>
    </row>
    <row r="180" spans="2:37" x14ac:dyDescent="0.3">
      <c r="B180" s="11"/>
      <c r="D180" s="3" t="s">
        <v>405</v>
      </c>
      <c r="L180" s="16"/>
      <c r="M180" s="16"/>
      <c r="N180" s="15"/>
      <c r="O180" s="246"/>
      <c r="P180" s="16">
        <f t="shared" ref="P180:X180" si="91">IFERROR(P178/P179,)</f>
        <v>7.9181666666666664E-2</v>
      </c>
      <c r="Q180" s="16">
        <f t="shared" si="91"/>
        <v>7.5411111111111109E-2</v>
      </c>
      <c r="R180" s="16">
        <f t="shared" si="91"/>
        <v>7.9181666666666664E-2</v>
      </c>
      <c r="S180" s="16">
        <f t="shared" si="91"/>
        <v>7.5411111111111109E-2</v>
      </c>
      <c r="T180" s="16">
        <f t="shared" si="91"/>
        <v>7.3090769230769223E-2</v>
      </c>
      <c r="U180" s="16">
        <f t="shared" si="91"/>
        <v>7.9181666666666664E-2</v>
      </c>
      <c r="V180" s="16">
        <f t="shared" si="91"/>
        <v>9.5017999999999991E-2</v>
      </c>
      <c r="W180" s="16">
        <f t="shared" si="91"/>
        <v>7.3090769230769223E-2</v>
      </c>
      <c r="X180" s="16">
        <f t="shared" si="91"/>
        <v>7.9181666666666664E-2</v>
      </c>
      <c r="Y180" s="292">
        <f>Y178/Y179</f>
        <v>7.8311538461538474E-2</v>
      </c>
      <c r="Z180" s="246">
        <f>Z178/Z179</f>
        <v>7.9856534798534801E-2</v>
      </c>
      <c r="AA180" s="16">
        <f>Z180*(1+'Key Assumption'!AB$25)</f>
        <v>8.0894669750915749E-2</v>
      </c>
      <c r="AB180" s="16">
        <f>AA180*(1+'Key Assumption'!AC$25)</f>
        <v>8.210808979717947E-2</v>
      </c>
      <c r="AC180" s="16">
        <f>AB180*(1+'Key Assumption'!AD$25)</f>
        <v>8.3421819233934338E-2</v>
      </c>
      <c r="AD180" s="16">
        <f>AC180*(1+'Key Assumption'!AE$25)</f>
        <v>8.4923411980145164E-2</v>
      </c>
      <c r="AE180" s="243"/>
      <c r="AF180" s="327"/>
      <c r="AK180" s="311"/>
    </row>
    <row r="181" spans="2:37" x14ac:dyDescent="0.3">
      <c r="B181" s="11"/>
      <c r="C181" s="3" t="s">
        <v>486</v>
      </c>
      <c r="L181" s="16">
        <v>9.3621009999999991</v>
      </c>
      <c r="M181" s="16">
        <v>0</v>
      </c>
      <c r="N181" s="15">
        <v>0</v>
      </c>
      <c r="O181" s="246">
        <v>0</v>
      </c>
      <c r="P181" s="119"/>
      <c r="Q181" s="119"/>
      <c r="R181" s="119"/>
      <c r="S181" s="119"/>
      <c r="T181" s="119"/>
      <c r="U181" s="119"/>
      <c r="V181" s="119"/>
      <c r="W181" s="119"/>
      <c r="X181" s="119"/>
      <c r="Y181" s="293"/>
      <c r="Z181" s="246">
        <f t="shared" ref="Z181:Z183" si="92">SUM(O181,Y181)</f>
        <v>0</v>
      </c>
      <c r="AA181" s="119"/>
      <c r="AB181" s="119"/>
      <c r="AC181" s="119"/>
      <c r="AD181" s="119"/>
      <c r="AE181" s="243"/>
      <c r="AF181" s="327"/>
      <c r="AK181" s="311"/>
    </row>
    <row r="182" spans="2:37" x14ac:dyDescent="0.3">
      <c r="B182" s="11"/>
      <c r="C182" s="3" t="s">
        <v>551</v>
      </c>
      <c r="L182" s="16">
        <v>0.17510999999999999</v>
      </c>
      <c r="M182" s="16">
        <v>0</v>
      </c>
      <c r="N182" s="15">
        <v>152.392042</v>
      </c>
      <c r="O182" s="246">
        <v>0</v>
      </c>
      <c r="P182" s="119"/>
      <c r="Q182" s="119"/>
      <c r="R182" s="119"/>
      <c r="S182" s="119"/>
      <c r="T182" s="119"/>
      <c r="U182" s="119"/>
      <c r="V182" s="119"/>
      <c r="W182" s="119"/>
      <c r="X182" s="119"/>
      <c r="Y182" s="293"/>
      <c r="Z182" s="246">
        <f t="shared" si="92"/>
        <v>0</v>
      </c>
      <c r="AA182" s="119"/>
      <c r="AB182" s="119"/>
      <c r="AC182" s="119"/>
      <c r="AD182" s="119"/>
      <c r="AE182" s="243"/>
      <c r="AF182" s="327"/>
      <c r="AK182" s="311"/>
    </row>
    <row r="183" spans="2:37" x14ac:dyDescent="0.3">
      <c r="B183" s="65"/>
      <c r="C183" s="92" t="s">
        <v>382</v>
      </c>
      <c r="D183" s="92"/>
      <c r="E183" s="92"/>
      <c r="F183" s="92"/>
      <c r="G183" s="92"/>
      <c r="H183" s="92"/>
      <c r="I183" s="92"/>
      <c r="J183" s="92"/>
      <c r="K183" s="92"/>
      <c r="L183" s="130">
        <v>27.122188000000001</v>
      </c>
      <c r="M183" s="130">
        <v>20.235347000000001</v>
      </c>
      <c r="N183" s="131">
        <v>33.162357</v>
      </c>
      <c r="O183" s="330">
        <v>2.1605509999999999</v>
      </c>
      <c r="P183" s="281"/>
      <c r="Q183" s="281"/>
      <c r="R183" s="281"/>
      <c r="S183" s="281"/>
      <c r="T183" s="281"/>
      <c r="U183" s="281"/>
      <c r="V183" s="281"/>
      <c r="W183" s="281"/>
      <c r="X183" s="281"/>
      <c r="Y183" s="314"/>
      <c r="Z183" s="330">
        <f t="shared" si="92"/>
        <v>2.1605509999999999</v>
      </c>
      <c r="AA183" s="281"/>
      <c r="AB183" s="281"/>
      <c r="AC183" s="281"/>
      <c r="AD183" s="281"/>
      <c r="AE183" s="243"/>
      <c r="AF183" s="327"/>
      <c r="AK183" s="311"/>
    </row>
    <row r="184" spans="2:37" x14ac:dyDescent="0.3">
      <c r="AE184" s="243"/>
      <c r="AF184" s="327"/>
      <c r="AK184" s="311"/>
    </row>
    <row r="185" spans="2:37" x14ac:dyDescent="0.3">
      <c r="B185" s="8"/>
      <c r="C185" s="8"/>
      <c r="D185" s="8"/>
      <c r="E185" s="8"/>
      <c r="F185" s="8"/>
      <c r="G185" s="8"/>
      <c r="H185" s="8"/>
      <c r="I185" s="8"/>
      <c r="J185" s="8"/>
      <c r="K185" s="8"/>
      <c r="L185" s="9" t="s">
        <v>182</v>
      </c>
      <c r="M185" s="9" t="s">
        <v>183</v>
      </c>
      <c r="N185" s="10" t="s">
        <v>184</v>
      </c>
      <c r="O185" s="244" t="s">
        <v>4</v>
      </c>
      <c r="P185" s="9" t="s">
        <v>215</v>
      </c>
      <c r="Q185" s="9" t="s">
        <v>216</v>
      </c>
      <c r="R185" s="9" t="s">
        <v>217</v>
      </c>
      <c r="S185" s="9" t="s">
        <v>218</v>
      </c>
      <c r="T185" s="9" t="s">
        <v>219</v>
      </c>
      <c r="U185" s="9" t="s">
        <v>220</v>
      </c>
      <c r="V185" s="9" t="s">
        <v>221</v>
      </c>
      <c r="W185" s="9" t="s">
        <v>222</v>
      </c>
      <c r="X185" s="10" t="s">
        <v>223</v>
      </c>
      <c r="Y185" s="9" t="s">
        <v>294</v>
      </c>
      <c r="Z185" s="244" t="s">
        <v>197</v>
      </c>
      <c r="AA185" s="9" t="s">
        <v>198</v>
      </c>
      <c r="AB185" s="9" t="s">
        <v>199</v>
      </c>
      <c r="AC185" s="9" t="s">
        <v>200</v>
      </c>
      <c r="AD185" s="9" t="s">
        <v>201</v>
      </c>
      <c r="AE185" s="243"/>
      <c r="AF185" s="327"/>
      <c r="AK185" s="311"/>
    </row>
    <row r="186" spans="2:37" x14ac:dyDescent="0.3">
      <c r="B186" s="11" t="s">
        <v>143</v>
      </c>
      <c r="L186" s="13">
        <f t="shared" ref="L186:N186" si="93">SUM(L187:L203)</f>
        <v>1412.7523580000002</v>
      </c>
      <c r="M186" s="13">
        <f t="shared" si="93"/>
        <v>1564.4385419999999</v>
      </c>
      <c r="N186" s="124">
        <f t="shared" si="93"/>
        <v>1192.006738</v>
      </c>
      <c r="O186" s="326">
        <f t="shared" ref="O186:AD186" si="94">SUM(O187:O203)</f>
        <v>300.97486600000002</v>
      </c>
      <c r="P186" s="13">
        <f t="shared" si="94"/>
        <v>125.71932489859111</v>
      </c>
      <c r="Q186" s="13">
        <f t="shared" si="94"/>
        <v>125.71932489859111</v>
      </c>
      <c r="R186" s="13">
        <f t="shared" si="94"/>
        <v>125.71932489859111</v>
      </c>
      <c r="S186" s="13">
        <f t="shared" si="94"/>
        <v>125.68352438817317</v>
      </c>
      <c r="T186" s="13">
        <f t="shared" si="94"/>
        <v>125.68352438817317</v>
      </c>
      <c r="U186" s="13">
        <f t="shared" si="94"/>
        <v>125.68352438817317</v>
      </c>
      <c r="V186" s="13">
        <f t="shared" si="94"/>
        <v>125.58892782582883</v>
      </c>
      <c r="W186" s="13">
        <f t="shared" si="94"/>
        <v>125.58892782582883</v>
      </c>
      <c r="X186" s="13">
        <f t="shared" si="94"/>
        <v>125.58892782582883</v>
      </c>
      <c r="Y186" s="396">
        <f t="shared" si="94"/>
        <v>1130.9753313377792</v>
      </c>
      <c r="Z186" s="326">
        <f t="shared" si="94"/>
        <v>1431.9501973377792</v>
      </c>
      <c r="AA186" s="13">
        <f t="shared" si="94"/>
        <v>1270.6840243840493</v>
      </c>
      <c r="AB186" s="13">
        <f t="shared" si="94"/>
        <v>1289.74428474981</v>
      </c>
      <c r="AC186" s="13">
        <f t="shared" si="94"/>
        <v>1310.3801933058071</v>
      </c>
      <c r="AD186" s="13">
        <f t="shared" si="94"/>
        <v>1333.9670367853116</v>
      </c>
      <c r="AE186" s="151"/>
      <c r="AF186" s="327"/>
      <c r="AK186" s="311"/>
    </row>
    <row r="187" spans="2:37" x14ac:dyDescent="0.3">
      <c r="B187" s="11"/>
      <c r="C187" s="3" t="s">
        <v>487</v>
      </c>
      <c r="L187" s="16">
        <v>277.007093</v>
      </c>
      <c r="M187" s="16">
        <v>284.875989</v>
      </c>
      <c r="N187" s="15">
        <v>265.02838800000001</v>
      </c>
      <c r="O187" s="246">
        <v>67.532274000000001</v>
      </c>
      <c r="P187" s="16">
        <f>CAPEX_강소!P33</f>
        <v>5.1872223651865257</v>
      </c>
      <c r="Q187" s="16">
        <f>CAPEX_강소!Q33</f>
        <v>5.1872223651865257</v>
      </c>
      <c r="R187" s="16">
        <f>CAPEX_강소!R33</f>
        <v>5.1872223651865257</v>
      </c>
      <c r="S187" s="16">
        <f>CAPEX_강소!S33</f>
        <v>5.1514218547685831</v>
      </c>
      <c r="T187" s="16">
        <f>CAPEX_강소!T33</f>
        <v>5.1514218547685831</v>
      </c>
      <c r="U187" s="16">
        <f>CAPEX_강소!U33</f>
        <v>5.1514218547685831</v>
      </c>
      <c r="V187" s="16">
        <f>CAPEX_강소!V33</f>
        <v>5.0568252924242438</v>
      </c>
      <c r="W187" s="16">
        <f>CAPEX_강소!W33</f>
        <v>5.0568252924242438</v>
      </c>
      <c r="X187" s="16">
        <f>CAPEX_강소!X33</f>
        <v>5.0568252924242438</v>
      </c>
      <c r="Y187" s="292">
        <f>CAPEX_강소!Y33</f>
        <v>46.186408537138057</v>
      </c>
      <c r="Z187" s="246">
        <f>CAPEX_강소!Z33</f>
        <v>113.71868253713805</v>
      </c>
      <c r="AA187" s="16">
        <f>CAPEX_강소!AA33</f>
        <v>0</v>
      </c>
      <c r="AB187" s="16">
        <f>CAPEX_강소!AB33</f>
        <v>0</v>
      </c>
      <c r="AC187" s="16">
        <f>CAPEX_강소!AC33</f>
        <v>0</v>
      </c>
      <c r="AD187" s="16">
        <f>CAPEX_강소!AD33</f>
        <v>0</v>
      </c>
      <c r="AE187" s="243"/>
      <c r="AF187" s="327"/>
      <c r="AK187" s="311"/>
    </row>
    <row r="188" spans="2:37" x14ac:dyDescent="0.3">
      <c r="B188" s="11"/>
      <c r="C188" s="3" t="s">
        <v>491</v>
      </c>
      <c r="L188" s="16">
        <v>7.370762</v>
      </c>
      <c r="M188" s="16">
        <v>8.9132809999999996</v>
      </c>
      <c r="N188" s="15">
        <v>6.6969709999999996</v>
      </c>
      <c r="O188" s="246">
        <v>1.642072</v>
      </c>
      <c r="P188" s="16">
        <v>1.3097330818269712</v>
      </c>
      <c r="Q188" s="16">
        <v>1.3097330818269712</v>
      </c>
      <c r="R188" s="16">
        <v>1.3097330818269712</v>
      </c>
      <c r="S188" s="16">
        <v>1.3097330818269712</v>
      </c>
      <c r="T188" s="16">
        <v>1.3097330818269712</v>
      </c>
      <c r="U188" s="16">
        <v>1.3097330818269712</v>
      </c>
      <c r="V188" s="16">
        <v>1.3097330818269712</v>
      </c>
      <c r="W188" s="16">
        <v>1.3097330818269712</v>
      </c>
      <c r="X188" s="16">
        <v>1.3097330818269712</v>
      </c>
      <c r="Y188" s="292">
        <f t="shared" ref="Y188:Y198" si="95">SUM(P188:X188)</f>
        <v>11.787597736442741</v>
      </c>
      <c r="Z188" s="246">
        <f t="shared" ref="Z188:Z211" si="96">SUM(O188,Y188)</f>
        <v>13.429669736442742</v>
      </c>
      <c r="AA188" s="16">
        <f>Z188*(1+'Key Assumption'!AB$25)</f>
        <v>13.604255443016497</v>
      </c>
      <c r="AB188" s="16">
        <f>AA188*(1+'Key Assumption'!AC$25)</f>
        <v>13.808319274661743</v>
      </c>
      <c r="AC188" s="16">
        <f>AB188*(1+'Key Assumption'!AD$25)</f>
        <v>14.029252383056331</v>
      </c>
      <c r="AD188" s="16">
        <f>AC188*(1+'Key Assumption'!AE$25)</f>
        <v>14.281778925951345</v>
      </c>
      <c r="AE188" s="243"/>
      <c r="AF188" s="327"/>
      <c r="AK188" s="311"/>
    </row>
    <row r="189" spans="2:37" x14ac:dyDescent="0.3">
      <c r="B189" s="11"/>
      <c r="C189" s="3" t="s">
        <v>395</v>
      </c>
      <c r="L189" s="16">
        <v>1.334117</v>
      </c>
      <c r="M189" s="16">
        <v>0.44481599999999999</v>
      </c>
      <c r="N189" s="15">
        <v>4.4920669999999996</v>
      </c>
      <c r="O189" s="246">
        <v>0.69625800000000004</v>
      </c>
      <c r="P189" s="16">
        <v>0.47603096392463295</v>
      </c>
      <c r="Q189" s="16">
        <v>0.47603096392463295</v>
      </c>
      <c r="R189" s="16">
        <v>0.47603096392463295</v>
      </c>
      <c r="S189" s="16">
        <v>0.47603096392463295</v>
      </c>
      <c r="T189" s="16">
        <v>0.47603096392463295</v>
      </c>
      <c r="U189" s="16">
        <v>0.47603096392463295</v>
      </c>
      <c r="V189" s="16">
        <v>0.47603096392463295</v>
      </c>
      <c r="W189" s="16">
        <v>0.47603096392463295</v>
      </c>
      <c r="X189" s="16">
        <v>0.47603096392463295</v>
      </c>
      <c r="Y189" s="292">
        <f t="shared" si="95"/>
        <v>4.2842786753216977</v>
      </c>
      <c r="Z189" s="246">
        <f t="shared" si="96"/>
        <v>4.980536675321698</v>
      </c>
      <c r="AA189" s="16">
        <f>Z189*(1+'Key Assumption'!AB$25)</f>
        <v>5.0452836521008795</v>
      </c>
      <c r="AB189" s="16">
        <f>AA189*(1+'Key Assumption'!AC$25)</f>
        <v>5.1209629068823919</v>
      </c>
      <c r="AC189" s="16">
        <f>AB189*(1+'Key Assumption'!AD$25)</f>
        <v>5.2028983133925104</v>
      </c>
      <c r="AD189" s="16">
        <f>AC189*(1+'Key Assumption'!AE$25)</f>
        <v>5.2965504830335757</v>
      </c>
      <c r="AE189" s="243"/>
      <c r="AF189" s="327"/>
      <c r="AK189" s="311"/>
    </row>
    <row r="190" spans="2:37" x14ac:dyDescent="0.3">
      <c r="B190" s="11"/>
      <c r="C190" s="3" t="s">
        <v>489</v>
      </c>
      <c r="L190" s="16">
        <v>11.139567</v>
      </c>
      <c r="M190" s="16">
        <v>10.351614</v>
      </c>
      <c r="N190" s="15">
        <v>13.53707</v>
      </c>
      <c r="O190" s="246">
        <v>2.8564509999999999</v>
      </c>
      <c r="P190" s="16">
        <v>1.8669008789360921</v>
      </c>
      <c r="Q190" s="16">
        <v>1.8669008789360921</v>
      </c>
      <c r="R190" s="16">
        <v>1.8669008789360921</v>
      </c>
      <c r="S190" s="16">
        <v>1.8669008789360921</v>
      </c>
      <c r="T190" s="16">
        <v>1.8669008789360921</v>
      </c>
      <c r="U190" s="16">
        <v>1.8669008789360921</v>
      </c>
      <c r="V190" s="16">
        <v>1.8669008789360921</v>
      </c>
      <c r="W190" s="16">
        <v>1.8669008789360921</v>
      </c>
      <c r="X190" s="16">
        <v>1.8669008789360921</v>
      </c>
      <c r="Y190" s="292">
        <f t="shared" si="95"/>
        <v>16.802107910424834</v>
      </c>
      <c r="Z190" s="246">
        <f t="shared" si="96"/>
        <v>19.658558910424833</v>
      </c>
      <c r="AA190" s="16">
        <f>Z190*(1+'Key Assumption'!AB$25)</f>
        <v>19.914120176260354</v>
      </c>
      <c r="AB190" s="16">
        <f>AA190*(1+'Key Assumption'!AC$25)</f>
        <v>20.212831978904259</v>
      </c>
      <c r="AC190" s="16">
        <f>AB190*(1+'Key Assumption'!AD$25)</f>
        <v>20.536237290566728</v>
      </c>
      <c r="AD190" s="16">
        <f>AC190*(1+'Key Assumption'!AE$25)</f>
        <v>20.905889561796929</v>
      </c>
      <c r="AE190" s="243"/>
      <c r="AF190" s="327"/>
      <c r="AK190" s="311"/>
    </row>
    <row r="191" spans="2:37" x14ac:dyDescent="0.3">
      <c r="B191" s="11"/>
      <c r="C191" s="3" t="s">
        <v>417</v>
      </c>
      <c r="L191" s="16">
        <v>328.23911199999998</v>
      </c>
      <c r="M191" s="16">
        <v>0.57610499999999998</v>
      </c>
      <c r="N191" s="15">
        <v>2.0742639999999999</v>
      </c>
      <c r="O191" s="246">
        <v>0</v>
      </c>
      <c r="P191" s="16">
        <v>6.6115411656199011E-2</v>
      </c>
      <c r="Q191" s="16">
        <v>6.6115411656199011E-2</v>
      </c>
      <c r="R191" s="16">
        <v>6.6115411656199011E-2</v>
      </c>
      <c r="S191" s="16">
        <v>6.6115411656199011E-2</v>
      </c>
      <c r="T191" s="16">
        <v>6.6115411656199011E-2</v>
      </c>
      <c r="U191" s="16">
        <v>6.6115411656199011E-2</v>
      </c>
      <c r="V191" s="16">
        <v>6.6115411656199011E-2</v>
      </c>
      <c r="W191" s="16">
        <v>6.6115411656199011E-2</v>
      </c>
      <c r="X191" s="16">
        <v>6.6115411656199011E-2</v>
      </c>
      <c r="Y191" s="292">
        <f t="shared" si="95"/>
        <v>0.59503870490579114</v>
      </c>
      <c r="Z191" s="246">
        <f t="shared" si="96"/>
        <v>0.59503870490579114</v>
      </c>
      <c r="AA191" s="16">
        <f>Z191*(1+'Key Assumption'!AB$25)</f>
        <v>0.60277420806956639</v>
      </c>
      <c r="AB191" s="16">
        <f>AA191*(1+'Key Assumption'!AC$25)</f>
        <v>0.61181582119060984</v>
      </c>
      <c r="AC191" s="16">
        <f>AB191*(1+'Key Assumption'!AD$25)</f>
        <v>0.62160487432965961</v>
      </c>
      <c r="AD191" s="16">
        <f>AC191*(1+'Key Assumption'!AE$25)</f>
        <v>0.63279376206759352</v>
      </c>
      <c r="AE191" s="243"/>
      <c r="AF191" s="327"/>
      <c r="AK191" s="311"/>
    </row>
    <row r="192" spans="2:37" x14ac:dyDescent="0.3">
      <c r="B192" s="11"/>
      <c r="C192" s="3" t="s">
        <v>531</v>
      </c>
      <c r="L192" s="16">
        <v>1.485023</v>
      </c>
      <c r="M192" s="16">
        <v>1.5022519999999999</v>
      </c>
      <c r="N192" s="15">
        <v>1.308616</v>
      </c>
      <c r="O192" s="246">
        <v>0.389071</v>
      </c>
      <c r="P192" s="16">
        <v>0.16264391267424963</v>
      </c>
      <c r="Q192" s="16">
        <v>0.16264391267424963</v>
      </c>
      <c r="R192" s="16">
        <v>0.16264391267424963</v>
      </c>
      <c r="S192" s="16">
        <v>0.16264391267424963</v>
      </c>
      <c r="T192" s="16">
        <v>0.16264391267424963</v>
      </c>
      <c r="U192" s="16">
        <v>0.16264391267424963</v>
      </c>
      <c r="V192" s="16">
        <v>0.16264391267424963</v>
      </c>
      <c r="W192" s="16">
        <v>0.16264391267424963</v>
      </c>
      <c r="X192" s="16">
        <v>0.16264391267424963</v>
      </c>
      <c r="Y192" s="292">
        <f t="shared" si="95"/>
        <v>1.4637952140682466</v>
      </c>
      <c r="Z192" s="246">
        <f t="shared" si="96"/>
        <v>1.8528662140682466</v>
      </c>
      <c r="AA192" s="16">
        <f>Z192*(1+'Key Assumption'!AB$25)</f>
        <v>1.8769534748511336</v>
      </c>
      <c r="AB192" s="16">
        <f>AA192*(1+'Key Assumption'!AC$25)</f>
        <v>1.9051077769739004</v>
      </c>
      <c r="AC192" s="16">
        <f>AB192*(1+'Key Assumption'!AD$25)</f>
        <v>1.9355895014054829</v>
      </c>
      <c r="AD192" s="16">
        <f>AC192*(1+'Key Assumption'!AE$25)</f>
        <v>1.9704301124307817</v>
      </c>
      <c r="AE192" s="243"/>
      <c r="AF192" s="327"/>
      <c r="AK192" s="311"/>
    </row>
    <row r="193" spans="2:37" x14ac:dyDescent="0.3">
      <c r="B193" s="11"/>
      <c r="C193" s="3" t="s">
        <v>488</v>
      </c>
      <c r="L193" s="16">
        <v>9.2521730000000009</v>
      </c>
      <c r="M193" s="16">
        <v>10.221907</v>
      </c>
      <c r="N193" s="15">
        <v>9.6870840000000005</v>
      </c>
      <c r="O193" s="246">
        <v>2.5509759999999999</v>
      </c>
      <c r="P193" s="16">
        <v>1.1608543978595425</v>
      </c>
      <c r="Q193" s="16">
        <v>1.1608543978595425</v>
      </c>
      <c r="R193" s="16">
        <v>1.1608543978595425</v>
      </c>
      <c r="S193" s="16">
        <v>1.1608543978595425</v>
      </c>
      <c r="T193" s="16">
        <v>1.1608543978595425</v>
      </c>
      <c r="U193" s="16">
        <v>1.1608543978595425</v>
      </c>
      <c r="V193" s="16">
        <v>1.1608543978595425</v>
      </c>
      <c r="W193" s="16">
        <v>1.1608543978595425</v>
      </c>
      <c r="X193" s="16">
        <v>1.1608543978595425</v>
      </c>
      <c r="Y193" s="292">
        <f t="shared" si="95"/>
        <v>10.447689580735883</v>
      </c>
      <c r="Z193" s="246">
        <f t="shared" si="96"/>
        <v>12.998665580735883</v>
      </c>
      <c r="AA193" s="16">
        <f>Z193*(1+'Key Assumption'!AB$25)</f>
        <v>13.167648233285448</v>
      </c>
      <c r="AB193" s="16">
        <f>AA193*(1+'Key Assumption'!AC$25)</f>
        <v>13.365162956784728</v>
      </c>
      <c r="AC193" s="16">
        <f>AB193*(1+'Key Assumption'!AD$25)</f>
        <v>13.579005564093283</v>
      </c>
      <c r="AD193" s="16">
        <f>AC193*(1+'Key Assumption'!AE$25)</f>
        <v>13.823427664246962</v>
      </c>
      <c r="AE193" s="243"/>
      <c r="AF193" s="327"/>
      <c r="AK193" s="311"/>
    </row>
    <row r="194" spans="2:37" x14ac:dyDescent="0.3">
      <c r="B194" s="11"/>
      <c r="C194" s="3" t="s">
        <v>410</v>
      </c>
      <c r="L194" s="16">
        <v>0.146399</v>
      </c>
      <c r="M194" s="16">
        <v>0.33852900000000002</v>
      </c>
      <c r="N194" s="15">
        <v>0.20602999999999999</v>
      </c>
      <c r="O194" s="246">
        <v>3.1454999999999997E-2</v>
      </c>
      <c r="P194" s="16">
        <v>0</v>
      </c>
      <c r="Q194" s="16">
        <v>0</v>
      </c>
      <c r="R194" s="16">
        <v>0</v>
      </c>
      <c r="S194" s="16">
        <v>0</v>
      </c>
      <c r="T194" s="16">
        <v>0</v>
      </c>
      <c r="U194" s="16">
        <v>0</v>
      </c>
      <c r="V194" s="16">
        <v>0</v>
      </c>
      <c r="W194" s="16">
        <v>0</v>
      </c>
      <c r="X194" s="16">
        <v>0</v>
      </c>
      <c r="Y194" s="292">
        <f t="shared" si="95"/>
        <v>0</v>
      </c>
      <c r="Z194" s="246">
        <f t="shared" si="96"/>
        <v>3.1454999999999997E-2</v>
      </c>
      <c r="AA194" s="16">
        <f>Z194*(1+'Key Assumption'!AB$25)</f>
        <v>3.1863914999999993E-2</v>
      </c>
      <c r="AB194" s="16">
        <f>AA194*(1+'Key Assumption'!AC$25)</f>
        <v>3.2341873724999991E-2</v>
      </c>
      <c r="AC194" s="16">
        <f>AB194*(1+'Key Assumption'!AD$25)</f>
        <v>3.2859343704599989E-2</v>
      </c>
      <c r="AD194" s="16">
        <f>AC194*(1+'Key Assumption'!AE$25)</f>
        <v>3.3450811891282788E-2</v>
      </c>
      <c r="AE194" s="243"/>
      <c r="AF194" s="327"/>
      <c r="AK194" s="311"/>
    </row>
    <row r="195" spans="2:37" x14ac:dyDescent="0.3">
      <c r="B195" s="11"/>
      <c r="C195" s="3" t="s">
        <v>388</v>
      </c>
      <c r="L195" s="16">
        <v>343.60168599999997</v>
      </c>
      <c r="M195" s="16">
        <v>181.75429700000001</v>
      </c>
      <c r="N195" s="15">
        <v>156.02484899999999</v>
      </c>
      <c r="O195" s="246">
        <v>41.808576000000002</v>
      </c>
      <c r="P195" s="16">
        <v>19.058319571902789</v>
      </c>
      <c r="Q195" s="16">
        <v>19.058319571902789</v>
      </c>
      <c r="R195" s="16">
        <v>19.058319571902789</v>
      </c>
      <c r="S195" s="16">
        <v>19.058319571902789</v>
      </c>
      <c r="T195" s="16">
        <v>19.058319571902789</v>
      </c>
      <c r="U195" s="16">
        <v>19.058319571902789</v>
      </c>
      <c r="V195" s="16">
        <v>19.058319571902789</v>
      </c>
      <c r="W195" s="16">
        <v>19.058319571902789</v>
      </c>
      <c r="X195" s="16">
        <v>19.058319571902789</v>
      </c>
      <c r="Y195" s="292">
        <f t="shared" si="95"/>
        <v>171.5248761471251</v>
      </c>
      <c r="Z195" s="246">
        <f t="shared" si="96"/>
        <v>213.33345214712512</v>
      </c>
      <c r="AA195" s="16">
        <f>Z195*(1+'Key Assumption'!AB$25)</f>
        <v>216.10678702503773</v>
      </c>
      <c r="AB195" s="16">
        <f>AA195*(1+'Key Assumption'!AC$25)</f>
        <v>219.34838883041328</v>
      </c>
      <c r="AC195" s="16">
        <f>AB195*(1+'Key Assumption'!AD$25)</f>
        <v>222.8579630516999</v>
      </c>
      <c r="AD195" s="16">
        <f>AC195*(1+'Key Assumption'!AE$25)</f>
        <v>226.86940638663049</v>
      </c>
      <c r="AE195" s="243"/>
      <c r="AF195" s="327"/>
      <c r="AK195" s="311"/>
    </row>
    <row r="196" spans="2:37" x14ac:dyDescent="0.3">
      <c r="B196" s="11"/>
      <c r="C196" s="3" t="s">
        <v>389</v>
      </c>
      <c r="L196" s="16">
        <v>49.740372000000001</v>
      </c>
      <c r="M196" s="16">
        <v>45.099851000000001</v>
      </c>
      <c r="N196" s="15">
        <v>41.021186999999998</v>
      </c>
      <c r="O196" s="246">
        <v>10.940023</v>
      </c>
      <c r="P196" s="16">
        <v>5.5986530590469341</v>
      </c>
      <c r="Q196" s="16">
        <v>5.5986530590469341</v>
      </c>
      <c r="R196" s="16">
        <v>5.5986530590469341</v>
      </c>
      <c r="S196" s="16">
        <v>5.5986530590469341</v>
      </c>
      <c r="T196" s="16">
        <v>5.5986530590469341</v>
      </c>
      <c r="U196" s="16">
        <v>5.5986530590469341</v>
      </c>
      <c r="V196" s="16">
        <v>5.5986530590469341</v>
      </c>
      <c r="W196" s="16">
        <v>5.5986530590469341</v>
      </c>
      <c r="X196" s="16">
        <v>5.5986530590469341</v>
      </c>
      <c r="Y196" s="292">
        <f t="shared" si="95"/>
        <v>50.387877531422397</v>
      </c>
      <c r="Z196" s="246">
        <f t="shared" si="96"/>
        <v>61.327900531422401</v>
      </c>
      <c r="AA196" s="16">
        <f>Z196*(1+'Key Assumption'!AB$25)</f>
        <v>62.125163238330884</v>
      </c>
      <c r="AB196" s="16">
        <f>AA196*(1+'Key Assumption'!AC$25)</f>
        <v>63.057040686905843</v>
      </c>
      <c r="AC196" s="16">
        <f>AB196*(1+'Key Assumption'!AD$25)</f>
        <v>64.065953337896332</v>
      </c>
      <c r="AD196" s="16">
        <f>AC196*(1+'Key Assumption'!AE$25)</f>
        <v>65.219140497978472</v>
      </c>
      <c r="AE196" s="243"/>
      <c r="AF196" s="327"/>
      <c r="AK196" s="311"/>
    </row>
    <row r="197" spans="2:37" x14ac:dyDescent="0.3">
      <c r="B197" s="11"/>
      <c r="C197" s="3" t="s">
        <v>393</v>
      </c>
      <c r="L197" s="16">
        <v>326.33429899999999</v>
      </c>
      <c r="M197" s="16">
        <v>366.45363200000003</v>
      </c>
      <c r="N197" s="15">
        <v>359.09889199999998</v>
      </c>
      <c r="O197" s="246">
        <v>108.673317</v>
      </c>
      <c r="P197" s="16">
        <v>43.295882280838065</v>
      </c>
      <c r="Q197" s="16">
        <v>43.295882280838065</v>
      </c>
      <c r="R197" s="16">
        <v>43.295882280838065</v>
      </c>
      <c r="S197" s="16">
        <v>43.295882280838065</v>
      </c>
      <c r="T197" s="16">
        <v>43.295882280838065</v>
      </c>
      <c r="U197" s="16">
        <v>43.295882280838065</v>
      </c>
      <c r="V197" s="16">
        <v>43.295882280838065</v>
      </c>
      <c r="W197" s="16">
        <v>43.295882280838065</v>
      </c>
      <c r="X197" s="16">
        <v>43.295882280838065</v>
      </c>
      <c r="Y197" s="292">
        <f t="shared" si="95"/>
        <v>389.6629405275425</v>
      </c>
      <c r="Z197" s="246">
        <f t="shared" si="96"/>
        <v>498.3362575275425</v>
      </c>
      <c r="AA197" s="16">
        <f>Z197*(1+'Key Assumption'!AB$25)</f>
        <v>504.8146288754005</v>
      </c>
      <c r="AB197" s="16">
        <f>AA197*(1+'Key Assumption'!AC$25)</f>
        <v>512.38684830853151</v>
      </c>
      <c r="AC197" s="16">
        <f>AB197*(1+'Key Assumption'!AD$25)</f>
        <v>520.585037881468</v>
      </c>
      <c r="AD197" s="16">
        <f>AC197*(1+'Key Assumption'!AE$25)</f>
        <v>529.9555685633344</v>
      </c>
      <c r="AE197" s="243"/>
      <c r="AF197" s="327"/>
      <c r="AK197" s="311"/>
    </row>
    <row r="198" spans="2:37" x14ac:dyDescent="0.3">
      <c r="B198" s="11"/>
      <c r="C198" s="3" t="s">
        <v>552</v>
      </c>
      <c r="L198" s="16">
        <v>0</v>
      </c>
      <c r="M198" s="16">
        <v>0</v>
      </c>
      <c r="N198" s="15">
        <v>0</v>
      </c>
      <c r="O198" s="246">
        <v>0</v>
      </c>
      <c r="P198" s="16">
        <v>0</v>
      </c>
      <c r="Q198" s="16">
        <v>0</v>
      </c>
      <c r="R198" s="16">
        <v>0</v>
      </c>
      <c r="S198" s="16">
        <v>0</v>
      </c>
      <c r="T198" s="16">
        <v>0</v>
      </c>
      <c r="U198" s="16">
        <v>0</v>
      </c>
      <c r="V198" s="16">
        <v>0</v>
      </c>
      <c r="W198" s="16">
        <v>0</v>
      </c>
      <c r="X198" s="16">
        <v>0</v>
      </c>
      <c r="Y198" s="292">
        <f t="shared" si="95"/>
        <v>0</v>
      </c>
      <c r="Z198" s="246">
        <f t="shared" si="96"/>
        <v>0</v>
      </c>
      <c r="AA198" s="16">
        <f>Z198*(1+'Key Assumption'!AB$25)</f>
        <v>0</v>
      </c>
      <c r="AB198" s="16">
        <f>AA198*(1+'Key Assumption'!AC$25)</f>
        <v>0</v>
      </c>
      <c r="AC198" s="16">
        <f>AB198*(1+'Key Assumption'!AD$25)</f>
        <v>0</v>
      </c>
      <c r="AD198" s="16">
        <f>AC198*(1+'Key Assumption'!AE$25)</f>
        <v>0</v>
      </c>
      <c r="AE198" s="243"/>
      <c r="AF198" s="327"/>
      <c r="AK198" s="311"/>
    </row>
    <row r="199" spans="2:37" x14ac:dyDescent="0.3">
      <c r="B199" s="11"/>
      <c r="C199" s="3" t="s">
        <v>490</v>
      </c>
      <c r="L199" s="16">
        <v>8.7013890000000007</v>
      </c>
      <c r="M199" s="16">
        <v>7.380757</v>
      </c>
      <c r="N199" s="15">
        <v>11.877457</v>
      </c>
      <c r="O199" s="246">
        <v>3.0586720000000001</v>
      </c>
      <c r="P199" s="119"/>
      <c r="Q199" s="119"/>
      <c r="R199" s="119"/>
      <c r="S199" s="119"/>
      <c r="T199" s="119"/>
      <c r="U199" s="119"/>
      <c r="V199" s="119"/>
      <c r="W199" s="119"/>
      <c r="X199" s="119"/>
      <c r="Y199" s="293"/>
      <c r="Z199" s="246">
        <f t="shared" si="96"/>
        <v>3.0586720000000001</v>
      </c>
      <c r="AA199" s="119"/>
      <c r="AB199" s="119"/>
      <c r="AC199" s="119"/>
      <c r="AD199" s="119"/>
      <c r="AE199" s="243"/>
      <c r="AF199" s="327"/>
      <c r="AK199" s="311"/>
    </row>
    <row r="200" spans="2:37" x14ac:dyDescent="0.3">
      <c r="B200" s="11"/>
      <c r="C200" s="3" t="s">
        <v>553</v>
      </c>
      <c r="L200" s="16">
        <v>10.977111000000001</v>
      </c>
      <c r="M200" s="16">
        <v>5.9765519999999999</v>
      </c>
      <c r="N200" s="15">
        <v>4.4476889999999996</v>
      </c>
      <c r="O200" s="246">
        <v>0.66074500000000003</v>
      </c>
      <c r="P200" s="119"/>
      <c r="Q200" s="119"/>
      <c r="R200" s="119"/>
      <c r="S200" s="119"/>
      <c r="T200" s="119"/>
      <c r="U200" s="119"/>
      <c r="V200" s="119"/>
      <c r="W200" s="119"/>
      <c r="X200" s="119"/>
      <c r="Y200" s="293"/>
      <c r="Z200" s="246">
        <f t="shared" si="96"/>
        <v>0.66074500000000003</v>
      </c>
      <c r="AA200" s="119"/>
      <c r="AB200" s="119"/>
      <c r="AC200" s="119"/>
      <c r="AD200" s="119"/>
      <c r="AE200" s="243"/>
      <c r="AF200" s="327"/>
      <c r="AK200" s="311"/>
    </row>
    <row r="201" spans="2:37" x14ac:dyDescent="0.3">
      <c r="B201" s="11"/>
      <c r="C201" s="3" t="s">
        <v>492</v>
      </c>
      <c r="L201" s="16">
        <v>-66.783140000000003</v>
      </c>
      <c r="M201" s="16">
        <v>-82.097183999999999</v>
      </c>
      <c r="N201" s="15">
        <v>-25.993866000000001</v>
      </c>
      <c r="O201" s="246">
        <v>0</v>
      </c>
      <c r="P201" s="119"/>
      <c r="Q201" s="119"/>
      <c r="R201" s="119"/>
      <c r="S201" s="119"/>
      <c r="T201" s="119"/>
      <c r="U201" s="119"/>
      <c r="V201" s="119"/>
      <c r="W201" s="119"/>
      <c r="X201" s="119"/>
      <c r="Y201" s="293"/>
      <c r="Z201" s="246">
        <f t="shared" si="96"/>
        <v>0</v>
      </c>
      <c r="AA201" s="119"/>
      <c r="AB201" s="119"/>
      <c r="AC201" s="119"/>
      <c r="AD201" s="119"/>
      <c r="AE201" s="243"/>
      <c r="AF201" s="327"/>
      <c r="AK201" s="311"/>
    </row>
    <row r="202" spans="2:37" x14ac:dyDescent="0.3">
      <c r="B202" s="11"/>
      <c r="C202" s="3" t="s">
        <v>392</v>
      </c>
      <c r="L202" s="16">
        <v>5.0730880000000003</v>
      </c>
      <c r="M202" s="16">
        <v>5.7914029999999999</v>
      </c>
      <c r="N202" s="15">
        <v>3.9101080000000001</v>
      </c>
      <c r="O202" s="246">
        <v>0.87893200000000005</v>
      </c>
      <c r="P202" s="119"/>
      <c r="Q202" s="119"/>
      <c r="R202" s="119"/>
      <c r="S202" s="119"/>
      <c r="T202" s="119"/>
      <c r="U202" s="119"/>
      <c r="V202" s="119"/>
      <c r="W202" s="119"/>
      <c r="X202" s="119"/>
      <c r="Y202" s="293"/>
      <c r="Z202" s="246">
        <f t="shared" si="96"/>
        <v>0.87893200000000005</v>
      </c>
      <c r="AA202" s="119"/>
      <c r="AB202" s="119"/>
      <c r="AC202" s="119"/>
      <c r="AD202" s="119"/>
      <c r="AE202" s="243"/>
      <c r="AF202" s="327"/>
      <c r="AK202" s="311"/>
    </row>
    <row r="203" spans="2:37" x14ac:dyDescent="0.3">
      <c r="B203" s="11"/>
      <c r="C203" s="3" t="s">
        <v>493</v>
      </c>
      <c r="L203" s="16">
        <v>99.133307000000002</v>
      </c>
      <c r="M203" s="16">
        <v>716.85474099999999</v>
      </c>
      <c r="N203" s="15">
        <v>338.58993199999998</v>
      </c>
      <c r="O203" s="246">
        <v>59.256044000000003</v>
      </c>
      <c r="P203" s="16">
        <f t="shared" ref="P203:AD203" si="97">SUM(P204:P211)</f>
        <v>47.536968974739111</v>
      </c>
      <c r="Q203" s="16">
        <f t="shared" si="97"/>
        <v>47.536968974739111</v>
      </c>
      <c r="R203" s="16">
        <f t="shared" si="97"/>
        <v>47.536968974739111</v>
      </c>
      <c r="S203" s="16">
        <f t="shared" si="97"/>
        <v>47.536968974739111</v>
      </c>
      <c r="T203" s="16">
        <f t="shared" si="97"/>
        <v>47.536968974739111</v>
      </c>
      <c r="U203" s="16">
        <f t="shared" si="97"/>
        <v>47.536968974739111</v>
      </c>
      <c r="V203" s="16">
        <f t="shared" si="97"/>
        <v>47.536968974739111</v>
      </c>
      <c r="W203" s="16">
        <f t="shared" si="97"/>
        <v>47.536968974739111</v>
      </c>
      <c r="X203" s="16">
        <f t="shared" si="97"/>
        <v>47.536968974739111</v>
      </c>
      <c r="Y203" s="292">
        <f t="shared" si="97"/>
        <v>427.83272077265195</v>
      </c>
      <c r="Z203" s="246">
        <f t="shared" si="96"/>
        <v>487.08876477265198</v>
      </c>
      <c r="AA203" s="16">
        <f t="shared" si="97"/>
        <v>433.39454614269636</v>
      </c>
      <c r="AB203" s="16">
        <f t="shared" si="97"/>
        <v>439.89546433483679</v>
      </c>
      <c r="AC203" s="16">
        <f t="shared" si="97"/>
        <v>446.93379176419427</v>
      </c>
      <c r="AD203" s="16">
        <f t="shared" si="97"/>
        <v>454.97860001594972</v>
      </c>
      <c r="AE203" s="243"/>
      <c r="AF203" s="327"/>
      <c r="AK203" s="311"/>
    </row>
    <row r="204" spans="2:37" x14ac:dyDescent="0.3">
      <c r="B204" s="11"/>
      <c r="D204" s="3" t="s">
        <v>494</v>
      </c>
      <c r="L204" s="16"/>
      <c r="M204" s="16"/>
      <c r="N204" s="15"/>
      <c r="O204" s="306"/>
      <c r="P204" s="16">
        <v>2.2960560159964802</v>
      </c>
      <c r="Q204" s="16">
        <v>2.2960560159964802</v>
      </c>
      <c r="R204" s="16">
        <v>2.2960560159964802</v>
      </c>
      <c r="S204" s="16">
        <v>2.2960560159964802</v>
      </c>
      <c r="T204" s="16">
        <v>2.2960560159964802</v>
      </c>
      <c r="U204" s="16">
        <v>2.2960560159964802</v>
      </c>
      <c r="V204" s="16">
        <v>2.2960560159964802</v>
      </c>
      <c r="W204" s="16">
        <v>2.2960560159964802</v>
      </c>
      <c r="X204" s="16">
        <v>2.2960560159964802</v>
      </c>
      <c r="Y204" s="292">
        <f t="shared" ref="Y204:Y211" si="98">SUM(P204:X204)</f>
        <v>20.664504143968323</v>
      </c>
      <c r="Z204" s="246">
        <f t="shared" si="96"/>
        <v>20.664504143968323</v>
      </c>
      <c r="AA204" s="16">
        <f>Z204*(1+'Key Assumption'!AB$25)</f>
        <v>20.933142697839909</v>
      </c>
      <c r="AB204" s="16">
        <f>AA204*(1+'Key Assumption'!AC$25)</f>
        <v>21.247139838307504</v>
      </c>
      <c r="AC204" s="16">
        <f>AB204*(1+'Key Assumption'!AD$25)</f>
        <v>21.587094075720426</v>
      </c>
      <c r="AD204" s="16">
        <f>AC204*(1+'Key Assumption'!AE$25)</f>
        <v>21.975661769083395</v>
      </c>
      <c r="AE204" s="243"/>
      <c r="AF204" s="327"/>
      <c r="AK204" s="311"/>
    </row>
    <row r="205" spans="2:37" x14ac:dyDescent="0.3">
      <c r="B205" s="11"/>
      <c r="D205" s="3" t="s">
        <v>495</v>
      </c>
      <c r="L205" s="16"/>
      <c r="M205" s="16"/>
      <c r="N205" s="15"/>
      <c r="O205" s="306"/>
      <c r="P205" s="16">
        <v>32.870599213112477</v>
      </c>
      <c r="Q205" s="16">
        <v>32.870599213112477</v>
      </c>
      <c r="R205" s="16">
        <v>32.870599213112477</v>
      </c>
      <c r="S205" s="16">
        <v>32.870599213112477</v>
      </c>
      <c r="T205" s="16">
        <v>32.870599213112477</v>
      </c>
      <c r="U205" s="16">
        <v>32.870599213112477</v>
      </c>
      <c r="V205" s="16">
        <v>32.870599213112477</v>
      </c>
      <c r="W205" s="16">
        <v>32.870599213112477</v>
      </c>
      <c r="X205" s="16">
        <v>32.870599213112477</v>
      </c>
      <c r="Y205" s="292">
        <f t="shared" si="98"/>
        <v>295.8353929180123</v>
      </c>
      <c r="Z205" s="246">
        <f t="shared" si="96"/>
        <v>295.8353929180123</v>
      </c>
      <c r="AA205" s="16">
        <f>Z205*(1+'Key Assumption'!AB$25)</f>
        <v>299.68125302594643</v>
      </c>
      <c r="AB205" s="16">
        <f>AA205*(1+'Key Assumption'!AC$25)</f>
        <v>304.17647182133561</v>
      </c>
      <c r="AC205" s="16">
        <f>AB205*(1+'Key Assumption'!AD$25)</f>
        <v>309.04329537047698</v>
      </c>
      <c r="AD205" s="16">
        <f>AC205*(1+'Key Assumption'!AE$25)</f>
        <v>314.60607468714556</v>
      </c>
      <c r="AE205" s="243"/>
      <c r="AF205" s="327"/>
      <c r="AK205" s="311"/>
    </row>
    <row r="206" spans="2:37" x14ac:dyDescent="0.3">
      <c r="B206" s="11"/>
      <c r="D206" s="3" t="s">
        <v>545</v>
      </c>
      <c r="L206" s="16"/>
      <c r="M206" s="16"/>
      <c r="N206" s="15"/>
      <c r="O206" s="306"/>
      <c r="P206" s="16">
        <v>0.22148662904826674</v>
      </c>
      <c r="Q206" s="16">
        <v>0.22148662904826674</v>
      </c>
      <c r="R206" s="16">
        <v>0.22148662904826674</v>
      </c>
      <c r="S206" s="16">
        <v>0.22148662904826674</v>
      </c>
      <c r="T206" s="16">
        <v>0.22148662904826674</v>
      </c>
      <c r="U206" s="16">
        <v>0.22148662904826674</v>
      </c>
      <c r="V206" s="16">
        <v>0.22148662904826674</v>
      </c>
      <c r="W206" s="16">
        <v>0.22148662904826674</v>
      </c>
      <c r="X206" s="16">
        <v>0.22148662904826674</v>
      </c>
      <c r="Y206" s="292">
        <f t="shared" si="98"/>
        <v>1.9933796614344004</v>
      </c>
      <c r="Z206" s="246">
        <f t="shared" si="96"/>
        <v>1.9933796614344004</v>
      </c>
      <c r="AA206" s="16">
        <f>Z206*(1+'Key Assumption'!AB$25)</f>
        <v>2.0192935970330472</v>
      </c>
      <c r="AB206" s="16">
        <f>AA206*(1+'Key Assumption'!AC$25)</f>
        <v>2.0495830009885427</v>
      </c>
      <c r="AC206" s="16">
        <f>AB206*(1+'Key Assumption'!AD$25)</f>
        <v>2.0823763290043593</v>
      </c>
      <c r="AD206" s="16">
        <f>AC206*(1+'Key Assumption'!AE$25)</f>
        <v>2.119859102926438</v>
      </c>
      <c r="AE206" s="243"/>
      <c r="AF206" s="327"/>
      <c r="AK206" s="311"/>
    </row>
    <row r="207" spans="2:37" x14ac:dyDescent="0.3">
      <c r="B207" s="11"/>
      <c r="D207" s="3" t="s">
        <v>554</v>
      </c>
      <c r="L207" s="16"/>
      <c r="M207" s="16"/>
      <c r="N207" s="15"/>
      <c r="O207" s="306"/>
      <c r="P207" s="16">
        <v>6.497925004228482</v>
      </c>
      <c r="Q207" s="16">
        <v>6.497925004228482</v>
      </c>
      <c r="R207" s="16">
        <v>6.497925004228482</v>
      </c>
      <c r="S207" s="16">
        <v>6.497925004228482</v>
      </c>
      <c r="T207" s="16">
        <v>6.497925004228482</v>
      </c>
      <c r="U207" s="16">
        <v>6.497925004228482</v>
      </c>
      <c r="V207" s="16">
        <v>6.497925004228482</v>
      </c>
      <c r="W207" s="16">
        <v>6.497925004228482</v>
      </c>
      <c r="X207" s="16">
        <v>6.497925004228482</v>
      </c>
      <c r="Y207" s="292">
        <f t="shared" si="98"/>
        <v>58.481325038056347</v>
      </c>
      <c r="Z207" s="246">
        <f t="shared" si="96"/>
        <v>58.481325038056347</v>
      </c>
      <c r="AA207" s="16">
        <f>Z207*(1+'Key Assumption'!AB$25)</f>
        <v>59.241582263551074</v>
      </c>
      <c r="AB207" s="16">
        <f>AA207*(1+'Key Assumption'!AC$25)</f>
        <v>60.130205997504333</v>
      </c>
      <c r="AC207" s="16">
        <f>AB207*(1+'Key Assumption'!AD$25)</f>
        <v>61.092289293464404</v>
      </c>
      <c r="AD207" s="16">
        <f>AC207*(1+'Key Assumption'!AE$25)</f>
        <v>62.191950500746763</v>
      </c>
      <c r="AE207" s="243"/>
      <c r="AF207" s="327"/>
      <c r="AK207" s="311"/>
    </row>
    <row r="208" spans="2:37" x14ac:dyDescent="0.3">
      <c r="B208" s="11"/>
      <c r="D208" s="3" t="s">
        <v>544</v>
      </c>
      <c r="L208" s="16"/>
      <c r="M208" s="16"/>
      <c r="N208" s="15"/>
      <c r="O208" s="306"/>
      <c r="P208" s="16">
        <v>0.87136806792287513</v>
      </c>
      <c r="Q208" s="16">
        <v>0.87136806792287513</v>
      </c>
      <c r="R208" s="16">
        <v>0.87136806792287513</v>
      </c>
      <c r="S208" s="16">
        <v>0.87136806792287513</v>
      </c>
      <c r="T208" s="16">
        <v>0.87136806792287513</v>
      </c>
      <c r="U208" s="16">
        <v>0.87136806792287513</v>
      </c>
      <c r="V208" s="16">
        <v>0.87136806792287513</v>
      </c>
      <c r="W208" s="16">
        <v>0.87136806792287513</v>
      </c>
      <c r="X208" s="16">
        <v>0.87136806792287513</v>
      </c>
      <c r="Y208" s="292">
        <f t="shared" si="98"/>
        <v>7.842312611305875</v>
      </c>
      <c r="Z208" s="246">
        <f t="shared" si="96"/>
        <v>7.842312611305875</v>
      </c>
      <c r="AA208" s="16">
        <f>Z208*(1+'Key Assumption'!AB$25)</f>
        <v>7.9442626752528502</v>
      </c>
      <c r="AB208" s="16">
        <f>AA208*(1+'Key Assumption'!AC$25)</f>
        <v>8.0634266153816423</v>
      </c>
      <c r="AC208" s="16">
        <f>AB208*(1+'Key Assumption'!AD$25)</f>
        <v>8.1924414412277482</v>
      </c>
      <c r="AD208" s="16">
        <f>AC208*(1+'Key Assumption'!AE$25)</f>
        <v>8.3399053871698481</v>
      </c>
      <c r="AE208" s="243"/>
      <c r="AF208" s="327"/>
      <c r="AK208" s="311"/>
    </row>
    <row r="209" spans="2:37" x14ac:dyDescent="0.3">
      <c r="B209" s="11"/>
      <c r="D209" s="3" t="s">
        <v>542</v>
      </c>
      <c r="L209" s="16"/>
      <c r="M209" s="16"/>
      <c r="N209" s="15"/>
      <c r="O209" s="306"/>
      <c r="P209" s="16">
        <v>0.52442023867710019</v>
      </c>
      <c r="Q209" s="16">
        <v>0.52442023867710019</v>
      </c>
      <c r="R209" s="16">
        <v>0.52442023867710019</v>
      </c>
      <c r="S209" s="16">
        <v>0.52442023867710019</v>
      </c>
      <c r="T209" s="16">
        <v>0.52442023867710019</v>
      </c>
      <c r="U209" s="16">
        <v>0.52442023867710019</v>
      </c>
      <c r="V209" s="16">
        <v>0.52442023867710019</v>
      </c>
      <c r="W209" s="16">
        <v>0.52442023867710019</v>
      </c>
      <c r="X209" s="16">
        <v>0.52442023867710019</v>
      </c>
      <c r="Y209" s="292">
        <f t="shared" si="98"/>
        <v>4.7197821480939028</v>
      </c>
      <c r="Z209" s="246">
        <f t="shared" si="96"/>
        <v>4.7197821480939028</v>
      </c>
      <c r="AA209" s="16">
        <f>Z209*(1+'Key Assumption'!AB$25)</f>
        <v>4.7811393160191233</v>
      </c>
      <c r="AB209" s="16">
        <f>AA209*(1+'Key Assumption'!AC$25)</f>
        <v>4.8528564057594101</v>
      </c>
      <c r="AC209" s="16">
        <f>AB209*(1+'Key Assumption'!AD$25)</f>
        <v>4.9305021082515603</v>
      </c>
      <c r="AD209" s="16">
        <f>AC209*(1+'Key Assumption'!AE$25)</f>
        <v>5.0192511462000882</v>
      </c>
      <c r="AE209" s="243"/>
      <c r="AF209" s="327"/>
      <c r="AK209" s="311"/>
    </row>
    <row r="210" spans="2:37" x14ac:dyDescent="0.3">
      <c r="B210" s="11"/>
      <c r="D210" s="3" t="s">
        <v>555</v>
      </c>
      <c r="L210" s="16"/>
      <c r="M210" s="16"/>
      <c r="N210" s="15"/>
      <c r="O210" s="306"/>
      <c r="P210" s="16">
        <v>1.0975158334929034</v>
      </c>
      <c r="Q210" s="16">
        <v>1.0975158334929034</v>
      </c>
      <c r="R210" s="16">
        <v>1.0975158334929034</v>
      </c>
      <c r="S210" s="16">
        <v>1.0975158334929034</v>
      </c>
      <c r="T210" s="16">
        <v>1.0975158334929034</v>
      </c>
      <c r="U210" s="16">
        <v>1.0975158334929034</v>
      </c>
      <c r="V210" s="16">
        <v>1.0975158334929034</v>
      </c>
      <c r="W210" s="16">
        <v>1.0975158334929034</v>
      </c>
      <c r="X210" s="16">
        <v>1.0975158334929034</v>
      </c>
      <c r="Y210" s="292">
        <f t="shared" si="98"/>
        <v>9.8776425014361298</v>
      </c>
      <c r="Z210" s="246">
        <f t="shared" si="96"/>
        <v>9.8776425014361298</v>
      </c>
      <c r="AA210" s="16">
        <f>Z210*(1+'Key Assumption'!AB$25)</f>
        <v>10.006051853954798</v>
      </c>
      <c r="AB210" s="16">
        <f>AA210*(1+'Key Assumption'!AC$25)</f>
        <v>10.156142631764119</v>
      </c>
      <c r="AC210" s="16">
        <f>AB210*(1+'Key Assumption'!AD$25)</f>
        <v>10.318640913872345</v>
      </c>
      <c r="AD210" s="16">
        <f>AC210*(1+'Key Assumption'!AE$25)</f>
        <v>10.504376450322047</v>
      </c>
      <c r="AE210" s="243"/>
      <c r="AF210" s="327"/>
      <c r="AK210" s="311"/>
    </row>
    <row r="211" spans="2:37" x14ac:dyDescent="0.3">
      <c r="B211" s="65"/>
      <c r="C211" s="92"/>
      <c r="D211" s="92" t="s">
        <v>556</v>
      </c>
      <c r="E211" s="92"/>
      <c r="F211" s="92"/>
      <c r="G211" s="92"/>
      <c r="H211" s="92"/>
      <c r="I211" s="92"/>
      <c r="J211" s="92"/>
      <c r="K211" s="92"/>
      <c r="L211" s="130"/>
      <c r="M211" s="130"/>
      <c r="N211" s="131"/>
      <c r="O211" s="315"/>
      <c r="P211" s="130">
        <v>3.1575979722605219</v>
      </c>
      <c r="Q211" s="130">
        <v>3.1575979722605219</v>
      </c>
      <c r="R211" s="130">
        <v>3.1575979722605219</v>
      </c>
      <c r="S211" s="130">
        <v>3.1575979722605219</v>
      </c>
      <c r="T211" s="130">
        <v>3.1575979722605219</v>
      </c>
      <c r="U211" s="130">
        <v>3.1575979722605219</v>
      </c>
      <c r="V211" s="130">
        <v>3.1575979722605219</v>
      </c>
      <c r="W211" s="130">
        <v>3.1575979722605219</v>
      </c>
      <c r="X211" s="130">
        <v>3.1575979722605219</v>
      </c>
      <c r="Y211" s="296">
        <f t="shared" si="98"/>
        <v>28.418381750344697</v>
      </c>
      <c r="Z211" s="330">
        <f t="shared" si="96"/>
        <v>28.418381750344697</v>
      </c>
      <c r="AA211" s="130">
        <f>Z211*(1+'Key Assumption'!AB$25)</f>
        <v>28.787820713099176</v>
      </c>
      <c r="AB211" s="130">
        <f>AA211*(1+'Key Assumption'!AC$25)</f>
        <v>29.21963802379566</v>
      </c>
      <c r="AC211" s="130">
        <f>AB211*(1+'Key Assumption'!AD$25)</f>
        <v>29.687152232176391</v>
      </c>
      <c r="AD211" s="130">
        <f>AC211*(1+'Key Assumption'!AE$25)</f>
        <v>30.221520972355567</v>
      </c>
      <c r="AE211" s="243"/>
      <c r="AF211" s="327"/>
      <c r="AK211" s="311"/>
    </row>
    <row r="212" spans="2:37" x14ac:dyDescent="0.3">
      <c r="B212" s="11"/>
      <c r="L212" s="16"/>
      <c r="M212" s="16"/>
      <c r="N212" s="16"/>
      <c r="O212" s="16"/>
      <c r="P212" s="16"/>
      <c r="Q212" s="16"/>
      <c r="R212" s="16"/>
      <c r="S212" s="16"/>
      <c r="T212" s="16"/>
      <c r="U212" s="16"/>
      <c r="V212" s="16"/>
      <c r="W212" s="16"/>
      <c r="X212" s="16"/>
      <c r="Y212" s="16"/>
      <c r="Z212" s="16"/>
      <c r="AA212" s="16"/>
      <c r="AB212" s="16"/>
      <c r="AC212" s="16"/>
      <c r="AD212" s="16"/>
      <c r="AE212" s="16"/>
      <c r="AF212" s="16"/>
    </row>
    <row r="213" spans="2:37" x14ac:dyDescent="0.3">
      <c r="B213" s="8"/>
      <c r="C213" s="8"/>
      <c r="D213" s="8"/>
      <c r="E213" s="8"/>
      <c r="F213" s="8"/>
      <c r="G213" s="8"/>
      <c r="H213" s="8"/>
      <c r="I213" s="8"/>
      <c r="J213" s="8"/>
      <c r="K213" s="8"/>
      <c r="L213" s="9" t="s">
        <v>182</v>
      </c>
      <c r="M213" s="9" t="s">
        <v>183</v>
      </c>
      <c r="N213" s="10" t="s">
        <v>184</v>
      </c>
      <c r="O213" s="244" t="s">
        <v>4</v>
      </c>
      <c r="P213" s="9" t="s">
        <v>215</v>
      </c>
      <c r="Q213" s="9" t="s">
        <v>216</v>
      </c>
      <c r="R213" s="9" t="s">
        <v>217</v>
      </c>
      <c r="S213" s="9" t="s">
        <v>218</v>
      </c>
      <c r="T213" s="9" t="s">
        <v>219</v>
      </c>
      <c r="U213" s="9" t="s">
        <v>220</v>
      </c>
      <c r="V213" s="9" t="s">
        <v>221</v>
      </c>
      <c r="W213" s="9" t="s">
        <v>222</v>
      </c>
      <c r="X213" s="10" t="s">
        <v>223</v>
      </c>
      <c r="Y213" s="9" t="s">
        <v>294</v>
      </c>
      <c r="Z213" s="244" t="s">
        <v>197</v>
      </c>
      <c r="AA213" s="9" t="s">
        <v>198</v>
      </c>
      <c r="AB213" s="9" t="s">
        <v>199</v>
      </c>
      <c r="AC213" s="9" t="s">
        <v>200</v>
      </c>
      <c r="AD213" s="9" t="s">
        <v>201</v>
      </c>
    </row>
    <row r="214" spans="2:37" x14ac:dyDescent="0.3">
      <c r="B214" s="11" t="s">
        <v>333</v>
      </c>
      <c r="I214" s="291"/>
      <c r="L214" s="16"/>
      <c r="M214" s="16"/>
      <c r="N214" s="15"/>
      <c r="O214" s="246"/>
      <c r="P214" s="16"/>
      <c r="Q214" s="16"/>
      <c r="R214" s="16"/>
      <c r="S214" s="16"/>
      <c r="T214" s="16"/>
      <c r="U214" s="16"/>
      <c r="V214" s="16"/>
      <c r="W214" s="16"/>
      <c r="X214" s="16"/>
      <c r="Y214" s="289"/>
      <c r="Z214" s="246"/>
      <c r="AA214" s="16"/>
      <c r="AB214" s="16"/>
      <c r="AC214" s="16"/>
      <c r="AD214" s="16"/>
    </row>
    <row r="215" spans="2:37" x14ac:dyDescent="0.3">
      <c r="C215" s="3" t="s">
        <v>344</v>
      </c>
      <c r="I215" s="291"/>
      <c r="N215" s="15"/>
      <c r="O215" s="246">
        <v>1328.45</v>
      </c>
      <c r="P215" s="16">
        <f>'Key Assumption'!R35</f>
        <v>1308.5999999999999</v>
      </c>
      <c r="Q215" s="16">
        <f>'Key Assumption'!S35</f>
        <v>1308.5999999999999</v>
      </c>
      <c r="R215" s="16">
        <f>'Key Assumption'!T35</f>
        <v>1308.5999999999999</v>
      </c>
      <c r="S215" s="16">
        <f>'Key Assumption'!U35</f>
        <v>1289.8</v>
      </c>
      <c r="T215" s="16">
        <f>'Key Assumption'!V35</f>
        <v>1289.8</v>
      </c>
      <c r="U215" s="16">
        <f>'Key Assumption'!W35</f>
        <v>1289.8</v>
      </c>
      <c r="V215" s="16">
        <f>'Key Assumption'!X35</f>
        <v>1259.9000000000001</v>
      </c>
      <c r="W215" s="16">
        <f>'Key Assumption'!Y35</f>
        <v>1259.9000000000001</v>
      </c>
      <c r="X215" s="16">
        <f>'Key Assumption'!Z35</f>
        <v>1259.9000000000001</v>
      </c>
      <c r="Y215" s="292">
        <f>Z215</f>
        <v>1289.2</v>
      </c>
      <c r="Z215" s="246">
        <f>'Key Assumption'!AA35</f>
        <v>1289.2</v>
      </c>
      <c r="AA215" s="16">
        <f>'Key Assumption'!AB35</f>
        <v>1214.2</v>
      </c>
      <c r="AB215" s="16">
        <f>'Key Assumption'!AC35</f>
        <v>1201.8</v>
      </c>
      <c r="AC215" s="16">
        <f>'Key Assumption'!AD35</f>
        <v>1199.3</v>
      </c>
      <c r="AD215" s="16">
        <f>'Key Assumption'!AE35</f>
        <v>1212</v>
      </c>
    </row>
    <row r="216" spans="2:37" x14ac:dyDescent="0.3">
      <c r="C216" s="3" t="s">
        <v>345</v>
      </c>
      <c r="I216" s="291"/>
      <c r="N216" s="15"/>
      <c r="O216" s="246">
        <v>1443.1</v>
      </c>
      <c r="P216" s="16">
        <f>'Key Assumption'!R41</f>
        <v>1426.4224983649444</v>
      </c>
      <c r="Q216" s="16">
        <f>'Key Assumption'!S41</f>
        <v>1426.4224983649444</v>
      </c>
      <c r="R216" s="16">
        <f>'Key Assumption'!T41</f>
        <v>1426.4224983649444</v>
      </c>
      <c r="S216" s="16">
        <f>'Key Assumption'!U41</f>
        <v>1431.6794316794317</v>
      </c>
      <c r="T216" s="16">
        <f>'Key Assumption'!V41</f>
        <v>1431.6794316794317</v>
      </c>
      <c r="U216" s="16">
        <f>'Key Assumption'!W41</f>
        <v>1431.6794316794317</v>
      </c>
      <c r="V216" s="16">
        <f>'Key Assumption'!X41</f>
        <v>1398.4903984903985</v>
      </c>
      <c r="W216" s="16">
        <f>'Key Assumption'!Y41</f>
        <v>1398.4903984903985</v>
      </c>
      <c r="X216" s="16">
        <f>'Key Assumption'!Z41</f>
        <v>1398.4903984903985</v>
      </c>
      <c r="Y216" s="292">
        <f>Z216</f>
        <v>1418.1058189418106</v>
      </c>
      <c r="Z216" s="246">
        <f>'Key Assumption'!AA41</f>
        <v>1418.1058189418106</v>
      </c>
      <c r="AA216" s="16">
        <f>'Key Assumption'!AB41</f>
        <v>1381.1853031509499</v>
      </c>
      <c r="AB216" s="16">
        <f>'Key Assumption'!AC41</f>
        <v>1388.080388080388</v>
      </c>
      <c r="AC216" s="16">
        <f>'Key Assumption'!AD41</f>
        <v>1397.1342031686859</v>
      </c>
      <c r="AD216" s="16">
        <f>'Key Assumption'!AE41</f>
        <v>1418.041418041418</v>
      </c>
    </row>
    <row r="217" spans="2:37" x14ac:dyDescent="0.3">
      <c r="B217" s="92"/>
      <c r="C217" s="92" t="s">
        <v>229</v>
      </c>
      <c r="D217" s="92"/>
      <c r="E217" s="92"/>
      <c r="F217" s="92"/>
      <c r="G217" s="92"/>
      <c r="H217" s="92"/>
      <c r="I217" s="295"/>
      <c r="J217" s="92"/>
      <c r="K217" s="92"/>
      <c r="L217" s="92"/>
      <c r="M217" s="92"/>
      <c r="N217" s="131"/>
      <c r="O217" s="330">
        <v>184.56</v>
      </c>
      <c r="P217" s="130">
        <f>'Key Assumption'!R44</f>
        <v>182.15478841870822</v>
      </c>
      <c r="Q217" s="130">
        <f>'Key Assumption'!S44</f>
        <v>182.15478841870822</v>
      </c>
      <c r="R217" s="130">
        <f>'Key Assumption'!T44</f>
        <v>182.15478841870822</v>
      </c>
      <c r="S217" s="130">
        <f>'Key Assumption'!U44</f>
        <v>180.89761570827488</v>
      </c>
      <c r="T217" s="130">
        <f>'Key Assumption'!V44</f>
        <v>180.89761570827488</v>
      </c>
      <c r="U217" s="130">
        <f>'Key Assumption'!W44</f>
        <v>180.89761570827488</v>
      </c>
      <c r="V217" s="130">
        <f>'Key Assumption'!X44</f>
        <v>177.57575757575759</v>
      </c>
      <c r="W217" s="130">
        <f>'Key Assumption'!Y44</f>
        <v>177.57575757575759</v>
      </c>
      <c r="X217" s="130">
        <f>'Key Assumption'!Z44</f>
        <v>177.57575757575759</v>
      </c>
      <c r="Y217" s="296">
        <f>Z217</f>
        <v>182.27060653188181</v>
      </c>
      <c r="Z217" s="330">
        <f>'Key Assumption'!AA44</f>
        <v>182.27060653188181</v>
      </c>
      <c r="AA217" s="130">
        <f>'Key Assumption'!AB44</f>
        <v>174.00401261106336</v>
      </c>
      <c r="AB217" s="130">
        <f>'Key Assumption'!AC44</f>
        <v>175.7017543859649</v>
      </c>
      <c r="AC217" s="130">
        <f>'Key Assumption'!AD44</f>
        <v>177.80578206078576</v>
      </c>
      <c r="AD217" s="130">
        <f>'Key Assumption'!AE44</f>
        <v>178.68199911543564</v>
      </c>
    </row>
  </sheetData>
  <phoneticPr fontId="3"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4EEC0-B41B-4018-8036-361D0EF86CC8}">
  <sheetPr>
    <tabColor theme="9" tint="0.39997558519241921"/>
  </sheetPr>
  <dimension ref="A1:AK293"/>
  <sheetViews>
    <sheetView showGridLines="0" topLeftCell="A255" zoomScale="70" zoomScaleNormal="70" workbookViewId="0">
      <selection activeCell="M24" sqref="M24:N24"/>
    </sheetView>
  </sheetViews>
  <sheetFormatPr defaultRowHeight="12" outlineLevelRow="1" outlineLevelCol="1" x14ac:dyDescent="0.3"/>
  <cols>
    <col min="1" max="1" width="2.625" style="3" customWidth="1"/>
    <col min="2" max="6" width="1.625" style="3" customWidth="1"/>
    <col min="7" max="10" width="9" style="3"/>
    <col min="11" max="11" width="9" style="3" customWidth="1"/>
    <col min="12" max="14" width="9" style="3" hidden="1" customWidth="1"/>
    <col min="15" max="25" width="9" style="3" hidden="1" customWidth="1" outlineLevel="1"/>
    <col min="26" max="26" width="9" style="3" customWidth="1" collapsed="1"/>
    <col min="27" max="30" width="9" style="3"/>
    <col min="31" max="31" width="9" style="243"/>
    <col min="32" max="32" width="9" style="3"/>
    <col min="33" max="33" width="9" style="322"/>
    <col min="34" max="16384" width="9" style="3"/>
  </cols>
  <sheetData>
    <row r="1" spans="1:37" x14ac:dyDescent="0.3">
      <c r="A1" s="1" t="str">
        <f ca="1">MID(CELL("filename",A1),FIND("]",CELL("filename",A1))+1,255)</f>
        <v>Projection_중국</v>
      </c>
      <c r="B1" s="2"/>
      <c r="C1" s="2"/>
      <c r="D1" s="2"/>
      <c r="E1" s="2"/>
      <c r="F1" s="2"/>
      <c r="G1" s="2"/>
      <c r="H1" s="2"/>
      <c r="I1" s="2"/>
      <c r="J1" s="2"/>
      <c r="K1" s="2"/>
      <c r="L1" s="2"/>
      <c r="M1" s="2"/>
      <c r="N1" s="2"/>
      <c r="O1" s="2"/>
      <c r="P1" s="2"/>
      <c r="Q1" s="2"/>
      <c r="R1" s="2"/>
      <c r="S1" s="2"/>
      <c r="T1" s="2"/>
      <c r="U1" s="2"/>
      <c r="V1" s="2"/>
      <c r="W1" s="2"/>
      <c r="X1" s="2"/>
      <c r="Y1" s="2"/>
      <c r="Z1" s="2"/>
      <c r="AA1" s="2"/>
      <c r="AB1" s="2"/>
      <c r="AC1" s="2"/>
      <c r="AD1" s="2"/>
    </row>
    <row r="3" spans="1:37" x14ac:dyDescent="0.3">
      <c r="A3" s="4"/>
      <c r="B3" s="161" t="s">
        <v>292</v>
      </c>
      <c r="C3" s="4"/>
      <c r="D3" s="4"/>
      <c r="E3" s="4"/>
      <c r="F3" s="4"/>
      <c r="G3" s="4"/>
      <c r="H3" s="4"/>
      <c r="I3" s="4"/>
      <c r="J3" s="4"/>
      <c r="K3" s="4"/>
      <c r="L3" s="4"/>
      <c r="M3" s="4"/>
      <c r="N3" s="4"/>
      <c r="O3" s="4"/>
      <c r="P3" s="4"/>
      <c r="Q3" s="4"/>
      <c r="R3" s="4"/>
      <c r="S3" s="4"/>
      <c r="T3" s="4"/>
      <c r="U3" s="4"/>
      <c r="V3" s="4"/>
      <c r="W3" s="4"/>
      <c r="X3" s="4"/>
      <c r="Y3" s="4"/>
      <c r="Z3" s="4"/>
      <c r="AA3" s="4"/>
      <c r="AB3" s="4"/>
      <c r="AC3" s="4"/>
      <c r="AD3" s="4"/>
    </row>
    <row r="5" spans="1:37" x14ac:dyDescent="0.3">
      <c r="B5" s="8"/>
      <c r="C5" s="8"/>
      <c r="D5" s="8"/>
      <c r="E5" s="8"/>
      <c r="F5" s="8"/>
      <c r="G5" s="8"/>
      <c r="H5" s="8"/>
      <c r="I5" s="8"/>
      <c r="J5" s="8"/>
      <c r="K5" s="8"/>
      <c r="L5" s="9" t="s">
        <v>182</v>
      </c>
      <c r="M5" s="9" t="s">
        <v>183</v>
      </c>
      <c r="N5" s="10" t="s">
        <v>184</v>
      </c>
      <c r="O5" s="244" t="s">
        <v>4</v>
      </c>
      <c r="P5" s="9" t="s">
        <v>215</v>
      </c>
      <c r="Q5" s="9" t="s">
        <v>216</v>
      </c>
      <c r="R5" s="9" t="s">
        <v>217</v>
      </c>
      <c r="S5" s="9" t="s">
        <v>218</v>
      </c>
      <c r="T5" s="9" t="s">
        <v>219</v>
      </c>
      <c r="U5" s="9" t="s">
        <v>220</v>
      </c>
      <c r="V5" s="9" t="s">
        <v>221</v>
      </c>
      <c r="W5" s="9" t="s">
        <v>222</v>
      </c>
      <c r="X5" s="10" t="s">
        <v>223</v>
      </c>
      <c r="Y5" s="9" t="s">
        <v>5</v>
      </c>
      <c r="Z5" s="244" t="s">
        <v>197</v>
      </c>
      <c r="AA5" s="9" t="s">
        <v>198</v>
      </c>
      <c r="AB5" s="9" t="s">
        <v>199</v>
      </c>
      <c r="AC5" s="9" t="s">
        <v>200</v>
      </c>
      <c r="AD5" s="9" t="s">
        <v>201</v>
      </c>
    </row>
    <row r="6" spans="1:37" x14ac:dyDescent="0.3">
      <c r="B6" s="11" t="s">
        <v>28</v>
      </c>
      <c r="L6" s="16"/>
      <c r="M6" s="16"/>
      <c r="N6" s="15"/>
      <c r="O6" s="326">
        <f>O20</f>
        <v>14141.9701278024</v>
      </c>
      <c r="P6" s="13">
        <f t="shared" ref="P6:AD6" si="0">P20</f>
        <v>4272.0486031773262</v>
      </c>
      <c r="Q6" s="13">
        <f t="shared" si="0"/>
        <v>4583.4501855028466</v>
      </c>
      <c r="R6" s="13">
        <f t="shared" si="0"/>
        <v>4204.8485809419217</v>
      </c>
      <c r="S6" s="13">
        <f t="shared" si="0"/>
        <v>4138.712742116657</v>
      </c>
      <c r="T6" s="13">
        <f t="shared" si="0"/>
        <v>4202.5049614208519</v>
      </c>
      <c r="U6" s="13">
        <f t="shared" si="0"/>
        <v>3963.077271616206</v>
      </c>
      <c r="V6" s="13">
        <f t="shared" si="0"/>
        <v>3365.9858518872334</v>
      </c>
      <c r="W6" s="13">
        <f t="shared" si="0"/>
        <v>4077.9883280688077</v>
      </c>
      <c r="X6" s="124">
        <f>X20</f>
        <v>3793.8325027505498</v>
      </c>
      <c r="Y6" s="13">
        <f>Y20</f>
        <v>36602.449027482406</v>
      </c>
      <c r="Z6" s="326">
        <f t="shared" si="0"/>
        <v>50744.419155284799</v>
      </c>
      <c r="AA6" s="13">
        <f t="shared" si="0"/>
        <v>53388.539805503831</v>
      </c>
      <c r="AB6" s="13">
        <f t="shared" si="0"/>
        <v>63265.92361202943</v>
      </c>
      <c r="AC6" s="13">
        <f t="shared" si="0"/>
        <v>76460.227854483906</v>
      </c>
      <c r="AD6" s="13">
        <f t="shared" si="0"/>
        <v>83020.200299313408</v>
      </c>
      <c r="AF6" s="327"/>
      <c r="AK6" s="311"/>
    </row>
    <row r="7" spans="1:37" x14ac:dyDescent="0.3">
      <c r="B7" s="3" t="s">
        <v>29</v>
      </c>
      <c r="L7" s="16"/>
      <c r="M7" s="16"/>
      <c r="N7" s="15"/>
      <c r="O7" s="246">
        <f>O145</f>
        <v>12472.529006000001</v>
      </c>
      <c r="P7" s="16">
        <f t="shared" ref="P7:AD7" si="1">P145</f>
        <v>3735.9185202683793</v>
      </c>
      <c r="Q7" s="16">
        <f t="shared" si="1"/>
        <v>4004.4957726181465</v>
      </c>
      <c r="R7" s="16">
        <f t="shared" si="1"/>
        <v>3681.11690942416</v>
      </c>
      <c r="S7" s="16">
        <f t="shared" si="1"/>
        <v>3691.0840674119122</v>
      </c>
      <c r="T7" s="16">
        <f t="shared" si="1"/>
        <v>3705.3569119698868</v>
      </c>
      <c r="U7" s="16">
        <f t="shared" si="1"/>
        <v>3529.5149566037717</v>
      </c>
      <c r="V7" s="16">
        <f t="shared" si="1"/>
        <v>3006.2738319767091</v>
      </c>
      <c r="W7" s="16">
        <f t="shared" si="1"/>
        <v>3599.0092931843528</v>
      </c>
      <c r="X7" s="15">
        <f>X145</f>
        <v>3380.6362493162605</v>
      </c>
      <c r="Y7" s="16">
        <f>Y145</f>
        <v>32333.406512773581</v>
      </c>
      <c r="Z7" s="246">
        <f t="shared" si="1"/>
        <v>44805.935518773578</v>
      </c>
      <c r="AA7" s="16">
        <f>AA145</f>
        <v>45839.184908821844</v>
      </c>
      <c r="AB7" s="16">
        <f t="shared" si="1"/>
        <v>54442.28954503662</v>
      </c>
      <c r="AC7" s="16">
        <f t="shared" si="1"/>
        <v>65789.152216749018</v>
      </c>
      <c r="AD7" s="16">
        <f t="shared" si="1"/>
        <v>71372.569506134474</v>
      </c>
      <c r="AF7" s="327"/>
      <c r="AK7" s="311"/>
    </row>
    <row r="8" spans="1:37" s="11" customFormat="1" x14ac:dyDescent="0.3">
      <c r="B8" s="20" t="s">
        <v>30</v>
      </c>
      <c r="C8" s="20"/>
      <c r="D8" s="20"/>
      <c r="E8" s="20"/>
      <c r="F8" s="20"/>
      <c r="G8" s="20"/>
      <c r="H8" s="20"/>
      <c r="I8" s="20"/>
      <c r="J8" s="20"/>
      <c r="K8" s="20"/>
      <c r="L8" s="22"/>
      <c r="M8" s="22"/>
      <c r="N8" s="21"/>
      <c r="O8" s="429">
        <f>O6-O7</f>
        <v>1669.4411218023997</v>
      </c>
      <c r="P8" s="22">
        <f t="shared" ref="P8:AD8" si="2">P6-P7</f>
        <v>536.13008290894686</v>
      </c>
      <c r="Q8" s="22">
        <f t="shared" si="2"/>
        <v>578.9544128847001</v>
      </c>
      <c r="R8" s="22">
        <f t="shared" si="2"/>
        <v>523.7316715177617</v>
      </c>
      <c r="S8" s="22">
        <f t="shared" si="2"/>
        <v>447.62867470474475</v>
      </c>
      <c r="T8" s="22">
        <f t="shared" si="2"/>
        <v>497.14804945096512</v>
      </c>
      <c r="U8" s="22">
        <f t="shared" si="2"/>
        <v>433.56231501243428</v>
      </c>
      <c r="V8" s="22">
        <f t="shared" si="2"/>
        <v>359.7120199105243</v>
      </c>
      <c r="W8" s="22">
        <f t="shared" si="2"/>
        <v>478.9790348844549</v>
      </c>
      <c r="X8" s="21">
        <f>X6-X7</f>
        <v>413.19625343428925</v>
      </c>
      <c r="Y8" s="22">
        <f>Y6-Y7</f>
        <v>4269.0425147088245</v>
      </c>
      <c r="Z8" s="429">
        <f t="shared" si="2"/>
        <v>5938.4836365112205</v>
      </c>
      <c r="AA8" s="22">
        <f t="shared" si="2"/>
        <v>7549.3548966819872</v>
      </c>
      <c r="AB8" s="22">
        <f t="shared" si="2"/>
        <v>8823.6340669928104</v>
      </c>
      <c r="AC8" s="22">
        <f t="shared" si="2"/>
        <v>10671.075637734888</v>
      </c>
      <c r="AD8" s="22">
        <f t="shared" si="2"/>
        <v>11647.630793178934</v>
      </c>
      <c r="AF8" s="327"/>
      <c r="AG8" s="322"/>
      <c r="AK8" s="311"/>
    </row>
    <row r="9" spans="1:37" s="23" customFormat="1" x14ac:dyDescent="0.3">
      <c r="B9" s="24" t="s">
        <v>458</v>
      </c>
      <c r="C9" s="24"/>
      <c r="D9" s="24"/>
      <c r="E9" s="24"/>
      <c r="F9" s="24"/>
      <c r="G9" s="24"/>
      <c r="H9" s="24"/>
      <c r="I9" s="24"/>
      <c r="J9" s="24"/>
      <c r="K9" s="24"/>
      <c r="L9" s="149"/>
      <c r="M9" s="149"/>
      <c r="N9" s="148"/>
      <c r="O9" s="430">
        <f>O8/O$6</f>
        <v>0.11804869524652457</v>
      </c>
      <c r="P9" s="433">
        <f t="shared" ref="P9:AD9" si="3">P8/P$6</f>
        <v>0.1254971871130402</v>
      </c>
      <c r="Q9" s="433">
        <f t="shared" si="3"/>
        <v>0.12631410606706167</v>
      </c>
      <c r="R9" s="433">
        <f t="shared" si="3"/>
        <v>0.12455422863299428</v>
      </c>
      <c r="S9" s="433">
        <f t="shared" si="3"/>
        <v>0.10815649758669034</v>
      </c>
      <c r="T9" s="433">
        <f t="shared" si="3"/>
        <v>0.1182980279654164</v>
      </c>
      <c r="U9" s="433">
        <f t="shared" si="3"/>
        <v>0.10940041924431634</v>
      </c>
      <c r="V9" s="431">
        <f t="shared" si="3"/>
        <v>0.10686676526249858</v>
      </c>
      <c r="W9" s="431">
        <f t="shared" si="3"/>
        <v>0.11745473413634869</v>
      </c>
      <c r="X9" s="432">
        <f>X8/X$6</f>
        <v>0.10891262414319021</v>
      </c>
      <c r="Y9" s="431">
        <f>Y8/Y$6</f>
        <v>0.116632701585172</v>
      </c>
      <c r="Z9" s="430">
        <f t="shared" si="3"/>
        <v>0.11702732508058977</v>
      </c>
      <c r="AA9" s="431">
        <f t="shared" si="3"/>
        <v>0.14140403397778867</v>
      </c>
      <c r="AB9" s="431">
        <f t="shared" si="3"/>
        <v>0.13946898366809077</v>
      </c>
      <c r="AC9" s="431">
        <f t="shared" si="3"/>
        <v>0.13956374362424945</v>
      </c>
      <c r="AD9" s="431">
        <f t="shared" si="3"/>
        <v>0.1402987556183391</v>
      </c>
      <c r="AF9" s="327"/>
      <c r="AG9" s="322"/>
      <c r="AK9" s="311"/>
    </row>
    <row r="10" spans="1:37" x14ac:dyDescent="0.3">
      <c r="B10" s="3" t="s">
        <v>32</v>
      </c>
      <c r="L10" s="16"/>
      <c r="M10" s="16"/>
      <c r="N10" s="15"/>
      <c r="O10" s="246">
        <f>O215</f>
        <v>1653.320459</v>
      </c>
      <c r="P10" s="16">
        <f t="shared" ref="P10:AD10" si="4">P215</f>
        <v>535.31343020360873</v>
      </c>
      <c r="Q10" s="16">
        <f t="shared" si="4"/>
        <v>535.31343020360873</v>
      </c>
      <c r="R10" s="16">
        <f t="shared" si="4"/>
        <v>535.31343020360873</v>
      </c>
      <c r="S10" s="16">
        <f t="shared" si="4"/>
        <v>535.20946668435715</v>
      </c>
      <c r="T10" s="16">
        <f t="shared" si="4"/>
        <v>535.20946668435715</v>
      </c>
      <c r="U10" s="16">
        <f t="shared" si="4"/>
        <v>535.20946668435715</v>
      </c>
      <c r="V10" s="16">
        <f t="shared" si="4"/>
        <v>534.93476134033801</v>
      </c>
      <c r="W10" s="16">
        <f t="shared" si="4"/>
        <v>534.93476134033801</v>
      </c>
      <c r="X10" s="15">
        <f>X215</f>
        <v>534.93476134033801</v>
      </c>
      <c r="Y10" s="16">
        <f>Y215</f>
        <v>4816.3729746849122</v>
      </c>
      <c r="Z10" s="246">
        <f t="shared" si="4"/>
        <v>6469.6934336849117</v>
      </c>
      <c r="AA10" s="16">
        <f>AA215</f>
        <v>6719.0856248417049</v>
      </c>
      <c r="AB10" s="16">
        <f t="shared" si="4"/>
        <v>7148.6705725922038</v>
      </c>
      <c r="AC10" s="16">
        <f t="shared" si="4"/>
        <v>7578.0618385075522</v>
      </c>
      <c r="AD10" s="16">
        <f t="shared" si="4"/>
        <v>7934.7163177232278</v>
      </c>
      <c r="AF10" s="327"/>
      <c r="AK10" s="311"/>
    </row>
    <row r="11" spans="1:37" s="11" customFormat="1" x14ac:dyDescent="0.3">
      <c r="B11" s="20" t="s">
        <v>33</v>
      </c>
      <c r="C11" s="20"/>
      <c r="D11" s="20"/>
      <c r="E11" s="20"/>
      <c r="F11" s="20"/>
      <c r="G11" s="20"/>
      <c r="H11" s="20"/>
      <c r="I11" s="20"/>
      <c r="J11" s="20"/>
      <c r="K11" s="20"/>
      <c r="L11" s="22"/>
      <c r="M11" s="22"/>
      <c r="N11" s="21"/>
      <c r="O11" s="429">
        <f>O8-O10</f>
        <v>16.120662802399693</v>
      </c>
      <c r="P11" s="22">
        <f t="shared" ref="P11:AD11" si="5">P8-P10</f>
        <v>0.81665270533812873</v>
      </c>
      <c r="Q11" s="22">
        <f t="shared" si="5"/>
        <v>43.640982681091373</v>
      </c>
      <c r="R11" s="22">
        <f t="shared" si="5"/>
        <v>-11.581758685847035</v>
      </c>
      <c r="S11" s="22">
        <f t="shared" si="5"/>
        <v>-87.5807919796124</v>
      </c>
      <c r="T11" s="22">
        <f t="shared" si="5"/>
        <v>-38.061417233392035</v>
      </c>
      <c r="U11" s="22">
        <f t="shared" si="5"/>
        <v>-101.64715167192287</v>
      </c>
      <c r="V11" s="22">
        <f t="shared" si="5"/>
        <v>-175.22274142981371</v>
      </c>
      <c r="W11" s="22">
        <f t="shared" si="5"/>
        <v>-55.955726455883109</v>
      </c>
      <c r="X11" s="21">
        <f>X8-X10</f>
        <v>-121.73850790604877</v>
      </c>
      <c r="Y11" s="22">
        <f>Y8-Y10</f>
        <v>-547.3304599760877</v>
      </c>
      <c r="Z11" s="429">
        <f t="shared" si="5"/>
        <v>-531.20979717369119</v>
      </c>
      <c r="AA11" s="22">
        <f t="shared" si="5"/>
        <v>830.26927184028227</v>
      </c>
      <c r="AB11" s="22">
        <f t="shared" si="5"/>
        <v>1674.9634944006066</v>
      </c>
      <c r="AC11" s="22">
        <f t="shared" si="5"/>
        <v>3093.0137992273358</v>
      </c>
      <c r="AD11" s="22">
        <f t="shared" si="5"/>
        <v>3712.9144754557065</v>
      </c>
      <c r="AF11" s="327"/>
      <c r="AG11" s="322"/>
      <c r="AK11" s="311"/>
    </row>
    <row r="12" spans="1:37" s="23" customFormat="1" x14ac:dyDescent="0.3">
      <c r="B12" s="24" t="s">
        <v>459</v>
      </c>
      <c r="C12" s="24"/>
      <c r="D12" s="24"/>
      <c r="E12" s="24"/>
      <c r="F12" s="24"/>
      <c r="G12" s="24"/>
      <c r="H12" s="24"/>
      <c r="I12" s="24"/>
      <c r="J12" s="24"/>
      <c r="K12" s="24"/>
      <c r="L12" s="149"/>
      <c r="M12" s="149"/>
      <c r="N12" s="148"/>
      <c r="O12" s="477">
        <f>O11/O$6</f>
        <v>1.1399163381562575E-3</v>
      </c>
      <c r="P12" s="433">
        <f t="shared" ref="P12:AD12" si="6">P11/P$6</f>
        <v>1.9116184790845899E-4</v>
      </c>
      <c r="Q12" s="433">
        <f t="shared" si="6"/>
        <v>9.5214261996617641E-3</v>
      </c>
      <c r="R12" s="433">
        <f t="shared" si="6"/>
        <v>-2.7543818672425592E-3</v>
      </c>
      <c r="S12" s="433">
        <f t="shared" si="6"/>
        <v>-2.1161360412469955E-2</v>
      </c>
      <c r="T12" s="433">
        <f t="shared" si="6"/>
        <v>-9.0568405231635004E-3</v>
      </c>
      <c r="U12" s="433">
        <f t="shared" si="6"/>
        <v>-2.5648541450333504E-2</v>
      </c>
      <c r="V12" s="431">
        <f t="shared" si="6"/>
        <v>-5.2056885899140135E-2</v>
      </c>
      <c r="W12" s="431">
        <f t="shared" si="6"/>
        <v>-1.3721404269536441E-2</v>
      </c>
      <c r="X12" s="432">
        <f>X11/X$6</f>
        <v>-3.2088529954284399E-2</v>
      </c>
      <c r="Y12" s="431">
        <f>Y11/Y$6</f>
        <v>-1.4953383571824189E-2</v>
      </c>
      <c r="Z12" s="430">
        <f t="shared" si="6"/>
        <v>-1.0468339297531758E-2</v>
      </c>
      <c r="AA12" s="431">
        <f t="shared" si="6"/>
        <v>1.5551451207786914E-2</v>
      </c>
      <c r="AB12" s="431">
        <f t="shared" si="6"/>
        <v>2.6474971023455158E-2</v>
      </c>
      <c r="AC12" s="431">
        <f t="shared" si="6"/>
        <v>4.0452584121431573E-2</v>
      </c>
      <c r="AD12" s="431">
        <f t="shared" si="6"/>
        <v>4.4723024782757755E-2</v>
      </c>
      <c r="AF12" s="327"/>
      <c r="AG12" s="322"/>
      <c r="AK12" s="311"/>
    </row>
    <row r="13" spans="1:37" x14ac:dyDescent="0.3">
      <c r="B13" s="103" t="s">
        <v>23</v>
      </c>
      <c r="C13" s="103"/>
      <c r="D13" s="103"/>
      <c r="E13" s="103"/>
      <c r="F13" s="103"/>
      <c r="G13" s="103"/>
      <c r="H13" s="103"/>
      <c r="I13" s="103"/>
      <c r="J13" s="103"/>
      <c r="K13" s="103"/>
      <c r="L13" s="104"/>
      <c r="M13" s="104"/>
      <c r="N13" s="435"/>
      <c r="O13" s="436">
        <f t="shared" ref="O13:AD13" si="7">O281</f>
        <v>47.821341000000004</v>
      </c>
      <c r="P13" s="104">
        <f t="shared" si="7"/>
        <v>15.063525238321276</v>
      </c>
      <c r="Q13" s="104">
        <f t="shared" si="7"/>
        <v>15.063525238321276</v>
      </c>
      <c r="R13" s="104">
        <f t="shared" si="7"/>
        <v>15.063525238321276</v>
      </c>
      <c r="S13" s="104">
        <f t="shared" si="7"/>
        <v>14.959561719069665</v>
      </c>
      <c r="T13" s="104">
        <f t="shared" si="7"/>
        <v>14.959561719069665</v>
      </c>
      <c r="U13" s="104">
        <f t="shared" si="7"/>
        <v>14.959561719069665</v>
      </c>
      <c r="V13" s="104">
        <f t="shared" si="7"/>
        <v>14.684856375050511</v>
      </c>
      <c r="W13" s="104">
        <f t="shared" si="7"/>
        <v>14.684856375050511</v>
      </c>
      <c r="X13" s="435">
        <f t="shared" si="7"/>
        <v>14.684856375050511</v>
      </c>
      <c r="Y13" s="104">
        <f t="shared" si="7"/>
        <v>134.12382999732438</v>
      </c>
      <c r="Z13" s="436">
        <f t="shared" si="7"/>
        <v>181.94517099732437</v>
      </c>
      <c r="AA13" s="104">
        <f>AA281</f>
        <v>34.512728091086274</v>
      </c>
      <c r="AB13" s="104">
        <f t="shared" si="7"/>
        <v>27.991789709649119</v>
      </c>
      <c r="AC13" s="104">
        <f t="shared" si="7"/>
        <v>22.264509666508523</v>
      </c>
      <c r="AD13" s="104">
        <f t="shared" si="7"/>
        <v>13.018404693498457</v>
      </c>
      <c r="AF13" s="327"/>
      <c r="AK13" s="311"/>
    </row>
    <row r="14" spans="1:37" s="11" customFormat="1" x14ac:dyDescent="0.3">
      <c r="B14" s="11" t="s">
        <v>24</v>
      </c>
      <c r="L14" s="13"/>
      <c r="M14" s="13"/>
      <c r="N14" s="124"/>
      <c r="O14" s="326">
        <f>O11+O13</f>
        <v>63.942003802399697</v>
      </c>
      <c r="P14" s="13">
        <f t="shared" ref="P14:AD14" si="8">P11+P13</f>
        <v>15.880177943659405</v>
      </c>
      <c r="Q14" s="13">
        <f t="shared" si="8"/>
        <v>58.704507919412649</v>
      </c>
      <c r="R14" s="13">
        <f t="shared" si="8"/>
        <v>3.4817665524742409</v>
      </c>
      <c r="S14" s="13">
        <f t="shared" si="8"/>
        <v>-72.621230260542731</v>
      </c>
      <c r="T14" s="13">
        <f t="shared" si="8"/>
        <v>-23.10185551432237</v>
      </c>
      <c r="U14" s="13">
        <f t="shared" si="8"/>
        <v>-86.687589952853202</v>
      </c>
      <c r="V14" s="13">
        <f t="shared" si="8"/>
        <v>-160.53788505476319</v>
      </c>
      <c r="W14" s="13">
        <f t="shared" si="8"/>
        <v>-41.270870080832594</v>
      </c>
      <c r="X14" s="124">
        <f>X11+X13</f>
        <v>-107.05365153099825</v>
      </c>
      <c r="Y14" s="13">
        <f>Y11+Y13</f>
        <v>-413.20662997876332</v>
      </c>
      <c r="Z14" s="326">
        <f t="shared" si="8"/>
        <v>-349.26462617636685</v>
      </c>
      <c r="AA14" s="13">
        <f t="shared" si="8"/>
        <v>864.78199993136855</v>
      </c>
      <c r="AB14" s="13">
        <f t="shared" si="8"/>
        <v>1702.9552841102557</v>
      </c>
      <c r="AC14" s="13">
        <f t="shared" si="8"/>
        <v>3115.2783088938445</v>
      </c>
      <c r="AD14" s="13">
        <f t="shared" si="8"/>
        <v>3725.9328801492047</v>
      </c>
      <c r="AF14" s="327"/>
      <c r="AG14" s="322"/>
      <c r="AK14" s="311"/>
    </row>
    <row r="15" spans="1:37" s="23" customFormat="1" x14ac:dyDescent="0.3">
      <c r="B15" s="32" t="s">
        <v>460</v>
      </c>
      <c r="C15" s="32"/>
      <c r="D15" s="32"/>
      <c r="E15" s="32"/>
      <c r="F15" s="32"/>
      <c r="G15" s="32"/>
      <c r="H15" s="32"/>
      <c r="I15" s="32"/>
      <c r="J15" s="32"/>
      <c r="K15" s="32"/>
      <c r="L15" s="153"/>
      <c r="M15" s="153"/>
      <c r="N15" s="152"/>
      <c r="O15" s="437">
        <f>O14/O$6</f>
        <v>4.5214353604589325E-3</v>
      </c>
      <c r="P15" s="438">
        <f t="shared" ref="P15:AD15" si="9">P14/P$6</f>
        <v>3.7172278264457383E-3</v>
      </c>
      <c r="Q15" s="438">
        <f t="shared" si="9"/>
        <v>1.2807929734916979E-2</v>
      </c>
      <c r="R15" s="438">
        <f t="shared" si="9"/>
        <v>8.2803613149234868E-4</v>
      </c>
      <c r="S15" s="438">
        <f t="shared" si="9"/>
        <v>-1.7546815830325576E-2</v>
      </c>
      <c r="T15" s="438">
        <f t="shared" si="9"/>
        <v>-5.497163174439588E-3</v>
      </c>
      <c r="U15" s="438">
        <f t="shared" si="9"/>
        <v>-2.1873807652885009E-2</v>
      </c>
      <c r="V15" s="489">
        <f t="shared" si="9"/>
        <v>-4.769416513285496E-2</v>
      </c>
      <c r="W15" s="489">
        <f t="shared" si="9"/>
        <v>-1.0120399265678388E-2</v>
      </c>
      <c r="X15" s="490">
        <f>X14/X$6</f>
        <v>-2.8217811791475707E-2</v>
      </c>
      <c r="Y15" s="489">
        <f>Y14/Y$6</f>
        <v>-1.1289043245945462E-2</v>
      </c>
      <c r="Z15" s="491">
        <f t="shared" si="9"/>
        <v>-6.8828184850745809E-3</v>
      </c>
      <c r="AA15" s="489">
        <f t="shared" si="9"/>
        <v>1.6197895710985864E-2</v>
      </c>
      <c r="AB15" s="489">
        <f t="shared" si="9"/>
        <v>2.6917417574639731E-2</v>
      </c>
      <c r="AC15" s="489">
        <f t="shared" si="9"/>
        <v>4.0743774852760303E-2</v>
      </c>
      <c r="AD15" s="489">
        <f t="shared" si="9"/>
        <v>4.4879834868093167E-2</v>
      </c>
      <c r="AG15" s="322"/>
      <c r="AK15" s="311"/>
    </row>
    <row r="16" spans="1:37" x14ac:dyDescent="0.3">
      <c r="AK16" s="311"/>
    </row>
    <row r="17" spans="2:37" x14ac:dyDescent="0.3">
      <c r="B17" s="161" t="s">
        <v>461</v>
      </c>
      <c r="C17" s="4"/>
      <c r="D17" s="4"/>
      <c r="E17" s="4"/>
      <c r="F17" s="4"/>
      <c r="G17" s="4"/>
      <c r="H17" s="4"/>
      <c r="I17" s="4"/>
      <c r="J17" s="4"/>
      <c r="K17" s="4"/>
      <c r="L17" s="4"/>
      <c r="M17" s="4"/>
      <c r="N17" s="4"/>
      <c r="O17" s="390">
        <f>O20-O82-O132</f>
        <v>13439.802926099999</v>
      </c>
      <c r="P17" s="4"/>
      <c r="Q17" s="4"/>
      <c r="R17" s="4"/>
      <c r="S17" s="4"/>
      <c r="T17" s="4"/>
      <c r="U17" s="4"/>
      <c r="V17" s="4"/>
      <c r="W17" s="4"/>
      <c r="X17" s="4"/>
      <c r="Y17" s="4"/>
      <c r="Z17" s="4"/>
      <c r="AA17" s="4"/>
      <c r="AB17" s="4"/>
      <c r="AC17" s="4"/>
      <c r="AD17" s="4"/>
      <c r="AK17" s="311"/>
    </row>
    <row r="18" spans="2:37" x14ac:dyDescent="0.3">
      <c r="AK18" s="311"/>
    </row>
    <row r="19" spans="2:37" x14ac:dyDescent="0.3">
      <c r="B19" s="8"/>
      <c r="C19" s="8"/>
      <c r="D19" s="8"/>
      <c r="E19" s="8"/>
      <c r="F19" s="8"/>
      <c r="G19" s="8"/>
      <c r="H19" s="8"/>
      <c r="I19" s="8"/>
      <c r="J19" s="8"/>
      <c r="K19" s="8"/>
      <c r="L19" s="9" t="s">
        <v>182</v>
      </c>
      <c r="M19" s="9" t="s">
        <v>183</v>
      </c>
      <c r="N19" s="10" t="s">
        <v>184</v>
      </c>
      <c r="O19" s="244" t="s">
        <v>4</v>
      </c>
      <c r="P19" s="9" t="s">
        <v>215</v>
      </c>
      <c r="Q19" s="9" t="s">
        <v>216</v>
      </c>
      <c r="R19" s="9" t="s">
        <v>217</v>
      </c>
      <c r="S19" s="9" t="s">
        <v>218</v>
      </c>
      <c r="T19" s="9" t="s">
        <v>219</v>
      </c>
      <c r="U19" s="9" t="s">
        <v>220</v>
      </c>
      <c r="V19" s="9" t="s">
        <v>221</v>
      </c>
      <c r="W19" s="9" t="s">
        <v>222</v>
      </c>
      <c r="X19" s="10" t="s">
        <v>223</v>
      </c>
      <c r="Y19" s="9" t="s">
        <v>294</v>
      </c>
      <c r="Z19" s="244" t="s">
        <v>197</v>
      </c>
      <c r="AA19" s="9" t="s">
        <v>198</v>
      </c>
      <c r="AB19" s="9" t="s">
        <v>199</v>
      </c>
      <c r="AC19" s="9" t="s">
        <v>200</v>
      </c>
      <c r="AD19" s="9" t="s">
        <v>201</v>
      </c>
      <c r="AK19" s="311"/>
    </row>
    <row r="20" spans="2:37" outlineLevel="1" x14ac:dyDescent="0.3">
      <c r="B20" s="11" t="s">
        <v>28</v>
      </c>
      <c r="C20" s="11"/>
      <c r="D20" s="11"/>
      <c r="E20" s="11"/>
      <c r="F20" s="11"/>
      <c r="G20" s="11"/>
      <c r="H20" s="11"/>
      <c r="I20" s="11"/>
      <c r="J20" s="11"/>
      <c r="K20" s="11"/>
      <c r="L20" s="13"/>
      <c r="M20" s="13"/>
      <c r="N20" s="124"/>
      <c r="O20" s="326">
        <f>SUM(O21:O26)</f>
        <v>14141.9701278024</v>
      </c>
      <c r="P20" s="13">
        <f t="shared" ref="P20:AD20" si="10">SUM(P21:P26)</f>
        <v>4272.0486031773262</v>
      </c>
      <c r="Q20" s="13">
        <f t="shared" si="10"/>
        <v>4583.4501855028466</v>
      </c>
      <c r="R20" s="13">
        <f t="shared" si="10"/>
        <v>4204.8485809419217</v>
      </c>
      <c r="S20" s="13">
        <f t="shared" si="10"/>
        <v>4138.712742116657</v>
      </c>
      <c r="T20" s="13">
        <f t="shared" si="10"/>
        <v>4202.5049614208519</v>
      </c>
      <c r="U20" s="13">
        <f t="shared" si="10"/>
        <v>3963.077271616206</v>
      </c>
      <c r="V20" s="13">
        <f t="shared" si="10"/>
        <v>3365.9858518872334</v>
      </c>
      <c r="W20" s="13">
        <f t="shared" si="10"/>
        <v>4077.9883280688077</v>
      </c>
      <c r="X20" s="124">
        <f t="shared" si="10"/>
        <v>3793.8325027505498</v>
      </c>
      <c r="Y20" s="326">
        <f>SUM(Y21:Y26)</f>
        <v>36602.449027482406</v>
      </c>
      <c r="Z20" s="326">
        <f t="shared" si="10"/>
        <v>50744.419155284799</v>
      </c>
      <c r="AA20" s="13">
        <f t="shared" si="10"/>
        <v>53388.539805503831</v>
      </c>
      <c r="AB20" s="13">
        <f t="shared" si="10"/>
        <v>63265.92361202943</v>
      </c>
      <c r="AC20" s="13">
        <f t="shared" si="10"/>
        <v>76460.227854483906</v>
      </c>
      <c r="AD20" s="13">
        <f t="shared" si="10"/>
        <v>83020.200299313408</v>
      </c>
      <c r="AE20" s="492"/>
      <c r="AF20" s="327"/>
      <c r="AK20" s="311"/>
    </row>
    <row r="21" spans="2:37" outlineLevel="1" x14ac:dyDescent="0.3">
      <c r="B21" s="11"/>
      <c r="C21" s="98" t="s">
        <v>131</v>
      </c>
      <c r="D21" s="97"/>
      <c r="E21" s="97"/>
      <c r="F21" s="97"/>
      <c r="G21" s="97"/>
      <c r="H21" s="97"/>
      <c r="I21" s="97"/>
      <c r="J21" s="97"/>
      <c r="K21" s="97"/>
      <c r="L21" s="333"/>
      <c r="M21" s="333"/>
      <c r="N21" s="334"/>
      <c r="O21" s="335">
        <f t="shared" ref="O21:AD26" si="11">O28+O35</f>
        <v>101.2630095192</v>
      </c>
      <c r="P21" s="333">
        <f t="shared" si="11"/>
        <v>0</v>
      </c>
      <c r="Q21" s="333">
        <f t="shared" si="11"/>
        <v>0</v>
      </c>
      <c r="R21" s="333">
        <f t="shared" si="11"/>
        <v>165.91568903118036</v>
      </c>
      <c r="S21" s="333">
        <f t="shared" si="11"/>
        <v>0</v>
      </c>
      <c r="T21" s="333">
        <f t="shared" si="11"/>
        <v>0</v>
      </c>
      <c r="U21" s="333">
        <f t="shared" si="11"/>
        <v>0</v>
      </c>
      <c r="V21" s="333">
        <f t="shared" si="11"/>
        <v>0</v>
      </c>
      <c r="W21" s="333">
        <f t="shared" si="11"/>
        <v>0</v>
      </c>
      <c r="X21" s="334">
        <f t="shared" si="11"/>
        <v>0</v>
      </c>
      <c r="Y21" s="335">
        <f t="shared" si="11"/>
        <v>165.91568903118036</v>
      </c>
      <c r="Z21" s="335">
        <f t="shared" si="11"/>
        <v>267.17869855038037</v>
      </c>
      <c r="AA21" s="333">
        <f t="shared" si="11"/>
        <v>255.29300427261413</v>
      </c>
      <c r="AB21" s="333">
        <f t="shared" si="11"/>
        <v>259.38080926077595</v>
      </c>
      <c r="AC21" s="333">
        <f t="shared" si="11"/>
        <v>396.28863664617359</v>
      </c>
      <c r="AD21" s="334">
        <f t="shared" si="11"/>
        <v>400.86510493438135</v>
      </c>
      <c r="AF21" s="327"/>
      <c r="AK21" s="311"/>
    </row>
    <row r="22" spans="2:37" outlineLevel="1" x14ac:dyDescent="0.3">
      <c r="B22" s="11"/>
      <c r="C22" s="99" t="s">
        <v>132</v>
      </c>
      <c r="L22" s="16"/>
      <c r="M22" s="16"/>
      <c r="N22" s="15"/>
      <c r="O22" s="246">
        <f t="shared" si="11"/>
        <v>2666.6695406039998</v>
      </c>
      <c r="P22" s="16">
        <f t="shared" si="11"/>
        <v>1828.1619081442238</v>
      </c>
      <c r="Q22" s="16">
        <f t="shared" si="11"/>
        <v>2113.8122062917587</v>
      </c>
      <c r="R22" s="16">
        <f t="shared" si="11"/>
        <v>1942.4220274032377</v>
      </c>
      <c r="S22" s="16">
        <f t="shared" si="11"/>
        <v>2212.6948998521657</v>
      </c>
      <c r="T22" s="16">
        <f t="shared" si="11"/>
        <v>2042.4875998635375</v>
      </c>
      <c r="U22" s="16">
        <f t="shared" si="11"/>
        <v>2099.2233665264134</v>
      </c>
      <c r="V22" s="16">
        <f t="shared" si="11"/>
        <v>1280.9600849030849</v>
      </c>
      <c r="W22" s="16">
        <f t="shared" si="11"/>
        <v>2227.7566693966687</v>
      </c>
      <c r="X22" s="15">
        <f t="shared" si="11"/>
        <v>1782.2053355173352</v>
      </c>
      <c r="Y22" s="246">
        <f t="shared" si="11"/>
        <v>17529.724097898426</v>
      </c>
      <c r="Z22" s="246">
        <f t="shared" si="11"/>
        <v>20196.393638502428</v>
      </c>
      <c r="AA22" s="16">
        <f t="shared" si="11"/>
        <v>22586.442928384633</v>
      </c>
      <c r="AB22" s="16">
        <f t="shared" si="11"/>
        <v>26333.614471650642</v>
      </c>
      <c r="AC22" s="16">
        <f t="shared" si="11"/>
        <v>28663.581640992055</v>
      </c>
      <c r="AD22" s="15">
        <f t="shared" si="11"/>
        <v>31067.439087915049</v>
      </c>
      <c r="AF22" s="327"/>
      <c r="AK22" s="311"/>
    </row>
    <row r="23" spans="2:37" outlineLevel="1" x14ac:dyDescent="0.3">
      <c r="B23" s="11"/>
      <c r="C23" s="99" t="s">
        <v>133</v>
      </c>
      <c r="L23" s="16"/>
      <c r="M23" s="16"/>
      <c r="N23" s="15"/>
      <c r="O23" s="246">
        <f t="shared" si="11"/>
        <v>7927.2379555632006</v>
      </c>
      <c r="P23" s="16">
        <f t="shared" si="11"/>
        <v>1993.2104331748528</v>
      </c>
      <c r="Q23" s="16">
        <f t="shared" si="11"/>
        <v>1793.0444628715841</v>
      </c>
      <c r="R23" s="16">
        <f t="shared" si="11"/>
        <v>1668.0497525272394</v>
      </c>
      <c r="S23" s="16">
        <f t="shared" si="11"/>
        <v>1457.7529289583526</v>
      </c>
      <c r="T23" s="16">
        <f t="shared" si="11"/>
        <v>2016.7801736286192</v>
      </c>
      <c r="U23" s="16">
        <f t="shared" si="11"/>
        <v>1391.4914321875183</v>
      </c>
      <c r="V23" s="16">
        <f t="shared" si="11"/>
        <v>1626.1181001633101</v>
      </c>
      <c r="W23" s="16">
        <f t="shared" si="11"/>
        <v>1719.5667506683608</v>
      </c>
      <c r="X23" s="15">
        <f t="shared" si="11"/>
        <v>1756.2075481763748</v>
      </c>
      <c r="Y23" s="246">
        <f t="shared" si="11"/>
        <v>15422.221582356213</v>
      </c>
      <c r="Z23" s="246">
        <f t="shared" si="11"/>
        <v>23349.459537919414</v>
      </c>
      <c r="AA23" s="16">
        <f t="shared" si="11"/>
        <v>24306.134832498305</v>
      </c>
      <c r="AB23" s="16">
        <f t="shared" si="11"/>
        <v>29683.217053348053</v>
      </c>
      <c r="AC23" s="16">
        <f t="shared" si="11"/>
        <v>36243.06772520407</v>
      </c>
      <c r="AD23" s="15">
        <f t="shared" si="11"/>
        <v>39424.256895455961</v>
      </c>
      <c r="AF23" s="327"/>
      <c r="AK23" s="311"/>
    </row>
    <row r="24" spans="2:37" outlineLevel="1" x14ac:dyDescent="0.3">
      <c r="B24" s="11"/>
      <c r="C24" s="99" t="s">
        <v>149</v>
      </c>
      <c r="L24" s="16"/>
      <c r="M24" s="16"/>
      <c r="N24" s="15"/>
      <c r="O24" s="246">
        <f t="shared" si="11"/>
        <v>0</v>
      </c>
      <c r="P24" s="16">
        <f t="shared" si="11"/>
        <v>214.76049554565697</v>
      </c>
      <c r="Q24" s="16">
        <f t="shared" si="11"/>
        <v>429.52099109131393</v>
      </c>
      <c r="R24" s="16">
        <f t="shared" si="11"/>
        <v>214.76049554565697</v>
      </c>
      <c r="S24" s="16">
        <f t="shared" si="11"/>
        <v>426.55657784011214</v>
      </c>
      <c r="T24" s="16">
        <f t="shared" si="11"/>
        <v>0</v>
      </c>
      <c r="U24" s="16">
        <f t="shared" si="11"/>
        <v>426.55657784011214</v>
      </c>
      <c r="V24" s="16">
        <f t="shared" si="11"/>
        <v>418.72363636363639</v>
      </c>
      <c r="W24" s="16">
        <f t="shared" si="11"/>
        <v>0</v>
      </c>
      <c r="X24" s="15">
        <f t="shared" si="11"/>
        <v>209.36181818181819</v>
      </c>
      <c r="Y24" s="246">
        <f t="shared" si="11"/>
        <v>2340.2405924083068</v>
      </c>
      <c r="Z24" s="246">
        <f t="shared" si="11"/>
        <v>2340.2405924083068</v>
      </c>
      <c r="AA24" s="16">
        <f t="shared" si="11"/>
        <v>2477.0841387199976</v>
      </c>
      <c r="AB24" s="16">
        <f t="shared" si="11"/>
        <v>2729.1729815377735</v>
      </c>
      <c r="AC24" s="16">
        <f t="shared" si="11"/>
        <v>5779.3140029872729</v>
      </c>
      <c r="AD24" s="15">
        <f t="shared" si="11"/>
        <v>6285.3279222577094</v>
      </c>
      <c r="AF24" s="327"/>
      <c r="AK24" s="311"/>
    </row>
    <row r="25" spans="2:37" x14ac:dyDescent="0.3">
      <c r="B25" s="11"/>
      <c r="C25" s="99" t="s">
        <v>135</v>
      </c>
      <c r="L25" s="16"/>
      <c r="M25" s="16"/>
      <c r="N25" s="15"/>
      <c r="O25" s="246">
        <f t="shared" si="11"/>
        <v>435.95358698400003</v>
      </c>
      <c r="P25" s="16">
        <f t="shared" si="11"/>
        <v>0</v>
      </c>
      <c r="Q25" s="16">
        <f t="shared" si="11"/>
        <v>0</v>
      </c>
      <c r="R25" s="16">
        <f t="shared" si="11"/>
        <v>0</v>
      </c>
      <c r="S25" s="16">
        <f t="shared" si="11"/>
        <v>0</v>
      </c>
      <c r="T25" s="16">
        <f t="shared" si="11"/>
        <v>0</v>
      </c>
      <c r="U25" s="16">
        <f t="shared" si="11"/>
        <v>0</v>
      </c>
      <c r="V25" s="16">
        <f t="shared" si="11"/>
        <v>0</v>
      </c>
      <c r="W25" s="16">
        <f t="shared" si="11"/>
        <v>0</v>
      </c>
      <c r="X25" s="15">
        <f t="shared" si="11"/>
        <v>0</v>
      </c>
      <c r="Y25" s="246">
        <f t="shared" si="11"/>
        <v>0</v>
      </c>
      <c r="Z25" s="246">
        <f t="shared" si="11"/>
        <v>435.95358698400003</v>
      </c>
      <c r="AA25" s="16">
        <f t="shared" si="11"/>
        <v>0</v>
      </c>
      <c r="AB25" s="16">
        <f t="shared" si="11"/>
        <v>0</v>
      </c>
      <c r="AC25" s="16">
        <f t="shared" si="11"/>
        <v>0</v>
      </c>
      <c r="AD25" s="15">
        <f t="shared" si="11"/>
        <v>0</v>
      </c>
      <c r="AF25" s="327"/>
      <c r="AK25" s="311"/>
    </row>
    <row r="26" spans="2:37" x14ac:dyDescent="0.3">
      <c r="B26" s="11"/>
      <c r="C26" s="101" t="s">
        <v>136</v>
      </c>
      <c r="D26" s="100"/>
      <c r="E26" s="100"/>
      <c r="F26" s="100"/>
      <c r="G26" s="100"/>
      <c r="H26" s="100"/>
      <c r="I26" s="100"/>
      <c r="J26" s="100"/>
      <c r="K26" s="100"/>
      <c r="L26" s="126"/>
      <c r="M26" s="126"/>
      <c r="N26" s="135"/>
      <c r="O26" s="337">
        <f t="shared" si="11"/>
        <v>3010.846035132</v>
      </c>
      <c r="P26" s="126">
        <f t="shared" si="11"/>
        <v>235.91576631259306</v>
      </c>
      <c r="Q26" s="126">
        <f t="shared" si="11"/>
        <v>247.07252524818932</v>
      </c>
      <c r="R26" s="126">
        <f t="shared" si="11"/>
        <v>213.70061643460735</v>
      </c>
      <c r="S26" s="126">
        <f t="shared" si="11"/>
        <v>41.708335466026384</v>
      </c>
      <c r="T26" s="126">
        <f t="shared" si="11"/>
        <v>143.23718792869542</v>
      </c>
      <c r="U26" s="126">
        <f t="shared" si="11"/>
        <v>45.805895062162222</v>
      </c>
      <c r="V26" s="126">
        <f t="shared" si="11"/>
        <v>40.184030457201715</v>
      </c>
      <c r="W26" s="126">
        <f t="shared" si="11"/>
        <v>130.66490800377838</v>
      </c>
      <c r="X26" s="135">
        <f t="shared" si="11"/>
        <v>46.057800875021613</v>
      </c>
      <c r="Y26" s="337">
        <f t="shared" si="11"/>
        <v>1144.3470657882754</v>
      </c>
      <c r="Z26" s="337">
        <f t="shared" si="11"/>
        <v>4155.1931009202754</v>
      </c>
      <c r="AA26" s="126">
        <f t="shared" si="11"/>
        <v>3763.5849016282791</v>
      </c>
      <c r="AB26" s="126">
        <f t="shared" si="11"/>
        <v>4260.538296232181</v>
      </c>
      <c r="AC26" s="126">
        <f t="shared" si="11"/>
        <v>5377.9758486543215</v>
      </c>
      <c r="AD26" s="135">
        <f t="shared" si="11"/>
        <v>5842.3112887503012</v>
      </c>
      <c r="AF26" s="327"/>
      <c r="AK26" s="311"/>
    </row>
    <row r="27" spans="2:37" x14ac:dyDescent="0.3">
      <c r="B27" s="11"/>
      <c r="C27" s="11" t="s">
        <v>557</v>
      </c>
      <c r="D27" s="11"/>
      <c r="E27" s="11"/>
      <c r="F27" s="11"/>
      <c r="G27" s="11"/>
      <c r="H27" s="11"/>
      <c r="I27" s="11"/>
      <c r="J27" s="11"/>
      <c r="K27" s="11"/>
      <c r="L27" s="13"/>
      <c r="M27" s="13"/>
      <c r="N27" s="124"/>
      <c r="O27" s="326">
        <f>SUM(O28:O33)</f>
        <v>2474.4387416112004</v>
      </c>
      <c r="P27" s="13">
        <f t="shared" ref="P27:AD27" si="12">SUM(P28:P33)</f>
        <v>382.16229490125414</v>
      </c>
      <c r="Q27" s="13">
        <f t="shared" si="12"/>
        <v>382.16229490125414</v>
      </c>
      <c r="R27" s="13">
        <f t="shared" si="12"/>
        <v>329.90551884674204</v>
      </c>
      <c r="S27" s="13">
        <f t="shared" si="12"/>
        <v>-3.870000000000005</v>
      </c>
      <c r="T27" s="13">
        <f t="shared" si="12"/>
        <v>187.80059895441372</v>
      </c>
      <c r="U27" s="13">
        <f t="shared" si="12"/>
        <v>-3.870000000000005</v>
      </c>
      <c r="V27" s="13">
        <f t="shared" si="12"/>
        <v>-3.870000000000005</v>
      </c>
      <c r="W27" s="13">
        <f t="shared" si="12"/>
        <v>184.24522332642871</v>
      </c>
      <c r="X27" s="124">
        <f t="shared" si="12"/>
        <v>-3.870000000000005</v>
      </c>
      <c r="Y27" s="326">
        <f>SUM(Y28:Y33)</f>
        <v>1450.7959309300927</v>
      </c>
      <c r="Z27" s="326">
        <f t="shared" si="12"/>
        <v>3925.2346725412935</v>
      </c>
      <c r="AA27" s="13">
        <f t="shared" si="12"/>
        <v>3628.2030785800835</v>
      </c>
      <c r="AB27" s="13">
        <f t="shared" si="12"/>
        <v>3876.537375758081</v>
      </c>
      <c r="AC27" s="13">
        <f t="shared" si="12"/>
        <v>5170.7584291323465</v>
      </c>
      <c r="AD27" s="13">
        <f t="shared" si="12"/>
        <v>5620.4463671742069</v>
      </c>
      <c r="AF27" s="327"/>
      <c r="AK27" s="311"/>
    </row>
    <row r="28" spans="2:37" x14ac:dyDescent="0.3">
      <c r="D28" s="3" t="s">
        <v>131</v>
      </c>
      <c r="L28" s="16"/>
      <c r="M28" s="16"/>
      <c r="N28" s="15"/>
      <c r="O28" s="246">
        <f>O44</f>
        <v>101.2630095192</v>
      </c>
      <c r="P28" s="16">
        <f t="shared" ref="P28:AD28" si="13">P44</f>
        <v>0</v>
      </c>
      <c r="Q28" s="16">
        <f t="shared" si="13"/>
        <v>0</v>
      </c>
      <c r="R28" s="16">
        <f t="shared" si="13"/>
        <v>165.91568903118036</v>
      </c>
      <c r="S28" s="16">
        <f t="shared" si="13"/>
        <v>0</v>
      </c>
      <c r="T28" s="16">
        <f t="shared" si="13"/>
        <v>0</v>
      </c>
      <c r="U28" s="16">
        <f t="shared" si="13"/>
        <v>0</v>
      </c>
      <c r="V28" s="16">
        <f t="shared" si="13"/>
        <v>0</v>
      </c>
      <c r="W28" s="16">
        <f t="shared" si="13"/>
        <v>0</v>
      </c>
      <c r="X28" s="15">
        <f t="shared" si="13"/>
        <v>0</v>
      </c>
      <c r="Y28" s="246">
        <f>Y44</f>
        <v>165.91568903118036</v>
      </c>
      <c r="Z28" s="246">
        <f t="shared" si="13"/>
        <v>267.17869855038037</v>
      </c>
      <c r="AA28" s="16">
        <f t="shared" si="13"/>
        <v>255.29300427261413</v>
      </c>
      <c r="AB28" s="16">
        <f t="shared" si="13"/>
        <v>259.38080926077595</v>
      </c>
      <c r="AC28" s="16">
        <f t="shared" si="13"/>
        <v>396.28863664617359</v>
      </c>
      <c r="AD28" s="16">
        <f t="shared" si="13"/>
        <v>400.86510493438135</v>
      </c>
      <c r="AF28" s="327"/>
      <c r="AK28" s="311"/>
    </row>
    <row r="29" spans="2:37" x14ac:dyDescent="0.3">
      <c r="D29" s="3" t="s">
        <v>132</v>
      </c>
      <c r="L29" s="16"/>
      <c r="M29" s="16"/>
      <c r="N29" s="15"/>
      <c r="O29" s="246">
        <f>O51</f>
        <v>189.24619064400002</v>
      </c>
      <c r="P29" s="16">
        <f t="shared" ref="P29:AD29" si="14">P51</f>
        <v>0</v>
      </c>
      <c r="Q29" s="16">
        <f t="shared" si="14"/>
        <v>0</v>
      </c>
      <c r="R29" s="16">
        <f t="shared" si="14"/>
        <v>0</v>
      </c>
      <c r="S29" s="16">
        <f t="shared" si="14"/>
        <v>0</v>
      </c>
      <c r="T29" s="16">
        <f t="shared" si="14"/>
        <v>0</v>
      </c>
      <c r="U29" s="16">
        <f t="shared" si="14"/>
        <v>0</v>
      </c>
      <c r="V29" s="16">
        <f t="shared" si="14"/>
        <v>0</v>
      </c>
      <c r="W29" s="16">
        <f t="shared" si="14"/>
        <v>0</v>
      </c>
      <c r="X29" s="15">
        <f t="shared" si="14"/>
        <v>0</v>
      </c>
      <c r="Y29" s="246">
        <f>Y51</f>
        <v>0</v>
      </c>
      <c r="Z29" s="246">
        <f t="shared" si="14"/>
        <v>189.24619064400002</v>
      </c>
      <c r="AA29" s="16">
        <f t="shared" si="14"/>
        <v>179.37693144217891</v>
      </c>
      <c r="AB29" s="16">
        <f t="shared" si="14"/>
        <v>182.27992372547706</v>
      </c>
      <c r="AC29" s="16">
        <f t="shared" si="14"/>
        <v>185.6902560008854</v>
      </c>
      <c r="AD29" s="16">
        <f t="shared" si="14"/>
        <v>281.79070037814739</v>
      </c>
      <c r="AF29" s="327"/>
      <c r="AK29" s="311"/>
    </row>
    <row r="30" spans="2:37" x14ac:dyDescent="0.3">
      <c r="D30" s="3" t="s">
        <v>133</v>
      </c>
      <c r="L30" s="16"/>
      <c r="M30" s="16"/>
      <c r="N30" s="15"/>
      <c r="O30" s="246">
        <f>O58</f>
        <v>738.60079818960014</v>
      </c>
      <c r="P30" s="16">
        <f t="shared" ref="P30:AD30" si="15">P58</f>
        <v>191.7167004454343</v>
      </c>
      <c r="Q30" s="16">
        <f t="shared" si="15"/>
        <v>191.7167004454343</v>
      </c>
      <c r="R30" s="16">
        <f t="shared" si="15"/>
        <v>0</v>
      </c>
      <c r="S30" s="16">
        <f t="shared" si="15"/>
        <v>0</v>
      </c>
      <c r="T30" s="16">
        <f t="shared" si="15"/>
        <v>95.196767274427316</v>
      </c>
      <c r="U30" s="16">
        <f t="shared" si="15"/>
        <v>0</v>
      </c>
      <c r="V30" s="16">
        <f t="shared" si="15"/>
        <v>0</v>
      </c>
      <c r="W30" s="16">
        <f t="shared" si="15"/>
        <v>93.448650505050523</v>
      </c>
      <c r="X30" s="15">
        <f t="shared" si="15"/>
        <v>0</v>
      </c>
      <c r="Y30" s="246">
        <f>Y58</f>
        <v>572.07881867034644</v>
      </c>
      <c r="Z30" s="246">
        <f t="shared" si="15"/>
        <v>1310.6796168599467</v>
      </c>
      <c r="AA30" s="16">
        <f t="shared" si="15"/>
        <v>1343.8073461186939</v>
      </c>
      <c r="AB30" s="16">
        <f t="shared" si="15"/>
        <v>1458.5455094731606</v>
      </c>
      <c r="AC30" s="16">
        <f t="shared" si="15"/>
        <v>1952.7063580367956</v>
      </c>
      <c r="AD30" s="16">
        <f t="shared" si="15"/>
        <v>2072.3928858859631</v>
      </c>
      <c r="AF30" s="327"/>
      <c r="AK30" s="311"/>
    </row>
    <row r="31" spans="2:37" x14ac:dyDescent="0.3">
      <c r="D31" s="3" t="s">
        <v>134</v>
      </c>
      <c r="L31" s="16"/>
      <c r="M31" s="16"/>
      <c r="N31" s="15"/>
      <c r="O31" s="246">
        <f>O65</f>
        <v>0</v>
      </c>
      <c r="P31" s="16">
        <f t="shared" ref="P31:AD31" si="16">P65</f>
        <v>0</v>
      </c>
      <c r="Q31" s="16">
        <f t="shared" si="16"/>
        <v>0</v>
      </c>
      <c r="R31" s="16">
        <f t="shared" si="16"/>
        <v>0</v>
      </c>
      <c r="S31" s="16">
        <f t="shared" si="16"/>
        <v>0</v>
      </c>
      <c r="T31" s="16">
        <f t="shared" si="16"/>
        <v>0</v>
      </c>
      <c r="U31" s="16">
        <f t="shared" si="16"/>
        <v>0</v>
      </c>
      <c r="V31" s="16">
        <f t="shared" si="16"/>
        <v>0</v>
      </c>
      <c r="W31" s="16">
        <f t="shared" si="16"/>
        <v>0</v>
      </c>
      <c r="X31" s="15">
        <f t="shared" si="16"/>
        <v>0</v>
      </c>
      <c r="Y31" s="246">
        <f>Y65</f>
        <v>0</v>
      </c>
      <c r="Z31" s="246">
        <f t="shared" si="16"/>
        <v>0</v>
      </c>
      <c r="AA31" s="16">
        <f t="shared" si="16"/>
        <v>0</v>
      </c>
      <c r="AB31" s="16">
        <f t="shared" si="16"/>
        <v>0</v>
      </c>
      <c r="AC31" s="16">
        <f t="shared" si="16"/>
        <v>0</v>
      </c>
      <c r="AD31" s="16">
        <f t="shared" si="16"/>
        <v>0</v>
      </c>
      <c r="AF31" s="327"/>
      <c r="AK31" s="311"/>
    </row>
    <row r="32" spans="2:37" x14ac:dyDescent="0.3">
      <c r="D32" s="3" t="s">
        <v>150</v>
      </c>
      <c r="L32" s="16"/>
      <c r="M32" s="16"/>
      <c r="N32" s="15"/>
      <c r="O32" s="246">
        <f>O72</f>
        <v>435.95358698400003</v>
      </c>
      <c r="P32" s="16">
        <f t="shared" ref="P32:AD32" si="17">P72</f>
        <v>0</v>
      </c>
      <c r="Q32" s="16">
        <f t="shared" si="17"/>
        <v>0</v>
      </c>
      <c r="R32" s="16">
        <f t="shared" si="17"/>
        <v>0</v>
      </c>
      <c r="S32" s="16">
        <f t="shared" si="17"/>
        <v>0</v>
      </c>
      <c r="T32" s="16">
        <f t="shared" si="17"/>
        <v>0</v>
      </c>
      <c r="U32" s="16">
        <f t="shared" si="17"/>
        <v>0</v>
      </c>
      <c r="V32" s="16">
        <f t="shared" si="17"/>
        <v>0</v>
      </c>
      <c r="W32" s="16">
        <f t="shared" si="17"/>
        <v>0</v>
      </c>
      <c r="X32" s="15">
        <f t="shared" si="17"/>
        <v>0</v>
      </c>
      <c r="Y32" s="246">
        <f>Y72</f>
        <v>0</v>
      </c>
      <c r="Z32" s="246">
        <f t="shared" si="17"/>
        <v>435.95358698400003</v>
      </c>
      <c r="AA32" s="16">
        <f t="shared" si="17"/>
        <v>0</v>
      </c>
      <c r="AB32" s="16">
        <f t="shared" si="17"/>
        <v>0</v>
      </c>
      <c r="AC32" s="16">
        <f t="shared" si="17"/>
        <v>0</v>
      </c>
      <c r="AD32" s="16">
        <f t="shared" si="17"/>
        <v>0</v>
      </c>
      <c r="AF32" s="327"/>
      <c r="AK32" s="311"/>
    </row>
    <row r="33" spans="1:37" x14ac:dyDescent="0.3">
      <c r="D33" s="3" t="s">
        <v>105</v>
      </c>
      <c r="L33" s="16"/>
      <c r="M33" s="16"/>
      <c r="N33" s="15"/>
      <c r="O33" s="246">
        <f>O79</f>
        <v>1009.3751562744003</v>
      </c>
      <c r="P33" s="16">
        <f t="shared" ref="P33:X33" si="18">P79</f>
        <v>190.44559445581984</v>
      </c>
      <c r="Q33" s="16">
        <f t="shared" si="18"/>
        <v>190.44559445581984</v>
      </c>
      <c r="R33" s="16">
        <f t="shared" si="18"/>
        <v>163.98982981556168</v>
      </c>
      <c r="S33" s="16">
        <f t="shared" si="18"/>
        <v>-3.870000000000005</v>
      </c>
      <c r="T33" s="16">
        <f t="shared" si="18"/>
        <v>92.603831679986413</v>
      </c>
      <c r="U33" s="16">
        <f t="shared" si="18"/>
        <v>-3.870000000000005</v>
      </c>
      <c r="V33" s="16">
        <f t="shared" si="18"/>
        <v>-3.870000000000005</v>
      </c>
      <c r="W33" s="16">
        <f t="shared" si="18"/>
        <v>90.796572821378192</v>
      </c>
      <c r="X33" s="15">
        <f t="shared" si="18"/>
        <v>-3.870000000000005</v>
      </c>
      <c r="Y33" s="246">
        <f>Y79</f>
        <v>712.80142322856591</v>
      </c>
      <c r="Z33" s="246">
        <f>Z79</f>
        <v>1722.1765795029664</v>
      </c>
      <c r="AA33" s="16">
        <f t="shared" ref="AA33:AD33" si="19">AA79</f>
        <v>1849.7257967465966</v>
      </c>
      <c r="AB33" s="16">
        <f t="shared" si="19"/>
        <v>1976.3311332986671</v>
      </c>
      <c r="AC33" s="16">
        <f t="shared" si="19"/>
        <v>2636.0731784484919</v>
      </c>
      <c r="AD33" s="16">
        <f t="shared" si="19"/>
        <v>2865.3976759757156</v>
      </c>
      <c r="AF33" s="327"/>
      <c r="AK33" s="311"/>
    </row>
    <row r="34" spans="1:37" x14ac:dyDescent="0.3">
      <c r="A34" s="11"/>
      <c r="B34" s="11"/>
      <c r="C34" s="11" t="s">
        <v>558</v>
      </c>
      <c r="D34" s="11"/>
      <c r="E34" s="11"/>
      <c r="F34" s="11"/>
      <c r="G34" s="11"/>
      <c r="H34" s="11"/>
      <c r="I34" s="11"/>
      <c r="J34" s="11"/>
      <c r="K34" s="11"/>
      <c r="L34" s="13"/>
      <c r="M34" s="13"/>
      <c r="N34" s="124"/>
      <c r="O34" s="326">
        <f>SUM(O35:O40)</f>
        <v>11667.5313861912</v>
      </c>
      <c r="P34" s="13">
        <f t="shared" ref="P34:AD34" si="20">SUM(P35:P40)</f>
        <v>3889.8863082760722</v>
      </c>
      <c r="Q34" s="13">
        <f t="shared" si="20"/>
        <v>4201.2878906015912</v>
      </c>
      <c r="R34" s="13">
        <f t="shared" si="20"/>
        <v>3874.9430620951798</v>
      </c>
      <c r="S34" s="13">
        <f t="shared" si="20"/>
        <v>4142.5827421166568</v>
      </c>
      <c r="T34" s="13">
        <f t="shared" si="20"/>
        <v>4014.7043624664384</v>
      </c>
      <c r="U34" s="13">
        <f t="shared" si="20"/>
        <v>3966.9472716162063</v>
      </c>
      <c r="V34" s="13">
        <f t="shared" si="20"/>
        <v>3369.8558518872337</v>
      </c>
      <c r="W34" s="13">
        <f t="shared" si="20"/>
        <v>3893.7431047423788</v>
      </c>
      <c r="X34" s="124">
        <f t="shared" si="20"/>
        <v>3797.7025027505497</v>
      </c>
      <c r="Y34" s="326">
        <f>SUM(Y35:Y40)</f>
        <v>35151.653096552305</v>
      </c>
      <c r="Z34" s="326">
        <f t="shared" si="20"/>
        <v>46819.184482743512</v>
      </c>
      <c r="AA34" s="13">
        <f t="shared" si="20"/>
        <v>49760.336726923742</v>
      </c>
      <c r="AB34" s="13">
        <f t="shared" si="20"/>
        <v>59389.386236271348</v>
      </c>
      <c r="AC34" s="13">
        <f t="shared" si="20"/>
        <v>71289.469425351548</v>
      </c>
      <c r="AD34" s="13">
        <f t="shared" si="20"/>
        <v>77399.753932139196</v>
      </c>
      <c r="AF34" s="327"/>
      <c r="AK34" s="311"/>
    </row>
    <row r="35" spans="1:37" x14ac:dyDescent="0.3">
      <c r="D35" s="3" t="s">
        <v>146</v>
      </c>
      <c r="L35" s="16"/>
      <c r="M35" s="16"/>
      <c r="N35" s="15"/>
      <c r="O35" s="246">
        <f>O94</f>
        <v>0</v>
      </c>
      <c r="P35" s="16">
        <f t="shared" ref="P35:AD35" si="21">P94</f>
        <v>0</v>
      </c>
      <c r="Q35" s="16">
        <f t="shared" si="21"/>
        <v>0</v>
      </c>
      <c r="R35" s="16">
        <f t="shared" si="21"/>
        <v>0</v>
      </c>
      <c r="S35" s="16">
        <f t="shared" si="21"/>
        <v>0</v>
      </c>
      <c r="T35" s="16">
        <f t="shared" si="21"/>
        <v>0</v>
      </c>
      <c r="U35" s="16">
        <f t="shared" si="21"/>
        <v>0</v>
      </c>
      <c r="V35" s="16">
        <f t="shared" si="21"/>
        <v>0</v>
      </c>
      <c r="W35" s="16">
        <f t="shared" si="21"/>
        <v>0</v>
      </c>
      <c r="X35" s="15">
        <f t="shared" si="21"/>
        <v>0</v>
      </c>
      <c r="Y35" s="246">
        <f>Y94</f>
        <v>0</v>
      </c>
      <c r="Z35" s="246">
        <f t="shared" si="21"/>
        <v>0</v>
      </c>
      <c r="AA35" s="16">
        <f t="shared" si="21"/>
        <v>0</v>
      </c>
      <c r="AB35" s="16">
        <f t="shared" si="21"/>
        <v>0</v>
      </c>
      <c r="AC35" s="16">
        <f t="shared" si="21"/>
        <v>0</v>
      </c>
      <c r="AD35" s="16">
        <f t="shared" si="21"/>
        <v>0</v>
      </c>
      <c r="AF35" s="327"/>
      <c r="AK35" s="311"/>
    </row>
    <row r="36" spans="1:37" x14ac:dyDescent="0.3">
      <c r="D36" s="3" t="s">
        <v>147</v>
      </c>
      <c r="L36" s="16"/>
      <c r="M36" s="16"/>
      <c r="N36" s="15"/>
      <c r="O36" s="246">
        <f>O101</f>
        <v>2477.42334996</v>
      </c>
      <c r="P36" s="16">
        <f t="shared" ref="P36:AD36" si="22">P101</f>
        <v>1828.1619081442238</v>
      </c>
      <c r="Q36" s="16">
        <f t="shared" si="22"/>
        <v>2113.8122062917587</v>
      </c>
      <c r="R36" s="16">
        <f t="shared" si="22"/>
        <v>1942.4220274032377</v>
      </c>
      <c r="S36" s="16">
        <f t="shared" si="22"/>
        <v>2212.6948998521657</v>
      </c>
      <c r="T36" s="16">
        <f t="shared" si="22"/>
        <v>2042.4875998635375</v>
      </c>
      <c r="U36" s="16">
        <f t="shared" si="22"/>
        <v>2099.2233665264134</v>
      </c>
      <c r="V36" s="16">
        <f t="shared" si="22"/>
        <v>1280.9600849030849</v>
      </c>
      <c r="W36" s="16">
        <f t="shared" si="22"/>
        <v>2227.7566693966687</v>
      </c>
      <c r="X36" s="15">
        <f t="shared" si="22"/>
        <v>1782.2053355173352</v>
      </c>
      <c r="Y36" s="246">
        <f>Y101</f>
        <v>17529.724097898426</v>
      </c>
      <c r="Z36" s="246">
        <f t="shared" si="22"/>
        <v>20007.147447858428</v>
      </c>
      <c r="AA36" s="16">
        <f t="shared" si="22"/>
        <v>22407.065996942452</v>
      </c>
      <c r="AB36" s="16">
        <f t="shared" si="22"/>
        <v>26151.334547925166</v>
      </c>
      <c r="AC36" s="16">
        <f t="shared" si="22"/>
        <v>28477.89138499117</v>
      </c>
      <c r="AD36" s="16">
        <f t="shared" si="22"/>
        <v>30785.648387536901</v>
      </c>
      <c r="AF36" s="327"/>
      <c r="AK36" s="311"/>
    </row>
    <row r="37" spans="1:37" x14ac:dyDescent="0.3">
      <c r="D37" s="3" t="s">
        <v>148</v>
      </c>
      <c r="L37" s="16"/>
      <c r="M37" s="16"/>
      <c r="N37" s="15"/>
      <c r="O37" s="246">
        <f>O108</f>
        <v>7188.6371573736005</v>
      </c>
      <c r="P37" s="16">
        <f t="shared" ref="P37:AD37" si="23">P108</f>
        <v>1801.4937327294185</v>
      </c>
      <c r="Q37" s="16">
        <f t="shared" si="23"/>
        <v>1601.3277624261498</v>
      </c>
      <c r="R37" s="16">
        <f t="shared" si="23"/>
        <v>1668.0497525272394</v>
      </c>
      <c r="S37" s="16">
        <f t="shared" si="23"/>
        <v>1457.7529289583526</v>
      </c>
      <c r="T37" s="16">
        <f t="shared" si="23"/>
        <v>1921.583406354192</v>
      </c>
      <c r="U37" s="16">
        <f t="shared" si="23"/>
        <v>1391.4914321875183</v>
      </c>
      <c r="V37" s="16">
        <f t="shared" si="23"/>
        <v>1626.1181001633101</v>
      </c>
      <c r="W37" s="16">
        <f t="shared" si="23"/>
        <v>1626.1181001633101</v>
      </c>
      <c r="X37" s="15">
        <f t="shared" si="23"/>
        <v>1756.2075481763748</v>
      </c>
      <c r="Y37" s="246">
        <f>Y108</f>
        <v>14850.142763685866</v>
      </c>
      <c r="Z37" s="246">
        <f t="shared" si="23"/>
        <v>22038.779921059468</v>
      </c>
      <c r="AA37" s="16">
        <f t="shared" si="23"/>
        <v>22962.32748637961</v>
      </c>
      <c r="AB37" s="16">
        <f t="shared" si="23"/>
        <v>28224.671543874894</v>
      </c>
      <c r="AC37" s="16">
        <f t="shared" si="23"/>
        <v>34290.361367167272</v>
      </c>
      <c r="AD37" s="16">
        <f t="shared" si="23"/>
        <v>37351.864009569996</v>
      </c>
      <c r="AF37" s="327"/>
      <c r="AK37" s="311"/>
    </row>
    <row r="38" spans="1:37" x14ac:dyDescent="0.3">
      <c r="D38" s="3" t="s">
        <v>149</v>
      </c>
      <c r="L38" s="16"/>
      <c r="M38" s="16"/>
      <c r="N38" s="15"/>
      <c r="O38" s="246">
        <f>O115</f>
        <v>0</v>
      </c>
      <c r="P38" s="16">
        <f t="shared" ref="P38:AD38" si="24">P115</f>
        <v>214.76049554565697</v>
      </c>
      <c r="Q38" s="16">
        <f t="shared" si="24"/>
        <v>429.52099109131393</v>
      </c>
      <c r="R38" s="16">
        <f t="shared" si="24"/>
        <v>214.76049554565697</v>
      </c>
      <c r="S38" s="16">
        <f t="shared" si="24"/>
        <v>426.55657784011214</v>
      </c>
      <c r="T38" s="16">
        <f t="shared" si="24"/>
        <v>0</v>
      </c>
      <c r="U38" s="16">
        <f t="shared" si="24"/>
        <v>426.55657784011214</v>
      </c>
      <c r="V38" s="16">
        <f t="shared" si="24"/>
        <v>418.72363636363639</v>
      </c>
      <c r="W38" s="16">
        <f t="shared" si="24"/>
        <v>0</v>
      </c>
      <c r="X38" s="15">
        <f t="shared" si="24"/>
        <v>209.36181818181819</v>
      </c>
      <c r="Y38" s="246">
        <f>Y115</f>
        <v>2340.2405924083068</v>
      </c>
      <c r="Z38" s="246">
        <f t="shared" si="24"/>
        <v>2340.2405924083068</v>
      </c>
      <c r="AA38" s="16">
        <f t="shared" si="24"/>
        <v>2477.0841387199976</v>
      </c>
      <c r="AB38" s="16">
        <f t="shared" si="24"/>
        <v>2729.1729815377735</v>
      </c>
      <c r="AC38" s="16">
        <f t="shared" si="24"/>
        <v>5779.3140029872729</v>
      </c>
      <c r="AD38" s="16">
        <f t="shared" si="24"/>
        <v>6285.3279222577094</v>
      </c>
      <c r="AF38" s="327"/>
      <c r="AK38" s="311"/>
    </row>
    <row r="39" spans="1:37" x14ac:dyDescent="0.3">
      <c r="D39" s="3" t="s">
        <v>150</v>
      </c>
      <c r="L39" s="16"/>
      <c r="M39" s="16"/>
      <c r="N39" s="15"/>
      <c r="O39" s="246">
        <f>O122</f>
        <v>0</v>
      </c>
      <c r="P39" s="16">
        <f t="shared" ref="P39:AD39" si="25">P122</f>
        <v>0</v>
      </c>
      <c r="Q39" s="16">
        <f t="shared" si="25"/>
        <v>0</v>
      </c>
      <c r="R39" s="16">
        <f t="shared" si="25"/>
        <v>0</v>
      </c>
      <c r="S39" s="16">
        <f t="shared" si="25"/>
        <v>0</v>
      </c>
      <c r="T39" s="16">
        <f t="shared" si="25"/>
        <v>0</v>
      </c>
      <c r="U39" s="16">
        <f t="shared" si="25"/>
        <v>0</v>
      </c>
      <c r="V39" s="16">
        <f t="shared" si="25"/>
        <v>0</v>
      </c>
      <c r="W39" s="16">
        <f t="shared" si="25"/>
        <v>0</v>
      </c>
      <c r="X39" s="15">
        <f t="shared" si="25"/>
        <v>0</v>
      </c>
      <c r="Y39" s="246">
        <f>Y122</f>
        <v>0</v>
      </c>
      <c r="Z39" s="246">
        <f t="shared" si="25"/>
        <v>0</v>
      </c>
      <c r="AA39" s="16">
        <f t="shared" si="25"/>
        <v>0</v>
      </c>
      <c r="AB39" s="16">
        <f t="shared" si="25"/>
        <v>0</v>
      </c>
      <c r="AC39" s="16">
        <f t="shared" si="25"/>
        <v>0</v>
      </c>
      <c r="AD39" s="16">
        <f t="shared" si="25"/>
        <v>0</v>
      </c>
      <c r="AF39" s="327"/>
      <c r="AK39" s="311"/>
    </row>
    <row r="40" spans="1:37" x14ac:dyDescent="0.3">
      <c r="B40" s="92"/>
      <c r="C40" s="92"/>
      <c r="D40" s="92" t="s">
        <v>105</v>
      </c>
      <c r="E40" s="92"/>
      <c r="F40" s="92"/>
      <c r="G40" s="92"/>
      <c r="H40" s="92"/>
      <c r="I40" s="92"/>
      <c r="J40" s="92"/>
      <c r="K40" s="92"/>
      <c r="L40" s="130"/>
      <c r="M40" s="130"/>
      <c r="N40" s="131"/>
      <c r="O40" s="330">
        <f>O129</f>
        <v>2001.4708788575997</v>
      </c>
      <c r="P40" s="130">
        <f t="shared" ref="P40:AD40" si="26">P129</f>
        <v>45.470171856773234</v>
      </c>
      <c r="Q40" s="130">
        <f t="shared" si="26"/>
        <v>56.626930792369492</v>
      </c>
      <c r="R40" s="130">
        <f t="shared" si="26"/>
        <v>49.710786619045663</v>
      </c>
      <c r="S40" s="130">
        <f t="shared" si="26"/>
        <v>45.578335466026388</v>
      </c>
      <c r="T40" s="130">
        <f t="shared" si="26"/>
        <v>50.633356248709006</v>
      </c>
      <c r="U40" s="130">
        <f t="shared" si="26"/>
        <v>49.675895062162226</v>
      </c>
      <c r="V40" s="130">
        <f t="shared" si="26"/>
        <v>44.054030457201719</v>
      </c>
      <c r="W40" s="130">
        <f t="shared" si="26"/>
        <v>39.868335182400187</v>
      </c>
      <c r="X40" s="131">
        <f t="shared" si="26"/>
        <v>49.927800875021617</v>
      </c>
      <c r="Y40" s="330">
        <f>Y129</f>
        <v>431.54564255970945</v>
      </c>
      <c r="Z40" s="330">
        <f t="shared" si="26"/>
        <v>2433.0165214173089</v>
      </c>
      <c r="AA40" s="130">
        <f t="shared" si="26"/>
        <v>1913.8591048816827</v>
      </c>
      <c r="AB40" s="130">
        <f t="shared" si="26"/>
        <v>2284.2071629335137</v>
      </c>
      <c r="AC40" s="130">
        <f t="shared" si="26"/>
        <v>2741.9026702058291</v>
      </c>
      <c r="AD40" s="130">
        <f t="shared" si="26"/>
        <v>2976.9136127745851</v>
      </c>
      <c r="AF40" s="327"/>
      <c r="AK40" s="311"/>
    </row>
    <row r="41" spans="1:37" x14ac:dyDescent="0.3">
      <c r="L41" s="16"/>
      <c r="M41" s="16"/>
      <c r="N41" s="16"/>
      <c r="O41" s="16"/>
      <c r="P41" s="16"/>
      <c r="Q41" s="16"/>
      <c r="R41" s="16"/>
      <c r="S41" s="16"/>
      <c r="T41" s="16"/>
      <c r="U41" s="16"/>
      <c r="V41" s="16"/>
      <c r="W41" s="16"/>
      <c r="X41" s="16"/>
      <c r="Y41" s="16"/>
      <c r="Z41" s="16"/>
      <c r="AA41" s="16"/>
      <c r="AB41" s="16"/>
      <c r="AC41" s="16"/>
      <c r="AD41" s="16"/>
      <c r="AF41" s="327"/>
      <c r="AK41" s="311"/>
    </row>
    <row r="42" spans="1:37" x14ac:dyDescent="0.3">
      <c r="B42" s="8"/>
      <c r="C42" s="8"/>
      <c r="D42" s="8"/>
      <c r="E42" s="8"/>
      <c r="F42" s="8"/>
      <c r="G42" s="8"/>
      <c r="H42" s="8"/>
      <c r="I42" s="8"/>
      <c r="J42" s="8"/>
      <c r="K42" s="8"/>
      <c r="L42" s="9" t="s">
        <v>182</v>
      </c>
      <c r="M42" s="9" t="s">
        <v>183</v>
      </c>
      <c r="N42" s="10" t="s">
        <v>184</v>
      </c>
      <c r="O42" s="244" t="s">
        <v>4</v>
      </c>
      <c r="P42" s="9" t="s">
        <v>215</v>
      </c>
      <c r="Q42" s="9" t="s">
        <v>216</v>
      </c>
      <c r="R42" s="9" t="s">
        <v>217</v>
      </c>
      <c r="S42" s="9" t="s">
        <v>218</v>
      </c>
      <c r="T42" s="9" t="s">
        <v>219</v>
      </c>
      <c r="U42" s="9" t="s">
        <v>220</v>
      </c>
      <c r="V42" s="9" t="s">
        <v>221</v>
      </c>
      <c r="W42" s="9" t="s">
        <v>222</v>
      </c>
      <c r="X42" s="10" t="s">
        <v>223</v>
      </c>
      <c r="Y42" s="9" t="s">
        <v>294</v>
      </c>
      <c r="Z42" s="244" t="s">
        <v>197</v>
      </c>
      <c r="AA42" s="9" t="s">
        <v>198</v>
      </c>
      <c r="AB42" s="9" t="s">
        <v>199</v>
      </c>
      <c r="AC42" s="9" t="s">
        <v>200</v>
      </c>
      <c r="AD42" s="9" t="s">
        <v>201</v>
      </c>
      <c r="AE42" s="3"/>
      <c r="AF42" s="327"/>
      <c r="AK42" s="311"/>
    </row>
    <row r="43" spans="1:37" x14ac:dyDescent="0.3">
      <c r="A43" s="338" t="s">
        <v>559</v>
      </c>
      <c r="B43" s="11" t="s">
        <v>557</v>
      </c>
      <c r="L43" s="16"/>
      <c r="M43" s="16"/>
      <c r="N43" s="15"/>
      <c r="O43" s="326">
        <f>O44+O51+O58+O65+O79+O72</f>
        <v>2474.4387416112004</v>
      </c>
      <c r="P43" s="13">
        <f t="shared" ref="P43:AD43" si="27">P44+P51+P58+P65+P79+P72</f>
        <v>382.16229490125414</v>
      </c>
      <c r="Q43" s="13">
        <f t="shared" si="27"/>
        <v>382.16229490125414</v>
      </c>
      <c r="R43" s="13">
        <f t="shared" si="27"/>
        <v>329.90551884674204</v>
      </c>
      <c r="S43" s="13">
        <f t="shared" si="27"/>
        <v>-3.870000000000005</v>
      </c>
      <c r="T43" s="13">
        <f t="shared" si="27"/>
        <v>187.80059895441372</v>
      </c>
      <c r="U43" s="13">
        <f t="shared" si="27"/>
        <v>-3.870000000000005</v>
      </c>
      <c r="V43" s="13">
        <f t="shared" si="27"/>
        <v>-3.870000000000005</v>
      </c>
      <c r="W43" s="13">
        <f t="shared" si="27"/>
        <v>184.24522332642871</v>
      </c>
      <c r="X43" s="124">
        <f t="shared" si="27"/>
        <v>-3.870000000000005</v>
      </c>
      <c r="Y43" s="13">
        <f t="shared" si="27"/>
        <v>1450.7959309300927</v>
      </c>
      <c r="Z43" s="326">
        <f t="shared" si="27"/>
        <v>3925.2346725412935</v>
      </c>
      <c r="AA43" s="13">
        <f t="shared" si="27"/>
        <v>3628.2030785800835</v>
      </c>
      <c r="AB43" s="13">
        <f t="shared" si="27"/>
        <v>3876.537375758081</v>
      </c>
      <c r="AC43" s="13">
        <f t="shared" si="27"/>
        <v>5170.7584291323465</v>
      </c>
      <c r="AD43" s="13">
        <f t="shared" si="27"/>
        <v>5620.4463671742069</v>
      </c>
      <c r="AE43" s="3"/>
      <c r="AF43" s="327"/>
      <c r="AG43" s="322">
        <f>IF($E43="판매수량",$C41,)</f>
        <v>0</v>
      </c>
      <c r="AK43" s="311"/>
    </row>
    <row r="44" spans="1:37" x14ac:dyDescent="0.3">
      <c r="A44" s="338" t="s">
        <v>559</v>
      </c>
      <c r="B44" s="11"/>
      <c r="C44" s="3" t="s">
        <v>146</v>
      </c>
      <c r="L44" s="16"/>
      <c r="M44" s="16"/>
      <c r="N44" s="15"/>
      <c r="O44" s="246">
        <v>101.2630095192</v>
      </c>
      <c r="P44" s="16">
        <f t="shared" ref="P44:X44" si="28">P45*P50/10^6</f>
        <v>0</v>
      </c>
      <c r="Q44" s="16">
        <f t="shared" si="28"/>
        <v>0</v>
      </c>
      <c r="R44" s="16">
        <f t="shared" si="28"/>
        <v>165.91568903118036</v>
      </c>
      <c r="S44" s="16">
        <f t="shared" si="28"/>
        <v>0</v>
      </c>
      <c r="T44" s="16">
        <f t="shared" si="28"/>
        <v>0</v>
      </c>
      <c r="U44" s="16">
        <f t="shared" si="28"/>
        <v>0</v>
      </c>
      <c r="V44" s="16">
        <f t="shared" si="28"/>
        <v>0</v>
      </c>
      <c r="W44" s="16">
        <f t="shared" si="28"/>
        <v>0</v>
      </c>
      <c r="X44" s="15">
        <f t="shared" si="28"/>
        <v>0</v>
      </c>
      <c r="Y44" s="16">
        <f>SUM(P44:X44)</f>
        <v>165.91568903118036</v>
      </c>
      <c r="Z44" s="246">
        <f>SUM(O44,Y44)</f>
        <v>267.17869855038037</v>
      </c>
      <c r="AA44" s="16">
        <f t="shared" ref="AA44:AD44" si="29">AA45*AA50/10^6</f>
        <v>255.29300427261413</v>
      </c>
      <c r="AB44" s="16">
        <f t="shared" si="29"/>
        <v>259.38080926077595</v>
      </c>
      <c r="AC44" s="16">
        <f t="shared" si="29"/>
        <v>396.28863664617359</v>
      </c>
      <c r="AD44" s="16">
        <f t="shared" si="29"/>
        <v>400.86510493438135</v>
      </c>
      <c r="AE44" s="3"/>
      <c r="AF44" s="327"/>
      <c r="AG44" s="322">
        <f t="shared" ref="AG44:AG107" si="30">IF($E44="판매수량",$C42,)</f>
        <v>0</v>
      </c>
      <c r="AK44" s="311"/>
    </row>
    <row r="45" spans="1:37" x14ac:dyDescent="0.3">
      <c r="A45" s="338" t="s">
        <v>559</v>
      </c>
      <c r="B45" s="11"/>
      <c r="D45" s="3" t="s">
        <v>560</v>
      </c>
      <c r="L45" s="16"/>
      <c r="M45" s="16"/>
      <c r="N45" s="15"/>
      <c r="O45" s="246">
        <v>548672.56999999995</v>
      </c>
      <c r="P45" s="16">
        <f t="shared" ref="P45:X45" si="31">P46*P49</f>
        <v>0</v>
      </c>
      <c r="Q45" s="16">
        <f t="shared" si="31"/>
        <v>0</v>
      </c>
      <c r="R45" s="16">
        <f t="shared" si="31"/>
        <v>910849.99999999988</v>
      </c>
      <c r="S45" s="16">
        <f t="shared" si="31"/>
        <v>0</v>
      </c>
      <c r="T45" s="16">
        <f t="shared" si="31"/>
        <v>0</v>
      </c>
      <c r="U45" s="16">
        <f t="shared" si="31"/>
        <v>0</v>
      </c>
      <c r="V45" s="16">
        <f t="shared" si="31"/>
        <v>0</v>
      </c>
      <c r="W45" s="16">
        <f t="shared" si="31"/>
        <v>0</v>
      </c>
      <c r="X45" s="15">
        <f t="shared" si="31"/>
        <v>0</v>
      </c>
      <c r="Y45" s="16">
        <f>SUM(P45:X45)</f>
        <v>910849.99999999988</v>
      </c>
      <c r="Z45" s="246">
        <f>Y45+O45</f>
        <v>1459522.5699999998</v>
      </c>
      <c r="AA45" s="16">
        <f t="shared" ref="AA45:AD45" si="32">AA46*AA49</f>
        <v>1467167.3396592827</v>
      </c>
      <c r="AB45" s="16">
        <f t="shared" si="32"/>
        <v>1476256.2284437572</v>
      </c>
      <c r="AC45" s="16">
        <f t="shared" si="32"/>
        <v>2228772.4957712339</v>
      </c>
      <c r="AD45" s="16">
        <f t="shared" si="32"/>
        <v>2243455.4511302877</v>
      </c>
      <c r="AE45" s="3"/>
      <c r="AF45" s="327"/>
      <c r="AG45" s="322">
        <f t="shared" si="30"/>
        <v>0</v>
      </c>
      <c r="AK45" s="311"/>
    </row>
    <row r="46" spans="1:37" x14ac:dyDescent="0.3">
      <c r="A46" s="338" t="s">
        <v>559</v>
      </c>
      <c r="B46" s="11"/>
      <c r="E46" s="3" t="s">
        <v>324</v>
      </c>
      <c r="L46" s="16"/>
      <c r="M46" s="16"/>
      <c r="N46" s="15"/>
      <c r="O46" s="246">
        <v>1</v>
      </c>
      <c r="P46" s="16">
        <f>SUMIFS(INDEX(판매수량!$N$2:$V$82,0,MATCH(P$42,판매수량!$N$2:$V$2,0)),판매수량!$A$2:$A$82,$A46,판매수량!$B$2:$B$82,$AG46)</f>
        <v>0</v>
      </c>
      <c r="Q46" s="16">
        <f>SUMIFS(INDEX(판매수량!$N$2:$V$82,0,MATCH(Q$42,판매수량!$N$2:$V$2,0)),판매수량!$A$2:$A$82,$A46,판매수량!$B$2:$B$82,$AG46)</f>
        <v>0</v>
      </c>
      <c r="R46" s="16">
        <f>SUMIFS(INDEX(판매수량!$N$2:$V$82,0,MATCH(R$42,판매수량!$N$2:$V$2,0)),판매수량!$A$2:$A$82,$A46,판매수량!$B$2:$B$82,$AG46)</f>
        <v>1</v>
      </c>
      <c r="S46" s="16">
        <f>SUMIFS(INDEX(판매수량!$N$2:$V$82,0,MATCH(S$42,판매수량!$N$2:$V$2,0)),판매수량!$A$2:$A$82,$A46,판매수량!$B$2:$B$82,$AG46)</f>
        <v>0</v>
      </c>
      <c r="T46" s="16">
        <f>SUMIFS(INDEX(판매수량!$N$2:$V$82,0,MATCH(T$42,판매수량!$N$2:$V$2,0)),판매수량!$A$2:$A$82,$A46,판매수량!$B$2:$B$82,$AG46)</f>
        <v>0</v>
      </c>
      <c r="U46" s="16">
        <f>SUMIFS(INDEX(판매수량!$N$2:$V$82,0,MATCH(U$42,판매수량!$N$2:$V$2,0)),판매수량!$A$2:$A$82,$A46,판매수량!$B$2:$B$82,$AG46)</f>
        <v>0</v>
      </c>
      <c r="V46" s="16">
        <f>SUMIFS(INDEX(판매수량!$N$2:$V$82,0,MATCH(V$42,판매수량!$N$2:$V$2,0)),판매수량!$A$2:$A$82,$A46,판매수량!$B$2:$B$82,$AG46)</f>
        <v>0</v>
      </c>
      <c r="W46" s="16">
        <f>SUMIFS(INDEX(판매수량!$N$2:$V$82,0,MATCH(W$42,판매수량!$N$2:$V$2,0)),판매수량!$A$2:$A$82,$A46,판매수량!$B$2:$B$82,$AG46)</f>
        <v>0</v>
      </c>
      <c r="X46" s="15">
        <f>SUMIFS(INDEX(판매수량!$N$2:$V$82,0,MATCH(X$42,판매수량!$N$2:$V$2,0)),판매수량!$A$2:$A$82,$A46,판매수량!$B$2:$B$82,$AG46)</f>
        <v>0</v>
      </c>
      <c r="Y46" s="16">
        <f>SUM(P46:X46)</f>
        <v>1</v>
      </c>
      <c r="Z46" s="246">
        <f>SUM(O46,Y46)</f>
        <v>2</v>
      </c>
      <c r="AA46" s="16">
        <f>ROUND(AA47*AA48,)</f>
        <v>2</v>
      </c>
      <c r="AB46" s="16">
        <f>ROUND(AB47*AB48,)</f>
        <v>2</v>
      </c>
      <c r="AC46" s="16">
        <f>ROUND(AC47*AC48,)</f>
        <v>3</v>
      </c>
      <c r="AD46" s="16">
        <f>ROUND(AD47*AD48,)</f>
        <v>3</v>
      </c>
      <c r="AE46" s="3"/>
      <c r="AF46" s="327"/>
      <c r="AG46" s="322" t="str">
        <f t="shared" si="30"/>
        <v>5축</v>
      </c>
      <c r="AK46" s="311"/>
    </row>
    <row r="47" spans="1:37" x14ac:dyDescent="0.3">
      <c r="A47" s="338" t="s">
        <v>559</v>
      </c>
      <c r="B47" s="11"/>
      <c r="F47" s="3" t="s">
        <v>464</v>
      </c>
      <c r="L47" s="16"/>
      <c r="M47" s="16"/>
      <c r="N47" s="15"/>
      <c r="O47" s="306"/>
      <c r="P47" s="119"/>
      <c r="Q47" s="119"/>
      <c r="R47" s="119"/>
      <c r="S47" s="119"/>
      <c r="T47" s="119"/>
      <c r="U47" s="119"/>
      <c r="V47" s="119"/>
      <c r="W47" s="119"/>
      <c r="X47" s="294"/>
      <c r="Y47" s="119"/>
      <c r="Z47" s="246">
        <f>'Key Assumption'!AA108</f>
        <v>1</v>
      </c>
      <c r="AA47" s="16">
        <f>'Key Assumption'!AB108</f>
        <v>1</v>
      </c>
      <c r="AB47" s="16">
        <f>'Key Assumption'!AC108</f>
        <v>1</v>
      </c>
      <c r="AC47" s="16">
        <f>'Key Assumption'!AD108</f>
        <v>1</v>
      </c>
      <c r="AD47" s="16">
        <f>'Key Assumption'!AE108</f>
        <v>1</v>
      </c>
      <c r="AE47" s="3"/>
      <c r="AF47" s="327"/>
      <c r="AG47" s="322">
        <f t="shared" si="30"/>
        <v>0</v>
      </c>
      <c r="AK47" s="311"/>
    </row>
    <row r="48" spans="1:37" x14ac:dyDescent="0.3">
      <c r="A48" s="338" t="s">
        <v>559</v>
      </c>
      <c r="B48" s="11"/>
      <c r="F48" s="3" t="s">
        <v>465</v>
      </c>
      <c r="L48" s="16"/>
      <c r="M48" s="16"/>
      <c r="N48" s="15"/>
      <c r="O48" s="306"/>
      <c r="P48" s="119"/>
      <c r="Q48" s="119"/>
      <c r="R48" s="119"/>
      <c r="S48" s="119"/>
      <c r="T48" s="119"/>
      <c r="U48" s="119"/>
      <c r="V48" s="119"/>
      <c r="W48" s="119"/>
      <c r="X48" s="294"/>
      <c r="Y48" s="119"/>
      <c r="Z48" s="246">
        <f>IFERROR(Z46/Z47,)</f>
        <v>2</v>
      </c>
      <c r="AA48" s="16">
        <f>'Key Assumption'!AB220</f>
        <v>2.1709544337829696</v>
      </c>
      <c r="AB48" s="16">
        <f>'Key Assumption'!AC220</f>
        <v>2.3532193019051593</v>
      </c>
      <c r="AC48" s="16">
        <f>'Key Assumption'!AD220</f>
        <v>2.5440133500208595</v>
      </c>
      <c r="AD48" s="16">
        <f>'Key Assumption'!AE220</f>
        <v>2.745746998563019</v>
      </c>
      <c r="AE48" s="3"/>
      <c r="AF48" s="327"/>
      <c r="AG48" s="322">
        <f t="shared" si="30"/>
        <v>0</v>
      </c>
      <c r="AK48" s="311"/>
    </row>
    <row r="49" spans="1:37" x14ac:dyDescent="0.3">
      <c r="A49" s="338" t="s">
        <v>559</v>
      </c>
      <c r="B49" s="11"/>
      <c r="E49" s="3" t="s">
        <v>561</v>
      </c>
      <c r="I49" s="291" t="s">
        <v>279</v>
      </c>
      <c r="L49" s="16"/>
      <c r="M49" s="16"/>
      <c r="N49" s="15"/>
      <c r="O49" s="246">
        <f>O45/O46</f>
        <v>548672.56999999995</v>
      </c>
      <c r="P49" s="16">
        <f>'Key Assumption'!R357</f>
        <v>910849.99999999988</v>
      </c>
      <c r="Q49" s="16">
        <f>'Key Assumption'!S357</f>
        <v>910849.99999999988</v>
      </c>
      <c r="R49" s="16">
        <f>'Key Assumption'!T357</f>
        <v>910849.99999999988</v>
      </c>
      <c r="S49" s="16">
        <f>'Key Assumption'!U357</f>
        <v>910849.99999999988</v>
      </c>
      <c r="T49" s="16">
        <f>'Key Assumption'!V357</f>
        <v>910849.99999999988</v>
      </c>
      <c r="U49" s="16">
        <f>'Key Assumption'!W357</f>
        <v>910849.99999999988</v>
      </c>
      <c r="V49" s="16">
        <f>'Key Assumption'!X357</f>
        <v>910849.99999999988</v>
      </c>
      <c r="W49" s="16">
        <f>'Key Assumption'!Y357</f>
        <v>910849.99999999988</v>
      </c>
      <c r="X49" s="15">
        <f>'Key Assumption'!Z357</f>
        <v>910849.99999999988</v>
      </c>
      <c r="Y49" s="16">
        <f>IFERROR(Y45/Y46,)</f>
        <v>910849.99999999988</v>
      </c>
      <c r="Z49" s="246">
        <f>Z45/Z46</f>
        <v>729761.28499999992</v>
      </c>
      <c r="AA49" s="16">
        <f>'Key Assumption'!AB357</f>
        <v>733583.66982964135</v>
      </c>
      <c r="AB49" s="16">
        <f>'Key Assumption'!AC357</f>
        <v>738128.11422187858</v>
      </c>
      <c r="AC49" s="16">
        <f>'Key Assumption'!AD357</f>
        <v>742924.1652570779</v>
      </c>
      <c r="AD49" s="16">
        <f>'Key Assumption'!AE357</f>
        <v>747818.48371009587</v>
      </c>
      <c r="AF49" s="327"/>
      <c r="AG49" s="322">
        <f t="shared" si="30"/>
        <v>0</v>
      </c>
      <c r="AK49" s="311"/>
    </row>
    <row r="50" spans="1:37" x14ac:dyDescent="0.3">
      <c r="A50" s="338" t="s">
        <v>559</v>
      </c>
      <c r="B50" s="11"/>
      <c r="D50" s="3" t="s">
        <v>333</v>
      </c>
      <c r="I50" s="291"/>
      <c r="L50" s="16"/>
      <c r="M50" s="16"/>
      <c r="N50" s="15"/>
      <c r="O50" s="246">
        <f>O44/O45*10^6</f>
        <v>184.56</v>
      </c>
      <c r="P50" s="16">
        <f t="shared" ref="P50:X50" si="33">P$293</f>
        <v>182.15478841870822</v>
      </c>
      <c r="Q50" s="16">
        <f t="shared" si="33"/>
        <v>182.15478841870822</v>
      </c>
      <c r="R50" s="16">
        <f t="shared" si="33"/>
        <v>182.15478841870822</v>
      </c>
      <c r="S50" s="16">
        <f t="shared" si="33"/>
        <v>180.89761570827488</v>
      </c>
      <c r="T50" s="16">
        <f t="shared" si="33"/>
        <v>180.89761570827488</v>
      </c>
      <c r="U50" s="16">
        <f t="shared" si="33"/>
        <v>180.89761570827488</v>
      </c>
      <c r="V50" s="16">
        <f t="shared" si="33"/>
        <v>177.57575757575759</v>
      </c>
      <c r="W50" s="16">
        <f t="shared" si="33"/>
        <v>177.57575757575759</v>
      </c>
      <c r="X50" s="15">
        <f t="shared" si="33"/>
        <v>177.57575757575759</v>
      </c>
      <c r="Y50" s="16">
        <f>IFERROR(Y44/Y45,)*10^6</f>
        <v>182.15478841870822</v>
      </c>
      <c r="Z50" s="246">
        <f>Z44/Z45*10^6</f>
        <v>183.05897013321311</v>
      </c>
      <c r="AA50" s="16">
        <f>AA$293</f>
        <v>174.00401261106336</v>
      </c>
      <c r="AB50" s="16">
        <f>AB$293</f>
        <v>175.7017543859649</v>
      </c>
      <c r="AC50" s="16">
        <f>AC$293</f>
        <v>177.80578206078576</v>
      </c>
      <c r="AD50" s="16">
        <f>AD$293</f>
        <v>178.68199911543564</v>
      </c>
      <c r="AF50" s="327"/>
      <c r="AG50" s="322">
        <f t="shared" si="30"/>
        <v>0</v>
      </c>
      <c r="AK50" s="311"/>
    </row>
    <row r="51" spans="1:37" x14ac:dyDescent="0.3">
      <c r="A51" s="338" t="s">
        <v>559</v>
      </c>
      <c r="C51" s="3" t="s">
        <v>147</v>
      </c>
      <c r="L51" s="16"/>
      <c r="M51" s="16"/>
      <c r="N51" s="15"/>
      <c r="O51" s="246">
        <v>189.24619064400002</v>
      </c>
      <c r="P51" s="16">
        <f t="shared" ref="P51:X51" si="34">P52*P57/10^6</f>
        <v>0</v>
      </c>
      <c r="Q51" s="16">
        <f t="shared" si="34"/>
        <v>0</v>
      </c>
      <c r="R51" s="16">
        <f t="shared" si="34"/>
        <v>0</v>
      </c>
      <c r="S51" s="16">
        <f t="shared" si="34"/>
        <v>0</v>
      </c>
      <c r="T51" s="16">
        <f t="shared" si="34"/>
        <v>0</v>
      </c>
      <c r="U51" s="16">
        <f t="shared" si="34"/>
        <v>0</v>
      </c>
      <c r="V51" s="16">
        <f t="shared" si="34"/>
        <v>0</v>
      </c>
      <c r="W51" s="16">
        <f t="shared" si="34"/>
        <v>0</v>
      </c>
      <c r="X51" s="15">
        <f t="shared" si="34"/>
        <v>0</v>
      </c>
      <c r="Y51" s="16">
        <f>SUM(P51:X51)</f>
        <v>0</v>
      </c>
      <c r="Z51" s="246">
        <f>SUM(O51,Y51)</f>
        <v>189.24619064400002</v>
      </c>
      <c r="AA51" s="16">
        <f t="shared" ref="AA51:AD51" si="35">AA52*AA57/10^6</f>
        <v>179.37693144217891</v>
      </c>
      <c r="AB51" s="16">
        <f t="shared" si="35"/>
        <v>182.27992372547706</v>
      </c>
      <c r="AC51" s="16">
        <f t="shared" si="35"/>
        <v>185.6902560008854</v>
      </c>
      <c r="AD51" s="16">
        <f t="shared" si="35"/>
        <v>281.79070037814739</v>
      </c>
      <c r="AF51" s="327"/>
      <c r="AG51" s="322">
        <f t="shared" si="30"/>
        <v>0</v>
      </c>
      <c r="AK51" s="311"/>
    </row>
    <row r="52" spans="1:37" x14ac:dyDescent="0.3">
      <c r="A52" s="338" t="s">
        <v>559</v>
      </c>
      <c r="D52" s="3" t="s">
        <v>560</v>
      </c>
      <c r="L52" s="16"/>
      <c r="M52" s="16"/>
      <c r="N52" s="15"/>
      <c r="O52" s="246">
        <v>1025391.1499999999</v>
      </c>
      <c r="P52" s="16">
        <f t="shared" ref="P52:X52" si="36">P53*P56</f>
        <v>0</v>
      </c>
      <c r="Q52" s="16">
        <f t="shared" si="36"/>
        <v>0</v>
      </c>
      <c r="R52" s="16">
        <f t="shared" si="36"/>
        <v>0</v>
      </c>
      <c r="S52" s="16">
        <f t="shared" si="36"/>
        <v>0</v>
      </c>
      <c r="T52" s="16">
        <f t="shared" si="36"/>
        <v>0</v>
      </c>
      <c r="U52" s="16">
        <f t="shared" si="36"/>
        <v>0</v>
      </c>
      <c r="V52" s="16">
        <f t="shared" si="36"/>
        <v>0</v>
      </c>
      <c r="W52" s="16">
        <f t="shared" si="36"/>
        <v>0</v>
      </c>
      <c r="X52" s="15">
        <f t="shared" si="36"/>
        <v>0</v>
      </c>
      <c r="Y52" s="16">
        <f>SUM(P52:X52)</f>
        <v>0</v>
      </c>
      <c r="Z52" s="246">
        <f>Y52+O52</f>
        <v>1025391.1499999999</v>
      </c>
      <c r="AA52" s="16">
        <f t="shared" ref="AA52:AD52" si="37">AA53*AA56</f>
        <v>1030878.1317769102</v>
      </c>
      <c r="AB52" s="16">
        <f t="shared" si="37"/>
        <v>1037439.4061260304</v>
      </c>
      <c r="AC52" s="16">
        <f t="shared" si="37"/>
        <v>1044343.1807937732</v>
      </c>
      <c r="AD52" s="16">
        <f t="shared" si="37"/>
        <v>1577051.4196905722</v>
      </c>
      <c r="AF52" s="327"/>
      <c r="AG52" s="322">
        <f t="shared" si="30"/>
        <v>0</v>
      </c>
      <c r="AK52" s="311"/>
    </row>
    <row r="53" spans="1:37" x14ac:dyDescent="0.3">
      <c r="A53" s="338" t="s">
        <v>559</v>
      </c>
      <c r="E53" s="3" t="s">
        <v>324</v>
      </c>
      <c r="L53" s="16"/>
      <c r="M53" s="16"/>
      <c r="N53" s="15"/>
      <c r="O53" s="246">
        <v>2</v>
      </c>
      <c r="P53" s="16">
        <f>SUMIFS(INDEX(판매수량!$N$2:$V$82,0,MATCH(P$42,판매수량!$N$2:$V$2,0)),판매수량!$A$2:$A$82,$A53,판매수량!$B$2:$B$82,$AG53)</f>
        <v>0</v>
      </c>
      <c r="Q53" s="16">
        <f>SUMIFS(INDEX(판매수량!$N$2:$V$82,0,MATCH(Q$42,판매수량!$N$2:$V$2,0)),판매수량!$A$2:$A$82,$A53,판매수량!$B$2:$B$82,$AG53)</f>
        <v>0</v>
      </c>
      <c r="R53" s="16">
        <f>SUMIFS(INDEX(판매수량!$N$2:$V$82,0,MATCH(R$42,판매수량!$N$2:$V$2,0)),판매수량!$A$2:$A$82,$A53,판매수량!$B$2:$B$82,$AG53)</f>
        <v>0</v>
      </c>
      <c r="S53" s="16">
        <f>SUMIFS(INDEX(판매수량!$N$2:$V$82,0,MATCH(S$42,판매수량!$N$2:$V$2,0)),판매수량!$A$2:$A$82,$A53,판매수량!$B$2:$B$82,$AG53)</f>
        <v>0</v>
      </c>
      <c r="T53" s="16">
        <f>SUMIFS(INDEX(판매수량!$N$2:$V$82,0,MATCH(T$42,판매수량!$N$2:$V$2,0)),판매수량!$A$2:$A$82,$A53,판매수량!$B$2:$B$82,$AG53)</f>
        <v>0</v>
      </c>
      <c r="U53" s="16">
        <f>SUMIFS(INDEX(판매수량!$N$2:$V$82,0,MATCH(U$42,판매수량!$N$2:$V$2,0)),판매수량!$A$2:$A$82,$A53,판매수량!$B$2:$B$82,$AG53)</f>
        <v>0</v>
      </c>
      <c r="V53" s="16">
        <f>SUMIFS(INDEX(판매수량!$N$2:$V$82,0,MATCH(V$42,판매수량!$N$2:$V$2,0)),판매수량!$A$2:$A$82,$A53,판매수량!$B$2:$B$82,$AG53)</f>
        <v>0</v>
      </c>
      <c r="W53" s="16">
        <f>SUMIFS(INDEX(판매수량!$N$2:$V$82,0,MATCH(W$42,판매수량!$N$2:$V$2,0)),판매수량!$A$2:$A$82,$A53,판매수량!$B$2:$B$82,$AG53)</f>
        <v>0</v>
      </c>
      <c r="X53" s="15">
        <f>SUMIFS(INDEX(판매수량!$N$2:$V$82,0,MATCH(X$42,판매수량!$N$2:$V$2,0)),판매수량!$A$2:$A$82,$A53,판매수량!$B$2:$B$82,$AG53)</f>
        <v>0</v>
      </c>
      <c r="Y53" s="16">
        <f>SUM(P53:X53)</f>
        <v>0</v>
      </c>
      <c r="Z53" s="246">
        <f>SUM(O53,Y53)</f>
        <v>2</v>
      </c>
      <c r="AA53" s="16">
        <f>ROUND(AA54*AA55,)</f>
        <v>2</v>
      </c>
      <c r="AB53" s="16">
        <f>ROUND(AB54*AB55,)</f>
        <v>2</v>
      </c>
      <c r="AC53" s="16">
        <f>ROUND(AC54*AC55,)</f>
        <v>2</v>
      </c>
      <c r="AD53" s="16">
        <f>ROUND(AD54*AD55,)</f>
        <v>3</v>
      </c>
      <c r="AF53" s="327"/>
      <c r="AG53" s="322" t="str">
        <f t="shared" si="30"/>
        <v>선반</v>
      </c>
      <c r="AK53" s="311"/>
    </row>
    <row r="54" spans="1:37" x14ac:dyDescent="0.3">
      <c r="A54" s="338" t="s">
        <v>559</v>
      </c>
      <c r="F54" s="3" t="s">
        <v>464</v>
      </c>
      <c r="L54" s="16"/>
      <c r="M54" s="16"/>
      <c r="N54" s="15"/>
      <c r="O54" s="306"/>
      <c r="P54" s="119"/>
      <c r="Q54" s="119"/>
      <c r="R54" s="119"/>
      <c r="S54" s="119"/>
      <c r="T54" s="119"/>
      <c r="U54" s="119"/>
      <c r="V54" s="119"/>
      <c r="W54" s="119"/>
      <c r="X54" s="294"/>
      <c r="Y54" s="119"/>
      <c r="Z54" s="246">
        <f>'Key Assumption'!AA109</f>
        <v>1</v>
      </c>
      <c r="AA54" s="16">
        <f>'Key Assumption'!AB109</f>
        <v>1</v>
      </c>
      <c r="AB54" s="16">
        <f>'Key Assumption'!AC109</f>
        <v>1</v>
      </c>
      <c r="AC54" s="16">
        <f>'Key Assumption'!AD109</f>
        <v>1</v>
      </c>
      <c r="AD54" s="16">
        <f>'Key Assumption'!AE109</f>
        <v>1</v>
      </c>
      <c r="AF54" s="327"/>
      <c r="AG54" s="322">
        <f t="shared" si="30"/>
        <v>0</v>
      </c>
      <c r="AK54" s="311"/>
    </row>
    <row r="55" spans="1:37" x14ac:dyDescent="0.3">
      <c r="A55" s="338" t="s">
        <v>559</v>
      </c>
      <c r="F55" s="3" t="s">
        <v>465</v>
      </c>
      <c r="L55" s="16"/>
      <c r="M55" s="16"/>
      <c r="N55" s="15"/>
      <c r="O55" s="306"/>
      <c r="P55" s="119"/>
      <c r="Q55" s="119"/>
      <c r="R55" s="119"/>
      <c r="S55" s="119"/>
      <c r="T55" s="119"/>
      <c r="U55" s="119"/>
      <c r="V55" s="119"/>
      <c r="W55" s="119"/>
      <c r="X55" s="294"/>
      <c r="Y55" s="119"/>
      <c r="Z55" s="246">
        <f>IFERROR(Z53/Z54,)</f>
        <v>2</v>
      </c>
      <c r="AA55" s="16">
        <f>'Key Assumption'!AB221</f>
        <v>2.1445253181127928</v>
      </c>
      <c r="AB55" s="16">
        <f>'Key Assumption'!AC221</f>
        <v>2.2940426943149888</v>
      </c>
      <c r="AC55" s="16">
        <f>'Key Assumption'!AD221</f>
        <v>2.4482030336353007</v>
      </c>
      <c r="AD55" s="16">
        <f>'Key Assumption'!AE221</f>
        <v>2.6169206332582782</v>
      </c>
      <c r="AF55" s="327"/>
      <c r="AG55" s="322">
        <f t="shared" si="30"/>
        <v>0</v>
      </c>
      <c r="AK55" s="311"/>
    </row>
    <row r="56" spans="1:37" x14ac:dyDescent="0.3">
      <c r="A56" s="338" t="s">
        <v>559</v>
      </c>
      <c r="E56" s="3" t="s">
        <v>561</v>
      </c>
      <c r="I56" s="291" t="s">
        <v>279</v>
      </c>
      <c r="L56" s="16"/>
      <c r="M56" s="16"/>
      <c r="N56" s="15"/>
      <c r="O56" s="246">
        <f>O52/O53</f>
        <v>512695.57499999995</v>
      </c>
      <c r="P56" s="16">
        <f>'Key Assumption'!R358</f>
        <v>1259100</v>
      </c>
      <c r="Q56" s="16">
        <f>'Key Assumption'!S358</f>
        <v>1259100</v>
      </c>
      <c r="R56" s="16">
        <f>'Key Assumption'!T358</f>
        <v>1259100</v>
      </c>
      <c r="S56" s="16">
        <f>'Key Assumption'!U358</f>
        <v>1259100</v>
      </c>
      <c r="T56" s="16">
        <f>'Key Assumption'!V358</f>
        <v>1259100</v>
      </c>
      <c r="U56" s="16">
        <f>'Key Assumption'!W358</f>
        <v>1259100</v>
      </c>
      <c r="V56" s="16">
        <f>'Key Assumption'!X358</f>
        <v>1259100</v>
      </c>
      <c r="W56" s="16">
        <f>'Key Assumption'!Y358</f>
        <v>1259100</v>
      </c>
      <c r="X56" s="15">
        <f>'Key Assumption'!Z358</f>
        <v>1259100</v>
      </c>
      <c r="Y56" s="16">
        <f>IFERROR(Y52/Y53,)</f>
        <v>0</v>
      </c>
      <c r="Z56" s="246">
        <f>IFERROR(Z52/Z53,)</f>
        <v>512695.57499999995</v>
      </c>
      <c r="AA56" s="16">
        <f>'Key Assumption'!AB358</f>
        <v>515439.06588845508</v>
      </c>
      <c r="AB56" s="16">
        <f>'Key Assumption'!AC358</f>
        <v>518719.70306301519</v>
      </c>
      <c r="AC56" s="16">
        <f>'Key Assumption'!AD358</f>
        <v>522171.59039688658</v>
      </c>
      <c r="AD56" s="16">
        <f>'Key Assumption'!AE358</f>
        <v>525683.80656352406</v>
      </c>
      <c r="AF56" s="327"/>
      <c r="AG56" s="322">
        <f t="shared" si="30"/>
        <v>0</v>
      </c>
      <c r="AK56" s="311"/>
    </row>
    <row r="57" spans="1:37" x14ac:dyDescent="0.3">
      <c r="A57" s="338" t="s">
        <v>559</v>
      </c>
      <c r="D57" s="3" t="s">
        <v>333</v>
      </c>
      <c r="I57" s="291"/>
      <c r="L57" s="16"/>
      <c r="M57" s="16"/>
      <c r="N57" s="15"/>
      <c r="O57" s="246">
        <f>O51/O52*10^6</f>
        <v>184.56000000000003</v>
      </c>
      <c r="P57" s="16">
        <f t="shared" ref="P57:X57" si="38">P$293</f>
        <v>182.15478841870822</v>
      </c>
      <c r="Q57" s="16">
        <f t="shared" si="38"/>
        <v>182.15478841870822</v>
      </c>
      <c r="R57" s="16">
        <f t="shared" si="38"/>
        <v>182.15478841870822</v>
      </c>
      <c r="S57" s="16">
        <f t="shared" si="38"/>
        <v>180.89761570827488</v>
      </c>
      <c r="T57" s="16">
        <f t="shared" si="38"/>
        <v>180.89761570827488</v>
      </c>
      <c r="U57" s="16">
        <f t="shared" si="38"/>
        <v>180.89761570827488</v>
      </c>
      <c r="V57" s="16">
        <f t="shared" si="38"/>
        <v>177.57575757575759</v>
      </c>
      <c r="W57" s="16">
        <f t="shared" si="38"/>
        <v>177.57575757575759</v>
      </c>
      <c r="X57" s="15">
        <f t="shared" si="38"/>
        <v>177.57575757575759</v>
      </c>
      <c r="Y57" s="16">
        <f>IFERROR(Y51/Y52,)*10^6</f>
        <v>0</v>
      </c>
      <c r="Z57" s="246">
        <f>IFERROR(Z51/Z52,)*10^6</f>
        <v>184.56000000000003</v>
      </c>
      <c r="AA57" s="16">
        <f>AA$293</f>
        <v>174.00401261106336</v>
      </c>
      <c r="AB57" s="16">
        <f>AB$293</f>
        <v>175.7017543859649</v>
      </c>
      <c r="AC57" s="16">
        <f>AC$293</f>
        <v>177.80578206078576</v>
      </c>
      <c r="AD57" s="16">
        <f>AD$293</f>
        <v>178.68199911543564</v>
      </c>
      <c r="AF57" s="327"/>
      <c r="AG57" s="322">
        <f t="shared" si="30"/>
        <v>0</v>
      </c>
      <c r="AK57" s="311"/>
    </row>
    <row r="58" spans="1:37" x14ac:dyDescent="0.3">
      <c r="A58" s="338" t="s">
        <v>559</v>
      </c>
      <c r="C58" s="3" t="s">
        <v>148</v>
      </c>
      <c r="L58" s="16"/>
      <c r="M58" s="16"/>
      <c r="N58" s="15"/>
      <c r="O58" s="246">
        <v>738.60079818960014</v>
      </c>
      <c r="P58" s="16">
        <f t="shared" ref="P58:X58" si="39">P59*P64/10^6</f>
        <v>191.7167004454343</v>
      </c>
      <c r="Q58" s="16">
        <f t="shared" si="39"/>
        <v>191.7167004454343</v>
      </c>
      <c r="R58" s="16">
        <f t="shared" si="39"/>
        <v>0</v>
      </c>
      <c r="S58" s="16">
        <f t="shared" si="39"/>
        <v>0</v>
      </c>
      <c r="T58" s="16">
        <f t="shared" si="39"/>
        <v>95.196767274427316</v>
      </c>
      <c r="U58" s="16">
        <f t="shared" si="39"/>
        <v>0</v>
      </c>
      <c r="V58" s="16">
        <f t="shared" si="39"/>
        <v>0</v>
      </c>
      <c r="W58" s="16">
        <f t="shared" si="39"/>
        <v>93.448650505050523</v>
      </c>
      <c r="X58" s="15">
        <f t="shared" si="39"/>
        <v>0</v>
      </c>
      <c r="Y58" s="16">
        <f>SUM(P58:X58)</f>
        <v>572.07881867034644</v>
      </c>
      <c r="Z58" s="246">
        <f>SUM(O58,Y58)</f>
        <v>1310.6796168599467</v>
      </c>
      <c r="AA58" s="16">
        <f t="shared" ref="AA58:AD58" si="40">AA59*AA64/10^6</f>
        <v>1343.8073461186939</v>
      </c>
      <c r="AB58" s="16">
        <f t="shared" si="40"/>
        <v>1458.5455094731606</v>
      </c>
      <c r="AC58" s="16">
        <f t="shared" si="40"/>
        <v>1952.7063580367956</v>
      </c>
      <c r="AD58" s="16">
        <f t="shared" si="40"/>
        <v>2072.3928858859631</v>
      </c>
      <c r="AF58" s="327"/>
      <c r="AG58" s="322">
        <f t="shared" si="30"/>
        <v>0</v>
      </c>
      <c r="AK58" s="311"/>
    </row>
    <row r="59" spans="1:37" x14ac:dyDescent="0.3">
      <c r="A59" s="338" t="s">
        <v>559</v>
      </c>
      <c r="D59" s="3" t="s">
        <v>560</v>
      </c>
      <c r="L59" s="16"/>
      <c r="M59" s="16"/>
      <c r="N59" s="15"/>
      <c r="O59" s="246">
        <v>4001954.91</v>
      </c>
      <c r="P59" s="16">
        <f t="shared" ref="P59:X59" si="41">P60*P63</f>
        <v>1052493.3333333335</v>
      </c>
      <c r="Q59" s="16">
        <f t="shared" si="41"/>
        <v>1052493.3333333335</v>
      </c>
      <c r="R59" s="16">
        <f t="shared" si="41"/>
        <v>0</v>
      </c>
      <c r="S59" s="16">
        <f t="shared" si="41"/>
        <v>0</v>
      </c>
      <c r="T59" s="16">
        <f t="shared" si="41"/>
        <v>526246.66666666674</v>
      </c>
      <c r="U59" s="16">
        <f t="shared" si="41"/>
        <v>0</v>
      </c>
      <c r="V59" s="16">
        <f t="shared" si="41"/>
        <v>0</v>
      </c>
      <c r="W59" s="16">
        <f t="shared" si="41"/>
        <v>526246.66666666674</v>
      </c>
      <c r="X59" s="15">
        <f t="shared" si="41"/>
        <v>0</v>
      </c>
      <c r="Y59" s="16">
        <f>SUM(P59:X59)</f>
        <v>3157480.0000000009</v>
      </c>
      <c r="Z59" s="246">
        <f>Y59+O59</f>
        <v>7159434.9100000011</v>
      </c>
      <c r="AA59" s="16">
        <f t="shared" ref="AA59:AD59" si="42">AA60*AA63</f>
        <v>7722852.62824596</v>
      </c>
      <c r="AB59" s="16">
        <f t="shared" si="42"/>
        <v>8301257.5177204348</v>
      </c>
      <c r="AC59" s="16">
        <f t="shared" si="42"/>
        <v>10982243.296054522</v>
      </c>
      <c r="AD59" s="16">
        <f t="shared" si="42"/>
        <v>11598218.601455847</v>
      </c>
      <c r="AF59" s="327"/>
      <c r="AG59" s="322">
        <f t="shared" si="30"/>
        <v>0</v>
      </c>
      <c r="AK59" s="311"/>
    </row>
    <row r="60" spans="1:37" x14ac:dyDescent="0.3">
      <c r="A60" s="338" t="s">
        <v>559</v>
      </c>
      <c r="E60" s="3" t="s">
        <v>324</v>
      </c>
      <c r="L60" s="16"/>
      <c r="M60" s="16"/>
      <c r="N60" s="15"/>
      <c r="O60" s="246">
        <v>8</v>
      </c>
      <c r="P60" s="16">
        <f>SUMIFS(INDEX(판매수량!$N$2:$V$82,0,MATCH(P$42,판매수량!$N$2:$V$2,0)),판매수량!$A$2:$A$82,$A60,판매수량!$B$2:$B$82,$AG60)</f>
        <v>2</v>
      </c>
      <c r="Q60" s="16">
        <f>SUMIFS(INDEX(판매수량!$N$2:$V$82,0,MATCH(Q$42,판매수량!$N$2:$V$2,0)),판매수량!$A$2:$A$82,$A60,판매수량!$B$2:$B$82,$AG60)</f>
        <v>2</v>
      </c>
      <c r="R60" s="16">
        <f>SUMIFS(INDEX(판매수량!$N$2:$V$82,0,MATCH(R$42,판매수량!$N$2:$V$2,0)),판매수량!$A$2:$A$82,$A60,판매수량!$B$2:$B$82,$AG60)</f>
        <v>0</v>
      </c>
      <c r="S60" s="16">
        <f>SUMIFS(INDEX(판매수량!$N$2:$V$82,0,MATCH(S$42,판매수량!$N$2:$V$2,0)),판매수량!$A$2:$A$82,$A60,판매수량!$B$2:$B$82,$AG60)</f>
        <v>0</v>
      </c>
      <c r="T60" s="16">
        <f>SUMIFS(INDEX(판매수량!$N$2:$V$82,0,MATCH(T$42,판매수량!$N$2:$V$2,0)),판매수량!$A$2:$A$82,$A60,판매수량!$B$2:$B$82,$AG60)</f>
        <v>1</v>
      </c>
      <c r="U60" s="16">
        <f>SUMIFS(INDEX(판매수량!$N$2:$V$82,0,MATCH(U$42,판매수량!$N$2:$V$2,0)),판매수량!$A$2:$A$82,$A60,판매수량!$B$2:$B$82,$AG60)</f>
        <v>0</v>
      </c>
      <c r="V60" s="16">
        <f>SUMIFS(INDEX(판매수량!$N$2:$V$82,0,MATCH(V$42,판매수량!$N$2:$V$2,0)),판매수량!$A$2:$A$82,$A60,판매수량!$B$2:$B$82,$AG60)</f>
        <v>0</v>
      </c>
      <c r="W60" s="16">
        <f>SUMIFS(INDEX(판매수량!$N$2:$V$82,0,MATCH(W$42,판매수량!$N$2:$V$2,0)),판매수량!$A$2:$A$82,$A60,판매수량!$B$2:$B$82,$AG60)</f>
        <v>1</v>
      </c>
      <c r="X60" s="15">
        <f>SUMIFS(INDEX(판매수량!$N$2:$V$82,0,MATCH(X$42,판매수량!$N$2:$V$2,0)),판매수량!$A$2:$A$82,$A60,판매수량!$B$2:$B$82,$AG60)</f>
        <v>0</v>
      </c>
      <c r="Y60" s="16">
        <f>SUM(P60:X60)</f>
        <v>6</v>
      </c>
      <c r="Z60" s="246">
        <f>SUM(O60,Y60)</f>
        <v>14</v>
      </c>
      <c r="AA60" s="16">
        <f>ROUND(AA61*AA62,)</f>
        <v>15</v>
      </c>
      <c r="AB60" s="16">
        <f>ROUND(AB61*AB62,)</f>
        <v>16</v>
      </c>
      <c r="AC60" s="16">
        <f>ROUND(AC61*AC62,)</f>
        <v>21</v>
      </c>
      <c r="AD60" s="16">
        <f>ROUND(AD61*AD62,)</f>
        <v>22</v>
      </c>
      <c r="AF60" s="327"/>
      <c r="AG60" s="322" t="str">
        <f t="shared" si="30"/>
        <v>VMC</v>
      </c>
      <c r="AK60" s="311"/>
    </row>
    <row r="61" spans="1:37" x14ac:dyDescent="0.3">
      <c r="A61" s="338" t="s">
        <v>559</v>
      </c>
      <c r="F61" s="3" t="s">
        <v>464</v>
      </c>
      <c r="L61" s="16"/>
      <c r="M61" s="16"/>
      <c r="N61" s="15"/>
      <c r="O61" s="306"/>
      <c r="P61" s="119"/>
      <c r="Q61" s="119"/>
      <c r="R61" s="119"/>
      <c r="S61" s="119"/>
      <c r="T61" s="119"/>
      <c r="U61" s="119"/>
      <c r="V61" s="119"/>
      <c r="W61" s="119"/>
      <c r="X61" s="294"/>
      <c r="Y61" s="119"/>
      <c r="Z61" s="246">
        <f>'Key Assumption'!AA110</f>
        <v>5</v>
      </c>
      <c r="AA61" s="16">
        <f>'Key Assumption'!AB110</f>
        <v>5</v>
      </c>
      <c r="AB61" s="16">
        <f>'Key Assumption'!AC110</f>
        <v>5</v>
      </c>
      <c r="AC61" s="16">
        <f>'Key Assumption'!AD110</f>
        <v>6</v>
      </c>
      <c r="AD61" s="16">
        <f>'Key Assumption'!AE110</f>
        <v>6</v>
      </c>
      <c r="AF61" s="327"/>
      <c r="AG61" s="322">
        <f t="shared" si="30"/>
        <v>0</v>
      </c>
      <c r="AK61" s="311"/>
    </row>
    <row r="62" spans="1:37" x14ac:dyDescent="0.3">
      <c r="A62" s="338" t="s">
        <v>559</v>
      </c>
      <c r="F62" s="3" t="s">
        <v>465</v>
      </c>
      <c r="L62" s="16"/>
      <c r="M62" s="16"/>
      <c r="N62" s="15"/>
      <c r="O62" s="306"/>
      <c r="P62" s="119"/>
      <c r="Q62" s="119"/>
      <c r="R62" s="119"/>
      <c r="S62" s="119"/>
      <c r="T62" s="119"/>
      <c r="U62" s="119"/>
      <c r="V62" s="119"/>
      <c r="W62" s="119"/>
      <c r="X62" s="294"/>
      <c r="Y62" s="119"/>
      <c r="Z62" s="246">
        <f>IFERROR(Z60/Z61,)</f>
        <v>2.8</v>
      </c>
      <c r="AA62" s="16">
        <f>'Key Assumption'!AB222</f>
        <v>3.0199188587881163</v>
      </c>
      <c r="AB62" s="16">
        <f>'Key Assumption'!AC222</f>
        <v>3.2469572045543775</v>
      </c>
      <c r="AC62" s="16">
        <f>'Key Assumption'!AD222</f>
        <v>3.4821096715089643</v>
      </c>
      <c r="AD62" s="16">
        <f>'Key Assumption'!AE222</f>
        <v>3.7449024996728171</v>
      </c>
      <c r="AF62" s="327"/>
      <c r="AG62" s="322">
        <f t="shared" si="30"/>
        <v>0</v>
      </c>
      <c r="AK62" s="311"/>
    </row>
    <row r="63" spans="1:37" x14ac:dyDescent="0.3">
      <c r="A63" s="338" t="s">
        <v>559</v>
      </c>
      <c r="E63" s="3" t="s">
        <v>561</v>
      </c>
      <c r="I63" s="291" t="s">
        <v>279</v>
      </c>
      <c r="L63" s="16"/>
      <c r="M63" s="16"/>
      <c r="N63" s="15"/>
      <c r="O63" s="246">
        <f>O59/O60</f>
        <v>500244.36375000002</v>
      </c>
      <c r="P63" s="16">
        <f>'Key Assumption'!R359</f>
        <v>526246.66666666674</v>
      </c>
      <c r="Q63" s="16">
        <f>'Key Assumption'!S359</f>
        <v>526246.66666666674</v>
      </c>
      <c r="R63" s="16">
        <f>'Key Assumption'!T359</f>
        <v>526246.66666666674</v>
      </c>
      <c r="S63" s="16">
        <f>'Key Assumption'!U359</f>
        <v>526246.66666666674</v>
      </c>
      <c r="T63" s="16">
        <f>'Key Assumption'!V359</f>
        <v>526246.66666666674</v>
      </c>
      <c r="U63" s="16">
        <f>'Key Assumption'!W359</f>
        <v>526246.66666666674</v>
      </c>
      <c r="V63" s="16">
        <f>'Key Assumption'!X359</f>
        <v>526246.66666666674</v>
      </c>
      <c r="W63" s="16">
        <f>'Key Assumption'!Y359</f>
        <v>526246.66666666674</v>
      </c>
      <c r="X63" s="15">
        <f>'Key Assumption'!Z359</f>
        <v>526246.66666666674</v>
      </c>
      <c r="Y63" s="16">
        <f>IFERROR(Y59/Y60,)</f>
        <v>526246.66666666686</v>
      </c>
      <c r="Z63" s="246">
        <f>Z59/Z60</f>
        <v>511388.20785714296</v>
      </c>
      <c r="AA63" s="16">
        <f>'Key Assumption'!AB359</f>
        <v>514856.84188306401</v>
      </c>
      <c r="AB63" s="16">
        <f>'Key Assumption'!AC359</f>
        <v>518828.59485752718</v>
      </c>
      <c r="AC63" s="16">
        <f>'Key Assumption'!AD359</f>
        <v>522963.96647878672</v>
      </c>
      <c r="AD63" s="16">
        <f>'Key Assumption'!AE359</f>
        <v>527191.75461162941</v>
      </c>
      <c r="AF63" s="327"/>
      <c r="AG63" s="322">
        <f t="shared" si="30"/>
        <v>0</v>
      </c>
      <c r="AK63" s="311"/>
    </row>
    <row r="64" spans="1:37" x14ac:dyDescent="0.3">
      <c r="A64" s="338" t="s">
        <v>559</v>
      </c>
      <c r="D64" s="3" t="s">
        <v>333</v>
      </c>
      <c r="I64" s="291"/>
      <c r="L64" s="16"/>
      <c r="M64" s="16"/>
      <c r="N64" s="15"/>
      <c r="O64" s="246">
        <f>O58/O59*10^6</f>
        <v>184.56000000000003</v>
      </c>
      <c r="P64" s="16">
        <f t="shared" ref="P64:X64" si="43">P$293</f>
        <v>182.15478841870822</v>
      </c>
      <c r="Q64" s="16">
        <f t="shared" si="43"/>
        <v>182.15478841870822</v>
      </c>
      <c r="R64" s="16">
        <f t="shared" si="43"/>
        <v>182.15478841870822</v>
      </c>
      <c r="S64" s="16">
        <f t="shared" si="43"/>
        <v>180.89761570827488</v>
      </c>
      <c r="T64" s="16">
        <f t="shared" si="43"/>
        <v>180.89761570827488</v>
      </c>
      <c r="U64" s="16">
        <f t="shared" si="43"/>
        <v>180.89761570827488</v>
      </c>
      <c r="V64" s="16">
        <f t="shared" si="43"/>
        <v>177.57575757575759</v>
      </c>
      <c r="W64" s="16">
        <f t="shared" si="43"/>
        <v>177.57575757575759</v>
      </c>
      <c r="X64" s="15">
        <f t="shared" si="43"/>
        <v>177.57575757575759</v>
      </c>
      <c r="Y64" s="16">
        <f>IFERROR(Y58/Y59,)*10^6</f>
        <v>181.18208782647753</v>
      </c>
      <c r="Z64" s="246">
        <f>Z58/Z59*10^6</f>
        <v>183.07026089855833</v>
      </c>
      <c r="AA64" s="16">
        <f>AA$293</f>
        <v>174.00401261106336</v>
      </c>
      <c r="AB64" s="16">
        <f>AB$293</f>
        <v>175.7017543859649</v>
      </c>
      <c r="AC64" s="16">
        <f>AC$293</f>
        <v>177.80578206078576</v>
      </c>
      <c r="AD64" s="16">
        <f>AD$293</f>
        <v>178.68199911543564</v>
      </c>
      <c r="AF64" s="327"/>
      <c r="AG64" s="322">
        <f t="shared" si="30"/>
        <v>0</v>
      </c>
      <c r="AK64" s="311"/>
    </row>
    <row r="65" spans="1:37" x14ac:dyDescent="0.3">
      <c r="A65" s="338" t="s">
        <v>559</v>
      </c>
      <c r="C65" s="3" t="s">
        <v>149</v>
      </c>
      <c r="L65" s="16"/>
      <c r="M65" s="16"/>
      <c r="N65" s="15"/>
      <c r="O65" s="306"/>
      <c r="P65" s="119"/>
      <c r="Q65" s="119"/>
      <c r="R65" s="119"/>
      <c r="S65" s="119"/>
      <c r="T65" s="119"/>
      <c r="U65" s="119"/>
      <c r="V65" s="119"/>
      <c r="W65" s="119"/>
      <c r="X65" s="294"/>
      <c r="Y65" s="119"/>
      <c r="Z65" s="306"/>
      <c r="AA65" s="119"/>
      <c r="AB65" s="119"/>
      <c r="AC65" s="119"/>
      <c r="AD65" s="119"/>
      <c r="AF65" s="327"/>
      <c r="AG65" s="322">
        <f t="shared" si="30"/>
        <v>0</v>
      </c>
      <c r="AK65" s="311"/>
    </row>
    <row r="66" spans="1:37" x14ac:dyDescent="0.3">
      <c r="A66" s="338" t="s">
        <v>559</v>
      </c>
      <c r="D66" s="3" t="s">
        <v>560</v>
      </c>
      <c r="L66" s="16"/>
      <c r="M66" s="16"/>
      <c r="N66" s="15"/>
      <c r="O66" s="306"/>
      <c r="P66" s="119"/>
      <c r="Q66" s="119"/>
      <c r="R66" s="119"/>
      <c r="S66" s="119"/>
      <c r="T66" s="119"/>
      <c r="U66" s="119"/>
      <c r="V66" s="119"/>
      <c r="W66" s="119"/>
      <c r="X66" s="294"/>
      <c r="Y66" s="119"/>
      <c r="Z66" s="306"/>
      <c r="AA66" s="119"/>
      <c r="AB66" s="119"/>
      <c r="AC66" s="119"/>
      <c r="AD66" s="119"/>
      <c r="AF66" s="327"/>
      <c r="AG66" s="322">
        <f t="shared" si="30"/>
        <v>0</v>
      </c>
      <c r="AK66" s="311"/>
    </row>
    <row r="67" spans="1:37" x14ac:dyDescent="0.3">
      <c r="A67" s="338" t="s">
        <v>559</v>
      </c>
      <c r="E67" s="3" t="s">
        <v>324</v>
      </c>
      <c r="L67" s="16"/>
      <c r="M67" s="16"/>
      <c r="N67" s="15"/>
      <c r="O67" s="306"/>
      <c r="P67" s="119"/>
      <c r="Q67" s="119"/>
      <c r="R67" s="119"/>
      <c r="S67" s="119"/>
      <c r="T67" s="119"/>
      <c r="U67" s="119"/>
      <c r="V67" s="119"/>
      <c r="W67" s="119"/>
      <c r="X67" s="294"/>
      <c r="Y67" s="119"/>
      <c r="Z67" s="306"/>
      <c r="AA67" s="119"/>
      <c r="AB67" s="119"/>
      <c r="AC67" s="119"/>
      <c r="AD67" s="119"/>
      <c r="AF67" s="327"/>
      <c r="AG67" s="322" t="str">
        <f t="shared" si="30"/>
        <v>HMC</v>
      </c>
      <c r="AK67" s="311"/>
    </row>
    <row r="68" spans="1:37" x14ac:dyDescent="0.3">
      <c r="A68" s="338" t="s">
        <v>559</v>
      </c>
      <c r="F68" s="3" t="s">
        <v>464</v>
      </c>
      <c r="L68" s="16"/>
      <c r="M68" s="16"/>
      <c r="N68" s="15"/>
      <c r="O68" s="306"/>
      <c r="P68" s="119"/>
      <c r="Q68" s="119"/>
      <c r="R68" s="119"/>
      <c r="S68" s="119"/>
      <c r="T68" s="119"/>
      <c r="U68" s="119"/>
      <c r="V68" s="119"/>
      <c r="W68" s="119"/>
      <c r="X68" s="294"/>
      <c r="Y68" s="119"/>
      <c r="Z68" s="306"/>
      <c r="AA68" s="119"/>
      <c r="AB68" s="119"/>
      <c r="AC68" s="119"/>
      <c r="AD68" s="119"/>
      <c r="AF68" s="327"/>
      <c r="AG68" s="322">
        <f t="shared" si="30"/>
        <v>0</v>
      </c>
      <c r="AK68" s="311"/>
    </row>
    <row r="69" spans="1:37" x14ac:dyDescent="0.3">
      <c r="A69" s="338" t="s">
        <v>559</v>
      </c>
      <c r="F69" s="3" t="s">
        <v>465</v>
      </c>
      <c r="L69" s="16"/>
      <c r="M69" s="16"/>
      <c r="N69" s="15"/>
      <c r="O69" s="306"/>
      <c r="P69" s="119"/>
      <c r="Q69" s="119"/>
      <c r="R69" s="119"/>
      <c r="S69" s="119"/>
      <c r="T69" s="119"/>
      <c r="U69" s="119"/>
      <c r="V69" s="119"/>
      <c r="W69" s="119"/>
      <c r="X69" s="294"/>
      <c r="Y69" s="119"/>
      <c r="Z69" s="306"/>
      <c r="AA69" s="119"/>
      <c r="AB69" s="119"/>
      <c r="AC69" s="119"/>
      <c r="AD69" s="119"/>
      <c r="AF69" s="327"/>
      <c r="AG69" s="322">
        <f t="shared" si="30"/>
        <v>0</v>
      </c>
      <c r="AK69" s="311"/>
    </row>
    <row r="70" spans="1:37" x14ac:dyDescent="0.3">
      <c r="A70" s="338" t="s">
        <v>559</v>
      </c>
      <c r="E70" s="3" t="s">
        <v>561</v>
      </c>
      <c r="I70" s="291" t="s">
        <v>279</v>
      </c>
      <c r="L70" s="16"/>
      <c r="M70" s="16"/>
      <c r="N70" s="15"/>
      <c r="O70" s="306"/>
      <c r="P70" s="119"/>
      <c r="Q70" s="119"/>
      <c r="R70" s="119"/>
      <c r="S70" s="119"/>
      <c r="T70" s="119"/>
      <c r="U70" s="119"/>
      <c r="V70" s="119"/>
      <c r="W70" s="119"/>
      <c r="X70" s="294"/>
      <c r="Y70" s="119"/>
      <c r="Z70" s="306"/>
      <c r="AA70" s="119"/>
      <c r="AB70" s="119"/>
      <c r="AC70" s="119"/>
      <c r="AD70" s="119"/>
      <c r="AF70" s="327"/>
      <c r="AG70" s="322">
        <f t="shared" si="30"/>
        <v>0</v>
      </c>
      <c r="AK70" s="311"/>
    </row>
    <row r="71" spans="1:37" x14ac:dyDescent="0.3">
      <c r="A71" s="338" t="s">
        <v>559</v>
      </c>
      <c r="D71" s="3" t="s">
        <v>333</v>
      </c>
      <c r="I71" s="291"/>
      <c r="L71" s="16"/>
      <c r="M71" s="16"/>
      <c r="N71" s="15"/>
      <c r="O71" s="306"/>
      <c r="P71" s="119"/>
      <c r="Q71" s="119"/>
      <c r="R71" s="119"/>
      <c r="S71" s="119"/>
      <c r="T71" s="119"/>
      <c r="U71" s="119"/>
      <c r="V71" s="119"/>
      <c r="W71" s="119"/>
      <c r="X71" s="294"/>
      <c r="Y71" s="119"/>
      <c r="Z71" s="306"/>
      <c r="AA71" s="119"/>
      <c r="AB71" s="119"/>
      <c r="AC71" s="119"/>
      <c r="AD71" s="119"/>
      <c r="AF71" s="327"/>
      <c r="AG71" s="322">
        <f t="shared" si="30"/>
        <v>0</v>
      </c>
      <c r="AK71" s="311"/>
    </row>
    <row r="72" spans="1:37" x14ac:dyDescent="0.3">
      <c r="A72" s="338" t="s">
        <v>559</v>
      </c>
      <c r="C72" s="3" t="s">
        <v>150</v>
      </c>
      <c r="L72" s="16"/>
      <c r="M72" s="16"/>
      <c r="N72" s="15"/>
      <c r="O72" s="246">
        <v>435.95358698400003</v>
      </c>
      <c r="P72" s="119"/>
      <c r="Q72" s="119"/>
      <c r="R72" s="119"/>
      <c r="S72" s="119"/>
      <c r="T72" s="119"/>
      <c r="U72" s="119"/>
      <c r="V72" s="119"/>
      <c r="W72" s="119"/>
      <c r="X72" s="294"/>
      <c r="Y72" s="119"/>
      <c r="Z72" s="246">
        <f>SUM(O72,Y72)</f>
        <v>435.95358698400003</v>
      </c>
      <c r="AA72" s="119"/>
      <c r="AB72" s="119"/>
      <c r="AC72" s="119"/>
      <c r="AD72" s="119"/>
      <c r="AF72" s="327"/>
      <c r="AG72" s="322">
        <f t="shared" si="30"/>
        <v>0</v>
      </c>
      <c r="AK72" s="311"/>
    </row>
    <row r="73" spans="1:37" x14ac:dyDescent="0.3">
      <c r="A73" s="338" t="s">
        <v>559</v>
      </c>
      <c r="D73" s="3" t="s">
        <v>560</v>
      </c>
      <c r="L73" s="16"/>
      <c r="M73" s="16"/>
      <c r="N73" s="15"/>
      <c r="O73" s="246">
        <v>2362123.9</v>
      </c>
      <c r="P73" s="119"/>
      <c r="Q73" s="119"/>
      <c r="R73" s="119"/>
      <c r="S73" s="119"/>
      <c r="T73" s="119"/>
      <c r="U73" s="119"/>
      <c r="V73" s="119"/>
      <c r="W73" s="119"/>
      <c r="X73" s="294"/>
      <c r="Y73" s="119"/>
      <c r="Z73" s="246">
        <f>Y73+O73</f>
        <v>2362123.9</v>
      </c>
      <c r="AA73" s="119"/>
      <c r="AB73" s="119"/>
      <c r="AC73" s="119"/>
      <c r="AD73" s="119"/>
      <c r="AF73" s="327"/>
      <c r="AG73" s="322">
        <f t="shared" si="30"/>
        <v>0</v>
      </c>
      <c r="AK73" s="311"/>
    </row>
    <row r="74" spans="1:37" x14ac:dyDescent="0.3">
      <c r="A74" s="338" t="s">
        <v>559</v>
      </c>
      <c r="E74" s="3" t="s">
        <v>324</v>
      </c>
      <c r="L74" s="16"/>
      <c r="M74" s="16"/>
      <c r="N74" s="15"/>
      <c r="O74" s="246">
        <v>2</v>
      </c>
      <c r="P74" s="119"/>
      <c r="Q74" s="119"/>
      <c r="R74" s="119"/>
      <c r="S74" s="119"/>
      <c r="T74" s="119"/>
      <c r="U74" s="119"/>
      <c r="V74" s="119"/>
      <c r="W74" s="119"/>
      <c r="X74" s="294"/>
      <c r="Y74" s="119"/>
      <c r="Z74" s="246">
        <f>SUM(O74,Y74)</f>
        <v>2</v>
      </c>
      <c r="AA74" s="119"/>
      <c r="AB74" s="119"/>
      <c r="AC74" s="119"/>
      <c r="AD74" s="119"/>
      <c r="AF74" s="327"/>
      <c r="AG74" s="322" t="str">
        <f t="shared" si="30"/>
        <v>단종</v>
      </c>
      <c r="AK74" s="311"/>
    </row>
    <row r="75" spans="1:37" x14ac:dyDescent="0.3">
      <c r="A75" s="338" t="s">
        <v>559</v>
      </c>
      <c r="F75" s="3" t="s">
        <v>304</v>
      </c>
      <c r="L75" s="16"/>
      <c r="M75" s="16"/>
      <c r="N75" s="15"/>
      <c r="O75" s="306"/>
      <c r="P75" s="119"/>
      <c r="Q75" s="119"/>
      <c r="R75" s="119"/>
      <c r="S75" s="119"/>
      <c r="T75" s="119"/>
      <c r="U75" s="119"/>
      <c r="V75" s="119"/>
      <c r="W75" s="119"/>
      <c r="X75" s="294"/>
      <c r="Y75" s="119"/>
      <c r="Z75" s="246"/>
      <c r="AA75" s="119"/>
      <c r="AB75" s="119"/>
      <c r="AC75" s="119"/>
      <c r="AD75" s="119"/>
      <c r="AF75" s="327"/>
      <c r="AG75" s="322">
        <f t="shared" si="30"/>
        <v>0</v>
      </c>
      <c r="AK75" s="311"/>
    </row>
    <row r="76" spans="1:37" x14ac:dyDescent="0.3">
      <c r="A76" s="338" t="s">
        <v>559</v>
      </c>
      <c r="F76" s="3" t="s">
        <v>305</v>
      </c>
      <c r="L76" s="16"/>
      <c r="M76" s="16"/>
      <c r="N76" s="15"/>
      <c r="O76" s="306"/>
      <c r="P76" s="119"/>
      <c r="Q76" s="119"/>
      <c r="R76" s="119"/>
      <c r="S76" s="119"/>
      <c r="T76" s="119"/>
      <c r="U76" s="119"/>
      <c r="V76" s="119"/>
      <c r="W76" s="119"/>
      <c r="X76" s="294"/>
      <c r="Y76" s="119"/>
      <c r="Z76" s="246"/>
      <c r="AA76" s="119"/>
      <c r="AB76" s="119"/>
      <c r="AC76" s="119"/>
      <c r="AD76" s="119"/>
      <c r="AF76" s="327"/>
      <c r="AG76" s="322">
        <f t="shared" si="30"/>
        <v>0</v>
      </c>
      <c r="AK76" s="311"/>
    </row>
    <row r="77" spans="1:37" x14ac:dyDescent="0.3">
      <c r="A77" s="338" t="s">
        <v>559</v>
      </c>
      <c r="E77" s="3" t="s">
        <v>561</v>
      </c>
      <c r="I77" s="291" t="s">
        <v>279</v>
      </c>
      <c r="L77" s="16"/>
      <c r="M77" s="16"/>
      <c r="N77" s="15"/>
      <c r="O77" s="246">
        <f>O73/O74</f>
        <v>1181061.95</v>
      </c>
      <c r="P77" s="119"/>
      <c r="Q77" s="119"/>
      <c r="R77" s="119"/>
      <c r="S77" s="119"/>
      <c r="T77" s="119"/>
      <c r="U77" s="119"/>
      <c r="V77" s="119"/>
      <c r="W77" s="119"/>
      <c r="X77" s="294"/>
      <c r="Y77" s="119"/>
      <c r="Z77" s="246">
        <f>Z73/Z74</f>
        <v>1181061.95</v>
      </c>
      <c r="AA77" s="119"/>
      <c r="AB77" s="119"/>
      <c r="AC77" s="119"/>
      <c r="AD77" s="119"/>
      <c r="AF77" s="327"/>
      <c r="AG77" s="322">
        <f t="shared" si="30"/>
        <v>0</v>
      </c>
      <c r="AK77" s="311"/>
    </row>
    <row r="78" spans="1:37" x14ac:dyDescent="0.3">
      <c r="A78" s="338" t="s">
        <v>559</v>
      </c>
      <c r="D78" s="3" t="s">
        <v>333</v>
      </c>
      <c r="I78" s="291"/>
      <c r="L78" s="16"/>
      <c r="M78" s="16"/>
      <c r="N78" s="15"/>
      <c r="O78" s="246">
        <f>O72/O73*10^6</f>
        <v>184.56</v>
      </c>
      <c r="P78" s="119"/>
      <c r="Q78" s="119"/>
      <c r="R78" s="119"/>
      <c r="S78" s="119"/>
      <c r="T78" s="119"/>
      <c r="U78" s="119"/>
      <c r="V78" s="119"/>
      <c r="W78" s="119"/>
      <c r="X78" s="294"/>
      <c r="Y78" s="119"/>
      <c r="Z78" s="246">
        <f>Z72/Z73*10^6</f>
        <v>184.56</v>
      </c>
      <c r="AA78" s="119"/>
      <c r="AB78" s="119"/>
      <c r="AC78" s="119"/>
      <c r="AD78" s="119"/>
      <c r="AF78" s="327"/>
      <c r="AG78" s="322">
        <f t="shared" si="30"/>
        <v>0</v>
      </c>
      <c r="AK78" s="311"/>
    </row>
    <row r="79" spans="1:37" x14ac:dyDescent="0.3">
      <c r="A79" s="338" t="s">
        <v>559</v>
      </c>
      <c r="C79" s="3" t="s">
        <v>105</v>
      </c>
      <c r="L79" s="16"/>
      <c r="M79" s="16"/>
      <c r="N79" s="15"/>
      <c r="O79" s="246">
        <f>O80+O82+O84+O86+O89+O90</f>
        <v>1009.3751562744003</v>
      </c>
      <c r="P79" s="16">
        <f t="shared" ref="P79:Z79" si="44">P80+P82+P84+P86+P89+P90</f>
        <v>190.44559445581984</v>
      </c>
      <c r="Q79" s="16">
        <f t="shared" si="44"/>
        <v>190.44559445581984</v>
      </c>
      <c r="R79" s="16">
        <f t="shared" si="44"/>
        <v>163.98982981556168</v>
      </c>
      <c r="S79" s="16">
        <f t="shared" si="44"/>
        <v>-3.870000000000005</v>
      </c>
      <c r="T79" s="16">
        <f t="shared" si="44"/>
        <v>92.603831679986413</v>
      </c>
      <c r="U79" s="16">
        <f t="shared" si="44"/>
        <v>-3.870000000000005</v>
      </c>
      <c r="V79" s="16">
        <f t="shared" si="44"/>
        <v>-3.870000000000005</v>
      </c>
      <c r="W79" s="16">
        <f t="shared" si="44"/>
        <v>90.796572821378192</v>
      </c>
      <c r="X79" s="15">
        <f t="shared" si="44"/>
        <v>-3.870000000000005</v>
      </c>
      <c r="Y79" s="16">
        <f t="shared" si="44"/>
        <v>712.80142322856591</v>
      </c>
      <c r="Z79" s="246">
        <f t="shared" si="44"/>
        <v>1722.1765795029664</v>
      </c>
      <c r="AA79" s="16">
        <f>AA80+AA82+AA84+AA86+AA89+AA90</f>
        <v>1849.7257967465966</v>
      </c>
      <c r="AB79" s="16">
        <f>AB80+AB82+AB84+AB86+AB89+AB90</f>
        <v>1976.3311332986671</v>
      </c>
      <c r="AC79" s="16">
        <f>AC80+AC82+AC84+AC86+AC89+AC90</f>
        <v>2636.0731784484919</v>
      </c>
      <c r="AD79" s="16">
        <f>AD80+AD82+AD84+AD86+AD89+AD90</f>
        <v>2865.3976759757156</v>
      </c>
      <c r="AF79" s="327"/>
      <c r="AG79" s="322">
        <f t="shared" si="30"/>
        <v>0</v>
      </c>
      <c r="AK79" s="311"/>
    </row>
    <row r="80" spans="1:37" x14ac:dyDescent="0.3">
      <c r="A80" s="338" t="s">
        <v>559</v>
      </c>
      <c r="D80" s="3" t="s">
        <v>341</v>
      </c>
      <c r="L80" s="16"/>
      <c r="M80" s="16"/>
      <c r="N80" s="15"/>
      <c r="O80" s="246">
        <v>307.20795457200001</v>
      </c>
      <c r="P80" s="16">
        <f t="shared" ref="P80:X80" si="45">SUM(P$44,P$51,P$58,P$65)*P81</f>
        <v>15.337336035634742</v>
      </c>
      <c r="Q80" s="16">
        <f t="shared" si="45"/>
        <v>15.337336035634742</v>
      </c>
      <c r="R80" s="16">
        <f t="shared" si="45"/>
        <v>13.273255122494428</v>
      </c>
      <c r="S80" s="16">
        <f t="shared" si="45"/>
        <v>0</v>
      </c>
      <c r="T80" s="16">
        <f t="shared" si="45"/>
        <v>7.6157413819541837</v>
      </c>
      <c r="U80" s="16">
        <f t="shared" si="45"/>
        <v>0</v>
      </c>
      <c r="V80" s="16">
        <f t="shared" si="45"/>
        <v>0</v>
      </c>
      <c r="W80" s="16">
        <f t="shared" si="45"/>
        <v>7.475892040404041</v>
      </c>
      <c r="X80" s="15">
        <f t="shared" si="45"/>
        <v>0</v>
      </c>
      <c r="Y80" s="16">
        <f>SUM(P80:X80)</f>
        <v>59.039560616122138</v>
      </c>
      <c r="Z80" s="246">
        <f>SUM(O80,Y80)</f>
        <v>366.24751518812212</v>
      </c>
      <c r="AA80" s="16">
        <f>SUM(AA$44,AA$51,AA$58,AA$65)*AA81</f>
        <v>142.27818254667892</v>
      </c>
      <c r="AB80" s="16">
        <f>SUM(AB$44,AB$51,AB$58,AB$65)*AB81</f>
        <v>152.01649939675306</v>
      </c>
      <c r="AC80" s="16">
        <f>SUM(AC$44,AC$51,AC$58,AC$65)*AC81</f>
        <v>202.77482005470833</v>
      </c>
      <c r="AD80" s="16">
        <f>SUM(AD$44,AD$51,AD$58,AD$65)*AD81</f>
        <v>220.40389529587929</v>
      </c>
      <c r="AF80" s="327"/>
      <c r="AG80" s="322">
        <f t="shared" si="30"/>
        <v>0</v>
      </c>
      <c r="AK80" s="311"/>
    </row>
    <row r="81" spans="1:37" s="137" customFormat="1" x14ac:dyDescent="0.3">
      <c r="A81" s="338" t="s">
        <v>559</v>
      </c>
      <c r="B81" s="401"/>
      <c r="C81" s="401"/>
      <c r="D81" s="401"/>
      <c r="E81" s="401" t="s">
        <v>317</v>
      </c>
      <c r="F81" s="401"/>
      <c r="G81" s="401"/>
      <c r="H81" s="401"/>
      <c r="I81" s="361">
        <v>7.9999999999999988E-2</v>
      </c>
      <c r="J81" s="401"/>
      <c r="K81" s="401"/>
      <c r="L81" s="401"/>
      <c r="M81" s="401"/>
      <c r="N81" s="369"/>
      <c r="O81" s="362">
        <f>O80/SUM(O$44,O$51,O$58,O$65,O$72)</f>
        <v>0.20968916137614371</v>
      </c>
      <c r="P81" s="137">
        <f t="shared" ref="P81:X81" si="46">$I81</f>
        <v>7.9999999999999988E-2</v>
      </c>
      <c r="Q81" s="137">
        <f t="shared" si="46"/>
        <v>7.9999999999999988E-2</v>
      </c>
      <c r="R81" s="137">
        <f t="shared" si="46"/>
        <v>7.9999999999999988E-2</v>
      </c>
      <c r="S81" s="137">
        <f t="shared" si="46"/>
        <v>7.9999999999999988E-2</v>
      </c>
      <c r="T81" s="137">
        <f t="shared" si="46"/>
        <v>7.9999999999999988E-2</v>
      </c>
      <c r="U81" s="137">
        <f t="shared" si="46"/>
        <v>7.9999999999999988E-2</v>
      </c>
      <c r="V81" s="137">
        <f t="shared" si="46"/>
        <v>7.9999999999999988E-2</v>
      </c>
      <c r="W81" s="137">
        <f t="shared" si="46"/>
        <v>7.9999999999999988E-2</v>
      </c>
      <c r="X81" s="369">
        <f t="shared" si="46"/>
        <v>7.9999999999999988E-2</v>
      </c>
      <c r="Y81" s="137">
        <f>IFERROR(Y80/SUM(Y$44,Y$51,Y$58,Y$65,Y$72),)</f>
        <v>7.9999999999999988E-2</v>
      </c>
      <c r="Z81" s="362">
        <f>IFERROR(Z80/SUM(Z$44,Z$51,Z$58,Z$65,Z$72),)</f>
        <v>0.1662450556095029</v>
      </c>
      <c r="AA81" s="17">
        <f>$I81</f>
        <v>7.9999999999999988E-2</v>
      </c>
      <c r="AB81" s="17">
        <f>$I81</f>
        <v>7.9999999999999988E-2</v>
      </c>
      <c r="AC81" s="17">
        <f>$I81</f>
        <v>7.9999999999999988E-2</v>
      </c>
      <c r="AD81" s="17">
        <f>$I81</f>
        <v>7.9999999999999988E-2</v>
      </c>
      <c r="AF81" s="327"/>
      <c r="AG81" s="322">
        <f t="shared" si="30"/>
        <v>0</v>
      </c>
      <c r="AK81" s="311"/>
    </row>
    <row r="82" spans="1:37" x14ac:dyDescent="0.3">
      <c r="A82" s="338" t="s">
        <v>559</v>
      </c>
      <c r="D82" s="3" t="s">
        <v>309</v>
      </c>
      <c r="L82" s="16"/>
      <c r="M82" s="16"/>
      <c r="N82" s="15"/>
      <c r="O82" s="246">
        <v>702.16720170240035</v>
      </c>
      <c r="P82" s="16">
        <f t="shared" ref="P82:X82" si="47">SUM(P$44,P$51,P$58,P$65)*P83</f>
        <v>182.86550218018505</v>
      </c>
      <c r="Q82" s="16">
        <f t="shared" si="47"/>
        <v>182.86550218018505</v>
      </c>
      <c r="R82" s="16">
        <f t="shared" si="47"/>
        <v>158.25567477306728</v>
      </c>
      <c r="S82" s="16">
        <f t="shared" si="47"/>
        <v>0</v>
      </c>
      <c r="T82" s="16">
        <f t="shared" si="47"/>
        <v>90.801712178032261</v>
      </c>
      <c r="U82" s="16">
        <f t="shared" si="47"/>
        <v>0</v>
      </c>
      <c r="V82" s="16">
        <f t="shared" si="47"/>
        <v>0</v>
      </c>
      <c r="W82" s="16">
        <f t="shared" si="47"/>
        <v>89.134302660974186</v>
      </c>
      <c r="X82" s="15">
        <f t="shared" si="47"/>
        <v>0</v>
      </c>
      <c r="Y82" s="16">
        <f>SUM(P82:X82)</f>
        <v>703.92269397244388</v>
      </c>
      <c r="Z82" s="246">
        <f>SUM(O82,Y82)</f>
        <v>1406.0898956748442</v>
      </c>
      <c r="AA82" s="16">
        <f>SUM(AA$44,AA$51,AA$58,AA$65)*AA83</f>
        <v>1696.3683419488777</v>
      </c>
      <c r="AB82" s="16">
        <f>SUM(AB$44,AB$51,AB$58,AB$65)*AB83</f>
        <v>1812.4773061810661</v>
      </c>
      <c r="AC82" s="16">
        <f>SUM(AC$44,AC$51,AC$58,AC$65)*AC83</f>
        <v>2417.6636159400873</v>
      </c>
      <c r="AD82" s="16">
        <f>SUM(AD$44,AD$51,AD$58,AD$65)*AD83</f>
        <v>2627.8532922605996</v>
      </c>
      <c r="AF82" s="327"/>
      <c r="AG82" s="322">
        <f t="shared" si="30"/>
        <v>0</v>
      </c>
      <c r="AK82" s="311"/>
    </row>
    <row r="83" spans="1:37" s="137" customFormat="1" x14ac:dyDescent="0.3">
      <c r="A83" s="338" t="s">
        <v>559</v>
      </c>
      <c r="B83" s="401"/>
      <c r="C83" s="401"/>
      <c r="D83" s="401"/>
      <c r="E83" s="401" t="s">
        <v>317</v>
      </c>
      <c r="F83" s="401"/>
      <c r="G83" s="401"/>
      <c r="H83" s="401"/>
      <c r="I83" s="361">
        <v>0.9538318871298932</v>
      </c>
      <c r="J83" s="401"/>
      <c r="K83" s="401"/>
      <c r="L83" s="401"/>
      <c r="M83" s="401"/>
      <c r="N83" s="369"/>
      <c r="O83" s="362">
        <f>O82/SUM(O$44,O$51,O$58,O$65,O$72)</f>
        <v>0.47927421630712408</v>
      </c>
      <c r="P83" s="137">
        <f t="shared" ref="P83:X83" si="48">$I83</f>
        <v>0.9538318871298932</v>
      </c>
      <c r="Q83" s="137">
        <f t="shared" si="48"/>
        <v>0.9538318871298932</v>
      </c>
      <c r="R83" s="137">
        <f t="shared" si="48"/>
        <v>0.9538318871298932</v>
      </c>
      <c r="S83" s="137">
        <f t="shared" si="48"/>
        <v>0.9538318871298932</v>
      </c>
      <c r="T83" s="137">
        <f t="shared" si="48"/>
        <v>0.9538318871298932</v>
      </c>
      <c r="U83" s="137">
        <f t="shared" si="48"/>
        <v>0.9538318871298932</v>
      </c>
      <c r="V83" s="137">
        <f t="shared" si="48"/>
        <v>0.9538318871298932</v>
      </c>
      <c r="W83" s="137">
        <f t="shared" si="48"/>
        <v>0.9538318871298932</v>
      </c>
      <c r="X83" s="369">
        <f t="shared" si="48"/>
        <v>0.9538318871298932</v>
      </c>
      <c r="Y83" s="137">
        <f>IFERROR(Y82/SUM(Y$44,Y$51,Y$58,Y$65,Y$72),)</f>
        <v>0.95383188712989331</v>
      </c>
      <c r="Z83" s="373">
        <f>IFERROR(Z82/SUM(Z$44,Z$51,Z$58,Z$65,Z$72),)</f>
        <v>0.6382445837983548</v>
      </c>
      <c r="AA83" s="17">
        <f>$I83</f>
        <v>0.9538318871298932</v>
      </c>
      <c r="AB83" s="17">
        <f>$I83</f>
        <v>0.9538318871298932</v>
      </c>
      <c r="AC83" s="17">
        <f>$I83</f>
        <v>0.9538318871298932</v>
      </c>
      <c r="AD83" s="17">
        <f>$I83</f>
        <v>0.9538318871298932</v>
      </c>
      <c r="AF83" s="327"/>
      <c r="AG83" s="322">
        <f t="shared" si="30"/>
        <v>0</v>
      </c>
      <c r="AK83" s="311"/>
    </row>
    <row r="84" spans="1:37" x14ac:dyDescent="0.3">
      <c r="A84" s="338" t="s">
        <v>559</v>
      </c>
      <c r="D84" s="3" t="s">
        <v>310</v>
      </c>
      <c r="L84" s="16"/>
      <c r="M84" s="16"/>
      <c r="N84" s="15"/>
      <c r="O84" s="246">
        <v>0</v>
      </c>
      <c r="P84" s="16">
        <f t="shared" ref="P84:X84" si="49">SUM(P$44,P$51,P$58,P$65)*P85</f>
        <v>0</v>
      </c>
      <c r="Q84" s="16">
        <f t="shared" si="49"/>
        <v>0</v>
      </c>
      <c r="R84" s="16">
        <f t="shared" si="49"/>
        <v>0</v>
      </c>
      <c r="S84" s="16">
        <f t="shared" si="49"/>
        <v>0</v>
      </c>
      <c r="T84" s="16">
        <f t="shared" si="49"/>
        <v>0</v>
      </c>
      <c r="U84" s="16">
        <f t="shared" si="49"/>
        <v>0</v>
      </c>
      <c r="V84" s="16">
        <f t="shared" si="49"/>
        <v>0</v>
      </c>
      <c r="W84" s="16">
        <f t="shared" si="49"/>
        <v>0</v>
      </c>
      <c r="X84" s="15">
        <f t="shared" si="49"/>
        <v>0</v>
      </c>
      <c r="Y84" s="16">
        <f>SUM(P84:X84)</f>
        <v>0</v>
      </c>
      <c r="Z84" s="246">
        <f>SUM(O84,Y84)</f>
        <v>0</v>
      </c>
      <c r="AA84" s="16">
        <f>SUM(AA$44,AA$51,AA$58,AA$65)*AA85</f>
        <v>0</v>
      </c>
      <c r="AB84" s="16">
        <f>SUM(AB$44,AB$51,AB$58,AB$65)*AB85</f>
        <v>0</v>
      </c>
      <c r="AC84" s="16">
        <f>SUM(AC$44,AC$51,AC$58,AC$65)*AC85</f>
        <v>0</v>
      </c>
      <c r="AD84" s="16">
        <f>SUM(AD$44,AD$51,AD$58,AD$65)*AD85</f>
        <v>0</v>
      </c>
      <c r="AF84" s="327"/>
      <c r="AG84" s="322">
        <f t="shared" si="30"/>
        <v>0</v>
      </c>
      <c r="AK84" s="311"/>
    </row>
    <row r="85" spans="1:37" s="137" customFormat="1" x14ac:dyDescent="0.3">
      <c r="A85" s="338" t="s">
        <v>559</v>
      </c>
      <c r="B85" s="401"/>
      <c r="C85" s="401"/>
      <c r="D85" s="401"/>
      <c r="E85" s="401" t="s">
        <v>317</v>
      </c>
      <c r="F85" s="401"/>
      <c r="G85" s="401"/>
      <c r="H85" s="401"/>
      <c r="I85" s="361">
        <v>0</v>
      </c>
      <c r="J85" s="401"/>
      <c r="K85" s="401"/>
      <c r="L85" s="401"/>
      <c r="M85" s="401"/>
      <c r="N85" s="369"/>
      <c r="O85" s="362">
        <v>0</v>
      </c>
      <c r="P85" s="137">
        <f t="shared" ref="P85:X85" si="50">$I85</f>
        <v>0</v>
      </c>
      <c r="Q85" s="137">
        <f t="shared" si="50"/>
        <v>0</v>
      </c>
      <c r="R85" s="137">
        <f t="shared" si="50"/>
        <v>0</v>
      </c>
      <c r="S85" s="137">
        <f t="shared" si="50"/>
        <v>0</v>
      </c>
      <c r="T85" s="137">
        <f t="shared" si="50"/>
        <v>0</v>
      </c>
      <c r="U85" s="137">
        <f t="shared" si="50"/>
        <v>0</v>
      </c>
      <c r="V85" s="137">
        <f t="shared" si="50"/>
        <v>0</v>
      </c>
      <c r="W85" s="137">
        <f t="shared" si="50"/>
        <v>0</v>
      </c>
      <c r="X85" s="369">
        <f t="shared" si="50"/>
        <v>0</v>
      </c>
      <c r="Y85" s="137">
        <f>IFERROR(Y84/SUM(Y$44,Y$51,Y$58,Y$65,Y$72),)</f>
        <v>0</v>
      </c>
      <c r="Z85" s="373">
        <f>IFERROR(Z84/SUM(Z$44,Z$51,Z$58,Z$65,Z$72),)</f>
        <v>0</v>
      </c>
      <c r="AA85" s="17">
        <f>$I85</f>
        <v>0</v>
      </c>
      <c r="AB85" s="17">
        <f>$I85</f>
        <v>0</v>
      </c>
      <c r="AC85" s="17">
        <f>$I85</f>
        <v>0</v>
      </c>
      <c r="AD85" s="17">
        <f>$I85</f>
        <v>0</v>
      </c>
      <c r="AF85" s="327"/>
      <c r="AG85" s="322">
        <f t="shared" si="30"/>
        <v>0</v>
      </c>
      <c r="AK85" s="311"/>
    </row>
    <row r="86" spans="1:37" x14ac:dyDescent="0.3">
      <c r="A86" s="338" t="s">
        <v>559</v>
      </c>
      <c r="D86" s="3" t="s">
        <v>311</v>
      </c>
      <c r="L86" s="16"/>
      <c r="M86" s="16"/>
      <c r="N86" s="15"/>
      <c r="O86" s="246">
        <v>0</v>
      </c>
      <c r="P86" s="16">
        <f t="shared" ref="P86:X86" si="51">P87*P88</f>
        <v>1.15127264</v>
      </c>
      <c r="Q86" s="16">
        <f t="shared" si="51"/>
        <v>1.15127264</v>
      </c>
      <c r="R86" s="16">
        <f t="shared" si="51"/>
        <v>0.57563631999999998</v>
      </c>
      <c r="S86" s="16">
        <f t="shared" si="51"/>
        <v>0</v>
      </c>
      <c r="T86" s="16">
        <f t="shared" si="51"/>
        <v>0.57563631999999998</v>
      </c>
      <c r="U86" s="16">
        <f t="shared" si="51"/>
        <v>0</v>
      </c>
      <c r="V86" s="16">
        <f t="shared" si="51"/>
        <v>0</v>
      </c>
      <c r="W86" s="16">
        <f t="shared" si="51"/>
        <v>0.57563631999999998</v>
      </c>
      <c r="X86" s="15">
        <f t="shared" si="51"/>
        <v>0</v>
      </c>
      <c r="Y86" s="16">
        <f>SUM(P86:X86)</f>
        <v>4.0294542399999997</v>
      </c>
      <c r="Z86" s="246">
        <f>SUM(O86,Y86)</f>
        <v>4.0294542399999997</v>
      </c>
      <c r="AA86" s="16">
        <f>AA87*AA88</f>
        <v>11.079272251039997</v>
      </c>
      <c r="AB86" s="16">
        <f>AB87*AB88</f>
        <v>11.837327720847997</v>
      </c>
      <c r="AC86" s="16">
        <f>AC87*AC88</f>
        <v>15.634742453696035</v>
      </c>
      <c r="AD86" s="16">
        <f>AD87*AD88</f>
        <v>17.140488419236608</v>
      </c>
      <c r="AF86" s="327"/>
      <c r="AG86" s="322">
        <f t="shared" si="30"/>
        <v>0</v>
      </c>
      <c r="AK86" s="311"/>
    </row>
    <row r="87" spans="1:37" x14ac:dyDescent="0.3">
      <c r="A87" s="338" t="s">
        <v>559</v>
      </c>
      <c r="E87" s="3" t="s">
        <v>318</v>
      </c>
      <c r="L87" s="16"/>
      <c r="M87" s="16"/>
      <c r="N87" s="15"/>
      <c r="O87" s="246">
        <v>0</v>
      </c>
      <c r="P87" s="16">
        <f t="shared" ref="P87:X87" si="52">SUM(P46,P53,P60,P67,P74)</f>
        <v>2</v>
      </c>
      <c r="Q87" s="16">
        <f t="shared" si="52"/>
        <v>2</v>
      </c>
      <c r="R87" s="16">
        <f t="shared" si="52"/>
        <v>1</v>
      </c>
      <c r="S87" s="16">
        <f t="shared" si="52"/>
        <v>0</v>
      </c>
      <c r="T87" s="16">
        <f t="shared" si="52"/>
        <v>1</v>
      </c>
      <c r="U87" s="16">
        <f t="shared" si="52"/>
        <v>0</v>
      </c>
      <c r="V87" s="16">
        <f t="shared" si="52"/>
        <v>0</v>
      </c>
      <c r="W87" s="16">
        <f t="shared" si="52"/>
        <v>1</v>
      </c>
      <c r="X87" s="15">
        <f t="shared" si="52"/>
        <v>0</v>
      </c>
      <c r="Y87" s="16">
        <f>SUM(P87:X87)</f>
        <v>7</v>
      </c>
      <c r="Z87" s="246">
        <f>SUM(O87,Y87)</f>
        <v>7</v>
      </c>
      <c r="AA87" s="16">
        <f>SUM(AA46,AA53,AA60,AA67,AA74)</f>
        <v>19</v>
      </c>
      <c r="AB87" s="16">
        <f>SUM(AB46,AB53,AB60,AB67,AB74)</f>
        <v>20</v>
      </c>
      <c r="AC87" s="16">
        <f>SUM(AC46,AC53,AC60,AC67,AC74)</f>
        <v>26</v>
      </c>
      <c r="AD87" s="16">
        <f>SUM(AD46,AD53,AD60,AD67,AD74)</f>
        <v>28</v>
      </c>
      <c r="AF87" s="327"/>
      <c r="AG87" s="322">
        <f t="shared" si="30"/>
        <v>0</v>
      </c>
      <c r="AK87" s="311"/>
    </row>
    <row r="88" spans="1:37" x14ac:dyDescent="0.3">
      <c r="A88" s="338" t="s">
        <v>559</v>
      </c>
      <c r="E88" s="3" t="s">
        <v>319</v>
      </c>
      <c r="I88" s="365">
        <v>0.57563631999999998</v>
      </c>
      <c r="L88" s="16"/>
      <c r="M88" s="16"/>
      <c r="N88" s="15"/>
      <c r="O88" s="250">
        <v>0</v>
      </c>
      <c r="P88" s="247">
        <f t="shared" ref="P88:X88" si="53">$I88</f>
        <v>0.57563631999999998</v>
      </c>
      <c r="Q88" s="247">
        <f t="shared" si="53"/>
        <v>0.57563631999999998</v>
      </c>
      <c r="R88" s="247">
        <f t="shared" si="53"/>
        <v>0.57563631999999998</v>
      </c>
      <c r="S88" s="247">
        <f t="shared" si="53"/>
        <v>0.57563631999999998</v>
      </c>
      <c r="T88" s="247">
        <f t="shared" si="53"/>
        <v>0.57563631999999998</v>
      </c>
      <c r="U88" s="247">
        <f t="shared" si="53"/>
        <v>0.57563631999999998</v>
      </c>
      <c r="V88" s="247">
        <f t="shared" si="53"/>
        <v>0.57563631999999998</v>
      </c>
      <c r="W88" s="247">
        <f t="shared" si="53"/>
        <v>0.57563631999999998</v>
      </c>
      <c r="X88" s="247">
        <f t="shared" si="53"/>
        <v>0.57563631999999998</v>
      </c>
      <c r="Y88" s="250">
        <f>Y86/Y87</f>
        <v>0.57563631999999998</v>
      </c>
      <c r="Z88" s="250">
        <f>Z86/Z87</f>
        <v>0.57563631999999998</v>
      </c>
      <c r="AA88" s="16">
        <f>$I88*(1+'Key Assumption'!AB$25)</f>
        <v>0.58311959215999987</v>
      </c>
      <c r="AB88" s="16">
        <f>AA88*(1+'Key Assumption'!AC$25)</f>
        <v>0.59186638604239983</v>
      </c>
      <c r="AC88" s="16">
        <f>AB88*(1+'Key Assumption'!AD$25)</f>
        <v>0.60133624821907827</v>
      </c>
      <c r="AD88" s="16">
        <f>AC88*(1+'Key Assumption'!AE$25)</f>
        <v>0.61216030068702165</v>
      </c>
      <c r="AF88" s="327"/>
      <c r="AG88" s="322">
        <f t="shared" si="30"/>
        <v>0</v>
      </c>
      <c r="AK88" s="311"/>
    </row>
    <row r="89" spans="1:37" x14ac:dyDescent="0.3">
      <c r="A89" s="338" t="s">
        <v>559</v>
      </c>
      <c r="D89" s="3" t="s">
        <v>343</v>
      </c>
      <c r="L89" s="16"/>
      <c r="M89" s="16"/>
      <c r="N89" s="15"/>
      <c r="O89" s="246">
        <v>0</v>
      </c>
      <c r="P89" s="16">
        <v>-8.9085163999999377</v>
      </c>
      <c r="Q89" s="16">
        <v>-8.9085163999999377</v>
      </c>
      <c r="R89" s="16">
        <v>-8.1147364000000266</v>
      </c>
      <c r="S89" s="16">
        <v>-3.870000000000005</v>
      </c>
      <c r="T89" s="16">
        <v>-6.3892582000000298</v>
      </c>
      <c r="U89" s="16">
        <v>-3.870000000000005</v>
      </c>
      <c r="V89" s="16">
        <v>-3.870000000000005</v>
      </c>
      <c r="W89" s="16">
        <v>-6.3892582000000298</v>
      </c>
      <c r="X89" s="15">
        <v>-3.870000000000005</v>
      </c>
      <c r="Y89" s="16">
        <f>SUM(P89:X89)</f>
        <v>-54.190285599999982</v>
      </c>
      <c r="Z89" s="246">
        <f>SUM(O89,Y89)</f>
        <v>-54.190285599999982</v>
      </c>
      <c r="AA89" s="119"/>
      <c r="AB89" s="119"/>
      <c r="AC89" s="119"/>
      <c r="AD89" s="119"/>
      <c r="AF89" s="327"/>
      <c r="AG89" s="322">
        <f t="shared" si="30"/>
        <v>0</v>
      </c>
      <c r="AK89" s="311"/>
    </row>
    <row r="90" spans="1:37" x14ac:dyDescent="0.3">
      <c r="A90" s="338" t="s">
        <v>559</v>
      </c>
      <c r="B90" s="92"/>
      <c r="C90" s="92"/>
      <c r="D90" s="92" t="s">
        <v>105</v>
      </c>
      <c r="E90" s="92"/>
      <c r="F90" s="92"/>
      <c r="G90" s="92"/>
      <c r="H90" s="92"/>
      <c r="I90" s="92"/>
      <c r="J90" s="92"/>
      <c r="K90" s="92"/>
      <c r="L90" s="130"/>
      <c r="M90" s="130"/>
      <c r="N90" s="131"/>
      <c r="O90" s="330">
        <v>0</v>
      </c>
      <c r="P90" s="130">
        <v>0</v>
      </c>
      <c r="Q90" s="130">
        <v>0</v>
      </c>
      <c r="R90" s="130">
        <v>0</v>
      </c>
      <c r="S90" s="130">
        <v>0</v>
      </c>
      <c r="T90" s="130">
        <v>0</v>
      </c>
      <c r="U90" s="130">
        <v>0</v>
      </c>
      <c r="V90" s="130">
        <v>0</v>
      </c>
      <c r="W90" s="130">
        <v>0</v>
      </c>
      <c r="X90" s="131">
        <v>0</v>
      </c>
      <c r="Y90" s="130">
        <f>SUM(P90:X90)</f>
        <v>0</v>
      </c>
      <c r="Z90" s="330">
        <f>SUM(O90,Y90)</f>
        <v>0</v>
      </c>
      <c r="AA90" s="281"/>
      <c r="AB90" s="281"/>
      <c r="AC90" s="281"/>
      <c r="AD90" s="281"/>
      <c r="AF90" s="327"/>
      <c r="AG90" s="322">
        <f t="shared" si="30"/>
        <v>0</v>
      </c>
      <c r="AK90" s="311"/>
    </row>
    <row r="91" spans="1:37" x14ac:dyDescent="0.3">
      <c r="AF91" s="327"/>
      <c r="AG91" s="322">
        <f t="shared" si="30"/>
        <v>0</v>
      </c>
      <c r="AK91" s="311"/>
    </row>
    <row r="92" spans="1:37" x14ac:dyDescent="0.3">
      <c r="B92" s="8"/>
      <c r="C92" s="8"/>
      <c r="D92" s="8"/>
      <c r="E92" s="8"/>
      <c r="F92" s="8"/>
      <c r="G92" s="8"/>
      <c r="H92" s="8"/>
      <c r="I92" s="8"/>
      <c r="J92" s="8"/>
      <c r="K92" s="8"/>
      <c r="L92" s="9" t="s">
        <v>182</v>
      </c>
      <c r="M92" s="9" t="s">
        <v>183</v>
      </c>
      <c r="N92" s="10" t="s">
        <v>184</v>
      </c>
      <c r="O92" s="244" t="s">
        <v>4</v>
      </c>
      <c r="P92" s="9" t="s">
        <v>215</v>
      </c>
      <c r="Q92" s="9" t="s">
        <v>216</v>
      </c>
      <c r="R92" s="9" t="s">
        <v>217</v>
      </c>
      <c r="S92" s="9" t="s">
        <v>218</v>
      </c>
      <c r="T92" s="9" t="s">
        <v>219</v>
      </c>
      <c r="U92" s="9" t="s">
        <v>220</v>
      </c>
      <c r="V92" s="9" t="s">
        <v>221</v>
      </c>
      <c r="W92" s="9" t="s">
        <v>222</v>
      </c>
      <c r="X92" s="10" t="s">
        <v>223</v>
      </c>
      <c r="Y92" s="9" t="s">
        <v>294</v>
      </c>
      <c r="Z92" s="244" t="s">
        <v>197</v>
      </c>
      <c r="AA92" s="9" t="s">
        <v>198</v>
      </c>
      <c r="AB92" s="9" t="s">
        <v>199</v>
      </c>
      <c r="AC92" s="9" t="s">
        <v>200</v>
      </c>
      <c r="AD92" s="9" t="s">
        <v>201</v>
      </c>
      <c r="AF92" s="327"/>
      <c r="AG92" s="322">
        <f t="shared" si="30"/>
        <v>0</v>
      </c>
      <c r="AK92" s="311"/>
    </row>
    <row r="93" spans="1:37" x14ac:dyDescent="0.3">
      <c r="A93" s="338" t="s">
        <v>242</v>
      </c>
      <c r="B93" s="11" t="s">
        <v>558</v>
      </c>
      <c r="L93" s="16"/>
      <c r="M93" s="16"/>
      <c r="N93" s="15"/>
      <c r="O93" s="326">
        <f>O94+O101+O108+O115+O129+O122</f>
        <v>11667.5313861912</v>
      </c>
      <c r="P93" s="13">
        <f t="shared" ref="P93:AD93" si="54">P94+P101+P108+P115+P129+P122</f>
        <v>3889.8863082760722</v>
      </c>
      <c r="Q93" s="13">
        <f t="shared" si="54"/>
        <v>4201.2878906015912</v>
      </c>
      <c r="R93" s="13">
        <f t="shared" si="54"/>
        <v>3874.9430620951798</v>
      </c>
      <c r="S93" s="13">
        <f t="shared" si="54"/>
        <v>4142.5827421166568</v>
      </c>
      <c r="T93" s="13">
        <f t="shared" si="54"/>
        <v>4014.7043624664384</v>
      </c>
      <c r="U93" s="13">
        <f t="shared" si="54"/>
        <v>3966.9472716162063</v>
      </c>
      <c r="V93" s="13">
        <f t="shared" si="54"/>
        <v>3369.8558518872337</v>
      </c>
      <c r="W93" s="13">
        <f t="shared" si="54"/>
        <v>3893.7431047423788</v>
      </c>
      <c r="X93" s="124">
        <f t="shared" si="54"/>
        <v>3797.7025027505497</v>
      </c>
      <c r="Y93" s="13">
        <f t="shared" si="54"/>
        <v>35151.653096552305</v>
      </c>
      <c r="Z93" s="326">
        <f t="shared" si="54"/>
        <v>46819.184482743512</v>
      </c>
      <c r="AA93" s="13">
        <f t="shared" si="54"/>
        <v>49760.336726923742</v>
      </c>
      <c r="AB93" s="13">
        <f t="shared" si="54"/>
        <v>59389.386236271348</v>
      </c>
      <c r="AC93" s="13">
        <f t="shared" si="54"/>
        <v>71289.469425351548</v>
      </c>
      <c r="AD93" s="13">
        <f t="shared" si="54"/>
        <v>77399.753932139196</v>
      </c>
      <c r="AF93" s="327"/>
      <c r="AG93" s="322">
        <f t="shared" si="30"/>
        <v>0</v>
      </c>
      <c r="AK93" s="311"/>
    </row>
    <row r="94" spans="1:37" x14ac:dyDescent="0.3">
      <c r="A94" s="338" t="s">
        <v>242</v>
      </c>
      <c r="B94" s="11"/>
      <c r="C94" s="3" t="s">
        <v>146</v>
      </c>
      <c r="L94" s="16"/>
      <c r="M94" s="16"/>
      <c r="N94" s="15"/>
      <c r="O94" s="306"/>
      <c r="P94" s="119"/>
      <c r="Q94" s="119"/>
      <c r="R94" s="119"/>
      <c r="S94" s="119"/>
      <c r="T94" s="119"/>
      <c r="U94" s="119"/>
      <c r="V94" s="119"/>
      <c r="W94" s="119"/>
      <c r="X94" s="294"/>
      <c r="Y94" s="119"/>
      <c r="Z94" s="306"/>
      <c r="AA94" s="119"/>
      <c r="AB94" s="119"/>
      <c r="AC94" s="119"/>
      <c r="AD94" s="119"/>
      <c r="AF94" s="327"/>
      <c r="AG94" s="322">
        <f t="shared" si="30"/>
        <v>0</v>
      </c>
      <c r="AK94" s="311"/>
    </row>
    <row r="95" spans="1:37" x14ac:dyDescent="0.3">
      <c r="A95" s="338" t="s">
        <v>242</v>
      </c>
      <c r="B95" s="11"/>
      <c r="D95" s="3" t="s">
        <v>560</v>
      </c>
      <c r="L95" s="16"/>
      <c r="M95" s="16"/>
      <c r="N95" s="15"/>
      <c r="O95" s="306"/>
      <c r="P95" s="119"/>
      <c r="Q95" s="119"/>
      <c r="R95" s="119"/>
      <c r="S95" s="119"/>
      <c r="T95" s="119"/>
      <c r="U95" s="119"/>
      <c r="V95" s="119"/>
      <c r="W95" s="119"/>
      <c r="X95" s="294"/>
      <c r="Y95" s="119"/>
      <c r="Z95" s="306"/>
      <c r="AA95" s="119"/>
      <c r="AB95" s="119"/>
      <c r="AC95" s="119"/>
      <c r="AD95" s="119"/>
      <c r="AF95" s="327"/>
      <c r="AG95" s="322">
        <f t="shared" si="30"/>
        <v>0</v>
      </c>
      <c r="AK95" s="311"/>
    </row>
    <row r="96" spans="1:37" x14ac:dyDescent="0.3">
      <c r="A96" s="338" t="s">
        <v>242</v>
      </c>
      <c r="B96" s="11"/>
      <c r="E96" s="3" t="s">
        <v>324</v>
      </c>
      <c r="L96" s="16"/>
      <c r="M96" s="16"/>
      <c r="N96" s="15"/>
      <c r="O96" s="306"/>
      <c r="P96" s="119"/>
      <c r="Q96" s="119"/>
      <c r="R96" s="119"/>
      <c r="S96" s="119"/>
      <c r="T96" s="119"/>
      <c r="U96" s="119"/>
      <c r="V96" s="119"/>
      <c r="W96" s="119"/>
      <c r="X96" s="294"/>
      <c r="Y96" s="119"/>
      <c r="Z96" s="306"/>
      <c r="AA96" s="119"/>
      <c r="AB96" s="119"/>
      <c r="AC96" s="119"/>
      <c r="AD96" s="119"/>
      <c r="AF96" s="327"/>
      <c r="AG96" s="322" t="str">
        <f t="shared" si="30"/>
        <v>5축</v>
      </c>
      <c r="AK96" s="311"/>
    </row>
    <row r="97" spans="1:37" x14ac:dyDescent="0.3">
      <c r="A97" s="338" t="s">
        <v>242</v>
      </c>
      <c r="B97" s="11"/>
      <c r="F97" s="3" t="s">
        <v>464</v>
      </c>
      <c r="L97" s="16"/>
      <c r="M97" s="16"/>
      <c r="N97" s="15"/>
      <c r="O97" s="306"/>
      <c r="P97" s="119"/>
      <c r="Q97" s="119"/>
      <c r="R97" s="119"/>
      <c r="S97" s="119"/>
      <c r="T97" s="119"/>
      <c r="U97" s="119"/>
      <c r="V97" s="119"/>
      <c r="W97" s="119"/>
      <c r="X97" s="294"/>
      <c r="Y97" s="119"/>
      <c r="Z97" s="306"/>
      <c r="AA97" s="119"/>
      <c r="AB97" s="119"/>
      <c r="AC97" s="119"/>
      <c r="AD97" s="119"/>
      <c r="AF97" s="327"/>
      <c r="AG97" s="322">
        <f>IF($E97="판매수량",$C95,)</f>
        <v>0</v>
      </c>
      <c r="AK97" s="311"/>
    </row>
    <row r="98" spans="1:37" x14ac:dyDescent="0.3">
      <c r="A98" s="338" t="s">
        <v>242</v>
      </c>
      <c r="B98" s="11"/>
      <c r="F98" s="3" t="s">
        <v>465</v>
      </c>
      <c r="L98" s="16"/>
      <c r="M98" s="16"/>
      <c r="N98" s="15"/>
      <c r="O98" s="306"/>
      <c r="P98" s="119"/>
      <c r="Q98" s="119"/>
      <c r="R98" s="119"/>
      <c r="S98" s="119"/>
      <c r="T98" s="119"/>
      <c r="U98" s="119"/>
      <c r="V98" s="119"/>
      <c r="W98" s="119"/>
      <c r="X98" s="294"/>
      <c r="Y98" s="119"/>
      <c r="Z98" s="306"/>
      <c r="AA98" s="119"/>
      <c r="AB98" s="119"/>
      <c r="AC98" s="119"/>
      <c r="AD98" s="119"/>
      <c r="AF98" s="327"/>
      <c r="AG98" s="322">
        <f t="shared" si="30"/>
        <v>0</v>
      </c>
      <c r="AK98" s="311"/>
    </row>
    <row r="99" spans="1:37" x14ac:dyDescent="0.3">
      <c r="A99" s="338" t="s">
        <v>242</v>
      </c>
      <c r="B99" s="11"/>
      <c r="E99" s="3" t="s">
        <v>561</v>
      </c>
      <c r="I99" s="291" t="s">
        <v>279</v>
      </c>
      <c r="L99" s="16"/>
      <c r="M99" s="16"/>
      <c r="N99" s="15"/>
      <c r="O99" s="306"/>
      <c r="P99" s="119"/>
      <c r="Q99" s="119"/>
      <c r="R99" s="119"/>
      <c r="S99" s="119"/>
      <c r="T99" s="119"/>
      <c r="U99" s="119"/>
      <c r="V99" s="119"/>
      <c r="W99" s="119"/>
      <c r="X99" s="294"/>
      <c r="Y99" s="119"/>
      <c r="Z99" s="306"/>
      <c r="AA99" s="119"/>
      <c r="AB99" s="119"/>
      <c r="AC99" s="119"/>
      <c r="AD99" s="119"/>
      <c r="AF99" s="327"/>
      <c r="AG99" s="322">
        <f t="shared" si="30"/>
        <v>0</v>
      </c>
      <c r="AK99" s="311"/>
    </row>
    <row r="100" spans="1:37" x14ac:dyDescent="0.3">
      <c r="A100" s="338" t="s">
        <v>242</v>
      </c>
      <c r="B100" s="11"/>
      <c r="D100" s="3" t="s">
        <v>333</v>
      </c>
      <c r="I100" s="291"/>
      <c r="L100" s="16"/>
      <c r="M100" s="16"/>
      <c r="N100" s="15"/>
      <c r="O100" s="306"/>
      <c r="P100" s="119"/>
      <c r="Q100" s="119"/>
      <c r="R100" s="119"/>
      <c r="S100" s="119"/>
      <c r="T100" s="119"/>
      <c r="U100" s="119"/>
      <c r="V100" s="119"/>
      <c r="W100" s="119"/>
      <c r="X100" s="294"/>
      <c r="Y100" s="119"/>
      <c r="Z100" s="306"/>
      <c r="AA100" s="119"/>
      <c r="AB100" s="119"/>
      <c r="AC100" s="119"/>
      <c r="AD100" s="119"/>
      <c r="AF100" s="327"/>
      <c r="AG100" s="322">
        <f t="shared" si="30"/>
        <v>0</v>
      </c>
      <c r="AK100" s="311"/>
    </row>
    <row r="101" spans="1:37" x14ac:dyDescent="0.3">
      <c r="A101" s="338" t="s">
        <v>242</v>
      </c>
      <c r="C101" s="3" t="s">
        <v>147</v>
      </c>
      <c r="L101" s="16"/>
      <c r="M101" s="16"/>
      <c r="N101" s="15"/>
      <c r="O101" s="246">
        <v>2477.42334996</v>
      </c>
      <c r="P101" s="16">
        <f t="shared" ref="P101:X101" si="55">P102*P107/10^6</f>
        <v>1828.1619081442238</v>
      </c>
      <c r="Q101" s="16">
        <f t="shared" si="55"/>
        <v>2113.8122062917587</v>
      </c>
      <c r="R101" s="16">
        <f t="shared" si="55"/>
        <v>1942.4220274032377</v>
      </c>
      <c r="S101" s="16">
        <f t="shared" si="55"/>
        <v>2212.6948998521657</v>
      </c>
      <c r="T101" s="16">
        <f t="shared" si="55"/>
        <v>2042.4875998635375</v>
      </c>
      <c r="U101" s="16">
        <f t="shared" si="55"/>
        <v>2099.2233665264134</v>
      </c>
      <c r="V101" s="16">
        <f t="shared" si="55"/>
        <v>1280.9600849030849</v>
      </c>
      <c r="W101" s="16">
        <f t="shared" si="55"/>
        <v>2227.7566693966687</v>
      </c>
      <c r="X101" s="15">
        <f t="shared" si="55"/>
        <v>1782.2053355173352</v>
      </c>
      <c r="Y101" s="16">
        <f>SUM(P101:X101)</f>
        <v>17529.724097898426</v>
      </c>
      <c r="Z101" s="246">
        <f>SUM(O101,Y101)</f>
        <v>20007.147447858428</v>
      </c>
      <c r="AA101" s="16">
        <f t="shared" ref="AA101:AD101" si="56">AA102*AA107/10^6</f>
        <v>22407.065996942452</v>
      </c>
      <c r="AB101" s="16">
        <f t="shared" si="56"/>
        <v>26151.334547925166</v>
      </c>
      <c r="AC101" s="16">
        <f t="shared" si="56"/>
        <v>28477.89138499117</v>
      </c>
      <c r="AD101" s="16">
        <f t="shared" si="56"/>
        <v>30785.648387536901</v>
      </c>
      <c r="AF101" s="327"/>
      <c r="AG101" s="322">
        <f t="shared" si="30"/>
        <v>0</v>
      </c>
      <c r="AK101" s="311"/>
    </row>
    <row r="102" spans="1:37" x14ac:dyDescent="0.3">
      <c r="A102" s="338" t="s">
        <v>242</v>
      </c>
      <c r="D102" s="3" t="s">
        <v>560</v>
      </c>
      <c r="L102" s="16"/>
      <c r="M102" s="16"/>
      <c r="N102" s="15"/>
      <c r="O102" s="246">
        <v>13423403.5</v>
      </c>
      <c r="P102" s="16">
        <f t="shared" ref="P102:V102" si="57">P103*P106</f>
        <v>10036309.909909908</v>
      </c>
      <c r="Q102" s="16">
        <f t="shared" si="57"/>
        <v>11604483.33333333</v>
      </c>
      <c r="R102" s="16">
        <f t="shared" si="57"/>
        <v>10663579.279279277</v>
      </c>
      <c r="S102" s="16">
        <f t="shared" si="57"/>
        <v>12231752.702702699</v>
      </c>
      <c r="T102" s="16">
        <f t="shared" si="57"/>
        <v>11290848.648648646</v>
      </c>
      <c r="U102" s="16">
        <f t="shared" si="57"/>
        <v>11604483.33333333</v>
      </c>
      <c r="V102" s="16">
        <f t="shared" si="57"/>
        <v>7213597.7477477463</v>
      </c>
      <c r="W102" s="16">
        <f>W103*W106</f>
        <v>12545387.387387384</v>
      </c>
      <c r="X102" s="15">
        <f t="shared" ref="X102" si="58">X103*X106</f>
        <v>10036309.909909908</v>
      </c>
      <c r="Y102" s="16">
        <f>SUM(P102:X102)</f>
        <v>97226752.252252221</v>
      </c>
      <c r="Z102" s="246">
        <f>Y102+O102</f>
        <v>110650155.75225222</v>
      </c>
      <c r="AA102" s="16">
        <f t="shared" ref="AA102:AD102" si="59">AA103*AA106</f>
        <v>128773271.72349234</v>
      </c>
      <c r="AB102" s="16">
        <f t="shared" si="59"/>
        <v>148839347.90132147</v>
      </c>
      <c r="AC102" s="16">
        <f t="shared" si="59"/>
        <v>160162909.52369335</v>
      </c>
      <c r="AD102" s="16">
        <f t="shared" si="59"/>
        <v>172292948.03024983</v>
      </c>
      <c r="AF102" s="327"/>
      <c r="AG102" s="322">
        <f t="shared" si="30"/>
        <v>0</v>
      </c>
      <c r="AK102" s="311"/>
    </row>
    <row r="103" spans="1:37" x14ac:dyDescent="0.3">
      <c r="A103" s="338" t="s">
        <v>242</v>
      </c>
      <c r="E103" s="3" t="s">
        <v>324</v>
      </c>
      <c r="L103" s="16"/>
      <c r="M103" s="16"/>
      <c r="N103" s="15"/>
      <c r="O103" s="246">
        <v>39</v>
      </c>
      <c r="P103" s="16">
        <f>SUMIFS(INDEX(판매수량!$N$2:$V$82,0,MATCH(P$42,판매수량!$N$2:$V$2,0)),판매수량!$A$2:$A$82,$A103,판매수량!$B$2:$B$82,$AG103)</f>
        <v>32</v>
      </c>
      <c r="Q103" s="16">
        <f>SUMIFS(INDEX(판매수량!$N$2:$V$82,0,MATCH(Q$42,판매수량!$N$2:$V$2,0)),판매수량!$A$2:$A$82,$A103,판매수량!$B$2:$B$82,$AG103)</f>
        <v>37</v>
      </c>
      <c r="R103" s="16">
        <f>SUMIFS(INDEX(판매수량!$N$2:$V$82,0,MATCH(R$42,판매수량!$N$2:$V$2,0)),판매수량!$A$2:$A$82,$A103,판매수량!$B$2:$B$82,$AG103)</f>
        <v>34</v>
      </c>
      <c r="S103" s="16">
        <f>SUMIFS(INDEX(판매수량!$N$2:$V$82,0,MATCH(S$42,판매수량!$N$2:$V$2,0)),판매수량!$A$2:$A$82,$A103,판매수량!$B$2:$B$82,$AG103)</f>
        <v>39</v>
      </c>
      <c r="T103" s="16">
        <f>SUMIFS(INDEX(판매수량!$N$2:$V$82,0,MATCH(T$42,판매수량!$N$2:$V$2,0)),판매수량!$A$2:$A$82,$A103,판매수량!$B$2:$B$82,$AG103)</f>
        <v>36</v>
      </c>
      <c r="U103" s="16">
        <f>SUMIFS(INDEX(판매수량!$N$2:$V$82,0,MATCH(U$42,판매수량!$N$2:$V$2,0)),판매수량!$A$2:$A$82,$A103,판매수량!$B$2:$B$82,$AG103)</f>
        <v>37</v>
      </c>
      <c r="V103" s="16">
        <f>SUMIFS(INDEX(판매수량!$N$2:$V$82,0,MATCH(V$42,판매수량!$N$2:$V$2,0)),판매수량!$A$2:$A$82,$A103,판매수량!$B$2:$B$82,$AG103)</f>
        <v>23</v>
      </c>
      <c r="W103" s="16">
        <f>SUMIFS(INDEX(판매수량!$N$2:$V$82,0,MATCH(W$42,판매수량!$N$2:$V$2,0)),판매수량!$A$2:$A$82,$A103,판매수량!$B$2:$B$82,$AG103)</f>
        <v>40</v>
      </c>
      <c r="X103" s="15">
        <f>SUMIFS(INDEX(판매수량!$N$2:$V$82,0,MATCH(X$42,판매수량!$N$2:$V$2,0)),판매수량!$A$2:$A$82,$A103,판매수량!$B$2:$B$82,$AG103)</f>
        <v>32</v>
      </c>
      <c r="Y103" s="16">
        <f>SUM(P103:X103)</f>
        <v>310</v>
      </c>
      <c r="Z103" s="246">
        <f>SUM(O103,Y103)</f>
        <v>349</v>
      </c>
      <c r="AA103" s="16">
        <f>ROUND(AA104*AA105,)</f>
        <v>404</v>
      </c>
      <c r="AB103" s="16">
        <f>ROUND(AB104*AB105,)</f>
        <v>464</v>
      </c>
      <c r="AC103" s="16">
        <f>ROUND(AC104*AC105,)</f>
        <v>496</v>
      </c>
      <c r="AD103" s="16">
        <f>ROUND(AD104*AD105,)</f>
        <v>530</v>
      </c>
      <c r="AF103" s="327"/>
      <c r="AG103" s="322" t="str">
        <f t="shared" si="30"/>
        <v>선반</v>
      </c>
      <c r="AK103" s="311"/>
    </row>
    <row r="104" spans="1:37" x14ac:dyDescent="0.3">
      <c r="A104" s="338" t="s">
        <v>242</v>
      </c>
      <c r="F104" s="3" t="s">
        <v>464</v>
      </c>
      <c r="L104" s="16"/>
      <c r="M104" s="16"/>
      <c r="N104" s="15"/>
      <c r="O104" s="306"/>
      <c r="P104" s="119"/>
      <c r="Q104" s="119"/>
      <c r="R104" s="119"/>
      <c r="S104" s="119"/>
      <c r="T104" s="119"/>
      <c r="U104" s="119"/>
      <c r="V104" s="119"/>
      <c r="W104" s="119"/>
      <c r="X104" s="294"/>
      <c r="Y104" s="119"/>
      <c r="Z104" s="246">
        <f>'Key Assumption'!AA115</f>
        <v>25</v>
      </c>
      <c r="AA104" s="16">
        <f>'Key Assumption'!AB115</f>
        <v>27</v>
      </c>
      <c r="AB104" s="16">
        <f>'Key Assumption'!AC115</f>
        <v>29</v>
      </c>
      <c r="AC104" s="16">
        <f>'Key Assumption'!AD115</f>
        <v>29</v>
      </c>
      <c r="AD104" s="16">
        <f>'Key Assumption'!AE115</f>
        <v>29</v>
      </c>
      <c r="AF104" s="327"/>
      <c r="AG104" s="322">
        <f t="shared" si="30"/>
        <v>0</v>
      </c>
      <c r="AK104" s="311"/>
    </row>
    <row r="105" spans="1:37" x14ac:dyDescent="0.3">
      <c r="A105" s="338" t="s">
        <v>242</v>
      </c>
      <c r="F105" s="3" t="s">
        <v>465</v>
      </c>
      <c r="L105" s="16"/>
      <c r="M105" s="16"/>
      <c r="N105" s="15"/>
      <c r="O105" s="306"/>
      <c r="P105" s="119"/>
      <c r="Q105" s="119"/>
      <c r="R105" s="119"/>
      <c r="S105" s="119"/>
      <c r="T105" s="119"/>
      <c r="U105" s="119"/>
      <c r="V105" s="119"/>
      <c r="W105" s="119"/>
      <c r="X105" s="294"/>
      <c r="Y105" s="119"/>
      <c r="Z105" s="246">
        <f>IFERROR(Z103/Z104,)</f>
        <v>13.96</v>
      </c>
      <c r="AA105" s="16">
        <f>'Key Assumption'!AB226</f>
        <v>14.968786720427294</v>
      </c>
      <c r="AB105" s="16">
        <f>'Key Assumption'!AC226</f>
        <v>16.012418006318622</v>
      </c>
      <c r="AC105" s="16">
        <f>'Key Assumption'!AD226</f>
        <v>17.088457174774401</v>
      </c>
      <c r="AD105" s="16">
        <f>'Key Assumption'!AE226</f>
        <v>18.266106020142786</v>
      </c>
      <c r="AF105" s="327"/>
      <c r="AG105" s="322">
        <f t="shared" si="30"/>
        <v>0</v>
      </c>
      <c r="AK105" s="311"/>
    </row>
    <row r="106" spans="1:37" x14ac:dyDescent="0.3">
      <c r="A106" s="338" t="s">
        <v>242</v>
      </c>
      <c r="E106" s="3" t="s">
        <v>561</v>
      </c>
      <c r="I106" s="291" t="s">
        <v>279</v>
      </c>
      <c r="L106" s="16"/>
      <c r="M106" s="16"/>
      <c r="N106" s="15"/>
      <c r="O106" s="246">
        <f>O102/O103</f>
        <v>344189.83333333331</v>
      </c>
      <c r="P106" s="16">
        <f>'Key Assumption'!R364</f>
        <v>313634.68468468462</v>
      </c>
      <c r="Q106" s="16">
        <f>'Key Assumption'!S364</f>
        <v>313634.68468468462</v>
      </c>
      <c r="R106" s="16">
        <f>'Key Assumption'!T364</f>
        <v>313634.68468468462</v>
      </c>
      <c r="S106" s="16">
        <f>'Key Assumption'!U364</f>
        <v>313634.68468468462</v>
      </c>
      <c r="T106" s="16">
        <f>'Key Assumption'!V364</f>
        <v>313634.68468468462</v>
      </c>
      <c r="U106" s="16">
        <f>'Key Assumption'!W364</f>
        <v>313634.68468468462</v>
      </c>
      <c r="V106" s="16">
        <f>'Key Assumption'!X364</f>
        <v>313634.68468468462</v>
      </c>
      <c r="W106" s="16">
        <f>'Key Assumption'!Y364</f>
        <v>313634.68468468462</v>
      </c>
      <c r="X106" s="15">
        <f>'Key Assumption'!Z364</f>
        <v>313634.68468468462</v>
      </c>
      <c r="Y106" s="16">
        <f>IFERROR(Y102/Y103,)</f>
        <v>313634.68468468456</v>
      </c>
      <c r="Z106" s="246">
        <f>Z102/Z103</f>
        <v>317049.15688324417</v>
      </c>
      <c r="AA106" s="16">
        <f>'Key Assumption'!AB364</f>
        <v>318745.72208785231</v>
      </c>
      <c r="AB106" s="16">
        <f>'Key Assumption'!AC364</f>
        <v>320774.45668388251</v>
      </c>
      <c r="AC106" s="16">
        <f>'Key Assumption'!AD364</f>
        <v>322909.09178163984</v>
      </c>
      <c r="AD106" s="16">
        <f>'Key Assumption'!AE364</f>
        <v>325081.03401933931</v>
      </c>
      <c r="AF106" s="327"/>
      <c r="AG106" s="322">
        <f t="shared" si="30"/>
        <v>0</v>
      </c>
      <c r="AK106" s="311"/>
    </row>
    <row r="107" spans="1:37" x14ac:dyDescent="0.3">
      <c r="A107" s="338" t="s">
        <v>242</v>
      </c>
      <c r="D107" s="3" t="s">
        <v>333</v>
      </c>
      <c r="I107" s="291"/>
      <c r="L107" s="16"/>
      <c r="M107" s="16"/>
      <c r="N107" s="15"/>
      <c r="O107" s="246">
        <f>O101/O102*10^6</f>
        <v>184.56</v>
      </c>
      <c r="P107" s="16">
        <f t="shared" ref="P107:X107" si="60">P$293</f>
        <v>182.15478841870822</v>
      </c>
      <c r="Q107" s="16">
        <f t="shared" si="60"/>
        <v>182.15478841870822</v>
      </c>
      <c r="R107" s="16">
        <f t="shared" si="60"/>
        <v>182.15478841870822</v>
      </c>
      <c r="S107" s="16">
        <f t="shared" si="60"/>
        <v>180.89761570827488</v>
      </c>
      <c r="T107" s="16">
        <f t="shared" si="60"/>
        <v>180.89761570827488</v>
      </c>
      <c r="U107" s="16">
        <f t="shared" si="60"/>
        <v>180.89761570827488</v>
      </c>
      <c r="V107" s="16">
        <f t="shared" si="60"/>
        <v>177.57575757575759</v>
      </c>
      <c r="W107" s="16">
        <f t="shared" si="60"/>
        <v>177.57575757575759</v>
      </c>
      <c r="X107" s="15">
        <f t="shared" si="60"/>
        <v>177.57575757575759</v>
      </c>
      <c r="Y107" s="16">
        <f>IFERROR(Y101/Y102,)*10^6</f>
        <v>180.29733269726037</v>
      </c>
      <c r="Z107" s="246">
        <f>Z101/Z102*10^6</f>
        <v>180.81445355264393</v>
      </c>
      <c r="AA107" s="16">
        <f>AA$293</f>
        <v>174.00401261106336</v>
      </c>
      <c r="AB107" s="16">
        <f>AB$293</f>
        <v>175.7017543859649</v>
      </c>
      <c r="AC107" s="16">
        <f>AC$293</f>
        <v>177.80578206078576</v>
      </c>
      <c r="AD107" s="16">
        <f>AD$293</f>
        <v>178.68199911543564</v>
      </c>
      <c r="AF107" s="327"/>
      <c r="AG107" s="322">
        <f t="shared" si="30"/>
        <v>0</v>
      </c>
      <c r="AK107" s="311"/>
    </row>
    <row r="108" spans="1:37" x14ac:dyDescent="0.3">
      <c r="A108" s="338" t="s">
        <v>242</v>
      </c>
      <c r="C108" s="3" t="s">
        <v>148</v>
      </c>
      <c r="L108" s="16"/>
      <c r="M108" s="16"/>
      <c r="N108" s="15"/>
      <c r="O108" s="246">
        <v>7188.6371573736005</v>
      </c>
      <c r="P108" s="16">
        <f t="shared" ref="P108:X108" si="61">P109*P114/10^6</f>
        <v>1801.4937327294185</v>
      </c>
      <c r="Q108" s="16">
        <f t="shared" si="61"/>
        <v>1601.3277624261498</v>
      </c>
      <c r="R108" s="16">
        <f t="shared" si="61"/>
        <v>1668.0497525272394</v>
      </c>
      <c r="S108" s="16">
        <f t="shared" si="61"/>
        <v>1457.7529289583526</v>
      </c>
      <c r="T108" s="16">
        <f t="shared" si="61"/>
        <v>1921.583406354192</v>
      </c>
      <c r="U108" s="16">
        <f t="shared" si="61"/>
        <v>1391.4914321875183</v>
      </c>
      <c r="V108" s="16">
        <f t="shared" si="61"/>
        <v>1626.1181001633101</v>
      </c>
      <c r="W108" s="16">
        <f t="shared" si="61"/>
        <v>1626.1181001633101</v>
      </c>
      <c r="X108" s="15">
        <f t="shared" si="61"/>
        <v>1756.2075481763748</v>
      </c>
      <c r="Y108" s="16">
        <f>SUM(P108:X108)</f>
        <v>14850.142763685866</v>
      </c>
      <c r="Z108" s="246">
        <f>SUM(O108,Y108)</f>
        <v>22038.779921059468</v>
      </c>
      <c r="AA108" s="16">
        <f t="shared" ref="AA108:AD108" si="62">AA109*AA114/10^6</f>
        <v>22962.32748637961</v>
      </c>
      <c r="AB108" s="16">
        <f t="shared" si="62"/>
        <v>28224.671543874894</v>
      </c>
      <c r="AC108" s="16">
        <f t="shared" si="62"/>
        <v>34290.361367167272</v>
      </c>
      <c r="AD108" s="16">
        <f t="shared" si="62"/>
        <v>37351.864009569996</v>
      </c>
      <c r="AF108" s="327"/>
      <c r="AG108" s="322">
        <f t="shared" ref="AG108:AG140" si="63">IF($E108="판매수량",$C106,)</f>
        <v>0</v>
      </c>
      <c r="AK108" s="311"/>
    </row>
    <row r="109" spans="1:37" x14ac:dyDescent="0.3">
      <c r="A109" s="338" t="s">
        <v>242</v>
      </c>
      <c r="D109" s="3" t="s">
        <v>560</v>
      </c>
      <c r="L109" s="16"/>
      <c r="M109" s="16"/>
      <c r="N109" s="15"/>
      <c r="O109" s="246">
        <v>38950136.310000002</v>
      </c>
      <c r="P109" s="16">
        <f t="shared" ref="P109:X109" si="64">P110*P113</f>
        <v>9889905.9880239516</v>
      </c>
      <c r="Q109" s="16">
        <f t="shared" si="64"/>
        <v>8791027.5449101795</v>
      </c>
      <c r="R109" s="16">
        <f t="shared" si="64"/>
        <v>9157320.3592814375</v>
      </c>
      <c r="S109" s="16">
        <f t="shared" si="64"/>
        <v>8058441.9161676653</v>
      </c>
      <c r="T109" s="16">
        <f t="shared" si="64"/>
        <v>10622491.616766468</v>
      </c>
      <c r="U109" s="16">
        <f t="shared" si="64"/>
        <v>7692149.1017964073</v>
      </c>
      <c r="V109" s="16">
        <f t="shared" si="64"/>
        <v>9157320.3592814375</v>
      </c>
      <c r="W109" s="16">
        <f t="shared" si="64"/>
        <v>9157320.3592814375</v>
      </c>
      <c r="X109" s="15">
        <f t="shared" si="64"/>
        <v>9889905.9880239516</v>
      </c>
      <c r="Y109" s="16">
        <f>SUM(P109:X109)</f>
        <v>82415883.23353292</v>
      </c>
      <c r="Z109" s="246">
        <f>Y109+O109</f>
        <v>121366019.54353292</v>
      </c>
      <c r="AA109" s="16">
        <f t="shared" ref="AA109:AD109" si="65">AA110*AA113</f>
        <v>131964356.11922</v>
      </c>
      <c r="AB109" s="16">
        <f t="shared" si="65"/>
        <v>160639668.29764044</v>
      </c>
      <c r="AC109" s="16">
        <f t="shared" si="65"/>
        <v>192852903.7117846</v>
      </c>
      <c r="AD109" s="16">
        <f t="shared" si="65"/>
        <v>209041001.30108356</v>
      </c>
      <c r="AF109" s="327"/>
      <c r="AG109" s="322">
        <f t="shared" si="63"/>
        <v>0</v>
      </c>
      <c r="AK109" s="311"/>
    </row>
    <row r="110" spans="1:37" x14ac:dyDescent="0.3">
      <c r="A110" s="338" t="s">
        <v>242</v>
      </c>
      <c r="E110" s="3" t="s">
        <v>324</v>
      </c>
      <c r="L110" s="16"/>
      <c r="M110" s="16"/>
      <c r="N110" s="15"/>
      <c r="O110" s="246">
        <v>100</v>
      </c>
      <c r="P110" s="16">
        <f>SUMIFS(INDEX(판매수량!$N$2:$V$82,0,MATCH(P$42,판매수량!$N$2:$V$2,0)),판매수량!$A$2:$A$82,$A110,판매수량!$B$2:$B$82,$AG110)</f>
        <v>27</v>
      </c>
      <c r="Q110" s="16">
        <f>SUMIFS(INDEX(판매수량!$N$2:$V$82,0,MATCH(Q$42,판매수량!$N$2:$V$2,0)),판매수량!$A$2:$A$82,$A110,판매수량!$B$2:$B$82,$AG110)</f>
        <v>24</v>
      </c>
      <c r="R110" s="16">
        <f>SUMIFS(INDEX(판매수량!$N$2:$V$82,0,MATCH(R$42,판매수량!$N$2:$V$2,0)),판매수량!$A$2:$A$82,$A110,판매수량!$B$2:$B$82,$AG110)</f>
        <v>25</v>
      </c>
      <c r="S110" s="16">
        <f>SUMIFS(INDEX(판매수량!$N$2:$V$82,0,MATCH(S$42,판매수량!$N$2:$V$2,0)),판매수량!$A$2:$A$82,$A110,판매수량!$B$2:$B$82,$AG110)</f>
        <v>22</v>
      </c>
      <c r="T110" s="16">
        <f>SUMIFS(INDEX(판매수량!$N$2:$V$82,0,MATCH(T$42,판매수량!$N$2:$V$2,0)),판매수량!$A$2:$A$82,$A110,판매수량!$B$2:$B$82,$AG110)</f>
        <v>29</v>
      </c>
      <c r="U110" s="16">
        <f>SUMIFS(INDEX(판매수량!$N$2:$V$82,0,MATCH(U$42,판매수량!$N$2:$V$2,0)),판매수량!$A$2:$A$82,$A110,판매수량!$B$2:$B$82,$AG110)</f>
        <v>21</v>
      </c>
      <c r="V110" s="16">
        <f>SUMIFS(INDEX(판매수량!$N$2:$V$82,0,MATCH(V$42,판매수량!$N$2:$V$2,0)),판매수량!$A$2:$A$82,$A110,판매수량!$B$2:$B$82,$AG110)</f>
        <v>25</v>
      </c>
      <c r="W110" s="16">
        <f>SUMIFS(INDEX(판매수량!$N$2:$V$82,0,MATCH(W$42,판매수량!$N$2:$V$2,0)),판매수량!$A$2:$A$82,$A110,판매수량!$B$2:$B$82,$AG110)</f>
        <v>25</v>
      </c>
      <c r="X110" s="15">
        <f>SUMIFS(INDEX(판매수량!$N$2:$V$82,0,MATCH(X$42,판매수량!$N$2:$V$2,0)),판매수량!$A$2:$A$82,$A110,판매수량!$B$2:$B$82,$AG110)</f>
        <v>27</v>
      </c>
      <c r="Y110" s="16">
        <f>SUM(P110:X110)</f>
        <v>225</v>
      </c>
      <c r="Z110" s="246">
        <f>SUM(O110,Y110)</f>
        <v>325</v>
      </c>
      <c r="AA110" s="16">
        <f>ROUND(AA111*AA112,)</f>
        <v>351</v>
      </c>
      <c r="AB110" s="16">
        <f>ROUND(AB111*AB112,)</f>
        <v>424</v>
      </c>
      <c r="AC110" s="16">
        <f>ROUND(AC111*AC112,)</f>
        <v>505</v>
      </c>
      <c r="AD110" s="16">
        <f>ROUND(AD111*AD112,)</f>
        <v>543</v>
      </c>
      <c r="AF110" s="327"/>
      <c r="AG110" s="322" t="str">
        <f t="shared" si="63"/>
        <v>VMC</v>
      </c>
      <c r="AK110" s="311"/>
    </row>
    <row r="111" spans="1:37" x14ac:dyDescent="0.3">
      <c r="A111" s="338" t="s">
        <v>242</v>
      </c>
      <c r="F111" s="3" t="s">
        <v>464</v>
      </c>
      <c r="L111" s="16"/>
      <c r="M111" s="16"/>
      <c r="N111" s="15"/>
      <c r="O111" s="306"/>
      <c r="P111" s="119"/>
      <c r="Q111" s="119"/>
      <c r="R111" s="119"/>
      <c r="S111" s="119"/>
      <c r="T111" s="119"/>
      <c r="U111" s="119"/>
      <c r="V111" s="119"/>
      <c r="W111" s="119"/>
      <c r="X111" s="294"/>
      <c r="Y111" s="119"/>
      <c r="Z111" s="246">
        <f>'Key Assumption'!AA116</f>
        <v>8</v>
      </c>
      <c r="AA111" s="16">
        <f>'Key Assumption'!AB116</f>
        <v>8</v>
      </c>
      <c r="AB111" s="16">
        <f>'Key Assumption'!AC116</f>
        <v>9</v>
      </c>
      <c r="AC111" s="16">
        <f>'Key Assumption'!AD116</f>
        <v>10</v>
      </c>
      <c r="AD111" s="16">
        <f>'Key Assumption'!AE116</f>
        <v>10</v>
      </c>
      <c r="AF111" s="327"/>
      <c r="AG111" s="322">
        <f t="shared" si="63"/>
        <v>0</v>
      </c>
      <c r="AK111" s="311"/>
    </row>
    <row r="112" spans="1:37" x14ac:dyDescent="0.3">
      <c r="A112" s="338" t="s">
        <v>242</v>
      </c>
      <c r="F112" s="3" t="s">
        <v>465</v>
      </c>
      <c r="L112" s="16"/>
      <c r="M112" s="16"/>
      <c r="N112" s="15"/>
      <c r="O112" s="306"/>
      <c r="P112" s="119"/>
      <c r="Q112" s="119"/>
      <c r="R112" s="119"/>
      <c r="S112" s="119"/>
      <c r="T112" s="119"/>
      <c r="U112" s="119"/>
      <c r="V112" s="119"/>
      <c r="W112" s="119"/>
      <c r="X112" s="294"/>
      <c r="Y112" s="119"/>
      <c r="Z112" s="246">
        <f>IFERROR(Z110/Z111,)</f>
        <v>40.625</v>
      </c>
      <c r="AA112" s="16">
        <f>'Key Assumption'!AB227</f>
        <v>43.815787013666871</v>
      </c>
      <c r="AB112" s="16">
        <f>'Key Assumption'!AC227</f>
        <v>47.10987015536486</v>
      </c>
      <c r="AC112" s="16">
        <f>'Key Assumption'!AD227</f>
        <v>50.521680501804177</v>
      </c>
      <c r="AD112" s="16">
        <f>'Key Assumption'!AE227</f>
        <v>54.334522874717216</v>
      </c>
      <c r="AF112" s="327"/>
      <c r="AG112" s="322">
        <f t="shared" si="63"/>
        <v>0</v>
      </c>
      <c r="AK112" s="311"/>
    </row>
    <row r="113" spans="1:37" x14ac:dyDescent="0.3">
      <c r="A113" s="338" t="s">
        <v>242</v>
      </c>
      <c r="E113" s="3" t="s">
        <v>561</v>
      </c>
      <c r="I113" s="291" t="s">
        <v>279</v>
      </c>
      <c r="L113" s="16"/>
      <c r="M113" s="16"/>
      <c r="N113" s="15"/>
      <c r="O113" s="246">
        <f>O109/O110</f>
        <v>389501.36310000002</v>
      </c>
      <c r="P113" s="16">
        <f>'Key Assumption'!R365</f>
        <v>366292.8143712575</v>
      </c>
      <c r="Q113" s="16">
        <f>'Key Assumption'!S365</f>
        <v>366292.8143712575</v>
      </c>
      <c r="R113" s="16">
        <f>'Key Assumption'!T365</f>
        <v>366292.8143712575</v>
      </c>
      <c r="S113" s="16">
        <f>'Key Assumption'!U365</f>
        <v>366292.8143712575</v>
      </c>
      <c r="T113" s="16">
        <f>'Key Assumption'!V365</f>
        <v>366292.8143712575</v>
      </c>
      <c r="U113" s="16">
        <f>'Key Assumption'!W365</f>
        <v>366292.8143712575</v>
      </c>
      <c r="V113" s="16">
        <f>'Key Assumption'!X365</f>
        <v>366292.8143712575</v>
      </c>
      <c r="W113" s="16">
        <f>'Key Assumption'!Y365</f>
        <v>366292.8143712575</v>
      </c>
      <c r="X113" s="15">
        <f>'Key Assumption'!Z365</f>
        <v>366292.8143712575</v>
      </c>
      <c r="Y113" s="16">
        <f>IFERROR(Y109/Y110,)</f>
        <v>366292.81437125744</v>
      </c>
      <c r="Z113" s="246">
        <f>Z109/Z110</f>
        <v>373433.90628779359</v>
      </c>
      <c r="AA113" s="16">
        <f>'Key Assumption'!AB365</f>
        <v>375966.82655048434</v>
      </c>
      <c r="AB113" s="16">
        <f>'Key Assumption'!AC365</f>
        <v>378867.14221141615</v>
      </c>
      <c r="AC113" s="16">
        <f>'Key Assumption'!AD365</f>
        <v>381886.93804313784</v>
      </c>
      <c r="AD113" s="16">
        <f>'Key Assumption'!AE365</f>
        <v>384974.21970733622</v>
      </c>
      <c r="AF113" s="327"/>
      <c r="AG113" s="322">
        <f t="shared" si="63"/>
        <v>0</v>
      </c>
      <c r="AK113" s="311"/>
    </row>
    <row r="114" spans="1:37" x14ac:dyDescent="0.3">
      <c r="A114" s="338" t="s">
        <v>242</v>
      </c>
      <c r="D114" s="3" t="s">
        <v>333</v>
      </c>
      <c r="I114" s="291"/>
      <c r="L114" s="16"/>
      <c r="M114" s="16"/>
      <c r="N114" s="15"/>
      <c r="O114" s="246">
        <f>O108/O109*10^6</f>
        <v>184.56</v>
      </c>
      <c r="P114" s="16">
        <f t="shared" ref="P114:X114" si="66">P$293</f>
        <v>182.15478841870822</v>
      </c>
      <c r="Q114" s="16">
        <f t="shared" si="66"/>
        <v>182.15478841870822</v>
      </c>
      <c r="R114" s="16">
        <f t="shared" si="66"/>
        <v>182.15478841870822</v>
      </c>
      <c r="S114" s="16">
        <f t="shared" si="66"/>
        <v>180.89761570827488</v>
      </c>
      <c r="T114" s="16">
        <f t="shared" si="66"/>
        <v>180.89761570827488</v>
      </c>
      <c r="U114" s="16">
        <f t="shared" si="66"/>
        <v>180.89761570827488</v>
      </c>
      <c r="V114" s="16">
        <f t="shared" si="66"/>
        <v>177.57575757575759</v>
      </c>
      <c r="W114" s="16">
        <f t="shared" si="66"/>
        <v>177.57575757575759</v>
      </c>
      <c r="X114" s="15">
        <f t="shared" si="66"/>
        <v>177.57575757575759</v>
      </c>
      <c r="Y114" s="16">
        <f>IFERROR(Y108/Y109,)*10^6</f>
        <v>180.18544704067094</v>
      </c>
      <c r="Z114" s="246">
        <f>Z108/Z109*10^6</f>
        <v>181.58937735577916</v>
      </c>
      <c r="AA114" s="16">
        <f>AA$293</f>
        <v>174.00401261106336</v>
      </c>
      <c r="AB114" s="16">
        <f>AB$293</f>
        <v>175.7017543859649</v>
      </c>
      <c r="AC114" s="16">
        <f>AC$293</f>
        <v>177.80578206078576</v>
      </c>
      <c r="AD114" s="16">
        <f>AD$293</f>
        <v>178.68199911543564</v>
      </c>
      <c r="AF114" s="327"/>
      <c r="AG114" s="322">
        <f t="shared" si="63"/>
        <v>0</v>
      </c>
      <c r="AK114" s="311"/>
    </row>
    <row r="115" spans="1:37" x14ac:dyDescent="0.3">
      <c r="A115" s="338" t="s">
        <v>242</v>
      </c>
      <c r="C115" s="3" t="s">
        <v>149</v>
      </c>
      <c r="L115" s="16"/>
      <c r="M115" s="16"/>
      <c r="N115" s="15"/>
      <c r="O115" s="246">
        <v>0</v>
      </c>
      <c r="P115" s="16">
        <f t="shared" ref="P115:X115" si="67">P116*P121/10^6</f>
        <v>214.76049554565697</v>
      </c>
      <c r="Q115" s="16">
        <f t="shared" si="67"/>
        <v>429.52099109131393</v>
      </c>
      <c r="R115" s="16">
        <f t="shared" si="67"/>
        <v>214.76049554565697</v>
      </c>
      <c r="S115" s="16">
        <f t="shared" si="67"/>
        <v>426.55657784011214</v>
      </c>
      <c r="T115" s="16">
        <f t="shared" si="67"/>
        <v>0</v>
      </c>
      <c r="U115" s="16">
        <f t="shared" si="67"/>
        <v>426.55657784011214</v>
      </c>
      <c r="V115" s="16">
        <f t="shared" si="67"/>
        <v>418.72363636363639</v>
      </c>
      <c r="W115" s="16">
        <f t="shared" si="67"/>
        <v>0</v>
      </c>
      <c r="X115" s="15">
        <f t="shared" si="67"/>
        <v>209.36181818181819</v>
      </c>
      <c r="Y115" s="16">
        <f>SUM(P115:X115)</f>
        <v>2340.2405924083068</v>
      </c>
      <c r="Z115" s="246">
        <f>SUM(O115,Y115)</f>
        <v>2340.2405924083068</v>
      </c>
      <c r="AA115" s="16">
        <f t="shared" ref="AA115:AD115" si="68">AA116*AA121/10^6</f>
        <v>2477.0841387199976</v>
      </c>
      <c r="AB115" s="16">
        <f t="shared" si="68"/>
        <v>2729.1729815377735</v>
      </c>
      <c r="AC115" s="16">
        <f t="shared" si="68"/>
        <v>5779.3140029872729</v>
      </c>
      <c r="AD115" s="16">
        <f t="shared" si="68"/>
        <v>6285.3279222577094</v>
      </c>
      <c r="AF115" s="327"/>
      <c r="AG115" s="322">
        <f t="shared" si="63"/>
        <v>0</v>
      </c>
      <c r="AK115" s="311"/>
    </row>
    <row r="116" spans="1:37" x14ac:dyDescent="0.3">
      <c r="A116" s="338" t="s">
        <v>242</v>
      </c>
      <c r="D116" s="3" t="s">
        <v>560</v>
      </c>
      <c r="L116" s="16"/>
      <c r="M116" s="16"/>
      <c r="N116" s="15"/>
      <c r="O116" s="246">
        <v>0</v>
      </c>
      <c r="P116" s="16">
        <f t="shared" ref="P116:X116" si="69">P117*P120</f>
        <v>1179000</v>
      </c>
      <c r="Q116" s="16">
        <f t="shared" si="69"/>
        <v>2358000</v>
      </c>
      <c r="R116" s="16">
        <f t="shared" si="69"/>
        <v>1179000</v>
      </c>
      <c r="S116" s="16">
        <f t="shared" si="69"/>
        <v>2358000</v>
      </c>
      <c r="T116" s="16">
        <f t="shared" si="69"/>
        <v>0</v>
      </c>
      <c r="U116" s="16">
        <f t="shared" si="69"/>
        <v>2358000</v>
      </c>
      <c r="V116" s="16">
        <f t="shared" si="69"/>
        <v>2358000</v>
      </c>
      <c r="W116" s="16">
        <f t="shared" si="69"/>
        <v>0</v>
      </c>
      <c r="X116" s="15">
        <f t="shared" si="69"/>
        <v>1179000</v>
      </c>
      <c r="Y116" s="16">
        <f>SUM(P116:X116)</f>
        <v>12969000</v>
      </c>
      <c r="Z116" s="246">
        <f>Y116+O116</f>
        <v>12969000</v>
      </c>
      <c r="AA116" s="16">
        <f t="shared" ref="AA116:AD116" si="70">AA117*AA120</f>
        <v>14235787.448516011</v>
      </c>
      <c r="AB116" s="16">
        <f t="shared" si="70"/>
        <v>15532986.51499282</v>
      </c>
      <c r="AC116" s="16">
        <f t="shared" si="70"/>
        <v>32503521.17914547</v>
      </c>
      <c r="AD116" s="16">
        <f t="shared" si="70"/>
        <v>35176055.525308616</v>
      </c>
      <c r="AF116" s="327"/>
      <c r="AG116" s="322">
        <f t="shared" si="63"/>
        <v>0</v>
      </c>
      <c r="AK116" s="311"/>
    </row>
    <row r="117" spans="1:37" x14ac:dyDescent="0.3">
      <c r="A117" s="338" t="s">
        <v>242</v>
      </c>
      <c r="E117" s="3" t="s">
        <v>324</v>
      </c>
      <c r="L117" s="16"/>
      <c r="M117" s="16"/>
      <c r="N117" s="15"/>
      <c r="O117" s="246">
        <v>0</v>
      </c>
      <c r="P117" s="16">
        <f>SUMIFS(INDEX(판매수량!$N$2:$V$82,0,MATCH(P$42,판매수량!$N$2:$V$2,0)),판매수량!$A$2:$A$82,$A117,판매수량!$B$2:$B$82,$AG117)</f>
        <v>1</v>
      </c>
      <c r="Q117" s="16">
        <f>SUMIFS(INDEX(판매수량!$N$2:$V$82,0,MATCH(Q$42,판매수량!$N$2:$V$2,0)),판매수량!$A$2:$A$82,$A117,판매수량!$B$2:$B$82,$AG117)</f>
        <v>2</v>
      </c>
      <c r="R117" s="16">
        <f>SUMIFS(INDEX(판매수량!$N$2:$V$82,0,MATCH(R$42,판매수량!$N$2:$V$2,0)),판매수량!$A$2:$A$82,$A117,판매수량!$B$2:$B$82,$AG117)</f>
        <v>1</v>
      </c>
      <c r="S117" s="16">
        <f>SUMIFS(INDEX(판매수량!$N$2:$V$82,0,MATCH(S$42,판매수량!$N$2:$V$2,0)),판매수량!$A$2:$A$82,$A117,판매수량!$B$2:$B$82,$AG117)</f>
        <v>2</v>
      </c>
      <c r="T117" s="16">
        <f>SUMIFS(INDEX(판매수량!$N$2:$V$82,0,MATCH(T$42,판매수량!$N$2:$V$2,0)),판매수량!$A$2:$A$82,$A117,판매수량!$B$2:$B$82,$AG117)</f>
        <v>0</v>
      </c>
      <c r="U117" s="16">
        <f>SUMIFS(INDEX(판매수량!$N$2:$V$82,0,MATCH(U$42,판매수량!$N$2:$V$2,0)),판매수량!$A$2:$A$82,$A117,판매수량!$B$2:$B$82,$AG117)</f>
        <v>2</v>
      </c>
      <c r="V117" s="16">
        <f>SUMIFS(INDEX(판매수량!$N$2:$V$82,0,MATCH(V$42,판매수량!$N$2:$V$2,0)),판매수량!$A$2:$A$82,$A117,판매수량!$B$2:$B$82,$AG117)</f>
        <v>2</v>
      </c>
      <c r="W117" s="16">
        <f>SUMIFS(INDEX(판매수량!$N$2:$V$82,0,MATCH(W$42,판매수량!$N$2:$V$2,0)),판매수량!$A$2:$A$82,$A117,판매수량!$B$2:$B$82,$AG117)</f>
        <v>0</v>
      </c>
      <c r="X117" s="15">
        <f>SUMIFS(INDEX(판매수량!$N$2:$V$82,0,MATCH(X$42,판매수량!$N$2:$V$2,0)),판매수량!$A$2:$A$82,$A117,판매수량!$B$2:$B$82,$AG117)</f>
        <v>1</v>
      </c>
      <c r="Y117" s="16">
        <f>SUM(P117:X117)</f>
        <v>11</v>
      </c>
      <c r="Z117" s="246">
        <f>SUM(O117,Y117)</f>
        <v>11</v>
      </c>
      <c r="AA117" s="16">
        <f>ROUND(AA118*AA119,)</f>
        <v>12</v>
      </c>
      <c r="AB117" s="16">
        <f>ROUND(AB118*AB119,)</f>
        <v>13</v>
      </c>
      <c r="AC117" s="16">
        <f>ROUND(AC118*AC119,)</f>
        <v>27</v>
      </c>
      <c r="AD117" s="16">
        <f>ROUND(AD118*AD119,)</f>
        <v>29</v>
      </c>
      <c r="AF117" s="327"/>
      <c r="AG117" s="322" t="str">
        <f t="shared" si="63"/>
        <v>HMC</v>
      </c>
      <c r="AK117" s="311"/>
    </row>
    <row r="118" spans="1:37" x14ac:dyDescent="0.3">
      <c r="A118" s="338" t="s">
        <v>242</v>
      </c>
      <c r="F118" s="3" t="s">
        <v>464</v>
      </c>
      <c r="L118" s="16"/>
      <c r="M118" s="16"/>
      <c r="N118" s="15"/>
      <c r="O118" s="306"/>
      <c r="P118" s="119"/>
      <c r="Q118" s="119"/>
      <c r="R118" s="119"/>
      <c r="S118" s="119"/>
      <c r="T118" s="119"/>
      <c r="U118" s="119"/>
      <c r="V118" s="119"/>
      <c r="W118" s="119"/>
      <c r="X118" s="294"/>
      <c r="Y118" s="119"/>
      <c r="Z118" s="246">
        <f>'Key Assumption'!AA117</f>
        <v>1</v>
      </c>
      <c r="AA118" s="16">
        <f>'Key Assumption'!AB117</f>
        <v>1</v>
      </c>
      <c r="AB118" s="16">
        <f>'Key Assumption'!AC117</f>
        <v>1</v>
      </c>
      <c r="AC118" s="16">
        <f>'Key Assumption'!AD117</f>
        <v>2</v>
      </c>
      <c r="AD118" s="16">
        <f>'Key Assumption'!AE117</f>
        <v>2</v>
      </c>
      <c r="AF118" s="327"/>
      <c r="AG118" s="322">
        <f t="shared" si="63"/>
        <v>0</v>
      </c>
      <c r="AK118" s="311"/>
    </row>
    <row r="119" spans="1:37" x14ac:dyDescent="0.3">
      <c r="A119" s="338" t="s">
        <v>242</v>
      </c>
      <c r="F119" s="3" t="s">
        <v>465</v>
      </c>
      <c r="L119" s="16"/>
      <c r="M119" s="16"/>
      <c r="N119" s="15"/>
      <c r="O119" s="306"/>
      <c r="P119" s="119"/>
      <c r="Q119" s="119"/>
      <c r="R119" s="119"/>
      <c r="S119" s="119"/>
      <c r="T119" s="119"/>
      <c r="U119" s="119"/>
      <c r="V119" s="119"/>
      <c r="W119" s="119"/>
      <c r="X119" s="294"/>
      <c r="Y119" s="119"/>
      <c r="Z119" s="246">
        <f>IFERROR(Z117/Z118,)</f>
        <v>11</v>
      </c>
      <c r="AA119" s="16">
        <f>'Key Assumption'!AB228</f>
        <v>11.82038359740401</v>
      </c>
      <c r="AB119" s="16">
        <f>'Key Assumption'!AC228</f>
        <v>12.679453246800332</v>
      </c>
      <c r="AC119" s="16">
        <f>'Key Assumption'!AD228</f>
        <v>13.568035966788731</v>
      </c>
      <c r="AD119" s="16">
        <f>'Key Assumption'!AE228</f>
        <v>14.558319132736303</v>
      </c>
      <c r="AF119" s="327"/>
      <c r="AG119" s="322">
        <f t="shared" si="63"/>
        <v>0</v>
      </c>
      <c r="AK119" s="311"/>
    </row>
    <row r="120" spans="1:37" x14ac:dyDescent="0.3">
      <c r="A120" s="338" t="s">
        <v>242</v>
      </c>
      <c r="E120" s="3" t="s">
        <v>561</v>
      </c>
      <c r="I120" s="291" t="s">
        <v>279</v>
      </c>
      <c r="L120" s="16"/>
      <c r="M120" s="16"/>
      <c r="N120" s="15"/>
      <c r="O120" s="246">
        <v>0</v>
      </c>
      <c r="P120" s="16">
        <f>'Key Assumption'!R366</f>
        <v>1179000</v>
      </c>
      <c r="Q120" s="16">
        <f>'Key Assumption'!S366</f>
        <v>1179000</v>
      </c>
      <c r="R120" s="16">
        <f>'Key Assumption'!T366</f>
        <v>1179000</v>
      </c>
      <c r="S120" s="16">
        <f>'Key Assumption'!U366</f>
        <v>1179000</v>
      </c>
      <c r="T120" s="16">
        <f>'Key Assumption'!V366</f>
        <v>1179000</v>
      </c>
      <c r="U120" s="16">
        <f>'Key Assumption'!W366</f>
        <v>1179000</v>
      </c>
      <c r="V120" s="16">
        <f>'Key Assumption'!X366</f>
        <v>1179000</v>
      </c>
      <c r="W120" s="16">
        <f>'Key Assumption'!Y366</f>
        <v>1179000</v>
      </c>
      <c r="X120" s="15">
        <f>'Key Assumption'!Z366</f>
        <v>1179000</v>
      </c>
      <c r="Y120" s="16">
        <f>IFERROR(Y116/Y117,)</f>
        <v>1179000</v>
      </c>
      <c r="Z120" s="246">
        <f>Z116/Z117</f>
        <v>1179000</v>
      </c>
      <c r="AA120" s="16">
        <f>'Key Assumption'!AB366</f>
        <v>1186315.6207096677</v>
      </c>
      <c r="AB120" s="16">
        <f>'Key Assumption'!AC366</f>
        <v>1194845.1165379093</v>
      </c>
      <c r="AC120" s="16">
        <f>'Key Assumption'!AD366</f>
        <v>1203834.1177461285</v>
      </c>
      <c r="AD120" s="16">
        <f>'Key Assumption'!AE366</f>
        <v>1212967.4319071937</v>
      </c>
      <c r="AF120" s="327"/>
      <c r="AG120" s="322">
        <f t="shared" si="63"/>
        <v>0</v>
      </c>
      <c r="AK120" s="311"/>
    </row>
    <row r="121" spans="1:37" x14ac:dyDescent="0.3">
      <c r="A121" s="338" t="s">
        <v>242</v>
      </c>
      <c r="D121" s="3" t="s">
        <v>333</v>
      </c>
      <c r="I121" s="291"/>
      <c r="L121" s="16"/>
      <c r="M121" s="16"/>
      <c r="N121" s="15"/>
      <c r="O121" s="246">
        <v>0</v>
      </c>
      <c r="P121" s="16">
        <f t="shared" ref="P121:X121" si="71">P$293</f>
        <v>182.15478841870822</v>
      </c>
      <c r="Q121" s="16">
        <f t="shared" si="71"/>
        <v>182.15478841870822</v>
      </c>
      <c r="R121" s="16">
        <f t="shared" si="71"/>
        <v>182.15478841870822</v>
      </c>
      <c r="S121" s="16">
        <f t="shared" si="71"/>
        <v>180.89761570827488</v>
      </c>
      <c r="T121" s="16">
        <f t="shared" si="71"/>
        <v>180.89761570827488</v>
      </c>
      <c r="U121" s="16">
        <f t="shared" si="71"/>
        <v>180.89761570827488</v>
      </c>
      <c r="V121" s="16">
        <f t="shared" si="71"/>
        <v>177.57575757575759</v>
      </c>
      <c r="W121" s="16">
        <f t="shared" si="71"/>
        <v>177.57575757575759</v>
      </c>
      <c r="X121" s="15">
        <f t="shared" si="71"/>
        <v>177.57575757575759</v>
      </c>
      <c r="Y121" s="16">
        <f>IFERROR(Y115/Y116,)*10^6</f>
        <v>180.44880811229137</v>
      </c>
      <c r="Z121" s="246">
        <f>Z115/Z116*10^6</f>
        <v>180.44880811229137</v>
      </c>
      <c r="AA121" s="16">
        <f>AA$293</f>
        <v>174.00401261106336</v>
      </c>
      <c r="AB121" s="16">
        <f>AB$293</f>
        <v>175.7017543859649</v>
      </c>
      <c r="AC121" s="16">
        <f>AC$293</f>
        <v>177.80578206078576</v>
      </c>
      <c r="AD121" s="16">
        <f>AD$293</f>
        <v>178.68199911543564</v>
      </c>
      <c r="AF121" s="327"/>
      <c r="AG121" s="322">
        <f t="shared" si="63"/>
        <v>0</v>
      </c>
      <c r="AK121" s="311"/>
    </row>
    <row r="122" spans="1:37" x14ac:dyDescent="0.3">
      <c r="A122" s="338" t="s">
        <v>242</v>
      </c>
      <c r="C122" s="3" t="s">
        <v>150</v>
      </c>
      <c r="L122" s="16"/>
      <c r="M122" s="16"/>
      <c r="N122" s="15"/>
      <c r="O122" s="306"/>
      <c r="P122" s="119"/>
      <c r="Q122" s="119"/>
      <c r="R122" s="119"/>
      <c r="S122" s="119"/>
      <c r="T122" s="119"/>
      <c r="U122" s="119"/>
      <c r="V122" s="119"/>
      <c r="W122" s="119"/>
      <c r="X122" s="294"/>
      <c r="Y122" s="119"/>
      <c r="Z122" s="306"/>
      <c r="AA122" s="119"/>
      <c r="AB122" s="119"/>
      <c r="AC122" s="119"/>
      <c r="AD122" s="119"/>
      <c r="AF122" s="327"/>
      <c r="AG122" s="322">
        <f t="shared" si="63"/>
        <v>0</v>
      </c>
      <c r="AK122" s="311"/>
    </row>
    <row r="123" spans="1:37" x14ac:dyDescent="0.3">
      <c r="A123" s="338" t="s">
        <v>242</v>
      </c>
      <c r="D123" s="3" t="s">
        <v>560</v>
      </c>
      <c r="L123" s="16"/>
      <c r="M123" s="16"/>
      <c r="N123" s="15"/>
      <c r="O123" s="306"/>
      <c r="P123" s="119"/>
      <c r="Q123" s="119"/>
      <c r="R123" s="119"/>
      <c r="S123" s="119"/>
      <c r="T123" s="119"/>
      <c r="U123" s="119"/>
      <c r="V123" s="119"/>
      <c r="W123" s="119"/>
      <c r="X123" s="294"/>
      <c r="Y123" s="119"/>
      <c r="Z123" s="306"/>
      <c r="AA123" s="119"/>
      <c r="AB123" s="119"/>
      <c r="AC123" s="119"/>
      <c r="AD123" s="119"/>
      <c r="AF123" s="327"/>
      <c r="AG123" s="322">
        <f t="shared" si="63"/>
        <v>0</v>
      </c>
      <c r="AK123" s="311"/>
    </row>
    <row r="124" spans="1:37" x14ac:dyDescent="0.3">
      <c r="A124" s="338" t="s">
        <v>242</v>
      </c>
      <c r="E124" s="3" t="s">
        <v>324</v>
      </c>
      <c r="L124" s="16"/>
      <c r="M124" s="16"/>
      <c r="N124" s="15"/>
      <c r="O124" s="306"/>
      <c r="P124" s="119"/>
      <c r="Q124" s="119"/>
      <c r="R124" s="119"/>
      <c r="S124" s="119"/>
      <c r="T124" s="119"/>
      <c r="U124" s="119"/>
      <c r="V124" s="119"/>
      <c r="W124" s="119"/>
      <c r="X124" s="294"/>
      <c r="Y124" s="119"/>
      <c r="Z124" s="306"/>
      <c r="AA124" s="119"/>
      <c r="AB124" s="119"/>
      <c r="AC124" s="119"/>
      <c r="AD124" s="119"/>
      <c r="AF124" s="327"/>
      <c r="AG124" s="322" t="str">
        <f t="shared" si="63"/>
        <v>단종</v>
      </c>
      <c r="AK124" s="311"/>
    </row>
    <row r="125" spans="1:37" x14ac:dyDescent="0.3">
      <c r="A125" s="338" t="s">
        <v>242</v>
      </c>
      <c r="F125" s="3" t="s">
        <v>304</v>
      </c>
      <c r="L125" s="16"/>
      <c r="M125" s="16"/>
      <c r="N125" s="15"/>
      <c r="O125" s="306"/>
      <c r="P125" s="119"/>
      <c r="Q125" s="119"/>
      <c r="R125" s="119"/>
      <c r="S125" s="119"/>
      <c r="T125" s="119"/>
      <c r="U125" s="119"/>
      <c r="V125" s="119"/>
      <c r="W125" s="119"/>
      <c r="X125" s="294"/>
      <c r="Y125" s="119"/>
      <c r="Z125" s="306"/>
      <c r="AA125" s="119"/>
      <c r="AB125" s="119"/>
      <c r="AC125" s="119"/>
      <c r="AD125" s="119"/>
      <c r="AF125" s="327"/>
      <c r="AG125" s="322">
        <f t="shared" si="63"/>
        <v>0</v>
      </c>
      <c r="AK125" s="311"/>
    </row>
    <row r="126" spans="1:37" x14ac:dyDescent="0.3">
      <c r="A126" s="338" t="s">
        <v>242</v>
      </c>
      <c r="F126" s="3" t="s">
        <v>305</v>
      </c>
      <c r="L126" s="16"/>
      <c r="M126" s="16"/>
      <c r="N126" s="15"/>
      <c r="O126" s="306"/>
      <c r="P126" s="119"/>
      <c r="Q126" s="119"/>
      <c r="R126" s="119"/>
      <c r="S126" s="119"/>
      <c r="T126" s="119"/>
      <c r="U126" s="119"/>
      <c r="V126" s="119"/>
      <c r="W126" s="119"/>
      <c r="X126" s="294"/>
      <c r="Y126" s="119"/>
      <c r="Z126" s="306"/>
      <c r="AA126" s="119"/>
      <c r="AB126" s="119"/>
      <c r="AC126" s="119"/>
      <c r="AD126" s="119"/>
      <c r="AF126" s="327"/>
      <c r="AG126" s="322">
        <f t="shared" si="63"/>
        <v>0</v>
      </c>
      <c r="AK126" s="311"/>
    </row>
    <row r="127" spans="1:37" x14ac:dyDescent="0.3">
      <c r="A127" s="338" t="s">
        <v>242</v>
      </c>
      <c r="E127" s="3" t="s">
        <v>561</v>
      </c>
      <c r="I127" s="291" t="s">
        <v>279</v>
      </c>
      <c r="L127" s="16"/>
      <c r="M127" s="16"/>
      <c r="N127" s="15"/>
      <c r="O127" s="306"/>
      <c r="P127" s="119"/>
      <c r="Q127" s="119"/>
      <c r="R127" s="119"/>
      <c r="S127" s="119"/>
      <c r="T127" s="119"/>
      <c r="U127" s="119"/>
      <c r="V127" s="119"/>
      <c r="W127" s="119"/>
      <c r="X127" s="294"/>
      <c r="Y127" s="119"/>
      <c r="Z127" s="306"/>
      <c r="AA127" s="119"/>
      <c r="AB127" s="119"/>
      <c r="AC127" s="119"/>
      <c r="AD127" s="119"/>
      <c r="AF127" s="327"/>
      <c r="AG127" s="322">
        <f t="shared" si="63"/>
        <v>0</v>
      </c>
      <c r="AK127" s="311"/>
    </row>
    <row r="128" spans="1:37" x14ac:dyDescent="0.3">
      <c r="A128" s="338" t="s">
        <v>242</v>
      </c>
      <c r="D128" s="3" t="s">
        <v>333</v>
      </c>
      <c r="I128" s="291"/>
      <c r="L128" s="16"/>
      <c r="M128" s="16"/>
      <c r="N128" s="15"/>
      <c r="O128" s="306"/>
      <c r="P128" s="119"/>
      <c r="Q128" s="119"/>
      <c r="R128" s="119"/>
      <c r="S128" s="119"/>
      <c r="T128" s="119"/>
      <c r="U128" s="119"/>
      <c r="V128" s="119"/>
      <c r="W128" s="119"/>
      <c r="X128" s="294"/>
      <c r="Y128" s="119"/>
      <c r="Z128" s="306"/>
      <c r="AA128" s="119"/>
      <c r="AB128" s="119"/>
      <c r="AC128" s="119"/>
      <c r="AD128" s="119"/>
      <c r="AF128" s="327"/>
      <c r="AG128" s="322">
        <f t="shared" si="63"/>
        <v>0</v>
      </c>
      <c r="AK128" s="311"/>
    </row>
    <row r="129" spans="1:37" x14ac:dyDescent="0.3">
      <c r="A129" s="338" t="s">
        <v>242</v>
      </c>
      <c r="C129" s="3" t="s">
        <v>105</v>
      </c>
      <c r="L129" s="16"/>
      <c r="M129" s="16"/>
      <c r="N129" s="15"/>
      <c r="O129" s="246">
        <f>O130+O132+O134+O136+O139+O140</f>
        <v>2001.4708788575997</v>
      </c>
      <c r="P129" s="16">
        <f t="shared" ref="P129:AD129" si="72">P130+P132+P134+P136+P139+P140</f>
        <v>45.470171856773234</v>
      </c>
      <c r="Q129" s="16">
        <f t="shared" si="72"/>
        <v>56.626930792369492</v>
      </c>
      <c r="R129" s="16">
        <f t="shared" si="72"/>
        <v>49.710786619045663</v>
      </c>
      <c r="S129" s="16">
        <f t="shared" si="72"/>
        <v>45.578335466026388</v>
      </c>
      <c r="T129" s="16">
        <f t="shared" si="72"/>
        <v>50.633356248709006</v>
      </c>
      <c r="U129" s="16">
        <f t="shared" si="72"/>
        <v>49.675895062162226</v>
      </c>
      <c r="V129" s="16">
        <f t="shared" si="72"/>
        <v>44.054030457201719</v>
      </c>
      <c r="W129" s="16">
        <f t="shared" si="72"/>
        <v>39.868335182400187</v>
      </c>
      <c r="X129" s="15">
        <f t="shared" si="72"/>
        <v>49.927800875021617</v>
      </c>
      <c r="Y129" s="16">
        <f>Y130+Y132+Y134+Y136+Y139+Y140</f>
        <v>431.54564255970945</v>
      </c>
      <c r="Z129" s="246">
        <f>Z130+Z132+Z134+Z136+Z139+Z140</f>
        <v>2433.0165214173089</v>
      </c>
      <c r="AA129" s="16">
        <f t="shared" si="72"/>
        <v>1913.8591048816827</v>
      </c>
      <c r="AB129" s="16">
        <f t="shared" si="72"/>
        <v>2284.2071629335137</v>
      </c>
      <c r="AC129" s="16">
        <f t="shared" si="72"/>
        <v>2741.9026702058291</v>
      </c>
      <c r="AD129" s="16">
        <f t="shared" si="72"/>
        <v>2976.9136127745851</v>
      </c>
      <c r="AF129" s="327"/>
      <c r="AG129" s="322">
        <f t="shared" si="63"/>
        <v>0</v>
      </c>
      <c r="AK129" s="311"/>
    </row>
    <row r="130" spans="1:37" x14ac:dyDescent="0.3">
      <c r="A130" s="338" t="s">
        <v>242</v>
      </c>
      <c r="D130" s="3" t="s">
        <v>342</v>
      </c>
      <c r="L130" s="16"/>
      <c r="M130" s="16"/>
      <c r="N130" s="15"/>
      <c r="O130" s="246">
        <v>2001.4708788575997</v>
      </c>
      <c r="P130" s="16">
        <f t="shared" ref="P130:X130" si="73">SUM(P$94,P$101,P$108,P$115,P$122)*P131</f>
        <v>153.776645456772</v>
      </c>
      <c r="Q130" s="16">
        <f t="shared" si="73"/>
        <v>165.78643839236889</v>
      </c>
      <c r="R130" s="16">
        <f t="shared" si="73"/>
        <v>153.00929101904538</v>
      </c>
      <c r="S130" s="16">
        <f t="shared" si="73"/>
        <v>163.88017626602527</v>
      </c>
      <c r="T130" s="16">
        <f t="shared" si="73"/>
        <v>158.56284024870922</v>
      </c>
      <c r="U130" s="16">
        <f t="shared" si="73"/>
        <v>156.69085506216177</v>
      </c>
      <c r="V130" s="16">
        <f t="shared" si="73"/>
        <v>133.03207285720131</v>
      </c>
      <c r="W130" s="16">
        <f t="shared" si="73"/>
        <v>154.15499078239918</v>
      </c>
      <c r="X130" s="15">
        <f t="shared" si="73"/>
        <v>149.91098807502115</v>
      </c>
      <c r="Y130" s="16">
        <f>SUM(P130:X130)</f>
        <v>1388.8042981597041</v>
      </c>
      <c r="Z130" s="246">
        <f>SUM(O130,Y130)</f>
        <v>3390.2751770173036</v>
      </c>
      <c r="AA130" s="16">
        <f>SUM(AA$94,AA$101,AA$108,AA$115,AA$122)*AA131</f>
        <v>1913.8591048816827</v>
      </c>
      <c r="AB130" s="16">
        <f>SUM(AB$94,AB$101,AB$108,AB$115,AB$122)*AB131</f>
        <v>2284.2071629335137</v>
      </c>
      <c r="AC130" s="16">
        <f>SUM(AC$94,AC$101,AC$108,AC$115,AC$122)*AC131</f>
        <v>2741.9026702058291</v>
      </c>
      <c r="AD130" s="16">
        <f>SUM(AD$94,AD$101,AD$108,AD$115,AD$122)*AD131</f>
        <v>2976.9136127745851</v>
      </c>
      <c r="AF130" s="327"/>
      <c r="AG130" s="322">
        <f t="shared" si="63"/>
        <v>0</v>
      </c>
      <c r="AK130" s="311"/>
    </row>
    <row r="131" spans="1:37" x14ac:dyDescent="0.3">
      <c r="A131" s="338" t="s">
        <v>242</v>
      </c>
      <c r="E131" s="3" t="s">
        <v>317</v>
      </c>
      <c r="I131" s="361">
        <v>4.0000000000000008E-2</v>
      </c>
      <c r="L131" s="16"/>
      <c r="M131" s="16"/>
      <c r="N131" s="15"/>
      <c r="O131" s="362">
        <f>O130/SUM(O$122,O$115,O$108,O$101,O$94)</f>
        <v>0.20706169564520022</v>
      </c>
      <c r="P131" s="17">
        <f t="shared" ref="P131:X131" si="74">$I131</f>
        <v>4.0000000000000008E-2</v>
      </c>
      <c r="Q131" s="17">
        <f t="shared" si="74"/>
        <v>4.0000000000000008E-2</v>
      </c>
      <c r="R131" s="17">
        <f t="shared" si="74"/>
        <v>4.0000000000000008E-2</v>
      </c>
      <c r="S131" s="17">
        <f t="shared" si="74"/>
        <v>4.0000000000000008E-2</v>
      </c>
      <c r="T131" s="17">
        <f t="shared" si="74"/>
        <v>4.0000000000000008E-2</v>
      </c>
      <c r="U131" s="17">
        <f t="shared" si="74"/>
        <v>4.0000000000000008E-2</v>
      </c>
      <c r="V131" s="17">
        <f t="shared" si="74"/>
        <v>4.0000000000000008E-2</v>
      </c>
      <c r="W131" s="17">
        <f t="shared" si="74"/>
        <v>4.0000000000000008E-2</v>
      </c>
      <c r="X131" s="369">
        <f t="shared" si="74"/>
        <v>4.0000000000000008E-2</v>
      </c>
      <c r="Y131" s="137">
        <f>IFERROR(Y130/SUM(Y$94,Y$101,Y$108,Y$115,Y$122),)</f>
        <v>4.0000000000000008E-2</v>
      </c>
      <c r="Z131" s="373">
        <f>IFERROR(Z130/SUM(Z$94,Z$101,Z$108,Z$115,Z$122),)</f>
        <v>7.6381344295620657E-2</v>
      </c>
      <c r="AA131" s="137">
        <f>$I131</f>
        <v>4.0000000000000008E-2</v>
      </c>
      <c r="AB131" s="137">
        <f>$I131</f>
        <v>4.0000000000000008E-2</v>
      </c>
      <c r="AC131" s="137">
        <f>$I131</f>
        <v>4.0000000000000008E-2</v>
      </c>
      <c r="AD131" s="137">
        <f>$I131</f>
        <v>4.0000000000000008E-2</v>
      </c>
      <c r="AF131" s="327"/>
      <c r="AG131" s="322">
        <f t="shared" si="63"/>
        <v>0</v>
      </c>
      <c r="AK131" s="311"/>
    </row>
    <row r="132" spans="1:37" x14ac:dyDescent="0.3">
      <c r="A132" s="338" t="s">
        <v>242</v>
      </c>
      <c r="D132" s="3" t="s">
        <v>309</v>
      </c>
      <c r="L132" s="16"/>
      <c r="M132" s="16"/>
      <c r="N132" s="15"/>
      <c r="O132" s="246">
        <v>0</v>
      </c>
      <c r="P132" s="16">
        <f t="shared" ref="P132:X132" si="75">SUM(P$94,P$101,P$108,P$115,P$122)*P133</f>
        <v>0</v>
      </c>
      <c r="Q132" s="16">
        <f t="shared" si="75"/>
        <v>0</v>
      </c>
      <c r="R132" s="16">
        <f t="shared" si="75"/>
        <v>0</v>
      </c>
      <c r="S132" s="16">
        <f t="shared" si="75"/>
        <v>0</v>
      </c>
      <c r="T132" s="16">
        <f t="shared" si="75"/>
        <v>0</v>
      </c>
      <c r="U132" s="16">
        <f t="shared" si="75"/>
        <v>0</v>
      </c>
      <c r="V132" s="16">
        <f t="shared" si="75"/>
        <v>0</v>
      </c>
      <c r="W132" s="16">
        <f t="shared" si="75"/>
        <v>0</v>
      </c>
      <c r="X132" s="15">
        <f t="shared" si="75"/>
        <v>0</v>
      </c>
      <c r="Y132" s="16">
        <f>SUM(P132:X132)</f>
        <v>0</v>
      </c>
      <c r="Z132" s="246">
        <f>SUM(O132,Y132)</f>
        <v>0</v>
      </c>
      <c r="AA132" s="16">
        <f>SUM(AA$94,AA$101,AA$108,AA$115,AA$122)*AA133</f>
        <v>0</v>
      </c>
      <c r="AB132" s="16">
        <f>SUM(AB$94,AB$101,AB$108,AB$115,AB$122)*AB133</f>
        <v>0</v>
      </c>
      <c r="AC132" s="16">
        <f>SUM(AC$94,AC$101,AC$108,AC$115,AC$122)*AC133</f>
        <v>0</v>
      </c>
      <c r="AD132" s="16">
        <f>SUM(AD$94,AD$101,AD$108,AD$115,AD$122)*AD133</f>
        <v>0</v>
      </c>
      <c r="AF132" s="327"/>
      <c r="AG132" s="322">
        <f t="shared" si="63"/>
        <v>0</v>
      </c>
      <c r="AK132" s="311"/>
    </row>
    <row r="133" spans="1:37" x14ac:dyDescent="0.3">
      <c r="A133" s="338" t="s">
        <v>242</v>
      </c>
      <c r="E133" s="3" t="s">
        <v>317</v>
      </c>
      <c r="I133" s="361">
        <v>0</v>
      </c>
      <c r="L133" s="16"/>
      <c r="M133" s="16"/>
      <c r="N133" s="15"/>
      <c r="O133" s="362">
        <v>0</v>
      </c>
      <c r="P133" s="17">
        <f t="shared" ref="P133:X133" si="76">$I133</f>
        <v>0</v>
      </c>
      <c r="Q133" s="17">
        <f t="shared" si="76"/>
        <v>0</v>
      </c>
      <c r="R133" s="17">
        <f t="shared" si="76"/>
        <v>0</v>
      </c>
      <c r="S133" s="17">
        <f t="shared" si="76"/>
        <v>0</v>
      </c>
      <c r="T133" s="17">
        <f t="shared" si="76"/>
        <v>0</v>
      </c>
      <c r="U133" s="17">
        <f t="shared" si="76"/>
        <v>0</v>
      </c>
      <c r="V133" s="17">
        <f t="shared" si="76"/>
        <v>0</v>
      </c>
      <c r="W133" s="17">
        <f t="shared" si="76"/>
        <v>0</v>
      </c>
      <c r="X133" s="369">
        <f t="shared" si="76"/>
        <v>0</v>
      </c>
      <c r="Y133" s="137">
        <f>IFERROR(Y132/SUM(Y$94,Y$101,Y$108,Y$115,Y$122),)</f>
        <v>0</v>
      </c>
      <c r="Z133" s="373">
        <f>IFERROR(Z132/SUM(Z$94,Z$101,Z$108,Z$115,Z$122),)</f>
        <v>0</v>
      </c>
      <c r="AA133" s="16">
        <f>$I133</f>
        <v>0</v>
      </c>
      <c r="AB133" s="16">
        <f>$I133</f>
        <v>0</v>
      </c>
      <c r="AC133" s="16">
        <f>$I133</f>
        <v>0</v>
      </c>
      <c r="AD133" s="16">
        <f>$I133</f>
        <v>0</v>
      </c>
      <c r="AF133" s="327"/>
      <c r="AG133" s="322">
        <f t="shared" si="63"/>
        <v>0</v>
      </c>
      <c r="AK133" s="311"/>
    </row>
    <row r="134" spans="1:37" x14ac:dyDescent="0.3">
      <c r="A134" s="338" t="s">
        <v>242</v>
      </c>
      <c r="D134" s="3" t="s">
        <v>310</v>
      </c>
      <c r="L134" s="16"/>
      <c r="M134" s="16"/>
      <c r="N134" s="15"/>
      <c r="O134" s="246">
        <v>0</v>
      </c>
      <c r="P134" s="16">
        <f t="shared" ref="P134:X134" si="77">SUM(P$94,P$101,P$108,P$115,P$122)*P135</f>
        <v>0</v>
      </c>
      <c r="Q134" s="16">
        <f t="shared" si="77"/>
        <v>0</v>
      </c>
      <c r="R134" s="16">
        <f t="shared" si="77"/>
        <v>0</v>
      </c>
      <c r="S134" s="16">
        <f t="shared" si="77"/>
        <v>0</v>
      </c>
      <c r="T134" s="16">
        <f t="shared" si="77"/>
        <v>0</v>
      </c>
      <c r="U134" s="16">
        <f t="shared" si="77"/>
        <v>0</v>
      </c>
      <c r="V134" s="16">
        <f t="shared" si="77"/>
        <v>0</v>
      </c>
      <c r="W134" s="16">
        <f t="shared" si="77"/>
        <v>0</v>
      </c>
      <c r="X134" s="15">
        <f t="shared" si="77"/>
        <v>0</v>
      </c>
      <c r="Y134" s="16">
        <f>SUM(P134:X134)</f>
        <v>0</v>
      </c>
      <c r="Z134" s="246">
        <f>SUM(O134,Y134)</f>
        <v>0</v>
      </c>
      <c r="AA134" s="16">
        <f>SUM(AA$94,AA$101,AA$108,AA$115,AA$122)*AA135</f>
        <v>0</v>
      </c>
      <c r="AB134" s="16">
        <f>SUM(AB$94,AB$101,AB$108,AB$115,AB$122)*AB135</f>
        <v>0</v>
      </c>
      <c r="AC134" s="16">
        <f>SUM(AC$94,AC$101,AC$108,AC$115,AC$122)*AC135</f>
        <v>0</v>
      </c>
      <c r="AD134" s="16">
        <f>SUM(AD$94,AD$101,AD$108,AD$115,AD$122)*AD135</f>
        <v>0</v>
      </c>
      <c r="AF134" s="327"/>
      <c r="AG134" s="322">
        <f t="shared" si="63"/>
        <v>0</v>
      </c>
      <c r="AK134" s="311"/>
    </row>
    <row r="135" spans="1:37" x14ac:dyDescent="0.3">
      <c r="A135" s="338" t="s">
        <v>242</v>
      </c>
      <c r="E135" s="3" t="s">
        <v>317</v>
      </c>
      <c r="I135" s="361">
        <v>0</v>
      </c>
      <c r="L135" s="16"/>
      <c r="M135" s="16"/>
      <c r="N135" s="15"/>
      <c r="O135" s="362">
        <v>0</v>
      </c>
      <c r="P135" s="137">
        <f t="shared" ref="P135:X135" si="78">$I135</f>
        <v>0</v>
      </c>
      <c r="Q135" s="137">
        <f t="shared" si="78"/>
        <v>0</v>
      </c>
      <c r="R135" s="137">
        <f t="shared" si="78"/>
        <v>0</v>
      </c>
      <c r="S135" s="137">
        <f t="shared" si="78"/>
        <v>0</v>
      </c>
      <c r="T135" s="137">
        <f t="shared" si="78"/>
        <v>0</v>
      </c>
      <c r="U135" s="137">
        <f t="shared" si="78"/>
        <v>0</v>
      </c>
      <c r="V135" s="137">
        <f t="shared" si="78"/>
        <v>0</v>
      </c>
      <c r="W135" s="137">
        <f t="shared" si="78"/>
        <v>0</v>
      </c>
      <c r="X135" s="369">
        <f t="shared" si="78"/>
        <v>0</v>
      </c>
      <c r="Y135" s="137">
        <f>IFERROR(Y134/SUM(Y$94,Y$101,Y$108,Y$115,Y$122),)</f>
        <v>0</v>
      </c>
      <c r="Z135" s="373">
        <f>IFERROR(Z134/SUM(Z$94,Z$101,Z$108,Z$115,Z$122),)</f>
        <v>0</v>
      </c>
      <c r="AA135" s="17">
        <f>$I135</f>
        <v>0</v>
      </c>
      <c r="AB135" s="17">
        <f>$I135</f>
        <v>0</v>
      </c>
      <c r="AC135" s="17">
        <f>$I135</f>
        <v>0</v>
      </c>
      <c r="AD135" s="17">
        <f>$I135</f>
        <v>0</v>
      </c>
      <c r="AF135" s="327"/>
      <c r="AG135" s="322">
        <f t="shared" si="63"/>
        <v>0</v>
      </c>
      <c r="AK135" s="311"/>
    </row>
    <row r="136" spans="1:37" x14ac:dyDescent="0.3">
      <c r="A136" s="338" t="s">
        <v>242</v>
      </c>
      <c r="D136" s="3" t="s">
        <v>311</v>
      </c>
      <c r="L136" s="16"/>
      <c r="M136" s="16"/>
      <c r="N136" s="15"/>
      <c r="O136" s="246">
        <v>0</v>
      </c>
      <c r="P136" s="16">
        <f t="shared" ref="P136:X136" si="79">P137*P138</f>
        <v>0</v>
      </c>
      <c r="Q136" s="16">
        <f t="shared" si="79"/>
        <v>0</v>
      </c>
      <c r="R136" s="16">
        <f t="shared" si="79"/>
        <v>0</v>
      </c>
      <c r="S136" s="16">
        <f t="shared" si="79"/>
        <v>0</v>
      </c>
      <c r="T136" s="16">
        <f t="shared" si="79"/>
        <v>0</v>
      </c>
      <c r="U136" s="16">
        <f t="shared" si="79"/>
        <v>0</v>
      </c>
      <c r="V136" s="16">
        <f t="shared" si="79"/>
        <v>0</v>
      </c>
      <c r="W136" s="16">
        <f t="shared" si="79"/>
        <v>0</v>
      </c>
      <c r="X136" s="15">
        <f t="shared" si="79"/>
        <v>0</v>
      </c>
      <c r="Y136" s="16">
        <f>SUM(P136:X136)</f>
        <v>0</v>
      </c>
      <c r="Z136" s="246">
        <f>SUM(O136,Y136)</f>
        <v>0</v>
      </c>
      <c r="AA136" s="16">
        <f>AA137*AA138</f>
        <v>0</v>
      </c>
      <c r="AB136" s="16">
        <f>AB137*AB138</f>
        <v>0</v>
      </c>
      <c r="AC136" s="16">
        <f>AC137*AC138</f>
        <v>0</v>
      </c>
      <c r="AD136" s="16">
        <f>AD137*AD138</f>
        <v>0</v>
      </c>
      <c r="AF136" s="327"/>
      <c r="AG136" s="322">
        <f t="shared" si="63"/>
        <v>0</v>
      </c>
      <c r="AK136" s="311"/>
    </row>
    <row r="137" spans="1:37" x14ac:dyDescent="0.3">
      <c r="A137" s="338" t="s">
        <v>242</v>
      </c>
      <c r="E137" s="3" t="s">
        <v>318</v>
      </c>
      <c r="L137" s="16"/>
      <c r="M137" s="16"/>
      <c r="N137" s="15"/>
      <c r="O137" s="246">
        <v>0</v>
      </c>
      <c r="P137" s="16">
        <f t="shared" ref="P137:X137" si="80">SUM(P96,P103,P110,P117,P124)</f>
        <v>60</v>
      </c>
      <c r="Q137" s="16">
        <f t="shared" si="80"/>
        <v>63</v>
      </c>
      <c r="R137" s="16">
        <f t="shared" si="80"/>
        <v>60</v>
      </c>
      <c r="S137" s="16">
        <f t="shared" si="80"/>
        <v>63</v>
      </c>
      <c r="T137" s="16">
        <f t="shared" si="80"/>
        <v>65</v>
      </c>
      <c r="U137" s="16">
        <f t="shared" si="80"/>
        <v>60</v>
      </c>
      <c r="V137" s="16">
        <f t="shared" si="80"/>
        <v>50</v>
      </c>
      <c r="W137" s="16">
        <f t="shared" si="80"/>
        <v>65</v>
      </c>
      <c r="X137" s="15">
        <f t="shared" si="80"/>
        <v>60</v>
      </c>
      <c r="Y137" s="16">
        <f>SUM(P137:X137)</f>
        <v>546</v>
      </c>
      <c r="Z137" s="246">
        <f>SUM(O137,Y137)</f>
        <v>546</v>
      </c>
      <c r="AA137" s="16">
        <f>SUM(AA96,AA103,AA110,AA117,AA124)</f>
        <v>767</v>
      </c>
      <c r="AB137" s="16">
        <f>SUM(AB96,AB103,AB110,AB117,AB124)</f>
        <v>901</v>
      </c>
      <c r="AC137" s="16">
        <f>SUM(AC96,AC103,AC110,AC117,AC124)</f>
        <v>1028</v>
      </c>
      <c r="AD137" s="16">
        <f>SUM(AD96,AD103,AD110,AD117,AD124)</f>
        <v>1102</v>
      </c>
      <c r="AF137" s="327"/>
      <c r="AG137" s="322">
        <f t="shared" si="63"/>
        <v>0</v>
      </c>
      <c r="AK137" s="311"/>
    </row>
    <row r="138" spans="1:37" x14ac:dyDescent="0.3">
      <c r="A138" s="338" t="s">
        <v>242</v>
      </c>
      <c r="E138" s="3" t="s">
        <v>319</v>
      </c>
      <c r="I138" s="365">
        <v>0</v>
      </c>
      <c r="L138" s="16"/>
      <c r="M138" s="16"/>
      <c r="N138" s="15"/>
      <c r="O138" s="246">
        <v>0</v>
      </c>
      <c r="P138" s="16">
        <f t="shared" ref="P138:X138" si="81">$I138</f>
        <v>0</v>
      </c>
      <c r="Q138" s="16">
        <f t="shared" si="81"/>
        <v>0</v>
      </c>
      <c r="R138" s="16">
        <f t="shared" si="81"/>
        <v>0</v>
      </c>
      <c r="S138" s="16">
        <f t="shared" si="81"/>
        <v>0</v>
      </c>
      <c r="T138" s="16">
        <f t="shared" si="81"/>
        <v>0</v>
      </c>
      <c r="U138" s="16">
        <f t="shared" si="81"/>
        <v>0</v>
      </c>
      <c r="V138" s="16">
        <f t="shared" si="81"/>
        <v>0</v>
      </c>
      <c r="W138" s="16">
        <f t="shared" si="81"/>
        <v>0</v>
      </c>
      <c r="X138" s="15">
        <f t="shared" si="81"/>
        <v>0</v>
      </c>
      <c r="Y138" s="16">
        <f>Y136/Y137</f>
        <v>0</v>
      </c>
      <c r="Z138" s="246">
        <f>Z136/Z137</f>
        <v>0</v>
      </c>
      <c r="AA138" s="16">
        <f>$I138*(1+'Key Assumption'!AB$25)</f>
        <v>0</v>
      </c>
      <c r="AB138" s="16">
        <f>AA138*(1+'Key Assumption'!AC$25)</f>
        <v>0</v>
      </c>
      <c r="AC138" s="16">
        <f>AB138*(1+'Key Assumption'!AD$25)</f>
        <v>0</v>
      </c>
      <c r="AD138" s="16">
        <f>AC138*(1+'Key Assumption'!AE$25)</f>
        <v>0</v>
      </c>
      <c r="AE138" s="3"/>
      <c r="AF138" s="327"/>
      <c r="AG138" s="322">
        <f t="shared" si="63"/>
        <v>0</v>
      </c>
      <c r="AK138" s="311"/>
    </row>
    <row r="139" spans="1:37" x14ac:dyDescent="0.3">
      <c r="A139" s="338" t="s">
        <v>242</v>
      </c>
      <c r="D139" s="3" t="s">
        <v>562</v>
      </c>
      <c r="L139" s="16"/>
      <c r="M139" s="16"/>
      <c r="N139" s="15"/>
      <c r="O139" s="246">
        <v>0</v>
      </c>
      <c r="P139" s="16">
        <v>-108.30647359999877</v>
      </c>
      <c r="Q139" s="16">
        <v>-109.1595075999994</v>
      </c>
      <c r="R139" s="16">
        <v>-103.29850439999971</v>
      </c>
      <c r="S139" s="16">
        <v>-118.30184079999889</v>
      </c>
      <c r="T139" s="16">
        <v>-107.92948400000022</v>
      </c>
      <c r="U139" s="16">
        <v>-107.01495999999955</v>
      </c>
      <c r="V139" s="16">
        <v>-88.978042399999595</v>
      </c>
      <c r="W139" s="16">
        <v>-114.28665559999899</v>
      </c>
      <c r="X139" s="15">
        <v>-99.983187199999534</v>
      </c>
      <c r="Y139" s="16">
        <f>SUM(P139:X139)</f>
        <v>-957.25865559999465</v>
      </c>
      <c r="Z139" s="246">
        <f>SUM(O139,Y139)</f>
        <v>-957.25865559999465</v>
      </c>
      <c r="AA139" s="119"/>
      <c r="AB139" s="119"/>
      <c r="AC139" s="119"/>
      <c r="AD139" s="119"/>
      <c r="AE139" s="3"/>
      <c r="AF139" s="327"/>
      <c r="AG139" s="322">
        <f t="shared" si="63"/>
        <v>0</v>
      </c>
      <c r="AK139" s="311"/>
    </row>
    <row r="140" spans="1:37" x14ac:dyDescent="0.3">
      <c r="A140" s="338" t="s">
        <v>242</v>
      </c>
      <c r="B140" s="92"/>
      <c r="C140" s="92"/>
      <c r="D140" s="92" t="s">
        <v>105</v>
      </c>
      <c r="E140" s="92"/>
      <c r="F140" s="92"/>
      <c r="G140" s="92"/>
      <c r="H140" s="92"/>
      <c r="I140" s="92"/>
      <c r="J140" s="92"/>
      <c r="K140" s="92"/>
      <c r="L140" s="130"/>
      <c r="M140" s="130"/>
      <c r="N140" s="131"/>
      <c r="O140" s="330">
        <v>0</v>
      </c>
      <c r="P140" s="130">
        <v>0</v>
      </c>
      <c r="Q140" s="130">
        <v>0</v>
      </c>
      <c r="R140" s="130">
        <v>0</v>
      </c>
      <c r="S140" s="130">
        <v>0</v>
      </c>
      <c r="T140" s="130">
        <v>0</v>
      </c>
      <c r="U140" s="130">
        <v>0</v>
      </c>
      <c r="V140" s="130">
        <v>0</v>
      </c>
      <c r="W140" s="130">
        <v>0</v>
      </c>
      <c r="X140" s="131">
        <v>0</v>
      </c>
      <c r="Y140" s="130">
        <f>SUM(P140:X140)</f>
        <v>0</v>
      </c>
      <c r="Z140" s="330">
        <f>SUM(O140,Y140)</f>
        <v>0</v>
      </c>
      <c r="AA140" s="281"/>
      <c r="AB140" s="281"/>
      <c r="AC140" s="281"/>
      <c r="AD140" s="281"/>
      <c r="AE140" s="3"/>
      <c r="AF140" s="327"/>
      <c r="AG140" s="322">
        <f t="shared" si="63"/>
        <v>0</v>
      </c>
      <c r="AK140" s="311"/>
    </row>
    <row r="141" spans="1:37" x14ac:dyDescent="0.3">
      <c r="AE141" s="3"/>
      <c r="AF141" s="327"/>
      <c r="AK141" s="311"/>
    </row>
    <row r="142" spans="1:37" x14ac:dyDescent="0.3">
      <c r="A142" s="4"/>
      <c r="B142" s="5" t="s">
        <v>469</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F142" s="327"/>
      <c r="AK142" s="311"/>
    </row>
    <row r="143" spans="1:37" x14ac:dyDescent="0.3">
      <c r="AF143" s="327"/>
      <c r="AK143" s="311"/>
    </row>
    <row r="144" spans="1:37" x14ac:dyDescent="0.3">
      <c r="B144" s="8"/>
      <c r="C144" s="8"/>
      <c r="D144" s="8"/>
      <c r="E144" s="8"/>
      <c r="F144" s="8"/>
      <c r="G144" s="8"/>
      <c r="H144" s="8"/>
      <c r="I144" s="8"/>
      <c r="J144" s="8"/>
      <c r="K144" s="8"/>
      <c r="L144" s="9" t="s">
        <v>182</v>
      </c>
      <c r="M144" s="9" t="s">
        <v>183</v>
      </c>
      <c r="N144" s="10" t="s">
        <v>184</v>
      </c>
      <c r="O144" s="244" t="s">
        <v>4</v>
      </c>
      <c r="P144" s="9" t="s">
        <v>215</v>
      </c>
      <c r="Q144" s="9" t="s">
        <v>216</v>
      </c>
      <c r="R144" s="9" t="s">
        <v>217</v>
      </c>
      <c r="S144" s="9" t="s">
        <v>218</v>
      </c>
      <c r="T144" s="9" t="s">
        <v>219</v>
      </c>
      <c r="U144" s="9" t="s">
        <v>220</v>
      </c>
      <c r="V144" s="9" t="s">
        <v>221</v>
      </c>
      <c r="W144" s="9" t="s">
        <v>222</v>
      </c>
      <c r="X144" s="10" t="s">
        <v>223</v>
      </c>
      <c r="Y144" s="9" t="s">
        <v>294</v>
      </c>
      <c r="Z144" s="244" t="s">
        <v>197</v>
      </c>
      <c r="AA144" s="9" t="s">
        <v>198</v>
      </c>
      <c r="AB144" s="9" t="s">
        <v>199</v>
      </c>
      <c r="AC144" s="9" t="s">
        <v>200</v>
      </c>
      <c r="AD144" s="9" t="s">
        <v>201</v>
      </c>
      <c r="AF144" s="327"/>
      <c r="AK144" s="311"/>
    </row>
    <row r="145" spans="2:37" s="11" customFormat="1" x14ac:dyDescent="0.3">
      <c r="B145" s="11" t="s">
        <v>29</v>
      </c>
      <c r="L145" s="13"/>
      <c r="M145" s="13"/>
      <c r="N145" s="124"/>
      <c r="O145" s="326">
        <f>O146+O179</f>
        <v>12472.529006000001</v>
      </c>
      <c r="P145" s="13">
        <f t="shared" ref="P145:AD145" si="82">P146+P179</f>
        <v>3735.9185202683793</v>
      </c>
      <c r="Q145" s="13">
        <f t="shared" si="82"/>
        <v>4004.4957726181465</v>
      </c>
      <c r="R145" s="13">
        <f t="shared" si="82"/>
        <v>3681.11690942416</v>
      </c>
      <c r="S145" s="13">
        <f t="shared" si="82"/>
        <v>3691.0840674119122</v>
      </c>
      <c r="T145" s="13">
        <f t="shared" si="82"/>
        <v>3705.3569119698868</v>
      </c>
      <c r="U145" s="13">
        <f t="shared" si="82"/>
        <v>3529.5149566037717</v>
      </c>
      <c r="V145" s="13">
        <f t="shared" si="82"/>
        <v>3006.2738319767091</v>
      </c>
      <c r="W145" s="13">
        <f t="shared" si="82"/>
        <v>3599.0092931843528</v>
      </c>
      <c r="X145" s="13">
        <f t="shared" si="82"/>
        <v>3380.6362493162605</v>
      </c>
      <c r="Y145" s="395">
        <f t="shared" si="82"/>
        <v>32333.406512773581</v>
      </c>
      <c r="Z145" s="326">
        <f>O145+Y145</f>
        <v>44805.935518773578</v>
      </c>
      <c r="AA145" s="13">
        <f t="shared" si="82"/>
        <v>45839.184908821844</v>
      </c>
      <c r="AB145" s="13">
        <f t="shared" si="82"/>
        <v>54442.28954503662</v>
      </c>
      <c r="AC145" s="13">
        <f t="shared" si="82"/>
        <v>65789.152216749018</v>
      </c>
      <c r="AD145" s="13">
        <f t="shared" si="82"/>
        <v>71372.569506134474</v>
      </c>
      <c r="AF145" s="327"/>
      <c r="AG145" s="322"/>
      <c r="AK145" s="311"/>
    </row>
    <row r="146" spans="2:37" x14ac:dyDescent="0.3">
      <c r="C146" s="3" t="s">
        <v>557</v>
      </c>
      <c r="L146" s="16"/>
      <c r="M146" s="16"/>
      <c r="N146" s="15"/>
      <c r="O146" s="246">
        <f>O147+O152+O157+O172+O167+O162</f>
        <v>1851.5430253544014</v>
      </c>
      <c r="P146" s="16">
        <f t="shared" ref="P146:AD146" si="83">P147+P152+P157+P172+P167+P162</f>
        <v>268.10799747161849</v>
      </c>
      <c r="Q146" s="16">
        <f t="shared" si="83"/>
        <v>268.10799747161849</v>
      </c>
      <c r="R146" s="16">
        <f t="shared" si="83"/>
        <v>232.95840103650102</v>
      </c>
      <c r="S146" s="16">
        <f t="shared" si="83"/>
        <v>0</v>
      </c>
      <c r="T146" s="16">
        <f t="shared" si="83"/>
        <v>133.13277478051708</v>
      </c>
      <c r="U146" s="16">
        <f t="shared" si="83"/>
        <v>0</v>
      </c>
      <c r="V146" s="16">
        <f t="shared" si="83"/>
        <v>0</v>
      </c>
      <c r="W146" s="16">
        <f t="shared" si="83"/>
        <v>130.69860224212167</v>
      </c>
      <c r="X146" s="16">
        <f t="shared" si="83"/>
        <v>0</v>
      </c>
      <c r="Y146" s="246">
        <f t="shared" si="83"/>
        <v>1033.0057730023768</v>
      </c>
      <c r="Z146" s="246">
        <f t="shared" si="83"/>
        <v>2884.5487983567778</v>
      </c>
      <c r="AA146" s="16">
        <f t="shared" si="83"/>
        <v>2341.1479003356735</v>
      </c>
      <c r="AB146" s="16">
        <f t="shared" si="83"/>
        <v>2508.5942339791336</v>
      </c>
      <c r="AC146" s="16">
        <f t="shared" si="83"/>
        <v>3391.9288303365383</v>
      </c>
      <c r="AD146" s="16">
        <f t="shared" si="83"/>
        <v>3623.6490951196715</v>
      </c>
      <c r="AF146" s="327"/>
      <c r="AH146" s="151"/>
      <c r="AI146" s="16"/>
      <c r="AK146" s="311"/>
    </row>
    <row r="147" spans="2:37" x14ac:dyDescent="0.3">
      <c r="E147" s="3" t="s">
        <v>146</v>
      </c>
      <c r="L147" s="16"/>
      <c r="M147" s="16"/>
      <c r="N147" s="15"/>
      <c r="O147" s="246">
        <v>134.48518080000002</v>
      </c>
      <c r="P147" s="16">
        <f t="shared" ref="P147:X147" si="84">P149*P150*P151/10^6</f>
        <v>0</v>
      </c>
      <c r="Q147" s="16">
        <f t="shared" si="84"/>
        <v>0</v>
      </c>
      <c r="R147" s="16">
        <f t="shared" si="84"/>
        <v>132.7325512249443</v>
      </c>
      <c r="S147" s="16">
        <f t="shared" si="84"/>
        <v>0</v>
      </c>
      <c r="T147" s="16">
        <f t="shared" si="84"/>
        <v>0</v>
      </c>
      <c r="U147" s="16">
        <f t="shared" si="84"/>
        <v>0</v>
      </c>
      <c r="V147" s="16">
        <f t="shared" si="84"/>
        <v>0</v>
      </c>
      <c r="W147" s="16">
        <f t="shared" si="84"/>
        <v>0</v>
      </c>
      <c r="X147" s="16">
        <f t="shared" si="84"/>
        <v>0</v>
      </c>
      <c r="Y147" s="246">
        <f>SUM(P147:X147)</f>
        <v>132.7325512249443</v>
      </c>
      <c r="Z147" s="246">
        <f>Y147+O147</f>
        <v>267.21773202494433</v>
      </c>
      <c r="AA147" s="16">
        <f t="shared" ref="AA147:AD147" si="85">AA148*AA151/10^6</f>
        <v>204.23440341809129</v>
      </c>
      <c r="AB147" s="16">
        <f t="shared" si="85"/>
        <v>207.5046474086208</v>
      </c>
      <c r="AC147" s="16">
        <f t="shared" si="85"/>
        <v>317.03090931693879</v>
      </c>
      <c r="AD147" s="16">
        <f t="shared" si="85"/>
        <v>320.69208394750513</v>
      </c>
      <c r="AF147" s="327"/>
      <c r="AH147" s="151"/>
      <c r="AI147" s="16"/>
      <c r="AK147" s="311"/>
    </row>
    <row r="148" spans="2:37" x14ac:dyDescent="0.3">
      <c r="F148" s="3" t="s">
        <v>563</v>
      </c>
      <c r="L148" s="16"/>
      <c r="M148" s="16"/>
      <c r="N148" s="15"/>
      <c r="O148" s="246">
        <v>728680</v>
      </c>
      <c r="P148" s="16">
        <f t="shared" ref="P148:X148" si="86">P149*P150</f>
        <v>0</v>
      </c>
      <c r="Q148" s="16">
        <f t="shared" si="86"/>
        <v>0</v>
      </c>
      <c r="R148" s="16">
        <f t="shared" si="86"/>
        <v>728680</v>
      </c>
      <c r="S148" s="16">
        <f t="shared" si="86"/>
        <v>0</v>
      </c>
      <c r="T148" s="16">
        <f t="shared" si="86"/>
        <v>0</v>
      </c>
      <c r="U148" s="16">
        <f t="shared" si="86"/>
        <v>0</v>
      </c>
      <c r="V148" s="16">
        <f t="shared" si="86"/>
        <v>0</v>
      </c>
      <c r="W148" s="16">
        <f t="shared" si="86"/>
        <v>0</v>
      </c>
      <c r="X148" s="16">
        <f t="shared" si="86"/>
        <v>0</v>
      </c>
      <c r="Y148" s="246">
        <f>SUM(P148:X148)</f>
        <v>728680</v>
      </c>
      <c r="Z148" s="246">
        <f>Y148+O148</f>
        <v>1457360</v>
      </c>
      <c r="AA148" s="16">
        <f t="shared" ref="AA148:AD148" si="87">AA149*AA150</f>
        <v>1173733.8717274263</v>
      </c>
      <c r="AB148" s="16">
        <f t="shared" si="87"/>
        <v>1181004.9827550061</v>
      </c>
      <c r="AC148" s="16">
        <f t="shared" si="87"/>
        <v>1783017.996616987</v>
      </c>
      <c r="AD148" s="16">
        <f t="shared" si="87"/>
        <v>1794764.3609042305</v>
      </c>
      <c r="AF148" s="327"/>
      <c r="AH148" s="243"/>
      <c r="AK148" s="311"/>
    </row>
    <row r="149" spans="2:37" x14ac:dyDescent="0.3">
      <c r="G149" s="3" t="s">
        <v>298</v>
      </c>
      <c r="L149" s="16"/>
      <c r="M149" s="16"/>
      <c r="N149" s="15"/>
      <c r="O149" s="246">
        <f t="shared" ref="O149:X149" si="88">O46</f>
        <v>1</v>
      </c>
      <c r="P149" s="16">
        <f t="shared" si="88"/>
        <v>0</v>
      </c>
      <c r="Q149" s="16">
        <f t="shared" si="88"/>
        <v>0</v>
      </c>
      <c r="R149" s="16">
        <f t="shared" si="88"/>
        <v>1</v>
      </c>
      <c r="S149" s="16">
        <f t="shared" si="88"/>
        <v>0</v>
      </c>
      <c r="T149" s="16">
        <f t="shared" si="88"/>
        <v>0</v>
      </c>
      <c r="U149" s="16">
        <f t="shared" si="88"/>
        <v>0</v>
      </c>
      <c r="V149" s="16">
        <f t="shared" si="88"/>
        <v>0</v>
      </c>
      <c r="W149" s="16">
        <f t="shared" si="88"/>
        <v>0</v>
      </c>
      <c r="X149" s="16">
        <f t="shared" si="88"/>
        <v>0</v>
      </c>
      <c r="Y149" s="246">
        <f>SUM(P149:X149)</f>
        <v>1</v>
      </c>
      <c r="Z149" s="246">
        <f>Y149+O149</f>
        <v>2</v>
      </c>
      <c r="AA149" s="16">
        <f>AA46</f>
        <v>2</v>
      </c>
      <c r="AB149" s="16">
        <f>AB46</f>
        <v>2</v>
      </c>
      <c r="AC149" s="16">
        <f>AC46</f>
        <v>3</v>
      </c>
      <c r="AD149" s="16">
        <f>AD46</f>
        <v>3</v>
      </c>
      <c r="AF149" s="327"/>
      <c r="AH149" s="243"/>
      <c r="AK149" s="311"/>
    </row>
    <row r="150" spans="2:37" x14ac:dyDescent="0.3">
      <c r="G150" s="3" t="s">
        <v>523</v>
      </c>
      <c r="I150" s="262">
        <f>Z150/Y49</f>
        <v>0.80000000000000016</v>
      </c>
      <c r="L150" s="16"/>
      <c r="M150" s="16"/>
      <c r="N150" s="15"/>
      <c r="O150" s="246">
        <f>O148/O149</f>
        <v>728680</v>
      </c>
      <c r="P150" s="16">
        <f>Revenue_HW!P514</f>
        <v>728680</v>
      </c>
      <c r="Q150" s="16">
        <f>Revenue_HW!Q514</f>
        <v>728680</v>
      </c>
      <c r="R150" s="16">
        <f>Revenue_HW!R514</f>
        <v>728680</v>
      </c>
      <c r="S150" s="16">
        <f>Revenue_HW!S514</f>
        <v>728680</v>
      </c>
      <c r="T150" s="16">
        <f>Revenue_HW!T514</f>
        <v>728680</v>
      </c>
      <c r="U150" s="16">
        <f>Revenue_HW!U514</f>
        <v>728680</v>
      </c>
      <c r="V150" s="16">
        <f>Revenue_HW!V514</f>
        <v>728680</v>
      </c>
      <c r="W150" s="16">
        <f>Revenue_HW!W514</f>
        <v>728680</v>
      </c>
      <c r="X150" s="16">
        <f>Revenue_HW!X514</f>
        <v>728680</v>
      </c>
      <c r="Y150" s="246">
        <f>Y148/Y149</f>
        <v>728680</v>
      </c>
      <c r="Z150" s="246">
        <f>Z148/Z149</f>
        <v>728680</v>
      </c>
      <c r="AA150" s="16">
        <f>AA49*$I150</f>
        <v>586866.93586371315</v>
      </c>
      <c r="AB150" s="16">
        <f>AB49*$I150</f>
        <v>590502.49137750303</v>
      </c>
      <c r="AC150" s="16">
        <f>AC49*$I150</f>
        <v>594339.33220566239</v>
      </c>
      <c r="AD150" s="16">
        <f>AD49*$I150</f>
        <v>598254.78696807683</v>
      </c>
      <c r="AF150" s="327"/>
      <c r="AH150" s="243"/>
      <c r="AK150" s="311"/>
    </row>
    <row r="151" spans="2:37" x14ac:dyDescent="0.3">
      <c r="F151" s="3" t="s">
        <v>333</v>
      </c>
      <c r="L151" s="16"/>
      <c r="M151" s="16"/>
      <c r="N151" s="15"/>
      <c r="O151" s="246">
        <f>O147/O148*10^6</f>
        <v>184.56000000000003</v>
      </c>
      <c r="P151" s="16">
        <f t="shared" ref="P151:X151" si="89">P$293</f>
        <v>182.15478841870822</v>
      </c>
      <c r="Q151" s="16">
        <f t="shared" si="89"/>
        <v>182.15478841870822</v>
      </c>
      <c r="R151" s="16">
        <f t="shared" si="89"/>
        <v>182.15478841870822</v>
      </c>
      <c r="S151" s="16">
        <f t="shared" si="89"/>
        <v>180.89761570827488</v>
      </c>
      <c r="T151" s="16">
        <f t="shared" si="89"/>
        <v>180.89761570827488</v>
      </c>
      <c r="U151" s="16">
        <f t="shared" si="89"/>
        <v>180.89761570827488</v>
      </c>
      <c r="V151" s="16">
        <f t="shared" si="89"/>
        <v>177.57575757575759</v>
      </c>
      <c r="W151" s="16">
        <f t="shared" si="89"/>
        <v>177.57575757575759</v>
      </c>
      <c r="X151" s="16">
        <f t="shared" si="89"/>
        <v>177.57575757575759</v>
      </c>
      <c r="Y151" s="246">
        <f>Y147/Y148*10^6</f>
        <v>182.15478841870822</v>
      </c>
      <c r="Z151" s="246">
        <f>Z147/Z148*10^6</f>
        <v>183.35739420935411</v>
      </c>
      <c r="AA151" s="16">
        <f>AA$293</f>
        <v>174.00401261106336</v>
      </c>
      <c r="AB151" s="16">
        <f>AB$293</f>
        <v>175.7017543859649</v>
      </c>
      <c r="AC151" s="16">
        <f>AC$293</f>
        <v>177.80578206078576</v>
      </c>
      <c r="AD151" s="16">
        <f>AD$293</f>
        <v>178.68199911543564</v>
      </c>
      <c r="AF151" s="327"/>
      <c r="AH151" s="243"/>
      <c r="AK151" s="311"/>
    </row>
    <row r="152" spans="2:37" x14ac:dyDescent="0.3">
      <c r="E152" s="3" t="s">
        <v>147</v>
      </c>
      <c r="L152" s="16"/>
      <c r="M152" s="16"/>
      <c r="N152" s="15"/>
      <c r="O152" s="246">
        <v>141.18470880000001</v>
      </c>
      <c r="P152" s="16">
        <f t="shared" ref="P152:X152" si="90">P153*P156/10^6</f>
        <v>0</v>
      </c>
      <c r="Q152" s="16">
        <f t="shared" si="90"/>
        <v>0</v>
      </c>
      <c r="R152" s="16">
        <f t="shared" si="90"/>
        <v>0</v>
      </c>
      <c r="S152" s="16">
        <f t="shared" si="90"/>
        <v>0</v>
      </c>
      <c r="T152" s="16">
        <f t="shared" si="90"/>
        <v>0</v>
      </c>
      <c r="U152" s="16">
        <f t="shared" si="90"/>
        <v>0</v>
      </c>
      <c r="V152" s="16">
        <f t="shared" si="90"/>
        <v>0</v>
      </c>
      <c r="W152" s="16">
        <f t="shared" si="90"/>
        <v>0</v>
      </c>
      <c r="X152" s="16">
        <f t="shared" si="90"/>
        <v>0</v>
      </c>
      <c r="Y152" s="246">
        <f>SUM(P152:X152)</f>
        <v>0</v>
      </c>
      <c r="Z152" s="246">
        <f>Y152+O152</f>
        <v>141.18470880000001</v>
      </c>
      <c r="AA152" s="119"/>
      <c r="AB152" s="119"/>
      <c r="AC152" s="119"/>
      <c r="AD152" s="119"/>
      <c r="AF152" s="327"/>
      <c r="AH152" s="151"/>
      <c r="AI152" s="16"/>
      <c r="AK152" s="311"/>
    </row>
    <row r="153" spans="2:37" x14ac:dyDescent="0.3">
      <c r="F153" s="3" t="s">
        <v>563</v>
      </c>
      <c r="L153" s="16"/>
      <c r="M153" s="16"/>
      <c r="N153" s="15"/>
      <c r="O153" s="246">
        <v>764980</v>
      </c>
      <c r="P153" s="16">
        <f t="shared" ref="P153:X153" si="91">P154*P155</f>
        <v>0</v>
      </c>
      <c r="Q153" s="16">
        <f t="shared" si="91"/>
        <v>0</v>
      </c>
      <c r="R153" s="16">
        <f t="shared" si="91"/>
        <v>0</v>
      </c>
      <c r="S153" s="16">
        <f t="shared" si="91"/>
        <v>0</v>
      </c>
      <c r="T153" s="16">
        <f t="shared" si="91"/>
        <v>0</v>
      </c>
      <c r="U153" s="16">
        <f t="shared" si="91"/>
        <v>0</v>
      </c>
      <c r="V153" s="16">
        <f t="shared" si="91"/>
        <v>0</v>
      </c>
      <c r="W153" s="16">
        <f t="shared" si="91"/>
        <v>0</v>
      </c>
      <c r="X153" s="16">
        <f t="shared" si="91"/>
        <v>0</v>
      </c>
      <c r="Y153" s="246">
        <f>SUM(P153:X153)</f>
        <v>0</v>
      </c>
      <c r="Z153" s="246">
        <f>Y153+O153</f>
        <v>764980</v>
      </c>
      <c r="AA153" s="119"/>
      <c r="AB153" s="119"/>
      <c r="AC153" s="119"/>
      <c r="AD153" s="119"/>
      <c r="AF153" s="327"/>
      <c r="AH153" s="243"/>
      <c r="AK153" s="311"/>
    </row>
    <row r="154" spans="2:37" x14ac:dyDescent="0.3">
      <c r="G154" s="3" t="s">
        <v>298</v>
      </c>
      <c r="L154" s="16"/>
      <c r="M154" s="16"/>
      <c r="N154" s="15"/>
      <c r="O154" s="246">
        <f t="shared" ref="O154:X154" si="92">O53</f>
        <v>2</v>
      </c>
      <c r="P154" s="16">
        <f t="shared" si="92"/>
        <v>0</v>
      </c>
      <c r="Q154" s="16">
        <f t="shared" si="92"/>
        <v>0</v>
      </c>
      <c r="R154" s="16">
        <f t="shared" si="92"/>
        <v>0</v>
      </c>
      <c r="S154" s="16">
        <f t="shared" si="92"/>
        <v>0</v>
      </c>
      <c r="T154" s="16">
        <f t="shared" si="92"/>
        <v>0</v>
      </c>
      <c r="U154" s="16">
        <f t="shared" si="92"/>
        <v>0</v>
      </c>
      <c r="V154" s="16">
        <f t="shared" si="92"/>
        <v>0</v>
      </c>
      <c r="W154" s="16">
        <f t="shared" si="92"/>
        <v>0</v>
      </c>
      <c r="X154" s="16">
        <f t="shared" si="92"/>
        <v>0</v>
      </c>
      <c r="Y154" s="246">
        <f>SUM(P154:X154)</f>
        <v>0</v>
      </c>
      <c r="Z154" s="246">
        <f>Y154+O154</f>
        <v>2</v>
      </c>
      <c r="AA154" s="119"/>
      <c r="AB154" s="119"/>
      <c r="AC154" s="119"/>
      <c r="AD154" s="119"/>
      <c r="AF154" s="327"/>
      <c r="AH154" s="243"/>
      <c r="AK154" s="311"/>
    </row>
    <row r="155" spans="2:37" x14ac:dyDescent="0.3">
      <c r="G155" s="3" t="s">
        <v>523</v>
      </c>
      <c r="L155" s="16"/>
      <c r="M155" s="16"/>
      <c r="N155" s="15"/>
      <c r="O155" s="246">
        <f>O153/O154</f>
        <v>382490</v>
      </c>
      <c r="P155" s="16">
        <f>Revenue_HW!P519</f>
        <v>967400</v>
      </c>
      <c r="Q155" s="16">
        <f>Revenue_HW!Q519</f>
        <v>967400</v>
      </c>
      <c r="R155" s="16">
        <f>Revenue_HW!R519</f>
        <v>967400</v>
      </c>
      <c r="S155" s="16">
        <f>Revenue_HW!S519</f>
        <v>967400</v>
      </c>
      <c r="T155" s="16">
        <f>Revenue_HW!T519</f>
        <v>967400</v>
      </c>
      <c r="U155" s="16">
        <f>Revenue_HW!U519</f>
        <v>967400</v>
      </c>
      <c r="V155" s="16">
        <f>Revenue_HW!V519</f>
        <v>967400</v>
      </c>
      <c r="W155" s="16">
        <f>Revenue_HW!W519</f>
        <v>967400</v>
      </c>
      <c r="X155" s="16">
        <f>Revenue_HW!X519</f>
        <v>967400</v>
      </c>
      <c r="Y155" s="246">
        <f>IFERROR(Y153/Y154,)</f>
        <v>0</v>
      </c>
      <c r="Z155" s="246">
        <f t="shared" ref="Z155" si="93">IFERROR(Z153/Z154,)</f>
        <v>382490</v>
      </c>
      <c r="AA155" s="119"/>
      <c r="AB155" s="119"/>
      <c r="AC155" s="119"/>
      <c r="AD155" s="119"/>
      <c r="AF155" s="327"/>
      <c r="AH155" s="243"/>
      <c r="AK155" s="311"/>
    </row>
    <row r="156" spans="2:37" x14ac:dyDescent="0.3">
      <c r="F156" s="3" t="s">
        <v>333</v>
      </c>
      <c r="L156" s="16"/>
      <c r="M156" s="16"/>
      <c r="N156" s="15"/>
      <c r="O156" s="246">
        <f>O152/O153*10^6</f>
        <v>184.56</v>
      </c>
      <c r="P156" s="16">
        <f t="shared" ref="P156:X156" si="94">P$293</f>
        <v>182.15478841870822</v>
      </c>
      <c r="Q156" s="16">
        <f t="shared" si="94"/>
        <v>182.15478841870822</v>
      </c>
      <c r="R156" s="16">
        <f t="shared" si="94"/>
        <v>182.15478841870822</v>
      </c>
      <c r="S156" s="16">
        <f t="shared" si="94"/>
        <v>180.89761570827488</v>
      </c>
      <c r="T156" s="16">
        <f t="shared" si="94"/>
        <v>180.89761570827488</v>
      </c>
      <c r="U156" s="16">
        <f t="shared" si="94"/>
        <v>180.89761570827488</v>
      </c>
      <c r="V156" s="16">
        <f t="shared" si="94"/>
        <v>177.57575757575759</v>
      </c>
      <c r="W156" s="16">
        <f t="shared" si="94"/>
        <v>177.57575757575759</v>
      </c>
      <c r="X156" s="16">
        <f t="shared" si="94"/>
        <v>177.57575757575759</v>
      </c>
      <c r="Y156" s="246">
        <f>IFERROR(Y152/Y153*10^6,)</f>
        <v>0</v>
      </c>
      <c r="Z156" s="246">
        <f t="shared" ref="Z156" si="95">IFERROR(Z152/Z153*10^6,)</f>
        <v>184.56</v>
      </c>
      <c r="AA156" s="119"/>
      <c r="AB156" s="119"/>
      <c r="AC156" s="119"/>
      <c r="AD156" s="119"/>
      <c r="AF156" s="327"/>
      <c r="AH156" s="243"/>
      <c r="AK156" s="311"/>
    </row>
    <row r="157" spans="2:37" x14ac:dyDescent="0.3">
      <c r="E157" s="3" t="s">
        <v>148</v>
      </c>
      <c r="L157" s="16"/>
      <c r="M157" s="16"/>
      <c r="N157" s="15"/>
      <c r="O157" s="246">
        <v>578.54392319999999</v>
      </c>
      <c r="P157" s="16">
        <f t="shared" ref="P157:X157" si="96">P159*P160*P161/10^6</f>
        <v>151.81022939866369</v>
      </c>
      <c r="Q157" s="16">
        <f t="shared" si="96"/>
        <v>151.81022939866369</v>
      </c>
      <c r="R157" s="16">
        <f t="shared" si="96"/>
        <v>0</v>
      </c>
      <c r="S157" s="16">
        <f t="shared" si="96"/>
        <v>0</v>
      </c>
      <c r="T157" s="16">
        <f t="shared" si="96"/>
        <v>75.381242449742871</v>
      </c>
      <c r="U157" s="16">
        <f t="shared" si="96"/>
        <v>0</v>
      </c>
      <c r="V157" s="16">
        <f t="shared" si="96"/>
        <v>0</v>
      </c>
      <c r="W157" s="16">
        <f t="shared" si="96"/>
        <v>73.997002020202032</v>
      </c>
      <c r="X157" s="16">
        <f t="shared" si="96"/>
        <v>0</v>
      </c>
      <c r="Y157" s="246">
        <f>SUM(P157:X157)</f>
        <v>452.99870326727233</v>
      </c>
      <c r="Z157" s="246">
        <f>Y157+O157</f>
        <v>1031.5426264672724</v>
      </c>
      <c r="AA157" s="16">
        <f t="shared" ref="AA157:AD157" si="97">AA158*AA161/10^6</f>
        <v>1057.6673631753142</v>
      </c>
      <c r="AB157" s="16">
        <f t="shared" si="97"/>
        <v>1147.974066023163</v>
      </c>
      <c r="AC157" s="16">
        <f t="shared" si="97"/>
        <v>1536.9121107468827</v>
      </c>
      <c r="AD157" s="16">
        <f t="shared" si="97"/>
        <v>1631.1135114785147</v>
      </c>
      <c r="AF157" s="327"/>
      <c r="AH157" s="151"/>
      <c r="AI157" s="16"/>
      <c r="AK157" s="311"/>
    </row>
    <row r="158" spans="2:37" x14ac:dyDescent="0.3">
      <c r="F158" s="3" t="s">
        <v>563</v>
      </c>
      <c r="L158" s="16"/>
      <c r="M158" s="16"/>
      <c r="N158" s="15"/>
      <c r="O158" s="246">
        <v>3134720</v>
      </c>
      <c r="P158" s="16">
        <f t="shared" ref="P158:X158" si="98">P159*P160</f>
        <v>833413.33333333337</v>
      </c>
      <c r="Q158" s="16">
        <f t="shared" si="98"/>
        <v>833413.33333333337</v>
      </c>
      <c r="R158" s="16">
        <f t="shared" si="98"/>
        <v>0</v>
      </c>
      <c r="S158" s="16">
        <f t="shared" si="98"/>
        <v>0</v>
      </c>
      <c r="T158" s="16">
        <f t="shared" si="98"/>
        <v>416706.66666666669</v>
      </c>
      <c r="U158" s="16">
        <f t="shared" si="98"/>
        <v>0</v>
      </c>
      <c r="V158" s="16">
        <f t="shared" si="98"/>
        <v>0</v>
      </c>
      <c r="W158" s="16">
        <f t="shared" si="98"/>
        <v>416706.66666666669</v>
      </c>
      <c r="X158" s="16">
        <f t="shared" si="98"/>
        <v>0</v>
      </c>
      <c r="Y158" s="246">
        <f>SUM(P158:X158)</f>
        <v>2500240</v>
      </c>
      <c r="Z158" s="246">
        <f>Y158+O158</f>
        <v>5634960</v>
      </c>
      <c r="AA158" s="16">
        <f t="shared" ref="AA158:AD158" si="99">AA159*AA160</f>
        <v>6078407.890164176</v>
      </c>
      <c r="AB158" s="16">
        <f t="shared" si="99"/>
        <v>6533651.698783854</v>
      </c>
      <c r="AC158" s="16">
        <f t="shared" si="99"/>
        <v>8643769.0210854039</v>
      </c>
      <c r="AD158" s="16">
        <f t="shared" si="99"/>
        <v>9128583.2907250542</v>
      </c>
      <c r="AF158" s="327"/>
      <c r="AH158" s="243"/>
      <c r="AK158" s="311"/>
    </row>
    <row r="159" spans="2:37" x14ac:dyDescent="0.3">
      <c r="G159" s="3" t="s">
        <v>298</v>
      </c>
      <c r="L159" s="16"/>
      <c r="M159" s="16"/>
      <c r="N159" s="15"/>
      <c r="O159" s="246">
        <f t="shared" ref="O159:AD159" si="100">O60</f>
        <v>8</v>
      </c>
      <c r="P159" s="16">
        <f t="shared" si="100"/>
        <v>2</v>
      </c>
      <c r="Q159" s="16">
        <f t="shared" si="100"/>
        <v>2</v>
      </c>
      <c r="R159" s="16">
        <f t="shared" si="100"/>
        <v>0</v>
      </c>
      <c r="S159" s="16">
        <f t="shared" si="100"/>
        <v>0</v>
      </c>
      <c r="T159" s="16">
        <f t="shared" si="100"/>
        <v>1</v>
      </c>
      <c r="U159" s="16">
        <f t="shared" si="100"/>
        <v>0</v>
      </c>
      <c r="V159" s="16">
        <f t="shared" si="100"/>
        <v>0</v>
      </c>
      <c r="W159" s="16">
        <f t="shared" si="100"/>
        <v>1</v>
      </c>
      <c r="X159" s="16">
        <f t="shared" si="100"/>
        <v>0</v>
      </c>
      <c r="Y159" s="246">
        <f t="shared" si="100"/>
        <v>6</v>
      </c>
      <c r="Z159" s="246">
        <f t="shared" si="100"/>
        <v>14</v>
      </c>
      <c r="AA159" s="16">
        <f t="shared" si="100"/>
        <v>15</v>
      </c>
      <c r="AB159" s="16">
        <f t="shared" si="100"/>
        <v>16</v>
      </c>
      <c r="AC159" s="16">
        <f t="shared" si="100"/>
        <v>21</v>
      </c>
      <c r="AD159" s="16">
        <f t="shared" si="100"/>
        <v>22</v>
      </c>
      <c r="AF159" s="327"/>
      <c r="AH159" s="243"/>
      <c r="AK159" s="311"/>
    </row>
    <row r="160" spans="2:37" x14ac:dyDescent="0.3">
      <c r="G160" s="3" t="s">
        <v>523</v>
      </c>
      <c r="I160" s="262">
        <f>Z160/Z63</f>
        <v>0.78706770448172125</v>
      </c>
      <c r="L160" s="16"/>
      <c r="M160" s="16"/>
      <c r="N160" s="15"/>
      <c r="O160" s="246">
        <f>O158/O159</f>
        <v>391840</v>
      </c>
      <c r="P160" s="16">
        <f>Revenue_HW!P524</f>
        <v>416706.66666666669</v>
      </c>
      <c r="Q160" s="16">
        <f>Revenue_HW!Q524</f>
        <v>416706.66666666669</v>
      </c>
      <c r="R160" s="16">
        <f>Revenue_HW!R524</f>
        <v>416706.66666666669</v>
      </c>
      <c r="S160" s="16">
        <f>Revenue_HW!S524</f>
        <v>416706.66666666669</v>
      </c>
      <c r="T160" s="16">
        <f>Revenue_HW!T524</f>
        <v>416706.66666666669</v>
      </c>
      <c r="U160" s="16">
        <f>Revenue_HW!U524</f>
        <v>416706.66666666669</v>
      </c>
      <c r="V160" s="16">
        <f>Revenue_HW!V524</f>
        <v>416706.66666666669</v>
      </c>
      <c r="W160" s="16">
        <f>Revenue_HW!W524</f>
        <v>416706.66666666669</v>
      </c>
      <c r="X160" s="16">
        <f>Revenue_HW!X524</f>
        <v>416706.66666666669</v>
      </c>
      <c r="Y160" s="246">
        <f>IFERROR(Y158/Y159,)</f>
        <v>416706.66666666669</v>
      </c>
      <c r="Z160" s="246">
        <f t="shared" ref="Z160" si="101">IFERROR(Z158/Z159,)</f>
        <v>402497.14285714284</v>
      </c>
      <c r="AA160" s="16">
        <f>AA63*$I160</f>
        <v>405227.19267761172</v>
      </c>
      <c r="AB160" s="16">
        <f>AB63*$I160</f>
        <v>408353.23117399088</v>
      </c>
      <c r="AC160" s="16">
        <f>AC63*$I160</f>
        <v>411608.04862311448</v>
      </c>
      <c r="AD160" s="16">
        <f>AD63*$I160</f>
        <v>414935.60412386607</v>
      </c>
      <c r="AF160" s="327"/>
      <c r="AH160" s="243"/>
      <c r="AK160" s="311"/>
    </row>
    <row r="161" spans="5:37" x14ac:dyDescent="0.3">
      <c r="F161" s="3" t="s">
        <v>333</v>
      </c>
      <c r="L161" s="16"/>
      <c r="M161" s="16"/>
      <c r="N161" s="15"/>
      <c r="O161" s="246">
        <f>O157/O158*10^6</f>
        <v>184.56</v>
      </c>
      <c r="P161" s="16">
        <f t="shared" ref="P161:X161" si="102">P$293</f>
        <v>182.15478841870822</v>
      </c>
      <c r="Q161" s="16">
        <f t="shared" si="102"/>
        <v>182.15478841870822</v>
      </c>
      <c r="R161" s="16">
        <f t="shared" si="102"/>
        <v>182.15478841870822</v>
      </c>
      <c r="S161" s="16">
        <f t="shared" si="102"/>
        <v>180.89761570827488</v>
      </c>
      <c r="T161" s="16">
        <f t="shared" si="102"/>
        <v>180.89761570827488</v>
      </c>
      <c r="U161" s="16">
        <f t="shared" si="102"/>
        <v>180.89761570827488</v>
      </c>
      <c r="V161" s="16">
        <f t="shared" si="102"/>
        <v>177.57575757575759</v>
      </c>
      <c r="W161" s="16">
        <f t="shared" si="102"/>
        <v>177.57575757575759</v>
      </c>
      <c r="X161" s="16">
        <f t="shared" si="102"/>
        <v>177.57575757575759</v>
      </c>
      <c r="Y161" s="246">
        <f>IFERROR(Y157/Y158*10^6,)</f>
        <v>181.18208782647758</v>
      </c>
      <c r="Z161" s="246">
        <f t="shared" ref="Z161" si="103">IFERROR(Z157/Z158*10^6,)</f>
        <v>183.0612154242927</v>
      </c>
      <c r="AA161" s="16">
        <f>AA$293</f>
        <v>174.00401261106336</v>
      </c>
      <c r="AB161" s="16">
        <f>AB$293</f>
        <v>175.7017543859649</v>
      </c>
      <c r="AC161" s="16">
        <f>AC$293</f>
        <v>177.80578206078576</v>
      </c>
      <c r="AD161" s="16">
        <f>AD$293</f>
        <v>178.68199911543564</v>
      </c>
      <c r="AF161" s="327"/>
      <c r="AH161" s="243"/>
      <c r="AK161" s="311"/>
    </row>
    <row r="162" spans="5:37" x14ac:dyDescent="0.3">
      <c r="E162" s="3" t="s">
        <v>149</v>
      </c>
      <c r="L162" s="16"/>
      <c r="M162" s="16"/>
      <c r="N162" s="15"/>
      <c r="O162" s="306"/>
      <c r="P162" s="119"/>
      <c r="Q162" s="119"/>
      <c r="R162" s="119"/>
      <c r="S162" s="119"/>
      <c r="T162" s="119"/>
      <c r="U162" s="119"/>
      <c r="V162" s="119"/>
      <c r="W162" s="119"/>
      <c r="X162" s="119"/>
      <c r="Y162" s="306"/>
      <c r="Z162" s="306"/>
      <c r="AA162" s="119"/>
      <c r="AB162" s="119"/>
      <c r="AC162" s="119"/>
      <c r="AD162" s="119"/>
      <c r="AF162" s="327"/>
      <c r="AH162" s="151"/>
      <c r="AI162" s="16"/>
      <c r="AK162" s="311"/>
    </row>
    <row r="163" spans="5:37" x14ac:dyDescent="0.3">
      <c r="F163" s="3" t="s">
        <v>563</v>
      </c>
      <c r="L163" s="16"/>
      <c r="M163" s="16"/>
      <c r="N163" s="15"/>
      <c r="O163" s="306"/>
      <c r="P163" s="119"/>
      <c r="Q163" s="119"/>
      <c r="R163" s="119"/>
      <c r="S163" s="119"/>
      <c r="T163" s="119"/>
      <c r="U163" s="119"/>
      <c r="V163" s="119"/>
      <c r="W163" s="119"/>
      <c r="X163" s="119"/>
      <c r="Y163" s="306"/>
      <c r="Z163" s="306"/>
      <c r="AA163" s="119"/>
      <c r="AB163" s="119"/>
      <c r="AC163" s="119"/>
      <c r="AD163" s="119"/>
      <c r="AF163" s="327"/>
      <c r="AH163" s="243"/>
      <c r="AK163" s="311"/>
    </row>
    <row r="164" spans="5:37" x14ac:dyDescent="0.3">
      <c r="G164" s="3" t="s">
        <v>298</v>
      </c>
      <c r="L164" s="16"/>
      <c r="M164" s="16"/>
      <c r="N164" s="15"/>
      <c r="O164" s="306"/>
      <c r="P164" s="119"/>
      <c r="Q164" s="119"/>
      <c r="R164" s="119"/>
      <c r="S164" s="119"/>
      <c r="T164" s="119"/>
      <c r="U164" s="119"/>
      <c r="V164" s="119"/>
      <c r="W164" s="119"/>
      <c r="X164" s="119"/>
      <c r="Y164" s="306"/>
      <c r="Z164" s="306"/>
      <c r="AA164" s="119"/>
      <c r="AB164" s="119"/>
      <c r="AC164" s="119"/>
      <c r="AD164" s="119"/>
      <c r="AF164" s="327"/>
      <c r="AH164" s="243"/>
      <c r="AK164" s="311"/>
    </row>
    <row r="165" spans="5:37" x14ac:dyDescent="0.3">
      <c r="G165" s="3" t="s">
        <v>523</v>
      </c>
      <c r="L165" s="16"/>
      <c r="M165" s="16"/>
      <c r="N165" s="15"/>
      <c r="O165" s="306"/>
      <c r="P165" s="119"/>
      <c r="Q165" s="119"/>
      <c r="R165" s="119"/>
      <c r="S165" s="119"/>
      <c r="T165" s="119"/>
      <c r="U165" s="119"/>
      <c r="V165" s="119"/>
      <c r="W165" s="119"/>
      <c r="X165" s="119"/>
      <c r="Y165" s="306"/>
      <c r="Z165" s="306"/>
      <c r="AA165" s="119"/>
      <c r="AB165" s="119"/>
      <c r="AC165" s="119"/>
      <c r="AD165" s="119"/>
      <c r="AF165" s="327"/>
      <c r="AH165" s="243"/>
      <c r="AK165" s="311"/>
    </row>
    <row r="166" spans="5:37" x14ac:dyDescent="0.3">
      <c r="F166" s="3" t="s">
        <v>333</v>
      </c>
      <c r="L166" s="16"/>
      <c r="M166" s="16"/>
      <c r="N166" s="15"/>
      <c r="O166" s="306"/>
      <c r="P166" s="119"/>
      <c r="Q166" s="119"/>
      <c r="R166" s="119"/>
      <c r="S166" s="119"/>
      <c r="T166" s="119"/>
      <c r="U166" s="119"/>
      <c r="V166" s="119"/>
      <c r="W166" s="119"/>
      <c r="X166" s="119"/>
      <c r="Y166" s="306"/>
      <c r="Z166" s="306"/>
      <c r="AA166" s="119"/>
      <c r="AB166" s="119"/>
      <c r="AC166" s="119"/>
      <c r="AD166" s="119"/>
      <c r="AF166" s="327"/>
      <c r="AH166" s="243"/>
      <c r="AK166" s="311"/>
    </row>
    <row r="167" spans="5:37" x14ac:dyDescent="0.3">
      <c r="E167" s="3" t="s">
        <v>150</v>
      </c>
      <c r="L167" s="16"/>
      <c r="M167" s="16"/>
      <c r="N167" s="15"/>
      <c r="O167" s="246">
        <v>370.62600960000003</v>
      </c>
      <c r="P167" s="119"/>
      <c r="Q167" s="119"/>
      <c r="R167" s="119"/>
      <c r="S167" s="119"/>
      <c r="T167" s="119"/>
      <c r="U167" s="119"/>
      <c r="V167" s="119"/>
      <c r="W167" s="119"/>
      <c r="X167" s="119"/>
      <c r="Y167" s="306"/>
      <c r="Z167" s="246">
        <f>Y167+O167</f>
        <v>370.62600960000003</v>
      </c>
      <c r="AA167" s="119"/>
      <c r="AB167" s="119"/>
      <c r="AC167" s="119"/>
      <c r="AD167" s="119"/>
      <c r="AF167" s="327"/>
      <c r="AH167" s="151"/>
      <c r="AK167" s="311"/>
    </row>
    <row r="168" spans="5:37" x14ac:dyDescent="0.3">
      <c r="F168" s="3" t="s">
        <v>563</v>
      </c>
      <c r="L168" s="16"/>
      <c r="M168" s="16"/>
      <c r="N168" s="15"/>
      <c r="O168" s="246">
        <v>2008160</v>
      </c>
      <c r="P168" s="119"/>
      <c r="Q168" s="119"/>
      <c r="R168" s="119"/>
      <c r="S168" s="119"/>
      <c r="T168" s="119"/>
      <c r="U168" s="119"/>
      <c r="V168" s="119"/>
      <c r="W168" s="119"/>
      <c r="X168" s="119"/>
      <c r="Y168" s="306"/>
      <c r="Z168" s="246">
        <f>Y168+O168</f>
        <v>2008160</v>
      </c>
      <c r="AA168" s="119"/>
      <c r="AB168" s="119"/>
      <c r="AC168" s="119"/>
      <c r="AD168" s="119"/>
      <c r="AF168" s="327"/>
      <c r="AH168" s="243"/>
      <c r="AK168" s="311"/>
    </row>
    <row r="169" spans="5:37" x14ac:dyDescent="0.3">
      <c r="G169" s="3" t="s">
        <v>298</v>
      </c>
      <c r="L169" s="16"/>
      <c r="M169" s="16"/>
      <c r="N169" s="15"/>
      <c r="O169" s="246">
        <f>O74</f>
        <v>2</v>
      </c>
      <c r="P169" s="119"/>
      <c r="Q169" s="119"/>
      <c r="R169" s="119"/>
      <c r="S169" s="119"/>
      <c r="T169" s="119"/>
      <c r="U169" s="119"/>
      <c r="V169" s="119"/>
      <c r="W169" s="119"/>
      <c r="X169" s="119"/>
      <c r="Y169" s="306"/>
      <c r="Z169" s="246">
        <f>Z74</f>
        <v>2</v>
      </c>
      <c r="AA169" s="119"/>
      <c r="AB169" s="119"/>
      <c r="AC169" s="119"/>
      <c r="AD169" s="119"/>
      <c r="AF169" s="327"/>
      <c r="AH169" s="243"/>
      <c r="AK169" s="311"/>
    </row>
    <row r="170" spans="5:37" x14ac:dyDescent="0.3">
      <c r="G170" s="3" t="s">
        <v>523</v>
      </c>
      <c r="L170" s="16"/>
      <c r="M170" s="16"/>
      <c r="N170" s="15"/>
      <c r="O170" s="246">
        <f>O168/O169</f>
        <v>1004080</v>
      </c>
      <c r="P170" s="119"/>
      <c r="Q170" s="119"/>
      <c r="R170" s="119"/>
      <c r="S170" s="119"/>
      <c r="T170" s="119"/>
      <c r="U170" s="119"/>
      <c r="V170" s="119"/>
      <c r="W170" s="119"/>
      <c r="X170" s="119"/>
      <c r="Y170" s="306"/>
      <c r="Z170" s="246">
        <f>IFERROR(Z167/Z169/Z171*10^6,)</f>
        <v>1016691.6560273038</v>
      </c>
      <c r="AA170" s="119"/>
      <c r="AB170" s="119"/>
      <c r="AC170" s="119"/>
      <c r="AD170" s="119"/>
      <c r="AF170" s="327"/>
      <c r="AH170" s="243"/>
      <c r="AK170" s="311"/>
    </row>
    <row r="171" spans="5:37" x14ac:dyDescent="0.3">
      <c r="F171" s="3" t="s">
        <v>333</v>
      </c>
      <c r="L171" s="16"/>
      <c r="M171" s="16"/>
      <c r="N171" s="15"/>
      <c r="O171" s="246">
        <f>O167/O168*10^6</f>
        <v>184.56</v>
      </c>
      <c r="P171" s="119"/>
      <c r="Q171" s="119"/>
      <c r="R171" s="119"/>
      <c r="S171" s="119"/>
      <c r="T171" s="119"/>
      <c r="U171" s="119"/>
      <c r="V171" s="119"/>
      <c r="W171" s="119"/>
      <c r="X171" s="119"/>
      <c r="Y171" s="306"/>
      <c r="Z171" s="246">
        <f>Z$293</f>
        <v>182.27060653188181</v>
      </c>
      <c r="AA171" s="119"/>
      <c r="AB171" s="119"/>
      <c r="AC171" s="119"/>
      <c r="AD171" s="119"/>
      <c r="AF171" s="327"/>
      <c r="AH171" s="243"/>
      <c r="AK171" s="311"/>
    </row>
    <row r="172" spans="5:37" x14ac:dyDescent="0.3">
      <c r="E172" s="3" t="s">
        <v>105</v>
      </c>
      <c r="L172" s="16"/>
      <c r="M172" s="16"/>
      <c r="N172" s="15"/>
      <c r="O172" s="246">
        <f>O173+O175+O177+O178</f>
        <v>626.70320295440126</v>
      </c>
      <c r="P172" s="16">
        <f t="shared" ref="P172:AD172" si="104">P173+P175+P177+P178</f>
        <v>116.2977680729548</v>
      </c>
      <c r="Q172" s="16">
        <f t="shared" si="104"/>
        <v>116.2977680729548</v>
      </c>
      <c r="R172" s="16">
        <f t="shared" si="104"/>
        <v>100.22584981155673</v>
      </c>
      <c r="S172" s="16">
        <f t="shared" si="104"/>
        <v>0</v>
      </c>
      <c r="T172" s="16">
        <f t="shared" si="104"/>
        <v>57.751532330774225</v>
      </c>
      <c r="U172" s="16">
        <f t="shared" si="104"/>
        <v>0</v>
      </c>
      <c r="V172" s="16">
        <f t="shared" si="104"/>
        <v>0</v>
      </c>
      <c r="W172" s="16">
        <f t="shared" si="104"/>
        <v>56.701600221919641</v>
      </c>
      <c r="X172" s="16">
        <f t="shared" si="104"/>
        <v>0</v>
      </c>
      <c r="Y172" s="246">
        <f t="shared" si="104"/>
        <v>447.27451851016014</v>
      </c>
      <c r="Z172" s="246">
        <f t="shared" si="104"/>
        <v>1073.9777214645612</v>
      </c>
      <c r="AA172" s="16">
        <f t="shared" si="104"/>
        <v>1079.2461337422678</v>
      </c>
      <c r="AB172" s="16">
        <f t="shared" si="104"/>
        <v>1153.1155205473497</v>
      </c>
      <c r="AC172" s="16">
        <f t="shared" si="104"/>
        <v>1537.9858102727171</v>
      </c>
      <c r="AD172" s="16">
        <f t="shared" si="104"/>
        <v>1671.8434996936517</v>
      </c>
      <c r="AF172" s="327"/>
      <c r="AH172" s="151"/>
      <c r="AI172" s="16"/>
      <c r="AK172" s="311"/>
    </row>
    <row r="173" spans="5:37" x14ac:dyDescent="0.3">
      <c r="F173" s="3" t="s">
        <v>307</v>
      </c>
      <c r="L173" s="16"/>
      <c r="M173" s="16"/>
      <c r="N173" s="15"/>
      <c r="O173" s="246">
        <v>212.88315342720003</v>
      </c>
      <c r="P173" s="16">
        <f t="shared" ref="P173:X173" si="105">P174*P80</f>
        <v>14.570469233853004</v>
      </c>
      <c r="Q173" s="16">
        <f t="shared" si="105"/>
        <v>14.570469233853004</v>
      </c>
      <c r="R173" s="16">
        <f t="shared" si="105"/>
        <v>12.609592366369705</v>
      </c>
      <c r="S173" s="16">
        <f t="shared" si="105"/>
        <v>0</v>
      </c>
      <c r="T173" s="16">
        <f t="shared" si="105"/>
        <v>7.2349543128564742</v>
      </c>
      <c r="U173" s="16">
        <f t="shared" si="105"/>
        <v>0</v>
      </c>
      <c r="V173" s="16">
        <f t="shared" si="105"/>
        <v>0</v>
      </c>
      <c r="W173" s="16">
        <f t="shared" si="105"/>
        <v>7.1020974383838382</v>
      </c>
      <c r="X173" s="16">
        <f t="shared" si="105"/>
        <v>0</v>
      </c>
      <c r="Y173" s="246">
        <f>SUM(P173:X173)</f>
        <v>56.087582585316021</v>
      </c>
      <c r="Z173" s="246">
        <f>Y173+O173</f>
        <v>268.97073601251606</v>
      </c>
      <c r="AA173" s="16">
        <f>AA174*AA80</f>
        <v>135.16427341934497</v>
      </c>
      <c r="AB173" s="16">
        <f>AB174*AB80</f>
        <v>144.41567442691542</v>
      </c>
      <c r="AC173" s="16">
        <f>AC174*AC80</f>
        <v>192.6360790519729</v>
      </c>
      <c r="AD173" s="16">
        <f>AD174*AD80</f>
        <v>209.38370053108531</v>
      </c>
      <c r="AF173" s="327"/>
      <c r="AK173" s="311"/>
    </row>
    <row r="174" spans="5:37" x14ac:dyDescent="0.3">
      <c r="G174" s="3" t="s">
        <v>564</v>
      </c>
      <c r="I174" s="380">
        <v>0.95</v>
      </c>
      <c r="L174" s="16"/>
      <c r="M174" s="16"/>
      <c r="N174" s="15"/>
      <c r="O174" s="350">
        <f>O173/O80</f>
        <v>0.69296107167468157</v>
      </c>
      <c r="P174" s="17">
        <f t="shared" ref="P174:X174" si="106">$I174</f>
        <v>0.95</v>
      </c>
      <c r="Q174" s="17">
        <f t="shared" si="106"/>
        <v>0.95</v>
      </c>
      <c r="R174" s="17">
        <f t="shared" si="106"/>
        <v>0.95</v>
      </c>
      <c r="S174" s="17">
        <f t="shared" si="106"/>
        <v>0.95</v>
      </c>
      <c r="T174" s="17">
        <f t="shared" si="106"/>
        <v>0.95</v>
      </c>
      <c r="U174" s="17">
        <f t="shared" si="106"/>
        <v>0.95</v>
      </c>
      <c r="V174" s="17">
        <f t="shared" si="106"/>
        <v>0.95</v>
      </c>
      <c r="W174" s="17">
        <f t="shared" si="106"/>
        <v>0.95</v>
      </c>
      <c r="X174" s="17">
        <f t="shared" si="106"/>
        <v>0.95</v>
      </c>
      <c r="Y174" s="350">
        <f>IFERROR(Y173/Y80,)</f>
        <v>0.94999999999999984</v>
      </c>
      <c r="Z174" s="350">
        <f>IFERROR(Z173/Z80,)</f>
        <v>0.73439607057636935</v>
      </c>
      <c r="AA174" s="43">
        <f>$I174</f>
        <v>0.95</v>
      </c>
      <c r="AB174" s="43">
        <f t="shared" ref="AB174:AD174" si="107">$I174</f>
        <v>0.95</v>
      </c>
      <c r="AC174" s="43">
        <f t="shared" si="107"/>
        <v>0.95</v>
      </c>
      <c r="AD174" s="43">
        <f t="shared" si="107"/>
        <v>0.95</v>
      </c>
      <c r="AF174" s="327"/>
      <c r="AK174" s="311"/>
    </row>
    <row r="175" spans="5:37" x14ac:dyDescent="0.3">
      <c r="F175" s="3" t="s">
        <v>309</v>
      </c>
      <c r="L175" s="16"/>
      <c r="M175" s="16"/>
      <c r="N175" s="15"/>
      <c r="O175" s="246">
        <v>369.93491176080005</v>
      </c>
      <c r="P175" s="16">
        <f t="shared" ref="P175:X175" si="108">P82*P176</f>
        <v>100.57602619910179</v>
      </c>
      <c r="Q175" s="16">
        <f t="shared" si="108"/>
        <v>100.57602619910179</v>
      </c>
      <c r="R175" s="16">
        <f t="shared" si="108"/>
        <v>87.040621125187016</v>
      </c>
      <c r="S175" s="16">
        <f t="shared" si="108"/>
        <v>0</v>
      </c>
      <c r="T175" s="16">
        <f t="shared" si="108"/>
        <v>49.940941697917751</v>
      </c>
      <c r="U175" s="16">
        <f t="shared" si="108"/>
        <v>0</v>
      </c>
      <c r="V175" s="16">
        <f t="shared" si="108"/>
        <v>0</v>
      </c>
      <c r="W175" s="16">
        <f t="shared" si="108"/>
        <v>49.023866463535803</v>
      </c>
      <c r="X175" s="16">
        <f t="shared" si="108"/>
        <v>0</v>
      </c>
      <c r="Y175" s="246">
        <f>SUM(P175:X175)</f>
        <v>387.15748168484413</v>
      </c>
      <c r="Z175" s="246">
        <f>Y175+O175</f>
        <v>757.09239344564412</v>
      </c>
      <c r="AA175" s="16">
        <f>AA82*AA176</f>
        <v>933.00258807188288</v>
      </c>
      <c r="AB175" s="16">
        <f>AB82*AB176</f>
        <v>996.86251839958641</v>
      </c>
      <c r="AC175" s="16">
        <f>AC82*AC176</f>
        <v>1329.7149887670482</v>
      </c>
      <c r="AD175" s="16">
        <f>AD82*AD176</f>
        <v>1445.3193107433299</v>
      </c>
      <c r="AF175" s="327"/>
      <c r="AK175" s="311"/>
    </row>
    <row r="176" spans="5:37" x14ac:dyDescent="0.3">
      <c r="G176" s="3" t="s">
        <v>565</v>
      </c>
      <c r="I176" s="380">
        <v>0.55000000000000004</v>
      </c>
      <c r="L176" s="16"/>
      <c r="M176" s="16"/>
      <c r="N176" s="15"/>
      <c r="O176" s="350">
        <f>O175/O82</f>
        <v>0.52684732477377894</v>
      </c>
      <c r="P176" s="17">
        <f t="shared" ref="P176:X176" si="109">$I176</f>
        <v>0.55000000000000004</v>
      </c>
      <c r="Q176" s="17">
        <f t="shared" si="109"/>
        <v>0.55000000000000004</v>
      </c>
      <c r="R176" s="17">
        <f t="shared" si="109"/>
        <v>0.55000000000000004</v>
      </c>
      <c r="S176" s="17">
        <f t="shared" si="109"/>
        <v>0.55000000000000004</v>
      </c>
      <c r="T176" s="17">
        <f t="shared" si="109"/>
        <v>0.55000000000000004</v>
      </c>
      <c r="U176" s="17">
        <f t="shared" si="109"/>
        <v>0.55000000000000004</v>
      </c>
      <c r="V176" s="17">
        <f t="shared" si="109"/>
        <v>0.55000000000000004</v>
      </c>
      <c r="W176" s="17">
        <f t="shared" si="109"/>
        <v>0.55000000000000004</v>
      </c>
      <c r="X176" s="17">
        <f t="shared" si="109"/>
        <v>0.55000000000000004</v>
      </c>
      <c r="Y176" s="350">
        <f>IFERROR(Y175/Y82,)</f>
        <v>0.55000000000000004</v>
      </c>
      <c r="Z176" s="350">
        <f>IFERROR(Z175/Z82,)</f>
        <v>0.538438115354127</v>
      </c>
      <c r="AA176" s="43">
        <f>$I176</f>
        <v>0.55000000000000004</v>
      </c>
      <c r="AB176" s="43">
        <f t="shared" ref="AB176:AD176" si="110">$I176</f>
        <v>0.55000000000000004</v>
      </c>
      <c r="AC176" s="43">
        <f t="shared" si="110"/>
        <v>0.55000000000000004</v>
      </c>
      <c r="AD176" s="43">
        <f t="shared" si="110"/>
        <v>0.55000000000000004</v>
      </c>
      <c r="AF176" s="327"/>
      <c r="AK176" s="311"/>
    </row>
    <row r="177" spans="3:37" x14ac:dyDescent="0.3">
      <c r="F177" s="3" t="s">
        <v>311</v>
      </c>
      <c r="L177" s="16"/>
      <c r="M177" s="16"/>
      <c r="N177" s="15"/>
      <c r="O177" s="246">
        <f t="shared" ref="O177:X177" si="111">O86</f>
        <v>0</v>
      </c>
      <c r="P177" s="16">
        <f t="shared" si="111"/>
        <v>1.15127264</v>
      </c>
      <c r="Q177" s="16">
        <f t="shared" si="111"/>
        <v>1.15127264</v>
      </c>
      <c r="R177" s="16">
        <f t="shared" si="111"/>
        <v>0.57563631999999998</v>
      </c>
      <c r="S177" s="16">
        <f t="shared" si="111"/>
        <v>0</v>
      </c>
      <c r="T177" s="16">
        <f t="shared" si="111"/>
        <v>0.57563631999999998</v>
      </c>
      <c r="U177" s="16">
        <f t="shared" si="111"/>
        <v>0</v>
      </c>
      <c r="V177" s="16">
        <f t="shared" si="111"/>
        <v>0</v>
      </c>
      <c r="W177" s="16">
        <f t="shared" si="111"/>
        <v>0.57563631999999998</v>
      </c>
      <c r="X177" s="16">
        <f t="shared" si="111"/>
        <v>0</v>
      </c>
      <c r="Y177" s="246">
        <f>SUM(P177:X177)</f>
        <v>4.0294542399999997</v>
      </c>
      <c r="Z177" s="246">
        <f>Y177+O177</f>
        <v>4.0294542399999997</v>
      </c>
      <c r="AA177" s="16">
        <f>AA86</f>
        <v>11.079272251039997</v>
      </c>
      <c r="AB177" s="16">
        <f>AB86</f>
        <v>11.837327720847997</v>
      </c>
      <c r="AC177" s="16">
        <f>AC86</f>
        <v>15.634742453696035</v>
      </c>
      <c r="AD177" s="16">
        <f>AD86</f>
        <v>17.140488419236608</v>
      </c>
      <c r="AF177" s="327"/>
      <c r="AK177" s="311"/>
    </row>
    <row r="178" spans="3:37" x14ac:dyDescent="0.3">
      <c r="F178" s="3" t="s">
        <v>136</v>
      </c>
      <c r="L178" s="16"/>
      <c r="M178" s="16"/>
      <c r="N178" s="15"/>
      <c r="O178" s="246">
        <v>43.885137766401186</v>
      </c>
      <c r="P178" s="16"/>
      <c r="Q178" s="16"/>
      <c r="R178" s="16"/>
      <c r="S178" s="16"/>
      <c r="T178" s="16"/>
      <c r="U178" s="16"/>
      <c r="V178" s="16"/>
      <c r="W178" s="16"/>
      <c r="X178" s="16"/>
      <c r="Y178" s="246"/>
      <c r="Z178" s="246">
        <f>Y178+O178</f>
        <v>43.885137766401186</v>
      </c>
      <c r="AA178" s="16"/>
      <c r="AB178" s="16"/>
      <c r="AC178" s="16"/>
      <c r="AD178" s="16"/>
      <c r="AF178" s="327"/>
      <c r="AK178" s="311"/>
    </row>
    <row r="179" spans="3:37" x14ac:dyDescent="0.3">
      <c r="C179" s="3" t="s">
        <v>558</v>
      </c>
      <c r="L179" s="16"/>
      <c r="M179" s="16"/>
      <c r="N179" s="15"/>
      <c r="O179" s="246">
        <f>O185+O190+O195+O200+O205</f>
        <v>10620.985980645599</v>
      </c>
      <c r="P179" s="16">
        <f t="shared" ref="P179:AD179" si="112">P185+P190+P195+P200+P205</f>
        <v>3467.8105227967608</v>
      </c>
      <c r="Q179" s="16">
        <f t="shared" si="112"/>
        <v>3736.3877751465279</v>
      </c>
      <c r="R179" s="16">
        <f t="shared" si="112"/>
        <v>3448.1585083876589</v>
      </c>
      <c r="S179" s="16">
        <f t="shared" si="112"/>
        <v>3691.0840674119122</v>
      </c>
      <c r="T179" s="16">
        <f t="shared" si="112"/>
        <v>3572.2241371893697</v>
      </c>
      <c r="U179" s="16">
        <f t="shared" si="112"/>
        <v>3529.5149566037717</v>
      </c>
      <c r="V179" s="16">
        <f t="shared" si="112"/>
        <v>3006.2738319767091</v>
      </c>
      <c r="W179" s="16">
        <f t="shared" si="112"/>
        <v>3468.3106909422313</v>
      </c>
      <c r="X179" s="16">
        <f t="shared" si="112"/>
        <v>3380.6362493162605</v>
      </c>
      <c r="Y179" s="246">
        <f t="shared" si="112"/>
        <v>31300.400739771205</v>
      </c>
      <c r="Z179" s="246">
        <f t="shared" si="112"/>
        <v>41921.386720416798</v>
      </c>
      <c r="AA179" s="16">
        <f t="shared" si="112"/>
        <v>43498.037008486172</v>
      </c>
      <c r="AB179" s="16">
        <f t="shared" si="112"/>
        <v>51933.695311057483</v>
      </c>
      <c r="AC179" s="16">
        <f t="shared" si="112"/>
        <v>62397.223386412479</v>
      </c>
      <c r="AD179" s="16">
        <f t="shared" si="112"/>
        <v>67748.920411014798</v>
      </c>
      <c r="AF179" s="327"/>
      <c r="AK179" s="311"/>
    </row>
    <row r="180" spans="3:37" x14ac:dyDescent="0.3">
      <c r="E180" s="3" t="s">
        <v>146</v>
      </c>
      <c r="L180" s="16"/>
      <c r="M180" s="16"/>
      <c r="N180" s="15"/>
      <c r="O180" s="306"/>
      <c r="P180" s="119"/>
      <c r="Q180" s="119"/>
      <c r="R180" s="119"/>
      <c r="S180" s="119"/>
      <c r="T180" s="119"/>
      <c r="U180" s="119"/>
      <c r="V180" s="119"/>
      <c r="W180" s="119"/>
      <c r="X180" s="119"/>
      <c r="Y180" s="306"/>
      <c r="Z180" s="306"/>
      <c r="AA180" s="119"/>
      <c r="AB180" s="119"/>
      <c r="AC180" s="119"/>
      <c r="AD180" s="119"/>
      <c r="AF180" s="327"/>
      <c r="AK180" s="311"/>
    </row>
    <row r="181" spans="3:37" x14ac:dyDescent="0.3">
      <c r="F181" s="3" t="s">
        <v>563</v>
      </c>
      <c r="L181" s="16"/>
      <c r="M181" s="16"/>
      <c r="N181" s="15"/>
      <c r="O181" s="306"/>
      <c r="P181" s="119"/>
      <c r="Q181" s="119"/>
      <c r="R181" s="119"/>
      <c r="S181" s="119"/>
      <c r="T181" s="119"/>
      <c r="U181" s="119"/>
      <c r="V181" s="119"/>
      <c r="W181" s="119"/>
      <c r="X181" s="119"/>
      <c r="Y181" s="306"/>
      <c r="Z181" s="306"/>
      <c r="AA181" s="119"/>
      <c r="AB181" s="119"/>
      <c r="AC181" s="119"/>
      <c r="AD181" s="119"/>
      <c r="AF181" s="327"/>
      <c r="AK181" s="311"/>
    </row>
    <row r="182" spans="3:37" x14ac:dyDescent="0.3">
      <c r="G182" s="3" t="s">
        <v>298</v>
      </c>
      <c r="L182" s="16"/>
      <c r="M182" s="16"/>
      <c r="N182" s="15"/>
      <c r="O182" s="306"/>
      <c r="P182" s="119"/>
      <c r="Q182" s="119"/>
      <c r="R182" s="119"/>
      <c r="S182" s="119"/>
      <c r="T182" s="119"/>
      <c r="U182" s="119"/>
      <c r="V182" s="119"/>
      <c r="W182" s="119"/>
      <c r="X182" s="119"/>
      <c r="Y182" s="306"/>
      <c r="Z182" s="306"/>
      <c r="AA182" s="119"/>
      <c r="AB182" s="119"/>
      <c r="AC182" s="119"/>
      <c r="AD182" s="119"/>
      <c r="AF182" s="327"/>
      <c r="AK182" s="311"/>
    </row>
    <row r="183" spans="3:37" x14ac:dyDescent="0.3">
      <c r="G183" s="3" t="s">
        <v>523</v>
      </c>
      <c r="L183" s="16"/>
      <c r="M183" s="16"/>
      <c r="N183" s="15"/>
      <c r="O183" s="306"/>
      <c r="P183" s="119"/>
      <c r="Q183" s="119"/>
      <c r="R183" s="119"/>
      <c r="S183" s="119"/>
      <c r="T183" s="119"/>
      <c r="U183" s="119"/>
      <c r="V183" s="119"/>
      <c r="W183" s="119"/>
      <c r="X183" s="119"/>
      <c r="Y183" s="306"/>
      <c r="Z183" s="306"/>
      <c r="AA183" s="119"/>
      <c r="AB183" s="119"/>
      <c r="AC183" s="119"/>
      <c r="AD183" s="119"/>
      <c r="AF183" s="327"/>
      <c r="AK183" s="311"/>
    </row>
    <row r="184" spans="3:37" x14ac:dyDescent="0.3">
      <c r="F184" s="3" t="s">
        <v>333</v>
      </c>
      <c r="L184" s="16"/>
      <c r="M184" s="16"/>
      <c r="N184" s="15"/>
      <c r="O184" s="306"/>
      <c r="P184" s="119"/>
      <c r="Q184" s="119"/>
      <c r="R184" s="119"/>
      <c r="S184" s="119"/>
      <c r="T184" s="119"/>
      <c r="U184" s="119"/>
      <c r="V184" s="119"/>
      <c r="W184" s="119"/>
      <c r="X184" s="119"/>
      <c r="Y184" s="306"/>
      <c r="Z184" s="306"/>
      <c r="AA184" s="119"/>
      <c r="AB184" s="119"/>
      <c r="AC184" s="119"/>
      <c r="AD184" s="119"/>
      <c r="AF184" s="327"/>
      <c r="AK184" s="311"/>
    </row>
    <row r="185" spans="3:37" x14ac:dyDescent="0.3">
      <c r="E185" s="3" t="s">
        <v>147</v>
      </c>
      <c r="L185" s="16"/>
      <c r="M185" s="16"/>
      <c r="N185" s="15"/>
      <c r="O185" s="246">
        <v>2176.8579275687998</v>
      </c>
      <c r="P185" s="16">
        <f t="shared" ref="P185:X185" si="113">P187*P188*P189/10^6</f>
        <v>1561.0999832437685</v>
      </c>
      <c r="Q185" s="16">
        <f t="shared" si="113"/>
        <v>1805.021855625607</v>
      </c>
      <c r="R185" s="16">
        <f t="shared" si="113"/>
        <v>1658.6687321965039</v>
      </c>
      <c r="S185" s="16">
        <f t="shared" si="113"/>
        <v>1889.4595471520363</v>
      </c>
      <c r="T185" s="16">
        <f t="shared" si="113"/>
        <v>1744.1165050634181</v>
      </c>
      <c r="U185" s="16">
        <f t="shared" si="113"/>
        <v>1792.564185759624</v>
      </c>
      <c r="V185" s="16">
        <f t="shared" si="113"/>
        <v>1093.8346095986949</v>
      </c>
      <c r="W185" s="16">
        <f t="shared" si="113"/>
        <v>1902.321060171643</v>
      </c>
      <c r="X185" s="16">
        <f t="shared" si="113"/>
        <v>1521.8568481373143</v>
      </c>
      <c r="Y185" s="246">
        <f>SUM(P185:X185)</f>
        <v>14968.943326948611</v>
      </c>
      <c r="Z185" s="246">
        <f>Y185+O185</f>
        <v>17145.80125451741</v>
      </c>
      <c r="AA185" s="16">
        <f t="shared" ref="AA185:AD185" si="114">AA186*AA189/10^6</f>
        <v>19201.098339247455</v>
      </c>
      <c r="AB185" s="16">
        <f t="shared" si="114"/>
        <v>22409.642852205161</v>
      </c>
      <c r="AC185" s="16">
        <f t="shared" si="114"/>
        <v>24403.319606959598</v>
      </c>
      <c r="AD185" s="16">
        <f t="shared" si="114"/>
        <v>26380.886377861872</v>
      </c>
      <c r="AF185" s="327"/>
      <c r="AK185" s="311"/>
    </row>
    <row r="186" spans="3:37" x14ac:dyDescent="0.3">
      <c r="F186" s="3" t="s">
        <v>563</v>
      </c>
      <c r="L186" s="16"/>
      <c r="M186" s="16"/>
      <c r="N186" s="15"/>
      <c r="O186" s="246">
        <v>11794852.23</v>
      </c>
      <c r="P186" s="16">
        <f t="shared" ref="P186:X186" si="115">P187*P188</f>
        <v>8570183.6157903355</v>
      </c>
      <c r="Q186" s="16">
        <f t="shared" si="115"/>
        <v>9909274.8057575747</v>
      </c>
      <c r="R186" s="16">
        <f t="shared" si="115"/>
        <v>9105820.0917772315</v>
      </c>
      <c r="S186" s="16">
        <f t="shared" si="115"/>
        <v>10444911.281744471</v>
      </c>
      <c r="T186" s="16">
        <f t="shared" si="115"/>
        <v>9641456.5677641276</v>
      </c>
      <c r="U186" s="16">
        <f t="shared" si="115"/>
        <v>9909274.8057575747</v>
      </c>
      <c r="V186" s="16">
        <f t="shared" si="115"/>
        <v>6159819.473849304</v>
      </c>
      <c r="W186" s="16">
        <f t="shared" si="115"/>
        <v>10712729.51973792</v>
      </c>
      <c r="X186" s="16">
        <f t="shared" si="115"/>
        <v>8570183.6157903355</v>
      </c>
      <c r="Y186" s="246">
        <f>SUM(P186:X186)</f>
        <v>83023653.777968869</v>
      </c>
      <c r="Z186" s="246">
        <f>Y186+O186</f>
        <v>94818506.007968873</v>
      </c>
      <c r="AA186" s="16">
        <f t="shared" ref="AA186:AD186" si="116">AA187*AA188</f>
        <v>110348595.13364251</v>
      </c>
      <c r="AB186" s="16">
        <f t="shared" si="116"/>
        <v>127543648.78439283</v>
      </c>
      <c r="AC186" s="16">
        <f t="shared" si="116"/>
        <v>137247053.07174394</v>
      </c>
      <c r="AD186" s="16">
        <f t="shared" si="116"/>
        <v>147641544.80283588</v>
      </c>
      <c r="AF186" s="327"/>
      <c r="AK186" s="311"/>
    </row>
    <row r="187" spans="3:37" x14ac:dyDescent="0.3">
      <c r="G187" s="3" t="s">
        <v>298</v>
      </c>
      <c r="L187" s="16"/>
      <c r="M187" s="16"/>
      <c r="N187" s="15"/>
      <c r="O187" s="246">
        <f t="shared" ref="O187:AD187" si="117">O103</f>
        <v>39</v>
      </c>
      <c r="P187" s="16">
        <f t="shared" si="117"/>
        <v>32</v>
      </c>
      <c r="Q187" s="16">
        <f t="shared" si="117"/>
        <v>37</v>
      </c>
      <c r="R187" s="16">
        <f t="shared" si="117"/>
        <v>34</v>
      </c>
      <c r="S187" s="16">
        <f t="shared" si="117"/>
        <v>39</v>
      </c>
      <c r="T187" s="16">
        <f t="shared" si="117"/>
        <v>36</v>
      </c>
      <c r="U187" s="16">
        <f t="shared" si="117"/>
        <v>37</v>
      </c>
      <c r="V187" s="16">
        <f t="shared" si="117"/>
        <v>23</v>
      </c>
      <c r="W187" s="16">
        <f t="shared" si="117"/>
        <v>40</v>
      </c>
      <c r="X187" s="16">
        <f t="shared" si="117"/>
        <v>32</v>
      </c>
      <c r="Y187" s="246">
        <f t="shared" si="117"/>
        <v>310</v>
      </c>
      <c r="Z187" s="246">
        <f t="shared" si="117"/>
        <v>349</v>
      </c>
      <c r="AA187" s="16">
        <f t="shared" si="117"/>
        <v>404</v>
      </c>
      <c r="AB187" s="16">
        <f t="shared" si="117"/>
        <v>464</v>
      </c>
      <c r="AC187" s="16">
        <f t="shared" si="117"/>
        <v>496</v>
      </c>
      <c r="AD187" s="16">
        <f t="shared" si="117"/>
        <v>530</v>
      </c>
      <c r="AF187" s="327"/>
      <c r="AK187" s="311"/>
    </row>
    <row r="188" spans="3:37" x14ac:dyDescent="0.3">
      <c r="G188" s="3" t="s">
        <v>523</v>
      </c>
      <c r="I188" s="262">
        <f>Z188/Z106</f>
        <v>0.85692157741078367</v>
      </c>
      <c r="L188" s="16"/>
      <c r="M188" s="16"/>
      <c r="N188" s="15"/>
      <c r="O188" s="246">
        <f>O186/O187</f>
        <v>302432.10846153845</v>
      </c>
      <c r="P188" s="16">
        <f>Projection_강소!P29</f>
        <v>267818.23799344798</v>
      </c>
      <c r="Q188" s="16">
        <f>Projection_강소!Q29</f>
        <v>267818.23799344798</v>
      </c>
      <c r="R188" s="16">
        <f>Projection_강소!R29</f>
        <v>267818.23799344798</v>
      </c>
      <c r="S188" s="16">
        <f>Projection_강소!S29</f>
        <v>267818.23799344798</v>
      </c>
      <c r="T188" s="16">
        <f>Projection_강소!T29</f>
        <v>267818.23799344798</v>
      </c>
      <c r="U188" s="16">
        <f>Projection_강소!U29</f>
        <v>267818.23799344798</v>
      </c>
      <c r="V188" s="16">
        <f>Projection_강소!V29</f>
        <v>267818.23799344798</v>
      </c>
      <c r="W188" s="16">
        <f>Projection_강소!W29</f>
        <v>267818.23799344798</v>
      </c>
      <c r="X188" s="16">
        <f>Projection_강소!X29</f>
        <v>267818.23799344798</v>
      </c>
      <c r="Y188" s="246">
        <f>IFERROR(Y186/Y187,)</f>
        <v>267818.23799344798</v>
      </c>
      <c r="Z188" s="246">
        <f t="shared" ref="Z188" si="118">IFERROR(Z186/Z187,)</f>
        <v>271686.26363314863</v>
      </c>
      <c r="AA188" s="16">
        <f>AA106*$I188</f>
        <v>273140.08696446166</v>
      </c>
      <c r="AB188" s="16">
        <f>AB106*$I188</f>
        <v>274878.55341463973</v>
      </c>
      <c r="AC188" s="16">
        <f>AC106*$I188</f>
        <v>276707.76828980632</v>
      </c>
      <c r="AD188" s="16">
        <f>AD106*$I188</f>
        <v>278568.95245818089</v>
      </c>
      <c r="AF188" s="327"/>
      <c r="AK188" s="311"/>
    </row>
    <row r="189" spans="3:37" x14ac:dyDescent="0.3">
      <c r="F189" s="3" t="s">
        <v>333</v>
      </c>
      <c r="L189" s="16"/>
      <c r="M189" s="16"/>
      <c r="N189" s="15"/>
      <c r="O189" s="246">
        <f>O185/O186*10^6</f>
        <v>184.55999999999997</v>
      </c>
      <c r="P189" s="16">
        <f t="shared" ref="P189:X189" si="119">P$293</f>
        <v>182.15478841870822</v>
      </c>
      <c r="Q189" s="16">
        <f t="shared" si="119"/>
        <v>182.15478841870822</v>
      </c>
      <c r="R189" s="16">
        <f t="shared" si="119"/>
        <v>182.15478841870822</v>
      </c>
      <c r="S189" s="16">
        <f t="shared" si="119"/>
        <v>180.89761570827488</v>
      </c>
      <c r="T189" s="16">
        <f t="shared" si="119"/>
        <v>180.89761570827488</v>
      </c>
      <c r="U189" s="16">
        <f t="shared" si="119"/>
        <v>180.89761570827488</v>
      </c>
      <c r="V189" s="16">
        <f t="shared" si="119"/>
        <v>177.57575757575759</v>
      </c>
      <c r="W189" s="16">
        <f t="shared" si="119"/>
        <v>177.57575757575759</v>
      </c>
      <c r="X189" s="16">
        <f t="shared" si="119"/>
        <v>177.57575757575759</v>
      </c>
      <c r="Y189" s="246">
        <f>IFERROR(Y185/Y186*10^6,)</f>
        <v>180.29733269726037</v>
      </c>
      <c r="Z189" s="246">
        <f t="shared" ref="Z189" si="120">IFERROR(Z185/Z186*10^6,)</f>
        <v>180.82758288847558</v>
      </c>
      <c r="AA189" s="16">
        <f>AA$293</f>
        <v>174.00401261106336</v>
      </c>
      <c r="AB189" s="16">
        <f>AB$293</f>
        <v>175.7017543859649</v>
      </c>
      <c r="AC189" s="16">
        <f>AC$293</f>
        <v>177.80578206078576</v>
      </c>
      <c r="AD189" s="16">
        <f>AD$293</f>
        <v>178.68199911543564</v>
      </c>
      <c r="AF189" s="327"/>
      <c r="AK189" s="311"/>
    </row>
    <row r="190" spans="3:37" x14ac:dyDescent="0.3">
      <c r="E190" s="3" t="s">
        <v>148</v>
      </c>
      <c r="L190" s="16"/>
      <c r="M190" s="16"/>
      <c r="N190" s="15"/>
      <c r="O190" s="246">
        <v>6534.1701207119995</v>
      </c>
      <c r="P190" s="16">
        <f t="shared" ref="P190:X190" si="121">P192*P193*P194/10^6</f>
        <v>1572.6389847209518</v>
      </c>
      <c r="Q190" s="16">
        <f t="shared" si="121"/>
        <v>1397.9013197519571</v>
      </c>
      <c r="R190" s="16">
        <f t="shared" si="121"/>
        <v>1456.1472080749552</v>
      </c>
      <c r="S190" s="16">
        <f t="shared" si="121"/>
        <v>1272.565673985273</v>
      </c>
      <c r="T190" s="16">
        <f t="shared" si="121"/>
        <v>1677.4729338896775</v>
      </c>
      <c r="U190" s="16">
        <f t="shared" si="121"/>
        <v>1214.7217797132148</v>
      </c>
      <c r="V190" s="16">
        <f t="shared" si="121"/>
        <v>1419.5423895273091</v>
      </c>
      <c r="W190" s="16">
        <f t="shared" si="121"/>
        <v>1419.5423895273091</v>
      </c>
      <c r="X190" s="16">
        <f t="shared" si="121"/>
        <v>1533.1057806894942</v>
      </c>
      <c r="Y190" s="246">
        <f>SUM(P190:X190)</f>
        <v>12963.638459880141</v>
      </c>
      <c r="Z190" s="246">
        <f>Y190+O190</f>
        <v>19497.80858059214</v>
      </c>
      <c r="AA190" s="16">
        <f t="shared" ref="AA190:AD190" si="122">AA191*AA194/10^6</f>
        <v>20310.536021586671</v>
      </c>
      <c r="AB190" s="16">
        <f t="shared" si="122"/>
        <v>24965.161237655826</v>
      </c>
      <c r="AC190" s="16">
        <f t="shared" si="122"/>
        <v>30330.358285944058</v>
      </c>
      <c r="AD190" s="16">
        <f t="shared" si="122"/>
        <v>33038.305018939071</v>
      </c>
      <c r="AF190" s="327"/>
      <c r="AK190" s="311"/>
    </row>
    <row r="191" spans="3:37" x14ac:dyDescent="0.3">
      <c r="F191" s="3" t="s">
        <v>563</v>
      </c>
      <c r="L191" s="16"/>
      <c r="M191" s="16"/>
      <c r="N191" s="15"/>
      <c r="O191" s="246">
        <v>35404042.700000003</v>
      </c>
      <c r="P191" s="16">
        <f t="shared" ref="P191:X191" si="123">P192*P193</f>
        <v>8633530.8468862288</v>
      </c>
      <c r="Q191" s="16">
        <f t="shared" si="123"/>
        <v>7674249.6416766476</v>
      </c>
      <c r="R191" s="16">
        <f t="shared" si="123"/>
        <v>7994010.0434131743</v>
      </c>
      <c r="S191" s="16">
        <f t="shared" si="123"/>
        <v>7034728.8382035941</v>
      </c>
      <c r="T191" s="16">
        <f t="shared" si="123"/>
        <v>9273051.6503592823</v>
      </c>
      <c r="U191" s="16">
        <f t="shared" si="123"/>
        <v>6714968.4364670664</v>
      </c>
      <c r="V191" s="16">
        <f t="shared" si="123"/>
        <v>7994010.0434131743</v>
      </c>
      <c r="W191" s="16">
        <f t="shared" si="123"/>
        <v>7994010.0434131743</v>
      </c>
      <c r="X191" s="16">
        <f t="shared" si="123"/>
        <v>8633530.8468862288</v>
      </c>
      <c r="Y191" s="246">
        <f>SUM(P191:X191)</f>
        <v>71946090.390718579</v>
      </c>
      <c r="Z191" s="246">
        <f>Y191+O191</f>
        <v>107350133.09071858</v>
      </c>
      <c r="AA191" s="16">
        <f t="shared" ref="AA191:AD191" si="124">AA192*AA193</f>
        <v>116724526.73252493</v>
      </c>
      <c r="AB191" s="16">
        <f t="shared" si="124"/>
        <v>142088286.62470117</v>
      </c>
      <c r="AC191" s="16">
        <f t="shared" si="124"/>
        <v>170581394.67914006</v>
      </c>
      <c r="AD191" s="16">
        <f t="shared" si="124"/>
        <v>184900018.93025059</v>
      </c>
      <c r="AF191" s="327"/>
      <c r="AK191" s="311"/>
    </row>
    <row r="192" spans="3:37" x14ac:dyDescent="0.3">
      <c r="G192" s="3" t="s">
        <v>298</v>
      </c>
      <c r="L192" s="16"/>
      <c r="M192" s="16"/>
      <c r="N192" s="15"/>
      <c r="O192" s="246">
        <f t="shared" ref="O192:AD192" si="125">O110</f>
        <v>100</v>
      </c>
      <c r="P192" s="16">
        <f t="shared" si="125"/>
        <v>27</v>
      </c>
      <c r="Q192" s="16">
        <f t="shared" si="125"/>
        <v>24</v>
      </c>
      <c r="R192" s="16">
        <f t="shared" si="125"/>
        <v>25</v>
      </c>
      <c r="S192" s="16">
        <f t="shared" si="125"/>
        <v>22</v>
      </c>
      <c r="T192" s="16">
        <f t="shared" si="125"/>
        <v>29</v>
      </c>
      <c r="U192" s="16">
        <f t="shared" si="125"/>
        <v>21</v>
      </c>
      <c r="V192" s="16">
        <f t="shared" si="125"/>
        <v>25</v>
      </c>
      <c r="W192" s="16">
        <f t="shared" si="125"/>
        <v>25</v>
      </c>
      <c r="X192" s="16">
        <f t="shared" si="125"/>
        <v>27</v>
      </c>
      <c r="Y192" s="246">
        <f t="shared" si="125"/>
        <v>225</v>
      </c>
      <c r="Z192" s="246">
        <f t="shared" si="125"/>
        <v>325</v>
      </c>
      <c r="AA192" s="16">
        <f t="shared" si="125"/>
        <v>351</v>
      </c>
      <c r="AB192" s="16">
        <f t="shared" si="125"/>
        <v>424</v>
      </c>
      <c r="AC192" s="16">
        <f t="shared" si="125"/>
        <v>505</v>
      </c>
      <c r="AD192" s="16">
        <f t="shared" si="125"/>
        <v>543</v>
      </c>
      <c r="AF192" s="327"/>
      <c r="AK192" s="311"/>
    </row>
    <row r="193" spans="5:37" x14ac:dyDescent="0.3">
      <c r="G193" s="3" t="s">
        <v>523</v>
      </c>
      <c r="I193" s="262">
        <f>Z193/Z113</f>
        <v>0.88451556287724376</v>
      </c>
      <c r="L193" s="16"/>
      <c r="M193" s="16"/>
      <c r="N193" s="15"/>
      <c r="O193" s="246">
        <f>O191/O192</f>
        <v>354040.42700000003</v>
      </c>
      <c r="P193" s="16">
        <f>Projection_강소!P34</f>
        <v>319760.40173652698</v>
      </c>
      <c r="Q193" s="16">
        <f>Projection_강소!Q34</f>
        <v>319760.40173652698</v>
      </c>
      <c r="R193" s="16">
        <f>Projection_강소!R34</f>
        <v>319760.40173652698</v>
      </c>
      <c r="S193" s="16">
        <f>Projection_강소!S34</f>
        <v>319760.40173652698</v>
      </c>
      <c r="T193" s="16">
        <f>Projection_강소!T34</f>
        <v>319760.40173652698</v>
      </c>
      <c r="U193" s="16">
        <f>Projection_강소!U34</f>
        <v>319760.40173652698</v>
      </c>
      <c r="V193" s="16">
        <f>Projection_강소!V34</f>
        <v>319760.40173652698</v>
      </c>
      <c r="W193" s="16">
        <f>Projection_강소!W34</f>
        <v>319760.40173652698</v>
      </c>
      <c r="X193" s="16">
        <f>Projection_강소!X34</f>
        <v>319760.40173652698</v>
      </c>
      <c r="Y193" s="246">
        <f>IFERROR(Y191/Y192,)</f>
        <v>319760.40173652704</v>
      </c>
      <c r="Z193" s="246">
        <f t="shared" ref="Z193" si="126">IFERROR(Z191/Z192,)</f>
        <v>330308.10181759566</v>
      </c>
      <c r="AA193" s="16">
        <f>AA113*$I193</f>
        <v>332548.50920947274</v>
      </c>
      <c r="AB193" s="16">
        <f>AB113*$I193</f>
        <v>335113.88354882353</v>
      </c>
      <c r="AC193" s="16">
        <f>AC113*$I193</f>
        <v>337784.93995869317</v>
      </c>
      <c r="AD193" s="16">
        <f>AD113*$I193</f>
        <v>340515.68863766221</v>
      </c>
      <c r="AF193" s="327"/>
      <c r="AK193" s="311"/>
    </row>
    <row r="194" spans="5:37" x14ac:dyDescent="0.3">
      <c r="F194" s="3" t="s">
        <v>333</v>
      </c>
      <c r="L194" s="16"/>
      <c r="M194" s="16"/>
      <c r="N194" s="15"/>
      <c r="O194" s="246">
        <f>O190/O191*10^6</f>
        <v>184.55999999999997</v>
      </c>
      <c r="P194" s="16">
        <f t="shared" ref="P194:X194" si="127">P$293</f>
        <v>182.15478841870822</v>
      </c>
      <c r="Q194" s="16">
        <f t="shared" si="127"/>
        <v>182.15478841870822</v>
      </c>
      <c r="R194" s="16">
        <f t="shared" si="127"/>
        <v>182.15478841870822</v>
      </c>
      <c r="S194" s="16">
        <f t="shared" si="127"/>
        <v>180.89761570827488</v>
      </c>
      <c r="T194" s="16">
        <f t="shared" si="127"/>
        <v>180.89761570827488</v>
      </c>
      <c r="U194" s="16">
        <f t="shared" si="127"/>
        <v>180.89761570827488</v>
      </c>
      <c r="V194" s="16">
        <f t="shared" si="127"/>
        <v>177.57575757575759</v>
      </c>
      <c r="W194" s="16">
        <f t="shared" si="127"/>
        <v>177.57575757575759</v>
      </c>
      <c r="X194" s="16">
        <f t="shared" si="127"/>
        <v>177.57575757575759</v>
      </c>
      <c r="Y194" s="246">
        <f>IFERROR(Y190/Y191*10^6,)</f>
        <v>180.18544704067085</v>
      </c>
      <c r="Z194" s="246">
        <f t="shared" ref="Z194" si="128">IFERROR(Z190/Z191*10^6,)</f>
        <v>181.62817333551965</v>
      </c>
      <c r="AA194" s="16">
        <f>AA$293</f>
        <v>174.00401261106336</v>
      </c>
      <c r="AB194" s="16">
        <f>AB$293</f>
        <v>175.7017543859649</v>
      </c>
      <c r="AC194" s="16">
        <f>AC$293</f>
        <v>177.80578206078576</v>
      </c>
      <c r="AD194" s="16">
        <f>AD$293</f>
        <v>178.68199911543564</v>
      </c>
      <c r="AF194" s="327"/>
      <c r="AK194" s="311"/>
    </row>
    <row r="195" spans="5:37" x14ac:dyDescent="0.3">
      <c r="E195" s="3" t="s">
        <v>149</v>
      </c>
      <c r="L195" s="16"/>
      <c r="M195" s="16"/>
      <c r="N195" s="15"/>
      <c r="O195" s="246">
        <v>0</v>
      </c>
      <c r="P195" s="16">
        <f t="shared" ref="P195:X195" si="129">P197*P198*P199/10^6</f>
        <v>187.98374164810687</v>
      </c>
      <c r="Q195" s="16">
        <f t="shared" si="129"/>
        <v>375.96748329621374</v>
      </c>
      <c r="R195" s="16">
        <f t="shared" si="129"/>
        <v>187.98374164810687</v>
      </c>
      <c r="S195" s="16">
        <f t="shared" si="129"/>
        <v>373.37267882187939</v>
      </c>
      <c r="T195" s="16">
        <f t="shared" si="129"/>
        <v>0</v>
      </c>
      <c r="U195" s="16">
        <f t="shared" si="129"/>
        <v>373.37267882187939</v>
      </c>
      <c r="V195" s="16">
        <f t="shared" si="129"/>
        <v>366.51636363636368</v>
      </c>
      <c r="W195" s="16">
        <f t="shared" si="129"/>
        <v>0</v>
      </c>
      <c r="X195" s="16">
        <f t="shared" si="129"/>
        <v>183.25818181818184</v>
      </c>
      <c r="Y195" s="246">
        <f>SUM(P195:X195)</f>
        <v>2048.4548696907318</v>
      </c>
      <c r="Z195" s="246">
        <f>Y195+O195</f>
        <v>2048.4548696907318</v>
      </c>
      <c r="AA195" s="16">
        <f t="shared" ref="AA195:AD195" si="130">AA196*AA199/10^6</f>
        <v>2168.2364980144512</v>
      </c>
      <c r="AB195" s="16">
        <f t="shared" si="130"/>
        <v>2388.8944164096542</v>
      </c>
      <c r="AC195" s="16">
        <f t="shared" si="130"/>
        <v>5058.7379568132874</v>
      </c>
      <c r="AD195" s="16">
        <f t="shared" si="130"/>
        <v>5501.6610820779952</v>
      </c>
      <c r="AF195" s="327"/>
      <c r="AK195" s="311"/>
    </row>
    <row r="196" spans="5:37" x14ac:dyDescent="0.3">
      <c r="F196" s="3" t="s">
        <v>563</v>
      </c>
      <c r="L196" s="16"/>
      <c r="M196" s="16"/>
      <c r="N196" s="15"/>
      <c r="O196" s="246">
        <v>0</v>
      </c>
      <c r="P196" s="16">
        <f t="shared" ref="P196:X196" si="131">P197*P198</f>
        <v>1032000</v>
      </c>
      <c r="Q196" s="16">
        <f t="shared" si="131"/>
        <v>2064000</v>
      </c>
      <c r="R196" s="16">
        <f t="shared" si="131"/>
        <v>1032000</v>
      </c>
      <c r="S196" s="16">
        <f t="shared" si="131"/>
        <v>2064000</v>
      </c>
      <c r="T196" s="16">
        <f t="shared" si="131"/>
        <v>0</v>
      </c>
      <c r="U196" s="16">
        <f t="shared" si="131"/>
        <v>2064000</v>
      </c>
      <c r="V196" s="16">
        <f t="shared" si="131"/>
        <v>2064000</v>
      </c>
      <c r="W196" s="16">
        <f t="shared" si="131"/>
        <v>0</v>
      </c>
      <c r="X196" s="16">
        <f t="shared" si="131"/>
        <v>1032000</v>
      </c>
      <c r="Y196" s="246">
        <f>SUM(P196:X196)</f>
        <v>11352000</v>
      </c>
      <c r="Z196" s="246">
        <f>Y196+O196</f>
        <v>11352000</v>
      </c>
      <c r="AA196" s="16">
        <f t="shared" ref="AA196:AD196" si="132">AA197*AA198</f>
        <v>12460841.939667961</v>
      </c>
      <c r="AB196" s="16">
        <f t="shared" si="132"/>
        <v>13596303.717958093</v>
      </c>
      <c r="AC196" s="16">
        <f t="shared" si="132"/>
        <v>28450919.301847436</v>
      </c>
      <c r="AD196" s="16">
        <f t="shared" si="132"/>
        <v>30790236.89747116</v>
      </c>
      <c r="AF196" s="327"/>
      <c r="AK196" s="311"/>
    </row>
    <row r="197" spans="5:37" x14ac:dyDescent="0.3">
      <c r="G197" s="3" t="s">
        <v>298</v>
      </c>
      <c r="L197" s="16"/>
      <c r="M197" s="16"/>
      <c r="N197" s="15"/>
      <c r="O197" s="246">
        <v>0</v>
      </c>
      <c r="P197" s="16">
        <f t="shared" ref="P197:AD197" si="133">P117</f>
        <v>1</v>
      </c>
      <c r="Q197" s="16">
        <f t="shared" si="133"/>
        <v>2</v>
      </c>
      <c r="R197" s="16">
        <f t="shared" si="133"/>
        <v>1</v>
      </c>
      <c r="S197" s="16">
        <f t="shared" si="133"/>
        <v>2</v>
      </c>
      <c r="T197" s="16">
        <f t="shared" si="133"/>
        <v>0</v>
      </c>
      <c r="U197" s="16">
        <f t="shared" si="133"/>
        <v>2</v>
      </c>
      <c r="V197" s="16">
        <f t="shared" si="133"/>
        <v>2</v>
      </c>
      <c r="W197" s="16">
        <f t="shared" si="133"/>
        <v>0</v>
      </c>
      <c r="X197" s="16">
        <f t="shared" si="133"/>
        <v>1</v>
      </c>
      <c r="Y197" s="246">
        <f t="shared" si="133"/>
        <v>11</v>
      </c>
      <c r="Z197" s="246">
        <f t="shared" si="133"/>
        <v>11</v>
      </c>
      <c r="AA197" s="16">
        <f t="shared" si="133"/>
        <v>12</v>
      </c>
      <c r="AB197" s="16">
        <f t="shared" si="133"/>
        <v>13</v>
      </c>
      <c r="AC197" s="16">
        <f t="shared" si="133"/>
        <v>27</v>
      </c>
      <c r="AD197" s="16">
        <f t="shared" si="133"/>
        <v>29</v>
      </c>
      <c r="AF197" s="327"/>
      <c r="AK197" s="311"/>
    </row>
    <row r="198" spans="5:37" x14ac:dyDescent="0.3">
      <c r="G198" s="3" t="s">
        <v>523</v>
      </c>
      <c r="I198" s="262">
        <f>Z198/Z120</f>
        <v>0.87531806615776087</v>
      </c>
      <c r="L198" s="16"/>
      <c r="M198" s="16"/>
      <c r="N198" s="15"/>
      <c r="O198" s="246">
        <v>0</v>
      </c>
      <c r="P198" s="16">
        <f>Projection_강소!P39</f>
        <v>1032000</v>
      </c>
      <c r="Q198" s="16">
        <f>Projection_강소!Q39</f>
        <v>1032000</v>
      </c>
      <c r="R198" s="16">
        <f>Projection_강소!R39</f>
        <v>1032000</v>
      </c>
      <c r="S198" s="16">
        <f>Projection_강소!S39</f>
        <v>1032000</v>
      </c>
      <c r="T198" s="16">
        <f>Projection_강소!T39</f>
        <v>1032000</v>
      </c>
      <c r="U198" s="16">
        <f>Projection_강소!U39</f>
        <v>1032000</v>
      </c>
      <c r="V198" s="16">
        <f>Projection_강소!V39</f>
        <v>1032000</v>
      </c>
      <c r="W198" s="16">
        <f>Projection_강소!W39</f>
        <v>1032000</v>
      </c>
      <c r="X198" s="16">
        <f>Projection_강소!X39</f>
        <v>1032000</v>
      </c>
      <c r="Y198" s="246">
        <f>IFERROR(Y196/Y197,)</f>
        <v>1032000</v>
      </c>
      <c r="Z198" s="246">
        <f t="shared" ref="Z198" si="134">IFERROR(Z196/Z197,)</f>
        <v>1032000</v>
      </c>
      <c r="AA198" s="16">
        <f>AA120*$I198</f>
        <v>1038403.4949723301</v>
      </c>
      <c r="AB198" s="16">
        <f>AB120*$I198</f>
        <v>1045869.5167660072</v>
      </c>
      <c r="AC198" s="16">
        <f>AC120*$I198</f>
        <v>1053737.7519202754</v>
      </c>
      <c r="AD198" s="16">
        <f>AD120*$I198</f>
        <v>1061732.3068093504</v>
      </c>
      <c r="AF198" s="327"/>
      <c r="AK198" s="311"/>
    </row>
    <row r="199" spans="5:37" x14ac:dyDescent="0.3">
      <c r="F199" s="3" t="s">
        <v>333</v>
      </c>
      <c r="L199" s="16"/>
      <c r="M199" s="16"/>
      <c r="N199" s="15"/>
      <c r="O199" s="246">
        <v>0</v>
      </c>
      <c r="P199" s="16">
        <f t="shared" ref="P199:X199" si="135">P$293</f>
        <v>182.15478841870822</v>
      </c>
      <c r="Q199" s="16">
        <f t="shared" si="135"/>
        <v>182.15478841870822</v>
      </c>
      <c r="R199" s="16">
        <f t="shared" si="135"/>
        <v>182.15478841870822</v>
      </c>
      <c r="S199" s="16">
        <f t="shared" si="135"/>
        <v>180.89761570827488</v>
      </c>
      <c r="T199" s="16">
        <f t="shared" si="135"/>
        <v>180.89761570827488</v>
      </c>
      <c r="U199" s="16">
        <f t="shared" si="135"/>
        <v>180.89761570827488</v>
      </c>
      <c r="V199" s="16">
        <f t="shared" si="135"/>
        <v>177.57575757575759</v>
      </c>
      <c r="W199" s="16">
        <f t="shared" si="135"/>
        <v>177.57575757575759</v>
      </c>
      <c r="X199" s="16">
        <f t="shared" si="135"/>
        <v>177.57575757575759</v>
      </c>
      <c r="Y199" s="246">
        <f>IFERROR(Y195/Y196*10^6,)</f>
        <v>180.44880811229137</v>
      </c>
      <c r="Z199" s="246">
        <f t="shared" ref="Z199" si="136">IFERROR(Z195/Z196*10^6,)</f>
        <v>180.44880811229137</v>
      </c>
      <c r="AA199" s="16">
        <f>AA$293</f>
        <v>174.00401261106336</v>
      </c>
      <c r="AB199" s="16">
        <f>AB$293</f>
        <v>175.7017543859649</v>
      </c>
      <c r="AC199" s="16">
        <f>AC$293</f>
        <v>177.80578206078576</v>
      </c>
      <c r="AD199" s="16">
        <f>AD$293</f>
        <v>178.68199911543564</v>
      </c>
      <c r="AF199" s="327"/>
      <c r="AK199" s="311"/>
    </row>
    <row r="200" spans="5:37" x14ac:dyDescent="0.3">
      <c r="E200" s="3" t="s">
        <v>150</v>
      </c>
      <c r="L200" s="16"/>
      <c r="M200" s="16"/>
      <c r="N200" s="15"/>
      <c r="O200" s="306"/>
      <c r="P200" s="119"/>
      <c r="Q200" s="119"/>
      <c r="R200" s="119"/>
      <c r="S200" s="119"/>
      <c r="T200" s="119"/>
      <c r="U200" s="119"/>
      <c r="V200" s="119"/>
      <c r="W200" s="119"/>
      <c r="X200" s="119"/>
      <c r="Y200" s="306"/>
      <c r="Z200" s="306"/>
      <c r="AA200" s="119"/>
      <c r="AB200" s="119"/>
      <c r="AC200" s="119"/>
      <c r="AD200" s="119"/>
      <c r="AF200" s="327"/>
      <c r="AK200" s="311"/>
    </row>
    <row r="201" spans="5:37" x14ac:dyDescent="0.3">
      <c r="F201" s="3" t="s">
        <v>563</v>
      </c>
      <c r="L201" s="16"/>
      <c r="M201" s="16"/>
      <c r="N201" s="15"/>
      <c r="O201" s="306"/>
      <c r="P201" s="119"/>
      <c r="Q201" s="119"/>
      <c r="R201" s="119"/>
      <c r="S201" s="119"/>
      <c r="T201" s="119"/>
      <c r="U201" s="119"/>
      <c r="V201" s="119"/>
      <c r="W201" s="119"/>
      <c r="X201" s="119"/>
      <c r="Y201" s="306"/>
      <c r="Z201" s="306"/>
      <c r="AA201" s="119"/>
      <c r="AB201" s="119"/>
      <c r="AC201" s="119"/>
      <c r="AD201" s="119"/>
      <c r="AF201" s="327"/>
      <c r="AK201" s="311"/>
    </row>
    <row r="202" spans="5:37" x14ac:dyDescent="0.3">
      <c r="G202" s="3" t="s">
        <v>298</v>
      </c>
      <c r="L202" s="16"/>
      <c r="M202" s="16"/>
      <c r="N202" s="15"/>
      <c r="O202" s="306"/>
      <c r="P202" s="119"/>
      <c r="Q202" s="119"/>
      <c r="R202" s="119"/>
      <c r="S202" s="119"/>
      <c r="T202" s="119"/>
      <c r="U202" s="119"/>
      <c r="V202" s="119"/>
      <c r="W202" s="119"/>
      <c r="X202" s="119"/>
      <c r="Y202" s="306"/>
      <c r="Z202" s="306"/>
      <c r="AA202" s="119"/>
      <c r="AB202" s="119"/>
      <c r="AC202" s="119"/>
      <c r="AD202" s="119"/>
      <c r="AF202" s="327"/>
      <c r="AK202" s="311"/>
    </row>
    <row r="203" spans="5:37" x14ac:dyDescent="0.3">
      <c r="G203" s="3" t="s">
        <v>523</v>
      </c>
      <c r="L203" s="16"/>
      <c r="M203" s="16"/>
      <c r="N203" s="15"/>
      <c r="O203" s="306"/>
      <c r="P203" s="119"/>
      <c r="Q203" s="119"/>
      <c r="R203" s="119"/>
      <c r="S203" s="119"/>
      <c r="T203" s="119"/>
      <c r="U203" s="119"/>
      <c r="V203" s="119"/>
      <c r="W203" s="119"/>
      <c r="X203" s="119"/>
      <c r="Y203" s="306"/>
      <c r="Z203" s="306"/>
      <c r="AA203" s="119"/>
      <c r="AB203" s="119"/>
      <c r="AC203" s="119"/>
      <c r="AD203" s="119"/>
      <c r="AF203" s="327"/>
      <c r="AK203" s="311"/>
    </row>
    <row r="204" spans="5:37" x14ac:dyDescent="0.3">
      <c r="F204" s="3" t="s">
        <v>333</v>
      </c>
      <c r="L204" s="16"/>
      <c r="M204" s="16"/>
      <c r="N204" s="15"/>
      <c r="O204" s="306"/>
      <c r="P204" s="119"/>
      <c r="Q204" s="119"/>
      <c r="R204" s="119"/>
      <c r="S204" s="119"/>
      <c r="T204" s="119"/>
      <c r="U204" s="119"/>
      <c r="V204" s="119"/>
      <c r="W204" s="119"/>
      <c r="X204" s="119"/>
      <c r="Y204" s="306"/>
      <c r="Z204" s="306"/>
      <c r="AA204" s="119"/>
      <c r="AB204" s="119"/>
      <c r="AC204" s="119"/>
      <c r="AD204" s="119"/>
      <c r="AF204" s="327"/>
      <c r="AK204" s="311"/>
    </row>
    <row r="205" spans="5:37" x14ac:dyDescent="0.3">
      <c r="E205" s="3" t="s">
        <v>105</v>
      </c>
      <c r="L205" s="16"/>
      <c r="M205" s="16"/>
      <c r="N205" s="15"/>
      <c r="O205" s="246">
        <f>O206+O208</f>
        <v>1909.9579323648002</v>
      </c>
      <c r="P205" s="16">
        <f t="shared" ref="P205:AD205" si="137">P206+P208</f>
        <v>146.08781318393341</v>
      </c>
      <c r="Q205" s="16">
        <f t="shared" si="137"/>
        <v>157.49711647275043</v>
      </c>
      <c r="R205" s="16">
        <f t="shared" si="137"/>
        <v>145.3588264680931</v>
      </c>
      <c r="S205" s="16">
        <f t="shared" si="137"/>
        <v>155.68616745272399</v>
      </c>
      <c r="T205" s="16">
        <f t="shared" si="137"/>
        <v>150.63469823627375</v>
      </c>
      <c r="U205" s="16">
        <f t="shared" si="137"/>
        <v>148.85631230905369</v>
      </c>
      <c r="V205" s="16">
        <f t="shared" si="137"/>
        <v>126.38046921434125</v>
      </c>
      <c r="W205" s="16">
        <f t="shared" si="137"/>
        <v>146.44724124327922</v>
      </c>
      <c r="X205" s="16">
        <f t="shared" si="137"/>
        <v>142.4154386712701</v>
      </c>
      <c r="Y205" s="246">
        <f t="shared" si="137"/>
        <v>1319.3640832517187</v>
      </c>
      <c r="Z205" s="246">
        <f t="shared" si="137"/>
        <v>3229.3220156165189</v>
      </c>
      <c r="AA205" s="16">
        <f t="shared" si="137"/>
        <v>1818.1661496375984</v>
      </c>
      <c r="AB205" s="16">
        <f t="shared" si="137"/>
        <v>2169.9968047868379</v>
      </c>
      <c r="AC205" s="16">
        <f t="shared" si="137"/>
        <v>2604.8075366955377</v>
      </c>
      <c r="AD205" s="16">
        <f t="shared" si="137"/>
        <v>2828.0679321358557</v>
      </c>
      <c r="AF205" s="327"/>
      <c r="AK205" s="311"/>
    </row>
    <row r="206" spans="5:37" x14ac:dyDescent="0.3">
      <c r="F206" s="3" t="s">
        <v>307</v>
      </c>
      <c r="L206" s="16"/>
      <c r="M206" s="16"/>
      <c r="N206" s="15"/>
      <c r="O206" s="246">
        <v>1909.9579323648002</v>
      </c>
      <c r="P206" s="16">
        <f t="shared" ref="P206:X206" si="138">P207*P130</f>
        <v>146.08781318393341</v>
      </c>
      <c r="Q206" s="16">
        <f t="shared" si="138"/>
        <v>157.49711647275043</v>
      </c>
      <c r="R206" s="16">
        <f t="shared" si="138"/>
        <v>145.3588264680931</v>
      </c>
      <c r="S206" s="16">
        <f t="shared" si="138"/>
        <v>155.68616745272399</v>
      </c>
      <c r="T206" s="16">
        <f t="shared" si="138"/>
        <v>150.63469823627375</v>
      </c>
      <c r="U206" s="16">
        <f t="shared" si="138"/>
        <v>148.85631230905369</v>
      </c>
      <c r="V206" s="16">
        <f t="shared" si="138"/>
        <v>126.38046921434125</v>
      </c>
      <c r="W206" s="16">
        <f t="shared" si="138"/>
        <v>146.44724124327922</v>
      </c>
      <c r="X206" s="16">
        <f t="shared" si="138"/>
        <v>142.4154386712701</v>
      </c>
      <c r="Y206" s="246">
        <f>SUM(P206:X206)</f>
        <v>1319.3640832517187</v>
      </c>
      <c r="Z206" s="246">
        <f>Y206+O206</f>
        <v>3229.3220156165189</v>
      </c>
      <c r="AA206" s="16">
        <f>AA207*AA130</f>
        <v>1818.1661496375984</v>
      </c>
      <c r="AB206" s="16">
        <f>AB207*AB130</f>
        <v>2169.9968047868379</v>
      </c>
      <c r="AC206" s="16">
        <f>AC207*AC130</f>
        <v>2604.8075366955377</v>
      </c>
      <c r="AD206" s="16">
        <f>AD207*AD130</f>
        <v>2828.0679321358557</v>
      </c>
      <c r="AF206" s="327"/>
      <c r="AK206" s="311"/>
    </row>
    <row r="207" spans="5:37" x14ac:dyDescent="0.3">
      <c r="G207" s="3" t="s">
        <v>564</v>
      </c>
      <c r="I207" s="380">
        <f>I174</f>
        <v>0.95</v>
      </c>
      <c r="L207" s="16"/>
      <c r="M207" s="16"/>
      <c r="N207" s="15"/>
      <c r="O207" s="350">
        <f>O206/O130</f>
        <v>0.95427715313797956</v>
      </c>
      <c r="P207" s="17">
        <f t="shared" ref="P207:X207" si="139">$I207</f>
        <v>0.95</v>
      </c>
      <c r="Q207" s="17">
        <f t="shared" si="139"/>
        <v>0.95</v>
      </c>
      <c r="R207" s="17">
        <f t="shared" si="139"/>
        <v>0.95</v>
      </c>
      <c r="S207" s="17">
        <f t="shared" si="139"/>
        <v>0.95</v>
      </c>
      <c r="T207" s="17">
        <f t="shared" si="139"/>
        <v>0.95</v>
      </c>
      <c r="U207" s="17">
        <f t="shared" si="139"/>
        <v>0.95</v>
      </c>
      <c r="V207" s="17">
        <f t="shared" si="139"/>
        <v>0.95</v>
      </c>
      <c r="W207" s="17">
        <f t="shared" si="139"/>
        <v>0.95</v>
      </c>
      <c r="X207" s="17">
        <f t="shared" si="139"/>
        <v>0.95</v>
      </c>
      <c r="Y207" s="350">
        <f>Y206/Y130</f>
        <v>0.94999999999999984</v>
      </c>
      <c r="Z207" s="350">
        <f>Z206/Z130</f>
        <v>0.95252504501938751</v>
      </c>
      <c r="AA207" s="43">
        <f>$I207</f>
        <v>0.95</v>
      </c>
      <c r="AB207" s="43">
        <f t="shared" ref="AB207:AD207" si="140">$I207</f>
        <v>0.95</v>
      </c>
      <c r="AC207" s="43">
        <f t="shared" si="140"/>
        <v>0.95</v>
      </c>
      <c r="AD207" s="43">
        <f t="shared" si="140"/>
        <v>0.95</v>
      </c>
      <c r="AF207" s="327"/>
      <c r="AK207" s="311"/>
    </row>
    <row r="208" spans="5:37" x14ac:dyDescent="0.3">
      <c r="F208" s="3" t="s">
        <v>309</v>
      </c>
      <c r="L208" s="16"/>
      <c r="M208" s="16"/>
      <c r="N208" s="15"/>
      <c r="O208" s="246">
        <v>0</v>
      </c>
      <c r="P208" s="16">
        <f t="shared" ref="P208:X208" si="141">P209*P132</f>
        <v>0</v>
      </c>
      <c r="Q208" s="16">
        <f t="shared" si="141"/>
        <v>0</v>
      </c>
      <c r="R208" s="16">
        <f t="shared" si="141"/>
        <v>0</v>
      </c>
      <c r="S208" s="16">
        <f t="shared" si="141"/>
        <v>0</v>
      </c>
      <c r="T208" s="16">
        <f t="shared" si="141"/>
        <v>0</v>
      </c>
      <c r="U208" s="16">
        <f t="shared" si="141"/>
        <v>0</v>
      </c>
      <c r="V208" s="16">
        <f t="shared" si="141"/>
        <v>0</v>
      </c>
      <c r="W208" s="16">
        <f t="shared" si="141"/>
        <v>0</v>
      </c>
      <c r="X208" s="16">
        <f t="shared" si="141"/>
        <v>0</v>
      </c>
      <c r="Y208" s="246">
        <f>SUM(P208:X208)</f>
        <v>0</v>
      </c>
      <c r="Z208" s="246">
        <f>Y208+O208</f>
        <v>0</v>
      </c>
      <c r="AA208" s="16">
        <f>AA209*AA132</f>
        <v>0</v>
      </c>
      <c r="AB208" s="16">
        <f>AB209*AB132</f>
        <v>0</v>
      </c>
      <c r="AC208" s="16">
        <f>AC209*AC132</f>
        <v>0</v>
      </c>
      <c r="AD208" s="16">
        <f>AD209*AD132</f>
        <v>0</v>
      </c>
      <c r="AF208" s="327"/>
      <c r="AK208" s="311"/>
    </row>
    <row r="209" spans="2:37" x14ac:dyDescent="0.3">
      <c r="G209" s="3" t="s">
        <v>565</v>
      </c>
      <c r="I209" s="380">
        <f>I176</f>
        <v>0.55000000000000004</v>
      </c>
      <c r="L209" s="16"/>
      <c r="M209" s="16"/>
      <c r="N209" s="15"/>
      <c r="O209" s="246">
        <v>0</v>
      </c>
      <c r="P209" s="17">
        <f t="shared" ref="P209:X209" si="142">$I209</f>
        <v>0.55000000000000004</v>
      </c>
      <c r="Q209" s="17">
        <f t="shared" si="142"/>
        <v>0.55000000000000004</v>
      </c>
      <c r="R209" s="17">
        <f t="shared" si="142"/>
        <v>0.55000000000000004</v>
      </c>
      <c r="S209" s="17">
        <f t="shared" si="142"/>
        <v>0.55000000000000004</v>
      </c>
      <c r="T209" s="17">
        <f t="shared" si="142"/>
        <v>0.55000000000000004</v>
      </c>
      <c r="U209" s="17">
        <f t="shared" si="142"/>
        <v>0.55000000000000004</v>
      </c>
      <c r="V209" s="17">
        <f t="shared" si="142"/>
        <v>0.55000000000000004</v>
      </c>
      <c r="W209" s="17">
        <f t="shared" si="142"/>
        <v>0.55000000000000004</v>
      </c>
      <c r="X209" s="17">
        <f t="shared" si="142"/>
        <v>0.55000000000000004</v>
      </c>
      <c r="Y209" s="350">
        <f>IFERROR(Y208/Y132,)</f>
        <v>0</v>
      </c>
      <c r="Z209" s="350">
        <f>IFERROR(Z208/Z132,)</f>
        <v>0</v>
      </c>
      <c r="AA209" s="43">
        <f>$I209</f>
        <v>0.55000000000000004</v>
      </c>
      <c r="AB209" s="43">
        <f t="shared" ref="AB209:AD209" si="143">$I209</f>
        <v>0.55000000000000004</v>
      </c>
      <c r="AC209" s="43">
        <f t="shared" si="143"/>
        <v>0.55000000000000004</v>
      </c>
      <c r="AD209" s="43">
        <f t="shared" si="143"/>
        <v>0.55000000000000004</v>
      </c>
      <c r="AF209" s="327"/>
      <c r="AK209" s="311"/>
    </row>
    <row r="210" spans="2:37" x14ac:dyDescent="0.3">
      <c r="B210" s="92"/>
      <c r="C210" s="92"/>
      <c r="D210" s="92"/>
      <c r="E210" s="92"/>
      <c r="F210" s="92" t="s">
        <v>311</v>
      </c>
      <c r="G210" s="92"/>
      <c r="H210" s="92"/>
      <c r="I210" s="92"/>
      <c r="J210" s="92"/>
      <c r="K210" s="92"/>
      <c r="L210" s="130"/>
      <c r="M210" s="130"/>
      <c r="N210" s="131"/>
      <c r="O210" s="330">
        <v>0</v>
      </c>
      <c r="P210" s="130">
        <f t="shared" ref="P210:X210" si="144">P136</f>
        <v>0</v>
      </c>
      <c r="Q210" s="130">
        <f t="shared" si="144"/>
        <v>0</v>
      </c>
      <c r="R210" s="130">
        <f t="shared" si="144"/>
        <v>0</v>
      </c>
      <c r="S210" s="130">
        <f t="shared" si="144"/>
        <v>0</v>
      </c>
      <c r="T210" s="130">
        <f t="shared" si="144"/>
        <v>0</v>
      </c>
      <c r="U210" s="130">
        <f t="shared" si="144"/>
        <v>0</v>
      </c>
      <c r="V210" s="130">
        <f t="shared" si="144"/>
        <v>0</v>
      </c>
      <c r="W210" s="130">
        <f t="shared" si="144"/>
        <v>0</v>
      </c>
      <c r="X210" s="130">
        <f t="shared" si="144"/>
        <v>0</v>
      </c>
      <c r="Y210" s="330">
        <f>SUM(P210:X210)</f>
        <v>0</v>
      </c>
      <c r="Z210" s="330">
        <f>Z136</f>
        <v>0</v>
      </c>
      <c r="AA210" s="130"/>
      <c r="AB210" s="130"/>
      <c r="AC210" s="130"/>
      <c r="AD210" s="130"/>
      <c r="AF210" s="327"/>
      <c r="AK210" s="311"/>
    </row>
    <row r="211" spans="2:37" x14ac:dyDescent="0.3">
      <c r="AF211" s="327"/>
      <c r="AK211" s="311"/>
    </row>
    <row r="212" spans="2:37" x14ac:dyDescent="0.3">
      <c r="B212" s="5" t="s">
        <v>477</v>
      </c>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F212" s="327"/>
      <c r="AK212" s="311"/>
    </row>
    <row r="213" spans="2:37" x14ac:dyDescent="0.3">
      <c r="AF213" s="327"/>
      <c r="AK213" s="311"/>
    </row>
    <row r="214" spans="2:37" x14ac:dyDescent="0.3">
      <c r="B214" s="8"/>
      <c r="C214" s="8"/>
      <c r="D214" s="8"/>
      <c r="E214" s="8"/>
      <c r="F214" s="8"/>
      <c r="G214" s="8"/>
      <c r="H214" s="8"/>
      <c r="I214" s="8"/>
      <c r="J214" s="8"/>
      <c r="K214" s="8"/>
      <c r="L214" s="9" t="s">
        <v>182</v>
      </c>
      <c r="M214" s="9" t="s">
        <v>183</v>
      </c>
      <c r="N214" s="10" t="s">
        <v>184</v>
      </c>
      <c r="O214" s="244" t="s">
        <v>4</v>
      </c>
      <c r="P214" s="9" t="s">
        <v>215</v>
      </c>
      <c r="Q214" s="9" t="s">
        <v>216</v>
      </c>
      <c r="R214" s="9" t="s">
        <v>217</v>
      </c>
      <c r="S214" s="9" t="s">
        <v>218</v>
      </c>
      <c r="T214" s="9" t="s">
        <v>219</v>
      </c>
      <c r="U214" s="9" t="s">
        <v>220</v>
      </c>
      <c r="V214" s="9" t="s">
        <v>221</v>
      </c>
      <c r="W214" s="9" t="s">
        <v>222</v>
      </c>
      <c r="X214" s="10" t="s">
        <v>223</v>
      </c>
      <c r="Y214" s="9" t="s">
        <v>294</v>
      </c>
      <c r="Z214" s="244" t="s">
        <v>197</v>
      </c>
      <c r="AA214" s="9" t="s">
        <v>198</v>
      </c>
      <c r="AB214" s="9" t="s">
        <v>199</v>
      </c>
      <c r="AC214" s="9" t="s">
        <v>200</v>
      </c>
      <c r="AD214" s="9" t="s">
        <v>201</v>
      </c>
      <c r="AF214" s="327"/>
      <c r="AK214" s="311"/>
    </row>
    <row r="215" spans="2:37" x14ac:dyDescent="0.3">
      <c r="B215" s="11" t="s">
        <v>32</v>
      </c>
      <c r="L215" s="13">
        <f>SUM(L216:L218)</f>
        <v>9112.6421709999995</v>
      </c>
      <c r="M215" s="13">
        <f>SUM(M216:M218)</f>
        <v>10665.236862</v>
      </c>
      <c r="N215" s="124">
        <f>SUM(N216:N218)</f>
        <v>8252.5274099999988</v>
      </c>
      <c r="O215" s="326">
        <f t="shared" ref="O215:AD215" si="145">SUM(O216:O218)</f>
        <v>1653.320459</v>
      </c>
      <c r="P215" s="13">
        <f>SUM(P216:P218)</f>
        <v>535.31343020360873</v>
      </c>
      <c r="Q215" s="13">
        <f t="shared" si="145"/>
        <v>535.31343020360873</v>
      </c>
      <c r="R215" s="13">
        <f t="shared" si="145"/>
        <v>535.31343020360873</v>
      </c>
      <c r="S215" s="13">
        <f t="shared" si="145"/>
        <v>535.20946668435715</v>
      </c>
      <c r="T215" s="13">
        <f t="shared" si="145"/>
        <v>535.20946668435715</v>
      </c>
      <c r="U215" s="13">
        <f t="shared" si="145"/>
        <v>535.20946668435715</v>
      </c>
      <c r="V215" s="13">
        <f t="shared" si="145"/>
        <v>534.93476134033801</v>
      </c>
      <c r="W215" s="13">
        <f t="shared" si="145"/>
        <v>534.93476134033801</v>
      </c>
      <c r="X215" s="13">
        <f t="shared" si="145"/>
        <v>534.93476134033801</v>
      </c>
      <c r="Y215" s="395">
        <f t="shared" si="145"/>
        <v>4816.3729746849122</v>
      </c>
      <c r="Z215" s="326">
        <f t="shared" si="145"/>
        <v>6469.6934336849117</v>
      </c>
      <c r="AA215" s="13">
        <f t="shared" si="145"/>
        <v>6719.0856248417049</v>
      </c>
      <c r="AB215" s="13">
        <f t="shared" si="145"/>
        <v>7148.6705725922038</v>
      </c>
      <c r="AC215" s="13">
        <f t="shared" si="145"/>
        <v>7578.0618385075522</v>
      </c>
      <c r="AD215" s="13">
        <f t="shared" si="145"/>
        <v>7934.7163177232278</v>
      </c>
      <c r="AF215" s="327"/>
      <c r="AK215" s="311"/>
    </row>
    <row r="216" spans="2:37" x14ac:dyDescent="0.3">
      <c r="B216" s="11"/>
      <c r="C216" s="3" t="s">
        <v>141</v>
      </c>
      <c r="L216" s="16">
        <f>L221</f>
        <v>5258.5105590000003</v>
      </c>
      <c r="M216" s="16">
        <f>M221</f>
        <v>5825.1422789999997</v>
      </c>
      <c r="N216" s="15">
        <f>N221</f>
        <v>6174.8239739999999</v>
      </c>
      <c r="O216" s="246">
        <f t="shared" ref="O216:AD216" si="146">O221</f>
        <v>1050.39446</v>
      </c>
      <c r="P216" s="16">
        <f t="shared" si="146"/>
        <v>291.35555346528753</v>
      </c>
      <c r="Q216" s="16">
        <f t="shared" si="146"/>
        <v>291.35555346528753</v>
      </c>
      <c r="R216" s="16">
        <f t="shared" si="146"/>
        <v>291.35555346528753</v>
      </c>
      <c r="S216" s="16">
        <f t="shared" si="146"/>
        <v>291.35555346528753</v>
      </c>
      <c r="T216" s="16">
        <f t="shared" si="146"/>
        <v>291.35555346528753</v>
      </c>
      <c r="U216" s="16">
        <f t="shared" si="146"/>
        <v>291.35555346528753</v>
      </c>
      <c r="V216" s="16">
        <f t="shared" si="146"/>
        <v>291.35555346528753</v>
      </c>
      <c r="W216" s="16">
        <f t="shared" si="146"/>
        <v>291.35555346528753</v>
      </c>
      <c r="X216" s="16">
        <f t="shared" si="146"/>
        <v>291.35555346528753</v>
      </c>
      <c r="Y216" s="246">
        <f t="shared" si="146"/>
        <v>2622.1999811875876</v>
      </c>
      <c r="Z216" s="246">
        <f t="shared" si="146"/>
        <v>3672.5944411875876</v>
      </c>
      <c r="AA216" s="16">
        <f t="shared" si="146"/>
        <v>3892.9501076588431</v>
      </c>
      <c r="AB216" s="16">
        <f t="shared" si="146"/>
        <v>4107.0623635800794</v>
      </c>
      <c r="AC216" s="16">
        <f t="shared" si="146"/>
        <v>4312.4154817590843</v>
      </c>
      <c r="AD216" s="16">
        <f t="shared" si="146"/>
        <v>4515.0990094017607</v>
      </c>
      <c r="AF216" s="327"/>
      <c r="AK216" s="311"/>
    </row>
    <row r="217" spans="2:37" x14ac:dyDescent="0.3">
      <c r="C217" s="3" t="s">
        <v>142</v>
      </c>
      <c r="L217" s="16">
        <f>L231</f>
        <v>2545.5647539999995</v>
      </c>
      <c r="M217" s="16">
        <f>M231</f>
        <v>1546.9930449999999</v>
      </c>
      <c r="N217" s="15">
        <f>N231</f>
        <v>1017.1526309999999</v>
      </c>
      <c r="O217" s="246">
        <f t="shared" ref="O217:AD217" si="147">O231</f>
        <v>185.448994</v>
      </c>
      <c r="P217" s="16">
        <f t="shared" si="147"/>
        <v>81.183317499999987</v>
      </c>
      <c r="Q217" s="16">
        <f t="shared" si="147"/>
        <v>81.183317499999987</v>
      </c>
      <c r="R217" s="16">
        <f t="shared" si="147"/>
        <v>81.183317499999987</v>
      </c>
      <c r="S217" s="16">
        <f t="shared" si="147"/>
        <v>81.183317499999987</v>
      </c>
      <c r="T217" s="16">
        <f t="shared" si="147"/>
        <v>81.183317499999987</v>
      </c>
      <c r="U217" s="16">
        <f t="shared" si="147"/>
        <v>81.183317499999987</v>
      </c>
      <c r="V217" s="16">
        <f t="shared" si="147"/>
        <v>81.183317499999987</v>
      </c>
      <c r="W217" s="16">
        <f t="shared" si="147"/>
        <v>81.183317499999987</v>
      </c>
      <c r="X217" s="16">
        <f t="shared" si="147"/>
        <v>81.183317499999987</v>
      </c>
      <c r="Y217" s="246">
        <f t="shared" si="147"/>
        <v>730.64985749999994</v>
      </c>
      <c r="Z217" s="246">
        <f t="shared" si="147"/>
        <v>916.09885149999991</v>
      </c>
      <c r="AA217" s="16">
        <f t="shared" si="147"/>
        <v>1033.7341008137757</v>
      </c>
      <c r="AB217" s="16">
        <f t="shared" si="147"/>
        <v>1229.3594007003055</v>
      </c>
      <c r="AC217" s="16">
        <f t="shared" si="147"/>
        <v>1430.5767161821552</v>
      </c>
      <c r="AD217" s="16">
        <f t="shared" si="147"/>
        <v>1561.1632803719676</v>
      </c>
      <c r="AF217" s="327"/>
      <c r="AK217" s="311"/>
    </row>
    <row r="218" spans="2:37" x14ac:dyDescent="0.3">
      <c r="B218" s="92"/>
      <c r="C218" s="92" t="s">
        <v>143</v>
      </c>
      <c r="D218" s="92"/>
      <c r="E218" s="92"/>
      <c r="F218" s="92"/>
      <c r="G218" s="92"/>
      <c r="H218" s="92"/>
      <c r="I218" s="92"/>
      <c r="J218" s="92"/>
      <c r="K218" s="92"/>
      <c r="L218" s="130">
        <f>L248</f>
        <v>1308.5668579999999</v>
      </c>
      <c r="M218" s="130">
        <f>M248</f>
        <v>3293.1015380000003</v>
      </c>
      <c r="N218" s="131">
        <f>N248</f>
        <v>1060.5508049999999</v>
      </c>
      <c r="O218" s="330">
        <f t="shared" ref="O218:AD218" si="148">O248</f>
        <v>417.47700499999996</v>
      </c>
      <c r="P218" s="130">
        <f t="shared" si="148"/>
        <v>162.77455923832127</v>
      </c>
      <c r="Q218" s="130">
        <f t="shared" si="148"/>
        <v>162.77455923832127</v>
      </c>
      <c r="R218" s="130">
        <f t="shared" si="148"/>
        <v>162.77455923832127</v>
      </c>
      <c r="S218" s="130">
        <f t="shared" si="148"/>
        <v>162.67059571906967</v>
      </c>
      <c r="T218" s="130">
        <f t="shared" si="148"/>
        <v>162.67059571906967</v>
      </c>
      <c r="U218" s="130">
        <f t="shared" si="148"/>
        <v>162.67059571906967</v>
      </c>
      <c r="V218" s="130">
        <f t="shared" si="148"/>
        <v>162.3958903750505</v>
      </c>
      <c r="W218" s="130">
        <f t="shared" si="148"/>
        <v>162.3958903750505</v>
      </c>
      <c r="X218" s="130">
        <f t="shared" si="148"/>
        <v>162.3958903750505</v>
      </c>
      <c r="Y218" s="330">
        <f t="shared" si="148"/>
        <v>1463.5231359973245</v>
      </c>
      <c r="Z218" s="330">
        <f t="shared" si="148"/>
        <v>1881.0001409973245</v>
      </c>
      <c r="AA218" s="130">
        <f t="shared" si="148"/>
        <v>1792.4014163690861</v>
      </c>
      <c r="AB218" s="130">
        <f t="shared" si="148"/>
        <v>1812.2488083118189</v>
      </c>
      <c r="AC218" s="130">
        <f t="shared" si="148"/>
        <v>1835.0696405663127</v>
      </c>
      <c r="AD218" s="130">
        <f t="shared" si="148"/>
        <v>1858.4540279494995</v>
      </c>
      <c r="AF218" s="327"/>
      <c r="AK218" s="311"/>
    </row>
    <row r="219" spans="2:37" s="137" customFormat="1" x14ac:dyDescent="0.3">
      <c r="B219" s="471"/>
      <c r="C219" s="471"/>
      <c r="D219" s="471"/>
      <c r="E219" s="471"/>
      <c r="F219" s="471"/>
      <c r="G219" s="471"/>
      <c r="H219" s="471"/>
      <c r="I219" s="471"/>
      <c r="J219" s="471"/>
      <c r="K219" s="471"/>
      <c r="L219" s="471"/>
      <c r="M219" s="471"/>
      <c r="N219" s="471"/>
      <c r="O219" s="459"/>
      <c r="P219" s="459"/>
      <c r="Q219" s="459"/>
      <c r="R219" s="459"/>
      <c r="S219" s="459"/>
      <c r="T219" s="459"/>
      <c r="U219" s="459"/>
      <c r="V219" s="459"/>
      <c r="W219" s="459"/>
      <c r="X219" s="459"/>
      <c r="Y219" s="459"/>
      <c r="Z219" s="459"/>
      <c r="AA219" s="459"/>
      <c r="AB219" s="471"/>
      <c r="AC219" s="471"/>
      <c r="AD219" s="471"/>
      <c r="AE219" s="487"/>
      <c r="AF219" s="327"/>
      <c r="AG219" s="322"/>
      <c r="AK219" s="311"/>
    </row>
    <row r="220" spans="2:37" s="137" customFormat="1" x14ac:dyDescent="0.3">
      <c r="B220" s="8"/>
      <c r="C220" s="8"/>
      <c r="D220" s="8"/>
      <c r="E220" s="8"/>
      <c r="F220" s="8"/>
      <c r="G220" s="8"/>
      <c r="H220" s="8"/>
      <c r="I220" s="8"/>
      <c r="J220" s="8"/>
      <c r="K220" s="8"/>
      <c r="L220" s="9" t="s">
        <v>425</v>
      </c>
      <c r="M220" s="9" t="s">
        <v>426</v>
      </c>
      <c r="N220" s="10" t="s">
        <v>414</v>
      </c>
      <c r="O220" s="244" t="s">
        <v>4</v>
      </c>
      <c r="P220" s="9" t="s">
        <v>188</v>
      </c>
      <c r="Q220" s="9" t="s">
        <v>189</v>
      </c>
      <c r="R220" s="9" t="s">
        <v>190</v>
      </c>
      <c r="S220" s="9" t="s">
        <v>191</v>
      </c>
      <c r="T220" s="9" t="s">
        <v>192</v>
      </c>
      <c r="U220" s="9" t="s">
        <v>193</v>
      </c>
      <c r="V220" s="9" t="s">
        <v>194</v>
      </c>
      <c r="W220" s="9" t="s">
        <v>195</v>
      </c>
      <c r="X220" s="10" t="s">
        <v>196</v>
      </c>
      <c r="Y220" s="9" t="s">
        <v>5</v>
      </c>
      <c r="Z220" s="244" t="s">
        <v>427</v>
      </c>
      <c r="AA220" s="9" t="s">
        <v>428</v>
      </c>
      <c r="AB220" s="9" t="s">
        <v>429</v>
      </c>
      <c r="AC220" s="9" t="s">
        <v>430</v>
      </c>
      <c r="AD220" s="9" t="s">
        <v>431</v>
      </c>
      <c r="AE220" s="487"/>
      <c r="AF220" s="327"/>
      <c r="AG220" s="322"/>
      <c r="AK220" s="311"/>
    </row>
    <row r="221" spans="2:37" s="137" customFormat="1" x14ac:dyDescent="0.3">
      <c r="B221" s="11" t="s">
        <v>478</v>
      </c>
      <c r="C221" s="3"/>
      <c r="D221" s="3"/>
      <c r="E221" s="3"/>
      <c r="F221" s="3"/>
      <c r="G221" s="3"/>
      <c r="H221" s="3"/>
      <c r="I221" s="3"/>
      <c r="J221" s="3"/>
      <c r="K221" s="3"/>
      <c r="L221" s="13">
        <f>SUM(L222,L225,L227)</f>
        <v>5258.5105590000003</v>
      </c>
      <c r="M221" s="13">
        <f>SUM(M222,M225,M227)</f>
        <v>5825.1422789999997</v>
      </c>
      <c r="N221" s="124">
        <f>SUM(N222,N225,N227)</f>
        <v>6174.8239739999999</v>
      </c>
      <c r="O221" s="326">
        <f t="shared" ref="O221:AD221" si="149">SUM(O222,O225,O227)</f>
        <v>1050.39446</v>
      </c>
      <c r="P221" s="13">
        <f t="shared" si="149"/>
        <v>291.35555346528753</v>
      </c>
      <c r="Q221" s="13">
        <f t="shared" si="149"/>
        <v>291.35555346528753</v>
      </c>
      <c r="R221" s="13">
        <f t="shared" si="149"/>
        <v>291.35555346528753</v>
      </c>
      <c r="S221" s="13">
        <f t="shared" si="149"/>
        <v>291.35555346528753</v>
      </c>
      <c r="T221" s="13">
        <f t="shared" si="149"/>
        <v>291.35555346528753</v>
      </c>
      <c r="U221" s="13">
        <f t="shared" si="149"/>
        <v>291.35555346528753</v>
      </c>
      <c r="V221" s="13">
        <f t="shared" si="149"/>
        <v>291.35555346528753</v>
      </c>
      <c r="W221" s="13">
        <f t="shared" si="149"/>
        <v>291.35555346528753</v>
      </c>
      <c r="X221" s="13">
        <f t="shared" si="149"/>
        <v>291.35555346528753</v>
      </c>
      <c r="Y221" s="326">
        <f t="shared" si="149"/>
        <v>2622.1999811875876</v>
      </c>
      <c r="Z221" s="326">
        <f t="shared" si="149"/>
        <v>3672.5944411875876</v>
      </c>
      <c r="AA221" s="13">
        <f t="shared" si="149"/>
        <v>3892.9501076588431</v>
      </c>
      <c r="AB221" s="13">
        <f t="shared" si="149"/>
        <v>4107.0623635800794</v>
      </c>
      <c r="AC221" s="13">
        <f t="shared" si="149"/>
        <v>4312.4154817590843</v>
      </c>
      <c r="AD221" s="13">
        <f t="shared" si="149"/>
        <v>4515.0990094017607</v>
      </c>
      <c r="AE221" s="403"/>
      <c r="AF221" s="327"/>
      <c r="AG221" s="322"/>
      <c r="AK221" s="311"/>
    </row>
    <row r="222" spans="2:37" s="137" customFormat="1" x14ac:dyDescent="0.3">
      <c r="B222" s="141"/>
      <c r="C222" s="3" t="s">
        <v>479</v>
      </c>
      <c r="D222" s="3"/>
      <c r="E222" s="3"/>
      <c r="F222" s="3"/>
      <c r="G222" s="3"/>
      <c r="I222" s="141"/>
      <c r="J222" s="141"/>
      <c r="K222" s="141"/>
      <c r="L222" s="16">
        <v>3710.5204819999999</v>
      </c>
      <c r="M222" s="16">
        <v>4035.9635819999999</v>
      </c>
      <c r="N222" s="15">
        <v>3263.4257170000001</v>
      </c>
      <c r="O222" s="246">
        <v>580.58080099999995</v>
      </c>
      <c r="P222" s="493">
        <v>174.55835076528751</v>
      </c>
      <c r="Q222" s="493">
        <v>174.55835076528751</v>
      </c>
      <c r="R222" s="493">
        <v>174.55835076528751</v>
      </c>
      <c r="S222" s="493">
        <v>174.55835076528751</v>
      </c>
      <c r="T222" s="493">
        <v>174.55835076528751</v>
      </c>
      <c r="U222" s="493">
        <v>174.55835076528751</v>
      </c>
      <c r="V222" s="493">
        <v>174.55835076528751</v>
      </c>
      <c r="W222" s="493">
        <v>174.55835076528751</v>
      </c>
      <c r="X222" s="493">
        <v>174.55835076528751</v>
      </c>
      <c r="Y222" s="246">
        <f>SUM(P222:X222)</f>
        <v>1571.0251568875876</v>
      </c>
      <c r="Z222" s="246">
        <f>SUM(O222,Y222)</f>
        <v>2151.6059578875875</v>
      </c>
      <c r="AA222" s="493">
        <f>AA223*AA224</f>
        <v>2280.7023153608429</v>
      </c>
      <c r="AB222" s="493">
        <f>AB223*AB224</f>
        <v>2406.1409427056892</v>
      </c>
      <c r="AC222" s="493">
        <f>AC223*AC224</f>
        <v>2526.4479898409741</v>
      </c>
      <c r="AD222" s="493">
        <f>AD223*AD224</f>
        <v>2645.1910453634996</v>
      </c>
      <c r="AE222" s="494"/>
      <c r="AF222" s="327"/>
      <c r="AG222" s="322"/>
      <c r="AK222" s="311"/>
    </row>
    <row r="223" spans="2:37" s="137" customFormat="1" x14ac:dyDescent="0.3">
      <c r="B223" s="141"/>
      <c r="C223" s="3"/>
      <c r="D223" s="3" t="s">
        <v>371</v>
      </c>
      <c r="E223" s="3"/>
      <c r="F223" s="3"/>
      <c r="G223" s="3"/>
      <c r="I223" s="141"/>
      <c r="J223" s="141"/>
      <c r="K223" s="141"/>
      <c r="L223" s="493">
        <v>84.166666666666671</v>
      </c>
      <c r="M223" s="493">
        <v>82.416666666666671</v>
      </c>
      <c r="N223" s="495">
        <v>71.083333333333343</v>
      </c>
      <c r="O223" s="496">
        <f>$Z223</f>
        <v>49</v>
      </c>
      <c r="P223" s="16">
        <f t="shared" ref="P223:Y223" si="150">$Z223</f>
        <v>49</v>
      </c>
      <c r="Q223" s="16">
        <f t="shared" si="150"/>
        <v>49</v>
      </c>
      <c r="R223" s="16">
        <f t="shared" si="150"/>
        <v>49</v>
      </c>
      <c r="S223" s="16">
        <f t="shared" si="150"/>
        <v>49</v>
      </c>
      <c r="T223" s="16">
        <f t="shared" si="150"/>
        <v>49</v>
      </c>
      <c r="U223" s="16">
        <f t="shared" si="150"/>
        <v>49</v>
      </c>
      <c r="V223" s="16">
        <f t="shared" si="150"/>
        <v>49</v>
      </c>
      <c r="W223" s="16">
        <f t="shared" si="150"/>
        <v>49</v>
      </c>
      <c r="X223" s="16">
        <f t="shared" si="150"/>
        <v>49</v>
      </c>
      <c r="Y223" s="246">
        <f t="shared" si="150"/>
        <v>49</v>
      </c>
      <c r="Z223" s="496">
        <v>49</v>
      </c>
      <c r="AA223" s="16">
        <f>Z223</f>
        <v>49</v>
      </c>
      <c r="AB223" s="16">
        <f>AA223</f>
        <v>49</v>
      </c>
      <c r="AC223" s="16">
        <f>AB223</f>
        <v>49</v>
      </c>
      <c r="AD223" s="16">
        <f>AC223</f>
        <v>49</v>
      </c>
      <c r="AE223" s="494"/>
      <c r="AF223" s="327"/>
      <c r="AG223" s="322"/>
      <c r="AK223" s="311"/>
    </row>
    <row r="224" spans="2:37" s="137" customFormat="1" x14ac:dyDescent="0.3">
      <c r="B224" s="141"/>
      <c r="C224" s="3"/>
      <c r="D224" s="3" t="s">
        <v>372</v>
      </c>
      <c r="E224" s="3"/>
      <c r="F224" s="3"/>
      <c r="G224" s="3"/>
      <c r="I224" s="141"/>
      <c r="J224" s="141"/>
      <c r="K224" s="141"/>
      <c r="L224" s="493">
        <f>L222/L223</f>
        <v>44.08539186534653</v>
      </c>
      <c r="M224" s="493">
        <f>M222/M223</f>
        <v>48.970235575328608</v>
      </c>
      <c r="N224" s="495">
        <f>N222/N223</f>
        <v>45.909857683470101</v>
      </c>
      <c r="O224" s="496">
        <f>O222/O223*4</f>
        <v>47.394351102040815</v>
      </c>
      <c r="P224" s="493">
        <f t="shared" ref="P224:X224" si="151">P222/P223*12</f>
        <v>42.748983860886739</v>
      </c>
      <c r="Q224" s="493">
        <f t="shared" si="151"/>
        <v>42.748983860886739</v>
      </c>
      <c r="R224" s="493">
        <f t="shared" si="151"/>
        <v>42.748983860886739</v>
      </c>
      <c r="S224" s="493">
        <f t="shared" si="151"/>
        <v>42.748983860886739</v>
      </c>
      <c r="T224" s="493">
        <f t="shared" si="151"/>
        <v>42.748983860886739</v>
      </c>
      <c r="U224" s="493">
        <f t="shared" si="151"/>
        <v>42.748983860886739</v>
      </c>
      <c r="V224" s="493">
        <f t="shared" si="151"/>
        <v>42.748983860886739</v>
      </c>
      <c r="W224" s="493">
        <f t="shared" si="151"/>
        <v>42.748983860886739</v>
      </c>
      <c r="X224" s="493">
        <f t="shared" si="151"/>
        <v>42.748983860886739</v>
      </c>
      <c r="Y224" s="496"/>
      <c r="Z224" s="496">
        <f>Z222/Z223</f>
        <v>43.910325671175258</v>
      </c>
      <c r="AA224" s="493">
        <f>Z224*(1+'Key Assumption'!AB$27)</f>
        <v>46.544945211445778</v>
      </c>
      <c r="AB224" s="493">
        <f>AA224*(1+'Key Assumption'!AC$27)</f>
        <v>49.104917198075292</v>
      </c>
      <c r="AC224" s="493">
        <f>AB224*(1+'Key Assumption'!AD$27)</f>
        <v>51.560163057979061</v>
      </c>
      <c r="AD224" s="493">
        <f>AC224*(1+'Key Assumption'!AE$27)</f>
        <v>53.983490721704072</v>
      </c>
      <c r="AE224" s="494"/>
      <c r="AF224" s="327"/>
      <c r="AG224" s="322"/>
      <c r="AK224" s="311"/>
    </row>
    <row r="225" spans="1:37" s="137" customFormat="1" x14ac:dyDescent="0.3">
      <c r="B225" s="141"/>
      <c r="C225" s="3" t="s">
        <v>480</v>
      </c>
      <c r="D225" s="3"/>
      <c r="E225" s="3"/>
      <c r="F225" s="3"/>
      <c r="G225" s="3"/>
      <c r="I225" s="141"/>
      <c r="J225" s="141"/>
      <c r="K225" s="141"/>
      <c r="L225" s="16">
        <v>0</v>
      </c>
      <c r="M225" s="16">
        <v>0</v>
      </c>
      <c r="N225" s="15">
        <v>0</v>
      </c>
      <c r="O225" s="246">
        <v>0</v>
      </c>
      <c r="P225" s="493">
        <v>26.469299999999993</v>
      </c>
      <c r="Q225" s="493">
        <v>26.469299999999993</v>
      </c>
      <c r="R225" s="493">
        <v>26.469299999999993</v>
      </c>
      <c r="S225" s="493">
        <v>26.469299999999993</v>
      </c>
      <c r="T225" s="493">
        <v>26.469299999999993</v>
      </c>
      <c r="U225" s="493">
        <v>26.469299999999993</v>
      </c>
      <c r="V225" s="493">
        <v>26.469299999999993</v>
      </c>
      <c r="W225" s="493">
        <v>26.469299999999993</v>
      </c>
      <c r="X225" s="493">
        <v>26.469299999999993</v>
      </c>
      <c r="Y225" s="246">
        <f>SUM(P225:X225)</f>
        <v>238.22369999999998</v>
      </c>
      <c r="Z225" s="246">
        <f>SUM(O225,Y225)</f>
        <v>238.22369999999998</v>
      </c>
      <c r="AA225" s="493">
        <f>AA222*AA226</f>
        <v>252.517122</v>
      </c>
      <c r="AB225" s="493">
        <f>AB222*AB226</f>
        <v>266.40556370999997</v>
      </c>
      <c r="AC225" s="493">
        <f>AC222*AC226</f>
        <v>279.72584189550003</v>
      </c>
      <c r="AD225" s="493">
        <f>AD222*AD226</f>
        <v>292.87295646458853</v>
      </c>
      <c r="AE225" s="494"/>
      <c r="AF225" s="327"/>
      <c r="AG225" s="322"/>
      <c r="AK225" s="311"/>
    </row>
    <row r="226" spans="1:37" s="137" customFormat="1" x14ac:dyDescent="0.3">
      <c r="B226" s="141"/>
      <c r="D226" s="141" t="s">
        <v>481</v>
      </c>
      <c r="E226" s="141"/>
      <c r="F226" s="141"/>
      <c r="G226" s="141"/>
      <c r="I226" s="141"/>
      <c r="J226" s="141"/>
      <c r="K226" s="141"/>
      <c r="L226" s="363">
        <f>L225/L222</f>
        <v>0</v>
      </c>
      <c r="M226" s="363">
        <f>M225/M222</f>
        <v>0</v>
      </c>
      <c r="N226" s="374">
        <f>N225/N222</f>
        <v>0</v>
      </c>
      <c r="O226" s="362">
        <f>O225/O222</f>
        <v>0</v>
      </c>
      <c r="P226" s="363">
        <f t="shared" ref="P226:X226" si="152">P225/P222</f>
        <v>0.15163582769861761</v>
      </c>
      <c r="Q226" s="363">
        <f t="shared" si="152"/>
        <v>0.15163582769861761</v>
      </c>
      <c r="R226" s="363">
        <f t="shared" si="152"/>
        <v>0.15163582769861761</v>
      </c>
      <c r="S226" s="363">
        <f t="shared" si="152"/>
        <v>0.15163582769861761</v>
      </c>
      <c r="T226" s="363">
        <f t="shared" si="152"/>
        <v>0.15163582769861761</v>
      </c>
      <c r="U226" s="363">
        <f t="shared" si="152"/>
        <v>0.15163582769861761</v>
      </c>
      <c r="V226" s="363">
        <f t="shared" si="152"/>
        <v>0.15163582769861761</v>
      </c>
      <c r="W226" s="363">
        <f t="shared" si="152"/>
        <v>0.15163582769861761</v>
      </c>
      <c r="X226" s="363">
        <f t="shared" si="152"/>
        <v>0.15163582769861761</v>
      </c>
      <c r="Y226" s="362"/>
      <c r="Z226" s="362">
        <f>Z225/Z222</f>
        <v>0.11071901856689606</v>
      </c>
      <c r="AA226" s="363">
        <f>Z226</f>
        <v>0.11071901856689606</v>
      </c>
      <c r="AB226" s="363">
        <f>AA226</f>
        <v>0.11071901856689606</v>
      </c>
      <c r="AC226" s="363">
        <f>AB226</f>
        <v>0.11071901856689606</v>
      </c>
      <c r="AD226" s="363">
        <f>AC226</f>
        <v>0.11071901856689606</v>
      </c>
      <c r="AE226" s="494"/>
      <c r="AF226" s="497"/>
      <c r="AG226" s="322"/>
      <c r="AK226" s="311"/>
    </row>
    <row r="227" spans="1:37" s="137" customFormat="1" x14ac:dyDescent="0.3">
      <c r="B227" s="11"/>
      <c r="C227" s="3" t="s">
        <v>482</v>
      </c>
      <c r="D227" s="3"/>
      <c r="E227" s="3"/>
      <c r="F227" s="3"/>
      <c r="G227" s="3"/>
      <c r="H227" s="3"/>
      <c r="I227" s="3"/>
      <c r="J227" s="3"/>
      <c r="K227" s="3"/>
      <c r="L227" s="16">
        <v>1547.9900769999999</v>
      </c>
      <c r="M227" s="16">
        <v>1789.1786970000001</v>
      </c>
      <c r="N227" s="15">
        <v>2911.3982569999998</v>
      </c>
      <c r="O227" s="246">
        <v>469.81365899999997</v>
      </c>
      <c r="P227" s="16">
        <v>90.327902700000024</v>
      </c>
      <c r="Q227" s="16">
        <v>90.327902700000024</v>
      </c>
      <c r="R227" s="16">
        <v>90.327902700000024</v>
      </c>
      <c r="S227" s="16">
        <v>90.327902700000024</v>
      </c>
      <c r="T227" s="16">
        <v>90.327902700000024</v>
      </c>
      <c r="U227" s="16">
        <v>90.327902700000024</v>
      </c>
      <c r="V227" s="16">
        <v>90.327902700000024</v>
      </c>
      <c r="W227" s="16">
        <v>90.327902700000024</v>
      </c>
      <c r="X227" s="16">
        <v>90.327902700000024</v>
      </c>
      <c r="Y227" s="246">
        <f>SUM(P227:X227)</f>
        <v>812.95112430000006</v>
      </c>
      <c r="Z227" s="246">
        <f>SUM(O227,Y227)</f>
        <v>1282.7647833000001</v>
      </c>
      <c r="AA227" s="16">
        <f>AA223*AA228</f>
        <v>1359.7306702980002</v>
      </c>
      <c r="AB227" s="16">
        <f>AB223*AB228</f>
        <v>1434.5158571643901</v>
      </c>
      <c r="AC227" s="16">
        <f>AC223*AC228</f>
        <v>1506.2416500226097</v>
      </c>
      <c r="AD227" s="16">
        <f>AD223*AD228</f>
        <v>1577.0350075736724</v>
      </c>
      <c r="AE227" s="494"/>
      <c r="AF227" s="327"/>
      <c r="AG227" s="322"/>
      <c r="AK227" s="311"/>
    </row>
    <row r="228" spans="1:37" s="137" customFormat="1" x14ac:dyDescent="0.3">
      <c r="B228" s="438"/>
      <c r="C228" s="438"/>
      <c r="D228" s="455" t="s">
        <v>483</v>
      </c>
      <c r="E228" s="438"/>
      <c r="F228" s="438"/>
      <c r="G228" s="438"/>
      <c r="H228" s="438"/>
      <c r="I228" s="438"/>
      <c r="J228" s="438"/>
      <c r="K228" s="438"/>
      <c r="L228" s="498">
        <f>L227/L223</f>
        <v>18.391961310891087</v>
      </c>
      <c r="M228" s="498">
        <f>M227/M223</f>
        <v>21.708942734074821</v>
      </c>
      <c r="N228" s="499">
        <f>N227/N223</f>
        <v>40.957537026963649</v>
      </c>
      <c r="O228" s="500">
        <f>O227/O223*4</f>
        <v>38.35213542857143</v>
      </c>
      <c r="P228" s="456">
        <f t="shared" ref="P228:X228" si="153">P227/P223*12</f>
        <v>22.121119028571435</v>
      </c>
      <c r="Q228" s="498">
        <f t="shared" si="153"/>
        <v>22.121119028571435</v>
      </c>
      <c r="R228" s="498">
        <f t="shared" si="153"/>
        <v>22.121119028571435</v>
      </c>
      <c r="S228" s="498">
        <f t="shared" si="153"/>
        <v>22.121119028571435</v>
      </c>
      <c r="T228" s="498">
        <f t="shared" si="153"/>
        <v>22.121119028571435</v>
      </c>
      <c r="U228" s="498">
        <f t="shared" si="153"/>
        <v>22.121119028571435</v>
      </c>
      <c r="V228" s="498">
        <f t="shared" si="153"/>
        <v>22.121119028571435</v>
      </c>
      <c r="W228" s="498">
        <f t="shared" si="153"/>
        <v>22.121119028571435</v>
      </c>
      <c r="X228" s="498">
        <f t="shared" si="153"/>
        <v>22.121119028571435</v>
      </c>
      <c r="Y228" s="500"/>
      <c r="Z228" s="500">
        <f>Z227/Z223</f>
        <v>26.178873128571432</v>
      </c>
      <c r="AA228" s="498">
        <f>Z228*(1+'Key Assumption'!AB$27)</f>
        <v>27.749605516285719</v>
      </c>
      <c r="AB228" s="498">
        <f>AA228*(1+'Key Assumption'!AC$27)</f>
        <v>29.275833819681431</v>
      </c>
      <c r="AC228" s="498">
        <f>AB228*(1+'Key Assumption'!AD$27)</f>
        <v>30.739625510665505</v>
      </c>
      <c r="AD228" s="498">
        <f>AC228*(1+'Key Assumption'!AE$27)</f>
        <v>32.184387909666782</v>
      </c>
      <c r="AE228" s="494"/>
      <c r="AF228" s="327"/>
      <c r="AG228" s="322"/>
      <c r="AK228" s="311"/>
    </row>
    <row r="229" spans="1:37" s="137" customFormat="1" x14ac:dyDescent="0.3">
      <c r="A229" s="363"/>
      <c r="B229" s="459"/>
      <c r="C229" s="459"/>
      <c r="D229" s="402"/>
      <c r="E229" s="459"/>
      <c r="F229" s="459"/>
      <c r="G229" s="459"/>
      <c r="H229" s="459"/>
      <c r="I229" s="459"/>
      <c r="J229" s="459"/>
      <c r="K229" s="459"/>
      <c r="L229" s="460"/>
      <c r="M229" s="460"/>
      <c r="N229" s="460"/>
      <c r="O229" s="460"/>
      <c r="P229" s="460"/>
      <c r="Q229" s="460"/>
      <c r="R229" s="460"/>
      <c r="S229" s="460"/>
      <c r="T229" s="460"/>
      <c r="U229" s="460"/>
      <c r="V229" s="460"/>
      <c r="W229" s="460"/>
      <c r="X229" s="460"/>
      <c r="Y229" s="460"/>
      <c r="Z229" s="460"/>
      <c r="AA229" s="460"/>
      <c r="AB229" s="460"/>
      <c r="AC229" s="460"/>
      <c r="AD229" s="460"/>
      <c r="AE229" s="494"/>
      <c r="AF229" s="327"/>
      <c r="AG229" s="322"/>
      <c r="AK229" s="311"/>
    </row>
    <row r="230" spans="1:37" x14ac:dyDescent="0.3">
      <c r="B230" s="8"/>
      <c r="C230" s="8"/>
      <c r="D230" s="8"/>
      <c r="E230" s="8"/>
      <c r="F230" s="8"/>
      <c r="G230" s="8"/>
      <c r="H230" s="8"/>
      <c r="I230" s="8"/>
      <c r="J230" s="8"/>
      <c r="K230" s="8"/>
      <c r="L230" s="9" t="s">
        <v>182</v>
      </c>
      <c r="M230" s="9" t="s">
        <v>183</v>
      </c>
      <c r="N230" s="10" t="s">
        <v>184</v>
      </c>
      <c r="O230" s="244" t="s">
        <v>4</v>
      </c>
      <c r="P230" s="9" t="s">
        <v>215</v>
      </c>
      <c r="Q230" s="9" t="s">
        <v>216</v>
      </c>
      <c r="R230" s="9" t="s">
        <v>217</v>
      </c>
      <c r="S230" s="9" t="s">
        <v>218</v>
      </c>
      <c r="T230" s="9" t="s">
        <v>219</v>
      </c>
      <c r="U230" s="9" t="s">
        <v>220</v>
      </c>
      <c r="V230" s="9" t="s">
        <v>221</v>
      </c>
      <c r="W230" s="9" t="s">
        <v>222</v>
      </c>
      <c r="X230" s="10" t="s">
        <v>223</v>
      </c>
      <c r="Y230" s="9" t="s">
        <v>294</v>
      </c>
      <c r="Z230" s="244" t="s">
        <v>197</v>
      </c>
      <c r="AA230" s="9" t="s">
        <v>198</v>
      </c>
      <c r="AB230" s="9" t="s">
        <v>199</v>
      </c>
      <c r="AC230" s="9" t="s">
        <v>200</v>
      </c>
      <c r="AD230" s="9" t="s">
        <v>201</v>
      </c>
      <c r="AF230" s="327"/>
      <c r="AK230" s="311"/>
    </row>
    <row r="231" spans="1:37" x14ac:dyDescent="0.3">
      <c r="B231" s="11" t="s">
        <v>142</v>
      </c>
      <c r="L231" s="16">
        <f>SUM(L232,L235,L238,L240,L242,L244)</f>
        <v>2545.5647539999995</v>
      </c>
      <c r="M231" s="16">
        <f>SUM(M232,M235,M238,M240,M242,M244)</f>
        <v>1546.9930449999999</v>
      </c>
      <c r="N231" s="15">
        <f>SUM(N232,N235,N238,N240,N242,N244)</f>
        <v>1017.1526309999999</v>
      </c>
      <c r="O231" s="326">
        <f t="shared" ref="O231:AD231" si="154">SUM(O232,O235,O238,O240,O242,O244)</f>
        <v>185.448994</v>
      </c>
      <c r="P231" s="13">
        <f t="shared" si="154"/>
        <v>81.183317499999987</v>
      </c>
      <c r="Q231" s="13">
        <f t="shared" si="154"/>
        <v>81.183317499999987</v>
      </c>
      <c r="R231" s="13">
        <f t="shared" si="154"/>
        <v>81.183317499999987</v>
      </c>
      <c r="S231" s="13">
        <f t="shared" si="154"/>
        <v>81.183317499999987</v>
      </c>
      <c r="T231" s="13">
        <f t="shared" si="154"/>
        <v>81.183317499999987</v>
      </c>
      <c r="U231" s="13">
        <f t="shared" si="154"/>
        <v>81.183317499999987</v>
      </c>
      <c r="V231" s="13">
        <f t="shared" si="154"/>
        <v>81.183317499999987</v>
      </c>
      <c r="W231" s="13">
        <f t="shared" si="154"/>
        <v>81.183317499999987</v>
      </c>
      <c r="X231" s="13">
        <f t="shared" si="154"/>
        <v>81.183317499999987</v>
      </c>
      <c r="Y231" s="395">
        <f t="shared" si="154"/>
        <v>730.64985749999994</v>
      </c>
      <c r="Z231" s="326">
        <f t="shared" si="154"/>
        <v>916.09885149999991</v>
      </c>
      <c r="AA231" s="13">
        <f t="shared" si="154"/>
        <v>1033.7341008137757</v>
      </c>
      <c r="AB231" s="13">
        <f t="shared" si="154"/>
        <v>1229.3594007003055</v>
      </c>
      <c r="AC231" s="13">
        <f t="shared" si="154"/>
        <v>1430.5767161821552</v>
      </c>
      <c r="AD231" s="13">
        <f t="shared" si="154"/>
        <v>1561.1632803719676</v>
      </c>
      <c r="AF231" s="327"/>
      <c r="AK231" s="311"/>
    </row>
    <row r="232" spans="1:37" x14ac:dyDescent="0.3">
      <c r="B232" s="11"/>
      <c r="C232" s="3" t="s">
        <v>402</v>
      </c>
      <c r="L232" s="16">
        <v>1501.4670719999999</v>
      </c>
      <c r="M232" s="16">
        <v>891.53767100000005</v>
      </c>
      <c r="N232" s="15">
        <v>591.04468699999995</v>
      </c>
      <c r="O232" s="246">
        <v>144.280385</v>
      </c>
      <c r="P232" s="16">
        <v>58.652019999999993</v>
      </c>
      <c r="Q232" s="16">
        <v>58.652019999999993</v>
      </c>
      <c r="R232" s="16">
        <v>58.652019999999993</v>
      </c>
      <c r="S232" s="16">
        <v>58.652019999999993</v>
      </c>
      <c r="T232" s="16">
        <v>58.652019999999993</v>
      </c>
      <c r="U232" s="16">
        <v>58.652019999999993</v>
      </c>
      <c r="V232" s="16">
        <v>58.652019999999993</v>
      </c>
      <c r="W232" s="16">
        <v>58.652019999999993</v>
      </c>
      <c r="X232" s="16">
        <v>58.652019999999993</v>
      </c>
      <c r="Y232" s="246">
        <f t="shared" ref="Y232:Y240" si="155">SUM(P232:X232)</f>
        <v>527.86817999999994</v>
      </c>
      <c r="Z232" s="246">
        <f t="shared" ref="Z232:Z244" si="156">SUM(O232,Y232)</f>
        <v>672.14856499999996</v>
      </c>
      <c r="AA232" s="16">
        <f>AA233*AA234</f>
        <v>759.11600869102108</v>
      </c>
      <c r="AB232" s="16">
        <f t="shared" ref="AB232:AD232" si="157">AB233*AB234</f>
        <v>902.84100720673894</v>
      </c>
      <c r="AC232" s="16">
        <f t="shared" si="157"/>
        <v>1049.7501979820167</v>
      </c>
      <c r="AD232" s="16">
        <f t="shared" si="157"/>
        <v>1145.7017483364639</v>
      </c>
      <c r="AF232" s="327"/>
      <c r="AK232" s="311"/>
    </row>
    <row r="233" spans="1:37" x14ac:dyDescent="0.3">
      <c r="B233" s="11"/>
      <c r="D233" s="3" t="s">
        <v>298</v>
      </c>
      <c r="L233" s="16"/>
      <c r="M233" s="16"/>
      <c r="N233" s="15"/>
      <c r="O233" s="246">
        <f>SUMIFS(O$43:O$140,$E$43:$E$140,$D233)</f>
        <v>152</v>
      </c>
      <c r="P233" s="16">
        <f t="shared" ref="P233:AD233" si="158">SUMIFS(P$43:P$140,$E$43:$E$140,$D233)</f>
        <v>62</v>
      </c>
      <c r="Q233" s="16">
        <f t="shared" si="158"/>
        <v>65</v>
      </c>
      <c r="R233" s="16">
        <f t="shared" si="158"/>
        <v>61</v>
      </c>
      <c r="S233" s="16">
        <f t="shared" si="158"/>
        <v>63</v>
      </c>
      <c r="T233" s="16">
        <f t="shared" si="158"/>
        <v>66</v>
      </c>
      <c r="U233" s="16">
        <f t="shared" si="158"/>
        <v>60</v>
      </c>
      <c r="V233" s="16">
        <f t="shared" si="158"/>
        <v>50</v>
      </c>
      <c r="W233" s="16">
        <f t="shared" si="158"/>
        <v>66</v>
      </c>
      <c r="X233" s="16">
        <f t="shared" si="158"/>
        <v>60</v>
      </c>
      <c r="Y233" s="246">
        <f t="shared" si="155"/>
        <v>553</v>
      </c>
      <c r="Z233" s="246">
        <f t="shared" si="156"/>
        <v>705</v>
      </c>
      <c r="AA233" s="16">
        <f t="shared" si="158"/>
        <v>786</v>
      </c>
      <c r="AB233" s="16">
        <f t="shared" si="158"/>
        <v>921</v>
      </c>
      <c r="AC233" s="16">
        <f t="shared" si="158"/>
        <v>1054</v>
      </c>
      <c r="AD233" s="16">
        <f t="shared" si="158"/>
        <v>1130</v>
      </c>
      <c r="AF233" s="327"/>
      <c r="AK233" s="311"/>
    </row>
    <row r="234" spans="1:37" x14ac:dyDescent="0.3">
      <c r="B234" s="11"/>
      <c r="D234" s="3" t="s">
        <v>403</v>
      </c>
      <c r="L234" s="16"/>
      <c r="M234" s="16"/>
      <c r="N234" s="15"/>
      <c r="O234" s="246">
        <f t="shared" ref="O234:Z234" si="159">O232/O233</f>
        <v>0.94921305921052623</v>
      </c>
      <c r="P234" s="16">
        <f t="shared" si="159"/>
        <v>0.94600032258064504</v>
      </c>
      <c r="Q234" s="16">
        <f t="shared" si="159"/>
        <v>0.90233876923076917</v>
      </c>
      <c r="R234" s="16">
        <f t="shared" si="159"/>
        <v>0.96150852459016378</v>
      </c>
      <c r="S234" s="16">
        <f t="shared" si="159"/>
        <v>0.93098444444444428</v>
      </c>
      <c r="T234" s="16">
        <f t="shared" si="159"/>
        <v>0.88866696969696957</v>
      </c>
      <c r="U234" s="16">
        <f t="shared" si="159"/>
        <v>0.97753366666666652</v>
      </c>
      <c r="V234" s="16">
        <f t="shared" si="159"/>
        <v>1.1730403999999999</v>
      </c>
      <c r="W234" s="16">
        <f t="shared" si="159"/>
        <v>0.88866696969696957</v>
      </c>
      <c r="X234" s="16">
        <f t="shared" si="159"/>
        <v>0.97753366666666652</v>
      </c>
      <c r="Y234" s="246">
        <f t="shared" si="159"/>
        <v>0.95455367088607579</v>
      </c>
      <c r="Z234" s="246">
        <f t="shared" si="159"/>
        <v>0.95340221985815599</v>
      </c>
      <c r="AA234" s="16">
        <f>Z234*(1+'Key Assumption'!AB$25)</f>
        <v>0.96579644871631187</v>
      </c>
      <c r="AB234" s="16">
        <f>AA234*(1+'Key Assumption'!AC$25)</f>
        <v>0.98028339544705645</v>
      </c>
      <c r="AC234" s="16">
        <f>AB234*(1+'Key Assumption'!AD$25)</f>
        <v>0.99596792977420934</v>
      </c>
      <c r="AD234" s="16">
        <f>AC234*(1+'Key Assumption'!AE$25)</f>
        <v>1.0138953525101451</v>
      </c>
      <c r="AF234" s="327"/>
      <c r="AK234" s="311"/>
    </row>
    <row r="235" spans="1:37" x14ac:dyDescent="0.3">
      <c r="B235" s="11"/>
      <c r="C235" s="3" t="s">
        <v>485</v>
      </c>
      <c r="L235" s="16">
        <v>880.01863100000003</v>
      </c>
      <c r="M235" s="16">
        <v>692.648954</v>
      </c>
      <c r="N235" s="15">
        <v>424.72382499999998</v>
      </c>
      <c r="O235" s="246">
        <v>39.324533000000002</v>
      </c>
      <c r="P235" s="16">
        <v>20.515249999999998</v>
      </c>
      <c r="Q235" s="16">
        <v>20.515249999999998</v>
      </c>
      <c r="R235" s="16">
        <v>20.515249999999998</v>
      </c>
      <c r="S235" s="16">
        <v>20.515249999999998</v>
      </c>
      <c r="T235" s="16">
        <v>20.515249999999998</v>
      </c>
      <c r="U235" s="16">
        <v>20.515249999999998</v>
      </c>
      <c r="V235" s="16">
        <v>20.515249999999998</v>
      </c>
      <c r="W235" s="16">
        <v>20.515249999999998</v>
      </c>
      <c r="X235" s="16">
        <v>20.515249999999998</v>
      </c>
      <c r="Y235" s="246">
        <f t="shared" si="155"/>
        <v>184.63724999999999</v>
      </c>
      <c r="Z235" s="246">
        <f t="shared" si="156"/>
        <v>223.961783</v>
      </c>
      <c r="AA235" s="16">
        <f>AA236*AA237</f>
        <v>252.93957863360851</v>
      </c>
      <c r="AB235" s="16">
        <f t="shared" ref="AB235:AD235" si="160">AB236*AB237</f>
        <v>300.82915038215867</v>
      </c>
      <c r="AC235" s="16">
        <f t="shared" si="160"/>
        <v>349.77970390319211</v>
      </c>
      <c r="AD235" s="16">
        <f t="shared" si="160"/>
        <v>381.75102902087099</v>
      </c>
      <c r="AF235" s="327"/>
      <c r="AK235" s="311"/>
    </row>
    <row r="236" spans="1:37" x14ac:dyDescent="0.3">
      <c r="B236" s="11"/>
      <c r="D236" s="3" t="s">
        <v>298</v>
      </c>
      <c r="L236" s="16"/>
      <c r="M236" s="16"/>
      <c r="N236" s="15"/>
      <c r="O236" s="246">
        <f>SUMIFS(O$43:O$140,$E$43:$E$140,$D236)</f>
        <v>152</v>
      </c>
      <c r="P236" s="16">
        <f t="shared" ref="P236:AD236" si="161">SUMIFS(P$43:P$140,$E$43:$E$140,$D236)</f>
        <v>62</v>
      </c>
      <c r="Q236" s="16">
        <f t="shared" si="161"/>
        <v>65</v>
      </c>
      <c r="R236" s="16">
        <f t="shared" si="161"/>
        <v>61</v>
      </c>
      <c r="S236" s="16">
        <f t="shared" si="161"/>
        <v>63</v>
      </c>
      <c r="T236" s="16">
        <f t="shared" si="161"/>
        <v>66</v>
      </c>
      <c r="U236" s="16">
        <f t="shared" si="161"/>
        <v>60</v>
      </c>
      <c r="V236" s="16">
        <f t="shared" si="161"/>
        <v>50</v>
      </c>
      <c r="W236" s="16">
        <f t="shared" si="161"/>
        <v>66</v>
      </c>
      <c r="X236" s="16">
        <f t="shared" si="161"/>
        <v>60</v>
      </c>
      <c r="Y236" s="246">
        <f t="shared" ref="Y236" si="162">SUM(P236:X236)</f>
        <v>553</v>
      </c>
      <c r="Z236" s="246">
        <f t="shared" si="156"/>
        <v>705</v>
      </c>
      <c r="AA236" s="16">
        <f t="shared" si="161"/>
        <v>786</v>
      </c>
      <c r="AB236" s="16">
        <f t="shared" si="161"/>
        <v>921</v>
      </c>
      <c r="AC236" s="16">
        <f t="shared" si="161"/>
        <v>1054</v>
      </c>
      <c r="AD236" s="16">
        <f t="shared" si="161"/>
        <v>1130</v>
      </c>
      <c r="AF236" s="327"/>
      <c r="AK236" s="311"/>
    </row>
    <row r="237" spans="1:37" x14ac:dyDescent="0.3">
      <c r="B237" s="11"/>
      <c r="D237" s="3" t="s">
        <v>405</v>
      </c>
      <c r="L237" s="16"/>
      <c r="M237" s="16"/>
      <c r="N237" s="15"/>
      <c r="O237" s="246">
        <f t="shared" ref="O237:Z237" si="163">O235/O236</f>
        <v>0.25871403289473688</v>
      </c>
      <c r="P237" s="16">
        <f t="shared" si="163"/>
        <v>0.33089112903225804</v>
      </c>
      <c r="Q237" s="16">
        <f t="shared" si="163"/>
        <v>0.31561923076923076</v>
      </c>
      <c r="R237" s="16">
        <f t="shared" si="163"/>
        <v>0.33631557377049176</v>
      </c>
      <c r="S237" s="16">
        <f t="shared" si="163"/>
        <v>0.32563888888888887</v>
      </c>
      <c r="T237" s="16">
        <f t="shared" si="163"/>
        <v>0.3108371212121212</v>
      </c>
      <c r="U237" s="16">
        <f t="shared" si="163"/>
        <v>0.34192083333333328</v>
      </c>
      <c r="V237" s="16">
        <f t="shared" si="163"/>
        <v>0.41030499999999998</v>
      </c>
      <c r="W237" s="16">
        <f t="shared" si="163"/>
        <v>0.3108371212121212</v>
      </c>
      <c r="X237" s="16">
        <f t="shared" si="163"/>
        <v>0.34192083333333328</v>
      </c>
      <c r="Y237" s="246">
        <f t="shared" si="163"/>
        <v>0.33388291139240506</v>
      </c>
      <c r="Z237" s="246">
        <f t="shared" si="163"/>
        <v>0.31767628794326241</v>
      </c>
      <c r="AA237" s="16">
        <f>Z237*(1+'Key Assumption'!AB$25)</f>
        <v>0.3218060796865248</v>
      </c>
      <c r="AB237" s="16">
        <f>AA237*(1+'Key Assumption'!AC$25)</f>
        <v>0.32663317088182264</v>
      </c>
      <c r="AC237" s="16">
        <f>AB237*(1+'Key Assumption'!AD$25)</f>
        <v>0.3318593016159318</v>
      </c>
      <c r="AD237" s="16">
        <f>AC237*(1+'Key Assumption'!AE$25)</f>
        <v>0.33783276904501858</v>
      </c>
      <c r="AF237" s="327"/>
      <c r="AK237" s="311"/>
    </row>
    <row r="238" spans="1:37" x14ac:dyDescent="0.3">
      <c r="C238" s="3" t="s">
        <v>381</v>
      </c>
      <c r="L238" s="16">
        <v>27.703177</v>
      </c>
      <c r="M238" s="16">
        <v>19.198919</v>
      </c>
      <c r="N238" s="15">
        <v>22.064375999999999</v>
      </c>
      <c r="O238" s="246">
        <v>2.4604360000000001</v>
      </c>
      <c r="P238" s="16">
        <v>1.5625525</v>
      </c>
      <c r="Q238" s="16">
        <v>1.5625525</v>
      </c>
      <c r="R238" s="16">
        <v>1.5625525</v>
      </c>
      <c r="S238" s="16">
        <v>1.5625525</v>
      </c>
      <c r="T238" s="16">
        <v>1.5625525</v>
      </c>
      <c r="U238" s="16">
        <v>1.5625525</v>
      </c>
      <c r="V238" s="16">
        <v>1.5625525</v>
      </c>
      <c r="W238" s="16">
        <v>1.5625525</v>
      </c>
      <c r="X238" s="16">
        <v>1.5625525</v>
      </c>
      <c r="Y238" s="246">
        <f t="shared" si="155"/>
        <v>14.062972500000003</v>
      </c>
      <c r="Z238" s="246">
        <f t="shared" si="156"/>
        <v>16.523408500000002</v>
      </c>
      <c r="AA238" s="16">
        <f>AA6*AA239</f>
        <v>17.384387625471074</v>
      </c>
      <c r="AB238" s="16">
        <f>AB6*AB239</f>
        <v>20.600663430049085</v>
      </c>
      <c r="AC238" s="16">
        <f>AC6*AC239</f>
        <v>24.896995568647487</v>
      </c>
      <c r="AD238" s="16">
        <f>AD6*AD239</f>
        <v>27.033055183852934</v>
      </c>
      <c r="AF238" s="327"/>
      <c r="AK238" s="311"/>
    </row>
    <row r="239" spans="1:37" x14ac:dyDescent="0.3">
      <c r="D239" s="3" t="s">
        <v>411</v>
      </c>
      <c r="L239" s="16"/>
      <c r="M239" s="16"/>
      <c r="N239" s="15"/>
      <c r="O239" s="373">
        <f t="shared" ref="O239:Z241" si="164">O238/O$6</f>
        <v>1.7398113401207848E-4</v>
      </c>
      <c r="P239" s="137">
        <f t="shared" si="164"/>
        <v>3.6576187331713767E-4</v>
      </c>
      <c r="Q239" s="137">
        <f t="shared" si="164"/>
        <v>3.4091185390042016E-4</v>
      </c>
      <c r="R239" s="137">
        <f t="shared" si="164"/>
        <v>3.7160731710581002E-4</v>
      </c>
      <c r="S239" s="137">
        <f t="shared" si="164"/>
        <v>3.7754553102926046E-4</v>
      </c>
      <c r="T239" s="137">
        <f t="shared" si="164"/>
        <v>3.7181455211696086E-4</v>
      </c>
      <c r="U239" s="137">
        <f t="shared" si="164"/>
        <v>3.9427757596125959E-4</v>
      </c>
      <c r="V239" s="137">
        <f t="shared" si="164"/>
        <v>4.6421838021806051E-4</v>
      </c>
      <c r="W239" s="137">
        <f t="shared" si="164"/>
        <v>3.8316747726935502E-4</v>
      </c>
      <c r="X239" s="137">
        <f t="shared" si="164"/>
        <v>4.1186649617956005E-4</v>
      </c>
      <c r="Y239" s="373">
        <f t="shared" si="164"/>
        <v>3.8420851264463283E-4</v>
      </c>
      <c r="Z239" s="373">
        <f t="shared" si="164"/>
        <v>3.2562021154358142E-4</v>
      </c>
      <c r="AA239" s="137">
        <f>Z239</f>
        <v>3.2562021154358142E-4</v>
      </c>
      <c r="AB239" s="137">
        <f t="shared" ref="AB239:AD239" si="165">AA239</f>
        <v>3.2562021154358142E-4</v>
      </c>
      <c r="AC239" s="137">
        <f t="shared" si="165"/>
        <v>3.2562021154358142E-4</v>
      </c>
      <c r="AD239" s="137">
        <f t="shared" si="165"/>
        <v>3.2562021154358142E-4</v>
      </c>
      <c r="AF239" s="327"/>
      <c r="AK239" s="311"/>
    </row>
    <row r="240" spans="1:37" x14ac:dyDescent="0.3">
      <c r="C240" s="3" t="s">
        <v>566</v>
      </c>
      <c r="L240" s="16">
        <v>0</v>
      </c>
      <c r="M240" s="16">
        <v>0</v>
      </c>
      <c r="N240" s="15">
        <v>0</v>
      </c>
      <c r="O240" s="246">
        <v>0</v>
      </c>
      <c r="P240" s="16">
        <v>0.45349499999999998</v>
      </c>
      <c r="Q240" s="16">
        <v>0.45349499999999998</v>
      </c>
      <c r="R240" s="16">
        <v>0.45349499999999998</v>
      </c>
      <c r="S240" s="16">
        <v>0.45349499999999998</v>
      </c>
      <c r="T240" s="16">
        <v>0.45349499999999998</v>
      </c>
      <c r="U240" s="16">
        <v>0.45349499999999998</v>
      </c>
      <c r="V240" s="16">
        <v>0.45349499999999998</v>
      </c>
      <c r="W240" s="16">
        <v>0.45349499999999998</v>
      </c>
      <c r="X240" s="16">
        <v>0.45349499999999998</v>
      </c>
      <c r="Y240" s="246">
        <f t="shared" si="155"/>
        <v>4.0814550000000009</v>
      </c>
      <c r="Z240" s="246">
        <f t="shared" si="156"/>
        <v>4.0814550000000009</v>
      </c>
      <c r="AA240" s="16">
        <f>AA6*AA241</f>
        <v>4.2941258636749824</v>
      </c>
      <c r="AB240" s="16">
        <f>AB6*AB241</f>
        <v>5.0885796813587829</v>
      </c>
      <c r="AC240" s="16">
        <f>AC6*AC241</f>
        <v>6.1498187282989543</v>
      </c>
      <c r="AD240" s="16">
        <f>AD6*AD241</f>
        <v>6.6774478307797382</v>
      </c>
      <c r="AF240" s="327"/>
      <c r="AK240" s="311"/>
    </row>
    <row r="241" spans="2:37" x14ac:dyDescent="0.3">
      <c r="D241" s="3" t="s">
        <v>411</v>
      </c>
      <c r="L241" s="16"/>
      <c r="M241" s="16"/>
      <c r="N241" s="15"/>
      <c r="O241" s="362">
        <f t="shared" si="164"/>
        <v>0</v>
      </c>
      <c r="P241" s="402">
        <f t="shared" si="164"/>
        <v>1.0615398889954439E-4</v>
      </c>
      <c r="Q241" s="402">
        <f t="shared" si="164"/>
        <v>9.8941841112264081E-5</v>
      </c>
      <c r="R241" s="402">
        <f t="shared" si="164"/>
        <v>1.0785049479675039E-4</v>
      </c>
      <c r="S241" s="402">
        <f t="shared" si="164"/>
        <v>1.0957392509635002E-4</v>
      </c>
      <c r="T241" s="402">
        <f t="shared" si="164"/>
        <v>1.0791064000235587E-4</v>
      </c>
      <c r="U241" s="402">
        <f t="shared" si="164"/>
        <v>1.1443001711017799E-4</v>
      </c>
      <c r="V241" s="402">
        <f t="shared" si="164"/>
        <v>1.3472873029033542E-4</v>
      </c>
      <c r="W241" s="402">
        <f t="shared" si="164"/>
        <v>1.1120556595971409E-4</v>
      </c>
      <c r="X241" s="402">
        <f t="shared" si="164"/>
        <v>1.1953479750917141E-4</v>
      </c>
      <c r="Y241" s="362">
        <f t="shared" si="164"/>
        <v>1.1150770258393095E-4</v>
      </c>
      <c r="Z241" s="362">
        <f t="shared" si="164"/>
        <v>8.0431603473678462E-5</v>
      </c>
      <c r="AA241" s="402">
        <f>Z241</f>
        <v>8.0431603473678462E-5</v>
      </c>
      <c r="AB241" s="402">
        <f t="shared" ref="AB241:AD241" si="166">AA241</f>
        <v>8.0431603473678462E-5</v>
      </c>
      <c r="AC241" s="402">
        <f t="shared" si="166"/>
        <v>8.0431603473678462E-5</v>
      </c>
      <c r="AD241" s="402">
        <f t="shared" si="166"/>
        <v>8.0431603473678462E-5</v>
      </c>
      <c r="AF241" s="327"/>
      <c r="AK241" s="311"/>
    </row>
    <row r="242" spans="2:37" x14ac:dyDescent="0.3">
      <c r="C242" s="3" t="s">
        <v>486</v>
      </c>
      <c r="L242" s="16">
        <v>135.853994</v>
      </c>
      <c r="M242" s="16">
        <v>-56.392499000000001</v>
      </c>
      <c r="N242" s="15">
        <v>-20.680257000000001</v>
      </c>
      <c r="O242" s="246">
        <v>-0.61636000000000002</v>
      </c>
      <c r="P242" s="119"/>
      <c r="Q242" s="119"/>
      <c r="R242" s="119"/>
      <c r="S242" s="119"/>
      <c r="T242" s="119"/>
      <c r="U242" s="119"/>
      <c r="V242" s="119"/>
      <c r="W242" s="119"/>
      <c r="X242" s="119"/>
      <c r="Y242" s="306"/>
      <c r="Z242" s="246">
        <f t="shared" si="156"/>
        <v>-0.61636000000000002</v>
      </c>
      <c r="AA242" s="119"/>
      <c r="AB242" s="119"/>
      <c r="AC242" s="119"/>
      <c r="AD242" s="119"/>
      <c r="AF242" s="327"/>
      <c r="AK242" s="311"/>
    </row>
    <row r="243" spans="2:37" x14ac:dyDescent="0.3">
      <c r="D243" s="3" t="s">
        <v>411</v>
      </c>
      <c r="L243" s="16"/>
      <c r="M243" s="16"/>
      <c r="N243" s="15"/>
      <c r="O243" s="362"/>
      <c r="P243" s="119"/>
      <c r="Q243" s="119"/>
      <c r="R243" s="119"/>
      <c r="S243" s="119"/>
      <c r="T243" s="119"/>
      <c r="U243" s="119"/>
      <c r="V243" s="119"/>
      <c r="W243" s="119"/>
      <c r="X243" s="119"/>
      <c r="Y243" s="306"/>
      <c r="Z243" s="306"/>
      <c r="AA243" s="119"/>
      <c r="AB243" s="119"/>
      <c r="AC243" s="119"/>
      <c r="AD243" s="119"/>
      <c r="AF243" s="327"/>
      <c r="AK243" s="311"/>
    </row>
    <row r="244" spans="2:37" x14ac:dyDescent="0.3">
      <c r="C244" s="3" t="s">
        <v>382</v>
      </c>
      <c r="L244" s="16">
        <v>0.52188000000000001</v>
      </c>
      <c r="M244" s="16">
        <v>0</v>
      </c>
      <c r="N244" s="15">
        <v>0</v>
      </c>
      <c r="O244" s="246">
        <v>0</v>
      </c>
      <c r="P244" s="119"/>
      <c r="Q244" s="119"/>
      <c r="R244" s="119"/>
      <c r="S244" s="119"/>
      <c r="T244" s="119"/>
      <c r="U244" s="119"/>
      <c r="V244" s="119"/>
      <c r="W244" s="119"/>
      <c r="X244" s="119"/>
      <c r="Y244" s="306"/>
      <c r="Z244" s="246">
        <f t="shared" si="156"/>
        <v>0</v>
      </c>
      <c r="AA244" s="119"/>
      <c r="AB244" s="119"/>
      <c r="AC244" s="119"/>
      <c r="AD244" s="119"/>
      <c r="AF244" s="327"/>
      <c r="AK244" s="311"/>
    </row>
    <row r="245" spans="2:37" x14ac:dyDescent="0.3">
      <c r="B245" s="92"/>
      <c r="C245" s="92"/>
      <c r="D245" s="92" t="s">
        <v>411</v>
      </c>
      <c r="E245" s="92"/>
      <c r="F245" s="92"/>
      <c r="G245" s="92"/>
      <c r="H245" s="92"/>
      <c r="I245" s="92"/>
      <c r="J245" s="92"/>
      <c r="K245" s="92"/>
      <c r="L245" s="130"/>
      <c r="M245" s="130"/>
      <c r="N245" s="131"/>
      <c r="O245" s="462"/>
      <c r="P245" s="472"/>
      <c r="Q245" s="472"/>
      <c r="R245" s="472"/>
      <c r="S245" s="472"/>
      <c r="T245" s="472"/>
      <c r="U245" s="472"/>
      <c r="V245" s="472"/>
      <c r="W245" s="472"/>
      <c r="X245" s="472"/>
      <c r="Y245" s="501"/>
      <c r="Z245" s="501"/>
      <c r="AA245" s="472"/>
      <c r="AB245" s="472"/>
      <c r="AC245" s="472"/>
      <c r="AD245" s="472"/>
      <c r="AF245" s="327"/>
      <c r="AK245" s="311"/>
    </row>
    <row r="246" spans="2:37" x14ac:dyDescent="0.3">
      <c r="L246" s="16"/>
      <c r="M246" s="16"/>
      <c r="N246" s="16"/>
      <c r="O246" s="402"/>
      <c r="P246" s="402"/>
      <c r="Q246" s="402"/>
      <c r="R246" s="402"/>
      <c r="S246" s="402"/>
      <c r="T246" s="402"/>
      <c r="U246" s="402"/>
      <c r="V246" s="402"/>
      <c r="W246" s="402"/>
      <c r="X246" s="402"/>
      <c r="Y246" s="402"/>
      <c r="Z246" s="402"/>
      <c r="AA246" s="402"/>
      <c r="AB246" s="402"/>
      <c r="AC246" s="402"/>
      <c r="AD246" s="402"/>
      <c r="AF246" s="327"/>
      <c r="AK246" s="311"/>
    </row>
    <row r="247" spans="2:37" x14ac:dyDescent="0.3">
      <c r="B247" s="8"/>
      <c r="C247" s="8"/>
      <c r="D247" s="8"/>
      <c r="E247" s="8"/>
      <c r="F247" s="8"/>
      <c r="G247" s="8"/>
      <c r="H247" s="8"/>
      <c r="I247" s="8"/>
      <c r="J247" s="8"/>
      <c r="K247" s="8"/>
      <c r="L247" s="9" t="s">
        <v>182</v>
      </c>
      <c r="M247" s="9" t="s">
        <v>183</v>
      </c>
      <c r="N247" s="10" t="s">
        <v>184</v>
      </c>
      <c r="O247" s="244" t="s">
        <v>4</v>
      </c>
      <c r="P247" s="9" t="s">
        <v>215</v>
      </c>
      <c r="Q247" s="9" t="s">
        <v>216</v>
      </c>
      <c r="R247" s="9" t="s">
        <v>217</v>
      </c>
      <c r="S247" s="9" t="s">
        <v>218</v>
      </c>
      <c r="T247" s="9" t="s">
        <v>219</v>
      </c>
      <c r="U247" s="9" t="s">
        <v>220</v>
      </c>
      <c r="V247" s="9" t="s">
        <v>221</v>
      </c>
      <c r="W247" s="9" t="s">
        <v>222</v>
      </c>
      <c r="X247" s="10" t="s">
        <v>223</v>
      </c>
      <c r="Y247" s="9" t="s">
        <v>294</v>
      </c>
      <c r="Z247" s="244" t="s">
        <v>197</v>
      </c>
      <c r="AA247" s="9" t="s">
        <v>198</v>
      </c>
      <c r="AB247" s="9" t="s">
        <v>199</v>
      </c>
      <c r="AC247" s="9" t="s">
        <v>200</v>
      </c>
      <c r="AD247" s="9" t="s">
        <v>201</v>
      </c>
      <c r="AF247" s="327"/>
      <c r="AK247" s="311"/>
    </row>
    <row r="248" spans="2:37" x14ac:dyDescent="0.3">
      <c r="B248" s="11" t="s">
        <v>143</v>
      </c>
      <c r="L248" s="13">
        <f>SUM(L249:L267)</f>
        <v>1308.5668579999999</v>
      </c>
      <c r="M248" s="13">
        <f>SUM(M249:M267)</f>
        <v>3293.1015380000003</v>
      </c>
      <c r="N248" s="124">
        <f>SUM(N249:N267)</f>
        <v>1060.5508049999999</v>
      </c>
      <c r="O248" s="326">
        <f t="shared" ref="O248:Y248" si="167">SUM(O249:O267)</f>
        <v>417.47700499999996</v>
      </c>
      <c r="P248" s="13">
        <f t="shared" si="167"/>
        <v>162.77455923832127</v>
      </c>
      <c r="Q248" s="13">
        <f t="shared" si="167"/>
        <v>162.77455923832127</v>
      </c>
      <c r="R248" s="13">
        <f t="shared" si="167"/>
        <v>162.77455923832127</v>
      </c>
      <c r="S248" s="13">
        <f t="shared" si="167"/>
        <v>162.67059571906967</v>
      </c>
      <c r="T248" s="13">
        <f t="shared" si="167"/>
        <v>162.67059571906967</v>
      </c>
      <c r="U248" s="13">
        <f t="shared" si="167"/>
        <v>162.67059571906967</v>
      </c>
      <c r="V248" s="13">
        <f t="shared" si="167"/>
        <v>162.3958903750505</v>
      </c>
      <c r="W248" s="13">
        <f t="shared" si="167"/>
        <v>162.3958903750505</v>
      </c>
      <c r="X248" s="13">
        <f t="shared" si="167"/>
        <v>162.3958903750505</v>
      </c>
      <c r="Y248" s="395">
        <f t="shared" si="167"/>
        <v>1463.5231359973245</v>
      </c>
      <c r="Z248" s="326">
        <f>O248+Y248</f>
        <v>1881.0001409973245</v>
      </c>
      <c r="AA248" s="13">
        <f>SUM(AA249:AA267)</f>
        <v>1792.4014163690861</v>
      </c>
      <c r="AB248" s="13">
        <f>SUM(AB249:AB267)</f>
        <v>1812.2488083118189</v>
      </c>
      <c r="AC248" s="13">
        <f>SUM(AC249:AC267)</f>
        <v>1835.0696405663127</v>
      </c>
      <c r="AD248" s="13">
        <f>SUM(AD249:AD267)</f>
        <v>1858.4540279494995</v>
      </c>
      <c r="AF248" s="327"/>
      <c r="AK248" s="311"/>
    </row>
    <row r="249" spans="2:37" x14ac:dyDescent="0.3">
      <c r="B249" s="11"/>
      <c r="C249" s="3" t="s">
        <v>487</v>
      </c>
      <c r="L249" s="16">
        <v>40.641590999999998</v>
      </c>
      <c r="M249" s="16">
        <v>41.666975000000001</v>
      </c>
      <c r="N249" s="15">
        <v>26.759687</v>
      </c>
      <c r="O249" s="246">
        <v>5.4087149999999999</v>
      </c>
      <c r="P249" s="16">
        <f t="shared" ref="P249:Z249" si="168">P283</f>
        <v>4.2065043845629235</v>
      </c>
      <c r="Q249" s="16">
        <f t="shared" si="168"/>
        <v>4.2065043845629235</v>
      </c>
      <c r="R249" s="16">
        <f t="shared" si="168"/>
        <v>4.2065043845629235</v>
      </c>
      <c r="S249" s="16">
        <f t="shared" si="168"/>
        <v>4.1774724685507314</v>
      </c>
      <c r="T249" s="16">
        <f t="shared" si="168"/>
        <v>4.1774724685507314</v>
      </c>
      <c r="U249" s="16">
        <f t="shared" si="168"/>
        <v>4.1774724685507314</v>
      </c>
      <c r="V249" s="16">
        <f t="shared" si="168"/>
        <v>4.1007607283838459</v>
      </c>
      <c r="W249" s="16">
        <f t="shared" si="168"/>
        <v>4.1007607283838459</v>
      </c>
      <c r="X249" s="16">
        <f t="shared" si="168"/>
        <v>4.1007607283838459</v>
      </c>
      <c r="Y249" s="246">
        <f t="shared" si="168"/>
        <v>37.454212744492501</v>
      </c>
      <c r="Z249" s="246">
        <f t="shared" si="168"/>
        <v>42.862927744492502</v>
      </c>
      <c r="AA249" s="16">
        <f>AA283</f>
        <v>14.391038403840644</v>
      </c>
      <c r="AB249" s="16">
        <f t="shared" ref="AB249:AD249" si="169">AB283</f>
        <v>7.6737744742105258</v>
      </c>
      <c r="AC249" s="16">
        <f t="shared" si="169"/>
        <v>2.3063746301260188</v>
      </c>
      <c r="AD249" s="16">
        <f t="shared" si="169"/>
        <v>0.11685802742149491</v>
      </c>
      <c r="AF249" s="327"/>
      <c r="AK249" s="311"/>
    </row>
    <row r="250" spans="2:37" x14ac:dyDescent="0.3">
      <c r="B250" s="11"/>
      <c r="C250" s="3" t="s">
        <v>416</v>
      </c>
      <c r="L250" s="16">
        <v>179.98996</v>
      </c>
      <c r="M250" s="16">
        <v>199.90329500000001</v>
      </c>
      <c r="N250" s="15">
        <v>194.293689</v>
      </c>
      <c r="O250" s="246">
        <v>42.412626000000003</v>
      </c>
      <c r="P250" s="16">
        <f t="shared" ref="P250:Z250" si="170">P286</f>
        <v>10.857020853758351</v>
      </c>
      <c r="Q250" s="16">
        <f t="shared" si="170"/>
        <v>10.857020853758351</v>
      </c>
      <c r="R250" s="16">
        <f t="shared" si="170"/>
        <v>10.857020853758351</v>
      </c>
      <c r="S250" s="16">
        <f t="shared" si="170"/>
        <v>10.782089250518935</v>
      </c>
      <c r="T250" s="16">
        <f t="shared" si="170"/>
        <v>10.782089250518935</v>
      </c>
      <c r="U250" s="16">
        <f t="shared" si="170"/>
        <v>10.782089250518935</v>
      </c>
      <c r="V250" s="16">
        <f t="shared" si="170"/>
        <v>10.584095646666666</v>
      </c>
      <c r="W250" s="16">
        <f t="shared" si="170"/>
        <v>10.584095646666666</v>
      </c>
      <c r="X250" s="16">
        <f t="shared" si="170"/>
        <v>10.584095646666666</v>
      </c>
      <c r="Y250" s="246">
        <f t="shared" si="170"/>
        <v>96.66961725283187</v>
      </c>
      <c r="Z250" s="246">
        <f t="shared" si="170"/>
        <v>139.08224325283186</v>
      </c>
      <c r="AA250" s="16">
        <f>AA286</f>
        <v>20.121689687245631</v>
      </c>
      <c r="AB250" s="16">
        <f t="shared" ref="AB250:AD250" si="171">AB286</f>
        <v>20.318015235438594</v>
      </c>
      <c r="AC250" s="16">
        <f t="shared" si="171"/>
        <v>19.958135036382505</v>
      </c>
      <c r="AD250" s="16">
        <f t="shared" si="171"/>
        <v>12.901546666076962</v>
      </c>
      <c r="AF250" s="327"/>
      <c r="AK250" s="311"/>
    </row>
    <row r="251" spans="2:37" x14ac:dyDescent="0.3">
      <c r="B251" s="11"/>
      <c r="C251" s="3" t="s">
        <v>417</v>
      </c>
      <c r="L251" s="16">
        <v>245.62631300000001</v>
      </c>
      <c r="M251" s="16">
        <v>100.71783000000001</v>
      </c>
      <c r="N251" s="15">
        <v>203.520746</v>
      </c>
      <c r="O251" s="246">
        <v>64.358569000000003</v>
      </c>
      <c r="P251" s="16">
        <v>23.8779</v>
      </c>
      <c r="Q251" s="16">
        <v>23.8779</v>
      </c>
      <c r="R251" s="16">
        <v>23.8779</v>
      </c>
      <c r="S251" s="16">
        <v>23.8779</v>
      </c>
      <c r="T251" s="16">
        <v>23.8779</v>
      </c>
      <c r="U251" s="16">
        <v>23.8779</v>
      </c>
      <c r="V251" s="16">
        <v>23.8779</v>
      </c>
      <c r="W251" s="16">
        <v>23.8779</v>
      </c>
      <c r="X251" s="16">
        <v>23.8779</v>
      </c>
      <c r="Y251" s="246">
        <f t="shared" ref="Y251:Y259" si="172">SUM(P251:X251)</f>
        <v>214.90110000000004</v>
      </c>
      <c r="Z251" s="246">
        <f t="shared" ref="Z251:Z262" si="173">SUM(O251,Y251)</f>
        <v>279.25966900000003</v>
      </c>
      <c r="AA251" s="16">
        <f>Z251*(1+'Key Assumption'!AB$25)</f>
        <v>282.89004469700001</v>
      </c>
      <c r="AB251" s="16">
        <f>AA251*(1+'Key Assumption'!AC$25)</f>
        <v>287.13339536745497</v>
      </c>
      <c r="AC251" s="16">
        <f>AB251*(1+'Key Assumption'!AD$25)</f>
        <v>291.72752969333425</v>
      </c>
      <c r="AD251" s="16">
        <f>AC251*(1+'Key Assumption'!AE$25)</f>
        <v>296.97862522781429</v>
      </c>
      <c r="AF251" s="327"/>
      <c r="AK251" s="311"/>
    </row>
    <row r="252" spans="2:37" x14ac:dyDescent="0.3">
      <c r="B252" s="11"/>
      <c r="C252" s="3" t="s">
        <v>395</v>
      </c>
      <c r="L252" s="16">
        <v>616.62559599999997</v>
      </c>
      <c r="M252" s="16">
        <v>430.00053200000002</v>
      </c>
      <c r="N252" s="15">
        <v>495.15611200000001</v>
      </c>
      <c r="O252" s="246">
        <v>83.937871000000001</v>
      </c>
      <c r="P252" s="16">
        <v>32.213570000000004</v>
      </c>
      <c r="Q252" s="16">
        <v>32.213570000000004</v>
      </c>
      <c r="R252" s="16">
        <v>32.213570000000004</v>
      </c>
      <c r="S252" s="16">
        <v>32.213570000000004</v>
      </c>
      <c r="T252" s="16">
        <v>32.213570000000004</v>
      </c>
      <c r="U252" s="16">
        <v>32.213570000000004</v>
      </c>
      <c r="V252" s="16">
        <v>32.213570000000004</v>
      </c>
      <c r="W252" s="16">
        <v>32.213570000000004</v>
      </c>
      <c r="X252" s="16">
        <v>32.213570000000004</v>
      </c>
      <c r="Y252" s="246">
        <f t="shared" si="172"/>
        <v>289.92213000000004</v>
      </c>
      <c r="Z252" s="246">
        <f t="shared" si="173"/>
        <v>373.86000100000001</v>
      </c>
      <c r="AA252" s="16">
        <f>Z252*(1+'Key Assumption'!AB$25)</f>
        <v>378.720181013</v>
      </c>
      <c r="AB252" s="16">
        <f>AA252*(1+'Key Assumption'!AC$25)</f>
        <v>384.40098372819494</v>
      </c>
      <c r="AC252" s="16">
        <f>AB252*(1+'Key Assumption'!AD$25)</f>
        <v>390.55139946784607</v>
      </c>
      <c r="AD252" s="16">
        <f>AC252*(1+'Key Assumption'!AE$25)</f>
        <v>397.58132465826731</v>
      </c>
      <c r="AF252" s="327"/>
      <c r="AK252" s="311"/>
    </row>
    <row r="253" spans="2:37" x14ac:dyDescent="0.3">
      <c r="B253" s="11"/>
      <c r="C253" s="3" t="s">
        <v>567</v>
      </c>
      <c r="L253" s="16">
        <v>561.17730600000004</v>
      </c>
      <c r="M253" s="16">
        <v>407.05458199999998</v>
      </c>
      <c r="N253" s="15">
        <v>317.73975300000001</v>
      </c>
      <c r="O253" s="246">
        <v>116.63529200000001</v>
      </c>
      <c r="P253" s="16">
        <v>31.77664145</v>
      </c>
      <c r="Q253" s="16">
        <v>31.77664145</v>
      </c>
      <c r="R253" s="16">
        <v>31.77664145</v>
      </c>
      <c r="S253" s="16">
        <v>31.77664145</v>
      </c>
      <c r="T253" s="16">
        <v>31.77664145</v>
      </c>
      <c r="U253" s="16">
        <v>31.77664145</v>
      </c>
      <c r="V253" s="16">
        <v>31.77664145</v>
      </c>
      <c r="W253" s="16">
        <v>31.77664145</v>
      </c>
      <c r="X253" s="16">
        <v>31.77664145</v>
      </c>
      <c r="Y253" s="246">
        <f>SUM(P253:X253)</f>
        <v>285.98977305</v>
      </c>
      <c r="Z253" s="246">
        <f>SUM(O253,Y253)</f>
        <v>402.62506504999999</v>
      </c>
      <c r="AA253" s="16">
        <f>Z253*(1+'Key Assumption'!AB$25)</f>
        <v>407.85919089564993</v>
      </c>
      <c r="AB253" s="16">
        <f>AA253*(1+'Key Assumption'!AC$25)</f>
        <v>413.97707875908463</v>
      </c>
      <c r="AC253" s="16">
        <f>AB253*(1+'Key Assumption'!AD$25)</f>
        <v>420.60071201923</v>
      </c>
      <c r="AD253" s="16">
        <f>AC253*(1+'Key Assumption'!AE$25)</f>
        <v>428.17152483557612</v>
      </c>
      <c r="AE253" s="225"/>
      <c r="AF253" s="327"/>
      <c r="AK253" s="311"/>
    </row>
    <row r="254" spans="2:37" x14ac:dyDescent="0.3">
      <c r="B254" s="11"/>
      <c r="C254" s="3" t="s">
        <v>488</v>
      </c>
      <c r="L254" s="16">
        <v>87.336926000000005</v>
      </c>
      <c r="M254" s="16">
        <v>91.096158000000003</v>
      </c>
      <c r="N254" s="15">
        <v>74.943168</v>
      </c>
      <c r="O254" s="246">
        <v>12.415576</v>
      </c>
      <c r="P254" s="16">
        <v>5.6390715</v>
      </c>
      <c r="Q254" s="16">
        <v>5.6390715</v>
      </c>
      <c r="R254" s="16">
        <v>5.6390715</v>
      </c>
      <c r="S254" s="16">
        <v>5.6390715</v>
      </c>
      <c r="T254" s="16">
        <v>5.6390715</v>
      </c>
      <c r="U254" s="16">
        <v>5.6390715</v>
      </c>
      <c r="V254" s="16">
        <v>5.6390715</v>
      </c>
      <c r="W254" s="16">
        <v>5.6390715</v>
      </c>
      <c r="X254" s="16">
        <v>5.6390715</v>
      </c>
      <c r="Y254" s="246">
        <f t="shared" si="172"/>
        <v>50.7516435</v>
      </c>
      <c r="Z254" s="246">
        <f t="shared" si="173"/>
        <v>63.167219500000002</v>
      </c>
      <c r="AA254" s="16">
        <f>Z254*(1+'Key Assumption'!AB$25)</f>
        <v>63.988393353499994</v>
      </c>
      <c r="AB254" s="16">
        <f>AA254*(1+'Key Assumption'!AC$25)</f>
        <v>64.948219253802492</v>
      </c>
      <c r="AC254" s="16">
        <f>AB254*(1+'Key Assumption'!AD$25)</f>
        <v>65.987390761863338</v>
      </c>
      <c r="AD254" s="16">
        <f>AC254*(1+'Key Assumption'!AE$25)</f>
        <v>67.175163795576879</v>
      </c>
      <c r="AF254" s="327"/>
      <c r="AK254" s="311"/>
    </row>
    <row r="255" spans="2:37" x14ac:dyDescent="0.3">
      <c r="B255" s="11"/>
      <c r="C255" s="3" t="s">
        <v>489</v>
      </c>
      <c r="L255" s="16">
        <v>52.762009999999997</v>
      </c>
      <c r="M255" s="16">
        <v>45.724612</v>
      </c>
      <c r="N255" s="15">
        <v>32.790624000000001</v>
      </c>
      <c r="O255" s="246">
        <v>1.8404450000000001</v>
      </c>
      <c r="P255" s="16">
        <v>2.3322600000000002</v>
      </c>
      <c r="Q255" s="16">
        <v>2.3322600000000002</v>
      </c>
      <c r="R255" s="16">
        <v>2.3322600000000002</v>
      </c>
      <c r="S255" s="16">
        <v>2.3322600000000002</v>
      </c>
      <c r="T255" s="16">
        <v>2.3322600000000002</v>
      </c>
      <c r="U255" s="16">
        <v>2.3322600000000002</v>
      </c>
      <c r="V255" s="16">
        <v>2.3322600000000002</v>
      </c>
      <c r="W255" s="16">
        <v>2.3322600000000002</v>
      </c>
      <c r="X255" s="16">
        <v>2.3322600000000002</v>
      </c>
      <c r="Y255" s="246">
        <f t="shared" si="172"/>
        <v>20.990340000000003</v>
      </c>
      <c r="Z255" s="246">
        <f t="shared" si="173"/>
        <v>22.830785000000002</v>
      </c>
      <c r="AA255" s="16">
        <f>Z255*(1+'Key Assumption'!AB$25)</f>
        <v>23.127585204999999</v>
      </c>
      <c r="AB255" s="16">
        <f>AA255*(1+'Key Assumption'!AC$25)</f>
        <v>23.474498983074998</v>
      </c>
      <c r="AC255" s="16">
        <f>AB255*(1+'Key Assumption'!AD$25)</f>
        <v>23.850090966804199</v>
      </c>
      <c r="AD255" s="16">
        <f>AC255*(1+'Key Assumption'!AE$25)</f>
        <v>24.279392604206674</v>
      </c>
      <c r="AF255" s="327"/>
      <c r="AK255" s="311"/>
    </row>
    <row r="256" spans="2:37" x14ac:dyDescent="0.3">
      <c r="B256" s="11"/>
      <c r="C256" s="3" t="s">
        <v>389</v>
      </c>
      <c r="L256" s="16">
        <v>495.24231800000001</v>
      </c>
      <c r="M256" s="16">
        <v>449.64178600000002</v>
      </c>
      <c r="N256" s="15">
        <v>488.01324299999999</v>
      </c>
      <c r="O256" s="246">
        <v>91.654551999999995</v>
      </c>
      <c r="P256" s="16">
        <v>25.076545899999996</v>
      </c>
      <c r="Q256" s="16">
        <v>25.076545899999996</v>
      </c>
      <c r="R256" s="16">
        <v>25.076545899999996</v>
      </c>
      <c r="S256" s="16">
        <v>25.076545899999996</v>
      </c>
      <c r="T256" s="16">
        <v>25.076545899999996</v>
      </c>
      <c r="U256" s="16">
        <v>25.076545899999996</v>
      </c>
      <c r="V256" s="16">
        <v>25.076545899999996</v>
      </c>
      <c r="W256" s="16">
        <v>25.076545899999996</v>
      </c>
      <c r="X256" s="16">
        <v>25.076545899999996</v>
      </c>
      <c r="Y256" s="246">
        <f t="shared" si="172"/>
        <v>225.68891309999992</v>
      </c>
      <c r="Z256" s="246">
        <f t="shared" si="173"/>
        <v>317.34346509999989</v>
      </c>
      <c r="AA256" s="16">
        <f>Z256*(1+'Key Assumption'!AB$25)</f>
        <v>321.46893014629984</v>
      </c>
      <c r="AB256" s="16">
        <f>AA256*(1+'Key Assumption'!AC$25)</f>
        <v>326.29096409849433</v>
      </c>
      <c r="AC256" s="16">
        <f>AB256*(1+'Key Assumption'!AD$25)</f>
        <v>331.51161952407023</v>
      </c>
      <c r="AD256" s="16">
        <f>AC256*(1+'Key Assumption'!AE$25)</f>
        <v>337.47882867550351</v>
      </c>
      <c r="AF256" s="327"/>
      <c r="AK256" s="311"/>
    </row>
    <row r="257" spans="2:37" x14ac:dyDescent="0.3">
      <c r="B257" s="11"/>
      <c r="C257" s="3" t="s">
        <v>392</v>
      </c>
      <c r="L257" s="16">
        <v>26.358671000000001</v>
      </c>
      <c r="M257" s="16">
        <v>28.326664999999998</v>
      </c>
      <c r="N257" s="15">
        <v>21.064124</v>
      </c>
      <c r="O257" s="246">
        <v>5.7200680000000004</v>
      </c>
      <c r="P257" s="16">
        <v>1.6338468499999996</v>
      </c>
      <c r="Q257" s="16">
        <v>1.6338468499999996</v>
      </c>
      <c r="R257" s="16">
        <v>1.6338468499999996</v>
      </c>
      <c r="S257" s="16">
        <v>1.6338468499999996</v>
      </c>
      <c r="T257" s="16">
        <v>1.6338468499999996</v>
      </c>
      <c r="U257" s="16">
        <v>1.6338468499999996</v>
      </c>
      <c r="V257" s="16">
        <v>1.6338468499999996</v>
      </c>
      <c r="W257" s="16">
        <v>1.6338468499999996</v>
      </c>
      <c r="X257" s="16">
        <v>1.6338468499999996</v>
      </c>
      <c r="Y257" s="246">
        <f t="shared" si="172"/>
        <v>14.704621649999996</v>
      </c>
      <c r="Z257" s="246">
        <f t="shared" si="173"/>
        <v>20.424689649999998</v>
      </c>
      <c r="AA257" s="16">
        <f>Z257*(1+'Key Assumption'!AB$25)</f>
        <v>20.690210615449995</v>
      </c>
      <c r="AB257" s="16">
        <f>AA257*(1+'Key Assumption'!AC$25)</f>
        <v>21.000563774681744</v>
      </c>
      <c r="AC257" s="16">
        <f>AB257*(1+'Key Assumption'!AD$25)</f>
        <v>21.336572795076652</v>
      </c>
      <c r="AD257" s="16">
        <f>AC257*(1+'Key Assumption'!AE$25)</f>
        <v>21.720631105388033</v>
      </c>
      <c r="AF257" s="327"/>
      <c r="AK257" s="311"/>
    </row>
    <row r="258" spans="2:37" x14ac:dyDescent="0.3">
      <c r="B258" s="11"/>
      <c r="C258" s="3" t="s">
        <v>490</v>
      </c>
      <c r="L258" s="16">
        <v>124.54599</v>
      </c>
      <c r="M258" s="16">
        <v>115.633481</v>
      </c>
      <c r="N258" s="15">
        <v>104.328362</v>
      </c>
      <c r="O258" s="246">
        <v>27.661235000000001</v>
      </c>
      <c r="P258" s="16">
        <v>8.73672</v>
      </c>
      <c r="Q258" s="16">
        <v>8.73672</v>
      </c>
      <c r="R258" s="16">
        <v>8.73672</v>
      </c>
      <c r="S258" s="16">
        <v>8.73672</v>
      </c>
      <c r="T258" s="16">
        <v>8.73672</v>
      </c>
      <c r="U258" s="16">
        <v>8.73672</v>
      </c>
      <c r="V258" s="16">
        <v>8.73672</v>
      </c>
      <c r="W258" s="16">
        <v>8.73672</v>
      </c>
      <c r="X258" s="16">
        <v>8.73672</v>
      </c>
      <c r="Y258" s="246">
        <f t="shared" si="172"/>
        <v>78.630480000000006</v>
      </c>
      <c r="Z258" s="246">
        <f t="shared" si="173"/>
        <v>106.29171500000001</v>
      </c>
      <c r="AA258" s="16">
        <f>Z258*(1+'Key Assumption'!AB$25)</f>
        <v>107.67350729499999</v>
      </c>
      <c r="AB258" s="16">
        <f>AA258*(1+'Key Assumption'!AC$25)</f>
        <v>109.28860990442499</v>
      </c>
      <c r="AC258" s="16">
        <f>AB258*(1+'Key Assumption'!AD$25)</f>
        <v>111.03722766289579</v>
      </c>
      <c r="AD258" s="16">
        <f>AC258*(1+'Key Assumption'!AE$25)</f>
        <v>113.03589776082791</v>
      </c>
      <c r="AF258" s="327"/>
      <c r="AK258" s="311"/>
    </row>
    <row r="259" spans="2:37" x14ac:dyDescent="0.3">
      <c r="B259" s="11"/>
      <c r="C259" s="3" t="s">
        <v>491</v>
      </c>
      <c r="L259" s="16">
        <v>27.674721000000002</v>
      </c>
      <c r="M259" s="16">
        <v>20.384671000000001</v>
      </c>
      <c r="N259" s="15">
        <v>16.069884999999999</v>
      </c>
      <c r="O259" s="246">
        <v>1.7064919999999999</v>
      </c>
      <c r="P259" s="16">
        <v>0.88230999999999993</v>
      </c>
      <c r="Q259" s="16">
        <v>0.88230999999999993</v>
      </c>
      <c r="R259" s="16">
        <v>0.88230999999999993</v>
      </c>
      <c r="S259" s="16">
        <v>0.88230999999999993</v>
      </c>
      <c r="T259" s="16">
        <v>0.88230999999999993</v>
      </c>
      <c r="U259" s="16">
        <v>0.88230999999999993</v>
      </c>
      <c r="V259" s="16">
        <v>0.88230999999999993</v>
      </c>
      <c r="W259" s="16">
        <v>0.88230999999999993</v>
      </c>
      <c r="X259" s="16">
        <v>0.88230999999999993</v>
      </c>
      <c r="Y259" s="246">
        <f t="shared" si="172"/>
        <v>7.9407900000000016</v>
      </c>
      <c r="Z259" s="246">
        <f t="shared" si="173"/>
        <v>9.6472820000000006</v>
      </c>
      <c r="AA259" s="16">
        <f>Z259*(1+'Key Assumption'!AB$25)</f>
        <v>9.7726966659999999</v>
      </c>
      <c r="AB259" s="16">
        <f>AA259*(1+'Key Assumption'!AC$25)</f>
        <v>9.9192871159899987</v>
      </c>
      <c r="AC259" s="16">
        <f>AB259*(1+'Key Assumption'!AD$25)</f>
        <v>10.077995709845839</v>
      </c>
      <c r="AD259" s="16">
        <f>AC259*(1+'Key Assumption'!AE$25)</f>
        <v>10.259399632623063</v>
      </c>
      <c r="AF259" s="327"/>
      <c r="AK259" s="311"/>
    </row>
    <row r="260" spans="2:37" x14ac:dyDescent="0.3">
      <c r="B260" s="11"/>
      <c r="C260" s="3" t="s">
        <v>568</v>
      </c>
      <c r="L260" s="16">
        <v>6.9739110000000002</v>
      </c>
      <c r="M260" s="16">
        <v>3.711659</v>
      </c>
      <c r="N260" s="15">
        <v>2.842476</v>
      </c>
      <c r="O260" s="246">
        <v>0.59404699999999999</v>
      </c>
      <c r="P260" s="119"/>
      <c r="Q260" s="119"/>
      <c r="R260" s="119"/>
      <c r="S260" s="119"/>
      <c r="T260" s="119"/>
      <c r="U260" s="119"/>
      <c r="V260" s="119"/>
      <c r="W260" s="119"/>
      <c r="X260" s="119"/>
      <c r="Y260" s="306"/>
      <c r="Z260" s="246">
        <f t="shared" si="173"/>
        <v>0.59404699999999999</v>
      </c>
      <c r="AA260" s="119"/>
      <c r="AB260" s="119"/>
      <c r="AC260" s="119"/>
      <c r="AD260" s="119"/>
      <c r="AF260" s="327"/>
      <c r="AK260" s="311"/>
    </row>
    <row r="261" spans="2:37" x14ac:dyDescent="0.3">
      <c r="C261" s="3" t="s">
        <v>569</v>
      </c>
      <c r="L261" s="16">
        <v>0</v>
      </c>
      <c r="M261" s="16">
        <v>0</v>
      </c>
      <c r="N261" s="15">
        <v>0</v>
      </c>
      <c r="O261" s="246">
        <v>0</v>
      </c>
      <c r="P261" s="119"/>
      <c r="Q261" s="119"/>
      <c r="R261" s="119"/>
      <c r="S261" s="119"/>
      <c r="T261" s="119"/>
      <c r="U261" s="119"/>
      <c r="V261" s="119"/>
      <c r="W261" s="119"/>
      <c r="X261" s="119"/>
      <c r="Y261" s="306"/>
      <c r="Z261" s="246">
        <f t="shared" si="173"/>
        <v>0</v>
      </c>
      <c r="AA261" s="119"/>
      <c r="AB261" s="119"/>
      <c r="AC261" s="119"/>
      <c r="AD261" s="119"/>
      <c r="AK261" s="311"/>
    </row>
    <row r="262" spans="2:37" x14ac:dyDescent="0.3">
      <c r="C262" s="3" t="s">
        <v>418</v>
      </c>
      <c r="L262" s="16">
        <v>-1297.816309</v>
      </c>
      <c r="M262" s="16">
        <v>1199.8576760000001</v>
      </c>
      <c r="N262" s="15">
        <v>-1137.14588</v>
      </c>
      <c r="O262" s="246">
        <v>-58.320152</v>
      </c>
      <c r="P262" s="119"/>
      <c r="Q262" s="119"/>
      <c r="R262" s="119"/>
      <c r="S262" s="119"/>
      <c r="T262" s="119"/>
      <c r="U262" s="119"/>
      <c r="V262" s="119"/>
      <c r="W262" s="119"/>
      <c r="X262" s="119"/>
      <c r="Y262" s="306"/>
      <c r="Z262" s="246">
        <f t="shared" si="173"/>
        <v>-58.320152</v>
      </c>
      <c r="AA262" s="119"/>
      <c r="AB262" s="119"/>
      <c r="AC262" s="119"/>
      <c r="AD262" s="119"/>
      <c r="AK262" s="311"/>
    </row>
    <row r="263" spans="2:37" x14ac:dyDescent="0.3">
      <c r="C263" s="3" t="s">
        <v>419</v>
      </c>
      <c r="L263" s="16">
        <v>141.427854</v>
      </c>
      <c r="M263" s="16">
        <v>159.38161600000001</v>
      </c>
      <c r="N263" s="15">
        <v>220.17481599999999</v>
      </c>
      <c r="O263" s="246">
        <v>21.451668999999999</v>
      </c>
      <c r="P263" s="16">
        <f t="shared" ref="P263:X263" si="174">SUM(P264:P267)</f>
        <v>7.7710841499999992</v>
      </c>
      <c r="Q263" s="16">
        <f t="shared" si="174"/>
        <v>7.7710841499999992</v>
      </c>
      <c r="R263" s="16">
        <f t="shared" si="174"/>
        <v>7.7710841499999992</v>
      </c>
      <c r="S263" s="16">
        <f t="shared" si="174"/>
        <v>7.7710841499999992</v>
      </c>
      <c r="T263" s="16">
        <f t="shared" si="174"/>
        <v>7.7710841499999992</v>
      </c>
      <c r="U263" s="16">
        <f t="shared" si="174"/>
        <v>7.7710841499999992</v>
      </c>
      <c r="V263" s="16">
        <f t="shared" si="174"/>
        <v>7.7710841499999992</v>
      </c>
      <c r="W263" s="16">
        <f t="shared" si="174"/>
        <v>7.7710841499999992</v>
      </c>
      <c r="X263" s="16">
        <f t="shared" si="174"/>
        <v>7.7710841499999992</v>
      </c>
      <c r="Y263" s="246">
        <f>SUM(P263:X263)</f>
        <v>69.939757349999994</v>
      </c>
      <c r="Z263" s="246">
        <f>SUM(O263,Y263)</f>
        <v>91.391426349999989</v>
      </c>
      <c r="AA263" s="16">
        <f>SUM(AA264:AA267)</f>
        <v>70.848974195549999</v>
      </c>
      <c r="AB263" s="16">
        <f>SUM(AB264:AB267)</f>
        <v>71.91170880848324</v>
      </c>
      <c r="AC263" s="16">
        <f>SUM(AC264:AC267)</f>
        <v>73.06229614941897</v>
      </c>
      <c r="AD263" s="16">
        <f>SUM(AD264:AD267)</f>
        <v>74.377417480108505</v>
      </c>
      <c r="AF263" s="327"/>
      <c r="AK263" s="311"/>
    </row>
    <row r="264" spans="2:37" x14ac:dyDescent="0.3">
      <c r="B264" s="11"/>
      <c r="D264" s="3" t="s">
        <v>394</v>
      </c>
      <c r="L264" s="16"/>
      <c r="M264" s="16"/>
      <c r="N264" s="15"/>
      <c r="O264" s="246"/>
      <c r="P264" s="16">
        <v>0.44032204999999996</v>
      </c>
      <c r="Q264" s="16">
        <v>0.44032204999999996</v>
      </c>
      <c r="R264" s="16">
        <v>0.44032204999999996</v>
      </c>
      <c r="S264" s="16">
        <v>0.44032204999999996</v>
      </c>
      <c r="T264" s="16">
        <v>0.44032204999999996</v>
      </c>
      <c r="U264" s="16">
        <v>0.44032204999999996</v>
      </c>
      <c r="V264" s="16">
        <v>0.44032204999999996</v>
      </c>
      <c r="W264" s="16">
        <v>0.44032204999999996</v>
      </c>
      <c r="X264" s="16">
        <v>0.44032204999999996</v>
      </c>
      <c r="Y264" s="246">
        <f>SUM(P264:X264)</f>
        <v>3.9628984499999991</v>
      </c>
      <c r="Z264" s="246">
        <f>SUM(O264,Y264)</f>
        <v>3.9628984499999991</v>
      </c>
      <c r="AA264" s="16">
        <f>Z264*(1+'Key Assumption'!AB$25)</f>
        <v>4.014416129849999</v>
      </c>
      <c r="AB264" s="16">
        <f>AA264*(1+'Key Assumption'!AC$25)</f>
        <v>4.0746323717977484</v>
      </c>
      <c r="AC264" s="16">
        <f>AB264*(1+'Key Assumption'!AD$25)</f>
        <v>4.139826489746512</v>
      </c>
      <c r="AD264" s="16">
        <f>AC264*(1+'Key Assumption'!AE$25)</f>
        <v>4.2143433665619492</v>
      </c>
      <c r="AF264" s="327"/>
      <c r="AK264" s="311"/>
    </row>
    <row r="265" spans="2:37" x14ac:dyDescent="0.3">
      <c r="B265" s="11"/>
      <c r="D265" s="3" t="s">
        <v>570</v>
      </c>
      <c r="L265" s="16"/>
      <c r="M265" s="16"/>
      <c r="N265" s="15"/>
      <c r="O265" s="246"/>
      <c r="P265" s="16">
        <v>7.1533745999999994</v>
      </c>
      <c r="Q265" s="16">
        <v>7.1533745999999994</v>
      </c>
      <c r="R265" s="16">
        <v>7.1533745999999994</v>
      </c>
      <c r="S265" s="16">
        <v>7.1533745999999994</v>
      </c>
      <c r="T265" s="16">
        <v>7.1533745999999994</v>
      </c>
      <c r="U265" s="16">
        <v>7.1533745999999994</v>
      </c>
      <c r="V265" s="16">
        <v>7.1533745999999994</v>
      </c>
      <c r="W265" s="16">
        <v>7.1533745999999994</v>
      </c>
      <c r="X265" s="16">
        <v>7.1533745999999994</v>
      </c>
      <c r="Y265" s="246">
        <f>SUM(P265:X265)</f>
        <v>64.380371400000001</v>
      </c>
      <c r="Z265" s="246">
        <f>SUM(O265,Y265)</f>
        <v>64.380371400000001</v>
      </c>
      <c r="AA265" s="16">
        <f>Z265*(1+'Key Assumption'!AB$25)</f>
        <v>65.217316228199991</v>
      </c>
      <c r="AB265" s="16">
        <f>AA265*(1+'Key Assumption'!AC$25)</f>
        <v>66.195575971622986</v>
      </c>
      <c r="AC265" s="16">
        <f>AB265*(1+'Key Assumption'!AD$25)</f>
        <v>67.254705187168952</v>
      </c>
      <c r="AD265" s="16">
        <f>AC265*(1+'Key Assumption'!AE$25)</f>
        <v>68.465289880537995</v>
      </c>
      <c r="AF265" s="327"/>
      <c r="AK265" s="311"/>
    </row>
    <row r="266" spans="2:37" x14ac:dyDescent="0.3">
      <c r="B266" s="11"/>
      <c r="D266" s="3" t="s">
        <v>571</v>
      </c>
      <c r="L266" s="16"/>
      <c r="M266" s="16"/>
      <c r="N266" s="15"/>
      <c r="O266" s="246"/>
      <c r="P266" s="16">
        <v>0.1773875</v>
      </c>
      <c r="Q266" s="16">
        <v>0.1773875</v>
      </c>
      <c r="R266" s="16">
        <v>0.1773875</v>
      </c>
      <c r="S266" s="16">
        <v>0.1773875</v>
      </c>
      <c r="T266" s="16">
        <v>0.1773875</v>
      </c>
      <c r="U266" s="16">
        <v>0.1773875</v>
      </c>
      <c r="V266" s="16">
        <v>0.1773875</v>
      </c>
      <c r="W266" s="16">
        <v>0.1773875</v>
      </c>
      <c r="X266" s="16">
        <v>0.1773875</v>
      </c>
      <c r="Y266" s="246">
        <f>SUM(P266:X266)</f>
        <v>1.5964875000000001</v>
      </c>
      <c r="Z266" s="246">
        <f>SUM(O266,Y266)</f>
        <v>1.5964875000000001</v>
      </c>
      <c r="AA266" s="16">
        <f>Z266*(1+'Key Assumption'!AB$25)</f>
        <v>1.6172418374999999</v>
      </c>
      <c r="AB266" s="16">
        <f>AA266*(1+'Key Assumption'!AC$25)</f>
        <v>1.6415004650624998</v>
      </c>
      <c r="AC266" s="16">
        <f>AB266*(1+'Key Assumption'!AD$25)</f>
        <v>1.6677644725034999</v>
      </c>
      <c r="AD266" s="16">
        <f>AC266*(1+'Key Assumption'!AE$25)</f>
        <v>1.6977842330085628</v>
      </c>
      <c r="AF266" s="327"/>
      <c r="AK266" s="311"/>
    </row>
    <row r="267" spans="2:37" x14ac:dyDescent="0.3">
      <c r="B267" s="92"/>
      <c r="C267" s="92"/>
      <c r="D267" s="92" t="s">
        <v>572</v>
      </c>
      <c r="E267" s="92"/>
      <c r="F267" s="92"/>
      <c r="G267" s="92"/>
      <c r="H267" s="92"/>
      <c r="I267" s="92"/>
      <c r="J267" s="92"/>
      <c r="K267" s="92"/>
      <c r="L267" s="130"/>
      <c r="M267" s="130"/>
      <c r="N267" s="131"/>
      <c r="O267" s="330"/>
      <c r="P267" s="130">
        <v>0</v>
      </c>
      <c r="Q267" s="130">
        <v>0</v>
      </c>
      <c r="R267" s="130">
        <v>0</v>
      </c>
      <c r="S267" s="130">
        <v>0</v>
      </c>
      <c r="T267" s="130">
        <v>0</v>
      </c>
      <c r="U267" s="130">
        <v>0</v>
      </c>
      <c r="V267" s="130">
        <v>0</v>
      </c>
      <c r="W267" s="130">
        <v>0</v>
      </c>
      <c r="X267" s="130">
        <v>0</v>
      </c>
      <c r="Y267" s="330">
        <f>SUM(P267:X267)</f>
        <v>0</v>
      </c>
      <c r="Z267" s="330">
        <f>SUM(O267,Y267)</f>
        <v>0</v>
      </c>
      <c r="AA267" s="130">
        <f>Z267*(1+'Key Assumption'!AB$25)</f>
        <v>0</v>
      </c>
      <c r="AB267" s="130">
        <f>AA267*(1+'Key Assumption'!AC$25)</f>
        <v>0</v>
      </c>
      <c r="AC267" s="130">
        <f>AB267*(1+'Key Assumption'!AD$25)</f>
        <v>0</v>
      </c>
      <c r="AD267" s="130">
        <f>AC267*(1+'Key Assumption'!AE$25)</f>
        <v>0</v>
      </c>
      <c r="AF267" s="327"/>
      <c r="AK267" s="311"/>
    </row>
    <row r="268" spans="2:37" x14ac:dyDescent="0.3">
      <c r="L268" s="16"/>
      <c r="M268" s="16"/>
      <c r="N268" s="16"/>
      <c r="O268" s="16"/>
      <c r="P268" s="16"/>
      <c r="Q268" s="16"/>
      <c r="R268" s="16"/>
      <c r="S268" s="16"/>
      <c r="T268" s="16"/>
      <c r="U268" s="16"/>
      <c r="V268" s="16"/>
      <c r="W268" s="16"/>
      <c r="X268" s="16"/>
      <c r="Y268" s="16"/>
      <c r="Z268" s="16"/>
      <c r="AA268" s="16"/>
      <c r="AB268" s="16"/>
      <c r="AC268" s="16"/>
      <c r="AD268" s="16"/>
      <c r="AF268" s="327"/>
      <c r="AK268" s="311"/>
    </row>
    <row r="269" spans="2:37" x14ac:dyDescent="0.3">
      <c r="B269" s="5" t="s">
        <v>496</v>
      </c>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F269" s="327"/>
      <c r="AK269" s="311"/>
    </row>
    <row r="270" spans="2:37" x14ac:dyDescent="0.3">
      <c r="AF270" s="327"/>
      <c r="AK270" s="311"/>
    </row>
    <row r="271" spans="2:37" x14ac:dyDescent="0.3">
      <c r="B271" s="8"/>
      <c r="C271" s="8"/>
      <c r="D271" s="8"/>
      <c r="E271" s="8"/>
      <c r="F271" s="8"/>
      <c r="G271" s="8"/>
      <c r="H271" s="8"/>
      <c r="I271" s="8"/>
      <c r="J271" s="8"/>
      <c r="K271" s="8"/>
      <c r="L271" s="9" t="s">
        <v>182</v>
      </c>
      <c r="M271" s="9" t="s">
        <v>183</v>
      </c>
      <c r="N271" s="10" t="s">
        <v>184</v>
      </c>
      <c r="O271" s="244" t="s">
        <v>4</v>
      </c>
      <c r="P271" s="9" t="s">
        <v>215</v>
      </c>
      <c r="Q271" s="9" t="s">
        <v>216</v>
      </c>
      <c r="R271" s="9" t="s">
        <v>217</v>
      </c>
      <c r="S271" s="9" t="s">
        <v>218</v>
      </c>
      <c r="T271" s="9" t="s">
        <v>219</v>
      </c>
      <c r="U271" s="9" t="s">
        <v>220</v>
      </c>
      <c r="V271" s="9" t="s">
        <v>221</v>
      </c>
      <c r="W271" s="9" t="s">
        <v>222</v>
      </c>
      <c r="X271" s="10" t="s">
        <v>223</v>
      </c>
      <c r="Y271" s="9" t="s">
        <v>294</v>
      </c>
      <c r="Z271" s="244" t="s">
        <v>197</v>
      </c>
      <c r="AA271" s="9" t="s">
        <v>198</v>
      </c>
      <c r="AB271" s="9" t="s">
        <v>199</v>
      </c>
      <c r="AC271" s="9" t="s">
        <v>200</v>
      </c>
      <c r="AD271" s="9" t="s">
        <v>201</v>
      </c>
      <c r="AF271" s="327"/>
      <c r="AK271" s="311"/>
    </row>
    <row r="272" spans="2:37" x14ac:dyDescent="0.3">
      <c r="B272" s="11" t="s">
        <v>420</v>
      </c>
      <c r="L272" s="16"/>
      <c r="M272" s="16"/>
      <c r="N272" s="15"/>
      <c r="O272" s="326"/>
      <c r="P272" s="13">
        <f t="shared" ref="P272:AD272" si="175">P273</f>
        <v>15.063525238321276</v>
      </c>
      <c r="Q272" s="13">
        <f t="shared" si="175"/>
        <v>15.063525238321276</v>
      </c>
      <c r="R272" s="13">
        <f t="shared" si="175"/>
        <v>15.063525238321276</v>
      </c>
      <c r="S272" s="13">
        <f t="shared" si="175"/>
        <v>14.959561719069665</v>
      </c>
      <c r="T272" s="13">
        <f t="shared" si="175"/>
        <v>14.959561719069665</v>
      </c>
      <c r="U272" s="13">
        <f t="shared" si="175"/>
        <v>14.959561719069665</v>
      </c>
      <c r="V272" s="13">
        <f t="shared" si="175"/>
        <v>14.684856375050511</v>
      </c>
      <c r="W272" s="13">
        <f t="shared" si="175"/>
        <v>14.684856375050511</v>
      </c>
      <c r="X272" s="13">
        <f t="shared" si="175"/>
        <v>14.684856375050511</v>
      </c>
      <c r="Y272" s="395">
        <f t="shared" si="175"/>
        <v>134.12382999732438</v>
      </c>
      <c r="Z272" s="352"/>
      <c r="AA272" s="13">
        <f t="shared" si="175"/>
        <v>34.512728091086274</v>
      </c>
      <c r="AB272" s="13">
        <f t="shared" si="175"/>
        <v>27.991789709649119</v>
      </c>
      <c r="AC272" s="13">
        <f t="shared" si="175"/>
        <v>22.264509666508523</v>
      </c>
      <c r="AD272" s="13">
        <f t="shared" si="175"/>
        <v>13.018404693498457</v>
      </c>
      <c r="AF272" s="327"/>
      <c r="AK272" s="311"/>
    </row>
    <row r="273" spans="2:37" x14ac:dyDescent="0.3">
      <c r="C273" s="3" t="s">
        <v>32</v>
      </c>
      <c r="L273" s="16"/>
      <c r="M273" s="16"/>
      <c r="N273" s="15"/>
      <c r="O273" s="246"/>
      <c r="P273" s="16">
        <f t="shared" ref="P273:AD273" si="176">P274+P277</f>
        <v>15.063525238321276</v>
      </c>
      <c r="Q273" s="16">
        <f t="shared" si="176"/>
        <v>15.063525238321276</v>
      </c>
      <c r="R273" s="16">
        <f t="shared" si="176"/>
        <v>15.063525238321276</v>
      </c>
      <c r="S273" s="16">
        <f t="shared" si="176"/>
        <v>14.959561719069665</v>
      </c>
      <c r="T273" s="16">
        <f t="shared" si="176"/>
        <v>14.959561719069665</v>
      </c>
      <c r="U273" s="16">
        <f t="shared" si="176"/>
        <v>14.959561719069665</v>
      </c>
      <c r="V273" s="16">
        <f t="shared" si="176"/>
        <v>14.684856375050511</v>
      </c>
      <c r="W273" s="16">
        <f t="shared" si="176"/>
        <v>14.684856375050511</v>
      </c>
      <c r="X273" s="16">
        <f t="shared" si="176"/>
        <v>14.684856375050511</v>
      </c>
      <c r="Y273" s="246">
        <f t="shared" si="176"/>
        <v>134.12382999732438</v>
      </c>
      <c r="Z273" s="306"/>
      <c r="AA273" s="16">
        <f t="shared" si="176"/>
        <v>34.512728091086274</v>
      </c>
      <c r="AB273" s="16">
        <f t="shared" si="176"/>
        <v>27.991789709649119</v>
      </c>
      <c r="AC273" s="16">
        <f t="shared" si="176"/>
        <v>22.264509666508523</v>
      </c>
      <c r="AD273" s="16">
        <f t="shared" si="176"/>
        <v>13.018404693498457</v>
      </c>
      <c r="AF273" s="327"/>
      <c r="AK273" s="311"/>
    </row>
    <row r="274" spans="2:37" x14ac:dyDescent="0.3">
      <c r="D274" s="3" t="s">
        <v>421</v>
      </c>
      <c r="L274" s="16"/>
      <c r="M274" s="16"/>
      <c r="N274" s="15"/>
      <c r="O274" s="246"/>
      <c r="P274" s="16">
        <f t="shared" ref="P274:AD274" si="177">SUM(P275:P276)</f>
        <v>4.2065043845629235</v>
      </c>
      <c r="Q274" s="16">
        <f t="shared" si="177"/>
        <v>4.2065043845629235</v>
      </c>
      <c r="R274" s="16">
        <f t="shared" si="177"/>
        <v>4.2065043845629235</v>
      </c>
      <c r="S274" s="16">
        <f t="shared" si="177"/>
        <v>4.1774724685507314</v>
      </c>
      <c r="T274" s="16">
        <f t="shared" si="177"/>
        <v>4.1774724685507314</v>
      </c>
      <c r="U274" s="16">
        <f t="shared" si="177"/>
        <v>4.1774724685507314</v>
      </c>
      <c r="V274" s="16">
        <f t="shared" si="177"/>
        <v>4.1007607283838459</v>
      </c>
      <c r="W274" s="16">
        <f t="shared" si="177"/>
        <v>4.1007607283838459</v>
      </c>
      <c r="X274" s="16">
        <f t="shared" si="177"/>
        <v>4.1007607283838459</v>
      </c>
      <c r="Y274" s="246">
        <f t="shared" si="177"/>
        <v>37.454212744492501</v>
      </c>
      <c r="Z274" s="306"/>
      <c r="AA274" s="16">
        <f t="shared" si="177"/>
        <v>14.391038403840644</v>
      </c>
      <c r="AB274" s="16">
        <f t="shared" si="177"/>
        <v>7.6737744742105258</v>
      </c>
      <c r="AC274" s="16">
        <f t="shared" si="177"/>
        <v>2.3063746301260188</v>
      </c>
      <c r="AD274" s="16">
        <f t="shared" si="177"/>
        <v>0.11685802742149491</v>
      </c>
      <c r="AF274" s="327"/>
      <c r="AK274" s="311"/>
    </row>
    <row r="275" spans="2:37" x14ac:dyDescent="0.3">
      <c r="E275" s="3" t="s">
        <v>505</v>
      </c>
      <c r="L275" s="16"/>
      <c r="M275" s="16"/>
      <c r="N275" s="15"/>
      <c r="O275" s="246"/>
      <c r="P275" s="16">
        <f>P284</f>
        <v>0.30652097021158126</v>
      </c>
      <c r="Q275" s="16">
        <f t="shared" ref="Q275:AD276" si="178">Q284</f>
        <v>0.30652097021158126</v>
      </c>
      <c r="R275" s="16">
        <f t="shared" si="178"/>
        <v>0.30652097021158126</v>
      </c>
      <c r="S275" s="16">
        <f t="shared" si="178"/>
        <v>0.3044054628330996</v>
      </c>
      <c r="T275" s="16">
        <f t="shared" si="178"/>
        <v>0.3044054628330996</v>
      </c>
      <c r="U275" s="16">
        <f t="shared" si="178"/>
        <v>0.3044054628330996</v>
      </c>
      <c r="V275" s="16">
        <f t="shared" si="178"/>
        <v>0.29881560606060609</v>
      </c>
      <c r="W275" s="16">
        <f t="shared" si="178"/>
        <v>0.29881560606060609</v>
      </c>
      <c r="X275" s="16">
        <f t="shared" si="178"/>
        <v>0.29881560606060609</v>
      </c>
      <c r="Y275" s="246">
        <f t="shared" si="178"/>
        <v>2.7292261173158607</v>
      </c>
      <c r="Z275" s="306"/>
      <c r="AA275" s="16">
        <f t="shared" si="178"/>
        <v>0</v>
      </c>
      <c r="AB275" s="16">
        <f t="shared" si="178"/>
        <v>0</v>
      </c>
      <c r="AC275" s="16">
        <f t="shared" si="178"/>
        <v>0</v>
      </c>
      <c r="AD275" s="16">
        <f t="shared" si="178"/>
        <v>0</v>
      </c>
      <c r="AF275" s="327"/>
      <c r="AK275" s="311"/>
    </row>
    <row r="276" spans="2:37" x14ac:dyDescent="0.3">
      <c r="E276" s="3" t="s">
        <v>506</v>
      </c>
      <c r="L276" s="16"/>
      <c r="M276" s="16"/>
      <c r="N276" s="15"/>
      <c r="O276" s="246"/>
      <c r="P276" s="16">
        <f>P285</f>
        <v>3.8999834143513419</v>
      </c>
      <c r="Q276" s="16">
        <f t="shared" si="178"/>
        <v>3.8999834143513419</v>
      </c>
      <c r="R276" s="16">
        <f t="shared" si="178"/>
        <v>3.8999834143513419</v>
      </c>
      <c r="S276" s="16">
        <f t="shared" si="178"/>
        <v>3.8730670057176315</v>
      </c>
      <c r="T276" s="16">
        <f t="shared" si="178"/>
        <v>3.8730670057176315</v>
      </c>
      <c r="U276" s="16">
        <f t="shared" si="178"/>
        <v>3.8730670057176315</v>
      </c>
      <c r="V276" s="16">
        <f t="shared" si="178"/>
        <v>3.8019451223232394</v>
      </c>
      <c r="W276" s="16">
        <f t="shared" si="178"/>
        <v>3.8019451223232394</v>
      </c>
      <c r="X276" s="16">
        <f t="shared" si="178"/>
        <v>3.8019451223232394</v>
      </c>
      <c r="Y276" s="246">
        <f t="shared" si="178"/>
        <v>34.724986627176641</v>
      </c>
      <c r="Z276" s="306"/>
      <c r="AA276" s="16">
        <f t="shared" si="178"/>
        <v>14.391038403840644</v>
      </c>
      <c r="AB276" s="16">
        <f t="shared" si="178"/>
        <v>7.6737744742105258</v>
      </c>
      <c r="AC276" s="16">
        <f t="shared" si="178"/>
        <v>2.3063746301260188</v>
      </c>
      <c r="AD276" s="16">
        <f t="shared" si="178"/>
        <v>0.11685802742149491</v>
      </c>
      <c r="AF276" s="327"/>
      <c r="AK276" s="311"/>
    </row>
    <row r="277" spans="2:37" x14ac:dyDescent="0.3">
      <c r="D277" s="3" t="s">
        <v>433</v>
      </c>
      <c r="L277" s="16"/>
      <c r="M277" s="16"/>
      <c r="N277" s="15"/>
      <c r="O277" s="246"/>
      <c r="P277" s="16">
        <f t="shared" ref="P277:AD277" si="179">P278</f>
        <v>10.857020853758351</v>
      </c>
      <c r="Q277" s="16">
        <f t="shared" si="179"/>
        <v>10.857020853758351</v>
      </c>
      <c r="R277" s="16">
        <f t="shared" si="179"/>
        <v>10.857020853758351</v>
      </c>
      <c r="S277" s="16">
        <f t="shared" si="179"/>
        <v>10.782089250518935</v>
      </c>
      <c r="T277" s="16">
        <f t="shared" si="179"/>
        <v>10.782089250518935</v>
      </c>
      <c r="U277" s="16">
        <f t="shared" si="179"/>
        <v>10.782089250518935</v>
      </c>
      <c r="V277" s="16">
        <f t="shared" si="179"/>
        <v>10.584095646666666</v>
      </c>
      <c r="W277" s="16">
        <f t="shared" si="179"/>
        <v>10.584095646666666</v>
      </c>
      <c r="X277" s="16">
        <f t="shared" si="179"/>
        <v>10.584095646666666</v>
      </c>
      <c r="Y277" s="246">
        <f t="shared" si="179"/>
        <v>96.66961725283187</v>
      </c>
      <c r="Z277" s="306"/>
      <c r="AA277" s="16">
        <f t="shared" si="179"/>
        <v>20.121689687245631</v>
      </c>
      <c r="AB277" s="16">
        <f t="shared" si="179"/>
        <v>20.318015235438594</v>
      </c>
      <c r="AC277" s="16">
        <f t="shared" si="179"/>
        <v>19.958135036382505</v>
      </c>
      <c r="AD277" s="16">
        <f t="shared" si="179"/>
        <v>12.901546666076962</v>
      </c>
      <c r="AK277" s="311"/>
    </row>
    <row r="278" spans="2:37" x14ac:dyDescent="0.3">
      <c r="B278" s="92"/>
      <c r="C278" s="92"/>
      <c r="D278" s="92"/>
      <c r="E278" s="92" t="s">
        <v>507</v>
      </c>
      <c r="F278" s="92"/>
      <c r="G278" s="92"/>
      <c r="H278" s="92"/>
      <c r="I278" s="92"/>
      <c r="J278" s="92"/>
      <c r="K278" s="92"/>
      <c r="L278" s="130"/>
      <c r="M278" s="130"/>
      <c r="N278" s="131"/>
      <c r="O278" s="330"/>
      <c r="P278" s="130">
        <f>P287</f>
        <v>10.857020853758351</v>
      </c>
      <c r="Q278" s="130">
        <f t="shared" ref="Q278:AD278" si="180">Q287</f>
        <v>10.857020853758351</v>
      </c>
      <c r="R278" s="130">
        <f t="shared" si="180"/>
        <v>10.857020853758351</v>
      </c>
      <c r="S278" s="130">
        <f t="shared" si="180"/>
        <v>10.782089250518935</v>
      </c>
      <c r="T278" s="130">
        <f t="shared" si="180"/>
        <v>10.782089250518935</v>
      </c>
      <c r="U278" s="130">
        <f t="shared" si="180"/>
        <v>10.782089250518935</v>
      </c>
      <c r="V278" s="130">
        <f t="shared" si="180"/>
        <v>10.584095646666666</v>
      </c>
      <c r="W278" s="130">
        <f t="shared" si="180"/>
        <v>10.584095646666666</v>
      </c>
      <c r="X278" s="130">
        <f t="shared" si="180"/>
        <v>10.584095646666666</v>
      </c>
      <c r="Y278" s="330">
        <f t="shared" si="180"/>
        <v>96.66961725283187</v>
      </c>
      <c r="Z278" s="315"/>
      <c r="AA278" s="130">
        <f t="shared" si="180"/>
        <v>20.121689687245631</v>
      </c>
      <c r="AB278" s="130">
        <f t="shared" si="180"/>
        <v>20.318015235438594</v>
      </c>
      <c r="AC278" s="130">
        <f t="shared" si="180"/>
        <v>19.958135036382505</v>
      </c>
      <c r="AD278" s="130">
        <f t="shared" si="180"/>
        <v>12.901546666076962</v>
      </c>
      <c r="AK278" s="311"/>
    </row>
    <row r="279" spans="2:37" x14ac:dyDescent="0.3">
      <c r="AK279" s="311"/>
    </row>
    <row r="280" spans="2:37" x14ac:dyDescent="0.3">
      <c r="B280" s="8"/>
      <c r="C280" s="8"/>
      <c r="D280" s="8"/>
      <c r="E280" s="8"/>
      <c r="F280" s="8"/>
      <c r="G280" s="8"/>
      <c r="H280" s="8"/>
      <c r="I280" s="8"/>
      <c r="J280" s="8"/>
      <c r="K280" s="8"/>
      <c r="L280" s="9" t="s">
        <v>182</v>
      </c>
      <c r="M280" s="9" t="s">
        <v>183</v>
      </c>
      <c r="N280" s="10" t="s">
        <v>184</v>
      </c>
      <c r="O280" s="244" t="s">
        <v>4</v>
      </c>
      <c r="P280" s="9" t="s">
        <v>215</v>
      </c>
      <c r="Q280" s="9" t="s">
        <v>216</v>
      </c>
      <c r="R280" s="9" t="s">
        <v>217</v>
      </c>
      <c r="S280" s="9" t="s">
        <v>218</v>
      </c>
      <c r="T280" s="9" t="s">
        <v>219</v>
      </c>
      <c r="U280" s="9" t="s">
        <v>220</v>
      </c>
      <c r="V280" s="9" t="s">
        <v>221</v>
      </c>
      <c r="W280" s="9" t="s">
        <v>222</v>
      </c>
      <c r="X280" s="10" t="s">
        <v>223</v>
      </c>
      <c r="Y280" s="9" t="s">
        <v>294</v>
      </c>
      <c r="Z280" s="244" t="s">
        <v>197</v>
      </c>
      <c r="AA280" s="9" t="s">
        <v>198</v>
      </c>
      <c r="AB280" s="9" t="s">
        <v>199</v>
      </c>
      <c r="AC280" s="9" t="s">
        <v>200</v>
      </c>
      <c r="AD280" s="9" t="s">
        <v>201</v>
      </c>
      <c r="AF280" s="327"/>
      <c r="AK280" s="311"/>
    </row>
    <row r="281" spans="2:37" x14ac:dyDescent="0.3">
      <c r="B281" s="11" t="s">
        <v>23</v>
      </c>
      <c r="L281" s="16"/>
      <c r="M281" s="16"/>
      <c r="N281" s="15"/>
      <c r="O281" s="326">
        <f t="shared" ref="O281:AD281" si="181">O282</f>
        <v>47.821341000000004</v>
      </c>
      <c r="P281" s="13">
        <f t="shared" si="181"/>
        <v>15.063525238321276</v>
      </c>
      <c r="Q281" s="13">
        <f t="shared" si="181"/>
        <v>15.063525238321276</v>
      </c>
      <c r="R281" s="13">
        <f t="shared" si="181"/>
        <v>15.063525238321276</v>
      </c>
      <c r="S281" s="13">
        <f t="shared" si="181"/>
        <v>14.959561719069665</v>
      </c>
      <c r="T281" s="13">
        <f t="shared" si="181"/>
        <v>14.959561719069665</v>
      </c>
      <c r="U281" s="13">
        <f t="shared" si="181"/>
        <v>14.959561719069665</v>
      </c>
      <c r="V281" s="13">
        <f t="shared" si="181"/>
        <v>14.684856375050511</v>
      </c>
      <c r="W281" s="13">
        <f t="shared" si="181"/>
        <v>14.684856375050511</v>
      </c>
      <c r="X281" s="13">
        <f t="shared" si="181"/>
        <v>14.684856375050511</v>
      </c>
      <c r="Y281" s="395">
        <f t="shared" si="181"/>
        <v>134.12382999732438</v>
      </c>
      <c r="Z281" s="326">
        <f t="shared" si="181"/>
        <v>181.94517099732437</v>
      </c>
      <c r="AA281" s="13">
        <f t="shared" si="181"/>
        <v>34.512728091086274</v>
      </c>
      <c r="AB281" s="13">
        <f t="shared" si="181"/>
        <v>27.991789709649119</v>
      </c>
      <c r="AC281" s="13">
        <f t="shared" si="181"/>
        <v>22.264509666508523</v>
      </c>
      <c r="AD281" s="13">
        <f t="shared" si="181"/>
        <v>13.018404693498457</v>
      </c>
      <c r="AF281" s="327"/>
      <c r="AK281" s="311"/>
    </row>
    <row r="282" spans="2:37" x14ac:dyDescent="0.3">
      <c r="C282" s="3" t="s">
        <v>32</v>
      </c>
      <c r="L282" s="16"/>
      <c r="M282" s="16"/>
      <c r="N282" s="15"/>
      <c r="O282" s="246">
        <f t="shared" ref="O282:AD282" si="182">O283+O286</f>
        <v>47.821341000000004</v>
      </c>
      <c r="P282" s="16">
        <f t="shared" si="182"/>
        <v>15.063525238321276</v>
      </c>
      <c r="Q282" s="16">
        <f t="shared" si="182"/>
        <v>15.063525238321276</v>
      </c>
      <c r="R282" s="16">
        <f t="shared" si="182"/>
        <v>15.063525238321276</v>
      </c>
      <c r="S282" s="16">
        <f t="shared" si="182"/>
        <v>14.959561719069665</v>
      </c>
      <c r="T282" s="16">
        <f t="shared" si="182"/>
        <v>14.959561719069665</v>
      </c>
      <c r="U282" s="16">
        <f t="shared" si="182"/>
        <v>14.959561719069665</v>
      </c>
      <c r="V282" s="16">
        <f t="shared" si="182"/>
        <v>14.684856375050511</v>
      </c>
      <c r="W282" s="16">
        <f t="shared" si="182"/>
        <v>14.684856375050511</v>
      </c>
      <c r="X282" s="16">
        <f t="shared" si="182"/>
        <v>14.684856375050511</v>
      </c>
      <c r="Y282" s="246">
        <f t="shared" si="182"/>
        <v>134.12382999732438</v>
      </c>
      <c r="Z282" s="246">
        <f t="shared" si="182"/>
        <v>181.94517099732437</v>
      </c>
      <c r="AA282" s="16">
        <f t="shared" si="182"/>
        <v>34.512728091086274</v>
      </c>
      <c r="AB282" s="16">
        <f t="shared" si="182"/>
        <v>27.991789709649119</v>
      </c>
      <c r="AC282" s="16">
        <f t="shared" si="182"/>
        <v>22.264509666508523</v>
      </c>
      <c r="AD282" s="16">
        <f t="shared" si="182"/>
        <v>13.018404693498457</v>
      </c>
      <c r="AF282" s="327"/>
      <c r="AK282" s="311"/>
    </row>
    <row r="283" spans="2:37" x14ac:dyDescent="0.3">
      <c r="D283" s="3" t="s">
        <v>421</v>
      </c>
      <c r="L283" s="16"/>
      <c r="M283" s="16"/>
      <c r="N283" s="15"/>
      <c r="O283" s="246">
        <f>O249</f>
        <v>5.4087149999999999</v>
      </c>
      <c r="P283" s="16">
        <f t="shared" ref="P283:Y283" si="183">SUM(P284:P285)</f>
        <v>4.2065043845629235</v>
      </c>
      <c r="Q283" s="16">
        <f t="shared" si="183"/>
        <v>4.2065043845629235</v>
      </c>
      <c r="R283" s="16">
        <f t="shared" si="183"/>
        <v>4.2065043845629235</v>
      </c>
      <c r="S283" s="16">
        <f t="shared" si="183"/>
        <v>4.1774724685507314</v>
      </c>
      <c r="T283" s="16">
        <f t="shared" si="183"/>
        <v>4.1774724685507314</v>
      </c>
      <c r="U283" s="16">
        <f t="shared" si="183"/>
        <v>4.1774724685507314</v>
      </c>
      <c r="V283" s="16">
        <f t="shared" si="183"/>
        <v>4.1007607283838459</v>
      </c>
      <c r="W283" s="16">
        <f t="shared" si="183"/>
        <v>4.1007607283838459</v>
      </c>
      <c r="X283" s="16">
        <f t="shared" si="183"/>
        <v>4.1007607283838459</v>
      </c>
      <c r="Y283" s="246">
        <f t="shared" si="183"/>
        <v>37.454212744492501</v>
      </c>
      <c r="Z283" s="246">
        <f>SUM(O283,Y283)</f>
        <v>42.862927744492502</v>
      </c>
      <c r="AA283" s="16">
        <f t="shared" ref="AA283:AD283" si="184">SUM(AA284:AA285)</f>
        <v>14.391038403840644</v>
      </c>
      <c r="AB283" s="16">
        <f t="shared" si="184"/>
        <v>7.6737744742105258</v>
      </c>
      <c r="AC283" s="16">
        <f t="shared" si="184"/>
        <v>2.3063746301260188</v>
      </c>
      <c r="AD283" s="16">
        <f t="shared" si="184"/>
        <v>0.11685802742149491</v>
      </c>
      <c r="AF283" s="327"/>
      <c r="AK283" s="311"/>
    </row>
    <row r="284" spans="2:37" x14ac:dyDescent="0.3">
      <c r="E284" s="3" t="s">
        <v>505</v>
      </c>
      <c r="L284" s="16"/>
      <c r="M284" s="16"/>
      <c r="N284" s="15"/>
      <c r="O284" s="246"/>
      <c r="P284" s="16">
        <v>0.30652097021158126</v>
      </c>
      <c r="Q284" s="16">
        <v>0.30652097021158126</v>
      </c>
      <c r="R284" s="16">
        <v>0.30652097021158126</v>
      </c>
      <c r="S284" s="16">
        <v>0.3044054628330996</v>
      </c>
      <c r="T284" s="16">
        <v>0.3044054628330996</v>
      </c>
      <c r="U284" s="16">
        <v>0.3044054628330996</v>
      </c>
      <c r="V284" s="16">
        <v>0.29881560606060609</v>
      </c>
      <c r="W284" s="16">
        <v>0.29881560606060609</v>
      </c>
      <c r="X284" s="16">
        <v>0.29881560606060609</v>
      </c>
      <c r="Y284" s="246">
        <f>SUM(P284:X284)</f>
        <v>2.7292261173158607</v>
      </c>
      <c r="Z284" s="246">
        <f>SUM(O284,Y284)</f>
        <v>2.7292261173158607</v>
      </c>
      <c r="AA284" s="16">
        <v>0</v>
      </c>
      <c r="AB284" s="16">
        <v>0</v>
      </c>
      <c r="AC284" s="16">
        <v>0</v>
      </c>
      <c r="AD284" s="16">
        <v>0</v>
      </c>
      <c r="AF284" s="327"/>
      <c r="AK284" s="311"/>
    </row>
    <row r="285" spans="2:37" x14ac:dyDescent="0.3">
      <c r="E285" s="3" t="s">
        <v>506</v>
      </c>
      <c r="L285" s="16"/>
      <c r="M285" s="16"/>
      <c r="N285" s="15"/>
      <c r="O285" s="246"/>
      <c r="P285" s="16">
        <v>3.8999834143513419</v>
      </c>
      <c r="Q285" s="16">
        <v>3.8999834143513419</v>
      </c>
      <c r="R285" s="16">
        <v>3.8999834143513419</v>
      </c>
      <c r="S285" s="16">
        <v>3.8730670057176315</v>
      </c>
      <c r="T285" s="16">
        <v>3.8730670057176315</v>
      </c>
      <c r="U285" s="16">
        <v>3.8730670057176315</v>
      </c>
      <c r="V285" s="16">
        <v>3.8019451223232394</v>
      </c>
      <c r="W285" s="16">
        <v>3.8019451223232394</v>
      </c>
      <c r="X285" s="16">
        <v>3.8019451223232394</v>
      </c>
      <c r="Y285" s="246">
        <f>SUM(P285:X285)</f>
        <v>34.724986627176641</v>
      </c>
      <c r="Z285" s="246">
        <f>SUM(O285,Y285)</f>
        <v>34.724986627176641</v>
      </c>
      <c r="AA285" s="16">
        <v>14.391038403840644</v>
      </c>
      <c r="AB285" s="16">
        <v>7.6737744742105258</v>
      </c>
      <c r="AC285" s="16">
        <v>2.3063746301260188</v>
      </c>
      <c r="AD285" s="16">
        <v>0.11685802742149491</v>
      </c>
      <c r="AF285" s="327"/>
      <c r="AK285" s="311"/>
    </row>
    <row r="286" spans="2:37" x14ac:dyDescent="0.3">
      <c r="D286" s="3" t="s">
        <v>433</v>
      </c>
      <c r="L286" s="16"/>
      <c r="M286" s="16"/>
      <c r="N286" s="15"/>
      <c r="O286" s="246">
        <f>O250</f>
        <v>42.412626000000003</v>
      </c>
      <c r="P286" s="16">
        <f t="shared" ref="P286:AD286" si="185">P287</f>
        <v>10.857020853758351</v>
      </c>
      <c r="Q286" s="16">
        <f t="shared" si="185"/>
        <v>10.857020853758351</v>
      </c>
      <c r="R286" s="16">
        <f t="shared" si="185"/>
        <v>10.857020853758351</v>
      </c>
      <c r="S286" s="16">
        <f t="shared" si="185"/>
        <v>10.782089250518935</v>
      </c>
      <c r="T286" s="16">
        <f t="shared" si="185"/>
        <v>10.782089250518935</v>
      </c>
      <c r="U286" s="16">
        <f t="shared" si="185"/>
        <v>10.782089250518935</v>
      </c>
      <c r="V286" s="16">
        <f t="shared" si="185"/>
        <v>10.584095646666666</v>
      </c>
      <c r="W286" s="16">
        <f t="shared" si="185"/>
        <v>10.584095646666666</v>
      </c>
      <c r="X286" s="16">
        <f t="shared" si="185"/>
        <v>10.584095646666666</v>
      </c>
      <c r="Y286" s="246">
        <f t="shared" si="185"/>
        <v>96.66961725283187</v>
      </c>
      <c r="Z286" s="246">
        <f t="shared" si="185"/>
        <v>139.08224325283186</v>
      </c>
      <c r="AA286" s="16">
        <f t="shared" si="185"/>
        <v>20.121689687245631</v>
      </c>
      <c r="AB286" s="16">
        <f t="shared" si="185"/>
        <v>20.318015235438594</v>
      </c>
      <c r="AC286" s="16">
        <f t="shared" si="185"/>
        <v>19.958135036382505</v>
      </c>
      <c r="AD286" s="16">
        <f t="shared" si="185"/>
        <v>12.901546666076962</v>
      </c>
      <c r="AF286" s="327"/>
      <c r="AK286" s="311"/>
    </row>
    <row r="287" spans="2:37" x14ac:dyDescent="0.3">
      <c r="B287" s="92"/>
      <c r="C287" s="92"/>
      <c r="D287" s="92"/>
      <c r="E287" s="92" t="s">
        <v>507</v>
      </c>
      <c r="F287" s="92"/>
      <c r="G287" s="92"/>
      <c r="H287" s="92"/>
      <c r="I287" s="92"/>
      <c r="J287" s="92"/>
      <c r="K287" s="92"/>
      <c r="L287" s="130"/>
      <c r="M287" s="130"/>
      <c r="N287" s="131"/>
      <c r="O287" s="330">
        <f>O286</f>
        <v>42.412626000000003</v>
      </c>
      <c r="P287" s="130">
        <v>10.857020853758351</v>
      </c>
      <c r="Q287" s="130">
        <v>10.857020853758351</v>
      </c>
      <c r="R287" s="130">
        <v>10.857020853758351</v>
      </c>
      <c r="S287" s="130">
        <v>10.782089250518935</v>
      </c>
      <c r="T287" s="130">
        <v>10.782089250518935</v>
      </c>
      <c r="U287" s="130">
        <v>10.782089250518935</v>
      </c>
      <c r="V287" s="130">
        <v>10.584095646666666</v>
      </c>
      <c r="W287" s="130">
        <v>10.584095646666666</v>
      </c>
      <c r="X287" s="130">
        <v>10.584095646666666</v>
      </c>
      <c r="Y287" s="330">
        <f>SUM(P287:X287)</f>
        <v>96.66961725283187</v>
      </c>
      <c r="Z287" s="330">
        <f>SUM(O287,Y287)</f>
        <v>139.08224325283186</v>
      </c>
      <c r="AA287" s="130">
        <v>20.121689687245631</v>
      </c>
      <c r="AB287" s="130">
        <v>20.318015235438594</v>
      </c>
      <c r="AC287" s="130">
        <v>19.958135036382505</v>
      </c>
      <c r="AD287" s="130">
        <v>12.901546666076962</v>
      </c>
      <c r="AF287" s="327"/>
      <c r="AK287" s="311"/>
    </row>
    <row r="289" spans="2:30" x14ac:dyDescent="0.3">
      <c r="B289" s="8"/>
      <c r="C289" s="8"/>
      <c r="D289" s="8"/>
      <c r="E289" s="8"/>
      <c r="F289" s="8"/>
      <c r="G289" s="8"/>
      <c r="H289" s="8"/>
      <c r="I289" s="325"/>
      <c r="J289" s="8"/>
      <c r="K289" s="8"/>
      <c r="L289" s="9" t="s">
        <v>182</v>
      </c>
      <c r="M289" s="9" t="s">
        <v>183</v>
      </c>
      <c r="N289" s="10" t="s">
        <v>184</v>
      </c>
      <c r="O289" s="244" t="s">
        <v>4</v>
      </c>
      <c r="P289" s="9" t="s">
        <v>215</v>
      </c>
      <c r="Q289" s="9" t="s">
        <v>216</v>
      </c>
      <c r="R289" s="9" t="s">
        <v>217</v>
      </c>
      <c r="S289" s="9" t="s">
        <v>218</v>
      </c>
      <c r="T289" s="9" t="s">
        <v>219</v>
      </c>
      <c r="U289" s="9" t="s">
        <v>220</v>
      </c>
      <c r="V289" s="9" t="s">
        <v>221</v>
      </c>
      <c r="W289" s="9" t="s">
        <v>222</v>
      </c>
      <c r="X289" s="10" t="s">
        <v>223</v>
      </c>
      <c r="Y289" s="9" t="s">
        <v>294</v>
      </c>
      <c r="Z289" s="244" t="s">
        <v>197</v>
      </c>
      <c r="AA289" s="9" t="s">
        <v>198</v>
      </c>
      <c r="AB289" s="9" t="s">
        <v>199</v>
      </c>
      <c r="AC289" s="9" t="s">
        <v>200</v>
      </c>
      <c r="AD289" s="9" t="s">
        <v>201</v>
      </c>
    </row>
    <row r="290" spans="2:30" x14ac:dyDescent="0.3">
      <c r="B290" s="11" t="s">
        <v>333</v>
      </c>
      <c r="I290" s="291"/>
      <c r="L290" s="16"/>
      <c r="M290" s="16"/>
      <c r="N290" s="15"/>
      <c r="O290" s="246"/>
      <c r="P290" s="16"/>
      <c r="Q290" s="16"/>
      <c r="R290" s="16"/>
      <c r="S290" s="16"/>
      <c r="T290" s="16"/>
      <c r="U290" s="16"/>
      <c r="V290" s="16"/>
      <c r="W290" s="16"/>
      <c r="X290" s="16"/>
      <c r="Y290" s="502"/>
      <c r="Z290" s="246"/>
      <c r="AA290" s="16"/>
      <c r="AB290" s="16"/>
      <c r="AC290" s="16"/>
      <c r="AD290" s="16"/>
    </row>
    <row r="291" spans="2:30" x14ac:dyDescent="0.3">
      <c r="C291" s="3" t="s">
        <v>344</v>
      </c>
      <c r="I291" s="291"/>
      <c r="N291" s="15"/>
      <c r="O291" s="246">
        <v>1328.45</v>
      </c>
      <c r="P291" s="16">
        <f>'Key Assumption'!R35</f>
        <v>1308.5999999999999</v>
      </c>
      <c r="Q291" s="16">
        <f>'Key Assumption'!S35</f>
        <v>1308.5999999999999</v>
      </c>
      <c r="R291" s="16">
        <f>'Key Assumption'!T35</f>
        <v>1308.5999999999999</v>
      </c>
      <c r="S291" s="16">
        <f>'Key Assumption'!U35</f>
        <v>1289.8</v>
      </c>
      <c r="T291" s="16">
        <f>'Key Assumption'!V35</f>
        <v>1289.8</v>
      </c>
      <c r="U291" s="16">
        <f>'Key Assumption'!W35</f>
        <v>1289.8</v>
      </c>
      <c r="V291" s="16">
        <f>'Key Assumption'!X35</f>
        <v>1259.9000000000001</v>
      </c>
      <c r="W291" s="16">
        <f>'Key Assumption'!Y35</f>
        <v>1259.9000000000001</v>
      </c>
      <c r="X291" s="16">
        <f>'Key Assumption'!Z35</f>
        <v>1259.9000000000001</v>
      </c>
      <c r="Y291" s="246">
        <f>Z291</f>
        <v>1289.2</v>
      </c>
      <c r="Z291" s="246">
        <f>'Key Assumption'!AA35</f>
        <v>1289.2</v>
      </c>
      <c r="AA291" s="16">
        <f>'Key Assumption'!AB35</f>
        <v>1214.2</v>
      </c>
      <c r="AB291" s="16">
        <f>'Key Assumption'!AC35</f>
        <v>1201.8</v>
      </c>
      <c r="AC291" s="16">
        <f>'Key Assumption'!AD35</f>
        <v>1199.3</v>
      </c>
      <c r="AD291" s="16">
        <f>'Key Assumption'!AE35</f>
        <v>1212</v>
      </c>
    </row>
    <row r="292" spans="2:30" x14ac:dyDescent="0.3">
      <c r="C292" s="3" t="s">
        <v>345</v>
      </c>
      <c r="I292" s="291"/>
      <c r="N292" s="15"/>
      <c r="O292" s="246">
        <v>1443.1</v>
      </c>
      <c r="P292" s="16">
        <f>'Key Assumption'!R41</f>
        <v>1426.4224983649444</v>
      </c>
      <c r="Q292" s="16">
        <f>'Key Assumption'!S41</f>
        <v>1426.4224983649444</v>
      </c>
      <c r="R292" s="16">
        <f>'Key Assumption'!T41</f>
        <v>1426.4224983649444</v>
      </c>
      <c r="S292" s="16">
        <f>'Key Assumption'!U41</f>
        <v>1431.6794316794317</v>
      </c>
      <c r="T292" s="16">
        <f>'Key Assumption'!V41</f>
        <v>1431.6794316794317</v>
      </c>
      <c r="U292" s="16">
        <f>'Key Assumption'!W41</f>
        <v>1431.6794316794317</v>
      </c>
      <c r="V292" s="16">
        <f>'Key Assumption'!X41</f>
        <v>1398.4903984903985</v>
      </c>
      <c r="W292" s="16">
        <f>'Key Assumption'!Y41</f>
        <v>1398.4903984903985</v>
      </c>
      <c r="X292" s="16">
        <f>'Key Assumption'!Z41</f>
        <v>1398.4903984903985</v>
      </c>
      <c r="Y292" s="246">
        <f>Z292</f>
        <v>1418.1058189418106</v>
      </c>
      <c r="Z292" s="246">
        <f>'Key Assumption'!AA41</f>
        <v>1418.1058189418106</v>
      </c>
      <c r="AA292" s="16">
        <f>'Key Assumption'!AB41</f>
        <v>1381.1853031509499</v>
      </c>
      <c r="AB292" s="16">
        <f>'Key Assumption'!AC41</f>
        <v>1388.080388080388</v>
      </c>
      <c r="AC292" s="16">
        <f>'Key Assumption'!AD41</f>
        <v>1397.1342031686859</v>
      </c>
      <c r="AD292" s="16">
        <f>'Key Assumption'!AE41</f>
        <v>1418.041418041418</v>
      </c>
    </row>
    <row r="293" spans="2:30" x14ac:dyDescent="0.3">
      <c r="B293" s="92"/>
      <c r="C293" s="92" t="s">
        <v>229</v>
      </c>
      <c r="D293" s="92"/>
      <c r="E293" s="92"/>
      <c r="F293" s="92"/>
      <c r="G293" s="92"/>
      <c r="H293" s="92"/>
      <c r="I293" s="295"/>
      <c r="J293" s="92"/>
      <c r="K293" s="92"/>
      <c r="L293" s="92"/>
      <c r="M293" s="92"/>
      <c r="N293" s="131"/>
      <c r="O293" s="330">
        <v>184.56</v>
      </c>
      <c r="P293" s="130">
        <f>'Key Assumption'!R44</f>
        <v>182.15478841870822</v>
      </c>
      <c r="Q293" s="130">
        <f>'Key Assumption'!S44</f>
        <v>182.15478841870822</v>
      </c>
      <c r="R293" s="130">
        <f>'Key Assumption'!T44</f>
        <v>182.15478841870822</v>
      </c>
      <c r="S293" s="130">
        <f>'Key Assumption'!U44</f>
        <v>180.89761570827488</v>
      </c>
      <c r="T293" s="130">
        <f>'Key Assumption'!V44</f>
        <v>180.89761570827488</v>
      </c>
      <c r="U293" s="130">
        <f>'Key Assumption'!W44</f>
        <v>180.89761570827488</v>
      </c>
      <c r="V293" s="130">
        <f>'Key Assumption'!X44</f>
        <v>177.57575757575759</v>
      </c>
      <c r="W293" s="130">
        <f>'Key Assumption'!Y44</f>
        <v>177.57575757575759</v>
      </c>
      <c r="X293" s="130">
        <f>'Key Assumption'!Z44</f>
        <v>177.57575757575759</v>
      </c>
      <c r="Y293" s="330">
        <f>Z293</f>
        <v>182.27060653188181</v>
      </c>
      <c r="Z293" s="330">
        <f>'Key Assumption'!AA44</f>
        <v>182.27060653188181</v>
      </c>
      <c r="AA293" s="130">
        <f>'Key Assumption'!AB44</f>
        <v>174.00401261106336</v>
      </c>
      <c r="AB293" s="130">
        <f>'Key Assumption'!AC44</f>
        <v>175.7017543859649</v>
      </c>
      <c r="AC293" s="130">
        <f>'Key Assumption'!AD44</f>
        <v>177.80578206078576</v>
      </c>
      <c r="AD293" s="130">
        <f>'Key Assumption'!AE44</f>
        <v>178.68199911543564</v>
      </c>
    </row>
  </sheetData>
  <phoneticPr fontId="3"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388D5-BAAC-4D06-965E-CBC4832AC2CF}">
  <sheetPr>
    <tabColor theme="9" tint="0.39997558519241921"/>
  </sheetPr>
  <dimension ref="A1:AK130"/>
  <sheetViews>
    <sheetView showGridLines="0" zoomScale="40" zoomScaleNormal="40" workbookViewId="0">
      <selection activeCell="M24" sqref="M24:N24"/>
    </sheetView>
  </sheetViews>
  <sheetFormatPr defaultRowHeight="12" outlineLevelCol="1" x14ac:dyDescent="0.3"/>
  <cols>
    <col min="1" max="1" width="2.625" style="3" customWidth="1"/>
    <col min="2" max="6" width="1.625" style="3" customWidth="1"/>
    <col min="7" max="11" width="9" style="3"/>
    <col min="12" max="14" width="0" style="3" hidden="1" customWidth="1"/>
    <col min="15" max="25" width="0" style="3" hidden="1" customWidth="1" outlineLevel="1"/>
    <col min="26" max="26" width="9" style="3" collapsed="1"/>
    <col min="27" max="16384" width="9" style="3"/>
  </cols>
  <sheetData>
    <row r="1" spans="1:30" x14ac:dyDescent="0.3">
      <c r="A1" s="1" t="str">
        <f ca="1">MID(CELL("filename",A1),FIND("]",CELL("filename",A1))+1,255)</f>
        <v>CAPEX_강소</v>
      </c>
      <c r="B1" s="2"/>
      <c r="C1" s="2"/>
      <c r="D1" s="2"/>
      <c r="E1" s="2"/>
      <c r="F1" s="2"/>
      <c r="G1" s="2"/>
      <c r="H1" s="2"/>
      <c r="I1" s="2"/>
      <c r="J1" s="2"/>
      <c r="K1" s="2"/>
      <c r="L1" s="2"/>
      <c r="M1" s="2"/>
      <c r="N1" s="2"/>
      <c r="O1" s="2"/>
      <c r="P1" s="2"/>
      <c r="Q1" s="2"/>
      <c r="R1" s="2"/>
      <c r="S1" s="2"/>
      <c r="T1" s="2"/>
      <c r="U1" s="2"/>
      <c r="V1" s="2"/>
      <c r="W1" s="2"/>
      <c r="X1" s="2"/>
      <c r="Y1" s="2"/>
      <c r="Z1" s="2"/>
      <c r="AA1" s="2"/>
      <c r="AB1" s="2"/>
      <c r="AC1" s="2"/>
      <c r="AD1" s="2"/>
    </row>
    <row r="3" spans="1:30" x14ac:dyDescent="0.3">
      <c r="A3" s="4"/>
      <c r="B3" s="161" t="s">
        <v>292</v>
      </c>
      <c r="C3" s="4"/>
      <c r="D3" s="4"/>
      <c r="E3" s="4"/>
      <c r="F3" s="4"/>
      <c r="G3" s="4"/>
      <c r="H3" s="4"/>
      <c r="I3" s="4"/>
      <c r="J3" s="4"/>
      <c r="K3" s="4"/>
      <c r="L3" s="4"/>
      <c r="M3" s="4"/>
      <c r="N3" s="4"/>
      <c r="O3" s="4"/>
      <c r="P3" s="4"/>
      <c r="Q3" s="4"/>
      <c r="R3" s="4"/>
      <c r="S3" s="4"/>
      <c r="T3" s="4"/>
      <c r="U3" s="4"/>
      <c r="V3" s="4"/>
      <c r="W3" s="4"/>
      <c r="X3" s="4"/>
      <c r="Y3" s="4"/>
      <c r="Z3" s="4"/>
      <c r="AA3" s="4"/>
      <c r="AB3" s="4"/>
      <c r="AC3" s="4"/>
      <c r="AD3" s="4"/>
    </row>
    <row r="5" spans="1:30" x14ac:dyDescent="0.3">
      <c r="B5" s="8"/>
      <c r="C5" s="8"/>
      <c r="D5" s="8"/>
      <c r="E5" s="8"/>
      <c r="F5" s="8"/>
      <c r="G5" s="8"/>
      <c r="H5" s="8"/>
      <c r="I5" s="8"/>
      <c r="J5" s="8"/>
      <c r="K5" s="8"/>
      <c r="L5" s="9" t="s">
        <v>182</v>
      </c>
      <c r="M5" s="9" t="s">
        <v>183</v>
      </c>
      <c r="N5" s="10" t="s">
        <v>184</v>
      </c>
      <c r="O5" s="244" t="s">
        <v>4</v>
      </c>
      <c r="P5" s="9" t="s">
        <v>215</v>
      </c>
      <c r="Q5" s="9" t="s">
        <v>216</v>
      </c>
      <c r="R5" s="9" t="s">
        <v>217</v>
      </c>
      <c r="S5" s="9" t="s">
        <v>218</v>
      </c>
      <c r="T5" s="9" t="s">
        <v>219</v>
      </c>
      <c r="U5" s="9" t="s">
        <v>220</v>
      </c>
      <c r="V5" s="9" t="s">
        <v>221</v>
      </c>
      <c r="W5" s="9" t="s">
        <v>222</v>
      </c>
      <c r="X5" s="10" t="s">
        <v>223</v>
      </c>
      <c r="Y5" s="9" t="s">
        <v>294</v>
      </c>
      <c r="Z5" s="407" t="s">
        <v>427</v>
      </c>
      <c r="AA5" s="9" t="s">
        <v>198</v>
      </c>
      <c r="AB5" s="9" t="s">
        <v>199</v>
      </c>
      <c r="AC5" s="9" t="s">
        <v>200</v>
      </c>
      <c r="AD5" s="9" t="s">
        <v>201</v>
      </c>
    </row>
    <row r="6" spans="1:30" x14ac:dyDescent="0.3">
      <c r="B6" s="11" t="s">
        <v>420</v>
      </c>
      <c r="L6" s="16"/>
      <c r="M6" s="16"/>
      <c r="N6" s="15"/>
      <c r="O6" s="246"/>
      <c r="P6" s="16"/>
      <c r="Q6" s="16"/>
      <c r="R6" s="16"/>
      <c r="S6" s="16"/>
      <c r="T6" s="16"/>
      <c r="U6" s="16"/>
      <c r="V6" s="16"/>
      <c r="W6" s="16"/>
      <c r="X6" s="16"/>
      <c r="Y6" s="396">
        <f>Y7+Y18</f>
        <v>1169.2099715721527</v>
      </c>
      <c r="Z6" s="503"/>
      <c r="AA6" s="13">
        <f>AA7+AA18</f>
        <v>632.14685371441112</v>
      </c>
      <c r="AB6" s="13">
        <f>AB7+AB18</f>
        <v>634.61339629176905</v>
      </c>
      <c r="AC6" s="13">
        <f>AC7+AC18</f>
        <v>624.68942988963647</v>
      </c>
      <c r="AD6" s="13">
        <f>AD7+AD18</f>
        <v>652.50732370640492</v>
      </c>
    </row>
    <row r="7" spans="1:30" x14ac:dyDescent="0.3">
      <c r="B7" s="11"/>
      <c r="C7" s="3" t="s">
        <v>497</v>
      </c>
      <c r="L7" s="16"/>
      <c r="M7" s="16"/>
      <c r="N7" s="15"/>
      <c r="O7" s="246"/>
      <c r="P7" s="16"/>
      <c r="Q7" s="16"/>
      <c r="R7" s="16"/>
      <c r="S7" s="16"/>
      <c r="T7" s="16"/>
      <c r="U7" s="16"/>
      <c r="V7" s="16"/>
      <c r="W7" s="16"/>
      <c r="X7" s="16"/>
      <c r="Y7" s="292">
        <f>Y8+Y16</f>
        <v>1159.7902878698762</v>
      </c>
      <c r="Z7" s="306"/>
      <c r="AA7" s="16">
        <f>AA8+AA16</f>
        <v>623.61304364088744</v>
      </c>
      <c r="AB7" s="16">
        <f>AB8+AB16</f>
        <v>630.35365410717145</v>
      </c>
      <c r="AC7" s="16">
        <f>AC8+AC16</f>
        <v>621.09763977943805</v>
      </c>
      <c r="AD7" s="16">
        <f>AD8+AD16</f>
        <v>649.87786223158764</v>
      </c>
    </row>
    <row r="8" spans="1:30" x14ac:dyDescent="0.3">
      <c r="B8" s="11"/>
      <c r="D8" s="3" t="s">
        <v>432</v>
      </c>
      <c r="L8" s="16"/>
      <c r="M8" s="16"/>
      <c r="N8" s="15"/>
      <c r="O8" s="246"/>
      <c r="P8" s="16"/>
      <c r="Q8" s="16"/>
      <c r="R8" s="16"/>
      <c r="S8" s="16"/>
      <c r="T8" s="16"/>
      <c r="U8" s="16"/>
      <c r="V8" s="16"/>
      <c r="W8" s="16"/>
      <c r="X8" s="16"/>
      <c r="Y8" s="292">
        <f>SUM(Y9:Y15)</f>
        <v>1159.7902878698762</v>
      </c>
      <c r="Z8" s="306"/>
      <c r="AA8" s="16">
        <f>SUM(AA9:AA15)</f>
        <v>623.61304364088744</v>
      </c>
      <c r="AB8" s="16">
        <f>SUM(AB9:AB15)</f>
        <v>630.35365410717145</v>
      </c>
      <c r="AC8" s="16">
        <f>SUM(AC9:AC15)</f>
        <v>621.09763977943805</v>
      </c>
      <c r="AD8" s="16">
        <f>SUM(AD9:AD15)</f>
        <v>649.87786223158764</v>
      </c>
    </row>
    <row r="9" spans="1:30" x14ac:dyDescent="0.3">
      <c r="B9" s="11"/>
      <c r="E9" s="3" t="s">
        <v>498</v>
      </c>
      <c r="L9" s="16"/>
      <c r="M9" s="16"/>
      <c r="N9" s="15"/>
      <c r="O9" s="246"/>
      <c r="P9" s="16"/>
      <c r="Q9" s="16"/>
      <c r="R9" s="16"/>
      <c r="S9" s="16"/>
      <c r="T9" s="16"/>
      <c r="U9" s="16"/>
      <c r="V9" s="16"/>
      <c r="W9" s="16"/>
      <c r="X9" s="16"/>
      <c r="Y9" s="292">
        <f>I82</f>
        <v>220.40832437367143</v>
      </c>
      <c r="Z9" s="306"/>
      <c r="AA9" s="16" cm="1">
        <f t="array" ref="AA9:AD9">TRANSPOSE(I83:I86)</f>
        <v>291.10525028439616</v>
      </c>
      <c r="AB9" s="16">
        <v>303.57736334544438</v>
      </c>
      <c r="AC9" s="16">
        <v>317.12776718783141</v>
      </c>
      <c r="AD9" s="16">
        <v>329.12759008046038</v>
      </c>
    </row>
    <row r="10" spans="1:30" x14ac:dyDescent="0.3">
      <c r="B10" s="11"/>
      <c r="E10" s="3" t="s">
        <v>499</v>
      </c>
      <c r="L10" s="16"/>
      <c r="M10" s="16"/>
      <c r="N10" s="15"/>
      <c r="O10" s="246"/>
      <c r="P10" s="16"/>
      <c r="Q10" s="16"/>
      <c r="R10" s="16"/>
      <c r="S10" s="16"/>
      <c r="T10" s="16"/>
      <c r="U10" s="16"/>
      <c r="V10" s="16"/>
      <c r="W10" s="16"/>
      <c r="X10" s="16"/>
      <c r="Y10" s="292">
        <f>I88</f>
        <v>8.7955076303539492</v>
      </c>
      <c r="Z10" s="306"/>
      <c r="AA10" s="16" cm="1">
        <f t="array" ref="AA10:AD10">TRANSPOSE(I89:I92)</f>
        <v>11.616704847189308</v>
      </c>
      <c r="AB10" s="16">
        <v>12.114410938403486</v>
      </c>
      <c r="AC10" s="16">
        <v>12.655146778253325</v>
      </c>
      <c r="AD10" s="16">
        <v>13.134005887204575</v>
      </c>
    </row>
    <row r="11" spans="1:30" x14ac:dyDescent="0.3">
      <c r="B11" s="11"/>
      <c r="E11" s="3" t="s">
        <v>573</v>
      </c>
      <c r="L11" s="16"/>
      <c r="M11" s="16"/>
      <c r="N11" s="15"/>
      <c r="O11" s="246"/>
      <c r="P11" s="16"/>
      <c r="Q11" s="16"/>
      <c r="R11" s="16"/>
      <c r="S11" s="16"/>
      <c r="T11" s="16"/>
      <c r="U11" s="16"/>
      <c r="V11" s="16"/>
      <c r="W11" s="16"/>
      <c r="X11" s="16"/>
      <c r="Y11" s="292">
        <f>I94</f>
        <v>600.04798562570625</v>
      </c>
      <c r="Z11" s="306"/>
      <c r="AA11" s="16" cm="1">
        <f t="array" ref="AA11:AD11">TRANSPOSE(I95:I98)</f>
        <v>83.070584677536289</v>
      </c>
      <c r="AB11" s="16">
        <v>81.230769870226339</v>
      </c>
      <c r="AC11" s="16">
        <v>87.67417166826101</v>
      </c>
      <c r="AD11" s="16">
        <v>93.417146026616209</v>
      </c>
    </row>
    <row r="12" spans="1:30" x14ac:dyDescent="0.3">
      <c r="B12" s="11"/>
      <c r="E12" s="3" t="s">
        <v>500</v>
      </c>
      <c r="L12" s="16"/>
      <c r="M12" s="16"/>
      <c r="N12" s="15"/>
      <c r="O12" s="246"/>
      <c r="P12" s="16"/>
      <c r="Q12" s="16"/>
      <c r="R12" s="16"/>
      <c r="S12" s="16"/>
      <c r="T12" s="16"/>
      <c r="U12" s="16"/>
      <c r="V12" s="16"/>
      <c r="W12" s="16"/>
      <c r="X12" s="16"/>
      <c r="Y12" s="292">
        <f>I100</f>
        <v>271.68175413573761</v>
      </c>
      <c r="Z12" s="306"/>
      <c r="AA12" s="16" cm="1">
        <f t="array" ref="AA12:AD12">TRANSPOSE(I101:I104)</f>
        <v>223.21528126750292</v>
      </c>
      <c r="AB12" s="16">
        <v>215.37806531766563</v>
      </c>
      <c r="AC12" s="16">
        <v>181.02056590077129</v>
      </c>
      <c r="AD12" s="16">
        <v>185.64529075202233</v>
      </c>
    </row>
    <row r="13" spans="1:30" x14ac:dyDescent="0.3">
      <c r="B13" s="11"/>
      <c r="E13" s="3" t="s">
        <v>501</v>
      </c>
      <c r="L13" s="16"/>
      <c r="M13" s="16"/>
      <c r="N13" s="15"/>
      <c r="O13" s="246"/>
      <c r="P13" s="16"/>
      <c r="Q13" s="16"/>
      <c r="R13" s="16"/>
      <c r="S13" s="16"/>
      <c r="T13" s="16"/>
      <c r="U13" s="16"/>
      <c r="V13" s="16"/>
      <c r="W13" s="16"/>
      <c r="X13" s="16"/>
      <c r="Y13" s="292">
        <f>I106</f>
        <v>37.870695920795214</v>
      </c>
      <c r="Z13" s="306"/>
      <c r="AA13" s="16" cm="1">
        <f t="array" ref="AA13:AD13">TRANSPOSE(I107:I110)</f>
        <v>7.6785415917256801</v>
      </c>
      <c r="AB13" s="16">
        <v>9.2152685551357578</v>
      </c>
      <c r="AC13" s="16">
        <v>10.95290121353133</v>
      </c>
      <c r="AD13" s="16">
        <v>13.143481456237597</v>
      </c>
    </row>
    <row r="14" spans="1:30" x14ac:dyDescent="0.3">
      <c r="B14" s="11"/>
      <c r="E14" s="3" t="s">
        <v>574</v>
      </c>
      <c r="L14" s="16"/>
      <c r="M14" s="16"/>
      <c r="N14" s="15"/>
      <c r="O14" s="246"/>
      <c r="P14" s="16"/>
      <c r="Q14" s="16"/>
      <c r="R14" s="16"/>
      <c r="S14" s="16"/>
      <c r="T14" s="16"/>
      <c r="U14" s="16"/>
      <c r="V14" s="16"/>
      <c r="W14" s="16"/>
      <c r="X14" s="16"/>
      <c r="Y14" s="292">
        <f>I112</f>
        <v>4.4779933288349074</v>
      </c>
      <c r="Z14" s="306"/>
      <c r="AA14" s="16" cm="1">
        <f t="array" ref="AA14:AD14">TRANSPOSE(I113:I116)</f>
        <v>1.1194983322087269</v>
      </c>
      <c r="AB14" s="16">
        <v>1.3993729152609085</v>
      </c>
      <c r="AC14" s="16">
        <v>1.7492161440761356</v>
      </c>
      <c r="AD14" s="16">
        <v>2.1865201800951697</v>
      </c>
    </row>
    <row r="15" spans="1:30" x14ac:dyDescent="0.3">
      <c r="B15" s="11"/>
      <c r="E15" s="3" t="s">
        <v>105</v>
      </c>
      <c r="L15" s="16"/>
      <c r="M15" s="16"/>
      <c r="N15" s="15"/>
      <c r="O15" s="246"/>
      <c r="P15" s="16"/>
      <c r="Q15" s="16"/>
      <c r="R15" s="16"/>
      <c r="S15" s="16"/>
      <c r="T15" s="16"/>
      <c r="U15" s="16"/>
      <c r="V15" s="16"/>
      <c r="W15" s="16"/>
      <c r="X15" s="16"/>
      <c r="Y15" s="292">
        <f>I118</f>
        <v>16.508026854777015</v>
      </c>
      <c r="Z15" s="306"/>
      <c r="AA15" s="16" cm="1">
        <f t="array" ref="AA15:AD15">TRANSPOSE(I119:I122)</f>
        <v>5.8071826403283655</v>
      </c>
      <c r="AB15" s="16">
        <v>7.438403165035127</v>
      </c>
      <c r="AC15" s="16">
        <v>9.9178708867135033</v>
      </c>
      <c r="AD15" s="16">
        <v>13.223827848951338</v>
      </c>
    </row>
    <row r="16" spans="1:30" x14ac:dyDescent="0.3">
      <c r="B16" s="11"/>
      <c r="D16" s="3" t="s">
        <v>424</v>
      </c>
      <c r="L16" s="16"/>
      <c r="M16" s="16"/>
      <c r="N16" s="15"/>
      <c r="O16" s="246"/>
      <c r="P16" s="119"/>
      <c r="Q16" s="119"/>
      <c r="R16" s="119"/>
      <c r="S16" s="119"/>
      <c r="T16" s="119"/>
      <c r="U16" s="119"/>
      <c r="V16" s="119"/>
      <c r="W16" s="119"/>
      <c r="X16" s="119"/>
      <c r="Y16" s="293"/>
      <c r="Z16" s="306"/>
      <c r="AA16" s="119"/>
      <c r="AB16" s="119"/>
      <c r="AC16" s="119"/>
      <c r="AD16" s="119"/>
    </row>
    <row r="17" spans="2:37" x14ac:dyDescent="0.3">
      <c r="B17" s="11"/>
      <c r="E17" s="3" t="s">
        <v>500</v>
      </c>
      <c r="L17" s="16"/>
      <c r="M17" s="16"/>
      <c r="N17" s="15"/>
      <c r="O17" s="246"/>
      <c r="P17" s="119"/>
      <c r="Q17" s="119"/>
      <c r="R17" s="119"/>
      <c r="S17" s="119"/>
      <c r="T17" s="119"/>
      <c r="U17" s="119"/>
      <c r="V17" s="119"/>
      <c r="W17" s="119"/>
      <c r="X17" s="119"/>
      <c r="Y17" s="293"/>
      <c r="Z17" s="306"/>
      <c r="AA17" s="119"/>
      <c r="AB17" s="119"/>
      <c r="AC17" s="119"/>
      <c r="AD17" s="119"/>
    </row>
    <row r="18" spans="2:37" x14ac:dyDescent="0.3">
      <c r="B18" s="11"/>
      <c r="C18" s="3" t="s">
        <v>423</v>
      </c>
      <c r="L18" s="16"/>
      <c r="M18" s="16"/>
      <c r="N18" s="15"/>
      <c r="O18" s="246"/>
      <c r="P18" s="16"/>
      <c r="Q18" s="16"/>
      <c r="R18" s="16"/>
      <c r="S18" s="16"/>
      <c r="T18" s="16"/>
      <c r="U18" s="16"/>
      <c r="V18" s="16"/>
      <c r="W18" s="16"/>
      <c r="X18" s="16"/>
      <c r="Y18" s="292">
        <f>Y19</f>
        <v>9.4196837022763376</v>
      </c>
      <c r="Z18" s="306"/>
      <c r="AA18" s="16">
        <f>AA19</f>
        <v>8.533810073523707</v>
      </c>
      <c r="AB18" s="16">
        <f>AB19</f>
        <v>4.2597421845975489</v>
      </c>
      <c r="AC18" s="16">
        <f>AC19</f>
        <v>3.5917901101983953</v>
      </c>
      <c r="AD18" s="16">
        <f>AD19</f>
        <v>2.6294614748172283</v>
      </c>
    </row>
    <row r="19" spans="2:37" x14ac:dyDescent="0.3">
      <c r="B19" s="11"/>
      <c r="D19" s="3" t="s">
        <v>432</v>
      </c>
      <c r="L19" s="16"/>
      <c r="M19" s="16"/>
      <c r="N19" s="15"/>
      <c r="O19" s="246"/>
      <c r="P19" s="16"/>
      <c r="Q19" s="16"/>
      <c r="R19" s="16"/>
      <c r="S19" s="16"/>
      <c r="T19" s="16"/>
      <c r="U19" s="16"/>
      <c r="V19" s="16"/>
      <c r="W19" s="16"/>
      <c r="X19" s="16"/>
      <c r="Y19" s="292">
        <f>SUM(Y20:Y20)</f>
        <v>9.4196837022763376</v>
      </c>
      <c r="Z19" s="306"/>
      <c r="AA19" s="16">
        <f>SUM(AA20:AA20)</f>
        <v>8.533810073523707</v>
      </c>
      <c r="AB19" s="16">
        <f>SUM(AB20:AB20)</f>
        <v>4.2597421845975489</v>
      </c>
      <c r="AC19" s="16">
        <f>SUM(AC20:AC20)</f>
        <v>3.5917901101983953</v>
      </c>
      <c r="AD19" s="16">
        <f>SUM(AD20:AD20)</f>
        <v>2.6294614748172283</v>
      </c>
    </row>
    <row r="20" spans="2:37" x14ac:dyDescent="0.3">
      <c r="B20" s="92"/>
      <c r="C20" s="92"/>
      <c r="D20" s="92"/>
      <c r="E20" s="92" t="s">
        <v>502</v>
      </c>
      <c r="F20" s="92"/>
      <c r="G20" s="92"/>
      <c r="H20" s="92"/>
      <c r="I20" s="92"/>
      <c r="J20" s="92"/>
      <c r="K20" s="92"/>
      <c r="L20" s="130"/>
      <c r="M20" s="130"/>
      <c r="N20" s="131"/>
      <c r="O20" s="330"/>
      <c r="P20" s="130"/>
      <c r="Q20" s="130"/>
      <c r="R20" s="130"/>
      <c r="S20" s="130"/>
      <c r="T20" s="130"/>
      <c r="U20" s="130"/>
      <c r="V20" s="130"/>
      <c r="W20" s="130"/>
      <c r="X20" s="130"/>
      <c r="Y20" s="296">
        <f>I126</f>
        <v>9.4196837022763376</v>
      </c>
      <c r="Z20" s="315"/>
      <c r="AA20" s="130" cm="1">
        <f t="array" ref="AA20:AD20">TRANSPOSE(I127:I130)</f>
        <v>8.533810073523707</v>
      </c>
      <c r="AB20" s="130">
        <v>4.2597421845975489</v>
      </c>
      <c r="AC20" s="130">
        <v>3.5917901101983953</v>
      </c>
      <c r="AD20" s="130">
        <v>2.6294614748172283</v>
      </c>
    </row>
    <row r="21" spans="2:37" x14ac:dyDescent="0.3">
      <c r="AK21" s="311"/>
    </row>
    <row r="22" spans="2:37" x14ac:dyDescent="0.3">
      <c r="B22" s="8"/>
      <c r="C22" s="8"/>
      <c r="D22" s="8"/>
      <c r="E22" s="8"/>
      <c r="F22" s="8"/>
      <c r="G22" s="8"/>
      <c r="H22" s="8"/>
      <c r="I22" s="8"/>
      <c r="J22" s="8"/>
      <c r="K22" s="8"/>
      <c r="L22" s="9" t="s">
        <v>425</v>
      </c>
      <c r="M22" s="9" t="s">
        <v>426</v>
      </c>
      <c r="N22" s="10" t="s">
        <v>414</v>
      </c>
      <c r="O22" s="244" t="s">
        <v>4</v>
      </c>
      <c r="P22" s="9" t="s">
        <v>188</v>
      </c>
      <c r="Q22" s="9" t="s">
        <v>189</v>
      </c>
      <c r="R22" s="9" t="s">
        <v>190</v>
      </c>
      <c r="S22" s="9" t="s">
        <v>191</v>
      </c>
      <c r="T22" s="9" t="s">
        <v>192</v>
      </c>
      <c r="U22" s="9" t="s">
        <v>193</v>
      </c>
      <c r="V22" s="9" t="s">
        <v>194</v>
      </c>
      <c r="W22" s="9" t="s">
        <v>195</v>
      </c>
      <c r="X22" s="10" t="s">
        <v>196</v>
      </c>
      <c r="Y22" s="9" t="s">
        <v>5</v>
      </c>
      <c r="Z22" s="244" t="s">
        <v>427</v>
      </c>
      <c r="AA22" s="9" t="s">
        <v>428</v>
      </c>
      <c r="AB22" s="9" t="s">
        <v>429</v>
      </c>
      <c r="AC22" s="9" t="s">
        <v>430</v>
      </c>
      <c r="AD22" s="9" t="s">
        <v>431</v>
      </c>
      <c r="AK22" s="311"/>
    </row>
    <row r="23" spans="2:37" x14ac:dyDescent="0.3">
      <c r="B23" s="11" t="s">
        <v>23</v>
      </c>
      <c r="L23" s="16"/>
      <c r="M23" s="16"/>
      <c r="N23" s="15"/>
      <c r="O23" s="326">
        <f>O42+O59</f>
        <v>121.30390560000001</v>
      </c>
      <c r="P23" s="13">
        <f t="shared" ref="P23:Z23" si="0">P42+P59</f>
        <v>136.5018732816223</v>
      </c>
      <c r="Q23" s="13">
        <f t="shared" si="0"/>
        <v>136.5018732816223</v>
      </c>
      <c r="R23" s="13">
        <f t="shared" si="0"/>
        <v>136.5018732816223</v>
      </c>
      <c r="S23" s="13">
        <f t="shared" si="0"/>
        <v>135.55978204426088</v>
      </c>
      <c r="T23" s="13">
        <f t="shared" si="0"/>
        <v>135.55978204426088</v>
      </c>
      <c r="U23" s="13">
        <f t="shared" si="0"/>
        <v>135.55978204426088</v>
      </c>
      <c r="V23" s="13">
        <f t="shared" si="0"/>
        <v>133.07047137721378</v>
      </c>
      <c r="W23" s="13">
        <f t="shared" si="0"/>
        <v>133.07047137721378</v>
      </c>
      <c r="X23" s="13">
        <f t="shared" si="0"/>
        <v>133.07047137721378</v>
      </c>
      <c r="Y23" s="396">
        <f t="shared" si="0"/>
        <v>1262.2928646712314</v>
      </c>
      <c r="Z23" s="326">
        <f t="shared" si="0"/>
        <v>1383.5967702712312</v>
      </c>
      <c r="AA23" s="13">
        <f>AA24+AA35</f>
        <v>664.01793222561321</v>
      </c>
      <c r="AB23" s="13">
        <f>AB24+AB35</f>
        <v>665.77222271651431</v>
      </c>
      <c r="AC23" s="13">
        <f>AC24+AC35</f>
        <v>653.11960082923167</v>
      </c>
      <c r="AD23" s="13">
        <f>AD24+AD35</f>
        <v>682.13186614627193</v>
      </c>
      <c r="AK23" s="311"/>
    </row>
    <row r="24" spans="2:37" x14ac:dyDescent="0.3">
      <c r="B24" s="11"/>
      <c r="C24" s="3" t="s">
        <v>497</v>
      </c>
      <c r="L24" s="16"/>
      <c r="M24" s="16"/>
      <c r="N24" s="15"/>
      <c r="O24" s="246">
        <f t="shared" ref="O24:Z24" si="1">O25+O33</f>
        <v>117.65533896000001</v>
      </c>
      <c r="P24" s="16">
        <f t="shared" si="1"/>
        <v>135.44394313461507</v>
      </c>
      <c r="Q24" s="16">
        <f t="shared" si="1"/>
        <v>135.44394313461507</v>
      </c>
      <c r="R24" s="16">
        <f t="shared" si="1"/>
        <v>135.44394313461507</v>
      </c>
      <c r="S24" s="16">
        <f t="shared" si="1"/>
        <v>134.50915338475176</v>
      </c>
      <c r="T24" s="16">
        <f t="shared" si="1"/>
        <v>134.50915338475176</v>
      </c>
      <c r="U24" s="16">
        <f t="shared" si="1"/>
        <v>134.50915338475176</v>
      </c>
      <c r="V24" s="16">
        <f t="shared" si="1"/>
        <v>132.03913561630469</v>
      </c>
      <c r="W24" s="16">
        <f t="shared" si="1"/>
        <v>132.03913561630469</v>
      </c>
      <c r="X24" s="16">
        <f t="shared" si="1"/>
        <v>132.03913561630469</v>
      </c>
      <c r="Y24" s="292">
        <f t="shared" si="1"/>
        <v>1252.873180968955</v>
      </c>
      <c r="Z24" s="246">
        <f t="shared" si="1"/>
        <v>1370.5285199289549</v>
      </c>
      <c r="AA24" s="16">
        <f>AA25+AA33</f>
        <v>655.05743164841329</v>
      </c>
      <c r="AB24" s="16">
        <f>AB25+AB33</f>
        <v>661.29949342268685</v>
      </c>
      <c r="AC24" s="16">
        <f>AC25+AC33</f>
        <v>649.3482212135234</v>
      </c>
      <c r="AD24" s="16">
        <f>AD25+AD33</f>
        <v>679.37093159771382</v>
      </c>
      <c r="AK24" s="311"/>
    </row>
    <row r="25" spans="2:37" x14ac:dyDescent="0.3">
      <c r="B25" s="11"/>
      <c r="D25" s="3" t="s">
        <v>432</v>
      </c>
      <c r="L25" s="16"/>
      <c r="M25" s="16"/>
      <c r="N25" s="15"/>
      <c r="O25" s="246">
        <v>50.123064960000008</v>
      </c>
      <c r="P25" s="16">
        <f t="shared" ref="P25:X25" si="2">SUM(P26:P32)</f>
        <v>130.25672076942854</v>
      </c>
      <c r="Q25" s="16">
        <f t="shared" si="2"/>
        <v>130.25672076942854</v>
      </c>
      <c r="R25" s="16">
        <f t="shared" si="2"/>
        <v>130.25672076942854</v>
      </c>
      <c r="S25" s="16">
        <f t="shared" si="2"/>
        <v>129.35773152998317</v>
      </c>
      <c r="T25" s="16">
        <f t="shared" si="2"/>
        <v>129.35773152998317</v>
      </c>
      <c r="U25" s="16">
        <f t="shared" si="2"/>
        <v>129.35773152998317</v>
      </c>
      <c r="V25" s="16">
        <f t="shared" si="2"/>
        <v>126.98231032388044</v>
      </c>
      <c r="W25" s="16">
        <f t="shared" si="2"/>
        <v>126.98231032388044</v>
      </c>
      <c r="X25" s="16">
        <f t="shared" si="2"/>
        <v>126.98231032388044</v>
      </c>
      <c r="Y25" s="292">
        <f t="shared" ref="P25:AD32" si="3">Y44+Y61</f>
        <v>1206.686772431817</v>
      </c>
      <c r="Z25" s="246">
        <f t="shared" si="3"/>
        <v>1256.8098373918169</v>
      </c>
      <c r="AA25" s="16">
        <f>SUM(AA26:AA32)</f>
        <v>655.05743164841329</v>
      </c>
      <c r="AB25" s="16">
        <f>SUM(AB26:AB32)</f>
        <v>661.29949342268685</v>
      </c>
      <c r="AC25" s="16">
        <f>SUM(AC26:AC32)</f>
        <v>649.3482212135234</v>
      </c>
      <c r="AD25" s="16">
        <f>SUM(AD26:AD32)</f>
        <v>679.37093159771382</v>
      </c>
      <c r="AK25" s="311"/>
    </row>
    <row r="26" spans="2:37" x14ac:dyDescent="0.3">
      <c r="B26" s="11"/>
      <c r="E26" s="3" t="s">
        <v>498</v>
      </c>
      <c r="L26" s="16"/>
      <c r="M26" s="16"/>
      <c r="N26" s="15"/>
      <c r="O26" s="306"/>
      <c r="P26" s="16">
        <f t="shared" si="3"/>
        <v>24.754186910746103</v>
      </c>
      <c r="Q26" s="16">
        <f t="shared" si="3"/>
        <v>24.754186910746103</v>
      </c>
      <c r="R26" s="16">
        <f t="shared" si="3"/>
        <v>24.754186910746103</v>
      </c>
      <c r="S26" s="16">
        <f t="shared" si="3"/>
        <v>24.583341617447406</v>
      </c>
      <c r="T26" s="16">
        <f t="shared" si="3"/>
        <v>24.583341617447406</v>
      </c>
      <c r="U26" s="16">
        <f t="shared" si="3"/>
        <v>24.583341617447406</v>
      </c>
      <c r="V26" s="16">
        <f t="shared" si="3"/>
        <v>24.13191292969697</v>
      </c>
      <c r="W26" s="16">
        <f t="shared" si="3"/>
        <v>24.13191292969697</v>
      </c>
      <c r="X26" s="16">
        <f t="shared" si="3"/>
        <v>24.13191292969697</v>
      </c>
      <c r="Y26" s="292">
        <f t="shared" si="3"/>
        <v>223.16342842834231</v>
      </c>
      <c r="Z26" s="246">
        <f t="shared" si="3"/>
        <v>223.16342842834231</v>
      </c>
      <c r="AA26" s="16">
        <f t="shared" si="3"/>
        <v>295.95700445580275</v>
      </c>
      <c r="AB26" s="16">
        <f t="shared" si="3"/>
        <v>308.63698606786841</v>
      </c>
      <c r="AC26" s="16">
        <f t="shared" si="3"/>
        <v>322.41322997429523</v>
      </c>
      <c r="AD26" s="16">
        <f t="shared" si="3"/>
        <v>334.6130499151347</v>
      </c>
      <c r="AK26" s="311"/>
    </row>
    <row r="27" spans="2:37" x14ac:dyDescent="0.3">
      <c r="B27" s="11"/>
      <c r="E27" s="3" t="s">
        <v>499</v>
      </c>
      <c r="L27" s="16"/>
      <c r="M27" s="16"/>
      <c r="N27" s="15"/>
      <c r="O27" s="306"/>
      <c r="P27" s="16">
        <f t="shared" si="3"/>
        <v>0.98782856988446521</v>
      </c>
      <c r="Q27" s="16">
        <f t="shared" si="3"/>
        <v>0.98782856988446521</v>
      </c>
      <c r="R27" s="16">
        <f t="shared" si="3"/>
        <v>0.98782856988446521</v>
      </c>
      <c r="S27" s="16">
        <f t="shared" si="3"/>
        <v>0.98101090051971307</v>
      </c>
      <c r="T27" s="16">
        <f t="shared" si="3"/>
        <v>0.98101090051971307</v>
      </c>
      <c r="U27" s="16">
        <f t="shared" si="3"/>
        <v>0.98101090051971307</v>
      </c>
      <c r="V27" s="16">
        <f t="shared" si="3"/>
        <v>0.96299640638047146</v>
      </c>
      <c r="W27" s="16">
        <f t="shared" si="3"/>
        <v>0.96299640638047146</v>
      </c>
      <c r="X27" s="16">
        <f t="shared" si="3"/>
        <v>0.96299640638047146</v>
      </c>
      <c r="Y27" s="292">
        <f t="shared" si="3"/>
        <v>8.9054514757333738</v>
      </c>
      <c r="Z27" s="246">
        <f t="shared" si="3"/>
        <v>8.9054514757333738</v>
      </c>
      <c r="AA27" s="16">
        <f t="shared" si="3"/>
        <v>11.810316594642462</v>
      </c>
      <c r="AB27" s="16">
        <f t="shared" si="3"/>
        <v>12.316317787376878</v>
      </c>
      <c r="AC27" s="16">
        <f t="shared" si="3"/>
        <v>12.866065891224213</v>
      </c>
      <c r="AD27" s="16">
        <f t="shared" si="3"/>
        <v>13.35290598532465</v>
      </c>
      <c r="AK27" s="311"/>
    </row>
    <row r="28" spans="2:37" x14ac:dyDescent="0.3">
      <c r="B28" s="11"/>
      <c r="E28" s="3" t="s">
        <v>573</v>
      </c>
      <c r="L28" s="16"/>
      <c r="M28" s="16"/>
      <c r="N28" s="15"/>
      <c r="O28" s="306"/>
      <c r="P28" s="16">
        <f t="shared" si="3"/>
        <v>67.391737738603084</v>
      </c>
      <c r="Q28" s="16">
        <f t="shared" si="3"/>
        <v>67.391737738603084</v>
      </c>
      <c r="R28" s="16">
        <f t="shared" si="3"/>
        <v>67.391737738603084</v>
      </c>
      <c r="S28" s="16">
        <f t="shared" si="3"/>
        <v>66.926622029435421</v>
      </c>
      <c r="T28" s="16">
        <f t="shared" si="3"/>
        <v>66.926622029435421</v>
      </c>
      <c r="U28" s="16">
        <f t="shared" si="3"/>
        <v>66.926622029435421</v>
      </c>
      <c r="V28" s="16">
        <f t="shared" si="3"/>
        <v>65.697635440530263</v>
      </c>
      <c r="W28" s="16">
        <f t="shared" si="3"/>
        <v>65.697635440530263</v>
      </c>
      <c r="X28" s="16">
        <f t="shared" si="3"/>
        <v>65.697635440530263</v>
      </c>
      <c r="Y28" s="292">
        <f t="shared" si="3"/>
        <v>618.79948517650962</v>
      </c>
      <c r="Z28" s="246">
        <f t="shared" si="3"/>
        <v>618.79948517650962</v>
      </c>
      <c r="AA28" s="16">
        <f t="shared" si="3"/>
        <v>86.531859039100311</v>
      </c>
      <c r="AB28" s="16">
        <f t="shared" si="3"/>
        <v>84.615385281485771</v>
      </c>
      <c r="AC28" s="16">
        <f t="shared" si="3"/>
        <v>91.327262154438571</v>
      </c>
      <c r="AD28" s="16">
        <f t="shared" si="3"/>
        <v>97.309527111058571</v>
      </c>
      <c r="AK28" s="311"/>
    </row>
    <row r="29" spans="2:37" x14ac:dyDescent="0.3">
      <c r="B29" s="11"/>
      <c r="E29" s="3" t="s">
        <v>500</v>
      </c>
      <c r="L29" s="16"/>
      <c r="M29" s="16"/>
      <c r="N29" s="15"/>
      <c r="O29" s="306"/>
      <c r="P29" s="16">
        <f t="shared" si="3"/>
        <v>30.512735583950445</v>
      </c>
      <c r="Q29" s="16">
        <f t="shared" si="3"/>
        <v>30.512735583950445</v>
      </c>
      <c r="R29" s="16">
        <f t="shared" si="3"/>
        <v>30.512735583950445</v>
      </c>
      <c r="S29" s="16">
        <f t="shared" si="3"/>
        <v>30.302146673113601</v>
      </c>
      <c r="T29" s="16">
        <f t="shared" si="3"/>
        <v>30.302146673113601</v>
      </c>
      <c r="U29" s="16">
        <f t="shared" si="3"/>
        <v>30.302146673113601</v>
      </c>
      <c r="V29" s="16">
        <f t="shared" si="3"/>
        <v>29.745702454848495</v>
      </c>
      <c r="W29" s="16">
        <f t="shared" si="3"/>
        <v>29.745702454848495</v>
      </c>
      <c r="X29" s="16">
        <f t="shared" si="3"/>
        <v>29.745702454848495</v>
      </c>
      <c r="Y29" s="292">
        <f t="shared" si="3"/>
        <v>292.05788569591795</v>
      </c>
      <c r="Z29" s="246">
        <f t="shared" si="3"/>
        <v>292.05788569591795</v>
      </c>
      <c r="AA29" s="16">
        <f t="shared" si="3"/>
        <v>245.5368093942532</v>
      </c>
      <c r="AB29" s="16">
        <f t="shared" si="3"/>
        <v>236.91587184943216</v>
      </c>
      <c r="AC29" s="16">
        <f t="shared" si="3"/>
        <v>199.12262249084844</v>
      </c>
      <c r="AD29" s="16">
        <f t="shared" si="3"/>
        <v>204.20981982722461</v>
      </c>
      <c r="AK29" s="311"/>
    </row>
    <row r="30" spans="2:37" x14ac:dyDescent="0.3">
      <c r="B30" s="11"/>
      <c r="E30" s="3" t="s">
        <v>501</v>
      </c>
      <c r="L30" s="16"/>
      <c r="M30" s="16"/>
      <c r="N30" s="15"/>
      <c r="O30" s="306"/>
      <c r="P30" s="16">
        <f t="shared" si="3"/>
        <v>4.2532798519626942</v>
      </c>
      <c r="Q30" s="16">
        <f t="shared" si="3"/>
        <v>4.2532798519626942</v>
      </c>
      <c r="R30" s="16">
        <f t="shared" si="3"/>
        <v>4.2532798519626942</v>
      </c>
      <c r="S30" s="16">
        <f t="shared" si="3"/>
        <v>4.2239251069892463</v>
      </c>
      <c r="T30" s="16">
        <f t="shared" si="3"/>
        <v>4.2239251069892463</v>
      </c>
      <c r="U30" s="16">
        <f t="shared" si="3"/>
        <v>4.2239251069892463</v>
      </c>
      <c r="V30" s="16">
        <f t="shared" si="3"/>
        <v>4.1463603479797984</v>
      </c>
      <c r="W30" s="16">
        <f t="shared" si="3"/>
        <v>4.1463603479797984</v>
      </c>
      <c r="X30" s="16">
        <f t="shared" si="3"/>
        <v>4.1463603479797984</v>
      </c>
      <c r="Y30" s="292">
        <f t="shared" si="3"/>
        <v>40.710998114854853</v>
      </c>
      <c r="Z30" s="246">
        <f t="shared" si="3"/>
        <v>40.710998114854853</v>
      </c>
      <c r="AA30" s="16">
        <f t="shared" si="3"/>
        <v>8.4463957508982492</v>
      </c>
      <c r="AB30" s="16">
        <f t="shared" si="3"/>
        <v>10.136795410649334</v>
      </c>
      <c r="AC30" s="16">
        <f t="shared" si="3"/>
        <v>12.048191334884462</v>
      </c>
      <c r="AD30" s="16">
        <f t="shared" si="3"/>
        <v>14.457829601861356</v>
      </c>
      <c r="AK30" s="311"/>
    </row>
    <row r="31" spans="2:37" x14ac:dyDescent="0.3">
      <c r="B31" s="11"/>
      <c r="E31" s="3" t="s">
        <v>574</v>
      </c>
      <c r="L31" s="16"/>
      <c r="M31" s="16"/>
      <c r="N31" s="15"/>
      <c r="O31" s="306"/>
      <c r="P31" s="16">
        <f t="shared" si="3"/>
        <v>0.50292603131959901</v>
      </c>
      <c r="Q31" s="16">
        <f t="shared" si="3"/>
        <v>0.50292603131959901</v>
      </c>
      <c r="R31" s="16">
        <f t="shared" si="3"/>
        <v>0.50292603131959901</v>
      </c>
      <c r="S31" s="16">
        <f t="shared" si="3"/>
        <v>0.4994550005142589</v>
      </c>
      <c r="T31" s="16">
        <f t="shared" si="3"/>
        <v>0.4994550005142589</v>
      </c>
      <c r="U31" s="16">
        <f t="shared" si="3"/>
        <v>0.4994550005142589</v>
      </c>
      <c r="V31" s="16">
        <f t="shared" si="3"/>
        <v>0.49028341111111112</v>
      </c>
      <c r="W31" s="16">
        <f t="shared" si="3"/>
        <v>0.49028341111111112</v>
      </c>
      <c r="X31" s="16">
        <f t="shared" si="3"/>
        <v>0.49028341111111112</v>
      </c>
      <c r="Y31" s="292">
        <f t="shared" si="3"/>
        <v>4.4779933288349074</v>
      </c>
      <c r="Z31" s="246">
        <f t="shared" si="3"/>
        <v>4.4779933288349074</v>
      </c>
      <c r="AA31" s="16">
        <f t="shared" si="3"/>
        <v>0</v>
      </c>
      <c r="AB31" s="16">
        <f t="shared" si="3"/>
        <v>0</v>
      </c>
      <c r="AC31" s="16">
        <f t="shared" si="3"/>
        <v>0</v>
      </c>
      <c r="AD31" s="16">
        <f t="shared" si="3"/>
        <v>0</v>
      </c>
      <c r="AK31" s="311"/>
    </row>
    <row r="32" spans="2:37" x14ac:dyDescent="0.3">
      <c r="B32" s="11"/>
      <c r="E32" s="3" t="s">
        <v>105</v>
      </c>
      <c r="L32" s="16"/>
      <c r="M32" s="16"/>
      <c r="N32" s="15"/>
      <c r="O32" s="306"/>
      <c r="P32" s="16">
        <f t="shared" si="3"/>
        <v>1.8540260829621378</v>
      </c>
      <c r="Q32" s="16">
        <f t="shared" si="3"/>
        <v>1.8540260829621378</v>
      </c>
      <c r="R32" s="16">
        <f t="shared" si="3"/>
        <v>1.8540260829621378</v>
      </c>
      <c r="S32" s="16">
        <f t="shared" si="3"/>
        <v>1.8412302019635343</v>
      </c>
      <c r="T32" s="16">
        <f t="shared" si="3"/>
        <v>1.8412302019635343</v>
      </c>
      <c r="U32" s="16">
        <f t="shared" si="3"/>
        <v>1.8412302019635343</v>
      </c>
      <c r="V32" s="16">
        <f t="shared" si="3"/>
        <v>1.8074193333333335</v>
      </c>
      <c r="W32" s="16">
        <f t="shared" si="3"/>
        <v>1.8074193333333335</v>
      </c>
      <c r="X32" s="16">
        <f t="shared" si="3"/>
        <v>1.8074193333333335</v>
      </c>
      <c r="Y32" s="292">
        <f t="shared" si="3"/>
        <v>18.571530211624143</v>
      </c>
      <c r="Z32" s="246">
        <f t="shared" si="3"/>
        <v>18.571530211624143</v>
      </c>
      <c r="AA32" s="16">
        <f t="shared" si="3"/>
        <v>6.7750464137164261</v>
      </c>
      <c r="AB32" s="16">
        <f t="shared" si="3"/>
        <v>8.6781370258743156</v>
      </c>
      <c r="AC32" s="16">
        <f t="shared" si="3"/>
        <v>11.57084936783242</v>
      </c>
      <c r="AD32" s="16">
        <f t="shared" si="3"/>
        <v>15.427799157109893</v>
      </c>
      <c r="AK32" s="311"/>
    </row>
    <row r="33" spans="2:37" x14ac:dyDescent="0.3">
      <c r="B33" s="11"/>
      <c r="D33" s="3" t="s">
        <v>424</v>
      </c>
      <c r="L33" s="16"/>
      <c r="M33" s="16"/>
      <c r="N33" s="15"/>
      <c r="O33" s="246">
        <f>O52</f>
        <v>67.532274000000001</v>
      </c>
      <c r="P33" s="16">
        <f t="shared" ref="P33:Z33" si="4">P34</f>
        <v>5.1872223651865257</v>
      </c>
      <c r="Q33" s="16">
        <f t="shared" si="4"/>
        <v>5.1872223651865257</v>
      </c>
      <c r="R33" s="16">
        <f t="shared" si="4"/>
        <v>5.1872223651865257</v>
      </c>
      <c r="S33" s="16">
        <f t="shared" si="4"/>
        <v>5.1514218547685831</v>
      </c>
      <c r="T33" s="16">
        <f t="shared" si="4"/>
        <v>5.1514218547685831</v>
      </c>
      <c r="U33" s="16">
        <f t="shared" si="4"/>
        <v>5.1514218547685831</v>
      </c>
      <c r="V33" s="16">
        <f t="shared" si="4"/>
        <v>5.0568252924242438</v>
      </c>
      <c r="W33" s="16">
        <f t="shared" si="4"/>
        <v>5.0568252924242438</v>
      </c>
      <c r="X33" s="16">
        <f t="shared" si="4"/>
        <v>5.0568252924242438</v>
      </c>
      <c r="Y33" s="292">
        <f t="shared" si="4"/>
        <v>46.186408537138057</v>
      </c>
      <c r="Z33" s="246">
        <f t="shared" si="4"/>
        <v>113.71868253713805</v>
      </c>
      <c r="AA33" s="16">
        <f>AA34</f>
        <v>0</v>
      </c>
      <c r="AB33" s="16">
        <f>AB34</f>
        <v>0</v>
      </c>
      <c r="AC33" s="16">
        <f>AC34</f>
        <v>0</v>
      </c>
      <c r="AD33" s="16">
        <f>AD34</f>
        <v>0</v>
      </c>
      <c r="AF33" s="327"/>
      <c r="AK33" s="311"/>
    </row>
    <row r="34" spans="2:37" x14ac:dyDescent="0.3">
      <c r="B34" s="11"/>
      <c r="E34" s="3" t="s">
        <v>500</v>
      </c>
      <c r="L34" s="16"/>
      <c r="M34" s="16"/>
      <c r="N34" s="15"/>
      <c r="O34" s="246">
        <f>O33</f>
        <v>67.532274000000001</v>
      </c>
      <c r="P34" s="16">
        <f t="shared" ref="P34:Z34" si="5">P53+P70</f>
        <v>5.1872223651865257</v>
      </c>
      <c r="Q34" s="16">
        <f t="shared" si="5"/>
        <v>5.1872223651865257</v>
      </c>
      <c r="R34" s="16">
        <f t="shared" si="5"/>
        <v>5.1872223651865257</v>
      </c>
      <c r="S34" s="16">
        <f t="shared" si="5"/>
        <v>5.1514218547685831</v>
      </c>
      <c r="T34" s="16">
        <f t="shared" si="5"/>
        <v>5.1514218547685831</v>
      </c>
      <c r="U34" s="16">
        <f t="shared" si="5"/>
        <v>5.1514218547685831</v>
      </c>
      <c r="V34" s="16">
        <f t="shared" si="5"/>
        <v>5.0568252924242438</v>
      </c>
      <c r="W34" s="16">
        <f t="shared" si="5"/>
        <v>5.0568252924242438</v>
      </c>
      <c r="X34" s="16">
        <f t="shared" si="5"/>
        <v>5.0568252924242438</v>
      </c>
      <c r="Y34" s="292">
        <f t="shared" si="5"/>
        <v>46.186408537138057</v>
      </c>
      <c r="Z34" s="246">
        <f t="shared" si="5"/>
        <v>113.71868253713805</v>
      </c>
      <c r="AA34" s="16">
        <f>AA53+AA70</f>
        <v>0</v>
      </c>
      <c r="AB34" s="16">
        <f>AB53+AB70</f>
        <v>0</v>
      </c>
      <c r="AC34" s="16">
        <f>AC53+AC70</f>
        <v>0</v>
      </c>
      <c r="AD34" s="16">
        <f>AD53+AD70</f>
        <v>0</v>
      </c>
      <c r="AF34" s="327"/>
      <c r="AK34" s="311"/>
    </row>
    <row r="35" spans="2:37" x14ac:dyDescent="0.3">
      <c r="B35" s="11"/>
      <c r="C35" s="3" t="s">
        <v>423</v>
      </c>
      <c r="L35" s="16"/>
      <c r="M35" s="16"/>
      <c r="N35" s="15"/>
      <c r="O35" s="246">
        <f>O36</f>
        <v>3.6485666400000003</v>
      </c>
      <c r="P35" s="16">
        <f t="shared" ref="P35:Z35" si="6">P36</f>
        <v>1.0579301470072384</v>
      </c>
      <c r="Q35" s="16">
        <f t="shared" si="6"/>
        <v>1.0579301470072384</v>
      </c>
      <c r="R35" s="16">
        <f t="shared" si="6"/>
        <v>1.0579301470072384</v>
      </c>
      <c r="S35" s="16">
        <f t="shared" si="6"/>
        <v>1.0506286595091165</v>
      </c>
      <c r="T35" s="16">
        <f t="shared" si="6"/>
        <v>1.0506286595091165</v>
      </c>
      <c r="U35" s="16">
        <f t="shared" si="6"/>
        <v>1.0506286595091165</v>
      </c>
      <c r="V35" s="16">
        <f t="shared" si="6"/>
        <v>1.031335760909091</v>
      </c>
      <c r="W35" s="16">
        <f t="shared" si="6"/>
        <v>1.031335760909091</v>
      </c>
      <c r="X35" s="16">
        <f t="shared" si="6"/>
        <v>1.031335760909091</v>
      </c>
      <c r="Y35" s="292">
        <f t="shared" si="6"/>
        <v>9.7729218411116996</v>
      </c>
      <c r="Z35" s="246">
        <f t="shared" si="6"/>
        <v>13.4214884811117</v>
      </c>
      <c r="AA35" s="16">
        <f>AA36</f>
        <v>8.9605005771998929</v>
      </c>
      <c r="AB35" s="16">
        <f>AB36</f>
        <v>4.4727292938274257</v>
      </c>
      <c r="AC35" s="16">
        <f>AC36</f>
        <v>3.771379615708315</v>
      </c>
      <c r="AD35" s="16">
        <f>AD36</f>
        <v>2.7609345485580894</v>
      </c>
      <c r="AF35" s="327"/>
      <c r="AK35" s="311"/>
    </row>
    <row r="36" spans="2:37" x14ac:dyDescent="0.3">
      <c r="B36" s="11"/>
      <c r="D36" s="3" t="s">
        <v>432</v>
      </c>
      <c r="L36" s="16"/>
      <c r="M36" s="16"/>
      <c r="N36" s="15"/>
      <c r="O36" s="246">
        <f t="shared" ref="O36:Z36" si="7">SUM(O37:O37)</f>
        <v>3.6485666400000003</v>
      </c>
      <c r="P36" s="16">
        <f t="shared" si="7"/>
        <v>1.0579301470072384</v>
      </c>
      <c r="Q36" s="16">
        <f t="shared" si="7"/>
        <v>1.0579301470072384</v>
      </c>
      <c r="R36" s="16">
        <f t="shared" si="7"/>
        <v>1.0579301470072384</v>
      </c>
      <c r="S36" s="16">
        <f t="shared" si="7"/>
        <v>1.0506286595091165</v>
      </c>
      <c r="T36" s="16">
        <f t="shared" si="7"/>
        <v>1.0506286595091165</v>
      </c>
      <c r="U36" s="16">
        <f t="shared" si="7"/>
        <v>1.0506286595091165</v>
      </c>
      <c r="V36" s="16">
        <f t="shared" si="7"/>
        <v>1.031335760909091</v>
      </c>
      <c r="W36" s="16">
        <f t="shared" si="7"/>
        <v>1.031335760909091</v>
      </c>
      <c r="X36" s="16">
        <f t="shared" si="7"/>
        <v>1.031335760909091</v>
      </c>
      <c r="Y36" s="292">
        <f t="shared" si="7"/>
        <v>9.7729218411116996</v>
      </c>
      <c r="Z36" s="246">
        <f t="shared" si="7"/>
        <v>13.4214884811117</v>
      </c>
      <c r="AA36" s="16">
        <f>SUM(AA37:AA37)</f>
        <v>8.9605005771998929</v>
      </c>
      <c r="AB36" s="16">
        <f>SUM(AB37:AB37)</f>
        <v>4.4727292938274257</v>
      </c>
      <c r="AC36" s="16">
        <f>SUM(AC37:AC37)</f>
        <v>3.771379615708315</v>
      </c>
      <c r="AD36" s="16">
        <f>SUM(AD37:AD37)</f>
        <v>2.7609345485580894</v>
      </c>
      <c r="AF36" s="327"/>
      <c r="AK36" s="311"/>
    </row>
    <row r="37" spans="2:37" x14ac:dyDescent="0.3">
      <c r="B37" s="92"/>
      <c r="C37" s="92"/>
      <c r="D37" s="92"/>
      <c r="E37" s="92" t="s">
        <v>502</v>
      </c>
      <c r="F37" s="92"/>
      <c r="G37" s="92"/>
      <c r="H37" s="92"/>
      <c r="I37" s="92"/>
      <c r="J37" s="92"/>
      <c r="K37" s="92"/>
      <c r="L37" s="130"/>
      <c r="M37" s="130"/>
      <c r="N37" s="131"/>
      <c r="O37" s="330">
        <f t="shared" ref="O37:Z37" si="8">O56+O73</f>
        <v>3.6485666400000003</v>
      </c>
      <c r="P37" s="130">
        <f t="shared" si="8"/>
        <v>1.0579301470072384</v>
      </c>
      <c r="Q37" s="130">
        <f t="shared" si="8"/>
        <v>1.0579301470072384</v>
      </c>
      <c r="R37" s="130">
        <f t="shared" si="8"/>
        <v>1.0579301470072384</v>
      </c>
      <c r="S37" s="130">
        <f t="shared" si="8"/>
        <v>1.0506286595091165</v>
      </c>
      <c r="T37" s="130">
        <f t="shared" si="8"/>
        <v>1.0506286595091165</v>
      </c>
      <c r="U37" s="130">
        <f t="shared" si="8"/>
        <v>1.0506286595091165</v>
      </c>
      <c r="V37" s="130">
        <f t="shared" si="8"/>
        <v>1.031335760909091</v>
      </c>
      <c r="W37" s="130">
        <f t="shared" si="8"/>
        <v>1.031335760909091</v>
      </c>
      <c r="X37" s="130">
        <f t="shared" si="8"/>
        <v>1.031335760909091</v>
      </c>
      <c r="Y37" s="296">
        <f t="shared" si="8"/>
        <v>9.7729218411116996</v>
      </c>
      <c r="Z37" s="330">
        <f t="shared" si="8"/>
        <v>13.4214884811117</v>
      </c>
      <c r="AA37" s="130">
        <f>AA56+AA73</f>
        <v>8.9605005771998929</v>
      </c>
      <c r="AB37" s="130">
        <f>AB56+AB73</f>
        <v>4.4727292938274257</v>
      </c>
      <c r="AC37" s="130">
        <f>AC56+AC73</f>
        <v>3.771379615708315</v>
      </c>
      <c r="AD37" s="130">
        <f>AD56+AD73</f>
        <v>2.7609345485580894</v>
      </c>
      <c r="AF37" s="327"/>
      <c r="AK37" s="311"/>
    </row>
    <row r="38" spans="2:37" x14ac:dyDescent="0.3">
      <c r="AK38" s="311"/>
    </row>
    <row r="39" spans="2:37" x14ac:dyDescent="0.3">
      <c r="B39" s="161" t="s">
        <v>575</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K39" s="311"/>
    </row>
    <row r="40" spans="2:37" x14ac:dyDescent="0.3">
      <c r="AK40" s="311"/>
    </row>
    <row r="41" spans="2:37" x14ac:dyDescent="0.3">
      <c r="B41" s="8"/>
      <c r="C41" s="8"/>
      <c r="D41" s="8"/>
      <c r="E41" s="8"/>
      <c r="F41" s="8"/>
      <c r="G41" s="8"/>
      <c r="H41" s="8"/>
      <c r="I41" s="8"/>
      <c r="J41" s="8"/>
      <c r="K41" s="8"/>
      <c r="L41" s="9" t="s">
        <v>182</v>
      </c>
      <c r="M41" s="9" t="s">
        <v>183</v>
      </c>
      <c r="N41" s="10" t="s">
        <v>184</v>
      </c>
      <c r="O41" s="244" t="s">
        <v>4</v>
      </c>
      <c r="P41" s="9" t="s">
        <v>215</v>
      </c>
      <c r="Q41" s="9" t="s">
        <v>216</v>
      </c>
      <c r="R41" s="9" t="s">
        <v>217</v>
      </c>
      <c r="S41" s="9" t="s">
        <v>218</v>
      </c>
      <c r="T41" s="9" t="s">
        <v>219</v>
      </c>
      <c r="U41" s="9" t="s">
        <v>220</v>
      </c>
      <c r="V41" s="9" t="s">
        <v>221</v>
      </c>
      <c r="W41" s="9" t="s">
        <v>222</v>
      </c>
      <c r="X41" s="10" t="s">
        <v>223</v>
      </c>
      <c r="Y41" s="9" t="s">
        <v>294</v>
      </c>
      <c r="Z41" s="244" t="s">
        <v>197</v>
      </c>
      <c r="AA41" s="9" t="s">
        <v>198</v>
      </c>
      <c r="AB41" s="9" t="s">
        <v>199</v>
      </c>
      <c r="AC41" s="9" t="s">
        <v>200</v>
      </c>
      <c r="AD41" s="9" t="s">
        <v>201</v>
      </c>
      <c r="AF41" s="327"/>
      <c r="AK41" s="311"/>
    </row>
    <row r="42" spans="2:37" x14ac:dyDescent="0.3">
      <c r="B42" s="11" t="s">
        <v>576</v>
      </c>
      <c r="L42" s="16"/>
      <c r="M42" s="16"/>
      <c r="N42" s="15"/>
      <c r="O42" s="326">
        <f>O43+O54</f>
        <v>121.30390560000001</v>
      </c>
      <c r="P42" s="13">
        <f t="shared" ref="P42:Z42" si="9">P43+P54</f>
        <v>136.5018732816223</v>
      </c>
      <c r="Q42" s="13">
        <f t="shared" si="9"/>
        <v>136.5018732816223</v>
      </c>
      <c r="R42" s="13">
        <f t="shared" si="9"/>
        <v>136.5018732816223</v>
      </c>
      <c r="S42" s="13">
        <f t="shared" si="9"/>
        <v>135.55978204426088</v>
      </c>
      <c r="T42" s="13">
        <f t="shared" si="9"/>
        <v>135.55978204426088</v>
      </c>
      <c r="U42" s="13">
        <f t="shared" si="9"/>
        <v>135.55978204426088</v>
      </c>
      <c r="V42" s="13">
        <f t="shared" si="9"/>
        <v>133.07047137721378</v>
      </c>
      <c r="W42" s="13">
        <f t="shared" si="9"/>
        <v>133.07047137721378</v>
      </c>
      <c r="X42" s="13">
        <f t="shared" si="9"/>
        <v>133.07047137721378</v>
      </c>
      <c r="Y42" s="396">
        <f t="shared" si="9"/>
        <v>1215.3963801092907</v>
      </c>
      <c r="Z42" s="326">
        <f t="shared" si="9"/>
        <v>1336.7002857092905</v>
      </c>
      <c r="AA42" s="13">
        <f>AA43+AA54</f>
        <v>505.02809484679955</v>
      </c>
      <c r="AB42" s="13">
        <f>AB43+AB54</f>
        <v>441.23360915428361</v>
      </c>
      <c r="AC42" s="13">
        <f>AC43+AC54</f>
        <v>365.84340084332337</v>
      </c>
      <c r="AD42" s="13">
        <f>AD43+AD54</f>
        <v>332.86521645673002</v>
      </c>
      <c r="AF42" s="327"/>
      <c r="AK42" s="311"/>
    </row>
    <row r="43" spans="2:37" x14ac:dyDescent="0.3">
      <c r="B43" s="11"/>
      <c r="C43" s="3" t="s">
        <v>421</v>
      </c>
      <c r="L43" s="16"/>
      <c r="M43" s="16"/>
      <c r="N43" s="15"/>
      <c r="O43" s="246">
        <f>O52+O44</f>
        <v>117.65533896000001</v>
      </c>
      <c r="P43" s="16">
        <f t="shared" ref="P43:Z43" si="10">P44+P52</f>
        <v>135.44394313461507</v>
      </c>
      <c r="Q43" s="16">
        <f t="shared" si="10"/>
        <v>135.44394313461507</v>
      </c>
      <c r="R43" s="16">
        <f t="shared" si="10"/>
        <v>135.44394313461507</v>
      </c>
      <c r="S43" s="16">
        <f t="shared" si="10"/>
        <v>134.50915338475176</v>
      </c>
      <c r="T43" s="16">
        <f t="shared" si="10"/>
        <v>134.50915338475176</v>
      </c>
      <c r="U43" s="16">
        <f t="shared" si="10"/>
        <v>134.50915338475176</v>
      </c>
      <c r="V43" s="16">
        <f t="shared" si="10"/>
        <v>132.03913561630469</v>
      </c>
      <c r="W43" s="16">
        <f t="shared" si="10"/>
        <v>132.03913561630469</v>
      </c>
      <c r="X43" s="16">
        <f t="shared" si="10"/>
        <v>132.03913561630469</v>
      </c>
      <c r="Y43" s="292">
        <f t="shared" si="10"/>
        <v>1205.9766964070143</v>
      </c>
      <c r="Z43" s="246">
        <f t="shared" si="10"/>
        <v>1323.6320353670142</v>
      </c>
      <c r="AA43" s="16">
        <f>AA44+AA52</f>
        <v>497.43625314350345</v>
      </c>
      <c r="AB43" s="16">
        <f>AB44+AB52</f>
        <v>438.76921634726608</v>
      </c>
      <c r="AC43" s="16">
        <f>AC44+AC52</f>
        <v>364.47293432916473</v>
      </c>
      <c r="AD43" s="16">
        <f>AD44+AD52</f>
        <v>332.81625758897241</v>
      </c>
      <c r="AF43" s="327"/>
      <c r="AK43" s="311"/>
    </row>
    <row r="44" spans="2:37" x14ac:dyDescent="0.3">
      <c r="B44" s="11"/>
      <c r="D44" s="3" t="s">
        <v>577</v>
      </c>
      <c r="L44" s="16"/>
      <c r="M44" s="16"/>
      <c r="N44" s="15"/>
      <c r="O44" s="246">
        <v>50.123064960000008</v>
      </c>
      <c r="P44" s="16">
        <f t="shared" ref="P44:Y44" si="11">SUM(P45:P51)</f>
        <v>130.25672076942854</v>
      </c>
      <c r="Q44" s="16">
        <f t="shared" si="11"/>
        <v>130.25672076942854</v>
      </c>
      <c r="R44" s="16">
        <f t="shared" si="11"/>
        <v>130.25672076942854</v>
      </c>
      <c r="S44" s="16">
        <f t="shared" si="11"/>
        <v>129.35773152998317</v>
      </c>
      <c r="T44" s="16">
        <f t="shared" si="11"/>
        <v>129.35773152998317</v>
      </c>
      <c r="U44" s="16">
        <f t="shared" si="11"/>
        <v>129.35773152998317</v>
      </c>
      <c r="V44" s="16">
        <f t="shared" si="11"/>
        <v>126.98231032388044</v>
      </c>
      <c r="W44" s="16">
        <f t="shared" si="11"/>
        <v>126.98231032388044</v>
      </c>
      <c r="X44" s="16">
        <f t="shared" si="11"/>
        <v>126.98231032388044</v>
      </c>
      <c r="Y44" s="292">
        <f t="shared" si="11"/>
        <v>1159.7902878698762</v>
      </c>
      <c r="Z44" s="246">
        <f t="shared" ref="Z44:Z51" si="12">O44+Y44</f>
        <v>1209.9133528298762</v>
      </c>
      <c r="AA44" s="16">
        <f>SUM(AA45:AA51)</f>
        <v>497.43625314350345</v>
      </c>
      <c r="AB44" s="16">
        <f>SUM(AB45:AB51)</f>
        <v>438.76921634726608</v>
      </c>
      <c r="AC44" s="16">
        <f>SUM(AC45:AC51)</f>
        <v>364.47293432916473</v>
      </c>
      <c r="AD44" s="16">
        <f>SUM(AD45:AD51)</f>
        <v>332.81625758897241</v>
      </c>
      <c r="AF44" s="327"/>
      <c r="AK44" s="311"/>
    </row>
    <row r="45" spans="2:37" x14ac:dyDescent="0.3">
      <c r="B45" s="11"/>
      <c r="E45" s="3" t="s">
        <v>498</v>
      </c>
      <c r="L45" s="16"/>
      <c r="M45" s="16"/>
      <c r="N45" s="15"/>
      <c r="O45" s="306"/>
      <c r="P45" s="16">
        <v>24.754186910746103</v>
      </c>
      <c r="Q45" s="16">
        <v>24.754186910746103</v>
      </c>
      <c r="R45" s="16">
        <v>24.754186910746103</v>
      </c>
      <c r="S45" s="16">
        <v>24.583341617447406</v>
      </c>
      <c r="T45" s="16">
        <v>24.583341617447406</v>
      </c>
      <c r="U45" s="16">
        <v>24.583341617447406</v>
      </c>
      <c r="V45" s="16">
        <v>24.13191292969697</v>
      </c>
      <c r="W45" s="16">
        <v>24.13191292969697</v>
      </c>
      <c r="X45" s="16">
        <v>24.13191292969697</v>
      </c>
      <c r="Y45" s="292">
        <f t="shared" ref="Y45:Y51" si="13">SUM(P45:X45)</f>
        <v>220.40832437367143</v>
      </c>
      <c r="Z45" s="246">
        <f t="shared" si="12"/>
        <v>220.40832437367143</v>
      </c>
      <c r="AA45" s="16">
        <v>283.75830613860711</v>
      </c>
      <c r="AB45" s="16">
        <v>286.52691085684211</v>
      </c>
      <c r="AC45" s="16">
        <v>289.95806925438097</v>
      </c>
      <c r="AD45" s="16">
        <v>291.38696657408224</v>
      </c>
      <c r="AF45" s="327"/>
      <c r="AK45" s="311"/>
    </row>
    <row r="46" spans="2:37" x14ac:dyDescent="0.3">
      <c r="B46" s="11"/>
      <c r="E46" s="3" t="s">
        <v>499</v>
      </c>
      <c r="L46" s="16"/>
      <c r="M46" s="16"/>
      <c r="N46" s="15"/>
      <c r="O46" s="306"/>
      <c r="P46" s="16">
        <v>0.98782856988446521</v>
      </c>
      <c r="Q46" s="16">
        <v>0.98782856988446521</v>
      </c>
      <c r="R46" s="16">
        <v>0.98782856988446521</v>
      </c>
      <c r="S46" s="16">
        <v>0.98101090051971307</v>
      </c>
      <c r="T46" s="16">
        <v>0.98101090051971307</v>
      </c>
      <c r="U46" s="16">
        <v>0.98101090051971307</v>
      </c>
      <c r="V46" s="16">
        <v>0.96299640638047146</v>
      </c>
      <c r="W46" s="16">
        <v>0.96299640638047146</v>
      </c>
      <c r="X46" s="16">
        <v>0.96299640638047146</v>
      </c>
      <c r="Y46" s="292">
        <f t="shared" si="13"/>
        <v>8.7955076303539492</v>
      </c>
      <c r="Z46" s="246">
        <f t="shared" si="12"/>
        <v>8.7955076303539492</v>
      </c>
      <c r="AA46" s="16">
        <v>11.323521259510843</v>
      </c>
      <c r="AB46" s="16">
        <v>11.434003855818711</v>
      </c>
      <c r="AC46" s="16">
        <v>11.570925997721767</v>
      </c>
      <c r="AD46" s="16">
        <v>11.627946880731239</v>
      </c>
      <c r="AF46" s="327"/>
      <c r="AK46" s="311"/>
    </row>
    <row r="47" spans="2:37" x14ac:dyDescent="0.3">
      <c r="B47" s="11"/>
      <c r="E47" s="3" t="s">
        <v>573</v>
      </c>
      <c r="L47" s="16"/>
      <c r="M47" s="16"/>
      <c r="N47" s="15"/>
      <c r="O47" s="306"/>
      <c r="P47" s="16">
        <v>67.391737738603084</v>
      </c>
      <c r="Q47" s="16">
        <v>67.391737738603084</v>
      </c>
      <c r="R47" s="16">
        <v>67.391737738603084</v>
      </c>
      <c r="S47" s="16">
        <v>66.926622029435421</v>
      </c>
      <c r="T47" s="16">
        <v>66.926622029435421</v>
      </c>
      <c r="U47" s="16">
        <v>66.926622029435421</v>
      </c>
      <c r="V47" s="16">
        <v>65.697635440530263</v>
      </c>
      <c r="W47" s="16">
        <v>65.697635440530263</v>
      </c>
      <c r="X47" s="16">
        <v>65.697635440530263</v>
      </c>
      <c r="Y47" s="292">
        <f t="shared" si="13"/>
        <v>600.04798562570625</v>
      </c>
      <c r="Z47" s="246">
        <f t="shared" si="12"/>
        <v>600.04798562570625</v>
      </c>
      <c r="AA47" s="16">
        <v>33.066585875394104</v>
      </c>
      <c r="AB47" s="16">
        <v>24.304222344956138</v>
      </c>
      <c r="AC47" s="16">
        <v>23.978393320471948</v>
      </c>
      <c r="AD47" s="16">
        <v>22.415186706472063</v>
      </c>
      <c r="AF47" s="327"/>
      <c r="AK47" s="311"/>
    </row>
    <row r="48" spans="2:37" x14ac:dyDescent="0.3">
      <c r="B48" s="11"/>
      <c r="E48" s="3" t="s">
        <v>500</v>
      </c>
      <c r="L48" s="16"/>
      <c r="M48" s="16"/>
      <c r="N48" s="15"/>
      <c r="O48" s="306"/>
      <c r="P48" s="16">
        <v>30.512735583950445</v>
      </c>
      <c r="Q48" s="16">
        <v>30.512735583950445</v>
      </c>
      <c r="R48" s="16">
        <v>30.512735583950445</v>
      </c>
      <c r="S48" s="16">
        <v>30.302146673113601</v>
      </c>
      <c r="T48" s="16">
        <v>30.302146673113601</v>
      </c>
      <c r="U48" s="16">
        <v>30.302146673113601</v>
      </c>
      <c r="V48" s="16">
        <v>29.745702454848495</v>
      </c>
      <c r="W48" s="16">
        <v>29.745702454848495</v>
      </c>
      <c r="X48" s="16">
        <v>29.745702454848495</v>
      </c>
      <c r="Y48" s="292">
        <f t="shared" si="13"/>
        <v>271.68175413573761</v>
      </c>
      <c r="Z48" s="246">
        <f t="shared" si="12"/>
        <v>271.68175413573761</v>
      </c>
      <c r="AA48" s="16">
        <v>168.87893044035539</v>
      </c>
      <c r="AB48" s="16">
        <v>116.39865823701751</v>
      </c>
      <c r="AC48" s="16">
        <v>38.965545756590068</v>
      </c>
      <c r="AD48" s="16">
        <v>7.3861574276868636</v>
      </c>
      <c r="AF48" s="327"/>
      <c r="AK48" s="311"/>
    </row>
    <row r="49" spans="2:37" x14ac:dyDescent="0.3">
      <c r="B49" s="11"/>
      <c r="E49" s="3" t="s">
        <v>501</v>
      </c>
      <c r="L49" s="16"/>
      <c r="M49" s="16"/>
      <c r="N49" s="15"/>
      <c r="O49" s="306"/>
      <c r="P49" s="16">
        <v>4.2532798519626942</v>
      </c>
      <c r="Q49" s="16">
        <v>4.2532798519626942</v>
      </c>
      <c r="R49" s="16">
        <v>4.2532798519626942</v>
      </c>
      <c r="S49" s="16">
        <v>4.2239251069892463</v>
      </c>
      <c r="T49" s="16">
        <v>4.2239251069892463</v>
      </c>
      <c r="U49" s="16">
        <v>4.2239251069892463</v>
      </c>
      <c r="V49" s="16">
        <v>4.1463603479797984</v>
      </c>
      <c r="W49" s="16">
        <v>4.1463603479797984</v>
      </c>
      <c r="X49" s="16">
        <v>4.1463603479797984</v>
      </c>
      <c r="Y49" s="292">
        <f t="shared" si="13"/>
        <v>37.870695920795214</v>
      </c>
      <c r="Z49" s="246">
        <f t="shared" si="12"/>
        <v>37.870695920795214</v>
      </c>
      <c r="AA49" s="16">
        <v>0.104402407566638</v>
      </c>
      <c r="AB49" s="16">
        <v>0.10542105263157894</v>
      </c>
      <c r="AC49" s="16">
        <v>0</v>
      </c>
      <c r="AD49" s="16">
        <v>0</v>
      </c>
      <c r="AF49" s="327"/>
      <c r="AK49" s="311"/>
    </row>
    <row r="50" spans="2:37" x14ac:dyDescent="0.3">
      <c r="B50" s="11"/>
      <c r="E50" s="3" t="s">
        <v>574</v>
      </c>
      <c r="L50" s="16"/>
      <c r="M50" s="16"/>
      <c r="N50" s="15"/>
      <c r="O50" s="306"/>
      <c r="P50" s="16">
        <v>0.50292603131959901</v>
      </c>
      <c r="Q50" s="16">
        <v>0.50292603131959901</v>
      </c>
      <c r="R50" s="16">
        <v>0.50292603131959901</v>
      </c>
      <c r="S50" s="16">
        <v>0.4994550005142589</v>
      </c>
      <c r="T50" s="16">
        <v>0.4994550005142589</v>
      </c>
      <c r="U50" s="16">
        <v>0.4994550005142589</v>
      </c>
      <c r="V50" s="16">
        <v>0.49028341111111112</v>
      </c>
      <c r="W50" s="16">
        <v>0.49028341111111112</v>
      </c>
      <c r="X50" s="16">
        <v>0.49028341111111112</v>
      </c>
      <c r="Y50" s="292">
        <f t="shared" si="13"/>
        <v>4.4779933288349074</v>
      </c>
      <c r="Z50" s="246">
        <f t="shared" si="12"/>
        <v>4.4779933288349074</v>
      </c>
      <c r="AA50" s="16">
        <v>0</v>
      </c>
      <c r="AB50" s="16">
        <v>0</v>
      </c>
      <c r="AC50" s="16">
        <v>0</v>
      </c>
      <c r="AD50" s="16">
        <v>0</v>
      </c>
      <c r="AF50" s="327"/>
      <c r="AK50" s="311"/>
    </row>
    <row r="51" spans="2:37" x14ac:dyDescent="0.3">
      <c r="B51" s="11"/>
      <c r="E51" s="3" t="s">
        <v>105</v>
      </c>
      <c r="L51" s="16"/>
      <c r="M51" s="16"/>
      <c r="N51" s="15"/>
      <c r="O51" s="306"/>
      <c r="P51" s="16">
        <v>1.8540260829621378</v>
      </c>
      <c r="Q51" s="16">
        <v>1.8540260829621378</v>
      </c>
      <c r="R51" s="16">
        <v>1.8540260829621378</v>
      </c>
      <c r="S51" s="16">
        <v>1.8412302019635343</v>
      </c>
      <c r="T51" s="16">
        <v>1.8412302019635343</v>
      </c>
      <c r="U51" s="16">
        <v>1.8412302019635343</v>
      </c>
      <c r="V51" s="16">
        <v>1.8074193333333335</v>
      </c>
      <c r="W51" s="16">
        <v>1.8074193333333335</v>
      </c>
      <c r="X51" s="16">
        <v>1.8074193333333335</v>
      </c>
      <c r="Y51" s="292">
        <f t="shared" si="13"/>
        <v>16.508026854777015</v>
      </c>
      <c r="Z51" s="246">
        <f t="shared" si="12"/>
        <v>16.508026854777015</v>
      </c>
      <c r="AA51" s="16">
        <v>0.30450702206936087</v>
      </c>
      <c r="AB51" s="16">
        <v>0</v>
      </c>
      <c r="AC51" s="16">
        <v>0</v>
      </c>
      <c r="AD51" s="16">
        <v>0</v>
      </c>
      <c r="AF51" s="327"/>
      <c r="AK51" s="311"/>
    </row>
    <row r="52" spans="2:37" x14ac:dyDescent="0.3">
      <c r="B52" s="11"/>
      <c r="D52" s="3" t="s">
        <v>422</v>
      </c>
      <c r="L52" s="16"/>
      <c r="M52" s="16"/>
      <c r="N52" s="15"/>
      <c r="O52" s="246">
        <f>O53</f>
        <v>67.532274000000001</v>
      </c>
      <c r="P52" s="16">
        <f t="shared" ref="P52:Z52" si="14">P53</f>
        <v>5.1872223651865257</v>
      </c>
      <c r="Q52" s="16">
        <f t="shared" si="14"/>
        <v>5.1872223651865257</v>
      </c>
      <c r="R52" s="16">
        <f t="shared" si="14"/>
        <v>5.1872223651865257</v>
      </c>
      <c r="S52" s="16">
        <f t="shared" si="14"/>
        <v>5.1514218547685831</v>
      </c>
      <c r="T52" s="16">
        <f t="shared" si="14"/>
        <v>5.1514218547685831</v>
      </c>
      <c r="U52" s="16">
        <f t="shared" si="14"/>
        <v>5.1514218547685831</v>
      </c>
      <c r="V52" s="16">
        <f t="shared" si="14"/>
        <v>5.0568252924242438</v>
      </c>
      <c r="W52" s="16">
        <f t="shared" si="14"/>
        <v>5.0568252924242438</v>
      </c>
      <c r="X52" s="16">
        <f t="shared" si="14"/>
        <v>5.0568252924242438</v>
      </c>
      <c r="Y52" s="292">
        <f t="shared" si="14"/>
        <v>46.186408537138057</v>
      </c>
      <c r="Z52" s="246">
        <f t="shared" si="14"/>
        <v>113.71868253713805</v>
      </c>
      <c r="AA52" s="16">
        <f>AA53</f>
        <v>0</v>
      </c>
      <c r="AB52" s="16">
        <f>AB53</f>
        <v>0</v>
      </c>
      <c r="AC52" s="16">
        <f>AC53</f>
        <v>0</v>
      </c>
      <c r="AD52" s="16">
        <f>AD53</f>
        <v>0</v>
      </c>
      <c r="AF52" s="327"/>
      <c r="AK52" s="311"/>
    </row>
    <row r="53" spans="2:37" x14ac:dyDescent="0.3">
      <c r="B53" s="11"/>
      <c r="E53" s="3" t="s">
        <v>500</v>
      </c>
      <c r="L53" s="16"/>
      <c r="M53" s="16"/>
      <c r="N53" s="15"/>
      <c r="O53" s="246">
        <f>Projection_강소!O187</f>
        <v>67.532274000000001</v>
      </c>
      <c r="P53" s="16">
        <v>5.1872223651865257</v>
      </c>
      <c r="Q53" s="16">
        <v>5.1872223651865257</v>
      </c>
      <c r="R53" s="16">
        <v>5.1872223651865257</v>
      </c>
      <c r="S53" s="16">
        <v>5.1514218547685831</v>
      </c>
      <c r="T53" s="16">
        <v>5.1514218547685831</v>
      </c>
      <c r="U53" s="16">
        <v>5.1514218547685831</v>
      </c>
      <c r="V53" s="16">
        <v>5.0568252924242438</v>
      </c>
      <c r="W53" s="16">
        <v>5.0568252924242438</v>
      </c>
      <c r="X53" s="16">
        <v>5.0568252924242438</v>
      </c>
      <c r="Y53" s="292">
        <f t="shared" ref="Y53" si="15">SUM(P53:X53)</f>
        <v>46.186408537138057</v>
      </c>
      <c r="Z53" s="246">
        <f t="shared" ref="Z53" si="16">O53+Y53</f>
        <v>113.71868253713805</v>
      </c>
      <c r="AA53" s="16">
        <v>0</v>
      </c>
      <c r="AB53" s="16">
        <v>0</v>
      </c>
      <c r="AC53" s="16">
        <v>0</v>
      </c>
      <c r="AD53" s="16">
        <v>0</v>
      </c>
      <c r="AF53" s="327"/>
      <c r="AK53" s="311"/>
    </row>
    <row r="54" spans="2:37" x14ac:dyDescent="0.3">
      <c r="B54" s="11"/>
      <c r="C54" s="3" t="s">
        <v>433</v>
      </c>
      <c r="L54" s="16"/>
      <c r="M54" s="16"/>
      <c r="N54" s="15"/>
      <c r="O54" s="246">
        <f>O55</f>
        <v>3.6485666400000003</v>
      </c>
      <c r="P54" s="16">
        <f t="shared" ref="P54:Z54" si="17">P55</f>
        <v>1.0579301470072384</v>
      </c>
      <c r="Q54" s="16">
        <f t="shared" si="17"/>
        <v>1.0579301470072384</v>
      </c>
      <c r="R54" s="16">
        <f t="shared" si="17"/>
        <v>1.0579301470072384</v>
      </c>
      <c r="S54" s="16">
        <f t="shared" si="17"/>
        <v>1.0506286595091165</v>
      </c>
      <c r="T54" s="16">
        <f t="shared" si="17"/>
        <v>1.0506286595091165</v>
      </c>
      <c r="U54" s="16">
        <f t="shared" si="17"/>
        <v>1.0506286595091165</v>
      </c>
      <c r="V54" s="16">
        <f t="shared" si="17"/>
        <v>1.031335760909091</v>
      </c>
      <c r="W54" s="16">
        <f t="shared" si="17"/>
        <v>1.031335760909091</v>
      </c>
      <c r="X54" s="16">
        <f t="shared" si="17"/>
        <v>1.031335760909091</v>
      </c>
      <c r="Y54" s="292">
        <f t="shared" si="17"/>
        <v>9.4196837022763376</v>
      </c>
      <c r="Z54" s="246">
        <f t="shared" si="17"/>
        <v>13.068250342276338</v>
      </c>
      <c r="AA54" s="16">
        <f>AA55</f>
        <v>7.5918417032960734</v>
      </c>
      <c r="AB54" s="16">
        <f>AB55</f>
        <v>2.464392807017544</v>
      </c>
      <c r="AC54" s="16">
        <f>AC55</f>
        <v>1.3704665141586359</v>
      </c>
      <c r="AD54" s="16">
        <f>AD55</f>
        <v>4.8958867757629365E-2</v>
      </c>
      <c r="AF54" s="327"/>
      <c r="AK54" s="311"/>
    </row>
    <row r="55" spans="2:37" x14ac:dyDescent="0.3">
      <c r="B55" s="11"/>
      <c r="D55" s="3" t="s">
        <v>577</v>
      </c>
      <c r="L55" s="16"/>
      <c r="M55" s="16"/>
      <c r="N55" s="15"/>
      <c r="O55" s="246">
        <v>3.6485666400000003</v>
      </c>
      <c r="P55" s="16">
        <f t="shared" ref="P55:Z55" si="18">SUM(P56:P56)</f>
        <v>1.0579301470072384</v>
      </c>
      <c r="Q55" s="16">
        <f t="shared" si="18"/>
        <v>1.0579301470072384</v>
      </c>
      <c r="R55" s="16">
        <f t="shared" si="18"/>
        <v>1.0579301470072384</v>
      </c>
      <c r="S55" s="16">
        <f t="shared" si="18"/>
        <v>1.0506286595091165</v>
      </c>
      <c r="T55" s="16">
        <f t="shared" si="18"/>
        <v>1.0506286595091165</v>
      </c>
      <c r="U55" s="16">
        <f t="shared" si="18"/>
        <v>1.0506286595091165</v>
      </c>
      <c r="V55" s="16">
        <f t="shared" si="18"/>
        <v>1.031335760909091</v>
      </c>
      <c r="W55" s="16">
        <f t="shared" si="18"/>
        <v>1.031335760909091</v>
      </c>
      <c r="X55" s="16">
        <f t="shared" si="18"/>
        <v>1.031335760909091</v>
      </c>
      <c r="Y55" s="292">
        <f t="shared" si="18"/>
        <v>9.4196837022763376</v>
      </c>
      <c r="Z55" s="246">
        <f t="shared" si="18"/>
        <v>13.068250342276338</v>
      </c>
      <c r="AA55" s="16">
        <f>SUM(AA56:AA56)</f>
        <v>7.5918417032960734</v>
      </c>
      <c r="AB55" s="16">
        <f>SUM(AB56:AB56)</f>
        <v>2.464392807017544</v>
      </c>
      <c r="AC55" s="16">
        <f>SUM(AC56:AC56)</f>
        <v>1.3704665141586359</v>
      </c>
      <c r="AD55" s="16">
        <f>SUM(AD56:AD56)</f>
        <v>4.8958867757629365E-2</v>
      </c>
      <c r="AF55" s="327"/>
      <c r="AK55" s="311"/>
    </row>
    <row r="56" spans="2:37" x14ac:dyDescent="0.3">
      <c r="B56" s="65"/>
      <c r="C56" s="92"/>
      <c r="D56" s="92"/>
      <c r="E56" s="92" t="s">
        <v>502</v>
      </c>
      <c r="F56" s="92"/>
      <c r="G56" s="92"/>
      <c r="H56" s="92"/>
      <c r="I56" s="92"/>
      <c r="J56" s="92"/>
      <c r="K56" s="92"/>
      <c r="L56" s="130"/>
      <c r="M56" s="130"/>
      <c r="N56" s="131"/>
      <c r="O56" s="330">
        <f>O55</f>
        <v>3.6485666400000003</v>
      </c>
      <c r="P56" s="130">
        <v>1.0579301470072384</v>
      </c>
      <c r="Q56" s="130">
        <v>1.0579301470072384</v>
      </c>
      <c r="R56" s="130">
        <v>1.0579301470072384</v>
      </c>
      <c r="S56" s="130">
        <v>1.0506286595091165</v>
      </c>
      <c r="T56" s="130">
        <v>1.0506286595091165</v>
      </c>
      <c r="U56" s="130">
        <v>1.0506286595091165</v>
      </c>
      <c r="V56" s="130">
        <v>1.031335760909091</v>
      </c>
      <c r="W56" s="130">
        <v>1.031335760909091</v>
      </c>
      <c r="X56" s="130">
        <v>1.031335760909091</v>
      </c>
      <c r="Y56" s="296">
        <f t="shared" ref="Y56" si="19">SUM(P56:X56)</f>
        <v>9.4196837022763376</v>
      </c>
      <c r="Z56" s="330">
        <f t="shared" ref="Z56" si="20">O56+Y56</f>
        <v>13.068250342276338</v>
      </c>
      <c r="AA56" s="130">
        <v>7.5918417032960734</v>
      </c>
      <c r="AB56" s="130">
        <v>2.464392807017544</v>
      </c>
      <c r="AC56" s="130">
        <v>1.3704665141586359</v>
      </c>
      <c r="AD56" s="130">
        <v>4.8958867757629365E-2</v>
      </c>
      <c r="AF56" s="327"/>
      <c r="AK56" s="311"/>
    </row>
    <row r="57" spans="2:37" x14ac:dyDescent="0.3">
      <c r="L57" s="16"/>
      <c r="M57" s="16"/>
      <c r="N57" s="16"/>
      <c r="O57" s="16"/>
      <c r="P57" s="16"/>
      <c r="Q57" s="16"/>
      <c r="R57" s="16"/>
      <c r="S57" s="16"/>
      <c r="T57" s="16"/>
      <c r="U57" s="16"/>
      <c r="V57" s="16"/>
      <c r="W57" s="16"/>
      <c r="X57" s="16"/>
      <c r="Y57" s="16"/>
      <c r="Z57" s="16"/>
      <c r="AA57" s="16"/>
      <c r="AB57" s="16"/>
      <c r="AC57" s="16"/>
      <c r="AD57" s="16"/>
      <c r="AF57" s="327"/>
      <c r="AK57" s="311"/>
    </row>
    <row r="58" spans="2:37" x14ac:dyDescent="0.3">
      <c r="B58" s="8"/>
      <c r="C58" s="8"/>
      <c r="D58" s="8"/>
      <c r="E58" s="8"/>
      <c r="F58" s="8"/>
      <c r="G58" s="8"/>
      <c r="H58" s="8"/>
      <c r="I58" s="8"/>
      <c r="J58" s="8"/>
      <c r="K58" s="8"/>
      <c r="L58" s="9" t="s">
        <v>182</v>
      </c>
      <c r="M58" s="9" t="s">
        <v>183</v>
      </c>
      <c r="N58" s="10" t="s">
        <v>184</v>
      </c>
      <c r="O58" s="244" t="s">
        <v>4</v>
      </c>
      <c r="P58" s="9" t="s">
        <v>215</v>
      </c>
      <c r="Q58" s="9" t="s">
        <v>216</v>
      </c>
      <c r="R58" s="9" t="s">
        <v>217</v>
      </c>
      <c r="S58" s="9" t="s">
        <v>218</v>
      </c>
      <c r="T58" s="9" t="s">
        <v>219</v>
      </c>
      <c r="U58" s="9" t="s">
        <v>220</v>
      </c>
      <c r="V58" s="9" t="s">
        <v>221</v>
      </c>
      <c r="W58" s="9" t="s">
        <v>222</v>
      </c>
      <c r="X58" s="10" t="s">
        <v>223</v>
      </c>
      <c r="Y58" s="9" t="s">
        <v>294</v>
      </c>
      <c r="Z58" s="244" t="s">
        <v>197</v>
      </c>
      <c r="AA58" s="9" t="s">
        <v>198</v>
      </c>
      <c r="AB58" s="9" t="s">
        <v>199</v>
      </c>
      <c r="AC58" s="9" t="s">
        <v>200</v>
      </c>
      <c r="AD58" s="9" t="s">
        <v>201</v>
      </c>
      <c r="AF58" s="327"/>
      <c r="AK58" s="311"/>
    </row>
    <row r="59" spans="2:37" x14ac:dyDescent="0.3">
      <c r="B59" s="11" t="s">
        <v>578</v>
      </c>
      <c r="L59" s="119"/>
      <c r="M59" s="119"/>
      <c r="N59" s="294"/>
      <c r="O59" s="352"/>
      <c r="P59" s="13"/>
      <c r="Q59" s="13"/>
      <c r="R59" s="13"/>
      <c r="S59" s="13"/>
      <c r="T59" s="13"/>
      <c r="U59" s="13"/>
      <c r="V59" s="13"/>
      <c r="W59" s="13"/>
      <c r="X59" s="13"/>
      <c r="Y59" s="396">
        <f t="shared" ref="Y59:AD59" si="21">Y60+Y104</f>
        <v>46.896484561940724</v>
      </c>
      <c r="Z59" s="326">
        <f t="shared" si="21"/>
        <v>46.896484561940724</v>
      </c>
      <c r="AA59" s="13">
        <f t="shared" si="21"/>
        <v>157.62117850490995</v>
      </c>
      <c r="AB59" s="13">
        <f t="shared" si="21"/>
        <v>222.53027707542086</v>
      </c>
      <c r="AC59" s="13">
        <f t="shared" si="21"/>
        <v>284.87528688435856</v>
      </c>
      <c r="AD59" s="13">
        <f t="shared" si="21"/>
        <v>365.1192030839436</v>
      </c>
      <c r="AF59" s="327"/>
      <c r="AK59" s="311"/>
    </row>
    <row r="60" spans="2:37" x14ac:dyDescent="0.3">
      <c r="B60" s="11"/>
      <c r="C60" s="3" t="s">
        <v>421</v>
      </c>
      <c r="L60" s="119"/>
      <c r="M60" s="119"/>
      <c r="N60" s="294"/>
      <c r="O60" s="306"/>
      <c r="P60" s="16"/>
      <c r="Q60" s="16"/>
      <c r="R60" s="16"/>
      <c r="S60" s="16"/>
      <c r="T60" s="16"/>
      <c r="U60" s="16"/>
      <c r="V60" s="16"/>
      <c r="W60" s="16"/>
      <c r="X60" s="16"/>
      <c r="Y60" s="292">
        <f t="shared" ref="Y60:AD60" si="22">Y61</f>
        <v>46.896484561940724</v>
      </c>
      <c r="Z60" s="246">
        <f t="shared" si="22"/>
        <v>46.896484561940724</v>
      </c>
      <c r="AA60" s="13">
        <f t="shared" si="22"/>
        <v>157.62117850490995</v>
      </c>
      <c r="AB60" s="16">
        <f t="shared" si="22"/>
        <v>222.53027707542086</v>
      </c>
      <c r="AC60" s="16">
        <f t="shared" si="22"/>
        <v>284.87528688435856</v>
      </c>
      <c r="AD60" s="16">
        <f t="shared" si="22"/>
        <v>346.55467400874136</v>
      </c>
      <c r="AF60" s="327"/>
      <c r="AK60" s="311"/>
    </row>
    <row r="61" spans="2:37" x14ac:dyDescent="0.3">
      <c r="B61" s="11"/>
      <c r="D61" s="3" t="s">
        <v>577</v>
      </c>
      <c r="L61" s="119"/>
      <c r="M61" s="119"/>
      <c r="N61" s="294"/>
      <c r="O61" s="306"/>
      <c r="P61" s="16"/>
      <c r="Q61" s="16"/>
      <c r="R61" s="16"/>
      <c r="S61" s="16"/>
      <c r="T61" s="16"/>
      <c r="U61" s="16"/>
      <c r="V61" s="16"/>
      <c r="W61" s="16"/>
      <c r="X61" s="16"/>
      <c r="Y61" s="292">
        <f t="shared" ref="Y61:AD61" si="23">SUM(Y62:Y68)</f>
        <v>46.896484561940724</v>
      </c>
      <c r="Z61" s="246">
        <f t="shared" si="23"/>
        <v>46.896484561940724</v>
      </c>
      <c r="AA61" s="16">
        <f t="shared" si="23"/>
        <v>157.62117850490995</v>
      </c>
      <c r="AB61" s="16">
        <f t="shared" si="23"/>
        <v>222.53027707542086</v>
      </c>
      <c r="AC61" s="16">
        <f t="shared" si="23"/>
        <v>284.87528688435856</v>
      </c>
      <c r="AD61" s="16">
        <f t="shared" si="23"/>
        <v>346.55467400874136</v>
      </c>
      <c r="AF61" s="327"/>
      <c r="AK61" s="311"/>
    </row>
    <row r="62" spans="2:37" x14ac:dyDescent="0.3">
      <c r="B62" s="11"/>
      <c r="E62" s="3" t="s">
        <v>498</v>
      </c>
      <c r="L62" s="119"/>
      <c r="M62" s="119"/>
      <c r="N62" s="294"/>
      <c r="O62" s="306"/>
      <c r="P62" s="16"/>
      <c r="Q62" s="16"/>
      <c r="R62" s="16"/>
      <c r="S62" s="16"/>
      <c r="T62" s="16"/>
      <c r="U62" s="16"/>
      <c r="V62" s="16"/>
      <c r="W62" s="16"/>
      <c r="X62" s="16"/>
      <c r="Y62" s="292">
        <f t="shared" ref="Y62:AD62" si="24">Y81</f>
        <v>2.7551040546708929</v>
      </c>
      <c r="Z62" s="246">
        <f t="shared" si="24"/>
        <v>2.7551040546708929</v>
      </c>
      <c r="AA62" s="16">
        <f t="shared" si="24"/>
        <v>12.19869831719565</v>
      </c>
      <c r="AB62" s="16">
        <f t="shared" si="24"/>
        <v>22.110075211026327</v>
      </c>
      <c r="AC62" s="16">
        <f t="shared" si="24"/>
        <v>32.455160719914261</v>
      </c>
      <c r="AD62" s="16">
        <f t="shared" si="24"/>
        <v>43.226083341052451</v>
      </c>
      <c r="AF62" s="327"/>
      <c r="AK62" s="311"/>
    </row>
    <row r="63" spans="2:37" x14ac:dyDescent="0.3">
      <c r="B63" s="11"/>
      <c r="E63" s="3" t="s">
        <v>499</v>
      </c>
      <c r="L63" s="119"/>
      <c r="M63" s="119"/>
      <c r="N63" s="294"/>
      <c r="O63" s="306"/>
      <c r="P63" s="16"/>
      <c r="Q63" s="16"/>
      <c r="R63" s="16"/>
      <c r="S63" s="16"/>
      <c r="T63" s="16"/>
      <c r="U63" s="16"/>
      <c r="V63" s="16"/>
      <c r="W63" s="16"/>
      <c r="X63" s="16"/>
      <c r="Y63" s="292">
        <f t="shared" ref="Y63:AD63" si="25">Y87</f>
        <v>0.10994384537942437</v>
      </c>
      <c r="Z63" s="246">
        <f t="shared" si="25"/>
        <v>0.10994384537942437</v>
      </c>
      <c r="AA63" s="16">
        <f t="shared" si="25"/>
        <v>0.4867953351316201</v>
      </c>
      <c r="AB63" s="16">
        <f t="shared" si="25"/>
        <v>0.88231393155816662</v>
      </c>
      <c r="AC63" s="16">
        <f t="shared" si="25"/>
        <v>1.2951398935024467</v>
      </c>
      <c r="AD63" s="16">
        <f t="shared" si="25"/>
        <v>1.7249591045934116</v>
      </c>
      <c r="AF63" s="327"/>
      <c r="AK63" s="311"/>
    </row>
    <row r="64" spans="2:37" x14ac:dyDescent="0.3">
      <c r="B64" s="11"/>
      <c r="E64" s="3" t="s">
        <v>573</v>
      </c>
      <c r="L64" s="119"/>
      <c r="M64" s="119"/>
      <c r="N64" s="294"/>
      <c r="O64" s="306"/>
      <c r="P64" s="16"/>
      <c r="Q64" s="16"/>
      <c r="R64" s="16"/>
      <c r="S64" s="16"/>
      <c r="T64" s="16"/>
      <c r="U64" s="16"/>
      <c r="V64" s="16"/>
      <c r="W64" s="16"/>
      <c r="X64" s="16"/>
      <c r="Y64" s="292">
        <f t="shared" ref="Y64:AD64" si="26">Y93</f>
        <v>18.75149955080332</v>
      </c>
      <c r="Z64" s="246">
        <f t="shared" si="26"/>
        <v>18.75149955080332</v>
      </c>
      <c r="AA64" s="16">
        <f t="shared" si="26"/>
        <v>53.4652731637062</v>
      </c>
      <c r="AB64" s="16">
        <f t="shared" si="26"/>
        <v>60.311162936529641</v>
      </c>
      <c r="AC64" s="16">
        <f t="shared" si="26"/>
        <v>67.34886883396662</v>
      </c>
      <c r="AD64" s="16">
        <f t="shared" si="26"/>
        <v>74.894340404586501</v>
      </c>
      <c r="AF64" s="327"/>
      <c r="AK64" s="311"/>
    </row>
    <row r="65" spans="2:37" x14ac:dyDescent="0.3">
      <c r="B65" s="11"/>
      <c r="E65" s="3" t="s">
        <v>500</v>
      </c>
      <c r="L65" s="119"/>
      <c r="M65" s="119"/>
      <c r="N65" s="294"/>
      <c r="O65" s="306"/>
      <c r="P65" s="16"/>
      <c r="Q65" s="16"/>
      <c r="R65" s="16"/>
      <c r="S65" s="16"/>
      <c r="T65" s="16"/>
      <c r="U65" s="16"/>
      <c r="V65" s="16"/>
      <c r="W65" s="16"/>
      <c r="X65" s="16"/>
      <c r="Y65" s="292">
        <f t="shared" ref="Y65:AD65" si="27">Y99</f>
        <v>20.376131560180319</v>
      </c>
      <c r="Z65" s="246">
        <f t="shared" si="27"/>
        <v>20.376131560180319</v>
      </c>
      <c r="AA65" s="16">
        <f t="shared" si="27"/>
        <v>76.657878953897807</v>
      </c>
      <c r="AB65" s="16">
        <f t="shared" si="27"/>
        <v>120.51721361241466</v>
      </c>
      <c r="AC65" s="16">
        <f t="shared" si="27"/>
        <v>160.15707673425837</v>
      </c>
      <c r="AD65" s="16">
        <f t="shared" si="27"/>
        <v>196.82366239953774</v>
      </c>
      <c r="AK65" s="311"/>
    </row>
    <row r="66" spans="2:37" x14ac:dyDescent="0.3">
      <c r="B66" s="11"/>
      <c r="E66" s="3" t="s">
        <v>501</v>
      </c>
      <c r="L66" s="119"/>
      <c r="M66" s="119"/>
      <c r="N66" s="294"/>
      <c r="O66" s="306"/>
      <c r="P66" s="16"/>
      <c r="Q66" s="16"/>
      <c r="R66" s="16"/>
      <c r="S66" s="16"/>
      <c r="T66" s="16"/>
      <c r="U66" s="16"/>
      <c r="V66" s="16"/>
      <c r="W66" s="16"/>
      <c r="X66" s="16"/>
      <c r="Y66" s="292">
        <f t="shared" ref="Y66:AD66" si="28">Y105</f>
        <v>2.8403021940596407</v>
      </c>
      <c r="Z66" s="246">
        <f t="shared" si="28"/>
        <v>2.8403021940596407</v>
      </c>
      <c r="AA66" s="16">
        <f t="shared" si="28"/>
        <v>8.3419933433316107</v>
      </c>
      <c r="AB66" s="16">
        <f t="shared" si="28"/>
        <v>10.031374358017755</v>
      </c>
      <c r="AC66" s="16">
        <f t="shared" si="28"/>
        <v>12.048191334884462</v>
      </c>
      <c r="AD66" s="16">
        <f t="shared" si="28"/>
        <v>14.457829601861356</v>
      </c>
      <c r="AK66" s="311"/>
    </row>
    <row r="67" spans="2:37" x14ac:dyDescent="0.3">
      <c r="B67" s="11"/>
      <c r="E67" s="3" t="s">
        <v>574</v>
      </c>
      <c r="L67" s="119"/>
      <c r="M67" s="119"/>
      <c r="N67" s="294"/>
      <c r="O67" s="306"/>
      <c r="P67" s="16"/>
      <c r="Q67" s="16"/>
      <c r="R67" s="16"/>
      <c r="S67" s="16"/>
      <c r="T67" s="16"/>
      <c r="U67" s="16"/>
      <c r="V67" s="16"/>
      <c r="W67" s="16"/>
      <c r="X67" s="16"/>
      <c r="Y67" s="292">
        <f t="shared" ref="Y67:AD67" si="29">Y1131</f>
        <v>0</v>
      </c>
      <c r="Z67" s="246">
        <f t="shared" si="29"/>
        <v>0</v>
      </c>
      <c r="AA67" s="16">
        <f t="shared" si="29"/>
        <v>0</v>
      </c>
      <c r="AB67" s="16">
        <f t="shared" si="29"/>
        <v>0</v>
      </c>
      <c r="AC67" s="16">
        <f t="shared" si="29"/>
        <v>0</v>
      </c>
      <c r="AD67" s="16">
        <f t="shared" si="29"/>
        <v>0</v>
      </c>
      <c r="AK67" s="311"/>
    </row>
    <row r="68" spans="2:37" x14ac:dyDescent="0.3">
      <c r="B68" s="11"/>
      <c r="E68" s="3" t="s">
        <v>105</v>
      </c>
      <c r="L68" s="119"/>
      <c r="M68" s="119"/>
      <c r="N68" s="294"/>
      <c r="O68" s="306"/>
      <c r="P68" s="16"/>
      <c r="Q68" s="16"/>
      <c r="R68" s="16"/>
      <c r="S68" s="16"/>
      <c r="T68" s="16"/>
      <c r="U68" s="16"/>
      <c r="V68" s="16"/>
      <c r="W68" s="16"/>
      <c r="X68" s="16"/>
      <c r="Y68" s="292">
        <f t="shared" ref="Y68:AD68" si="30">Y117</f>
        <v>2.0635033568471268</v>
      </c>
      <c r="Z68" s="246">
        <f t="shared" si="30"/>
        <v>2.0635033568471268</v>
      </c>
      <c r="AA68" s="16">
        <f t="shared" si="30"/>
        <v>6.4705393916470655</v>
      </c>
      <c r="AB68" s="16">
        <f t="shared" si="30"/>
        <v>8.6781370258743156</v>
      </c>
      <c r="AC68" s="16">
        <f t="shared" si="30"/>
        <v>11.57084936783242</v>
      </c>
      <c r="AD68" s="16">
        <f t="shared" si="30"/>
        <v>15.427799157109893</v>
      </c>
      <c r="AK68" s="311"/>
    </row>
    <row r="69" spans="2:37" x14ac:dyDescent="0.3">
      <c r="B69" s="11"/>
      <c r="D69" s="3" t="s">
        <v>422</v>
      </c>
      <c r="L69" s="119"/>
      <c r="M69" s="119"/>
      <c r="N69" s="294"/>
      <c r="O69" s="306"/>
      <c r="P69" s="393"/>
      <c r="Q69" s="393"/>
      <c r="R69" s="393"/>
      <c r="S69" s="393"/>
      <c r="T69" s="393"/>
      <c r="U69" s="393"/>
      <c r="V69" s="393"/>
      <c r="W69" s="393"/>
      <c r="X69" s="393"/>
      <c r="Y69" s="504"/>
      <c r="Z69" s="485"/>
      <c r="AA69" s="393"/>
      <c r="AB69" s="393"/>
      <c r="AC69" s="393"/>
      <c r="AD69" s="393"/>
      <c r="AK69" s="311"/>
    </row>
    <row r="70" spans="2:37" x14ac:dyDescent="0.3">
      <c r="B70" s="11"/>
      <c r="E70" s="3" t="s">
        <v>500</v>
      </c>
      <c r="L70" s="119"/>
      <c r="M70" s="119"/>
      <c r="N70" s="294"/>
      <c r="O70" s="306"/>
      <c r="P70" s="393"/>
      <c r="Q70" s="393"/>
      <c r="R70" s="393"/>
      <c r="S70" s="393"/>
      <c r="T70" s="393"/>
      <c r="U70" s="393"/>
      <c r="V70" s="393"/>
      <c r="W70" s="393"/>
      <c r="X70" s="393"/>
      <c r="Y70" s="504"/>
      <c r="Z70" s="485"/>
      <c r="AA70" s="393"/>
      <c r="AB70" s="393"/>
      <c r="AC70" s="393"/>
      <c r="AD70" s="393"/>
      <c r="AK70" s="311"/>
    </row>
    <row r="71" spans="2:37" x14ac:dyDescent="0.3">
      <c r="B71" s="11"/>
      <c r="C71" s="3" t="s">
        <v>433</v>
      </c>
      <c r="L71" s="119"/>
      <c r="M71" s="119"/>
      <c r="N71" s="294"/>
      <c r="O71" s="306"/>
      <c r="P71" s="16"/>
      <c r="Q71" s="16"/>
      <c r="R71" s="16"/>
      <c r="S71" s="16"/>
      <c r="T71" s="16"/>
      <c r="U71" s="16"/>
      <c r="V71" s="16"/>
      <c r="W71" s="16"/>
      <c r="X71" s="16"/>
      <c r="Y71" s="292">
        <f t="shared" ref="Y71:AD72" si="31">Y72</f>
        <v>0.3532381388353627</v>
      </c>
      <c r="Z71" s="246">
        <f t="shared" si="31"/>
        <v>0.3532381388353627</v>
      </c>
      <c r="AA71" s="16">
        <f t="shared" si="31"/>
        <v>1.368658873903819</v>
      </c>
      <c r="AB71" s="16">
        <f t="shared" si="31"/>
        <v>2.0083364868098821</v>
      </c>
      <c r="AC71" s="16">
        <f t="shared" si="31"/>
        <v>2.400913101549679</v>
      </c>
      <c r="AD71" s="16">
        <f t="shared" si="31"/>
        <v>2.7119756808004603</v>
      </c>
      <c r="AK71" s="311"/>
    </row>
    <row r="72" spans="2:37" x14ac:dyDescent="0.3">
      <c r="B72" s="11"/>
      <c r="D72" s="3" t="s">
        <v>577</v>
      </c>
      <c r="L72" s="119"/>
      <c r="M72" s="119"/>
      <c r="N72" s="294"/>
      <c r="O72" s="306"/>
      <c r="P72" s="16"/>
      <c r="Q72" s="16"/>
      <c r="R72" s="16"/>
      <c r="S72" s="16"/>
      <c r="T72" s="16"/>
      <c r="U72" s="16"/>
      <c r="V72" s="16"/>
      <c r="W72" s="16"/>
      <c r="X72" s="16"/>
      <c r="Y72" s="292">
        <f t="shared" si="31"/>
        <v>0.3532381388353627</v>
      </c>
      <c r="Z72" s="246">
        <f t="shared" si="31"/>
        <v>0.3532381388353627</v>
      </c>
      <c r="AA72" s="16">
        <f t="shared" si="31"/>
        <v>1.368658873903819</v>
      </c>
      <c r="AB72" s="16">
        <f t="shared" si="31"/>
        <v>2.0083364868098821</v>
      </c>
      <c r="AC72" s="16">
        <f t="shared" si="31"/>
        <v>2.400913101549679</v>
      </c>
      <c r="AD72" s="16">
        <f t="shared" si="31"/>
        <v>2.7119756808004603</v>
      </c>
      <c r="AK72" s="311"/>
    </row>
    <row r="73" spans="2:37" x14ac:dyDescent="0.3">
      <c r="B73" s="65"/>
      <c r="C73" s="92"/>
      <c r="D73" s="92"/>
      <c r="E73" s="92" t="s">
        <v>502</v>
      </c>
      <c r="F73" s="92"/>
      <c r="G73" s="92"/>
      <c r="H73" s="92"/>
      <c r="I73" s="92"/>
      <c r="J73" s="92"/>
      <c r="K73" s="92"/>
      <c r="L73" s="281"/>
      <c r="M73" s="281"/>
      <c r="N73" s="394"/>
      <c r="O73" s="315"/>
      <c r="P73" s="130"/>
      <c r="Q73" s="130"/>
      <c r="R73" s="130"/>
      <c r="S73" s="130"/>
      <c r="T73" s="130"/>
      <c r="U73" s="130"/>
      <c r="V73" s="130"/>
      <c r="W73" s="130"/>
      <c r="X73" s="130"/>
      <c r="Y73" s="296">
        <f t="shared" ref="Y73:AD73" si="32">Y125</f>
        <v>0.3532381388353627</v>
      </c>
      <c r="Z73" s="330">
        <f t="shared" si="32"/>
        <v>0.3532381388353627</v>
      </c>
      <c r="AA73" s="130">
        <f t="shared" si="32"/>
        <v>1.368658873903819</v>
      </c>
      <c r="AB73" s="130">
        <f t="shared" si="32"/>
        <v>2.0083364868098821</v>
      </c>
      <c r="AC73" s="130">
        <f t="shared" si="32"/>
        <v>2.400913101549679</v>
      </c>
      <c r="AD73" s="130">
        <f t="shared" si="32"/>
        <v>2.7119756808004603</v>
      </c>
      <c r="AK73" s="311"/>
    </row>
    <row r="74" spans="2:37" x14ac:dyDescent="0.3">
      <c r="L74" s="16"/>
      <c r="M74" s="16"/>
      <c r="N74" s="16"/>
      <c r="O74" s="16"/>
      <c r="P74" s="16"/>
      <c r="Q74" s="16"/>
      <c r="R74" s="16"/>
      <c r="S74" s="16"/>
      <c r="T74" s="16"/>
      <c r="U74" s="16"/>
      <c r="V74" s="16"/>
      <c r="W74" s="16"/>
      <c r="X74" s="16"/>
      <c r="Y74" s="16"/>
      <c r="Z74" s="16"/>
      <c r="AA74" s="16"/>
      <c r="AB74" s="16"/>
      <c r="AC74" s="16"/>
      <c r="AD74" s="16"/>
    </row>
    <row r="75" spans="2:37" x14ac:dyDescent="0.3">
      <c r="B75" s="161" t="s">
        <v>579</v>
      </c>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spans="2:37" x14ac:dyDescent="0.3">
      <c r="L76" s="16"/>
      <c r="M76" s="16"/>
      <c r="N76" s="16"/>
      <c r="O76" s="16"/>
      <c r="P76" s="16"/>
      <c r="Q76" s="16"/>
      <c r="R76" s="16"/>
      <c r="S76" s="16"/>
      <c r="T76" s="16"/>
      <c r="U76" s="16"/>
      <c r="V76" s="16"/>
      <c r="W76" s="16"/>
      <c r="X76" s="16"/>
      <c r="Y76" s="16"/>
      <c r="Z76" s="16"/>
      <c r="AA76" s="16"/>
      <c r="AB76" s="16"/>
      <c r="AC76" s="16"/>
      <c r="AD76" s="16"/>
    </row>
    <row r="77" spans="2:37" x14ac:dyDescent="0.3">
      <c r="B77" s="8"/>
      <c r="C77" s="8"/>
      <c r="D77" s="8"/>
      <c r="E77" s="8"/>
      <c r="F77" s="8"/>
      <c r="G77" s="8"/>
      <c r="H77" s="8"/>
      <c r="I77" s="8"/>
      <c r="J77" s="8"/>
      <c r="K77" s="8"/>
      <c r="L77" s="8"/>
      <c r="M77" s="8"/>
      <c r="N77" s="8"/>
      <c r="O77" s="8"/>
      <c r="P77" s="9" t="s">
        <v>188</v>
      </c>
      <c r="Q77" s="9" t="s">
        <v>189</v>
      </c>
      <c r="R77" s="9" t="s">
        <v>190</v>
      </c>
      <c r="S77" s="9" t="s">
        <v>191</v>
      </c>
      <c r="T77" s="9" t="s">
        <v>192</v>
      </c>
      <c r="U77" s="9" t="s">
        <v>193</v>
      </c>
      <c r="V77" s="9" t="s">
        <v>194</v>
      </c>
      <c r="W77" s="9" t="s">
        <v>195</v>
      </c>
      <c r="X77" s="9" t="s">
        <v>196</v>
      </c>
      <c r="Y77" s="505" t="s">
        <v>5</v>
      </c>
      <c r="Z77" s="244" t="s">
        <v>427</v>
      </c>
      <c r="AA77" s="9" t="s">
        <v>428</v>
      </c>
      <c r="AB77" s="9" t="s">
        <v>429</v>
      </c>
      <c r="AC77" s="9" t="s">
        <v>430</v>
      </c>
      <c r="AD77" s="9" t="s">
        <v>431</v>
      </c>
    </row>
    <row r="78" spans="2:37" x14ac:dyDescent="0.3">
      <c r="B78" s="11" t="s">
        <v>93</v>
      </c>
      <c r="L78" s="16"/>
      <c r="M78" s="16"/>
      <c r="N78" s="16"/>
      <c r="O78" s="16"/>
      <c r="P78" s="13"/>
      <c r="Q78" s="13"/>
      <c r="R78" s="13"/>
      <c r="S78" s="13"/>
      <c r="T78" s="13"/>
      <c r="U78" s="13"/>
      <c r="V78" s="13"/>
      <c r="W78" s="13"/>
      <c r="X78" s="13"/>
      <c r="Y78" s="396">
        <f t="shared" ref="Y78:AD78" si="33">Y79+Y123</f>
        <v>47.669534575354362</v>
      </c>
      <c r="Z78" s="326">
        <f t="shared" si="33"/>
        <v>47.669534575354362</v>
      </c>
      <c r="AA78" s="13">
        <f t="shared" si="33"/>
        <v>160.24927300254859</v>
      </c>
      <c r="AB78" s="13">
        <f t="shared" si="33"/>
        <v>226.1129080918993</v>
      </c>
      <c r="AC78" s="13">
        <f t="shared" si="33"/>
        <v>289.24406814799391</v>
      </c>
      <c r="AD78" s="13">
        <f t="shared" si="33"/>
        <v>349.01450921134841</v>
      </c>
    </row>
    <row r="79" spans="2:37" x14ac:dyDescent="0.3">
      <c r="B79" s="11"/>
      <c r="C79" s="3" t="s">
        <v>421</v>
      </c>
      <c r="L79" s="16"/>
      <c r="M79" s="16"/>
      <c r="P79" s="13"/>
      <c r="Q79" s="13"/>
      <c r="R79" s="13"/>
      <c r="S79" s="13"/>
      <c r="T79" s="13"/>
      <c r="U79" s="13"/>
      <c r="V79" s="13"/>
      <c r="W79" s="13"/>
      <c r="X79" s="13"/>
      <c r="Y79" s="359">
        <f t="shared" ref="Y79:AD79" si="34">Y80</f>
        <v>47.316296436518996</v>
      </c>
      <c r="Z79" s="326">
        <f t="shared" si="34"/>
        <v>47.316296436518996</v>
      </c>
      <c r="AA79" s="13">
        <f t="shared" si="34"/>
        <v>158.88061412864477</v>
      </c>
      <c r="AB79" s="13">
        <f t="shared" si="34"/>
        <v>224.1045716050894</v>
      </c>
      <c r="AC79" s="13">
        <f t="shared" si="34"/>
        <v>286.84315504644422</v>
      </c>
      <c r="AD79" s="13">
        <f t="shared" si="34"/>
        <v>349.01450921134841</v>
      </c>
    </row>
    <row r="80" spans="2:37" x14ac:dyDescent="0.3">
      <c r="D80" s="3" t="s">
        <v>577</v>
      </c>
      <c r="I80" s="16"/>
      <c r="J80" s="291"/>
      <c r="K80" s="291"/>
      <c r="M80" s="16"/>
      <c r="P80" s="16"/>
      <c r="Q80" s="16"/>
      <c r="R80" s="16"/>
      <c r="S80" s="16"/>
      <c r="T80" s="16"/>
      <c r="U80" s="16"/>
      <c r="V80" s="16"/>
      <c r="W80" s="16"/>
      <c r="X80" s="16"/>
      <c r="Y80" s="292">
        <f t="shared" ref="Y80:AD80" si="35">SUM(Y81,Y87,Y93,Y105,Y99,Y111,Y117)</f>
        <v>47.316296436518996</v>
      </c>
      <c r="Z80" s="246">
        <f t="shared" si="35"/>
        <v>47.316296436518996</v>
      </c>
      <c r="AA80" s="16">
        <f t="shared" si="35"/>
        <v>158.88061412864477</v>
      </c>
      <c r="AB80" s="16">
        <f t="shared" si="35"/>
        <v>224.1045716050894</v>
      </c>
      <c r="AC80" s="16">
        <f t="shared" si="35"/>
        <v>286.84315504644422</v>
      </c>
      <c r="AD80" s="16">
        <f t="shared" si="35"/>
        <v>349.01450921134841</v>
      </c>
    </row>
    <row r="81" spans="5:30" x14ac:dyDescent="0.3">
      <c r="E81" s="3" t="s">
        <v>503</v>
      </c>
      <c r="I81" s="130" t="s">
        <v>580</v>
      </c>
      <c r="J81" s="295" t="s">
        <v>581</v>
      </c>
      <c r="K81" s="295" t="s">
        <v>582</v>
      </c>
      <c r="M81" s="16"/>
      <c r="P81" s="16"/>
      <c r="Q81" s="16"/>
      <c r="R81" s="16"/>
      <c r="S81" s="16"/>
      <c r="T81" s="16"/>
      <c r="U81" s="16"/>
      <c r="V81" s="16"/>
      <c r="W81" s="16"/>
      <c r="X81" s="16"/>
      <c r="Y81" s="292">
        <f t="shared" ref="Y81:AD81" si="36">SUM(Y82:Y86)</f>
        <v>2.7551040546708929</v>
      </c>
      <c r="Z81" s="246">
        <f t="shared" si="36"/>
        <v>2.7551040546708929</v>
      </c>
      <c r="AA81" s="16">
        <f t="shared" si="36"/>
        <v>12.19869831719565</v>
      </c>
      <c r="AB81" s="16">
        <f t="shared" si="36"/>
        <v>22.110075211026327</v>
      </c>
      <c r="AC81" s="16">
        <f t="shared" si="36"/>
        <v>32.455160719914261</v>
      </c>
      <c r="AD81" s="16">
        <f t="shared" si="36"/>
        <v>43.226083341052451</v>
      </c>
    </row>
    <row r="82" spans="5:30" x14ac:dyDescent="0.3">
      <c r="F82" s="3" t="s">
        <v>427</v>
      </c>
      <c r="I82" s="16">
        <f>Y45</f>
        <v>220.40832437367143</v>
      </c>
      <c r="J82" s="291" t="s">
        <v>583</v>
      </c>
      <c r="K82" s="291">
        <v>30</v>
      </c>
      <c r="M82" s="16"/>
      <c r="P82" s="16"/>
      <c r="Q82" s="16"/>
      <c r="R82" s="16"/>
      <c r="S82" s="16"/>
      <c r="T82" s="16"/>
      <c r="U82" s="16"/>
      <c r="V82" s="16"/>
      <c r="W82" s="16"/>
      <c r="X82" s="16"/>
      <c r="Y82" s="420">
        <f>I82/$K82*0.75/2</f>
        <v>2.7551040546708929</v>
      </c>
      <c r="Z82" s="506">
        <f>Y82</f>
        <v>2.7551040546708929</v>
      </c>
      <c r="AA82" s="19">
        <f>$I82/$K82</f>
        <v>7.3469441457890481</v>
      </c>
      <c r="AB82" s="19">
        <f>$I82/$K82</f>
        <v>7.3469441457890481</v>
      </c>
      <c r="AC82" s="19">
        <f>$I82/$K82</f>
        <v>7.3469441457890481</v>
      </c>
      <c r="AD82" s="19">
        <f>$I82/$K82</f>
        <v>7.3469441457890481</v>
      </c>
    </row>
    <row r="83" spans="5:30" x14ac:dyDescent="0.3">
      <c r="F83" s="3" t="s">
        <v>428</v>
      </c>
      <c r="I83" s="16">
        <f>SUM(AA45,AA82)</f>
        <v>291.10525028439616</v>
      </c>
      <c r="J83" s="291" t="s">
        <v>583</v>
      </c>
      <c r="K83" s="291">
        <v>30</v>
      </c>
      <c r="M83" s="16"/>
      <c r="P83" s="16"/>
      <c r="Q83" s="16"/>
      <c r="R83" s="16"/>
      <c r="S83" s="16"/>
      <c r="T83" s="16"/>
      <c r="U83" s="16"/>
      <c r="V83" s="16"/>
      <c r="W83" s="16"/>
      <c r="X83" s="16"/>
      <c r="Y83" s="420"/>
      <c r="Z83" s="506"/>
      <c r="AA83" s="19">
        <f>$I83/$K83/2</f>
        <v>4.8517541714066024</v>
      </c>
      <c r="AB83" s="19">
        <f>$I83/$K83</f>
        <v>9.7035083428132047</v>
      </c>
      <c r="AC83" s="19">
        <f>$I83/$K83</f>
        <v>9.7035083428132047</v>
      </c>
      <c r="AD83" s="19">
        <f>$I83/$K83</f>
        <v>9.7035083428132047</v>
      </c>
    </row>
    <row r="84" spans="5:30" x14ac:dyDescent="0.3">
      <c r="F84" s="3" t="s">
        <v>429</v>
      </c>
      <c r="I84" s="16">
        <f>SUM(AB45,AB82:AB83)</f>
        <v>303.57736334544438</v>
      </c>
      <c r="J84" s="291" t="s">
        <v>583</v>
      </c>
      <c r="K84" s="291">
        <v>30</v>
      </c>
      <c r="M84" s="16"/>
      <c r="P84" s="16"/>
      <c r="Q84" s="16"/>
      <c r="R84" s="16"/>
      <c r="S84" s="16"/>
      <c r="T84" s="16"/>
      <c r="U84" s="16"/>
      <c r="V84" s="16"/>
      <c r="W84" s="16"/>
      <c r="X84" s="16"/>
      <c r="Y84" s="420"/>
      <c r="Z84" s="506"/>
      <c r="AA84" s="19"/>
      <c r="AB84" s="19">
        <f>$I84/$K84/2</f>
        <v>5.0596227224240726</v>
      </c>
      <c r="AC84" s="19">
        <f>$I84/$K84</f>
        <v>10.119245444848145</v>
      </c>
      <c r="AD84" s="19">
        <f>$I84/$K84</f>
        <v>10.119245444848145</v>
      </c>
    </row>
    <row r="85" spans="5:30" x14ac:dyDescent="0.3">
      <c r="F85" s="3" t="s">
        <v>430</v>
      </c>
      <c r="I85" s="16">
        <f>SUM(AC45,AC82:AC84)</f>
        <v>317.12776718783141</v>
      </c>
      <c r="J85" s="291" t="s">
        <v>583</v>
      </c>
      <c r="K85" s="291">
        <v>30</v>
      </c>
      <c r="M85" s="16"/>
      <c r="P85" s="16"/>
      <c r="Q85" s="16"/>
      <c r="R85" s="16"/>
      <c r="S85" s="16"/>
      <c r="T85" s="16"/>
      <c r="U85" s="16"/>
      <c r="V85" s="16"/>
      <c r="W85" s="16"/>
      <c r="X85" s="16"/>
      <c r="Y85" s="420"/>
      <c r="Z85" s="506"/>
      <c r="AA85" s="19"/>
      <c r="AB85" s="19"/>
      <c r="AC85" s="19">
        <f>$I85/$K85/2</f>
        <v>5.2854627864638566</v>
      </c>
      <c r="AD85" s="19">
        <f>$I85/$K85</f>
        <v>10.570925572927713</v>
      </c>
    </row>
    <row r="86" spans="5:30" x14ac:dyDescent="0.3">
      <c r="F86" s="3" t="s">
        <v>431</v>
      </c>
      <c r="I86" s="16">
        <f>SUM(AD45,AD82:AD85)</f>
        <v>329.12759008046038</v>
      </c>
      <c r="J86" s="291" t="s">
        <v>583</v>
      </c>
      <c r="K86" s="291">
        <v>30</v>
      </c>
      <c r="M86" s="16"/>
      <c r="P86" s="16"/>
      <c r="Q86" s="16"/>
      <c r="R86" s="16"/>
      <c r="S86" s="16"/>
      <c r="T86" s="16"/>
      <c r="U86" s="16"/>
      <c r="V86" s="16"/>
      <c r="W86" s="16"/>
      <c r="X86" s="16"/>
      <c r="Y86" s="420"/>
      <c r="Z86" s="506"/>
      <c r="AA86" s="19"/>
      <c r="AB86" s="19"/>
      <c r="AC86" s="19"/>
      <c r="AD86" s="19">
        <f>$I86/$K86/2</f>
        <v>5.48545983467434</v>
      </c>
    </row>
    <row r="87" spans="5:30" x14ac:dyDescent="0.3">
      <c r="E87" s="3" t="s">
        <v>504</v>
      </c>
      <c r="I87" s="16"/>
      <c r="J87" s="291"/>
      <c r="K87" s="291"/>
      <c r="M87" s="16"/>
      <c r="P87" s="16"/>
      <c r="Q87" s="16"/>
      <c r="R87" s="16"/>
      <c r="S87" s="16"/>
      <c r="T87" s="16"/>
      <c r="U87" s="16"/>
      <c r="V87" s="16"/>
      <c r="W87" s="16"/>
      <c r="X87" s="16"/>
      <c r="Y87" s="292">
        <f t="shared" ref="Y87:AD87" si="37">SUM(Y88:Y92)</f>
        <v>0.10994384537942437</v>
      </c>
      <c r="Z87" s="246">
        <f t="shared" si="37"/>
        <v>0.10994384537942437</v>
      </c>
      <c r="AA87" s="16">
        <f t="shared" si="37"/>
        <v>0.4867953351316201</v>
      </c>
      <c r="AB87" s="16">
        <f t="shared" si="37"/>
        <v>0.88231393155816662</v>
      </c>
      <c r="AC87" s="16">
        <f t="shared" si="37"/>
        <v>1.2951398935024467</v>
      </c>
      <c r="AD87" s="16">
        <f t="shared" si="37"/>
        <v>1.7249591045934116</v>
      </c>
    </row>
    <row r="88" spans="5:30" x14ac:dyDescent="0.3">
      <c r="F88" s="3" t="s">
        <v>427</v>
      </c>
      <c r="I88" s="16">
        <f>Y46</f>
        <v>8.7955076303539492</v>
      </c>
      <c r="J88" s="291" t="s">
        <v>583</v>
      </c>
      <c r="K88" s="291">
        <v>30</v>
      </c>
      <c r="M88" s="16"/>
      <c r="P88" s="16"/>
      <c r="Q88" s="16"/>
      <c r="R88" s="16"/>
      <c r="S88" s="16"/>
      <c r="T88" s="16"/>
      <c r="U88" s="16"/>
      <c r="V88" s="16"/>
      <c r="W88" s="16"/>
      <c r="X88" s="16"/>
      <c r="Y88" s="420">
        <f>I88/$K88*0.75/2</f>
        <v>0.10994384537942437</v>
      </c>
      <c r="Z88" s="506">
        <f>Y88</f>
        <v>0.10994384537942437</v>
      </c>
      <c r="AA88" s="19">
        <f>$I88/$K88</f>
        <v>0.29318358767846497</v>
      </c>
      <c r="AB88" s="19">
        <f>$I88/$K88</f>
        <v>0.29318358767846497</v>
      </c>
      <c r="AC88" s="19">
        <f>$I88/$K88</f>
        <v>0.29318358767846497</v>
      </c>
      <c r="AD88" s="19">
        <f>$I88/$K88</f>
        <v>0.29318358767846497</v>
      </c>
    </row>
    <row r="89" spans="5:30" x14ac:dyDescent="0.3">
      <c r="F89" s="3" t="s">
        <v>428</v>
      </c>
      <c r="I89" s="16">
        <f>SUM(AA46,AA88)</f>
        <v>11.616704847189308</v>
      </c>
      <c r="J89" s="291" t="s">
        <v>583</v>
      </c>
      <c r="K89" s="291">
        <v>30</v>
      </c>
      <c r="M89" s="16"/>
      <c r="P89" s="16"/>
      <c r="Q89" s="16"/>
      <c r="R89" s="16"/>
      <c r="S89" s="16"/>
      <c r="T89" s="16"/>
      <c r="U89" s="16"/>
      <c r="V89" s="16"/>
      <c r="W89" s="16"/>
      <c r="X89" s="16"/>
      <c r="Y89" s="507"/>
      <c r="Z89" s="508"/>
      <c r="AA89" s="19">
        <f>$I89/$K89/2</f>
        <v>0.19361174745315513</v>
      </c>
      <c r="AB89" s="19">
        <f>$I89/$K89</f>
        <v>0.38722349490631025</v>
      </c>
      <c r="AC89" s="19">
        <f>$I89/$K89</f>
        <v>0.38722349490631025</v>
      </c>
      <c r="AD89" s="19">
        <f>$I89/$K89</f>
        <v>0.38722349490631025</v>
      </c>
    </row>
    <row r="90" spans="5:30" x14ac:dyDescent="0.3">
      <c r="F90" s="3" t="s">
        <v>429</v>
      </c>
      <c r="I90" s="16">
        <f>SUM(AB46,AB88:AB89)</f>
        <v>12.114410938403486</v>
      </c>
      <c r="J90" s="291" t="s">
        <v>583</v>
      </c>
      <c r="K90" s="291">
        <v>30</v>
      </c>
      <c r="M90" s="16"/>
      <c r="P90" s="16"/>
      <c r="Q90" s="16"/>
      <c r="R90" s="16"/>
      <c r="S90" s="16"/>
      <c r="T90" s="16"/>
      <c r="U90" s="16"/>
      <c r="V90" s="16"/>
      <c r="W90" s="16"/>
      <c r="X90" s="16"/>
      <c r="Y90" s="507"/>
      <c r="Z90" s="508"/>
      <c r="AA90" s="120"/>
      <c r="AB90" s="19">
        <f>$I90/$K90/2</f>
        <v>0.20190684897339142</v>
      </c>
      <c r="AC90" s="19">
        <f>$I90/$K90</f>
        <v>0.40381369794678285</v>
      </c>
      <c r="AD90" s="19">
        <f>$I90/$K90</f>
        <v>0.40381369794678285</v>
      </c>
    </row>
    <row r="91" spans="5:30" x14ac:dyDescent="0.3">
      <c r="F91" s="3" t="s">
        <v>430</v>
      </c>
      <c r="I91" s="16">
        <f>SUM(AC46,AC88:AC90)</f>
        <v>12.655146778253325</v>
      </c>
      <c r="J91" s="291" t="s">
        <v>583</v>
      </c>
      <c r="K91" s="291">
        <v>30</v>
      </c>
      <c r="M91" s="16"/>
      <c r="P91" s="16"/>
      <c r="Q91" s="16"/>
      <c r="R91" s="16"/>
      <c r="S91" s="16"/>
      <c r="T91" s="16"/>
      <c r="U91" s="16"/>
      <c r="V91" s="16"/>
      <c r="W91" s="16"/>
      <c r="X91" s="16"/>
      <c r="Y91" s="507"/>
      <c r="Z91" s="508"/>
      <c r="AA91" s="120"/>
      <c r="AB91" s="120"/>
      <c r="AC91" s="19">
        <f>$I91/$K91/2</f>
        <v>0.21091911297088875</v>
      </c>
      <c r="AD91" s="19">
        <f>$I91/$K91</f>
        <v>0.4218382259417775</v>
      </c>
    </row>
    <row r="92" spans="5:30" x14ac:dyDescent="0.3">
      <c r="F92" s="3" t="s">
        <v>431</v>
      </c>
      <c r="I92" s="16">
        <f>SUM(AD46,AD88:AD91)</f>
        <v>13.134005887204575</v>
      </c>
      <c r="J92" s="291" t="s">
        <v>583</v>
      </c>
      <c r="K92" s="291">
        <v>30</v>
      </c>
      <c r="M92" s="16"/>
      <c r="P92" s="16"/>
      <c r="Q92" s="16"/>
      <c r="R92" s="16"/>
      <c r="S92" s="16"/>
      <c r="T92" s="16"/>
      <c r="U92" s="16"/>
      <c r="V92" s="16"/>
      <c r="W92" s="16"/>
      <c r="X92" s="16"/>
      <c r="Y92" s="507"/>
      <c r="Z92" s="508"/>
      <c r="AA92" s="120"/>
      <c r="AB92" s="120"/>
      <c r="AC92" s="120"/>
      <c r="AD92" s="19">
        <f>$I92/$K92/2</f>
        <v>0.21890009812007624</v>
      </c>
    </row>
    <row r="93" spans="5:30" x14ac:dyDescent="0.3">
      <c r="E93" s="3" t="s">
        <v>584</v>
      </c>
      <c r="I93" s="16"/>
      <c r="J93" s="291"/>
      <c r="K93" s="291"/>
      <c r="M93" s="16"/>
      <c r="P93" s="16"/>
      <c r="Q93" s="16"/>
      <c r="R93" s="16"/>
      <c r="S93" s="16"/>
      <c r="T93" s="16"/>
      <c r="U93" s="16"/>
      <c r="V93" s="16"/>
      <c r="W93" s="16"/>
      <c r="X93" s="16"/>
      <c r="Y93" s="292">
        <f t="shared" ref="Y93:AD93" si="38">SUM(Y94:Y98)</f>
        <v>18.75149955080332</v>
      </c>
      <c r="Z93" s="246">
        <f t="shared" si="38"/>
        <v>18.75149955080332</v>
      </c>
      <c r="AA93" s="16">
        <f t="shared" si="38"/>
        <v>53.4652731637062</v>
      </c>
      <c r="AB93" s="16">
        <f t="shared" si="38"/>
        <v>60.311162936529641</v>
      </c>
      <c r="AC93" s="16">
        <f t="shared" si="38"/>
        <v>67.34886883396662</v>
      </c>
      <c r="AD93" s="16">
        <f t="shared" si="38"/>
        <v>74.894340404586501</v>
      </c>
    </row>
    <row r="94" spans="5:30" x14ac:dyDescent="0.3">
      <c r="F94" s="3" t="s">
        <v>427</v>
      </c>
      <c r="I94" s="16">
        <f>Y47</f>
        <v>600.04798562570625</v>
      </c>
      <c r="J94" s="291" t="s">
        <v>583</v>
      </c>
      <c r="K94" s="291">
        <v>12</v>
      </c>
      <c r="M94" s="16"/>
      <c r="P94" s="16"/>
      <c r="Q94" s="16"/>
      <c r="R94" s="16"/>
      <c r="S94" s="16"/>
      <c r="T94" s="16"/>
      <c r="U94" s="16"/>
      <c r="V94" s="16"/>
      <c r="W94" s="16"/>
      <c r="X94" s="16"/>
      <c r="Y94" s="420">
        <f>I94/$K94*0.75/2</f>
        <v>18.75149955080332</v>
      </c>
      <c r="Z94" s="506">
        <f>Y94</f>
        <v>18.75149955080332</v>
      </c>
      <c r="AA94" s="19">
        <f>$I94/$K94</f>
        <v>50.003998802142185</v>
      </c>
      <c r="AB94" s="19">
        <f>$I94/$K94</f>
        <v>50.003998802142185</v>
      </c>
      <c r="AC94" s="19">
        <f>$I94/$K94</f>
        <v>50.003998802142185</v>
      </c>
      <c r="AD94" s="19">
        <f>$I94/$K94</f>
        <v>50.003998802142185</v>
      </c>
    </row>
    <row r="95" spans="5:30" x14ac:dyDescent="0.3">
      <c r="F95" s="3" t="s">
        <v>428</v>
      </c>
      <c r="I95" s="16">
        <f>SUM(AA47,AA94)</f>
        <v>83.070584677536289</v>
      </c>
      <c r="J95" s="291" t="s">
        <v>583</v>
      </c>
      <c r="K95" s="291">
        <v>12</v>
      </c>
      <c r="M95" s="16"/>
      <c r="P95" s="16"/>
      <c r="Q95" s="16"/>
      <c r="R95" s="16"/>
      <c r="S95" s="16"/>
      <c r="T95" s="16"/>
      <c r="U95" s="16"/>
      <c r="V95" s="16"/>
      <c r="W95" s="16"/>
      <c r="X95" s="16"/>
      <c r="Y95" s="507"/>
      <c r="Z95" s="508"/>
      <c r="AA95" s="19">
        <f>$I95/$K95/2</f>
        <v>3.461274361564012</v>
      </c>
      <c r="AB95" s="19">
        <f>$I95/$K95</f>
        <v>6.9225487231280241</v>
      </c>
      <c r="AC95" s="19">
        <f>$I95/$K95</f>
        <v>6.9225487231280241</v>
      </c>
      <c r="AD95" s="19">
        <f>$I95/$K95</f>
        <v>6.9225487231280241</v>
      </c>
    </row>
    <row r="96" spans="5:30" x14ac:dyDescent="0.3">
      <c r="F96" s="3" t="s">
        <v>429</v>
      </c>
      <c r="I96" s="16">
        <f>SUM(AB47,AB94:AB95)</f>
        <v>81.230769870226339</v>
      </c>
      <c r="J96" s="291" t="s">
        <v>583</v>
      </c>
      <c r="K96" s="291">
        <v>12</v>
      </c>
      <c r="M96" s="16"/>
      <c r="P96" s="16"/>
      <c r="Q96" s="16"/>
      <c r="R96" s="16"/>
      <c r="S96" s="16"/>
      <c r="T96" s="16"/>
      <c r="U96" s="16"/>
      <c r="V96" s="16"/>
      <c r="W96" s="16"/>
      <c r="X96" s="16"/>
      <c r="Y96" s="507"/>
      <c r="Z96" s="508"/>
      <c r="AA96" s="120"/>
      <c r="AB96" s="19">
        <f>$I96/$K96/2</f>
        <v>3.3846154112594307</v>
      </c>
      <c r="AC96" s="19">
        <f>$I96/$K96</f>
        <v>6.7692308225188613</v>
      </c>
      <c r="AD96" s="19">
        <f>$I96/$K96</f>
        <v>6.7692308225188613</v>
      </c>
    </row>
    <row r="97" spans="5:30" x14ac:dyDescent="0.3">
      <c r="F97" s="3" t="s">
        <v>430</v>
      </c>
      <c r="I97" s="16">
        <f>SUM(AC47,AC94:AC96)</f>
        <v>87.67417166826101</v>
      </c>
      <c r="J97" s="291" t="s">
        <v>583</v>
      </c>
      <c r="K97" s="291">
        <v>12</v>
      </c>
      <c r="M97" s="16"/>
      <c r="P97" s="16"/>
      <c r="Q97" s="16"/>
      <c r="R97" s="16"/>
      <c r="S97" s="16"/>
      <c r="T97" s="16"/>
      <c r="U97" s="16"/>
      <c r="V97" s="16"/>
      <c r="W97" s="16"/>
      <c r="X97" s="16"/>
      <c r="Y97" s="507"/>
      <c r="Z97" s="508"/>
      <c r="AA97" s="120"/>
      <c r="AB97" s="120"/>
      <c r="AC97" s="19">
        <f>$I97/$K97/2</f>
        <v>3.653090486177542</v>
      </c>
      <c r="AD97" s="19">
        <f>$I97/$K97</f>
        <v>7.3061809723550839</v>
      </c>
    </row>
    <row r="98" spans="5:30" x14ac:dyDescent="0.3">
      <c r="F98" s="3" t="s">
        <v>431</v>
      </c>
      <c r="I98" s="16">
        <f>SUM(AD47,AD94:AD97)</f>
        <v>93.417146026616209</v>
      </c>
      <c r="J98" s="291" t="s">
        <v>583</v>
      </c>
      <c r="K98" s="291">
        <v>12</v>
      </c>
      <c r="M98" s="16"/>
      <c r="P98" s="16"/>
      <c r="Q98" s="16"/>
      <c r="R98" s="16"/>
      <c r="S98" s="16"/>
      <c r="T98" s="16"/>
      <c r="U98" s="16"/>
      <c r="V98" s="16"/>
      <c r="W98" s="16"/>
      <c r="X98" s="16"/>
      <c r="Y98" s="507"/>
      <c r="Z98" s="508"/>
      <c r="AA98" s="120"/>
      <c r="AB98" s="120"/>
      <c r="AC98" s="120"/>
      <c r="AD98" s="19">
        <f>$I98/$K98/2</f>
        <v>3.8923810844423419</v>
      </c>
    </row>
    <row r="99" spans="5:30" x14ac:dyDescent="0.3">
      <c r="E99" s="3" t="s">
        <v>505</v>
      </c>
      <c r="I99" s="16"/>
      <c r="J99" s="291"/>
      <c r="K99" s="291"/>
      <c r="M99" s="16"/>
      <c r="P99" s="16"/>
      <c r="Q99" s="16"/>
      <c r="R99" s="16"/>
      <c r="S99" s="16"/>
      <c r="T99" s="16"/>
      <c r="U99" s="16"/>
      <c r="V99" s="16"/>
      <c r="W99" s="16"/>
      <c r="X99" s="16"/>
      <c r="Y99" s="292">
        <f t="shared" ref="Y99:AD99" si="39">SUM(Y100:Y104)</f>
        <v>20.376131560180319</v>
      </c>
      <c r="Z99" s="246">
        <f t="shared" si="39"/>
        <v>20.376131560180319</v>
      </c>
      <c r="AA99" s="16">
        <f t="shared" si="39"/>
        <v>76.657878953897807</v>
      </c>
      <c r="AB99" s="16">
        <f t="shared" si="39"/>
        <v>120.51721361241466</v>
      </c>
      <c r="AC99" s="16">
        <f t="shared" si="39"/>
        <v>160.15707673425837</v>
      </c>
      <c r="AD99" s="16">
        <f t="shared" si="39"/>
        <v>196.82366239953774</v>
      </c>
    </row>
    <row r="100" spans="5:30" x14ac:dyDescent="0.3">
      <c r="F100" s="3" t="s">
        <v>427</v>
      </c>
      <c r="I100" s="16">
        <f>Y48</f>
        <v>271.68175413573761</v>
      </c>
      <c r="J100" s="291" t="s">
        <v>583</v>
      </c>
      <c r="K100" s="291">
        <v>5</v>
      </c>
      <c r="M100" s="16"/>
      <c r="P100" s="16"/>
      <c r="Q100" s="16"/>
      <c r="R100" s="16"/>
      <c r="S100" s="16"/>
      <c r="T100" s="16"/>
      <c r="U100" s="16"/>
      <c r="V100" s="16"/>
      <c r="W100" s="16"/>
      <c r="X100" s="16"/>
      <c r="Y100" s="420">
        <f>I100/$K100*0.75/2</f>
        <v>20.376131560180319</v>
      </c>
      <c r="Z100" s="506">
        <f>Y100</f>
        <v>20.376131560180319</v>
      </c>
      <c r="AA100" s="19">
        <f>$I100/$K100</f>
        <v>54.33635082714752</v>
      </c>
      <c r="AB100" s="19">
        <f>$I100/$K100</f>
        <v>54.33635082714752</v>
      </c>
      <c r="AC100" s="19">
        <f>$I100/$K100</f>
        <v>54.33635082714752</v>
      </c>
      <c r="AD100" s="19">
        <f>$I100/$K100</f>
        <v>54.33635082714752</v>
      </c>
    </row>
    <row r="101" spans="5:30" x14ac:dyDescent="0.3">
      <c r="F101" s="3" t="s">
        <v>428</v>
      </c>
      <c r="I101" s="16">
        <f>SUM(AA48,AA100)</f>
        <v>223.21528126750292</v>
      </c>
      <c r="J101" s="291" t="s">
        <v>583</v>
      </c>
      <c r="K101" s="291">
        <v>5</v>
      </c>
      <c r="M101" s="16"/>
      <c r="P101" s="16"/>
      <c r="Q101" s="16"/>
      <c r="R101" s="16"/>
      <c r="S101" s="16"/>
      <c r="T101" s="16"/>
      <c r="U101" s="16"/>
      <c r="V101" s="16"/>
      <c r="W101" s="16"/>
      <c r="X101" s="16"/>
      <c r="Y101" s="507"/>
      <c r="Z101" s="508"/>
      <c r="AA101" s="19">
        <f>$I101/$K101/2</f>
        <v>22.321528126750291</v>
      </c>
      <c r="AB101" s="19">
        <f>$I101/$K101</f>
        <v>44.643056253500582</v>
      </c>
      <c r="AC101" s="19">
        <f>$I101/$K101</f>
        <v>44.643056253500582</v>
      </c>
      <c r="AD101" s="19">
        <f>$I101/$K101</f>
        <v>44.643056253500582</v>
      </c>
    </row>
    <row r="102" spans="5:30" x14ac:dyDescent="0.3">
      <c r="F102" s="3" t="s">
        <v>429</v>
      </c>
      <c r="I102" s="16">
        <f>SUM(AB48,AB100:AB101)</f>
        <v>215.37806531766563</v>
      </c>
      <c r="J102" s="291" t="s">
        <v>583</v>
      </c>
      <c r="K102" s="291">
        <v>5</v>
      </c>
      <c r="M102" s="16"/>
      <c r="P102" s="16"/>
      <c r="Q102" s="16"/>
      <c r="R102" s="16"/>
      <c r="S102" s="16"/>
      <c r="T102" s="16"/>
      <c r="U102" s="16"/>
      <c r="V102" s="16"/>
      <c r="W102" s="16"/>
      <c r="X102" s="16"/>
      <c r="Y102" s="507"/>
      <c r="Z102" s="508"/>
      <c r="AA102" s="120"/>
      <c r="AB102" s="19">
        <f>$I102/$K102/2</f>
        <v>21.537806531766563</v>
      </c>
      <c r="AC102" s="19">
        <f>$I102/$K102</f>
        <v>43.075613063533126</v>
      </c>
      <c r="AD102" s="19">
        <f>$I102/$K102</f>
        <v>43.075613063533126</v>
      </c>
    </row>
    <row r="103" spans="5:30" x14ac:dyDescent="0.3">
      <c r="F103" s="3" t="s">
        <v>430</v>
      </c>
      <c r="I103" s="16">
        <f>SUM(AC48,AC100:AC102)</f>
        <v>181.02056590077129</v>
      </c>
      <c r="J103" s="291" t="s">
        <v>583</v>
      </c>
      <c r="K103" s="291">
        <v>5</v>
      </c>
      <c r="M103" s="16"/>
      <c r="P103" s="16"/>
      <c r="Q103" s="16"/>
      <c r="R103" s="16"/>
      <c r="S103" s="16"/>
      <c r="T103" s="16"/>
      <c r="U103" s="16"/>
      <c r="V103" s="16"/>
      <c r="W103" s="16"/>
      <c r="X103" s="16"/>
      <c r="Y103" s="507"/>
      <c r="Z103" s="508"/>
      <c r="AA103" s="120"/>
      <c r="AB103" s="120"/>
      <c r="AC103" s="19">
        <f>$I103/$K103/2</f>
        <v>18.10205659007713</v>
      </c>
      <c r="AD103" s="19">
        <f>$I103/$K103</f>
        <v>36.204113180154259</v>
      </c>
    </row>
    <row r="104" spans="5:30" x14ac:dyDescent="0.3">
      <c r="F104" s="3" t="s">
        <v>431</v>
      </c>
      <c r="I104" s="16">
        <f>SUM(AD48,AD100:AD103)</f>
        <v>185.64529075202233</v>
      </c>
      <c r="J104" s="291" t="s">
        <v>583</v>
      </c>
      <c r="K104" s="291">
        <v>5</v>
      </c>
      <c r="M104" s="16"/>
      <c r="P104" s="16"/>
      <c r="Q104" s="16"/>
      <c r="R104" s="16"/>
      <c r="S104" s="16"/>
      <c r="T104" s="16"/>
      <c r="U104" s="16"/>
      <c r="V104" s="16"/>
      <c r="W104" s="16"/>
      <c r="X104" s="16"/>
      <c r="Y104" s="507"/>
      <c r="Z104" s="508"/>
      <c r="AA104" s="120"/>
      <c r="AB104" s="120"/>
      <c r="AC104" s="120"/>
      <c r="AD104" s="19">
        <f>$I104/$K104/2</f>
        <v>18.564529075202234</v>
      </c>
    </row>
    <row r="105" spans="5:30" x14ac:dyDescent="0.3">
      <c r="E105" s="3" t="s">
        <v>506</v>
      </c>
      <c r="I105" s="16"/>
      <c r="J105" s="291"/>
      <c r="K105" s="291"/>
      <c r="M105" s="16"/>
      <c r="P105" s="16"/>
      <c r="Q105" s="16"/>
      <c r="R105" s="16"/>
      <c r="S105" s="16"/>
      <c r="T105" s="16"/>
      <c r="U105" s="16"/>
      <c r="V105" s="16"/>
      <c r="W105" s="16"/>
      <c r="X105" s="16"/>
      <c r="Y105" s="292">
        <f t="shared" ref="Y105:AD105" si="40">SUM(Y106:Y110)</f>
        <v>2.8403021940596407</v>
      </c>
      <c r="Z105" s="246">
        <f t="shared" si="40"/>
        <v>2.8403021940596407</v>
      </c>
      <c r="AA105" s="16">
        <f t="shared" si="40"/>
        <v>8.3419933433316107</v>
      </c>
      <c r="AB105" s="16">
        <f t="shared" si="40"/>
        <v>10.031374358017755</v>
      </c>
      <c r="AC105" s="16">
        <f t="shared" si="40"/>
        <v>12.048191334884462</v>
      </c>
      <c r="AD105" s="16">
        <f t="shared" si="40"/>
        <v>14.457829601861356</v>
      </c>
    </row>
    <row r="106" spans="5:30" x14ac:dyDescent="0.3">
      <c r="F106" s="3" t="s">
        <v>427</v>
      </c>
      <c r="I106" s="16">
        <f>Y49</f>
        <v>37.870695920795214</v>
      </c>
      <c r="J106" s="291" t="s">
        <v>583</v>
      </c>
      <c r="K106" s="291">
        <v>5</v>
      </c>
      <c r="M106" s="16"/>
      <c r="P106" s="16"/>
      <c r="Q106" s="16"/>
      <c r="R106" s="16"/>
      <c r="S106" s="16"/>
      <c r="T106" s="16"/>
      <c r="U106" s="16"/>
      <c r="V106" s="16"/>
      <c r="W106" s="16"/>
      <c r="X106" s="16"/>
      <c r="Y106" s="420">
        <f>I106/$K106*0.75/2</f>
        <v>2.8403021940596407</v>
      </c>
      <c r="Z106" s="506">
        <f>Y106</f>
        <v>2.8403021940596407</v>
      </c>
      <c r="AA106" s="19">
        <f>$I106/$K106</f>
        <v>7.5741391841590424</v>
      </c>
      <c r="AB106" s="19">
        <f>$I106/$K106</f>
        <v>7.5741391841590424</v>
      </c>
      <c r="AC106" s="19">
        <f>$I106/$K106</f>
        <v>7.5741391841590424</v>
      </c>
      <c r="AD106" s="19">
        <f>$I106/$K106</f>
        <v>7.5741391841590424</v>
      </c>
    </row>
    <row r="107" spans="5:30" x14ac:dyDescent="0.3">
      <c r="F107" s="3" t="s">
        <v>428</v>
      </c>
      <c r="I107" s="16">
        <f>SUM(AA49,AA106)</f>
        <v>7.6785415917256801</v>
      </c>
      <c r="J107" s="291" t="s">
        <v>583</v>
      </c>
      <c r="K107" s="291">
        <v>5</v>
      </c>
      <c r="M107" s="16"/>
      <c r="P107" s="16"/>
      <c r="Q107" s="16"/>
      <c r="R107" s="16"/>
      <c r="S107" s="16"/>
      <c r="T107" s="16"/>
      <c r="U107" s="16"/>
      <c r="V107" s="16"/>
      <c r="W107" s="16"/>
      <c r="X107" s="16"/>
      <c r="Y107" s="507"/>
      <c r="Z107" s="508"/>
      <c r="AA107" s="19">
        <f>$I107/$K107/2</f>
        <v>0.76785415917256805</v>
      </c>
      <c r="AB107" s="19">
        <f>$I107/$K107</f>
        <v>1.5357083183451361</v>
      </c>
      <c r="AC107" s="19">
        <f>$I107/$K107</f>
        <v>1.5357083183451361</v>
      </c>
      <c r="AD107" s="19">
        <f>$I107/$K107</f>
        <v>1.5357083183451361</v>
      </c>
    </row>
    <row r="108" spans="5:30" x14ac:dyDescent="0.3">
      <c r="F108" s="3" t="s">
        <v>429</v>
      </c>
      <c r="I108" s="16">
        <f>SUM(AB49,AB106:AB107)</f>
        <v>9.2152685551357578</v>
      </c>
      <c r="J108" s="291" t="s">
        <v>583</v>
      </c>
      <c r="K108" s="291">
        <v>5</v>
      </c>
      <c r="M108" s="16"/>
      <c r="P108" s="16"/>
      <c r="Q108" s="16"/>
      <c r="R108" s="16"/>
      <c r="S108" s="16"/>
      <c r="T108" s="16"/>
      <c r="U108" s="16"/>
      <c r="V108" s="16"/>
      <c r="W108" s="16"/>
      <c r="X108" s="16"/>
      <c r="Y108" s="507"/>
      <c r="Z108" s="508"/>
      <c r="AA108" s="120"/>
      <c r="AB108" s="19">
        <f>$I108/$K108/2</f>
        <v>0.92152685551357583</v>
      </c>
      <c r="AC108" s="19">
        <f>$I108/$K108</f>
        <v>1.8430537110271517</v>
      </c>
      <c r="AD108" s="19">
        <f>$I108/$K108</f>
        <v>1.8430537110271517</v>
      </c>
    </row>
    <row r="109" spans="5:30" x14ac:dyDescent="0.3">
      <c r="F109" s="3" t="s">
        <v>430</v>
      </c>
      <c r="I109" s="16">
        <f>SUM(AC49,AC106:AC108)</f>
        <v>10.95290121353133</v>
      </c>
      <c r="J109" s="291" t="s">
        <v>583</v>
      </c>
      <c r="K109" s="291">
        <v>5</v>
      </c>
      <c r="M109" s="16"/>
      <c r="P109" s="16"/>
      <c r="Q109" s="16"/>
      <c r="R109" s="16"/>
      <c r="S109" s="16"/>
      <c r="T109" s="16"/>
      <c r="U109" s="16"/>
      <c r="V109" s="16"/>
      <c r="W109" s="16"/>
      <c r="X109" s="16"/>
      <c r="Y109" s="507"/>
      <c r="Z109" s="508"/>
      <c r="AA109" s="120"/>
      <c r="AB109" s="120"/>
      <c r="AC109" s="19">
        <f>$I109/$K109/2</f>
        <v>1.095290121353133</v>
      </c>
      <c r="AD109" s="19">
        <f>$I109/$K109</f>
        <v>2.1905802427062659</v>
      </c>
    </row>
    <row r="110" spans="5:30" x14ac:dyDescent="0.3">
      <c r="F110" s="3" t="s">
        <v>431</v>
      </c>
      <c r="I110" s="16">
        <f>SUM(AD49,AD106:AD109)</f>
        <v>13.143481456237597</v>
      </c>
      <c r="J110" s="291" t="s">
        <v>583</v>
      </c>
      <c r="K110" s="291">
        <v>5</v>
      </c>
      <c r="M110" s="16"/>
      <c r="P110" s="16"/>
      <c r="Q110" s="16"/>
      <c r="R110" s="16"/>
      <c r="S110" s="16"/>
      <c r="T110" s="16"/>
      <c r="U110" s="16"/>
      <c r="V110" s="16"/>
      <c r="W110" s="16"/>
      <c r="X110" s="16"/>
      <c r="Y110" s="507"/>
      <c r="Z110" s="508"/>
      <c r="AA110" s="120"/>
      <c r="AB110" s="120"/>
      <c r="AC110" s="120"/>
      <c r="AD110" s="19">
        <f>$I110/$K110/2</f>
        <v>1.3143481456237596</v>
      </c>
    </row>
    <row r="111" spans="5:30" x14ac:dyDescent="0.3">
      <c r="E111" s="3" t="s">
        <v>585</v>
      </c>
      <c r="I111" s="16"/>
      <c r="J111" s="291"/>
      <c r="K111" s="291"/>
      <c r="M111" s="16"/>
      <c r="P111" s="16"/>
      <c r="Q111" s="16"/>
      <c r="R111" s="16"/>
      <c r="S111" s="16"/>
      <c r="T111" s="16"/>
      <c r="U111" s="16"/>
      <c r="V111" s="16"/>
      <c r="W111" s="16"/>
      <c r="X111" s="16"/>
      <c r="Y111" s="292">
        <f t="shared" ref="Y111:AD111" si="41">SUM(Y112:Y116)</f>
        <v>0.41981187457827257</v>
      </c>
      <c r="Z111" s="246">
        <f t="shared" si="41"/>
        <v>0.41981187457827257</v>
      </c>
      <c r="AA111" s="16">
        <f t="shared" si="41"/>
        <v>1.2594356237348177</v>
      </c>
      <c r="AB111" s="16">
        <f t="shared" si="41"/>
        <v>1.574294529668522</v>
      </c>
      <c r="AC111" s="16">
        <f t="shared" si="41"/>
        <v>1.9678681620856526</v>
      </c>
      <c r="AD111" s="16">
        <f t="shared" si="41"/>
        <v>2.4598352026070658</v>
      </c>
    </row>
    <row r="112" spans="5:30" x14ac:dyDescent="0.3">
      <c r="F112" s="3" t="s">
        <v>427</v>
      </c>
      <c r="I112" s="16">
        <f>Y50</f>
        <v>4.4779933288349074</v>
      </c>
      <c r="J112" s="291" t="s">
        <v>583</v>
      </c>
      <c r="K112" s="291">
        <v>4</v>
      </c>
      <c r="M112" s="16"/>
      <c r="P112" s="16"/>
      <c r="Q112" s="16"/>
      <c r="R112" s="16"/>
      <c r="S112" s="16"/>
      <c r="T112" s="16"/>
      <c r="U112" s="16"/>
      <c r="V112" s="16"/>
      <c r="W112" s="16"/>
      <c r="X112" s="16"/>
      <c r="Y112" s="420">
        <f>I112/$K112*0.75/2</f>
        <v>0.41981187457827257</v>
      </c>
      <c r="Z112" s="506">
        <f>Y112</f>
        <v>0.41981187457827257</v>
      </c>
      <c r="AA112" s="19">
        <f>$I112/$K112</f>
        <v>1.1194983322087269</v>
      </c>
      <c r="AB112" s="19">
        <f>$I112/$K112</f>
        <v>1.1194983322087269</v>
      </c>
      <c r="AC112" s="19">
        <f>$I112/$K112</f>
        <v>1.1194983322087269</v>
      </c>
      <c r="AD112" s="19">
        <f>$I112/$K112</f>
        <v>1.1194983322087269</v>
      </c>
    </row>
    <row r="113" spans="2:30" x14ac:dyDescent="0.3">
      <c r="F113" s="3" t="s">
        <v>428</v>
      </c>
      <c r="I113" s="16">
        <f>SUM(AA50,AA112)</f>
        <v>1.1194983322087269</v>
      </c>
      <c r="J113" s="291" t="s">
        <v>583</v>
      </c>
      <c r="K113" s="291">
        <v>4</v>
      </c>
      <c r="M113" s="16"/>
      <c r="P113" s="16"/>
      <c r="Q113" s="16"/>
      <c r="R113" s="16"/>
      <c r="S113" s="16"/>
      <c r="T113" s="16"/>
      <c r="U113" s="16"/>
      <c r="V113" s="16"/>
      <c r="W113" s="16"/>
      <c r="X113" s="16"/>
      <c r="Y113" s="507"/>
      <c r="Z113" s="508"/>
      <c r="AA113" s="19">
        <f>$I113/$K113/2</f>
        <v>0.13993729152609086</v>
      </c>
      <c r="AB113" s="19">
        <f>$I113/$K113</f>
        <v>0.27987458305218171</v>
      </c>
      <c r="AC113" s="19">
        <f>$I113/$K113</f>
        <v>0.27987458305218171</v>
      </c>
      <c r="AD113" s="19">
        <f>$I113/$K113</f>
        <v>0.27987458305218171</v>
      </c>
    </row>
    <row r="114" spans="2:30" x14ac:dyDescent="0.3">
      <c r="F114" s="3" t="s">
        <v>429</v>
      </c>
      <c r="I114" s="16">
        <f>SUM(AB50,AB112:AB113)</f>
        <v>1.3993729152609085</v>
      </c>
      <c r="J114" s="291" t="s">
        <v>583</v>
      </c>
      <c r="K114" s="291">
        <v>4</v>
      </c>
      <c r="M114" s="16"/>
      <c r="P114" s="16"/>
      <c r="Q114" s="16"/>
      <c r="R114" s="16"/>
      <c r="S114" s="16"/>
      <c r="T114" s="16"/>
      <c r="U114" s="16"/>
      <c r="V114" s="16"/>
      <c r="W114" s="16"/>
      <c r="X114" s="16"/>
      <c r="Y114" s="507"/>
      <c r="Z114" s="508"/>
      <c r="AA114" s="120"/>
      <c r="AB114" s="19">
        <f>$I114/$K114/2</f>
        <v>0.17492161440761356</v>
      </c>
      <c r="AC114" s="19">
        <f>$I114/$K114</f>
        <v>0.34984322881522711</v>
      </c>
      <c r="AD114" s="19">
        <f>$I114/$K114</f>
        <v>0.34984322881522711</v>
      </c>
    </row>
    <row r="115" spans="2:30" x14ac:dyDescent="0.3">
      <c r="F115" s="3" t="s">
        <v>430</v>
      </c>
      <c r="I115" s="16">
        <f>SUM(AC50,AC112:AC114)</f>
        <v>1.7492161440761356</v>
      </c>
      <c r="J115" s="291" t="s">
        <v>583</v>
      </c>
      <c r="K115" s="291">
        <v>4</v>
      </c>
      <c r="M115" s="16"/>
      <c r="P115" s="16"/>
      <c r="Q115" s="16"/>
      <c r="R115" s="16"/>
      <c r="S115" s="16"/>
      <c r="T115" s="16"/>
      <c r="U115" s="16"/>
      <c r="V115" s="16"/>
      <c r="W115" s="16"/>
      <c r="X115" s="16"/>
      <c r="Y115" s="507"/>
      <c r="Z115" s="508"/>
      <c r="AA115" s="120"/>
      <c r="AB115" s="120"/>
      <c r="AC115" s="19">
        <f>$I115/$K115/2</f>
        <v>0.21865201800951695</v>
      </c>
      <c r="AD115" s="19">
        <f>$I115/$K115</f>
        <v>0.43730403601903389</v>
      </c>
    </row>
    <row r="116" spans="2:30" x14ac:dyDescent="0.3">
      <c r="F116" s="3" t="s">
        <v>431</v>
      </c>
      <c r="I116" s="16">
        <f>SUM(AD50,AD112:AD115)</f>
        <v>2.1865201800951697</v>
      </c>
      <c r="J116" s="291" t="s">
        <v>583</v>
      </c>
      <c r="K116" s="291">
        <v>4</v>
      </c>
      <c r="M116" s="16"/>
      <c r="P116" s="16"/>
      <c r="Q116" s="16"/>
      <c r="R116" s="16"/>
      <c r="S116" s="16"/>
      <c r="T116" s="16"/>
      <c r="U116" s="16"/>
      <c r="V116" s="16"/>
      <c r="W116" s="16"/>
      <c r="X116" s="16"/>
      <c r="Y116" s="507"/>
      <c r="Z116" s="508"/>
      <c r="AA116" s="120"/>
      <c r="AB116" s="120"/>
      <c r="AC116" s="120"/>
      <c r="AD116" s="19">
        <f>$I116/$K116/2</f>
        <v>0.27331502251189621</v>
      </c>
    </row>
    <row r="117" spans="2:30" x14ac:dyDescent="0.3">
      <c r="E117" s="3" t="s">
        <v>136</v>
      </c>
      <c r="I117" s="16"/>
      <c r="J117" s="291"/>
      <c r="K117" s="291"/>
      <c r="M117" s="16"/>
      <c r="P117" s="16"/>
      <c r="Q117" s="16"/>
      <c r="R117" s="16"/>
      <c r="S117" s="16"/>
      <c r="T117" s="16"/>
      <c r="U117" s="16"/>
      <c r="V117" s="16"/>
      <c r="W117" s="16"/>
      <c r="X117" s="16"/>
      <c r="Y117" s="292">
        <f t="shared" ref="Y117:AD117" si="42">SUM(Y118:Y122)</f>
        <v>2.0635033568471268</v>
      </c>
      <c r="Z117" s="246">
        <f t="shared" si="42"/>
        <v>2.0635033568471268</v>
      </c>
      <c r="AA117" s="16">
        <f t="shared" si="42"/>
        <v>6.4705393916470655</v>
      </c>
      <c r="AB117" s="16">
        <f t="shared" si="42"/>
        <v>8.6781370258743156</v>
      </c>
      <c r="AC117" s="16">
        <f t="shared" si="42"/>
        <v>11.57084936783242</v>
      </c>
      <c r="AD117" s="16">
        <f t="shared" si="42"/>
        <v>15.427799157109893</v>
      </c>
    </row>
    <row r="118" spans="2:30" x14ac:dyDescent="0.3">
      <c r="F118" s="3" t="s">
        <v>427</v>
      </c>
      <c r="I118" s="16">
        <f>Y51</f>
        <v>16.508026854777015</v>
      </c>
      <c r="J118" s="291" t="s">
        <v>583</v>
      </c>
      <c r="K118" s="291">
        <v>3</v>
      </c>
      <c r="M118" s="16"/>
      <c r="P118" s="16"/>
      <c r="Q118" s="16"/>
      <c r="R118" s="16"/>
      <c r="S118" s="16"/>
      <c r="T118" s="16"/>
      <c r="U118" s="16"/>
      <c r="V118" s="16"/>
      <c r="W118" s="16"/>
      <c r="X118" s="16"/>
      <c r="Y118" s="420">
        <f>I118/$K118*0.75/2</f>
        <v>2.0635033568471268</v>
      </c>
      <c r="Z118" s="506">
        <f>Y118</f>
        <v>2.0635033568471268</v>
      </c>
      <c r="AA118" s="19">
        <f>$I118/$K118</f>
        <v>5.5026756182590049</v>
      </c>
      <c r="AB118" s="19">
        <f>$I118/$K118</f>
        <v>5.5026756182590049</v>
      </c>
      <c r="AC118" s="19">
        <f>$I118/$K118</f>
        <v>5.5026756182590049</v>
      </c>
      <c r="AD118" s="19">
        <f>$I118/$K118</f>
        <v>5.5026756182590049</v>
      </c>
    </row>
    <row r="119" spans="2:30" x14ac:dyDescent="0.3">
      <c r="F119" s="3" t="s">
        <v>428</v>
      </c>
      <c r="I119" s="16">
        <f>SUM(AA51,AA118)</f>
        <v>5.8071826403283655</v>
      </c>
      <c r="J119" s="291" t="s">
        <v>583</v>
      </c>
      <c r="K119" s="291">
        <v>3</v>
      </c>
      <c r="M119" s="16"/>
      <c r="P119" s="16"/>
      <c r="Q119" s="16"/>
      <c r="R119" s="16"/>
      <c r="S119" s="16"/>
      <c r="T119" s="16"/>
      <c r="U119" s="16"/>
      <c r="V119" s="16"/>
      <c r="W119" s="16"/>
      <c r="X119" s="16"/>
      <c r="Y119" s="507"/>
      <c r="Z119" s="508"/>
      <c r="AA119" s="19">
        <f>$I119/$K119/2</f>
        <v>0.96786377338806096</v>
      </c>
      <c r="AB119" s="19">
        <f>$I119/$K119</f>
        <v>1.9357275467761219</v>
      </c>
      <c r="AC119" s="19">
        <f>$I119/$K119</f>
        <v>1.9357275467761219</v>
      </c>
      <c r="AD119" s="19">
        <f>$I119/$K119</f>
        <v>1.9357275467761219</v>
      </c>
    </row>
    <row r="120" spans="2:30" x14ac:dyDescent="0.3">
      <c r="F120" s="3" t="s">
        <v>429</v>
      </c>
      <c r="I120" s="16">
        <f>SUM(AB51,AB118:AB119)</f>
        <v>7.438403165035127</v>
      </c>
      <c r="J120" s="291" t="s">
        <v>583</v>
      </c>
      <c r="K120" s="291">
        <v>3</v>
      </c>
      <c r="M120" s="16"/>
      <c r="P120" s="16"/>
      <c r="Q120" s="16"/>
      <c r="R120" s="16"/>
      <c r="S120" s="16"/>
      <c r="T120" s="16"/>
      <c r="U120" s="16"/>
      <c r="V120" s="16"/>
      <c r="W120" s="16"/>
      <c r="X120" s="16"/>
      <c r="Y120" s="507"/>
      <c r="Z120" s="508"/>
      <c r="AA120" s="120"/>
      <c r="AB120" s="19">
        <f>$I120/$K120/2</f>
        <v>1.2397338608391879</v>
      </c>
      <c r="AC120" s="19">
        <f>$I120/$K120</f>
        <v>2.4794677216783758</v>
      </c>
      <c r="AD120" s="19">
        <f>$I120/$K120</f>
        <v>2.4794677216783758</v>
      </c>
    </row>
    <row r="121" spans="2:30" x14ac:dyDescent="0.3">
      <c r="F121" s="3" t="s">
        <v>430</v>
      </c>
      <c r="I121" s="16">
        <f>SUM(AC51,AC118:AC120)</f>
        <v>9.9178708867135033</v>
      </c>
      <c r="J121" s="291" t="s">
        <v>583</v>
      </c>
      <c r="K121" s="291">
        <v>3</v>
      </c>
      <c r="M121" s="16"/>
      <c r="P121" s="16"/>
      <c r="Q121" s="16"/>
      <c r="R121" s="16"/>
      <c r="S121" s="16"/>
      <c r="T121" s="16"/>
      <c r="U121" s="16"/>
      <c r="V121" s="16"/>
      <c r="W121" s="16"/>
      <c r="X121" s="16"/>
      <c r="Y121" s="507"/>
      <c r="Z121" s="508"/>
      <c r="AA121" s="120"/>
      <c r="AB121" s="120"/>
      <c r="AC121" s="19">
        <f>$I121/$K121/2</f>
        <v>1.6529784811189172</v>
      </c>
      <c r="AD121" s="19">
        <f>$I121/$K121</f>
        <v>3.3059569622378344</v>
      </c>
    </row>
    <row r="122" spans="2:30" x14ac:dyDescent="0.3">
      <c r="F122" s="3" t="s">
        <v>431</v>
      </c>
      <c r="I122" s="16">
        <f>SUM(AD51,AD118:AD121)</f>
        <v>13.223827848951338</v>
      </c>
      <c r="J122" s="291" t="s">
        <v>583</v>
      </c>
      <c r="K122" s="291">
        <v>3</v>
      </c>
      <c r="M122" s="16"/>
      <c r="P122" s="16"/>
      <c r="Q122" s="16"/>
      <c r="R122" s="16"/>
      <c r="S122" s="16"/>
      <c r="T122" s="16"/>
      <c r="U122" s="16"/>
      <c r="V122" s="16"/>
      <c r="W122" s="16"/>
      <c r="X122" s="16"/>
      <c r="Y122" s="507"/>
      <c r="Z122" s="508"/>
      <c r="AA122" s="120"/>
      <c r="AB122" s="120"/>
      <c r="AC122" s="120"/>
      <c r="AD122" s="19">
        <f>$I122/$K122/2</f>
        <v>2.2039713081585561</v>
      </c>
    </row>
    <row r="123" spans="2:30" x14ac:dyDescent="0.3">
      <c r="B123" s="11"/>
      <c r="C123" s="3" t="s">
        <v>433</v>
      </c>
      <c r="L123" s="16"/>
      <c r="M123" s="16"/>
      <c r="P123" s="13"/>
      <c r="Q123" s="13"/>
      <c r="R123" s="13"/>
      <c r="S123" s="13"/>
      <c r="T123" s="13"/>
      <c r="U123" s="13"/>
      <c r="V123" s="13"/>
      <c r="W123" s="13"/>
      <c r="X123" s="13"/>
      <c r="Y123" s="292">
        <f t="shared" ref="Y123:AC124" si="43">Y124</f>
        <v>0.3532381388353627</v>
      </c>
      <c r="Z123" s="246">
        <f t="shared" si="43"/>
        <v>0.3532381388353627</v>
      </c>
      <c r="AA123" s="16">
        <f t="shared" si="43"/>
        <v>1.368658873903819</v>
      </c>
      <c r="AB123" s="16">
        <f t="shared" si="43"/>
        <v>2.0083364868098821</v>
      </c>
      <c r="AC123" s="16">
        <f t="shared" si="43"/>
        <v>2.400913101549679</v>
      </c>
      <c r="AD123" s="16"/>
    </row>
    <row r="124" spans="2:30" x14ac:dyDescent="0.3">
      <c r="D124" s="3" t="s">
        <v>577</v>
      </c>
      <c r="L124" s="16"/>
      <c r="M124" s="16"/>
      <c r="P124" s="16"/>
      <c r="Q124" s="16"/>
      <c r="R124" s="16"/>
      <c r="S124" s="16"/>
      <c r="T124" s="16"/>
      <c r="U124" s="16"/>
      <c r="V124" s="16"/>
      <c r="W124" s="16"/>
      <c r="X124" s="16"/>
      <c r="Y124" s="292">
        <f t="shared" si="43"/>
        <v>0.3532381388353627</v>
      </c>
      <c r="Z124" s="246">
        <f t="shared" si="43"/>
        <v>0.3532381388353627</v>
      </c>
      <c r="AA124" s="16">
        <f t="shared" si="43"/>
        <v>1.368658873903819</v>
      </c>
      <c r="AB124" s="16">
        <f t="shared" si="43"/>
        <v>2.0083364868098821</v>
      </c>
      <c r="AC124" s="16">
        <f t="shared" si="43"/>
        <v>2.400913101549679</v>
      </c>
      <c r="AD124" s="16">
        <f>AD125</f>
        <v>2.7119756808004603</v>
      </c>
    </row>
    <row r="125" spans="2:30" x14ac:dyDescent="0.3">
      <c r="E125" s="3" t="s">
        <v>507</v>
      </c>
      <c r="I125" s="291"/>
      <c r="J125" s="291"/>
      <c r="K125" s="291"/>
      <c r="M125" s="16"/>
      <c r="P125" s="16"/>
      <c r="Q125" s="16"/>
      <c r="R125" s="16"/>
      <c r="S125" s="16"/>
      <c r="T125" s="16"/>
      <c r="U125" s="16"/>
      <c r="V125" s="16"/>
      <c r="W125" s="16"/>
      <c r="X125" s="16"/>
      <c r="Y125" s="292">
        <f t="shared" ref="Y125:AD125" si="44">SUM(Y126:Y130)</f>
        <v>0.3532381388353627</v>
      </c>
      <c r="Z125" s="246">
        <f t="shared" si="44"/>
        <v>0.3532381388353627</v>
      </c>
      <c r="AA125" s="16">
        <f t="shared" si="44"/>
        <v>1.368658873903819</v>
      </c>
      <c r="AB125" s="16">
        <f t="shared" si="44"/>
        <v>2.0083364868098821</v>
      </c>
      <c r="AC125" s="16">
        <f t="shared" si="44"/>
        <v>2.400913101549679</v>
      </c>
      <c r="AD125" s="16">
        <f t="shared" si="44"/>
        <v>2.7119756808004603</v>
      </c>
    </row>
    <row r="126" spans="2:30" x14ac:dyDescent="0.3">
      <c r="F126" s="3" t="s">
        <v>427</v>
      </c>
      <c r="I126" s="16">
        <f>Y56</f>
        <v>9.4196837022763376</v>
      </c>
      <c r="J126" s="291" t="s">
        <v>583</v>
      </c>
      <c r="K126" s="291">
        <v>10</v>
      </c>
      <c r="M126" s="16"/>
      <c r="P126" s="16"/>
      <c r="Q126" s="16"/>
      <c r="R126" s="16"/>
      <c r="S126" s="16"/>
      <c r="T126" s="16"/>
      <c r="U126" s="16"/>
      <c r="V126" s="16"/>
      <c r="W126" s="16"/>
      <c r="X126" s="16"/>
      <c r="Y126" s="420">
        <f>I126/$K126*0.75/2</f>
        <v>0.3532381388353627</v>
      </c>
      <c r="Z126" s="506">
        <f>Y126</f>
        <v>0.3532381388353627</v>
      </c>
      <c r="AA126" s="19">
        <f>$I126/$K126</f>
        <v>0.9419683702276338</v>
      </c>
      <c r="AB126" s="19">
        <f>$I126/$K126</f>
        <v>0.9419683702276338</v>
      </c>
      <c r="AC126" s="19">
        <f>$I126/$K126</f>
        <v>0.9419683702276338</v>
      </c>
      <c r="AD126" s="19">
        <f>$I126/$K126</f>
        <v>0.9419683702276338</v>
      </c>
    </row>
    <row r="127" spans="2:30" x14ac:dyDescent="0.3">
      <c r="F127" s="3" t="s">
        <v>428</v>
      </c>
      <c r="I127" s="16">
        <f>SUM(AA56,AA126)</f>
        <v>8.533810073523707</v>
      </c>
      <c r="J127" s="291" t="s">
        <v>583</v>
      </c>
      <c r="K127" s="291">
        <v>10</v>
      </c>
      <c r="M127" s="16"/>
      <c r="P127" s="16"/>
      <c r="Q127" s="16"/>
      <c r="R127" s="16"/>
      <c r="S127" s="16"/>
      <c r="T127" s="16"/>
      <c r="U127" s="16"/>
      <c r="V127" s="16"/>
      <c r="W127" s="16"/>
      <c r="X127" s="16"/>
      <c r="Y127" s="507"/>
      <c r="Z127" s="508"/>
      <c r="AA127" s="19">
        <f>$I127/$K127/2</f>
        <v>0.42669050367618533</v>
      </c>
      <c r="AB127" s="19">
        <f>$I127/$K127</f>
        <v>0.85338100735237066</v>
      </c>
      <c r="AC127" s="19">
        <f>$I127/$K127</f>
        <v>0.85338100735237066</v>
      </c>
      <c r="AD127" s="19">
        <f>$I127/$K127</f>
        <v>0.85338100735237066</v>
      </c>
    </row>
    <row r="128" spans="2:30" x14ac:dyDescent="0.3">
      <c r="F128" s="3" t="s">
        <v>429</v>
      </c>
      <c r="I128" s="16">
        <f>SUM(AB56,AB126:AB127)</f>
        <v>4.2597421845975489</v>
      </c>
      <c r="J128" s="291" t="s">
        <v>583</v>
      </c>
      <c r="K128" s="291">
        <v>10</v>
      </c>
      <c r="M128" s="16"/>
      <c r="P128" s="16"/>
      <c r="Q128" s="16"/>
      <c r="R128" s="16"/>
      <c r="S128" s="16"/>
      <c r="T128" s="16"/>
      <c r="U128" s="16"/>
      <c r="V128" s="16"/>
      <c r="W128" s="16"/>
      <c r="X128" s="16"/>
      <c r="Y128" s="507"/>
      <c r="Z128" s="508"/>
      <c r="AA128" s="120"/>
      <c r="AB128" s="19">
        <f>$I128/$K128/2</f>
        <v>0.21298710922987746</v>
      </c>
      <c r="AC128" s="19">
        <f>$I128/$K128</f>
        <v>0.42597421845975492</v>
      </c>
      <c r="AD128" s="19">
        <f>$I128/$K128</f>
        <v>0.42597421845975492</v>
      </c>
    </row>
    <row r="129" spans="2:30" x14ac:dyDescent="0.3">
      <c r="F129" s="3" t="s">
        <v>430</v>
      </c>
      <c r="I129" s="16">
        <f>SUM(AC56,AC126:AC128)</f>
        <v>3.5917901101983953</v>
      </c>
      <c r="J129" s="291" t="s">
        <v>583</v>
      </c>
      <c r="K129" s="291">
        <v>10</v>
      </c>
      <c r="M129" s="16"/>
      <c r="P129" s="16"/>
      <c r="Q129" s="16"/>
      <c r="R129" s="16"/>
      <c r="S129" s="16"/>
      <c r="T129" s="16"/>
      <c r="U129" s="16"/>
      <c r="V129" s="16"/>
      <c r="W129" s="16"/>
      <c r="X129" s="16"/>
      <c r="Y129" s="507"/>
      <c r="Z129" s="508"/>
      <c r="AA129" s="120"/>
      <c r="AB129" s="120"/>
      <c r="AC129" s="19">
        <f>$I129/$K129/2</f>
        <v>0.17958950550991976</v>
      </c>
      <c r="AD129" s="19">
        <f>$I129/$K129</f>
        <v>0.35917901101983951</v>
      </c>
    </row>
    <row r="130" spans="2:30" x14ac:dyDescent="0.3">
      <c r="B130" s="92"/>
      <c r="C130" s="92"/>
      <c r="D130" s="92"/>
      <c r="E130" s="92"/>
      <c r="F130" s="92" t="s">
        <v>431</v>
      </c>
      <c r="G130" s="92"/>
      <c r="H130" s="92"/>
      <c r="I130" s="130">
        <f>SUM(AD56,AD126:AD129)</f>
        <v>2.6294614748172283</v>
      </c>
      <c r="J130" s="295" t="s">
        <v>583</v>
      </c>
      <c r="K130" s="295">
        <v>10</v>
      </c>
      <c r="L130" s="92"/>
      <c r="M130" s="130"/>
      <c r="N130" s="92"/>
      <c r="O130" s="92"/>
      <c r="P130" s="130"/>
      <c r="Q130" s="130"/>
      <c r="R130" s="130"/>
      <c r="S130" s="130"/>
      <c r="T130" s="130"/>
      <c r="U130" s="130"/>
      <c r="V130" s="130"/>
      <c r="W130" s="130"/>
      <c r="X130" s="130"/>
      <c r="Y130" s="509"/>
      <c r="Z130" s="510"/>
      <c r="AA130" s="127"/>
      <c r="AB130" s="127"/>
      <c r="AC130" s="127"/>
      <c r="AD130" s="426">
        <f>$I130/$K130/2</f>
        <v>0.13147307374086142</v>
      </c>
    </row>
  </sheetData>
  <phoneticPr fontId="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E676D-C34E-488A-BFF5-91073E8DD242}">
  <sheetPr>
    <tabColor theme="9" tint="-0.499984740745262"/>
  </sheetPr>
  <dimension ref="A1:AB53"/>
  <sheetViews>
    <sheetView showGridLines="0" zoomScale="85" zoomScaleNormal="85" workbookViewId="0">
      <selection activeCell="Y40" sqref="Y40"/>
    </sheetView>
  </sheetViews>
  <sheetFormatPr defaultRowHeight="12" x14ac:dyDescent="0.3"/>
  <cols>
    <col min="1" max="1" width="2.625" style="6" customWidth="1"/>
    <col min="2" max="6" width="1.625" style="6" customWidth="1"/>
    <col min="7" max="25" width="9" style="6"/>
    <col min="26" max="26" width="10.625" style="6" bestFit="1" customWidth="1"/>
    <col min="27" max="16384" width="9" style="6"/>
  </cols>
  <sheetData>
    <row r="1" spans="1:28" x14ac:dyDescent="0.3">
      <c r="A1" s="1" t="str">
        <f ca="1">MID(CELL("filename",A1),FIND("]",CELL("filename",A1))+1,255)</f>
        <v>기종별마진</v>
      </c>
      <c r="B1" s="2"/>
      <c r="C1" s="2"/>
      <c r="D1" s="2"/>
      <c r="E1" s="2"/>
      <c r="F1" s="2"/>
      <c r="G1" s="2"/>
      <c r="H1" s="2"/>
      <c r="I1" s="2"/>
      <c r="J1" s="2"/>
      <c r="K1" s="2"/>
      <c r="L1" s="2"/>
      <c r="M1" s="2"/>
      <c r="N1" s="2"/>
      <c r="O1" s="2"/>
      <c r="P1" s="2"/>
      <c r="Q1" s="2"/>
      <c r="R1" s="2"/>
      <c r="S1" s="2"/>
      <c r="T1" s="2"/>
      <c r="U1" s="2"/>
    </row>
    <row r="2" spans="1:28" x14ac:dyDescent="0.3">
      <c r="A2" s="3"/>
      <c r="B2" s="3"/>
      <c r="C2" s="3"/>
      <c r="D2" s="3"/>
      <c r="E2" s="3"/>
      <c r="F2" s="3"/>
      <c r="G2" s="3"/>
      <c r="H2" s="3"/>
      <c r="I2" s="3"/>
      <c r="J2" s="3"/>
      <c r="K2" s="3"/>
      <c r="L2" s="3"/>
      <c r="M2" s="3"/>
      <c r="N2" s="3"/>
      <c r="O2" s="3"/>
      <c r="P2" s="3"/>
      <c r="Q2" s="3"/>
      <c r="R2" s="3"/>
      <c r="S2" s="3"/>
      <c r="T2" s="3"/>
      <c r="U2" s="3"/>
    </row>
    <row r="3" spans="1:28" x14ac:dyDescent="0.3">
      <c r="A3" s="4"/>
      <c r="B3" s="5"/>
      <c r="C3" s="4"/>
      <c r="D3" s="4"/>
      <c r="E3" s="4"/>
      <c r="F3" s="4"/>
      <c r="G3" s="4"/>
      <c r="H3" s="4"/>
      <c r="I3" s="4"/>
      <c r="J3" s="4"/>
      <c r="K3" s="4"/>
      <c r="L3" s="4"/>
      <c r="M3" s="4"/>
      <c r="N3" s="4"/>
      <c r="O3" s="4"/>
      <c r="P3" s="4"/>
      <c r="Q3" s="4"/>
      <c r="R3" s="4"/>
      <c r="S3" s="4"/>
      <c r="T3" s="4"/>
      <c r="U3" s="4"/>
    </row>
    <row r="4" spans="1:28" x14ac:dyDescent="0.3">
      <c r="P4" s="51"/>
      <c r="Q4" s="51"/>
      <c r="R4" s="51"/>
      <c r="S4" s="51"/>
      <c r="T4" s="51"/>
      <c r="U4" s="51"/>
    </row>
    <row r="5" spans="1:28" x14ac:dyDescent="0.3">
      <c r="B5" s="8"/>
      <c r="C5" s="8"/>
      <c r="D5" s="8"/>
      <c r="E5" s="8"/>
      <c r="F5" s="8"/>
      <c r="G5" s="8"/>
      <c r="H5" s="8"/>
      <c r="I5" s="8"/>
      <c r="J5" s="8"/>
      <c r="K5" s="8"/>
      <c r="L5" s="9"/>
      <c r="M5" s="9"/>
      <c r="N5" s="9"/>
      <c r="O5" s="10"/>
      <c r="P5" s="9" t="s">
        <v>5</v>
      </c>
      <c r="Q5" s="9" t="s">
        <v>6</v>
      </c>
      <c r="R5" s="9" t="s">
        <v>7</v>
      </c>
      <c r="S5" s="9" t="s">
        <v>8</v>
      </c>
      <c r="T5" s="9" t="s">
        <v>9</v>
      </c>
      <c r="U5" s="9" t="s">
        <v>10</v>
      </c>
    </row>
    <row r="6" spans="1:28" s="11" customFormat="1" x14ac:dyDescent="0.3">
      <c r="B6" s="11" t="s">
        <v>28</v>
      </c>
      <c r="O6" s="13"/>
      <c r="P6" s="13">
        <f>SUM(P7:P12)</f>
        <v>312170.77605210262</v>
      </c>
      <c r="Q6" s="13">
        <f t="shared" ref="Q6:U6" si="0">SUM(Q7:Q12)</f>
        <v>401887.15513683402</v>
      </c>
      <c r="R6" s="13">
        <f t="shared" si="0"/>
        <v>384025.10637721966</v>
      </c>
      <c r="S6" s="13">
        <f t="shared" si="0"/>
        <v>433849.87990566279</v>
      </c>
      <c r="T6" s="13">
        <f t="shared" si="0"/>
        <v>483807.53659513569</v>
      </c>
      <c r="U6" s="13">
        <f t="shared" si="0"/>
        <v>535532.0850870295</v>
      </c>
    </row>
    <row r="7" spans="1:28" x14ac:dyDescent="0.3">
      <c r="C7" s="6" t="s">
        <v>131</v>
      </c>
      <c r="N7" s="19"/>
      <c r="O7" s="19"/>
      <c r="P7" s="19">
        <f>SUM(Revenue_HW!Y50,Revenue_HW!Y177,Revenue_HW!Y220,Revenue_HW!Y263,Revenue_HW!Y306,Revenue_HW!Y349,Projection_유럽!Y21,Projection_미국!Y21,Projection_중국!Y21)</f>
        <v>13136.663807777384</v>
      </c>
      <c r="Q7" s="19">
        <f>SUM(Revenue_HW!Z50,Revenue_HW!Z177,Revenue_HW!Z220,Revenue_HW!Z263,Revenue_HW!Z306,Revenue_HW!Z349,Projection_유럽!Z21,Projection_미국!Z21,Projection_중국!Z21)</f>
        <v>14550.644080176586</v>
      </c>
      <c r="R7" s="19">
        <f>SUM(Revenue_HW!AA50,Revenue_HW!AA177,Revenue_HW!AA220,Revenue_HW!AA263,Revenue_HW!AA306,Revenue_HW!AA349,Projection_유럽!AA21,Projection_미국!AA21,Projection_중국!AA21)</f>
        <v>16318.43166774923</v>
      </c>
      <c r="S7" s="19">
        <f>SUM(Revenue_HW!AB50,Revenue_HW!AB177,Revenue_HW!AB220,Revenue_HW!AB263,Revenue_HW!AB306,Revenue_HW!AB349,Projection_유럽!AB21,Projection_미국!AB21,Projection_중국!AB21)</f>
        <v>19972.746696981012</v>
      </c>
      <c r="T7" s="19">
        <f>SUM(Revenue_HW!AC50,Revenue_HW!AC177,Revenue_HW!AC220,Revenue_HW!AC263,Revenue_HW!AC306,Revenue_HW!AC349,Projection_유럽!AC21,Projection_미국!AC21,Projection_중국!AC21)</f>
        <v>21772.626110696234</v>
      </c>
      <c r="U7" s="19">
        <f>SUM(Revenue_HW!AD50,Revenue_HW!AD177,Revenue_HW!AD220,Revenue_HW!AD263,Revenue_HW!AD306,Revenue_HW!AD349,Projection_유럽!AD21,Projection_미국!AD21,Projection_중국!AD21)</f>
        <v>28277.594349189636</v>
      </c>
      <c r="W7" s="19"/>
      <c r="X7" s="19"/>
      <c r="Y7" s="19"/>
      <c r="Z7" s="19"/>
      <c r="AA7" s="19"/>
      <c r="AB7" s="19"/>
    </row>
    <row r="8" spans="1:28" x14ac:dyDescent="0.3">
      <c r="C8" s="6" t="s">
        <v>132</v>
      </c>
      <c r="N8" s="51"/>
      <c r="O8" s="19"/>
      <c r="P8" s="19">
        <f>SUM(Revenue_HW!Y27,Revenue_HW!Y183,Revenue_HW!Y226,Revenue_HW!Y269,Revenue_HW!Y312,Revenue_HW!Y355,Projection_유럽!Y28,Projection_미국!Y22,Projection_중국!Y22)</f>
        <v>133855.76043806472</v>
      </c>
      <c r="Q8" s="19">
        <f>SUM(Revenue_HW!Z27,Revenue_HW!Z183,Revenue_HW!Z226,Revenue_HW!Z269,Revenue_HW!Z312,Revenue_HW!Z355,Projection_유럽!Z28,Projection_미국!Z22,Projection_중국!Z22)</f>
        <v>166427.38723459872</v>
      </c>
      <c r="R8" s="19">
        <f>SUM(Revenue_HW!AA27,Revenue_HW!AA183,Revenue_HW!AA226,Revenue_HW!AA269,Revenue_HW!AA312,Revenue_HW!AA355,Projection_유럽!AA28,Projection_미국!AA22,Projection_중국!AA22)</f>
        <v>171829.90521453175</v>
      </c>
      <c r="S8" s="19">
        <f>SUM(Revenue_HW!AB27,Revenue_HW!AB183,Revenue_HW!AB226,Revenue_HW!AB269,Revenue_HW!AB312,Revenue_HW!AB355,Projection_유럽!AB28,Projection_미국!AB22,Projection_중국!AB22)</f>
        <v>189829.45197094968</v>
      </c>
      <c r="T8" s="19">
        <f>SUM(Revenue_HW!AC27,Revenue_HW!AC183,Revenue_HW!AC226,Revenue_HW!AC269,Revenue_HW!AC312,Revenue_HW!AC355,Projection_유럽!AC28,Projection_미국!AC22,Projection_중국!AC22)</f>
        <v>204362.74843703696</v>
      </c>
      <c r="U8" s="19">
        <f>SUM(Revenue_HW!AD27,Revenue_HW!AD183,Revenue_HW!AD226,Revenue_HW!AD269,Revenue_HW!AD312,Revenue_HW!AD355,Projection_유럽!AD28,Projection_미국!AD22,Projection_중국!AD22)</f>
        <v>218719.71891587382</v>
      </c>
      <c r="W8" s="19"/>
      <c r="X8" s="19"/>
      <c r="Y8" s="19"/>
      <c r="Z8" s="19"/>
      <c r="AA8" s="19"/>
      <c r="AB8" s="19"/>
    </row>
    <row r="9" spans="1:28" x14ac:dyDescent="0.3">
      <c r="C9" s="6" t="s">
        <v>133</v>
      </c>
      <c r="O9" s="19"/>
      <c r="P9" s="19">
        <f>SUM(Revenue_HW!Y28,Revenue_HW!Y189,Revenue_HW!Y232,Revenue_HW!Y275,Revenue_HW!Y318,Revenue_HW!Y361,Projection_유럽!Y35,Projection_미국!Y23,Projection_중국!Y23)</f>
        <v>73309.908519921519</v>
      </c>
      <c r="Q9" s="19">
        <f>SUM(Revenue_HW!Z28,Revenue_HW!Z189,Revenue_HW!Z232,Revenue_HW!Z275,Revenue_HW!Z318,Revenue_HW!Z361,Projection_유럽!Z35,Projection_미국!Z23,Projection_중국!Z23)</f>
        <v>97193.993201404723</v>
      </c>
      <c r="R9" s="19">
        <f>SUM(Revenue_HW!AA28,Revenue_HW!AA189,Revenue_HW!AA232,Revenue_HW!AA275,Revenue_HW!AA318,Revenue_HW!AA361,Projection_유럽!AA35,Projection_미국!AA23,Projection_중국!AA23)</f>
        <v>101640.87356944903</v>
      </c>
      <c r="S9" s="19">
        <f>SUM(Revenue_HW!AB28,Revenue_HW!AB189,Revenue_HW!AB232,Revenue_HW!AB275,Revenue_HW!AB318,Revenue_HW!AB361,Projection_유럽!AB35,Projection_미국!AB23,Projection_중국!AB23)</f>
        <v>120671.64789688046</v>
      </c>
      <c r="T9" s="19">
        <f>SUM(Revenue_HW!AC28,Revenue_HW!AC189,Revenue_HW!AC232,Revenue_HW!AC275,Revenue_HW!AC318,Revenue_HW!AC361,Projection_유럽!AC35,Projection_미국!AC23,Projection_중국!AC23)</f>
        <v>141855.8904251637</v>
      </c>
      <c r="U9" s="19">
        <f>SUM(Revenue_HW!AD28,Revenue_HW!AD189,Revenue_HW!AD232,Revenue_HW!AD275,Revenue_HW!AD318,Revenue_HW!AD361,Projection_유럽!AD35,Projection_미국!AD23,Projection_중국!AD23)</f>
        <v>161014.89246532871</v>
      </c>
      <c r="W9" s="19"/>
      <c r="X9" s="19"/>
      <c r="Y9" s="19"/>
      <c r="Z9" s="19"/>
      <c r="AA9" s="19"/>
      <c r="AB9" s="19"/>
    </row>
    <row r="10" spans="1:28" x14ac:dyDescent="0.3">
      <c r="C10" s="6" t="s">
        <v>134</v>
      </c>
      <c r="O10" s="19"/>
      <c r="P10" s="19">
        <f>SUM(Revenue_HW!Y29,Revenue_HW!Y195,Revenue_HW!Y238,Revenue_HW!Y281,Revenue_HW!Y324,Revenue_HW!Y367,Projection_유럽!Y42,Projection_미국!Y24,Projection_중국!Y24)</f>
        <v>28938.988791850505</v>
      </c>
      <c r="Q10" s="19">
        <f>SUM(Revenue_HW!Z29,Revenue_HW!Z195,Revenue_HW!Z238,Revenue_HW!Z281,Revenue_HW!Z324,Revenue_HW!Z367,Projection_유럽!Z42,Projection_미국!Z24,Projection_중국!Z24)</f>
        <v>33826.739827010504</v>
      </c>
      <c r="R10" s="19">
        <f>SUM(Revenue_HW!AA29,Revenue_HW!AA195,Revenue_HW!AA238,Revenue_HW!AA281,Revenue_HW!AA324,Revenue_HW!AA367,Projection_유럽!AA42,Projection_미국!AA24,Projection_중국!AA24)</f>
        <v>34714.57673074655</v>
      </c>
      <c r="S10" s="19">
        <f>SUM(Revenue_HW!AB29,Revenue_HW!AB195,Revenue_HW!AB238,Revenue_HW!AB281,Revenue_HW!AB324,Revenue_HW!AB367,Projection_유럽!AB42,Projection_미국!AB24,Projection_중국!AB24)</f>
        <v>36622.279677757018</v>
      </c>
      <c r="T10" s="19">
        <f>SUM(Revenue_HW!AC29,Revenue_HW!AC195,Revenue_HW!AC238,Revenue_HW!AC281,Revenue_HW!AC324,Revenue_HW!AC367,Projection_유럽!AC42,Projection_미국!AC24,Projection_중국!AC24)</f>
        <v>41712.489573631632</v>
      </c>
      <c r="U10" s="19">
        <f>SUM(Revenue_HW!AD29,Revenue_HW!AD195,Revenue_HW!AD238,Revenue_HW!AD281,Revenue_HW!AD324,Revenue_HW!AD367,Projection_유럽!AD42,Projection_미국!AD24,Projection_중국!AD24)</f>
        <v>45674.080191869638</v>
      </c>
      <c r="W10" s="19"/>
      <c r="X10" s="19"/>
      <c r="Y10" s="19"/>
      <c r="Z10" s="19"/>
      <c r="AA10" s="19"/>
      <c r="AB10" s="19"/>
    </row>
    <row r="11" spans="1:28" x14ac:dyDescent="0.3">
      <c r="C11" s="6" t="s">
        <v>135</v>
      </c>
      <c r="O11" s="19"/>
      <c r="P11" s="19">
        <f>SUM(Revenue_HW!Y30,Revenue_HW!Y201,Revenue_HW!Y244,Revenue_HW!Y287,Revenue_HW!Y330,Revenue_HW!Y373,Projection_유럽!Y49,Projection_미국!Y25,Projection_중국!Y25)</f>
        <v>15990.141572823864</v>
      </c>
      <c r="Q11" s="19">
        <f>SUM(Revenue_HW!Z30,Revenue_HW!Z201,Revenue_HW!Z244,Revenue_HW!Z287,Revenue_HW!Z330,Revenue_HW!Z373,Projection_유럽!Z49,Projection_미국!Z25,Projection_중국!Z25)</f>
        <v>21523.425737147863</v>
      </c>
      <c r="R11" s="19">
        <f>SUM(Revenue_HW!AA30,Revenue_HW!AA201,Revenue_HW!AA244,Revenue_HW!AA287,Revenue_HW!AA330,Revenue_HW!AA373,Projection_유럽!AA49,Projection_미국!AA25,Projection_중국!AA25)</f>
        <v>0</v>
      </c>
      <c r="S11" s="19">
        <f>SUM(Revenue_HW!AB30,Revenue_HW!AB201,Revenue_HW!AB244,Revenue_HW!AB287,Revenue_HW!AB330,Revenue_HW!AB373,Projection_유럽!AB49,Projection_미국!AB25,Projection_중국!AB25)</f>
        <v>0</v>
      </c>
      <c r="T11" s="19">
        <f>SUM(Revenue_HW!AC30,Revenue_HW!AC201,Revenue_HW!AC244,Revenue_HW!AC287,Revenue_HW!AC330,Revenue_HW!AC373,Projection_유럽!AC49,Projection_미국!AC25,Projection_중국!AC25)</f>
        <v>0</v>
      </c>
      <c r="U11" s="19">
        <f>SUM(Revenue_HW!AD30,Revenue_HW!AD201,Revenue_HW!AD244,Revenue_HW!AD287,Revenue_HW!AD330,Revenue_HW!AD373,Projection_유럽!AD49,Projection_미국!AD25,Projection_중국!AD25)</f>
        <v>0</v>
      </c>
      <c r="W11" s="19"/>
      <c r="X11" s="19"/>
      <c r="Y11" s="19"/>
      <c r="Z11" s="19"/>
      <c r="AA11" s="19"/>
      <c r="AB11" s="19"/>
    </row>
    <row r="12" spans="1:28" x14ac:dyDescent="0.3">
      <c r="C12" s="6" t="s">
        <v>136</v>
      </c>
      <c r="O12" s="19"/>
      <c r="P12" s="19">
        <f>SUM(Revenue_HW!Y31,Revenue_HW!Y207,Revenue_HW!Y250,Revenue_HW!Y293,Revenue_HW!Y336,Revenue_HW!Y379,Projection_유럽!Y56,Projection_미국!Y26,Projection_중국!Y26)</f>
        <v>46939.312921664619</v>
      </c>
      <c r="Q12" s="19">
        <f>SUM(Revenue_HW!Z31,Revenue_HW!Z207,Revenue_HW!Z250,Revenue_HW!Z293,Revenue_HW!Z336,Revenue_HW!Z379,Projection_유럽!Z56,Projection_미국!Z26,Projection_중국!Z26)+SUM(Revenue_HW!O395,Projection_강소!O20)+'Proforma PL'!O147</f>
        <v>68364.965056495625</v>
      </c>
      <c r="R12" s="19">
        <f>SUM(Revenue_HW!AA31,Revenue_HW!AA207,Revenue_HW!AA250,Revenue_HW!AA293,Revenue_HW!AA336,Revenue_HW!AA379,Projection_유럽!AA56,Projection_미국!AA26,Projection_중국!AA26)</f>
        <v>59521.319194743126</v>
      </c>
      <c r="S12" s="19">
        <f>SUM(Revenue_HW!AB31,Revenue_HW!AB207,Revenue_HW!AB250,Revenue_HW!AB293,Revenue_HW!AB336,Revenue_HW!AB379,Projection_유럽!AB56,Projection_미국!AB26,Projection_중국!AB26)</f>
        <v>66753.753663094598</v>
      </c>
      <c r="T12" s="19">
        <f>SUM(Revenue_HW!AC31,Revenue_HW!AC207,Revenue_HW!AC250,Revenue_HW!AC293,Revenue_HW!AC336,Revenue_HW!AC379,Projection_유럽!AC56,Projection_미국!AC26,Projection_중국!AC26)</f>
        <v>74103.782048607187</v>
      </c>
      <c r="U12" s="19">
        <f>SUM(Revenue_HW!AD31,Revenue_HW!AD207,Revenue_HW!AD250,Revenue_HW!AD293,Revenue_HW!AD336,Revenue_HW!AD379,Projection_유럽!AD56,Projection_미국!AD26,Projection_중국!AD26)</f>
        <v>81845.799164767726</v>
      </c>
      <c r="W12" s="19"/>
      <c r="X12" s="19"/>
      <c r="Y12" s="19"/>
      <c r="Z12" s="19"/>
      <c r="AA12" s="19"/>
      <c r="AB12" s="19"/>
    </row>
    <row r="13" spans="1:28" s="11" customFormat="1" x14ac:dyDescent="0.3">
      <c r="B13" s="11" t="s">
        <v>29</v>
      </c>
      <c r="O13" s="13"/>
      <c r="P13" s="13">
        <f>P14+P21+P22</f>
        <v>231123.95444469014</v>
      </c>
      <c r="Q13" s="13">
        <f>Q14+Q21+Q22+0.378440499999897</f>
        <v>299606.70396143768</v>
      </c>
      <c r="R13" s="13">
        <f t="shared" ref="R13:U13" si="1">R14+R21+R22</f>
        <v>279432.08733203722</v>
      </c>
      <c r="S13" s="13">
        <f t="shared" si="1"/>
        <v>317959.04708066396</v>
      </c>
      <c r="T13" s="13">
        <f t="shared" si="1"/>
        <v>356180.13347561716</v>
      </c>
      <c r="U13" s="13">
        <f t="shared" si="1"/>
        <v>393810.5696408751</v>
      </c>
      <c r="V13" s="13"/>
      <c r="W13" s="13"/>
      <c r="X13" s="13"/>
      <c r="Y13" s="13"/>
      <c r="Z13" s="13"/>
    </row>
    <row r="14" spans="1:28" x14ac:dyDescent="0.3">
      <c r="C14" s="6" t="s">
        <v>137</v>
      </c>
      <c r="O14" s="19"/>
      <c r="P14" s="19">
        <f>SUM(P15:P20)</f>
        <v>193253.58537958824</v>
      </c>
      <c r="Q14" s="19">
        <f t="shared" ref="Q14:U14" si="2">SUM(Q15:Q20)</f>
        <v>249057.51919654949</v>
      </c>
      <c r="R14" s="19">
        <f t="shared" si="2"/>
        <v>243389.8099638352</v>
      </c>
      <c r="S14" s="19">
        <f t="shared" si="2"/>
        <v>280202.58608699345</v>
      </c>
      <c r="T14" s="19">
        <f t="shared" si="2"/>
        <v>316882.01970181882</v>
      </c>
      <c r="U14" s="19">
        <f t="shared" si="2"/>
        <v>353014.46329294832</v>
      </c>
      <c r="V14" s="19"/>
      <c r="W14" s="13"/>
    </row>
    <row r="15" spans="1:28" x14ac:dyDescent="0.3">
      <c r="D15" s="6" t="s">
        <v>131</v>
      </c>
      <c r="O15" s="19"/>
      <c r="P15" s="19">
        <f>SUM(COGS_HW!Y34,Projection_강소!Y73)</f>
        <v>10780.261332180606</v>
      </c>
      <c r="Q15" s="19">
        <f>SUM(COGS_HW!Z34,Projection_강소!Z73)</f>
        <v>11668.710803180604</v>
      </c>
      <c r="R15" s="19">
        <f>SUM(COGS_HW!AA34,Projection_강소!AA73)</f>
        <v>11709.154095327794</v>
      </c>
      <c r="S15" s="19">
        <f>SUM(COGS_HW!AB34,Projection_강소!AB73)</f>
        <v>14375.505519386348</v>
      </c>
      <c r="T15" s="19">
        <f>SUM(COGS_HW!AC34,Projection_강소!AC73)</f>
        <v>16039.240429245165</v>
      </c>
      <c r="U15" s="19">
        <f>SUM(COGS_HW!AD34,Projection_강소!AD73)</f>
        <v>20703.162673400926</v>
      </c>
      <c r="V15" s="19"/>
      <c r="W15" s="13"/>
      <c r="X15" s="154"/>
      <c r="Y15" s="154"/>
      <c r="Z15" s="154"/>
      <c r="AA15" s="154"/>
      <c r="AB15" s="154"/>
    </row>
    <row r="16" spans="1:28" x14ac:dyDescent="0.3">
      <c r="D16" s="6" t="s">
        <v>132</v>
      </c>
      <c r="O16" s="19"/>
      <c r="P16" s="19">
        <f>SUM(COGS_HW!Y53,Projection_강소!Y77)</f>
        <v>80791.087833144484</v>
      </c>
      <c r="Q16" s="19">
        <f>SUM(COGS_HW!Z53,Projection_강소!Z77)</f>
        <v>103284.92962087115</v>
      </c>
      <c r="R16" s="19">
        <f>SUM(COGS_HW!AA53,Projection_강소!AA77)</f>
        <v>108454.6891785905</v>
      </c>
      <c r="S16" s="19">
        <f>SUM(COGS_HW!AB53,Projection_강소!AB77)</f>
        <v>122706.73124882832</v>
      </c>
      <c r="T16" s="19">
        <f>SUM(COGS_HW!AC53,Projection_강소!AC77)</f>
        <v>134325.63083938902</v>
      </c>
      <c r="U16" s="19">
        <f>SUM(COGS_HW!AD53,Projection_강소!AD77)</f>
        <v>144732.49336522177</v>
      </c>
      <c r="V16" s="19"/>
      <c r="W16" s="13"/>
      <c r="X16" s="154"/>
      <c r="Y16" s="154"/>
      <c r="Z16" s="154"/>
      <c r="AA16" s="154"/>
      <c r="AB16" s="154"/>
    </row>
    <row r="17" spans="2:28" x14ac:dyDescent="0.3">
      <c r="D17" s="6" t="s">
        <v>133</v>
      </c>
      <c r="O17" s="19"/>
      <c r="P17" s="19">
        <f>SUM(COGS_HW!Y72,Projection_강소!Y81)</f>
        <v>48258.941650862536</v>
      </c>
      <c r="Q17" s="19">
        <f>SUM(COGS_HW!Z72,Projection_강소!Z81)</f>
        <v>65117.322216498673</v>
      </c>
      <c r="R17" s="19">
        <f>SUM(COGS_HW!AA72,Projection_강소!AA81)</f>
        <v>69355.789817749217</v>
      </c>
      <c r="S17" s="19">
        <f>SUM(COGS_HW!AB72,Projection_강소!AB81)</f>
        <v>83744.183048772014</v>
      </c>
      <c r="T17" s="19">
        <f>SUM(COGS_HW!AC72,Projection_강소!AC81)</f>
        <v>99291.374809522473</v>
      </c>
      <c r="U17" s="19">
        <f>SUM(COGS_HW!AD72,Projection_강소!AD81)</f>
        <v>113483.96151683063</v>
      </c>
      <c r="V17" s="19"/>
      <c r="W17" s="13"/>
      <c r="X17" s="154"/>
      <c r="Y17" s="154"/>
      <c r="Z17" s="154"/>
      <c r="AA17" s="154"/>
      <c r="AB17" s="154"/>
    </row>
    <row r="18" spans="2:28" x14ac:dyDescent="0.3">
      <c r="D18" s="6" t="s">
        <v>134</v>
      </c>
      <c r="O18" s="19"/>
      <c r="P18" s="19">
        <f>SUM(COGS_HW!Y91,Projection_강소!Y85)</f>
        <v>19163.915904113193</v>
      </c>
      <c r="Q18" s="19">
        <f>SUM(COGS_HW!Z91,Projection_강소!Z85)</f>
        <v>21067.321959113196</v>
      </c>
      <c r="R18" s="19">
        <f>SUM(COGS_HW!AA91,Projection_강소!AA85)</f>
        <v>24400.972794715035</v>
      </c>
      <c r="S18" s="19">
        <f>SUM(COGS_HW!AB91,Projection_강소!AB85)</f>
        <v>26157.710556028716</v>
      </c>
      <c r="T18" s="19">
        <f>SUM(COGS_HW!AC91,Projection_강소!AC85)</f>
        <v>30157.433956365381</v>
      </c>
      <c r="U18" s="19">
        <f>SUM(COGS_HW!AD91,Projection_강소!AD85)</f>
        <v>33069.981790189449</v>
      </c>
      <c r="V18" s="19"/>
      <c r="W18" s="13"/>
      <c r="X18" s="154"/>
      <c r="Y18" s="154"/>
      <c r="Z18" s="154"/>
      <c r="AA18" s="154"/>
      <c r="AB18" s="154"/>
    </row>
    <row r="19" spans="2:28" x14ac:dyDescent="0.3">
      <c r="D19" s="6" t="s">
        <v>135</v>
      </c>
      <c r="O19" s="19"/>
      <c r="P19" s="19">
        <f>SUM(COGS_HW!Y110,Projection_강소!Y89)</f>
        <v>10066.223284886972</v>
      </c>
      <c r="Q19" s="19">
        <f>SUM(COGS_HW!Z110,Projection_강소!Z89)</f>
        <v>13286.347691886971</v>
      </c>
      <c r="R19" s="19">
        <f>SUM(COGS_HW!AA110,Projection_강소!AA89)</f>
        <v>0</v>
      </c>
      <c r="S19" s="19">
        <f>SUM(COGS_HW!AB110,Projection_강소!AB89)</f>
        <v>0</v>
      </c>
      <c r="T19" s="19">
        <f>SUM(COGS_HW!AC110,Projection_강소!AC89)</f>
        <v>0</v>
      </c>
      <c r="U19" s="19">
        <f>SUM(COGS_HW!AD110,Projection_강소!AD89)</f>
        <v>0</v>
      </c>
      <c r="V19" s="19"/>
      <c r="W19" s="13"/>
      <c r="X19" s="154"/>
      <c r="Y19" s="154"/>
      <c r="Z19" s="154"/>
      <c r="AA19" s="154"/>
      <c r="AB19" s="154"/>
    </row>
    <row r="20" spans="2:28" x14ac:dyDescent="0.3">
      <c r="D20" s="6" t="s">
        <v>136</v>
      </c>
      <c r="O20" s="19"/>
      <c r="P20" s="19">
        <f>SUM(COGS_HW!Y129,Projection_강소!Y93,Projection_유럽!Y107,Projection_미국!Y215,Projection_미국!Y179)</f>
        <v>24193.15537440042</v>
      </c>
      <c r="Q20" s="19">
        <f>SUM(COGS_HW!Z129,Projection_강소!Z93,Projection_유럽!Z107,Projection_미국!Z215,Projection_미국!Z179)</f>
        <v>34632.886904998893</v>
      </c>
      <c r="R20" s="19">
        <f>SUM(COGS_HW!AA129,Projection_강소!AA93,Projection_유럽!AA107,Projection_미국!AA215,Projection_미국!AA179)</f>
        <v>29469.20407745269</v>
      </c>
      <c r="S20" s="19">
        <f>SUM(COGS_HW!AB129,Projection_강소!AB93,Projection_유럽!AB107,Projection_미국!AB215,Projection_미국!AB179)</f>
        <v>33218.455713978008</v>
      </c>
      <c r="T20" s="19">
        <f>SUM(COGS_HW!AC129,Projection_강소!AC93,Projection_유럽!AC107,Projection_미국!AC215,Projection_미국!AC179)</f>
        <v>37068.339667296816</v>
      </c>
      <c r="U20" s="19">
        <f>SUM(COGS_HW!AD129,Projection_강소!AD93,Projection_유럽!AD107,Projection_미국!AD215,Projection_미국!AD179)</f>
        <v>41024.863947305559</v>
      </c>
      <c r="V20" s="19"/>
      <c r="W20" s="13"/>
      <c r="X20" s="154"/>
      <c r="Y20" s="154"/>
      <c r="Z20" s="154"/>
      <c r="AA20" s="154"/>
      <c r="AB20" s="154"/>
    </row>
    <row r="21" spans="2:28" x14ac:dyDescent="0.3">
      <c r="C21" s="6" t="s">
        <v>138</v>
      </c>
      <c r="O21" s="19"/>
      <c r="P21" s="19">
        <f>SUM(COGS_HW!Y138,Projection_강소!Y101)</f>
        <v>24528.610179701984</v>
      </c>
      <c r="Q21" s="19">
        <f>SUM(COGS_HW!Z138,Projection_강소!Z101)</f>
        <v>34717.341392764873</v>
      </c>
      <c r="R21" s="19">
        <f>SUM(COGS_HW!AA138,Projection_강소!AA101)</f>
        <v>26759.759810397671</v>
      </c>
      <c r="S21" s="19">
        <f>SUM(COGS_HW!AB138,Projection_강소!AB101)</f>
        <v>27913.910449669969</v>
      </c>
      <c r="T21" s="19">
        <f>SUM(COGS_HW!AC138,Projection_강소!AC101)</f>
        <v>28931.709706482772</v>
      </c>
      <c r="U21" s="19">
        <f>SUM(COGS_HW!AD138,Projection_강소!AD101)</f>
        <v>29998.441508659835</v>
      </c>
      <c r="V21" s="19"/>
      <c r="W21" s="13"/>
    </row>
    <row r="22" spans="2:28" x14ac:dyDescent="0.3">
      <c r="C22" s="6" t="s">
        <v>139</v>
      </c>
      <c r="O22" s="19"/>
      <c r="P22" s="19">
        <f>SUM(COGS_HW!Y150,Projection_강소!Y115)+SUM(COGS_HW!Y167,Projection_강소!Y139)</f>
        <v>13341.758885399919</v>
      </c>
      <c r="Q22" s="19">
        <f>SUM(COGS_HW!Z150,Projection_강소!Z115)+SUM(COGS_HW!Z167,Projection_강소!Z139)--SUM(Projection_유럽!O74,Projection_미국!O147,Projection_미국!O183,Projection_중국!O145)+'Proforma PL'!O148</f>
        <v>15831.464931623326</v>
      </c>
      <c r="R22" s="19">
        <f>SUM(COGS_HW!AA150,Projection_강소!AA115)+SUM(COGS_HW!AA167,Projection_강소!AA139)</f>
        <v>9282.5175578043745</v>
      </c>
      <c r="S22" s="19">
        <f>SUM(COGS_HW!AB150,Projection_강소!AB115)+SUM(COGS_HW!AB167,Projection_강소!AB139)</f>
        <v>9842.5505440005054</v>
      </c>
      <c r="T22" s="19">
        <f>SUM(COGS_HW!AC150,Projection_강소!AC115)+SUM(COGS_HW!AC167,Projection_강소!AC139)</f>
        <v>10366.404067315554</v>
      </c>
      <c r="U22" s="19">
        <f>SUM(COGS_HW!AD150,Projection_강소!AD115)+SUM(COGS_HW!AD167,Projection_강소!AD139)</f>
        <v>10797.664839266889</v>
      </c>
      <c r="V22" s="19"/>
      <c r="W22" s="13"/>
    </row>
    <row r="23" spans="2:28" s="11" customFormat="1" x14ac:dyDescent="0.3">
      <c r="B23" s="11" t="s">
        <v>30</v>
      </c>
      <c r="O23" s="13"/>
      <c r="P23" s="13">
        <f t="shared" ref="P23:U23" si="3">P6-P13</f>
        <v>81046.821607412479</v>
      </c>
      <c r="Q23" s="13">
        <f t="shared" si="3"/>
        <v>102280.45117539633</v>
      </c>
      <c r="R23" s="13">
        <f t="shared" si="3"/>
        <v>104593.01904518245</v>
      </c>
      <c r="S23" s="13">
        <f t="shared" si="3"/>
        <v>115890.83282499883</v>
      </c>
      <c r="T23" s="13">
        <f t="shared" si="3"/>
        <v>127627.40311951854</v>
      </c>
      <c r="U23" s="13">
        <f t="shared" si="3"/>
        <v>141721.5154461544</v>
      </c>
    </row>
    <row r="24" spans="2:28" s="43" customFormat="1" x14ac:dyDescent="0.3">
      <c r="C24" s="43" t="s">
        <v>140</v>
      </c>
      <c r="P24" s="45">
        <f>P23/P$6</f>
        <v>0.25962334665780956</v>
      </c>
      <c r="Q24" s="45">
        <f t="shared" ref="Q24:U24" si="4">Q23/Q$6</f>
        <v>0.25450042348472673</v>
      </c>
      <c r="R24" s="45">
        <f t="shared" si="4"/>
        <v>0.27235984655243595</v>
      </c>
      <c r="S24" s="45">
        <f t="shared" si="4"/>
        <v>0.26712196589796999</v>
      </c>
      <c r="T24" s="45">
        <f t="shared" si="4"/>
        <v>0.26379788131808474</v>
      </c>
      <c r="U24" s="45">
        <f t="shared" si="4"/>
        <v>0.26463683389413201</v>
      </c>
    </row>
    <row r="25" spans="2:28" s="11" customFormat="1" x14ac:dyDescent="0.3">
      <c r="B25" s="11" t="s">
        <v>32</v>
      </c>
      <c r="O25" s="13"/>
      <c r="P25" s="13">
        <f>SUM(P26:P28)</f>
        <v>60236.141953667553</v>
      </c>
      <c r="Q25" s="13">
        <f t="shared" ref="Q25:U25" si="5">SUM(Q26:Q28)</f>
        <v>78549.362712555114</v>
      </c>
      <c r="R25" s="13">
        <f t="shared" si="5"/>
        <v>79066.552726676848</v>
      </c>
      <c r="S25" s="13">
        <f t="shared" si="5"/>
        <v>83876.936076966522</v>
      </c>
      <c r="T25" s="13">
        <f t="shared" si="5"/>
        <v>88454.287497459751</v>
      </c>
      <c r="U25" s="13">
        <f t="shared" si="5"/>
        <v>93105.563033504557</v>
      </c>
      <c r="V25" s="13"/>
      <c r="W25" s="13"/>
      <c r="X25" s="13"/>
      <c r="Y25" s="13"/>
      <c r="Z25" s="13"/>
    </row>
    <row r="26" spans="2:28" x14ac:dyDescent="0.3">
      <c r="C26" s="6" t="s">
        <v>141</v>
      </c>
      <c r="O26" s="19"/>
      <c r="P26" s="19">
        <f>SUM('SG&amp;A_HW'!Y8,Projection_유럽!Y114,Projection_미국!Y224,Projection_강소!Y160,Projection_중국!Y216)</f>
        <v>21292.337156771046</v>
      </c>
      <c r="Q26" s="19">
        <f>SUM('SG&amp;A_HW'!Z8,Projection_유럽!Z114,Projection_미국!Z224,Projection_강소!Z160,Projection_중국!Z216)</f>
        <v>28764.568466104374</v>
      </c>
      <c r="R26" s="19">
        <f>SUM('SG&amp;A_HW'!AA8,Projection_유럽!AA114,Projection_미국!AA224,Projection_강소!AA160,Projection_중국!AA216)</f>
        <v>29740.999122231275</v>
      </c>
      <c r="S26" s="19">
        <f>SUM('SG&amp;A_HW'!AB8,Projection_유럽!AB114,Projection_미국!AB224,Projection_강소!AB160,Projection_중국!AB216)</f>
        <v>30951.276233180884</v>
      </c>
      <c r="T26" s="19">
        <f>SUM('SG&amp;A_HW'!AC8,Projection_유럽!AC114,Projection_미국!AC224,Projection_강소!AC160,Projection_중국!AC216)</f>
        <v>32060.469904433645</v>
      </c>
      <c r="U26" s="19">
        <f>SUM('SG&amp;A_HW'!AD8,Projection_유럽!AD114,Projection_미국!AD224,Projection_강소!AD160,Projection_중국!AD216)</f>
        <v>33216.656610876926</v>
      </c>
      <c r="W26" s="155"/>
      <c r="X26" s="134"/>
      <c r="Y26" s="134"/>
      <c r="Z26" s="134"/>
    </row>
    <row r="27" spans="2:28" x14ac:dyDescent="0.3">
      <c r="C27" s="6" t="s">
        <v>142</v>
      </c>
      <c r="O27" s="19"/>
      <c r="P27" s="19">
        <f>SUM('SG&amp;A_HW'!Y9,Projection_유럽!Y115,Projection_미국!Y225,Projection_강소!Y161,Projection_중국!Y217)</f>
        <v>20696.693552288525</v>
      </c>
      <c r="Q27" s="19">
        <f>SUM('SG&amp;A_HW'!Z9,Projection_유럽!Z115,Projection_미국!Z225,Projection_강소!Z161,Projection_중국!Z217)+'Proforma PL'!Q151</f>
        <v>26743.064098621853</v>
      </c>
      <c r="R27" s="19">
        <f>SUM('SG&amp;A_HW'!AA9,Projection_유럽!AA115,Projection_미국!AA225,Projection_강소!AA161,Projection_중국!AA217)</f>
        <v>26521.556802679872</v>
      </c>
      <c r="S27" s="19">
        <f>SUM('SG&amp;A_HW'!AB9,Projection_유럽!AB115,Projection_미국!AB225,Projection_강소!AB161,Projection_중국!AB217)</f>
        <v>29730.801116360974</v>
      </c>
      <c r="T27" s="19">
        <f>SUM('SG&amp;A_HW'!AC9,Projection_유럽!AC115,Projection_미국!AC225,Projection_강소!AC161,Projection_중국!AC217)</f>
        <v>32803.870564688361</v>
      </c>
      <c r="U27" s="19">
        <f>SUM('SG&amp;A_HW'!AD9,Projection_유럽!AD115,Projection_미국!AD225,Projection_강소!AD161,Projection_중국!AD217)</f>
        <v>35865.254306171839</v>
      </c>
      <c r="W27" s="155"/>
      <c r="X27" s="134"/>
      <c r="Y27" s="134"/>
      <c r="Z27" s="134"/>
    </row>
    <row r="28" spans="2:28" x14ac:dyDescent="0.3">
      <c r="C28" s="6" t="s">
        <v>143</v>
      </c>
      <c r="O28" s="19"/>
      <c r="P28" s="19">
        <f>SUM('SG&amp;A_HW'!Y10,Projection_유럽!Y116,Projection_미국!Y226,Projection_강소!Y162,Projection_중국!Y218)</f>
        <v>18247.111244607979</v>
      </c>
      <c r="Q28" s="19">
        <f>SUM('SG&amp;A_HW'!Z10,Projection_유럽!Z116,Projection_미국!Z226,Projection_강소!Z162,Projection_중국!Z218)</f>
        <v>23041.730147828883</v>
      </c>
      <c r="R28" s="19">
        <f>SUM('SG&amp;A_HW'!AA10,Projection_유럽!AA116,Projection_미국!AA226,Projection_강소!AA162,Projection_중국!AA218)</f>
        <v>22803.996801765705</v>
      </c>
      <c r="S28" s="19">
        <f>SUM('SG&amp;A_HW'!AB10,Projection_유럽!AB116,Projection_미국!AB226,Projection_강소!AB162,Projection_중국!AB218)</f>
        <v>23194.858727424671</v>
      </c>
      <c r="T28" s="19">
        <f>SUM('SG&amp;A_HW'!AC10,Projection_유럽!AC116,Projection_미국!AC226,Projection_강소!AC162,Projection_중국!AC218)</f>
        <v>23589.947028337745</v>
      </c>
      <c r="U28" s="19">
        <f>SUM('SG&amp;A_HW'!AD10,Projection_유럽!AD116,Projection_미국!AD226,Projection_강소!AD162,Projection_중국!AD218)</f>
        <v>24023.6521164558</v>
      </c>
      <c r="W28" s="155"/>
      <c r="X28" s="134"/>
      <c r="Y28" s="134"/>
      <c r="Z28" s="134"/>
    </row>
    <row r="29" spans="2:28" s="11" customFormat="1" x14ac:dyDescent="0.3">
      <c r="B29" s="11" t="s">
        <v>33</v>
      </c>
      <c r="O29" s="13"/>
      <c r="P29" s="13">
        <f>P23-P25</f>
        <v>20810.679653744926</v>
      </c>
      <c r="Q29" s="13">
        <f t="shared" ref="Q29:U29" si="6">Q23-Q25</f>
        <v>23731.088462841217</v>
      </c>
      <c r="R29" s="13">
        <f t="shared" si="6"/>
        <v>25526.466318505598</v>
      </c>
      <c r="S29" s="13">
        <f t="shared" si="6"/>
        <v>32013.896748032304</v>
      </c>
      <c r="T29" s="13">
        <f t="shared" si="6"/>
        <v>39173.115622058787</v>
      </c>
      <c r="U29" s="13">
        <f t="shared" si="6"/>
        <v>48615.952412649844</v>
      </c>
      <c r="W29" s="156"/>
      <c r="X29" s="147"/>
      <c r="Y29" s="147"/>
      <c r="Z29" s="147"/>
    </row>
    <row r="30" spans="2:28" x14ac:dyDescent="0.3">
      <c r="C30" s="6" t="s">
        <v>22</v>
      </c>
      <c r="O30" s="19"/>
      <c r="P30" s="45">
        <f>P29/P$6</f>
        <v>6.6664406953556521E-2</v>
      </c>
      <c r="Q30" s="45">
        <f t="shared" ref="Q30:U30" si="7">Q29/Q$6</f>
        <v>5.9049133965879769E-2</v>
      </c>
      <c r="R30" s="45">
        <f t="shared" si="7"/>
        <v>6.6470826762642682E-2</v>
      </c>
      <c r="S30" s="45">
        <f t="shared" si="7"/>
        <v>7.3790263016768554E-2</v>
      </c>
      <c r="T30" s="45">
        <f t="shared" si="7"/>
        <v>8.0968386515317958E-2</v>
      </c>
      <c r="U30" s="45">
        <f t="shared" si="7"/>
        <v>9.0780653048545629E-2</v>
      </c>
      <c r="W30" s="155"/>
      <c r="X30" s="134"/>
      <c r="Y30" s="134"/>
      <c r="Z30" s="134"/>
    </row>
    <row r="31" spans="2:28" x14ac:dyDescent="0.3">
      <c r="B31" s="6" t="s">
        <v>23</v>
      </c>
      <c r="O31" s="19"/>
      <c r="P31" s="19">
        <f>'Proforma PL'!P26</f>
        <v>4387.6363486486989</v>
      </c>
      <c r="Q31" s="19">
        <f>'Proforma PL'!Q26</f>
        <v>5502.0554857486995</v>
      </c>
      <c r="R31" s="19">
        <f>'Proforma PL'!R26</f>
        <v>4388.9114303982815</v>
      </c>
      <c r="S31" s="19">
        <f>'Proforma PL'!S26</f>
        <v>4406.3455330952484</v>
      </c>
      <c r="T31" s="19">
        <f>'Proforma PL'!T26</f>
        <v>4431.8655648404119</v>
      </c>
      <c r="U31" s="19">
        <f>'Proforma PL'!U26</f>
        <v>4510.3794523034721</v>
      </c>
    </row>
    <row r="32" spans="2:28" s="11" customFormat="1" x14ac:dyDescent="0.3">
      <c r="B32" s="11" t="s">
        <v>24</v>
      </c>
      <c r="O32" s="13"/>
      <c r="P32" s="13">
        <f>P29+P31</f>
        <v>25198.316002393625</v>
      </c>
      <c r="Q32" s="13">
        <f t="shared" ref="Q32:U32" si="8">Q29+Q31</f>
        <v>29233.143948589917</v>
      </c>
      <c r="R32" s="13">
        <f t="shared" si="8"/>
        <v>29915.37774890388</v>
      </c>
      <c r="S32" s="13">
        <f t="shared" si="8"/>
        <v>36420.242281127554</v>
      </c>
      <c r="T32" s="13">
        <f t="shared" si="8"/>
        <v>43604.981186899196</v>
      </c>
      <c r="U32" s="13">
        <f t="shared" si="8"/>
        <v>53126.331864953318</v>
      </c>
    </row>
    <row r="33" spans="2:22" s="23" customFormat="1" x14ac:dyDescent="0.3">
      <c r="B33" s="32"/>
      <c r="C33" s="32" t="s">
        <v>25</v>
      </c>
      <c r="D33" s="32"/>
      <c r="E33" s="32"/>
      <c r="F33" s="32"/>
      <c r="G33" s="32"/>
      <c r="H33" s="32"/>
      <c r="I33" s="32"/>
      <c r="J33" s="32"/>
      <c r="K33" s="32"/>
      <c r="L33" s="32"/>
      <c r="M33" s="32"/>
      <c r="N33" s="32"/>
      <c r="O33" s="153"/>
      <c r="P33" s="34">
        <f>P32/P$6</f>
        <v>8.0719650702306356E-2</v>
      </c>
      <c r="Q33" s="34">
        <f t="shared" ref="Q33:U33" si="9">Q32/Q$6</f>
        <v>7.2739682209143147E-2</v>
      </c>
      <c r="R33" s="34">
        <f t="shared" si="9"/>
        <v>7.7899536389994889E-2</v>
      </c>
      <c r="S33" s="34">
        <f t="shared" si="9"/>
        <v>8.3946645989730007E-2</v>
      </c>
      <c r="T33" s="34">
        <f t="shared" si="9"/>
        <v>9.0128776194301249E-2</v>
      </c>
      <c r="U33" s="34">
        <f t="shared" si="9"/>
        <v>9.920289249582448E-2</v>
      </c>
    </row>
    <row r="34" spans="2:22" x14ac:dyDescent="0.3">
      <c r="Q34" s="51"/>
    </row>
    <row r="35" spans="2:22" x14ac:dyDescent="0.3">
      <c r="B35" s="11" t="s">
        <v>144</v>
      </c>
    </row>
    <row r="36" spans="2:22" x14ac:dyDescent="0.3">
      <c r="B36" s="8"/>
      <c r="C36" s="8"/>
      <c r="D36" s="8"/>
      <c r="E36" s="8"/>
      <c r="F36" s="8"/>
      <c r="G36" s="8"/>
      <c r="H36" s="8"/>
      <c r="I36" s="8"/>
      <c r="J36" s="8"/>
      <c r="K36" s="8"/>
      <c r="L36" s="9"/>
      <c r="M36" s="9"/>
      <c r="N36" s="9"/>
      <c r="O36" s="10" t="s">
        <v>4</v>
      </c>
      <c r="P36" s="9" t="s">
        <v>5</v>
      </c>
      <c r="Q36" s="9" t="s">
        <v>6</v>
      </c>
      <c r="R36" s="9" t="s">
        <v>7</v>
      </c>
      <c r="S36" s="9" t="s">
        <v>8</v>
      </c>
      <c r="T36" s="9" t="s">
        <v>9</v>
      </c>
      <c r="U36" s="9" t="s">
        <v>10</v>
      </c>
    </row>
    <row r="37" spans="2:22" s="11" customFormat="1" x14ac:dyDescent="0.3">
      <c r="B37" s="11" t="s">
        <v>145</v>
      </c>
      <c r="N37" s="13"/>
      <c r="O37" s="13">
        <f>SUM(O38:O42)</f>
        <v>727</v>
      </c>
      <c r="P37" s="13">
        <f t="shared" ref="P37:U37" si="10">SUM(P38:P42)</f>
        <v>2816</v>
      </c>
      <c r="Q37" s="13">
        <f t="shared" si="10"/>
        <v>3543</v>
      </c>
      <c r="R37" s="13">
        <f t="shared" si="10"/>
        <v>3622</v>
      </c>
      <c r="S37" s="13">
        <f t="shared" si="10"/>
        <v>4094</v>
      </c>
      <c r="T37" s="13">
        <f t="shared" si="10"/>
        <v>4535</v>
      </c>
      <c r="U37" s="13">
        <f t="shared" si="10"/>
        <v>4927</v>
      </c>
    </row>
    <row r="38" spans="2:22" x14ac:dyDescent="0.3">
      <c r="C38" s="6" t="s">
        <v>146</v>
      </c>
      <c r="N38" s="19"/>
      <c r="O38" s="19">
        <f>Q38-P38</f>
        <v>7</v>
      </c>
      <c r="P38" s="19">
        <f>Revenue_HW!Y51+Revenue_HW!Y178+Revenue_HW!Y221+Revenue_HW!Y264+Revenue_HW!Y307+Revenue_HW!Y350+Projection_유럽!Y77+Projection_미국!Y46+Projection_미국!Y96+Projection_중국!Y46+Projection_중국!Y96</f>
        <v>47</v>
      </c>
      <c r="Q38" s="19">
        <f>Revenue_HW!Z51+Revenue_HW!Z178+Revenue_HW!Z221+Revenue_HW!Z264+Revenue_HW!Z307+Revenue_HW!Z350+Projection_유럽!Z77+Projection_미국!Z46+Projection_미국!Z96+Projection_중국!Z46+Projection_중국!Z96</f>
        <v>54</v>
      </c>
      <c r="R38" s="19">
        <f>Revenue_HW!AA51+Revenue_HW!AA178+Revenue_HW!AA221+Revenue_HW!AA264+Revenue_HW!AA307+Revenue_HW!AA350+Projection_유럽!AA77+Projection_미국!AA46+Projection_미국!AA96+Projection_중국!AA46+Projection_중국!AA96</f>
        <v>61</v>
      </c>
      <c r="S38" s="19">
        <f>Revenue_HW!AB51+Revenue_HW!AB178+Revenue_HW!AB221+Revenue_HW!AB264+Revenue_HW!AB307+Revenue_HW!AB350+Projection_유럽!AB77+Projection_미국!AB46+Projection_미국!AB96+Projection_중국!AB46+Projection_중국!AB96</f>
        <v>74</v>
      </c>
      <c r="T38" s="19">
        <f>Revenue_HW!AC51+Revenue_HW!AC178+Revenue_HW!AC221+Revenue_HW!AC264+Revenue_HW!AC307+Revenue_HW!AC350+Projection_유럽!AC77+Projection_미국!AC46+Projection_미국!AC96+Projection_중국!AC46+Projection_중국!AC96</f>
        <v>81</v>
      </c>
      <c r="U38" s="19">
        <f>Revenue_HW!AD51+Revenue_HW!AD178+Revenue_HW!AD221+Revenue_HW!AD264+Revenue_HW!AD307+Revenue_HW!AD350+Projection_유럽!AD77+Projection_미국!AD46+Projection_미국!AD96+Projection_중국!AD46+Projection_중국!AD96</f>
        <v>103</v>
      </c>
    </row>
    <row r="39" spans="2:22" x14ac:dyDescent="0.3">
      <c r="C39" s="6" t="s">
        <v>147</v>
      </c>
      <c r="N39" s="51"/>
      <c r="O39" s="19">
        <f t="shared" ref="O39:O42" si="11">Q39-P39</f>
        <v>379</v>
      </c>
      <c r="P39" s="19">
        <f>SUM(Revenue_HW!Y56,Revenue_HW!Y184,Revenue_HW!Y227,Revenue_HW!Y270,Revenue_HW!Y313,Revenue_HW!Y356,Projection_유럽!Y30,Projection_미국!Y103,Projection_미국!Y53,Projection_중국!Y103,Projection_중국!Y53)</f>
        <v>1655</v>
      </c>
      <c r="Q39" s="19">
        <f>SUM(Revenue_HW!Z56,Revenue_HW!Z184,Revenue_HW!Z227,Revenue_HW!Z270,Revenue_HW!Z313,Revenue_HW!Z356,Projection_유럽!Z30,Projection_미국!Z103,Projection_미국!Z53,Projection_중국!Z103,Projection_중국!Z53)</f>
        <v>2034</v>
      </c>
      <c r="R39" s="19">
        <f>SUM(Revenue_HW!AA56,Revenue_HW!AA184,Revenue_HW!AA227,Revenue_HW!AA270,Revenue_HW!AA313,Revenue_HW!AA356,Projection_유럽!AA30,Projection_미국!AA103,Projection_미국!AA53,Projection_중국!AA103,Projection_중국!AA53)</f>
        <v>2175</v>
      </c>
      <c r="S39" s="19">
        <f>SUM(Revenue_HW!AB56,Revenue_HW!AB184,Revenue_HW!AB227,Revenue_HW!AB270,Revenue_HW!AB313,Revenue_HW!AB356,Projection_유럽!AB30,Projection_미국!AB103,Projection_미국!AB53,Projection_중국!AB103,Projection_중국!AB53)</f>
        <v>2398</v>
      </c>
      <c r="T39" s="19">
        <f>SUM(Revenue_HW!AC56,Revenue_HW!AC184,Revenue_HW!AC227,Revenue_HW!AC270,Revenue_HW!AC313,Revenue_HW!AC356,Projection_유럽!AC30,Projection_미국!AC103,Projection_미국!AC53,Projection_중국!AC103,Projection_중국!AC53)</f>
        <v>2567</v>
      </c>
      <c r="U39" s="19">
        <f>SUM(Revenue_HW!AD56,Revenue_HW!AD184,Revenue_HW!AD227,Revenue_HW!AD270,Revenue_HW!AD313,Revenue_HW!AD356,Projection_유럽!AD30,Projection_미국!AD103,Projection_미국!AD53,Projection_중국!AD103,Projection_중국!AD53)</f>
        <v>2717</v>
      </c>
    </row>
    <row r="40" spans="2:22" x14ac:dyDescent="0.3">
      <c r="C40" s="6" t="s">
        <v>148</v>
      </c>
      <c r="O40" s="19">
        <f t="shared" si="11"/>
        <v>292</v>
      </c>
      <c r="P40" s="19">
        <f>SUM(Revenue_HW!Y61,Revenue_HW!Y190,Revenue_HW!Y233,Revenue_HW!Y276,Revenue_HW!Y319,Revenue_HW!Y362,Projection_유럽!Y37,Projection_미국!Y60,Projection_미국!Y110,Projection_중국!Y60,Projection_중국!Y110)</f>
        <v>902</v>
      </c>
      <c r="Q40" s="19">
        <f>SUM(Revenue_HW!Z61,Revenue_HW!Z190,Revenue_HW!Z233,Revenue_HW!Z276,Revenue_HW!Z319,Revenue_HW!Z362,Projection_유럽!Z37,Projection_미국!Z60,Projection_미국!Z110,Projection_중국!Z60,Projection_중국!Z110)</f>
        <v>1194</v>
      </c>
      <c r="R40" s="19">
        <f>SUM(Revenue_HW!AA61,Revenue_HW!AA190,Revenue_HW!AA233,Revenue_HW!AA276,Revenue_HW!AA319,Revenue_HW!AA362,Projection_유럽!AA37,Projection_미국!AA60,Projection_미국!AA110,Projection_중국!AA60,Projection_중국!AA110)</f>
        <v>1271</v>
      </c>
      <c r="S40" s="19">
        <f>SUM(Revenue_HW!AB61,Revenue_HW!AB190,Revenue_HW!AB233,Revenue_HW!AB276,Revenue_HW!AB319,Revenue_HW!AB362,Projection_유럽!AB37,Projection_미국!AB60,Projection_미국!AB110,Projection_중국!AB60,Projection_중국!AB110)</f>
        <v>1501</v>
      </c>
      <c r="T40" s="19">
        <f>SUM(Revenue_HW!AC61,Revenue_HW!AC190,Revenue_HW!AC233,Revenue_HW!AC276,Revenue_HW!AC319,Revenue_HW!AC362,Projection_유럽!AC37,Projection_미국!AC60,Projection_미국!AC110,Projection_중국!AC60,Projection_중국!AC110)</f>
        <v>1746</v>
      </c>
      <c r="U40" s="19">
        <f>SUM(Revenue_HW!AD61,Revenue_HW!AD190,Revenue_HW!AD233,Revenue_HW!AD276,Revenue_HW!AD319,Revenue_HW!AD362,Projection_유럽!AD37,Projection_미국!AD60,Projection_미국!AD110,Projection_중국!AD60,Projection_중국!AD110)</f>
        <v>1955</v>
      </c>
    </row>
    <row r="41" spans="2:22" x14ac:dyDescent="0.3">
      <c r="C41" s="6" t="s">
        <v>149</v>
      </c>
      <c r="O41" s="19">
        <f t="shared" si="11"/>
        <v>13</v>
      </c>
      <c r="P41" s="19">
        <f>SUM(Revenue_HW!Y66,Revenue_HW!Y196,Revenue_HW!Y239,Revenue_HW!Y282,Revenue_HW!Y325,Revenue_HW!Y368,Projection_유럽!Y44,Projection_미국!Y67,Projection_미국!Y117,Projection_중국!Y67,Projection_중국!Y117)</f>
        <v>96</v>
      </c>
      <c r="Q41" s="19">
        <f>SUM(Revenue_HW!Z66,Revenue_HW!Z196,Revenue_HW!Z239,Revenue_HW!Z282,Revenue_HW!Z325,Revenue_HW!Z368,Projection_유럽!Z44,Projection_미국!Z67,Projection_미국!Z117,Projection_중국!Z67,Projection_중국!Z117)</f>
        <v>109</v>
      </c>
      <c r="R41" s="19">
        <f>SUM(Revenue_HW!AA66,Revenue_HW!AA196,Revenue_HW!AA239,Revenue_HW!AA282,Revenue_HW!AA325,Revenue_HW!AA368,Projection_유럽!AA44,Projection_미국!AA67,Projection_미국!AA117,Projection_중국!AA67,Projection_중국!AA117)</f>
        <v>115</v>
      </c>
      <c r="S41" s="19">
        <f>SUM(Revenue_HW!AB66,Revenue_HW!AB196,Revenue_HW!AB239,Revenue_HW!AB282,Revenue_HW!AB325,Revenue_HW!AB368,Projection_유럽!AB44,Projection_미국!AB67,Projection_미국!AB117,Projection_중국!AB67,Projection_중국!AB117)</f>
        <v>121</v>
      </c>
      <c r="T41" s="19">
        <f>SUM(Revenue_HW!AC66,Revenue_HW!AC196,Revenue_HW!AC239,Revenue_HW!AC282,Revenue_HW!AC325,Revenue_HW!AC368,Projection_유럽!AC44,Projection_미국!AC67,Projection_미국!AC117,Projection_중국!AC67,Projection_중국!AC117)</f>
        <v>141</v>
      </c>
      <c r="U41" s="19">
        <f>SUM(Revenue_HW!AD66,Revenue_HW!AD196,Revenue_HW!AD239,Revenue_HW!AD282,Revenue_HW!AD325,Revenue_HW!AD368,Projection_유럽!AD44,Projection_미국!AD67,Projection_미국!AD117,Projection_중국!AD67,Projection_중국!AD117)</f>
        <v>152</v>
      </c>
    </row>
    <row r="42" spans="2:22" x14ac:dyDescent="0.3">
      <c r="C42" s="6" t="s">
        <v>150</v>
      </c>
      <c r="O42" s="19">
        <f t="shared" si="11"/>
        <v>36</v>
      </c>
      <c r="P42" s="19">
        <f>SUM(Revenue_HW!Y71,Revenue_HW!Y202,Revenue_HW!Y245,Revenue_HW!Y288,Revenue_HW!Y331,Revenue_HW!Y374,Projection_유럽!Y51,Projection_미국!Y74,Projection_미국!Y124,Projection_중국!Y74,Projection_중국!Y124)</f>
        <v>116</v>
      </c>
      <c r="Q42" s="19">
        <f>SUM(Revenue_HW!Z71,Revenue_HW!Z202,Revenue_HW!Z245,Revenue_HW!Z288,Revenue_HW!Z331,Revenue_HW!Z374,Projection_유럽!Z51,Projection_미국!Z74,Projection_미국!Z124,Projection_중국!Z74,Projection_중국!Z124)</f>
        <v>152</v>
      </c>
      <c r="R42" s="19">
        <f>SUM(Revenue_HW!AA71,Revenue_HW!AA202,Revenue_HW!AA245,Revenue_HW!AA288,Revenue_HW!AA331,Revenue_HW!AA374,Projection_유럽!AA51,Projection_미국!AA74,Projection_미국!AA124,Projection_중국!AA74,Projection_중국!AA124)</f>
        <v>0</v>
      </c>
      <c r="S42" s="19">
        <f>SUM(Revenue_HW!AB71,Revenue_HW!AB202,Revenue_HW!AB245,Revenue_HW!AB288,Revenue_HW!AB331,Revenue_HW!AB374,Projection_유럽!AB51,Projection_미국!AB74,Projection_미국!AB124,Projection_중국!AB74,Projection_중국!AB124)</f>
        <v>0</v>
      </c>
      <c r="T42" s="19">
        <f>SUM(Revenue_HW!AC71,Revenue_HW!AC202,Revenue_HW!AC245,Revenue_HW!AC288,Revenue_HW!AC331,Revenue_HW!AC374,Projection_유럽!AC51,Projection_미국!AC74,Projection_미국!AC124,Projection_중국!AC74,Projection_중국!AC124)</f>
        <v>0</v>
      </c>
      <c r="U42" s="19">
        <f>SUM(Revenue_HW!AD71,Revenue_HW!AD202,Revenue_HW!AD245,Revenue_HW!AD288,Revenue_HW!AD331,Revenue_HW!AD374,Projection_유럽!AD51,Projection_미국!AD74,Projection_미국!AD124,Projection_중국!AD74,Projection_중국!AD124)</f>
        <v>0</v>
      </c>
    </row>
    <row r="43" spans="2:22" s="11" customFormat="1" x14ac:dyDescent="0.3">
      <c r="B43" s="11" t="s">
        <v>151</v>
      </c>
      <c r="O43" s="13">
        <f>SUM(O44:O48)</f>
        <v>907</v>
      </c>
      <c r="P43" s="13">
        <f t="shared" ref="P43:Q43" si="12">SUM(P44:P48)</f>
        <v>3094</v>
      </c>
      <c r="Q43" s="13">
        <f t="shared" si="12"/>
        <v>4001</v>
      </c>
      <c r="R43" s="157"/>
      <c r="S43" s="157"/>
      <c r="T43" s="157"/>
      <c r="U43" s="157"/>
    </row>
    <row r="44" spans="2:22" x14ac:dyDescent="0.3">
      <c r="C44" s="6" t="s">
        <v>146</v>
      </c>
      <c r="O44" s="51">
        <f>Q44-P44</f>
        <v>15</v>
      </c>
      <c r="P44" s="6">
        <v>47</v>
      </c>
      <c r="Q44" s="51">
        <v>62</v>
      </c>
      <c r="R44" s="53"/>
      <c r="S44" s="53"/>
      <c r="T44" s="53"/>
      <c r="U44" s="53"/>
    </row>
    <row r="45" spans="2:22" x14ac:dyDescent="0.3">
      <c r="C45" s="6" t="s">
        <v>147</v>
      </c>
      <c r="J45" s="51"/>
      <c r="K45" s="51"/>
      <c r="M45" s="51"/>
      <c r="N45" s="51"/>
      <c r="O45" s="51">
        <f t="shared" ref="O45:O48" si="13">Q45-P45</f>
        <v>559</v>
      </c>
      <c r="P45" s="6">
        <v>1833</v>
      </c>
      <c r="Q45" s="51">
        <v>2392</v>
      </c>
      <c r="R45" s="52"/>
      <c r="S45" s="52"/>
      <c r="T45" s="52"/>
      <c r="U45" s="52"/>
      <c r="V45" s="51"/>
    </row>
    <row r="46" spans="2:22" x14ac:dyDescent="0.3">
      <c r="C46" s="6" t="s">
        <v>148</v>
      </c>
      <c r="J46" s="51"/>
      <c r="K46" s="51"/>
      <c r="M46" s="51"/>
      <c r="N46" s="51"/>
      <c r="O46" s="51">
        <f t="shared" si="13"/>
        <v>286</v>
      </c>
      <c r="P46" s="6">
        <v>994</v>
      </c>
      <c r="Q46" s="51">
        <v>1280</v>
      </c>
      <c r="R46" s="52"/>
      <c r="S46" s="52"/>
      <c r="T46" s="52"/>
      <c r="U46" s="52"/>
      <c r="V46" s="51"/>
    </row>
    <row r="47" spans="2:22" x14ac:dyDescent="0.3">
      <c r="C47" s="6" t="s">
        <v>149</v>
      </c>
      <c r="J47" s="51"/>
      <c r="K47" s="51"/>
      <c r="M47" s="51"/>
      <c r="N47" s="51"/>
      <c r="O47" s="51">
        <f>Q47-P47</f>
        <v>28</v>
      </c>
      <c r="P47" s="6">
        <v>104</v>
      </c>
      <c r="Q47" s="51">
        <v>132</v>
      </c>
      <c r="R47" s="52"/>
      <c r="S47" s="52"/>
      <c r="T47" s="52"/>
      <c r="U47" s="52"/>
      <c r="V47" s="51"/>
    </row>
    <row r="48" spans="2:22" x14ac:dyDescent="0.3">
      <c r="C48" s="6" t="s">
        <v>150</v>
      </c>
      <c r="O48" s="51">
        <f t="shared" si="13"/>
        <v>19</v>
      </c>
      <c r="P48" s="6">
        <v>116</v>
      </c>
      <c r="Q48" s="51">
        <v>135</v>
      </c>
      <c r="R48" s="53"/>
      <c r="S48" s="53"/>
      <c r="T48" s="53"/>
      <c r="U48" s="53"/>
    </row>
    <row r="49" spans="2:21" s="160" customFormat="1" x14ac:dyDescent="0.3">
      <c r="B49" s="158" t="s">
        <v>152</v>
      </c>
      <c r="C49" s="158"/>
      <c r="D49" s="158"/>
      <c r="E49" s="158"/>
      <c r="F49" s="158"/>
      <c r="G49" s="158"/>
      <c r="H49" s="158"/>
      <c r="I49" s="158"/>
      <c r="J49" s="158"/>
      <c r="K49" s="158"/>
      <c r="L49" s="158"/>
      <c r="M49" s="158"/>
      <c r="N49" s="158"/>
      <c r="O49" s="159">
        <f>O37/O43</f>
        <v>0.80154355016538037</v>
      </c>
      <c r="P49" s="159">
        <f t="shared" ref="P49" si="14">P37/P43</f>
        <v>0.91014867485455719</v>
      </c>
      <c r="Q49" s="159">
        <f>Q37/Q43</f>
        <v>0.8855286178455386</v>
      </c>
      <c r="R49" s="158"/>
      <c r="S49" s="158"/>
      <c r="T49" s="158"/>
      <c r="U49" s="158"/>
    </row>
    <row r="53" spans="2:21" x14ac:dyDescent="0.3">
      <c r="P53" s="51"/>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CE57F-25D5-4DAF-8938-E842EC7EE96F}">
  <sheetPr>
    <tabColor theme="9" tint="-0.499984740745262"/>
  </sheetPr>
  <dimension ref="A1:AF82"/>
  <sheetViews>
    <sheetView showGridLines="0" zoomScale="70" zoomScaleNormal="70" workbookViewId="0">
      <selection activeCell="V47" sqref="V47"/>
    </sheetView>
  </sheetViews>
  <sheetFormatPr defaultRowHeight="13.5" x14ac:dyDescent="0.3"/>
  <cols>
    <col min="1" max="16384" width="9" style="511"/>
  </cols>
  <sheetData>
    <row r="1" spans="1:32" x14ac:dyDescent="0.3">
      <c r="N1" s="512">
        <f>'Key Assumption'!R153</f>
        <v>0.9</v>
      </c>
      <c r="O1" s="512">
        <f>'Key Assumption'!S153</f>
        <v>0.9</v>
      </c>
      <c r="P1" s="512">
        <f>'Key Assumption'!T153</f>
        <v>0.9</v>
      </c>
      <c r="Q1" s="512">
        <f>'Key Assumption'!U153</f>
        <v>0.9</v>
      </c>
      <c r="R1" s="512">
        <f>'Key Assumption'!V153</f>
        <v>0.9</v>
      </c>
      <c r="S1" s="512">
        <f>'Key Assumption'!W153</f>
        <v>0.9</v>
      </c>
      <c r="T1" s="512">
        <f>'Key Assumption'!X153</f>
        <v>0.9</v>
      </c>
      <c r="U1" s="512">
        <f>'Key Assumption'!Y153</f>
        <v>0.9</v>
      </c>
      <c r="V1" s="512">
        <f>'Key Assumption'!Z153</f>
        <v>0.9</v>
      </c>
    </row>
    <row r="2" spans="1:32" x14ac:dyDescent="0.3">
      <c r="D2" s="513" t="s">
        <v>215</v>
      </c>
      <c r="E2" s="513" t="s">
        <v>216</v>
      </c>
      <c r="F2" s="513" t="s">
        <v>217</v>
      </c>
      <c r="G2" s="513" t="s">
        <v>218</v>
      </c>
      <c r="H2" s="513" t="s">
        <v>219</v>
      </c>
      <c r="I2" s="513" t="s">
        <v>220</v>
      </c>
      <c r="J2" s="513" t="s">
        <v>221</v>
      </c>
      <c r="K2" s="513" t="s">
        <v>222</v>
      </c>
      <c r="L2" s="513" t="s">
        <v>223</v>
      </c>
      <c r="N2" s="513" t="s">
        <v>215</v>
      </c>
      <c r="O2" s="513" t="s">
        <v>216</v>
      </c>
      <c r="P2" s="513" t="s">
        <v>217</v>
      </c>
      <c r="Q2" s="513" t="s">
        <v>218</v>
      </c>
      <c r="R2" s="513" t="s">
        <v>219</v>
      </c>
      <c r="S2" s="513" t="s">
        <v>220</v>
      </c>
      <c r="T2" s="513" t="s">
        <v>221</v>
      </c>
      <c r="U2" s="513" t="s">
        <v>222</v>
      </c>
      <c r="V2" s="513" t="s">
        <v>223</v>
      </c>
    </row>
    <row r="3" spans="1:32" x14ac:dyDescent="0.3">
      <c r="A3" s="511" t="s">
        <v>12</v>
      </c>
      <c r="B3" s="511" t="s">
        <v>131</v>
      </c>
      <c r="D3" s="511">
        <v>3</v>
      </c>
      <c r="E3" s="511">
        <v>3</v>
      </c>
      <c r="F3" s="511">
        <v>4</v>
      </c>
      <c r="G3" s="511">
        <v>2</v>
      </c>
      <c r="H3" s="511">
        <v>2</v>
      </c>
      <c r="I3" s="511">
        <v>3</v>
      </c>
      <c r="J3" s="511">
        <v>3</v>
      </c>
      <c r="K3" s="511">
        <v>3</v>
      </c>
      <c r="L3" s="511">
        <v>1</v>
      </c>
      <c r="N3" s="511">
        <f>ROUND(D3*N$1,)</f>
        <v>3</v>
      </c>
      <c r="O3" s="511">
        <f t="shared" ref="O3:V6" si="0">ROUND(E3*O$1,)</f>
        <v>3</v>
      </c>
      <c r="P3" s="511">
        <f t="shared" si="0"/>
        <v>4</v>
      </c>
      <c r="Q3" s="511">
        <f t="shared" si="0"/>
        <v>2</v>
      </c>
      <c r="R3" s="511">
        <f t="shared" si="0"/>
        <v>2</v>
      </c>
      <c r="S3" s="511">
        <f t="shared" si="0"/>
        <v>3</v>
      </c>
      <c r="T3" s="511">
        <f t="shared" si="0"/>
        <v>3</v>
      </c>
      <c r="U3" s="511">
        <f t="shared" si="0"/>
        <v>3</v>
      </c>
      <c r="V3" s="511">
        <f t="shared" si="0"/>
        <v>1</v>
      </c>
      <c r="X3" s="514">
        <f t="shared" ref="X3:AF31" si="1">D3-N3</f>
        <v>0</v>
      </c>
      <c r="Y3" s="514">
        <f t="shared" si="1"/>
        <v>0</v>
      </c>
      <c r="Z3" s="514">
        <f t="shared" si="1"/>
        <v>0</v>
      </c>
      <c r="AA3" s="514">
        <f t="shared" si="1"/>
        <v>0</v>
      </c>
      <c r="AB3" s="514">
        <f t="shared" si="1"/>
        <v>0</v>
      </c>
      <c r="AC3" s="514">
        <f t="shared" si="1"/>
        <v>0</v>
      </c>
      <c r="AD3" s="514">
        <f t="shared" si="1"/>
        <v>0</v>
      </c>
      <c r="AE3" s="514">
        <f t="shared" si="1"/>
        <v>0</v>
      </c>
      <c r="AF3" s="514">
        <f t="shared" si="1"/>
        <v>0</v>
      </c>
    </row>
    <row r="4" spans="1:32" x14ac:dyDescent="0.3">
      <c r="A4" s="511" t="s">
        <v>12</v>
      </c>
      <c r="B4" s="511" t="s">
        <v>132</v>
      </c>
      <c r="D4" s="511">
        <v>95</v>
      </c>
      <c r="E4" s="511">
        <v>98</v>
      </c>
      <c r="F4" s="511">
        <v>96</v>
      </c>
      <c r="G4" s="511">
        <v>92</v>
      </c>
      <c r="H4" s="511">
        <v>92</v>
      </c>
      <c r="I4" s="511">
        <v>87</v>
      </c>
      <c r="J4" s="511">
        <v>92</v>
      </c>
      <c r="K4" s="511">
        <v>89</v>
      </c>
      <c r="L4" s="511">
        <v>83</v>
      </c>
      <c r="N4" s="511">
        <f t="shared" ref="N4:N6" si="2">ROUND(D4*N$1,)</f>
        <v>86</v>
      </c>
      <c r="O4" s="511">
        <f t="shared" si="0"/>
        <v>88</v>
      </c>
      <c r="P4" s="511">
        <f t="shared" si="0"/>
        <v>86</v>
      </c>
      <c r="Q4" s="511">
        <f t="shared" si="0"/>
        <v>83</v>
      </c>
      <c r="R4" s="511">
        <f t="shared" si="0"/>
        <v>83</v>
      </c>
      <c r="S4" s="511">
        <f t="shared" si="0"/>
        <v>78</v>
      </c>
      <c r="T4" s="511">
        <f t="shared" si="0"/>
        <v>83</v>
      </c>
      <c r="U4" s="511">
        <f t="shared" si="0"/>
        <v>80</v>
      </c>
      <c r="V4" s="511">
        <f t="shared" si="0"/>
        <v>75</v>
      </c>
      <c r="X4" s="514">
        <f t="shared" si="1"/>
        <v>9</v>
      </c>
      <c r="Y4" s="514">
        <f t="shared" si="1"/>
        <v>10</v>
      </c>
      <c r="Z4" s="514">
        <f t="shared" si="1"/>
        <v>10</v>
      </c>
      <c r="AA4" s="514">
        <f t="shared" si="1"/>
        <v>9</v>
      </c>
      <c r="AB4" s="514">
        <f t="shared" si="1"/>
        <v>9</v>
      </c>
      <c r="AC4" s="514">
        <f t="shared" si="1"/>
        <v>9</v>
      </c>
      <c r="AD4" s="514">
        <f t="shared" si="1"/>
        <v>9</v>
      </c>
      <c r="AE4" s="514">
        <f t="shared" si="1"/>
        <v>9</v>
      </c>
      <c r="AF4" s="514">
        <f t="shared" si="1"/>
        <v>8</v>
      </c>
    </row>
    <row r="5" spans="1:32" x14ac:dyDescent="0.3">
      <c r="A5" s="511" t="s">
        <v>12</v>
      </c>
      <c r="B5" s="511" t="s">
        <v>133</v>
      </c>
      <c r="D5" s="511">
        <v>66</v>
      </c>
      <c r="E5" s="511">
        <v>67</v>
      </c>
      <c r="F5" s="511">
        <v>68</v>
      </c>
      <c r="G5" s="511">
        <v>66</v>
      </c>
      <c r="H5" s="511">
        <v>68</v>
      </c>
      <c r="I5" s="511">
        <v>57</v>
      </c>
      <c r="J5" s="511">
        <v>58</v>
      </c>
      <c r="K5" s="511">
        <v>57</v>
      </c>
      <c r="L5" s="511">
        <v>54</v>
      </c>
      <c r="N5" s="511">
        <f t="shared" si="2"/>
        <v>59</v>
      </c>
      <c r="O5" s="511">
        <f t="shared" si="0"/>
        <v>60</v>
      </c>
      <c r="P5" s="511">
        <f t="shared" si="0"/>
        <v>61</v>
      </c>
      <c r="Q5" s="511">
        <f t="shared" si="0"/>
        <v>59</v>
      </c>
      <c r="R5" s="511">
        <f t="shared" si="0"/>
        <v>61</v>
      </c>
      <c r="S5" s="511">
        <f t="shared" si="0"/>
        <v>51</v>
      </c>
      <c r="T5" s="511">
        <f t="shared" si="0"/>
        <v>52</v>
      </c>
      <c r="U5" s="511">
        <f t="shared" si="0"/>
        <v>51</v>
      </c>
      <c r="V5" s="511">
        <f t="shared" si="0"/>
        <v>49</v>
      </c>
      <c r="X5" s="514">
        <f t="shared" si="1"/>
        <v>7</v>
      </c>
      <c r="Y5" s="514">
        <f t="shared" si="1"/>
        <v>7</v>
      </c>
      <c r="Z5" s="514">
        <f t="shared" si="1"/>
        <v>7</v>
      </c>
      <c r="AA5" s="514">
        <f t="shared" si="1"/>
        <v>7</v>
      </c>
      <c r="AB5" s="514">
        <f t="shared" si="1"/>
        <v>7</v>
      </c>
      <c r="AC5" s="514">
        <f t="shared" si="1"/>
        <v>6</v>
      </c>
      <c r="AD5" s="514">
        <f t="shared" si="1"/>
        <v>6</v>
      </c>
      <c r="AE5" s="514">
        <f t="shared" si="1"/>
        <v>6</v>
      </c>
      <c r="AF5" s="514">
        <f t="shared" si="1"/>
        <v>5</v>
      </c>
    </row>
    <row r="6" spans="1:32" x14ac:dyDescent="0.3">
      <c r="A6" s="511" t="s">
        <v>12</v>
      </c>
      <c r="B6" s="511" t="s">
        <v>134</v>
      </c>
      <c r="D6" s="511">
        <v>7</v>
      </c>
      <c r="E6" s="511">
        <v>7</v>
      </c>
      <c r="F6" s="511">
        <v>8</v>
      </c>
      <c r="G6" s="511">
        <v>6</v>
      </c>
      <c r="H6" s="511">
        <v>7</v>
      </c>
      <c r="I6" s="511">
        <v>7</v>
      </c>
      <c r="J6" s="511">
        <v>8</v>
      </c>
      <c r="K6" s="511">
        <v>7</v>
      </c>
      <c r="L6" s="511">
        <v>5</v>
      </c>
      <c r="N6" s="511">
        <f t="shared" si="2"/>
        <v>6</v>
      </c>
      <c r="O6" s="511">
        <f t="shared" si="0"/>
        <v>6</v>
      </c>
      <c r="P6" s="511">
        <f t="shared" si="0"/>
        <v>7</v>
      </c>
      <c r="Q6" s="511">
        <f t="shared" si="0"/>
        <v>5</v>
      </c>
      <c r="R6" s="511">
        <f t="shared" si="0"/>
        <v>6</v>
      </c>
      <c r="S6" s="511">
        <f t="shared" si="0"/>
        <v>6</v>
      </c>
      <c r="T6" s="511">
        <f t="shared" si="0"/>
        <v>7</v>
      </c>
      <c r="U6" s="511">
        <f t="shared" si="0"/>
        <v>6</v>
      </c>
      <c r="V6" s="511">
        <f t="shared" si="0"/>
        <v>5</v>
      </c>
      <c r="X6" s="514">
        <f t="shared" si="1"/>
        <v>1</v>
      </c>
      <c r="Y6" s="514">
        <f t="shared" si="1"/>
        <v>1</v>
      </c>
      <c r="Z6" s="514">
        <f t="shared" si="1"/>
        <v>1</v>
      </c>
      <c r="AA6" s="514">
        <f t="shared" si="1"/>
        <v>1</v>
      </c>
      <c r="AB6" s="514">
        <f t="shared" si="1"/>
        <v>1</v>
      </c>
      <c r="AC6" s="514">
        <f t="shared" si="1"/>
        <v>1</v>
      </c>
      <c r="AD6" s="514">
        <f t="shared" si="1"/>
        <v>1</v>
      </c>
      <c r="AE6" s="514">
        <f t="shared" si="1"/>
        <v>1</v>
      </c>
      <c r="AF6" s="514">
        <f t="shared" si="1"/>
        <v>0</v>
      </c>
    </row>
    <row r="7" spans="1:32" x14ac:dyDescent="0.3">
      <c r="A7" s="511" t="s">
        <v>12</v>
      </c>
      <c r="B7" s="511" t="s">
        <v>135</v>
      </c>
      <c r="D7" s="511">
        <v>12</v>
      </c>
      <c r="E7" s="511">
        <v>11</v>
      </c>
      <c r="F7" s="511">
        <v>6</v>
      </c>
      <c r="G7" s="511">
        <v>2</v>
      </c>
      <c r="H7" s="511">
        <v>8</v>
      </c>
      <c r="I7" s="511">
        <v>11</v>
      </c>
      <c r="J7" s="511">
        <v>7</v>
      </c>
      <c r="K7" s="511">
        <v>8</v>
      </c>
      <c r="L7" s="511">
        <v>8</v>
      </c>
      <c r="N7" s="511">
        <f t="shared" ref="N7:V7" si="3">D7</f>
        <v>12</v>
      </c>
      <c r="O7" s="511">
        <f t="shared" si="3"/>
        <v>11</v>
      </c>
      <c r="P7" s="511">
        <f t="shared" si="3"/>
        <v>6</v>
      </c>
      <c r="Q7" s="511">
        <f t="shared" si="3"/>
        <v>2</v>
      </c>
      <c r="R7" s="511">
        <f t="shared" si="3"/>
        <v>8</v>
      </c>
      <c r="S7" s="511">
        <f t="shared" si="3"/>
        <v>11</v>
      </c>
      <c r="T7" s="511">
        <f t="shared" si="3"/>
        <v>7</v>
      </c>
      <c r="U7" s="511">
        <f t="shared" si="3"/>
        <v>8</v>
      </c>
      <c r="V7" s="511">
        <f t="shared" si="3"/>
        <v>8</v>
      </c>
      <c r="X7" s="514">
        <f t="shared" si="1"/>
        <v>0</v>
      </c>
      <c r="Y7" s="514">
        <f t="shared" si="1"/>
        <v>0</v>
      </c>
      <c r="Z7" s="514">
        <f t="shared" si="1"/>
        <v>0</v>
      </c>
      <c r="AA7" s="514">
        <f t="shared" si="1"/>
        <v>0</v>
      </c>
      <c r="AB7" s="514">
        <f t="shared" si="1"/>
        <v>0</v>
      </c>
      <c r="AC7" s="514">
        <f t="shared" si="1"/>
        <v>0</v>
      </c>
      <c r="AD7" s="514">
        <f t="shared" si="1"/>
        <v>0</v>
      </c>
      <c r="AE7" s="514">
        <f t="shared" si="1"/>
        <v>0</v>
      </c>
      <c r="AF7" s="514">
        <f t="shared" si="1"/>
        <v>0</v>
      </c>
    </row>
    <row r="8" spans="1:32" x14ac:dyDescent="0.3">
      <c r="A8" s="511" t="s">
        <v>235</v>
      </c>
      <c r="B8" s="511" t="s">
        <v>131</v>
      </c>
      <c r="D8" s="511">
        <v>0</v>
      </c>
      <c r="E8" s="511">
        <v>0</v>
      </c>
      <c r="F8" s="511">
        <v>0</v>
      </c>
      <c r="G8" s="511">
        <v>0</v>
      </c>
      <c r="H8" s="511">
        <v>0</v>
      </c>
      <c r="I8" s="511">
        <v>2</v>
      </c>
      <c r="J8" s="511">
        <v>0</v>
      </c>
      <c r="K8" s="511">
        <v>0</v>
      </c>
      <c r="L8" s="511">
        <v>0</v>
      </c>
      <c r="N8" s="511">
        <f t="shared" ref="N8:V11" si="4">ROUND(D8*N$1,)</f>
        <v>0</v>
      </c>
      <c r="O8" s="511">
        <f t="shared" si="4"/>
        <v>0</v>
      </c>
      <c r="P8" s="511">
        <f t="shared" si="4"/>
        <v>0</v>
      </c>
      <c r="Q8" s="511">
        <f t="shared" si="4"/>
        <v>0</v>
      </c>
      <c r="R8" s="511">
        <f t="shared" si="4"/>
        <v>0</v>
      </c>
      <c r="S8" s="511">
        <f t="shared" si="4"/>
        <v>2</v>
      </c>
      <c r="T8" s="511">
        <f t="shared" si="4"/>
        <v>0</v>
      </c>
      <c r="U8" s="511">
        <f t="shared" si="4"/>
        <v>0</v>
      </c>
      <c r="V8" s="511">
        <f t="shared" si="4"/>
        <v>0</v>
      </c>
      <c r="X8" s="514">
        <f t="shared" si="1"/>
        <v>0</v>
      </c>
      <c r="Y8" s="514">
        <f t="shared" si="1"/>
        <v>0</v>
      </c>
      <c r="Z8" s="514">
        <f t="shared" si="1"/>
        <v>0</v>
      </c>
      <c r="AA8" s="514">
        <f t="shared" si="1"/>
        <v>0</v>
      </c>
      <c r="AB8" s="514">
        <f t="shared" si="1"/>
        <v>0</v>
      </c>
      <c r="AC8" s="514">
        <f t="shared" si="1"/>
        <v>0</v>
      </c>
      <c r="AD8" s="514">
        <f t="shared" si="1"/>
        <v>0</v>
      </c>
      <c r="AE8" s="514">
        <f t="shared" si="1"/>
        <v>0</v>
      </c>
      <c r="AF8" s="514">
        <f t="shared" si="1"/>
        <v>0</v>
      </c>
    </row>
    <row r="9" spans="1:32" x14ac:dyDescent="0.3">
      <c r="A9" s="511" t="s">
        <v>235</v>
      </c>
      <c r="B9" s="511" t="s">
        <v>132</v>
      </c>
      <c r="D9" s="511">
        <v>5</v>
      </c>
      <c r="E9" s="511">
        <v>7</v>
      </c>
      <c r="F9" s="511">
        <v>5</v>
      </c>
      <c r="G9" s="511">
        <v>7</v>
      </c>
      <c r="H9" s="511">
        <v>8</v>
      </c>
      <c r="I9" s="511">
        <v>2</v>
      </c>
      <c r="J9" s="511">
        <v>10</v>
      </c>
      <c r="K9" s="511">
        <v>2</v>
      </c>
      <c r="L9" s="511">
        <v>8</v>
      </c>
      <c r="N9" s="511">
        <f t="shared" si="4"/>
        <v>5</v>
      </c>
      <c r="O9" s="511">
        <f t="shared" si="4"/>
        <v>6</v>
      </c>
      <c r="P9" s="511">
        <f t="shared" si="4"/>
        <v>5</v>
      </c>
      <c r="Q9" s="511">
        <f t="shared" si="4"/>
        <v>6</v>
      </c>
      <c r="R9" s="511">
        <f t="shared" si="4"/>
        <v>7</v>
      </c>
      <c r="S9" s="511">
        <f t="shared" si="4"/>
        <v>2</v>
      </c>
      <c r="T9" s="511">
        <f t="shared" si="4"/>
        <v>9</v>
      </c>
      <c r="U9" s="511">
        <f t="shared" si="4"/>
        <v>2</v>
      </c>
      <c r="V9" s="511">
        <f t="shared" si="4"/>
        <v>7</v>
      </c>
      <c r="X9" s="514">
        <f t="shared" si="1"/>
        <v>0</v>
      </c>
      <c r="Y9" s="514">
        <f t="shared" si="1"/>
        <v>1</v>
      </c>
      <c r="Z9" s="514">
        <f t="shared" si="1"/>
        <v>0</v>
      </c>
      <c r="AA9" s="514">
        <f t="shared" si="1"/>
        <v>1</v>
      </c>
      <c r="AB9" s="514">
        <f t="shared" si="1"/>
        <v>1</v>
      </c>
      <c r="AC9" s="514">
        <f t="shared" si="1"/>
        <v>0</v>
      </c>
      <c r="AD9" s="514">
        <f t="shared" si="1"/>
        <v>1</v>
      </c>
      <c r="AE9" s="514">
        <f t="shared" si="1"/>
        <v>0</v>
      </c>
      <c r="AF9" s="514">
        <f t="shared" si="1"/>
        <v>1</v>
      </c>
    </row>
    <row r="10" spans="1:32" x14ac:dyDescent="0.3">
      <c r="A10" s="511" t="s">
        <v>235</v>
      </c>
      <c r="B10" s="511" t="s">
        <v>133</v>
      </c>
      <c r="D10" s="511">
        <v>2</v>
      </c>
      <c r="E10" s="511">
        <v>1</v>
      </c>
      <c r="F10" s="511">
        <v>1</v>
      </c>
      <c r="G10" s="511">
        <v>1</v>
      </c>
      <c r="H10" s="511">
        <v>1</v>
      </c>
      <c r="I10" s="511">
        <v>0</v>
      </c>
      <c r="J10" s="511">
        <v>1</v>
      </c>
      <c r="K10" s="511">
        <v>1</v>
      </c>
      <c r="L10" s="511">
        <v>1</v>
      </c>
      <c r="N10" s="511">
        <f t="shared" si="4"/>
        <v>2</v>
      </c>
      <c r="O10" s="511">
        <f t="shared" si="4"/>
        <v>1</v>
      </c>
      <c r="P10" s="511">
        <f t="shared" si="4"/>
        <v>1</v>
      </c>
      <c r="Q10" s="511">
        <f t="shared" si="4"/>
        <v>1</v>
      </c>
      <c r="R10" s="511">
        <f t="shared" si="4"/>
        <v>1</v>
      </c>
      <c r="S10" s="511">
        <f t="shared" si="4"/>
        <v>0</v>
      </c>
      <c r="T10" s="511">
        <f t="shared" si="4"/>
        <v>1</v>
      </c>
      <c r="U10" s="511">
        <f t="shared" si="4"/>
        <v>1</v>
      </c>
      <c r="V10" s="511">
        <f t="shared" si="4"/>
        <v>1</v>
      </c>
      <c r="X10" s="514">
        <f t="shared" si="1"/>
        <v>0</v>
      </c>
      <c r="Y10" s="514">
        <f t="shared" si="1"/>
        <v>0</v>
      </c>
      <c r="Z10" s="514">
        <f t="shared" si="1"/>
        <v>0</v>
      </c>
      <c r="AA10" s="514">
        <f t="shared" si="1"/>
        <v>0</v>
      </c>
      <c r="AB10" s="514">
        <f t="shared" si="1"/>
        <v>0</v>
      </c>
      <c r="AC10" s="514">
        <f t="shared" si="1"/>
        <v>0</v>
      </c>
      <c r="AD10" s="514">
        <f t="shared" si="1"/>
        <v>0</v>
      </c>
      <c r="AE10" s="514">
        <f t="shared" si="1"/>
        <v>0</v>
      </c>
      <c r="AF10" s="514">
        <f t="shared" si="1"/>
        <v>0</v>
      </c>
    </row>
    <row r="11" spans="1:32" x14ac:dyDescent="0.3">
      <c r="A11" s="511" t="s">
        <v>235</v>
      </c>
      <c r="B11" s="511" t="s">
        <v>134</v>
      </c>
      <c r="D11" s="511">
        <v>0</v>
      </c>
      <c r="E11" s="511">
        <v>0</v>
      </c>
      <c r="F11" s="511">
        <v>1</v>
      </c>
      <c r="G11" s="511">
        <v>0</v>
      </c>
      <c r="H11" s="511">
        <v>0</v>
      </c>
      <c r="I11" s="511">
        <v>0</v>
      </c>
      <c r="J11" s="511">
        <v>0</v>
      </c>
      <c r="K11" s="511">
        <v>1</v>
      </c>
      <c r="L11" s="511">
        <v>1</v>
      </c>
      <c r="N11" s="511">
        <f t="shared" si="4"/>
        <v>0</v>
      </c>
      <c r="O11" s="511">
        <f t="shared" si="4"/>
        <v>0</v>
      </c>
      <c r="P11" s="511">
        <f t="shared" si="4"/>
        <v>1</v>
      </c>
      <c r="Q11" s="511">
        <f t="shared" si="4"/>
        <v>0</v>
      </c>
      <c r="R11" s="511">
        <f t="shared" si="4"/>
        <v>0</v>
      </c>
      <c r="S11" s="511">
        <f t="shared" si="4"/>
        <v>0</v>
      </c>
      <c r="T11" s="511">
        <f t="shared" si="4"/>
        <v>0</v>
      </c>
      <c r="U11" s="511">
        <f t="shared" si="4"/>
        <v>1</v>
      </c>
      <c r="V11" s="511">
        <f t="shared" si="4"/>
        <v>1</v>
      </c>
      <c r="X11" s="514">
        <f t="shared" si="1"/>
        <v>0</v>
      </c>
      <c r="Y11" s="514">
        <f t="shared" si="1"/>
        <v>0</v>
      </c>
      <c r="Z11" s="514">
        <f t="shared" si="1"/>
        <v>0</v>
      </c>
      <c r="AA11" s="514">
        <f t="shared" si="1"/>
        <v>0</v>
      </c>
      <c r="AB11" s="514">
        <f t="shared" si="1"/>
        <v>0</v>
      </c>
      <c r="AC11" s="514">
        <f t="shared" si="1"/>
        <v>0</v>
      </c>
      <c r="AD11" s="514">
        <f t="shared" si="1"/>
        <v>0</v>
      </c>
      <c r="AE11" s="514">
        <f t="shared" si="1"/>
        <v>0</v>
      </c>
      <c r="AF11" s="514">
        <f t="shared" si="1"/>
        <v>0</v>
      </c>
    </row>
    <row r="12" spans="1:32" x14ac:dyDescent="0.3">
      <c r="A12" s="511" t="s">
        <v>235</v>
      </c>
      <c r="B12" s="511" t="s">
        <v>135</v>
      </c>
      <c r="D12" s="511">
        <v>2</v>
      </c>
      <c r="E12" s="511">
        <v>2</v>
      </c>
      <c r="F12" s="511">
        <v>0</v>
      </c>
      <c r="G12" s="511">
        <v>0</v>
      </c>
      <c r="H12" s="511">
        <v>0</v>
      </c>
      <c r="I12" s="511">
        <v>0</v>
      </c>
      <c r="J12" s="511">
        <v>0</v>
      </c>
      <c r="K12" s="511">
        <v>2</v>
      </c>
      <c r="L12" s="511">
        <v>0</v>
      </c>
      <c r="N12" s="511">
        <f t="shared" ref="N12:V12" si="5">D12</f>
        <v>2</v>
      </c>
      <c r="O12" s="511">
        <f t="shared" si="5"/>
        <v>2</v>
      </c>
      <c r="P12" s="511">
        <f t="shared" si="5"/>
        <v>0</v>
      </c>
      <c r="Q12" s="511">
        <f t="shared" si="5"/>
        <v>0</v>
      </c>
      <c r="R12" s="511">
        <f t="shared" si="5"/>
        <v>0</v>
      </c>
      <c r="S12" s="511">
        <f t="shared" si="5"/>
        <v>0</v>
      </c>
      <c r="T12" s="511">
        <f t="shared" si="5"/>
        <v>0</v>
      </c>
      <c r="U12" s="511">
        <f t="shared" si="5"/>
        <v>2</v>
      </c>
      <c r="V12" s="511">
        <f t="shared" si="5"/>
        <v>0</v>
      </c>
      <c r="X12" s="514">
        <f t="shared" si="1"/>
        <v>0</v>
      </c>
      <c r="Y12" s="514">
        <f t="shared" si="1"/>
        <v>0</v>
      </c>
      <c r="Z12" s="514">
        <f t="shared" si="1"/>
        <v>0</v>
      </c>
      <c r="AA12" s="514">
        <f t="shared" si="1"/>
        <v>0</v>
      </c>
      <c r="AB12" s="514">
        <f t="shared" si="1"/>
        <v>0</v>
      </c>
      <c r="AC12" s="514">
        <f t="shared" si="1"/>
        <v>0</v>
      </c>
      <c r="AD12" s="514">
        <f t="shared" si="1"/>
        <v>0</v>
      </c>
      <c r="AE12" s="514">
        <f t="shared" si="1"/>
        <v>0</v>
      </c>
      <c r="AF12" s="514">
        <f t="shared" si="1"/>
        <v>0</v>
      </c>
    </row>
    <row r="13" spans="1:32" x14ac:dyDescent="0.3">
      <c r="A13" s="511" t="s">
        <v>236</v>
      </c>
      <c r="B13" s="511" t="s">
        <v>131</v>
      </c>
      <c r="D13" s="511">
        <v>0</v>
      </c>
      <c r="E13" s="511">
        <v>1</v>
      </c>
      <c r="F13" s="511">
        <v>1</v>
      </c>
      <c r="G13" s="511">
        <v>0</v>
      </c>
      <c r="H13" s="511">
        <v>0</v>
      </c>
      <c r="I13" s="511">
        <v>0</v>
      </c>
      <c r="J13" s="511">
        <v>0</v>
      </c>
      <c r="K13" s="511">
        <v>2</v>
      </c>
      <c r="L13" s="511">
        <v>0</v>
      </c>
      <c r="N13" s="511">
        <f t="shared" ref="N13:V16" si="6">ROUND(D13*N$1,)</f>
        <v>0</v>
      </c>
      <c r="O13" s="511">
        <f t="shared" si="6"/>
        <v>1</v>
      </c>
      <c r="P13" s="511">
        <f t="shared" si="6"/>
        <v>1</v>
      </c>
      <c r="Q13" s="511">
        <f t="shared" si="6"/>
        <v>0</v>
      </c>
      <c r="R13" s="511">
        <f t="shared" si="6"/>
        <v>0</v>
      </c>
      <c r="S13" s="511">
        <f t="shared" si="6"/>
        <v>0</v>
      </c>
      <c r="T13" s="511">
        <f t="shared" si="6"/>
        <v>0</v>
      </c>
      <c r="U13" s="511">
        <f t="shared" si="6"/>
        <v>2</v>
      </c>
      <c r="V13" s="511">
        <f t="shared" si="6"/>
        <v>0</v>
      </c>
      <c r="X13" s="514">
        <f t="shared" si="1"/>
        <v>0</v>
      </c>
      <c r="Y13" s="514">
        <f t="shared" si="1"/>
        <v>0</v>
      </c>
      <c r="Z13" s="514">
        <f t="shared" si="1"/>
        <v>0</v>
      </c>
      <c r="AA13" s="514">
        <f t="shared" si="1"/>
        <v>0</v>
      </c>
      <c r="AB13" s="514">
        <f t="shared" si="1"/>
        <v>0</v>
      </c>
      <c r="AC13" s="514">
        <f t="shared" si="1"/>
        <v>0</v>
      </c>
      <c r="AD13" s="514">
        <f t="shared" si="1"/>
        <v>0</v>
      </c>
      <c r="AE13" s="514">
        <f t="shared" si="1"/>
        <v>0</v>
      </c>
      <c r="AF13" s="514">
        <f t="shared" si="1"/>
        <v>0</v>
      </c>
    </row>
    <row r="14" spans="1:32" x14ac:dyDescent="0.3">
      <c r="A14" s="511" t="s">
        <v>236</v>
      </c>
      <c r="B14" s="511" t="s">
        <v>132</v>
      </c>
      <c r="D14" s="511">
        <v>6</v>
      </c>
      <c r="E14" s="511">
        <v>8</v>
      </c>
      <c r="F14" s="511">
        <v>9</v>
      </c>
      <c r="G14" s="511">
        <v>6</v>
      </c>
      <c r="H14" s="511">
        <v>4</v>
      </c>
      <c r="I14" s="511">
        <v>4</v>
      </c>
      <c r="J14" s="511">
        <v>5</v>
      </c>
      <c r="K14" s="511">
        <v>6</v>
      </c>
      <c r="L14" s="511">
        <v>6</v>
      </c>
      <c r="N14" s="511">
        <f t="shared" si="6"/>
        <v>5</v>
      </c>
      <c r="O14" s="511">
        <f t="shared" si="6"/>
        <v>7</v>
      </c>
      <c r="P14" s="511">
        <f t="shared" si="6"/>
        <v>8</v>
      </c>
      <c r="Q14" s="511">
        <f t="shared" si="6"/>
        <v>5</v>
      </c>
      <c r="R14" s="511">
        <f t="shared" si="6"/>
        <v>4</v>
      </c>
      <c r="S14" s="511">
        <f t="shared" si="6"/>
        <v>4</v>
      </c>
      <c r="T14" s="511">
        <f t="shared" si="6"/>
        <v>5</v>
      </c>
      <c r="U14" s="511">
        <f t="shared" si="6"/>
        <v>5</v>
      </c>
      <c r="V14" s="511">
        <f t="shared" si="6"/>
        <v>5</v>
      </c>
      <c r="X14" s="514">
        <f t="shared" si="1"/>
        <v>1</v>
      </c>
      <c r="Y14" s="514">
        <f t="shared" si="1"/>
        <v>1</v>
      </c>
      <c r="Z14" s="514">
        <f t="shared" si="1"/>
        <v>1</v>
      </c>
      <c r="AA14" s="514">
        <f t="shared" si="1"/>
        <v>1</v>
      </c>
      <c r="AB14" s="514">
        <f t="shared" si="1"/>
        <v>0</v>
      </c>
      <c r="AC14" s="514">
        <f t="shared" si="1"/>
        <v>0</v>
      </c>
      <c r="AD14" s="514">
        <f t="shared" si="1"/>
        <v>0</v>
      </c>
      <c r="AE14" s="514">
        <f t="shared" si="1"/>
        <v>1</v>
      </c>
      <c r="AF14" s="514">
        <f t="shared" si="1"/>
        <v>1</v>
      </c>
    </row>
    <row r="15" spans="1:32" x14ac:dyDescent="0.3">
      <c r="A15" s="511" t="s">
        <v>236</v>
      </c>
      <c r="B15" s="511" t="s">
        <v>133</v>
      </c>
      <c r="D15" s="511">
        <v>1</v>
      </c>
      <c r="E15" s="511">
        <v>3</v>
      </c>
      <c r="F15" s="511">
        <v>3</v>
      </c>
      <c r="G15" s="511">
        <v>4</v>
      </c>
      <c r="H15" s="511">
        <v>4</v>
      </c>
      <c r="I15" s="511">
        <v>2</v>
      </c>
      <c r="J15" s="511">
        <v>2</v>
      </c>
      <c r="K15" s="511">
        <v>2</v>
      </c>
      <c r="L15" s="511">
        <v>2</v>
      </c>
      <c r="N15" s="511">
        <f t="shared" si="6"/>
        <v>1</v>
      </c>
      <c r="O15" s="511">
        <f t="shared" si="6"/>
        <v>3</v>
      </c>
      <c r="P15" s="511">
        <f t="shared" si="6"/>
        <v>3</v>
      </c>
      <c r="Q15" s="511">
        <f t="shared" si="6"/>
        <v>4</v>
      </c>
      <c r="R15" s="511">
        <f t="shared" si="6"/>
        <v>4</v>
      </c>
      <c r="S15" s="511">
        <f t="shared" si="6"/>
        <v>2</v>
      </c>
      <c r="T15" s="511">
        <f t="shared" si="6"/>
        <v>2</v>
      </c>
      <c r="U15" s="511">
        <f t="shared" si="6"/>
        <v>2</v>
      </c>
      <c r="V15" s="511">
        <f t="shared" si="6"/>
        <v>2</v>
      </c>
      <c r="X15" s="514">
        <f t="shared" si="1"/>
        <v>0</v>
      </c>
      <c r="Y15" s="514">
        <f t="shared" si="1"/>
        <v>0</v>
      </c>
      <c r="Z15" s="514">
        <f t="shared" si="1"/>
        <v>0</v>
      </c>
      <c r="AA15" s="514">
        <f t="shared" si="1"/>
        <v>0</v>
      </c>
      <c r="AB15" s="514">
        <f t="shared" si="1"/>
        <v>0</v>
      </c>
      <c r="AC15" s="514">
        <f t="shared" si="1"/>
        <v>0</v>
      </c>
      <c r="AD15" s="514">
        <f t="shared" si="1"/>
        <v>0</v>
      </c>
      <c r="AE15" s="514">
        <f t="shared" si="1"/>
        <v>0</v>
      </c>
      <c r="AF15" s="514">
        <f t="shared" si="1"/>
        <v>0</v>
      </c>
    </row>
    <row r="16" spans="1:32" x14ac:dyDescent="0.3">
      <c r="A16" s="511" t="s">
        <v>236</v>
      </c>
      <c r="B16" s="511" t="s">
        <v>134</v>
      </c>
      <c r="D16" s="511">
        <v>2</v>
      </c>
      <c r="E16" s="511">
        <v>0</v>
      </c>
      <c r="F16" s="511">
        <v>1</v>
      </c>
      <c r="G16" s="511">
        <v>1</v>
      </c>
      <c r="H16" s="511">
        <v>1</v>
      </c>
      <c r="I16" s="511">
        <v>2</v>
      </c>
      <c r="J16" s="511">
        <v>0</v>
      </c>
      <c r="K16" s="511">
        <v>1</v>
      </c>
      <c r="L16" s="511">
        <v>2</v>
      </c>
      <c r="N16" s="511">
        <f t="shared" si="6"/>
        <v>2</v>
      </c>
      <c r="O16" s="511">
        <f t="shared" si="6"/>
        <v>0</v>
      </c>
      <c r="P16" s="511">
        <f t="shared" si="6"/>
        <v>1</v>
      </c>
      <c r="Q16" s="511">
        <f t="shared" si="6"/>
        <v>1</v>
      </c>
      <c r="R16" s="511">
        <f t="shared" si="6"/>
        <v>1</v>
      </c>
      <c r="S16" s="511">
        <f t="shared" si="6"/>
        <v>2</v>
      </c>
      <c r="T16" s="511">
        <f t="shared" si="6"/>
        <v>0</v>
      </c>
      <c r="U16" s="511">
        <f t="shared" si="6"/>
        <v>1</v>
      </c>
      <c r="V16" s="511">
        <f t="shared" si="6"/>
        <v>2</v>
      </c>
      <c r="X16" s="514">
        <f t="shared" si="1"/>
        <v>0</v>
      </c>
      <c r="Y16" s="514">
        <f t="shared" si="1"/>
        <v>0</v>
      </c>
      <c r="Z16" s="514">
        <f t="shared" si="1"/>
        <v>0</v>
      </c>
      <c r="AA16" s="514">
        <f t="shared" si="1"/>
        <v>0</v>
      </c>
      <c r="AB16" s="514">
        <f t="shared" si="1"/>
        <v>0</v>
      </c>
      <c r="AC16" s="514">
        <f t="shared" si="1"/>
        <v>0</v>
      </c>
      <c r="AD16" s="514">
        <f t="shared" si="1"/>
        <v>0</v>
      </c>
      <c r="AE16" s="514">
        <f t="shared" si="1"/>
        <v>0</v>
      </c>
      <c r="AF16" s="514">
        <f t="shared" si="1"/>
        <v>0</v>
      </c>
    </row>
    <row r="17" spans="1:32" x14ac:dyDescent="0.3">
      <c r="A17" s="511" t="s">
        <v>236</v>
      </c>
      <c r="B17" s="511" t="s">
        <v>135</v>
      </c>
      <c r="D17" s="511">
        <v>0</v>
      </c>
      <c r="E17" s="511">
        <v>0</v>
      </c>
      <c r="F17" s="511">
        <v>1</v>
      </c>
      <c r="G17" s="511">
        <v>1</v>
      </c>
      <c r="H17" s="511">
        <v>0</v>
      </c>
      <c r="I17" s="511">
        <v>1</v>
      </c>
      <c r="J17" s="511">
        <v>1</v>
      </c>
      <c r="K17" s="511">
        <v>2</v>
      </c>
      <c r="L17" s="511">
        <v>2</v>
      </c>
      <c r="N17" s="511">
        <f t="shared" ref="N17:V17" si="7">D17</f>
        <v>0</v>
      </c>
      <c r="O17" s="511">
        <f t="shared" si="7"/>
        <v>0</v>
      </c>
      <c r="P17" s="511">
        <f t="shared" si="7"/>
        <v>1</v>
      </c>
      <c r="Q17" s="511">
        <f t="shared" si="7"/>
        <v>1</v>
      </c>
      <c r="R17" s="511">
        <f t="shared" si="7"/>
        <v>0</v>
      </c>
      <c r="S17" s="511">
        <f t="shared" si="7"/>
        <v>1</v>
      </c>
      <c r="T17" s="511">
        <f t="shared" si="7"/>
        <v>1</v>
      </c>
      <c r="U17" s="511">
        <f t="shared" si="7"/>
        <v>2</v>
      </c>
      <c r="V17" s="511">
        <f t="shared" si="7"/>
        <v>2</v>
      </c>
      <c r="X17" s="514">
        <f t="shared" si="1"/>
        <v>0</v>
      </c>
      <c r="Y17" s="514">
        <f t="shared" si="1"/>
        <v>0</v>
      </c>
      <c r="Z17" s="514">
        <f t="shared" si="1"/>
        <v>0</v>
      </c>
      <c r="AA17" s="514">
        <f t="shared" si="1"/>
        <v>0</v>
      </c>
      <c r="AB17" s="514">
        <f t="shared" si="1"/>
        <v>0</v>
      </c>
      <c r="AC17" s="514">
        <f t="shared" si="1"/>
        <v>0</v>
      </c>
      <c r="AD17" s="514">
        <f t="shared" si="1"/>
        <v>0</v>
      </c>
      <c r="AE17" s="514">
        <f t="shared" si="1"/>
        <v>0</v>
      </c>
      <c r="AF17" s="514">
        <f t="shared" si="1"/>
        <v>0</v>
      </c>
    </row>
    <row r="18" spans="1:32" x14ac:dyDescent="0.3">
      <c r="A18" s="511" t="s">
        <v>237</v>
      </c>
      <c r="B18" s="511" t="s">
        <v>131</v>
      </c>
      <c r="D18" s="511">
        <v>0</v>
      </c>
      <c r="E18" s="511">
        <v>0</v>
      </c>
      <c r="F18" s="511">
        <v>1</v>
      </c>
      <c r="G18" s="511">
        <v>0</v>
      </c>
      <c r="H18" s="511">
        <v>0</v>
      </c>
      <c r="I18" s="511">
        <v>0</v>
      </c>
      <c r="J18" s="511">
        <v>0</v>
      </c>
      <c r="K18" s="511">
        <v>0</v>
      </c>
      <c r="L18" s="511">
        <v>1</v>
      </c>
      <c r="N18" s="511">
        <f t="shared" ref="N18:V21" si="8">ROUND(D18*N$1,)</f>
        <v>0</v>
      </c>
      <c r="O18" s="511">
        <f t="shared" si="8"/>
        <v>0</v>
      </c>
      <c r="P18" s="511">
        <f t="shared" si="8"/>
        <v>1</v>
      </c>
      <c r="Q18" s="511">
        <f t="shared" si="8"/>
        <v>0</v>
      </c>
      <c r="R18" s="511">
        <f t="shared" si="8"/>
        <v>0</v>
      </c>
      <c r="S18" s="511">
        <f t="shared" si="8"/>
        <v>0</v>
      </c>
      <c r="T18" s="511">
        <f t="shared" si="8"/>
        <v>0</v>
      </c>
      <c r="U18" s="511">
        <f t="shared" si="8"/>
        <v>0</v>
      </c>
      <c r="V18" s="511">
        <f t="shared" si="8"/>
        <v>1</v>
      </c>
      <c r="X18" s="514">
        <f t="shared" si="1"/>
        <v>0</v>
      </c>
      <c r="Y18" s="514">
        <f t="shared" si="1"/>
        <v>0</v>
      </c>
      <c r="Z18" s="514">
        <f t="shared" si="1"/>
        <v>0</v>
      </c>
      <c r="AA18" s="514">
        <f t="shared" si="1"/>
        <v>0</v>
      </c>
      <c r="AB18" s="514">
        <f t="shared" si="1"/>
        <v>0</v>
      </c>
      <c r="AC18" s="514">
        <f t="shared" si="1"/>
        <v>0</v>
      </c>
      <c r="AD18" s="514">
        <f t="shared" si="1"/>
        <v>0</v>
      </c>
      <c r="AE18" s="514">
        <f t="shared" si="1"/>
        <v>0</v>
      </c>
      <c r="AF18" s="514">
        <f t="shared" si="1"/>
        <v>0</v>
      </c>
    </row>
    <row r="19" spans="1:32" x14ac:dyDescent="0.3">
      <c r="A19" s="511" t="s">
        <v>237</v>
      </c>
      <c r="B19" s="511" t="s">
        <v>132</v>
      </c>
      <c r="D19" s="511">
        <v>3</v>
      </c>
      <c r="E19" s="511">
        <v>2</v>
      </c>
      <c r="F19" s="511">
        <v>2</v>
      </c>
      <c r="G19" s="511">
        <v>2</v>
      </c>
      <c r="H19" s="511">
        <v>3</v>
      </c>
      <c r="I19" s="511">
        <v>2</v>
      </c>
      <c r="J19" s="511">
        <v>3</v>
      </c>
      <c r="K19" s="511">
        <v>1</v>
      </c>
      <c r="L19" s="511">
        <v>2</v>
      </c>
      <c r="N19" s="511">
        <f t="shared" si="8"/>
        <v>3</v>
      </c>
      <c r="O19" s="511">
        <f t="shared" si="8"/>
        <v>2</v>
      </c>
      <c r="P19" s="511">
        <f t="shared" si="8"/>
        <v>2</v>
      </c>
      <c r="Q19" s="511">
        <f t="shared" si="8"/>
        <v>2</v>
      </c>
      <c r="R19" s="511">
        <f t="shared" si="8"/>
        <v>3</v>
      </c>
      <c r="S19" s="511">
        <f t="shared" si="8"/>
        <v>2</v>
      </c>
      <c r="T19" s="511">
        <f t="shared" si="8"/>
        <v>3</v>
      </c>
      <c r="U19" s="511">
        <f t="shared" si="8"/>
        <v>1</v>
      </c>
      <c r="V19" s="511">
        <f t="shared" si="8"/>
        <v>2</v>
      </c>
      <c r="X19" s="514">
        <f t="shared" si="1"/>
        <v>0</v>
      </c>
      <c r="Y19" s="514">
        <f t="shared" si="1"/>
        <v>0</v>
      </c>
      <c r="Z19" s="514">
        <f t="shared" si="1"/>
        <v>0</v>
      </c>
      <c r="AA19" s="514">
        <f t="shared" si="1"/>
        <v>0</v>
      </c>
      <c r="AB19" s="514">
        <f t="shared" si="1"/>
        <v>0</v>
      </c>
      <c r="AC19" s="514">
        <f t="shared" si="1"/>
        <v>0</v>
      </c>
      <c r="AD19" s="514">
        <f t="shared" si="1"/>
        <v>0</v>
      </c>
      <c r="AE19" s="514">
        <f t="shared" si="1"/>
        <v>0</v>
      </c>
      <c r="AF19" s="514">
        <f t="shared" si="1"/>
        <v>0</v>
      </c>
    </row>
    <row r="20" spans="1:32" x14ac:dyDescent="0.3">
      <c r="A20" s="511" t="s">
        <v>237</v>
      </c>
      <c r="B20" s="511" t="s">
        <v>133</v>
      </c>
      <c r="D20" s="511">
        <v>0</v>
      </c>
      <c r="E20" s="511">
        <v>3</v>
      </c>
      <c r="F20" s="511">
        <v>1</v>
      </c>
      <c r="G20" s="511">
        <v>2</v>
      </c>
      <c r="H20" s="511">
        <v>0</v>
      </c>
      <c r="I20" s="511">
        <v>2</v>
      </c>
      <c r="J20" s="511">
        <v>1</v>
      </c>
      <c r="K20" s="511">
        <v>1</v>
      </c>
      <c r="L20" s="511">
        <v>1</v>
      </c>
      <c r="N20" s="511">
        <f t="shared" si="8"/>
        <v>0</v>
      </c>
      <c r="O20" s="511">
        <f t="shared" si="8"/>
        <v>3</v>
      </c>
      <c r="P20" s="511">
        <f t="shared" si="8"/>
        <v>1</v>
      </c>
      <c r="Q20" s="511">
        <f t="shared" si="8"/>
        <v>2</v>
      </c>
      <c r="R20" s="511">
        <f t="shared" si="8"/>
        <v>0</v>
      </c>
      <c r="S20" s="511">
        <f t="shared" si="8"/>
        <v>2</v>
      </c>
      <c r="T20" s="511">
        <f t="shared" si="8"/>
        <v>1</v>
      </c>
      <c r="U20" s="511">
        <f t="shared" si="8"/>
        <v>1</v>
      </c>
      <c r="V20" s="511">
        <f t="shared" si="8"/>
        <v>1</v>
      </c>
      <c r="X20" s="514">
        <f t="shared" si="1"/>
        <v>0</v>
      </c>
      <c r="Y20" s="514">
        <f t="shared" si="1"/>
        <v>0</v>
      </c>
      <c r="Z20" s="514">
        <f t="shared" si="1"/>
        <v>0</v>
      </c>
      <c r="AA20" s="514">
        <f t="shared" si="1"/>
        <v>0</v>
      </c>
      <c r="AB20" s="514">
        <f t="shared" si="1"/>
        <v>0</v>
      </c>
      <c r="AC20" s="514">
        <f t="shared" si="1"/>
        <v>0</v>
      </c>
      <c r="AD20" s="514">
        <f t="shared" si="1"/>
        <v>0</v>
      </c>
      <c r="AE20" s="514">
        <f t="shared" si="1"/>
        <v>0</v>
      </c>
      <c r="AF20" s="514">
        <f t="shared" si="1"/>
        <v>0</v>
      </c>
    </row>
    <row r="21" spans="1:32" x14ac:dyDescent="0.3">
      <c r="A21" s="511" t="s">
        <v>237</v>
      </c>
      <c r="B21" s="511" t="s">
        <v>134</v>
      </c>
      <c r="D21" s="511">
        <v>0</v>
      </c>
      <c r="E21" s="511">
        <v>0</v>
      </c>
      <c r="F21" s="511">
        <v>0</v>
      </c>
      <c r="G21" s="511">
        <v>0</v>
      </c>
      <c r="H21" s="511">
        <v>0</v>
      </c>
      <c r="I21" s="511">
        <v>0</v>
      </c>
      <c r="J21" s="511">
        <v>0</v>
      </c>
      <c r="K21" s="511">
        <v>1</v>
      </c>
      <c r="L21" s="511">
        <v>0</v>
      </c>
      <c r="N21" s="511">
        <f t="shared" si="8"/>
        <v>0</v>
      </c>
      <c r="O21" s="511">
        <f t="shared" si="8"/>
        <v>0</v>
      </c>
      <c r="P21" s="511">
        <f t="shared" si="8"/>
        <v>0</v>
      </c>
      <c r="Q21" s="511">
        <f t="shared" si="8"/>
        <v>0</v>
      </c>
      <c r="R21" s="511">
        <f t="shared" si="8"/>
        <v>0</v>
      </c>
      <c r="S21" s="511">
        <f t="shared" si="8"/>
        <v>0</v>
      </c>
      <c r="T21" s="511">
        <f t="shared" si="8"/>
        <v>0</v>
      </c>
      <c r="U21" s="511">
        <f t="shared" si="8"/>
        <v>1</v>
      </c>
      <c r="V21" s="511">
        <f t="shared" si="8"/>
        <v>0</v>
      </c>
      <c r="X21" s="514">
        <f t="shared" si="1"/>
        <v>0</v>
      </c>
      <c r="Y21" s="514">
        <f t="shared" si="1"/>
        <v>0</v>
      </c>
      <c r="Z21" s="514">
        <f t="shared" si="1"/>
        <v>0</v>
      </c>
      <c r="AA21" s="514">
        <f t="shared" si="1"/>
        <v>0</v>
      </c>
      <c r="AB21" s="514">
        <f t="shared" si="1"/>
        <v>0</v>
      </c>
      <c r="AC21" s="514">
        <f t="shared" si="1"/>
        <v>0</v>
      </c>
      <c r="AD21" s="514">
        <f t="shared" si="1"/>
        <v>0</v>
      </c>
      <c r="AE21" s="514">
        <f t="shared" si="1"/>
        <v>0</v>
      </c>
      <c r="AF21" s="514">
        <f t="shared" si="1"/>
        <v>0</v>
      </c>
    </row>
    <row r="22" spans="1:32" x14ac:dyDescent="0.3">
      <c r="A22" s="511" t="s">
        <v>237</v>
      </c>
      <c r="B22" s="511" t="s">
        <v>135</v>
      </c>
      <c r="D22" s="511">
        <v>0</v>
      </c>
      <c r="E22" s="511">
        <v>0</v>
      </c>
      <c r="F22" s="511">
        <v>0</v>
      </c>
      <c r="G22" s="511">
        <v>0</v>
      </c>
      <c r="H22" s="511">
        <v>1</v>
      </c>
      <c r="I22" s="511">
        <v>0</v>
      </c>
      <c r="J22" s="511">
        <v>1</v>
      </c>
      <c r="K22" s="511">
        <v>0</v>
      </c>
      <c r="L22" s="511">
        <v>2</v>
      </c>
      <c r="N22" s="511">
        <f t="shared" ref="N22:V22" si="9">D22</f>
        <v>0</v>
      </c>
      <c r="O22" s="511">
        <f t="shared" si="9"/>
        <v>0</v>
      </c>
      <c r="P22" s="511">
        <f t="shared" si="9"/>
        <v>0</v>
      </c>
      <c r="Q22" s="511">
        <f t="shared" si="9"/>
        <v>0</v>
      </c>
      <c r="R22" s="511">
        <f t="shared" si="9"/>
        <v>1</v>
      </c>
      <c r="S22" s="511">
        <f t="shared" si="9"/>
        <v>0</v>
      </c>
      <c r="T22" s="511">
        <f t="shared" si="9"/>
        <v>1</v>
      </c>
      <c r="U22" s="511">
        <f t="shared" si="9"/>
        <v>0</v>
      </c>
      <c r="V22" s="511">
        <f t="shared" si="9"/>
        <v>2</v>
      </c>
      <c r="X22" s="514">
        <f t="shared" si="1"/>
        <v>0</v>
      </c>
      <c r="Y22" s="514">
        <f t="shared" si="1"/>
        <v>0</v>
      </c>
      <c r="Z22" s="514">
        <f t="shared" si="1"/>
        <v>0</v>
      </c>
      <c r="AA22" s="514">
        <f t="shared" si="1"/>
        <v>0</v>
      </c>
      <c r="AB22" s="514">
        <f t="shared" si="1"/>
        <v>0</v>
      </c>
      <c r="AC22" s="514">
        <f t="shared" si="1"/>
        <v>0</v>
      </c>
      <c r="AD22" s="514">
        <f t="shared" si="1"/>
        <v>0</v>
      </c>
      <c r="AE22" s="514">
        <f t="shared" si="1"/>
        <v>0</v>
      </c>
      <c r="AF22" s="514">
        <f t="shared" si="1"/>
        <v>0</v>
      </c>
    </row>
    <row r="23" spans="1:32" x14ac:dyDescent="0.3">
      <c r="A23" s="511" t="s">
        <v>238</v>
      </c>
      <c r="B23" s="511" t="s">
        <v>131</v>
      </c>
      <c r="D23" s="511">
        <v>0</v>
      </c>
      <c r="E23" s="511">
        <v>0</v>
      </c>
      <c r="F23" s="511">
        <v>0</v>
      </c>
      <c r="G23" s="511">
        <v>1</v>
      </c>
      <c r="H23" s="511">
        <v>0</v>
      </c>
      <c r="I23" s="511">
        <v>1</v>
      </c>
      <c r="J23" s="511">
        <v>0</v>
      </c>
      <c r="K23" s="511">
        <v>0</v>
      </c>
      <c r="L23" s="511">
        <v>0</v>
      </c>
      <c r="N23" s="511">
        <f t="shared" ref="N23:V26" si="10">ROUND(D23*N$1,)</f>
        <v>0</v>
      </c>
      <c r="O23" s="511">
        <f t="shared" si="10"/>
        <v>0</v>
      </c>
      <c r="P23" s="511">
        <f t="shared" si="10"/>
        <v>0</v>
      </c>
      <c r="Q23" s="511">
        <f t="shared" si="10"/>
        <v>1</v>
      </c>
      <c r="R23" s="511">
        <f t="shared" si="10"/>
        <v>0</v>
      </c>
      <c r="S23" s="511">
        <f t="shared" si="10"/>
        <v>1</v>
      </c>
      <c r="T23" s="511">
        <f t="shared" si="10"/>
        <v>0</v>
      </c>
      <c r="U23" s="511">
        <f t="shared" si="10"/>
        <v>0</v>
      </c>
      <c r="V23" s="511">
        <f t="shared" si="10"/>
        <v>0</v>
      </c>
      <c r="X23" s="514">
        <f t="shared" si="1"/>
        <v>0</v>
      </c>
      <c r="Y23" s="514">
        <f t="shared" si="1"/>
        <v>0</v>
      </c>
      <c r="Z23" s="514">
        <f t="shared" si="1"/>
        <v>0</v>
      </c>
      <c r="AA23" s="514">
        <f t="shared" si="1"/>
        <v>0</v>
      </c>
      <c r="AB23" s="514">
        <f t="shared" si="1"/>
        <v>0</v>
      </c>
      <c r="AC23" s="514">
        <f t="shared" si="1"/>
        <v>0</v>
      </c>
      <c r="AD23" s="514">
        <f t="shared" si="1"/>
        <v>0</v>
      </c>
      <c r="AE23" s="514">
        <f t="shared" si="1"/>
        <v>0</v>
      </c>
      <c r="AF23" s="514">
        <f t="shared" si="1"/>
        <v>0</v>
      </c>
    </row>
    <row r="24" spans="1:32" x14ac:dyDescent="0.3">
      <c r="A24" s="511" t="s">
        <v>238</v>
      </c>
      <c r="B24" s="511" t="s">
        <v>132</v>
      </c>
      <c r="D24" s="511">
        <v>1</v>
      </c>
      <c r="E24" s="511">
        <v>1</v>
      </c>
      <c r="F24" s="511">
        <v>1</v>
      </c>
      <c r="G24" s="511">
        <v>0</v>
      </c>
      <c r="H24" s="511">
        <v>1</v>
      </c>
      <c r="I24" s="511">
        <v>0</v>
      </c>
      <c r="J24" s="511">
        <v>0</v>
      </c>
      <c r="K24" s="511">
        <v>1</v>
      </c>
      <c r="L24" s="511">
        <v>0</v>
      </c>
      <c r="N24" s="511">
        <f t="shared" si="10"/>
        <v>1</v>
      </c>
      <c r="O24" s="511">
        <f t="shared" si="10"/>
        <v>1</v>
      </c>
      <c r="P24" s="511">
        <f t="shared" si="10"/>
        <v>1</v>
      </c>
      <c r="Q24" s="511">
        <f t="shared" si="10"/>
        <v>0</v>
      </c>
      <c r="R24" s="511">
        <f t="shared" si="10"/>
        <v>1</v>
      </c>
      <c r="S24" s="511">
        <f t="shared" si="10"/>
        <v>0</v>
      </c>
      <c r="T24" s="511">
        <f t="shared" si="10"/>
        <v>0</v>
      </c>
      <c r="U24" s="511">
        <f t="shared" si="10"/>
        <v>1</v>
      </c>
      <c r="V24" s="511">
        <f t="shared" si="10"/>
        <v>0</v>
      </c>
      <c r="X24" s="514">
        <f t="shared" si="1"/>
        <v>0</v>
      </c>
      <c r="Y24" s="514">
        <f t="shared" si="1"/>
        <v>0</v>
      </c>
      <c r="Z24" s="514">
        <f t="shared" si="1"/>
        <v>0</v>
      </c>
      <c r="AA24" s="514">
        <f t="shared" si="1"/>
        <v>0</v>
      </c>
      <c r="AB24" s="514">
        <f t="shared" si="1"/>
        <v>0</v>
      </c>
      <c r="AC24" s="514">
        <f t="shared" si="1"/>
        <v>0</v>
      </c>
      <c r="AD24" s="514">
        <f t="shared" si="1"/>
        <v>0</v>
      </c>
      <c r="AE24" s="514">
        <f t="shared" si="1"/>
        <v>0</v>
      </c>
      <c r="AF24" s="514">
        <f t="shared" si="1"/>
        <v>0</v>
      </c>
    </row>
    <row r="25" spans="1:32" x14ac:dyDescent="0.3">
      <c r="A25" s="511" t="s">
        <v>238</v>
      </c>
      <c r="B25" s="511" t="s">
        <v>133</v>
      </c>
      <c r="D25" s="511">
        <v>0</v>
      </c>
      <c r="E25" s="511">
        <v>0</v>
      </c>
      <c r="F25" s="511">
        <v>0</v>
      </c>
      <c r="G25" s="511">
        <v>0</v>
      </c>
      <c r="H25" s="511">
        <v>0</v>
      </c>
      <c r="I25" s="511">
        <v>0</v>
      </c>
      <c r="J25" s="511">
        <v>0</v>
      </c>
      <c r="K25" s="511">
        <v>0</v>
      </c>
      <c r="L25" s="511">
        <v>0</v>
      </c>
      <c r="N25" s="511">
        <f t="shared" si="10"/>
        <v>0</v>
      </c>
      <c r="O25" s="511">
        <f t="shared" si="10"/>
        <v>0</v>
      </c>
      <c r="P25" s="511">
        <f t="shared" si="10"/>
        <v>0</v>
      </c>
      <c r="Q25" s="511">
        <f t="shared" si="10"/>
        <v>0</v>
      </c>
      <c r="R25" s="511">
        <f t="shared" si="10"/>
        <v>0</v>
      </c>
      <c r="S25" s="511">
        <f t="shared" si="10"/>
        <v>0</v>
      </c>
      <c r="T25" s="511">
        <f t="shared" si="10"/>
        <v>0</v>
      </c>
      <c r="U25" s="511">
        <f t="shared" si="10"/>
        <v>0</v>
      </c>
      <c r="V25" s="511">
        <f t="shared" si="10"/>
        <v>0</v>
      </c>
      <c r="X25" s="514">
        <f t="shared" si="1"/>
        <v>0</v>
      </c>
      <c r="Y25" s="514">
        <f t="shared" si="1"/>
        <v>0</v>
      </c>
      <c r="Z25" s="514">
        <f t="shared" si="1"/>
        <v>0</v>
      </c>
      <c r="AA25" s="514">
        <f t="shared" si="1"/>
        <v>0</v>
      </c>
      <c r="AB25" s="514">
        <f t="shared" si="1"/>
        <v>0</v>
      </c>
      <c r="AC25" s="514">
        <f t="shared" si="1"/>
        <v>0</v>
      </c>
      <c r="AD25" s="514">
        <f t="shared" si="1"/>
        <v>0</v>
      </c>
      <c r="AE25" s="514">
        <f t="shared" si="1"/>
        <v>0</v>
      </c>
      <c r="AF25" s="514">
        <f t="shared" si="1"/>
        <v>0</v>
      </c>
    </row>
    <row r="26" spans="1:32" x14ac:dyDescent="0.3">
      <c r="A26" s="511" t="s">
        <v>238</v>
      </c>
      <c r="B26" s="511" t="s">
        <v>134</v>
      </c>
      <c r="D26" s="511">
        <v>0</v>
      </c>
      <c r="E26" s="511">
        <v>0</v>
      </c>
      <c r="F26" s="511">
        <v>0</v>
      </c>
      <c r="G26" s="511">
        <v>0</v>
      </c>
      <c r="H26" s="511">
        <v>1</v>
      </c>
      <c r="I26" s="511">
        <v>0</v>
      </c>
      <c r="J26" s="511">
        <v>1</v>
      </c>
      <c r="K26" s="511">
        <v>0</v>
      </c>
      <c r="L26" s="511">
        <v>1</v>
      </c>
      <c r="N26" s="511">
        <f t="shared" si="10"/>
        <v>0</v>
      </c>
      <c r="O26" s="511">
        <f t="shared" si="10"/>
        <v>0</v>
      </c>
      <c r="P26" s="511">
        <f t="shared" si="10"/>
        <v>0</v>
      </c>
      <c r="Q26" s="511">
        <f t="shared" si="10"/>
        <v>0</v>
      </c>
      <c r="R26" s="511">
        <f t="shared" si="10"/>
        <v>1</v>
      </c>
      <c r="S26" s="511">
        <f t="shared" si="10"/>
        <v>0</v>
      </c>
      <c r="T26" s="511">
        <f t="shared" si="10"/>
        <v>1</v>
      </c>
      <c r="U26" s="511">
        <f t="shared" si="10"/>
        <v>0</v>
      </c>
      <c r="V26" s="511">
        <f t="shared" si="10"/>
        <v>1</v>
      </c>
      <c r="X26" s="514">
        <f t="shared" si="1"/>
        <v>0</v>
      </c>
      <c r="Y26" s="514">
        <f t="shared" si="1"/>
        <v>0</v>
      </c>
      <c r="Z26" s="514">
        <f t="shared" si="1"/>
        <v>0</v>
      </c>
      <c r="AA26" s="514">
        <f t="shared" si="1"/>
        <v>0</v>
      </c>
      <c r="AB26" s="514">
        <f t="shared" si="1"/>
        <v>0</v>
      </c>
      <c r="AC26" s="514">
        <f t="shared" si="1"/>
        <v>0</v>
      </c>
      <c r="AD26" s="514">
        <f t="shared" si="1"/>
        <v>0</v>
      </c>
      <c r="AE26" s="514">
        <f t="shared" si="1"/>
        <v>0</v>
      </c>
      <c r="AF26" s="514">
        <f t="shared" si="1"/>
        <v>0</v>
      </c>
    </row>
    <row r="27" spans="1:32" x14ac:dyDescent="0.3">
      <c r="A27" s="511" t="s">
        <v>238</v>
      </c>
      <c r="B27" s="511" t="s">
        <v>135</v>
      </c>
      <c r="D27" s="511">
        <v>0</v>
      </c>
      <c r="E27" s="511">
        <v>0</v>
      </c>
      <c r="F27" s="511">
        <v>0</v>
      </c>
      <c r="G27" s="511">
        <v>0</v>
      </c>
      <c r="H27" s="511">
        <v>0</v>
      </c>
      <c r="I27" s="511">
        <v>0</v>
      </c>
      <c r="J27" s="511">
        <v>0</v>
      </c>
      <c r="K27" s="511">
        <v>0</v>
      </c>
      <c r="L27" s="511">
        <v>1</v>
      </c>
      <c r="N27" s="511">
        <f t="shared" ref="N27:V27" si="11">D27</f>
        <v>0</v>
      </c>
      <c r="O27" s="511">
        <f t="shared" si="11"/>
        <v>0</v>
      </c>
      <c r="P27" s="511">
        <f t="shared" si="11"/>
        <v>0</v>
      </c>
      <c r="Q27" s="511">
        <f t="shared" si="11"/>
        <v>0</v>
      </c>
      <c r="R27" s="511">
        <f t="shared" si="11"/>
        <v>0</v>
      </c>
      <c r="S27" s="511">
        <f t="shared" si="11"/>
        <v>0</v>
      </c>
      <c r="T27" s="511">
        <f t="shared" si="11"/>
        <v>0</v>
      </c>
      <c r="U27" s="511">
        <f t="shared" si="11"/>
        <v>0</v>
      </c>
      <c r="V27" s="511">
        <f t="shared" si="11"/>
        <v>1</v>
      </c>
      <c r="X27" s="514">
        <f t="shared" si="1"/>
        <v>0</v>
      </c>
      <c r="Y27" s="514">
        <f t="shared" si="1"/>
        <v>0</v>
      </c>
      <c r="Z27" s="514">
        <f t="shared" si="1"/>
        <v>0</v>
      </c>
      <c r="AA27" s="514">
        <f t="shared" si="1"/>
        <v>0</v>
      </c>
      <c r="AB27" s="514">
        <f t="shared" si="1"/>
        <v>0</v>
      </c>
      <c r="AC27" s="514">
        <f t="shared" si="1"/>
        <v>0</v>
      </c>
      <c r="AD27" s="514">
        <f t="shared" si="1"/>
        <v>0</v>
      </c>
      <c r="AE27" s="514">
        <f t="shared" si="1"/>
        <v>0</v>
      </c>
      <c r="AF27" s="514">
        <f t="shared" si="1"/>
        <v>0</v>
      </c>
    </row>
    <row r="28" spans="1:32" x14ac:dyDescent="0.3">
      <c r="A28" s="511" t="s">
        <v>136</v>
      </c>
      <c r="B28" s="511" t="s">
        <v>131</v>
      </c>
      <c r="D28" s="511">
        <v>0</v>
      </c>
      <c r="E28" s="511">
        <v>0</v>
      </c>
      <c r="F28" s="511">
        <v>0</v>
      </c>
      <c r="G28" s="511">
        <v>0</v>
      </c>
      <c r="H28" s="511">
        <v>0</v>
      </c>
      <c r="I28" s="511">
        <v>0</v>
      </c>
      <c r="J28" s="511">
        <v>0</v>
      </c>
      <c r="K28" s="511">
        <v>1</v>
      </c>
      <c r="L28" s="511">
        <v>0</v>
      </c>
      <c r="N28" s="511">
        <f t="shared" ref="N28:V31" si="12">ROUND(D28*N$1,)</f>
        <v>0</v>
      </c>
      <c r="O28" s="511">
        <f t="shared" si="12"/>
        <v>0</v>
      </c>
      <c r="P28" s="511">
        <f t="shared" si="12"/>
        <v>0</v>
      </c>
      <c r="Q28" s="511">
        <f t="shared" si="12"/>
        <v>0</v>
      </c>
      <c r="R28" s="511">
        <f t="shared" si="12"/>
        <v>0</v>
      </c>
      <c r="S28" s="511">
        <f t="shared" si="12"/>
        <v>0</v>
      </c>
      <c r="T28" s="511">
        <f t="shared" si="12"/>
        <v>0</v>
      </c>
      <c r="U28" s="511">
        <f t="shared" si="12"/>
        <v>1</v>
      </c>
      <c r="V28" s="511">
        <f t="shared" si="12"/>
        <v>0</v>
      </c>
      <c r="X28" s="514">
        <f t="shared" si="1"/>
        <v>0</v>
      </c>
      <c r="Y28" s="514">
        <f t="shared" si="1"/>
        <v>0</v>
      </c>
      <c r="Z28" s="514">
        <f t="shared" si="1"/>
        <v>0</v>
      </c>
      <c r="AA28" s="514">
        <f t="shared" si="1"/>
        <v>0</v>
      </c>
      <c r="AB28" s="514">
        <f t="shared" si="1"/>
        <v>0</v>
      </c>
      <c r="AC28" s="514">
        <f t="shared" si="1"/>
        <v>0</v>
      </c>
      <c r="AD28" s="514">
        <f t="shared" si="1"/>
        <v>0</v>
      </c>
      <c r="AE28" s="514">
        <f t="shared" si="1"/>
        <v>0</v>
      </c>
      <c r="AF28" s="514">
        <f t="shared" si="1"/>
        <v>0</v>
      </c>
    </row>
    <row r="29" spans="1:32" x14ac:dyDescent="0.3">
      <c r="A29" s="511" t="s">
        <v>136</v>
      </c>
      <c r="B29" s="511" t="s">
        <v>132</v>
      </c>
      <c r="D29" s="511">
        <v>1</v>
      </c>
      <c r="E29" s="511">
        <v>0</v>
      </c>
      <c r="F29" s="511">
        <v>1</v>
      </c>
      <c r="G29" s="511">
        <v>0</v>
      </c>
      <c r="H29" s="511">
        <v>0</v>
      </c>
      <c r="I29" s="511">
        <v>0</v>
      </c>
      <c r="J29" s="511">
        <v>1</v>
      </c>
      <c r="K29" s="511">
        <v>0</v>
      </c>
      <c r="L29" s="511">
        <v>0</v>
      </c>
      <c r="N29" s="511">
        <f t="shared" si="12"/>
        <v>1</v>
      </c>
      <c r="O29" s="511">
        <f t="shared" si="12"/>
        <v>0</v>
      </c>
      <c r="P29" s="511">
        <f t="shared" si="12"/>
        <v>1</v>
      </c>
      <c r="Q29" s="511">
        <f t="shared" si="12"/>
        <v>0</v>
      </c>
      <c r="R29" s="511">
        <f t="shared" si="12"/>
        <v>0</v>
      </c>
      <c r="S29" s="511">
        <f t="shared" si="12"/>
        <v>0</v>
      </c>
      <c r="T29" s="511">
        <f t="shared" si="12"/>
        <v>1</v>
      </c>
      <c r="U29" s="511">
        <f t="shared" si="12"/>
        <v>0</v>
      </c>
      <c r="V29" s="511">
        <f t="shared" si="12"/>
        <v>0</v>
      </c>
      <c r="X29" s="514">
        <f t="shared" si="1"/>
        <v>0</v>
      </c>
      <c r="Y29" s="514">
        <f t="shared" si="1"/>
        <v>0</v>
      </c>
      <c r="Z29" s="514">
        <f t="shared" si="1"/>
        <v>0</v>
      </c>
      <c r="AA29" s="514">
        <f t="shared" si="1"/>
        <v>0</v>
      </c>
      <c r="AB29" s="514">
        <f t="shared" si="1"/>
        <v>0</v>
      </c>
      <c r="AC29" s="514">
        <f t="shared" si="1"/>
        <v>0</v>
      </c>
      <c r="AD29" s="514">
        <f t="shared" si="1"/>
        <v>0</v>
      </c>
      <c r="AE29" s="514">
        <f t="shared" si="1"/>
        <v>0</v>
      </c>
      <c r="AF29" s="514">
        <f t="shared" si="1"/>
        <v>0</v>
      </c>
    </row>
    <row r="30" spans="1:32" x14ac:dyDescent="0.3">
      <c r="A30" s="511" t="s">
        <v>136</v>
      </c>
      <c r="B30" s="511" t="s">
        <v>133</v>
      </c>
      <c r="D30" s="511">
        <v>0</v>
      </c>
      <c r="E30" s="511">
        <v>1</v>
      </c>
      <c r="F30" s="511">
        <v>1</v>
      </c>
      <c r="G30" s="511">
        <v>1</v>
      </c>
      <c r="H30" s="511">
        <v>0</v>
      </c>
      <c r="I30" s="511">
        <v>1</v>
      </c>
      <c r="J30" s="511">
        <v>0</v>
      </c>
      <c r="K30" s="511">
        <v>0</v>
      </c>
      <c r="L30" s="511">
        <v>0</v>
      </c>
      <c r="N30" s="511">
        <f t="shared" si="12"/>
        <v>0</v>
      </c>
      <c r="O30" s="511">
        <f t="shared" si="12"/>
        <v>1</v>
      </c>
      <c r="P30" s="511">
        <f t="shared" si="12"/>
        <v>1</v>
      </c>
      <c r="Q30" s="511">
        <f t="shared" si="12"/>
        <v>1</v>
      </c>
      <c r="R30" s="511">
        <f t="shared" si="12"/>
        <v>0</v>
      </c>
      <c r="S30" s="511">
        <f t="shared" si="12"/>
        <v>1</v>
      </c>
      <c r="T30" s="511">
        <f t="shared" si="12"/>
        <v>0</v>
      </c>
      <c r="U30" s="511">
        <f t="shared" si="12"/>
        <v>0</v>
      </c>
      <c r="V30" s="511">
        <f t="shared" si="12"/>
        <v>0</v>
      </c>
      <c r="X30" s="514">
        <f t="shared" si="1"/>
        <v>0</v>
      </c>
      <c r="Y30" s="514">
        <f t="shared" si="1"/>
        <v>0</v>
      </c>
      <c r="Z30" s="514">
        <f t="shared" si="1"/>
        <v>0</v>
      </c>
      <c r="AA30" s="514">
        <f t="shared" si="1"/>
        <v>0</v>
      </c>
      <c r="AB30" s="514">
        <f t="shared" si="1"/>
        <v>0</v>
      </c>
      <c r="AC30" s="514">
        <f t="shared" si="1"/>
        <v>0</v>
      </c>
      <c r="AD30" s="514">
        <f t="shared" si="1"/>
        <v>0</v>
      </c>
      <c r="AE30" s="514">
        <f t="shared" si="1"/>
        <v>0</v>
      </c>
      <c r="AF30" s="514">
        <f t="shared" si="1"/>
        <v>0</v>
      </c>
    </row>
    <row r="31" spans="1:32" x14ac:dyDescent="0.3">
      <c r="A31" s="511" t="s">
        <v>136</v>
      </c>
      <c r="B31" s="511" t="s">
        <v>134</v>
      </c>
      <c r="D31" s="511">
        <v>0</v>
      </c>
      <c r="E31" s="511">
        <v>0</v>
      </c>
      <c r="F31" s="511">
        <v>0</v>
      </c>
      <c r="G31" s="511">
        <v>0</v>
      </c>
      <c r="H31" s="511">
        <v>0</v>
      </c>
      <c r="I31" s="511">
        <v>0</v>
      </c>
      <c r="J31" s="511">
        <v>0</v>
      </c>
      <c r="K31" s="511">
        <v>0</v>
      </c>
      <c r="L31" s="511">
        <v>0</v>
      </c>
      <c r="N31" s="511">
        <f t="shared" si="12"/>
        <v>0</v>
      </c>
      <c r="O31" s="511">
        <f t="shared" si="12"/>
        <v>0</v>
      </c>
      <c r="P31" s="511">
        <f t="shared" si="12"/>
        <v>0</v>
      </c>
      <c r="Q31" s="511">
        <f t="shared" si="12"/>
        <v>0</v>
      </c>
      <c r="R31" s="511">
        <f t="shared" si="12"/>
        <v>0</v>
      </c>
      <c r="S31" s="511">
        <f t="shared" si="12"/>
        <v>0</v>
      </c>
      <c r="T31" s="511">
        <f t="shared" si="12"/>
        <v>0</v>
      </c>
      <c r="U31" s="511">
        <f t="shared" si="12"/>
        <v>0</v>
      </c>
      <c r="V31" s="511">
        <f t="shared" si="12"/>
        <v>0</v>
      </c>
      <c r="X31" s="514">
        <f t="shared" si="1"/>
        <v>0</v>
      </c>
      <c r="Y31" s="514">
        <f t="shared" si="1"/>
        <v>0</v>
      </c>
      <c r="Z31" s="514">
        <f t="shared" si="1"/>
        <v>0</v>
      </c>
      <c r="AA31" s="514">
        <f t="shared" ref="AA31:AF62" si="13">G31-Q31</f>
        <v>0</v>
      </c>
      <c r="AB31" s="514">
        <f t="shared" si="13"/>
        <v>0</v>
      </c>
      <c r="AC31" s="514">
        <f t="shared" si="13"/>
        <v>0</v>
      </c>
      <c r="AD31" s="514">
        <f t="shared" si="13"/>
        <v>0</v>
      </c>
      <c r="AE31" s="514">
        <f t="shared" si="13"/>
        <v>0</v>
      </c>
      <c r="AF31" s="514">
        <f t="shared" si="13"/>
        <v>0</v>
      </c>
    </row>
    <row r="32" spans="1:32" x14ac:dyDescent="0.3">
      <c r="A32" s="511" t="s">
        <v>136</v>
      </c>
      <c r="B32" s="511" t="s">
        <v>135</v>
      </c>
      <c r="D32" s="511">
        <v>0</v>
      </c>
      <c r="E32" s="511">
        <v>0</v>
      </c>
      <c r="F32" s="511">
        <v>0</v>
      </c>
      <c r="G32" s="511">
        <v>0</v>
      </c>
      <c r="H32" s="511">
        <v>0</v>
      </c>
      <c r="I32" s="511">
        <v>1</v>
      </c>
      <c r="J32" s="511">
        <v>0</v>
      </c>
      <c r="K32" s="511">
        <v>0</v>
      </c>
      <c r="L32" s="511">
        <v>0</v>
      </c>
      <c r="N32" s="511">
        <f t="shared" ref="N32:V32" si="14">D32</f>
        <v>0</v>
      </c>
      <c r="O32" s="511">
        <f t="shared" si="14"/>
        <v>0</v>
      </c>
      <c r="P32" s="511">
        <f t="shared" si="14"/>
        <v>0</v>
      </c>
      <c r="Q32" s="511">
        <f t="shared" si="14"/>
        <v>0</v>
      </c>
      <c r="R32" s="511">
        <f t="shared" si="14"/>
        <v>0</v>
      </c>
      <c r="S32" s="511">
        <f t="shared" si="14"/>
        <v>1</v>
      </c>
      <c r="T32" s="511">
        <f t="shared" si="14"/>
        <v>0</v>
      </c>
      <c r="U32" s="511">
        <f t="shared" si="14"/>
        <v>0</v>
      </c>
      <c r="V32" s="511">
        <f t="shared" si="14"/>
        <v>0</v>
      </c>
      <c r="X32" s="514">
        <f t="shared" ref="X32:AF63" si="15">D32-N32</f>
        <v>0</v>
      </c>
      <c r="Y32" s="514">
        <f t="shared" si="15"/>
        <v>0</v>
      </c>
      <c r="Z32" s="514">
        <f t="shared" si="15"/>
        <v>0</v>
      </c>
      <c r="AA32" s="514">
        <f t="shared" si="13"/>
        <v>0</v>
      </c>
      <c r="AB32" s="514">
        <f t="shared" si="13"/>
        <v>0</v>
      </c>
      <c r="AC32" s="514">
        <f t="shared" si="13"/>
        <v>0</v>
      </c>
      <c r="AD32" s="514">
        <f t="shared" si="13"/>
        <v>0</v>
      </c>
      <c r="AE32" s="514">
        <f t="shared" si="13"/>
        <v>0</v>
      </c>
      <c r="AF32" s="514">
        <f t="shared" si="13"/>
        <v>0</v>
      </c>
    </row>
    <row r="33" spans="1:32" x14ac:dyDescent="0.3">
      <c r="A33" s="511" t="s">
        <v>586</v>
      </c>
      <c r="B33" s="511" t="s">
        <v>131</v>
      </c>
      <c r="D33" s="511">
        <v>0</v>
      </c>
      <c r="E33" s="511">
        <v>2</v>
      </c>
      <c r="F33" s="511">
        <v>0</v>
      </c>
      <c r="G33" s="511">
        <v>1</v>
      </c>
      <c r="H33" s="511">
        <v>1</v>
      </c>
      <c r="I33" s="511">
        <v>0</v>
      </c>
      <c r="J33" s="511">
        <v>1</v>
      </c>
      <c r="K33" s="511">
        <v>0</v>
      </c>
      <c r="L33" s="511">
        <v>1</v>
      </c>
      <c r="N33" s="511">
        <f t="shared" ref="N33:V36" si="16">ROUND(D33*N$1,)</f>
        <v>0</v>
      </c>
      <c r="O33" s="511">
        <f t="shared" si="16"/>
        <v>2</v>
      </c>
      <c r="P33" s="511">
        <f t="shared" si="16"/>
        <v>0</v>
      </c>
      <c r="Q33" s="511">
        <f t="shared" si="16"/>
        <v>1</v>
      </c>
      <c r="R33" s="511">
        <f t="shared" si="16"/>
        <v>1</v>
      </c>
      <c r="S33" s="511">
        <f t="shared" si="16"/>
        <v>0</v>
      </c>
      <c r="T33" s="511">
        <f t="shared" si="16"/>
        <v>1</v>
      </c>
      <c r="U33" s="511">
        <f t="shared" si="16"/>
        <v>0</v>
      </c>
      <c r="V33" s="511">
        <f t="shared" si="16"/>
        <v>1</v>
      </c>
      <c r="X33" s="514">
        <f t="shared" si="15"/>
        <v>0</v>
      </c>
      <c r="Y33" s="514">
        <f t="shared" si="15"/>
        <v>0</v>
      </c>
      <c r="Z33" s="514">
        <f t="shared" si="15"/>
        <v>0</v>
      </c>
      <c r="AA33" s="514">
        <f t="shared" si="13"/>
        <v>0</v>
      </c>
      <c r="AB33" s="514">
        <f t="shared" si="13"/>
        <v>0</v>
      </c>
      <c r="AC33" s="514">
        <f t="shared" si="13"/>
        <v>0</v>
      </c>
      <c r="AD33" s="514">
        <f t="shared" si="13"/>
        <v>0</v>
      </c>
      <c r="AE33" s="514">
        <f t="shared" si="13"/>
        <v>0</v>
      </c>
      <c r="AF33" s="514">
        <f t="shared" si="13"/>
        <v>0</v>
      </c>
    </row>
    <row r="34" spans="1:32" x14ac:dyDescent="0.3">
      <c r="A34" s="511" t="s">
        <v>586</v>
      </c>
      <c r="B34" s="511" t="s">
        <v>132</v>
      </c>
      <c r="D34" s="511">
        <v>32</v>
      </c>
      <c r="E34" s="511">
        <v>18</v>
      </c>
      <c r="F34" s="511">
        <v>20</v>
      </c>
      <c r="G34" s="511">
        <v>24</v>
      </c>
      <c r="H34" s="511">
        <v>17</v>
      </c>
      <c r="I34" s="511">
        <v>20</v>
      </c>
      <c r="J34" s="511">
        <v>17</v>
      </c>
      <c r="K34" s="511">
        <v>19</v>
      </c>
      <c r="L34" s="511">
        <v>19</v>
      </c>
      <c r="N34" s="511">
        <f t="shared" si="16"/>
        <v>29</v>
      </c>
      <c r="O34" s="511">
        <f t="shared" si="16"/>
        <v>16</v>
      </c>
      <c r="P34" s="511">
        <f t="shared" si="16"/>
        <v>18</v>
      </c>
      <c r="Q34" s="511">
        <f t="shared" si="16"/>
        <v>22</v>
      </c>
      <c r="R34" s="511">
        <f t="shared" si="16"/>
        <v>15</v>
      </c>
      <c r="S34" s="511">
        <f t="shared" si="16"/>
        <v>18</v>
      </c>
      <c r="T34" s="511">
        <f t="shared" si="16"/>
        <v>15</v>
      </c>
      <c r="U34" s="511">
        <f t="shared" si="16"/>
        <v>17</v>
      </c>
      <c r="V34" s="511">
        <f t="shared" si="16"/>
        <v>17</v>
      </c>
      <c r="X34" s="514">
        <f t="shared" si="15"/>
        <v>3</v>
      </c>
      <c r="Y34" s="514">
        <f t="shared" si="15"/>
        <v>2</v>
      </c>
      <c r="Z34" s="514">
        <f t="shared" si="15"/>
        <v>2</v>
      </c>
      <c r="AA34" s="514">
        <f t="shared" si="13"/>
        <v>2</v>
      </c>
      <c r="AB34" s="514">
        <f t="shared" si="13"/>
        <v>2</v>
      </c>
      <c r="AC34" s="514">
        <f t="shared" si="13"/>
        <v>2</v>
      </c>
      <c r="AD34" s="514">
        <f t="shared" si="13"/>
        <v>2</v>
      </c>
      <c r="AE34" s="514">
        <f t="shared" si="13"/>
        <v>2</v>
      </c>
      <c r="AF34" s="514">
        <f t="shared" si="13"/>
        <v>2</v>
      </c>
    </row>
    <row r="35" spans="1:32" x14ac:dyDescent="0.3">
      <c r="A35" s="511" t="s">
        <v>586</v>
      </c>
      <c r="B35" s="511" t="s">
        <v>133</v>
      </c>
      <c r="D35" s="511">
        <v>4</v>
      </c>
      <c r="E35" s="511">
        <v>3</v>
      </c>
      <c r="F35" s="511">
        <v>5</v>
      </c>
      <c r="G35" s="511">
        <v>5</v>
      </c>
      <c r="H35" s="511">
        <v>3</v>
      </c>
      <c r="I35" s="511">
        <v>5</v>
      </c>
      <c r="J35" s="511">
        <v>4</v>
      </c>
      <c r="K35" s="511">
        <v>2</v>
      </c>
      <c r="L35" s="511">
        <v>2</v>
      </c>
      <c r="N35" s="511">
        <f t="shared" si="16"/>
        <v>4</v>
      </c>
      <c r="O35" s="511">
        <f t="shared" si="16"/>
        <v>3</v>
      </c>
      <c r="P35" s="511">
        <f t="shared" si="16"/>
        <v>5</v>
      </c>
      <c r="Q35" s="511">
        <f t="shared" si="16"/>
        <v>5</v>
      </c>
      <c r="R35" s="511">
        <f t="shared" si="16"/>
        <v>3</v>
      </c>
      <c r="S35" s="511">
        <f t="shared" si="16"/>
        <v>5</v>
      </c>
      <c r="T35" s="511">
        <f t="shared" si="16"/>
        <v>4</v>
      </c>
      <c r="U35" s="511">
        <f t="shared" si="16"/>
        <v>2</v>
      </c>
      <c r="V35" s="511">
        <f t="shared" si="16"/>
        <v>2</v>
      </c>
      <c r="X35" s="514">
        <f t="shared" si="15"/>
        <v>0</v>
      </c>
      <c r="Y35" s="514">
        <f t="shared" si="15"/>
        <v>0</v>
      </c>
      <c r="Z35" s="514">
        <f t="shared" si="15"/>
        <v>0</v>
      </c>
      <c r="AA35" s="514">
        <f t="shared" si="13"/>
        <v>0</v>
      </c>
      <c r="AB35" s="514">
        <f t="shared" si="13"/>
        <v>0</v>
      </c>
      <c r="AC35" s="514">
        <f t="shared" si="13"/>
        <v>0</v>
      </c>
      <c r="AD35" s="514">
        <f t="shared" si="13"/>
        <v>0</v>
      </c>
      <c r="AE35" s="514">
        <f t="shared" si="13"/>
        <v>0</v>
      </c>
      <c r="AF35" s="514">
        <f t="shared" si="13"/>
        <v>0</v>
      </c>
    </row>
    <row r="36" spans="1:32" x14ac:dyDescent="0.3">
      <c r="A36" s="511" t="s">
        <v>586</v>
      </c>
      <c r="B36" s="511" t="s">
        <v>134</v>
      </c>
      <c r="D36" s="511">
        <v>0</v>
      </c>
      <c r="E36" s="511">
        <v>2</v>
      </c>
      <c r="F36" s="511">
        <v>2</v>
      </c>
      <c r="G36" s="511">
        <v>0</v>
      </c>
      <c r="H36" s="511">
        <v>2</v>
      </c>
      <c r="I36" s="511">
        <v>0</v>
      </c>
      <c r="J36" s="511">
        <v>0</v>
      </c>
      <c r="K36" s="511">
        <v>0</v>
      </c>
      <c r="L36" s="511">
        <v>0</v>
      </c>
      <c r="N36" s="511">
        <f t="shared" si="16"/>
        <v>0</v>
      </c>
      <c r="O36" s="511">
        <f t="shared" si="16"/>
        <v>2</v>
      </c>
      <c r="P36" s="511">
        <f t="shared" si="16"/>
        <v>2</v>
      </c>
      <c r="Q36" s="511">
        <f t="shared" si="16"/>
        <v>0</v>
      </c>
      <c r="R36" s="511">
        <f t="shared" si="16"/>
        <v>2</v>
      </c>
      <c r="S36" s="511">
        <f t="shared" si="16"/>
        <v>0</v>
      </c>
      <c r="T36" s="511">
        <f t="shared" si="16"/>
        <v>0</v>
      </c>
      <c r="U36" s="511">
        <f t="shared" si="16"/>
        <v>0</v>
      </c>
      <c r="V36" s="511">
        <f t="shared" si="16"/>
        <v>0</v>
      </c>
      <c r="X36" s="514">
        <f t="shared" si="15"/>
        <v>0</v>
      </c>
      <c r="Y36" s="514">
        <f t="shared" si="15"/>
        <v>0</v>
      </c>
      <c r="Z36" s="514">
        <f t="shared" si="15"/>
        <v>0</v>
      </c>
      <c r="AA36" s="514">
        <f t="shared" si="13"/>
        <v>0</v>
      </c>
      <c r="AB36" s="514">
        <f t="shared" si="13"/>
        <v>0</v>
      </c>
      <c r="AC36" s="514">
        <f t="shared" si="13"/>
        <v>0</v>
      </c>
      <c r="AD36" s="514">
        <f t="shared" si="13"/>
        <v>0</v>
      </c>
      <c r="AE36" s="514">
        <f t="shared" si="13"/>
        <v>0</v>
      </c>
      <c r="AF36" s="514">
        <f t="shared" si="13"/>
        <v>0</v>
      </c>
    </row>
    <row r="37" spans="1:32" x14ac:dyDescent="0.3">
      <c r="A37" s="511" t="s">
        <v>586</v>
      </c>
      <c r="B37" s="511" t="s">
        <v>135</v>
      </c>
      <c r="D37" s="511">
        <v>0</v>
      </c>
      <c r="E37" s="511">
        <v>1</v>
      </c>
      <c r="F37" s="511">
        <v>1</v>
      </c>
      <c r="G37" s="511">
        <v>2</v>
      </c>
      <c r="H37" s="511">
        <v>3</v>
      </c>
      <c r="I37" s="511">
        <v>3</v>
      </c>
      <c r="J37" s="511">
        <v>0</v>
      </c>
      <c r="K37" s="511">
        <v>0</v>
      </c>
      <c r="L37" s="511">
        <v>0</v>
      </c>
      <c r="N37" s="511">
        <f t="shared" ref="N37:V37" si="17">D37</f>
        <v>0</v>
      </c>
      <c r="O37" s="511">
        <f t="shared" si="17"/>
        <v>1</v>
      </c>
      <c r="P37" s="511">
        <f t="shared" si="17"/>
        <v>1</v>
      </c>
      <c r="Q37" s="511">
        <f t="shared" si="17"/>
        <v>2</v>
      </c>
      <c r="R37" s="511">
        <f t="shared" si="17"/>
        <v>3</v>
      </c>
      <c r="S37" s="511">
        <f t="shared" si="17"/>
        <v>3</v>
      </c>
      <c r="T37" s="511">
        <f t="shared" si="17"/>
        <v>0</v>
      </c>
      <c r="U37" s="511">
        <f t="shared" si="17"/>
        <v>0</v>
      </c>
      <c r="V37" s="511">
        <f t="shared" si="17"/>
        <v>0</v>
      </c>
      <c r="X37" s="514">
        <f t="shared" si="15"/>
        <v>0</v>
      </c>
      <c r="Y37" s="514">
        <f t="shared" si="15"/>
        <v>0</v>
      </c>
      <c r="Z37" s="514">
        <f t="shared" si="15"/>
        <v>0</v>
      </c>
      <c r="AA37" s="514">
        <f t="shared" si="13"/>
        <v>0</v>
      </c>
      <c r="AB37" s="514">
        <f t="shared" si="13"/>
        <v>0</v>
      </c>
      <c r="AC37" s="514">
        <f t="shared" si="13"/>
        <v>0</v>
      </c>
      <c r="AD37" s="514">
        <f t="shared" si="13"/>
        <v>0</v>
      </c>
      <c r="AE37" s="514">
        <f t="shared" si="13"/>
        <v>0</v>
      </c>
      <c r="AF37" s="514">
        <f t="shared" si="13"/>
        <v>0</v>
      </c>
    </row>
    <row r="38" spans="1:32" x14ac:dyDescent="0.3">
      <c r="A38" s="511" t="s">
        <v>587</v>
      </c>
      <c r="B38" s="511" t="s">
        <v>131</v>
      </c>
      <c r="D38" s="511">
        <v>0</v>
      </c>
      <c r="E38" s="511">
        <v>1</v>
      </c>
      <c r="F38" s="511">
        <v>0</v>
      </c>
      <c r="G38" s="511">
        <v>1</v>
      </c>
      <c r="H38" s="511">
        <v>0</v>
      </c>
      <c r="I38" s="511">
        <v>0</v>
      </c>
      <c r="J38" s="511">
        <v>1</v>
      </c>
      <c r="K38" s="511">
        <v>0</v>
      </c>
      <c r="L38" s="511">
        <v>0</v>
      </c>
      <c r="N38" s="511">
        <f t="shared" ref="N38:V41" si="18">ROUND(D38*N$1,)</f>
        <v>0</v>
      </c>
      <c r="O38" s="511">
        <f t="shared" si="18"/>
        <v>1</v>
      </c>
      <c r="P38" s="511">
        <f t="shared" si="18"/>
        <v>0</v>
      </c>
      <c r="Q38" s="511">
        <f t="shared" si="18"/>
        <v>1</v>
      </c>
      <c r="R38" s="511">
        <f t="shared" si="18"/>
        <v>0</v>
      </c>
      <c r="S38" s="511">
        <f t="shared" si="18"/>
        <v>0</v>
      </c>
      <c r="T38" s="511">
        <f t="shared" si="18"/>
        <v>1</v>
      </c>
      <c r="U38" s="511">
        <f t="shared" si="18"/>
        <v>0</v>
      </c>
      <c r="V38" s="511">
        <f t="shared" si="18"/>
        <v>0</v>
      </c>
      <c r="X38" s="514">
        <f t="shared" si="15"/>
        <v>0</v>
      </c>
      <c r="Y38" s="514">
        <f t="shared" si="15"/>
        <v>0</v>
      </c>
      <c r="Z38" s="514">
        <f t="shared" si="15"/>
        <v>0</v>
      </c>
      <c r="AA38" s="514">
        <f t="shared" si="13"/>
        <v>0</v>
      </c>
      <c r="AB38" s="514">
        <f t="shared" si="13"/>
        <v>0</v>
      </c>
      <c r="AC38" s="514">
        <f t="shared" si="13"/>
        <v>0</v>
      </c>
      <c r="AD38" s="514">
        <f t="shared" si="13"/>
        <v>0</v>
      </c>
      <c r="AE38" s="514">
        <f t="shared" si="13"/>
        <v>0</v>
      </c>
      <c r="AF38" s="514">
        <f t="shared" si="13"/>
        <v>0</v>
      </c>
    </row>
    <row r="39" spans="1:32" x14ac:dyDescent="0.3">
      <c r="A39" s="511" t="s">
        <v>587</v>
      </c>
      <c r="B39" s="511" t="s">
        <v>132</v>
      </c>
      <c r="D39" s="511">
        <v>5</v>
      </c>
      <c r="E39" s="511">
        <v>4</v>
      </c>
      <c r="F39" s="511">
        <v>9</v>
      </c>
      <c r="G39" s="511">
        <v>3</v>
      </c>
      <c r="H39" s="511">
        <v>7</v>
      </c>
      <c r="I39" s="511">
        <v>5</v>
      </c>
      <c r="J39" s="511">
        <v>7</v>
      </c>
      <c r="K39" s="511">
        <v>6</v>
      </c>
      <c r="L39" s="511">
        <v>7</v>
      </c>
      <c r="N39" s="511">
        <f t="shared" si="18"/>
        <v>5</v>
      </c>
      <c r="O39" s="511">
        <f t="shared" si="18"/>
        <v>4</v>
      </c>
      <c r="P39" s="511">
        <f t="shared" si="18"/>
        <v>8</v>
      </c>
      <c r="Q39" s="511">
        <f t="shared" si="18"/>
        <v>3</v>
      </c>
      <c r="R39" s="511">
        <f t="shared" si="18"/>
        <v>6</v>
      </c>
      <c r="S39" s="511">
        <f t="shared" si="18"/>
        <v>5</v>
      </c>
      <c r="T39" s="511">
        <f t="shared" si="18"/>
        <v>6</v>
      </c>
      <c r="U39" s="511">
        <f t="shared" si="18"/>
        <v>5</v>
      </c>
      <c r="V39" s="511">
        <f t="shared" si="18"/>
        <v>6</v>
      </c>
      <c r="X39" s="514">
        <f t="shared" si="15"/>
        <v>0</v>
      </c>
      <c r="Y39" s="514">
        <f t="shared" si="15"/>
        <v>0</v>
      </c>
      <c r="Z39" s="514">
        <f t="shared" si="15"/>
        <v>1</v>
      </c>
      <c r="AA39" s="514">
        <f t="shared" si="13"/>
        <v>0</v>
      </c>
      <c r="AB39" s="514">
        <f t="shared" si="13"/>
        <v>1</v>
      </c>
      <c r="AC39" s="514">
        <f t="shared" si="13"/>
        <v>0</v>
      </c>
      <c r="AD39" s="514">
        <f t="shared" si="13"/>
        <v>1</v>
      </c>
      <c r="AE39" s="514">
        <f t="shared" si="13"/>
        <v>1</v>
      </c>
      <c r="AF39" s="514">
        <f t="shared" si="13"/>
        <v>1</v>
      </c>
    </row>
    <row r="40" spans="1:32" x14ac:dyDescent="0.3">
      <c r="A40" s="511" t="s">
        <v>587</v>
      </c>
      <c r="B40" s="511" t="s">
        <v>133</v>
      </c>
      <c r="D40" s="511">
        <v>2</v>
      </c>
      <c r="E40" s="511">
        <v>2</v>
      </c>
      <c r="F40" s="511">
        <v>1</v>
      </c>
      <c r="G40" s="511">
        <v>2</v>
      </c>
      <c r="H40" s="511">
        <v>2</v>
      </c>
      <c r="I40" s="511">
        <v>0</v>
      </c>
      <c r="J40" s="511">
        <v>2</v>
      </c>
      <c r="K40" s="511">
        <v>3</v>
      </c>
      <c r="L40" s="511">
        <v>3</v>
      </c>
      <c r="N40" s="511">
        <f t="shared" si="18"/>
        <v>2</v>
      </c>
      <c r="O40" s="511">
        <f t="shared" si="18"/>
        <v>2</v>
      </c>
      <c r="P40" s="511">
        <f t="shared" si="18"/>
        <v>1</v>
      </c>
      <c r="Q40" s="511">
        <f t="shared" si="18"/>
        <v>2</v>
      </c>
      <c r="R40" s="511">
        <f t="shared" si="18"/>
        <v>2</v>
      </c>
      <c r="S40" s="511">
        <f t="shared" si="18"/>
        <v>0</v>
      </c>
      <c r="T40" s="511">
        <f t="shared" si="18"/>
        <v>2</v>
      </c>
      <c r="U40" s="511">
        <f t="shared" si="18"/>
        <v>3</v>
      </c>
      <c r="V40" s="511">
        <f t="shared" si="18"/>
        <v>3</v>
      </c>
      <c r="X40" s="514">
        <f t="shared" si="15"/>
        <v>0</v>
      </c>
      <c r="Y40" s="514">
        <f t="shared" si="15"/>
        <v>0</v>
      </c>
      <c r="Z40" s="514">
        <f t="shared" si="15"/>
        <v>0</v>
      </c>
      <c r="AA40" s="514">
        <f t="shared" si="13"/>
        <v>0</v>
      </c>
      <c r="AB40" s="514">
        <f t="shared" si="13"/>
        <v>0</v>
      </c>
      <c r="AC40" s="514">
        <f t="shared" si="13"/>
        <v>0</v>
      </c>
      <c r="AD40" s="514">
        <f t="shared" si="13"/>
        <v>0</v>
      </c>
      <c r="AE40" s="514">
        <f t="shared" si="13"/>
        <v>0</v>
      </c>
      <c r="AF40" s="514">
        <f t="shared" si="13"/>
        <v>0</v>
      </c>
    </row>
    <row r="41" spans="1:32" x14ac:dyDescent="0.3">
      <c r="A41" s="511" t="s">
        <v>587</v>
      </c>
      <c r="B41" s="511" t="s">
        <v>134</v>
      </c>
      <c r="D41" s="511">
        <v>0</v>
      </c>
      <c r="E41" s="511">
        <v>0</v>
      </c>
      <c r="F41" s="511">
        <v>0</v>
      </c>
      <c r="G41" s="511">
        <v>0</v>
      </c>
      <c r="H41" s="511">
        <v>0</v>
      </c>
      <c r="I41" s="511">
        <v>0</v>
      </c>
      <c r="J41" s="511">
        <v>0</v>
      </c>
      <c r="K41" s="511">
        <v>0</v>
      </c>
      <c r="L41" s="511">
        <v>0</v>
      </c>
      <c r="N41" s="511">
        <f t="shared" si="18"/>
        <v>0</v>
      </c>
      <c r="O41" s="511">
        <f t="shared" si="18"/>
        <v>0</v>
      </c>
      <c r="P41" s="511">
        <f t="shared" si="18"/>
        <v>0</v>
      </c>
      <c r="Q41" s="511">
        <f t="shared" si="18"/>
        <v>0</v>
      </c>
      <c r="R41" s="511">
        <f t="shared" si="18"/>
        <v>0</v>
      </c>
      <c r="S41" s="511">
        <f t="shared" si="18"/>
        <v>0</v>
      </c>
      <c r="T41" s="511">
        <f t="shared" si="18"/>
        <v>0</v>
      </c>
      <c r="U41" s="511">
        <f t="shared" si="18"/>
        <v>0</v>
      </c>
      <c r="V41" s="511">
        <f t="shared" si="18"/>
        <v>0</v>
      </c>
      <c r="X41" s="514">
        <f t="shared" si="15"/>
        <v>0</v>
      </c>
      <c r="Y41" s="514">
        <f t="shared" si="15"/>
        <v>0</v>
      </c>
      <c r="Z41" s="514">
        <f t="shared" si="15"/>
        <v>0</v>
      </c>
      <c r="AA41" s="514">
        <f t="shared" si="13"/>
        <v>0</v>
      </c>
      <c r="AB41" s="514">
        <f t="shared" si="13"/>
        <v>0</v>
      </c>
      <c r="AC41" s="514">
        <f t="shared" si="13"/>
        <v>0</v>
      </c>
      <c r="AD41" s="514">
        <f t="shared" si="13"/>
        <v>0</v>
      </c>
      <c r="AE41" s="514">
        <f t="shared" si="13"/>
        <v>0</v>
      </c>
      <c r="AF41" s="514">
        <f t="shared" si="13"/>
        <v>0</v>
      </c>
    </row>
    <row r="42" spans="1:32" x14ac:dyDescent="0.3">
      <c r="A42" s="511" t="s">
        <v>587</v>
      </c>
      <c r="B42" s="511" t="s">
        <v>135</v>
      </c>
      <c r="D42" s="511">
        <v>0</v>
      </c>
      <c r="E42" s="511">
        <v>0</v>
      </c>
      <c r="F42" s="511">
        <v>0</v>
      </c>
      <c r="G42" s="511">
        <v>0</v>
      </c>
      <c r="H42" s="511">
        <v>0</v>
      </c>
      <c r="I42" s="511">
        <v>0</v>
      </c>
      <c r="J42" s="511">
        <v>1</v>
      </c>
      <c r="K42" s="511">
        <v>0</v>
      </c>
      <c r="L42" s="511">
        <v>0</v>
      </c>
      <c r="N42" s="511">
        <f t="shared" ref="N42:V42" si="19">D42</f>
        <v>0</v>
      </c>
      <c r="O42" s="511">
        <f t="shared" si="19"/>
        <v>0</v>
      </c>
      <c r="P42" s="511">
        <f t="shared" si="19"/>
        <v>0</v>
      </c>
      <c r="Q42" s="511">
        <f t="shared" si="19"/>
        <v>0</v>
      </c>
      <c r="R42" s="511">
        <f t="shared" si="19"/>
        <v>0</v>
      </c>
      <c r="S42" s="511">
        <f t="shared" si="19"/>
        <v>0</v>
      </c>
      <c r="T42" s="511">
        <f t="shared" si="19"/>
        <v>1</v>
      </c>
      <c r="U42" s="511">
        <f t="shared" si="19"/>
        <v>0</v>
      </c>
      <c r="V42" s="511">
        <f t="shared" si="19"/>
        <v>0</v>
      </c>
      <c r="X42" s="514">
        <f t="shared" si="15"/>
        <v>0</v>
      </c>
      <c r="Y42" s="514">
        <f t="shared" si="15"/>
        <v>0</v>
      </c>
      <c r="Z42" s="514">
        <f t="shared" si="15"/>
        <v>0</v>
      </c>
      <c r="AA42" s="514">
        <f t="shared" si="13"/>
        <v>0</v>
      </c>
      <c r="AB42" s="514">
        <f t="shared" si="13"/>
        <v>0</v>
      </c>
      <c r="AC42" s="514">
        <f t="shared" si="13"/>
        <v>0</v>
      </c>
      <c r="AD42" s="514">
        <f t="shared" si="13"/>
        <v>0</v>
      </c>
      <c r="AE42" s="514">
        <f t="shared" si="13"/>
        <v>0</v>
      </c>
      <c r="AF42" s="514">
        <f t="shared" si="13"/>
        <v>0</v>
      </c>
    </row>
    <row r="43" spans="1:32" x14ac:dyDescent="0.3">
      <c r="A43" s="511" t="s">
        <v>588</v>
      </c>
      <c r="B43" s="511" t="s">
        <v>131</v>
      </c>
      <c r="D43" s="511">
        <v>0</v>
      </c>
      <c r="E43" s="511">
        <v>0</v>
      </c>
      <c r="F43" s="511">
        <v>0</v>
      </c>
      <c r="G43" s="511">
        <v>0</v>
      </c>
      <c r="H43" s="511">
        <v>0</v>
      </c>
      <c r="I43" s="511">
        <v>0</v>
      </c>
      <c r="J43" s="511">
        <v>0</v>
      </c>
      <c r="K43" s="511">
        <v>2</v>
      </c>
      <c r="L43" s="511">
        <v>0</v>
      </c>
      <c r="N43" s="511">
        <f t="shared" ref="N43:V46" si="20">ROUND(D43*N$1,)</f>
        <v>0</v>
      </c>
      <c r="O43" s="511">
        <f t="shared" si="20"/>
        <v>0</v>
      </c>
      <c r="P43" s="511">
        <f t="shared" si="20"/>
        <v>0</v>
      </c>
      <c r="Q43" s="511">
        <f t="shared" si="20"/>
        <v>0</v>
      </c>
      <c r="R43" s="511">
        <f t="shared" si="20"/>
        <v>0</v>
      </c>
      <c r="S43" s="511">
        <f t="shared" si="20"/>
        <v>0</v>
      </c>
      <c r="T43" s="511">
        <f t="shared" si="20"/>
        <v>0</v>
      </c>
      <c r="U43" s="511">
        <f t="shared" si="20"/>
        <v>2</v>
      </c>
      <c r="V43" s="511">
        <f t="shared" si="20"/>
        <v>0</v>
      </c>
      <c r="X43" s="514">
        <f t="shared" si="15"/>
        <v>0</v>
      </c>
      <c r="Y43" s="514">
        <f t="shared" si="15"/>
        <v>0</v>
      </c>
      <c r="Z43" s="514">
        <f t="shared" si="15"/>
        <v>0</v>
      </c>
      <c r="AA43" s="514">
        <f t="shared" si="13"/>
        <v>0</v>
      </c>
      <c r="AB43" s="514">
        <f t="shared" si="13"/>
        <v>0</v>
      </c>
      <c r="AC43" s="514">
        <f t="shared" si="13"/>
        <v>0</v>
      </c>
      <c r="AD43" s="514">
        <f t="shared" si="13"/>
        <v>0</v>
      </c>
      <c r="AE43" s="514">
        <f t="shared" si="13"/>
        <v>0</v>
      </c>
      <c r="AF43" s="514">
        <f t="shared" si="13"/>
        <v>0</v>
      </c>
    </row>
    <row r="44" spans="1:32" x14ac:dyDescent="0.3">
      <c r="A44" s="511" t="s">
        <v>588</v>
      </c>
      <c r="B44" s="511" t="s">
        <v>132</v>
      </c>
      <c r="D44" s="511">
        <v>36</v>
      </c>
      <c r="E44" s="511">
        <v>22</v>
      </c>
      <c r="F44" s="511">
        <v>22</v>
      </c>
      <c r="G44" s="511">
        <v>34</v>
      </c>
      <c r="H44" s="511">
        <v>33</v>
      </c>
      <c r="I44" s="511">
        <v>35</v>
      </c>
      <c r="J44" s="511">
        <v>35</v>
      </c>
      <c r="K44" s="511">
        <v>35</v>
      </c>
      <c r="L44" s="511">
        <v>31</v>
      </c>
      <c r="N44" s="511">
        <f t="shared" si="20"/>
        <v>32</v>
      </c>
      <c r="O44" s="511">
        <f t="shared" si="20"/>
        <v>20</v>
      </c>
      <c r="P44" s="511">
        <f t="shared" si="20"/>
        <v>20</v>
      </c>
      <c r="Q44" s="511">
        <f t="shared" si="20"/>
        <v>31</v>
      </c>
      <c r="R44" s="511">
        <f t="shared" si="20"/>
        <v>30</v>
      </c>
      <c r="S44" s="511">
        <f t="shared" si="20"/>
        <v>32</v>
      </c>
      <c r="T44" s="511">
        <f t="shared" si="20"/>
        <v>32</v>
      </c>
      <c r="U44" s="511">
        <f t="shared" si="20"/>
        <v>32</v>
      </c>
      <c r="V44" s="511">
        <f t="shared" si="20"/>
        <v>28</v>
      </c>
      <c r="X44" s="514">
        <f t="shared" si="15"/>
        <v>4</v>
      </c>
      <c r="Y44" s="514">
        <f t="shared" si="15"/>
        <v>2</v>
      </c>
      <c r="Z44" s="514">
        <f t="shared" si="15"/>
        <v>2</v>
      </c>
      <c r="AA44" s="514">
        <f t="shared" si="13"/>
        <v>3</v>
      </c>
      <c r="AB44" s="514">
        <f t="shared" si="13"/>
        <v>3</v>
      </c>
      <c r="AC44" s="514">
        <f t="shared" si="13"/>
        <v>3</v>
      </c>
      <c r="AD44" s="514">
        <f t="shared" si="13"/>
        <v>3</v>
      </c>
      <c r="AE44" s="514">
        <f t="shared" si="13"/>
        <v>3</v>
      </c>
      <c r="AF44" s="514">
        <f t="shared" si="13"/>
        <v>3</v>
      </c>
    </row>
    <row r="45" spans="1:32" x14ac:dyDescent="0.3">
      <c r="A45" s="511" t="s">
        <v>588</v>
      </c>
      <c r="B45" s="511" t="s">
        <v>133</v>
      </c>
      <c r="D45" s="511">
        <v>8</v>
      </c>
      <c r="E45" s="511">
        <v>7</v>
      </c>
      <c r="F45" s="511">
        <v>8</v>
      </c>
      <c r="G45" s="511">
        <v>9</v>
      </c>
      <c r="H45" s="511">
        <v>9</v>
      </c>
      <c r="I45" s="511">
        <v>7</v>
      </c>
      <c r="J45" s="511">
        <v>8</v>
      </c>
      <c r="K45" s="511">
        <v>4</v>
      </c>
      <c r="L45" s="511">
        <v>7</v>
      </c>
      <c r="N45" s="511">
        <f t="shared" si="20"/>
        <v>7</v>
      </c>
      <c r="O45" s="511">
        <f t="shared" si="20"/>
        <v>6</v>
      </c>
      <c r="P45" s="511">
        <f t="shared" si="20"/>
        <v>7</v>
      </c>
      <c r="Q45" s="511">
        <f t="shared" si="20"/>
        <v>8</v>
      </c>
      <c r="R45" s="511">
        <f t="shared" si="20"/>
        <v>8</v>
      </c>
      <c r="S45" s="511">
        <f t="shared" si="20"/>
        <v>6</v>
      </c>
      <c r="T45" s="511">
        <f t="shared" si="20"/>
        <v>7</v>
      </c>
      <c r="U45" s="511">
        <f t="shared" si="20"/>
        <v>4</v>
      </c>
      <c r="V45" s="511">
        <f t="shared" si="20"/>
        <v>6</v>
      </c>
      <c r="X45" s="514">
        <f t="shared" si="15"/>
        <v>1</v>
      </c>
      <c r="Y45" s="514">
        <f t="shared" si="15"/>
        <v>1</v>
      </c>
      <c r="Z45" s="514">
        <f t="shared" si="15"/>
        <v>1</v>
      </c>
      <c r="AA45" s="514">
        <f t="shared" si="13"/>
        <v>1</v>
      </c>
      <c r="AB45" s="514">
        <f t="shared" si="13"/>
        <v>1</v>
      </c>
      <c r="AC45" s="514">
        <f t="shared" si="13"/>
        <v>1</v>
      </c>
      <c r="AD45" s="514">
        <f t="shared" si="13"/>
        <v>1</v>
      </c>
      <c r="AE45" s="514">
        <f t="shared" si="13"/>
        <v>0</v>
      </c>
      <c r="AF45" s="514">
        <f t="shared" si="13"/>
        <v>1</v>
      </c>
    </row>
    <row r="46" spans="1:32" x14ac:dyDescent="0.3">
      <c r="A46" s="511" t="s">
        <v>588</v>
      </c>
      <c r="B46" s="511" t="s">
        <v>134</v>
      </c>
      <c r="D46" s="511">
        <v>2</v>
      </c>
      <c r="E46" s="511">
        <v>0</v>
      </c>
      <c r="F46" s="511">
        <v>0</v>
      </c>
      <c r="G46" s="511">
        <v>0</v>
      </c>
      <c r="H46" s="511">
        <v>2</v>
      </c>
      <c r="I46" s="511">
        <v>1</v>
      </c>
      <c r="J46" s="511">
        <v>0</v>
      </c>
      <c r="K46" s="511">
        <v>0</v>
      </c>
      <c r="L46" s="511">
        <v>1</v>
      </c>
      <c r="N46" s="511">
        <f t="shared" si="20"/>
        <v>2</v>
      </c>
      <c r="O46" s="511">
        <f t="shared" si="20"/>
        <v>0</v>
      </c>
      <c r="P46" s="511">
        <f t="shared" si="20"/>
        <v>0</v>
      </c>
      <c r="Q46" s="511">
        <f t="shared" si="20"/>
        <v>0</v>
      </c>
      <c r="R46" s="511">
        <f t="shared" si="20"/>
        <v>2</v>
      </c>
      <c r="S46" s="511">
        <f t="shared" si="20"/>
        <v>1</v>
      </c>
      <c r="T46" s="511">
        <f t="shared" si="20"/>
        <v>0</v>
      </c>
      <c r="U46" s="511">
        <f t="shared" si="20"/>
        <v>0</v>
      </c>
      <c r="V46" s="511">
        <f t="shared" si="20"/>
        <v>1</v>
      </c>
      <c r="X46" s="514">
        <f t="shared" si="15"/>
        <v>0</v>
      </c>
      <c r="Y46" s="514">
        <f t="shared" si="15"/>
        <v>0</v>
      </c>
      <c r="Z46" s="514">
        <f t="shared" si="15"/>
        <v>0</v>
      </c>
      <c r="AA46" s="514">
        <f t="shared" si="13"/>
        <v>0</v>
      </c>
      <c r="AB46" s="514">
        <f t="shared" si="13"/>
        <v>0</v>
      </c>
      <c r="AC46" s="514">
        <f t="shared" si="13"/>
        <v>0</v>
      </c>
      <c r="AD46" s="514">
        <f t="shared" si="13"/>
        <v>0</v>
      </c>
      <c r="AE46" s="514">
        <f t="shared" si="13"/>
        <v>0</v>
      </c>
      <c r="AF46" s="514">
        <f t="shared" si="13"/>
        <v>0</v>
      </c>
    </row>
    <row r="47" spans="1:32" x14ac:dyDescent="0.3">
      <c r="A47" s="511" t="s">
        <v>588</v>
      </c>
      <c r="B47" s="511" t="s">
        <v>135</v>
      </c>
      <c r="D47" s="511">
        <v>1</v>
      </c>
      <c r="E47" s="511">
        <v>0</v>
      </c>
      <c r="F47" s="511">
        <v>2</v>
      </c>
      <c r="G47" s="511">
        <v>1</v>
      </c>
      <c r="H47" s="511">
        <v>1</v>
      </c>
      <c r="I47" s="511">
        <v>0</v>
      </c>
      <c r="J47" s="511">
        <v>5</v>
      </c>
      <c r="K47" s="511">
        <v>0</v>
      </c>
      <c r="L47" s="511">
        <v>0</v>
      </c>
      <c r="N47" s="511">
        <f t="shared" ref="N47:V47" si="21">D47</f>
        <v>1</v>
      </c>
      <c r="O47" s="511">
        <f t="shared" si="21"/>
        <v>0</v>
      </c>
      <c r="P47" s="511">
        <f t="shared" si="21"/>
        <v>2</v>
      </c>
      <c r="Q47" s="511">
        <f t="shared" si="21"/>
        <v>1</v>
      </c>
      <c r="R47" s="511">
        <f t="shared" si="21"/>
        <v>1</v>
      </c>
      <c r="S47" s="511">
        <f t="shared" si="21"/>
        <v>0</v>
      </c>
      <c r="T47" s="511">
        <f t="shared" si="21"/>
        <v>5</v>
      </c>
      <c r="U47" s="511">
        <f t="shared" si="21"/>
        <v>0</v>
      </c>
      <c r="V47" s="511">
        <f t="shared" si="21"/>
        <v>0</v>
      </c>
      <c r="X47" s="514">
        <f t="shared" si="15"/>
        <v>0</v>
      </c>
      <c r="Y47" s="514">
        <f t="shared" si="15"/>
        <v>0</v>
      </c>
      <c r="Z47" s="514">
        <f t="shared" si="15"/>
        <v>0</v>
      </c>
      <c r="AA47" s="514">
        <f t="shared" si="13"/>
        <v>0</v>
      </c>
      <c r="AB47" s="514">
        <f t="shared" si="13"/>
        <v>0</v>
      </c>
      <c r="AC47" s="514">
        <f t="shared" si="13"/>
        <v>0</v>
      </c>
      <c r="AD47" s="514">
        <f t="shared" si="13"/>
        <v>0</v>
      </c>
      <c r="AE47" s="514">
        <f t="shared" si="13"/>
        <v>0</v>
      </c>
      <c r="AF47" s="514">
        <f t="shared" si="13"/>
        <v>0</v>
      </c>
    </row>
    <row r="48" spans="1:32" x14ac:dyDescent="0.3">
      <c r="A48" s="511" t="s">
        <v>589</v>
      </c>
      <c r="B48" s="511" t="s">
        <v>131</v>
      </c>
      <c r="D48" s="511">
        <v>0</v>
      </c>
      <c r="E48" s="511">
        <v>0</v>
      </c>
      <c r="F48" s="511">
        <v>1</v>
      </c>
      <c r="G48" s="511">
        <v>0</v>
      </c>
      <c r="H48" s="511">
        <v>0</v>
      </c>
      <c r="I48" s="511">
        <v>0</v>
      </c>
      <c r="J48" s="511">
        <v>0</v>
      </c>
      <c r="K48" s="511">
        <v>0</v>
      </c>
      <c r="L48" s="511">
        <v>0</v>
      </c>
      <c r="N48" s="511">
        <f t="shared" ref="N48:V51" si="22">ROUND(D48*N$1,)</f>
        <v>0</v>
      </c>
      <c r="O48" s="511">
        <f t="shared" si="22"/>
        <v>0</v>
      </c>
      <c r="P48" s="511">
        <f t="shared" si="22"/>
        <v>1</v>
      </c>
      <c r="Q48" s="511">
        <f t="shared" si="22"/>
        <v>0</v>
      </c>
      <c r="R48" s="511">
        <f t="shared" si="22"/>
        <v>0</v>
      </c>
      <c r="S48" s="511">
        <f t="shared" si="22"/>
        <v>0</v>
      </c>
      <c r="T48" s="511">
        <f t="shared" si="22"/>
        <v>0</v>
      </c>
      <c r="U48" s="511">
        <f t="shared" si="22"/>
        <v>0</v>
      </c>
      <c r="V48" s="511">
        <f t="shared" si="22"/>
        <v>0</v>
      </c>
      <c r="X48" s="514">
        <f t="shared" si="15"/>
        <v>0</v>
      </c>
      <c r="Y48" s="514">
        <f t="shared" si="15"/>
        <v>0</v>
      </c>
      <c r="Z48" s="514">
        <f t="shared" si="15"/>
        <v>0</v>
      </c>
      <c r="AA48" s="514">
        <f t="shared" si="13"/>
        <v>0</v>
      </c>
      <c r="AB48" s="514">
        <f t="shared" si="13"/>
        <v>0</v>
      </c>
      <c r="AC48" s="514">
        <f t="shared" si="13"/>
        <v>0</v>
      </c>
      <c r="AD48" s="514">
        <f t="shared" si="13"/>
        <v>0</v>
      </c>
      <c r="AE48" s="514">
        <f t="shared" si="13"/>
        <v>0</v>
      </c>
      <c r="AF48" s="514">
        <f t="shared" si="13"/>
        <v>0</v>
      </c>
    </row>
    <row r="49" spans="1:32" x14ac:dyDescent="0.3">
      <c r="A49" s="511" t="s">
        <v>589</v>
      </c>
      <c r="B49" s="511" t="s">
        <v>132</v>
      </c>
      <c r="D49" s="511">
        <v>0</v>
      </c>
      <c r="E49" s="511">
        <v>0</v>
      </c>
      <c r="F49" s="511">
        <v>0</v>
      </c>
      <c r="G49" s="511">
        <v>0</v>
      </c>
      <c r="H49" s="511">
        <v>0</v>
      </c>
      <c r="I49" s="511">
        <v>0</v>
      </c>
      <c r="J49" s="511">
        <v>0</v>
      </c>
      <c r="K49" s="511">
        <v>0</v>
      </c>
      <c r="L49" s="511">
        <v>0</v>
      </c>
      <c r="N49" s="511">
        <f t="shared" si="22"/>
        <v>0</v>
      </c>
      <c r="O49" s="511">
        <f t="shared" si="22"/>
        <v>0</v>
      </c>
      <c r="P49" s="511">
        <f t="shared" si="22"/>
        <v>0</v>
      </c>
      <c r="Q49" s="511">
        <f t="shared" si="22"/>
        <v>0</v>
      </c>
      <c r="R49" s="511">
        <f t="shared" si="22"/>
        <v>0</v>
      </c>
      <c r="S49" s="511">
        <f t="shared" si="22"/>
        <v>0</v>
      </c>
      <c r="T49" s="511">
        <f t="shared" si="22"/>
        <v>0</v>
      </c>
      <c r="U49" s="511">
        <f t="shared" si="22"/>
        <v>0</v>
      </c>
      <c r="V49" s="511">
        <f t="shared" si="22"/>
        <v>0</v>
      </c>
      <c r="X49" s="514">
        <f t="shared" si="15"/>
        <v>0</v>
      </c>
      <c r="Y49" s="514">
        <f t="shared" si="15"/>
        <v>0</v>
      </c>
      <c r="Z49" s="514">
        <f t="shared" si="15"/>
        <v>0</v>
      </c>
      <c r="AA49" s="514">
        <f t="shared" si="13"/>
        <v>0</v>
      </c>
      <c r="AB49" s="514">
        <f t="shared" si="13"/>
        <v>0</v>
      </c>
      <c r="AC49" s="514">
        <f t="shared" si="13"/>
        <v>0</v>
      </c>
      <c r="AD49" s="514">
        <f t="shared" si="13"/>
        <v>0</v>
      </c>
      <c r="AE49" s="514">
        <f t="shared" si="13"/>
        <v>0</v>
      </c>
      <c r="AF49" s="514">
        <f t="shared" si="13"/>
        <v>0</v>
      </c>
    </row>
    <row r="50" spans="1:32" x14ac:dyDescent="0.3">
      <c r="A50" s="511" t="s">
        <v>589</v>
      </c>
      <c r="B50" s="511" t="s">
        <v>133</v>
      </c>
      <c r="D50" s="511">
        <v>2</v>
      </c>
      <c r="E50" s="511">
        <v>2</v>
      </c>
      <c r="F50" s="511">
        <v>0</v>
      </c>
      <c r="G50" s="511">
        <v>0</v>
      </c>
      <c r="H50" s="511">
        <v>1</v>
      </c>
      <c r="I50" s="511">
        <v>0</v>
      </c>
      <c r="J50" s="511">
        <v>0</v>
      </c>
      <c r="K50" s="511">
        <v>1</v>
      </c>
      <c r="L50" s="511">
        <v>0</v>
      </c>
      <c r="N50" s="511">
        <f t="shared" si="22"/>
        <v>2</v>
      </c>
      <c r="O50" s="511">
        <f t="shared" si="22"/>
        <v>2</v>
      </c>
      <c r="P50" s="511">
        <f t="shared" si="22"/>
        <v>0</v>
      </c>
      <c r="Q50" s="511">
        <f t="shared" si="22"/>
        <v>0</v>
      </c>
      <c r="R50" s="511">
        <f t="shared" si="22"/>
        <v>1</v>
      </c>
      <c r="S50" s="511">
        <f t="shared" si="22"/>
        <v>0</v>
      </c>
      <c r="T50" s="511">
        <f t="shared" si="22"/>
        <v>0</v>
      </c>
      <c r="U50" s="511">
        <f t="shared" si="22"/>
        <v>1</v>
      </c>
      <c r="V50" s="511">
        <f t="shared" si="22"/>
        <v>0</v>
      </c>
      <c r="X50" s="514">
        <f t="shared" si="15"/>
        <v>0</v>
      </c>
      <c r="Y50" s="514">
        <f t="shared" si="15"/>
        <v>0</v>
      </c>
      <c r="Z50" s="514">
        <f t="shared" si="15"/>
        <v>0</v>
      </c>
      <c r="AA50" s="514">
        <f t="shared" si="13"/>
        <v>0</v>
      </c>
      <c r="AB50" s="514">
        <f t="shared" si="13"/>
        <v>0</v>
      </c>
      <c r="AC50" s="514">
        <f t="shared" si="13"/>
        <v>0</v>
      </c>
      <c r="AD50" s="514">
        <f t="shared" si="13"/>
        <v>0</v>
      </c>
      <c r="AE50" s="514">
        <f t="shared" si="13"/>
        <v>0</v>
      </c>
      <c r="AF50" s="514">
        <f t="shared" si="13"/>
        <v>0</v>
      </c>
    </row>
    <row r="51" spans="1:32" x14ac:dyDescent="0.3">
      <c r="A51" s="511" t="s">
        <v>589</v>
      </c>
      <c r="B51" s="511" t="s">
        <v>134</v>
      </c>
      <c r="D51" s="511">
        <v>0</v>
      </c>
      <c r="E51" s="511">
        <v>0</v>
      </c>
      <c r="F51" s="511">
        <v>0</v>
      </c>
      <c r="G51" s="511">
        <v>0</v>
      </c>
      <c r="H51" s="511">
        <v>0</v>
      </c>
      <c r="I51" s="511">
        <v>0</v>
      </c>
      <c r="J51" s="511">
        <v>0</v>
      </c>
      <c r="K51" s="511">
        <v>0</v>
      </c>
      <c r="L51" s="511">
        <v>0</v>
      </c>
      <c r="N51" s="511">
        <f t="shared" si="22"/>
        <v>0</v>
      </c>
      <c r="O51" s="511">
        <f t="shared" si="22"/>
        <v>0</v>
      </c>
      <c r="P51" s="511">
        <f t="shared" si="22"/>
        <v>0</v>
      </c>
      <c r="Q51" s="511">
        <f t="shared" si="22"/>
        <v>0</v>
      </c>
      <c r="R51" s="511">
        <f t="shared" si="22"/>
        <v>0</v>
      </c>
      <c r="S51" s="511">
        <f t="shared" si="22"/>
        <v>0</v>
      </c>
      <c r="T51" s="511">
        <f t="shared" si="22"/>
        <v>0</v>
      </c>
      <c r="U51" s="511">
        <f t="shared" si="22"/>
        <v>0</v>
      </c>
      <c r="V51" s="511">
        <f t="shared" si="22"/>
        <v>0</v>
      </c>
      <c r="X51" s="514">
        <f t="shared" si="15"/>
        <v>0</v>
      </c>
      <c r="Y51" s="514">
        <f t="shared" si="15"/>
        <v>0</v>
      </c>
      <c r="Z51" s="514">
        <f t="shared" si="15"/>
        <v>0</v>
      </c>
      <c r="AA51" s="514">
        <f t="shared" si="13"/>
        <v>0</v>
      </c>
      <c r="AB51" s="514">
        <f t="shared" si="13"/>
        <v>0</v>
      </c>
      <c r="AC51" s="514">
        <f t="shared" si="13"/>
        <v>0</v>
      </c>
      <c r="AD51" s="514">
        <f t="shared" si="13"/>
        <v>0</v>
      </c>
      <c r="AE51" s="514">
        <f t="shared" si="13"/>
        <v>0</v>
      </c>
      <c r="AF51" s="514">
        <f t="shared" si="13"/>
        <v>0</v>
      </c>
    </row>
    <row r="52" spans="1:32" x14ac:dyDescent="0.3">
      <c r="A52" s="511" t="s">
        <v>589</v>
      </c>
      <c r="B52" s="511" t="s">
        <v>135</v>
      </c>
      <c r="D52" s="511">
        <v>0</v>
      </c>
      <c r="E52" s="511">
        <v>0</v>
      </c>
      <c r="F52" s="511">
        <v>0</v>
      </c>
      <c r="G52" s="511">
        <v>0</v>
      </c>
      <c r="H52" s="511">
        <v>0</v>
      </c>
      <c r="I52" s="511">
        <v>0</v>
      </c>
      <c r="J52" s="511">
        <v>0</v>
      </c>
      <c r="K52" s="511">
        <v>0</v>
      </c>
      <c r="L52" s="511">
        <v>0</v>
      </c>
      <c r="N52" s="511">
        <f t="shared" ref="N52:V52" si="23">D52</f>
        <v>0</v>
      </c>
      <c r="O52" s="511">
        <f t="shared" si="23"/>
        <v>0</v>
      </c>
      <c r="P52" s="511">
        <f t="shared" si="23"/>
        <v>0</v>
      </c>
      <c r="Q52" s="511">
        <f t="shared" si="23"/>
        <v>0</v>
      </c>
      <c r="R52" s="511">
        <f t="shared" si="23"/>
        <v>0</v>
      </c>
      <c r="S52" s="511">
        <f t="shared" si="23"/>
        <v>0</v>
      </c>
      <c r="T52" s="511">
        <f t="shared" si="23"/>
        <v>0</v>
      </c>
      <c r="U52" s="511">
        <f t="shared" si="23"/>
        <v>0</v>
      </c>
      <c r="V52" s="511">
        <f t="shared" si="23"/>
        <v>0</v>
      </c>
      <c r="X52" s="514">
        <f t="shared" si="15"/>
        <v>0</v>
      </c>
      <c r="Y52" s="514">
        <f t="shared" si="15"/>
        <v>0</v>
      </c>
      <c r="Z52" s="514">
        <f t="shared" si="15"/>
        <v>0</v>
      </c>
      <c r="AA52" s="514">
        <f t="shared" si="13"/>
        <v>0</v>
      </c>
      <c r="AB52" s="514">
        <f t="shared" si="13"/>
        <v>0</v>
      </c>
      <c r="AC52" s="514">
        <f t="shared" si="13"/>
        <v>0</v>
      </c>
      <c r="AD52" s="514">
        <f t="shared" si="13"/>
        <v>0</v>
      </c>
      <c r="AE52" s="514">
        <f t="shared" si="13"/>
        <v>0</v>
      </c>
      <c r="AF52" s="514">
        <f t="shared" si="13"/>
        <v>0</v>
      </c>
    </row>
    <row r="53" spans="1:32" x14ac:dyDescent="0.3">
      <c r="A53" s="511" t="s">
        <v>14</v>
      </c>
      <c r="B53" s="511" t="s">
        <v>131</v>
      </c>
      <c r="D53" s="511">
        <v>0</v>
      </c>
      <c r="E53" s="511">
        <v>1</v>
      </c>
      <c r="F53" s="511">
        <v>0</v>
      </c>
      <c r="G53" s="511">
        <v>0</v>
      </c>
      <c r="H53" s="511">
        <v>0</v>
      </c>
      <c r="I53" s="511">
        <v>0</v>
      </c>
      <c r="J53" s="511">
        <v>0</v>
      </c>
      <c r="K53" s="511">
        <v>0</v>
      </c>
      <c r="L53" s="511">
        <v>0</v>
      </c>
      <c r="N53" s="511">
        <f t="shared" ref="N53:V56" si="24">ROUND(D53*N$1,)</f>
        <v>0</v>
      </c>
      <c r="O53" s="511">
        <f t="shared" si="24"/>
        <v>1</v>
      </c>
      <c r="P53" s="511">
        <f t="shared" si="24"/>
        <v>0</v>
      </c>
      <c r="Q53" s="511">
        <f t="shared" si="24"/>
        <v>0</v>
      </c>
      <c r="R53" s="511">
        <f t="shared" si="24"/>
        <v>0</v>
      </c>
      <c r="S53" s="511">
        <f t="shared" si="24"/>
        <v>0</v>
      </c>
      <c r="T53" s="511">
        <f t="shared" si="24"/>
        <v>0</v>
      </c>
      <c r="U53" s="511">
        <f t="shared" si="24"/>
        <v>0</v>
      </c>
      <c r="V53" s="511">
        <f t="shared" si="24"/>
        <v>0</v>
      </c>
      <c r="X53" s="514">
        <f t="shared" si="15"/>
        <v>0</v>
      </c>
      <c r="Y53" s="514">
        <f t="shared" si="15"/>
        <v>0</v>
      </c>
      <c r="Z53" s="514">
        <f t="shared" si="15"/>
        <v>0</v>
      </c>
      <c r="AA53" s="514">
        <f t="shared" si="13"/>
        <v>0</v>
      </c>
      <c r="AB53" s="514">
        <f t="shared" si="13"/>
        <v>0</v>
      </c>
      <c r="AC53" s="514">
        <f t="shared" si="13"/>
        <v>0</v>
      </c>
      <c r="AD53" s="514">
        <f t="shared" si="13"/>
        <v>0</v>
      </c>
      <c r="AE53" s="514">
        <f t="shared" si="13"/>
        <v>0</v>
      </c>
      <c r="AF53" s="514">
        <f t="shared" si="13"/>
        <v>0</v>
      </c>
    </row>
    <row r="54" spans="1:32" x14ac:dyDescent="0.3">
      <c r="A54" s="511" t="s">
        <v>14</v>
      </c>
      <c r="B54" s="511" t="s">
        <v>132</v>
      </c>
      <c r="D54" s="511">
        <v>33</v>
      </c>
      <c r="E54" s="511">
        <v>33</v>
      </c>
      <c r="F54" s="511">
        <v>35</v>
      </c>
      <c r="G54" s="511">
        <v>22</v>
      </c>
      <c r="H54" s="511">
        <v>26</v>
      </c>
      <c r="I54" s="511">
        <v>37</v>
      </c>
      <c r="J54" s="511">
        <v>30</v>
      </c>
      <c r="K54" s="511">
        <v>34</v>
      </c>
      <c r="L54" s="511">
        <v>37</v>
      </c>
      <c r="N54" s="511">
        <f t="shared" si="24"/>
        <v>30</v>
      </c>
      <c r="O54" s="511">
        <f t="shared" si="24"/>
        <v>30</v>
      </c>
      <c r="P54" s="511">
        <f t="shared" si="24"/>
        <v>32</v>
      </c>
      <c r="Q54" s="511">
        <f t="shared" si="24"/>
        <v>20</v>
      </c>
      <c r="R54" s="511">
        <f t="shared" si="24"/>
        <v>23</v>
      </c>
      <c r="S54" s="511">
        <f t="shared" si="24"/>
        <v>33</v>
      </c>
      <c r="T54" s="511">
        <f t="shared" si="24"/>
        <v>27</v>
      </c>
      <c r="U54" s="511">
        <f t="shared" si="24"/>
        <v>31</v>
      </c>
      <c r="V54" s="511">
        <f t="shared" si="24"/>
        <v>33</v>
      </c>
      <c r="X54" s="514">
        <f t="shared" si="15"/>
        <v>3</v>
      </c>
      <c r="Y54" s="514">
        <f t="shared" si="15"/>
        <v>3</v>
      </c>
      <c r="Z54" s="514">
        <f t="shared" si="15"/>
        <v>3</v>
      </c>
      <c r="AA54" s="514">
        <f t="shared" si="13"/>
        <v>2</v>
      </c>
      <c r="AB54" s="514">
        <f t="shared" si="13"/>
        <v>3</v>
      </c>
      <c r="AC54" s="514">
        <f t="shared" si="13"/>
        <v>4</v>
      </c>
      <c r="AD54" s="514">
        <f t="shared" si="13"/>
        <v>3</v>
      </c>
      <c r="AE54" s="514">
        <f t="shared" si="13"/>
        <v>3</v>
      </c>
      <c r="AF54" s="514">
        <f t="shared" si="13"/>
        <v>4</v>
      </c>
    </row>
    <row r="55" spans="1:32" x14ac:dyDescent="0.3">
      <c r="A55" s="511" t="s">
        <v>14</v>
      </c>
      <c r="B55" s="511" t="s">
        <v>133</v>
      </c>
      <c r="D55" s="511">
        <v>9</v>
      </c>
      <c r="E55" s="511">
        <v>10</v>
      </c>
      <c r="F55" s="511">
        <v>8</v>
      </c>
      <c r="G55" s="511">
        <v>6</v>
      </c>
      <c r="H55" s="511">
        <v>8</v>
      </c>
      <c r="I55" s="511">
        <v>10</v>
      </c>
      <c r="J55" s="511">
        <v>7</v>
      </c>
      <c r="K55" s="511">
        <v>7</v>
      </c>
      <c r="L55" s="511">
        <v>9</v>
      </c>
      <c r="N55" s="511">
        <f t="shared" si="24"/>
        <v>8</v>
      </c>
      <c r="O55" s="511">
        <f t="shared" si="24"/>
        <v>9</v>
      </c>
      <c r="P55" s="511">
        <f t="shared" si="24"/>
        <v>7</v>
      </c>
      <c r="Q55" s="511">
        <f t="shared" si="24"/>
        <v>5</v>
      </c>
      <c r="R55" s="511">
        <f t="shared" si="24"/>
        <v>7</v>
      </c>
      <c r="S55" s="511">
        <f t="shared" si="24"/>
        <v>9</v>
      </c>
      <c r="T55" s="511">
        <f t="shared" si="24"/>
        <v>6</v>
      </c>
      <c r="U55" s="511">
        <f t="shared" si="24"/>
        <v>6</v>
      </c>
      <c r="V55" s="511">
        <f t="shared" si="24"/>
        <v>8</v>
      </c>
      <c r="X55" s="514">
        <f t="shared" si="15"/>
        <v>1</v>
      </c>
      <c r="Y55" s="514">
        <f t="shared" si="15"/>
        <v>1</v>
      </c>
      <c r="Z55" s="514">
        <f t="shared" si="15"/>
        <v>1</v>
      </c>
      <c r="AA55" s="514">
        <f t="shared" si="13"/>
        <v>1</v>
      </c>
      <c r="AB55" s="514">
        <f t="shared" si="13"/>
        <v>1</v>
      </c>
      <c r="AC55" s="514">
        <f t="shared" si="13"/>
        <v>1</v>
      </c>
      <c r="AD55" s="514">
        <f t="shared" si="13"/>
        <v>1</v>
      </c>
      <c r="AE55" s="514">
        <f t="shared" si="13"/>
        <v>1</v>
      </c>
      <c r="AF55" s="514">
        <f t="shared" si="13"/>
        <v>1</v>
      </c>
    </row>
    <row r="56" spans="1:32" x14ac:dyDescent="0.3">
      <c r="A56" s="511" t="s">
        <v>14</v>
      </c>
      <c r="B56" s="511" t="s">
        <v>134</v>
      </c>
      <c r="D56" s="511">
        <v>0</v>
      </c>
      <c r="E56" s="511">
        <v>1</v>
      </c>
      <c r="F56" s="511">
        <v>2</v>
      </c>
      <c r="G56" s="511">
        <v>0</v>
      </c>
      <c r="H56" s="511">
        <v>0</v>
      </c>
      <c r="I56" s="511">
        <v>0</v>
      </c>
      <c r="J56" s="511">
        <v>2</v>
      </c>
      <c r="K56" s="511">
        <v>1</v>
      </c>
      <c r="L56" s="511">
        <v>0</v>
      </c>
      <c r="N56" s="511">
        <f t="shared" si="24"/>
        <v>0</v>
      </c>
      <c r="O56" s="511">
        <f t="shared" si="24"/>
        <v>1</v>
      </c>
      <c r="P56" s="511">
        <f t="shared" si="24"/>
        <v>2</v>
      </c>
      <c r="Q56" s="511">
        <f t="shared" si="24"/>
        <v>0</v>
      </c>
      <c r="R56" s="511">
        <f t="shared" si="24"/>
        <v>0</v>
      </c>
      <c r="S56" s="511">
        <f t="shared" si="24"/>
        <v>0</v>
      </c>
      <c r="T56" s="511">
        <f t="shared" si="24"/>
        <v>2</v>
      </c>
      <c r="U56" s="511">
        <f t="shared" si="24"/>
        <v>1</v>
      </c>
      <c r="V56" s="511">
        <f t="shared" si="24"/>
        <v>0</v>
      </c>
      <c r="X56" s="514">
        <f t="shared" si="15"/>
        <v>0</v>
      </c>
      <c r="Y56" s="514">
        <f t="shared" si="15"/>
        <v>0</v>
      </c>
      <c r="Z56" s="514">
        <f t="shared" si="15"/>
        <v>0</v>
      </c>
      <c r="AA56" s="514">
        <f t="shared" si="13"/>
        <v>0</v>
      </c>
      <c r="AB56" s="514">
        <f t="shared" si="13"/>
        <v>0</v>
      </c>
      <c r="AC56" s="514">
        <f t="shared" si="13"/>
        <v>0</v>
      </c>
      <c r="AD56" s="514">
        <f t="shared" si="13"/>
        <v>0</v>
      </c>
      <c r="AE56" s="514">
        <f t="shared" si="13"/>
        <v>0</v>
      </c>
      <c r="AF56" s="514">
        <f t="shared" si="13"/>
        <v>0</v>
      </c>
    </row>
    <row r="57" spans="1:32" x14ac:dyDescent="0.3">
      <c r="A57" s="511" t="s">
        <v>14</v>
      </c>
      <c r="B57" s="511" t="s">
        <v>135</v>
      </c>
      <c r="D57" s="511">
        <v>0</v>
      </c>
      <c r="E57" s="511">
        <v>2</v>
      </c>
      <c r="F57" s="511">
        <v>1</v>
      </c>
      <c r="G57" s="511">
        <v>0</v>
      </c>
      <c r="H57" s="511">
        <v>1</v>
      </c>
      <c r="I57" s="511">
        <v>1</v>
      </c>
      <c r="J57" s="511">
        <v>2</v>
      </c>
      <c r="K57" s="511">
        <v>1</v>
      </c>
      <c r="L57" s="511">
        <v>4</v>
      </c>
      <c r="N57" s="511">
        <f t="shared" ref="N57:V57" si="25">D57</f>
        <v>0</v>
      </c>
      <c r="O57" s="511">
        <f t="shared" si="25"/>
        <v>2</v>
      </c>
      <c r="P57" s="511">
        <f t="shared" si="25"/>
        <v>1</v>
      </c>
      <c r="Q57" s="511">
        <f t="shared" si="25"/>
        <v>0</v>
      </c>
      <c r="R57" s="511">
        <f t="shared" si="25"/>
        <v>1</v>
      </c>
      <c r="S57" s="511">
        <f t="shared" si="25"/>
        <v>1</v>
      </c>
      <c r="T57" s="511">
        <f t="shared" si="25"/>
        <v>2</v>
      </c>
      <c r="U57" s="511">
        <f t="shared" si="25"/>
        <v>1</v>
      </c>
      <c r="V57" s="511">
        <f t="shared" si="25"/>
        <v>4</v>
      </c>
      <c r="X57" s="514">
        <f t="shared" si="15"/>
        <v>0</v>
      </c>
      <c r="Y57" s="514">
        <f t="shared" si="15"/>
        <v>0</v>
      </c>
      <c r="Z57" s="514">
        <f t="shared" si="15"/>
        <v>0</v>
      </c>
      <c r="AA57" s="514">
        <f t="shared" si="13"/>
        <v>0</v>
      </c>
      <c r="AB57" s="514">
        <f t="shared" si="13"/>
        <v>0</v>
      </c>
      <c r="AC57" s="514">
        <f t="shared" si="13"/>
        <v>0</v>
      </c>
      <c r="AD57" s="514">
        <f t="shared" si="13"/>
        <v>0</v>
      </c>
      <c r="AE57" s="514">
        <f t="shared" si="13"/>
        <v>0</v>
      </c>
      <c r="AF57" s="514">
        <f t="shared" si="13"/>
        <v>0</v>
      </c>
    </row>
    <row r="58" spans="1:32" x14ac:dyDescent="0.3">
      <c r="A58" s="511" t="s">
        <v>239</v>
      </c>
      <c r="B58" s="511" t="s">
        <v>131</v>
      </c>
      <c r="D58" s="511">
        <v>2</v>
      </c>
      <c r="E58" s="511">
        <v>0</v>
      </c>
      <c r="F58" s="511">
        <v>0</v>
      </c>
      <c r="G58" s="511">
        <v>1</v>
      </c>
      <c r="H58" s="511">
        <v>1</v>
      </c>
      <c r="I58" s="511">
        <v>1</v>
      </c>
      <c r="J58" s="511">
        <v>0</v>
      </c>
      <c r="K58" s="511">
        <v>1</v>
      </c>
      <c r="L58" s="511">
        <v>1</v>
      </c>
      <c r="N58" s="511">
        <f t="shared" ref="N58:V61" si="26">ROUND(D58*N$1,)</f>
        <v>2</v>
      </c>
      <c r="O58" s="511">
        <f t="shared" si="26"/>
        <v>0</v>
      </c>
      <c r="P58" s="511">
        <f t="shared" si="26"/>
        <v>0</v>
      </c>
      <c r="Q58" s="511">
        <f t="shared" si="26"/>
        <v>1</v>
      </c>
      <c r="R58" s="511">
        <f t="shared" si="26"/>
        <v>1</v>
      </c>
      <c r="S58" s="511">
        <f t="shared" si="26"/>
        <v>1</v>
      </c>
      <c r="T58" s="511">
        <f t="shared" si="26"/>
        <v>0</v>
      </c>
      <c r="U58" s="511">
        <f t="shared" si="26"/>
        <v>1</v>
      </c>
      <c r="V58" s="511">
        <f t="shared" si="26"/>
        <v>1</v>
      </c>
      <c r="X58" s="514">
        <f t="shared" si="15"/>
        <v>0</v>
      </c>
      <c r="Y58" s="514">
        <f t="shared" si="15"/>
        <v>0</v>
      </c>
      <c r="Z58" s="514">
        <f t="shared" si="15"/>
        <v>0</v>
      </c>
      <c r="AA58" s="514">
        <f t="shared" si="13"/>
        <v>0</v>
      </c>
      <c r="AB58" s="514">
        <f t="shared" si="13"/>
        <v>0</v>
      </c>
      <c r="AC58" s="514">
        <f t="shared" si="13"/>
        <v>0</v>
      </c>
      <c r="AD58" s="514">
        <f t="shared" si="13"/>
        <v>0</v>
      </c>
      <c r="AE58" s="514">
        <f t="shared" si="13"/>
        <v>0</v>
      </c>
      <c r="AF58" s="514">
        <f t="shared" si="13"/>
        <v>0</v>
      </c>
    </row>
    <row r="59" spans="1:32" x14ac:dyDescent="0.3">
      <c r="A59" s="511" t="s">
        <v>239</v>
      </c>
      <c r="B59" s="511" t="s">
        <v>132</v>
      </c>
      <c r="D59" s="511">
        <v>19</v>
      </c>
      <c r="E59" s="511">
        <v>16</v>
      </c>
      <c r="F59" s="511">
        <v>15</v>
      </c>
      <c r="G59" s="511">
        <v>22</v>
      </c>
      <c r="H59" s="511">
        <v>20</v>
      </c>
      <c r="I59" s="511">
        <v>25</v>
      </c>
      <c r="J59" s="511">
        <v>29</v>
      </c>
      <c r="K59" s="511">
        <v>21</v>
      </c>
      <c r="L59" s="511">
        <v>22</v>
      </c>
      <c r="N59" s="511">
        <f t="shared" si="26"/>
        <v>17</v>
      </c>
      <c r="O59" s="511">
        <f t="shared" si="26"/>
        <v>14</v>
      </c>
      <c r="P59" s="511">
        <f t="shared" si="26"/>
        <v>14</v>
      </c>
      <c r="Q59" s="511">
        <f t="shared" si="26"/>
        <v>20</v>
      </c>
      <c r="R59" s="511">
        <f t="shared" si="26"/>
        <v>18</v>
      </c>
      <c r="S59" s="511">
        <f t="shared" si="26"/>
        <v>23</v>
      </c>
      <c r="T59" s="511">
        <f t="shared" si="26"/>
        <v>26</v>
      </c>
      <c r="U59" s="511">
        <f t="shared" si="26"/>
        <v>19</v>
      </c>
      <c r="V59" s="511">
        <f t="shared" si="26"/>
        <v>20</v>
      </c>
      <c r="X59" s="514">
        <f t="shared" si="15"/>
        <v>2</v>
      </c>
      <c r="Y59" s="514">
        <f t="shared" si="15"/>
        <v>2</v>
      </c>
      <c r="Z59" s="514">
        <f t="shared" si="15"/>
        <v>1</v>
      </c>
      <c r="AA59" s="514">
        <f t="shared" si="13"/>
        <v>2</v>
      </c>
      <c r="AB59" s="514">
        <f t="shared" si="13"/>
        <v>2</v>
      </c>
      <c r="AC59" s="514">
        <f t="shared" si="13"/>
        <v>2</v>
      </c>
      <c r="AD59" s="514">
        <f t="shared" si="13"/>
        <v>3</v>
      </c>
      <c r="AE59" s="514">
        <f t="shared" si="13"/>
        <v>2</v>
      </c>
      <c r="AF59" s="514">
        <f t="shared" si="13"/>
        <v>2</v>
      </c>
    </row>
    <row r="60" spans="1:32" x14ac:dyDescent="0.3">
      <c r="A60" s="511" t="s">
        <v>239</v>
      </c>
      <c r="B60" s="511" t="s">
        <v>133</v>
      </c>
      <c r="D60" s="511">
        <v>4</v>
      </c>
      <c r="E60" s="511">
        <v>4</v>
      </c>
      <c r="F60" s="511">
        <v>5</v>
      </c>
      <c r="G60" s="511">
        <v>4</v>
      </c>
      <c r="H60" s="511">
        <v>3</v>
      </c>
      <c r="I60" s="511">
        <v>5</v>
      </c>
      <c r="J60" s="511">
        <v>4</v>
      </c>
      <c r="K60" s="511">
        <v>5</v>
      </c>
      <c r="L60" s="511">
        <v>5</v>
      </c>
      <c r="N60" s="511">
        <f t="shared" si="26"/>
        <v>4</v>
      </c>
      <c r="O60" s="511">
        <f t="shared" si="26"/>
        <v>4</v>
      </c>
      <c r="P60" s="511">
        <f t="shared" si="26"/>
        <v>5</v>
      </c>
      <c r="Q60" s="511">
        <f t="shared" si="26"/>
        <v>4</v>
      </c>
      <c r="R60" s="511">
        <f t="shared" si="26"/>
        <v>3</v>
      </c>
      <c r="S60" s="511">
        <f t="shared" si="26"/>
        <v>5</v>
      </c>
      <c r="T60" s="511">
        <f t="shared" si="26"/>
        <v>4</v>
      </c>
      <c r="U60" s="511">
        <f t="shared" si="26"/>
        <v>5</v>
      </c>
      <c r="V60" s="511">
        <f t="shared" si="26"/>
        <v>5</v>
      </c>
      <c r="X60" s="514">
        <f t="shared" si="15"/>
        <v>0</v>
      </c>
      <c r="Y60" s="514">
        <f t="shared" si="15"/>
        <v>0</v>
      </c>
      <c r="Z60" s="514">
        <f t="shared" si="15"/>
        <v>0</v>
      </c>
      <c r="AA60" s="514">
        <f t="shared" si="13"/>
        <v>0</v>
      </c>
      <c r="AB60" s="514">
        <f t="shared" si="13"/>
        <v>0</v>
      </c>
      <c r="AC60" s="514">
        <f t="shared" si="13"/>
        <v>0</v>
      </c>
      <c r="AD60" s="514">
        <f t="shared" si="13"/>
        <v>0</v>
      </c>
      <c r="AE60" s="514">
        <f t="shared" si="13"/>
        <v>0</v>
      </c>
      <c r="AF60" s="514">
        <f t="shared" si="13"/>
        <v>0</v>
      </c>
    </row>
    <row r="61" spans="1:32" x14ac:dyDescent="0.3">
      <c r="A61" s="511" t="s">
        <v>239</v>
      </c>
      <c r="B61" s="511" t="s">
        <v>134</v>
      </c>
      <c r="D61" s="511">
        <v>2</v>
      </c>
      <c r="E61" s="511">
        <v>1</v>
      </c>
      <c r="F61" s="511">
        <v>2</v>
      </c>
      <c r="G61" s="511">
        <v>0</v>
      </c>
      <c r="H61" s="511">
        <v>0</v>
      </c>
      <c r="I61" s="511">
        <v>0</v>
      </c>
      <c r="J61" s="511">
        <v>0</v>
      </c>
      <c r="K61" s="511">
        <v>2</v>
      </c>
      <c r="L61" s="511">
        <v>1</v>
      </c>
      <c r="N61" s="511">
        <f t="shared" si="26"/>
        <v>2</v>
      </c>
      <c r="O61" s="511">
        <f t="shared" si="26"/>
        <v>1</v>
      </c>
      <c r="P61" s="511">
        <f t="shared" si="26"/>
        <v>2</v>
      </c>
      <c r="Q61" s="511">
        <f t="shared" si="26"/>
        <v>0</v>
      </c>
      <c r="R61" s="511">
        <f t="shared" si="26"/>
        <v>0</v>
      </c>
      <c r="S61" s="511">
        <f t="shared" si="26"/>
        <v>0</v>
      </c>
      <c r="T61" s="511">
        <f t="shared" si="26"/>
        <v>0</v>
      </c>
      <c r="U61" s="511">
        <f t="shared" si="26"/>
        <v>2</v>
      </c>
      <c r="V61" s="511">
        <f t="shared" si="26"/>
        <v>1</v>
      </c>
      <c r="X61" s="514">
        <f t="shared" si="15"/>
        <v>0</v>
      </c>
      <c r="Y61" s="514">
        <f t="shared" si="15"/>
        <v>0</v>
      </c>
      <c r="Z61" s="514">
        <f t="shared" si="15"/>
        <v>0</v>
      </c>
      <c r="AA61" s="514">
        <f t="shared" si="13"/>
        <v>0</v>
      </c>
      <c r="AB61" s="514">
        <f t="shared" si="13"/>
        <v>0</v>
      </c>
      <c r="AC61" s="514">
        <f t="shared" si="13"/>
        <v>0</v>
      </c>
      <c r="AD61" s="514">
        <f t="shared" si="13"/>
        <v>0</v>
      </c>
      <c r="AE61" s="514">
        <f t="shared" si="13"/>
        <v>0</v>
      </c>
      <c r="AF61" s="514">
        <f t="shared" si="13"/>
        <v>0</v>
      </c>
    </row>
    <row r="62" spans="1:32" x14ac:dyDescent="0.3">
      <c r="A62" s="511" t="s">
        <v>239</v>
      </c>
      <c r="B62" s="511" t="s">
        <v>135</v>
      </c>
      <c r="D62" s="511">
        <v>0</v>
      </c>
      <c r="E62" s="511">
        <v>0</v>
      </c>
      <c r="F62" s="511">
        <v>0</v>
      </c>
      <c r="G62" s="511">
        <v>0</v>
      </c>
      <c r="H62" s="511">
        <v>1</v>
      </c>
      <c r="I62" s="511">
        <v>1</v>
      </c>
      <c r="J62" s="511">
        <v>2</v>
      </c>
      <c r="K62" s="511">
        <v>3</v>
      </c>
      <c r="L62" s="511">
        <v>3</v>
      </c>
      <c r="N62" s="511">
        <f t="shared" ref="N62:V62" si="27">D62</f>
        <v>0</v>
      </c>
      <c r="O62" s="511">
        <f t="shared" si="27"/>
        <v>0</v>
      </c>
      <c r="P62" s="511">
        <f t="shared" si="27"/>
        <v>0</v>
      </c>
      <c r="Q62" s="511">
        <f t="shared" si="27"/>
        <v>0</v>
      </c>
      <c r="R62" s="511">
        <f t="shared" si="27"/>
        <v>1</v>
      </c>
      <c r="S62" s="511">
        <f t="shared" si="27"/>
        <v>1</v>
      </c>
      <c r="T62" s="511">
        <f t="shared" si="27"/>
        <v>2</v>
      </c>
      <c r="U62" s="511">
        <f t="shared" si="27"/>
        <v>3</v>
      </c>
      <c r="V62" s="511">
        <f t="shared" si="27"/>
        <v>3</v>
      </c>
      <c r="X62" s="514">
        <f t="shared" si="15"/>
        <v>0</v>
      </c>
      <c r="Y62" s="514">
        <f t="shared" si="15"/>
        <v>0</v>
      </c>
      <c r="Z62" s="514">
        <f t="shared" si="15"/>
        <v>0</v>
      </c>
      <c r="AA62" s="514">
        <f t="shared" si="13"/>
        <v>0</v>
      </c>
      <c r="AB62" s="514">
        <f t="shared" si="13"/>
        <v>0</v>
      </c>
      <c r="AC62" s="514">
        <f t="shared" si="13"/>
        <v>0</v>
      </c>
      <c r="AD62" s="514">
        <f t="shared" si="13"/>
        <v>0</v>
      </c>
      <c r="AE62" s="514">
        <f t="shared" si="13"/>
        <v>0</v>
      </c>
      <c r="AF62" s="514">
        <f t="shared" si="13"/>
        <v>0</v>
      </c>
    </row>
    <row r="63" spans="1:32" x14ac:dyDescent="0.3">
      <c r="A63" s="511" t="s">
        <v>240</v>
      </c>
      <c r="B63" s="511" t="s">
        <v>131</v>
      </c>
      <c r="D63" s="511">
        <v>0</v>
      </c>
      <c r="E63" s="511">
        <v>1</v>
      </c>
      <c r="F63" s="511">
        <v>0</v>
      </c>
      <c r="G63" s="511">
        <v>1</v>
      </c>
      <c r="H63" s="511">
        <v>0</v>
      </c>
      <c r="I63" s="511">
        <v>0</v>
      </c>
      <c r="J63" s="511">
        <v>1</v>
      </c>
      <c r="K63" s="511">
        <v>0</v>
      </c>
      <c r="L63" s="511">
        <v>0</v>
      </c>
      <c r="N63" s="511">
        <f t="shared" ref="N63:V66" si="28">ROUND(D63*N$1,)</f>
        <v>0</v>
      </c>
      <c r="O63" s="511">
        <f t="shared" si="28"/>
        <v>1</v>
      </c>
      <c r="P63" s="511">
        <f t="shared" si="28"/>
        <v>0</v>
      </c>
      <c r="Q63" s="511">
        <f t="shared" si="28"/>
        <v>1</v>
      </c>
      <c r="R63" s="511">
        <f t="shared" si="28"/>
        <v>0</v>
      </c>
      <c r="S63" s="511">
        <f t="shared" si="28"/>
        <v>0</v>
      </c>
      <c r="T63" s="511">
        <f t="shared" si="28"/>
        <v>1</v>
      </c>
      <c r="U63" s="511">
        <f t="shared" si="28"/>
        <v>0</v>
      </c>
      <c r="V63" s="511">
        <f t="shared" si="28"/>
        <v>0</v>
      </c>
      <c r="X63" s="514">
        <f t="shared" si="15"/>
        <v>0</v>
      </c>
      <c r="Y63" s="514">
        <f t="shared" si="15"/>
        <v>0</v>
      </c>
      <c r="Z63" s="514">
        <f t="shared" si="15"/>
        <v>0</v>
      </c>
      <c r="AA63" s="514">
        <f t="shared" si="15"/>
        <v>0</v>
      </c>
      <c r="AB63" s="514">
        <f t="shared" si="15"/>
        <v>0</v>
      </c>
      <c r="AC63" s="514">
        <f t="shared" si="15"/>
        <v>0</v>
      </c>
      <c r="AD63" s="514">
        <f t="shared" si="15"/>
        <v>0</v>
      </c>
      <c r="AE63" s="514">
        <f t="shared" si="15"/>
        <v>0</v>
      </c>
      <c r="AF63" s="514">
        <f t="shared" si="15"/>
        <v>0</v>
      </c>
    </row>
    <row r="64" spans="1:32" x14ac:dyDescent="0.3">
      <c r="A64" s="511" t="s">
        <v>240</v>
      </c>
      <c r="B64" s="511" t="s">
        <v>132</v>
      </c>
      <c r="D64" s="511">
        <v>5</v>
      </c>
      <c r="E64" s="511">
        <v>4</v>
      </c>
      <c r="F64" s="511">
        <v>9</v>
      </c>
      <c r="G64" s="511">
        <v>3</v>
      </c>
      <c r="H64" s="511">
        <v>7</v>
      </c>
      <c r="I64" s="511">
        <v>5</v>
      </c>
      <c r="J64" s="511">
        <v>7</v>
      </c>
      <c r="K64" s="511">
        <v>6</v>
      </c>
      <c r="L64" s="511">
        <v>7</v>
      </c>
      <c r="N64" s="511">
        <f t="shared" si="28"/>
        <v>5</v>
      </c>
      <c r="O64" s="511">
        <f t="shared" si="28"/>
        <v>4</v>
      </c>
      <c r="P64" s="511">
        <f t="shared" si="28"/>
        <v>8</v>
      </c>
      <c r="Q64" s="511">
        <f t="shared" si="28"/>
        <v>3</v>
      </c>
      <c r="R64" s="511">
        <f t="shared" si="28"/>
        <v>6</v>
      </c>
      <c r="S64" s="511">
        <f t="shared" si="28"/>
        <v>5</v>
      </c>
      <c r="T64" s="511">
        <f t="shared" si="28"/>
        <v>6</v>
      </c>
      <c r="U64" s="511">
        <f t="shared" si="28"/>
        <v>5</v>
      </c>
      <c r="V64" s="511">
        <f t="shared" si="28"/>
        <v>6</v>
      </c>
      <c r="X64" s="514">
        <f t="shared" ref="X64:AF82" si="29">D64-N64</f>
        <v>0</v>
      </c>
      <c r="Y64" s="514">
        <f t="shared" si="29"/>
        <v>0</v>
      </c>
      <c r="Z64" s="514">
        <f t="shared" si="29"/>
        <v>1</v>
      </c>
      <c r="AA64" s="514">
        <f t="shared" si="29"/>
        <v>0</v>
      </c>
      <c r="AB64" s="514">
        <f t="shared" si="29"/>
        <v>1</v>
      </c>
      <c r="AC64" s="514">
        <f t="shared" si="29"/>
        <v>0</v>
      </c>
      <c r="AD64" s="514">
        <f t="shared" si="29"/>
        <v>1</v>
      </c>
      <c r="AE64" s="514">
        <f t="shared" si="29"/>
        <v>1</v>
      </c>
      <c r="AF64" s="514">
        <f t="shared" si="29"/>
        <v>1</v>
      </c>
    </row>
    <row r="65" spans="1:32" x14ac:dyDescent="0.3">
      <c r="A65" s="511" t="s">
        <v>240</v>
      </c>
      <c r="B65" s="511" t="s">
        <v>133</v>
      </c>
      <c r="D65" s="511">
        <v>2</v>
      </c>
      <c r="E65" s="511">
        <v>2</v>
      </c>
      <c r="F65" s="511">
        <v>1</v>
      </c>
      <c r="G65" s="511">
        <v>2</v>
      </c>
      <c r="H65" s="511">
        <v>2</v>
      </c>
      <c r="I65" s="511">
        <v>0</v>
      </c>
      <c r="J65" s="511">
        <v>2</v>
      </c>
      <c r="K65" s="511">
        <v>3</v>
      </c>
      <c r="L65" s="511">
        <v>3</v>
      </c>
      <c r="N65" s="511">
        <f t="shared" si="28"/>
        <v>2</v>
      </c>
      <c r="O65" s="511">
        <f t="shared" si="28"/>
        <v>2</v>
      </c>
      <c r="P65" s="511">
        <f t="shared" si="28"/>
        <v>1</v>
      </c>
      <c r="Q65" s="511">
        <f t="shared" si="28"/>
        <v>2</v>
      </c>
      <c r="R65" s="511">
        <f t="shared" si="28"/>
        <v>2</v>
      </c>
      <c r="S65" s="511">
        <f t="shared" si="28"/>
        <v>0</v>
      </c>
      <c r="T65" s="511">
        <f t="shared" si="28"/>
        <v>2</v>
      </c>
      <c r="U65" s="511">
        <f t="shared" si="28"/>
        <v>3</v>
      </c>
      <c r="V65" s="511">
        <f t="shared" si="28"/>
        <v>3</v>
      </c>
      <c r="X65" s="514">
        <f t="shared" si="29"/>
        <v>0</v>
      </c>
      <c r="Y65" s="514">
        <f t="shared" si="29"/>
        <v>0</v>
      </c>
      <c r="Z65" s="514">
        <f t="shared" si="29"/>
        <v>0</v>
      </c>
      <c r="AA65" s="514">
        <f t="shared" si="29"/>
        <v>0</v>
      </c>
      <c r="AB65" s="514">
        <f t="shared" si="29"/>
        <v>0</v>
      </c>
      <c r="AC65" s="514">
        <f t="shared" si="29"/>
        <v>0</v>
      </c>
      <c r="AD65" s="514">
        <f t="shared" si="29"/>
        <v>0</v>
      </c>
      <c r="AE65" s="514">
        <f t="shared" si="29"/>
        <v>0</v>
      </c>
      <c r="AF65" s="514">
        <f t="shared" si="29"/>
        <v>0</v>
      </c>
    </row>
    <row r="66" spans="1:32" x14ac:dyDescent="0.3">
      <c r="A66" s="511" t="s">
        <v>240</v>
      </c>
      <c r="B66" s="511" t="s">
        <v>134</v>
      </c>
      <c r="D66" s="511">
        <v>0</v>
      </c>
      <c r="E66" s="511">
        <v>0</v>
      </c>
      <c r="F66" s="511">
        <v>0</v>
      </c>
      <c r="G66" s="511">
        <v>0</v>
      </c>
      <c r="H66" s="511">
        <v>0</v>
      </c>
      <c r="I66" s="511">
        <v>0</v>
      </c>
      <c r="J66" s="511">
        <v>0</v>
      </c>
      <c r="K66" s="511">
        <v>0</v>
      </c>
      <c r="L66" s="511">
        <v>0</v>
      </c>
      <c r="N66" s="511">
        <f t="shared" si="28"/>
        <v>0</v>
      </c>
      <c r="O66" s="511">
        <f t="shared" si="28"/>
        <v>0</v>
      </c>
      <c r="P66" s="511">
        <f t="shared" si="28"/>
        <v>0</v>
      </c>
      <c r="Q66" s="511">
        <f t="shared" si="28"/>
        <v>0</v>
      </c>
      <c r="R66" s="511">
        <f t="shared" si="28"/>
        <v>0</v>
      </c>
      <c r="S66" s="511">
        <f t="shared" si="28"/>
        <v>0</v>
      </c>
      <c r="T66" s="511">
        <f t="shared" si="28"/>
        <v>0</v>
      </c>
      <c r="U66" s="511">
        <f t="shared" si="28"/>
        <v>0</v>
      </c>
      <c r="V66" s="511">
        <f t="shared" si="28"/>
        <v>0</v>
      </c>
      <c r="X66" s="514">
        <f t="shared" si="29"/>
        <v>0</v>
      </c>
      <c r="Y66" s="514">
        <f t="shared" si="29"/>
        <v>0</v>
      </c>
      <c r="Z66" s="514">
        <f t="shared" si="29"/>
        <v>0</v>
      </c>
      <c r="AA66" s="514">
        <f t="shared" si="29"/>
        <v>0</v>
      </c>
      <c r="AB66" s="514">
        <f t="shared" si="29"/>
        <v>0</v>
      </c>
      <c r="AC66" s="514">
        <f t="shared" si="29"/>
        <v>0</v>
      </c>
      <c r="AD66" s="514">
        <f t="shared" si="29"/>
        <v>0</v>
      </c>
      <c r="AE66" s="514">
        <f t="shared" si="29"/>
        <v>0</v>
      </c>
      <c r="AF66" s="514">
        <f t="shared" si="29"/>
        <v>0</v>
      </c>
    </row>
    <row r="67" spans="1:32" x14ac:dyDescent="0.3">
      <c r="A67" s="511" t="s">
        <v>240</v>
      </c>
      <c r="B67" s="511" t="s">
        <v>135</v>
      </c>
      <c r="D67" s="511">
        <v>0</v>
      </c>
      <c r="E67" s="511">
        <v>0</v>
      </c>
      <c r="F67" s="511">
        <v>0</v>
      </c>
      <c r="G67" s="511">
        <v>0</v>
      </c>
      <c r="H67" s="511">
        <v>0</v>
      </c>
      <c r="I67" s="511">
        <v>0</v>
      </c>
      <c r="J67" s="511">
        <v>1</v>
      </c>
      <c r="K67" s="511">
        <v>0</v>
      </c>
      <c r="L67" s="511">
        <v>0</v>
      </c>
      <c r="N67" s="511">
        <f t="shared" ref="N67:V67" si="30">D67</f>
        <v>0</v>
      </c>
      <c r="O67" s="511">
        <f t="shared" si="30"/>
        <v>0</v>
      </c>
      <c r="P67" s="511">
        <f t="shared" si="30"/>
        <v>0</v>
      </c>
      <c r="Q67" s="511">
        <f t="shared" si="30"/>
        <v>0</v>
      </c>
      <c r="R67" s="511">
        <f t="shared" si="30"/>
        <v>0</v>
      </c>
      <c r="S67" s="511">
        <f t="shared" si="30"/>
        <v>0</v>
      </c>
      <c r="T67" s="511">
        <f t="shared" si="30"/>
        <v>1</v>
      </c>
      <c r="U67" s="511">
        <f t="shared" si="30"/>
        <v>0</v>
      </c>
      <c r="V67" s="511">
        <f t="shared" si="30"/>
        <v>0</v>
      </c>
      <c r="X67" s="514">
        <f t="shared" si="29"/>
        <v>0</v>
      </c>
      <c r="Y67" s="514">
        <f t="shared" si="29"/>
        <v>0</v>
      </c>
      <c r="Z67" s="514">
        <f t="shared" si="29"/>
        <v>0</v>
      </c>
      <c r="AA67" s="514">
        <f t="shared" si="29"/>
        <v>0</v>
      </c>
      <c r="AB67" s="514">
        <f t="shared" si="29"/>
        <v>0</v>
      </c>
      <c r="AC67" s="514">
        <f t="shared" si="29"/>
        <v>0</v>
      </c>
      <c r="AD67" s="514">
        <f t="shared" si="29"/>
        <v>0</v>
      </c>
      <c r="AE67" s="514">
        <f t="shared" si="29"/>
        <v>0</v>
      </c>
      <c r="AF67" s="514">
        <f t="shared" si="29"/>
        <v>0</v>
      </c>
    </row>
    <row r="68" spans="1:32" x14ac:dyDescent="0.3">
      <c r="A68" s="511" t="s">
        <v>519</v>
      </c>
      <c r="B68" s="511" t="s">
        <v>131</v>
      </c>
      <c r="D68" s="511">
        <v>0</v>
      </c>
      <c r="E68" s="511">
        <v>0</v>
      </c>
      <c r="F68" s="511">
        <v>0</v>
      </c>
      <c r="G68" s="511">
        <v>0</v>
      </c>
      <c r="H68" s="511">
        <v>0</v>
      </c>
      <c r="I68" s="511">
        <v>0</v>
      </c>
      <c r="J68" s="511">
        <v>0</v>
      </c>
      <c r="K68" s="511">
        <v>0</v>
      </c>
      <c r="L68" s="511">
        <v>0</v>
      </c>
      <c r="N68" s="511">
        <f t="shared" ref="N68:V76" si="31">ROUND(D68*N$1,)</f>
        <v>0</v>
      </c>
      <c r="O68" s="511">
        <f t="shared" si="31"/>
        <v>0</v>
      </c>
      <c r="P68" s="511">
        <f t="shared" si="31"/>
        <v>0</v>
      </c>
      <c r="Q68" s="511">
        <f t="shared" si="31"/>
        <v>0</v>
      </c>
      <c r="R68" s="511">
        <f t="shared" si="31"/>
        <v>0</v>
      </c>
      <c r="S68" s="511">
        <f t="shared" si="31"/>
        <v>0</v>
      </c>
      <c r="T68" s="511">
        <f t="shared" si="31"/>
        <v>0</v>
      </c>
      <c r="U68" s="511">
        <f t="shared" si="31"/>
        <v>0</v>
      </c>
      <c r="V68" s="511">
        <f t="shared" si="31"/>
        <v>0</v>
      </c>
      <c r="X68" s="514">
        <f t="shared" si="29"/>
        <v>0</v>
      </c>
      <c r="Y68" s="514">
        <f t="shared" si="29"/>
        <v>0</v>
      </c>
      <c r="Z68" s="514">
        <f t="shared" si="29"/>
        <v>0</v>
      </c>
      <c r="AA68" s="514">
        <f t="shared" si="29"/>
        <v>0</v>
      </c>
      <c r="AB68" s="514">
        <f t="shared" si="29"/>
        <v>0</v>
      </c>
      <c r="AC68" s="514">
        <f t="shared" si="29"/>
        <v>0</v>
      </c>
      <c r="AD68" s="514">
        <f t="shared" si="29"/>
        <v>0</v>
      </c>
      <c r="AE68" s="514">
        <f t="shared" si="29"/>
        <v>0</v>
      </c>
      <c r="AF68" s="514">
        <f t="shared" si="29"/>
        <v>0</v>
      </c>
    </row>
    <row r="69" spans="1:32" x14ac:dyDescent="0.3">
      <c r="A69" s="511" t="s">
        <v>519</v>
      </c>
      <c r="B69" s="511" t="s">
        <v>132</v>
      </c>
      <c r="D69" s="511">
        <v>36</v>
      </c>
      <c r="E69" s="511">
        <v>41</v>
      </c>
      <c r="F69" s="511">
        <v>38</v>
      </c>
      <c r="G69" s="511">
        <v>43</v>
      </c>
      <c r="H69" s="511">
        <v>40</v>
      </c>
      <c r="I69" s="511">
        <v>41</v>
      </c>
      <c r="J69" s="511">
        <v>26</v>
      </c>
      <c r="K69" s="511">
        <v>44</v>
      </c>
      <c r="L69" s="511">
        <v>35</v>
      </c>
      <c r="N69" s="511">
        <f t="shared" si="31"/>
        <v>32</v>
      </c>
      <c r="O69" s="511">
        <f t="shared" si="31"/>
        <v>37</v>
      </c>
      <c r="P69" s="511">
        <f t="shared" si="31"/>
        <v>34</v>
      </c>
      <c r="Q69" s="511">
        <f t="shared" si="31"/>
        <v>39</v>
      </c>
      <c r="R69" s="511">
        <f t="shared" si="31"/>
        <v>36</v>
      </c>
      <c r="S69" s="511">
        <f t="shared" si="31"/>
        <v>37</v>
      </c>
      <c r="T69" s="511">
        <f t="shared" si="31"/>
        <v>23</v>
      </c>
      <c r="U69" s="511">
        <f t="shared" si="31"/>
        <v>40</v>
      </c>
      <c r="V69" s="511">
        <f t="shared" si="31"/>
        <v>32</v>
      </c>
      <c r="X69" s="514">
        <f t="shared" si="29"/>
        <v>4</v>
      </c>
      <c r="Y69" s="514">
        <f t="shared" si="29"/>
        <v>4</v>
      </c>
      <c r="Z69" s="514">
        <f t="shared" si="29"/>
        <v>4</v>
      </c>
      <c r="AA69" s="514">
        <f t="shared" si="29"/>
        <v>4</v>
      </c>
      <c r="AB69" s="514">
        <f t="shared" si="29"/>
        <v>4</v>
      </c>
      <c r="AC69" s="514">
        <f t="shared" si="29"/>
        <v>4</v>
      </c>
      <c r="AD69" s="514">
        <f t="shared" si="29"/>
        <v>3</v>
      </c>
      <c r="AE69" s="514">
        <f t="shared" si="29"/>
        <v>4</v>
      </c>
      <c r="AF69" s="514">
        <f t="shared" si="29"/>
        <v>3</v>
      </c>
    </row>
    <row r="70" spans="1:32" x14ac:dyDescent="0.3">
      <c r="A70" s="511" t="s">
        <v>519</v>
      </c>
      <c r="B70" s="511" t="s">
        <v>133</v>
      </c>
      <c r="D70" s="511">
        <v>30</v>
      </c>
      <c r="E70" s="511">
        <v>27</v>
      </c>
      <c r="F70" s="511">
        <v>28</v>
      </c>
      <c r="G70" s="511">
        <v>24</v>
      </c>
      <c r="H70" s="511">
        <v>32</v>
      </c>
      <c r="I70" s="511">
        <v>23</v>
      </c>
      <c r="J70" s="511">
        <v>28</v>
      </c>
      <c r="K70" s="511">
        <v>28</v>
      </c>
      <c r="L70" s="511">
        <v>30</v>
      </c>
      <c r="N70" s="511">
        <f t="shared" si="31"/>
        <v>27</v>
      </c>
      <c r="O70" s="511">
        <f t="shared" si="31"/>
        <v>24</v>
      </c>
      <c r="P70" s="511">
        <f t="shared" si="31"/>
        <v>25</v>
      </c>
      <c r="Q70" s="511">
        <f t="shared" si="31"/>
        <v>22</v>
      </c>
      <c r="R70" s="511">
        <f t="shared" si="31"/>
        <v>29</v>
      </c>
      <c r="S70" s="511">
        <f t="shared" si="31"/>
        <v>21</v>
      </c>
      <c r="T70" s="511">
        <f t="shared" si="31"/>
        <v>25</v>
      </c>
      <c r="U70" s="511">
        <f t="shared" si="31"/>
        <v>25</v>
      </c>
      <c r="V70" s="511">
        <f t="shared" si="31"/>
        <v>27</v>
      </c>
      <c r="X70" s="514">
        <f t="shared" si="29"/>
        <v>3</v>
      </c>
      <c r="Y70" s="514">
        <f t="shared" si="29"/>
        <v>3</v>
      </c>
      <c r="Z70" s="514">
        <f t="shared" si="29"/>
        <v>3</v>
      </c>
      <c r="AA70" s="514">
        <f t="shared" si="29"/>
        <v>2</v>
      </c>
      <c r="AB70" s="514">
        <f t="shared" si="29"/>
        <v>3</v>
      </c>
      <c r="AC70" s="514">
        <f t="shared" si="29"/>
        <v>2</v>
      </c>
      <c r="AD70" s="514">
        <f t="shared" si="29"/>
        <v>3</v>
      </c>
      <c r="AE70" s="514">
        <f t="shared" si="29"/>
        <v>3</v>
      </c>
      <c r="AF70" s="514">
        <f t="shared" si="29"/>
        <v>3</v>
      </c>
    </row>
    <row r="71" spans="1:32" x14ac:dyDescent="0.3">
      <c r="A71" s="511" t="s">
        <v>519</v>
      </c>
      <c r="B71" s="511" t="s">
        <v>134</v>
      </c>
      <c r="D71" s="511">
        <v>1</v>
      </c>
      <c r="E71" s="511">
        <v>2</v>
      </c>
      <c r="F71" s="511">
        <v>1</v>
      </c>
      <c r="G71" s="511">
        <v>2</v>
      </c>
      <c r="H71" s="511">
        <v>0</v>
      </c>
      <c r="I71" s="511">
        <v>2</v>
      </c>
      <c r="J71" s="511">
        <v>2</v>
      </c>
      <c r="K71" s="511">
        <v>0</v>
      </c>
      <c r="L71" s="511">
        <v>1</v>
      </c>
      <c r="N71" s="511">
        <f t="shared" si="31"/>
        <v>1</v>
      </c>
      <c r="O71" s="511">
        <f t="shared" si="31"/>
        <v>2</v>
      </c>
      <c r="P71" s="511">
        <f t="shared" si="31"/>
        <v>1</v>
      </c>
      <c r="Q71" s="511">
        <f t="shared" si="31"/>
        <v>2</v>
      </c>
      <c r="R71" s="511">
        <f t="shared" si="31"/>
        <v>0</v>
      </c>
      <c r="S71" s="511">
        <f t="shared" si="31"/>
        <v>2</v>
      </c>
      <c r="T71" s="511">
        <f t="shared" si="31"/>
        <v>2</v>
      </c>
      <c r="U71" s="511">
        <f t="shared" si="31"/>
        <v>0</v>
      </c>
      <c r="V71" s="511">
        <f t="shared" si="31"/>
        <v>1</v>
      </c>
      <c r="X71" s="514">
        <f t="shared" si="29"/>
        <v>0</v>
      </c>
      <c r="Y71" s="514">
        <f t="shared" si="29"/>
        <v>0</v>
      </c>
      <c r="Z71" s="514">
        <f t="shared" si="29"/>
        <v>0</v>
      </c>
      <c r="AA71" s="514">
        <f t="shared" si="29"/>
        <v>0</v>
      </c>
      <c r="AB71" s="514">
        <f t="shared" si="29"/>
        <v>0</v>
      </c>
      <c r="AC71" s="514">
        <f t="shared" si="29"/>
        <v>0</v>
      </c>
      <c r="AD71" s="514">
        <f t="shared" si="29"/>
        <v>0</v>
      </c>
      <c r="AE71" s="514">
        <f t="shared" si="29"/>
        <v>0</v>
      </c>
      <c r="AF71" s="514">
        <f t="shared" si="29"/>
        <v>0</v>
      </c>
    </row>
    <row r="72" spans="1:32" x14ac:dyDescent="0.3">
      <c r="A72" s="511" t="s">
        <v>519</v>
      </c>
      <c r="B72" s="511" t="s">
        <v>135</v>
      </c>
      <c r="D72" s="511">
        <v>0</v>
      </c>
      <c r="E72" s="511">
        <v>0</v>
      </c>
      <c r="F72" s="511">
        <v>0</v>
      </c>
      <c r="G72" s="511">
        <v>0</v>
      </c>
      <c r="H72" s="511">
        <v>0</v>
      </c>
      <c r="I72" s="511">
        <v>0</v>
      </c>
      <c r="J72" s="511">
        <v>0</v>
      </c>
      <c r="K72" s="511">
        <v>0</v>
      </c>
      <c r="L72" s="511">
        <v>0</v>
      </c>
      <c r="N72" s="511">
        <f>D72</f>
        <v>0</v>
      </c>
      <c r="O72" s="511">
        <f t="shared" si="31"/>
        <v>0</v>
      </c>
      <c r="P72" s="511">
        <f t="shared" si="31"/>
        <v>0</v>
      </c>
      <c r="Q72" s="511">
        <f t="shared" si="31"/>
        <v>0</v>
      </c>
      <c r="R72" s="511">
        <f t="shared" si="31"/>
        <v>0</v>
      </c>
      <c r="S72" s="511">
        <f t="shared" si="31"/>
        <v>0</v>
      </c>
      <c r="T72" s="511">
        <f t="shared" si="31"/>
        <v>0</v>
      </c>
      <c r="U72" s="511">
        <f t="shared" si="31"/>
        <v>0</v>
      </c>
      <c r="V72" s="511">
        <f t="shared" si="31"/>
        <v>0</v>
      </c>
      <c r="X72" s="514">
        <f t="shared" si="29"/>
        <v>0</v>
      </c>
      <c r="Y72" s="514">
        <f t="shared" si="29"/>
        <v>0</v>
      </c>
      <c r="Z72" s="514">
        <f t="shared" si="29"/>
        <v>0</v>
      </c>
      <c r="AA72" s="514">
        <f t="shared" si="29"/>
        <v>0</v>
      </c>
      <c r="AB72" s="514">
        <f t="shared" si="29"/>
        <v>0</v>
      </c>
      <c r="AC72" s="514">
        <f t="shared" si="29"/>
        <v>0</v>
      </c>
      <c r="AD72" s="514">
        <f t="shared" si="29"/>
        <v>0</v>
      </c>
      <c r="AE72" s="514">
        <f t="shared" si="29"/>
        <v>0</v>
      </c>
      <c r="AF72" s="514">
        <f t="shared" si="29"/>
        <v>0</v>
      </c>
    </row>
    <row r="73" spans="1:32" x14ac:dyDescent="0.3">
      <c r="A73" s="511" t="s">
        <v>559</v>
      </c>
      <c r="B73" s="511" t="s">
        <v>131</v>
      </c>
      <c r="D73" s="511">
        <v>0</v>
      </c>
      <c r="E73" s="511">
        <v>0</v>
      </c>
      <c r="F73" s="511">
        <v>1</v>
      </c>
      <c r="G73" s="511">
        <v>0</v>
      </c>
      <c r="H73" s="511">
        <v>0</v>
      </c>
      <c r="I73" s="511">
        <v>0</v>
      </c>
      <c r="J73" s="511">
        <v>0</v>
      </c>
      <c r="K73" s="511">
        <v>0</v>
      </c>
      <c r="L73" s="511">
        <v>0</v>
      </c>
      <c r="N73" s="511">
        <f t="shared" ref="N73:N76" si="32">ROUND(D73*N$1,)</f>
        <v>0</v>
      </c>
      <c r="O73" s="511">
        <f t="shared" si="31"/>
        <v>0</v>
      </c>
      <c r="P73" s="511">
        <f t="shared" si="31"/>
        <v>1</v>
      </c>
      <c r="Q73" s="511">
        <f t="shared" si="31"/>
        <v>0</v>
      </c>
      <c r="R73" s="511">
        <f t="shared" si="31"/>
        <v>0</v>
      </c>
      <c r="S73" s="511">
        <f t="shared" si="31"/>
        <v>0</v>
      </c>
      <c r="T73" s="511">
        <f t="shared" si="31"/>
        <v>0</v>
      </c>
      <c r="U73" s="511">
        <f t="shared" si="31"/>
        <v>0</v>
      </c>
      <c r="V73" s="511">
        <f t="shared" si="31"/>
        <v>0</v>
      </c>
      <c r="X73" s="514">
        <f t="shared" si="29"/>
        <v>0</v>
      </c>
      <c r="Y73" s="514">
        <f t="shared" si="29"/>
        <v>0</v>
      </c>
      <c r="Z73" s="514">
        <f t="shared" si="29"/>
        <v>0</v>
      </c>
      <c r="AA73" s="514">
        <f t="shared" si="29"/>
        <v>0</v>
      </c>
      <c r="AB73" s="514">
        <f t="shared" si="29"/>
        <v>0</v>
      </c>
      <c r="AC73" s="514">
        <f t="shared" si="29"/>
        <v>0</v>
      </c>
      <c r="AD73" s="514">
        <f t="shared" si="29"/>
        <v>0</v>
      </c>
      <c r="AE73" s="514">
        <f t="shared" si="29"/>
        <v>0</v>
      </c>
      <c r="AF73" s="514">
        <f t="shared" si="29"/>
        <v>0</v>
      </c>
    </row>
    <row r="74" spans="1:32" x14ac:dyDescent="0.3">
      <c r="A74" s="511" t="s">
        <v>559</v>
      </c>
      <c r="B74" s="511" t="s">
        <v>132</v>
      </c>
      <c r="D74" s="511">
        <v>0</v>
      </c>
      <c r="E74" s="511">
        <v>0</v>
      </c>
      <c r="F74" s="511">
        <v>0</v>
      </c>
      <c r="G74" s="511">
        <v>0</v>
      </c>
      <c r="H74" s="511">
        <v>0</v>
      </c>
      <c r="I74" s="511">
        <v>0</v>
      </c>
      <c r="J74" s="511">
        <v>0</v>
      </c>
      <c r="K74" s="511">
        <v>0</v>
      </c>
      <c r="L74" s="511">
        <v>0</v>
      </c>
      <c r="N74" s="511">
        <f t="shared" si="32"/>
        <v>0</v>
      </c>
      <c r="O74" s="511">
        <f t="shared" si="31"/>
        <v>0</v>
      </c>
      <c r="P74" s="511">
        <f t="shared" si="31"/>
        <v>0</v>
      </c>
      <c r="Q74" s="511">
        <f t="shared" si="31"/>
        <v>0</v>
      </c>
      <c r="R74" s="511">
        <f t="shared" si="31"/>
        <v>0</v>
      </c>
      <c r="S74" s="511">
        <f t="shared" si="31"/>
        <v>0</v>
      </c>
      <c r="T74" s="511">
        <f t="shared" si="31"/>
        <v>0</v>
      </c>
      <c r="U74" s="511">
        <f t="shared" si="31"/>
        <v>0</v>
      </c>
      <c r="V74" s="511">
        <f t="shared" si="31"/>
        <v>0</v>
      </c>
      <c r="X74" s="514">
        <f t="shared" si="29"/>
        <v>0</v>
      </c>
      <c r="Y74" s="514">
        <f t="shared" si="29"/>
        <v>0</v>
      </c>
      <c r="Z74" s="514">
        <f t="shared" si="29"/>
        <v>0</v>
      </c>
      <c r="AA74" s="514">
        <f t="shared" si="29"/>
        <v>0</v>
      </c>
      <c r="AB74" s="514">
        <f t="shared" si="29"/>
        <v>0</v>
      </c>
      <c r="AC74" s="514">
        <f t="shared" si="29"/>
        <v>0</v>
      </c>
      <c r="AD74" s="514">
        <f t="shared" si="29"/>
        <v>0</v>
      </c>
      <c r="AE74" s="514">
        <f t="shared" si="29"/>
        <v>0</v>
      </c>
      <c r="AF74" s="514">
        <f t="shared" si="29"/>
        <v>0</v>
      </c>
    </row>
    <row r="75" spans="1:32" x14ac:dyDescent="0.3">
      <c r="A75" s="511" t="s">
        <v>559</v>
      </c>
      <c r="B75" s="511" t="s">
        <v>133</v>
      </c>
      <c r="D75" s="511">
        <v>2</v>
      </c>
      <c r="E75" s="511">
        <v>2</v>
      </c>
      <c r="F75" s="511">
        <v>0</v>
      </c>
      <c r="G75" s="511">
        <v>0</v>
      </c>
      <c r="H75" s="511">
        <v>1</v>
      </c>
      <c r="I75" s="511">
        <v>0</v>
      </c>
      <c r="J75" s="511">
        <v>0</v>
      </c>
      <c r="K75" s="511">
        <v>1</v>
      </c>
      <c r="L75" s="511">
        <v>0</v>
      </c>
      <c r="N75" s="511">
        <f t="shared" si="32"/>
        <v>2</v>
      </c>
      <c r="O75" s="511">
        <f t="shared" si="31"/>
        <v>2</v>
      </c>
      <c r="P75" s="511">
        <f t="shared" si="31"/>
        <v>0</v>
      </c>
      <c r="Q75" s="511">
        <f t="shared" si="31"/>
        <v>0</v>
      </c>
      <c r="R75" s="511">
        <f t="shared" si="31"/>
        <v>1</v>
      </c>
      <c r="S75" s="511">
        <f t="shared" si="31"/>
        <v>0</v>
      </c>
      <c r="T75" s="511">
        <f t="shared" si="31"/>
        <v>0</v>
      </c>
      <c r="U75" s="511">
        <f t="shared" si="31"/>
        <v>1</v>
      </c>
      <c r="V75" s="511">
        <f t="shared" si="31"/>
        <v>0</v>
      </c>
      <c r="X75" s="514">
        <f t="shared" si="29"/>
        <v>0</v>
      </c>
      <c r="Y75" s="514">
        <f t="shared" si="29"/>
        <v>0</v>
      </c>
      <c r="Z75" s="514">
        <f t="shared" si="29"/>
        <v>0</v>
      </c>
      <c r="AA75" s="514">
        <f t="shared" si="29"/>
        <v>0</v>
      </c>
      <c r="AB75" s="514">
        <f t="shared" si="29"/>
        <v>0</v>
      </c>
      <c r="AC75" s="514">
        <f t="shared" si="29"/>
        <v>0</v>
      </c>
      <c r="AD75" s="514">
        <f t="shared" si="29"/>
        <v>0</v>
      </c>
      <c r="AE75" s="514">
        <f t="shared" si="29"/>
        <v>0</v>
      </c>
      <c r="AF75" s="514">
        <f t="shared" si="29"/>
        <v>0</v>
      </c>
    </row>
    <row r="76" spans="1:32" x14ac:dyDescent="0.3">
      <c r="A76" s="511" t="s">
        <v>559</v>
      </c>
      <c r="B76" s="511" t="s">
        <v>134</v>
      </c>
      <c r="D76" s="511">
        <v>0</v>
      </c>
      <c r="E76" s="511">
        <v>0</v>
      </c>
      <c r="F76" s="511">
        <v>0</v>
      </c>
      <c r="G76" s="511">
        <v>0</v>
      </c>
      <c r="H76" s="511">
        <v>0</v>
      </c>
      <c r="I76" s="511">
        <v>0</v>
      </c>
      <c r="J76" s="511">
        <v>0</v>
      </c>
      <c r="K76" s="511">
        <v>0</v>
      </c>
      <c r="L76" s="511">
        <v>0</v>
      </c>
      <c r="N76" s="511">
        <f t="shared" si="32"/>
        <v>0</v>
      </c>
      <c r="O76" s="511">
        <f t="shared" si="31"/>
        <v>0</v>
      </c>
      <c r="P76" s="511">
        <f t="shared" si="31"/>
        <v>0</v>
      </c>
      <c r="Q76" s="511">
        <f t="shared" si="31"/>
        <v>0</v>
      </c>
      <c r="R76" s="511">
        <f t="shared" si="31"/>
        <v>0</v>
      </c>
      <c r="S76" s="511">
        <f t="shared" si="31"/>
        <v>0</v>
      </c>
      <c r="T76" s="511">
        <f t="shared" si="31"/>
        <v>0</v>
      </c>
      <c r="U76" s="511">
        <f t="shared" si="31"/>
        <v>0</v>
      </c>
      <c r="V76" s="511">
        <f t="shared" si="31"/>
        <v>0</v>
      </c>
      <c r="X76" s="514">
        <f t="shared" si="29"/>
        <v>0</v>
      </c>
      <c r="Y76" s="514">
        <f t="shared" si="29"/>
        <v>0</v>
      </c>
      <c r="Z76" s="514">
        <f t="shared" si="29"/>
        <v>0</v>
      </c>
      <c r="AA76" s="514">
        <f t="shared" si="29"/>
        <v>0</v>
      </c>
      <c r="AB76" s="514">
        <f t="shared" si="29"/>
        <v>0</v>
      </c>
      <c r="AC76" s="514">
        <f t="shared" si="29"/>
        <v>0</v>
      </c>
      <c r="AD76" s="514">
        <f t="shared" si="29"/>
        <v>0</v>
      </c>
      <c r="AE76" s="514">
        <f t="shared" si="29"/>
        <v>0</v>
      </c>
      <c r="AF76" s="514">
        <f t="shared" si="29"/>
        <v>0</v>
      </c>
    </row>
    <row r="77" spans="1:32" x14ac:dyDescent="0.3">
      <c r="A77" s="511" t="s">
        <v>559</v>
      </c>
      <c r="B77" s="511" t="s">
        <v>135</v>
      </c>
      <c r="D77" s="511">
        <v>0</v>
      </c>
      <c r="E77" s="511">
        <v>0</v>
      </c>
      <c r="F77" s="511">
        <v>0</v>
      </c>
      <c r="G77" s="511">
        <v>0</v>
      </c>
      <c r="H77" s="511">
        <v>0</v>
      </c>
      <c r="I77" s="511">
        <v>0</v>
      </c>
      <c r="J77" s="511">
        <v>0</v>
      </c>
      <c r="K77" s="511">
        <v>0</v>
      </c>
      <c r="L77" s="511">
        <v>0</v>
      </c>
      <c r="N77" s="511">
        <f t="shared" ref="N77:V77" si="33">D77</f>
        <v>0</v>
      </c>
      <c r="O77" s="511">
        <f t="shared" si="33"/>
        <v>0</v>
      </c>
      <c r="P77" s="511">
        <f t="shared" si="33"/>
        <v>0</v>
      </c>
      <c r="Q77" s="511">
        <f t="shared" si="33"/>
        <v>0</v>
      </c>
      <c r="R77" s="511">
        <f t="shared" si="33"/>
        <v>0</v>
      </c>
      <c r="S77" s="511">
        <f t="shared" si="33"/>
        <v>0</v>
      </c>
      <c r="T77" s="511">
        <f t="shared" si="33"/>
        <v>0</v>
      </c>
      <c r="U77" s="511">
        <f t="shared" si="33"/>
        <v>0</v>
      </c>
      <c r="V77" s="511">
        <f t="shared" si="33"/>
        <v>0</v>
      </c>
      <c r="X77" s="514">
        <f t="shared" si="29"/>
        <v>0</v>
      </c>
      <c r="Y77" s="514">
        <f t="shared" si="29"/>
        <v>0</v>
      </c>
      <c r="Z77" s="514">
        <f t="shared" si="29"/>
        <v>0</v>
      </c>
      <c r="AA77" s="514">
        <f t="shared" si="29"/>
        <v>0</v>
      </c>
      <c r="AB77" s="514">
        <f t="shared" si="29"/>
        <v>0</v>
      </c>
      <c r="AC77" s="514">
        <f t="shared" si="29"/>
        <v>0</v>
      </c>
      <c r="AD77" s="514">
        <f t="shared" si="29"/>
        <v>0</v>
      </c>
      <c r="AE77" s="514">
        <f t="shared" si="29"/>
        <v>0</v>
      </c>
      <c r="AF77" s="514">
        <f t="shared" si="29"/>
        <v>0</v>
      </c>
    </row>
    <row r="78" spans="1:32" x14ac:dyDescent="0.3">
      <c r="A78" s="511" t="s">
        <v>242</v>
      </c>
      <c r="B78" s="511" t="s">
        <v>131</v>
      </c>
      <c r="D78" s="511">
        <v>0</v>
      </c>
      <c r="E78" s="511">
        <v>0</v>
      </c>
      <c r="F78" s="511">
        <v>0</v>
      </c>
      <c r="G78" s="511">
        <v>0</v>
      </c>
      <c r="H78" s="511">
        <v>0</v>
      </c>
      <c r="I78" s="511">
        <v>0</v>
      </c>
      <c r="J78" s="511">
        <v>0</v>
      </c>
      <c r="K78" s="511">
        <v>0</v>
      </c>
      <c r="L78" s="511">
        <v>0</v>
      </c>
      <c r="N78" s="511">
        <f t="shared" ref="N78:V81" si="34">ROUND(D78*N$1,)</f>
        <v>0</v>
      </c>
      <c r="O78" s="511">
        <f t="shared" si="34"/>
        <v>0</v>
      </c>
      <c r="P78" s="511">
        <f t="shared" si="34"/>
        <v>0</v>
      </c>
      <c r="Q78" s="511">
        <f t="shared" si="34"/>
        <v>0</v>
      </c>
      <c r="R78" s="511">
        <f t="shared" si="34"/>
        <v>0</v>
      </c>
      <c r="S78" s="511">
        <f t="shared" si="34"/>
        <v>0</v>
      </c>
      <c r="T78" s="511">
        <f t="shared" si="34"/>
        <v>0</v>
      </c>
      <c r="U78" s="511">
        <f t="shared" si="34"/>
        <v>0</v>
      </c>
      <c r="V78" s="511">
        <f t="shared" si="34"/>
        <v>0</v>
      </c>
      <c r="X78" s="514">
        <f t="shared" si="29"/>
        <v>0</v>
      </c>
      <c r="Y78" s="514">
        <f t="shared" si="29"/>
        <v>0</v>
      </c>
      <c r="Z78" s="514">
        <f t="shared" si="29"/>
        <v>0</v>
      </c>
      <c r="AA78" s="514">
        <f t="shared" si="29"/>
        <v>0</v>
      </c>
      <c r="AB78" s="514">
        <f t="shared" si="29"/>
        <v>0</v>
      </c>
      <c r="AC78" s="514">
        <f t="shared" si="29"/>
        <v>0</v>
      </c>
      <c r="AD78" s="514">
        <f t="shared" si="29"/>
        <v>0</v>
      </c>
      <c r="AE78" s="514">
        <f t="shared" si="29"/>
        <v>0</v>
      </c>
      <c r="AF78" s="514">
        <f t="shared" si="29"/>
        <v>0</v>
      </c>
    </row>
    <row r="79" spans="1:32" x14ac:dyDescent="0.3">
      <c r="A79" s="511" t="s">
        <v>242</v>
      </c>
      <c r="B79" s="511" t="s">
        <v>132</v>
      </c>
      <c r="D79" s="511">
        <v>36</v>
      </c>
      <c r="E79" s="511">
        <v>41</v>
      </c>
      <c r="F79" s="511">
        <v>38</v>
      </c>
      <c r="G79" s="511">
        <v>43</v>
      </c>
      <c r="H79" s="511">
        <v>40</v>
      </c>
      <c r="I79" s="511">
        <v>41</v>
      </c>
      <c r="J79" s="511">
        <v>26</v>
      </c>
      <c r="K79" s="511">
        <v>44</v>
      </c>
      <c r="L79" s="511">
        <v>35</v>
      </c>
      <c r="N79" s="511">
        <f t="shared" si="34"/>
        <v>32</v>
      </c>
      <c r="O79" s="511">
        <f t="shared" si="34"/>
        <v>37</v>
      </c>
      <c r="P79" s="511">
        <f t="shared" si="34"/>
        <v>34</v>
      </c>
      <c r="Q79" s="511">
        <f t="shared" si="34"/>
        <v>39</v>
      </c>
      <c r="R79" s="511">
        <f t="shared" si="34"/>
        <v>36</v>
      </c>
      <c r="S79" s="511">
        <f t="shared" si="34"/>
        <v>37</v>
      </c>
      <c r="T79" s="511">
        <f t="shared" si="34"/>
        <v>23</v>
      </c>
      <c r="U79" s="511">
        <f t="shared" si="34"/>
        <v>40</v>
      </c>
      <c r="V79" s="511">
        <f t="shared" si="34"/>
        <v>32</v>
      </c>
      <c r="X79" s="514">
        <f t="shared" si="29"/>
        <v>4</v>
      </c>
      <c r="Y79" s="514">
        <f t="shared" si="29"/>
        <v>4</v>
      </c>
      <c r="Z79" s="514">
        <f t="shared" si="29"/>
        <v>4</v>
      </c>
      <c r="AA79" s="514">
        <f t="shared" si="29"/>
        <v>4</v>
      </c>
      <c r="AB79" s="514">
        <f t="shared" si="29"/>
        <v>4</v>
      </c>
      <c r="AC79" s="514">
        <f t="shared" si="29"/>
        <v>4</v>
      </c>
      <c r="AD79" s="514">
        <f t="shared" si="29"/>
        <v>3</v>
      </c>
      <c r="AE79" s="514">
        <f t="shared" si="29"/>
        <v>4</v>
      </c>
      <c r="AF79" s="514">
        <f t="shared" si="29"/>
        <v>3</v>
      </c>
    </row>
    <row r="80" spans="1:32" x14ac:dyDescent="0.3">
      <c r="A80" s="511" t="s">
        <v>242</v>
      </c>
      <c r="B80" s="511" t="s">
        <v>133</v>
      </c>
      <c r="D80" s="511">
        <v>30</v>
      </c>
      <c r="E80" s="511">
        <v>27</v>
      </c>
      <c r="F80" s="511">
        <v>28</v>
      </c>
      <c r="G80" s="511">
        <v>24</v>
      </c>
      <c r="H80" s="511">
        <v>32</v>
      </c>
      <c r="I80" s="511">
        <v>23</v>
      </c>
      <c r="J80" s="511">
        <v>28</v>
      </c>
      <c r="K80" s="511">
        <v>28</v>
      </c>
      <c r="L80" s="511">
        <v>30</v>
      </c>
      <c r="N80" s="511">
        <f t="shared" si="34"/>
        <v>27</v>
      </c>
      <c r="O80" s="511">
        <f t="shared" si="34"/>
        <v>24</v>
      </c>
      <c r="P80" s="511">
        <f t="shared" si="34"/>
        <v>25</v>
      </c>
      <c r="Q80" s="511">
        <f t="shared" si="34"/>
        <v>22</v>
      </c>
      <c r="R80" s="511">
        <f t="shared" si="34"/>
        <v>29</v>
      </c>
      <c r="S80" s="511">
        <f t="shared" si="34"/>
        <v>21</v>
      </c>
      <c r="T80" s="511">
        <f t="shared" si="34"/>
        <v>25</v>
      </c>
      <c r="U80" s="511">
        <f t="shared" si="34"/>
        <v>25</v>
      </c>
      <c r="V80" s="511">
        <f t="shared" si="34"/>
        <v>27</v>
      </c>
      <c r="X80" s="514">
        <f t="shared" si="29"/>
        <v>3</v>
      </c>
      <c r="Y80" s="514">
        <f t="shared" si="29"/>
        <v>3</v>
      </c>
      <c r="Z80" s="514">
        <f t="shared" si="29"/>
        <v>3</v>
      </c>
      <c r="AA80" s="514">
        <f t="shared" si="29"/>
        <v>2</v>
      </c>
      <c r="AB80" s="514">
        <f t="shared" si="29"/>
        <v>3</v>
      </c>
      <c r="AC80" s="514">
        <f t="shared" si="29"/>
        <v>2</v>
      </c>
      <c r="AD80" s="514">
        <f t="shared" si="29"/>
        <v>3</v>
      </c>
      <c r="AE80" s="514">
        <f t="shared" si="29"/>
        <v>3</v>
      </c>
      <c r="AF80" s="514">
        <f t="shared" si="29"/>
        <v>3</v>
      </c>
    </row>
    <row r="81" spans="1:32" x14ac:dyDescent="0.3">
      <c r="A81" s="511" t="s">
        <v>242</v>
      </c>
      <c r="B81" s="511" t="s">
        <v>134</v>
      </c>
      <c r="D81" s="511">
        <v>1</v>
      </c>
      <c r="E81" s="511">
        <v>2</v>
      </c>
      <c r="F81" s="511">
        <v>1</v>
      </c>
      <c r="G81" s="511">
        <v>2</v>
      </c>
      <c r="H81" s="511">
        <v>0</v>
      </c>
      <c r="I81" s="511">
        <v>2</v>
      </c>
      <c r="J81" s="511">
        <v>2</v>
      </c>
      <c r="K81" s="511">
        <v>0</v>
      </c>
      <c r="L81" s="511">
        <v>1</v>
      </c>
      <c r="N81" s="511">
        <f t="shared" si="34"/>
        <v>1</v>
      </c>
      <c r="O81" s="511">
        <f t="shared" si="34"/>
        <v>2</v>
      </c>
      <c r="P81" s="511">
        <f t="shared" si="34"/>
        <v>1</v>
      </c>
      <c r="Q81" s="511">
        <f t="shared" si="34"/>
        <v>2</v>
      </c>
      <c r="R81" s="511">
        <f t="shared" si="34"/>
        <v>0</v>
      </c>
      <c r="S81" s="511">
        <f t="shared" si="34"/>
        <v>2</v>
      </c>
      <c r="T81" s="511">
        <f t="shared" si="34"/>
        <v>2</v>
      </c>
      <c r="U81" s="511">
        <f t="shared" si="34"/>
        <v>0</v>
      </c>
      <c r="V81" s="511">
        <f t="shared" si="34"/>
        <v>1</v>
      </c>
      <c r="X81" s="514">
        <f t="shared" si="29"/>
        <v>0</v>
      </c>
      <c r="Y81" s="514">
        <f t="shared" si="29"/>
        <v>0</v>
      </c>
      <c r="Z81" s="514">
        <f t="shared" si="29"/>
        <v>0</v>
      </c>
      <c r="AA81" s="514">
        <f t="shared" si="29"/>
        <v>0</v>
      </c>
      <c r="AB81" s="514">
        <f t="shared" si="29"/>
        <v>0</v>
      </c>
      <c r="AC81" s="514">
        <f t="shared" si="29"/>
        <v>0</v>
      </c>
      <c r="AD81" s="514">
        <f t="shared" si="29"/>
        <v>0</v>
      </c>
      <c r="AE81" s="514">
        <f t="shared" si="29"/>
        <v>0</v>
      </c>
      <c r="AF81" s="514">
        <f t="shared" si="29"/>
        <v>0</v>
      </c>
    </row>
    <row r="82" spans="1:32" x14ac:dyDescent="0.3">
      <c r="A82" s="511" t="s">
        <v>242</v>
      </c>
      <c r="B82" s="511" t="s">
        <v>135</v>
      </c>
      <c r="D82" s="511">
        <v>0</v>
      </c>
      <c r="E82" s="511">
        <v>0</v>
      </c>
      <c r="F82" s="511">
        <v>0</v>
      </c>
      <c r="G82" s="511">
        <v>0</v>
      </c>
      <c r="H82" s="511">
        <v>0</v>
      </c>
      <c r="I82" s="511">
        <v>0</v>
      </c>
      <c r="J82" s="511">
        <v>0</v>
      </c>
      <c r="K82" s="511">
        <v>0</v>
      </c>
      <c r="L82" s="511">
        <v>0</v>
      </c>
      <c r="N82" s="511">
        <f t="shared" ref="N82:V82" si="35">D82</f>
        <v>0</v>
      </c>
      <c r="O82" s="511">
        <f t="shared" si="35"/>
        <v>0</v>
      </c>
      <c r="P82" s="511">
        <f t="shared" si="35"/>
        <v>0</v>
      </c>
      <c r="Q82" s="511">
        <f t="shared" si="35"/>
        <v>0</v>
      </c>
      <c r="R82" s="511">
        <f t="shared" si="35"/>
        <v>0</v>
      </c>
      <c r="S82" s="511">
        <f t="shared" si="35"/>
        <v>0</v>
      </c>
      <c r="T82" s="511">
        <f t="shared" si="35"/>
        <v>0</v>
      </c>
      <c r="U82" s="511">
        <f t="shared" si="35"/>
        <v>0</v>
      </c>
      <c r="V82" s="511">
        <f t="shared" si="35"/>
        <v>0</v>
      </c>
      <c r="X82" s="514">
        <f t="shared" si="29"/>
        <v>0</v>
      </c>
      <c r="Y82" s="514">
        <f t="shared" si="29"/>
        <v>0</v>
      </c>
      <c r="Z82" s="514">
        <f t="shared" si="29"/>
        <v>0</v>
      </c>
      <c r="AA82" s="514">
        <f t="shared" si="29"/>
        <v>0</v>
      </c>
      <c r="AB82" s="514">
        <f t="shared" si="29"/>
        <v>0</v>
      </c>
      <c r="AC82" s="514">
        <f t="shared" si="29"/>
        <v>0</v>
      </c>
      <c r="AD82" s="514">
        <f t="shared" si="29"/>
        <v>0</v>
      </c>
      <c r="AE82" s="514">
        <f t="shared" si="29"/>
        <v>0</v>
      </c>
      <c r="AF82" s="514">
        <f t="shared" si="29"/>
        <v>0</v>
      </c>
    </row>
  </sheetData>
  <autoFilter ref="A2:AF82" xr:uid="{D39FAFC0-EB82-4BDF-9065-1B660B92E9BC}"/>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Summary</vt:lpstr>
      <vt:lpstr>Proforma BS</vt:lpstr>
      <vt:lpstr>Proforma CF</vt:lpstr>
      <vt:lpstr>Proforma CE</vt:lpstr>
      <vt:lpstr>Proforma PL</vt:lpstr>
      <vt:lpstr>DCF</vt:lpstr>
      <vt:lpstr>Key Assumption</vt:lpstr>
      <vt:lpstr>Revenue_HW</vt:lpstr>
      <vt:lpstr>COGS_HW</vt:lpstr>
      <vt:lpstr>SG&amp;A_HW</vt:lpstr>
      <vt:lpstr>CAPEX_HW</vt:lpstr>
      <vt:lpstr>NWC_연결</vt:lpstr>
      <vt:lpstr>Projection_유럽</vt:lpstr>
      <vt:lpstr>Projection_미국</vt:lpstr>
      <vt:lpstr>Projection_강소</vt:lpstr>
      <vt:lpstr>Projection_중국</vt:lpstr>
      <vt:lpstr>CAPEX_강소</vt:lpstr>
      <vt:lpstr>기종별마진</vt:lpstr>
      <vt:lpstr>판매수량</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Chung, Dah-Hyun (KR/Deal Adv9)</dc:creator>
  <cp:lastModifiedBy>Oh, Hyun-Seok (KR/Deal Adv9)</cp:lastModifiedBy>
  <dcterms:created xsi:type="dcterms:W3CDTF">2024-05-20T06:26:39Z</dcterms:created>
  <dcterms:modified xsi:type="dcterms:W3CDTF">2025-03-08T13:17:37Z</dcterms:modified>
</cp:coreProperties>
</file>