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Calculation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GPCM" sheetId="6" state="visible" r:id="rId6"/>
    <sheet xmlns:r="http://schemas.openxmlformats.org/officeDocument/2006/relationships" name="GTM" sheetId="7" state="visible" r:id="rId7"/>
  </sheets>
  <definedNames>
    <definedName name="CPI" hidden="0" function="0" vbProcedure="0">Input!$E$22</definedName>
    <definedName name="mn" hidden="0" function="0" vbProcedure="0">Input!$E$17</definedName>
    <definedName name="PPI" hidden="0" function="0" vbProcedure="0">input!#ref!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6">
    <numFmt numFmtId="164" formatCode="m/d/yyyy"/>
    <numFmt numFmtId="165" formatCode="_-* #,##0_-;\-* #,##0_-;_-* \-_-;_-@_-"/>
    <numFmt numFmtId="166" formatCode="[$-409]dd/mmm/yy;@"/>
    <numFmt numFmtId="167" formatCode="0.0%"/>
    <numFmt numFmtId="168" formatCode="_-* #,##0_-;\-* #,##0_-;_-* \-??_-;_-@_-"/>
    <numFmt numFmtId="169" formatCode="_-* #,##0.00_-;\-* #,##0.00_-;_-* \-_-;_-@_-"/>
    <numFmt numFmtId="170" formatCode="_-* #,##0.00_-;\-* #,##0.00_-;_-* \-??_-;_-@_-"/>
    <numFmt numFmtId="171" formatCode="#,##0_);[RED]\(#,##0\)"/>
    <numFmt numFmtId="172" formatCode="0.0\x"/>
    <numFmt numFmtId="173" formatCode="yyyy\-mm\-dd"/>
    <numFmt numFmtId="174" formatCode="_(* #,##0_);_(* \(#,##0\);_(* \-_);_(@_)"/>
    <numFmt numFmtId="175" formatCode="_(\ #,##0.0%_);_(&quot; (&quot;#,##0.0%\);_(&quot;  - %&quot;_);_(@_)"/>
    <numFmt numFmtId="176" formatCode="#,##0_);\(#,##0\);&quot; - &quot;_);@_)"/>
    <numFmt numFmtId="177" formatCode="\ #,##0.0_);\(#,##0.0\);&quot; - &quot;_);@_)"/>
    <numFmt numFmtId="178" formatCode="\ #,##0.00_);\(#,##0.00\);&quot; - &quot;_);@_)"/>
    <numFmt numFmtId="179" formatCode="#,##0;\(#,##0\);\-"/>
  </numFmts>
  <fonts count="61">
    <font>
      <name val="맑은 고딕"/>
      <charset val="129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rial Narrow"/>
      <charset val="1"/>
      <family val="2"/>
      <sz val="10"/>
    </font>
    <font>
      <name val="Arial Narrow"/>
      <charset val="1"/>
      <family val="2"/>
      <b val="1"/>
      <color rgb="FF7F7E82"/>
      <sz val="10"/>
    </font>
    <font>
      <name val="Arial Narrow"/>
      <charset val="1"/>
      <family val="2"/>
      <b val="1"/>
      <color rgb="FF333333"/>
      <sz val="10"/>
    </font>
    <font>
      <name val="Arial Narrow"/>
      <charset val="1"/>
      <family val="2"/>
      <b val="1"/>
      <color rgb="FF000080"/>
      <sz val="10"/>
    </font>
    <font>
      <name val="Arial Narrow"/>
      <charset val="1"/>
      <family val="2"/>
      <b val="1"/>
      <color rgb="FF993366"/>
      <sz val="10"/>
    </font>
    <font>
      <name val="Times New Roman"/>
      <charset val="1"/>
      <family val="1"/>
      <b val="1"/>
      <sz val="10"/>
      <u val="single"/>
    </font>
    <font>
      <name val="Arial Narrow"/>
      <charset val="1"/>
      <family val="2"/>
      <i val="1"/>
      <color rgb="FF993366"/>
      <sz val="10"/>
    </font>
    <font>
      <name val="Arial Narrow"/>
      <charset val="1"/>
      <family val="2"/>
      <i val="1"/>
      <color rgb="FF000080"/>
      <sz val="10"/>
    </font>
    <font>
      <name val="Arial Narrow"/>
      <charset val="1"/>
      <family val="2"/>
      <color rgb="FF993366"/>
      <sz val="10"/>
    </font>
    <font>
      <name val="Arial Narrow"/>
      <charset val="1"/>
      <family val="2"/>
      <color rgb="FF000080"/>
      <sz val="10"/>
    </font>
    <font>
      <name val="Arial"/>
      <charset val="1"/>
      <family val="2"/>
      <sz val="12"/>
    </font>
    <font>
      <name val="Arial"/>
      <charset val="1"/>
      <family val="2"/>
      <b val="1"/>
      <color rgb="FF993366"/>
      <sz val="14"/>
    </font>
    <font>
      <name val="Arial"/>
      <charset val="1"/>
      <family val="2"/>
      <b val="1"/>
      <color rgb="FF000080"/>
      <sz val="14"/>
    </font>
    <font>
      <name val="Arial Narrow"/>
      <charset val="1"/>
      <family val="2"/>
      <color rgb="FF993366"/>
      <sz val="8"/>
    </font>
    <font>
      <name val="Arial Narrow"/>
      <charset val="1"/>
      <family val="2"/>
      <color rgb="FF000080"/>
      <sz val="8"/>
    </font>
    <font>
      <name val="Arial Narrow"/>
      <charset val="1"/>
      <family val="2"/>
      <b val="1"/>
      <sz val="10"/>
    </font>
    <font>
      <name val="Tahoma"/>
      <charset val="1"/>
      <family val="2"/>
      <sz val="10"/>
    </font>
    <font>
      <name val="Arial"/>
      <charset val="1"/>
      <family val="2"/>
      <sz val="6"/>
    </font>
    <font>
      <name val="맑은 고딕"/>
      <charset val="1"/>
      <family val="2"/>
      <color theme="1"/>
      <sz val="11"/>
    </font>
    <font>
      <name val="Times New Roman"/>
      <charset val="1"/>
      <family val="1"/>
      <sz val="10"/>
    </font>
    <font>
      <name val="맑은 고딕"/>
      <charset val="129"/>
      <family val="3"/>
      <sz val="10"/>
    </font>
    <font>
      <name val="맑은 고딕"/>
      <charset val="129"/>
      <family val="3"/>
      <color rgb="FF0F3A32"/>
      <sz val="11"/>
    </font>
    <font>
      <name val="맑은 고딕"/>
      <charset val="129"/>
      <family val="3"/>
      <color rgb="FF0F3A32"/>
      <sz val="10"/>
    </font>
    <font>
      <name val="맑은 고딕"/>
      <charset val="129"/>
      <family val="3"/>
      <b val="1"/>
      <color rgb="FF0F3A32"/>
      <sz val="10"/>
    </font>
    <font>
      <name val="DejaVu Sans"/>
      <family val="2"/>
      <color rgb="FF0F3A32"/>
      <sz val="10"/>
    </font>
    <font>
      <name val="DejaVu Sans"/>
      <charset val="1"/>
      <family val="2"/>
      <color rgb="FF0F3A32"/>
      <sz val="10"/>
    </font>
    <font>
      <name val="Arial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맑은 고딕"/>
      <charset val="1"/>
      <family val="0"/>
      <color rgb="FFFFFFFF"/>
      <sz val="11"/>
    </font>
    <font>
      <name val="맑은 고딕"/>
      <charset val="129"/>
      <family val="3"/>
      <sz val="9"/>
    </font>
    <font>
      <name val="맑은 고딕"/>
      <charset val="129"/>
      <family val="3"/>
      <color rgb="FF0F3A32"/>
      <sz val="9"/>
    </font>
    <font>
      <name val="DejaVu Sans"/>
      <family val="2"/>
      <color rgb="FF0F3A32"/>
      <sz val="9"/>
    </font>
    <font>
      <name val="맑은 고딕"/>
      <charset val="1"/>
      <family val="0"/>
      <color rgb="FFFFFFFF"/>
      <sz val="9"/>
    </font>
    <font>
      <name val="맑은 고딕"/>
      <charset val="129"/>
      <family val="3"/>
      <i val="1"/>
      <color rgb="FF0F3A32"/>
      <sz val="8"/>
    </font>
    <font>
      <name val="DejaVu Sans"/>
      <charset val="1"/>
      <family val="2"/>
      <color rgb="FF0F3A32"/>
      <sz val="9"/>
    </font>
    <font>
      <name val="맑은 고딕"/>
      <charset val="1"/>
      <family val="0"/>
      <i val="1"/>
      <color rgb="FFFFFFFF"/>
      <sz val="8"/>
    </font>
    <font>
      <name val="Arial"/>
      <charset val="1"/>
      <family val="2"/>
      <color theme="1"/>
      <sz val="10"/>
    </font>
    <font>
      <name val="Arial"/>
      <charset val="1"/>
      <family val="0"/>
      <b val="1"/>
      <color rgb="FFFFFFFF"/>
      <sz val="20"/>
    </font>
    <font>
      <name val="Arial"/>
      <charset val="1"/>
      <family val="0"/>
      <color rgb="FFFFFFFF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i val="1"/>
      <color rgb="FFFFFFFF"/>
      <sz val="10"/>
      <u val="single"/>
    </font>
    <font>
      <name val="Arial"/>
      <charset val="1"/>
      <family val="2"/>
      <b val="1"/>
      <i val="1"/>
      <color rgb="FFFFFFFF"/>
      <sz val="10"/>
    </font>
    <font>
      <name val="Arial"/>
      <charset val="1"/>
      <family val="2"/>
      <color rgb="FF0F3A32"/>
      <sz val="10"/>
    </font>
    <font>
      <name val="Arial"/>
      <charset val="1"/>
      <family val="2"/>
      <b val="1"/>
      <color rgb="FF0F3A32"/>
      <sz val="10"/>
    </font>
    <font>
      <name val="Arial"/>
      <charset val="1"/>
      <family val="2"/>
      <color rgb="FFFFFFFF"/>
      <sz val="10"/>
    </font>
    <font>
      <name val="DejaVu Sans"/>
      <family val="2"/>
      <b val="1"/>
      <color rgb="FF0F3A32"/>
      <sz val="10"/>
    </font>
    <font>
      <name val="돋움"/>
      <charset val="129"/>
      <family val="3"/>
      <color rgb="FF0F3A32"/>
      <sz val="10"/>
    </font>
    <font>
      <name val="DejaVu Sans"/>
      <family val="2"/>
      <color rgb="FFFFFFFF"/>
      <sz val="10"/>
    </font>
    <font>
      <name val="Arial "/>
      <charset val="1"/>
      <family val="0"/>
      <color rgb="FF0F3A32"/>
      <sz val="10"/>
    </font>
    <font>
      <name val="Arial"/>
      <family val="2"/>
      <sz val="10"/>
    </font>
    <font>
      <name val="DejaVu Sans"/>
      <family val="2"/>
      <sz val="10"/>
    </font>
    <font>
      <name val="Arial"/>
      <charset val="1"/>
      <family val="2"/>
      <b val="1"/>
      <color rgb="FF0F3A32"/>
      <sz val="9"/>
    </font>
    <font>
      <name val="맑은 고딕"/>
      <charset val="129"/>
      <family val="3"/>
      <b val="1"/>
      <color rgb="FF0F3A32"/>
      <sz val="9"/>
    </font>
    <font>
      <name val="Arial"/>
      <charset val="1"/>
      <family val="2"/>
      <i val="1"/>
      <color rgb="FF0F3A32"/>
      <sz val="10"/>
    </font>
    <font>
      <name val="Arial"/>
      <charset val="1"/>
      <family val="2"/>
      <b val="1"/>
      <color rgb="FF0F3A32"/>
      <sz val="12"/>
    </font>
    <font>
      <name val="맑은 고딕"/>
      <charset val="1"/>
      <family val="0"/>
      <color rgb="FFFFFFFF"/>
      <sz val="10"/>
    </font>
  </fonts>
  <fills count="9">
    <fill>
      <patternFill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rgb="FF0F3A32"/>
        <bgColor rgb="FF003366"/>
      </patternFill>
    </fill>
    <fill>
      <patternFill patternType="solid">
        <fgColor theme="2" tint="-0.1"/>
        <bgColor rgb="FFD9D9D9"/>
      </patternFill>
    </fill>
    <fill>
      <patternFill patternType="solid">
        <fgColor theme="0" tint="-0.15"/>
        <bgColor rgb="FFD0CECE"/>
      </patternFill>
    </fill>
    <fill>
      <patternFill patternType="solid">
        <fgColor theme="0" tint="-0.5"/>
        <bgColor rgb="FF7F7E82"/>
      </patternFill>
    </fill>
    <fill>
      <patternFill patternType="solid">
        <fgColor theme="0" tint="-0.35"/>
        <bgColor rgb="FF9999FF"/>
      </patternFill>
    </fill>
  </fills>
  <borders count="50">
    <border>
      <left/>
      <right/>
      <top/>
      <bottom/>
      <diagonal/>
    </border>
    <border>
      <left/>
      <right/>
      <top style="thin">
        <color rgb="FF993366"/>
      </top>
      <bottom style="thin">
        <color rgb="FF993366"/>
      </bottom>
      <diagonal/>
    </border>
    <border>
      <left/>
      <right/>
      <top style="thin">
        <color rgb="FF000080"/>
      </top>
      <bottom style="thin">
        <color rgb="FF000080"/>
      </bottom>
      <diagonal/>
    </border>
    <border>
      <left style="thin">
        <color rgb="FF26C260"/>
      </left>
      <right/>
      <top style="thin">
        <color rgb="FF26C260"/>
      </top>
      <bottom style="thin">
        <color rgb="FF26C260"/>
      </bottom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26C260"/>
      </left>
      <right style="thin"/>
      <top style="thin">
        <color rgb="FF26C260"/>
      </top>
      <bottom style="thin">
        <color rgb="FF26C260"/>
      </bottom>
      <diagonal/>
    </border>
    <border>
      <left/>
      <right/>
      <top/>
      <bottom style="thin">
        <color rgb="FF26C260"/>
      </bottom>
      <diagonal/>
    </border>
    <border>
      <left style="thin">
        <color rgb="FF26C260"/>
      </left>
      <right style="thin">
        <color rgb="FF26C260"/>
      </right>
      <top style="thin">
        <color rgb="FF26C260"/>
      </top>
      <bottom style="thin">
        <color rgb="FF26C260"/>
      </bottom>
      <diagonal/>
    </border>
    <border>
      <left style="thin">
        <color rgb="FF26C260"/>
      </left>
      <right/>
      <top style="thin">
        <color rgb="FF26C260"/>
      </top>
      <bottom style="hair">
        <color rgb="FF26C260"/>
      </bottom>
      <diagonal/>
    </border>
    <border>
      <left/>
      <right/>
      <top style="thin"/>
      <bottom style="hair"/>
      <diagonal/>
    </border>
    <border>
      <left/>
      <right style="thin"/>
      <top style="thin"/>
      <bottom style="hair"/>
      <diagonal/>
    </border>
    <border>
      <left style="thin">
        <color rgb="FF26C260"/>
      </left>
      <right style="thin">
        <color rgb="FF26C260"/>
      </right>
      <top style="thin">
        <color rgb="FF26C260"/>
      </top>
      <bottom/>
      <diagonal/>
    </border>
    <border>
      <left style="thin">
        <color rgb="FF26C260"/>
      </left>
      <right/>
      <top style="hair">
        <color rgb="FF26C260"/>
      </top>
      <bottom style="hair">
        <color rgb="FF26C260"/>
      </bottom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 style="dotted">
        <color rgb="FF26C260"/>
      </left>
      <right style="dotted">
        <color rgb="FF26C260"/>
      </right>
      <top style="dotted">
        <color rgb="FF26C260"/>
      </top>
      <bottom style="dotted">
        <color rgb="FF26C260"/>
      </bottom>
      <diagonal/>
    </border>
    <border>
      <left style="thin">
        <color rgb="FF26C260"/>
      </left>
      <right style="thin">
        <color rgb="FF26C260"/>
      </right>
      <top/>
      <bottom style="thin">
        <color rgb="FF26C260"/>
      </bottom>
      <diagonal/>
    </border>
    <border>
      <left style="thin"/>
      <right style="thin"/>
      <top style="thin"/>
      <bottom style="thin"/>
      <diagonal/>
    </border>
    <border>
      <left style="thin">
        <color rgb="FF26C260"/>
      </left>
      <right/>
      <top style="hair">
        <color rgb="FF26C260"/>
      </top>
      <bottom style="thin">
        <color rgb="FF26C260"/>
      </bottom>
      <diagonal/>
    </border>
    <border>
      <left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thin">
        <color rgb="FF26C260"/>
      </top>
      <bottom style="thin">
        <color rgb="FF26C260"/>
      </bottom>
      <diagonal/>
    </border>
    <border>
      <left/>
      <right/>
      <top/>
      <bottom style="thin"/>
      <diagonal/>
    </border>
    <border>
      <left style="thin">
        <color rgb="FF26C260"/>
      </left>
      <right style="thin">
        <color rgb="FF26C260"/>
      </right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 style="dotted">
        <color rgb="FF26C260"/>
      </left>
      <right style="dotted">
        <color rgb="FF26C260"/>
      </right>
      <top/>
      <bottom style="dotted">
        <color rgb="FF26C260"/>
      </bottom>
      <diagonal/>
    </border>
    <border>
      <left style="dotted">
        <color rgb="FF26C260"/>
      </left>
      <right style="dotted">
        <color rgb="FF26C260"/>
      </right>
      <top style="dotted">
        <color rgb="FF26C260"/>
      </top>
      <bottom style="thin">
        <color rgb="FF26C260"/>
      </bottom>
      <diagonal/>
    </border>
    <border>
      <left/>
      <right/>
      <top style="thin">
        <color rgb="FF26C260"/>
      </top>
      <bottom/>
      <diagonal/>
    </border>
    <border>
      <left/>
      <right style="thin">
        <color rgb="FF26C260"/>
      </right>
      <top style="thin">
        <color rgb="FF26C260"/>
      </top>
      <bottom style="thin">
        <color rgb="FF26C260"/>
      </bottom>
      <diagonal/>
    </border>
    <border>
      <left style="dotted">
        <color rgb="FF26C260"/>
      </left>
      <right style="dotted">
        <color rgb="FF26C260"/>
      </right>
      <top/>
      <bottom style="thin">
        <color rgb="FF26C260"/>
      </bottom>
      <diagonal/>
    </border>
    <border>
      <left style="thin">
        <color rgb="FF26C260"/>
      </left>
      <right/>
      <top style="thin">
        <color rgb="FF26C260"/>
      </top>
      <bottom/>
      <diagonal/>
    </border>
    <border>
      <left/>
      <right style="thin">
        <color rgb="FF26C260"/>
      </right>
      <top style="thin">
        <color rgb="FF26C260"/>
      </top>
      <bottom/>
      <diagonal/>
    </border>
    <border>
      <left style="thin">
        <color rgb="FF26C260"/>
      </left>
      <right/>
      <top/>
      <bottom style="thin">
        <color rgb="FF26C260"/>
      </bottom>
      <diagonal/>
    </border>
    <border>
      <left/>
      <right style="thin">
        <color rgb="FF26C260"/>
      </right>
      <top/>
      <bottom style="thin">
        <color rgb="FF26C260"/>
      </bottom>
      <diagonal/>
    </border>
    <border>
      <left style="thin">
        <color rgb="FF26C260"/>
      </left>
      <right/>
      <top/>
      <bottom/>
      <diagonal/>
    </border>
    <border>
      <left/>
      <right style="thin">
        <color rgb="FF26C260"/>
      </right>
      <top/>
      <bottom/>
      <diagonal/>
    </border>
    <border>
      <left style="thin"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 style="medium">
        <color rgb="FF26C260"/>
      </left>
      <right style="medium">
        <color rgb="FF26C260"/>
      </right>
      <top style="medium">
        <color rgb="FF26C260"/>
      </top>
      <bottom style="medium">
        <color rgb="FF26C260"/>
      </bottom>
      <diagonal/>
    </border>
    <border>
      <left/>
      <right style="thin"/>
      <top style="thin">
        <color rgb="FF26C260"/>
      </top>
      <bottom style="thin">
        <color rgb="FF26C260"/>
      </bottom>
      <diagonal/>
    </border>
    <border>
      <left style="thin">
        <color rgb="FF26C260"/>
      </left>
      <right style="thin">
        <color rgb="FF26C260"/>
      </right>
      <top/>
      <bottom style="thin"/>
      <diagonal/>
    </border>
    <border>
      <left/>
      <right/>
      <top style="thin">
        <color rgb="FF26C260"/>
      </top>
      <bottom style="double">
        <color rgb="FF26C260"/>
      </bottom>
      <diagonal/>
    </border>
    <border>
      <left/>
      <right style="thin"/>
      <top style="thin">
        <color rgb="FF26C260"/>
      </top>
      <bottom/>
      <diagonal/>
    </border>
  </borders>
  <cellStyleXfs count="41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174" fontId="0" fillId="0" borderId="0" applyAlignment="1">
      <alignment horizontal="general" vertical="center"/>
    </xf>
    <xf numFmtId="49" fontId="5" fillId="0" borderId="0" applyAlignment="1">
      <alignment horizontal="center" vertical="top"/>
    </xf>
    <xf numFmtId="175" fontId="5" fillId="0" borderId="0" applyAlignment="1">
      <alignment horizontal="right" vertical="top"/>
    </xf>
    <xf numFmtId="176" fontId="5" fillId="0" borderId="0" applyAlignment="1">
      <alignment horizontal="right" vertical="top"/>
    </xf>
    <xf numFmtId="177" fontId="5" fillId="0" borderId="0" applyAlignment="1">
      <alignment horizontal="right" vertical="top"/>
    </xf>
    <xf numFmtId="178" fontId="5" fillId="0" borderId="0" applyAlignment="1">
      <alignment horizontal="right" vertical="top"/>
    </xf>
    <xf numFmtId="0" fontId="6" fillId="0" borderId="0" applyAlignment="1">
      <alignment horizontal="left" vertical="bottom"/>
    </xf>
    <xf numFmtId="49" fontId="7" fillId="0" borderId="1" applyAlignment="1">
      <alignment horizontal="right" vertical="bottom" wrapText="1"/>
    </xf>
    <xf numFmtId="0" fontId="8" fillId="0" borderId="2" applyAlignment="1">
      <alignment horizontal="right" vertical="bottom"/>
    </xf>
    <xf numFmtId="0" fontId="9" fillId="0" borderId="1" applyAlignment="1">
      <alignment horizontal="right" vertical="bottom" wrapText="1"/>
    </xf>
    <xf numFmtId="0" fontId="10" fillId="0" borderId="0" applyAlignment="1">
      <alignment horizontal="center" vertical="bottom" wrapText="1"/>
    </xf>
    <xf numFmtId="179" fontId="11" fillId="0" borderId="1" applyAlignment="1">
      <alignment horizontal="left" vertical="bottom"/>
    </xf>
    <xf numFmtId="179" fontId="12" fillId="0" borderId="2" applyAlignment="1">
      <alignment horizontal="left" vertical="bottom"/>
    </xf>
    <xf numFmtId="179" fontId="5" fillId="0" borderId="0" applyAlignment="1">
      <alignment horizontal="center" vertical="bottom"/>
    </xf>
    <xf numFmtId="179" fontId="13" fillId="0" borderId="1" applyAlignment="1">
      <alignment horizontal="center" vertical="bottom"/>
    </xf>
    <xf numFmtId="179" fontId="14" fillId="0" borderId="2" applyAlignment="1">
      <alignment horizontal="center" vertical="bottom"/>
    </xf>
    <xf numFmtId="174" fontId="5" fillId="0" borderId="1" applyAlignment="1">
      <alignment horizontal="right" vertical="top"/>
    </xf>
    <xf numFmtId="179" fontId="15" fillId="0" borderId="0" applyAlignment="1">
      <alignment horizontal="general" vertical="bottom"/>
    </xf>
    <xf numFmtId="179" fontId="16" fillId="0" borderId="0" applyAlignment="1">
      <alignment horizontal="general" vertical="bottom"/>
    </xf>
    <xf numFmtId="179" fontId="17" fillId="0" borderId="0" applyAlignment="1">
      <alignment horizontal="general" vertical="bottom"/>
    </xf>
    <xf numFmtId="179" fontId="4" fillId="0" borderId="0" applyAlignment="1">
      <alignment horizontal="general" vertical="bottom"/>
    </xf>
    <xf numFmtId="179" fontId="18" fillId="0" borderId="0" applyAlignment="1">
      <alignment horizontal="left" vertical="top"/>
    </xf>
    <xf numFmtId="179" fontId="19" fillId="0" borderId="0" applyAlignment="1">
      <alignment horizontal="left" vertical="top"/>
    </xf>
    <xf numFmtId="0" fontId="5" fillId="0" borderId="0" applyAlignment="1">
      <alignment horizontal="left" vertical="top" wrapText="1"/>
    </xf>
    <xf numFmtId="0" fontId="20" fillId="0" borderId="0" applyAlignment="1">
      <alignment horizontal="left" vertical="top" wrapText="1"/>
    </xf>
    <xf numFmtId="0" fontId="4" fillId="0" borderId="0" applyAlignment="1">
      <alignment horizontal="general" vertical="bottom"/>
    </xf>
    <xf numFmtId="0" fontId="21" fillId="0" borderId="0" applyAlignment="1">
      <alignment horizontal="general" vertical="bottom"/>
    </xf>
    <xf numFmtId="0" fontId="0" fillId="0" borderId="0" applyAlignment="1">
      <alignment horizontal="general" vertical="center"/>
    </xf>
    <xf numFmtId="0" fontId="22" fillId="0" borderId="0" applyAlignment="1">
      <alignment horizontal="general" vertical="bottom"/>
    </xf>
    <xf numFmtId="0" fontId="23" fillId="0" borderId="0" applyAlignment="1">
      <alignment horizontal="general" vertical="bottom"/>
    </xf>
    <xf numFmtId="0" fontId="24" fillId="0" borderId="0" applyAlignment="1">
      <alignment horizontal="general" vertical="bottom"/>
    </xf>
    <xf numFmtId="9" fontId="0" fillId="0" borderId="0" applyAlignment="1">
      <alignment horizontal="general" vertical="center"/>
    </xf>
    <xf numFmtId="174" fontId="0" fillId="0" borderId="0" applyAlignment="1">
      <alignment horizontal="general" vertical="center"/>
    </xf>
    <xf numFmtId="0" fontId="4" fillId="0" borderId="0" applyAlignment="1">
      <alignment horizontal="general" vertical="bottom"/>
    </xf>
  </cellStyleXfs>
  <cellXfs count="563"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bottom"/>
    </xf>
    <xf numFmtId="0" fontId="25" fillId="2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28" fillId="3" borderId="3" applyAlignment="1" pivotButton="0" quotePrefix="0" xfId="0">
      <alignment horizontal="general" vertical="bottom"/>
    </xf>
    <xf numFmtId="0" fontId="27" fillId="3" borderId="4" applyAlignment="1" pivotButton="0" quotePrefix="0" xfId="0">
      <alignment horizontal="general" vertical="bottom"/>
    </xf>
    <xf numFmtId="0" fontId="27" fillId="3" borderId="5" applyAlignment="1" pivotButton="0" quotePrefix="0" xfId="0">
      <alignment horizontal="general" vertical="bottom"/>
    </xf>
    <xf numFmtId="0" fontId="28" fillId="2" borderId="0" applyAlignment="1" pivotButton="0" quotePrefix="0" xfId="0">
      <alignment horizontal="general" vertical="bottom"/>
    </xf>
    <xf numFmtId="0" fontId="27" fillId="3" borderId="3" applyAlignment="1" pivotButton="0" quotePrefix="0" xfId="0">
      <alignment horizontal="general" vertical="bottom"/>
    </xf>
    <xf numFmtId="164" fontId="27" fillId="3" borderId="3" applyAlignment="1" pivotButton="0" quotePrefix="0" xfId="0">
      <alignment horizontal="general" vertical="bottom"/>
    </xf>
    <xf numFmtId="0" fontId="29" fillId="3" borderId="3" applyAlignment="1" pivotButton="0" quotePrefix="0" xfId="0">
      <alignment horizontal="general" vertical="bottom"/>
    </xf>
    <xf numFmtId="0" fontId="31" fillId="4" borderId="6" applyAlignment="1" pivotButton="0" quotePrefix="0" xfId="0">
      <alignment horizontal="center" vertical="bottom"/>
    </xf>
    <xf numFmtId="0" fontId="25" fillId="5" borderId="0" applyAlignment="1" pivotButton="0" quotePrefix="0" xfId="0">
      <alignment horizontal="general" vertical="bottom"/>
    </xf>
    <xf numFmtId="0" fontId="32" fillId="4" borderId="7" applyAlignment="1" pivotButton="0" quotePrefix="0" xfId="0">
      <alignment horizontal="center" vertical="bottom"/>
    </xf>
    <xf numFmtId="0" fontId="33" fillId="4" borderId="0" applyAlignment="1" pivotButton="0" quotePrefix="0" xfId="0">
      <alignment horizontal="general" vertical="bottom"/>
    </xf>
    <xf numFmtId="0" fontId="34" fillId="2" borderId="0" applyAlignment="1" pivotButton="0" quotePrefix="0" xfId="0">
      <alignment horizontal="general" vertical="bottom"/>
    </xf>
    <xf numFmtId="0" fontId="35" fillId="2" borderId="0" applyAlignment="1" pivotButton="0" quotePrefix="0" xfId="0">
      <alignment horizontal="general" vertical="bottom"/>
    </xf>
    <xf numFmtId="0" fontId="35" fillId="0" borderId="8" applyAlignment="1" pivotButton="0" quotePrefix="0" xfId="0">
      <alignment horizontal="center" vertical="bottom"/>
    </xf>
    <xf numFmtId="0" fontId="36" fillId="3" borderId="9" applyAlignment="1" pivotButton="0" quotePrefix="0" xfId="0">
      <alignment horizontal="general" vertical="bottom"/>
    </xf>
    <xf numFmtId="0" fontId="35" fillId="3" borderId="10" applyAlignment="1" pivotButton="0" quotePrefix="0" xfId="0">
      <alignment horizontal="general" vertical="bottom"/>
    </xf>
    <xf numFmtId="0" fontId="35" fillId="3" borderId="11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37" fillId="4" borderId="12" applyAlignment="1" pivotButton="0" quotePrefix="0" xfId="0">
      <alignment horizontal="center" vertical="bottom"/>
    </xf>
    <xf numFmtId="0" fontId="35" fillId="3" borderId="13" applyAlignment="1" pivotButton="0" quotePrefix="0" xfId="0">
      <alignment horizontal="general" vertical="bottom"/>
    </xf>
    <xf numFmtId="0" fontId="35" fillId="3" borderId="14" applyAlignment="1" pivotButton="0" quotePrefix="0" xfId="0">
      <alignment horizontal="general" vertical="bottom"/>
    </xf>
    <xf numFmtId="0" fontId="35" fillId="3" borderId="15" applyAlignment="1" pivotButton="0" quotePrefix="0" xfId="0">
      <alignment horizontal="general" vertical="bottom"/>
    </xf>
    <xf numFmtId="0" fontId="37" fillId="4" borderId="16" applyAlignment="1" pivotButton="0" quotePrefix="0" xfId="0">
      <alignment horizontal="center" vertical="bottom"/>
    </xf>
    <xf numFmtId="0" fontId="36" fillId="3" borderId="13" applyAlignment="1" pivotButton="0" quotePrefix="0" xfId="0">
      <alignment horizontal="general" vertical="bottom"/>
    </xf>
    <xf numFmtId="0" fontId="35" fillId="0" borderId="17" applyAlignment="1" pivotButton="0" quotePrefix="0" xfId="0">
      <alignment horizontal="center" vertical="bottom"/>
    </xf>
    <xf numFmtId="0" fontId="35" fillId="6" borderId="8" applyAlignment="1" pivotButton="0" quotePrefix="0" xfId="0">
      <alignment horizontal="center" vertical="bottom"/>
    </xf>
    <xf numFmtId="0" fontId="37" fillId="4" borderId="8" applyAlignment="1" pivotButton="0" quotePrefix="0" xfId="0">
      <alignment horizontal="center" vertical="bottom"/>
    </xf>
    <xf numFmtId="0" fontId="38" fillId="0" borderId="8" applyAlignment="1" pivotButton="0" quotePrefix="0" xfId="0">
      <alignment horizontal="center" vertical="bottom"/>
    </xf>
    <xf numFmtId="0" fontId="38" fillId="7" borderId="8" applyAlignment="1" pivotButton="0" quotePrefix="0" xfId="0">
      <alignment horizontal="center" vertical="bottom"/>
    </xf>
    <xf numFmtId="0" fontId="35" fillId="3" borderId="13" applyAlignment="1" pivotButton="0" quotePrefix="0" xfId="0">
      <alignment horizontal="left" vertical="bottom"/>
    </xf>
    <xf numFmtId="0" fontId="34" fillId="5" borderId="0" applyAlignment="1" pivotButton="0" quotePrefix="0" xfId="0">
      <alignment horizontal="general" vertical="bottom"/>
    </xf>
    <xf numFmtId="0" fontId="40" fillId="4" borderId="8" applyAlignment="1" pivotButton="0" quotePrefix="0" xfId="0">
      <alignment horizontal="center" vertical="bottom"/>
    </xf>
    <xf numFmtId="0" fontId="40" fillId="4" borderId="18" applyAlignment="1" pivotButton="0" quotePrefix="0" xfId="0">
      <alignment horizontal="center" vertical="bottom"/>
    </xf>
    <xf numFmtId="0" fontId="35" fillId="3" borderId="19" applyAlignment="1" pivotButton="0" quotePrefix="0" xfId="0">
      <alignment horizontal="left" vertical="bottom"/>
    </xf>
    <xf numFmtId="0" fontId="35" fillId="3" borderId="20" applyAlignment="1" pivotButton="0" quotePrefix="0" xfId="0">
      <alignment horizontal="general" vertical="bottom"/>
    </xf>
    <xf numFmtId="0" fontId="35" fillId="3" borderId="21" applyAlignment="1" pivotButton="0" quotePrefix="0" xfId="0">
      <alignment horizontal="general" vertical="bottom"/>
    </xf>
    <xf numFmtId="0" fontId="41" fillId="3" borderId="0" applyAlignment="1" pivotButton="0" quotePrefix="0" xfId="0">
      <alignment horizontal="general" vertical="center"/>
    </xf>
    <xf numFmtId="0" fontId="42" fillId="4" borderId="0" applyAlignment="1" pivotButton="0" quotePrefix="0" xfId="0">
      <alignment horizontal="general" vertical="center"/>
    </xf>
    <xf numFmtId="0" fontId="31" fillId="4" borderId="0" applyAlignment="1" pivotButton="0" quotePrefix="0" xfId="0">
      <alignment horizontal="general" vertical="center"/>
    </xf>
    <xf numFmtId="0" fontId="43" fillId="4" borderId="0" applyAlignment="1" pivotButton="0" quotePrefix="0" xfId="0">
      <alignment horizontal="general" vertical="center"/>
    </xf>
    <xf numFmtId="0" fontId="44" fillId="4" borderId="0" applyAlignment="1" pivotButton="0" quotePrefix="0" xfId="0">
      <alignment horizontal="right" vertical="center"/>
    </xf>
    <xf numFmtId="0" fontId="44" fillId="8" borderId="0" applyAlignment="1" pivotButton="0" quotePrefix="0" xfId="0">
      <alignment horizontal="general" vertical="center"/>
    </xf>
    <xf numFmtId="3" fontId="45" fillId="8" borderId="0" applyAlignment="1" pivotButton="0" quotePrefix="0" xfId="0">
      <alignment horizontal="general" vertical="center"/>
    </xf>
    <xf numFmtId="165" fontId="46" fillId="8" borderId="0" applyAlignment="1" pivotButton="0" quotePrefix="0" xfId="0">
      <alignment horizontal="general" vertical="center"/>
    </xf>
    <xf numFmtId="165" fontId="44" fillId="8" borderId="0" applyAlignment="1" pivotButton="0" quotePrefix="0" xfId="0">
      <alignment horizontal="general" vertical="center"/>
    </xf>
    <xf numFmtId="0" fontId="44" fillId="8" borderId="0" applyAlignment="1" pivotButton="0" quotePrefix="0" xfId="0">
      <alignment horizontal="right" vertical="center"/>
    </xf>
    <xf numFmtId="0" fontId="44" fillId="4" borderId="0" applyAlignment="1" pivotButton="0" quotePrefix="0" xfId="0">
      <alignment horizontal="general" vertical="center"/>
    </xf>
    <xf numFmtId="0" fontId="47" fillId="3" borderId="0" applyAlignment="1" pivotButton="0" quotePrefix="0" xfId="0">
      <alignment horizontal="general" vertical="bottom"/>
    </xf>
    <xf numFmtId="0" fontId="47" fillId="3" borderId="0" applyAlignment="1" pivotButton="0" quotePrefix="0" xfId="0">
      <alignment horizontal="general" vertical="center"/>
    </xf>
    <xf numFmtId="0" fontId="48" fillId="3" borderId="0" applyAlignment="1" pivotButton="0" quotePrefix="0" xfId="0">
      <alignment horizontal="general" vertical="center"/>
    </xf>
    <xf numFmtId="166" fontId="47" fillId="3" borderId="0" applyAlignment="1" pivotButton="0" quotePrefix="0" xfId="0">
      <alignment horizontal="center" vertical="center"/>
    </xf>
    <xf numFmtId="0" fontId="47" fillId="3" borderId="0" applyAlignment="1" pivotButton="0" quotePrefix="0" xfId="0">
      <alignment horizontal="center" vertical="bottom"/>
    </xf>
    <xf numFmtId="166" fontId="43" fillId="4" borderId="0" applyAlignment="1" pivotButton="0" quotePrefix="0" xfId="0">
      <alignment horizontal="center" vertical="center"/>
    </xf>
    <xf numFmtId="49" fontId="47" fillId="3" borderId="0" applyAlignment="1" pivotButton="0" quotePrefix="0" xfId="0">
      <alignment horizontal="center" vertical="center"/>
    </xf>
    <xf numFmtId="0" fontId="47" fillId="3" borderId="0" applyAlignment="1" pivotButton="0" quotePrefix="0" xfId="0">
      <alignment horizontal="center" vertical="center"/>
    </xf>
    <xf numFmtId="0" fontId="43" fillId="4" borderId="0" applyAlignment="1" pivotButton="0" quotePrefix="0" xfId="0">
      <alignment horizontal="center" vertical="center"/>
    </xf>
    <xf numFmtId="0" fontId="44" fillId="3" borderId="0" applyAlignment="1" pivotButton="0" quotePrefix="0" xfId="0">
      <alignment horizontal="general" vertical="center"/>
    </xf>
    <xf numFmtId="164" fontId="27" fillId="0" borderId="8" applyAlignment="1" pivotButton="0" quotePrefix="0" xfId="0">
      <alignment horizontal="center" vertical="bottom"/>
    </xf>
    <xf numFmtId="49" fontId="27" fillId="0" borderId="8" applyAlignment="1" pivotButton="0" quotePrefix="0" xfId="0">
      <alignment horizontal="center" vertical="bottom"/>
    </xf>
    <xf numFmtId="165" fontId="27" fillId="0" borderId="8" applyAlignment="1" pivotButton="0" quotePrefix="0" xfId="0">
      <alignment horizontal="center" vertical="bottom"/>
    </xf>
    <xf numFmtId="0" fontId="49" fillId="3" borderId="0" applyAlignment="1" pivotButton="0" quotePrefix="0" xfId="0">
      <alignment horizontal="center" vertical="bottom"/>
    </xf>
    <xf numFmtId="9" fontId="27" fillId="0" borderId="8" applyAlignment="1" pivotButton="0" quotePrefix="0" xfId="0">
      <alignment horizontal="center" vertical="bottom"/>
    </xf>
    <xf numFmtId="9" fontId="27" fillId="0" borderId="0" applyAlignment="1" pivotButton="0" quotePrefix="0" xfId="0">
      <alignment horizontal="center" vertical="bottom"/>
    </xf>
    <xf numFmtId="0" fontId="48" fillId="3" borderId="0" applyAlignment="1" pivotButton="0" quotePrefix="0" xfId="0">
      <alignment horizontal="general" vertical="bottom"/>
    </xf>
    <xf numFmtId="0" fontId="47" fillId="3" borderId="0" applyAlignment="1" pivotButton="0" quotePrefix="0" xfId="0">
      <alignment horizontal="right" vertical="center"/>
    </xf>
    <xf numFmtId="0" fontId="29" fillId="3" borderId="22" applyAlignment="1" pivotButton="0" quotePrefix="0" xfId="0">
      <alignment horizontal="left" vertical="bottom"/>
    </xf>
    <xf numFmtId="0" fontId="47" fillId="3" borderId="4" applyAlignment="1" pivotButton="0" quotePrefix="0" xfId="0">
      <alignment horizontal="general" vertical="center"/>
    </xf>
    <xf numFmtId="0" fontId="47" fillId="3" borderId="23" applyAlignment="1" pivotButton="0" quotePrefix="0" xfId="0">
      <alignment horizontal="general" vertical="center"/>
    </xf>
    <xf numFmtId="165" fontId="27" fillId="6" borderId="17" applyAlignment="1" pivotButton="0" quotePrefix="0" xfId="0">
      <alignment horizontal="center" vertical="bottom"/>
    </xf>
    <xf numFmtId="0" fontId="29" fillId="3" borderId="0" applyAlignment="1" pivotButton="0" quotePrefix="0" xfId="0">
      <alignment horizontal="left" vertical="center" indent="1"/>
    </xf>
    <xf numFmtId="165" fontId="27" fillId="0" borderId="17" applyAlignment="1" pivotButton="0" quotePrefix="0" xfId="0">
      <alignment horizontal="center" vertical="bottom"/>
    </xf>
    <xf numFmtId="165" fontId="27" fillId="0" borderId="12" applyAlignment="1" pivotButton="0" quotePrefix="0" xfId="0">
      <alignment horizontal="center" vertical="bottom"/>
    </xf>
    <xf numFmtId="0" fontId="50" fillId="3" borderId="22" applyAlignment="1" pivotButton="0" quotePrefix="0" xfId="0">
      <alignment horizontal="left" vertical="center"/>
    </xf>
    <xf numFmtId="165" fontId="27" fillId="6" borderId="8" applyAlignment="1" pivotButton="0" quotePrefix="0" xfId="0">
      <alignment horizontal="center" vertical="bottom"/>
    </xf>
    <xf numFmtId="0" fontId="29" fillId="3" borderId="22" applyAlignment="1" pivotButton="0" quotePrefix="0" xfId="0">
      <alignment horizontal="left" vertical="center"/>
    </xf>
    <xf numFmtId="0" fontId="47" fillId="3" borderId="5" applyAlignment="1" pivotButton="0" quotePrefix="0" xfId="0">
      <alignment horizontal="general" vertical="center"/>
    </xf>
    <xf numFmtId="0" fontId="29" fillId="3" borderId="0" applyAlignment="1" pivotButton="0" quotePrefix="0" xfId="0">
      <alignment horizontal="left" vertical="center"/>
    </xf>
    <xf numFmtId="165" fontId="27" fillId="0" borderId="24" applyAlignment="1" pivotButton="0" quotePrefix="0" xfId="0">
      <alignment horizontal="center" vertical="bottom"/>
    </xf>
    <xf numFmtId="0" fontId="28" fillId="3" borderId="22" applyAlignment="1" pivotButton="0" quotePrefix="0" xfId="0">
      <alignment horizontal="left" vertical="center"/>
    </xf>
    <xf numFmtId="0" fontId="29" fillId="3" borderId="7" applyAlignment="1" pivotButton="0" quotePrefix="0" xfId="0">
      <alignment horizontal="left" vertical="center"/>
    </xf>
    <xf numFmtId="0" fontId="29" fillId="3" borderId="0" applyAlignment="1" pivotButton="0" quotePrefix="0" xfId="0">
      <alignment horizontal="left" vertical="center" indent="2"/>
    </xf>
    <xf numFmtId="0" fontId="28" fillId="3" borderId="0" applyAlignment="1" pivotButton="0" quotePrefix="0" xfId="0">
      <alignment horizontal="left" vertical="center" indent="1"/>
    </xf>
    <xf numFmtId="0" fontId="28" fillId="3" borderId="0" applyAlignment="1" pivotButton="0" quotePrefix="0" xfId="0">
      <alignment horizontal="general" vertical="center"/>
    </xf>
    <xf numFmtId="0" fontId="50" fillId="3" borderId="22" applyAlignment="1" pivotButton="0" quotePrefix="0" xfId="0">
      <alignment horizontal="left" vertical="bottom"/>
    </xf>
    <xf numFmtId="0" fontId="29" fillId="3" borderId="0" applyAlignment="1" pivotButton="0" quotePrefix="0" xfId="0">
      <alignment horizontal="left" vertical="bottom" indent="1"/>
    </xf>
    <xf numFmtId="165" fontId="27" fillId="0" borderId="25" applyAlignment="1" pivotButton="0" quotePrefix="0" xfId="0">
      <alignment horizontal="center" vertical="bottom"/>
    </xf>
    <xf numFmtId="165" fontId="27" fillId="0" borderId="26" applyAlignment="1" pivotButton="0" quotePrefix="0" xfId="0">
      <alignment horizontal="center" vertical="bottom"/>
    </xf>
    <xf numFmtId="165" fontId="27" fillId="0" borderId="18" applyAlignment="1" pivotButton="0" quotePrefix="0" xfId="0">
      <alignment horizontal="center" vertical="bottom"/>
    </xf>
    <xf numFmtId="165" fontId="28" fillId="6" borderId="8" applyAlignment="1" pivotButton="0" quotePrefix="0" xfId="0">
      <alignment horizontal="center" vertical="bottom"/>
    </xf>
    <xf numFmtId="0" fontId="50" fillId="3" borderId="7" applyAlignment="1" pivotButton="0" quotePrefix="0" xfId="0">
      <alignment horizontal="left" vertical="bottom"/>
    </xf>
    <xf numFmtId="0" fontId="51" fillId="3" borderId="27" applyAlignment="1" pivotButton="0" quotePrefix="0" xfId="0">
      <alignment horizontal="general" vertical="center"/>
    </xf>
    <xf numFmtId="0" fontId="47" fillId="3" borderId="27" applyAlignment="1" pivotButton="0" quotePrefix="0" xfId="0">
      <alignment horizontal="general" vertical="center"/>
    </xf>
    <xf numFmtId="165" fontId="37" fillId="4" borderId="16" applyAlignment="1" pivotButton="0" quotePrefix="0" xfId="0">
      <alignment horizontal="center" vertical="bottom"/>
    </xf>
    <xf numFmtId="165" fontId="27" fillId="0" borderId="8" applyAlignment="1" pivotButton="0" quotePrefix="0" xfId="47">
      <alignment horizontal="center" vertical="bottom"/>
    </xf>
    <xf numFmtId="165" fontId="27" fillId="0" borderId="0" applyAlignment="1" pivotButton="0" quotePrefix="0" xfId="47">
      <alignment horizontal="center" vertical="bottom"/>
    </xf>
    <xf numFmtId="9" fontId="47" fillId="3" borderId="27" applyAlignment="1" pivotButton="0" quotePrefix="0" xfId="47">
      <alignment horizontal="general" vertical="center"/>
    </xf>
    <xf numFmtId="9" fontId="47" fillId="3" borderId="0" applyAlignment="1" pivotButton="0" quotePrefix="0" xfId="47">
      <alignment horizontal="general" vertical="center"/>
    </xf>
    <xf numFmtId="0" fontId="29" fillId="3" borderId="0" applyAlignment="1" pivotButton="0" quotePrefix="0" xfId="0">
      <alignment horizontal="general" vertical="center"/>
    </xf>
    <xf numFmtId="165" fontId="47" fillId="3" borderId="0" applyAlignment="1" pivotButton="0" quotePrefix="0" xfId="0">
      <alignment horizontal="general" vertical="center"/>
    </xf>
    <xf numFmtId="165" fontId="27" fillId="0" borderId="8" applyAlignment="1" pivotButton="0" quotePrefix="0" xfId="0">
      <alignment horizontal="right" vertical="bottom"/>
    </xf>
    <xf numFmtId="165" fontId="27" fillId="0" borderId="8" applyAlignment="1" pivotButton="0" quotePrefix="0" xfId="47">
      <alignment horizontal="right" vertical="bottom"/>
    </xf>
    <xf numFmtId="165" fontId="27" fillId="0" borderId="0" applyAlignment="1" pivotButton="0" quotePrefix="0" xfId="47">
      <alignment horizontal="right" vertical="bottom"/>
    </xf>
    <xf numFmtId="167" fontId="37" fillId="4" borderId="16" applyAlignment="1" pivotButton="0" quotePrefix="0" xfId="0">
      <alignment horizontal="center" vertical="bottom"/>
    </xf>
    <xf numFmtId="167" fontId="47" fillId="3" borderId="0" applyAlignment="1" pivotButton="0" quotePrefix="0" xfId="47">
      <alignment horizontal="general" vertical="center"/>
    </xf>
    <xf numFmtId="9" fontId="27" fillId="0" borderId="8" applyAlignment="1" pivotButton="0" quotePrefix="0" xfId="47">
      <alignment horizontal="right" vertical="bottom"/>
    </xf>
    <xf numFmtId="9" fontId="27" fillId="0" borderId="0" applyAlignment="1" pivotButton="0" quotePrefix="0" xfId="47">
      <alignment horizontal="right" vertical="bottom"/>
    </xf>
    <xf numFmtId="167" fontId="27" fillId="0" borderId="8" applyAlignment="1" pivotButton="0" quotePrefix="0" xfId="47">
      <alignment horizontal="right" vertical="bottom"/>
    </xf>
    <xf numFmtId="167" fontId="27" fillId="0" borderId="0" applyAlignment="1" pivotButton="0" quotePrefix="0" xfId="47">
      <alignment horizontal="right" vertical="bottom"/>
    </xf>
    <xf numFmtId="165" fontId="47" fillId="3" borderId="0" applyAlignment="1" pivotButton="0" quotePrefix="0" xfId="47">
      <alignment horizontal="general" vertical="center"/>
    </xf>
    <xf numFmtId="0" fontId="47" fillId="3" borderId="7" applyAlignment="1" pivotButton="0" quotePrefix="0" xfId="0">
      <alignment horizontal="general" vertical="center"/>
    </xf>
    <xf numFmtId="0" fontId="49" fillId="3" borderId="7" applyAlignment="1" pivotButton="0" quotePrefix="0" xfId="0">
      <alignment horizontal="center" vertical="bottom"/>
    </xf>
    <xf numFmtId="165" fontId="47" fillId="3" borderId="7" applyAlignment="1" pivotButton="0" quotePrefix="0" xfId="0">
      <alignment horizontal="general" vertical="center"/>
    </xf>
    <xf numFmtId="0" fontId="52" fillId="3" borderId="0" applyAlignment="1" pivotButton="0" quotePrefix="0" xfId="0">
      <alignment horizontal="center" vertical="bottom"/>
    </xf>
    <xf numFmtId="0" fontId="27" fillId="0" borderId="17" applyAlignment="1" pivotButton="0" quotePrefix="0" xfId="0">
      <alignment horizontal="center" vertical="bottom"/>
    </xf>
    <xf numFmtId="0" fontId="27" fillId="0" borderId="0" applyAlignment="1" pivotButton="0" quotePrefix="0" xfId="0">
      <alignment horizontal="center" vertical="bottom"/>
    </xf>
    <xf numFmtId="0" fontId="52" fillId="3" borderId="7" applyAlignment="1" pivotButton="0" quotePrefix="0" xfId="0">
      <alignment horizontal="center" vertical="bottom"/>
    </xf>
    <xf numFmtId="0" fontId="27" fillId="0" borderId="8" applyAlignment="1" pivotButton="0" quotePrefix="0" xfId="0">
      <alignment horizontal="center" vertical="bottom"/>
    </xf>
    <xf numFmtId="165" fontId="37" fillId="4" borderId="28" applyAlignment="1" pivotButton="0" quotePrefix="0" xfId="0">
      <alignment horizontal="center" vertical="bottom"/>
    </xf>
    <xf numFmtId="165" fontId="37" fillId="4" borderId="29" applyAlignment="1" pivotButton="0" quotePrefix="0" xfId="0">
      <alignment horizontal="center" vertical="bottom"/>
    </xf>
    <xf numFmtId="0" fontId="50" fillId="3" borderId="0" applyAlignment="1" pivotButton="0" quotePrefix="0" xfId="0">
      <alignment horizontal="general" vertical="center"/>
    </xf>
    <xf numFmtId="167" fontId="37" fillId="4" borderId="16" applyAlignment="1" pivotButton="0" quotePrefix="0" xfId="47">
      <alignment horizontal="center" vertical="bottom"/>
    </xf>
    <xf numFmtId="167" fontId="47" fillId="3" borderId="8" applyAlignment="1" pivotButton="0" quotePrefix="0" xfId="0">
      <alignment horizontal="general" vertical="center"/>
    </xf>
    <xf numFmtId="167" fontId="47" fillId="3" borderId="0" applyAlignment="1" pivotButton="0" quotePrefix="0" xfId="0">
      <alignment horizontal="general" vertical="center"/>
    </xf>
    <xf numFmtId="0" fontId="29" fillId="3" borderId="7" applyAlignment="1" pivotButton="0" quotePrefix="0" xfId="0">
      <alignment horizontal="general" vertical="center"/>
    </xf>
    <xf numFmtId="165" fontId="37" fillId="4" borderId="29" applyAlignment="1" pivotButton="0" quotePrefix="0" xfId="47">
      <alignment horizontal="center" vertical="bottom"/>
    </xf>
    <xf numFmtId="165" fontId="47" fillId="3" borderId="8" applyAlignment="1" pivotButton="0" quotePrefix="0" xfId="0">
      <alignment horizontal="general" vertical="center"/>
    </xf>
    <xf numFmtId="0" fontId="27" fillId="3" borderId="7" applyAlignment="1" pivotButton="0" quotePrefix="0" xfId="0">
      <alignment horizontal="general" vertical="center"/>
    </xf>
    <xf numFmtId="0" fontId="27" fillId="3" borderId="0" applyAlignment="1" pivotButton="0" quotePrefix="0" xfId="0">
      <alignment horizontal="general" vertical="center"/>
    </xf>
    <xf numFmtId="165" fontId="27" fillId="0" borderId="0" applyAlignment="1" pivotButton="0" quotePrefix="0" xfId="0">
      <alignment horizontal="center" vertical="bottom"/>
    </xf>
    <xf numFmtId="0" fontId="47" fillId="3" borderId="18" applyAlignment="1" pivotButton="0" quotePrefix="0" xfId="0">
      <alignment horizontal="general" vertical="center"/>
    </xf>
    <xf numFmtId="165" fontId="53" fillId="6" borderId="17" applyAlignment="1" pivotButton="0" quotePrefix="0" xfId="0">
      <alignment horizontal="center" vertical="bottom"/>
    </xf>
    <xf numFmtId="165" fontId="53" fillId="3" borderId="8" applyAlignment="1" pivotButton="0" quotePrefix="0" xfId="0">
      <alignment horizontal="general" vertical="center"/>
    </xf>
    <xf numFmtId="165" fontId="53" fillId="3" borderId="18" applyAlignment="1" pivotButton="0" quotePrefix="0" xfId="0">
      <alignment horizontal="general" vertical="center"/>
    </xf>
    <xf numFmtId="165" fontId="53" fillId="6" borderId="8" applyAlignment="1" pivotButton="0" quotePrefix="0" xfId="0">
      <alignment horizontal="center" vertical="bottom"/>
    </xf>
    <xf numFmtId="165" fontId="35" fillId="6" borderId="26" applyAlignment="1" pivotButton="0" quotePrefix="0" xfId="0">
      <alignment horizontal="center" vertical="bottom"/>
    </xf>
    <xf numFmtId="165" fontId="35" fillId="6" borderId="8" applyAlignment="1" pivotButton="0" quotePrefix="0" xfId="0">
      <alignment horizontal="center" vertical="bottom"/>
    </xf>
    <xf numFmtId="0" fontId="47" fillId="3" borderId="30" applyAlignment="1" pivotButton="0" quotePrefix="0" xfId="0">
      <alignment horizontal="general" vertical="center"/>
    </xf>
    <xf numFmtId="0" fontId="49" fillId="3" borderId="30" applyAlignment="1" pivotButton="0" quotePrefix="0" xfId="0">
      <alignment horizontal="center" vertical="bottom"/>
    </xf>
    <xf numFmtId="165" fontId="47" fillId="3" borderId="30" applyAlignment="1" pivotButton="0" quotePrefix="0" xfId="0">
      <alignment horizontal="general" vertical="center"/>
    </xf>
    <xf numFmtId="0" fontId="56" fillId="6" borderId="3" applyAlignment="1" pivotButton="0" quotePrefix="0" xfId="0">
      <alignment horizontal="general" vertical="bottom"/>
    </xf>
    <xf numFmtId="0" fontId="48" fillId="6" borderId="22" applyAlignment="1" pivotButton="0" quotePrefix="0" xfId="0">
      <alignment horizontal="general" vertical="center"/>
    </xf>
    <xf numFmtId="0" fontId="49" fillId="6" borderId="22" applyAlignment="1" pivotButton="0" quotePrefix="0" xfId="0">
      <alignment horizontal="center" vertical="bottom"/>
    </xf>
    <xf numFmtId="165" fontId="57" fillId="6" borderId="22" applyAlignment="1" pivotButton="0" quotePrefix="0" xfId="0">
      <alignment horizontal="right" vertical="bottom"/>
    </xf>
    <xf numFmtId="165" fontId="57" fillId="6" borderId="31" applyAlignment="1" pivotButton="0" quotePrefix="0" xfId="0">
      <alignment horizontal="right" vertical="bottom"/>
    </xf>
    <xf numFmtId="165" fontId="57" fillId="6" borderId="0" applyAlignment="1" pivotButton="0" quotePrefix="0" xfId="0">
      <alignment horizontal="right" vertical="bottom"/>
    </xf>
    <xf numFmtId="0" fontId="58" fillId="3" borderId="0" applyAlignment="1" pivotButton="0" quotePrefix="0" xfId="0">
      <alignment horizontal="general" vertical="center"/>
    </xf>
    <xf numFmtId="165" fontId="58" fillId="3" borderId="0" applyAlignment="1" pivotButton="0" quotePrefix="0" xfId="0">
      <alignment horizontal="right" vertical="center"/>
    </xf>
    <xf numFmtId="0" fontId="48" fillId="3" borderId="7" applyAlignment="1" pivotButton="0" quotePrefix="0" xfId="0">
      <alignment horizontal="general" vertical="center"/>
    </xf>
    <xf numFmtId="168" fontId="47" fillId="3" borderId="7" applyAlignment="1" pivotButton="0" quotePrefix="0" xfId="0">
      <alignment horizontal="general" vertical="center"/>
    </xf>
    <xf numFmtId="168" fontId="47" fillId="3" borderId="0" applyAlignment="1" pivotButton="0" quotePrefix="0" xfId="0">
      <alignment horizontal="general" vertical="center"/>
    </xf>
    <xf numFmtId="0" fontId="47" fillId="3" borderId="30" applyAlignment="1" pivotButton="0" quotePrefix="0" xfId="0">
      <alignment horizontal="general" vertical="bottom"/>
    </xf>
    <xf numFmtId="167" fontId="47" fillId="3" borderId="30" applyAlignment="1" pivotButton="0" quotePrefix="0" xfId="47">
      <alignment horizontal="general" vertical="center"/>
    </xf>
    <xf numFmtId="165" fontId="47" fillId="3" borderId="23" applyAlignment="1" pivotButton="0" quotePrefix="0" xfId="0">
      <alignment horizontal="general" vertical="center"/>
    </xf>
    <xf numFmtId="0" fontId="51" fillId="3" borderId="0" applyAlignment="1" pivotButton="0" quotePrefix="0" xfId="0">
      <alignment horizontal="general" vertical="center"/>
    </xf>
    <xf numFmtId="165" fontId="37" fillId="4" borderId="32" applyAlignment="1" pivotButton="0" quotePrefix="0" xfId="0">
      <alignment horizontal="center" vertical="bottom"/>
    </xf>
    <xf numFmtId="9" fontId="37" fillId="4" borderId="16" applyAlignment="1" pivotButton="0" quotePrefix="0" xfId="47">
      <alignment horizontal="center" vertical="bottom"/>
    </xf>
    <xf numFmtId="9" fontId="47" fillId="3" borderId="8" applyAlignment="1" pivotButton="0" quotePrefix="0" xfId="0">
      <alignment horizontal="general" vertical="center"/>
    </xf>
    <xf numFmtId="9" fontId="47" fillId="3" borderId="0" applyAlignment="1" pivotButton="0" quotePrefix="0" xfId="0">
      <alignment horizontal="general" vertical="center"/>
    </xf>
    <xf numFmtId="0" fontId="47" fillId="3" borderId="8" applyAlignment="1" pivotButton="0" quotePrefix="0" xfId="0">
      <alignment horizontal="general" vertical="center"/>
    </xf>
    <xf numFmtId="0" fontId="47" fillId="3" borderId="33" applyAlignment="1" pivotButton="0" quotePrefix="0" xfId="0">
      <alignment horizontal="general" vertical="center"/>
    </xf>
    <xf numFmtId="9" fontId="47" fillId="3" borderId="34" applyAlignment="1" pivotButton="0" quotePrefix="0" xfId="0">
      <alignment horizontal="general" vertical="center"/>
    </xf>
    <xf numFmtId="0" fontId="47" fillId="3" borderId="35" applyAlignment="1" pivotButton="0" quotePrefix="0" xfId="0">
      <alignment horizontal="general" vertical="center"/>
    </xf>
    <xf numFmtId="9" fontId="47" fillId="3" borderId="36" applyAlignment="1" pivotButton="0" quotePrefix="0" xfId="0">
      <alignment horizontal="general" vertical="center"/>
    </xf>
    <xf numFmtId="0" fontId="47" fillId="3" borderId="7" applyAlignment="1" pivotButton="0" quotePrefix="0" xfId="0">
      <alignment horizontal="center" vertical="center"/>
    </xf>
    <xf numFmtId="0" fontId="47" fillId="3" borderId="3" applyAlignment="1" pivotButton="0" quotePrefix="0" xfId="0">
      <alignment horizontal="center" vertical="center"/>
    </xf>
    <xf numFmtId="0" fontId="47" fillId="3" borderId="7" applyAlignment="1" pivotButton="0" quotePrefix="0" xfId="0">
      <alignment horizontal="right" vertical="center"/>
    </xf>
    <xf numFmtId="0" fontId="47" fillId="3" borderId="35" applyAlignment="1" pivotButton="0" quotePrefix="0" xfId="0">
      <alignment horizontal="right" vertical="center"/>
    </xf>
    <xf numFmtId="0" fontId="48" fillId="3" borderId="33" applyAlignment="1" pivotButton="0" quotePrefix="0" xfId="0">
      <alignment horizontal="general" vertical="center"/>
    </xf>
    <xf numFmtId="0" fontId="48" fillId="3" borderId="30" applyAlignment="1" pivotButton="0" quotePrefix="0" xfId="0">
      <alignment horizontal="general" vertical="center"/>
    </xf>
    <xf numFmtId="165" fontId="48" fillId="3" borderId="30" applyAlignment="1" pivotButton="0" quotePrefix="0" xfId="0">
      <alignment horizontal="general" vertical="center"/>
    </xf>
    <xf numFmtId="165" fontId="48" fillId="3" borderId="33" applyAlignment="1" pivotButton="0" quotePrefix="0" xfId="0">
      <alignment horizontal="general" vertical="center"/>
    </xf>
    <xf numFmtId="165" fontId="48" fillId="3" borderId="34" applyAlignment="1" pivotButton="0" quotePrefix="0" xfId="0">
      <alignment horizontal="general" vertical="center"/>
    </xf>
    <xf numFmtId="0" fontId="47" fillId="3" borderId="37" applyAlignment="1" pivotButton="0" quotePrefix="0" xfId="0">
      <alignment horizontal="left" vertical="center" indent="1"/>
    </xf>
    <xf numFmtId="167" fontId="47" fillId="3" borderId="37" applyAlignment="1" pivotButton="0" quotePrefix="0" xfId="47">
      <alignment horizontal="general" vertical="center"/>
    </xf>
    <xf numFmtId="167" fontId="47" fillId="3" borderId="38" applyAlignment="1" pivotButton="0" quotePrefix="0" xfId="47">
      <alignment horizontal="general" vertical="center"/>
    </xf>
    <xf numFmtId="0" fontId="48" fillId="3" borderId="35" applyAlignment="1" pivotButton="0" quotePrefix="0" xfId="0">
      <alignment horizontal="general" vertical="center"/>
    </xf>
    <xf numFmtId="165" fontId="48" fillId="3" borderId="7" applyAlignment="1" pivotButton="0" quotePrefix="0" xfId="0">
      <alignment horizontal="general" vertical="center"/>
    </xf>
    <xf numFmtId="165" fontId="48" fillId="3" borderId="35" applyAlignment="1" pivotButton="0" quotePrefix="0" xfId="0">
      <alignment horizontal="general" vertical="center"/>
    </xf>
    <xf numFmtId="165" fontId="48" fillId="3" borderId="36" applyAlignment="1" pivotButton="0" quotePrefix="0" xfId="0">
      <alignment horizontal="general" vertical="center"/>
    </xf>
    <xf numFmtId="0" fontId="47" fillId="3" borderId="35" applyAlignment="1" pivotButton="0" quotePrefix="0" xfId="0">
      <alignment horizontal="left" vertical="center" indent="1"/>
    </xf>
    <xf numFmtId="167" fontId="47" fillId="3" borderId="7" applyAlignment="1" pivotButton="0" quotePrefix="0" xfId="47">
      <alignment horizontal="general" vertical="center"/>
    </xf>
    <xf numFmtId="167" fontId="47" fillId="3" borderId="35" applyAlignment="1" pivotButton="0" quotePrefix="0" xfId="47">
      <alignment horizontal="general" vertical="center"/>
    </xf>
    <xf numFmtId="167" fontId="47" fillId="3" borderId="36" applyAlignment="1" pivotButton="0" quotePrefix="0" xfId="47">
      <alignment horizontal="general" vertical="center"/>
    </xf>
    <xf numFmtId="0" fontId="47" fillId="3" borderId="3" applyAlignment="1" pivotButton="0" quotePrefix="0" xfId="0">
      <alignment horizontal="general" vertical="center"/>
    </xf>
    <xf numFmtId="165" fontId="47" fillId="3" borderId="22" applyAlignment="1" pivotButton="0" quotePrefix="0" xfId="0">
      <alignment horizontal="general" vertical="center"/>
    </xf>
    <xf numFmtId="165" fontId="47" fillId="3" borderId="39" applyAlignment="1" pivotButton="0" quotePrefix="0" xfId="0">
      <alignment horizontal="general" vertical="center"/>
    </xf>
    <xf numFmtId="165" fontId="47" fillId="3" borderId="4" applyAlignment="1" pivotButton="0" quotePrefix="0" xfId="0">
      <alignment horizontal="general" vertical="center"/>
    </xf>
    <xf numFmtId="165" fontId="47" fillId="3" borderId="5" applyAlignment="1" pivotButton="0" quotePrefix="0" xfId="0">
      <alignment horizontal="general" vertical="center"/>
    </xf>
    <xf numFmtId="165" fontId="47" fillId="3" borderId="3" applyAlignment="1" pivotButton="0" quotePrefix="0" xfId="0">
      <alignment horizontal="general" vertical="center"/>
    </xf>
    <xf numFmtId="165" fontId="47" fillId="3" borderId="31" applyAlignment="1" pivotButton="0" quotePrefix="0" xfId="0">
      <alignment horizontal="general" vertical="center"/>
    </xf>
    <xf numFmtId="165" fontId="47" fillId="2" borderId="40" applyAlignment="1" pivotButton="0" quotePrefix="0" xfId="0">
      <alignment horizontal="general" vertical="center"/>
    </xf>
    <xf numFmtId="165" fontId="47" fillId="2" borderId="0" applyAlignment="1" pivotButton="0" quotePrefix="0" xfId="0">
      <alignment horizontal="general" vertical="center"/>
    </xf>
    <xf numFmtId="165" fontId="47" fillId="2" borderId="41" applyAlignment="1" pivotButton="0" quotePrefix="0" xfId="0">
      <alignment horizontal="general" vertical="center"/>
    </xf>
    <xf numFmtId="165" fontId="47" fillId="3" borderId="37" applyAlignment="1" pivotButton="0" quotePrefix="0" xfId="0">
      <alignment horizontal="general" vertical="center"/>
    </xf>
    <xf numFmtId="165" fontId="47" fillId="3" borderId="38" applyAlignment="1" pivotButton="0" quotePrefix="0" xfId="0">
      <alignment horizontal="general" vertical="center"/>
    </xf>
    <xf numFmtId="165" fontId="47" fillId="2" borderId="42" applyAlignment="1" pivotButton="0" quotePrefix="0" xfId="0">
      <alignment horizontal="general" vertical="center"/>
    </xf>
    <xf numFmtId="165" fontId="47" fillId="2" borderId="23" applyAlignment="1" pivotButton="0" quotePrefix="0" xfId="0">
      <alignment horizontal="general" vertical="center"/>
    </xf>
    <xf numFmtId="165" fontId="47" fillId="2" borderId="43" applyAlignment="1" pivotButton="0" quotePrefix="0" xfId="0">
      <alignment horizontal="general" vertical="center"/>
    </xf>
    <xf numFmtId="169" fontId="47" fillId="3" borderId="37" applyAlignment="1" pivotButton="0" quotePrefix="0" xfId="0">
      <alignment horizontal="general" vertical="center"/>
    </xf>
    <xf numFmtId="170" fontId="47" fillId="3" borderId="0" applyAlignment="1" pivotButton="0" quotePrefix="0" xfId="0">
      <alignment horizontal="general" vertical="center"/>
    </xf>
    <xf numFmtId="170" fontId="47" fillId="3" borderId="38" applyAlignment="1" pivotButton="0" quotePrefix="0" xfId="0">
      <alignment horizontal="general" vertical="center"/>
    </xf>
    <xf numFmtId="165" fontId="47" fillId="3" borderId="35" applyAlignment="1" pivotButton="0" quotePrefix="0" xfId="0">
      <alignment horizontal="general" vertical="center"/>
    </xf>
    <xf numFmtId="165" fontId="47" fillId="3" borderId="36" applyAlignment="1" pivotButton="0" quotePrefix="0" xfId="0">
      <alignment horizontal="general" vertical="center"/>
    </xf>
    <xf numFmtId="0" fontId="47" fillId="3" borderId="44" applyAlignment="1" pivotButton="0" quotePrefix="0" xfId="0">
      <alignment horizontal="general" vertical="center"/>
    </xf>
    <xf numFmtId="0" fontId="47" fillId="3" borderId="42" applyAlignment="1" pivotButton="0" quotePrefix="0" xfId="0">
      <alignment horizontal="general" vertical="center"/>
    </xf>
    <xf numFmtId="165" fontId="48" fillId="3" borderId="45" applyAlignment="1" pivotButton="0" quotePrefix="0" xfId="0">
      <alignment horizontal="general" vertical="center"/>
    </xf>
    <xf numFmtId="0" fontId="29" fillId="3" borderId="35" applyAlignment="1" pivotButton="0" quotePrefix="0" xfId="0">
      <alignment horizontal="left" vertical="center" indent="1"/>
    </xf>
    <xf numFmtId="0" fontId="47" fillId="3" borderId="43" applyAlignment="1" pivotButton="0" quotePrefix="0" xfId="0">
      <alignment horizontal="general" vertical="center"/>
    </xf>
    <xf numFmtId="0" fontId="48" fillId="0" borderId="3" applyAlignment="1" pivotButton="0" quotePrefix="0" xfId="0">
      <alignment horizontal="left" vertical="bottom" wrapText="1" readingOrder="1"/>
    </xf>
    <xf numFmtId="0" fontId="48" fillId="0" borderId="8" applyAlignment="1" pivotButton="0" quotePrefix="0" xfId="0">
      <alignment horizontal="left" vertical="bottom" wrapText="1" readingOrder="1"/>
    </xf>
    <xf numFmtId="0" fontId="48" fillId="0" borderId="46" applyAlignment="1" pivotButton="0" quotePrefix="0" xfId="0">
      <alignment horizontal="center" vertical="bottom" wrapText="1" readingOrder="1"/>
    </xf>
    <xf numFmtId="0" fontId="48" fillId="0" borderId="8" applyAlignment="1" pivotButton="0" quotePrefix="0" xfId="0">
      <alignment horizontal="center" vertical="top" wrapText="1" readingOrder="1"/>
    </xf>
    <xf numFmtId="171" fontId="44" fillId="2" borderId="8" applyAlignment="1" pivotButton="0" quotePrefix="0" xfId="0">
      <alignment horizontal="general" vertical="top" wrapText="1" readingOrder="1"/>
    </xf>
    <xf numFmtId="10" fontId="48" fillId="2" borderId="8" applyAlignment="1" pivotButton="0" quotePrefix="0" xfId="0">
      <alignment horizontal="right" vertical="center" wrapText="1" readingOrder="1"/>
    </xf>
    <xf numFmtId="0" fontId="48" fillId="0" borderId="47" applyAlignment="1" pivotButton="0" quotePrefix="0" xfId="0">
      <alignment horizontal="center" vertical="center" wrapText="1" readingOrder="1"/>
    </xf>
    <xf numFmtId="10" fontId="48" fillId="2" borderId="8" applyAlignment="1" pivotButton="0" quotePrefix="0" xfId="47">
      <alignment horizontal="right" vertical="center" wrapText="1" readingOrder="1"/>
    </xf>
    <xf numFmtId="3" fontId="47" fillId="0" borderId="8" applyAlignment="1" pivotButton="0" quotePrefix="0" xfId="0">
      <alignment horizontal="right" vertical="center" wrapText="1" readingOrder="1"/>
    </xf>
    <xf numFmtId="3" fontId="31" fillId="4" borderId="8" applyAlignment="1" pivotButton="0" quotePrefix="0" xfId="0">
      <alignment horizontal="right" vertical="center" wrapText="1" readingOrder="1"/>
    </xf>
    <xf numFmtId="10" fontId="47" fillId="3" borderId="23" applyAlignment="1" pivotButton="0" quotePrefix="0" xfId="0">
      <alignment horizontal="general" vertical="center"/>
    </xf>
    <xf numFmtId="167" fontId="47" fillId="3" borderId="23" applyAlignment="1" pivotButton="0" quotePrefix="0" xfId="47">
      <alignment horizontal="general" vertical="center"/>
    </xf>
    <xf numFmtId="0" fontId="47" fillId="3" borderId="35" applyAlignment="1" pivotButton="0" quotePrefix="0" xfId="0">
      <alignment horizontal="center" vertical="center"/>
    </xf>
    <xf numFmtId="0" fontId="28" fillId="3" borderId="3" applyAlignment="1" pivotButton="0" quotePrefix="0" xfId="0">
      <alignment horizontal="left" vertical="center"/>
    </xf>
    <xf numFmtId="0" fontId="29" fillId="3" borderId="37" applyAlignment="1" pivotButton="0" quotePrefix="0" xfId="0">
      <alignment horizontal="left" vertical="center" indent="1"/>
    </xf>
    <xf numFmtId="0" fontId="48" fillId="3" borderId="3" applyAlignment="1" pivotButton="0" quotePrefix="0" xfId="0">
      <alignment horizontal="general" vertical="center"/>
    </xf>
    <xf numFmtId="0" fontId="48" fillId="3" borderId="22" applyAlignment="1" pivotButton="0" quotePrefix="0" xfId="0">
      <alignment horizontal="general" vertical="center"/>
    </xf>
    <xf numFmtId="165" fontId="48" fillId="3" borderId="22" applyAlignment="1" pivotButton="0" quotePrefix="0" xfId="0">
      <alignment horizontal="general" vertical="center"/>
    </xf>
    <xf numFmtId="165" fontId="48" fillId="3" borderId="3" applyAlignment="1" pivotButton="0" quotePrefix="0" xfId="0">
      <alignment horizontal="general" vertical="center"/>
    </xf>
    <xf numFmtId="165" fontId="48" fillId="3" borderId="31" applyAlignment="1" pivotButton="0" quotePrefix="0" xfId="0">
      <alignment horizontal="general" vertical="center"/>
    </xf>
    <xf numFmtId="0" fontId="47" fillId="3" borderId="3" applyAlignment="1" pivotButton="0" quotePrefix="0" xfId="0">
      <alignment horizontal="left" vertical="center" indent="1"/>
    </xf>
    <xf numFmtId="0" fontId="47" fillId="3" borderId="22" applyAlignment="1" pivotButton="0" quotePrefix="0" xfId="0">
      <alignment horizontal="general" vertical="center"/>
    </xf>
    <xf numFmtId="0" fontId="47" fillId="3" borderId="22" applyAlignment="1" pivotButton="0" quotePrefix="0" xfId="0">
      <alignment horizontal="right" vertical="center"/>
    </xf>
    <xf numFmtId="0" fontId="47" fillId="3" borderId="3" applyAlignment="1" pivotButton="0" quotePrefix="0" xfId="0">
      <alignment horizontal="right" vertical="center"/>
    </xf>
    <xf numFmtId="0" fontId="50" fillId="3" borderId="3" applyAlignment="1" pivotButton="0" quotePrefix="0" xfId="0">
      <alignment horizontal="left" vertical="bottom"/>
    </xf>
    <xf numFmtId="0" fontId="29" fillId="3" borderId="37" applyAlignment="1" pivotButton="0" quotePrefix="0" xfId="0">
      <alignment horizontal="left" vertical="bottom" indent="1"/>
    </xf>
    <xf numFmtId="0" fontId="29" fillId="3" borderId="35" applyAlignment="1" pivotButton="0" quotePrefix="0" xfId="0">
      <alignment horizontal="left" vertical="bottom" indent="1"/>
    </xf>
    <xf numFmtId="0" fontId="50" fillId="3" borderId="35" applyAlignment="1" pivotButton="0" quotePrefix="0" xfId="0">
      <alignment horizontal="left" vertical="bottom"/>
    </xf>
    <xf numFmtId="165" fontId="47" fillId="3" borderId="34" applyAlignment="1" pivotButton="0" quotePrefix="0" xfId="0">
      <alignment horizontal="general" vertical="center"/>
    </xf>
    <xf numFmtId="0" fontId="50" fillId="3" borderId="3" applyAlignment="1" pivotButton="0" quotePrefix="0" xfId="0">
      <alignment horizontal="general" vertical="center"/>
    </xf>
    <xf numFmtId="0" fontId="27" fillId="3" borderId="37" applyAlignment="1" pivotButton="0" quotePrefix="0" xfId="0">
      <alignment horizontal="left" vertical="center" indent="1"/>
    </xf>
    <xf numFmtId="165" fontId="47" fillId="3" borderId="40" applyAlignment="1" pivotButton="0" quotePrefix="0" xfId="0">
      <alignment horizontal="general" vertical="center"/>
    </xf>
    <xf numFmtId="165" fontId="47" fillId="3" borderId="41" applyAlignment="1" pivotButton="0" quotePrefix="0" xfId="0">
      <alignment horizontal="general" vertical="center"/>
    </xf>
    <xf numFmtId="0" fontId="50" fillId="3" borderId="35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43" fillId="4" borderId="0" applyAlignment="1" pivotButton="0" quotePrefix="0" xfId="0">
      <alignment horizontal="general" vertical="bottom"/>
    </xf>
    <xf numFmtId="0" fontId="59" fillId="0" borderId="0" applyAlignment="1" pivotButton="0" quotePrefix="0" xfId="0">
      <alignment horizontal="general" vertical="bottom"/>
    </xf>
    <xf numFmtId="0" fontId="31" fillId="4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66" fontId="27" fillId="0" borderId="0" applyAlignment="1" pivotButton="0" quotePrefix="0" xfId="0">
      <alignment horizontal="general" vertical="bottom"/>
    </xf>
    <xf numFmtId="167" fontId="27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172" fontId="27" fillId="0" borderId="0" applyAlignment="1" pivotButton="0" quotePrefix="0" xfId="0">
      <alignment horizontal="general" vertical="bottom"/>
    </xf>
    <xf numFmtId="0" fontId="48" fillId="0" borderId="48" applyAlignment="1" pivotButton="0" quotePrefix="0" xfId="0">
      <alignment horizontal="general" vertical="bottom"/>
    </xf>
    <xf numFmtId="167" fontId="48" fillId="0" borderId="48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general" vertical="bottom"/>
    </xf>
    <xf numFmtId="10" fontId="48" fillId="0" borderId="48" applyAlignment="1" pivotButton="0" quotePrefix="0" xfId="0">
      <alignment horizontal="general" vertical="bottom"/>
    </xf>
    <xf numFmtId="167" fontId="35" fillId="0" borderId="0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167" fontId="31" fillId="4" borderId="0" applyAlignment="1" pivotButton="0" quotePrefix="0" xfId="0">
      <alignment horizontal="center" vertical="bottom"/>
    </xf>
    <xf numFmtId="172" fontId="31" fillId="4" borderId="0" applyAlignment="1" pivotButton="0" quotePrefix="0" xfId="0">
      <alignment horizontal="center" vertical="bottom"/>
    </xf>
    <xf numFmtId="167" fontId="27" fillId="0" borderId="0" applyAlignment="1" pivotButton="0" quotePrefix="0" xfId="0">
      <alignment horizontal="center" vertical="bottom"/>
    </xf>
    <xf numFmtId="167" fontId="60" fillId="4" borderId="0" applyAlignment="1" pivotButton="0" quotePrefix="0" xfId="0">
      <alignment horizontal="center" vertical="bottom"/>
    </xf>
    <xf numFmtId="0" fontId="31" fillId="4" borderId="0" applyAlignment="1" pivotButton="0" quotePrefix="0" xfId="0">
      <alignment horizontal="center" vertical="bottom" wrapText="1"/>
    </xf>
    <xf numFmtId="0" fontId="60" fillId="4" borderId="0" applyAlignment="1" pivotButton="0" quotePrefix="0" xfId="0">
      <alignment horizontal="general" vertical="bottom"/>
    </xf>
    <xf numFmtId="3" fontId="60" fillId="4" borderId="0" applyAlignment="1" pivotButton="0" quotePrefix="0" xfId="0">
      <alignment horizontal="general" vertical="bottom"/>
    </xf>
    <xf numFmtId="172" fontId="60" fillId="4" borderId="0" applyAlignment="1" pivotButton="0" quotePrefix="0" xfId="0">
      <alignment horizontal="general" vertical="bottom"/>
    </xf>
    <xf numFmtId="3" fontId="27" fillId="0" borderId="0" applyAlignment="1" pivotButton="0" quotePrefix="0" xfId="0">
      <alignment horizontal="general" vertical="bottom"/>
    </xf>
    <xf numFmtId="0" fontId="31" fillId="4" borderId="0" applyAlignment="1" pivotButton="0" quotePrefix="0" xfId="0">
      <alignment horizontal="center" vertical="bottom"/>
    </xf>
    <xf numFmtId="172" fontId="27" fillId="0" borderId="0" applyAlignment="1" pivotButton="0" quotePrefix="0" xfId="0">
      <alignment horizontal="center" vertical="bottom"/>
    </xf>
    <xf numFmtId="3" fontId="35" fillId="0" borderId="0" applyAlignment="1" pivotButton="0" quotePrefix="0" xfId="0">
      <alignment horizontal="general" vertical="bottom"/>
    </xf>
    <xf numFmtId="3" fontId="48" fillId="0" borderId="48" applyAlignment="1" pivotButton="0" quotePrefix="0" xfId="0">
      <alignment horizontal="general" vertical="bottom"/>
    </xf>
    <xf numFmtId="173" fontId="60" fillId="4" borderId="0" applyAlignment="1" pivotButton="0" quotePrefix="0" xfId="0">
      <alignment horizontal="general" vertical="bottom"/>
    </xf>
    <xf numFmtId="167" fontId="60" fillId="4" borderId="0" applyAlignment="1" pivotButton="0" quotePrefix="0" xfId="0">
      <alignment horizontal="general" vertical="bottom"/>
    </xf>
    <xf numFmtId="173" fontId="27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5" fillId="2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27" fillId="2" borderId="0" applyAlignment="1" pivotButton="0" quotePrefix="0" xfId="0">
      <alignment horizontal="general" vertical="bottom"/>
    </xf>
    <xf numFmtId="0" fontId="28" fillId="3" borderId="3" applyAlignment="1" pivotButton="0" quotePrefix="0" xfId="0">
      <alignment horizontal="general" vertical="bottom"/>
    </xf>
    <xf numFmtId="0" fontId="27" fillId="3" borderId="4" applyAlignment="1" pivotButton="0" quotePrefix="0" xfId="0">
      <alignment horizontal="general" vertical="bottom"/>
    </xf>
    <xf numFmtId="0" fontId="27" fillId="3" borderId="5" applyAlignment="1" pivotButton="0" quotePrefix="0" xfId="0">
      <alignment horizontal="general" vertical="bottom"/>
    </xf>
    <xf numFmtId="0" fontId="28" fillId="2" borderId="0" applyAlignment="1" pivotButton="0" quotePrefix="0" xfId="0">
      <alignment horizontal="general" vertical="bottom"/>
    </xf>
    <xf numFmtId="0" fontId="27" fillId="3" borderId="3" applyAlignment="1" pivotButton="0" quotePrefix="0" xfId="0">
      <alignment horizontal="general" vertical="bottom"/>
    </xf>
    <xf numFmtId="164" fontId="27" fillId="3" borderId="3" applyAlignment="1" pivotButton="0" quotePrefix="0" xfId="0">
      <alignment horizontal="general" vertical="bottom"/>
    </xf>
    <xf numFmtId="0" fontId="29" fillId="3" borderId="3" applyAlignment="1" pivotButton="0" quotePrefix="0" xfId="0">
      <alignment horizontal="general" vertical="bottom"/>
    </xf>
    <xf numFmtId="0" fontId="31" fillId="4" borderId="6" applyAlignment="1" pivotButton="0" quotePrefix="0" xfId="0">
      <alignment horizontal="center" vertical="bottom"/>
    </xf>
    <xf numFmtId="0" fontId="0" fillId="0" borderId="22" pivotButton="0" quotePrefix="0" xfId="0"/>
    <xf numFmtId="0" fontId="0" fillId="0" borderId="46" pivotButton="0" quotePrefix="0" xfId="0"/>
    <xf numFmtId="0" fontId="25" fillId="5" borderId="0" applyAlignment="1" pivotButton="0" quotePrefix="0" xfId="0">
      <alignment horizontal="general" vertical="bottom"/>
    </xf>
    <xf numFmtId="0" fontId="34" fillId="2" borderId="0" applyAlignment="1" pivotButton="0" quotePrefix="0" xfId="0">
      <alignment horizontal="general" vertical="bottom"/>
    </xf>
    <xf numFmtId="0" fontId="32" fillId="4" borderId="7" applyAlignment="1" pivotButton="0" quotePrefix="0" xfId="0">
      <alignment horizontal="center" vertical="bottom"/>
    </xf>
    <xf numFmtId="0" fontId="33" fillId="4" borderId="0" applyAlignment="1" pivotButton="0" quotePrefix="0" xfId="0">
      <alignment horizontal="general" vertical="bottom"/>
    </xf>
    <xf numFmtId="0" fontId="0" fillId="0" borderId="7" pivotButton="0" quotePrefix="0" xfId="0"/>
    <xf numFmtId="0" fontId="34" fillId="0" borderId="0" applyAlignment="1" pivotButton="0" quotePrefix="0" xfId="0">
      <alignment horizontal="general" vertical="bottom"/>
    </xf>
    <xf numFmtId="0" fontId="35" fillId="2" borderId="0" applyAlignment="1" pivotButton="0" quotePrefix="0" xfId="0">
      <alignment horizontal="general" vertical="bottom"/>
    </xf>
    <xf numFmtId="0" fontId="35" fillId="0" borderId="8" applyAlignment="1" pivotButton="0" quotePrefix="0" xfId="0">
      <alignment horizontal="center" vertical="bottom"/>
    </xf>
    <xf numFmtId="0" fontId="36" fillId="3" borderId="9" applyAlignment="1" pivotButton="0" quotePrefix="0" xfId="0">
      <alignment horizontal="general" vertical="bottom"/>
    </xf>
    <xf numFmtId="0" fontId="35" fillId="3" borderId="10" applyAlignment="1" pivotButton="0" quotePrefix="0" xfId="0">
      <alignment horizontal="general" vertical="bottom"/>
    </xf>
    <xf numFmtId="0" fontId="35" fillId="3" borderId="11" applyAlignment="1" pivotButton="0" quotePrefix="0" xfId="0">
      <alignment horizontal="general" vertical="bottom"/>
    </xf>
    <xf numFmtId="0" fontId="37" fillId="4" borderId="12" applyAlignment="1" pivotButton="0" quotePrefix="0" xfId="0">
      <alignment horizontal="center" vertical="bottom"/>
    </xf>
    <xf numFmtId="0" fontId="35" fillId="3" borderId="13" applyAlignment="1" pivotButton="0" quotePrefix="0" xfId="0">
      <alignment horizontal="general" vertical="bottom"/>
    </xf>
    <xf numFmtId="0" fontId="35" fillId="3" borderId="14" applyAlignment="1" pivotButton="0" quotePrefix="0" xfId="0">
      <alignment horizontal="general" vertical="bottom"/>
    </xf>
    <xf numFmtId="0" fontId="35" fillId="3" borderId="15" applyAlignment="1" pivotButton="0" quotePrefix="0" xfId="0">
      <alignment horizontal="general" vertical="bottom"/>
    </xf>
    <xf numFmtId="0" fontId="37" fillId="4" borderId="16" applyAlignment="1" pivotButton="0" quotePrefix="0" xfId="0">
      <alignment horizontal="center" vertical="bottom"/>
    </xf>
    <xf numFmtId="0" fontId="36" fillId="3" borderId="13" applyAlignment="1" pivotButton="0" quotePrefix="0" xfId="0">
      <alignment horizontal="general" vertical="bottom"/>
    </xf>
    <xf numFmtId="0" fontId="35" fillId="0" borderId="17" applyAlignment="1" pivotButton="0" quotePrefix="0" xfId="0">
      <alignment horizontal="center" vertical="bottom"/>
    </xf>
    <xf numFmtId="0" fontId="35" fillId="6" borderId="8" applyAlignment="1" pivotButton="0" quotePrefix="0" xfId="0">
      <alignment horizontal="center" vertical="bottom"/>
    </xf>
    <xf numFmtId="0" fontId="37" fillId="4" borderId="8" applyAlignment="1" pivotButton="0" quotePrefix="0" xfId="0">
      <alignment horizontal="center" vertical="bottom"/>
    </xf>
    <xf numFmtId="0" fontId="38" fillId="0" borderId="8" applyAlignment="1" pivotButton="0" quotePrefix="0" xfId="0">
      <alignment horizontal="center" vertical="bottom"/>
    </xf>
    <xf numFmtId="0" fontId="34" fillId="5" borderId="0" applyAlignment="1" pivotButton="0" quotePrefix="0" xfId="0">
      <alignment horizontal="general" vertical="bottom"/>
    </xf>
    <xf numFmtId="0" fontId="38" fillId="7" borderId="8" applyAlignment="1" pivotButton="0" quotePrefix="0" xfId="0">
      <alignment horizontal="center" vertical="bottom"/>
    </xf>
    <xf numFmtId="0" fontId="35" fillId="3" borderId="13" applyAlignment="1" pivotButton="0" quotePrefix="0" xfId="0">
      <alignment horizontal="left" vertical="bottom"/>
    </xf>
    <xf numFmtId="0" fontId="40" fillId="4" borderId="8" applyAlignment="1" pivotButton="0" quotePrefix="0" xfId="0">
      <alignment horizontal="center" vertical="bottom"/>
    </xf>
    <xf numFmtId="0" fontId="40" fillId="4" borderId="18" applyAlignment="1" pivotButton="0" quotePrefix="0" xfId="0">
      <alignment horizontal="center" vertical="bottom"/>
    </xf>
    <xf numFmtId="0" fontId="35" fillId="3" borderId="19" applyAlignment="1" pivotButton="0" quotePrefix="0" xfId="0">
      <alignment horizontal="left" vertical="bottom"/>
    </xf>
    <xf numFmtId="0" fontId="35" fillId="3" borderId="20" applyAlignment="1" pivotButton="0" quotePrefix="0" xfId="0">
      <alignment horizontal="general" vertical="bottom"/>
    </xf>
    <xf numFmtId="0" fontId="35" fillId="3" borderId="21" applyAlignment="1" pivotButton="0" quotePrefix="0" xfId="0">
      <alignment horizontal="general" vertical="bottom"/>
    </xf>
    <xf numFmtId="0" fontId="41" fillId="3" borderId="0" applyAlignment="1" pivotButton="0" quotePrefix="0" xfId="0">
      <alignment horizontal="general" vertical="center"/>
    </xf>
    <xf numFmtId="0" fontId="42" fillId="4" borderId="0" applyAlignment="1" pivotButton="0" quotePrefix="0" xfId="0">
      <alignment horizontal="general" vertical="center"/>
    </xf>
    <xf numFmtId="0" fontId="31" fillId="4" borderId="0" applyAlignment="1" pivotButton="0" quotePrefix="0" xfId="0">
      <alignment horizontal="general" vertical="center"/>
    </xf>
    <xf numFmtId="0" fontId="43" fillId="4" borderId="0" applyAlignment="1" pivotButton="0" quotePrefix="0" xfId="0">
      <alignment horizontal="general" vertical="center"/>
    </xf>
    <xf numFmtId="0" fontId="44" fillId="4" borderId="0" applyAlignment="1" pivotButton="0" quotePrefix="0" xfId="0">
      <alignment horizontal="right" vertical="center"/>
    </xf>
    <xf numFmtId="0" fontId="44" fillId="8" borderId="0" applyAlignment="1" pivotButton="0" quotePrefix="0" xfId="0">
      <alignment horizontal="general" vertical="center"/>
    </xf>
    <xf numFmtId="3" fontId="45" fillId="8" borderId="0" applyAlignment="1" pivotButton="0" quotePrefix="0" xfId="0">
      <alignment horizontal="general" vertical="center"/>
    </xf>
    <xf numFmtId="165" fontId="46" fillId="8" borderId="0" applyAlignment="1" pivotButton="0" quotePrefix="0" xfId="0">
      <alignment horizontal="general" vertical="center"/>
    </xf>
    <xf numFmtId="165" fontId="44" fillId="8" borderId="0" applyAlignment="1" pivotButton="0" quotePrefix="0" xfId="0">
      <alignment horizontal="general" vertical="center"/>
    </xf>
    <xf numFmtId="0" fontId="44" fillId="8" borderId="0" applyAlignment="1" pivotButton="0" quotePrefix="0" xfId="0">
      <alignment horizontal="right" vertical="center"/>
    </xf>
    <xf numFmtId="0" fontId="44" fillId="4" borderId="0" applyAlignment="1" pivotButton="0" quotePrefix="0" xfId="0">
      <alignment horizontal="general" vertical="center"/>
    </xf>
    <xf numFmtId="0" fontId="47" fillId="3" borderId="0" applyAlignment="1" pivotButton="0" quotePrefix="0" xfId="0">
      <alignment horizontal="general" vertical="bottom"/>
    </xf>
    <xf numFmtId="0" fontId="47" fillId="3" borderId="0" applyAlignment="1" pivotButton="0" quotePrefix="0" xfId="0">
      <alignment horizontal="general" vertical="center"/>
    </xf>
    <xf numFmtId="0" fontId="48" fillId="3" borderId="0" applyAlignment="1" pivotButton="0" quotePrefix="0" xfId="0">
      <alignment horizontal="general" vertical="center"/>
    </xf>
    <xf numFmtId="166" fontId="47" fillId="3" borderId="0" applyAlignment="1" pivotButton="0" quotePrefix="0" xfId="0">
      <alignment horizontal="center" vertical="center"/>
    </xf>
    <xf numFmtId="0" fontId="47" fillId="3" borderId="0" applyAlignment="1" pivotButton="0" quotePrefix="0" xfId="0">
      <alignment horizontal="center" vertical="bottom"/>
    </xf>
    <xf numFmtId="166" fontId="43" fillId="4" borderId="0" applyAlignment="1" pivotButton="0" quotePrefix="0" xfId="0">
      <alignment horizontal="center" vertical="center"/>
    </xf>
    <xf numFmtId="49" fontId="47" fillId="3" borderId="0" applyAlignment="1" pivotButton="0" quotePrefix="0" xfId="0">
      <alignment horizontal="center" vertical="center"/>
    </xf>
    <xf numFmtId="0" fontId="47" fillId="3" borderId="0" applyAlignment="1" pivotButton="0" quotePrefix="0" xfId="0">
      <alignment horizontal="center" vertical="center"/>
    </xf>
    <xf numFmtId="0" fontId="43" fillId="4" borderId="0" applyAlignment="1" pivotButton="0" quotePrefix="0" xfId="0">
      <alignment horizontal="center" vertical="center"/>
    </xf>
    <xf numFmtId="0" fontId="44" fillId="3" borderId="0" applyAlignment="1" pivotButton="0" quotePrefix="0" xfId="0">
      <alignment horizontal="general" vertical="center"/>
    </xf>
    <xf numFmtId="164" fontId="27" fillId="0" borderId="8" applyAlignment="1" pivotButton="0" quotePrefix="0" xfId="0">
      <alignment horizontal="center" vertical="bottom"/>
    </xf>
    <xf numFmtId="49" fontId="27" fillId="0" borderId="8" applyAlignment="1" pivotButton="0" quotePrefix="0" xfId="0">
      <alignment horizontal="center" vertical="bottom"/>
    </xf>
    <xf numFmtId="165" fontId="27" fillId="0" borderId="8" applyAlignment="1" pivotButton="0" quotePrefix="0" xfId="0">
      <alignment horizontal="center" vertical="bottom"/>
    </xf>
    <xf numFmtId="0" fontId="49" fillId="3" borderId="0" applyAlignment="1" pivotButton="0" quotePrefix="0" xfId="0">
      <alignment horizontal="center" vertical="bottom"/>
    </xf>
    <xf numFmtId="9" fontId="27" fillId="0" borderId="8" applyAlignment="1" pivotButton="0" quotePrefix="0" xfId="0">
      <alignment horizontal="center" vertical="bottom"/>
    </xf>
    <xf numFmtId="9" fontId="27" fillId="0" borderId="0" applyAlignment="1" pivotButton="0" quotePrefix="0" xfId="0">
      <alignment horizontal="center" vertical="bottom"/>
    </xf>
    <xf numFmtId="0" fontId="48" fillId="3" borderId="0" applyAlignment="1" pivotButton="0" quotePrefix="0" xfId="0">
      <alignment horizontal="general" vertical="bottom"/>
    </xf>
    <xf numFmtId="0" fontId="47" fillId="3" borderId="0" applyAlignment="1" pivotButton="0" quotePrefix="0" xfId="0">
      <alignment horizontal="right" vertical="center"/>
    </xf>
    <xf numFmtId="0" fontId="29" fillId="3" borderId="22" applyAlignment="1" pivotButton="0" quotePrefix="0" xfId="0">
      <alignment horizontal="left" vertical="bottom"/>
    </xf>
    <xf numFmtId="0" fontId="47" fillId="3" borderId="4" applyAlignment="1" pivotButton="0" quotePrefix="0" xfId="0">
      <alignment horizontal="general" vertical="center"/>
    </xf>
    <xf numFmtId="0" fontId="47" fillId="3" borderId="23" applyAlignment="1" pivotButton="0" quotePrefix="0" xfId="0">
      <alignment horizontal="general" vertical="center"/>
    </xf>
    <xf numFmtId="165" fontId="27" fillId="6" borderId="17" applyAlignment="1" pivotButton="0" quotePrefix="0" xfId="0">
      <alignment horizontal="center" vertical="bottom"/>
    </xf>
    <xf numFmtId="0" fontId="29" fillId="3" borderId="0" applyAlignment="1" pivotButton="0" quotePrefix="0" xfId="0">
      <alignment horizontal="left" vertical="center" indent="1"/>
    </xf>
    <xf numFmtId="165" fontId="27" fillId="0" borderId="17" applyAlignment="1" pivotButton="0" quotePrefix="0" xfId="0">
      <alignment horizontal="center" vertical="bottom"/>
    </xf>
    <xf numFmtId="165" fontId="27" fillId="0" borderId="12" applyAlignment="1" pivotButton="0" quotePrefix="0" xfId="0">
      <alignment horizontal="center" vertical="bottom"/>
    </xf>
    <xf numFmtId="0" fontId="50" fillId="3" borderId="22" applyAlignment="1" pivotButton="0" quotePrefix="0" xfId="0">
      <alignment horizontal="left" vertical="center"/>
    </xf>
    <xf numFmtId="165" fontId="27" fillId="6" borderId="8" applyAlignment="1" pivotButton="0" quotePrefix="0" xfId="0">
      <alignment horizontal="center" vertical="bottom"/>
    </xf>
    <xf numFmtId="0" fontId="29" fillId="3" borderId="22" applyAlignment="1" pivotButton="0" quotePrefix="0" xfId="0">
      <alignment horizontal="left" vertical="center"/>
    </xf>
    <xf numFmtId="0" fontId="47" fillId="3" borderId="5" applyAlignment="1" pivotButton="0" quotePrefix="0" xfId="0">
      <alignment horizontal="general" vertical="center"/>
    </xf>
    <xf numFmtId="0" fontId="29" fillId="3" borderId="0" applyAlignment="1" pivotButton="0" quotePrefix="0" xfId="0">
      <alignment horizontal="left" vertical="center"/>
    </xf>
    <xf numFmtId="165" fontId="27" fillId="0" borderId="24" applyAlignment="1" pivotButton="0" quotePrefix="0" xfId="0">
      <alignment horizontal="center" vertical="bottom"/>
    </xf>
    <xf numFmtId="0" fontId="28" fillId="3" borderId="22" applyAlignment="1" pivotButton="0" quotePrefix="0" xfId="0">
      <alignment horizontal="left" vertical="center"/>
    </xf>
    <xf numFmtId="0" fontId="29" fillId="3" borderId="7" applyAlignment="1" pivotButton="0" quotePrefix="0" xfId="0">
      <alignment horizontal="left" vertical="center"/>
    </xf>
    <xf numFmtId="0" fontId="29" fillId="3" borderId="0" applyAlignment="1" pivotButton="0" quotePrefix="0" xfId="0">
      <alignment horizontal="left" vertical="center" indent="2"/>
    </xf>
    <xf numFmtId="0" fontId="28" fillId="3" borderId="0" applyAlignment="1" pivotButton="0" quotePrefix="0" xfId="0">
      <alignment horizontal="left" vertical="center" indent="1"/>
    </xf>
    <xf numFmtId="0" fontId="28" fillId="3" borderId="0" applyAlignment="1" pivotButton="0" quotePrefix="0" xfId="0">
      <alignment horizontal="general" vertical="center"/>
    </xf>
    <xf numFmtId="0" fontId="50" fillId="3" borderId="22" applyAlignment="1" pivotButton="0" quotePrefix="0" xfId="0">
      <alignment horizontal="left" vertical="bottom"/>
    </xf>
    <xf numFmtId="0" fontId="29" fillId="3" borderId="0" applyAlignment="1" pivotButton="0" quotePrefix="0" xfId="0">
      <alignment horizontal="left" vertical="bottom" indent="1"/>
    </xf>
    <xf numFmtId="165" fontId="27" fillId="0" borderId="25" applyAlignment="1" pivotButton="0" quotePrefix="0" xfId="0">
      <alignment horizontal="center" vertical="bottom"/>
    </xf>
    <xf numFmtId="165" fontId="27" fillId="0" borderId="26" applyAlignment="1" pivotButton="0" quotePrefix="0" xfId="0">
      <alignment horizontal="center" vertical="bottom"/>
    </xf>
    <xf numFmtId="165" fontId="27" fillId="0" borderId="18" applyAlignment="1" pivotButton="0" quotePrefix="0" xfId="0">
      <alignment horizontal="center" vertical="bottom"/>
    </xf>
    <xf numFmtId="165" fontId="28" fillId="6" borderId="8" applyAlignment="1" pivotButton="0" quotePrefix="0" xfId="0">
      <alignment horizontal="center" vertical="bottom"/>
    </xf>
    <xf numFmtId="0" fontId="50" fillId="3" borderId="7" applyAlignment="1" pivotButton="0" quotePrefix="0" xfId="0">
      <alignment horizontal="left" vertical="bottom"/>
    </xf>
    <xf numFmtId="0" fontId="51" fillId="3" borderId="27" applyAlignment="1" pivotButton="0" quotePrefix="0" xfId="0">
      <alignment horizontal="general" vertical="center"/>
    </xf>
    <xf numFmtId="0" fontId="47" fillId="3" borderId="27" applyAlignment="1" pivotButton="0" quotePrefix="0" xfId="0">
      <alignment horizontal="general" vertical="center"/>
    </xf>
    <xf numFmtId="165" fontId="37" fillId="4" borderId="16" applyAlignment="1" pivotButton="0" quotePrefix="0" xfId="0">
      <alignment horizontal="center" vertical="bottom"/>
    </xf>
    <xf numFmtId="165" fontId="27" fillId="0" borderId="8" applyAlignment="1" pivotButton="0" quotePrefix="0" xfId="47">
      <alignment horizontal="center" vertical="bottom"/>
    </xf>
    <xf numFmtId="165" fontId="27" fillId="0" borderId="0" applyAlignment="1" pivotButton="0" quotePrefix="0" xfId="47">
      <alignment horizontal="center" vertical="bottom"/>
    </xf>
    <xf numFmtId="9" fontId="47" fillId="3" borderId="27" applyAlignment="1" pivotButton="0" quotePrefix="0" xfId="47">
      <alignment horizontal="general" vertical="center"/>
    </xf>
    <xf numFmtId="9" fontId="47" fillId="3" borderId="0" applyAlignment="1" pivotButton="0" quotePrefix="0" xfId="47">
      <alignment horizontal="general" vertical="center"/>
    </xf>
    <xf numFmtId="0" fontId="29" fillId="3" borderId="0" applyAlignment="1" pivotButton="0" quotePrefix="0" xfId="0">
      <alignment horizontal="general" vertical="center"/>
    </xf>
    <xf numFmtId="165" fontId="47" fillId="3" borderId="0" applyAlignment="1" pivotButton="0" quotePrefix="0" xfId="0">
      <alignment horizontal="general" vertical="center"/>
    </xf>
    <xf numFmtId="165" fontId="27" fillId="0" borderId="8" applyAlignment="1" pivotButton="0" quotePrefix="0" xfId="0">
      <alignment horizontal="right" vertical="bottom"/>
    </xf>
    <xf numFmtId="165" fontId="27" fillId="0" borderId="8" applyAlignment="1" pivotButton="0" quotePrefix="0" xfId="47">
      <alignment horizontal="right" vertical="bottom"/>
    </xf>
    <xf numFmtId="165" fontId="27" fillId="0" borderId="0" applyAlignment="1" pivotButton="0" quotePrefix="0" xfId="47">
      <alignment horizontal="right" vertical="bottom"/>
    </xf>
    <xf numFmtId="167" fontId="37" fillId="4" borderId="16" applyAlignment="1" pivotButton="0" quotePrefix="0" xfId="0">
      <alignment horizontal="center" vertical="bottom"/>
    </xf>
    <xf numFmtId="167" fontId="47" fillId="3" borderId="0" applyAlignment="1" pivotButton="0" quotePrefix="0" xfId="47">
      <alignment horizontal="general" vertical="center"/>
    </xf>
    <xf numFmtId="9" fontId="27" fillId="0" borderId="8" applyAlignment="1" pivotButton="0" quotePrefix="0" xfId="47">
      <alignment horizontal="right" vertical="bottom"/>
    </xf>
    <xf numFmtId="9" fontId="27" fillId="0" borderId="0" applyAlignment="1" pivotButton="0" quotePrefix="0" xfId="47">
      <alignment horizontal="right" vertical="bottom"/>
    </xf>
    <xf numFmtId="167" fontId="27" fillId="0" borderId="8" applyAlignment="1" pivotButton="0" quotePrefix="0" xfId="47">
      <alignment horizontal="right" vertical="bottom"/>
    </xf>
    <xf numFmtId="167" fontId="27" fillId="0" borderId="0" applyAlignment="1" pivotButton="0" quotePrefix="0" xfId="47">
      <alignment horizontal="right" vertical="bottom"/>
    </xf>
    <xf numFmtId="165" fontId="47" fillId="3" borderId="0" applyAlignment="1" pivotButton="0" quotePrefix="0" xfId="47">
      <alignment horizontal="general" vertical="center"/>
    </xf>
    <xf numFmtId="0" fontId="47" fillId="3" borderId="7" applyAlignment="1" pivotButton="0" quotePrefix="0" xfId="0">
      <alignment horizontal="general" vertical="center"/>
    </xf>
    <xf numFmtId="0" fontId="49" fillId="3" borderId="7" applyAlignment="1" pivotButton="0" quotePrefix="0" xfId="0">
      <alignment horizontal="center" vertical="bottom"/>
    </xf>
    <xf numFmtId="165" fontId="47" fillId="3" borderId="7" applyAlignment="1" pivotButton="0" quotePrefix="0" xfId="0">
      <alignment horizontal="general" vertical="center"/>
    </xf>
    <xf numFmtId="0" fontId="52" fillId="3" borderId="0" applyAlignment="1" pivotButton="0" quotePrefix="0" xfId="0">
      <alignment horizontal="center" vertical="bottom"/>
    </xf>
    <xf numFmtId="0" fontId="27" fillId="0" borderId="17" applyAlignment="1" pivotButton="0" quotePrefix="0" xfId="0">
      <alignment horizontal="center" vertical="bottom"/>
    </xf>
    <xf numFmtId="0" fontId="27" fillId="0" borderId="0" applyAlignment="1" pivotButton="0" quotePrefix="0" xfId="0">
      <alignment horizontal="center" vertical="bottom"/>
    </xf>
    <xf numFmtId="0" fontId="52" fillId="3" borderId="7" applyAlignment="1" pivotButton="0" quotePrefix="0" xfId="0">
      <alignment horizontal="center" vertical="bottom"/>
    </xf>
    <xf numFmtId="0" fontId="27" fillId="0" borderId="8" applyAlignment="1" pivotButton="0" quotePrefix="0" xfId="0">
      <alignment horizontal="center" vertical="bottom"/>
    </xf>
    <xf numFmtId="165" fontId="37" fillId="4" borderId="28" applyAlignment="1" pivotButton="0" quotePrefix="0" xfId="0">
      <alignment horizontal="center" vertical="bottom"/>
    </xf>
    <xf numFmtId="165" fontId="37" fillId="4" borderId="29" applyAlignment="1" pivotButton="0" quotePrefix="0" xfId="0">
      <alignment horizontal="center" vertical="bottom"/>
    </xf>
    <xf numFmtId="0" fontId="50" fillId="3" borderId="0" applyAlignment="1" pivotButton="0" quotePrefix="0" xfId="0">
      <alignment horizontal="general" vertical="center"/>
    </xf>
    <xf numFmtId="167" fontId="37" fillId="4" borderId="16" applyAlignment="1" pivotButton="0" quotePrefix="0" xfId="47">
      <alignment horizontal="center" vertical="bottom"/>
    </xf>
    <xf numFmtId="167" fontId="47" fillId="3" borderId="8" applyAlignment="1" pivotButton="0" quotePrefix="0" xfId="0">
      <alignment horizontal="general" vertical="center"/>
    </xf>
    <xf numFmtId="167" fontId="47" fillId="3" borderId="0" applyAlignment="1" pivotButton="0" quotePrefix="0" xfId="0">
      <alignment horizontal="general" vertical="center"/>
    </xf>
    <xf numFmtId="0" fontId="29" fillId="3" borderId="7" applyAlignment="1" pivotButton="0" quotePrefix="0" xfId="0">
      <alignment horizontal="general" vertical="center"/>
    </xf>
    <xf numFmtId="165" fontId="37" fillId="4" borderId="29" applyAlignment="1" pivotButton="0" quotePrefix="0" xfId="47">
      <alignment horizontal="center" vertical="bottom"/>
    </xf>
    <xf numFmtId="165" fontId="47" fillId="3" borderId="8" applyAlignment="1" pivotButton="0" quotePrefix="0" xfId="0">
      <alignment horizontal="general" vertical="center"/>
    </xf>
    <xf numFmtId="0" fontId="27" fillId="3" borderId="7" applyAlignment="1" pivotButton="0" quotePrefix="0" xfId="0">
      <alignment horizontal="general" vertical="center"/>
    </xf>
    <xf numFmtId="0" fontId="27" fillId="3" borderId="0" applyAlignment="1" pivotButton="0" quotePrefix="0" xfId="0">
      <alignment horizontal="general" vertical="center"/>
    </xf>
    <xf numFmtId="165" fontId="27" fillId="0" borderId="0" applyAlignment="1" pivotButton="0" quotePrefix="0" xfId="0">
      <alignment horizontal="center" vertical="bottom"/>
    </xf>
    <xf numFmtId="0" fontId="47" fillId="3" borderId="18" applyAlignment="1" pivotButton="0" quotePrefix="0" xfId="0">
      <alignment horizontal="general" vertical="center"/>
    </xf>
    <xf numFmtId="165" fontId="53" fillId="6" borderId="17" applyAlignment="1" pivotButton="0" quotePrefix="0" xfId="0">
      <alignment horizontal="center" vertical="bottom"/>
    </xf>
    <xf numFmtId="165" fontId="53" fillId="3" borderId="8" applyAlignment="1" pivotButton="0" quotePrefix="0" xfId="0">
      <alignment horizontal="general" vertical="center"/>
    </xf>
    <xf numFmtId="165" fontId="53" fillId="3" borderId="18" applyAlignment="1" pivotButton="0" quotePrefix="0" xfId="0">
      <alignment horizontal="general" vertical="center"/>
    </xf>
    <xf numFmtId="165" fontId="53" fillId="6" borderId="8" applyAlignment="1" pivotButton="0" quotePrefix="0" xfId="0">
      <alignment horizontal="center" vertical="bottom"/>
    </xf>
    <xf numFmtId="165" fontId="35" fillId="6" borderId="26" applyAlignment="1" pivotButton="0" quotePrefix="0" xfId="0">
      <alignment horizontal="center" vertical="bottom"/>
    </xf>
    <xf numFmtId="165" fontId="35" fillId="6" borderId="8" applyAlignment="1" pivotButton="0" quotePrefix="0" xfId="0">
      <alignment horizontal="center" vertical="bottom"/>
    </xf>
    <xf numFmtId="0" fontId="47" fillId="3" borderId="30" applyAlignment="1" pivotButton="0" quotePrefix="0" xfId="0">
      <alignment horizontal="general" vertical="center"/>
    </xf>
    <xf numFmtId="0" fontId="49" fillId="3" borderId="30" applyAlignment="1" pivotButton="0" quotePrefix="0" xfId="0">
      <alignment horizontal="center" vertical="bottom"/>
    </xf>
    <xf numFmtId="165" fontId="47" fillId="3" borderId="30" applyAlignment="1" pivotButton="0" quotePrefix="0" xfId="0">
      <alignment horizontal="general" vertical="center"/>
    </xf>
    <xf numFmtId="0" fontId="56" fillId="6" borderId="3" applyAlignment="1" pivotButton="0" quotePrefix="0" xfId="0">
      <alignment horizontal="general" vertical="bottom"/>
    </xf>
    <xf numFmtId="0" fontId="48" fillId="6" borderId="22" applyAlignment="1" pivotButton="0" quotePrefix="0" xfId="0">
      <alignment horizontal="general" vertical="center"/>
    </xf>
    <xf numFmtId="0" fontId="49" fillId="6" borderId="22" applyAlignment="1" pivotButton="0" quotePrefix="0" xfId="0">
      <alignment horizontal="center" vertical="bottom"/>
    </xf>
    <xf numFmtId="165" fontId="57" fillId="6" borderId="22" applyAlignment="1" pivotButton="0" quotePrefix="0" xfId="0">
      <alignment horizontal="right" vertical="bottom"/>
    </xf>
    <xf numFmtId="165" fontId="57" fillId="6" borderId="31" applyAlignment="1" pivotButton="0" quotePrefix="0" xfId="0">
      <alignment horizontal="right" vertical="bottom"/>
    </xf>
    <xf numFmtId="165" fontId="57" fillId="6" borderId="0" applyAlignment="1" pivotButton="0" quotePrefix="0" xfId="0">
      <alignment horizontal="right" vertical="bottom"/>
    </xf>
    <xf numFmtId="0" fontId="58" fillId="3" borderId="0" applyAlignment="1" pivotButton="0" quotePrefix="0" xfId="0">
      <alignment horizontal="general" vertical="center"/>
    </xf>
    <xf numFmtId="165" fontId="58" fillId="3" borderId="0" applyAlignment="1" pivotButton="0" quotePrefix="0" xfId="0">
      <alignment horizontal="right" vertical="center"/>
    </xf>
    <xf numFmtId="0" fontId="48" fillId="3" borderId="7" applyAlignment="1" pivotButton="0" quotePrefix="0" xfId="0">
      <alignment horizontal="general" vertical="center"/>
    </xf>
    <xf numFmtId="168" fontId="47" fillId="3" borderId="7" applyAlignment="1" pivotButton="0" quotePrefix="0" xfId="0">
      <alignment horizontal="general" vertical="center"/>
    </xf>
    <xf numFmtId="168" fontId="47" fillId="3" borderId="0" applyAlignment="1" pivotButton="0" quotePrefix="0" xfId="0">
      <alignment horizontal="general" vertical="center"/>
    </xf>
    <xf numFmtId="0" fontId="47" fillId="3" borderId="30" applyAlignment="1" pivotButton="0" quotePrefix="0" xfId="0">
      <alignment horizontal="general" vertical="bottom"/>
    </xf>
    <xf numFmtId="167" fontId="47" fillId="3" borderId="30" applyAlignment="1" pivotButton="0" quotePrefix="0" xfId="47">
      <alignment horizontal="general" vertical="center"/>
    </xf>
    <xf numFmtId="165" fontId="47" fillId="3" borderId="23" applyAlignment="1" pivotButton="0" quotePrefix="0" xfId="0">
      <alignment horizontal="general" vertical="center"/>
    </xf>
    <xf numFmtId="0" fontId="51" fillId="3" borderId="0" applyAlignment="1" pivotButton="0" quotePrefix="0" xfId="0">
      <alignment horizontal="general" vertical="center"/>
    </xf>
    <xf numFmtId="165" fontId="37" fillId="4" borderId="32" applyAlignment="1" pivotButton="0" quotePrefix="0" xfId="0">
      <alignment horizontal="center" vertical="bottom"/>
    </xf>
    <xf numFmtId="9" fontId="37" fillId="4" borderId="16" applyAlignment="1" pivotButton="0" quotePrefix="0" xfId="47">
      <alignment horizontal="center" vertical="bottom"/>
    </xf>
    <xf numFmtId="9" fontId="47" fillId="3" borderId="8" applyAlignment="1" pivotButton="0" quotePrefix="0" xfId="0">
      <alignment horizontal="general" vertical="center"/>
    </xf>
    <xf numFmtId="9" fontId="47" fillId="3" borderId="0" applyAlignment="1" pivotButton="0" quotePrefix="0" xfId="0">
      <alignment horizontal="general" vertical="center"/>
    </xf>
    <xf numFmtId="0" fontId="47" fillId="3" borderId="8" applyAlignment="1" pivotButton="0" quotePrefix="0" xfId="0">
      <alignment horizontal="general" vertical="center"/>
    </xf>
    <xf numFmtId="0" fontId="47" fillId="3" borderId="33" applyAlignment="1" pivotButton="0" quotePrefix="0" xfId="0">
      <alignment horizontal="general" vertical="center"/>
    </xf>
    <xf numFmtId="9" fontId="47" fillId="3" borderId="34" applyAlignment="1" pivotButton="0" quotePrefix="0" xfId="0">
      <alignment horizontal="general" vertical="center"/>
    </xf>
    <xf numFmtId="0" fontId="47" fillId="3" borderId="35" applyAlignment="1" pivotButton="0" quotePrefix="0" xfId="0">
      <alignment horizontal="general" vertical="center"/>
    </xf>
    <xf numFmtId="9" fontId="47" fillId="3" borderId="36" applyAlignment="1" pivotButton="0" quotePrefix="0" xfId="0">
      <alignment horizontal="general" vertical="center"/>
    </xf>
    <xf numFmtId="0" fontId="47" fillId="3" borderId="7" applyAlignment="1" pivotButton="0" quotePrefix="0" xfId="0">
      <alignment horizontal="center" vertical="center"/>
    </xf>
    <xf numFmtId="0" fontId="47" fillId="3" borderId="3" applyAlignment="1" pivotButton="0" quotePrefix="0" xfId="0">
      <alignment horizontal="center" vertical="center"/>
    </xf>
    <xf numFmtId="0" fontId="47" fillId="3" borderId="7" applyAlignment="1" pivotButton="0" quotePrefix="0" xfId="0">
      <alignment horizontal="right" vertical="center"/>
    </xf>
    <xf numFmtId="0" fontId="47" fillId="3" borderId="35" applyAlignment="1" pivotButton="0" quotePrefix="0" xfId="0">
      <alignment horizontal="right" vertical="center"/>
    </xf>
    <xf numFmtId="0" fontId="48" fillId="3" borderId="33" applyAlignment="1" pivotButton="0" quotePrefix="0" xfId="0">
      <alignment horizontal="general" vertical="center"/>
    </xf>
    <xf numFmtId="0" fontId="48" fillId="3" borderId="30" applyAlignment="1" pivotButton="0" quotePrefix="0" xfId="0">
      <alignment horizontal="general" vertical="center"/>
    </xf>
    <xf numFmtId="165" fontId="48" fillId="3" borderId="30" applyAlignment="1" pivotButton="0" quotePrefix="0" xfId="0">
      <alignment horizontal="general" vertical="center"/>
    </xf>
    <xf numFmtId="165" fontId="48" fillId="3" borderId="33" applyAlignment="1" pivotButton="0" quotePrefix="0" xfId="0">
      <alignment horizontal="general" vertical="center"/>
    </xf>
    <xf numFmtId="165" fontId="48" fillId="3" borderId="34" applyAlignment="1" pivotButton="0" quotePrefix="0" xfId="0">
      <alignment horizontal="general" vertical="center"/>
    </xf>
    <xf numFmtId="0" fontId="47" fillId="3" borderId="37" applyAlignment="1" pivotButton="0" quotePrefix="0" xfId="0">
      <alignment horizontal="left" vertical="center" indent="1"/>
    </xf>
    <xf numFmtId="167" fontId="47" fillId="3" borderId="37" applyAlignment="1" pivotButton="0" quotePrefix="0" xfId="47">
      <alignment horizontal="general" vertical="center"/>
    </xf>
    <xf numFmtId="167" fontId="47" fillId="3" borderId="38" applyAlignment="1" pivotButton="0" quotePrefix="0" xfId="47">
      <alignment horizontal="general" vertical="center"/>
    </xf>
    <xf numFmtId="0" fontId="48" fillId="3" borderId="35" applyAlignment="1" pivotButton="0" quotePrefix="0" xfId="0">
      <alignment horizontal="general" vertical="center"/>
    </xf>
    <xf numFmtId="165" fontId="48" fillId="3" borderId="7" applyAlignment="1" pivotButton="0" quotePrefix="0" xfId="0">
      <alignment horizontal="general" vertical="center"/>
    </xf>
    <xf numFmtId="165" fontId="48" fillId="3" borderId="35" applyAlignment="1" pivotButton="0" quotePrefix="0" xfId="0">
      <alignment horizontal="general" vertical="center"/>
    </xf>
    <xf numFmtId="165" fontId="48" fillId="3" borderId="36" applyAlignment="1" pivotButton="0" quotePrefix="0" xfId="0">
      <alignment horizontal="general" vertical="center"/>
    </xf>
    <xf numFmtId="0" fontId="47" fillId="3" borderId="35" applyAlignment="1" pivotButton="0" quotePrefix="0" xfId="0">
      <alignment horizontal="left" vertical="center" indent="1"/>
    </xf>
    <xf numFmtId="167" fontId="47" fillId="3" borderId="7" applyAlignment="1" pivotButton="0" quotePrefix="0" xfId="47">
      <alignment horizontal="general" vertical="center"/>
    </xf>
    <xf numFmtId="167" fontId="47" fillId="3" borderId="35" applyAlignment="1" pivotButton="0" quotePrefix="0" xfId="47">
      <alignment horizontal="general" vertical="center"/>
    </xf>
    <xf numFmtId="167" fontId="47" fillId="3" borderId="36" applyAlignment="1" pivotButton="0" quotePrefix="0" xfId="47">
      <alignment horizontal="general" vertical="center"/>
    </xf>
    <xf numFmtId="0" fontId="47" fillId="3" borderId="3" applyAlignment="1" pivotButton="0" quotePrefix="0" xfId="0">
      <alignment horizontal="general" vertical="center"/>
    </xf>
    <xf numFmtId="165" fontId="47" fillId="3" borderId="22" applyAlignment="1" pivotButton="0" quotePrefix="0" xfId="0">
      <alignment horizontal="general" vertical="center"/>
    </xf>
    <xf numFmtId="165" fontId="47" fillId="3" borderId="39" applyAlignment="1" pivotButton="0" quotePrefix="0" xfId="0">
      <alignment horizontal="general" vertical="center"/>
    </xf>
    <xf numFmtId="165" fontId="47" fillId="3" borderId="4" applyAlignment="1" pivotButton="0" quotePrefix="0" xfId="0">
      <alignment horizontal="general" vertical="center"/>
    </xf>
    <xf numFmtId="165" fontId="47" fillId="3" borderId="5" applyAlignment="1" pivotButton="0" quotePrefix="0" xfId="0">
      <alignment horizontal="general" vertical="center"/>
    </xf>
    <xf numFmtId="165" fontId="47" fillId="3" borderId="3" applyAlignment="1" pivotButton="0" quotePrefix="0" xfId="0">
      <alignment horizontal="general" vertical="center"/>
    </xf>
    <xf numFmtId="165" fontId="47" fillId="3" borderId="31" applyAlignment="1" pivotButton="0" quotePrefix="0" xfId="0">
      <alignment horizontal="general" vertical="center"/>
    </xf>
    <xf numFmtId="165" fontId="47" fillId="2" borderId="40" applyAlignment="1" pivotButton="0" quotePrefix="0" xfId="0">
      <alignment horizontal="general" vertical="center"/>
    </xf>
    <xf numFmtId="165" fontId="47" fillId="2" borderId="0" applyAlignment="1" pivotButton="0" quotePrefix="0" xfId="0">
      <alignment horizontal="general" vertical="center"/>
    </xf>
    <xf numFmtId="165" fontId="47" fillId="2" borderId="41" applyAlignment="1" pivotButton="0" quotePrefix="0" xfId="0">
      <alignment horizontal="general" vertical="center"/>
    </xf>
    <xf numFmtId="165" fontId="47" fillId="3" borderId="37" applyAlignment="1" pivotButton="0" quotePrefix="0" xfId="0">
      <alignment horizontal="general" vertical="center"/>
    </xf>
    <xf numFmtId="165" fontId="47" fillId="3" borderId="38" applyAlignment="1" pivotButton="0" quotePrefix="0" xfId="0">
      <alignment horizontal="general" vertical="center"/>
    </xf>
    <xf numFmtId="165" fontId="47" fillId="2" borderId="42" applyAlignment="1" pivotButton="0" quotePrefix="0" xfId="0">
      <alignment horizontal="general" vertical="center"/>
    </xf>
    <xf numFmtId="165" fontId="47" fillId="2" borderId="23" applyAlignment="1" pivotButton="0" quotePrefix="0" xfId="0">
      <alignment horizontal="general" vertical="center"/>
    </xf>
    <xf numFmtId="165" fontId="47" fillId="2" borderId="43" applyAlignment="1" pivotButton="0" quotePrefix="0" xfId="0">
      <alignment horizontal="general" vertical="center"/>
    </xf>
    <xf numFmtId="169" fontId="47" fillId="3" borderId="37" applyAlignment="1" pivotButton="0" quotePrefix="0" xfId="0">
      <alignment horizontal="general" vertical="center"/>
    </xf>
    <xf numFmtId="170" fontId="47" fillId="3" borderId="0" applyAlignment="1" pivotButton="0" quotePrefix="0" xfId="0">
      <alignment horizontal="general" vertical="center"/>
    </xf>
    <xf numFmtId="170" fontId="47" fillId="3" borderId="38" applyAlignment="1" pivotButton="0" quotePrefix="0" xfId="0">
      <alignment horizontal="general" vertical="center"/>
    </xf>
    <xf numFmtId="165" fontId="47" fillId="3" borderId="35" applyAlignment="1" pivotButton="0" quotePrefix="0" xfId="0">
      <alignment horizontal="general" vertical="center"/>
    </xf>
    <xf numFmtId="165" fontId="47" fillId="3" borderId="36" applyAlignment="1" pivotButton="0" quotePrefix="0" xfId="0">
      <alignment horizontal="general" vertical="center"/>
    </xf>
    <xf numFmtId="0" fontId="47" fillId="3" borderId="44" applyAlignment="1" pivotButton="0" quotePrefix="0" xfId="0">
      <alignment horizontal="general" vertical="center"/>
    </xf>
    <xf numFmtId="0" fontId="47" fillId="3" borderId="42" applyAlignment="1" pivotButton="0" quotePrefix="0" xfId="0">
      <alignment horizontal="general" vertical="center"/>
    </xf>
    <xf numFmtId="165" fontId="48" fillId="3" borderId="45" applyAlignment="1" pivotButton="0" quotePrefix="0" xfId="0">
      <alignment horizontal="general" vertical="center"/>
    </xf>
    <xf numFmtId="0" fontId="29" fillId="3" borderId="35" applyAlignment="1" pivotButton="0" quotePrefix="0" xfId="0">
      <alignment horizontal="left" vertical="center" indent="1"/>
    </xf>
    <xf numFmtId="0" fontId="47" fillId="3" borderId="43" applyAlignment="1" pivotButton="0" quotePrefix="0" xfId="0">
      <alignment horizontal="general" vertical="center"/>
    </xf>
    <xf numFmtId="0" fontId="48" fillId="0" borderId="3" applyAlignment="1" pivotButton="0" quotePrefix="0" xfId="0">
      <alignment horizontal="left" vertical="bottom" wrapText="1" readingOrder="1"/>
    </xf>
    <xf numFmtId="0" fontId="48" fillId="0" borderId="8" applyAlignment="1" pivotButton="0" quotePrefix="0" xfId="0">
      <alignment horizontal="left" vertical="bottom" wrapText="1" readingOrder="1"/>
    </xf>
    <xf numFmtId="0" fontId="48" fillId="0" borderId="46" applyAlignment="1" pivotButton="0" quotePrefix="0" xfId="0">
      <alignment horizontal="center" vertical="bottom" wrapText="1" readingOrder="1"/>
    </xf>
    <xf numFmtId="0" fontId="48" fillId="0" borderId="8" applyAlignment="1" pivotButton="0" quotePrefix="0" xfId="0">
      <alignment horizontal="center" vertical="top" wrapText="1" readingOrder="1"/>
    </xf>
    <xf numFmtId="171" fontId="44" fillId="2" borderId="8" applyAlignment="1" pivotButton="0" quotePrefix="0" xfId="0">
      <alignment horizontal="general" vertical="top" wrapText="1" readingOrder="1"/>
    </xf>
    <xf numFmtId="10" fontId="48" fillId="2" borderId="8" applyAlignment="1" pivotButton="0" quotePrefix="0" xfId="0">
      <alignment horizontal="right" vertical="center" wrapText="1" readingOrder="1"/>
    </xf>
    <xf numFmtId="0" fontId="48" fillId="0" borderId="47" applyAlignment="1" pivotButton="0" quotePrefix="0" xfId="0">
      <alignment horizontal="center" vertical="center" wrapText="1" readingOrder="1"/>
    </xf>
    <xf numFmtId="10" fontId="48" fillId="2" borderId="8" applyAlignment="1" pivotButton="0" quotePrefix="0" xfId="47">
      <alignment horizontal="right" vertical="center" wrapText="1" readingOrder="1"/>
    </xf>
    <xf numFmtId="3" fontId="47" fillId="0" borderId="8" applyAlignment="1" pivotButton="0" quotePrefix="0" xfId="0">
      <alignment horizontal="right" vertical="center" wrapText="1" readingOrder="1"/>
    </xf>
    <xf numFmtId="0" fontId="0" fillId="0" borderId="24" pivotButton="0" quotePrefix="0" xfId="0"/>
    <xf numFmtId="3" fontId="31" fillId="4" borderId="8" applyAlignment="1" pivotButton="0" quotePrefix="0" xfId="0">
      <alignment horizontal="right" vertical="center" wrapText="1" readingOrder="1"/>
    </xf>
    <xf numFmtId="0" fontId="0" fillId="0" borderId="47" pivotButton="0" quotePrefix="0" xfId="0"/>
    <xf numFmtId="10" fontId="47" fillId="3" borderId="23" applyAlignment="1" pivotButton="0" quotePrefix="0" xfId="0">
      <alignment horizontal="general" vertical="center"/>
    </xf>
    <xf numFmtId="167" fontId="47" fillId="3" borderId="23" applyAlignment="1" pivotButton="0" quotePrefix="0" xfId="47">
      <alignment horizontal="general" vertical="center"/>
    </xf>
    <xf numFmtId="0" fontId="47" fillId="3" borderId="35" applyAlignment="1" pivotButton="0" quotePrefix="0" xfId="0">
      <alignment horizontal="center" vertical="center"/>
    </xf>
    <xf numFmtId="0" fontId="28" fillId="3" borderId="3" applyAlignment="1" pivotButton="0" quotePrefix="0" xfId="0">
      <alignment horizontal="left" vertical="center"/>
    </xf>
    <xf numFmtId="0" fontId="29" fillId="3" borderId="37" applyAlignment="1" pivotButton="0" quotePrefix="0" xfId="0">
      <alignment horizontal="left" vertical="center" indent="1"/>
    </xf>
    <xf numFmtId="0" fontId="48" fillId="3" borderId="3" applyAlignment="1" pivotButton="0" quotePrefix="0" xfId="0">
      <alignment horizontal="general" vertical="center"/>
    </xf>
    <xf numFmtId="0" fontId="48" fillId="3" borderId="22" applyAlignment="1" pivotButton="0" quotePrefix="0" xfId="0">
      <alignment horizontal="general" vertical="center"/>
    </xf>
    <xf numFmtId="165" fontId="48" fillId="3" borderId="22" applyAlignment="1" pivotButton="0" quotePrefix="0" xfId="0">
      <alignment horizontal="general" vertical="center"/>
    </xf>
    <xf numFmtId="165" fontId="48" fillId="3" borderId="3" applyAlignment="1" pivotButton="0" quotePrefix="0" xfId="0">
      <alignment horizontal="general" vertical="center"/>
    </xf>
    <xf numFmtId="165" fontId="48" fillId="3" borderId="31" applyAlignment="1" pivotButton="0" quotePrefix="0" xfId="0">
      <alignment horizontal="general" vertical="center"/>
    </xf>
    <xf numFmtId="0" fontId="47" fillId="3" borderId="3" applyAlignment="1" pivotButton="0" quotePrefix="0" xfId="0">
      <alignment horizontal="left" vertical="center" indent="1"/>
    </xf>
    <xf numFmtId="0" fontId="47" fillId="3" borderId="22" applyAlignment="1" pivotButton="0" quotePrefix="0" xfId="0">
      <alignment horizontal="general" vertical="center"/>
    </xf>
    <xf numFmtId="0" fontId="47" fillId="3" borderId="22" applyAlignment="1" pivotButton="0" quotePrefix="0" xfId="0">
      <alignment horizontal="right" vertical="center"/>
    </xf>
    <xf numFmtId="0" fontId="47" fillId="3" borderId="3" applyAlignment="1" pivotButton="0" quotePrefix="0" xfId="0">
      <alignment horizontal="right" vertical="center"/>
    </xf>
    <xf numFmtId="0" fontId="50" fillId="3" borderId="3" applyAlignment="1" pivotButton="0" quotePrefix="0" xfId="0">
      <alignment horizontal="left" vertical="bottom"/>
    </xf>
    <xf numFmtId="0" fontId="29" fillId="3" borderId="37" applyAlignment="1" pivotButton="0" quotePrefix="0" xfId="0">
      <alignment horizontal="left" vertical="bottom" indent="1"/>
    </xf>
    <xf numFmtId="0" fontId="29" fillId="3" borderId="35" applyAlignment="1" pivotButton="0" quotePrefix="0" xfId="0">
      <alignment horizontal="left" vertical="bottom" indent="1"/>
    </xf>
    <xf numFmtId="0" fontId="50" fillId="3" borderId="35" applyAlignment="1" pivotButton="0" quotePrefix="0" xfId="0">
      <alignment horizontal="left" vertical="bottom"/>
    </xf>
    <xf numFmtId="165" fontId="47" fillId="3" borderId="34" applyAlignment="1" pivotButton="0" quotePrefix="0" xfId="0">
      <alignment horizontal="general" vertical="center"/>
    </xf>
    <xf numFmtId="0" fontId="50" fillId="3" borderId="3" applyAlignment="1" pivotButton="0" quotePrefix="0" xfId="0">
      <alignment horizontal="general" vertical="center"/>
    </xf>
    <xf numFmtId="0" fontId="27" fillId="3" borderId="37" applyAlignment="1" pivotButton="0" quotePrefix="0" xfId="0">
      <alignment horizontal="left" vertical="center" indent="1"/>
    </xf>
    <xf numFmtId="165" fontId="47" fillId="3" borderId="40" applyAlignment="1" pivotButton="0" quotePrefix="0" xfId="0">
      <alignment horizontal="general" vertical="center"/>
    </xf>
    <xf numFmtId="165" fontId="47" fillId="3" borderId="41" applyAlignment="1" pivotButton="0" quotePrefix="0" xfId="0">
      <alignment horizontal="general" vertical="center"/>
    </xf>
    <xf numFmtId="0" fontId="50" fillId="3" borderId="35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43" fillId="4" borderId="0" applyAlignment="1" pivotButton="0" quotePrefix="0" xfId="0">
      <alignment horizontal="general" vertical="bottom"/>
    </xf>
    <xf numFmtId="0" fontId="59" fillId="0" borderId="0" applyAlignment="1" pivotButton="0" quotePrefix="0" xfId="0">
      <alignment horizontal="general" vertical="bottom"/>
    </xf>
    <xf numFmtId="0" fontId="31" fillId="4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66" fontId="27" fillId="0" borderId="0" applyAlignment="1" pivotButton="0" quotePrefix="0" xfId="0">
      <alignment horizontal="general" vertical="bottom"/>
    </xf>
    <xf numFmtId="167" fontId="27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172" fontId="27" fillId="0" borderId="0" applyAlignment="1" pivotButton="0" quotePrefix="0" xfId="0">
      <alignment horizontal="general" vertical="bottom"/>
    </xf>
    <xf numFmtId="0" fontId="48" fillId="0" borderId="48" applyAlignment="1" pivotButton="0" quotePrefix="0" xfId="0">
      <alignment horizontal="general" vertical="bottom"/>
    </xf>
    <xf numFmtId="167" fontId="48" fillId="0" borderId="48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general" vertical="bottom"/>
    </xf>
    <xf numFmtId="10" fontId="48" fillId="0" borderId="48" applyAlignment="1" pivotButton="0" quotePrefix="0" xfId="0">
      <alignment horizontal="general" vertical="bottom"/>
    </xf>
    <xf numFmtId="167" fontId="35" fillId="0" borderId="0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167" fontId="31" fillId="4" borderId="0" applyAlignment="1" pivotButton="0" quotePrefix="0" xfId="0">
      <alignment horizontal="center" vertical="bottom"/>
    </xf>
    <xf numFmtId="172" fontId="31" fillId="4" borderId="0" applyAlignment="1" pivotButton="0" quotePrefix="0" xfId="0">
      <alignment horizontal="center" vertical="bottom"/>
    </xf>
    <xf numFmtId="167" fontId="27" fillId="0" borderId="0" applyAlignment="1" pivotButton="0" quotePrefix="0" xfId="0">
      <alignment horizontal="center" vertical="bottom"/>
    </xf>
    <xf numFmtId="167" fontId="60" fillId="4" borderId="0" applyAlignment="1" pivotButton="0" quotePrefix="0" xfId="0">
      <alignment horizontal="center" vertical="bottom"/>
    </xf>
    <xf numFmtId="0" fontId="31" fillId="4" borderId="0" applyAlignment="1" pivotButton="0" quotePrefix="0" xfId="0">
      <alignment horizontal="center" vertical="bottom" wrapText="1"/>
    </xf>
    <xf numFmtId="0" fontId="60" fillId="4" borderId="0" applyAlignment="1" pivotButton="0" quotePrefix="0" xfId="0">
      <alignment horizontal="general" vertical="bottom"/>
    </xf>
    <xf numFmtId="3" fontId="60" fillId="4" borderId="0" applyAlignment="1" pivotButton="0" quotePrefix="0" xfId="0">
      <alignment horizontal="general" vertical="bottom"/>
    </xf>
    <xf numFmtId="172" fontId="60" fillId="4" borderId="0" applyAlignment="1" pivotButton="0" quotePrefix="0" xfId="0">
      <alignment horizontal="general" vertical="bottom"/>
    </xf>
    <xf numFmtId="3" fontId="27" fillId="0" borderId="0" applyAlignment="1" pivotButton="0" quotePrefix="0" xfId="0">
      <alignment horizontal="general" vertical="bottom"/>
    </xf>
    <xf numFmtId="0" fontId="31" fillId="4" borderId="0" applyAlignment="1" pivotButton="0" quotePrefix="0" xfId="0">
      <alignment horizontal="center" vertical="bottom"/>
    </xf>
    <xf numFmtId="172" fontId="27" fillId="0" borderId="0" applyAlignment="1" pivotButton="0" quotePrefix="0" xfId="0">
      <alignment horizontal="center" vertical="bottom"/>
    </xf>
    <xf numFmtId="3" fontId="35" fillId="0" borderId="0" applyAlignment="1" pivotButton="0" quotePrefix="0" xfId="0">
      <alignment horizontal="general" vertical="bottom"/>
    </xf>
    <xf numFmtId="3" fontId="48" fillId="0" borderId="48" applyAlignment="1" pivotButton="0" quotePrefix="0" xfId="0">
      <alignment horizontal="general" vertical="bottom"/>
    </xf>
    <xf numFmtId="173" fontId="60" fillId="4" borderId="0" applyAlignment="1" pivotButton="0" quotePrefix="0" xfId="0">
      <alignment horizontal="general" vertical="bottom"/>
    </xf>
    <xf numFmtId="167" fontId="60" fillId="4" borderId="0" applyAlignment="1" pivotButton="0" quotePrefix="0" xfId="0">
      <alignment horizontal="general" vertical="bottom"/>
    </xf>
    <xf numFmtId="173" fontId="27" fillId="0" borderId="0" applyAlignment="1" pivotButton="0" quotePrefix="0" xfId="0">
      <alignment horizontal="general" vertical="bottom"/>
    </xf>
  </cellXfs>
  <cellStyles count="41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=C:\WINNT35\SYSTEM32\COMMAND.COM" xfId="6"/>
    <cellStyle name="Comma [0] 2" xfId="7"/>
    <cellStyle name="EY Narrative text" xfId="8"/>
    <cellStyle name="EY%input" xfId="9"/>
    <cellStyle name="EY0dp" xfId="10"/>
    <cellStyle name="EY1dp" xfId="11"/>
    <cellStyle name="EY2dp" xfId="12"/>
    <cellStyle name="EYChartTitle" xfId="13"/>
    <cellStyle name="EYColumnHeading" xfId="14"/>
    <cellStyle name="EYColumnHeading 2" xfId="15"/>
    <cellStyle name="EYColumnHeading 4 3" xfId="16"/>
    <cellStyle name="EYColumnHeading_EBITDA Bridge Template2" xfId="17"/>
    <cellStyle name="EYCurrency" xfId="18"/>
    <cellStyle name="EYCurrency 2" xfId="19"/>
    <cellStyle name="EYNotes" xfId="20"/>
    <cellStyle name="EYNotesHeading" xfId="21"/>
    <cellStyle name="EYNotesHeading 2" xfId="22"/>
    <cellStyle name="EYnumber" xfId="23"/>
    <cellStyle name="EYSectionHeading" xfId="24"/>
    <cellStyle name="EYSheetHeading" xfId="25"/>
    <cellStyle name="EYSheetHeading 2" xfId="26"/>
    <cellStyle name="EYsmallheading" xfId="27"/>
    <cellStyle name="EYSource" xfId="28"/>
    <cellStyle name="EYSource 2" xfId="29"/>
    <cellStyle name="EYtext" xfId="30"/>
    <cellStyle name="EYtextbold" xfId="31"/>
    <cellStyle name="Normal 2" xfId="32"/>
    <cellStyle name="Normal 2 2" xfId="33"/>
    <cellStyle name="Normal 2 3" xfId="34"/>
    <cellStyle name="Normal 3" xfId="35"/>
    <cellStyle name="Normal 4 2" xfId="36"/>
    <cellStyle name="Normal_Beta" xfId="37"/>
    <cellStyle name="Percent 2" xfId="38"/>
    <cellStyle name="쉼표 [0] 2" xfId="39"/>
    <cellStyle name="표준 2" xfId="4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F7E82"/>
      <rgbColor rgb="FFA6A6A6"/>
      <rgbColor rgb="FF003366"/>
      <rgbColor rgb="FF26C260"/>
      <rgbColor rgb="FF0F3A32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gyeongwookim</author>
  </authors>
  <commentList>
    <comment ref="E17" authorId="0" shapeId="0">
      <text>
        <t>gyeongwookim:
특별한 언급이 없는한 Financial model은 백만원 단위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23"/>
  <sheetViews>
    <sheetView showFormulas="0" showGridLines="0" showRowColHeaders="1" showZeros="1" rightToLeft="0" tabSelected="1" showOutlineSymbols="1" defaultGridColor="1" view="normal" topLeftCell="A1" colorId="64" zoomScale="115" zoomScaleNormal="115" zoomScalePageLayoutView="100" workbookViewId="0">
      <selection pane="topLeft" activeCell="A1" activeCellId="0" sqref="A1"/>
    </sheetView>
  </sheetViews>
  <sheetFormatPr baseColWidth="8" defaultColWidth="8" defaultRowHeight="15" customHeight="1" zeroHeight="1" outlineLevelRow="0"/>
  <cols>
    <col width="1.63" customWidth="1" style="279" min="1" max="1"/>
    <col width="10.63" customWidth="1" style="279" min="2" max="2"/>
    <col width="1.63" customWidth="1" style="279" min="3" max="3"/>
    <col width="9.880000000000001" customWidth="1" style="279" min="4" max="4"/>
    <col width="8" customWidth="1" style="279" min="5" max="11"/>
    <col width="1.63" customWidth="1" style="280" min="12" max="13"/>
    <col width="3.63" customWidth="1" style="279" min="14" max="17"/>
    <col width="1.63" customWidth="1" style="279" min="18" max="18"/>
    <col width="8" customWidth="1" style="279" min="19" max="25"/>
    <col width="1.63" customWidth="1" style="280" min="26" max="26"/>
    <col hidden="1" width="8" customWidth="1" style="279" min="27" max="16384"/>
  </cols>
  <sheetData>
    <row r="1" ht="15" customFormat="1" customHeight="1" s="280">
      <c r="A1" s="281" t="n"/>
      <c r="B1" s="281" t="n"/>
      <c r="C1" s="281" t="n"/>
      <c r="D1" s="281" t="n"/>
      <c r="E1" s="281" t="n"/>
      <c r="F1" s="281" t="n"/>
      <c r="G1" s="281" t="n"/>
      <c r="H1" s="281" t="n"/>
      <c r="I1" s="281" t="n"/>
      <c r="J1" s="281" t="n"/>
      <c r="K1" s="281" t="n"/>
      <c r="L1" s="281" t="n"/>
      <c r="M1" s="281" t="n"/>
      <c r="N1" s="281" t="n"/>
      <c r="O1" s="281" t="n"/>
      <c r="P1" s="281" t="n"/>
      <c r="Q1" s="281" t="n"/>
      <c r="R1" s="281" t="n"/>
      <c r="S1" s="281" t="n"/>
      <c r="T1" s="281" t="n"/>
      <c r="U1" s="281" t="n"/>
      <c r="V1" s="281" t="n"/>
      <c r="W1" s="281" t="n"/>
      <c r="X1" s="281" t="n"/>
      <c r="Y1" s="281" t="n"/>
      <c r="Z1" s="281" t="n"/>
    </row>
    <row r="2" ht="15" customHeight="1" s="282">
      <c r="A2" s="283" t="n"/>
      <c r="B2" s="283" t="inlineStr">
        <is>
          <t>Title</t>
        </is>
      </c>
      <c r="C2" s="283" t="n"/>
      <c r="D2" s="284" t="inlineStr">
        <is>
          <t>Project dummy Financial Model</t>
        </is>
      </c>
      <c r="E2" s="285" t="n"/>
      <c r="F2" s="285" t="n"/>
      <c r="G2" s="285" t="n"/>
      <c r="H2" s="285" t="n"/>
      <c r="I2" s="285" t="n"/>
      <c r="J2" s="285" t="n"/>
      <c r="K2" s="286" t="n"/>
      <c r="L2" s="281" t="n"/>
      <c r="M2" s="281" t="n"/>
      <c r="N2" s="283" t="n"/>
      <c r="O2" s="283" t="n"/>
      <c r="P2" s="283" t="n"/>
      <c r="Q2" s="283" t="n"/>
      <c r="R2" s="283" t="n"/>
      <c r="S2" s="283" t="n"/>
      <c r="T2" s="283" t="n"/>
      <c r="U2" s="283" t="n"/>
      <c r="V2" s="283" t="n"/>
      <c r="W2" s="283" t="n"/>
      <c r="X2" s="283" t="n"/>
      <c r="Y2" s="283" t="n"/>
      <c r="Z2" s="281" t="n"/>
    </row>
    <row r="3" ht="2.25" customFormat="1" customHeight="1" s="280">
      <c r="A3" s="281" t="n"/>
      <c r="B3" s="287" t="n"/>
      <c r="C3" s="281" t="n"/>
      <c r="D3" s="281" t="n"/>
      <c r="E3" s="281" t="n"/>
      <c r="F3" s="281" t="n"/>
      <c r="G3" s="281" t="n"/>
      <c r="H3" s="281" t="n"/>
      <c r="I3" s="281" t="n"/>
      <c r="J3" s="281" t="n"/>
      <c r="K3" s="281" t="n"/>
      <c r="L3" s="281" t="n"/>
      <c r="M3" s="281" t="n"/>
      <c r="N3" s="281" t="n"/>
      <c r="O3" s="281" t="n"/>
      <c r="P3" s="281" t="n"/>
      <c r="Q3" s="281" t="n"/>
      <c r="R3" s="281" t="n"/>
      <c r="S3" s="281" t="n"/>
      <c r="T3" s="281" t="n"/>
      <c r="U3" s="281" t="n"/>
      <c r="V3" s="281" t="n"/>
      <c r="W3" s="281" t="n"/>
      <c r="X3" s="281" t="n"/>
      <c r="Y3" s="281" t="n"/>
      <c r="Z3" s="281" t="n"/>
    </row>
    <row r="4" ht="15" customHeight="1" s="282">
      <c r="A4" s="283" t="n"/>
      <c r="B4" s="283" t="inlineStr">
        <is>
          <t>Version</t>
        </is>
      </c>
      <c r="C4" s="283" t="n"/>
      <c r="D4" s="288" t="inlineStr">
        <is>
          <t>Draft</t>
        </is>
      </c>
      <c r="E4" s="285" t="n"/>
      <c r="F4" s="285" t="n"/>
      <c r="G4" s="285" t="n"/>
      <c r="H4" s="285" t="n"/>
      <c r="I4" s="285" t="n"/>
      <c r="J4" s="285" t="n"/>
      <c r="K4" s="286" t="n"/>
      <c r="L4" s="281" t="n"/>
      <c r="M4" s="281" t="n"/>
      <c r="N4" s="283" t="n"/>
      <c r="O4" s="283" t="n"/>
      <c r="P4" s="283" t="n"/>
      <c r="Q4" s="283" t="n"/>
      <c r="R4" s="283" t="n"/>
      <c r="S4" s="283" t="n"/>
      <c r="T4" s="283" t="n"/>
      <c r="U4" s="283" t="n"/>
      <c r="V4" s="283" t="n"/>
      <c r="W4" s="283" t="n"/>
      <c r="X4" s="283" t="n"/>
      <c r="Y4" s="283" t="n"/>
      <c r="Z4" s="281" t="n"/>
    </row>
    <row r="5" ht="2.25" customFormat="1" customHeight="1" s="280">
      <c r="A5" s="281" t="n"/>
      <c r="B5" s="287" t="n"/>
      <c r="C5" s="287" t="n"/>
      <c r="D5" s="287" t="n"/>
      <c r="E5" s="287" t="n"/>
      <c r="F5" s="287" t="n"/>
      <c r="G5" s="287" t="n"/>
      <c r="H5" s="287" t="n"/>
      <c r="I5" s="287" t="n"/>
      <c r="J5" s="287" t="n"/>
      <c r="K5" s="287" t="n"/>
      <c r="L5" s="287" t="n"/>
      <c r="M5" s="287" t="n"/>
      <c r="N5" s="281" t="n"/>
      <c r="O5" s="281" t="n"/>
      <c r="P5" s="281" t="n"/>
      <c r="Q5" s="281" t="n"/>
      <c r="R5" s="281" t="n"/>
      <c r="S5" s="281" t="n"/>
      <c r="T5" s="281" t="n"/>
      <c r="U5" s="281" t="n"/>
      <c r="V5" s="281" t="n"/>
      <c r="W5" s="281" t="n"/>
      <c r="X5" s="281" t="n"/>
      <c r="Y5" s="281" t="n"/>
      <c r="Z5" s="281" t="n"/>
    </row>
    <row r="6" ht="15" customHeight="1" s="282">
      <c r="A6" s="283" t="n"/>
      <c r="B6" s="283" t="inlineStr">
        <is>
          <t>Date</t>
        </is>
      </c>
      <c r="C6" s="283" t="n"/>
      <c r="D6" s="289" t="n">
        <v>46022</v>
      </c>
      <c r="E6" s="285" t="n"/>
      <c r="F6" s="285" t="n"/>
      <c r="G6" s="285" t="n"/>
      <c r="H6" s="285" t="n"/>
      <c r="I6" s="285" t="n"/>
      <c r="J6" s="285" t="n"/>
      <c r="K6" s="286" t="n"/>
      <c r="L6" s="281" t="n"/>
      <c r="M6" s="281" t="n"/>
      <c r="N6" s="283" t="n"/>
      <c r="O6" s="283" t="n"/>
      <c r="P6" s="283" t="n"/>
      <c r="Q6" s="283" t="n"/>
      <c r="R6" s="283" t="n"/>
      <c r="S6" s="283" t="n"/>
      <c r="T6" s="283" t="n"/>
      <c r="U6" s="283" t="n"/>
      <c r="V6" s="283" t="n"/>
      <c r="W6" s="283" t="n"/>
      <c r="X6" s="283" t="n"/>
      <c r="Y6" s="283" t="n"/>
      <c r="Z6" s="281" t="n"/>
    </row>
    <row r="7" ht="2.25" customFormat="1" customHeight="1" s="280">
      <c r="A7" s="281" t="n"/>
      <c r="B7" s="287" t="n"/>
      <c r="C7" s="287" t="n"/>
      <c r="D7" s="287" t="n"/>
      <c r="E7" s="287" t="n"/>
      <c r="F7" s="287" t="n"/>
      <c r="G7" s="287" t="n"/>
      <c r="H7" s="287" t="n"/>
      <c r="I7" s="287" t="n"/>
      <c r="J7" s="287" t="n"/>
      <c r="K7" s="287" t="n"/>
      <c r="L7" s="287" t="n"/>
      <c r="M7" s="287" t="n"/>
      <c r="N7" s="281" t="n"/>
      <c r="O7" s="281" t="n"/>
      <c r="P7" s="281" t="n"/>
      <c r="Q7" s="281" t="n"/>
      <c r="R7" s="281" t="n"/>
      <c r="S7" s="281" t="n"/>
      <c r="T7" s="281" t="n"/>
      <c r="U7" s="281" t="n"/>
      <c r="V7" s="281" t="n"/>
      <c r="W7" s="281" t="n"/>
      <c r="X7" s="281" t="n"/>
      <c r="Y7" s="281" t="n"/>
      <c r="Z7" s="281" t="n"/>
    </row>
    <row r="8" ht="15" customHeight="1" s="282">
      <c r="A8" s="283" t="n"/>
      <c r="B8" s="283" t="inlineStr">
        <is>
          <t>Currency</t>
        </is>
      </c>
      <c r="C8" s="283" t="n"/>
      <c r="D8" s="290" t="inlineStr">
        <is>
          <t>별도표시가 없는 한 모든통화는 원(KRW)임</t>
        </is>
      </c>
      <c r="E8" s="285" t="n"/>
      <c r="F8" s="285" t="n"/>
      <c r="G8" s="285" t="n"/>
      <c r="H8" s="285" t="n"/>
      <c r="I8" s="285" t="n"/>
      <c r="J8" s="285" t="n"/>
      <c r="K8" s="286" t="n"/>
      <c r="L8" s="281" t="n"/>
      <c r="M8" s="281" t="n"/>
      <c r="N8" s="283" t="n"/>
      <c r="O8" s="283" t="n"/>
      <c r="P8" s="283" t="n"/>
      <c r="Q8" s="283" t="n"/>
      <c r="R8" s="283" t="n"/>
      <c r="S8" s="283" t="n"/>
      <c r="T8" s="283" t="n"/>
      <c r="U8" s="283" t="n"/>
      <c r="V8" s="283" t="n"/>
      <c r="W8" s="283" t="n"/>
      <c r="X8" s="283" t="n"/>
      <c r="Y8" s="283" t="n"/>
      <c r="Z8" s="281" t="n"/>
    </row>
    <row r="9" ht="15" customFormat="1" customHeight="1" s="280">
      <c r="A9" s="281" t="n"/>
      <c r="B9" s="281" t="n"/>
      <c r="C9" s="281" t="n"/>
      <c r="D9" s="281" t="n"/>
      <c r="E9" s="281" t="n"/>
      <c r="F9" s="281" t="n"/>
      <c r="G9" s="281" t="n"/>
      <c r="H9" s="281" t="n"/>
      <c r="I9" s="281" t="n"/>
      <c r="J9" s="281" t="n"/>
      <c r="K9" s="281" t="n"/>
      <c r="L9" s="281" t="n"/>
      <c r="M9" s="281" t="n"/>
      <c r="N9" s="281" t="n"/>
      <c r="O9" s="281" t="n"/>
      <c r="P9" s="281" t="n"/>
      <c r="Q9" s="281" t="n"/>
      <c r="R9" s="281" t="n"/>
      <c r="S9" s="281" t="n"/>
      <c r="T9" s="281" t="n"/>
      <c r="U9" s="281" t="n"/>
      <c r="V9" s="281" t="n"/>
      <c r="W9" s="281" t="n"/>
      <c r="X9" s="281" t="n"/>
      <c r="Y9" s="281" t="n"/>
      <c r="Z9" s="281" t="n"/>
    </row>
    <row r="10" ht="15" customHeight="1" s="282">
      <c r="A10" s="283" t="n"/>
      <c r="B10" s="291" t="inlineStr">
        <is>
          <t>Legend</t>
        </is>
      </c>
      <c r="C10" s="292" t="n"/>
      <c r="D10" s="292" t="n"/>
      <c r="E10" s="292" t="n"/>
      <c r="F10" s="292" t="n"/>
      <c r="G10" s="292" t="n"/>
      <c r="H10" s="292" t="n"/>
      <c r="I10" s="292" t="n"/>
      <c r="J10" s="292" t="n"/>
      <c r="K10" s="293" t="n"/>
      <c r="L10" s="281" t="n"/>
      <c r="M10" s="281" t="n"/>
      <c r="N10" s="283" t="n"/>
      <c r="O10" s="283" t="n"/>
      <c r="P10" s="283" t="n"/>
      <c r="Q10" s="283" t="n"/>
      <c r="R10" s="283" t="n"/>
      <c r="S10" s="283" t="n"/>
      <c r="T10" s="283" t="n"/>
      <c r="U10" s="283" t="n"/>
      <c r="V10" s="283" t="n"/>
      <c r="W10" s="283" t="n"/>
      <c r="X10" s="283" t="n"/>
      <c r="Y10" s="283" t="n"/>
      <c r="Z10" s="281" t="n"/>
    </row>
    <row r="11" ht="2.25" customFormat="1" customHeight="1" s="294">
      <c r="A11" s="283" t="n"/>
      <c r="B11" s="281" t="n"/>
      <c r="C11" s="281" t="n"/>
      <c r="D11" s="281" t="n"/>
      <c r="E11" s="281" t="n"/>
      <c r="F11" s="281" t="n"/>
      <c r="G11" s="281" t="n"/>
      <c r="H11" s="281" t="n"/>
      <c r="I11" s="281" t="n"/>
      <c r="J11" s="281" t="n"/>
      <c r="K11" s="281" t="n"/>
      <c r="L11" s="283" t="n"/>
      <c r="M11" s="283" t="n"/>
      <c r="N11" s="283" t="n"/>
      <c r="O11" s="283" t="n"/>
      <c r="P11" s="283" t="n"/>
      <c r="Q11" s="283" t="n"/>
      <c r="R11" s="283" t="n"/>
      <c r="S11" s="283" t="n"/>
      <c r="T11" s="283" t="n"/>
      <c r="U11" s="283" t="n"/>
      <c r="V11" s="283" t="n"/>
      <c r="W11" s="283" t="n"/>
      <c r="X11" s="283" t="n"/>
      <c r="Y11" s="283" t="n"/>
      <c r="Z11" s="283" t="n"/>
    </row>
    <row r="12" ht="15" customFormat="1" customHeight="1" s="295">
      <c r="A12" s="281" t="n"/>
      <c r="B12" s="296" t="inlineStr">
        <is>
          <t>구분</t>
        </is>
      </c>
      <c r="C12" s="297" t="n"/>
      <c r="D12" s="296" t="inlineStr">
        <is>
          <t>설 명</t>
        </is>
      </c>
      <c r="E12" s="298" t="n"/>
      <c r="F12" s="298" t="n"/>
      <c r="G12" s="298" t="n"/>
      <c r="H12" s="298" t="n"/>
      <c r="I12" s="298" t="n"/>
      <c r="J12" s="298" t="n"/>
      <c r="K12" s="298" t="n"/>
      <c r="L12" s="281" t="n"/>
      <c r="M12" s="281" t="n"/>
      <c r="N12" s="283" t="n"/>
      <c r="O12" s="283" t="n"/>
      <c r="P12" s="283" t="n"/>
      <c r="Q12" s="283" t="n"/>
      <c r="R12" s="283" t="n"/>
      <c r="S12" s="283" t="n"/>
      <c r="T12" s="283" t="n"/>
      <c r="U12" s="283" t="n"/>
      <c r="V12" s="283" t="n"/>
      <c r="W12" s="283" t="n"/>
      <c r="X12" s="283" t="n"/>
      <c r="Y12" s="283" t="n"/>
      <c r="Z12" s="281" t="n"/>
    </row>
    <row r="13" ht="15" customFormat="1" customHeight="1" s="299">
      <c r="A13" s="300" t="n"/>
      <c r="B13" s="301" t="inlineStr">
        <is>
          <t>Value</t>
        </is>
      </c>
      <c r="C13" s="300" t="n"/>
      <c r="D13" s="302" t="inlineStr">
        <is>
          <t>상수</t>
        </is>
      </c>
      <c r="E13" s="303" t="n"/>
      <c r="F13" s="303" t="n"/>
      <c r="G13" s="303" t="n"/>
      <c r="H13" s="303" t="n"/>
      <c r="I13" s="303" t="n"/>
      <c r="J13" s="303" t="n"/>
      <c r="K13" s="304" t="n"/>
      <c r="L13" s="300" t="n"/>
      <c r="M13" s="300" t="n"/>
      <c r="N13" s="283" t="n"/>
      <c r="O13" s="283" t="n"/>
      <c r="P13" s="283" t="n"/>
      <c r="Q13" s="283" t="n"/>
      <c r="R13" s="283" t="n"/>
      <c r="S13" s="283" t="n"/>
      <c r="T13" s="283" t="n"/>
      <c r="U13" s="283" t="n"/>
      <c r="V13" s="283" t="n"/>
      <c r="W13" s="283" t="n"/>
      <c r="X13" s="283" t="n"/>
      <c r="Y13" s="283" t="n"/>
      <c r="Z13" s="300" t="n"/>
    </row>
    <row r="14" ht="12.75" customFormat="1" customHeight="1" s="299">
      <c r="A14" s="300" t="n"/>
      <c r="B14" s="305" t="inlineStr">
        <is>
          <t>Value</t>
        </is>
      </c>
      <c r="C14" s="300" t="n"/>
      <c r="D14" s="306" t="inlineStr">
        <is>
          <t>Control 변수</t>
        </is>
      </c>
      <c r="E14" s="307" t="n"/>
      <c r="F14" s="307" t="n"/>
      <c r="G14" s="307" t="n"/>
      <c r="H14" s="307" t="n"/>
      <c r="I14" s="307" t="n"/>
      <c r="J14" s="307" t="n"/>
      <c r="K14" s="308" t="n"/>
      <c r="L14" s="300" t="n"/>
      <c r="M14" s="300" t="n"/>
      <c r="N14" s="300" t="n"/>
      <c r="O14" s="300" t="n"/>
      <c r="P14" s="300" t="n"/>
      <c r="Q14" s="300" t="n"/>
      <c r="R14" s="300" t="n"/>
      <c r="S14" s="300" t="n"/>
      <c r="T14" s="300" t="n"/>
      <c r="U14" s="300" t="n"/>
      <c r="V14" s="300" t="n"/>
      <c r="W14" s="300" t="n"/>
      <c r="X14" s="300" t="n"/>
      <c r="Y14" s="300" t="n"/>
      <c r="Z14" s="300" t="n"/>
    </row>
    <row r="15" ht="12.75" customFormat="1" customHeight="1" s="299">
      <c r="A15" s="300" t="n"/>
      <c r="B15" s="309" t="inlineStr">
        <is>
          <t>Value</t>
        </is>
      </c>
      <c r="C15" s="300" t="n"/>
      <c r="D15" s="310" t="inlineStr">
        <is>
          <t>참조값</t>
        </is>
      </c>
      <c r="E15" s="307" t="n"/>
      <c r="F15" s="307" t="n"/>
      <c r="G15" s="307" t="n"/>
      <c r="H15" s="307" t="n"/>
      <c r="I15" s="307" t="n"/>
      <c r="J15" s="307" t="n"/>
      <c r="K15" s="308" t="n"/>
      <c r="L15" s="300" t="n"/>
      <c r="M15" s="300" t="n"/>
      <c r="N15" s="300" t="n"/>
      <c r="O15" s="300" t="n"/>
      <c r="P15" s="300" t="n"/>
      <c r="Q15" s="300" t="n"/>
      <c r="R15" s="300" t="n"/>
      <c r="S15" s="300" t="n"/>
      <c r="T15" s="300" t="n"/>
      <c r="U15" s="300" t="n"/>
      <c r="V15" s="300" t="n"/>
      <c r="W15" s="300" t="n"/>
      <c r="X15" s="300" t="n"/>
      <c r="Y15" s="300" t="n"/>
      <c r="Z15" s="300" t="n"/>
    </row>
    <row r="16" ht="12.75" customFormat="1" customHeight="1" s="299">
      <c r="A16" s="300" t="n"/>
      <c r="B16" s="311" t="inlineStr">
        <is>
          <t>Value</t>
        </is>
      </c>
      <c r="C16" s="300" t="n"/>
      <c r="D16" s="310" t="inlineStr">
        <is>
          <t>수식결과값</t>
        </is>
      </c>
      <c r="E16" s="307" t="n"/>
      <c r="F16" s="307" t="n"/>
      <c r="G16" s="307" t="n"/>
      <c r="H16" s="307" t="n"/>
      <c r="I16" s="307" t="n"/>
      <c r="J16" s="307" t="n"/>
      <c r="K16" s="308" t="n"/>
      <c r="L16" s="300" t="n"/>
      <c r="M16" s="300" t="n"/>
      <c r="N16" s="300" t="n"/>
      <c r="O16" s="300" t="n"/>
      <c r="P16" s="300" t="n"/>
      <c r="Q16" s="300" t="n"/>
      <c r="R16" s="300" t="n"/>
      <c r="S16" s="300" t="n"/>
      <c r="T16" s="300" t="n"/>
      <c r="U16" s="300" t="n"/>
      <c r="V16" s="300" t="n"/>
      <c r="W16" s="300" t="n"/>
      <c r="X16" s="300" t="n"/>
      <c r="Y16" s="300" t="n"/>
      <c r="Z16" s="300" t="n"/>
    </row>
    <row r="17" ht="12.75" customFormat="1" customHeight="1" s="299">
      <c r="A17" s="300" t="n"/>
      <c r="B17" s="312" t="inlineStr">
        <is>
          <t>Value</t>
        </is>
      </c>
      <c r="C17" s="300" t="n"/>
      <c r="D17" s="310" t="inlineStr">
        <is>
          <t>총 합계</t>
        </is>
      </c>
      <c r="E17" s="307" t="n"/>
      <c r="F17" s="307" t="n"/>
      <c r="G17" s="307" t="n"/>
      <c r="H17" s="307" t="n"/>
      <c r="I17" s="307" t="n"/>
      <c r="J17" s="307" t="n"/>
      <c r="K17" s="308" t="n"/>
      <c r="L17" s="300" t="n"/>
      <c r="M17" s="300" t="n"/>
      <c r="N17" s="300" t="n"/>
      <c r="O17" s="300" t="n"/>
      <c r="P17" s="300" t="n"/>
      <c r="Q17" s="300" t="n"/>
      <c r="R17" s="300" t="n"/>
      <c r="S17" s="300" t="n"/>
      <c r="T17" s="300" t="n"/>
      <c r="U17" s="300" t="n"/>
      <c r="V17" s="300" t="n"/>
      <c r="W17" s="300" t="n"/>
      <c r="X17" s="300" t="n"/>
      <c r="Y17" s="300" t="n"/>
      <c r="Z17" s="300" t="n"/>
    </row>
    <row r="18" ht="12.75" customFormat="1" customHeight="1" s="299">
      <c r="A18" s="300" t="n"/>
      <c r="B18" s="313" t="inlineStr">
        <is>
          <t>Value</t>
        </is>
      </c>
      <c r="C18" s="300" t="n"/>
      <c r="D18" s="310" t="inlineStr">
        <is>
          <t>운영기간 합계</t>
        </is>
      </c>
      <c r="E18" s="307" t="n"/>
      <c r="F18" s="307" t="n"/>
      <c r="G18" s="307" t="n"/>
      <c r="H18" s="307" t="n"/>
      <c r="I18" s="307" t="n"/>
      <c r="J18" s="307" t="n"/>
      <c r="K18" s="308" t="n"/>
      <c r="L18" s="300" t="n"/>
      <c r="M18" s="300" t="n"/>
      <c r="N18" s="300" t="n"/>
      <c r="O18" s="300" t="n"/>
      <c r="P18" s="300" t="n"/>
      <c r="Q18" s="300" t="n"/>
      <c r="R18" s="300" t="n"/>
      <c r="S18" s="300" t="n"/>
      <c r="T18" s="300" t="n"/>
      <c r="U18" s="300" t="n"/>
      <c r="V18" s="300" t="n"/>
      <c r="W18" s="300" t="n"/>
      <c r="X18" s="300" t="n"/>
      <c r="Y18" s="300" t="n"/>
      <c r="Z18" s="300" t="n"/>
    </row>
    <row r="19" ht="12.75" customFormat="1" customHeight="1" s="299">
      <c r="A19" s="300" t="n"/>
      <c r="B19" s="313" t="inlineStr">
        <is>
          <t>VBA</t>
        </is>
      </c>
      <c r="C19" s="300" t="n"/>
      <c r="D19" s="306" t="inlineStr">
        <is>
          <t>VBA참조셀 [삭제금지]</t>
        </is>
      </c>
      <c r="E19" s="307" t="n"/>
      <c r="F19" s="307" t="n"/>
      <c r="G19" s="307" t="n"/>
      <c r="H19" s="307" t="n"/>
      <c r="I19" s="307" t="n"/>
      <c r="J19" s="307" t="n"/>
      <c r="K19" s="308" t="n"/>
      <c r="L19" s="300" t="n"/>
      <c r="M19" s="300" t="n"/>
      <c r="N19" s="300" t="n"/>
      <c r="O19" s="300" t="n"/>
      <c r="P19" s="300" t="n"/>
      <c r="Q19" s="300" t="n"/>
      <c r="R19" s="300" t="n"/>
      <c r="S19" s="300" t="n"/>
      <c r="T19" s="300" t="n"/>
      <c r="U19" s="300" t="n"/>
      <c r="V19" s="300" t="n"/>
      <c r="W19" s="300" t="n"/>
      <c r="X19" s="300" t="n"/>
      <c r="Y19" s="300" t="n"/>
      <c r="Z19" s="300" t="n"/>
    </row>
    <row r="20" ht="12.75" customFormat="1" customHeight="1" s="299">
      <c r="A20" s="300" t="n"/>
      <c r="B20" s="314" t="inlineStr">
        <is>
          <t>Text</t>
        </is>
      </c>
      <c r="C20" s="300" t="n"/>
      <c r="D20" s="310" t="inlineStr">
        <is>
          <t>출처/설명</t>
        </is>
      </c>
      <c r="E20" s="307" t="n"/>
      <c r="F20" s="307" t="n"/>
      <c r="G20" s="307" t="n"/>
      <c r="H20" s="307" t="n"/>
      <c r="I20" s="307" t="n"/>
      <c r="J20" s="307" t="n"/>
      <c r="K20" s="308" t="n"/>
      <c r="L20" s="300" t="n"/>
      <c r="M20" s="300" t="n"/>
      <c r="N20" s="300" t="n"/>
      <c r="O20" s="300" t="n"/>
      <c r="P20" s="300" t="n"/>
      <c r="Q20" s="300" t="n"/>
      <c r="R20" s="300" t="n"/>
      <c r="S20" s="300" t="n"/>
      <c r="T20" s="300" t="n"/>
      <c r="U20" s="300" t="n"/>
      <c r="V20" s="300" t="n"/>
      <c r="W20" s="300" t="n"/>
      <c r="X20" s="300" t="n"/>
      <c r="Y20" s="300" t="n"/>
      <c r="Z20" s="300" t="n"/>
    </row>
    <row r="21" ht="12.75" customFormat="1" customHeight="1" s="315">
      <c r="A21" s="300" t="n"/>
      <c r="B21" s="316" t="inlineStr">
        <is>
          <t>Flag</t>
        </is>
      </c>
      <c r="C21" s="300" t="n"/>
      <c r="D21" s="317" t="inlineStr">
        <is>
          <t xml:space="preserve">FALSE(논리값) </t>
        </is>
      </c>
      <c r="E21" s="307" t="n"/>
      <c r="F21" s="307" t="n"/>
      <c r="G21" s="307" t="n"/>
      <c r="H21" s="307" t="n"/>
      <c r="I21" s="307" t="n"/>
      <c r="J21" s="307" t="n"/>
      <c r="K21" s="308" t="n"/>
      <c r="L21" s="300" t="n"/>
      <c r="M21" s="300" t="n"/>
      <c r="N21" s="300" t="n"/>
      <c r="O21" s="300" t="n"/>
      <c r="P21" s="300" t="n"/>
      <c r="Q21" s="300" t="n"/>
      <c r="R21" s="300" t="n"/>
      <c r="S21" s="300" t="n"/>
      <c r="T21" s="300" t="n"/>
      <c r="U21" s="300" t="n"/>
      <c r="V21" s="300" t="n"/>
      <c r="W21" s="300" t="n"/>
      <c r="X21" s="300" t="n"/>
      <c r="Y21" s="300" t="n"/>
      <c r="Z21" s="300" t="n"/>
    </row>
    <row r="22" ht="12.75" customFormat="1" customHeight="1" s="315">
      <c r="A22" s="300" t="n"/>
      <c r="B22" s="318" t="inlineStr">
        <is>
          <t>Flag</t>
        </is>
      </c>
      <c r="C22" s="300" t="n"/>
      <c r="D22" s="317" t="inlineStr">
        <is>
          <t>TRUE(논리값)</t>
        </is>
      </c>
      <c r="E22" s="307" t="n"/>
      <c r="F22" s="307" t="n"/>
      <c r="G22" s="307" t="n"/>
      <c r="H22" s="307" t="n"/>
      <c r="I22" s="307" t="n"/>
      <c r="J22" s="307" t="n"/>
      <c r="K22" s="308" t="n"/>
      <c r="L22" s="300" t="n"/>
      <c r="M22" s="300" t="n"/>
      <c r="N22" s="300" t="n"/>
      <c r="O22" s="300" t="n"/>
      <c r="P22" s="300" t="n"/>
      <c r="Q22" s="300" t="n"/>
      <c r="R22" s="300" t="n"/>
      <c r="S22" s="300" t="n"/>
      <c r="T22" s="300" t="n"/>
      <c r="U22" s="300" t="n"/>
      <c r="V22" s="300" t="n"/>
      <c r="W22" s="300" t="n"/>
      <c r="X22" s="300" t="n"/>
      <c r="Y22" s="300" t="n"/>
      <c r="Z22" s="300" t="n"/>
    </row>
    <row r="23" ht="15" customFormat="1" customHeight="1" s="294">
      <c r="A23" s="283" t="n"/>
      <c r="B23" s="319" t="n"/>
      <c r="C23" s="283" t="n"/>
      <c r="D23" s="320" t="inlineStr">
        <is>
          <t>Blank</t>
        </is>
      </c>
      <c r="E23" s="321" t="n"/>
      <c r="F23" s="321" t="n"/>
      <c r="G23" s="321" t="n"/>
      <c r="H23" s="321" t="n"/>
      <c r="I23" s="321" t="n"/>
      <c r="J23" s="321" t="n"/>
      <c r="K23" s="322" t="n"/>
      <c r="L23" s="283" t="n"/>
      <c r="M23" s="283" t="n"/>
      <c r="N23" s="283" t="n"/>
      <c r="O23" s="283" t="n"/>
      <c r="P23" s="283" t="n"/>
      <c r="Q23" s="283" t="n"/>
      <c r="R23" s="283" t="n"/>
      <c r="S23" s="283" t="n"/>
      <c r="T23" s="283" t="n"/>
      <c r="U23" s="283" t="n"/>
      <c r="V23" s="283" t="n"/>
      <c r="W23" s="283" t="n"/>
      <c r="X23" s="283" t="n"/>
      <c r="Y23" s="283" t="n"/>
      <c r="Z23" s="283" t="n"/>
    </row>
    <row r="24" ht="2.25" customFormat="1" customHeight="1" s="280"/>
    <row r="25" ht="15" customFormat="1" customHeight="1" s="280"/>
    <row r="26" ht="15" customFormat="1" customHeight="1" s="280"/>
    <row r="27" ht="15" customFormat="1" customHeight="1" s="280"/>
    <row r="28" ht="15" customFormat="1" customHeight="1" s="280"/>
    <row r="29" ht="15" customFormat="1" customHeight="1" s="280"/>
    <row r="30" ht="15" customFormat="1" customHeight="1" s="280"/>
    <row r="31" ht="15" customFormat="1" customHeight="1" s="280"/>
    <row r="32" ht="15" customFormat="1" customHeight="1" s="280"/>
    <row r="33" ht="15" customFormat="1" customHeight="1" s="280"/>
    <row r="34" ht="15" customFormat="1" customHeight="1" s="280"/>
    <row r="35" ht="15" customFormat="1" customHeight="1" s="280"/>
    <row r="36" ht="15" customFormat="1" customHeight="1" s="280"/>
    <row r="37" ht="15" customFormat="1" customHeight="1" s="280"/>
    <row r="38" ht="15" customFormat="1" customHeight="1" s="280"/>
    <row r="39" ht="15" customFormat="1" customHeight="1" s="280"/>
    <row r="40" ht="15" customFormat="1" customHeight="1" s="280"/>
    <row r="41" ht="15" customFormat="1" customHeight="1" s="280"/>
    <row r="42" hidden="1" ht="15" customFormat="1" customHeight="1" s="279"/>
    <row r="43" hidden="1" ht="15" customFormat="1" customHeight="1" s="279"/>
    <row r="44" hidden="1" ht="15" customFormat="1" customHeight="1" s="279"/>
    <row r="45" hidden="1" ht="15" customFormat="1" customHeight="1" s="279"/>
    <row r="46" hidden="1" ht="15" customFormat="1" customHeight="1" s="279"/>
  </sheetData>
  <mergeCells count="2">
    <mergeCell ref="B10:K10"/>
    <mergeCell ref="D12:K1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253"/>
  <sheetViews>
    <sheetView showFormulas="0" showGridLines="0" showRowColHeaders="1" showZeros="1" rightToLeft="0" tabSelected="0" showOutlineSymbols="1" defaultGridColor="1" view="normal" topLeftCell="A1" colorId="64" zoomScale="70" zoomScaleNormal="7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baseColWidth="8" defaultColWidth="8.6953125" defaultRowHeight="12.75" customHeight="1" zeroHeight="1" outlineLevelRow="1"/>
  <cols>
    <col width="1.68" customWidth="1" style="323" min="1" max="1"/>
    <col width="28.69" customWidth="1" style="323" min="2" max="2"/>
    <col width="1.68" customWidth="1" style="323" min="3" max="4"/>
    <col width="10.38" customWidth="1" style="323" min="5" max="5"/>
    <col width="8.69" customWidth="1" style="323" min="6" max="6"/>
    <col width="10" customWidth="1" style="323" min="7" max="15"/>
    <col width="1.68" customWidth="1" style="323" min="16" max="16"/>
    <col hidden="1" width="9.130000000000001" customWidth="1" style="323" min="17" max="88"/>
    <col hidden="1" width="8.69" customWidth="1" style="323" min="89" max="16384"/>
  </cols>
  <sheetData>
    <row r="1" ht="24" customHeight="1" s="282">
      <c r="A1" s="281" t="n"/>
      <c r="B1" s="324">
        <f>Legend!D2</f>
        <v/>
      </c>
      <c r="C1" s="325" t="n"/>
      <c r="D1" s="325" t="n"/>
      <c r="E1" s="325" t="n"/>
      <c r="F1" s="325" t="n"/>
      <c r="G1" s="325" t="n"/>
      <c r="H1" s="325" t="n"/>
      <c r="I1" s="325" t="n"/>
      <c r="J1" s="325" t="n"/>
      <c r="K1" s="325" t="n"/>
      <c r="L1" s="326" t="n"/>
      <c r="M1" s="326" t="n"/>
      <c r="N1" s="327" t="inlineStr">
        <is>
          <t>DRAFT - For Discussion Purposes Only</t>
        </is>
      </c>
      <c r="O1" s="327" t="n"/>
    </row>
    <row r="2" ht="12.75" customHeight="1" s="282">
      <c r="A2" s="281" t="n"/>
      <c r="B2" s="328" t="inlineStr">
        <is>
          <t>Assumptions</t>
        </is>
      </c>
      <c r="C2" s="329" t="n"/>
      <c r="D2" s="329" t="n"/>
      <c r="E2" s="329" t="n"/>
      <c r="F2" s="329" t="n"/>
      <c r="G2" s="329" t="n"/>
      <c r="H2" s="329" t="n"/>
      <c r="I2" s="329" t="n"/>
      <c r="J2" s="330" t="n"/>
      <c r="K2" s="331" t="n"/>
      <c r="L2" s="332" t="n"/>
      <c r="M2" s="332" t="n"/>
      <c r="N2" s="332" t="n"/>
      <c r="O2" s="332" t="n"/>
    </row>
    <row r="3" ht="12.75" customHeight="1" s="282">
      <c r="A3" s="281" t="n"/>
      <c r="B3" s="281" t="n"/>
      <c r="C3" s="281" t="n"/>
      <c r="D3" s="281" t="n"/>
      <c r="E3" s="281" t="n"/>
      <c r="F3" s="281" t="n"/>
      <c r="G3" s="281" t="n"/>
      <c r="H3" s="281" t="n"/>
      <c r="I3" s="281" t="n"/>
      <c r="J3" s="281" t="n"/>
      <c r="K3" s="281" t="n"/>
      <c r="L3" s="281" t="n"/>
      <c r="M3" s="281" t="n"/>
      <c r="N3" s="281" t="n"/>
      <c r="O3" s="281" t="n"/>
    </row>
    <row r="4" ht="12.75" customHeight="1" s="282">
      <c r="A4" s="281" t="n"/>
      <c r="B4" s="325" t="inlineStr">
        <is>
          <t>Time Period</t>
        </is>
      </c>
      <c r="C4" s="333" t="n"/>
      <c r="D4" s="333" t="n"/>
      <c r="E4" s="333" t="n"/>
      <c r="F4" s="333" t="n"/>
      <c r="G4" s="333" t="n"/>
      <c r="H4" s="333" t="n"/>
      <c r="I4" s="333" t="n"/>
      <c r="J4" s="333" t="n"/>
      <c r="K4" s="333" t="n"/>
      <c r="L4" s="333" t="n"/>
      <c r="M4" s="333" t="n"/>
      <c r="N4" s="333" t="n"/>
      <c r="O4" s="333" t="n"/>
    </row>
    <row r="5" ht="12.75" customHeight="1" s="282">
      <c r="A5" s="281" t="n"/>
      <c r="B5" s="334" t="n"/>
      <c r="C5" s="334" t="n"/>
      <c r="D5" s="334" t="n"/>
      <c r="E5" s="334" t="n"/>
      <c r="F5" s="334" t="n"/>
      <c r="G5" s="334" t="n"/>
      <c r="H5" s="334" t="n"/>
      <c r="I5" s="334" t="n"/>
      <c r="J5" s="334" t="n"/>
      <c r="K5" s="334" t="n"/>
      <c r="L5" s="334" t="n"/>
      <c r="M5" s="334" t="n"/>
      <c r="N5" s="334" t="n"/>
      <c r="O5" s="334" t="n"/>
    </row>
    <row r="6" ht="12.75" customHeight="1" s="282">
      <c r="A6" s="281" t="n"/>
      <c r="B6" s="334" t="inlineStr">
        <is>
          <t>Actual/Forecast</t>
        </is>
      </c>
      <c r="C6" s="334" t="n"/>
      <c r="D6" s="334" t="n"/>
      <c r="E6" s="334" t="n"/>
      <c r="F6" s="334" t="n"/>
      <c r="G6" s="334" t="inlineStr">
        <is>
          <t>Actual</t>
        </is>
      </c>
      <c r="H6" s="334" t="inlineStr">
        <is>
          <t>Actual</t>
        </is>
      </c>
      <c r="I6" s="334" t="inlineStr">
        <is>
          <t>Actual</t>
        </is>
      </c>
      <c r="J6" s="334" t="inlineStr">
        <is>
          <t>Forecast</t>
        </is>
      </c>
      <c r="K6" s="334" t="inlineStr">
        <is>
          <t>Forecast</t>
        </is>
      </c>
      <c r="L6" s="334" t="inlineStr">
        <is>
          <t>Forecast</t>
        </is>
      </c>
      <c r="M6" s="334" t="inlineStr">
        <is>
          <t>Forecast</t>
        </is>
      </c>
      <c r="N6" s="334" t="inlineStr">
        <is>
          <t>Forecast</t>
        </is>
      </c>
      <c r="O6" s="334" t="inlineStr">
        <is>
          <t>Forecast</t>
        </is>
      </c>
    </row>
    <row r="7" ht="12.75" customHeight="1" s="282">
      <c r="A7" s="281" t="n"/>
      <c r="B7" s="335" t="inlineStr">
        <is>
          <t>Period Start</t>
        </is>
      </c>
      <c r="C7" s="336" t="n"/>
      <c r="D7" s="336" t="n"/>
      <c r="E7" s="336" t="n"/>
      <c r="F7" s="336" t="n"/>
      <c r="G7" s="337">
        <f>DATE(G10,1,1)</f>
        <v/>
      </c>
      <c r="H7" s="337">
        <f>DATE(H10,1,1)</f>
        <v/>
      </c>
      <c r="I7" s="337">
        <f>DATE(I10,1,1)</f>
        <v/>
      </c>
      <c r="J7" s="337">
        <f>DATE(J10,1,1)</f>
        <v/>
      </c>
      <c r="K7" s="337">
        <f>DATE(K10,1,1)</f>
        <v/>
      </c>
      <c r="L7" s="337">
        <f>DATE(L10,1,1)</f>
        <v/>
      </c>
      <c r="M7" s="337">
        <f>DATE(M10,1,1)</f>
        <v/>
      </c>
      <c r="N7" s="337">
        <f>DATE(N10,1,1)</f>
        <v/>
      </c>
      <c r="O7" s="337" t="inlineStr">
        <is>
          <t>TV</t>
        </is>
      </c>
    </row>
    <row r="8" ht="12.75" customHeight="1" s="282">
      <c r="A8" s="281" t="n"/>
      <c r="B8" s="334" t="inlineStr">
        <is>
          <t>Period End</t>
        </is>
      </c>
      <c r="C8" s="334" t="n"/>
      <c r="D8" s="338" t="n"/>
      <c r="E8" s="338" t="n"/>
      <c r="F8" s="338" t="n"/>
      <c r="G8" s="337">
        <f>DATE(G10,12,31)</f>
        <v/>
      </c>
      <c r="H8" s="337">
        <f>DATE(H10,12,31)</f>
        <v/>
      </c>
      <c r="I8" s="337">
        <f>DATE(I10,12,31)</f>
        <v/>
      </c>
      <c r="J8" s="337">
        <f>DATE(J10,12,31)</f>
        <v/>
      </c>
      <c r="K8" s="337">
        <f>DATE(K10,12,31)</f>
        <v/>
      </c>
      <c r="L8" s="337">
        <f>DATE(L10,12,31)</f>
        <v/>
      </c>
      <c r="M8" s="337">
        <f>DATE(M10,12,31)</f>
        <v/>
      </c>
      <c r="N8" s="337">
        <f>DATE(N10,12,31)</f>
        <v/>
      </c>
      <c r="O8" s="339" t="n"/>
    </row>
    <row r="9" ht="12.75" customHeight="1" s="282">
      <c r="A9" s="281" t="n"/>
      <c r="B9" s="334" t="inlineStr">
        <is>
          <t>Month</t>
        </is>
      </c>
      <c r="C9" s="334" t="n"/>
      <c r="D9" s="338" t="n"/>
      <c r="E9" s="338" t="n"/>
      <c r="F9" s="338" t="n"/>
      <c r="G9" s="340">
        <f>DATEDIF(G7,G8,"m")+1</f>
        <v/>
      </c>
      <c r="H9" s="341">
        <f>DATEDIF(H7,H8,"m")+1</f>
        <v/>
      </c>
      <c r="I9" s="341">
        <f>DATEDIF(I7,I8,"m")+1</f>
        <v/>
      </c>
      <c r="J9" s="341">
        <f>DATEDIF(J7,J8,"m")+1</f>
        <v/>
      </c>
      <c r="K9" s="341">
        <f>DATEDIF(K7,K8,"m")+1</f>
        <v/>
      </c>
      <c r="L9" s="341">
        <f>DATEDIF(L7,L8,"m")+1</f>
        <v/>
      </c>
      <c r="M9" s="341">
        <f>DATEDIF(M7,M8,"m")+1</f>
        <v/>
      </c>
      <c r="N9" s="341">
        <f>DATEDIF(N7,N8,"m")+1</f>
        <v/>
      </c>
      <c r="O9" s="342" t="n"/>
    </row>
    <row r="10" ht="12.75" customHeight="1" s="282">
      <c r="A10" s="281" t="n"/>
      <c r="B10" s="334" t="inlineStr">
        <is>
          <t>Year</t>
        </is>
      </c>
      <c r="C10" s="338" t="n"/>
      <c r="D10" s="341" t="n"/>
      <c r="E10" s="341" t="n"/>
      <c r="F10" s="341" t="n"/>
      <c r="G10" s="340">
        <f>H10-1</f>
        <v/>
      </c>
      <c r="H10" s="340">
        <f>I10-1</f>
        <v/>
      </c>
      <c r="I10" s="340">
        <f>E16</f>
        <v/>
      </c>
      <c r="J10" s="341">
        <f>I10+1</f>
        <v/>
      </c>
      <c r="K10" s="341">
        <f>J10+1</f>
        <v/>
      </c>
      <c r="L10" s="341">
        <f>K10+1</f>
        <v/>
      </c>
      <c r="M10" s="341">
        <f>L10+1</f>
        <v/>
      </c>
      <c r="N10" s="341">
        <f>M10+1</f>
        <v/>
      </c>
      <c r="O10" s="342" t="n"/>
    </row>
    <row r="11" ht="12.75" customHeight="1" s="282">
      <c r="A11" s="281" t="n"/>
      <c r="B11" s="335" t="inlineStr">
        <is>
          <t>Days</t>
        </is>
      </c>
      <c r="C11" s="281" t="n"/>
      <c r="D11" s="281" t="n"/>
      <c r="E11" s="281" t="n"/>
      <c r="F11" s="281" t="n"/>
      <c r="G11" s="341">
        <f>_xlfn.DAYS(G8,G7)</f>
        <v/>
      </c>
      <c r="H11" s="341">
        <f>_xlfn.DAYS(H8,H7)</f>
        <v/>
      </c>
      <c r="I11" s="341">
        <f>_xlfn.DAYS(I8,I7)</f>
        <v/>
      </c>
      <c r="J11" s="341">
        <f>_xlfn.DAYS(J8,J7)</f>
        <v/>
      </c>
      <c r="K11" s="341">
        <f>_xlfn.DAYS(K8,K7)</f>
        <v/>
      </c>
      <c r="L11" s="341">
        <f>_xlfn.DAYS(L8,L7)</f>
        <v/>
      </c>
      <c r="M11" s="341">
        <f>_xlfn.DAYS(M8,M7)</f>
        <v/>
      </c>
      <c r="N11" s="341">
        <f>_xlfn.DAYS(N8,N7)</f>
        <v/>
      </c>
      <c r="O11" s="342" t="n"/>
    </row>
    <row r="12" ht="12.75" customHeight="1" s="282">
      <c r="A12" s="281" t="n"/>
      <c r="B12" s="281" t="n"/>
      <c r="C12" s="281" t="n"/>
      <c r="D12" s="281" t="n"/>
      <c r="E12" s="281" t="n"/>
      <c r="F12" s="281" t="n"/>
      <c r="G12" s="281" t="n"/>
      <c r="H12" s="281" t="n"/>
      <c r="I12" s="281" t="n"/>
      <c r="J12" s="281" t="n"/>
      <c r="K12" s="281" t="n"/>
      <c r="L12" s="281" t="n"/>
      <c r="M12" s="281" t="n"/>
      <c r="N12" s="281" t="n"/>
      <c r="O12" s="281" t="n"/>
    </row>
    <row r="13" ht="12.75" customHeight="1" s="282">
      <c r="A13" s="281" t="n"/>
      <c r="B13" s="325" t="inlineStr">
        <is>
          <t>1. General Assumptions</t>
        </is>
      </c>
      <c r="C13" s="325" t="n"/>
      <c r="D13" s="333" t="n"/>
      <c r="E13" s="325" t="n"/>
      <c r="F13" s="325" t="n"/>
      <c r="G13" s="325" t="n"/>
      <c r="H13" s="325" t="n"/>
      <c r="I13" s="325" t="n"/>
      <c r="J13" s="325" t="n"/>
      <c r="K13" s="325" t="n"/>
      <c r="L13" s="325" t="n"/>
      <c r="M13" s="325" t="n"/>
      <c r="N13" s="325" t="n"/>
      <c r="O13" s="325" t="n"/>
    </row>
    <row r="14" ht="12.75" customHeight="1" s="282">
      <c r="A14" s="281" t="n"/>
      <c r="B14" s="336" t="n"/>
      <c r="C14" s="336" t="n"/>
      <c r="D14" s="343" t="n"/>
      <c r="E14" s="336" t="n"/>
      <c r="F14" s="336" t="n"/>
      <c r="G14" s="336" t="n"/>
      <c r="H14" s="336" t="n"/>
      <c r="I14" s="336" t="n"/>
      <c r="J14" s="336" t="n"/>
      <c r="K14" s="336" t="n"/>
      <c r="L14" s="336" t="n"/>
      <c r="M14" s="336" t="n"/>
      <c r="N14" s="336" t="n"/>
      <c r="O14" s="336" t="n"/>
    </row>
    <row r="15" ht="15" customHeight="1" s="282">
      <c r="A15" s="281" t="n"/>
      <c r="B15" s="334" t="inlineStr">
        <is>
          <t>Model Date</t>
        </is>
      </c>
      <c r="C15" s="281" t="n"/>
      <c r="D15" s="281" t="n"/>
      <c r="E15" s="344">
        <f>Legend!D6</f>
        <v/>
      </c>
      <c r="F15" s="281" t="n"/>
      <c r="G15" s="281" t="n"/>
      <c r="H15" s="281" t="n"/>
      <c r="I15" s="281" t="n"/>
      <c r="J15" s="281" t="n"/>
      <c r="K15" s="281" t="n"/>
      <c r="L15" s="281" t="n"/>
      <c r="M15" s="281" t="n"/>
      <c r="N15" s="281" t="n"/>
      <c r="O15" s="281" t="n"/>
    </row>
    <row r="16" ht="15" customHeight="1" s="282">
      <c r="A16" s="281" t="n"/>
      <c r="B16" s="334" t="inlineStr">
        <is>
          <t>Model Year</t>
        </is>
      </c>
      <c r="C16" s="281" t="n"/>
      <c r="D16" s="281" t="n"/>
      <c r="E16" s="345">
        <f>YEAR(E15)</f>
        <v/>
      </c>
      <c r="F16" s="281" t="n"/>
      <c r="G16" s="281" t="n"/>
      <c r="H16" s="281" t="n"/>
      <c r="I16" s="281" t="n"/>
      <c r="J16" s="281" t="n"/>
      <c r="K16" s="281" t="n"/>
      <c r="L16" s="281" t="n"/>
      <c r="M16" s="281" t="n"/>
      <c r="N16" s="281" t="n"/>
      <c r="O16" s="281" t="n"/>
    </row>
    <row r="17" ht="15" customHeight="1" s="282">
      <c r="A17" s="281" t="n"/>
      <c r="B17" s="334" t="inlineStr">
        <is>
          <t>Unit</t>
        </is>
      </c>
      <c r="C17" s="281" t="n"/>
      <c r="D17" s="281" t="n"/>
      <c r="E17" s="346" t="n">
        <v>1000000</v>
      </c>
      <c r="F17" s="347" t="inlineStr">
        <is>
          <t>KRW</t>
        </is>
      </c>
      <c r="G17" s="281" t="n"/>
      <c r="H17" s="281" t="n"/>
      <c r="I17" s="281" t="n"/>
      <c r="J17" s="281" t="n"/>
      <c r="K17" s="281" t="n"/>
      <c r="L17" s="281" t="n"/>
      <c r="M17" s="281" t="n"/>
      <c r="N17" s="281" t="n"/>
      <c r="O17" s="281" t="n"/>
    </row>
    <row r="18" ht="15" customHeight="1" s="282">
      <c r="A18" s="281" t="n"/>
      <c r="B18" s="334" t="inlineStr">
        <is>
          <t>WACC</t>
        </is>
      </c>
      <c r="C18" s="281" t="n"/>
      <c r="D18" s="281" t="n"/>
      <c r="E18" s="348" t="n">
        <v>0.1</v>
      </c>
      <c r="F18" s="347" t="inlineStr">
        <is>
          <t>%</t>
        </is>
      </c>
      <c r="G18" s="281" t="n"/>
      <c r="H18" s="281" t="n"/>
      <c r="I18" s="281" t="n"/>
      <c r="J18" s="281" t="n"/>
      <c r="K18" s="281" t="n"/>
      <c r="L18" s="281" t="n"/>
      <c r="M18" s="281" t="n"/>
      <c r="N18" s="281" t="n"/>
      <c r="O18" s="281" t="n"/>
    </row>
    <row r="19" ht="15" customHeight="1" s="282">
      <c r="A19" s="281" t="n"/>
      <c r="B19" s="334" t="inlineStr">
        <is>
          <t>Perpetual Growth</t>
        </is>
      </c>
      <c r="C19" s="281" t="n"/>
      <c r="D19" s="281" t="n"/>
      <c r="E19" s="348" t="n">
        <v>0.01</v>
      </c>
      <c r="F19" s="347" t="inlineStr">
        <is>
          <t>%</t>
        </is>
      </c>
      <c r="G19" s="281" t="n"/>
      <c r="H19" s="281" t="n"/>
      <c r="I19" s="281" t="n"/>
      <c r="J19" s="281" t="n"/>
      <c r="K19" s="281" t="n"/>
      <c r="L19" s="281" t="n"/>
      <c r="M19" s="281" t="n"/>
      <c r="N19" s="281" t="n"/>
      <c r="O19" s="281" t="n"/>
    </row>
    <row r="20" ht="15" customHeight="1" s="282">
      <c r="A20" s="281" t="n"/>
      <c r="B20" s="334" t="inlineStr">
        <is>
          <t>Industry Growth</t>
        </is>
      </c>
      <c r="C20" s="281" t="n"/>
      <c r="D20" s="281" t="n"/>
      <c r="E20" s="281" t="n"/>
      <c r="F20" s="347" t="n"/>
      <c r="G20" s="281" t="n"/>
      <c r="H20" s="281" t="n"/>
      <c r="I20" s="281" t="n"/>
      <c r="J20" s="348" t="n">
        <v>1.03</v>
      </c>
      <c r="K20" s="348" t="n">
        <v>1.03</v>
      </c>
      <c r="L20" s="348" t="n">
        <v>1.03</v>
      </c>
      <c r="M20" s="348" t="n">
        <v>1.03</v>
      </c>
      <c r="N20" s="348" t="n">
        <v>1.03</v>
      </c>
      <c r="O20" s="349" t="n"/>
    </row>
    <row r="21" ht="15" customHeight="1" s="282">
      <c r="A21" s="281" t="n"/>
      <c r="B21" s="334" t="inlineStr">
        <is>
          <t>Nominal Wage Growth</t>
        </is>
      </c>
      <c r="C21" s="281" t="n"/>
      <c r="D21" s="281" t="n"/>
      <c r="E21" s="281" t="n"/>
      <c r="F21" s="347" t="n"/>
      <c r="G21" s="281" t="n"/>
      <c r="H21" s="281" t="n"/>
      <c r="I21" s="281" t="n"/>
      <c r="J21" s="348" t="n">
        <v>1.02</v>
      </c>
      <c r="K21" s="348" t="n">
        <v>1.02</v>
      </c>
      <c r="L21" s="348" t="n">
        <v>1.02</v>
      </c>
      <c r="M21" s="348" t="n">
        <v>1.02</v>
      </c>
      <c r="N21" s="348" t="n">
        <v>1.02</v>
      </c>
      <c r="O21" s="349" t="n"/>
    </row>
    <row r="22" ht="15" customHeight="1" s="282">
      <c r="A22" s="281" t="n"/>
      <c r="B22" s="335" t="inlineStr">
        <is>
          <t>CPI</t>
        </is>
      </c>
      <c r="C22" s="281" t="n"/>
      <c r="D22" s="281" t="n"/>
      <c r="E22" s="281" t="n"/>
      <c r="F22" s="347" t="n"/>
      <c r="G22" s="281" t="n"/>
      <c r="H22" s="281" t="n"/>
      <c r="I22" s="281" t="n"/>
      <c r="J22" s="348" t="n">
        <v>1.02</v>
      </c>
      <c r="K22" s="348" t="n">
        <v>1.02</v>
      </c>
      <c r="L22" s="348" t="n">
        <v>1.02</v>
      </c>
      <c r="M22" s="348" t="n">
        <v>1.02</v>
      </c>
      <c r="N22" s="348" t="n">
        <v>1.02</v>
      </c>
      <c r="O22" s="349" t="n"/>
    </row>
    <row r="23" ht="15" customHeight="1" s="282">
      <c r="A23" s="281" t="n"/>
      <c r="B23" s="335" t="inlineStr">
        <is>
          <t>PPI</t>
        </is>
      </c>
      <c r="C23" s="281" t="n"/>
      <c r="D23" s="281" t="n"/>
      <c r="E23" s="281" t="n"/>
      <c r="F23" s="347" t="n"/>
      <c r="G23" s="281" t="n"/>
      <c r="H23" s="281" t="n"/>
      <c r="I23" s="281" t="n"/>
      <c r="J23" s="348" t="n">
        <v>1.02</v>
      </c>
      <c r="K23" s="348" t="n">
        <v>1.02</v>
      </c>
      <c r="L23" s="348" t="n">
        <v>1.02</v>
      </c>
      <c r="M23" s="348" t="n">
        <v>1.02</v>
      </c>
      <c r="N23" s="348" t="n">
        <v>1.02</v>
      </c>
      <c r="O23" s="349" t="n"/>
    </row>
    <row r="24" ht="12.75" customHeight="1" s="282">
      <c r="A24" s="281" t="n"/>
      <c r="B24" s="281" t="n"/>
      <c r="C24" s="281" t="n"/>
      <c r="D24" s="281" t="n"/>
      <c r="E24" s="281" t="n"/>
      <c r="F24" s="281" t="n"/>
      <c r="G24" s="281" t="n"/>
      <c r="H24" s="281" t="n"/>
      <c r="I24" s="281" t="n"/>
      <c r="J24" s="281" t="n"/>
      <c r="K24" s="281" t="n"/>
      <c r="L24" s="281" t="n"/>
      <c r="M24" s="281" t="n"/>
      <c r="N24" s="281" t="n"/>
      <c r="O24" s="281" t="n"/>
    </row>
    <row r="25" ht="12.75" customHeight="1" s="282">
      <c r="A25" s="281" t="n"/>
      <c r="B25" s="325" t="inlineStr">
        <is>
          <t>2. Historical Financials</t>
        </is>
      </c>
      <c r="C25" s="325" t="n"/>
      <c r="D25" s="333" t="n"/>
      <c r="E25" s="325" t="n"/>
      <c r="F25" s="325" t="n"/>
      <c r="G25" s="325" t="n"/>
      <c r="H25" s="325" t="n"/>
      <c r="I25" s="325" t="n"/>
      <c r="J25" s="325" t="n"/>
      <c r="K25" s="325" t="n"/>
      <c r="L25" s="325" t="n"/>
      <c r="M25" s="325" t="n"/>
      <c r="N25" s="325" t="n"/>
      <c r="O25" s="325" t="n"/>
    </row>
    <row r="26" ht="12.75" customHeight="1" s="282">
      <c r="A26" s="281" t="n"/>
      <c r="B26" s="281" t="n"/>
      <c r="C26" s="281" t="n"/>
      <c r="D26" s="281" t="n"/>
      <c r="E26" s="281" t="n"/>
      <c r="F26" s="281" t="n"/>
      <c r="G26" s="281" t="n"/>
      <c r="H26" s="281" t="n"/>
      <c r="I26" s="281" t="n"/>
      <c r="J26" s="281" t="n"/>
      <c r="K26" s="281" t="n"/>
      <c r="L26" s="281" t="n"/>
      <c r="M26" s="281" t="n"/>
      <c r="N26" s="281" t="n"/>
      <c r="O26" s="281" t="n"/>
    </row>
    <row r="27" ht="12.75" customHeight="1" s="282">
      <c r="A27" s="281" t="n"/>
      <c r="B27" s="350" t="inlineStr">
        <is>
          <t>[Profit &amp; Loss]</t>
        </is>
      </c>
      <c r="C27" s="281" t="n"/>
      <c r="D27" s="281" t="n"/>
      <c r="E27" s="281" t="n"/>
      <c r="F27" s="281" t="n"/>
      <c r="G27" s="351">
        <f>"FY"&amp;G10</f>
        <v/>
      </c>
      <c r="H27" s="351">
        <f>"FY"&amp;H10</f>
        <v/>
      </c>
      <c r="I27" s="351">
        <f>"FY"&amp;I10</f>
        <v/>
      </c>
      <c r="J27" s="281" t="n"/>
      <c r="K27" s="281" t="n"/>
      <c r="L27" s="281" t="n"/>
      <c r="M27" s="281" t="n"/>
      <c r="N27" s="281" t="n"/>
      <c r="O27" s="281" t="n"/>
    </row>
    <row r="28" ht="15" customHeight="1" s="282">
      <c r="A28" s="281" t="n"/>
      <c r="B28" s="352" t="inlineStr">
        <is>
          <t>매출</t>
        </is>
      </c>
      <c r="C28" s="353" t="n"/>
      <c r="D28" s="353" t="n"/>
      <c r="E28" s="353" t="n"/>
      <c r="F28" s="353" t="n"/>
      <c r="G28" s="346" t="n">
        <v>1000</v>
      </c>
      <c r="H28" s="346" t="n">
        <v>1200</v>
      </c>
      <c r="I28" s="346" t="n">
        <v>1400</v>
      </c>
      <c r="J28" s="281" t="n"/>
      <c r="K28" s="281" t="n"/>
      <c r="L28" s="281" t="n"/>
      <c r="M28" s="281" t="n"/>
      <c r="N28" s="281" t="n"/>
      <c r="O28" s="281" t="n"/>
    </row>
    <row r="29" ht="15" customHeight="1" s="282">
      <c r="A29" s="281" t="n"/>
      <c r="B29" s="352" t="inlineStr">
        <is>
          <t>원가</t>
        </is>
      </c>
      <c r="C29" s="354" t="n"/>
      <c r="D29" s="354" t="n"/>
      <c r="E29" s="354" t="n"/>
      <c r="F29" s="354" t="n"/>
      <c r="G29" s="355">
        <f>SUM(G30:G33)</f>
        <v/>
      </c>
      <c r="H29" s="355">
        <f>SUM(H30:H33)</f>
        <v/>
      </c>
      <c r="I29" s="355">
        <f>SUM(I30:I33)</f>
        <v/>
      </c>
      <c r="J29" s="281" t="n"/>
      <c r="K29" s="281" t="n"/>
      <c r="L29" s="281" t="n"/>
      <c r="M29" s="281" t="n"/>
      <c r="N29" s="281" t="n"/>
      <c r="O29" s="281" t="n"/>
    </row>
    <row r="30" ht="15" customHeight="1" s="282">
      <c r="A30" s="281" t="n"/>
      <c r="B30" s="356" t="inlineStr">
        <is>
          <t>재료비</t>
        </is>
      </c>
      <c r="C30" s="281" t="n"/>
      <c r="D30" s="281" t="n"/>
      <c r="E30" s="281" t="n"/>
      <c r="F30" s="281" t="n"/>
      <c r="G30" s="357" t="n">
        <v>200</v>
      </c>
      <c r="H30" s="357" t="n">
        <v>200</v>
      </c>
      <c r="I30" s="357" t="n">
        <v>200</v>
      </c>
      <c r="J30" s="281" t="n"/>
      <c r="K30" s="281" t="n"/>
      <c r="L30" s="281" t="n"/>
      <c r="M30" s="281" t="n"/>
      <c r="N30" s="281" t="n"/>
      <c r="O30" s="281" t="n"/>
    </row>
    <row r="31" ht="15" customHeight="1" s="282">
      <c r="A31" s="281" t="n"/>
      <c r="B31" s="356" t="inlineStr">
        <is>
          <t>인건비</t>
        </is>
      </c>
      <c r="C31" s="281" t="n"/>
      <c r="D31" s="281" t="n"/>
      <c r="E31" s="281" t="n"/>
      <c r="F31" s="281" t="n"/>
      <c r="G31" s="346" t="n">
        <v>100</v>
      </c>
      <c r="H31" s="346" t="n">
        <v>100</v>
      </c>
      <c r="I31" s="346" t="n">
        <v>100</v>
      </c>
      <c r="J31" s="281" t="n"/>
      <c r="K31" s="281" t="n"/>
      <c r="L31" s="281" t="n"/>
      <c r="M31" s="281" t="n"/>
      <c r="N31" s="281" t="n"/>
      <c r="O31" s="281" t="n"/>
    </row>
    <row r="32" ht="15" customHeight="1" s="282">
      <c r="A32" s="281" t="n"/>
      <c r="B32" s="356" t="inlineStr">
        <is>
          <t>기타경비 -변동비</t>
        </is>
      </c>
      <c r="C32" s="281" t="n"/>
      <c r="D32" s="281" t="n"/>
      <c r="E32" s="281" t="n"/>
      <c r="F32" s="281" t="n"/>
      <c r="G32" s="346" t="n">
        <v>100</v>
      </c>
      <c r="H32" s="346" t="n">
        <v>100</v>
      </c>
      <c r="I32" s="346" t="n">
        <v>100</v>
      </c>
      <c r="J32" s="281" t="n"/>
      <c r="K32" s="281" t="n"/>
      <c r="L32" s="281" t="n"/>
      <c r="M32" s="281" t="n"/>
      <c r="N32" s="281" t="n"/>
      <c r="O32" s="281" t="n"/>
    </row>
    <row r="33" ht="15" customHeight="1" s="282">
      <c r="A33" s="281" t="n"/>
      <c r="B33" s="356" t="inlineStr">
        <is>
          <t>기타경비 -고정비</t>
        </is>
      </c>
      <c r="C33" s="281" t="n"/>
      <c r="D33" s="281" t="n"/>
      <c r="E33" s="281" t="n"/>
      <c r="F33" s="281" t="n"/>
      <c r="G33" s="358" t="n">
        <v>200</v>
      </c>
      <c r="H33" s="358" t="n">
        <v>200</v>
      </c>
      <c r="I33" s="358" t="n">
        <v>200</v>
      </c>
      <c r="J33" s="281" t="n"/>
      <c r="K33" s="281" t="n"/>
      <c r="L33" s="281" t="n"/>
      <c r="M33" s="281" t="n"/>
      <c r="N33" s="281" t="n"/>
      <c r="O33" s="281" t="n"/>
    </row>
    <row r="34" ht="15" customHeight="1" s="282">
      <c r="A34" s="281" t="n"/>
      <c r="B34" s="359" t="inlineStr">
        <is>
          <t>매출총이익</t>
        </is>
      </c>
      <c r="C34" s="353" t="n"/>
      <c r="D34" s="353" t="n"/>
      <c r="E34" s="353" t="n"/>
      <c r="F34" s="353" t="n"/>
      <c r="G34" s="360">
        <f>G28-G29</f>
        <v/>
      </c>
      <c r="H34" s="360">
        <f>H28-H29</f>
        <v/>
      </c>
      <c r="I34" s="360">
        <f>I28-I29</f>
        <v/>
      </c>
      <c r="J34" s="281" t="n"/>
      <c r="K34" s="281" t="n"/>
      <c r="L34" s="281" t="n"/>
      <c r="M34" s="281" t="n"/>
      <c r="N34" s="281" t="n"/>
      <c r="O34" s="281" t="n"/>
    </row>
    <row r="35" ht="15" customHeight="1" s="282">
      <c r="A35" s="281" t="n"/>
      <c r="B35" s="361" t="inlineStr">
        <is>
          <t>판관비</t>
        </is>
      </c>
      <c r="C35" s="353" t="n"/>
      <c r="D35" s="353" t="n"/>
      <c r="E35" s="353" t="n"/>
      <c r="F35" s="362" t="n"/>
      <c r="G35" s="355">
        <f>SUM(G36:G40)</f>
        <v/>
      </c>
      <c r="H35" s="355">
        <f>SUM(H36:H40)</f>
        <v/>
      </c>
      <c r="I35" s="355">
        <f>SUM(I36:I40)</f>
        <v/>
      </c>
      <c r="J35" s="281" t="n"/>
      <c r="K35" s="281" t="n"/>
      <c r="L35" s="281" t="n"/>
      <c r="M35" s="281" t="n"/>
      <c r="N35" s="281" t="n"/>
      <c r="O35" s="281" t="n"/>
    </row>
    <row r="36" ht="15" customHeight="1" s="282">
      <c r="A36" s="281" t="n"/>
      <c r="B36" s="356" t="inlineStr">
        <is>
          <t>인건비</t>
        </is>
      </c>
      <c r="C36" s="281" t="n"/>
      <c r="D36" s="281" t="n"/>
      <c r="E36" s="281" t="n"/>
      <c r="F36" s="281" t="n"/>
      <c r="G36" s="346" t="n">
        <v>100</v>
      </c>
      <c r="H36" s="346" t="n">
        <v>100</v>
      </c>
      <c r="I36" s="346" t="n">
        <v>100</v>
      </c>
      <c r="J36" s="281" t="n"/>
      <c r="K36" s="281" t="n"/>
      <c r="L36" s="281" t="n"/>
      <c r="M36" s="281" t="n"/>
      <c r="N36" s="281" t="n"/>
      <c r="O36" s="281" t="n"/>
    </row>
    <row r="37" ht="15" customHeight="1" s="282">
      <c r="A37" s="281" t="n"/>
      <c r="B37" s="356" t="inlineStr">
        <is>
          <t>변동비-#1</t>
        </is>
      </c>
      <c r="C37" s="281" t="n"/>
      <c r="D37" s="281" t="n"/>
      <c r="E37" s="281" t="n"/>
      <c r="F37" s="281" t="n"/>
      <c r="G37" s="346" t="n">
        <v>50</v>
      </c>
      <c r="H37" s="346" t="n">
        <v>50</v>
      </c>
      <c r="I37" s="346" t="n">
        <v>50</v>
      </c>
      <c r="J37" s="281" t="n"/>
      <c r="K37" s="281" t="n"/>
      <c r="L37" s="281" t="n"/>
      <c r="M37" s="281" t="n"/>
      <c r="N37" s="281" t="n"/>
      <c r="O37" s="281" t="n"/>
    </row>
    <row r="38" ht="15" customHeight="1" s="282">
      <c r="A38" s="281" t="n"/>
      <c r="B38" s="356" t="inlineStr">
        <is>
          <t>변동비-#2</t>
        </is>
      </c>
      <c r="C38" s="281" t="n"/>
      <c r="D38" s="281" t="n"/>
      <c r="E38" s="281" t="n"/>
      <c r="F38" s="281" t="n"/>
      <c r="G38" s="346" t="n">
        <v>60</v>
      </c>
      <c r="H38" s="346" t="n">
        <v>60</v>
      </c>
      <c r="I38" s="346" t="n">
        <v>60</v>
      </c>
      <c r="J38" s="281" t="n"/>
      <c r="K38" s="281" t="n"/>
      <c r="L38" s="281" t="n"/>
      <c r="M38" s="281" t="n"/>
      <c r="N38" s="281" t="n"/>
      <c r="O38" s="281" t="n"/>
    </row>
    <row r="39" ht="15" customHeight="1" s="282">
      <c r="A39" s="281" t="n"/>
      <c r="B39" s="356" t="inlineStr">
        <is>
          <t>변동비-#3</t>
        </is>
      </c>
      <c r="C39" s="281" t="n"/>
      <c r="D39" s="281" t="n"/>
      <c r="E39" s="281" t="n"/>
      <c r="F39" s="281" t="n"/>
      <c r="G39" s="346" t="n">
        <v>70</v>
      </c>
      <c r="H39" s="346" t="n">
        <v>70</v>
      </c>
      <c r="I39" s="346" t="n">
        <v>70</v>
      </c>
      <c r="J39" s="281" t="n"/>
      <c r="K39" s="281" t="n"/>
      <c r="L39" s="281" t="n"/>
      <c r="M39" s="281" t="n"/>
      <c r="N39" s="281" t="n"/>
      <c r="O39" s="281" t="n"/>
    </row>
    <row r="40" ht="15" customHeight="1" s="282">
      <c r="A40" s="281" t="n"/>
      <c r="B40" s="356" t="inlineStr">
        <is>
          <t>고정비</t>
        </is>
      </c>
      <c r="C40" s="281" t="n"/>
      <c r="D40" s="281" t="n"/>
      <c r="E40" s="281" t="n"/>
      <c r="F40" s="281" t="n"/>
      <c r="G40" s="358" t="n">
        <v>50</v>
      </c>
      <c r="H40" s="358" t="n">
        <v>50</v>
      </c>
      <c r="I40" s="358" t="n">
        <v>50</v>
      </c>
      <c r="J40" s="281" t="n"/>
      <c r="K40" s="281" t="n"/>
      <c r="L40" s="281" t="n"/>
      <c r="M40" s="281" t="n"/>
      <c r="N40" s="281" t="n"/>
      <c r="O40" s="281" t="n"/>
    </row>
    <row r="41" ht="15" customHeight="1" s="282">
      <c r="A41" s="281" t="n"/>
      <c r="B41" s="359" t="inlineStr">
        <is>
          <t>영업이익</t>
        </is>
      </c>
      <c r="C41" s="353" t="n"/>
      <c r="D41" s="353" t="n"/>
      <c r="E41" s="353" t="n"/>
      <c r="F41" s="353" t="n"/>
      <c r="G41" s="360">
        <f>G34-G35</f>
        <v/>
      </c>
      <c r="H41" s="360">
        <f>H34-H35</f>
        <v/>
      </c>
      <c r="I41" s="360">
        <f>I34-I35</f>
        <v/>
      </c>
      <c r="J41" s="281" t="n"/>
      <c r="K41" s="281" t="n"/>
      <c r="L41" s="281" t="n"/>
      <c r="M41" s="281" t="n"/>
      <c r="N41" s="281" t="n"/>
      <c r="O41" s="281" t="n"/>
    </row>
    <row r="42" ht="15" customHeight="1" s="282">
      <c r="A42" s="281" t="n"/>
      <c r="B42" s="363" t="inlineStr">
        <is>
          <t>감가상각비</t>
        </is>
      </c>
      <c r="C42" s="281" t="n"/>
      <c r="D42" s="281" t="n"/>
      <c r="E42" s="281" t="n"/>
      <c r="F42" s="281" t="n"/>
      <c r="G42" s="364" t="n">
        <v>10</v>
      </c>
      <c r="H42" s="364" t="n">
        <v>10</v>
      </c>
      <c r="I42" s="364" t="n">
        <v>10</v>
      </c>
      <c r="J42" s="281" t="n"/>
      <c r="K42" s="281" t="n"/>
      <c r="L42" s="281" t="n"/>
      <c r="M42" s="281" t="n"/>
      <c r="N42" s="281" t="n"/>
      <c r="O42" s="281" t="n"/>
    </row>
    <row r="43" ht="15" customHeight="1" s="282">
      <c r="A43" s="281" t="n"/>
      <c r="B43" s="365" t="inlineStr">
        <is>
          <t>EBITDA</t>
        </is>
      </c>
      <c r="C43" s="353" t="n"/>
      <c r="D43" s="353" t="n"/>
      <c r="E43" s="353" t="n"/>
      <c r="F43" s="362" t="n"/>
      <c r="G43" s="360">
        <f>G41+G42</f>
        <v/>
      </c>
      <c r="H43" s="360">
        <f>H41+H42</f>
        <v/>
      </c>
      <c r="I43" s="360">
        <f>I41+I42</f>
        <v/>
      </c>
      <c r="J43" s="281" t="n"/>
      <c r="K43" s="281" t="n"/>
      <c r="L43" s="281" t="n"/>
      <c r="M43" s="281" t="n"/>
      <c r="N43" s="281" t="n"/>
      <c r="O43" s="281" t="n"/>
    </row>
    <row r="44" ht="15" customHeight="1" s="282">
      <c r="A44" s="281" t="n"/>
      <c r="B44" s="366" t="inlineStr">
        <is>
          <t>영업외손익</t>
        </is>
      </c>
      <c r="C44" s="354" t="n"/>
      <c r="D44" s="354" t="n"/>
      <c r="E44" s="354" t="n"/>
      <c r="F44" s="354" t="n"/>
      <c r="G44" s="360">
        <f>G45-G48</f>
        <v/>
      </c>
      <c r="H44" s="360">
        <f>H45-H48</f>
        <v/>
      </c>
      <c r="I44" s="360">
        <f>I45-I48</f>
        <v/>
      </c>
      <c r="J44" s="281" t="n"/>
      <c r="K44" s="281" t="n"/>
      <c r="L44" s="281" t="n"/>
      <c r="M44" s="281" t="n"/>
      <c r="N44" s="281" t="n"/>
      <c r="O44" s="281" t="n"/>
    </row>
    <row r="45" ht="15" customHeight="1" s="282">
      <c r="A45" s="281" t="n"/>
      <c r="B45" s="356" t="inlineStr">
        <is>
          <t>영업외수익</t>
        </is>
      </c>
      <c r="C45" s="281" t="n"/>
      <c r="D45" s="281" t="n"/>
      <c r="E45" s="281" t="n"/>
      <c r="F45" s="281" t="n"/>
      <c r="G45" s="360">
        <f>SUM(G46:G47)</f>
        <v/>
      </c>
      <c r="H45" s="360">
        <f>SUM(H46:H47)</f>
        <v/>
      </c>
      <c r="I45" s="360">
        <f>SUM(I46:I47)</f>
        <v/>
      </c>
      <c r="J45" s="281" t="n"/>
      <c r="K45" s="281" t="n"/>
      <c r="L45" s="281" t="n"/>
      <c r="M45" s="281" t="n"/>
      <c r="N45" s="281" t="n"/>
      <c r="O45" s="281" t="n"/>
    </row>
    <row r="46" ht="15" customHeight="1" s="282">
      <c r="A46" s="281" t="n"/>
      <c r="B46" s="367" t="inlineStr">
        <is>
          <t>이자손익</t>
        </is>
      </c>
      <c r="C46" s="281" t="n"/>
      <c r="D46" s="281" t="n"/>
      <c r="E46" s="281" t="n"/>
      <c r="F46" s="281" t="n"/>
      <c r="G46" s="346" t="n">
        <v>10</v>
      </c>
      <c r="H46" s="346" t="n">
        <v>10</v>
      </c>
      <c r="I46" s="346" t="n">
        <v>10</v>
      </c>
      <c r="J46" s="281" t="n"/>
      <c r="K46" s="281" t="n"/>
      <c r="L46" s="281" t="n"/>
      <c r="M46" s="281" t="n"/>
      <c r="N46" s="281" t="n"/>
      <c r="O46" s="281" t="n"/>
    </row>
    <row r="47" ht="15" customHeight="1" s="282">
      <c r="A47" s="281" t="n"/>
      <c r="B47" s="367" t="inlineStr">
        <is>
          <t>기타</t>
        </is>
      </c>
      <c r="C47" s="281" t="n"/>
      <c r="D47" s="281" t="n"/>
      <c r="E47" s="281" t="n"/>
      <c r="F47" s="281" t="n"/>
      <c r="G47" s="346" t="n">
        <v>10</v>
      </c>
      <c r="H47" s="346" t="n">
        <v>10</v>
      </c>
      <c r="I47" s="346" t="n">
        <v>10</v>
      </c>
      <c r="J47" s="281" t="n"/>
      <c r="K47" s="281" t="n"/>
      <c r="L47" s="281" t="n"/>
      <c r="M47" s="281" t="n"/>
      <c r="N47" s="281" t="n"/>
      <c r="O47" s="281" t="n"/>
    </row>
    <row r="48" ht="15" customHeight="1" s="282">
      <c r="A48" s="281" t="n"/>
      <c r="B48" s="356" t="inlineStr">
        <is>
          <t>영업외비용</t>
        </is>
      </c>
      <c r="C48" s="281" t="n"/>
      <c r="D48" s="281" t="n"/>
      <c r="E48" s="281" t="n"/>
      <c r="F48" s="281" t="n"/>
      <c r="G48" s="360">
        <f>SUM(G49:G50)</f>
        <v/>
      </c>
      <c r="H48" s="360">
        <f>SUM(H49:H50)</f>
        <v/>
      </c>
      <c r="I48" s="360">
        <f>SUM(I49:I50)</f>
        <v/>
      </c>
      <c r="J48" s="281" t="n"/>
      <c r="K48" s="281" t="n"/>
      <c r="L48" s="281" t="n"/>
      <c r="M48" s="281" t="n"/>
      <c r="N48" s="281" t="n"/>
      <c r="O48" s="281" t="n"/>
    </row>
    <row r="49" ht="15" customHeight="1" s="282">
      <c r="A49" s="281" t="n"/>
      <c r="B49" s="367" t="inlineStr">
        <is>
          <t>이자비용</t>
        </is>
      </c>
      <c r="C49" s="281" t="n"/>
      <c r="D49" s="281" t="n"/>
      <c r="E49" s="281" t="n"/>
      <c r="F49" s="281" t="n"/>
      <c r="G49" s="346" t="n">
        <v>10</v>
      </c>
      <c r="H49" s="346" t="n">
        <v>10</v>
      </c>
      <c r="I49" s="346" t="n">
        <v>10</v>
      </c>
      <c r="J49" s="281" t="n"/>
      <c r="K49" s="281" t="n"/>
      <c r="L49" s="281" t="n"/>
      <c r="M49" s="281" t="n"/>
      <c r="N49" s="281" t="n"/>
      <c r="O49" s="281" t="n"/>
    </row>
    <row r="50" ht="15" customHeight="1" s="282">
      <c r="A50" s="281" t="n"/>
      <c r="B50" s="367" t="inlineStr">
        <is>
          <t>기타</t>
        </is>
      </c>
      <c r="C50" s="281" t="n"/>
      <c r="D50" s="281" t="n"/>
      <c r="E50" s="281" t="n"/>
      <c r="F50" s="281" t="n"/>
      <c r="G50" s="346" t="n">
        <v>10</v>
      </c>
      <c r="H50" s="346" t="n">
        <v>10</v>
      </c>
      <c r="I50" s="346" t="n">
        <v>10</v>
      </c>
      <c r="J50" s="281" t="n"/>
      <c r="K50" s="281" t="n"/>
      <c r="L50" s="281" t="n"/>
      <c r="M50" s="281" t="n"/>
      <c r="N50" s="281" t="n"/>
      <c r="O50" s="281" t="n"/>
    </row>
    <row r="51" ht="15" customHeight="1" s="282">
      <c r="A51" s="281" t="n"/>
      <c r="B51" s="359" t="inlineStr">
        <is>
          <t>세전이익</t>
        </is>
      </c>
      <c r="C51" s="353" t="n"/>
      <c r="D51" s="353" t="n"/>
      <c r="E51" s="353" t="n"/>
      <c r="F51" s="353" t="n"/>
      <c r="G51" s="360">
        <f>G41+G44</f>
        <v/>
      </c>
      <c r="H51" s="360">
        <f>H41+H44</f>
        <v/>
      </c>
      <c r="I51" s="360">
        <f>I41+I44</f>
        <v/>
      </c>
      <c r="J51" s="281" t="n"/>
      <c r="K51" s="281" t="n"/>
      <c r="L51" s="281" t="n"/>
      <c r="M51" s="281" t="n"/>
      <c r="N51" s="281" t="n"/>
      <c r="O51" s="281" t="n"/>
    </row>
    <row r="52" ht="15" customHeight="1" s="282">
      <c r="A52" s="281" t="n"/>
      <c r="B52" s="363" t="inlineStr">
        <is>
          <t>법인세</t>
        </is>
      </c>
      <c r="C52" s="281" t="n"/>
      <c r="D52" s="281" t="n"/>
      <c r="E52" s="281" t="n"/>
      <c r="F52" s="281" t="n"/>
      <c r="G52" s="364" t="n">
        <v>20</v>
      </c>
      <c r="H52" s="364" t="n">
        <v>30</v>
      </c>
      <c r="I52" s="364" t="n">
        <v>40</v>
      </c>
      <c r="J52" s="281" t="n"/>
      <c r="K52" s="281" t="n"/>
      <c r="L52" s="281" t="n"/>
      <c r="M52" s="281" t="n"/>
      <c r="N52" s="281" t="n"/>
      <c r="O52" s="281" t="n"/>
    </row>
    <row r="53" ht="15" customHeight="1" s="282">
      <c r="A53" s="281" t="n"/>
      <c r="B53" s="359" t="inlineStr">
        <is>
          <t>당기순이익</t>
        </is>
      </c>
      <c r="C53" s="353" t="n"/>
      <c r="D53" s="353" t="n"/>
      <c r="E53" s="353" t="n"/>
      <c r="F53" s="353" t="n"/>
      <c r="G53" s="360">
        <f>G51-G52</f>
        <v/>
      </c>
      <c r="H53" s="360">
        <f>H51-H52</f>
        <v/>
      </c>
      <c r="I53" s="360">
        <f>I51-I52</f>
        <v/>
      </c>
      <c r="J53" s="281" t="n"/>
      <c r="K53" s="281" t="n"/>
      <c r="L53" s="281" t="n"/>
      <c r="M53" s="281" t="n"/>
      <c r="N53" s="281" t="n"/>
      <c r="O53" s="281" t="n"/>
    </row>
    <row r="54" ht="15" customHeight="1" s="282">
      <c r="A54" s="281" t="n"/>
      <c r="B54" s="368" t="n"/>
      <c r="C54" s="281" t="n"/>
      <c r="D54" s="281" t="n"/>
      <c r="E54" s="281" t="n"/>
      <c r="F54" s="281" t="n"/>
      <c r="G54" s="281" t="n"/>
      <c r="H54" s="281" t="n"/>
      <c r="I54" s="281" t="n"/>
      <c r="J54" s="281" t="n"/>
      <c r="K54" s="281" t="n"/>
      <c r="L54" s="281" t="n"/>
      <c r="M54" s="281" t="n"/>
      <c r="N54" s="281" t="n"/>
      <c r="O54" s="281" t="n"/>
    </row>
    <row r="55" ht="15" customHeight="1" s="282">
      <c r="A55" s="281" t="n"/>
      <c r="B55" s="369" t="inlineStr">
        <is>
          <t>[Balance Sheet]</t>
        </is>
      </c>
      <c r="C55" s="281" t="n"/>
      <c r="D55" s="281" t="n"/>
      <c r="E55" s="281" t="n"/>
      <c r="F55" s="281" t="n"/>
      <c r="G55" s="351">
        <f>"Dec"&amp;G10</f>
        <v/>
      </c>
      <c r="H55" s="351">
        <f>"Dec"&amp;H10</f>
        <v/>
      </c>
      <c r="I55" s="351">
        <f>"Dec"&amp;I10</f>
        <v/>
      </c>
      <c r="J55" s="281" t="n"/>
      <c r="K55" s="281" t="n"/>
      <c r="L55" s="281" t="n"/>
      <c r="M55" s="281" t="n"/>
      <c r="N55" s="281" t="n"/>
      <c r="O55" s="281" t="n"/>
    </row>
    <row r="56" ht="15" customHeight="1" s="282">
      <c r="A56" s="281" t="n"/>
      <c r="B56" s="370" t="inlineStr">
        <is>
          <t>유동자산</t>
        </is>
      </c>
      <c r="C56" s="353" t="n"/>
      <c r="D56" s="353" t="n"/>
      <c r="E56" s="353" t="n"/>
      <c r="F56" s="353" t="n"/>
      <c r="G56" s="360">
        <f>SUM(G57:G60)</f>
        <v/>
      </c>
      <c r="H56" s="360">
        <f>SUM(H57:H60)</f>
        <v/>
      </c>
      <c r="I56" s="360">
        <f>SUM(I57:I60)</f>
        <v/>
      </c>
      <c r="J56" s="281" t="n"/>
      <c r="K56" s="281" t="n"/>
      <c r="L56" s="281" t="n"/>
      <c r="M56" s="281" t="n"/>
      <c r="N56" s="281" t="n"/>
      <c r="O56" s="281" t="n"/>
    </row>
    <row r="57" ht="15" customHeight="1" s="282">
      <c r="A57" s="281" t="n"/>
      <c r="B57" s="371" t="inlineStr">
        <is>
          <t>현금및현금성자산</t>
        </is>
      </c>
      <c r="C57" s="281" t="n"/>
      <c r="D57" s="281" t="n"/>
      <c r="E57" s="281" t="n"/>
      <c r="F57" s="281" t="n"/>
      <c r="G57" s="357" t="n">
        <v>50</v>
      </c>
      <c r="H57" s="357" t="n">
        <v>50</v>
      </c>
      <c r="I57" s="357" t="n">
        <v>50</v>
      </c>
      <c r="J57" s="281" t="n"/>
      <c r="K57" s="281" t="n"/>
      <c r="L57" s="281" t="n"/>
      <c r="M57" s="281" t="n"/>
      <c r="N57" s="281" t="n"/>
      <c r="O57" s="281" t="n"/>
    </row>
    <row r="58" ht="15" customHeight="1" s="282">
      <c r="A58" s="281" t="n"/>
      <c r="B58" s="371" t="inlineStr">
        <is>
          <t>매출채권</t>
        </is>
      </c>
      <c r="C58" s="281" t="n"/>
      <c r="D58" s="281" t="n"/>
      <c r="E58" s="281" t="n"/>
      <c r="F58" s="281" t="n"/>
      <c r="G58" s="346" t="n">
        <v>100</v>
      </c>
      <c r="H58" s="346" t="n">
        <v>100</v>
      </c>
      <c r="I58" s="346" t="n">
        <v>100</v>
      </c>
      <c r="J58" s="281" t="n"/>
      <c r="K58" s="281" t="n"/>
      <c r="L58" s="281" t="n"/>
      <c r="M58" s="281" t="n"/>
      <c r="N58" s="281" t="n"/>
      <c r="O58" s="281" t="n"/>
    </row>
    <row r="59" ht="15" customHeight="1" s="282">
      <c r="A59" s="281" t="n"/>
      <c r="B59" s="371" t="inlineStr">
        <is>
          <t>재고자산</t>
        </is>
      </c>
      <c r="C59" s="281" t="n"/>
      <c r="D59" s="281" t="n"/>
      <c r="E59" s="281" t="n"/>
      <c r="F59" s="281" t="n"/>
      <c r="G59" s="346" t="n">
        <v>100</v>
      </c>
      <c r="H59" s="346" t="n">
        <v>100</v>
      </c>
      <c r="I59" s="346" t="n">
        <v>100</v>
      </c>
      <c r="J59" s="281" t="n"/>
      <c r="K59" s="281" t="n"/>
      <c r="L59" s="281" t="n"/>
      <c r="M59" s="281" t="n"/>
      <c r="N59" s="281" t="n"/>
      <c r="O59" s="281" t="n"/>
    </row>
    <row r="60" ht="15" customHeight="1" s="282">
      <c r="A60" s="281" t="n"/>
      <c r="B60" s="371" t="inlineStr">
        <is>
          <t>기타유동자산</t>
        </is>
      </c>
      <c r="C60" s="281" t="n"/>
      <c r="D60" s="281" t="n"/>
      <c r="E60" s="281" t="n"/>
      <c r="F60" s="281" t="n"/>
      <c r="G60" s="372" t="n"/>
      <c r="H60" s="372" t="n"/>
      <c r="I60" s="372" t="n"/>
      <c r="J60" s="281" t="n"/>
      <c r="K60" s="281" t="n"/>
      <c r="L60" s="281" t="n"/>
      <c r="M60" s="281" t="n"/>
      <c r="N60" s="281" t="n"/>
      <c r="O60" s="281" t="n"/>
    </row>
    <row r="61" ht="15" customHeight="1" s="282">
      <c r="A61" s="281" t="n"/>
      <c r="B61" s="370" t="inlineStr">
        <is>
          <t>비유동자산</t>
        </is>
      </c>
      <c r="C61" s="353" t="n"/>
      <c r="D61" s="353" t="n"/>
      <c r="E61" s="353" t="n"/>
      <c r="F61" s="353" t="n"/>
      <c r="G61" s="360">
        <f>SUM(G62:G65)</f>
        <v/>
      </c>
      <c r="H61" s="360">
        <f>SUM(H62:H65)</f>
        <v/>
      </c>
      <c r="I61" s="360">
        <f>SUM(I62:I65)</f>
        <v/>
      </c>
      <c r="J61" s="281" t="n"/>
      <c r="K61" s="281" t="n"/>
      <c r="L61" s="281" t="n"/>
      <c r="M61" s="281" t="n"/>
      <c r="N61" s="281" t="n"/>
      <c r="O61" s="281" t="n"/>
    </row>
    <row r="62" ht="15" customHeight="1" s="282">
      <c r="A62" s="281" t="n"/>
      <c r="B62" s="371" t="inlineStr">
        <is>
          <t>유형자산</t>
        </is>
      </c>
      <c r="C62" s="281" t="n"/>
      <c r="D62" s="281" t="n"/>
      <c r="E62" s="281" t="n"/>
      <c r="F62" s="281" t="n"/>
      <c r="G62" s="373" t="n"/>
      <c r="H62" s="373" t="n"/>
      <c r="I62" s="373" t="n"/>
      <c r="J62" s="281" t="n"/>
      <c r="K62" s="281" t="n"/>
      <c r="L62" s="281" t="n"/>
      <c r="M62" s="281" t="n"/>
      <c r="N62" s="281" t="n"/>
      <c r="O62" s="281" t="n"/>
    </row>
    <row r="63" ht="15" customHeight="1" s="282">
      <c r="A63" s="281" t="n"/>
      <c r="B63" s="371" t="inlineStr">
        <is>
          <t>무형자산</t>
        </is>
      </c>
      <c r="C63" s="281" t="n"/>
      <c r="D63" s="281" t="n"/>
      <c r="E63" s="281" t="n"/>
      <c r="F63" s="281" t="n"/>
      <c r="G63" s="374" t="n"/>
      <c r="H63" s="374" t="n"/>
      <c r="I63" s="374" t="n"/>
      <c r="J63" s="281" t="n"/>
      <c r="K63" s="281" t="n"/>
      <c r="L63" s="281" t="n"/>
      <c r="M63" s="281" t="n"/>
      <c r="N63" s="281" t="n"/>
      <c r="O63" s="281" t="n"/>
    </row>
    <row r="64" ht="15" customHeight="1" s="282">
      <c r="A64" s="281" t="n"/>
      <c r="B64" s="371" t="inlineStr">
        <is>
          <t>투자자산</t>
        </is>
      </c>
      <c r="C64" s="281" t="n"/>
      <c r="D64" s="281" t="n"/>
      <c r="E64" s="281" t="n"/>
      <c r="F64" s="281" t="n"/>
      <c r="G64" s="374" t="n"/>
      <c r="H64" s="374" t="n"/>
      <c r="I64" s="374" t="n"/>
      <c r="J64" s="281" t="n"/>
      <c r="K64" s="281" t="n"/>
      <c r="L64" s="281" t="n"/>
      <c r="M64" s="281" t="n"/>
      <c r="N64" s="281" t="n"/>
      <c r="O64" s="281" t="n"/>
    </row>
    <row r="65" ht="15" customHeight="1" s="282">
      <c r="A65" s="281" t="n"/>
      <c r="B65" s="371" t="inlineStr">
        <is>
          <t>지분법투자주식</t>
        </is>
      </c>
      <c r="C65" s="281" t="n"/>
      <c r="D65" s="281" t="n"/>
      <c r="E65" s="281" t="n"/>
      <c r="F65" s="281" t="n"/>
      <c r="G65" s="372" t="n"/>
      <c r="H65" s="372" t="n"/>
      <c r="I65" s="372" t="n"/>
      <c r="J65" s="281" t="n"/>
      <c r="K65" s="281" t="n"/>
      <c r="L65" s="281" t="n"/>
      <c r="M65" s="281" t="n"/>
      <c r="N65" s="281" t="n"/>
      <c r="O65" s="281" t="n"/>
    </row>
    <row r="66" ht="15" customHeight="1" s="282">
      <c r="A66" s="281" t="n"/>
      <c r="B66" s="371" t="inlineStr">
        <is>
          <t>기타비유동자산</t>
        </is>
      </c>
      <c r="C66" s="281" t="n"/>
      <c r="D66" s="281" t="n"/>
      <c r="E66" s="281" t="n"/>
      <c r="F66" s="281" t="n"/>
      <c r="G66" s="372" t="n"/>
      <c r="H66" s="372" t="n"/>
      <c r="I66" s="372" t="n"/>
      <c r="J66" s="281" t="n"/>
      <c r="K66" s="281" t="n"/>
      <c r="L66" s="281" t="n"/>
      <c r="M66" s="281" t="n"/>
      <c r="N66" s="281" t="n"/>
      <c r="O66" s="281" t="n"/>
    </row>
    <row r="67" ht="15" customHeight="1" s="282">
      <c r="A67" s="281" t="n"/>
      <c r="B67" s="370" t="inlineStr">
        <is>
          <t>총자산</t>
        </is>
      </c>
      <c r="C67" s="353" t="n"/>
      <c r="D67" s="353" t="n"/>
      <c r="E67" s="353" t="n"/>
      <c r="F67" s="362" t="n"/>
      <c r="G67" s="375">
        <f>+G56+G61</f>
        <v/>
      </c>
      <c r="H67" s="375">
        <f>+H56+H61</f>
        <v/>
      </c>
      <c r="I67" s="375">
        <f>+I56+I61</f>
        <v/>
      </c>
      <c r="J67" s="281" t="n"/>
      <c r="K67" s="281" t="n"/>
      <c r="L67" s="281" t="n"/>
      <c r="M67" s="281" t="n"/>
      <c r="N67" s="281" t="n"/>
      <c r="O67" s="281" t="n"/>
    </row>
    <row r="68" ht="15" customHeight="1" s="282">
      <c r="A68" s="281" t="n"/>
      <c r="B68" s="376" t="inlineStr">
        <is>
          <t>유동부채</t>
        </is>
      </c>
      <c r="C68" s="354" t="n"/>
      <c r="D68" s="354" t="n"/>
      <c r="E68" s="354" t="n"/>
      <c r="F68" s="354" t="n"/>
      <c r="G68" s="360">
        <f>SUM(G69:G72)</f>
        <v/>
      </c>
      <c r="H68" s="360">
        <f>SUM(H69:H72)</f>
        <v/>
      </c>
      <c r="I68" s="360">
        <f>SUM(I69:I72)</f>
        <v/>
      </c>
      <c r="J68" s="281" t="n"/>
      <c r="K68" s="281" t="n"/>
      <c r="L68" s="281" t="n"/>
      <c r="M68" s="281" t="n"/>
      <c r="N68" s="281" t="n"/>
      <c r="O68" s="281" t="n"/>
    </row>
    <row r="69" ht="15" customHeight="1" s="282">
      <c r="A69" s="281" t="n"/>
      <c r="B69" s="371" t="inlineStr">
        <is>
          <t>매입채무</t>
        </is>
      </c>
      <c r="C69" s="281" t="n"/>
      <c r="D69" s="281" t="n"/>
      <c r="E69" s="281" t="n"/>
      <c r="F69" s="281" t="n"/>
      <c r="G69" s="357" t="n">
        <v>200</v>
      </c>
      <c r="H69" s="357" t="n">
        <v>200</v>
      </c>
      <c r="I69" s="357" t="n">
        <v>200</v>
      </c>
      <c r="J69" s="281" t="n"/>
      <c r="K69" s="281" t="n"/>
      <c r="L69" s="281" t="n"/>
      <c r="M69" s="281" t="n"/>
      <c r="N69" s="281" t="n"/>
      <c r="O69" s="281" t="n"/>
    </row>
    <row r="70" ht="15" customHeight="1" s="282">
      <c r="A70" s="281" t="n"/>
      <c r="B70" s="371" t="inlineStr">
        <is>
          <t>미지급금</t>
        </is>
      </c>
      <c r="C70" s="281" t="n"/>
      <c r="D70" s="281" t="n"/>
      <c r="E70" s="281" t="n"/>
      <c r="F70" s="281" t="n"/>
      <c r="G70" s="374" t="n"/>
      <c r="H70" s="374" t="n"/>
      <c r="I70" s="374" t="n"/>
      <c r="J70" s="281" t="n"/>
      <c r="K70" s="281" t="n"/>
      <c r="L70" s="281" t="n"/>
      <c r="M70" s="281" t="n"/>
      <c r="N70" s="281" t="n"/>
      <c r="O70" s="281" t="n"/>
    </row>
    <row r="71" ht="15" customHeight="1" s="282">
      <c r="A71" s="281" t="n"/>
      <c r="B71" s="371" t="inlineStr">
        <is>
          <t>단기차입금</t>
        </is>
      </c>
      <c r="C71" s="281" t="n"/>
      <c r="D71" s="281" t="n"/>
      <c r="E71" s="281" t="n"/>
      <c r="F71" s="281" t="n"/>
      <c r="G71" s="346" t="n">
        <v>100</v>
      </c>
      <c r="H71" s="346" t="n">
        <v>100</v>
      </c>
      <c r="I71" s="346" t="n">
        <v>100</v>
      </c>
      <c r="J71" s="281" t="n"/>
      <c r="K71" s="281" t="n"/>
      <c r="L71" s="281" t="n"/>
      <c r="M71" s="281" t="n"/>
      <c r="N71" s="281" t="n"/>
      <c r="O71" s="281" t="n"/>
    </row>
    <row r="72" ht="15" customHeight="1" s="282">
      <c r="A72" s="281" t="n"/>
      <c r="B72" s="371" t="inlineStr">
        <is>
          <t>기타유동부채</t>
        </is>
      </c>
      <c r="C72" s="281" t="n"/>
      <c r="D72" s="281" t="n"/>
      <c r="E72" s="281" t="n"/>
      <c r="F72" s="281" t="n"/>
      <c r="G72" s="372" t="n"/>
      <c r="H72" s="372" t="n"/>
      <c r="I72" s="372" t="n"/>
      <c r="J72" s="281" t="n"/>
      <c r="K72" s="281" t="n"/>
      <c r="L72" s="281" t="n"/>
      <c r="M72" s="281" t="n"/>
      <c r="N72" s="281" t="n"/>
      <c r="O72" s="281" t="n"/>
    </row>
    <row r="73" ht="15" customHeight="1" s="282">
      <c r="A73" s="281" t="n"/>
      <c r="B73" s="370" t="inlineStr">
        <is>
          <t>비유동부채</t>
        </is>
      </c>
      <c r="C73" s="353" t="n"/>
      <c r="D73" s="353" t="n"/>
      <c r="E73" s="353" t="n"/>
      <c r="F73" s="353" t="n"/>
      <c r="G73" s="360">
        <f>SUM(G74:G77)</f>
        <v/>
      </c>
      <c r="H73" s="360">
        <f>SUM(H74:H77)</f>
        <v/>
      </c>
      <c r="I73" s="360">
        <f>SUM(I74:I77)</f>
        <v/>
      </c>
      <c r="J73" s="281" t="n"/>
      <c r="K73" s="281" t="n"/>
      <c r="L73" s="281" t="n"/>
      <c r="M73" s="281" t="n"/>
      <c r="N73" s="281" t="n"/>
      <c r="O73" s="281" t="n"/>
    </row>
    <row r="74" ht="15" customHeight="1" s="282">
      <c r="A74" s="281" t="n"/>
      <c r="B74" s="371" t="inlineStr">
        <is>
          <t>장기차입금</t>
        </is>
      </c>
      <c r="C74" s="281" t="n"/>
      <c r="D74" s="281" t="n"/>
      <c r="E74" s="281" t="n"/>
      <c r="F74" s="281" t="n"/>
      <c r="G74" s="357" t="n">
        <v>200</v>
      </c>
      <c r="H74" s="357" t="n">
        <v>200</v>
      </c>
      <c r="I74" s="357" t="n">
        <v>200</v>
      </c>
      <c r="J74" s="281" t="n"/>
      <c r="K74" s="281" t="n"/>
      <c r="L74" s="281" t="n"/>
      <c r="M74" s="281" t="n"/>
      <c r="N74" s="281" t="n"/>
      <c r="O74" s="281" t="n"/>
    </row>
    <row r="75" ht="15" customHeight="1" s="282">
      <c r="A75" s="281" t="n"/>
      <c r="B75" s="371" t="inlineStr">
        <is>
          <t>사채</t>
        </is>
      </c>
      <c r="C75" s="281" t="n"/>
      <c r="D75" s="281" t="n"/>
      <c r="E75" s="281" t="n"/>
      <c r="F75" s="281" t="n"/>
      <c r="G75" s="373" t="n"/>
      <c r="H75" s="373" t="n"/>
      <c r="I75" s="373" t="n"/>
      <c r="J75" s="281" t="n"/>
      <c r="K75" s="281" t="n"/>
      <c r="L75" s="281" t="n"/>
      <c r="M75" s="281" t="n"/>
      <c r="N75" s="281" t="n"/>
      <c r="O75" s="281" t="n"/>
    </row>
    <row r="76" ht="15" customHeight="1" s="282">
      <c r="A76" s="281" t="n"/>
      <c r="B76" s="371" t="inlineStr">
        <is>
          <t>퇴직급여충당부채</t>
        </is>
      </c>
      <c r="C76" s="281" t="n"/>
      <c r="D76" s="281" t="n"/>
      <c r="E76" s="281" t="n"/>
      <c r="F76" s="281" t="n"/>
      <c r="G76" s="374" t="n"/>
      <c r="H76" s="374" t="n"/>
      <c r="I76" s="374" t="n"/>
      <c r="J76" s="281" t="n"/>
      <c r="K76" s="281" t="n"/>
      <c r="L76" s="281" t="n"/>
      <c r="M76" s="281" t="n"/>
      <c r="N76" s="281" t="n"/>
      <c r="O76" s="281" t="n"/>
    </row>
    <row r="77" ht="15" customHeight="1" s="282">
      <c r="A77" s="281" t="n"/>
      <c r="B77" s="371" t="inlineStr">
        <is>
          <t>기타비유동부채</t>
        </is>
      </c>
      <c r="C77" s="281" t="n"/>
      <c r="D77" s="281" t="n"/>
      <c r="E77" s="281" t="n"/>
      <c r="F77" s="281" t="n"/>
      <c r="G77" s="372" t="n"/>
      <c r="H77" s="372" t="n"/>
      <c r="I77" s="372" t="n"/>
      <c r="J77" s="281" t="n"/>
      <c r="K77" s="281" t="n"/>
      <c r="L77" s="281" t="n"/>
      <c r="M77" s="281" t="n"/>
      <c r="N77" s="281" t="n"/>
      <c r="O77" s="281" t="n"/>
    </row>
    <row r="78" ht="15" customHeight="1" s="282">
      <c r="A78" s="281" t="n"/>
      <c r="B78" s="370" t="inlineStr">
        <is>
          <t>총부채</t>
        </is>
      </c>
      <c r="C78" s="353" t="n"/>
      <c r="D78" s="353" t="n"/>
      <c r="E78" s="353" t="n"/>
      <c r="F78" s="353" t="n"/>
      <c r="G78" s="375">
        <f>+G68+G73</f>
        <v/>
      </c>
      <c r="H78" s="375">
        <f>+H68+H73</f>
        <v/>
      </c>
      <c r="I78" s="375">
        <f>+I68+I73</f>
        <v/>
      </c>
      <c r="J78" s="281" t="n"/>
      <c r="K78" s="281" t="n"/>
      <c r="L78" s="281" t="n"/>
      <c r="M78" s="281" t="n"/>
      <c r="N78" s="281" t="n"/>
      <c r="O78" s="281" t="n"/>
    </row>
    <row r="79" ht="15" customHeight="1" s="282">
      <c r="A79" s="281" t="n"/>
      <c r="B79" s="370" t="inlineStr">
        <is>
          <t>순자산</t>
        </is>
      </c>
      <c r="C79" s="353" t="n"/>
      <c r="D79" s="353" t="n"/>
      <c r="E79" s="353" t="n"/>
      <c r="F79" s="353" t="n"/>
      <c r="G79" s="375">
        <f>G67-G78</f>
        <v/>
      </c>
      <c r="H79" s="375">
        <f>H67-H78</f>
        <v/>
      </c>
      <c r="I79" s="375">
        <f>I67-I78</f>
        <v/>
      </c>
      <c r="J79" s="281" t="n"/>
      <c r="K79" s="281" t="n"/>
      <c r="L79" s="281" t="n"/>
      <c r="M79" s="281" t="n"/>
      <c r="N79" s="281" t="n"/>
      <c r="O79" s="281" t="n"/>
    </row>
    <row r="80" ht="12.75" customHeight="1" s="282">
      <c r="A80" s="281" t="n"/>
      <c r="B80" s="281" t="n"/>
      <c r="C80" s="281" t="n"/>
      <c r="D80" s="281" t="n"/>
      <c r="E80" s="281" t="n"/>
      <c r="F80" s="281" t="n"/>
      <c r="G80" s="281" t="n"/>
      <c r="H80" s="281" t="n"/>
      <c r="I80" s="281" t="n"/>
      <c r="J80" s="281" t="n"/>
      <c r="K80" s="281" t="n"/>
      <c r="L80" s="281" t="n"/>
      <c r="M80" s="281" t="n"/>
      <c r="N80" s="281" t="n"/>
      <c r="O80" s="281" t="n"/>
    </row>
    <row r="81" outlineLevel="1" ht="12.75" customHeight="1" s="282">
      <c r="A81" s="281" t="n"/>
      <c r="B81" s="325" t="inlineStr">
        <is>
          <t>3. Revenue Assumptions</t>
        </is>
      </c>
      <c r="C81" s="325" t="n"/>
      <c r="D81" s="333" t="n"/>
      <c r="E81" s="325" t="n"/>
      <c r="F81" s="325" t="n"/>
      <c r="G81" s="325" t="n"/>
      <c r="H81" s="325" t="n"/>
      <c r="I81" s="325" t="n"/>
      <c r="J81" s="325" t="n"/>
      <c r="K81" s="325" t="n"/>
      <c r="L81" s="325" t="n"/>
      <c r="M81" s="325" t="n"/>
      <c r="N81" s="325" t="n"/>
      <c r="O81" s="325" t="n"/>
    </row>
    <row r="82" outlineLevel="1" ht="12.75" customHeight="1" s="282">
      <c r="A82" s="281" t="n"/>
      <c r="B82" s="281" t="n"/>
      <c r="C82" s="281" t="n"/>
      <c r="D82" s="281" t="n"/>
      <c r="E82" s="281" t="n"/>
      <c r="F82" s="281" t="n"/>
      <c r="G82" s="281" t="n"/>
      <c r="H82" s="281" t="n"/>
      <c r="I82" s="281" t="n"/>
      <c r="J82" s="281" t="n"/>
      <c r="K82" s="281" t="n"/>
      <c r="L82" s="281" t="n"/>
      <c r="M82" s="281" t="n"/>
      <c r="N82" s="281" t="n"/>
      <c r="O82" s="281" t="n"/>
    </row>
    <row r="83" outlineLevel="1" ht="12.75" customHeight="1" s="282">
      <c r="A83" s="281" t="n"/>
      <c r="B83" s="377" t="n"/>
      <c r="C83" s="378" t="n"/>
      <c r="D83" s="378" t="n"/>
      <c r="E83" s="378" t="n"/>
      <c r="F83" s="378" t="n"/>
      <c r="G83" s="378" t="n"/>
      <c r="H83" s="378" t="n"/>
      <c r="I83" s="378" t="n"/>
      <c r="J83" s="378" t="n"/>
      <c r="K83" s="378" t="n"/>
      <c r="L83" s="378" t="n"/>
      <c r="M83" s="378" t="n"/>
      <c r="N83" s="378" t="n"/>
      <c r="O83" s="281" t="n"/>
    </row>
    <row r="84" outlineLevel="1" ht="12.75" customHeight="1" s="282">
      <c r="A84" s="281" t="n"/>
      <c r="B84" s="336" t="inlineStr">
        <is>
          <t>[Revenue breakdown] - #1</t>
        </is>
      </c>
      <c r="C84" s="281" t="n"/>
      <c r="D84" s="281" t="n"/>
      <c r="E84" s="281" t="n"/>
      <c r="F84" s="281" t="n"/>
      <c r="G84" s="281" t="n"/>
      <c r="H84" s="281" t="n"/>
      <c r="I84" s="281" t="n"/>
      <c r="J84" s="281" t="n"/>
      <c r="K84" s="281" t="n"/>
      <c r="L84" s="281" t="n"/>
      <c r="M84" s="281" t="n"/>
      <c r="N84" s="281" t="n"/>
      <c r="O84" s="281" t="n"/>
    </row>
    <row r="85" outlineLevel="1" ht="15" customHeight="1" s="282">
      <c r="A85" s="281" t="n"/>
      <c r="B85" s="334" t="inlineStr">
        <is>
          <t>Price</t>
        </is>
      </c>
      <c r="C85" s="281" t="n"/>
      <c r="D85" s="281" t="n"/>
      <c r="E85" s="379" t="n">
        <v>30000</v>
      </c>
      <c r="F85" s="347" t="inlineStr">
        <is>
          <t>KRW/kg</t>
        </is>
      </c>
      <c r="G85" s="281" t="n"/>
      <c r="H85" s="281" t="n"/>
      <c r="I85" s="281" t="n"/>
      <c r="J85" s="346">
        <f>$E85</f>
        <v/>
      </c>
      <c r="K85" s="346">
        <f>$E85</f>
        <v/>
      </c>
      <c r="L85" s="380">
        <f>$E85</f>
        <v/>
      </c>
      <c r="M85" s="380">
        <f>$E85</f>
        <v/>
      </c>
      <c r="N85" s="380">
        <f>$E85</f>
        <v/>
      </c>
      <c r="O85" s="381" t="n"/>
    </row>
    <row r="86" outlineLevel="1" ht="15" customHeight="1" s="282">
      <c r="A86" s="281" t="n"/>
      <c r="B86" s="335" t="inlineStr">
        <is>
          <t>Quantity</t>
        </is>
      </c>
      <c r="C86" s="281" t="n"/>
      <c r="D86" s="281" t="n"/>
      <c r="E86" s="379" t="n">
        <v>30000</v>
      </c>
      <c r="F86" s="347" t="inlineStr">
        <is>
          <t>kg</t>
        </is>
      </c>
      <c r="G86" s="281" t="n"/>
      <c r="H86" s="281" t="n"/>
      <c r="I86" s="281" t="n"/>
      <c r="J86" s="346">
        <f>$E$86</f>
        <v/>
      </c>
      <c r="K86" s="380">
        <f>J86</f>
        <v/>
      </c>
      <c r="L86" s="380">
        <f>K86</f>
        <v/>
      </c>
      <c r="M86" s="380">
        <f>L86</f>
        <v/>
      </c>
      <c r="N86" s="380">
        <f>M86</f>
        <v/>
      </c>
      <c r="O86" s="381" t="n"/>
    </row>
    <row r="87" outlineLevel="1" ht="12.75" customHeight="1" s="282">
      <c r="A87" s="281" t="n"/>
      <c r="B87" s="354" t="n"/>
      <c r="C87" s="354" t="n"/>
      <c r="D87" s="354" t="n"/>
      <c r="E87" s="354" t="n"/>
      <c r="F87" s="354" t="n"/>
      <c r="G87" s="354" t="n"/>
      <c r="H87" s="354" t="n"/>
      <c r="I87" s="354" t="n"/>
      <c r="J87" s="354" t="n"/>
      <c r="K87" s="354" t="n"/>
      <c r="L87" s="354" t="n"/>
      <c r="M87" s="354" t="n"/>
      <c r="N87" s="354" t="n"/>
      <c r="O87" s="281" t="n"/>
    </row>
    <row r="88" outlineLevel="1" ht="12.75" customHeight="1" s="282">
      <c r="A88" s="281" t="n"/>
      <c r="B88" s="281" t="n"/>
      <c r="C88" s="281" t="n"/>
      <c r="D88" s="281" t="n"/>
      <c r="E88" s="281" t="n"/>
      <c r="F88" s="281" t="n"/>
      <c r="G88" s="281" t="n"/>
      <c r="H88" s="281" t="n"/>
      <c r="I88" s="281" t="n"/>
      <c r="J88" s="281" t="n"/>
      <c r="K88" s="281" t="n"/>
      <c r="L88" s="281" t="n"/>
      <c r="M88" s="281" t="n"/>
      <c r="N88" s="281" t="n"/>
      <c r="O88" s="281" t="n"/>
    </row>
    <row r="89" outlineLevel="1" ht="12.75" customHeight="1" s="282">
      <c r="A89" s="281" t="n"/>
      <c r="B89" s="377" t="n"/>
      <c r="C89" s="378" t="n"/>
      <c r="D89" s="378" t="n"/>
      <c r="E89" s="378" t="n"/>
      <c r="F89" s="378" t="n"/>
      <c r="G89" s="378" t="n"/>
      <c r="H89" s="378" t="n"/>
      <c r="I89" s="378" t="n"/>
      <c r="J89" s="378" t="n"/>
      <c r="K89" s="378" t="n"/>
      <c r="L89" s="378" t="n"/>
      <c r="M89" s="378" t="n"/>
      <c r="N89" s="378" t="n"/>
      <c r="O89" s="281" t="n"/>
    </row>
    <row r="90" outlineLevel="1" ht="12.75" customHeight="1" s="282">
      <c r="A90" s="281" t="n"/>
      <c r="B90" s="336" t="inlineStr">
        <is>
          <t>[Revenue breakdown] - #2</t>
        </is>
      </c>
      <c r="C90" s="281" t="n"/>
      <c r="D90" s="281" t="n"/>
      <c r="E90" s="281" t="n"/>
      <c r="F90" s="281" t="n"/>
      <c r="G90" s="281" t="n"/>
      <c r="H90" s="281" t="n"/>
      <c r="I90" s="281" t="n"/>
      <c r="J90" s="281" t="n"/>
      <c r="K90" s="281" t="n"/>
      <c r="L90" s="281" t="n"/>
      <c r="M90" s="281" t="n"/>
      <c r="N90" s="281" t="n"/>
      <c r="O90" s="281" t="n"/>
    </row>
    <row r="91" outlineLevel="1" ht="15" customHeight="1" s="282">
      <c r="A91" s="281" t="n"/>
      <c r="B91" s="334" t="inlineStr">
        <is>
          <t>Price</t>
        </is>
      </c>
      <c r="C91" s="281" t="n"/>
      <c r="D91" s="281" t="n"/>
      <c r="E91" s="379" t="n">
        <v>20000</v>
      </c>
      <c r="F91" s="347" t="inlineStr">
        <is>
          <t>KRW/kg</t>
        </is>
      </c>
      <c r="G91" s="281" t="n"/>
      <c r="H91" s="281" t="n"/>
      <c r="I91" s="281" t="n"/>
      <c r="J91" s="346">
        <f>$E91</f>
        <v/>
      </c>
      <c r="K91" s="346">
        <f>$E91</f>
        <v/>
      </c>
      <c r="L91" s="380">
        <f>$E91</f>
        <v/>
      </c>
      <c r="M91" s="380">
        <f>$E91</f>
        <v/>
      </c>
      <c r="N91" s="380">
        <f>$E91</f>
        <v/>
      </c>
      <c r="O91" s="381" t="n"/>
    </row>
    <row r="92" outlineLevel="1" ht="15" customHeight="1" s="282">
      <c r="A92" s="281" t="n"/>
      <c r="B92" s="335" t="inlineStr">
        <is>
          <t>Quantity</t>
        </is>
      </c>
      <c r="C92" s="281" t="n"/>
      <c r="D92" s="281" t="n"/>
      <c r="E92" s="379" t="n">
        <v>20000</v>
      </c>
      <c r="F92" s="347" t="inlineStr">
        <is>
          <t>kg</t>
        </is>
      </c>
      <c r="G92" s="281" t="n"/>
      <c r="H92" s="281" t="n"/>
      <c r="I92" s="281" t="n"/>
      <c r="J92" s="346">
        <f>$E$92</f>
        <v/>
      </c>
      <c r="K92" s="380">
        <f>J92</f>
        <v/>
      </c>
      <c r="L92" s="380">
        <f>K92</f>
        <v/>
      </c>
      <c r="M92" s="380">
        <f>L92</f>
        <v/>
      </c>
      <c r="N92" s="380">
        <f>M92</f>
        <v/>
      </c>
      <c r="O92" s="381" t="n"/>
    </row>
    <row r="93" outlineLevel="1" ht="12.75" customHeight="1" s="282">
      <c r="A93" s="281" t="n"/>
      <c r="B93" s="354" t="n"/>
      <c r="C93" s="354" t="n"/>
      <c r="D93" s="354" t="n"/>
      <c r="E93" s="354" t="n"/>
      <c r="F93" s="354" t="n"/>
      <c r="G93" s="354" t="n"/>
      <c r="H93" s="354" t="n"/>
      <c r="I93" s="354" t="n"/>
      <c r="J93" s="354" t="n"/>
      <c r="K93" s="354" t="n"/>
      <c r="L93" s="354" t="n"/>
      <c r="M93" s="354" t="n"/>
      <c r="N93" s="354" t="n"/>
      <c r="O93" s="281" t="n"/>
    </row>
    <row r="94" outlineLevel="1" ht="12.75" customHeight="1" s="282">
      <c r="A94" s="281" t="n"/>
      <c r="B94" s="281" t="n"/>
      <c r="C94" s="281" t="n"/>
      <c r="D94" s="281" t="n"/>
      <c r="E94" s="281" t="n"/>
      <c r="F94" s="281" t="n"/>
      <c r="G94" s="281" t="n"/>
      <c r="H94" s="281" t="n"/>
      <c r="I94" s="281" t="n"/>
      <c r="J94" s="281" t="n"/>
      <c r="K94" s="281" t="n"/>
      <c r="L94" s="281" t="n"/>
      <c r="M94" s="281" t="n"/>
      <c r="N94" s="281" t="n"/>
      <c r="O94" s="281" t="n"/>
    </row>
    <row r="95" outlineLevel="1" ht="12.75" customHeight="1" s="282">
      <c r="A95" s="281" t="n"/>
      <c r="B95" s="377" t="n"/>
      <c r="C95" s="378" t="n"/>
      <c r="D95" s="378" t="n"/>
      <c r="E95" s="378" t="n"/>
      <c r="F95" s="378" t="n"/>
      <c r="G95" s="378" t="n"/>
      <c r="H95" s="378" t="n"/>
      <c r="I95" s="378" t="n"/>
      <c r="J95" s="378" t="n"/>
      <c r="K95" s="378" t="n"/>
      <c r="L95" s="378" t="n"/>
      <c r="M95" s="378" t="n"/>
      <c r="N95" s="378" t="n"/>
      <c r="O95" s="281" t="n"/>
    </row>
    <row r="96" outlineLevel="1" ht="12.75" customHeight="1" s="282">
      <c r="A96" s="281" t="n"/>
      <c r="B96" s="336" t="inlineStr">
        <is>
          <t>[Revenue breakdown] - #3</t>
        </is>
      </c>
      <c r="C96" s="281" t="n"/>
      <c r="D96" s="281" t="n"/>
      <c r="E96" s="281" t="n"/>
      <c r="F96" s="281" t="n"/>
      <c r="G96" s="281" t="n"/>
      <c r="H96" s="281" t="n"/>
      <c r="I96" s="281" t="n"/>
      <c r="J96" s="281" t="n"/>
      <c r="K96" s="281" t="n"/>
      <c r="L96" s="281" t="n"/>
      <c r="M96" s="281" t="n"/>
      <c r="N96" s="281" t="n"/>
      <c r="O96" s="281" t="n"/>
    </row>
    <row r="97" outlineLevel="1" ht="15" customHeight="1" s="282">
      <c r="A97" s="281" t="n"/>
      <c r="B97" s="334" t="inlineStr">
        <is>
          <t>Price</t>
        </is>
      </c>
      <c r="C97" s="281" t="n"/>
      <c r="D97" s="281" t="n"/>
      <c r="E97" s="379" t="n">
        <v>30000</v>
      </c>
      <c r="F97" s="347" t="inlineStr">
        <is>
          <t>KRW/kg</t>
        </is>
      </c>
      <c r="G97" s="281" t="n"/>
      <c r="H97" s="281" t="n"/>
      <c r="I97" s="281" t="n"/>
      <c r="J97" s="346">
        <f>$E97</f>
        <v/>
      </c>
      <c r="K97" s="346">
        <f>$E97</f>
        <v/>
      </c>
      <c r="L97" s="380">
        <f>$E97</f>
        <v/>
      </c>
      <c r="M97" s="380">
        <f>$E97</f>
        <v/>
      </c>
      <c r="N97" s="380">
        <f>$E97</f>
        <v/>
      </c>
      <c r="O97" s="381" t="n"/>
    </row>
    <row r="98" outlineLevel="1" ht="15" customHeight="1" s="282">
      <c r="A98" s="281" t="n"/>
      <c r="B98" s="335" t="inlineStr">
        <is>
          <t>Quantity</t>
        </is>
      </c>
      <c r="C98" s="281" t="n"/>
      <c r="D98" s="281" t="n"/>
      <c r="E98" s="379" t="n">
        <v>0</v>
      </c>
      <c r="F98" s="347" t="inlineStr">
        <is>
          <t>kg</t>
        </is>
      </c>
      <c r="G98" s="281" t="n"/>
      <c r="H98" s="281" t="n"/>
      <c r="I98" s="281" t="n"/>
      <c r="J98" s="346">
        <f>$E$98</f>
        <v/>
      </c>
      <c r="K98" s="380">
        <f>J98</f>
        <v/>
      </c>
      <c r="L98" s="380">
        <f>K98</f>
        <v/>
      </c>
      <c r="M98" s="380">
        <f>L98</f>
        <v/>
      </c>
      <c r="N98" s="380">
        <f>M98</f>
        <v/>
      </c>
      <c r="O98" s="381" t="n"/>
    </row>
    <row r="99" outlineLevel="1" ht="12.75" customHeight="1" s="282">
      <c r="A99" s="281" t="n"/>
      <c r="B99" s="354" t="n"/>
      <c r="C99" s="354" t="n"/>
      <c r="D99" s="354" t="n"/>
      <c r="E99" s="354" t="n"/>
      <c r="F99" s="354" t="n"/>
      <c r="G99" s="354" t="n"/>
      <c r="H99" s="354" t="n"/>
      <c r="I99" s="354" t="n"/>
      <c r="J99" s="354" t="n"/>
      <c r="K99" s="354" t="n"/>
      <c r="L99" s="354" t="n"/>
      <c r="M99" s="354" t="n"/>
      <c r="N99" s="354" t="n"/>
      <c r="O99" s="281" t="n"/>
    </row>
    <row r="100" outlineLevel="1" ht="12.75" customHeight="1" s="282">
      <c r="A100" s="281" t="n"/>
      <c r="B100" s="281" t="n"/>
      <c r="C100" s="281" t="n"/>
      <c r="D100" s="281" t="n"/>
      <c r="E100" s="281" t="n"/>
      <c r="F100" s="281" t="n"/>
      <c r="G100" s="281" t="n"/>
      <c r="H100" s="281" t="n"/>
      <c r="I100" s="281" t="n"/>
      <c r="J100" s="281" t="n"/>
      <c r="K100" s="281" t="n"/>
      <c r="L100" s="281" t="n"/>
      <c r="M100" s="281" t="n"/>
      <c r="N100" s="281" t="n"/>
      <c r="O100" s="281" t="n"/>
    </row>
    <row r="101" outlineLevel="1" ht="12.75" customHeight="1" s="282">
      <c r="A101" s="281" t="n"/>
      <c r="B101" s="377" t="n"/>
      <c r="C101" s="378" t="n"/>
      <c r="D101" s="378" t="n"/>
      <c r="E101" s="378" t="n"/>
      <c r="F101" s="378" t="n"/>
      <c r="G101" s="378" t="n"/>
      <c r="H101" s="378" t="n"/>
      <c r="I101" s="378" t="n"/>
      <c r="J101" s="378" t="n"/>
      <c r="K101" s="378" t="n"/>
      <c r="L101" s="378" t="n"/>
      <c r="M101" s="378" t="n"/>
      <c r="N101" s="378" t="n"/>
      <c r="O101" s="281" t="n"/>
    </row>
    <row r="102" outlineLevel="1" ht="12.75" customHeight="1" s="282">
      <c r="A102" s="281" t="n"/>
      <c r="B102" s="336" t="inlineStr">
        <is>
          <t>[Revenue breakdown] - #4</t>
        </is>
      </c>
      <c r="C102" s="281" t="n"/>
      <c r="D102" s="281" t="n"/>
      <c r="E102" s="281" t="n"/>
      <c r="F102" s="281" t="n"/>
      <c r="G102" s="281" t="n"/>
      <c r="H102" s="281" t="n"/>
      <c r="I102" s="281" t="n"/>
      <c r="J102" s="281" t="n"/>
      <c r="K102" s="281" t="n"/>
      <c r="L102" s="281" t="n"/>
      <c r="M102" s="281" t="n"/>
      <c r="N102" s="281" t="n"/>
      <c r="O102" s="281" t="n"/>
    </row>
    <row r="103" outlineLevel="1" ht="15" customHeight="1" s="282">
      <c r="A103" s="281" t="n"/>
      <c r="B103" s="334" t="inlineStr">
        <is>
          <t>Price</t>
        </is>
      </c>
      <c r="C103" s="281" t="n"/>
      <c r="D103" s="281" t="n"/>
      <c r="E103" s="379" t="n">
        <v>40000</v>
      </c>
      <c r="F103" s="347" t="inlineStr">
        <is>
          <t>KRW/kg</t>
        </is>
      </c>
      <c r="G103" s="281" t="n"/>
      <c r="H103" s="281" t="n"/>
      <c r="I103" s="281" t="n"/>
      <c r="J103" s="346">
        <f>$E103</f>
        <v/>
      </c>
      <c r="K103" s="346">
        <f>$E103</f>
        <v/>
      </c>
      <c r="L103" s="380">
        <f>$E103</f>
        <v/>
      </c>
      <c r="M103" s="380">
        <f>$E103</f>
        <v/>
      </c>
      <c r="N103" s="380">
        <f>$E103</f>
        <v/>
      </c>
      <c r="O103" s="381" t="n"/>
    </row>
    <row r="104" outlineLevel="1" ht="15" customHeight="1" s="282">
      <c r="A104" s="281" t="n"/>
      <c r="B104" s="335" t="inlineStr">
        <is>
          <t>Quantity</t>
        </is>
      </c>
      <c r="C104" s="281" t="n"/>
      <c r="D104" s="281" t="n"/>
      <c r="E104" s="379" t="n">
        <v>20000</v>
      </c>
      <c r="F104" s="347" t="inlineStr">
        <is>
          <t>kg</t>
        </is>
      </c>
      <c r="G104" s="281" t="n"/>
      <c r="H104" s="281" t="n"/>
      <c r="I104" s="281" t="n"/>
      <c r="J104" s="346">
        <f>$E$104</f>
        <v/>
      </c>
      <c r="K104" s="380">
        <f>J104</f>
        <v/>
      </c>
      <c r="L104" s="380">
        <f>K104</f>
        <v/>
      </c>
      <c r="M104" s="380">
        <f>L104</f>
        <v/>
      </c>
      <c r="N104" s="380">
        <f>M104</f>
        <v/>
      </c>
      <c r="O104" s="381" t="n"/>
    </row>
    <row r="105" outlineLevel="1" ht="12.75" customHeight="1" s="282">
      <c r="A105" s="281" t="n"/>
      <c r="B105" s="354" t="n"/>
      <c r="C105" s="354" t="n"/>
      <c r="D105" s="354" t="n"/>
      <c r="E105" s="354" t="n"/>
      <c r="F105" s="354" t="n"/>
      <c r="G105" s="354" t="n"/>
      <c r="H105" s="354" t="n"/>
      <c r="I105" s="354" t="n"/>
      <c r="J105" s="354" t="n"/>
      <c r="K105" s="354" t="n"/>
      <c r="L105" s="354" t="n"/>
      <c r="M105" s="354" t="n"/>
      <c r="N105" s="354" t="n"/>
      <c r="O105" s="281" t="n"/>
    </row>
    <row r="106" outlineLevel="1" ht="12.75" customHeight="1" s="282">
      <c r="A106" s="281" t="n"/>
      <c r="B106" s="281" t="n"/>
      <c r="C106" s="281" t="n"/>
      <c r="D106" s="281" t="n"/>
      <c r="E106" s="281" t="n"/>
      <c r="F106" s="281" t="n"/>
      <c r="G106" s="281" t="n"/>
      <c r="H106" s="281" t="n"/>
      <c r="I106" s="281" t="n"/>
      <c r="J106" s="281" t="n"/>
      <c r="K106" s="281" t="n"/>
      <c r="L106" s="281" t="n"/>
      <c r="M106" s="281" t="n"/>
      <c r="N106" s="281" t="n"/>
      <c r="O106" s="281" t="n"/>
    </row>
    <row r="107" outlineLevel="1" ht="12.75" customHeight="1" s="282">
      <c r="A107" s="281" t="n"/>
      <c r="B107" s="377" t="n"/>
      <c r="C107" s="378" t="n"/>
      <c r="D107" s="378" t="n"/>
      <c r="E107" s="378" t="n"/>
      <c r="F107" s="378" t="n"/>
      <c r="G107" s="378" t="n"/>
      <c r="H107" s="378" t="n"/>
      <c r="I107" s="378" t="n"/>
      <c r="J107" s="378" t="n"/>
      <c r="K107" s="378" t="n"/>
      <c r="L107" s="378" t="n"/>
      <c r="M107" s="378" t="n"/>
      <c r="N107" s="378" t="n"/>
      <c r="O107" s="281" t="n"/>
    </row>
    <row r="108" outlineLevel="1" ht="12.75" customHeight="1" s="282">
      <c r="A108" s="281" t="n"/>
      <c r="B108" s="336" t="inlineStr">
        <is>
          <t>[Revenue breakdown] - #5</t>
        </is>
      </c>
      <c r="C108" s="281" t="n"/>
      <c r="D108" s="281" t="n"/>
      <c r="E108" s="281" t="n"/>
      <c r="F108" s="281" t="n"/>
      <c r="G108" s="281" t="n"/>
      <c r="H108" s="281" t="n"/>
      <c r="I108" s="281" t="n"/>
      <c r="J108" s="281" t="n"/>
      <c r="K108" s="281" t="n"/>
      <c r="L108" s="281" t="n"/>
      <c r="M108" s="281" t="n"/>
      <c r="N108" s="281" t="n"/>
      <c r="O108" s="281" t="n"/>
    </row>
    <row r="109" outlineLevel="1" ht="15" customHeight="1" s="282">
      <c r="A109" s="281" t="n"/>
      <c r="B109" s="334" t="inlineStr">
        <is>
          <t>Price</t>
        </is>
      </c>
      <c r="C109" s="281" t="n"/>
      <c r="D109" s="281" t="n"/>
      <c r="E109" s="379" t="n">
        <v>50000</v>
      </c>
      <c r="F109" s="347" t="inlineStr">
        <is>
          <t>KRW/kg</t>
        </is>
      </c>
      <c r="G109" s="281" t="n"/>
      <c r="H109" s="281" t="n"/>
      <c r="I109" s="281" t="n"/>
      <c r="J109" s="346">
        <f>$E109</f>
        <v/>
      </c>
      <c r="K109" s="346">
        <f>$E109</f>
        <v/>
      </c>
      <c r="L109" s="380">
        <f>$E109</f>
        <v/>
      </c>
      <c r="M109" s="380">
        <f>$E109</f>
        <v/>
      </c>
      <c r="N109" s="380">
        <f>$E109</f>
        <v/>
      </c>
      <c r="O109" s="381" t="n"/>
    </row>
    <row r="110" outlineLevel="1" ht="15" customHeight="1" s="282">
      <c r="A110" s="281" t="n"/>
      <c r="B110" s="335" t="inlineStr">
        <is>
          <t>Quantity</t>
        </is>
      </c>
      <c r="C110" s="281" t="n"/>
      <c r="D110" s="281" t="n"/>
      <c r="E110" s="379" t="n">
        <v>0</v>
      </c>
      <c r="F110" s="347" t="inlineStr">
        <is>
          <t>kg</t>
        </is>
      </c>
      <c r="G110" s="281" t="n"/>
      <c r="H110" s="281" t="n"/>
      <c r="I110" s="281" t="n"/>
      <c r="J110" s="346">
        <f>$E$110</f>
        <v/>
      </c>
      <c r="K110" s="380">
        <f>J110</f>
        <v/>
      </c>
      <c r="L110" s="380">
        <f>K110</f>
        <v/>
      </c>
      <c r="M110" s="380">
        <f>L110</f>
        <v/>
      </c>
      <c r="N110" s="380">
        <f>M110</f>
        <v/>
      </c>
      <c r="O110" s="381" t="n"/>
    </row>
    <row r="111" outlineLevel="1" ht="12.75" customHeight="1" s="282">
      <c r="A111" s="281" t="n"/>
      <c r="B111" s="354" t="n"/>
      <c r="C111" s="354" t="n"/>
      <c r="D111" s="354" t="n"/>
      <c r="E111" s="354" t="n"/>
      <c r="F111" s="354" t="n"/>
      <c r="G111" s="354" t="n"/>
      <c r="H111" s="354" t="n"/>
      <c r="I111" s="354" t="n"/>
      <c r="J111" s="354" t="n"/>
      <c r="K111" s="354" t="n"/>
      <c r="L111" s="354" t="n"/>
      <c r="M111" s="354" t="n"/>
      <c r="N111" s="354" t="n"/>
      <c r="O111" s="281" t="n"/>
    </row>
    <row r="112" outlineLevel="1" ht="12.75" customHeight="1" s="282">
      <c r="A112" s="281" t="n"/>
      <c r="B112" s="281" t="n"/>
      <c r="C112" s="281" t="n"/>
      <c r="D112" s="281" t="n"/>
      <c r="E112" s="281" t="n"/>
      <c r="F112" s="281" t="n"/>
      <c r="G112" s="281" t="n"/>
      <c r="H112" s="281" t="n"/>
      <c r="I112" s="281" t="n"/>
      <c r="J112" s="281" t="n"/>
      <c r="K112" s="281" t="n"/>
      <c r="L112" s="281" t="n"/>
      <c r="M112" s="281" t="n"/>
      <c r="N112" s="281" t="n"/>
      <c r="O112" s="281" t="n"/>
    </row>
    <row r="113" outlineLevel="1" ht="12.75" customHeight="1" s="282">
      <c r="A113" s="281" t="n"/>
      <c r="B113" s="377" t="n"/>
      <c r="C113" s="378" t="n"/>
      <c r="D113" s="378" t="n"/>
      <c r="E113" s="378" t="n"/>
      <c r="F113" s="378" t="n"/>
      <c r="G113" s="378" t="n"/>
      <c r="H113" s="378" t="n"/>
      <c r="I113" s="378" t="n"/>
      <c r="J113" s="378" t="n"/>
      <c r="K113" s="378" t="n"/>
      <c r="L113" s="378" t="n"/>
      <c r="M113" s="378" t="n"/>
      <c r="N113" s="378" t="n"/>
      <c r="O113" s="281" t="n"/>
    </row>
    <row r="114" outlineLevel="1" ht="12.75" customHeight="1" s="282">
      <c r="A114" s="281" t="n"/>
      <c r="B114" s="281" t="n"/>
      <c r="C114" s="281" t="n"/>
      <c r="D114" s="281" t="n"/>
      <c r="E114" s="281" t="n"/>
      <c r="F114" s="281" t="n"/>
      <c r="G114" s="281" t="n"/>
      <c r="H114" s="281" t="n"/>
      <c r="I114" s="281" t="n"/>
      <c r="J114" s="281" t="n"/>
      <c r="K114" s="281" t="n"/>
      <c r="L114" s="281" t="n"/>
      <c r="M114" s="281" t="n"/>
      <c r="N114" s="281" t="n"/>
      <c r="O114" s="281" t="n"/>
    </row>
    <row r="115" outlineLevel="1" ht="12.75" customHeight="1" s="282">
      <c r="A115" s="281" t="n"/>
      <c r="B115" s="325" t="inlineStr">
        <is>
          <t>4. COGS Assumptions</t>
        </is>
      </c>
      <c r="C115" s="325" t="n"/>
      <c r="D115" s="333" t="n"/>
      <c r="E115" s="325" t="n"/>
      <c r="F115" s="325" t="n"/>
      <c r="G115" s="325" t="n"/>
      <c r="H115" s="325" t="n"/>
      <c r="I115" s="325" t="n"/>
      <c r="J115" s="325" t="n"/>
      <c r="K115" s="325" t="n"/>
      <c r="L115" s="325" t="n"/>
      <c r="M115" s="325" t="n"/>
      <c r="N115" s="325" t="n"/>
      <c r="O115" s="325" t="n"/>
    </row>
    <row r="116" outlineLevel="1" ht="12.75" customHeight="1" s="282">
      <c r="A116" s="281" t="n"/>
      <c r="B116" s="281" t="n"/>
      <c r="C116" s="281" t="n"/>
      <c r="D116" s="281" t="n"/>
      <c r="E116" s="281" t="n"/>
      <c r="F116" s="281" t="n"/>
      <c r="G116" s="281" t="n"/>
      <c r="H116" s="281" t="n"/>
      <c r="I116" s="281" t="n"/>
      <c r="J116" s="281" t="n"/>
      <c r="K116" s="281" t="n"/>
      <c r="L116" s="281" t="n"/>
      <c r="M116" s="281" t="n"/>
      <c r="N116" s="281" t="n"/>
      <c r="O116" s="281" t="n"/>
    </row>
    <row r="117" outlineLevel="1" ht="12.75" customHeight="1" s="282">
      <c r="A117" s="281" t="n"/>
      <c r="B117" s="382" t="n"/>
      <c r="C117" s="382" t="n"/>
      <c r="D117" s="382" t="n"/>
      <c r="E117" s="382" t="n"/>
      <c r="F117" s="382" t="n"/>
      <c r="G117" s="382" t="n"/>
      <c r="H117" s="382" t="n"/>
      <c r="I117" s="382" t="n"/>
      <c r="J117" s="382" t="n"/>
      <c r="K117" s="382" t="n"/>
      <c r="L117" s="382" t="n"/>
      <c r="M117" s="382" t="n"/>
      <c r="N117" s="382" t="n"/>
      <c r="O117" s="383" t="n"/>
    </row>
    <row r="118" outlineLevel="1" ht="12.75" customHeight="1" s="282">
      <c r="A118" s="281" t="n"/>
      <c r="B118" s="336" t="inlineStr">
        <is>
          <t>[COGS breakdown] - 재료비 (P*Q)</t>
        </is>
      </c>
      <c r="C118" s="383" t="n"/>
      <c r="D118" s="383" t="n"/>
      <c r="E118" s="383" t="n"/>
      <c r="F118" s="383" t="n"/>
      <c r="G118" s="383" t="n"/>
      <c r="H118" s="383" t="n"/>
      <c r="I118" s="383" t="n"/>
      <c r="J118" s="383" t="n"/>
      <c r="K118" s="383" t="n"/>
      <c r="L118" s="383" t="n"/>
      <c r="M118" s="383" t="n"/>
      <c r="N118" s="383" t="n"/>
      <c r="O118" s="383" t="n"/>
    </row>
    <row r="119" outlineLevel="1" ht="15" customHeight="1" s="282">
      <c r="A119" s="281" t="n"/>
      <c r="B119" s="335" t="inlineStr">
        <is>
          <t>Price</t>
        </is>
      </c>
      <c r="C119" s="281" t="n"/>
      <c r="D119" s="281" t="n"/>
      <c r="E119" s="379" t="n">
        <v>20000</v>
      </c>
      <c r="F119" s="347" t="inlineStr">
        <is>
          <t>KRW/kg</t>
        </is>
      </c>
      <c r="G119" s="281" t="n"/>
      <c r="H119" s="281" t="n"/>
      <c r="I119" s="281" t="n"/>
      <c r="J119" s="346">
        <f>E119</f>
        <v/>
      </c>
      <c r="K119" s="380">
        <f>J119</f>
        <v/>
      </c>
      <c r="L119" s="380">
        <f>K119</f>
        <v/>
      </c>
      <c r="M119" s="380">
        <f>L119</f>
        <v/>
      </c>
      <c r="N119" s="380">
        <f>M119</f>
        <v/>
      </c>
      <c r="O119" s="381" t="n"/>
    </row>
    <row r="120" outlineLevel="1" ht="15" customHeight="1" s="282">
      <c r="A120" s="281" t="n"/>
      <c r="B120" s="335" t="inlineStr">
        <is>
          <t>Quantity</t>
        </is>
      </c>
      <c r="C120" s="281" t="n"/>
      <c r="D120" s="281" t="n"/>
      <c r="E120" s="379" t="n">
        <v>20000</v>
      </c>
      <c r="F120" s="347" t="inlineStr">
        <is>
          <t>kg</t>
        </is>
      </c>
      <c r="G120" s="281" t="n"/>
      <c r="H120" s="281" t="n"/>
      <c r="I120" s="281" t="n"/>
      <c r="J120" s="346">
        <f>E120</f>
        <v/>
      </c>
      <c r="K120" s="380">
        <f>J120</f>
        <v/>
      </c>
      <c r="L120" s="380">
        <f>K120</f>
        <v/>
      </c>
      <c r="M120" s="380">
        <f>L120</f>
        <v/>
      </c>
      <c r="N120" s="380">
        <f>M120</f>
        <v/>
      </c>
      <c r="O120" s="381" t="n"/>
    </row>
    <row r="121" outlineLevel="1" ht="12.75" customHeight="1" s="282">
      <c r="A121" s="281" t="n"/>
      <c r="B121" s="354" t="n"/>
      <c r="C121" s="354" t="n"/>
      <c r="D121" s="354" t="n"/>
      <c r="E121" s="354" t="n"/>
      <c r="F121" s="354" t="n"/>
      <c r="G121" s="354" t="n"/>
      <c r="H121" s="354" t="n"/>
      <c r="I121" s="354" t="n"/>
      <c r="J121" s="354" t="n"/>
      <c r="K121" s="354" t="n"/>
      <c r="L121" s="354" t="n"/>
      <c r="M121" s="354" t="n"/>
      <c r="N121" s="354" t="n"/>
      <c r="O121" s="281" t="n"/>
    </row>
    <row r="122" outlineLevel="1" ht="12.75" customHeight="1" s="282">
      <c r="A122" s="281" t="n"/>
      <c r="B122" s="281" t="n"/>
      <c r="C122" s="281" t="n"/>
      <c r="D122" s="281" t="n"/>
      <c r="E122" s="281" t="n"/>
      <c r="F122" s="281" t="n"/>
      <c r="G122" s="281" t="n"/>
      <c r="H122" s="281" t="n"/>
      <c r="I122" s="281" t="n"/>
      <c r="J122" s="281" t="n"/>
      <c r="K122" s="281" t="n"/>
      <c r="L122" s="281" t="n"/>
      <c r="M122" s="281" t="n"/>
      <c r="N122" s="281" t="n"/>
      <c r="O122" s="281" t="n"/>
    </row>
    <row r="123" outlineLevel="1" ht="12.75" customHeight="1" s="282">
      <c r="A123" s="281" t="n"/>
      <c r="B123" s="382" t="n"/>
      <c r="C123" s="382" t="n"/>
      <c r="D123" s="382" t="n"/>
      <c r="E123" s="382" t="n"/>
      <c r="F123" s="382" t="n"/>
      <c r="G123" s="382" t="n"/>
      <c r="H123" s="382" t="n"/>
      <c r="I123" s="382" t="n"/>
      <c r="J123" s="382" t="n"/>
      <c r="K123" s="382" t="n"/>
      <c r="L123" s="382" t="n"/>
      <c r="M123" s="382" t="n"/>
      <c r="N123" s="382" t="n"/>
      <c r="O123" s="383" t="n"/>
    </row>
    <row r="124" outlineLevel="1" ht="15" customHeight="1" s="282">
      <c r="A124" s="281" t="n"/>
      <c r="B124" s="336" t="inlineStr">
        <is>
          <t>[COGS breakdown] - 기타경비(변동비)</t>
        </is>
      </c>
      <c r="C124" s="383" t="n"/>
      <c r="D124" s="383" t="n"/>
      <c r="E124" s="383" t="n"/>
      <c r="F124" s="383" t="n"/>
      <c r="G124" s="383" t="n"/>
      <c r="H124" s="383" t="n"/>
      <c r="I124" s="383" t="n"/>
      <c r="J124" s="383" t="n"/>
      <c r="K124" s="383" t="n"/>
      <c r="L124" s="383" t="n"/>
      <c r="M124" s="383" t="n"/>
      <c r="N124" s="383" t="n"/>
      <c r="O124" s="383" t="n"/>
    </row>
    <row r="125" outlineLevel="1" ht="15" customHeight="1" s="282">
      <c r="A125" s="281" t="n"/>
      <c r="B125" s="384" t="inlineStr">
        <is>
          <t>기타경비</t>
        </is>
      </c>
      <c r="C125" s="281" t="n"/>
      <c r="D125" s="281" t="n"/>
      <c r="E125" s="383" t="n"/>
      <c r="F125" s="347" t="inlineStr">
        <is>
          <t>KRW mn</t>
        </is>
      </c>
      <c r="G125" s="385">
        <f>G32</f>
        <v/>
      </c>
      <c r="H125" s="385">
        <f>H32</f>
        <v/>
      </c>
      <c r="I125" s="385">
        <f>I32</f>
        <v/>
      </c>
      <c r="J125" s="386">
        <f>E125</f>
        <v/>
      </c>
      <c r="K125" s="387">
        <f>J125</f>
        <v/>
      </c>
      <c r="L125" s="387">
        <f>K125</f>
        <v/>
      </c>
      <c r="M125" s="387">
        <f>L125</f>
        <v/>
      </c>
      <c r="N125" s="387">
        <f>M125</f>
        <v/>
      </c>
      <c r="O125" s="388" t="n"/>
    </row>
    <row r="126" outlineLevel="1" ht="15" customHeight="1" s="282">
      <c r="A126" s="281" t="n"/>
      <c r="B126" s="335" t="inlineStr">
        <is>
          <t>% of revenue</t>
        </is>
      </c>
      <c r="C126" s="281" t="n"/>
      <c r="D126" s="281" t="n"/>
      <c r="E126" s="389">
        <f>AVERAGE(G126:I126)</f>
        <v/>
      </c>
      <c r="F126" s="347" t="inlineStr">
        <is>
          <t>%</t>
        </is>
      </c>
      <c r="G126" s="390">
        <f>G125/G$28</f>
        <v/>
      </c>
      <c r="H126" s="390">
        <f>H125/H$28</f>
        <v/>
      </c>
      <c r="I126" s="390">
        <f>I125/I$28</f>
        <v/>
      </c>
      <c r="J126" s="391">
        <f>E126</f>
        <v/>
      </c>
      <c r="K126" s="391">
        <f>J126</f>
        <v/>
      </c>
      <c r="L126" s="391">
        <f>K126</f>
        <v/>
      </c>
      <c r="M126" s="391">
        <f>L126</f>
        <v/>
      </c>
      <c r="N126" s="391">
        <f>M126</f>
        <v/>
      </c>
      <c r="O126" s="392" t="n"/>
    </row>
    <row r="127" outlineLevel="1" ht="12.75" customHeight="1" s="282">
      <c r="A127" s="281" t="n"/>
      <c r="B127" s="354" t="n"/>
      <c r="C127" s="354" t="n"/>
      <c r="D127" s="354" t="n"/>
      <c r="E127" s="354" t="n"/>
      <c r="F127" s="354" t="n"/>
      <c r="G127" s="354" t="n"/>
      <c r="H127" s="354" t="n"/>
      <c r="I127" s="354" t="n"/>
      <c r="J127" s="354" t="n"/>
      <c r="K127" s="354" t="n"/>
      <c r="L127" s="354" t="n"/>
      <c r="M127" s="354" t="n"/>
      <c r="N127" s="354" t="n"/>
      <c r="O127" s="281" t="n"/>
    </row>
    <row r="128" outlineLevel="1" ht="12.75" customHeight="1" s="282">
      <c r="A128" s="281" t="n"/>
      <c r="B128" s="281" t="n"/>
      <c r="C128" s="281" t="n"/>
      <c r="D128" s="281" t="n"/>
      <c r="E128" s="281" t="n"/>
      <c r="F128" s="281" t="n"/>
      <c r="G128" s="281" t="n"/>
      <c r="H128" s="281" t="n"/>
      <c r="I128" s="281" t="n"/>
      <c r="J128" s="281" t="n"/>
      <c r="K128" s="281" t="n"/>
      <c r="L128" s="281" t="n"/>
      <c r="M128" s="281" t="n"/>
      <c r="N128" s="281" t="n"/>
      <c r="O128" s="281" t="n"/>
    </row>
    <row r="129" outlineLevel="1" ht="12.75" customHeight="1" s="282">
      <c r="A129" s="281" t="n"/>
      <c r="B129" s="382" t="n"/>
      <c r="C129" s="382" t="n"/>
      <c r="D129" s="382" t="n"/>
      <c r="E129" s="382" t="n"/>
      <c r="F129" s="382" t="n"/>
      <c r="G129" s="382" t="n"/>
      <c r="H129" s="382" t="n"/>
      <c r="I129" s="382" t="n"/>
      <c r="J129" s="382" t="n"/>
      <c r="K129" s="382" t="n"/>
      <c r="L129" s="382" t="n"/>
      <c r="M129" s="382" t="n"/>
      <c r="N129" s="382" t="n"/>
      <c r="O129" s="383" t="n"/>
    </row>
    <row r="130" outlineLevel="1" ht="15" customHeight="1" s="282">
      <c r="A130" s="281" t="n"/>
      <c r="B130" s="336" t="inlineStr">
        <is>
          <t>[COGS breakdown] - 기타경비(고정비)</t>
        </is>
      </c>
      <c r="C130" s="383" t="n"/>
      <c r="D130" s="383" t="n"/>
      <c r="E130" s="383" t="n"/>
      <c r="F130" s="383" t="n"/>
      <c r="G130" s="383" t="n"/>
      <c r="H130" s="383" t="n"/>
      <c r="I130" s="383" t="n"/>
      <c r="J130" s="383" t="n"/>
      <c r="K130" s="383" t="n"/>
      <c r="L130" s="383" t="n"/>
      <c r="M130" s="383" t="n"/>
      <c r="N130" s="383" t="n"/>
      <c r="O130" s="383" t="n"/>
    </row>
    <row r="131" outlineLevel="1" ht="15" customHeight="1" s="282">
      <c r="A131" s="281" t="n"/>
      <c r="B131" s="384" t="inlineStr">
        <is>
          <t>기타경비</t>
        </is>
      </c>
      <c r="C131" s="281" t="n"/>
      <c r="D131" s="281" t="n"/>
      <c r="E131" s="379">
        <f>I131</f>
        <v/>
      </c>
      <c r="F131" s="347" t="inlineStr">
        <is>
          <t>KRW mn</t>
        </is>
      </c>
      <c r="G131" s="385">
        <f>G33</f>
        <v/>
      </c>
      <c r="H131" s="385">
        <f>H33</f>
        <v/>
      </c>
      <c r="I131" s="385">
        <f>I33</f>
        <v/>
      </c>
      <c r="J131" s="346">
        <f>E131</f>
        <v/>
      </c>
      <c r="K131" s="380">
        <f>J131</f>
        <v/>
      </c>
      <c r="L131" s="380">
        <f>K131</f>
        <v/>
      </c>
      <c r="M131" s="380">
        <f>L131</f>
        <v/>
      </c>
      <c r="N131" s="380">
        <f>M131</f>
        <v/>
      </c>
      <c r="O131" s="381" t="n"/>
    </row>
    <row r="132" outlineLevel="1" ht="12.75" customHeight="1" s="282">
      <c r="A132" s="281" t="n"/>
      <c r="B132" s="354" t="n"/>
      <c r="C132" s="354" t="n"/>
      <c r="D132" s="354" t="n"/>
      <c r="E132" s="354" t="n"/>
      <c r="F132" s="354" t="n"/>
      <c r="G132" s="354" t="n"/>
      <c r="H132" s="354" t="n"/>
      <c r="I132" s="354" t="n"/>
      <c r="J132" s="354" t="n"/>
      <c r="K132" s="354" t="n"/>
      <c r="L132" s="354" t="n"/>
      <c r="M132" s="354" t="n"/>
      <c r="N132" s="354" t="n"/>
      <c r="O132" s="281" t="n"/>
    </row>
    <row r="133" outlineLevel="1" ht="12.75" customHeight="1" s="282">
      <c r="A133" s="281" t="n"/>
      <c r="B133" s="281" t="n"/>
      <c r="C133" s="281" t="n"/>
      <c r="D133" s="281" t="n"/>
      <c r="E133" s="281" t="n"/>
      <c r="F133" s="281" t="n"/>
      <c r="G133" s="281" t="n"/>
      <c r="H133" s="281" t="n"/>
      <c r="I133" s="281" t="n"/>
      <c r="J133" s="281" t="n"/>
      <c r="K133" s="281" t="n"/>
      <c r="L133" s="281" t="n"/>
      <c r="M133" s="281" t="n"/>
      <c r="N133" s="281" t="n"/>
      <c r="O133" s="281" t="n"/>
    </row>
    <row r="134" outlineLevel="1" ht="12.75" customHeight="1" s="282">
      <c r="A134" s="281" t="n"/>
      <c r="B134" s="382" t="n"/>
      <c r="C134" s="382" t="n"/>
      <c r="D134" s="382" t="n"/>
      <c r="E134" s="382" t="n"/>
      <c r="F134" s="382" t="n"/>
      <c r="G134" s="382" t="n"/>
      <c r="H134" s="382" t="n"/>
      <c r="I134" s="382" t="n"/>
      <c r="J134" s="382" t="n"/>
      <c r="K134" s="382" t="n"/>
      <c r="L134" s="382" t="n"/>
      <c r="M134" s="382" t="n"/>
      <c r="N134" s="382" t="n"/>
      <c r="O134" s="383" t="n"/>
    </row>
    <row r="135" outlineLevel="1" ht="12.75" customHeight="1" s="282">
      <c r="A135" s="281" t="n"/>
      <c r="B135" s="336" t="inlineStr">
        <is>
          <t>[COGS breakdown] - 별도 추정- #1</t>
        </is>
      </c>
      <c r="C135" s="383" t="n"/>
      <c r="D135" s="383" t="n"/>
      <c r="E135" s="383" t="n"/>
      <c r="F135" s="383" t="n"/>
      <c r="G135" s="383" t="n"/>
      <c r="H135" s="383" t="n"/>
      <c r="I135" s="383" t="n"/>
      <c r="J135" s="383" t="n"/>
      <c r="K135" s="383" t="n"/>
      <c r="L135" s="383" t="n"/>
      <c r="M135" s="383" t="n"/>
      <c r="N135" s="383" t="n"/>
      <c r="O135" s="383" t="n"/>
    </row>
    <row r="136" outlineLevel="1" ht="15" customHeight="1" s="282">
      <c r="A136" s="281" t="n"/>
      <c r="B136" s="335" t="inlineStr">
        <is>
          <t>Price</t>
        </is>
      </c>
      <c r="C136" s="281" t="n"/>
      <c r="D136" s="281" t="n"/>
      <c r="E136" s="379" t="n">
        <v>0</v>
      </c>
      <c r="F136" s="347" t="inlineStr">
        <is>
          <t>KRW/kg</t>
        </is>
      </c>
      <c r="G136" s="281" t="n"/>
      <c r="H136" s="281" t="n"/>
      <c r="I136" s="281" t="n"/>
      <c r="J136" s="386">
        <f>E136</f>
        <v/>
      </c>
      <c r="K136" s="387">
        <f>J136</f>
        <v/>
      </c>
      <c r="L136" s="387">
        <f>K136</f>
        <v/>
      </c>
      <c r="M136" s="387">
        <f>L136</f>
        <v/>
      </c>
      <c r="N136" s="387">
        <f>M136</f>
        <v/>
      </c>
      <c r="O136" s="388" t="n"/>
    </row>
    <row r="137" outlineLevel="1" ht="15" customHeight="1" s="282">
      <c r="A137" s="281" t="n"/>
      <c r="B137" s="335" t="inlineStr">
        <is>
          <t>Quantity</t>
        </is>
      </c>
      <c r="C137" s="281" t="n"/>
      <c r="D137" s="281" t="n"/>
      <c r="E137" s="379" t="n">
        <v>0</v>
      </c>
      <c r="F137" s="347" t="inlineStr">
        <is>
          <t>kg</t>
        </is>
      </c>
      <c r="G137" s="281" t="n"/>
      <c r="H137" s="281" t="n"/>
      <c r="I137" s="281" t="n"/>
      <c r="J137" s="386">
        <f>E137</f>
        <v/>
      </c>
      <c r="K137" s="387">
        <f>J137</f>
        <v/>
      </c>
      <c r="L137" s="387">
        <f>K137</f>
        <v/>
      </c>
      <c r="M137" s="387">
        <f>L137</f>
        <v/>
      </c>
      <c r="N137" s="387">
        <f>M137</f>
        <v/>
      </c>
      <c r="O137" s="388" t="n"/>
    </row>
    <row r="138" outlineLevel="1" ht="12.75" customHeight="1" s="282">
      <c r="A138" s="281" t="n"/>
      <c r="B138" s="354" t="n"/>
      <c r="C138" s="354" t="n"/>
      <c r="D138" s="354" t="n"/>
      <c r="E138" s="354" t="n"/>
      <c r="F138" s="354" t="n"/>
      <c r="G138" s="354" t="n"/>
      <c r="H138" s="354" t="n"/>
      <c r="I138" s="354" t="n"/>
      <c r="J138" s="354" t="n"/>
      <c r="K138" s="354" t="n"/>
      <c r="L138" s="354" t="n"/>
      <c r="M138" s="354" t="n"/>
      <c r="N138" s="354" t="n"/>
      <c r="O138" s="281" t="n"/>
    </row>
    <row r="139" outlineLevel="1" ht="12.75" customHeight="1" s="282">
      <c r="A139" s="281" t="n"/>
      <c r="B139" s="281" t="n"/>
      <c r="C139" s="281" t="n"/>
      <c r="D139" s="281" t="n"/>
      <c r="E139" s="281" t="n"/>
      <c r="F139" s="281" t="n"/>
      <c r="G139" s="281" t="n"/>
      <c r="H139" s="281" t="n"/>
      <c r="I139" s="281" t="n"/>
      <c r="J139" s="281" t="n"/>
      <c r="K139" s="281" t="n"/>
      <c r="L139" s="281" t="n"/>
      <c r="M139" s="281" t="n"/>
      <c r="N139" s="281" t="n"/>
      <c r="O139" s="281" t="n"/>
    </row>
    <row r="140" outlineLevel="1" ht="12.75" customHeight="1" s="282">
      <c r="A140" s="281" t="n"/>
      <c r="B140" s="382" t="n"/>
      <c r="C140" s="382" t="n"/>
      <c r="D140" s="382" t="n"/>
      <c r="E140" s="382" t="n"/>
      <c r="F140" s="382" t="n"/>
      <c r="G140" s="382" t="n"/>
      <c r="H140" s="382" t="n"/>
      <c r="I140" s="382" t="n"/>
      <c r="J140" s="382" t="n"/>
      <c r="K140" s="382" t="n"/>
      <c r="L140" s="382" t="n"/>
      <c r="M140" s="382" t="n"/>
      <c r="N140" s="382" t="n"/>
      <c r="O140" s="383" t="n"/>
    </row>
    <row r="141" outlineLevel="1" ht="12.75" customHeight="1" s="282">
      <c r="A141" s="281" t="n"/>
      <c r="B141" s="336" t="inlineStr">
        <is>
          <t>[COGS breakdown] - 별도 추정- #2</t>
        </is>
      </c>
      <c r="C141" s="383" t="n"/>
      <c r="D141" s="383" t="n"/>
      <c r="E141" s="383" t="n"/>
      <c r="F141" s="383" t="n"/>
      <c r="G141" s="383" t="n"/>
      <c r="H141" s="383" t="n"/>
      <c r="I141" s="383" t="n"/>
      <c r="J141" s="383" t="n"/>
      <c r="K141" s="383" t="n"/>
      <c r="L141" s="383" t="n"/>
      <c r="M141" s="383" t="n"/>
      <c r="N141" s="383" t="n"/>
      <c r="O141" s="383" t="n"/>
    </row>
    <row r="142" outlineLevel="1" ht="15" customHeight="1" s="282">
      <c r="A142" s="281" t="n"/>
      <c r="B142" s="335" t="inlineStr">
        <is>
          <t>Price</t>
        </is>
      </c>
      <c r="C142" s="281" t="n"/>
      <c r="D142" s="281" t="n"/>
      <c r="E142" s="379" t="n">
        <v>0</v>
      </c>
      <c r="F142" s="347" t="inlineStr">
        <is>
          <t>KRW/kg</t>
        </is>
      </c>
      <c r="G142" s="281" t="n"/>
      <c r="H142" s="281" t="n"/>
      <c r="I142" s="281" t="n"/>
      <c r="J142" s="386">
        <f>E142</f>
        <v/>
      </c>
      <c r="K142" s="387">
        <f>J142</f>
        <v/>
      </c>
      <c r="L142" s="387">
        <f>K142</f>
        <v/>
      </c>
      <c r="M142" s="387">
        <f>L142</f>
        <v/>
      </c>
      <c r="N142" s="387">
        <f>M142</f>
        <v/>
      </c>
      <c r="O142" s="388" t="n"/>
    </row>
    <row r="143" outlineLevel="1" ht="15" customHeight="1" s="282">
      <c r="A143" s="281" t="n"/>
      <c r="B143" s="335" t="inlineStr">
        <is>
          <t>Quantity</t>
        </is>
      </c>
      <c r="C143" s="281" t="n"/>
      <c r="D143" s="281" t="n"/>
      <c r="E143" s="379" t="n">
        <v>0</v>
      </c>
      <c r="F143" s="347" t="inlineStr">
        <is>
          <t>kg</t>
        </is>
      </c>
      <c r="G143" s="281" t="n"/>
      <c r="H143" s="281" t="n"/>
      <c r="I143" s="281" t="n"/>
      <c r="J143" s="386">
        <f>E143</f>
        <v/>
      </c>
      <c r="K143" s="387">
        <f>J143</f>
        <v/>
      </c>
      <c r="L143" s="387">
        <f>K143</f>
        <v/>
      </c>
      <c r="M143" s="387">
        <f>L143</f>
        <v/>
      </c>
      <c r="N143" s="387">
        <f>M143</f>
        <v/>
      </c>
      <c r="O143" s="388" t="n"/>
    </row>
    <row r="144" outlineLevel="1" ht="12.75" customHeight="1" s="282">
      <c r="A144" s="281" t="n"/>
      <c r="B144" s="354" t="n"/>
      <c r="C144" s="354" t="n"/>
      <c r="D144" s="354" t="n"/>
      <c r="E144" s="354" t="n"/>
      <c r="F144" s="354" t="n"/>
      <c r="G144" s="354" t="n"/>
      <c r="H144" s="354" t="n"/>
      <c r="I144" s="354" t="n"/>
      <c r="J144" s="354" t="n"/>
      <c r="K144" s="354" t="n"/>
      <c r="L144" s="354" t="n"/>
      <c r="M144" s="354" t="n"/>
      <c r="N144" s="354" t="n"/>
      <c r="O144" s="281" t="n"/>
    </row>
    <row r="145" outlineLevel="1" ht="12.75" customHeight="1" s="282">
      <c r="A145" s="281" t="n"/>
      <c r="B145" s="281" t="n"/>
      <c r="C145" s="281" t="n"/>
      <c r="D145" s="281" t="n"/>
      <c r="E145" s="281" t="n"/>
      <c r="F145" s="281" t="n"/>
      <c r="G145" s="281" t="n"/>
      <c r="H145" s="281" t="n"/>
      <c r="I145" s="281" t="n"/>
      <c r="J145" s="281" t="n"/>
      <c r="K145" s="281" t="n"/>
      <c r="L145" s="281" t="n"/>
      <c r="M145" s="281" t="n"/>
      <c r="N145" s="281" t="n"/>
      <c r="O145" s="281" t="n"/>
    </row>
    <row r="146" outlineLevel="1" ht="12.75" customHeight="1" s="282">
      <c r="A146" s="281" t="n"/>
      <c r="B146" s="382" t="n"/>
      <c r="C146" s="382" t="n"/>
      <c r="D146" s="382" t="n"/>
      <c r="E146" s="382" t="n"/>
      <c r="F146" s="382" t="n"/>
      <c r="G146" s="382" t="n"/>
      <c r="H146" s="382" t="n"/>
      <c r="I146" s="382" t="n"/>
      <c r="J146" s="382" t="n"/>
      <c r="K146" s="382" t="n"/>
      <c r="L146" s="382" t="n"/>
      <c r="M146" s="382" t="n"/>
      <c r="N146" s="382" t="n"/>
      <c r="O146" s="383" t="n"/>
    </row>
    <row r="147" outlineLevel="1" ht="12.75" customHeight="1" s="282">
      <c r="A147" s="281" t="n"/>
      <c r="B147" s="281" t="n"/>
      <c r="C147" s="281" t="n"/>
      <c r="D147" s="281" t="n"/>
      <c r="E147" s="281" t="n"/>
      <c r="F147" s="281" t="n"/>
      <c r="G147" s="281" t="n"/>
      <c r="H147" s="281" t="n"/>
      <c r="I147" s="281" t="n"/>
      <c r="J147" s="281" t="n"/>
      <c r="K147" s="281" t="n"/>
      <c r="L147" s="281" t="n"/>
      <c r="M147" s="281" t="n"/>
      <c r="N147" s="281" t="n"/>
      <c r="O147" s="281" t="n"/>
    </row>
    <row r="148" outlineLevel="1" ht="12.75" customHeight="1" s="282">
      <c r="A148" s="281" t="n"/>
      <c r="B148" s="325" t="inlineStr">
        <is>
          <t>5. SG&amp;A  Assumptions</t>
        </is>
      </c>
      <c r="C148" s="325" t="n"/>
      <c r="D148" s="333" t="n"/>
      <c r="E148" s="325" t="n"/>
      <c r="F148" s="325" t="n"/>
      <c r="G148" s="325" t="n"/>
      <c r="H148" s="325" t="n"/>
      <c r="I148" s="325" t="n"/>
      <c r="J148" s="325" t="n"/>
      <c r="K148" s="325" t="n"/>
      <c r="L148" s="325" t="n"/>
      <c r="M148" s="325" t="n"/>
      <c r="N148" s="325" t="n"/>
      <c r="O148" s="325" t="n"/>
    </row>
    <row r="149" outlineLevel="1" ht="12.75" customHeight="1" s="282">
      <c r="A149" s="281" t="n"/>
      <c r="B149" s="281" t="n"/>
      <c r="C149" s="281" t="n"/>
      <c r="D149" s="281" t="n"/>
      <c r="E149" s="281" t="n"/>
      <c r="F149" s="281" t="n"/>
      <c r="G149" s="281" t="n"/>
      <c r="H149" s="281" t="n"/>
      <c r="I149" s="281" t="n"/>
      <c r="J149" s="281" t="n"/>
      <c r="K149" s="281" t="n"/>
      <c r="L149" s="281" t="n"/>
      <c r="M149" s="281" t="n"/>
      <c r="N149" s="281" t="n"/>
      <c r="O149" s="281" t="n"/>
    </row>
    <row r="150" outlineLevel="1" ht="12.75" customHeight="1" s="282">
      <c r="A150" s="281" t="n"/>
      <c r="B150" s="382" t="n"/>
      <c r="C150" s="382" t="n"/>
      <c r="D150" s="382" t="n"/>
      <c r="E150" s="382" t="n"/>
      <c r="F150" s="382" t="n"/>
      <c r="G150" s="382" t="n"/>
      <c r="H150" s="382" t="n"/>
      <c r="I150" s="382" t="n"/>
      <c r="J150" s="382" t="n"/>
      <c r="K150" s="382" t="n"/>
      <c r="L150" s="382" t="n"/>
      <c r="M150" s="382" t="n"/>
      <c r="N150" s="382" t="n"/>
      <c r="O150" s="383" t="n"/>
    </row>
    <row r="151" outlineLevel="1" ht="12.75" customHeight="1" s="282">
      <c r="A151" s="281" t="n"/>
      <c r="B151" s="336" t="inlineStr">
        <is>
          <t>[SG&amp;A breakdown] - Variable cost #1</t>
        </is>
      </c>
      <c r="C151" s="383" t="n"/>
      <c r="D151" s="383" t="n"/>
      <c r="E151" s="383" t="n"/>
      <c r="F151" s="383" t="n"/>
      <c r="G151" s="383" t="n"/>
      <c r="H151" s="383" t="n"/>
      <c r="I151" s="383" t="n"/>
      <c r="J151" s="383" t="n"/>
      <c r="K151" s="383" t="n"/>
      <c r="L151" s="383" t="n"/>
      <c r="M151" s="383" t="n"/>
      <c r="N151" s="383" t="n"/>
      <c r="O151" s="383" t="n"/>
    </row>
    <row r="152" outlineLevel="1" ht="15" customHeight="1" s="282">
      <c r="A152" s="281" t="n"/>
      <c r="B152" s="384" t="inlineStr">
        <is>
          <t>판관 변동비</t>
        </is>
      </c>
      <c r="C152" s="281" t="n"/>
      <c r="D152" s="281" t="n"/>
      <c r="E152" s="383" t="n"/>
      <c r="F152" s="347" t="inlineStr">
        <is>
          <t>KRW mn</t>
        </is>
      </c>
      <c r="G152" s="385">
        <f>G37</f>
        <v/>
      </c>
      <c r="H152" s="385">
        <f>H37</f>
        <v/>
      </c>
      <c r="I152" s="385">
        <f>I37</f>
        <v/>
      </c>
      <c r="J152" s="386">
        <f>E152</f>
        <v/>
      </c>
      <c r="K152" s="387">
        <f>J152</f>
        <v/>
      </c>
      <c r="L152" s="387">
        <f>K152</f>
        <v/>
      </c>
      <c r="M152" s="387">
        <f>L152</f>
        <v/>
      </c>
      <c r="N152" s="387">
        <f>M152</f>
        <v/>
      </c>
      <c r="O152" s="388" t="n"/>
    </row>
    <row r="153" outlineLevel="1" ht="15" customHeight="1" s="282">
      <c r="A153" s="281" t="n"/>
      <c r="B153" s="335" t="inlineStr">
        <is>
          <t>% of revenue</t>
        </is>
      </c>
      <c r="C153" s="281" t="n"/>
      <c r="D153" s="281" t="n"/>
      <c r="E153" s="389">
        <f>AVERAGE(G153:I153)</f>
        <v/>
      </c>
      <c r="F153" s="347" t="inlineStr">
        <is>
          <t>%</t>
        </is>
      </c>
      <c r="G153" s="390">
        <f>G152/G$28</f>
        <v/>
      </c>
      <c r="H153" s="390">
        <f>H152/H$28</f>
        <v/>
      </c>
      <c r="I153" s="390">
        <f>I152/I$28</f>
        <v/>
      </c>
      <c r="J153" s="393">
        <f>E153</f>
        <v/>
      </c>
      <c r="K153" s="393">
        <f>J153</f>
        <v/>
      </c>
      <c r="L153" s="393">
        <f>K153</f>
        <v/>
      </c>
      <c r="M153" s="393">
        <f>L153</f>
        <v/>
      </c>
      <c r="N153" s="393">
        <f>M153</f>
        <v/>
      </c>
      <c r="O153" s="394" t="n"/>
    </row>
    <row r="154" outlineLevel="1" ht="12.75" customHeight="1" s="282">
      <c r="A154" s="281" t="n"/>
      <c r="B154" s="354" t="n"/>
      <c r="C154" s="354" t="n"/>
      <c r="D154" s="354" t="n"/>
      <c r="E154" s="354" t="n"/>
      <c r="F154" s="354" t="n"/>
      <c r="G154" s="354" t="n"/>
      <c r="H154" s="354" t="n"/>
      <c r="I154" s="354" t="n"/>
      <c r="J154" s="354" t="n"/>
      <c r="K154" s="354" t="n"/>
      <c r="L154" s="354" t="n"/>
      <c r="M154" s="354" t="n"/>
      <c r="N154" s="354" t="n"/>
      <c r="O154" s="281" t="n"/>
    </row>
    <row r="155" outlineLevel="1" ht="12.75" customHeight="1" s="282">
      <c r="A155" s="281" t="n"/>
      <c r="B155" s="281" t="n"/>
      <c r="C155" s="281" t="n"/>
      <c r="D155" s="281" t="n"/>
      <c r="E155" s="281" t="n"/>
      <c r="F155" s="281" t="n"/>
      <c r="G155" s="281" t="n"/>
      <c r="H155" s="281" t="n"/>
      <c r="I155" s="281" t="n"/>
      <c r="J155" s="281" t="n"/>
      <c r="K155" s="281" t="n"/>
      <c r="L155" s="281" t="n"/>
      <c r="M155" s="281" t="n"/>
      <c r="N155" s="281" t="n"/>
      <c r="O155" s="281" t="n"/>
    </row>
    <row r="156" outlineLevel="1" ht="12.75" customHeight="1" s="282">
      <c r="A156" s="281" t="n"/>
      <c r="B156" s="336" t="inlineStr">
        <is>
          <t>[SG&amp;A breakdown] - Variable cost #2</t>
        </is>
      </c>
      <c r="C156" s="383" t="n"/>
      <c r="D156" s="383" t="n"/>
      <c r="E156" s="383" t="n"/>
      <c r="F156" s="383" t="n"/>
      <c r="G156" s="281" t="n"/>
      <c r="H156" s="383" t="n"/>
      <c r="I156" s="383" t="n"/>
      <c r="J156" s="383" t="n"/>
      <c r="K156" s="383" t="n"/>
      <c r="L156" s="383" t="n"/>
      <c r="M156" s="383" t="n"/>
      <c r="N156" s="383" t="n"/>
      <c r="O156" s="383" t="n"/>
    </row>
    <row r="157" outlineLevel="1" ht="15" customHeight="1" s="282">
      <c r="A157" s="281" t="n"/>
      <c r="B157" s="384" t="inlineStr">
        <is>
          <t>판관 변동비</t>
        </is>
      </c>
      <c r="C157" s="281" t="n"/>
      <c r="D157" s="281" t="n"/>
      <c r="E157" s="383" t="n"/>
      <c r="F157" s="347" t="inlineStr">
        <is>
          <t>KRW mn</t>
        </is>
      </c>
      <c r="G157" s="395">
        <f>G38</f>
        <v/>
      </c>
      <c r="H157" s="385">
        <f>H38</f>
        <v/>
      </c>
      <c r="I157" s="385">
        <f>I38</f>
        <v/>
      </c>
      <c r="J157" s="386">
        <f>E157</f>
        <v/>
      </c>
      <c r="K157" s="387">
        <f>J157</f>
        <v/>
      </c>
      <c r="L157" s="387">
        <f>K157</f>
        <v/>
      </c>
      <c r="M157" s="387">
        <f>L157</f>
        <v/>
      </c>
      <c r="N157" s="387">
        <f>M157</f>
        <v/>
      </c>
      <c r="O157" s="388" t="n"/>
    </row>
    <row r="158" outlineLevel="1" ht="15" customHeight="1" s="282">
      <c r="A158" s="281" t="n"/>
      <c r="B158" s="335" t="inlineStr">
        <is>
          <t>% of revenue</t>
        </is>
      </c>
      <c r="C158" s="281" t="n"/>
      <c r="D158" s="281" t="n"/>
      <c r="E158" s="389">
        <f>AVERAGE(G158:I158)</f>
        <v/>
      </c>
      <c r="F158" s="347" t="inlineStr">
        <is>
          <t>%</t>
        </is>
      </c>
      <c r="G158" s="390">
        <f>G157/G$28</f>
        <v/>
      </c>
      <c r="H158" s="390">
        <f>H157/H$28</f>
        <v/>
      </c>
      <c r="I158" s="390">
        <f>I157/I$28</f>
        <v/>
      </c>
      <c r="J158" s="393">
        <f>E158</f>
        <v/>
      </c>
      <c r="K158" s="393">
        <f>J158</f>
        <v/>
      </c>
      <c r="L158" s="393">
        <f>K158</f>
        <v/>
      </c>
      <c r="M158" s="393">
        <f>L158</f>
        <v/>
      </c>
      <c r="N158" s="393">
        <f>M158</f>
        <v/>
      </c>
      <c r="O158" s="394" t="n"/>
    </row>
    <row r="159" outlineLevel="1" ht="12.75" customHeight="1" s="282">
      <c r="A159" s="281" t="n"/>
      <c r="B159" s="354" t="n"/>
      <c r="C159" s="354" t="n"/>
      <c r="D159" s="354" t="n"/>
      <c r="E159" s="354" t="n"/>
      <c r="F159" s="354" t="n"/>
      <c r="G159" s="354" t="n"/>
      <c r="H159" s="354" t="n"/>
      <c r="I159" s="354" t="n"/>
      <c r="J159" s="354" t="n"/>
      <c r="K159" s="354" t="n"/>
      <c r="L159" s="354" t="n"/>
      <c r="M159" s="354" t="n"/>
      <c r="N159" s="354" t="n"/>
      <c r="O159" s="281" t="n"/>
    </row>
    <row r="160" outlineLevel="1" ht="12.75" customHeight="1" s="282">
      <c r="A160" s="281" t="n"/>
      <c r="B160" s="281" t="n"/>
      <c r="C160" s="281" t="n"/>
      <c r="D160" s="281" t="n"/>
      <c r="E160" s="281" t="n"/>
      <c r="F160" s="281" t="n"/>
      <c r="G160" s="281" t="n"/>
      <c r="H160" s="281" t="n"/>
      <c r="I160" s="281" t="n"/>
      <c r="J160" s="281" t="n"/>
      <c r="K160" s="281" t="n"/>
      <c r="L160" s="281" t="n"/>
      <c r="M160" s="281" t="n"/>
      <c r="N160" s="281" t="n"/>
      <c r="O160" s="281" t="n"/>
    </row>
    <row r="161" outlineLevel="1" ht="12.75" customHeight="1" s="282">
      <c r="A161" s="281" t="n"/>
      <c r="B161" s="336" t="inlineStr">
        <is>
          <t>[SG&amp;A breakdown] - Variable cost #3</t>
        </is>
      </c>
      <c r="C161" s="383" t="n"/>
      <c r="D161" s="383" t="n"/>
      <c r="E161" s="383" t="n"/>
      <c r="F161" s="383" t="n"/>
      <c r="G161" s="383" t="n"/>
      <c r="H161" s="383" t="n"/>
      <c r="I161" s="383" t="n"/>
      <c r="J161" s="383" t="n"/>
      <c r="K161" s="383" t="n"/>
      <c r="L161" s="383" t="n"/>
      <c r="M161" s="383" t="n"/>
      <c r="N161" s="383" t="n"/>
      <c r="O161" s="383" t="n"/>
    </row>
    <row r="162" outlineLevel="1" ht="15" customHeight="1" s="282">
      <c r="A162" s="281" t="n"/>
      <c r="B162" s="384" t="inlineStr">
        <is>
          <t>판관 변동비</t>
        </is>
      </c>
      <c r="C162" s="281" t="n"/>
      <c r="D162" s="281" t="n"/>
      <c r="E162" s="383" t="n"/>
      <c r="F162" s="347" t="inlineStr">
        <is>
          <t>KRW mn</t>
        </is>
      </c>
      <c r="G162" s="385">
        <f>G39</f>
        <v/>
      </c>
      <c r="H162" s="385">
        <f>H39</f>
        <v/>
      </c>
      <c r="I162" s="385">
        <f>I39</f>
        <v/>
      </c>
      <c r="J162" s="386">
        <f>E162</f>
        <v/>
      </c>
      <c r="K162" s="387">
        <f>J162</f>
        <v/>
      </c>
      <c r="L162" s="387">
        <f>K162</f>
        <v/>
      </c>
      <c r="M162" s="387">
        <f>L162</f>
        <v/>
      </c>
      <c r="N162" s="387">
        <f>M162</f>
        <v/>
      </c>
      <c r="O162" s="388" t="n"/>
    </row>
    <row r="163" outlineLevel="1" ht="15" customHeight="1" s="282">
      <c r="A163" s="281" t="n"/>
      <c r="B163" s="335" t="inlineStr">
        <is>
          <t>% of revenue</t>
        </is>
      </c>
      <c r="C163" s="281" t="n"/>
      <c r="D163" s="281" t="n"/>
      <c r="E163" s="389">
        <f>AVERAGE(G163:I163)</f>
        <v/>
      </c>
      <c r="F163" s="347" t="inlineStr">
        <is>
          <t>%</t>
        </is>
      </c>
      <c r="G163" s="390">
        <f>G162/G$28</f>
        <v/>
      </c>
      <c r="H163" s="390">
        <f>H162/H$28</f>
        <v/>
      </c>
      <c r="I163" s="390">
        <f>I162/I$28</f>
        <v/>
      </c>
      <c r="J163" s="393">
        <f>E163</f>
        <v/>
      </c>
      <c r="K163" s="393">
        <f>J163</f>
        <v/>
      </c>
      <c r="L163" s="393">
        <f>K163</f>
        <v/>
      </c>
      <c r="M163" s="393">
        <f>L163</f>
        <v/>
      </c>
      <c r="N163" s="393">
        <f>M163</f>
        <v/>
      </c>
      <c r="O163" s="394" t="n"/>
    </row>
    <row r="164" outlineLevel="1" ht="12.75" customHeight="1" s="282">
      <c r="A164" s="281" t="n"/>
      <c r="B164" s="354" t="n"/>
      <c r="C164" s="354" t="n"/>
      <c r="D164" s="354" t="n"/>
      <c r="E164" s="354" t="n"/>
      <c r="F164" s="354" t="n"/>
      <c r="G164" s="354" t="n"/>
      <c r="H164" s="354" t="n"/>
      <c r="I164" s="354" t="n"/>
      <c r="J164" s="354" t="n"/>
      <c r="K164" s="354" t="n"/>
      <c r="L164" s="354" t="n"/>
      <c r="M164" s="354" t="n"/>
      <c r="N164" s="354" t="n"/>
      <c r="O164" s="281" t="n"/>
    </row>
    <row r="165" outlineLevel="1" ht="12.75" customHeight="1" s="282">
      <c r="A165" s="281" t="n"/>
      <c r="B165" s="281" t="n"/>
      <c r="C165" s="281" t="n"/>
      <c r="D165" s="281" t="n"/>
      <c r="E165" s="281" t="n"/>
      <c r="F165" s="281" t="n"/>
      <c r="G165" s="281" t="n"/>
      <c r="H165" s="281" t="n"/>
      <c r="I165" s="281" t="n"/>
      <c r="J165" s="281" t="n"/>
      <c r="K165" s="281" t="n"/>
      <c r="L165" s="281" t="n"/>
      <c r="M165" s="281" t="n"/>
      <c r="N165" s="281" t="n"/>
      <c r="O165" s="281" t="n"/>
    </row>
    <row r="166" outlineLevel="1" ht="12.75" customHeight="1" s="282">
      <c r="A166" s="281" t="n"/>
      <c r="B166" s="382" t="n"/>
      <c r="C166" s="382" t="n"/>
      <c r="D166" s="382" t="n"/>
      <c r="E166" s="382" t="n"/>
      <c r="F166" s="382" t="n"/>
      <c r="G166" s="382" t="n"/>
      <c r="H166" s="382" t="n"/>
      <c r="I166" s="382" t="n"/>
      <c r="J166" s="382" t="n"/>
      <c r="K166" s="382" t="n"/>
      <c r="L166" s="382" t="n"/>
      <c r="M166" s="382" t="n"/>
      <c r="N166" s="382" t="n"/>
      <c r="O166" s="383" t="n"/>
    </row>
    <row r="167" outlineLevel="1" ht="12.75" customHeight="1" s="282">
      <c r="A167" s="281" t="n"/>
      <c r="B167" s="336" t="inlineStr">
        <is>
          <t>[SG&amp;A breakdown] - Fixed cost</t>
        </is>
      </c>
      <c r="C167" s="383" t="n"/>
      <c r="D167" s="383" t="n"/>
      <c r="E167" s="383" t="n"/>
      <c r="F167" s="383" t="n"/>
      <c r="G167" s="383" t="n"/>
      <c r="H167" s="383" t="n"/>
      <c r="I167" s="383" t="n"/>
      <c r="J167" s="383" t="n"/>
      <c r="K167" s="383" t="n"/>
      <c r="L167" s="383" t="n"/>
      <c r="M167" s="383" t="n"/>
      <c r="N167" s="383" t="n"/>
      <c r="O167" s="383" t="n"/>
    </row>
    <row r="168" outlineLevel="1" ht="15" customHeight="1" s="282">
      <c r="A168" s="281" t="n"/>
      <c r="B168" s="384" t="inlineStr">
        <is>
          <t>판관 고정비</t>
        </is>
      </c>
      <c r="C168" s="281" t="n"/>
      <c r="D168" s="281" t="n"/>
      <c r="E168" s="379">
        <f>I168</f>
        <v/>
      </c>
      <c r="F168" s="347" t="inlineStr">
        <is>
          <t>KRW mn</t>
        </is>
      </c>
      <c r="G168" s="385">
        <f>G40</f>
        <v/>
      </c>
      <c r="H168" s="385">
        <f>H40</f>
        <v/>
      </c>
      <c r="I168" s="385">
        <f>I40</f>
        <v/>
      </c>
      <c r="J168" s="346">
        <f>E168</f>
        <v/>
      </c>
      <c r="K168" s="380">
        <f>J168</f>
        <v/>
      </c>
      <c r="L168" s="380">
        <f>K168</f>
        <v/>
      </c>
      <c r="M168" s="380">
        <f>L168</f>
        <v/>
      </c>
      <c r="N168" s="380">
        <f>M168</f>
        <v/>
      </c>
      <c r="O168" s="381" t="n"/>
    </row>
    <row r="169" outlineLevel="1" ht="12.75" customHeight="1" s="282">
      <c r="A169" s="281" t="n"/>
      <c r="B169" s="354" t="n"/>
      <c r="C169" s="354" t="n"/>
      <c r="D169" s="354" t="n"/>
      <c r="E169" s="354" t="n"/>
      <c r="F169" s="354" t="n"/>
      <c r="G169" s="354" t="n"/>
      <c r="H169" s="354" t="n"/>
      <c r="I169" s="354" t="n"/>
      <c r="J169" s="354" t="n"/>
      <c r="K169" s="354" t="n"/>
      <c r="L169" s="354" t="n"/>
      <c r="M169" s="354" t="n"/>
      <c r="N169" s="354" t="n"/>
      <c r="O169" s="281" t="n"/>
    </row>
    <row r="170" outlineLevel="1" ht="12.75" customHeight="1" s="282">
      <c r="A170" s="281" t="n"/>
      <c r="B170" s="281" t="n"/>
      <c r="C170" s="281" t="n"/>
      <c r="D170" s="281" t="n"/>
      <c r="E170" s="281" t="n"/>
      <c r="F170" s="281" t="n"/>
      <c r="G170" s="281" t="n"/>
      <c r="H170" s="281" t="n"/>
      <c r="I170" s="281" t="n"/>
      <c r="J170" s="281" t="n"/>
      <c r="K170" s="281" t="n"/>
      <c r="L170" s="281" t="n"/>
      <c r="M170" s="281" t="n"/>
      <c r="N170" s="281" t="n"/>
      <c r="O170" s="281" t="n"/>
    </row>
    <row r="171" outlineLevel="1" ht="12.75" customHeight="1" s="282">
      <c r="A171" s="281" t="n"/>
      <c r="B171" s="382" t="n"/>
      <c r="C171" s="382" t="n"/>
      <c r="D171" s="382" t="n"/>
      <c r="E171" s="382" t="n"/>
      <c r="F171" s="382" t="n"/>
      <c r="G171" s="382" t="n"/>
      <c r="H171" s="382" t="n"/>
      <c r="I171" s="382" t="n"/>
      <c r="J171" s="382" t="n"/>
      <c r="K171" s="382" t="n"/>
      <c r="L171" s="382" t="n"/>
      <c r="M171" s="382" t="n"/>
      <c r="N171" s="382" t="n"/>
      <c r="O171" s="383" t="n"/>
    </row>
    <row r="172" outlineLevel="1" ht="12.75" customHeight="1" s="282">
      <c r="A172" s="281" t="n"/>
      <c r="B172" s="336" t="inlineStr">
        <is>
          <t>[SG&amp;A breakdown] - 별도 추정</t>
        </is>
      </c>
      <c r="C172" s="383" t="n"/>
      <c r="D172" s="383" t="n"/>
      <c r="E172" s="383" t="n"/>
      <c r="F172" s="383" t="n"/>
      <c r="G172" s="383" t="n"/>
      <c r="H172" s="383" t="n"/>
      <c r="I172" s="383" t="n"/>
      <c r="J172" s="383" t="n"/>
      <c r="K172" s="383" t="n"/>
      <c r="L172" s="383" t="n"/>
      <c r="M172" s="383" t="n"/>
      <c r="N172" s="383" t="n"/>
      <c r="O172" s="383" t="n"/>
    </row>
    <row r="173" outlineLevel="1" ht="15" customHeight="1" s="282">
      <c r="A173" s="281" t="n"/>
      <c r="B173" s="335" t="inlineStr">
        <is>
          <t>Price</t>
        </is>
      </c>
      <c r="C173" s="281" t="n"/>
      <c r="D173" s="281" t="n"/>
      <c r="E173" s="379" t="n"/>
      <c r="F173" s="347" t="inlineStr">
        <is>
          <t>KRW/kg</t>
        </is>
      </c>
      <c r="G173" s="281" t="n"/>
      <c r="H173" s="281" t="n"/>
      <c r="I173" s="281" t="n"/>
      <c r="J173" s="346">
        <f>E173</f>
        <v/>
      </c>
      <c r="K173" s="380">
        <f>J173</f>
        <v/>
      </c>
      <c r="L173" s="380">
        <f>K173</f>
        <v/>
      </c>
      <c r="M173" s="380">
        <f>L173</f>
        <v/>
      </c>
      <c r="N173" s="380">
        <f>M173</f>
        <v/>
      </c>
      <c r="O173" s="381" t="n"/>
    </row>
    <row r="174" outlineLevel="1" ht="15" customHeight="1" s="282">
      <c r="A174" s="281" t="n"/>
      <c r="B174" s="335" t="inlineStr">
        <is>
          <t>Quantity</t>
        </is>
      </c>
      <c r="C174" s="281" t="n"/>
      <c r="D174" s="281" t="n"/>
      <c r="E174" s="379" t="n"/>
      <c r="F174" s="347" t="inlineStr">
        <is>
          <t>kg</t>
        </is>
      </c>
      <c r="G174" s="281" t="n"/>
      <c r="H174" s="281" t="n"/>
      <c r="I174" s="281" t="n"/>
      <c r="J174" s="346">
        <f>E174</f>
        <v/>
      </c>
      <c r="K174" s="380">
        <f>J174</f>
        <v/>
      </c>
      <c r="L174" s="380">
        <f>K174</f>
        <v/>
      </c>
      <c r="M174" s="380">
        <f>L174</f>
        <v/>
      </c>
      <c r="N174" s="380">
        <f>M174</f>
        <v/>
      </c>
      <c r="O174" s="381" t="n"/>
    </row>
    <row r="175" outlineLevel="1" ht="12.75" customHeight="1" s="282">
      <c r="A175" s="281" t="n"/>
      <c r="B175" s="354" t="n"/>
      <c r="C175" s="354" t="n"/>
      <c r="D175" s="354" t="n"/>
      <c r="E175" s="354" t="n"/>
      <c r="F175" s="354" t="n"/>
      <c r="G175" s="354" t="n"/>
      <c r="H175" s="354" t="n"/>
      <c r="I175" s="354" t="n"/>
      <c r="J175" s="354" t="n"/>
      <c r="K175" s="354" t="n"/>
      <c r="L175" s="354" t="n"/>
      <c r="M175" s="354" t="n"/>
      <c r="N175" s="354" t="n"/>
      <c r="O175" s="281" t="n"/>
    </row>
    <row r="176" outlineLevel="1" ht="12.75" customHeight="1" s="282">
      <c r="A176" s="281" t="n"/>
      <c r="B176" s="281" t="n"/>
      <c r="C176" s="281" t="n"/>
      <c r="D176" s="281" t="n"/>
      <c r="E176" s="281" t="n"/>
      <c r="F176" s="281" t="n"/>
      <c r="G176" s="281" t="n"/>
      <c r="H176" s="281" t="n"/>
      <c r="I176" s="281" t="n"/>
      <c r="J176" s="281" t="n"/>
      <c r="K176" s="281" t="n"/>
      <c r="L176" s="281" t="n"/>
      <c r="M176" s="281" t="n"/>
      <c r="N176" s="281" t="n"/>
      <c r="O176" s="281" t="n"/>
    </row>
    <row r="177" outlineLevel="1" ht="12.75" customHeight="1" s="282">
      <c r="A177" s="281" t="n"/>
      <c r="B177" s="281" t="n"/>
      <c r="C177" s="281" t="n"/>
      <c r="D177" s="281" t="n"/>
      <c r="E177" s="281" t="n"/>
      <c r="F177" s="281" t="n"/>
      <c r="G177" s="281" t="n"/>
      <c r="H177" s="281" t="n"/>
      <c r="I177" s="281" t="n"/>
      <c r="J177" s="281" t="n"/>
      <c r="K177" s="281" t="n"/>
      <c r="L177" s="281" t="n"/>
      <c r="M177" s="281" t="n"/>
      <c r="N177" s="281" t="n"/>
      <c r="O177" s="281" t="n"/>
    </row>
    <row r="178" outlineLevel="1" ht="12.75" customHeight="1" s="282">
      <c r="A178" s="281" t="n"/>
      <c r="B178" s="325" t="inlineStr">
        <is>
          <t>6. Labor cost  Assumptions</t>
        </is>
      </c>
      <c r="C178" s="325" t="n"/>
      <c r="D178" s="333" t="n"/>
      <c r="E178" s="325" t="n"/>
      <c r="F178" s="325" t="n"/>
      <c r="G178" s="325" t="n"/>
      <c r="H178" s="325" t="n"/>
      <c r="I178" s="325" t="n"/>
      <c r="J178" s="325" t="n"/>
      <c r="K178" s="325" t="n"/>
      <c r="L178" s="325" t="n"/>
      <c r="M178" s="325" t="n"/>
      <c r="N178" s="325" t="n"/>
      <c r="O178" s="325" t="n"/>
    </row>
    <row r="179" outlineLevel="1" ht="12.75" customHeight="1" s="282">
      <c r="A179" s="281" t="n"/>
      <c r="B179" s="281" t="n"/>
      <c r="C179" s="281" t="n"/>
      <c r="D179" s="281" t="n"/>
      <c r="E179" s="281" t="n"/>
      <c r="F179" s="281" t="n"/>
      <c r="G179" s="281" t="n"/>
      <c r="H179" s="281" t="n"/>
      <c r="I179" s="281" t="n"/>
      <c r="J179" s="281" t="n"/>
      <c r="K179" s="281" t="n"/>
      <c r="L179" s="281" t="n"/>
      <c r="M179" s="281" t="n"/>
      <c r="N179" s="281" t="n"/>
      <c r="O179" s="281" t="n"/>
    </row>
    <row r="180" outlineLevel="1" ht="15" customHeight="1" s="282">
      <c r="A180" s="281" t="n"/>
      <c r="B180" s="396" t="inlineStr">
        <is>
          <t>[인건비]</t>
        </is>
      </c>
      <c r="C180" s="354" t="n"/>
      <c r="D180" s="354" t="n"/>
      <c r="E180" s="354" t="n"/>
      <c r="F180" s="354" t="n"/>
      <c r="G180" s="354" t="n"/>
      <c r="H180" s="354" t="n"/>
      <c r="I180" s="354" t="n"/>
      <c r="J180" s="354" t="n"/>
      <c r="K180" s="354" t="n"/>
      <c r="L180" s="354" t="n"/>
      <c r="M180" s="354" t="n"/>
      <c r="N180" s="354" t="n"/>
      <c r="O180" s="281" t="n"/>
    </row>
    <row r="181" outlineLevel="1" ht="12.75" customHeight="1" s="282">
      <c r="A181" s="281" t="n"/>
      <c r="B181" s="335" t="inlineStr">
        <is>
          <t>COGS</t>
        </is>
      </c>
      <c r="C181" s="281" t="n"/>
      <c r="D181" s="281" t="n"/>
      <c r="E181" s="281" t="n"/>
      <c r="F181" s="347" t="inlineStr">
        <is>
          <t xml:space="preserve">KRW m </t>
        </is>
      </c>
      <c r="G181" s="385">
        <f>G31</f>
        <v/>
      </c>
      <c r="H181" s="385">
        <f>H31</f>
        <v/>
      </c>
      <c r="I181" s="385">
        <f>I31</f>
        <v/>
      </c>
      <c r="J181" s="281" t="n"/>
      <c r="K181" s="281" t="n"/>
      <c r="L181" s="281" t="n"/>
      <c r="M181" s="281" t="n"/>
      <c r="N181" s="281" t="n"/>
      <c r="O181" s="281" t="n"/>
    </row>
    <row r="182" outlineLevel="1" ht="12.75" customHeight="1" s="282">
      <c r="A182" s="281" t="n"/>
      <c r="B182" s="396" t="inlineStr">
        <is>
          <t>SG&amp;A</t>
        </is>
      </c>
      <c r="C182" s="354" t="n"/>
      <c r="D182" s="354" t="n"/>
      <c r="E182" s="354" t="n"/>
      <c r="F182" s="397" t="inlineStr">
        <is>
          <t xml:space="preserve">KRW m </t>
        </is>
      </c>
      <c r="G182" s="398">
        <f>G36</f>
        <v/>
      </c>
      <c r="H182" s="398">
        <f>H36</f>
        <v/>
      </c>
      <c r="I182" s="398">
        <f>I36</f>
        <v/>
      </c>
      <c r="J182" s="354" t="n"/>
      <c r="K182" s="354" t="n"/>
      <c r="L182" s="354" t="n"/>
      <c r="M182" s="354" t="n"/>
      <c r="N182" s="354" t="n"/>
      <c r="O182" s="281" t="n"/>
    </row>
    <row r="183" outlineLevel="1" ht="12.75" customHeight="1" s="282">
      <c r="A183" s="281" t="n"/>
      <c r="B183" s="281" t="n"/>
      <c r="C183" s="281" t="n"/>
      <c r="D183" s="281" t="n"/>
      <c r="E183" s="281" t="n"/>
      <c r="F183" s="281" t="n"/>
      <c r="G183" s="281" t="n"/>
      <c r="H183" s="281" t="n"/>
      <c r="I183" s="281" t="n"/>
      <c r="J183" s="281" t="n"/>
      <c r="K183" s="281" t="n"/>
      <c r="L183" s="281" t="n"/>
      <c r="M183" s="281" t="n"/>
      <c r="N183" s="281" t="n"/>
      <c r="O183" s="281" t="n"/>
    </row>
    <row r="184" outlineLevel="1" ht="15" customHeight="1" s="282">
      <c r="A184" s="281" t="n"/>
      <c r="B184" s="396" t="inlineStr">
        <is>
          <t>[인원수]</t>
        </is>
      </c>
      <c r="C184" s="354" t="n"/>
      <c r="D184" s="354" t="n"/>
      <c r="E184" s="354" t="n"/>
      <c r="F184" s="354" t="n"/>
      <c r="G184" s="354" t="n"/>
      <c r="H184" s="354" t="n"/>
      <c r="I184" s="354" t="n"/>
      <c r="J184" s="354" t="n"/>
      <c r="K184" s="354" t="n"/>
      <c r="L184" s="354" t="n"/>
      <c r="M184" s="354" t="n"/>
      <c r="N184" s="354" t="n"/>
      <c r="O184" s="281" t="n"/>
    </row>
    <row r="185" outlineLevel="1" ht="15" customHeight="1" s="282">
      <c r="A185" s="281" t="n"/>
      <c r="B185" s="335" t="inlineStr">
        <is>
          <t xml:space="preserve">COGS </t>
        </is>
      </c>
      <c r="C185" s="281" t="n"/>
      <c r="D185" s="281" t="n"/>
      <c r="E185" s="281" t="n"/>
      <c r="F185" s="399" t="inlineStr">
        <is>
          <t>명</t>
        </is>
      </c>
      <c r="G185" s="335" t="n">
        <v>2</v>
      </c>
      <c r="H185" s="335" t="n">
        <v>2</v>
      </c>
      <c r="I185" s="335" t="n">
        <v>2</v>
      </c>
      <c r="J185" s="400" t="n">
        <v>3</v>
      </c>
      <c r="K185" s="400" t="n">
        <v>3</v>
      </c>
      <c r="L185" s="400" t="n">
        <v>3</v>
      </c>
      <c r="M185" s="400" t="n">
        <v>3</v>
      </c>
      <c r="N185" s="400" t="n">
        <v>3</v>
      </c>
      <c r="O185" s="401" t="n"/>
    </row>
    <row r="186" outlineLevel="1" ht="15" customHeight="1" s="282">
      <c r="A186" s="281" t="n"/>
      <c r="B186" s="396" t="inlineStr">
        <is>
          <t xml:space="preserve">SG&amp;A </t>
        </is>
      </c>
      <c r="C186" s="354" t="n"/>
      <c r="D186" s="354" t="n"/>
      <c r="E186" s="354" t="n"/>
      <c r="F186" s="402" t="inlineStr">
        <is>
          <t>명</t>
        </is>
      </c>
      <c r="G186" s="396" t="n">
        <v>1</v>
      </c>
      <c r="H186" s="396" t="n">
        <v>1</v>
      </c>
      <c r="I186" s="396" t="n">
        <v>1</v>
      </c>
      <c r="J186" s="403" t="n">
        <v>2</v>
      </c>
      <c r="K186" s="403" t="n">
        <v>2</v>
      </c>
      <c r="L186" s="403" t="n">
        <v>2</v>
      </c>
      <c r="M186" s="403" t="n">
        <v>2</v>
      </c>
      <c r="N186" s="403" t="n">
        <v>2</v>
      </c>
      <c r="O186" s="401" t="n"/>
    </row>
    <row r="187" outlineLevel="1" ht="12.75" customHeight="1" s="282">
      <c r="A187" s="281" t="n"/>
      <c r="B187" s="281" t="n"/>
      <c r="C187" s="281" t="n"/>
      <c r="D187" s="281" t="n"/>
      <c r="E187" s="281" t="n"/>
      <c r="F187" s="281" t="n"/>
      <c r="G187" s="281" t="n"/>
      <c r="H187" s="281" t="n"/>
      <c r="I187" s="281" t="n"/>
      <c r="J187" s="281" t="n"/>
      <c r="K187" s="281" t="n"/>
      <c r="L187" s="281" t="n"/>
      <c r="M187" s="281" t="n"/>
      <c r="N187" s="281" t="n"/>
      <c r="O187" s="281" t="n"/>
    </row>
    <row r="188" outlineLevel="1" ht="15" customHeight="1" s="282">
      <c r="A188" s="281" t="n"/>
      <c r="B188" s="396" t="inlineStr">
        <is>
          <t>[인당인건비]</t>
        </is>
      </c>
      <c r="C188" s="354" t="n"/>
      <c r="D188" s="354" t="n"/>
      <c r="E188" s="354" t="n"/>
      <c r="F188" s="354" t="n"/>
      <c r="G188" s="354" t="n"/>
      <c r="H188" s="354" t="n"/>
      <c r="I188" s="354" t="n"/>
      <c r="J188" s="354" t="n"/>
      <c r="K188" s="354" t="n"/>
      <c r="L188" s="354" t="n"/>
      <c r="M188" s="354" t="n"/>
      <c r="N188" s="354" t="n"/>
      <c r="O188" s="281" t="n"/>
    </row>
    <row r="189" outlineLevel="1" ht="13.5" customHeight="1" s="282">
      <c r="A189" s="281" t="n"/>
      <c r="B189" s="335" t="inlineStr">
        <is>
          <t xml:space="preserve">COGS </t>
        </is>
      </c>
      <c r="C189" s="281" t="n"/>
      <c r="D189" s="281" t="n"/>
      <c r="E189" s="404">
        <f>I189</f>
        <v/>
      </c>
      <c r="F189" s="347" t="inlineStr">
        <is>
          <t>KRW mn</t>
        </is>
      </c>
      <c r="G189" s="385">
        <f>IFERROR(G181/G185,)</f>
        <v/>
      </c>
      <c r="H189" s="385">
        <f>IFERROR(H181/H185,)</f>
        <v/>
      </c>
      <c r="I189" s="385">
        <f>IFERROR(I181/I185,)</f>
        <v/>
      </c>
      <c r="J189" s="281" t="n"/>
      <c r="K189" s="281" t="n"/>
      <c r="L189" s="281" t="n"/>
      <c r="M189" s="281" t="n"/>
      <c r="N189" s="281" t="n"/>
      <c r="O189" s="281" t="n"/>
    </row>
    <row r="190" outlineLevel="1" ht="13.5" customHeight="1" s="282">
      <c r="A190" s="281" t="n"/>
      <c r="B190" s="396" t="inlineStr">
        <is>
          <t xml:space="preserve">SG&amp;A </t>
        </is>
      </c>
      <c r="C190" s="354" t="n"/>
      <c r="D190" s="354" t="n"/>
      <c r="E190" s="405">
        <f>I190</f>
        <v/>
      </c>
      <c r="F190" s="397" t="inlineStr">
        <is>
          <t>KRW mn</t>
        </is>
      </c>
      <c r="G190" s="398">
        <f>IFERROR(G182/G186,)</f>
        <v/>
      </c>
      <c r="H190" s="398">
        <f>IFERROR(H182/H186,)</f>
        <v/>
      </c>
      <c r="I190" s="398">
        <f>IFERROR(I182/I186,)</f>
        <v/>
      </c>
      <c r="J190" s="354" t="n"/>
      <c r="K190" s="354" t="n"/>
      <c r="L190" s="354" t="n"/>
      <c r="M190" s="354" t="n"/>
      <c r="N190" s="354" t="n"/>
      <c r="O190" s="281" t="n"/>
    </row>
    <row r="191" outlineLevel="1" ht="12.75" customHeight="1" s="282">
      <c r="A191" s="281" t="n"/>
      <c r="B191" s="281" t="n"/>
      <c r="C191" s="281" t="n"/>
      <c r="D191" s="281" t="n"/>
      <c r="E191" s="281" t="n"/>
      <c r="F191" s="281" t="n"/>
      <c r="G191" s="281" t="n"/>
      <c r="H191" s="281" t="n"/>
      <c r="I191" s="281" t="n"/>
      <c r="J191" s="281" t="n"/>
      <c r="K191" s="281" t="n"/>
      <c r="L191" s="281" t="n"/>
      <c r="M191" s="281" t="n"/>
      <c r="N191" s="281" t="n"/>
      <c r="O191" s="281" t="n"/>
    </row>
    <row r="192" outlineLevel="1" ht="12.75" customHeight="1" s="282">
      <c r="A192" s="281" t="n"/>
      <c r="B192" s="325" t="inlineStr">
        <is>
          <t>7. Working Capital  Assumptions</t>
        </is>
      </c>
      <c r="C192" s="325" t="n"/>
      <c r="D192" s="333" t="n"/>
      <c r="E192" s="325" t="n"/>
      <c r="F192" s="325" t="n"/>
      <c r="G192" s="325" t="n"/>
      <c r="H192" s="325" t="n"/>
      <c r="I192" s="325" t="n"/>
      <c r="J192" s="325" t="n"/>
      <c r="K192" s="325" t="n"/>
      <c r="L192" s="325" t="n"/>
      <c r="M192" s="325" t="n"/>
      <c r="N192" s="325" t="n"/>
      <c r="O192" s="325" t="n"/>
    </row>
    <row r="193" outlineLevel="1" ht="12.75" customHeight="1" s="282">
      <c r="A193" s="281" t="n"/>
      <c r="B193" s="281" t="n"/>
      <c r="C193" s="281" t="n"/>
      <c r="D193" s="281" t="n"/>
      <c r="E193" s="281" t="n"/>
      <c r="F193" s="281" t="n"/>
      <c r="G193" s="281" t="n"/>
      <c r="H193" s="281" t="n"/>
      <c r="I193" s="281" t="n"/>
      <c r="J193" s="281" t="n"/>
      <c r="K193" s="281" t="n"/>
      <c r="L193" s="281" t="n"/>
      <c r="M193" s="281" t="n"/>
      <c r="N193" s="281" t="n"/>
      <c r="O193" s="281" t="n"/>
    </row>
    <row r="194" outlineLevel="1" ht="12.75" customHeight="1" s="282">
      <c r="A194" s="281" t="n"/>
      <c r="B194" s="396" t="inlineStr">
        <is>
          <t xml:space="preserve">[NWC] </t>
        </is>
      </c>
      <c r="C194" s="354" t="n"/>
      <c r="D194" s="354" t="n"/>
      <c r="E194" s="354" t="n"/>
      <c r="F194" s="354" t="n"/>
      <c r="G194" s="354" t="n"/>
      <c r="H194" s="354" t="n"/>
      <c r="I194" s="354" t="n"/>
      <c r="J194" s="354" t="n"/>
      <c r="K194" s="354" t="n"/>
      <c r="L194" s="354" t="n"/>
      <c r="M194" s="354" t="n"/>
      <c r="N194" s="354" t="n"/>
      <c r="O194" s="281" t="n"/>
    </row>
    <row r="195" outlineLevel="1" ht="15" customHeight="1" s="282">
      <c r="A195" s="281" t="n"/>
      <c r="B195" s="406" t="inlineStr">
        <is>
          <t>매출액</t>
        </is>
      </c>
      <c r="C195" s="281" t="n"/>
      <c r="D195" s="281" t="n"/>
      <c r="E195" s="281" t="n"/>
      <c r="F195" s="281" t="n"/>
      <c r="G195" s="385">
        <f>G28</f>
        <v/>
      </c>
      <c r="H195" s="385">
        <f>H28</f>
        <v/>
      </c>
      <c r="I195" s="385">
        <f>I28</f>
        <v/>
      </c>
      <c r="J195" s="281" t="n"/>
      <c r="K195" s="281" t="n"/>
      <c r="L195" s="281" t="n"/>
      <c r="M195" s="281" t="n"/>
      <c r="N195" s="281" t="n"/>
      <c r="O195" s="281" t="n"/>
    </row>
    <row r="196" outlineLevel="1" ht="15" customHeight="1" s="282">
      <c r="A196" s="281" t="n"/>
      <c r="B196" s="406" t="inlineStr">
        <is>
          <t>원가</t>
        </is>
      </c>
      <c r="C196" s="281" t="n"/>
      <c r="D196" s="281" t="n"/>
      <c r="E196" s="281" t="n"/>
      <c r="F196" s="281" t="n"/>
      <c r="G196" s="385">
        <f>G29</f>
        <v/>
      </c>
      <c r="H196" s="385">
        <f>H29</f>
        <v/>
      </c>
      <c r="I196" s="385">
        <f>I29</f>
        <v/>
      </c>
      <c r="J196" s="281" t="n"/>
      <c r="K196" s="281" t="n"/>
      <c r="L196" s="281" t="n"/>
      <c r="M196" s="281" t="n"/>
      <c r="N196" s="281" t="n"/>
      <c r="O196" s="281" t="n"/>
    </row>
    <row r="197" outlineLevel="1" ht="15" customHeight="1" s="282">
      <c r="A197" s="281" t="n"/>
      <c r="B197" s="335" t="inlineStr">
        <is>
          <t>Current assets</t>
        </is>
      </c>
      <c r="C197" s="281" t="n"/>
      <c r="D197" s="281" t="n"/>
      <c r="E197" s="281" t="n"/>
      <c r="F197" s="281" t="n"/>
      <c r="G197" s="360">
        <f>SUM(G198:G199)</f>
        <v/>
      </c>
      <c r="H197" s="360">
        <f>SUM(H198:H199)</f>
        <v/>
      </c>
      <c r="I197" s="360">
        <f>SUM(I198:I199)</f>
        <v/>
      </c>
      <c r="J197" s="281" t="n"/>
      <c r="K197" s="281" t="n"/>
      <c r="L197" s="281" t="n"/>
      <c r="M197" s="281" t="n"/>
      <c r="N197" s="281" t="n"/>
      <c r="O197" s="281" t="n"/>
    </row>
    <row r="198" outlineLevel="1" ht="15" customHeight="1" s="282">
      <c r="A198" s="281" t="n"/>
      <c r="B198" s="356" t="inlineStr">
        <is>
          <t>매출채권</t>
        </is>
      </c>
      <c r="C198" s="281" t="n"/>
      <c r="D198" s="281" t="n"/>
      <c r="E198" s="281" t="n"/>
      <c r="F198" s="281" t="n"/>
      <c r="G198" s="385">
        <f>G58</f>
        <v/>
      </c>
      <c r="H198" s="385">
        <f>H58</f>
        <v/>
      </c>
      <c r="I198" s="385">
        <f>I58</f>
        <v/>
      </c>
      <c r="J198" s="281" t="n"/>
      <c r="K198" s="281" t="n"/>
      <c r="L198" s="281" t="n"/>
      <c r="M198" s="281" t="n"/>
      <c r="N198" s="281" t="n"/>
      <c r="O198" s="281" t="n"/>
    </row>
    <row r="199" outlineLevel="1" ht="15" customHeight="1" s="282">
      <c r="A199" s="281" t="n"/>
      <c r="B199" s="356" t="inlineStr">
        <is>
          <t>재고자산</t>
        </is>
      </c>
      <c r="C199" s="281" t="n"/>
      <c r="D199" s="281" t="n"/>
      <c r="E199" s="281" t="n"/>
      <c r="F199" s="281" t="n"/>
      <c r="G199" s="385">
        <f>G59</f>
        <v/>
      </c>
      <c r="H199" s="385">
        <f>H59</f>
        <v/>
      </c>
      <c r="I199" s="385">
        <f>I59</f>
        <v/>
      </c>
      <c r="J199" s="281" t="n"/>
      <c r="K199" s="281" t="n"/>
      <c r="L199" s="281" t="n"/>
      <c r="M199" s="281" t="n"/>
      <c r="N199" s="281" t="n"/>
      <c r="O199" s="281" t="n"/>
    </row>
    <row r="200" outlineLevel="1" ht="15" customHeight="1" s="282">
      <c r="A200" s="281" t="n"/>
      <c r="B200" s="335" t="inlineStr">
        <is>
          <t>Current liabilities</t>
        </is>
      </c>
      <c r="C200" s="281" t="n"/>
      <c r="D200" s="281" t="n"/>
      <c r="E200" s="281" t="n"/>
      <c r="F200" s="281" t="n"/>
      <c r="G200" s="360">
        <f>SUM(G201)</f>
        <v/>
      </c>
      <c r="H200" s="360">
        <f>SUM(H201)</f>
        <v/>
      </c>
      <c r="I200" s="360">
        <f>SUM(I201)</f>
        <v/>
      </c>
      <c r="J200" s="281" t="n"/>
      <c r="K200" s="281" t="n"/>
      <c r="L200" s="281" t="n"/>
      <c r="M200" s="281" t="n"/>
      <c r="N200" s="281" t="n"/>
      <c r="O200" s="281" t="n"/>
    </row>
    <row r="201" outlineLevel="1" ht="15" customHeight="1" s="282">
      <c r="A201" s="281" t="n"/>
      <c r="B201" s="356" t="inlineStr">
        <is>
          <t>매입채무</t>
        </is>
      </c>
      <c r="C201" s="281" t="n"/>
      <c r="D201" s="281" t="n"/>
      <c r="E201" s="281" t="n"/>
      <c r="F201" s="281" t="n"/>
      <c r="G201" s="385">
        <f>G69</f>
        <v/>
      </c>
      <c r="H201" s="385">
        <f>H69</f>
        <v/>
      </c>
      <c r="I201" s="385">
        <f>I69</f>
        <v/>
      </c>
      <c r="J201" s="281" t="n"/>
      <c r="K201" s="281" t="n"/>
      <c r="L201" s="281" t="n"/>
      <c r="M201" s="281" t="n"/>
      <c r="N201" s="281" t="n"/>
      <c r="O201" s="281" t="n"/>
    </row>
    <row r="202" outlineLevel="1" ht="15" customHeight="1" s="282">
      <c r="A202" s="281" t="n"/>
      <c r="B202" s="335" t="inlineStr">
        <is>
          <t>Net working capital</t>
        </is>
      </c>
      <c r="C202" s="281" t="n"/>
      <c r="D202" s="281" t="n"/>
      <c r="E202" s="281" t="n"/>
      <c r="F202" s="281" t="n"/>
      <c r="G202" s="360">
        <f>G197-G200</f>
        <v/>
      </c>
      <c r="H202" s="360">
        <f>H197-H200</f>
        <v/>
      </c>
      <c r="I202" s="360">
        <f>I197-I200</f>
        <v/>
      </c>
      <c r="J202" s="281" t="n"/>
      <c r="K202" s="281" t="n"/>
      <c r="L202" s="281" t="n"/>
      <c r="M202" s="281" t="n"/>
      <c r="N202" s="281" t="n"/>
      <c r="O202" s="281" t="n"/>
    </row>
    <row r="203" outlineLevel="1" ht="12.75" customHeight="1" s="282">
      <c r="A203" s="281" t="n"/>
      <c r="B203" s="396" t="inlineStr">
        <is>
          <t xml:space="preserve">△Net working capital
</t>
        </is>
      </c>
      <c r="C203" s="354" t="n"/>
      <c r="D203" s="354" t="n"/>
      <c r="E203" s="354" t="n"/>
      <c r="F203" s="354" t="n"/>
      <c r="G203" s="354" t="n"/>
      <c r="H203" s="398">
        <f>-(H202-G202)</f>
        <v/>
      </c>
      <c r="I203" s="398">
        <f>-(I202-H202)</f>
        <v/>
      </c>
      <c r="J203" s="354" t="n"/>
      <c r="K203" s="354" t="n"/>
      <c r="L203" s="354" t="n"/>
      <c r="M203" s="354" t="n"/>
      <c r="N203" s="354" t="n"/>
      <c r="O203" s="281" t="n"/>
    </row>
    <row r="204" outlineLevel="1" ht="12.75" customHeight="1" s="282">
      <c r="A204" s="281" t="n"/>
      <c r="B204" s="281" t="n"/>
      <c r="C204" s="281" t="n"/>
      <c r="D204" s="281" t="n"/>
      <c r="E204" s="281" t="n"/>
      <c r="F204" s="281" t="n"/>
      <c r="G204" s="281" t="n"/>
      <c r="H204" s="281" t="n"/>
      <c r="I204" s="281" t="n"/>
      <c r="J204" s="281" t="n"/>
      <c r="K204" s="281" t="n"/>
      <c r="L204" s="281" t="n"/>
      <c r="M204" s="281" t="n"/>
      <c r="N204" s="281" t="n"/>
      <c r="O204" s="281" t="n"/>
    </row>
    <row r="205" outlineLevel="1" ht="15" customHeight="1" s="282">
      <c r="A205" s="281" t="n"/>
      <c r="B205" s="396" t="inlineStr">
        <is>
          <t xml:space="preserve">[회전기일] </t>
        </is>
      </c>
      <c r="C205" s="354" t="n"/>
      <c r="D205" s="354" t="n"/>
      <c r="E205" s="354" t="n"/>
      <c r="F205" s="354" t="n"/>
      <c r="G205" s="354" t="n"/>
      <c r="H205" s="354" t="n"/>
      <c r="I205" s="354" t="n"/>
      <c r="J205" s="354" t="n"/>
      <c r="K205" s="354" t="n"/>
      <c r="L205" s="354" t="n"/>
      <c r="M205" s="354" t="n"/>
      <c r="N205" s="354" t="n"/>
      <c r="O205" s="354" t="n"/>
    </row>
    <row r="206" outlineLevel="1" ht="13.5" customHeight="1" s="282">
      <c r="A206" s="281" t="n"/>
      <c r="B206" s="335" t="inlineStr">
        <is>
          <t>DSO, Year-end</t>
        </is>
      </c>
      <c r="C206" s="281" t="n"/>
      <c r="D206" s="281" t="n"/>
      <c r="E206" s="404">
        <f>I206</f>
        <v/>
      </c>
      <c r="F206" s="347" t="inlineStr">
        <is>
          <t>Days</t>
        </is>
      </c>
      <c r="G206" s="385">
        <f>G198/G195*G11</f>
        <v/>
      </c>
      <c r="H206" s="385">
        <f>H198/H195*H11</f>
        <v/>
      </c>
      <c r="I206" s="385">
        <f>I198/I195*I11</f>
        <v/>
      </c>
      <c r="J206" s="385">
        <f>$E206</f>
        <v/>
      </c>
      <c r="K206" s="385">
        <f>$E206</f>
        <v/>
      </c>
      <c r="L206" s="385">
        <f>$E206</f>
        <v/>
      </c>
      <c r="M206" s="385">
        <f>$E206</f>
        <v/>
      </c>
      <c r="N206" s="385">
        <f>$E206</f>
        <v/>
      </c>
      <c r="O206" s="385">
        <f>$E206</f>
        <v/>
      </c>
    </row>
    <row r="207" outlineLevel="1" ht="13.5" customHeight="1" s="282">
      <c r="A207" s="281" t="n"/>
      <c r="B207" s="335" t="inlineStr">
        <is>
          <t>DIO, Year-end</t>
        </is>
      </c>
      <c r="C207" s="281" t="n"/>
      <c r="D207" s="281" t="n"/>
      <c r="E207" s="379">
        <f>I207</f>
        <v/>
      </c>
      <c r="F207" s="347" t="inlineStr">
        <is>
          <t>Days</t>
        </is>
      </c>
      <c r="G207" s="385">
        <f>G199/G196*G11</f>
        <v/>
      </c>
      <c r="H207" s="385">
        <f>H199/H196*H11</f>
        <v/>
      </c>
      <c r="I207" s="385">
        <f>I199/I196*I11</f>
        <v/>
      </c>
      <c r="J207" s="385">
        <f>$E207</f>
        <v/>
      </c>
      <c r="K207" s="385">
        <f>$E207</f>
        <v/>
      </c>
      <c r="L207" s="385">
        <f>$E207</f>
        <v/>
      </c>
      <c r="M207" s="385">
        <f>$E207</f>
        <v/>
      </c>
      <c r="N207" s="385">
        <f>$E207</f>
        <v/>
      </c>
      <c r="O207" s="385">
        <f>$E207</f>
        <v/>
      </c>
    </row>
    <row r="208" outlineLevel="1" ht="13.5" customHeight="1" s="282">
      <c r="A208" s="281" t="n"/>
      <c r="B208" s="396" t="inlineStr">
        <is>
          <t>DPO, Year-end</t>
        </is>
      </c>
      <c r="C208" s="354" t="n"/>
      <c r="D208" s="354" t="n"/>
      <c r="E208" s="405">
        <f>I208</f>
        <v/>
      </c>
      <c r="F208" s="397" t="inlineStr">
        <is>
          <t>Days</t>
        </is>
      </c>
      <c r="G208" s="398">
        <f>G201/G196*G11</f>
        <v/>
      </c>
      <c r="H208" s="398">
        <f>H201/H196*H11</f>
        <v/>
      </c>
      <c r="I208" s="398">
        <f>I201/I196*I11</f>
        <v/>
      </c>
      <c r="J208" s="398">
        <f>$E208</f>
        <v/>
      </c>
      <c r="K208" s="398">
        <f>$E208</f>
        <v/>
      </c>
      <c r="L208" s="398">
        <f>$E208</f>
        <v/>
      </c>
      <c r="M208" s="398">
        <f>$E208</f>
        <v/>
      </c>
      <c r="N208" s="398">
        <f>$E208</f>
        <v/>
      </c>
      <c r="O208" s="398">
        <f>$E208</f>
        <v/>
      </c>
    </row>
    <row r="209" ht="12.75" customHeight="1" s="282">
      <c r="A209" s="281" t="n"/>
      <c r="B209" s="281" t="n"/>
      <c r="C209" s="281" t="n"/>
      <c r="D209" s="281" t="n"/>
      <c r="E209" s="281" t="n"/>
      <c r="F209" s="281" t="n"/>
      <c r="G209" s="281" t="n"/>
      <c r="H209" s="281" t="n"/>
      <c r="I209" s="281" t="n"/>
      <c r="J209" s="281" t="n"/>
      <c r="K209" s="281" t="n"/>
      <c r="L209" s="281" t="n"/>
      <c r="M209" s="281" t="n"/>
      <c r="N209" s="281" t="n"/>
      <c r="O209" s="281" t="n"/>
    </row>
    <row r="210" ht="15" customHeight="1" s="282">
      <c r="A210" s="281" t="n"/>
      <c r="B210" s="325" t="inlineStr">
        <is>
          <t>8. 영업외손익 &amp; 차입금</t>
        </is>
      </c>
      <c r="C210" s="325" t="n"/>
      <c r="D210" s="333" t="n"/>
      <c r="E210" s="325" t="n"/>
      <c r="F210" s="325" t="n"/>
      <c r="G210" s="325" t="n"/>
      <c r="H210" s="325" t="n"/>
      <c r="I210" s="325" t="n"/>
      <c r="J210" s="325" t="n"/>
      <c r="K210" s="325" t="n"/>
      <c r="L210" s="325" t="n"/>
      <c r="M210" s="325" t="n"/>
      <c r="N210" s="325" t="n"/>
      <c r="O210" s="325" t="n"/>
    </row>
    <row r="211" ht="12.75" customHeight="1" s="282">
      <c r="A211" s="281" t="n"/>
      <c r="B211" s="281" t="n"/>
      <c r="C211" s="281" t="n"/>
      <c r="D211" s="281" t="n"/>
      <c r="E211" s="281" t="n"/>
      <c r="F211" s="281" t="n"/>
      <c r="G211" s="281" t="n"/>
      <c r="H211" s="281" t="n"/>
      <c r="I211" s="281" t="n"/>
      <c r="J211" s="281" t="n"/>
      <c r="K211" s="281" t="n"/>
      <c r="L211" s="281" t="n"/>
      <c r="M211" s="281" t="n"/>
      <c r="N211" s="281" t="n"/>
      <c r="O211" s="281" t="n"/>
    </row>
    <row r="212" ht="15" customHeight="1" s="282">
      <c r="A212" s="281" t="n"/>
      <c r="B212" s="396" t="inlineStr">
        <is>
          <t xml:space="preserve">[영업외이익] </t>
        </is>
      </c>
      <c r="C212" s="354" t="n"/>
      <c r="D212" s="354" t="n"/>
      <c r="E212" s="354" t="n"/>
      <c r="F212" s="354" t="n"/>
      <c r="G212" s="354" t="n"/>
      <c r="H212" s="354" t="n"/>
      <c r="I212" s="354" t="n"/>
      <c r="J212" s="354" t="n"/>
      <c r="K212" s="354" t="n"/>
      <c r="L212" s="354" t="n"/>
      <c r="M212" s="354" t="n"/>
      <c r="N212" s="354" t="n"/>
      <c r="O212" s="281" t="n"/>
    </row>
    <row r="213" ht="15" customHeight="1" s="282">
      <c r="A213" s="281" t="n"/>
      <c r="B213" s="384" t="inlineStr">
        <is>
          <t>이자율</t>
        </is>
      </c>
      <c r="C213" s="281" t="n"/>
      <c r="D213" s="281" t="n"/>
      <c r="E213" s="407" t="n">
        <v>0.02</v>
      </c>
      <c r="F213" s="347" t="inlineStr">
        <is>
          <t>%</t>
        </is>
      </c>
      <c r="G213" s="281" t="n"/>
      <c r="H213" s="281" t="n"/>
      <c r="I213" s="281" t="n"/>
      <c r="J213" s="408">
        <f>$E213</f>
        <v/>
      </c>
      <c r="K213" s="408">
        <f>$E213</f>
        <v/>
      </c>
      <c r="L213" s="408">
        <f>$E213</f>
        <v/>
      </c>
      <c r="M213" s="408">
        <f>$E213</f>
        <v/>
      </c>
      <c r="N213" s="408">
        <f>$E213</f>
        <v/>
      </c>
      <c r="O213" s="409" t="n"/>
    </row>
    <row r="214" ht="13.5" customHeight="1" s="282">
      <c r="A214" s="281" t="n"/>
      <c r="B214" s="410" t="inlineStr">
        <is>
          <t>기타</t>
        </is>
      </c>
      <c r="C214" s="354" t="n"/>
      <c r="D214" s="354" t="n"/>
      <c r="E214" s="411">
        <f>I214</f>
        <v/>
      </c>
      <c r="F214" s="397" t="inlineStr">
        <is>
          <t>KRW mn</t>
        </is>
      </c>
      <c r="G214" s="398">
        <f>G47</f>
        <v/>
      </c>
      <c r="H214" s="398">
        <f>H47</f>
        <v/>
      </c>
      <c r="I214" s="398">
        <f>I47</f>
        <v/>
      </c>
      <c r="J214" s="412">
        <f>$E214</f>
        <v/>
      </c>
      <c r="K214" s="412">
        <f>$E214</f>
        <v/>
      </c>
      <c r="L214" s="412">
        <f>$E214</f>
        <v/>
      </c>
      <c r="M214" s="412">
        <f>$E214</f>
        <v/>
      </c>
      <c r="N214" s="412">
        <f>$E214</f>
        <v/>
      </c>
      <c r="O214" s="385" t="n"/>
    </row>
    <row r="215" ht="12.75" customHeight="1" s="282">
      <c r="A215" s="281" t="n"/>
      <c r="B215" s="281" t="n"/>
      <c r="C215" s="281" t="n"/>
      <c r="D215" s="281" t="n"/>
      <c r="E215" s="281" t="n"/>
      <c r="F215" s="281" t="n"/>
      <c r="G215" s="281" t="n"/>
      <c r="H215" s="281" t="n"/>
      <c r="I215" s="281" t="n"/>
      <c r="J215" s="281" t="n"/>
      <c r="K215" s="281" t="n"/>
      <c r="L215" s="281" t="n"/>
      <c r="M215" s="281" t="n"/>
      <c r="N215" s="281" t="n"/>
      <c r="O215" s="281" t="n"/>
    </row>
    <row r="216" ht="15" customHeight="1" s="282">
      <c r="A216" s="281" t="n"/>
      <c r="B216" s="396" t="inlineStr">
        <is>
          <t xml:space="preserve">[영업외비용] </t>
        </is>
      </c>
      <c r="C216" s="354" t="n"/>
      <c r="D216" s="354" t="n"/>
      <c r="E216" s="354" t="n"/>
      <c r="F216" s="354" t="n"/>
      <c r="G216" s="354" t="n"/>
      <c r="H216" s="354" t="n"/>
      <c r="I216" s="354" t="n"/>
      <c r="J216" s="354" t="n"/>
      <c r="K216" s="354" t="n"/>
      <c r="L216" s="354" t="n"/>
      <c r="M216" s="354" t="n"/>
      <c r="N216" s="354" t="n"/>
      <c r="O216" s="281" t="n"/>
    </row>
    <row r="217" ht="15" customHeight="1" s="282">
      <c r="A217" s="281" t="n"/>
      <c r="B217" s="384" t="inlineStr">
        <is>
          <t>이자비용</t>
        </is>
      </c>
      <c r="C217" s="281" t="n"/>
      <c r="D217" s="281" t="n"/>
      <c r="E217" s="407">
        <f>I217/AVERAGE(I221,I224)</f>
        <v/>
      </c>
      <c r="F217" s="347" t="inlineStr">
        <is>
          <t>KRW mn</t>
        </is>
      </c>
      <c r="G217" s="385">
        <f>G49</f>
        <v/>
      </c>
      <c r="H217" s="385">
        <f>H49</f>
        <v/>
      </c>
      <c r="I217" s="385">
        <f>I49</f>
        <v/>
      </c>
      <c r="J217" s="412">
        <f>$E$217*AVERAGE(J221,J224)</f>
        <v/>
      </c>
      <c r="K217" s="412">
        <f>$E$217*AVERAGE(K221,K224)</f>
        <v/>
      </c>
      <c r="L217" s="412">
        <f>$E$217*AVERAGE(L221,L224)</f>
        <v/>
      </c>
      <c r="M217" s="412">
        <f>$E$217*AVERAGE(M221,M224)</f>
        <v/>
      </c>
      <c r="N217" s="412">
        <f>$E$217*AVERAGE(N221,N224)</f>
        <v/>
      </c>
      <c r="O217" s="385" t="n"/>
    </row>
    <row r="218" ht="15" customHeight="1" s="282">
      <c r="A218" s="281" t="n"/>
      <c r="B218" s="410" t="inlineStr">
        <is>
          <t>기타</t>
        </is>
      </c>
      <c r="C218" s="354" t="n"/>
      <c r="D218" s="354" t="n"/>
      <c r="E218" s="411">
        <f>I218</f>
        <v/>
      </c>
      <c r="F218" s="397" t="inlineStr">
        <is>
          <t>KRW mn</t>
        </is>
      </c>
      <c r="G218" s="398">
        <f>G50</f>
        <v/>
      </c>
      <c r="H218" s="398">
        <f>H50</f>
        <v/>
      </c>
      <c r="I218" s="398">
        <f>I50</f>
        <v/>
      </c>
      <c r="J218" s="412">
        <f>$E218</f>
        <v/>
      </c>
      <c r="K218" s="412">
        <f>$E218</f>
        <v/>
      </c>
      <c r="L218" s="412">
        <f>$E218</f>
        <v/>
      </c>
      <c r="M218" s="412">
        <f>$E218</f>
        <v/>
      </c>
      <c r="N218" s="412">
        <f>$E218</f>
        <v/>
      </c>
      <c r="O218" s="385" t="n"/>
    </row>
    <row r="219" ht="12.75" customHeight="1" s="282">
      <c r="A219" s="281" t="n"/>
      <c r="B219" s="281" t="n"/>
      <c r="C219" s="281" t="n"/>
      <c r="D219" s="281" t="n"/>
      <c r="E219" s="281" t="n"/>
      <c r="F219" s="281" t="n"/>
      <c r="G219" s="281" t="n"/>
      <c r="H219" s="281" t="n"/>
      <c r="I219" s="281" t="n"/>
      <c r="J219" s="281" t="n"/>
      <c r="K219" s="281" t="n"/>
      <c r="L219" s="281" t="n"/>
      <c r="M219" s="281" t="n"/>
      <c r="N219" s="281" t="n"/>
      <c r="O219" s="281" t="n"/>
    </row>
    <row r="220" ht="15" customHeight="1" s="282">
      <c r="A220" s="281" t="n"/>
      <c r="B220" s="413" t="inlineStr">
        <is>
          <t>[차입금스케줄 -단기차입금]</t>
        </is>
      </c>
      <c r="C220" s="354" t="n"/>
      <c r="D220" s="354" t="n"/>
      <c r="E220" s="354" t="n"/>
      <c r="F220" s="354" t="n"/>
      <c r="G220" s="354" t="n"/>
      <c r="H220" s="354" t="n"/>
      <c r="I220" s="354" t="n"/>
      <c r="J220" s="354" t="n"/>
      <c r="K220" s="354" t="n"/>
      <c r="L220" s="354" t="n"/>
      <c r="M220" s="354" t="n"/>
      <c r="N220" s="354" t="n"/>
      <c r="O220" s="281" t="n"/>
    </row>
    <row r="221" ht="15" customHeight="1" s="282">
      <c r="A221" s="281" t="n"/>
      <c r="B221" s="384" t="inlineStr">
        <is>
          <t>기초</t>
        </is>
      </c>
      <c r="C221" s="281" t="n"/>
      <c r="D221" s="281" t="n"/>
      <c r="E221" s="281" t="n"/>
      <c r="F221" s="347" t="inlineStr">
        <is>
          <t>KRW mn</t>
        </is>
      </c>
      <c r="G221" s="281" t="n"/>
      <c r="H221" s="385">
        <f>G224</f>
        <v/>
      </c>
      <c r="I221" s="385">
        <f>H224</f>
        <v/>
      </c>
      <c r="J221" s="385">
        <f>I224</f>
        <v/>
      </c>
      <c r="K221" s="385">
        <f>J224</f>
        <v/>
      </c>
      <c r="L221" s="385">
        <f>K224</f>
        <v/>
      </c>
      <c r="M221" s="385">
        <f>L224</f>
        <v/>
      </c>
      <c r="N221" s="385">
        <f>M224</f>
        <v/>
      </c>
      <c r="O221" s="385" t="n"/>
    </row>
    <row r="222" ht="15" customHeight="1" s="282">
      <c r="A222" s="281" t="n"/>
      <c r="B222" s="414" t="inlineStr">
        <is>
          <t>(+)차입</t>
        </is>
      </c>
      <c r="C222" s="281" t="n"/>
      <c r="D222" s="281" t="n"/>
      <c r="E222" s="281" t="n"/>
      <c r="F222" s="347" t="inlineStr">
        <is>
          <t>KRW mn</t>
        </is>
      </c>
      <c r="G222" s="281" t="n"/>
      <c r="H222" s="281" t="n"/>
      <c r="I222" s="281" t="n"/>
      <c r="J222" s="374" t="n"/>
      <c r="K222" s="374" t="n"/>
      <c r="L222" s="374" t="n"/>
      <c r="M222" s="374" t="n"/>
      <c r="N222" s="374" t="n"/>
      <c r="O222" s="415" t="n"/>
    </row>
    <row r="223" ht="15" customHeight="1" s="282">
      <c r="A223" s="281" t="n"/>
      <c r="B223" s="414" t="inlineStr">
        <is>
          <t>(-)상환</t>
        </is>
      </c>
      <c r="C223" s="281" t="n"/>
      <c r="D223" s="281" t="n"/>
      <c r="E223" s="281" t="n"/>
      <c r="F223" s="347" t="inlineStr">
        <is>
          <t>KRW mn</t>
        </is>
      </c>
      <c r="G223" s="281" t="n"/>
      <c r="H223" s="281" t="n"/>
      <c r="I223" s="281" t="n"/>
      <c r="J223" s="346" t="n">
        <v>50</v>
      </c>
      <c r="K223" s="374" t="n"/>
      <c r="L223" s="374" t="n"/>
      <c r="M223" s="374" t="n"/>
      <c r="N223" s="374" t="n"/>
      <c r="O223" s="415" t="n"/>
    </row>
    <row r="224" ht="15" customHeight="1" s="282">
      <c r="A224" s="281" t="n"/>
      <c r="B224" s="410" t="inlineStr">
        <is>
          <t>기말</t>
        </is>
      </c>
      <c r="C224" s="354" t="n"/>
      <c r="D224" s="354" t="n"/>
      <c r="E224" s="354" t="n"/>
      <c r="F224" s="397" t="inlineStr">
        <is>
          <t>KRW mn</t>
        </is>
      </c>
      <c r="G224" s="398">
        <f>SUM(G71)</f>
        <v/>
      </c>
      <c r="H224" s="398">
        <f>SUM(H71)</f>
        <v/>
      </c>
      <c r="I224" s="398">
        <f>SUM(I71)</f>
        <v/>
      </c>
      <c r="J224" s="398">
        <f>J221+J222-J223</f>
        <v/>
      </c>
      <c r="K224" s="398">
        <f>K221+K222-K223</f>
        <v/>
      </c>
      <c r="L224" s="398">
        <f>L221+L222-L223</f>
        <v/>
      </c>
      <c r="M224" s="398">
        <f>M221+M222-M223</f>
        <v/>
      </c>
      <c r="N224" s="398">
        <f>N221+N222-N223</f>
        <v/>
      </c>
      <c r="O224" s="385" t="n"/>
    </row>
    <row r="225" ht="15" customHeight="1" s="282">
      <c r="A225" s="281" t="n"/>
      <c r="B225" s="384" t="n"/>
      <c r="C225" s="281" t="n"/>
      <c r="D225" s="281" t="n"/>
      <c r="E225" s="281" t="n"/>
      <c r="F225" s="347" t="n"/>
      <c r="G225" s="385" t="n"/>
      <c r="H225" s="385" t="n"/>
      <c r="I225" s="385" t="n"/>
      <c r="J225" s="385" t="n"/>
      <c r="K225" s="385" t="n"/>
      <c r="L225" s="385" t="n"/>
      <c r="M225" s="385" t="n"/>
      <c r="N225" s="385" t="n"/>
      <c r="O225" s="385" t="n"/>
    </row>
    <row r="226" ht="15" customHeight="1" s="282">
      <c r="A226" s="281" t="n"/>
      <c r="B226" s="413" t="inlineStr">
        <is>
          <t>[차입금스케줄 -장기차입금]</t>
        </is>
      </c>
      <c r="C226" s="354" t="n"/>
      <c r="D226" s="354" t="n"/>
      <c r="E226" s="354" t="n"/>
      <c r="F226" s="354" t="n"/>
      <c r="G226" s="354" t="n"/>
      <c r="H226" s="354" t="n"/>
      <c r="I226" s="354" t="n"/>
      <c r="J226" s="354" t="n"/>
      <c r="K226" s="354" t="n"/>
      <c r="L226" s="354" t="n"/>
      <c r="M226" s="354" t="n"/>
      <c r="N226" s="354" t="n"/>
      <c r="O226" s="281" t="n"/>
    </row>
    <row r="227" ht="15" customHeight="1" s="282">
      <c r="A227" s="281" t="n"/>
      <c r="B227" s="384" t="inlineStr">
        <is>
          <t>기초</t>
        </is>
      </c>
      <c r="C227" s="281" t="n"/>
      <c r="D227" s="281" t="n"/>
      <c r="E227" s="281" t="n"/>
      <c r="F227" s="347" t="inlineStr">
        <is>
          <t>KRW mn</t>
        </is>
      </c>
      <c r="G227" s="281" t="n"/>
      <c r="H227" s="385">
        <f>G230</f>
        <v/>
      </c>
      <c r="I227" s="385">
        <f>H230</f>
        <v/>
      </c>
      <c r="J227" s="385">
        <f>I230</f>
        <v/>
      </c>
      <c r="K227" s="385">
        <f>J230</f>
        <v/>
      </c>
      <c r="L227" s="385">
        <f>K230</f>
        <v/>
      </c>
      <c r="M227" s="385">
        <f>L230</f>
        <v/>
      </c>
      <c r="N227" s="385">
        <f>M230</f>
        <v/>
      </c>
      <c r="O227" s="385" t="n"/>
    </row>
    <row r="228" ht="15" customHeight="1" s="282">
      <c r="A228" s="281" t="n"/>
      <c r="B228" s="414" t="inlineStr">
        <is>
          <t>(+)차입</t>
        </is>
      </c>
      <c r="C228" s="281" t="n"/>
      <c r="D228" s="281" t="n"/>
      <c r="E228" s="281" t="n"/>
      <c r="F228" s="347" t="inlineStr">
        <is>
          <t>KRW mn</t>
        </is>
      </c>
      <c r="G228" s="281" t="n"/>
      <c r="H228" s="281" t="n"/>
      <c r="I228" s="281" t="n"/>
      <c r="J228" s="374" t="n"/>
      <c r="K228" s="416" t="n"/>
      <c r="L228" s="416" t="n"/>
      <c r="M228" s="416" t="n"/>
      <c r="N228" s="416" t="n"/>
      <c r="O228" s="281" t="n"/>
    </row>
    <row r="229" ht="15" customHeight="1" s="282">
      <c r="A229" s="281" t="n"/>
      <c r="B229" s="414" t="inlineStr">
        <is>
          <t>(-)상환</t>
        </is>
      </c>
      <c r="C229" s="281" t="n"/>
      <c r="D229" s="281" t="n"/>
      <c r="E229" s="281" t="n"/>
      <c r="F229" s="347" t="inlineStr">
        <is>
          <t>KRW mn</t>
        </is>
      </c>
      <c r="G229" s="281" t="n"/>
      <c r="H229" s="281" t="n"/>
      <c r="I229" s="281" t="n"/>
      <c r="J229" s="416" t="n"/>
      <c r="K229" s="416" t="n"/>
      <c r="L229" s="416" t="n"/>
      <c r="M229" s="416" t="n"/>
      <c r="N229" s="416" t="n"/>
      <c r="O229" s="281" t="n"/>
    </row>
    <row r="230" ht="15" customHeight="1" s="282">
      <c r="A230" s="281" t="n"/>
      <c r="B230" s="410" t="inlineStr">
        <is>
          <t>기말</t>
        </is>
      </c>
      <c r="C230" s="354" t="n"/>
      <c r="D230" s="354" t="n"/>
      <c r="E230" s="354" t="n"/>
      <c r="F230" s="397" t="inlineStr">
        <is>
          <t>KRW mn</t>
        </is>
      </c>
      <c r="G230" s="398">
        <f>SUM(G74)</f>
        <v/>
      </c>
      <c r="H230" s="398">
        <f>SUM(H74)</f>
        <v/>
      </c>
      <c r="I230" s="398">
        <f>SUM(I74)</f>
        <v/>
      </c>
      <c r="J230" s="398">
        <f>J227+J228-J229</f>
        <v/>
      </c>
      <c r="K230" s="398">
        <f>K227+K228-K229</f>
        <v/>
      </c>
      <c r="L230" s="398">
        <f>L227+L228-L229</f>
        <v/>
      </c>
      <c r="M230" s="398">
        <f>M227+M228-M229</f>
        <v/>
      </c>
      <c r="N230" s="398">
        <f>N227+N228-N229</f>
        <v/>
      </c>
      <c r="O230" s="385" t="n"/>
    </row>
    <row r="231" ht="15" customHeight="1" s="282">
      <c r="A231" s="281" t="n"/>
      <c r="B231" s="384" t="n"/>
      <c r="C231" s="281" t="n"/>
      <c r="D231" s="281" t="n"/>
      <c r="E231" s="281" t="n"/>
      <c r="F231" s="347" t="n"/>
      <c r="G231" s="385" t="n"/>
      <c r="H231" s="385" t="n"/>
      <c r="I231" s="385" t="n"/>
      <c r="J231" s="385" t="n"/>
      <c r="K231" s="385" t="n"/>
      <c r="L231" s="385" t="n"/>
      <c r="M231" s="385" t="n"/>
      <c r="N231" s="385" t="n"/>
      <c r="O231" s="385" t="n"/>
    </row>
    <row r="232" ht="15" customHeight="1" s="282">
      <c r="A232" s="281" t="n"/>
      <c r="B232" s="413" t="inlineStr">
        <is>
          <t>[차입금스케줄 -사채]</t>
        </is>
      </c>
      <c r="C232" s="354" t="n"/>
      <c r="D232" s="354" t="n"/>
      <c r="E232" s="354" t="n"/>
      <c r="F232" s="354" t="n"/>
      <c r="G232" s="354" t="n"/>
      <c r="H232" s="354" t="n"/>
      <c r="I232" s="354" t="n"/>
      <c r="J232" s="354" t="n"/>
      <c r="K232" s="354" t="n"/>
      <c r="L232" s="354" t="n"/>
      <c r="M232" s="354" t="n"/>
      <c r="N232" s="354" t="n"/>
      <c r="O232" s="281" t="n"/>
    </row>
    <row r="233" ht="15" customHeight="1" s="282">
      <c r="A233" s="281" t="n"/>
      <c r="B233" s="384" t="inlineStr">
        <is>
          <t>기초</t>
        </is>
      </c>
      <c r="C233" s="281" t="n"/>
      <c r="D233" s="281" t="n"/>
      <c r="E233" s="281" t="n"/>
      <c r="F233" s="347" t="inlineStr">
        <is>
          <t>KRW mn</t>
        </is>
      </c>
      <c r="G233" s="281" t="n"/>
      <c r="H233" s="385">
        <f>G236</f>
        <v/>
      </c>
      <c r="I233" s="385">
        <f>H236</f>
        <v/>
      </c>
      <c r="J233" s="385">
        <f>I236</f>
        <v/>
      </c>
      <c r="K233" s="385">
        <f>J236</f>
        <v/>
      </c>
      <c r="L233" s="385">
        <f>K236</f>
        <v/>
      </c>
      <c r="M233" s="385">
        <f>L236</f>
        <v/>
      </c>
      <c r="N233" s="385">
        <f>M236</f>
        <v/>
      </c>
      <c r="O233" s="385" t="n"/>
    </row>
    <row r="234" ht="15" customHeight="1" s="282">
      <c r="A234" s="281" t="n"/>
      <c r="B234" s="414" t="inlineStr">
        <is>
          <t>(+)차입</t>
        </is>
      </c>
      <c r="C234" s="281" t="n"/>
      <c r="D234" s="281" t="n"/>
      <c r="E234" s="281" t="n"/>
      <c r="F234" s="347" t="inlineStr">
        <is>
          <t>KRW mn</t>
        </is>
      </c>
      <c r="G234" s="281" t="n"/>
      <c r="H234" s="281" t="n"/>
      <c r="I234" s="281" t="n"/>
      <c r="J234" s="374" t="n"/>
      <c r="K234" s="416" t="n"/>
      <c r="L234" s="416" t="n"/>
      <c r="M234" s="416" t="n"/>
      <c r="N234" s="416" t="n"/>
      <c r="O234" s="281" t="n"/>
    </row>
    <row r="235" ht="15" customHeight="1" s="282">
      <c r="A235" s="281" t="n"/>
      <c r="B235" s="414" t="inlineStr">
        <is>
          <t>(-)상환</t>
        </is>
      </c>
      <c r="C235" s="281" t="n"/>
      <c r="D235" s="281" t="n"/>
      <c r="E235" s="281" t="n"/>
      <c r="F235" s="347" t="inlineStr">
        <is>
          <t>KRW mn</t>
        </is>
      </c>
      <c r="G235" s="281" t="n"/>
      <c r="H235" s="281" t="n"/>
      <c r="I235" s="281" t="n"/>
      <c r="J235" s="416" t="n"/>
      <c r="K235" s="416" t="n"/>
      <c r="L235" s="416" t="n"/>
      <c r="M235" s="416" t="n"/>
      <c r="N235" s="416" t="n"/>
      <c r="O235" s="281" t="n"/>
    </row>
    <row r="236" ht="15" customHeight="1" s="282">
      <c r="A236" s="281" t="n"/>
      <c r="B236" s="410" t="inlineStr">
        <is>
          <t>기말</t>
        </is>
      </c>
      <c r="C236" s="354" t="n"/>
      <c r="D236" s="354" t="n"/>
      <c r="E236" s="354" t="n"/>
      <c r="F236" s="397" t="inlineStr">
        <is>
          <t>KRW mn</t>
        </is>
      </c>
      <c r="G236" s="398">
        <f>SUM(G75)</f>
        <v/>
      </c>
      <c r="H236" s="398">
        <f>SUM(H75)</f>
        <v/>
      </c>
      <c r="I236" s="398">
        <f>SUM(I75)</f>
        <v/>
      </c>
      <c r="J236" s="398">
        <f>J233+J234-J235</f>
        <v/>
      </c>
      <c r="K236" s="398">
        <f>K233+K234-K235</f>
        <v/>
      </c>
      <c r="L236" s="398">
        <f>L233+L234-L235</f>
        <v/>
      </c>
      <c r="M236" s="398">
        <f>M233+M234-M235</f>
        <v/>
      </c>
      <c r="N236" s="398">
        <f>N233+N234-N235</f>
        <v/>
      </c>
      <c r="O236" s="385" t="n"/>
    </row>
    <row r="237" ht="15" customHeight="1" s="282">
      <c r="A237" s="281" t="n"/>
      <c r="B237" s="384" t="n"/>
      <c r="C237" s="281" t="n"/>
      <c r="D237" s="281" t="n"/>
      <c r="E237" s="281" t="n"/>
      <c r="F237" s="347" t="n"/>
      <c r="G237" s="385" t="n"/>
      <c r="H237" s="385" t="n"/>
      <c r="I237" s="385" t="n"/>
      <c r="J237" s="385" t="n"/>
      <c r="K237" s="385" t="n"/>
      <c r="L237" s="385" t="n"/>
      <c r="M237" s="385" t="n"/>
      <c r="N237" s="385" t="n"/>
      <c r="O237" s="385" t="n"/>
    </row>
    <row r="238" ht="12.75" customHeight="1" s="282">
      <c r="A238" s="281" t="n"/>
      <c r="B238" s="281" t="n"/>
      <c r="C238" s="281" t="n"/>
      <c r="D238" s="281" t="n"/>
      <c r="E238" s="281" t="n"/>
      <c r="F238" s="281" t="n"/>
      <c r="G238" s="281" t="n"/>
      <c r="H238" s="281" t="n"/>
      <c r="I238" s="281" t="n"/>
      <c r="J238" s="281" t="n"/>
      <c r="K238" s="281" t="n"/>
      <c r="L238" s="281" t="n"/>
      <c r="M238" s="281" t="n"/>
      <c r="N238" s="281" t="n"/>
      <c r="O238" s="281" t="n"/>
    </row>
    <row r="239" ht="12.75" customHeight="1" s="282">
      <c r="A239" s="281" t="n"/>
      <c r="B239" s="325" t="inlineStr">
        <is>
          <t>9. Net debt &amp; NOA</t>
        </is>
      </c>
      <c r="C239" s="325" t="n"/>
      <c r="D239" s="333" t="n"/>
      <c r="E239" s="325" t="n"/>
      <c r="F239" s="325" t="n"/>
      <c r="G239" s="325" t="n"/>
      <c r="H239" s="325" t="n"/>
      <c r="I239" s="325" t="n"/>
      <c r="J239" s="325" t="n"/>
      <c r="K239" s="325" t="n"/>
      <c r="L239" s="325" t="n"/>
      <c r="M239" s="325" t="n"/>
      <c r="N239" s="325" t="n"/>
      <c r="O239" s="325" t="n"/>
    </row>
    <row r="240" ht="12.75" customHeight="1" s="282">
      <c r="A240" s="281" t="n"/>
      <c r="B240" s="281" t="n"/>
      <c r="C240" s="281" t="n"/>
      <c r="D240" s="281" t="n"/>
      <c r="E240" s="281" t="n"/>
      <c r="F240" s="281" t="n"/>
      <c r="G240" s="281" t="n"/>
      <c r="H240" s="281" t="n"/>
      <c r="I240" s="281" t="n"/>
      <c r="J240" s="281" t="n"/>
      <c r="K240" s="281" t="n"/>
      <c r="L240" s="281" t="n"/>
      <c r="M240" s="281" t="n"/>
      <c r="N240" s="281" t="n"/>
      <c r="O240" s="281" t="n"/>
    </row>
    <row r="241" ht="12.75" customHeight="1" s="282">
      <c r="A241" s="281" t="n"/>
      <c r="B241" s="396" t="inlineStr">
        <is>
          <t>[Net debt]</t>
        </is>
      </c>
      <c r="C241" s="354" t="n"/>
      <c r="D241" s="354" t="n"/>
      <c r="E241" s="354" t="n"/>
      <c r="F241" s="354" t="n"/>
      <c r="G241" s="396" t="inlineStr">
        <is>
          <t>On-BS</t>
        </is>
      </c>
      <c r="H241" s="396" t="inlineStr">
        <is>
          <t>Off-BS</t>
        </is>
      </c>
      <c r="I241" s="396">
        <f>I55</f>
        <v/>
      </c>
      <c r="J241" s="354" t="n"/>
      <c r="K241" s="354" t="n"/>
      <c r="L241" s="354" t="n"/>
      <c r="M241" s="354" t="n"/>
      <c r="N241" s="354" t="n"/>
      <c r="O241" s="281" t="n"/>
    </row>
    <row r="242" ht="12.75" customHeight="1" s="282">
      <c r="A242" s="281" t="n"/>
      <c r="B242" s="335" t="inlineStr">
        <is>
          <t>Cash-like items</t>
        </is>
      </c>
      <c r="C242" s="281" t="n"/>
      <c r="D242" s="281" t="n"/>
      <c r="E242" s="281" t="n"/>
      <c r="F242" s="281" t="n"/>
      <c r="G242" s="417">
        <f>SUM(G243)</f>
        <v/>
      </c>
      <c r="H242" s="417">
        <f>SUM(H243)</f>
        <v/>
      </c>
      <c r="I242" s="417">
        <f>G242+H242</f>
        <v/>
      </c>
      <c r="J242" s="281" t="n"/>
      <c r="K242" s="281" t="n"/>
      <c r="L242" s="281" t="n"/>
      <c r="M242" s="281" t="n"/>
      <c r="N242" s="281" t="n"/>
      <c r="O242" s="281" t="n"/>
    </row>
    <row r="243" ht="12.75" customHeight="1" s="282">
      <c r="A243" s="281" t="n"/>
      <c r="B243" s="356" t="inlineStr">
        <is>
          <t>현금및현금성자산</t>
        </is>
      </c>
      <c r="C243" s="281" t="n"/>
      <c r="D243" s="281" t="n"/>
      <c r="E243" s="281" t="n"/>
      <c r="F243" s="281" t="n"/>
      <c r="G243" s="418">
        <f>-I57</f>
        <v/>
      </c>
      <c r="H243" s="419" t="n"/>
      <c r="I243" s="418">
        <f>G243+H243</f>
        <v/>
      </c>
      <c r="J243" s="281" t="n"/>
      <c r="K243" s="281" t="n"/>
      <c r="L243" s="281" t="n"/>
      <c r="M243" s="281" t="n"/>
      <c r="N243" s="281" t="n"/>
      <c r="O243" s="281" t="n"/>
    </row>
    <row r="244" ht="12.75" customHeight="1" s="282">
      <c r="A244" s="281" t="n"/>
      <c r="B244" s="335" t="inlineStr">
        <is>
          <t>Debt-like items</t>
        </is>
      </c>
      <c r="C244" s="281" t="n"/>
      <c r="D244" s="281" t="n"/>
      <c r="E244" s="281" t="n"/>
      <c r="F244" s="281" t="n"/>
      <c r="G244" s="420">
        <f>SUM(G245:G247)</f>
        <v/>
      </c>
      <c r="H244" s="420">
        <f>SUM(H245:H247)</f>
        <v/>
      </c>
      <c r="I244" s="420">
        <f>G244+H244</f>
        <v/>
      </c>
      <c r="J244" s="281" t="n"/>
      <c r="K244" s="281" t="n"/>
      <c r="L244" s="281" t="n"/>
      <c r="M244" s="281" t="n"/>
      <c r="N244" s="281" t="n"/>
      <c r="O244" s="281" t="n"/>
    </row>
    <row r="245" ht="12.75" customHeight="1" s="282">
      <c r="A245" s="281" t="n"/>
      <c r="B245" s="356" t="inlineStr">
        <is>
          <t>장단기차입금</t>
        </is>
      </c>
      <c r="C245" s="281" t="n"/>
      <c r="D245" s="281" t="n"/>
      <c r="E245" s="281" t="n"/>
      <c r="F245" s="281" t="n"/>
      <c r="G245" s="418">
        <f>I71+I74</f>
        <v/>
      </c>
      <c r="H245" s="419" t="n"/>
      <c r="I245" s="418">
        <f>G245+H245</f>
        <v/>
      </c>
      <c r="J245" s="281" t="n"/>
      <c r="K245" s="281" t="n"/>
      <c r="L245" s="281" t="n"/>
      <c r="M245" s="281" t="n"/>
      <c r="N245" s="281" t="n"/>
      <c r="O245" s="281" t="n"/>
    </row>
    <row r="246" ht="15" customHeight="1" s="282">
      <c r="A246" s="281" t="n"/>
      <c r="B246" s="356" t="inlineStr">
        <is>
          <t>사채</t>
        </is>
      </c>
      <c r="C246" s="281" t="n"/>
      <c r="D246" s="281" t="n"/>
      <c r="E246" s="281" t="n"/>
      <c r="F246" s="281" t="n"/>
      <c r="G246" s="419" t="n"/>
      <c r="H246" s="419" t="n"/>
      <c r="I246" s="418">
        <f>G246+H246</f>
        <v/>
      </c>
      <c r="J246" s="281" t="n"/>
      <c r="K246" s="281" t="n"/>
      <c r="L246" s="281" t="n"/>
      <c r="M246" s="281" t="n"/>
      <c r="N246" s="281" t="n"/>
      <c r="O246" s="281" t="n"/>
    </row>
    <row r="247" ht="15" customHeight="1" s="282">
      <c r="A247" s="281" t="n"/>
      <c r="B247" s="356" t="inlineStr">
        <is>
          <t>리스부채</t>
        </is>
      </c>
      <c r="C247" s="281" t="n"/>
      <c r="D247" s="281" t="n"/>
      <c r="E247" s="281" t="n"/>
      <c r="F247" s="281" t="n"/>
      <c r="G247" s="419" t="n"/>
      <c r="H247" s="419" t="n"/>
      <c r="I247" s="418">
        <f>G247+H247</f>
        <v/>
      </c>
      <c r="J247" s="281" t="n"/>
      <c r="K247" s="281" t="n"/>
      <c r="L247" s="281" t="n"/>
      <c r="M247" s="281" t="n"/>
      <c r="N247" s="281" t="n"/>
      <c r="O247" s="281" t="n"/>
    </row>
    <row r="248" ht="12.75" customHeight="1" s="282">
      <c r="A248" s="281" t="n"/>
      <c r="B248" s="396" t="inlineStr">
        <is>
          <t>Net debt (Cash)</t>
        </is>
      </c>
      <c r="C248" s="354" t="n"/>
      <c r="D248" s="354" t="n"/>
      <c r="E248" s="354" t="n"/>
      <c r="F248" s="354" t="n"/>
      <c r="G248" s="420">
        <f>G242+G244</f>
        <v/>
      </c>
      <c r="H248" s="420">
        <f>H242+H244</f>
        <v/>
      </c>
      <c r="I248" s="420">
        <f>G248+H248</f>
        <v/>
      </c>
      <c r="J248" s="354" t="n"/>
      <c r="K248" s="354" t="n"/>
      <c r="L248" s="354" t="n"/>
      <c r="M248" s="354" t="n"/>
      <c r="N248" s="354" t="n"/>
      <c r="O248" s="281" t="n"/>
    </row>
    <row r="249" ht="12.75" customHeight="1" s="282">
      <c r="A249" s="281" t="n"/>
      <c r="B249" s="281" t="n"/>
      <c r="C249" s="281" t="n"/>
      <c r="D249" s="281" t="n"/>
      <c r="E249" s="281" t="n"/>
      <c r="F249" s="281" t="n"/>
      <c r="G249" s="281" t="n"/>
      <c r="H249" s="281" t="n"/>
      <c r="I249" s="281" t="n"/>
      <c r="J249" s="281" t="n"/>
      <c r="K249" s="281" t="n"/>
      <c r="L249" s="281" t="n"/>
      <c r="M249" s="281" t="n"/>
      <c r="N249" s="281" t="n"/>
      <c r="O249" s="281" t="n"/>
    </row>
    <row r="250" ht="12.75" customHeight="1" s="282">
      <c r="A250" s="281" t="n"/>
      <c r="B250" s="396" t="inlineStr">
        <is>
          <t>[NOA]</t>
        </is>
      </c>
      <c r="C250" s="354" t="n"/>
      <c r="D250" s="354" t="n"/>
      <c r="E250" s="354" t="n"/>
      <c r="F250" s="354" t="n"/>
      <c r="G250" s="354" t="n"/>
      <c r="H250" s="354" t="n"/>
      <c r="I250" s="396">
        <f>I55</f>
        <v/>
      </c>
      <c r="J250" s="354" t="n"/>
      <c r="K250" s="354" t="n"/>
      <c r="L250" s="354" t="n"/>
      <c r="M250" s="354" t="n"/>
      <c r="N250" s="354" t="n"/>
      <c r="O250" s="281" t="n"/>
    </row>
    <row r="251" ht="15" customHeight="1" s="282">
      <c r="A251" s="281" t="n"/>
      <c r="B251" s="384" t="inlineStr">
        <is>
          <t xml:space="preserve">매도가능증권 </t>
        </is>
      </c>
      <c r="C251" s="281" t="n"/>
      <c r="D251" s="281" t="n"/>
      <c r="E251" s="281" t="n"/>
      <c r="F251" s="281" t="n"/>
      <c r="G251" s="281" t="n"/>
      <c r="H251" s="281" t="n"/>
      <c r="I251" s="421" t="n"/>
      <c r="J251" s="281" t="n"/>
      <c r="K251" s="281" t="n"/>
      <c r="L251" s="281" t="n"/>
      <c r="M251" s="281" t="n"/>
      <c r="N251" s="281" t="n"/>
      <c r="O251" s="281" t="n"/>
    </row>
    <row r="252" ht="15" customHeight="1" s="282">
      <c r="A252" s="281" t="n"/>
      <c r="B252" s="384" t="inlineStr">
        <is>
          <t>지분법투자주식</t>
        </is>
      </c>
      <c r="C252" s="281" t="n"/>
      <c r="D252" s="281" t="n"/>
      <c r="E252" s="281" t="n"/>
      <c r="F252" s="281" t="n"/>
      <c r="G252" s="281" t="n"/>
      <c r="H252" s="281" t="n"/>
      <c r="I252" s="421" t="n"/>
      <c r="J252" s="281" t="n"/>
      <c r="K252" s="281" t="n"/>
      <c r="L252" s="281" t="n"/>
      <c r="M252" s="281" t="n"/>
      <c r="N252" s="281" t="n"/>
      <c r="O252" s="281" t="n"/>
    </row>
    <row r="253" ht="12.75" customHeight="1" s="282">
      <c r="A253" s="281" t="n"/>
      <c r="B253" s="396" t="inlineStr">
        <is>
          <t>Total NOA</t>
        </is>
      </c>
      <c r="C253" s="354" t="n"/>
      <c r="D253" s="354" t="n"/>
      <c r="E253" s="354" t="n"/>
      <c r="F253" s="354" t="n"/>
      <c r="G253" s="354" t="n"/>
      <c r="H253" s="354" t="n"/>
      <c r="I253" s="422">
        <f>SUM(I251)</f>
        <v/>
      </c>
      <c r="J253" s="354" t="n"/>
      <c r="K253" s="354" t="n"/>
      <c r="L253" s="354" t="n"/>
      <c r="M253" s="354" t="n"/>
      <c r="N253" s="354" t="n"/>
      <c r="O253" s="28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200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baseColWidth="8" defaultColWidth="8.6953125" defaultRowHeight="12.75" customHeight="1" zeroHeight="1" outlineLevelRow="0"/>
  <cols>
    <col width="1.68" customWidth="1" style="323" min="1" max="1"/>
    <col width="28.69" customWidth="1" style="323" min="2" max="2"/>
    <col width="1.68" customWidth="1" style="323" min="3" max="4"/>
    <col width="10.38" customWidth="1" style="323" min="5" max="5"/>
    <col width="8.69" customWidth="1" style="323" min="6" max="6"/>
    <col width="10" customWidth="1" style="323" min="7" max="15"/>
    <col width="1.68" customWidth="1" style="323" min="16" max="16"/>
    <col hidden="1" width="9.130000000000001" customWidth="1" style="323" min="17" max="323"/>
    <col hidden="1" width="8.69" customWidth="1" style="323" min="324" max="16384"/>
  </cols>
  <sheetData>
    <row r="1" ht="24" customHeight="1" s="282">
      <c r="A1" s="281" t="n"/>
      <c r="B1" s="324">
        <f>Legend!D2</f>
        <v/>
      </c>
      <c r="C1" s="325" t="n"/>
      <c r="D1" s="325" t="n"/>
      <c r="E1" s="325" t="n"/>
      <c r="F1" s="325" t="n"/>
      <c r="G1" s="325" t="n"/>
      <c r="H1" s="325" t="n"/>
      <c r="I1" s="326" t="n"/>
      <c r="J1" s="326" t="n"/>
      <c r="K1" s="326" t="n"/>
      <c r="L1" s="326" t="n"/>
      <c r="M1" s="326" t="n"/>
      <c r="N1" s="327" t="n"/>
      <c r="O1" s="327" t="n"/>
    </row>
    <row r="2" ht="12.75" customHeight="1" s="282">
      <c r="A2" s="281" t="n"/>
      <c r="B2" s="328" t="inlineStr">
        <is>
          <t>Calculations</t>
        </is>
      </c>
      <c r="C2" s="329" t="n"/>
      <c r="D2" s="329" t="n"/>
      <c r="E2" s="329" t="n"/>
      <c r="F2" s="329" t="n"/>
      <c r="G2" s="330" t="n"/>
      <c r="H2" s="331" t="n"/>
      <c r="I2" s="332" t="n"/>
      <c r="J2" s="332" t="n"/>
      <c r="K2" s="332" t="n"/>
      <c r="L2" s="332" t="n"/>
      <c r="M2" s="332" t="n"/>
      <c r="N2" s="332" t="n"/>
      <c r="O2" s="332" t="n"/>
    </row>
    <row r="3" ht="12.75" customHeight="1" s="282">
      <c r="A3" s="281" t="n"/>
      <c r="B3" s="281" t="n"/>
      <c r="C3" s="281" t="n"/>
      <c r="D3" s="281" t="n"/>
      <c r="E3" s="281" t="n"/>
      <c r="F3" s="281" t="n"/>
      <c r="G3" s="281" t="n"/>
      <c r="H3" s="281" t="n"/>
      <c r="I3" s="281" t="n"/>
      <c r="J3" s="281" t="n"/>
      <c r="K3" s="281" t="n"/>
      <c r="L3" s="281" t="n"/>
      <c r="M3" s="281" t="n"/>
      <c r="N3" s="281" t="n"/>
      <c r="O3" s="281" t="n"/>
    </row>
    <row r="4" ht="12.75" customHeight="1" s="282">
      <c r="A4" s="281" t="n"/>
      <c r="B4" s="325" t="inlineStr">
        <is>
          <t>Time Period</t>
        </is>
      </c>
      <c r="C4" s="333" t="n"/>
      <c r="D4" s="333" t="n"/>
      <c r="E4" s="333" t="n"/>
      <c r="F4" s="333" t="n"/>
      <c r="G4" s="333" t="n"/>
      <c r="H4" s="333" t="n"/>
      <c r="I4" s="333" t="n"/>
      <c r="J4" s="333" t="n"/>
      <c r="K4" s="333" t="n"/>
      <c r="L4" s="333" t="n"/>
      <c r="M4" s="333" t="n"/>
      <c r="N4" s="333" t="n"/>
      <c r="O4" s="333" t="n"/>
    </row>
    <row r="5" ht="12.75" customHeight="1" s="282">
      <c r="A5" s="281" t="n"/>
      <c r="B5" s="334" t="n"/>
      <c r="C5" s="334" t="n"/>
      <c r="D5" s="334" t="n"/>
      <c r="E5" s="334" t="n"/>
      <c r="F5" s="334" t="n"/>
      <c r="G5" s="334" t="n"/>
      <c r="H5" s="334" t="n"/>
      <c r="I5" s="334" t="n"/>
      <c r="J5" s="334" t="n"/>
      <c r="K5" s="334" t="n"/>
      <c r="L5" s="334" t="n"/>
      <c r="M5" s="334" t="n"/>
      <c r="N5" s="334" t="n"/>
      <c r="O5" s="334" t="n"/>
    </row>
    <row r="6" ht="12.75" customHeight="1" s="282">
      <c r="A6" s="281" t="n"/>
      <c r="B6" s="335" t="inlineStr">
        <is>
          <t>Actual/Forecast</t>
        </is>
      </c>
      <c r="C6" s="336" t="n"/>
      <c r="D6" s="336" t="n"/>
      <c r="E6" s="336" t="n"/>
      <c r="F6" s="336" t="n"/>
      <c r="G6" s="334">
        <f>Input!G6</f>
        <v/>
      </c>
      <c r="H6" s="334">
        <f>Input!H6</f>
        <v/>
      </c>
      <c r="I6" s="334">
        <f>Input!I6</f>
        <v/>
      </c>
      <c r="J6" s="334">
        <f>Input!J6</f>
        <v/>
      </c>
      <c r="K6" s="334">
        <f>Input!K6</f>
        <v/>
      </c>
      <c r="L6" s="334">
        <f>Input!L6</f>
        <v/>
      </c>
      <c r="M6" s="334">
        <f>Input!M6</f>
        <v/>
      </c>
      <c r="N6" s="334">
        <f>Input!N6</f>
        <v/>
      </c>
      <c r="O6" s="334">
        <f>Input!O6</f>
        <v/>
      </c>
    </row>
    <row r="7" ht="12.75" customHeight="1" s="282">
      <c r="A7" s="281" t="n"/>
      <c r="B7" s="334" t="inlineStr">
        <is>
          <t>Period Start</t>
        </is>
      </c>
      <c r="C7" s="334" t="n"/>
      <c r="D7" s="338" t="n"/>
      <c r="E7" s="338" t="n"/>
      <c r="F7" s="338" t="n"/>
      <c r="G7" s="337">
        <f>Input!G7</f>
        <v/>
      </c>
      <c r="H7" s="337">
        <f>Input!H7</f>
        <v/>
      </c>
      <c r="I7" s="337">
        <f>Input!I7</f>
        <v/>
      </c>
      <c r="J7" s="337">
        <f>Input!J7</f>
        <v/>
      </c>
      <c r="K7" s="337">
        <f>Input!K7</f>
        <v/>
      </c>
      <c r="L7" s="337">
        <f>Input!L7</f>
        <v/>
      </c>
      <c r="M7" s="337">
        <f>Input!M7</f>
        <v/>
      </c>
      <c r="N7" s="337">
        <f>Input!N7</f>
        <v/>
      </c>
      <c r="O7" s="337" t="inlineStr">
        <is>
          <t>TV</t>
        </is>
      </c>
    </row>
    <row r="8" ht="12.75" customHeight="1" s="282">
      <c r="A8" s="281" t="n"/>
      <c r="B8" s="334" t="inlineStr">
        <is>
          <t>Period End</t>
        </is>
      </c>
      <c r="C8" s="334" t="n"/>
      <c r="D8" s="338" t="n"/>
      <c r="E8" s="338" t="n"/>
      <c r="F8" s="338" t="n"/>
      <c r="G8" s="337">
        <f>Input!G8</f>
        <v/>
      </c>
      <c r="H8" s="337">
        <f>Input!H8</f>
        <v/>
      </c>
      <c r="I8" s="337">
        <f>Input!I8</f>
        <v/>
      </c>
      <c r="J8" s="337">
        <f>Input!J8</f>
        <v/>
      </c>
      <c r="K8" s="337">
        <f>Input!K8</f>
        <v/>
      </c>
      <c r="L8" s="337">
        <f>Input!L8</f>
        <v/>
      </c>
      <c r="M8" s="337">
        <f>Input!M8</f>
        <v/>
      </c>
      <c r="N8" s="337">
        <f>Input!N8</f>
        <v/>
      </c>
      <c r="O8" s="339" t="n"/>
    </row>
    <row r="9" ht="12.75" customHeight="1" s="282">
      <c r="A9" s="281" t="n"/>
      <c r="B9" s="334" t="inlineStr">
        <is>
          <t>Month</t>
        </is>
      </c>
      <c r="C9" s="334" t="n"/>
      <c r="D9" s="338" t="n"/>
      <c r="E9" s="338" t="n"/>
      <c r="F9" s="338" t="n"/>
      <c r="G9" s="340">
        <f>Input!G9</f>
        <v/>
      </c>
      <c r="H9" s="341">
        <f>Input!H9</f>
        <v/>
      </c>
      <c r="I9" s="341">
        <f>Input!I9</f>
        <v/>
      </c>
      <c r="J9" s="341">
        <f>Input!J9</f>
        <v/>
      </c>
      <c r="K9" s="341">
        <f>Input!K9</f>
        <v/>
      </c>
      <c r="L9" s="341">
        <f>Input!L9</f>
        <v/>
      </c>
      <c r="M9" s="341">
        <f>Input!M9</f>
        <v/>
      </c>
      <c r="N9" s="341">
        <f>Input!N9</f>
        <v/>
      </c>
      <c r="O9" s="342" t="n"/>
    </row>
    <row r="10" ht="12.75" customHeight="1" s="282">
      <c r="A10" s="281" t="n"/>
      <c r="B10" s="334" t="inlineStr">
        <is>
          <t>Year</t>
        </is>
      </c>
      <c r="C10" s="334" t="n"/>
      <c r="D10" s="338" t="n"/>
      <c r="E10" s="338" t="n"/>
      <c r="F10" s="338" t="n"/>
      <c r="G10" s="340">
        <f>Input!G10</f>
        <v/>
      </c>
      <c r="H10" s="340">
        <f>Input!H10</f>
        <v/>
      </c>
      <c r="I10" s="341">
        <f>Input!I10</f>
        <v/>
      </c>
      <c r="J10" s="341">
        <f>Input!J10</f>
        <v/>
      </c>
      <c r="K10" s="341">
        <f>Input!K10</f>
        <v/>
      </c>
      <c r="L10" s="341">
        <f>Input!L10</f>
        <v/>
      </c>
      <c r="M10" s="341">
        <f>Input!M10</f>
        <v/>
      </c>
      <c r="N10" s="341">
        <f>Input!N10</f>
        <v/>
      </c>
      <c r="O10" s="342" t="n"/>
    </row>
    <row r="11" ht="12.75" customHeight="1" s="282">
      <c r="A11" s="281" t="n"/>
      <c r="B11" s="334" t="inlineStr">
        <is>
          <t>Days</t>
        </is>
      </c>
      <c r="C11" s="338" t="n"/>
      <c r="D11" s="341" t="n"/>
      <c r="E11" s="341" t="n"/>
      <c r="F11" s="341" t="n"/>
      <c r="G11" s="341">
        <f>Input!G11</f>
        <v/>
      </c>
      <c r="H11" s="341">
        <f>Input!H11</f>
        <v/>
      </c>
      <c r="I11" s="341">
        <f>Input!I11</f>
        <v/>
      </c>
      <c r="J11" s="341">
        <f>Input!J11</f>
        <v/>
      </c>
      <c r="K11" s="341">
        <f>Input!K11</f>
        <v/>
      </c>
      <c r="L11" s="341">
        <f>Input!L11</f>
        <v/>
      </c>
      <c r="M11" s="341">
        <f>Input!M11</f>
        <v/>
      </c>
      <c r="N11" s="341">
        <f>Input!N11</f>
        <v/>
      </c>
      <c r="O11" s="342" t="n"/>
    </row>
    <row r="12" ht="12.75" customHeight="1" s="282">
      <c r="A12" s="281" t="n"/>
      <c r="B12" s="281" t="n"/>
      <c r="C12" s="281" t="n"/>
      <c r="D12" s="281" t="n"/>
      <c r="E12" s="281" t="n"/>
      <c r="F12" s="281" t="n"/>
      <c r="G12" s="281" t="n"/>
      <c r="H12" s="281" t="n"/>
      <c r="I12" s="281" t="n"/>
      <c r="J12" s="281" t="n"/>
      <c r="K12" s="281" t="n"/>
      <c r="L12" s="281" t="n"/>
      <c r="M12" s="281" t="n"/>
      <c r="N12" s="281" t="n"/>
      <c r="O12" s="281" t="n"/>
    </row>
    <row r="13" ht="12.75" customHeight="1" s="282">
      <c r="A13" s="281" t="n"/>
      <c r="B13" s="325" t="inlineStr">
        <is>
          <t>Revenue</t>
        </is>
      </c>
      <c r="C13" s="333" t="n"/>
      <c r="D13" s="333" t="n"/>
      <c r="E13" s="333" t="n"/>
      <c r="F13" s="333" t="n"/>
      <c r="G13" s="333" t="n"/>
      <c r="H13" s="333" t="n"/>
      <c r="I13" s="333" t="n"/>
      <c r="J13" s="333" t="n"/>
      <c r="K13" s="333" t="n"/>
      <c r="L13" s="333" t="n"/>
      <c r="M13" s="333" t="n"/>
      <c r="N13" s="333" t="n"/>
      <c r="O13" s="333" t="n"/>
    </row>
    <row r="14" ht="12.75" customHeight="1" s="282">
      <c r="A14" s="281" t="n"/>
      <c r="B14" s="281" t="n"/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  <c r="N14" s="281" t="n"/>
      <c r="O14" s="281" t="n"/>
    </row>
    <row r="15" ht="12.75" customHeight="1" s="282">
      <c r="A15" s="281" t="n"/>
      <c r="B15" s="336" t="inlineStr">
        <is>
          <t>[Total revenue]</t>
        </is>
      </c>
      <c r="C15" s="281" t="n"/>
      <c r="D15" s="281" t="n"/>
      <c r="E15" s="281" t="n"/>
      <c r="F15" s="281" t="n"/>
      <c r="G15" s="281" t="n"/>
      <c r="H15" s="281" t="n"/>
      <c r="I15" s="281" t="n"/>
      <c r="J15" s="281" t="n"/>
      <c r="K15" s="281" t="n"/>
      <c r="L15" s="281" t="n"/>
      <c r="M15" s="281" t="n"/>
      <c r="N15" s="281" t="n"/>
      <c r="O15" s="281" t="n"/>
    </row>
    <row r="16" ht="12.75" customHeight="1" s="282">
      <c r="A16" s="281" t="n"/>
      <c r="B16" s="423" t="inlineStr">
        <is>
          <t>Revenue #1</t>
        </is>
      </c>
      <c r="C16" s="378" t="n"/>
      <c r="D16" s="378" t="n"/>
      <c r="E16" s="378" t="n"/>
      <c r="F16" s="424" t="inlineStr">
        <is>
          <t>KRW mn</t>
        </is>
      </c>
      <c r="G16" s="425">
        <f>G29</f>
        <v/>
      </c>
      <c r="H16" s="425">
        <f>H29</f>
        <v/>
      </c>
      <c r="I16" s="425">
        <f>I29</f>
        <v/>
      </c>
      <c r="J16" s="425">
        <f>J29</f>
        <v/>
      </c>
      <c r="K16" s="425">
        <f>K29</f>
        <v/>
      </c>
      <c r="L16" s="425">
        <f>L29</f>
        <v/>
      </c>
      <c r="M16" s="425">
        <f>M29</f>
        <v/>
      </c>
      <c r="N16" s="425">
        <f>N29</f>
        <v/>
      </c>
      <c r="O16" s="385" t="n"/>
    </row>
    <row r="17" ht="12.75" customHeight="1" s="282">
      <c r="A17" s="281" t="n"/>
      <c r="B17" s="334" t="inlineStr">
        <is>
          <t>Revenue #2</t>
        </is>
      </c>
      <c r="C17" s="281" t="n"/>
      <c r="D17" s="281" t="n"/>
      <c r="E17" s="281" t="n"/>
      <c r="F17" s="347" t="inlineStr">
        <is>
          <t>KRW mn</t>
        </is>
      </c>
      <c r="G17" s="385">
        <f>G36</f>
        <v/>
      </c>
      <c r="H17" s="385">
        <f>H36</f>
        <v/>
      </c>
      <c r="I17" s="385">
        <f>I36</f>
        <v/>
      </c>
      <c r="J17" s="385">
        <f>J36</f>
        <v/>
      </c>
      <c r="K17" s="385">
        <f>K36</f>
        <v/>
      </c>
      <c r="L17" s="385">
        <f>L36</f>
        <v/>
      </c>
      <c r="M17" s="385">
        <f>M36</f>
        <v/>
      </c>
      <c r="N17" s="385">
        <f>N36</f>
        <v/>
      </c>
      <c r="O17" s="385" t="n"/>
    </row>
    <row r="18" ht="12.75" customHeight="1" s="282">
      <c r="A18" s="281" t="n"/>
      <c r="B18" s="334" t="inlineStr">
        <is>
          <t>Revenue #3</t>
        </is>
      </c>
      <c r="C18" s="281" t="n"/>
      <c r="D18" s="281" t="n"/>
      <c r="E18" s="281" t="n"/>
      <c r="F18" s="347" t="inlineStr">
        <is>
          <t>KRW mn</t>
        </is>
      </c>
      <c r="G18" s="385">
        <f>G43</f>
        <v/>
      </c>
      <c r="H18" s="385">
        <f>H43</f>
        <v/>
      </c>
      <c r="I18" s="385">
        <f>I43</f>
        <v/>
      </c>
      <c r="J18" s="385">
        <f>J43</f>
        <v/>
      </c>
      <c r="K18" s="385">
        <f>K43</f>
        <v/>
      </c>
      <c r="L18" s="385">
        <f>L43</f>
        <v/>
      </c>
      <c r="M18" s="385">
        <f>M43</f>
        <v/>
      </c>
      <c r="N18" s="385">
        <f>N43</f>
        <v/>
      </c>
      <c r="O18" s="385" t="n"/>
    </row>
    <row r="19" ht="12.75" customHeight="1" s="282">
      <c r="A19" s="281" t="n"/>
      <c r="B19" s="334" t="inlineStr">
        <is>
          <t>Revenue #4</t>
        </is>
      </c>
      <c r="C19" s="281" t="n"/>
      <c r="D19" s="281" t="n"/>
      <c r="E19" s="281" t="n"/>
      <c r="F19" s="347" t="inlineStr">
        <is>
          <t>KRW mn</t>
        </is>
      </c>
      <c r="G19" s="385">
        <f>G50</f>
        <v/>
      </c>
      <c r="H19" s="385">
        <f>H50</f>
        <v/>
      </c>
      <c r="I19" s="385">
        <f>I50</f>
        <v/>
      </c>
      <c r="J19" s="385">
        <f>J50</f>
        <v/>
      </c>
      <c r="K19" s="385">
        <f>K50</f>
        <v/>
      </c>
      <c r="L19" s="385">
        <f>L50</f>
        <v/>
      </c>
      <c r="M19" s="385">
        <f>M50</f>
        <v/>
      </c>
      <c r="N19" s="385">
        <f>N50</f>
        <v/>
      </c>
      <c r="O19" s="385" t="n"/>
    </row>
    <row r="20" ht="12.75" customHeight="1" s="282">
      <c r="A20" s="281" t="n"/>
      <c r="B20" s="334" t="inlineStr">
        <is>
          <t>Revenue #5</t>
        </is>
      </c>
      <c r="C20" s="281" t="n"/>
      <c r="D20" s="281" t="n"/>
      <c r="E20" s="281" t="n"/>
      <c r="F20" s="347" t="inlineStr">
        <is>
          <t>KRW mn</t>
        </is>
      </c>
      <c r="G20" s="385">
        <f>G57</f>
        <v/>
      </c>
      <c r="H20" s="385">
        <f>H57</f>
        <v/>
      </c>
      <c r="I20" s="385">
        <f>I57</f>
        <v/>
      </c>
      <c r="J20" s="385">
        <f>J57</f>
        <v/>
      </c>
      <c r="K20" s="385">
        <f>K57</f>
        <v/>
      </c>
      <c r="L20" s="385">
        <f>L57</f>
        <v/>
      </c>
      <c r="M20" s="385">
        <f>M57</f>
        <v/>
      </c>
      <c r="N20" s="385">
        <f>N57</f>
        <v/>
      </c>
      <c r="O20" s="385" t="n"/>
    </row>
    <row r="21" ht="13.5" customHeight="1" s="282">
      <c r="A21" s="281" t="n"/>
      <c r="B21" s="426" t="inlineStr">
        <is>
          <t>Total Revenue</t>
        </is>
      </c>
      <c r="C21" s="427" t="n"/>
      <c r="D21" s="427" t="n"/>
      <c r="E21" s="427" t="n"/>
      <c r="F21" s="428" t="inlineStr">
        <is>
          <t>KRW mn</t>
        </is>
      </c>
      <c r="G21" s="429">
        <f>SUM(G16:G20)</f>
        <v/>
      </c>
      <c r="H21" s="429">
        <f>SUM(H16:H20)</f>
        <v/>
      </c>
      <c r="I21" s="429">
        <f>SUM(I16:I20)</f>
        <v/>
      </c>
      <c r="J21" s="429">
        <f>SUM(J16:J20)</f>
        <v/>
      </c>
      <c r="K21" s="429">
        <f>SUM(K16:K20)</f>
        <v/>
      </c>
      <c r="L21" s="429">
        <f>SUM(L16:L20)</f>
        <v/>
      </c>
      <c r="M21" s="429">
        <f>SUM(M16:M20)</f>
        <v/>
      </c>
      <c r="N21" s="430">
        <f>SUM(N16:N20)</f>
        <v/>
      </c>
      <c r="O21" s="431" t="n"/>
    </row>
    <row r="22" ht="12.75" customHeight="1" s="282">
      <c r="A22" s="281" t="n"/>
      <c r="B22" s="432" t="inlineStr">
        <is>
          <t>check</t>
        </is>
      </c>
      <c r="C22" s="281" t="n"/>
      <c r="D22" s="281" t="n"/>
      <c r="E22" s="281" t="n"/>
      <c r="F22" s="281" t="n"/>
      <c r="G22" s="433">
        <f>G21=Input!G28</f>
        <v/>
      </c>
      <c r="H22" s="433">
        <f>H21=Input!H28</f>
        <v/>
      </c>
      <c r="I22" s="433">
        <f>I21=Input!I28</f>
        <v/>
      </c>
      <c r="J22" s="281" t="n"/>
      <c r="K22" s="281" t="n"/>
      <c r="L22" s="281" t="n"/>
      <c r="M22" s="281" t="n"/>
      <c r="N22" s="281" t="n"/>
      <c r="O22" s="281" t="n"/>
    </row>
    <row r="23" ht="12.75" customHeight="1" s="282">
      <c r="A23" s="281" t="n"/>
      <c r="B23" s="281" t="n"/>
      <c r="C23" s="281" t="n"/>
      <c r="D23" s="281" t="n"/>
      <c r="E23" s="281" t="n"/>
      <c r="F23" s="281" t="n"/>
      <c r="G23" s="281" t="n"/>
      <c r="H23" s="281" t="n"/>
      <c r="I23" s="281" t="n"/>
      <c r="J23" s="281" t="n"/>
      <c r="K23" s="281" t="n"/>
      <c r="L23" s="281" t="n"/>
      <c r="M23" s="281" t="n"/>
      <c r="N23" s="281" t="n"/>
      <c r="O23" s="281" t="n"/>
    </row>
    <row r="24" ht="12.75" customHeight="1" s="282">
      <c r="A24" s="281" t="n"/>
      <c r="B24" s="336" t="inlineStr">
        <is>
          <t>[Revenue breakdown] - #1</t>
        </is>
      </c>
      <c r="C24" s="281" t="n"/>
      <c r="D24" s="281" t="n"/>
      <c r="E24" s="281" t="n"/>
      <c r="F24" s="281" t="n"/>
      <c r="G24" s="281" t="n"/>
      <c r="H24" s="281" t="n"/>
      <c r="I24" s="281" t="n"/>
      <c r="J24" s="281" t="n"/>
      <c r="K24" s="281" t="n"/>
      <c r="L24" s="281" t="n"/>
      <c r="M24" s="281" t="n"/>
      <c r="N24" s="281" t="n"/>
      <c r="O24" s="281" t="n"/>
    </row>
    <row r="25" ht="12.75" customHeight="1" s="282">
      <c r="A25" s="281" t="n"/>
      <c r="B25" s="423" t="inlineStr">
        <is>
          <t>Price_real</t>
        </is>
      </c>
      <c r="C25" s="378" t="n"/>
      <c r="D25" s="378" t="n"/>
      <c r="E25" s="378" t="n"/>
      <c r="F25" s="424" t="inlineStr">
        <is>
          <t>KRW/Kg</t>
        </is>
      </c>
      <c r="G25" s="425">
        <f>SUMIFS(Input!$G$85:$N$85,Input!$G$7:$N$7,Calculation!G$7)</f>
        <v/>
      </c>
      <c r="H25" s="425">
        <f>SUMIFS(Input!$G$85:$N$85,Input!$G$7:$N$7,Calculation!H$7)</f>
        <v/>
      </c>
      <c r="I25" s="425">
        <f>SUMIFS(Input!$G$85:$N$85,Input!$G$7:$N$7,Calculation!I$7)</f>
        <v/>
      </c>
      <c r="J25" s="425">
        <f>SUMIFS(Input!$G$85:$N$85,Input!$G$7:$N$7,Calculation!J$7)</f>
        <v/>
      </c>
      <c r="K25" s="425">
        <f>SUMIFS(Input!$G$85:$N$85,Input!$G$7:$N$7,Calculation!K$7)</f>
        <v/>
      </c>
      <c r="L25" s="425">
        <f>SUMIFS(Input!$G$85:$N$85,Input!$G$7:$N$7,Calculation!L$7)</f>
        <v/>
      </c>
      <c r="M25" s="425">
        <f>SUMIFS(Input!$G$85:$N$85,Input!$G$7:$N$7,Calculation!M$7)</f>
        <v/>
      </c>
      <c r="N25" s="425">
        <f>SUMIFS(Input!$G$85:$N$85,Input!$G$7:$N$7,Calculation!N$7)</f>
        <v/>
      </c>
      <c r="O25" s="385" t="n"/>
    </row>
    <row r="26" ht="12.75" customHeight="1" s="282">
      <c r="A26" s="281" t="n"/>
      <c r="B26" s="334" t="inlineStr">
        <is>
          <t>Industry Growth</t>
        </is>
      </c>
      <c r="C26" s="281" t="n"/>
      <c r="D26" s="281" t="n"/>
      <c r="E26" s="281" t="n"/>
      <c r="F26" s="347" t="inlineStr">
        <is>
          <t>%</t>
        </is>
      </c>
      <c r="G26" s="390">
        <f>SUMIFS(Input!$G$20:$N$20,Input!$G$7:$N$7,Calculation!G$7)</f>
        <v/>
      </c>
      <c r="H26" s="390">
        <f>SUMIFS(Input!$G$20:$N$20,Input!$G$7:$N$7,Calculation!H$7)</f>
        <v/>
      </c>
      <c r="I26" s="390">
        <f>SUMIFS(Input!$G$20:$N$20,Input!$G$7:$N$7,Calculation!I$7)</f>
        <v/>
      </c>
      <c r="J26" s="390">
        <f>SUMIFS(Input!$G$20:$N$20,Input!$G$7:$N$7,Calculation!J$7)</f>
        <v/>
      </c>
      <c r="K26" s="390">
        <f>SUMIFS(Input!$G$20:$N$20,Input!$G$7:$N$7,Calculation!K$7)</f>
        <v/>
      </c>
      <c r="L26" s="390">
        <f>SUMIFS(Input!$G$20:$N$20,Input!$G$7:$N$7,Calculation!L$7)</f>
        <v/>
      </c>
      <c r="M26" s="390">
        <f>SUMIFS(Input!$G$20:$N$20,Input!$G$7:$N$7,Calculation!M$7)</f>
        <v/>
      </c>
      <c r="N26" s="390">
        <f>SUMIFS(Input!$G$20:$N$20,Input!$G$7:$N$7,Calculation!N$7)</f>
        <v/>
      </c>
      <c r="O26" s="390" t="n"/>
    </row>
    <row r="27" ht="12.75" customHeight="1" s="282">
      <c r="A27" s="281" t="n"/>
      <c r="B27" s="335" t="inlineStr">
        <is>
          <t>Price_Nominal</t>
        </is>
      </c>
      <c r="C27" s="281" t="n"/>
      <c r="D27" s="281" t="n"/>
      <c r="E27" s="281" t="n"/>
      <c r="F27" s="347" t="inlineStr">
        <is>
          <t>KRW/Kg</t>
        </is>
      </c>
      <c r="G27" s="385">
        <f>IFERROR(G25*G26,"")</f>
        <v/>
      </c>
      <c r="H27" s="385">
        <f>IFERROR(H25*H26,"")</f>
        <v/>
      </c>
      <c r="I27" s="385">
        <f>IFERROR(I25*I26,"")</f>
        <v/>
      </c>
      <c r="J27" s="385">
        <f>IFERROR(J25*J26,"")</f>
        <v/>
      </c>
      <c r="K27" s="385">
        <f>IFERROR(J27*K26,"")</f>
        <v/>
      </c>
      <c r="L27" s="385">
        <f>IFERROR(K27*L26,"")</f>
        <v/>
      </c>
      <c r="M27" s="385">
        <f>IFERROR(L27*M26,"")</f>
        <v/>
      </c>
      <c r="N27" s="385">
        <f>IFERROR(M27*N26,"")</f>
        <v/>
      </c>
      <c r="O27" s="385" t="n"/>
    </row>
    <row r="28" ht="12.75" customHeight="1" s="282">
      <c r="A28" s="281" t="n"/>
      <c r="B28" s="335" t="inlineStr">
        <is>
          <t>Quantity</t>
        </is>
      </c>
      <c r="C28" s="281" t="n"/>
      <c r="D28" s="281" t="n"/>
      <c r="E28" s="281" t="n"/>
      <c r="F28" s="347" t="inlineStr">
        <is>
          <t>Kg</t>
        </is>
      </c>
      <c r="G28" s="385">
        <f>SUMIFS(Input!$G$86:$N$86,Input!$G$7:$N$7,Calculation!G$7)</f>
        <v/>
      </c>
      <c r="H28" s="385">
        <f>SUMIFS(Input!$G$86:$N$86,Input!$G$7:$N$7,Calculation!H$7)</f>
        <v/>
      </c>
      <c r="I28" s="385">
        <f>SUMIFS(Input!$G$86:$N$86,Input!$G$7:$N$7,Calculation!I$7)</f>
        <v/>
      </c>
      <c r="J28" s="385">
        <f>SUMIFS(Input!$G$86:$N$86,Input!$G$7:$N$7,Calculation!J$7)</f>
        <v/>
      </c>
      <c r="K28" s="385">
        <f>SUMIFS(Input!$G$86:$N$86,Input!$G$7:$N$7,Calculation!K$7)</f>
        <v/>
      </c>
      <c r="L28" s="385">
        <f>SUMIFS(Input!$G$86:$N$86,Input!$G$7:$N$7,Calculation!L$7)</f>
        <v/>
      </c>
      <c r="M28" s="385">
        <f>SUMIFS(Input!$G$86:$N$86,Input!$G$7:$N$7,Calculation!M$7)</f>
        <v/>
      </c>
      <c r="N28" s="385">
        <f>SUMIFS(Input!$G$86:$N$86,Input!$G$7:$N$7,Calculation!N$7)</f>
        <v/>
      </c>
      <c r="O28" s="385" t="n"/>
    </row>
    <row r="29" ht="12.75" customHeight="1" s="282">
      <c r="A29" s="281" t="n"/>
      <c r="B29" s="396" t="inlineStr">
        <is>
          <t>Revenue</t>
        </is>
      </c>
      <c r="C29" s="354" t="n"/>
      <c r="D29" s="354" t="n"/>
      <c r="E29" s="354" t="n"/>
      <c r="F29" s="397" t="inlineStr">
        <is>
          <t>KRW mn</t>
        </is>
      </c>
      <c r="G29" s="398">
        <f>G27*G28/mn</f>
        <v/>
      </c>
      <c r="H29" s="398">
        <f>H27*H28/mn</f>
        <v/>
      </c>
      <c r="I29" s="398">
        <f>I27*I28/mn</f>
        <v/>
      </c>
      <c r="J29" s="398">
        <f>J27*J28/mn</f>
        <v/>
      </c>
      <c r="K29" s="398">
        <f>K27*K28/mn</f>
        <v/>
      </c>
      <c r="L29" s="398">
        <f>L27*L28/mn</f>
        <v/>
      </c>
      <c r="M29" s="398">
        <f>M27*M28/mn</f>
        <v/>
      </c>
      <c r="N29" s="398">
        <f>N27*N28/mn</f>
        <v/>
      </c>
      <c r="O29" s="385" t="n"/>
    </row>
    <row r="30" ht="12.75" customHeight="1" s="282">
      <c r="A30" s="281" t="n"/>
      <c r="B30" s="281" t="n"/>
      <c r="C30" s="281" t="n"/>
      <c r="D30" s="281" t="n"/>
      <c r="E30" s="281" t="n"/>
      <c r="F30" s="281" t="n"/>
      <c r="G30" s="281" t="n"/>
      <c r="H30" s="281" t="n"/>
      <c r="I30" s="281" t="n"/>
      <c r="J30" s="281" t="n"/>
      <c r="K30" s="281" t="n"/>
      <c r="L30" s="281" t="n"/>
      <c r="M30" s="281" t="n"/>
      <c r="N30" s="281" t="n"/>
      <c r="O30" s="281" t="n"/>
    </row>
    <row r="31" ht="12.75" customHeight="1" s="282">
      <c r="A31" s="281" t="n"/>
      <c r="B31" s="336" t="inlineStr">
        <is>
          <t>[Revenue breakdown] - #2</t>
        </is>
      </c>
      <c r="C31" s="281" t="n"/>
      <c r="D31" s="281" t="n"/>
      <c r="E31" s="281" t="n"/>
      <c r="F31" s="281" t="n"/>
      <c r="G31" s="281" t="n"/>
      <c r="H31" s="281" t="n"/>
      <c r="I31" s="281" t="n"/>
      <c r="J31" s="281" t="n"/>
      <c r="K31" s="281" t="n"/>
      <c r="L31" s="281" t="n"/>
      <c r="M31" s="281" t="n"/>
      <c r="N31" s="281" t="n"/>
      <c r="O31" s="281" t="n"/>
    </row>
    <row r="32" ht="12.75" customHeight="1" s="282">
      <c r="A32" s="281" t="n"/>
      <c r="B32" s="423" t="inlineStr">
        <is>
          <t>Price_real</t>
        </is>
      </c>
      <c r="C32" s="378" t="n"/>
      <c r="D32" s="378" t="n"/>
      <c r="E32" s="378" t="n"/>
      <c r="F32" s="424" t="inlineStr">
        <is>
          <t>KRW/Kg</t>
        </is>
      </c>
      <c r="G32" s="425">
        <f>SUMIFS(Input!$G$91:$N$91,Input!$G$7:$N$7,Calculation!G$7)</f>
        <v/>
      </c>
      <c r="H32" s="425">
        <f>SUMIFS(Input!$G$91:$N$91,Input!$G$7:$N$7,Calculation!H$7)</f>
        <v/>
      </c>
      <c r="I32" s="425">
        <f>SUMIFS(Input!$G$91:$N$91,Input!$G$7:$N$7,Calculation!I$7)</f>
        <v/>
      </c>
      <c r="J32" s="425">
        <f>SUMIFS(Input!$G$91:$N$91,Input!$G$7:$N$7,Calculation!J$7)</f>
        <v/>
      </c>
      <c r="K32" s="425">
        <f>SUMIFS(Input!$G$91:$N$91,Input!$G$7:$N$7,Calculation!K$7)</f>
        <v/>
      </c>
      <c r="L32" s="425">
        <f>SUMIFS(Input!$G$91:$N$91,Input!$G$7:$N$7,Calculation!L$7)</f>
        <v/>
      </c>
      <c r="M32" s="425">
        <f>SUMIFS(Input!$G$91:$N$91,Input!$G$7:$N$7,Calculation!M$7)</f>
        <v/>
      </c>
      <c r="N32" s="425">
        <f>SUMIFS(Input!$G$91:$N$91,Input!$G$7:$N$7,Calculation!N$7)</f>
        <v/>
      </c>
      <c r="O32" s="385" t="n"/>
    </row>
    <row r="33" ht="12.75" customHeight="1" s="282">
      <c r="A33" s="281" t="n"/>
      <c r="B33" s="334" t="inlineStr">
        <is>
          <t>Industry Growth</t>
        </is>
      </c>
      <c r="C33" s="281" t="n"/>
      <c r="D33" s="281" t="n"/>
      <c r="E33" s="281" t="n"/>
      <c r="F33" s="347" t="inlineStr">
        <is>
          <t>%</t>
        </is>
      </c>
      <c r="G33" s="390">
        <f>SUMIFS(Input!$G$20:$N$20,Input!$G$7:$N$7,Calculation!G$7)</f>
        <v/>
      </c>
      <c r="H33" s="390">
        <f>SUMIFS(Input!$G$20:$N$20,Input!$G$7:$N$7,Calculation!H$7)</f>
        <v/>
      </c>
      <c r="I33" s="390">
        <f>SUMIFS(Input!$G$20:$N$20,Input!$G$7:$N$7,Calculation!I$7)</f>
        <v/>
      </c>
      <c r="J33" s="390">
        <f>SUMIFS(Input!$G$20:$N$20,Input!$G$7:$N$7,Calculation!J$7)</f>
        <v/>
      </c>
      <c r="K33" s="390">
        <f>SUMIFS(Input!$G$20:$N$20,Input!$G$7:$N$7,Calculation!K$7)</f>
        <v/>
      </c>
      <c r="L33" s="390">
        <f>SUMIFS(Input!$G$20:$N$20,Input!$G$7:$N$7,Calculation!L$7)</f>
        <v/>
      </c>
      <c r="M33" s="390">
        <f>SUMIFS(Input!$G$20:$N$20,Input!$G$7:$N$7,Calculation!M$7)</f>
        <v/>
      </c>
      <c r="N33" s="390">
        <f>SUMIFS(Input!$G$20:$N$20,Input!$G$7:$N$7,Calculation!N$7)</f>
        <v/>
      </c>
      <c r="O33" s="390" t="n"/>
    </row>
    <row r="34" ht="12.75" customHeight="1" s="282">
      <c r="A34" s="281" t="n"/>
      <c r="B34" s="335" t="inlineStr">
        <is>
          <t>Price_Nominal</t>
        </is>
      </c>
      <c r="C34" s="281" t="n"/>
      <c r="D34" s="281" t="n"/>
      <c r="E34" s="281" t="n"/>
      <c r="F34" s="347" t="inlineStr">
        <is>
          <t>KRW/Kg</t>
        </is>
      </c>
      <c r="G34" s="385">
        <f>IFERROR(G32*G33,"")</f>
        <v/>
      </c>
      <c r="H34" s="385">
        <f>IFERROR(H32*H33,"")</f>
        <v/>
      </c>
      <c r="I34" s="385">
        <f>IFERROR(I32*I33,"")</f>
        <v/>
      </c>
      <c r="J34" s="385">
        <f>IFERROR(J32*J33,"")</f>
        <v/>
      </c>
      <c r="K34" s="385">
        <f>IFERROR(J34*K33,"")</f>
        <v/>
      </c>
      <c r="L34" s="385">
        <f>IFERROR(K34*L33,"")</f>
        <v/>
      </c>
      <c r="M34" s="385">
        <f>IFERROR(L34*M33,"")</f>
        <v/>
      </c>
      <c r="N34" s="385">
        <f>IFERROR(M34*N33,"")</f>
        <v/>
      </c>
      <c r="O34" s="385" t="n"/>
    </row>
    <row r="35" ht="12.75" customHeight="1" s="282">
      <c r="A35" s="281" t="n"/>
      <c r="B35" s="335" t="inlineStr">
        <is>
          <t>Quantity</t>
        </is>
      </c>
      <c r="C35" s="281" t="n"/>
      <c r="D35" s="281" t="n"/>
      <c r="E35" s="281" t="n"/>
      <c r="F35" s="347" t="inlineStr">
        <is>
          <t>Kg</t>
        </is>
      </c>
      <c r="G35" s="385">
        <f>SUMIFS(Input!$G$92:$N$92,Input!$G$7:$N$7,Calculation!G$7)</f>
        <v/>
      </c>
      <c r="H35" s="385">
        <f>SUMIFS(Input!$G$92:$N$92,Input!$G$7:$N$7,Calculation!H$7)</f>
        <v/>
      </c>
      <c r="I35" s="385">
        <f>SUMIFS(Input!$G$92:$N$92,Input!$G$7:$N$7,Calculation!I$7)</f>
        <v/>
      </c>
      <c r="J35" s="385">
        <f>SUMIFS(Input!$G$92:$N$92,Input!$G$7:$N$7,Calculation!J$7)</f>
        <v/>
      </c>
      <c r="K35" s="385">
        <f>SUMIFS(Input!$G$92:$N$92,Input!$G$7:$N$7,Calculation!K$7)</f>
        <v/>
      </c>
      <c r="L35" s="385">
        <f>SUMIFS(Input!$G$92:$N$92,Input!$G$7:$N$7,Calculation!L$7)</f>
        <v/>
      </c>
      <c r="M35" s="385">
        <f>SUMIFS(Input!$G$92:$N$92,Input!$G$7:$N$7,Calculation!M$7)</f>
        <v/>
      </c>
      <c r="N35" s="385">
        <f>SUMIFS(Input!$G$92:$N$92,Input!$G$7:$N$7,Calculation!N$7)</f>
        <v/>
      </c>
      <c r="O35" s="385" t="n"/>
    </row>
    <row r="36" ht="12.75" customHeight="1" s="282">
      <c r="A36" s="281" t="n"/>
      <c r="B36" s="396" t="inlineStr">
        <is>
          <t>Revenue</t>
        </is>
      </c>
      <c r="C36" s="354" t="n"/>
      <c r="D36" s="354" t="n"/>
      <c r="E36" s="354" t="n"/>
      <c r="F36" s="397" t="inlineStr">
        <is>
          <t>KRW mn</t>
        </is>
      </c>
      <c r="G36" s="398">
        <f>G34*G35/mn</f>
        <v/>
      </c>
      <c r="H36" s="398">
        <f>H34*H35/mn</f>
        <v/>
      </c>
      <c r="I36" s="398">
        <f>I34*I35/mn</f>
        <v/>
      </c>
      <c r="J36" s="398">
        <f>J34*J35/mn</f>
        <v/>
      </c>
      <c r="K36" s="398">
        <f>K34*K35/mn</f>
        <v/>
      </c>
      <c r="L36" s="398">
        <f>L34*L35/mn</f>
        <v/>
      </c>
      <c r="M36" s="398">
        <f>M34*M35/mn</f>
        <v/>
      </c>
      <c r="N36" s="398">
        <f>N34*N35/mn</f>
        <v/>
      </c>
      <c r="O36" s="385" t="n"/>
    </row>
    <row r="37" ht="12.75" customHeight="1" s="282">
      <c r="A37" s="281" t="n"/>
      <c r="B37" s="281" t="n"/>
      <c r="C37" s="281" t="n"/>
      <c r="D37" s="281" t="n"/>
      <c r="E37" s="281" t="n"/>
      <c r="F37" s="281" t="n"/>
      <c r="G37" s="281" t="n"/>
      <c r="H37" s="281" t="n"/>
      <c r="I37" s="281" t="n"/>
      <c r="J37" s="281" t="n"/>
      <c r="K37" s="281" t="n"/>
      <c r="L37" s="281" t="n"/>
      <c r="M37" s="281" t="n"/>
      <c r="N37" s="281" t="n"/>
      <c r="O37" s="281" t="n"/>
    </row>
    <row r="38" ht="12.75" customHeight="1" s="282">
      <c r="A38" s="281" t="n"/>
      <c r="B38" s="336" t="inlineStr">
        <is>
          <t>[Revenue breakdown] - #3</t>
        </is>
      </c>
      <c r="C38" s="281" t="n"/>
      <c r="D38" s="281" t="n"/>
      <c r="E38" s="281" t="n"/>
      <c r="F38" s="281" t="n"/>
      <c r="G38" s="281" t="n"/>
      <c r="H38" s="281" t="n"/>
      <c r="I38" s="281" t="n"/>
      <c r="J38" s="281" t="n"/>
      <c r="K38" s="281" t="n"/>
      <c r="L38" s="281" t="n"/>
      <c r="M38" s="281" t="n"/>
      <c r="N38" s="281" t="n"/>
      <c r="O38" s="281" t="n"/>
    </row>
    <row r="39" ht="12.75" customHeight="1" s="282">
      <c r="A39" s="281" t="n"/>
      <c r="B39" s="423" t="inlineStr">
        <is>
          <t>Price_real</t>
        </is>
      </c>
      <c r="C39" s="378" t="n"/>
      <c r="D39" s="378" t="n"/>
      <c r="E39" s="378" t="n"/>
      <c r="F39" s="424" t="inlineStr">
        <is>
          <t>KRW/Kg</t>
        </is>
      </c>
      <c r="G39" s="425">
        <f>SUMIFS(Input!$G$97:$N$97,Input!$G$7:$N$7,Calculation!G$7)</f>
        <v/>
      </c>
      <c r="H39" s="425">
        <f>SUMIFS(Input!$G$97:$N$97,Input!$G$7:$N$7,Calculation!H$7)</f>
        <v/>
      </c>
      <c r="I39" s="425">
        <f>SUMIFS(Input!$G$97:$N$97,Input!$G$7:$N$7,Calculation!I$7)</f>
        <v/>
      </c>
      <c r="J39" s="425">
        <f>SUMIFS(Input!$G$97:$N$97,Input!$G$7:$N$7,Calculation!J$7)</f>
        <v/>
      </c>
      <c r="K39" s="425">
        <f>SUMIFS(Input!$G$97:$N$97,Input!$G$7:$N$7,Calculation!K$7)</f>
        <v/>
      </c>
      <c r="L39" s="425">
        <f>SUMIFS(Input!$G$97:$N$97,Input!$G$7:$N$7,Calculation!L$7)</f>
        <v/>
      </c>
      <c r="M39" s="425">
        <f>SUMIFS(Input!$G$97:$N$97,Input!$G$7:$N$7,Calculation!M$7)</f>
        <v/>
      </c>
      <c r="N39" s="425">
        <f>SUMIFS(Input!$G$97:$N$97,Input!$G$7:$N$7,Calculation!N$7)</f>
        <v/>
      </c>
      <c r="O39" s="385" t="n"/>
    </row>
    <row r="40" ht="12.75" customHeight="1" s="282">
      <c r="A40" s="281" t="n"/>
      <c r="B40" s="334" t="inlineStr">
        <is>
          <t>Industry Growth</t>
        </is>
      </c>
      <c r="C40" s="281" t="n"/>
      <c r="D40" s="281" t="n"/>
      <c r="E40" s="281" t="n"/>
      <c r="F40" s="347" t="inlineStr">
        <is>
          <t>%</t>
        </is>
      </c>
      <c r="G40" s="390">
        <f>SUMIFS(Input!$G$20:$N$20,Input!$G$7:$N$7,Calculation!G$7)</f>
        <v/>
      </c>
      <c r="H40" s="390">
        <f>SUMIFS(Input!$G$20:$N$20,Input!$G$7:$N$7,Calculation!H$7)</f>
        <v/>
      </c>
      <c r="I40" s="390">
        <f>SUMIFS(Input!$G$20:$N$20,Input!$G$7:$N$7,Calculation!I$7)</f>
        <v/>
      </c>
      <c r="J40" s="390">
        <f>SUMIFS(Input!$G$20:$N$20,Input!$G$7:$N$7,Calculation!J$7)</f>
        <v/>
      </c>
      <c r="K40" s="390">
        <f>SUMIFS(Input!$G$20:$N$20,Input!$G$7:$N$7,Calculation!K$7)</f>
        <v/>
      </c>
      <c r="L40" s="390">
        <f>SUMIFS(Input!$G$20:$N$20,Input!$G$7:$N$7,Calculation!L$7)</f>
        <v/>
      </c>
      <c r="M40" s="390">
        <f>SUMIFS(Input!$G$20:$N$20,Input!$G$7:$N$7,Calculation!M$7)</f>
        <v/>
      </c>
      <c r="N40" s="390">
        <f>SUMIFS(Input!$G$20:$N$20,Input!$G$7:$N$7,Calculation!N$7)</f>
        <v/>
      </c>
      <c r="O40" s="390" t="n"/>
    </row>
    <row r="41" ht="12.75" customHeight="1" s="282">
      <c r="A41" s="281" t="n"/>
      <c r="B41" s="335" t="inlineStr">
        <is>
          <t>Price_Nominal</t>
        </is>
      </c>
      <c r="C41" s="281" t="n"/>
      <c r="D41" s="281" t="n"/>
      <c r="E41" s="281" t="n"/>
      <c r="F41" s="347" t="inlineStr">
        <is>
          <t>KRW/Kg</t>
        </is>
      </c>
      <c r="G41" s="385">
        <f>IFERROR(G39*G40,"")</f>
        <v/>
      </c>
      <c r="H41" s="385">
        <f>IFERROR(H39*H40,"")</f>
        <v/>
      </c>
      <c r="I41" s="385">
        <f>IFERROR(I39*I40,"")</f>
        <v/>
      </c>
      <c r="J41" s="385">
        <f>IFERROR(J39*J40,"")</f>
        <v/>
      </c>
      <c r="K41" s="385">
        <f>IFERROR(J41*K40,"")</f>
        <v/>
      </c>
      <c r="L41" s="385">
        <f>IFERROR(K41*L40,"")</f>
        <v/>
      </c>
      <c r="M41" s="385">
        <f>IFERROR(L41*M40,"")</f>
        <v/>
      </c>
      <c r="N41" s="385">
        <f>IFERROR(M41*N40,"")</f>
        <v/>
      </c>
      <c r="O41" s="385" t="n"/>
    </row>
    <row r="42" ht="12.75" customHeight="1" s="282">
      <c r="A42" s="281" t="n"/>
      <c r="B42" s="335" t="inlineStr">
        <is>
          <t>Quantity</t>
        </is>
      </c>
      <c r="C42" s="281" t="n"/>
      <c r="D42" s="281" t="n"/>
      <c r="E42" s="281" t="n"/>
      <c r="F42" s="347" t="inlineStr">
        <is>
          <t>Kg</t>
        </is>
      </c>
      <c r="G42" s="385">
        <f>SUMIFS(Input!$G$98:$N$98,Input!$G$7:$N$7,Calculation!G$7)</f>
        <v/>
      </c>
      <c r="H42" s="385">
        <f>SUMIFS(Input!$G$98:$N$98,Input!$G$7:$N$7,Calculation!H$7)</f>
        <v/>
      </c>
      <c r="I42" s="385">
        <f>SUMIFS(Input!$G$98:$N$98,Input!$G$7:$N$7,Calculation!I$7)</f>
        <v/>
      </c>
      <c r="J42" s="385">
        <f>SUMIFS(Input!$G$98:$N$98,Input!$G$7:$N$7,Calculation!J$7)</f>
        <v/>
      </c>
      <c r="K42" s="385">
        <f>SUMIFS(Input!$G$98:$N$98,Input!$G$7:$N$7,Calculation!K$7)</f>
        <v/>
      </c>
      <c r="L42" s="385">
        <f>SUMIFS(Input!$G$98:$N$98,Input!$G$7:$N$7,Calculation!L$7)</f>
        <v/>
      </c>
      <c r="M42" s="385">
        <f>SUMIFS(Input!$G$98:$N$98,Input!$G$7:$N$7,Calculation!M$7)</f>
        <v/>
      </c>
      <c r="N42" s="385">
        <f>SUMIFS(Input!$G$98:$N$98,Input!$G$7:$N$7,Calculation!N$7)</f>
        <v/>
      </c>
      <c r="O42" s="385" t="n"/>
    </row>
    <row r="43" ht="12.75" customHeight="1" s="282">
      <c r="A43" s="281" t="n"/>
      <c r="B43" s="396" t="inlineStr">
        <is>
          <t>Revenue</t>
        </is>
      </c>
      <c r="C43" s="354" t="n"/>
      <c r="D43" s="354" t="n"/>
      <c r="E43" s="354" t="n"/>
      <c r="F43" s="397" t="inlineStr">
        <is>
          <t>KRW mn</t>
        </is>
      </c>
      <c r="G43" s="398">
        <f>G41*G42/mn</f>
        <v/>
      </c>
      <c r="H43" s="398">
        <f>H41*H42/mn</f>
        <v/>
      </c>
      <c r="I43" s="398">
        <f>I41*I42/mn</f>
        <v/>
      </c>
      <c r="J43" s="398">
        <f>J41*J42/mn</f>
        <v/>
      </c>
      <c r="K43" s="398">
        <f>K41*K42/mn</f>
        <v/>
      </c>
      <c r="L43" s="398">
        <f>L41*L42/mn</f>
        <v/>
      </c>
      <c r="M43" s="398">
        <f>M41*M42/mn</f>
        <v/>
      </c>
      <c r="N43" s="398">
        <f>N41*N42/mn</f>
        <v/>
      </c>
      <c r="O43" s="385" t="n"/>
    </row>
    <row r="44" ht="12.75" customHeight="1" s="282">
      <c r="A44" s="281" t="n"/>
      <c r="B44" s="281" t="n"/>
      <c r="C44" s="281" t="n"/>
      <c r="D44" s="281" t="n"/>
      <c r="E44" s="281" t="n"/>
      <c r="F44" s="281" t="n"/>
      <c r="G44" s="281" t="n"/>
      <c r="H44" s="281" t="n"/>
      <c r="I44" s="281" t="n"/>
      <c r="J44" s="281" t="n"/>
      <c r="K44" s="281" t="n"/>
      <c r="L44" s="281" t="n"/>
      <c r="M44" s="281" t="n"/>
      <c r="N44" s="281" t="n"/>
      <c r="O44" s="281" t="n"/>
    </row>
    <row r="45" ht="12.75" customHeight="1" s="282">
      <c r="A45" s="281" t="n"/>
      <c r="B45" s="336" t="inlineStr">
        <is>
          <t>[Revenue breakdown] - #4</t>
        </is>
      </c>
      <c r="C45" s="281" t="n"/>
      <c r="D45" s="281" t="n"/>
      <c r="E45" s="281" t="n"/>
      <c r="F45" s="281" t="n"/>
      <c r="G45" s="281" t="n"/>
      <c r="H45" s="281" t="n"/>
      <c r="I45" s="281" t="n"/>
      <c r="J45" s="281" t="n"/>
      <c r="K45" s="281" t="n"/>
      <c r="L45" s="281" t="n"/>
      <c r="M45" s="281" t="n"/>
      <c r="N45" s="281" t="n"/>
      <c r="O45" s="281" t="n"/>
    </row>
    <row r="46" ht="12.75" customHeight="1" s="282">
      <c r="A46" s="281" t="n"/>
      <c r="B46" s="423" t="inlineStr">
        <is>
          <t>Price_real</t>
        </is>
      </c>
      <c r="C46" s="378" t="n"/>
      <c r="D46" s="378" t="n"/>
      <c r="E46" s="378" t="n"/>
      <c r="F46" s="424" t="inlineStr">
        <is>
          <t>KRW/Kg</t>
        </is>
      </c>
      <c r="G46" s="425">
        <f>SUMIFS(Input!$G$103:$N$103,Input!$G$7:$N$7,Calculation!G$7)</f>
        <v/>
      </c>
      <c r="H46" s="425">
        <f>SUMIFS(Input!$G$103:$N$103,Input!$G$7:$N$7,Calculation!H$7)</f>
        <v/>
      </c>
      <c r="I46" s="425">
        <f>SUMIFS(Input!$G$103:$N$103,Input!$G$7:$N$7,Calculation!I$7)</f>
        <v/>
      </c>
      <c r="J46" s="425">
        <f>SUMIFS(Input!$G$103:$N$103,Input!$G$7:$N$7,Calculation!J$7)</f>
        <v/>
      </c>
      <c r="K46" s="425">
        <f>SUMIFS(Input!$G$103:$N$103,Input!$G$7:$N$7,Calculation!K$7)</f>
        <v/>
      </c>
      <c r="L46" s="425">
        <f>SUMIFS(Input!$G$103:$N$103,Input!$G$7:$N$7,Calculation!L$7)</f>
        <v/>
      </c>
      <c r="M46" s="425">
        <f>SUMIFS(Input!$G$103:$N$103,Input!$G$7:$N$7,Calculation!M$7)</f>
        <v/>
      </c>
      <c r="N46" s="425">
        <f>SUMIFS(Input!$G$103:$N$103,Input!$G$7:$N$7,Calculation!N$7)</f>
        <v/>
      </c>
      <c r="O46" s="385" t="n"/>
    </row>
    <row r="47" ht="12.75" customHeight="1" s="282">
      <c r="A47" s="281" t="n"/>
      <c r="B47" s="334" t="inlineStr">
        <is>
          <t>Industry Growth</t>
        </is>
      </c>
      <c r="C47" s="281" t="n"/>
      <c r="D47" s="281" t="n"/>
      <c r="E47" s="281" t="n"/>
      <c r="F47" s="347" t="inlineStr">
        <is>
          <t>%</t>
        </is>
      </c>
      <c r="G47" s="390">
        <f>SUMIFS(Input!$G$20:$N$20,Input!$G$7:$N$7,Calculation!G$7)</f>
        <v/>
      </c>
      <c r="H47" s="390">
        <f>SUMIFS(Input!$G$20:$N$20,Input!$G$7:$N$7,Calculation!H$7)</f>
        <v/>
      </c>
      <c r="I47" s="390">
        <f>SUMIFS(Input!$G$20:$N$20,Input!$G$7:$N$7,Calculation!I$7)</f>
        <v/>
      </c>
      <c r="J47" s="390">
        <f>SUMIFS(Input!$G$20:$N$20,Input!$G$7:$N$7,Calculation!J$7)</f>
        <v/>
      </c>
      <c r="K47" s="390">
        <f>SUMIFS(Input!$G$20:$N$20,Input!$G$7:$N$7,Calculation!K$7)</f>
        <v/>
      </c>
      <c r="L47" s="390">
        <f>SUMIFS(Input!$G$20:$N$20,Input!$G$7:$N$7,Calculation!L$7)</f>
        <v/>
      </c>
      <c r="M47" s="390">
        <f>SUMIFS(Input!$G$20:$N$20,Input!$G$7:$N$7,Calculation!M$7)</f>
        <v/>
      </c>
      <c r="N47" s="390">
        <f>SUMIFS(Input!$G$20:$N$20,Input!$G$7:$N$7,Calculation!N$7)</f>
        <v/>
      </c>
      <c r="O47" s="390" t="n"/>
    </row>
    <row r="48" ht="12.75" customHeight="1" s="282">
      <c r="A48" s="281" t="n"/>
      <c r="B48" s="335" t="inlineStr">
        <is>
          <t>Price_Nominal</t>
        </is>
      </c>
      <c r="C48" s="281" t="n"/>
      <c r="D48" s="281" t="n"/>
      <c r="E48" s="281" t="n"/>
      <c r="F48" s="347" t="inlineStr">
        <is>
          <t>KRW/Kg</t>
        </is>
      </c>
      <c r="G48" s="385">
        <f>IFERROR(G46*G47,"")</f>
        <v/>
      </c>
      <c r="H48" s="385">
        <f>IFERROR(H46*H47,"")</f>
        <v/>
      </c>
      <c r="I48" s="385">
        <f>IFERROR(I46*I47,"")</f>
        <v/>
      </c>
      <c r="J48" s="385">
        <f>IFERROR(J46*J47,"")</f>
        <v/>
      </c>
      <c r="K48" s="385">
        <f>IFERROR(J48*K47,"")</f>
        <v/>
      </c>
      <c r="L48" s="385">
        <f>IFERROR(K48*L47,"")</f>
        <v/>
      </c>
      <c r="M48" s="385">
        <f>IFERROR(L48*M47,"")</f>
        <v/>
      </c>
      <c r="N48" s="385">
        <f>IFERROR(M48*N47,"")</f>
        <v/>
      </c>
      <c r="O48" s="385" t="n"/>
    </row>
    <row r="49" ht="12.75" customHeight="1" s="282">
      <c r="A49" s="281" t="n"/>
      <c r="B49" s="335" t="inlineStr">
        <is>
          <t>Quantity</t>
        </is>
      </c>
      <c r="C49" s="281" t="n"/>
      <c r="D49" s="281" t="n"/>
      <c r="E49" s="281" t="n"/>
      <c r="F49" s="347" t="inlineStr">
        <is>
          <t>Kg</t>
        </is>
      </c>
      <c r="G49" s="385">
        <f>SUMIFS(Input!$G$104:$N$104,Input!$G$7:$N$7,Calculation!G$7)</f>
        <v/>
      </c>
      <c r="H49" s="385">
        <f>SUMIFS(Input!$G$104:$N$104,Input!$G$7:$N$7,Calculation!H$7)</f>
        <v/>
      </c>
      <c r="I49" s="385">
        <f>SUMIFS(Input!$G$104:$N$104,Input!$G$7:$N$7,Calculation!I$7)</f>
        <v/>
      </c>
      <c r="J49" s="385">
        <f>SUMIFS(Input!$G$104:$N$104,Input!$G$7:$N$7,Calculation!J$7)</f>
        <v/>
      </c>
      <c r="K49" s="385">
        <f>SUMIFS(Input!$G$104:$N$104,Input!$G$7:$N$7,Calculation!K$7)</f>
        <v/>
      </c>
      <c r="L49" s="385">
        <f>SUMIFS(Input!$G$104:$N$104,Input!$G$7:$N$7,Calculation!L$7)</f>
        <v/>
      </c>
      <c r="M49" s="385">
        <f>SUMIFS(Input!$G$104:$N$104,Input!$G$7:$N$7,Calculation!M$7)</f>
        <v/>
      </c>
      <c r="N49" s="385">
        <f>SUMIFS(Input!$G$104:$N$104,Input!$G$7:$N$7,Calculation!N$7)</f>
        <v/>
      </c>
      <c r="O49" s="385" t="n"/>
    </row>
    <row r="50" ht="12.75" customHeight="1" s="282">
      <c r="A50" s="281" t="n"/>
      <c r="B50" s="396" t="inlineStr">
        <is>
          <t>Revenue</t>
        </is>
      </c>
      <c r="C50" s="354" t="n"/>
      <c r="D50" s="354" t="n"/>
      <c r="E50" s="354" t="n"/>
      <c r="F50" s="397" t="inlineStr">
        <is>
          <t>KRW mn</t>
        </is>
      </c>
      <c r="G50" s="398">
        <f>G48*G49/mn</f>
        <v/>
      </c>
      <c r="H50" s="398">
        <f>H48*H49/mn</f>
        <v/>
      </c>
      <c r="I50" s="398">
        <f>I48*I49/mn</f>
        <v/>
      </c>
      <c r="J50" s="398">
        <f>J48*J49/mn</f>
        <v/>
      </c>
      <c r="K50" s="398">
        <f>K48*K49/mn</f>
        <v/>
      </c>
      <c r="L50" s="398">
        <f>L48*L49/mn</f>
        <v/>
      </c>
      <c r="M50" s="398">
        <f>M48*M49/mn</f>
        <v/>
      </c>
      <c r="N50" s="398">
        <f>N48*N49/mn</f>
        <v/>
      </c>
      <c r="O50" s="385" t="n"/>
    </row>
    <row r="51" ht="12.75" customHeight="1" s="282">
      <c r="A51" s="281" t="n"/>
      <c r="B51" s="281" t="n"/>
      <c r="C51" s="281" t="n"/>
      <c r="D51" s="281" t="n"/>
      <c r="E51" s="281" t="n"/>
      <c r="F51" s="281" t="n"/>
      <c r="G51" s="281" t="n"/>
      <c r="H51" s="281" t="n"/>
      <c r="I51" s="281" t="n"/>
      <c r="J51" s="281" t="n"/>
      <c r="K51" s="281" t="n"/>
      <c r="L51" s="281" t="n"/>
      <c r="M51" s="281" t="n"/>
      <c r="N51" s="281" t="n"/>
      <c r="O51" s="281" t="n"/>
    </row>
    <row r="52" ht="12.75" customHeight="1" s="282">
      <c r="A52" s="281" t="n"/>
      <c r="B52" s="336" t="inlineStr">
        <is>
          <t>[Revenue breakdown] - #5</t>
        </is>
      </c>
      <c r="C52" s="281" t="n"/>
      <c r="D52" s="281" t="n"/>
      <c r="E52" s="281" t="n"/>
      <c r="F52" s="281" t="n"/>
      <c r="G52" s="281" t="n"/>
      <c r="H52" s="281" t="n"/>
      <c r="I52" s="281" t="n"/>
      <c r="J52" s="281" t="n"/>
      <c r="K52" s="281" t="n"/>
      <c r="L52" s="281" t="n"/>
      <c r="M52" s="281" t="n"/>
      <c r="N52" s="281" t="n"/>
      <c r="O52" s="281" t="n"/>
    </row>
    <row r="53" ht="12.75" customHeight="1" s="282">
      <c r="A53" s="281" t="n"/>
      <c r="B53" s="423" t="inlineStr">
        <is>
          <t>Price_real</t>
        </is>
      </c>
      <c r="C53" s="378" t="n"/>
      <c r="D53" s="378" t="n"/>
      <c r="E53" s="378" t="n"/>
      <c r="F53" s="424" t="inlineStr">
        <is>
          <t>KRW/Kg</t>
        </is>
      </c>
      <c r="G53" s="425">
        <f>SUMIFS(Input!$G$109:$N$109,Input!$G$7:$N$7,Calculation!G$7)</f>
        <v/>
      </c>
      <c r="H53" s="425">
        <f>SUMIFS(Input!$G$109:$N$109,Input!$G$7:$N$7,Calculation!H$7)</f>
        <v/>
      </c>
      <c r="I53" s="425">
        <f>SUMIFS(Input!$G$109:$N$109,Input!$G$7:$N$7,Calculation!I$7)</f>
        <v/>
      </c>
      <c r="J53" s="425">
        <f>SUMIFS(Input!$G$109:$N$109,Input!$G$7:$N$7,Calculation!J$7)</f>
        <v/>
      </c>
      <c r="K53" s="425">
        <f>SUMIFS(Input!$G$109:$N$109,Input!$G$7:$N$7,Calculation!K$7)</f>
        <v/>
      </c>
      <c r="L53" s="425">
        <f>SUMIFS(Input!$G$109:$N$109,Input!$G$7:$N$7,Calculation!L$7)</f>
        <v/>
      </c>
      <c r="M53" s="425">
        <f>SUMIFS(Input!$G$109:$N$109,Input!$G$7:$N$7,Calculation!M$7)</f>
        <v/>
      </c>
      <c r="N53" s="425">
        <f>SUMIFS(Input!$G$109:$N$109,Input!$G$7:$N$7,Calculation!N$7)</f>
        <v/>
      </c>
      <c r="O53" s="385" t="n"/>
    </row>
    <row r="54" ht="12.75" customHeight="1" s="282">
      <c r="A54" s="281" t="n"/>
      <c r="B54" s="334" t="inlineStr">
        <is>
          <t>Industry Growth</t>
        </is>
      </c>
      <c r="C54" s="281" t="n"/>
      <c r="D54" s="281" t="n"/>
      <c r="E54" s="281" t="n"/>
      <c r="F54" s="347" t="inlineStr">
        <is>
          <t>%</t>
        </is>
      </c>
      <c r="G54" s="390">
        <f>SUMIFS(Input!$G$20:$N$20,Input!$G$7:$N$7,Calculation!G$7)</f>
        <v/>
      </c>
      <c r="H54" s="390">
        <f>SUMIFS(Input!$G$20:$N$20,Input!$G$7:$N$7,Calculation!H$7)</f>
        <v/>
      </c>
      <c r="I54" s="390">
        <f>SUMIFS(Input!$G$20:$N$20,Input!$G$7:$N$7,Calculation!I$7)</f>
        <v/>
      </c>
      <c r="J54" s="390">
        <f>SUMIFS(Input!$G$20:$N$20,Input!$G$7:$N$7,Calculation!J$7)</f>
        <v/>
      </c>
      <c r="K54" s="390">
        <f>SUMIFS(Input!$G$20:$N$20,Input!$G$7:$N$7,Calculation!K$7)</f>
        <v/>
      </c>
      <c r="L54" s="390">
        <f>SUMIFS(Input!$G$20:$N$20,Input!$G$7:$N$7,Calculation!L$7)</f>
        <v/>
      </c>
      <c r="M54" s="390">
        <f>SUMIFS(Input!$G$20:$N$20,Input!$G$7:$N$7,Calculation!M$7)</f>
        <v/>
      </c>
      <c r="N54" s="390">
        <f>SUMIFS(Input!$G$20:$N$20,Input!$G$7:$N$7,Calculation!N$7)</f>
        <v/>
      </c>
      <c r="O54" s="390" t="n"/>
    </row>
    <row r="55" ht="12.75" customHeight="1" s="282">
      <c r="A55" s="281" t="n"/>
      <c r="B55" s="335" t="inlineStr">
        <is>
          <t>Price_Nominal</t>
        </is>
      </c>
      <c r="C55" s="281" t="n"/>
      <c r="D55" s="281" t="n"/>
      <c r="E55" s="281" t="n"/>
      <c r="F55" s="347" t="inlineStr">
        <is>
          <t>KRW/Kg</t>
        </is>
      </c>
      <c r="G55" s="385">
        <f>IFERROR(G53*G54,"")</f>
        <v/>
      </c>
      <c r="H55" s="385">
        <f>IFERROR(H53*H54,"")</f>
        <v/>
      </c>
      <c r="I55" s="385">
        <f>IFERROR(I53*I54,"")</f>
        <v/>
      </c>
      <c r="J55" s="385">
        <f>IFERROR(J53*J54,"")</f>
        <v/>
      </c>
      <c r="K55" s="385">
        <f>IFERROR(J55*K54,"")</f>
        <v/>
      </c>
      <c r="L55" s="385">
        <f>IFERROR(K55*L54,"")</f>
        <v/>
      </c>
      <c r="M55" s="385">
        <f>IFERROR(L55*M54,"")</f>
        <v/>
      </c>
      <c r="N55" s="385">
        <f>IFERROR(M55*N54,"")</f>
        <v/>
      </c>
      <c r="O55" s="385" t="n"/>
    </row>
    <row r="56" ht="12.75" customHeight="1" s="282">
      <c r="A56" s="281" t="n"/>
      <c r="B56" s="335" t="inlineStr">
        <is>
          <t>Quantity</t>
        </is>
      </c>
      <c r="C56" s="281" t="n"/>
      <c r="D56" s="281" t="n"/>
      <c r="E56" s="281" t="n"/>
      <c r="F56" s="347" t="inlineStr">
        <is>
          <t>Kg</t>
        </is>
      </c>
      <c r="G56" s="385">
        <f>SUMIFS(Input!$G$110:$N$110,Input!$G$7:$N$7,Calculation!G$7)</f>
        <v/>
      </c>
      <c r="H56" s="385">
        <f>SUMIFS(Input!$G$110:$N$110,Input!$G$7:$N$7,Calculation!H$7)</f>
        <v/>
      </c>
      <c r="I56" s="385">
        <f>SUMIFS(Input!$G$110:$N$110,Input!$G$7:$N$7,Calculation!I$7)</f>
        <v/>
      </c>
      <c r="J56" s="385">
        <f>SUMIFS(Input!$G$110:$N$110,Input!$G$7:$N$7,Calculation!J$7)</f>
        <v/>
      </c>
      <c r="K56" s="385">
        <f>SUMIFS(Input!$G$110:$N$110,Input!$G$7:$N$7,Calculation!K$7)</f>
        <v/>
      </c>
      <c r="L56" s="385">
        <f>SUMIFS(Input!$G$110:$N$110,Input!$G$7:$N$7,Calculation!L$7)</f>
        <v/>
      </c>
      <c r="M56" s="385">
        <f>SUMIFS(Input!$G$110:$N$110,Input!$G$7:$N$7,Calculation!M$7)</f>
        <v/>
      </c>
      <c r="N56" s="385">
        <f>SUMIFS(Input!$G$110:$N$110,Input!$G$7:$N$7,Calculation!N$7)</f>
        <v/>
      </c>
      <c r="O56" s="385" t="n"/>
    </row>
    <row r="57" ht="12.75" customHeight="1" s="282">
      <c r="A57" s="281" t="n"/>
      <c r="B57" s="396" t="inlineStr">
        <is>
          <t>Revenue</t>
        </is>
      </c>
      <c r="C57" s="354" t="n"/>
      <c r="D57" s="354" t="n"/>
      <c r="E57" s="354" t="n"/>
      <c r="F57" s="397" t="inlineStr">
        <is>
          <t>KRW mn</t>
        </is>
      </c>
      <c r="G57" s="398">
        <f>G55*G56/mn</f>
        <v/>
      </c>
      <c r="H57" s="398">
        <f>H55*H56/mn</f>
        <v/>
      </c>
      <c r="I57" s="398">
        <f>I55*I56/mn</f>
        <v/>
      </c>
      <c r="J57" s="398">
        <f>J55*J56/mn</f>
        <v/>
      </c>
      <c r="K57" s="398">
        <f>K55*K56/mn</f>
        <v/>
      </c>
      <c r="L57" s="398">
        <f>L55*L56/mn</f>
        <v/>
      </c>
      <c r="M57" s="398">
        <f>M55*M56/mn</f>
        <v/>
      </c>
      <c r="N57" s="398">
        <f>N55*N56/mn</f>
        <v/>
      </c>
      <c r="O57" s="385" t="n"/>
    </row>
    <row r="58" ht="12.75" customHeight="1" s="282">
      <c r="A58" s="281" t="n"/>
      <c r="B58" s="281" t="n"/>
      <c r="C58" s="281" t="n"/>
      <c r="D58" s="281" t="n"/>
      <c r="E58" s="281" t="n"/>
      <c r="F58" s="281" t="n"/>
      <c r="G58" s="281" t="n"/>
      <c r="H58" s="281" t="n"/>
      <c r="I58" s="281" t="n"/>
      <c r="J58" s="281" t="n"/>
      <c r="K58" s="281" t="n"/>
      <c r="L58" s="281" t="n"/>
      <c r="M58" s="281" t="n"/>
      <c r="N58" s="281" t="n"/>
      <c r="O58" s="281" t="n"/>
    </row>
    <row r="59" ht="12.75" customHeight="1" s="282">
      <c r="A59" s="281" t="n"/>
      <c r="B59" s="281" t="n"/>
      <c r="C59" s="281" t="n"/>
      <c r="D59" s="281" t="n"/>
      <c r="E59" s="281" t="n"/>
      <c r="F59" s="281" t="n"/>
      <c r="G59" s="281" t="n"/>
      <c r="H59" s="281" t="n"/>
      <c r="I59" s="281" t="n"/>
      <c r="J59" s="281" t="n"/>
      <c r="K59" s="281" t="n"/>
      <c r="L59" s="281" t="n"/>
      <c r="M59" s="281" t="n"/>
      <c r="N59" s="281" t="n"/>
      <c r="O59" s="281" t="n"/>
    </row>
    <row r="60" ht="12.75" customHeight="1" s="282">
      <c r="A60" s="281" t="n"/>
      <c r="B60" s="281" t="n"/>
      <c r="C60" s="281" t="n"/>
      <c r="D60" s="281" t="n"/>
      <c r="E60" s="281" t="n"/>
      <c r="F60" s="281" t="n"/>
      <c r="G60" s="281" t="n"/>
      <c r="H60" s="281" t="n"/>
      <c r="I60" s="281" t="n"/>
      <c r="J60" s="281" t="n"/>
      <c r="K60" s="281" t="n"/>
      <c r="L60" s="281" t="n"/>
      <c r="M60" s="281" t="n"/>
      <c r="N60" s="281" t="n"/>
      <c r="O60" s="281" t="n"/>
    </row>
    <row r="61" ht="12.75" customHeight="1" s="282">
      <c r="A61" s="281" t="n"/>
      <c r="B61" s="325" t="inlineStr">
        <is>
          <t>COGS</t>
        </is>
      </c>
      <c r="C61" s="333" t="n"/>
      <c r="D61" s="333" t="n"/>
      <c r="E61" s="333" t="n"/>
      <c r="F61" s="333" t="n"/>
      <c r="G61" s="333" t="n"/>
      <c r="H61" s="333" t="n"/>
      <c r="I61" s="333" t="n"/>
      <c r="J61" s="333" t="n"/>
      <c r="K61" s="333" t="n"/>
      <c r="L61" s="333" t="n"/>
      <c r="M61" s="333" t="n"/>
      <c r="N61" s="333" t="n"/>
      <c r="O61" s="333" t="n"/>
    </row>
    <row r="62" ht="12.75" customHeight="1" s="282">
      <c r="A62" s="281" t="n"/>
      <c r="B62" s="281" t="n"/>
      <c r="C62" s="281" t="n"/>
      <c r="D62" s="281" t="n"/>
      <c r="E62" s="281" t="n"/>
      <c r="F62" s="281" t="n"/>
      <c r="G62" s="281" t="n"/>
      <c r="H62" s="281" t="n"/>
      <c r="I62" s="281" t="n"/>
      <c r="J62" s="281" t="n"/>
      <c r="K62" s="281" t="n"/>
      <c r="L62" s="281" t="n"/>
      <c r="M62" s="281" t="n"/>
      <c r="N62" s="281" t="n"/>
      <c r="O62" s="281" t="n"/>
    </row>
    <row r="63" ht="12.75" customHeight="1" s="282">
      <c r="A63" s="281" t="n"/>
      <c r="B63" s="336" t="inlineStr">
        <is>
          <t>[Total COGS]</t>
        </is>
      </c>
      <c r="C63" s="281" t="n"/>
      <c r="D63" s="281" t="n"/>
      <c r="E63" s="281" t="n"/>
      <c r="F63" s="281" t="n"/>
      <c r="G63" s="281" t="n"/>
      <c r="H63" s="281" t="n"/>
      <c r="I63" s="281" t="n"/>
      <c r="J63" s="281" t="n"/>
      <c r="K63" s="281" t="n"/>
      <c r="L63" s="281" t="n"/>
      <c r="M63" s="281" t="n"/>
      <c r="N63" s="281" t="n"/>
      <c r="O63" s="281" t="n"/>
    </row>
    <row r="64" ht="12.75" customHeight="1" s="282">
      <c r="A64" s="281" t="n"/>
      <c r="B64" s="423" t="inlineStr">
        <is>
          <t>[COGS breakdown] - 재료비 (P*Q)</t>
        </is>
      </c>
      <c r="C64" s="378" t="n"/>
      <c r="D64" s="378" t="n"/>
      <c r="E64" s="378" t="n"/>
      <c r="F64" s="424" t="inlineStr">
        <is>
          <t>KRW mn</t>
        </is>
      </c>
      <c r="G64" s="425">
        <f>G77</f>
        <v/>
      </c>
      <c r="H64" s="425">
        <f>H77</f>
        <v/>
      </c>
      <c r="I64" s="425">
        <f>I77</f>
        <v/>
      </c>
      <c r="J64" s="425">
        <f>J77</f>
        <v/>
      </c>
      <c r="K64" s="425">
        <f>K77</f>
        <v/>
      </c>
      <c r="L64" s="425">
        <f>L77</f>
        <v/>
      </c>
      <c r="M64" s="425">
        <f>M77</f>
        <v/>
      </c>
      <c r="N64" s="425">
        <f>N77</f>
        <v/>
      </c>
      <c r="O64" s="385" t="n"/>
    </row>
    <row r="65" ht="15" customHeight="1" s="282">
      <c r="A65" s="281" t="n"/>
      <c r="B65" s="335" t="inlineStr">
        <is>
          <t>[COGS breakdown] - 인건비</t>
        </is>
      </c>
      <c r="C65" s="281" t="n"/>
      <c r="D65" s="281" t="n"/>
      <c r="E65" s="281" t="n"/>
      <c r="F65" s="347" t="inlineStr">
        <is>
          <t>KRW mn</t>
        </is>
      </c>
      <c r="G65" s="385">
        <f>G150</f>
        <v/>
      </c>
      <c r="H65" s="385">
        <f>H150</f>
        <v/>
      </c>
      <c r="I65" s="385">
        <f>I150</f>
        <v/>
      </c>
      <c r="J65" s="385">
        <f>J150</f>
        <v/>
      </c>
      <c r="K65" s="385">
        <f>K150</f>
        <v/>
      </c>
      <c r="L65" s="385">
        <f>L150</f>
        <v/>
      </c>
      <c r="M65" s="385">
        <f>M150</f>
        <v/>
      </c>
      <c r="N65" s="385">
        <f>N150</f>
        <v/>
      </c>
      <c r="O65" s="385" t="n"/>
    </row>
    <row r="66" ht="12.75" customHeight="1" s="282">
      <c r="A66" s="281" t="n"/>
      <c r="B66" s="334" t="inlineStr">
        <is>
          <t>[COGS breakdown] - 기타경비(변동비)</t>
        </is>
      </c>
      <c r="C66" s="281" t="n"/>
      <c r="D66" s="281" t="n"/>
      <c r="E66" s="281" t="n"/>
      <c r="F66" s="347" t="inlineStr">
        <is>
          <t>KRW mn</t>
        </is>
      </c>
      <c r="G66" s="385">
        <f>G81</f>
        <v/>
      </c>
      <c r="H66" s="385">
        <f>H81</f>
        <v/>
      </c>
      <c r="I66" s="385">
        <f>I81</f>
        <v/>
      </c>
      <c r="J66" s="385">
        <f>J81</f>
        <v/>
      </c>
      <c r="K66" s="385">
        <f>K81</f>
        <v/>
      </c>
      <c r="L66" s="385">
        <f>L81</f>
        <v/>
      </c>
      <c r="M66" s="385">
        <f>M81</f>
        <v/>
      </c>
      <c r="N66" s="385">
        <f>N81</f>
        <v/>
      </c>
      <c r="O66" s="385" t="n"/>
    </row>
    <row r="67" ht="12.75" customHeight="1" s="282">
      <c r="A67" s="281" t="n"/>
      <c r="B67" s="334" t="inlineStr">
        <is>
          <t>[COGS breakdown] - 기타경비(고정비)</t>
        </is>
      </c>
      <c r="C67" s="281" t="n"/>
      <c r="D67" s="281" t="n"/>
      <c r="E67" s="281" t="n"/>
      <c r="F67" s="347" t="inlineStr">
        <is>
          <t>KRW mn</t>
        </is>
      </c>
      <c r="G67" s="385">
        <f>G85</f>
        <v/>
      </c>
      <c r="H67" s="385">
        <f>H85</f>
        <v/>
      </c>
      <c r="I67" s="385">
        <f>I85</f>
        <v/>
      </c>
      <c r="J67" s="385">
        <f>J85</f>
        <v/>
      </c>
      <c r="K67" s="385">
        <f>K85</f>
        <v/>
      </c>
      <c r="L67" s="385">
        <f>L85</f>
        <v/>
      </c>
      <c r="M67" s="385">
        <f>M85</f>
        <v/>
      </c>
      <c r="N67" s="385">
        <f>N85</f>
        <v/>
      </c>
      <c r="O67" s="385" t="n"/>
    </row>
    <row r="68" ht="12.75" customHeight="1" s="282">
      <c r="A68" s="281" t="n"/>
      <c r="B68" s="334" t="inlineStr">
        <is>
          <t>[COGS breakdown] - 별도 추정- #1</t>
        </is>
      </c>
      <c r="C68" s="281" t="n"/>
      <c r="D68" s="281" t="n"/>
      <c r="E68" s="281" t="n"/>
      <c r="F68" s="347" t="inlineStr">
        <is>
          <t>KRW mn</t>
        </is>
      </c>
      <c r="G68" s="385">
        <f>G92</f>
        <v/>
      </c>
      <c r="H68" s="385">
        <f>H92</f>
        <v/>
      </c>
      <c r="I68" s="385">
        <f>I92</f>
        <v/>
      </c>
      <c r="J68" s="385">
        <f>J92</f>
        <v/>
      </c>
      <c r="K68" s="385">
        <f>K92</f>
        <v/>
      </c>
      <c r="L68" s="385">
        <f>L92</f>
        <v/>
      </c>
      <c r="M68" s="385">
        <f>M92</f>
        <v/>
      </c>
      <c r="N68" s="385">
        <f>N92</f>
        <v/>
      </c>
      <c r="O68" s="385" t="n"/>
    </row>
    <row r="69" ht="12.75" customHeight="1" s="282">
      <c r="A69" s="281" t="n"/>
      <c r="B69" s="334" t="inlineStr">
        <is>
          <t>[COGS breakdown] - 별도 추정- #2</t>
        </is>
      </c>
      <c r="C69" s="281" t="n"/>
      <c r="D69" s="281" t="n"/>
      <c r="E69" s="281" t="n"/>
      <c r="F69" s="347" t="inlineStr">
        <is>
          <t>KRW mn</t>
        </is>
      </c>
      <c r="G69" s="385">
        <f>G99</f>
        <v/>
      </c>
      <c r="H69" s="385">
        <f>H99</f>
        <v/>
      </c>
      <c r="I69" s="385">
        <f>I99</f>
        <v/>
      </c>
      <c r="J69" s="385">
        <f>J99</f>
        <v/>
      </c>
      <c r="K69" s="385">
        <f>K99</f>
        <v/>
      </c>
      <c r="L69" s="385">
        <f>L99</f>
        <v/>
      </c>
      <c r="M69" s="385">
        <f>M99</f>
        <v/>
      </c>
      <c r="N69" s="385">
        <f>N99</f>
        <v/>
      </c>
      <c r="O69" s="385" t="n"/>
    </row>
    <row r="70" ht="13.5" customHeight="1" s="282">
      <c r="A70" s="281" t="n"/>
      <c r="B70" s="426" t="inlineStr">
        <is>
          <t>Total COGS</t>
        </is>
      </c>
      <c r="C70" s="427" t="n"/>
      <c r="D70" s="427" t="n"/>
      <c r="E70" s="427" t="n"/>
      <c r="F70" s="428" t="inlineStr">
        <is>
          <t>KRW mn</t>
        </is>
      </c>
      <c r="G70" s="429">
        <f>SUM(G64:G69)</f>
        <v/>
      </c>
      <c r="H70" s="429">
        <f>SUM(H64:H69)</f>
        <v/>
      </c>
      <c r="I70" s="429">
        <f>SUM(I64:I69)</f>
        <v/>
      </c>
      <c r="J70" s="429">
        <f>SUM(J64:J69)</f>
        <v/>
      </c>
      <c r="K70" s="429">
        <f>SUM(K64:K69)</f>
        <v/>
      </c>
      <c r="L70" s="429">
        <f>SUM(L64:L69)</f>
        <v/>
      </c>
      <c r="M70" s="429">
        <f>SUM(M64:M69)</f>
        <v/>
      </c>
      <c r="N70" s="430">
        <f>SUM(N64:N69)</f>
        <v/>
      </c>
      <c r="O70" s="431" t="n"/>
    </row>
    <row r="71" ht="12.75" customHeight="1" s="282">
      <c r="A71" s="281" t="n"/>
      <c r="B71" s="281" t="n"/>
      <c r="C71" s="281" t="n"/>
      <c r="D71" s="281" t="n"/>
      <c r="E71" s="281" t="n"/>
      <c r="F71" s="281" t="n"/>
      <c r="G71" s="281" t="n"/>
      <c r="H71" s="281" t="n"/>
      <c r="I71" s="281" t="n"/>
      <c r="J71" s="281" t="n"/>
      <c r="K71" s="281" t="n"/>
      <c r="L71" s="281" t="n"/>
      <c r="M71" s="281" t="n"/>
      <c r="N71" s="281" t="n"/>
      <c r="O71" s="281" t="n"/>
    </row>
    <row r="72" ht="12.75" customHeight="1" s="282">
      <c r="A72" s="281" t="n"/>
      <c r="B72" s="336" t="inlineStr">
        <is>
          <t>[COGS breakdown] - 재료비 (P*Q)</t>
        </is>
      </c>
      <c r="C72" s="281" t="n"/>
      <c r="D72" s="281" t="n"/>
      <c r="E72" s="281" t="n"/>
      <c r="F72" s="281" t="n"/>
      <c r="G72" s="281" t="n"/>
      <c r="H72" s="281" t="n"/>
      <c r="I72" s="281" t="n"/>
      <c r="J72" s="281" t="n"/>
      <c r="K72" s="281" t="n"/>
      <c r="L72" s="281" t="n"/>
      <c r="M72" s="281" t="n"/>
      <c r="N72" s="281" t="n"/>
      <c r="O72" s="281" t="n"/>
    </row>
    <row r="73" ht="12.75" customHeight="1" s="282">
      <c r="A73" s="281" t="n"/>
      <c r="B73" s="423" t="inlineStr">
        <is>
          <t>Price_real</t>
        </is>
      </c>
      <c r="C73" s="378" t="n"/>
      <c r="D73" s="378" t="n"/>
      <c r="E73" s="378" t="n"/>
      <c r="F73" s="424" t="inlineStr">
        <is>
          <t>KRW/Kg</t>
        </is>
      </c>
      <c r="G73" s="425">
        <f>SUMIFS(Input!$G$119:$N$119,Input!$G$7:$N$7,Calculation!G$7)</f>
        <v/>
      </c>
      <c r="H73" s="425">
        <f>SUMIFS(Input!$G$119:$N$119,Input!$G$7:$N$7,Calculation!H$7)</f>
        <v/>
      </c>
      <c r="I73" s="425">
        <f>SUMIFS(Input!$G$119:$N$119,Input!$G$7:$N$7,Calculation!I$7)</f>
        <v/>
      </c>
      <c r="J73" s="425">
        <f>SUMIFS(Input!$G$119:$N$119,Input!$G$7:$N$7,Calculation!J$7)</f>
        <v/>
      </c>
      <c r="K73" s="425">
        <f>SUMIFS(Input!$G$119:$N$119,Input!$G$7:$N$7,Calculation!K$7)</f>
        <v/>
      </c>
      <c r="L73" s="425">
        <f>SUMIFS(Input!$G$119:$N$119,Input!$G$7:$N$7,Calculation!L$7)</f>
        <v/>
      </c>
      <c r="M73" s="425">
        <f>SUMIFS(Input!$G$119:$N$119,Input!$G$7:$N$7,Calculation!M$7)</f>
        <v/>
      </c>
      <c r="N73" s="425">
        <f>SUMIFS(Input!$G$119:$N$119,Input!$G$7:$N$7,Calculation!N$7)</f>
        <v/>
      </c>
      <c r="O73" s="385" t="n"/>
    </row>
    <row r="74" ht="12.75" customHeight="1" s="282">
      <c r="A74" s="281" t="n"/>
      <c r="B74" s="334" t="inlineStr">
        <is>
          <t>PPI</t>
        </is>
      </c>
      <c r="C74" s="281" t="n"/>
      <c r="D74" s="281" t="n"/>
      <c r="E74" s="281" t="n"/>
      <c r="F74" s="347" t="inlineStr">
        <is>
          <t>%</t>
        </is>
      </c>
      <c r="G74" s="390">
        <f>SUMIFS(Input!$G$23:$N$23,Input!$G$7:$N$7,Calculation!G$7)</f>
        <v/>
      </c>
      <c r="H74" s="390">
        <f>SUMIFS(Input!$G$23:$N$23,Input!$G$7:$N$7,Calculation!H$7)</f>
        <v/>
      </c>
      <c r="I74" s="390">
        <f>SUMIFS(Input!$G$23:$N$23,Input!$G$7:$N$7,Calculation!I$7)</f>
        <v/>
      </c>
      <c r="J74" s="390">
        <f>SUMIFS(Input!$G$23:$N$23,Input!$G$7:$N$7,Calculation!J$7)</f>
        <v/>
      </c>
      <c r="K74" s="390">
        <f>SUMIFS(Input!$G$23:$N$23,Input!$G$7:$N$7,Calculation!K$7)</f>
        <v/>
      </c>
      <c r="L74" s="390">
        <f>SUMIFS(Input!$G$23:$N$23,Input!$G$7:$N$7,Calculation!L$7)</f>
        <v/>
      </c>
      <c r="M74" s="390">
        <f>SUMIFS(Input!$G$23:$N$23,Input!$G$7:$N$7,Calculation!M$7)</f>
        <v/>
      </c>
      <c r="N74" s="390">
        <f>SUMIFS(Input!$G$23:$N$23,Input!$G$7:$N$7,Calculation!N$7)</f>
        <v/>
      </c>
      <c r="O74" s="390" t="n"/>
    </row>
    <row r="75" ht="12.75" customHeight="1" s="282">
      <c r="A75" s="281" t="n"/>
      <c r="B75" s="335" t="inlineStr">
        <is>
          <t>Price_Nominal</t>
        </is>
      </c>
      <c r="C75" s="281" t="n"/>
      <c r="D75" s="281" t="n"/>
      <c r="E75" s="281" t="n"/>
      <c r="F75" s="347" t="inlineStr">
        <is>
          <t>KRW/Kg</t>
        </is>
      </c>
      <c r="G75" s="385">
        <f>IFERROR(G73*G74,"")</f>
        <v/>
      </c>
      <c r="H75" s="385">
        <f>IFERROR(H73*H74,"")</f>
        <v/>
      </c>
      <c r="I75" s="385">
        <f>IFERROR(I73*I74,"")</f>
        <v/>
      </c>
      <c r="J75" s="385">
        <f>IFERROR(J73*J74,"")</f>
        <v/>
      </c>
      <c r="K75" s="385">
        <f>IFERROR(J75*K74,"")</f>
        <v/>
      </c>
      <c r="L75" s="385">
        <f>IFERROR(K75*L74,"")</f>
        <v/>
      </c>
      <c r="M75" s="385">
        <f>IFERROR(L75*M74,"")</f>
        <v/>
      </c>
      <c r="N75" s="385">
        <f>IFERROR(M75*N74,"")</f>
        <v/>
      </c>
      <c r="O75" s="385" t="n"/>
    </row>
    <row r="76" ht="12.75" customHeight="1" s="282">
      <c r="A76" s="281" t="n"/>
      <c r="B76" s="335" t="inlineStr">
        <is>
          <t>Quantity</t>
        </is>
      </c>
      <c r="C76" s="281" t="n"/>
      <c r="D76" s="281" t="n"/>
      <c r="E76" s="281" t="n"/>
      <c r="F76" s="347" t="inlineStr">
        <is>
          <t>Kg</t>
        </is>
      </c>
      <c r="G76" s="385">
        <f>SUMIFS(Input!$G$120:$N$120,Input!$G$7:$N$7,Calculation!G$7)</f>
        <v/>
      </c>
      <c r="H76" s="385">
        <f>SUMIFS(Input!$G$120:$N$120,Input!$G$7:$N$7,Calculation!H$7)</f>
        <v/>
      </c>
      <c r="I76" s="385">
        <f>SUMIFS(Input!$G$120:$N$120,Input!$G$7:$N$7,Calculation!I$7)</f>
        <v/>
      </c>
      <c r="J76" s="385">
        <f>SUMIFS(Input!$G$120:$N$120,Input!$G$7:$N$7,Calculation!J$7)</f>
        <v/>
      </c>
      <c r="K76" s="385">
        <f>SUMIFS(Input!$G$120:$N$120,Input!$G$7:$N$7,Calculation!K$7)</f>
        <v/>
      </c>
      <c r="L76" s="385">
        <f>SUMIFS(Input!$G$120:$N$120,Input!$G$7:$N$7,Calculation!L$7)</f>
        <v/>
      </c>
      <c r="M76" s="385">
        <f>SUMIFS(Input!$G$120:$N$120,Input!$G$7:$N$7,Calculation!M$7)</f>
        <v/>
      </c>
      <c r="N76" s="385">
        <f>SUMIFS(Input!$G$120:$N$120,Input!$G$7:$N$7,Calculation!N$7)</f>
        <v/>
      </c>
      <c r="O76" s="385" t="n"/>
    </row>
    <row r="77" ht="12.75" customHeight="1" s="282">
      <c r="A77" s="281" t="n"/>
      <c r="B77" s="410" t="inlineStr">
        <is>
          <t>재료비</t>
        </is>
      </c>
      <c r="C77" s="354" t="n"/>
      <c r="D77" s="354" t="n"/>
      <c r="E77" s="354" t="n"/>
      <c r="F77" s="397" t="inlineStr">
        <is>
          <t>KRW mn</t>
        </is>
      </c>
      <c r="G77" s="398">
        <f>G75*G76/mn</f>
        <v/>
      </c>
      <c r="H77" s="398">
        <f>H75*H76/mn</f>
        <v/>
      </c>
      <c r="I77" s="398">
        <f>I75*I76/mn</f>
        <v/>
      </c>
      <c r="J77" s="398">
        <f>J75*J76/mn</f>
        <v/>
      </c>
      <c r="K77" s="398">
        <f>K75*K76/mn</f>
        <v/>
      </c>
      <c r="L77" s="398">
        <f>L75*L76/mn</f>
        <v/>
      </c>
      <c r="M77" s="398">
        <f>M75*M76/mn</f>
        <v/>
      </c>
      <c r="N77" s="398">
        <f>N75*N76/mn</f>
        <v/>
      </c>
      <c r="O77" s="385" t="n"/>
    </row>
    <row r="78" ht="12.75" customHeight="1" s="282">
      <c r="A78" s="281" t="n"/>
      <c r="B78" s="281" t="n"/>
      <c r="C78" s="281" t="n"/>
      <c r="D78" s="281" t="n"/>
      <c r="E78" s="281" t="n"/>
      <c r="F78" s="281" t="n"/>
      <c r="G78" s="281" t="n"/>
      <c r="H78" s="281" t="n"/>
      <c r="I78" s="281" t="n"/>
      <c r="J78" s="281" t="n"/>
      <c r="K78" s="281" t="n"/>
      <c r="L78" s="281" t="n"/>
      <c r="M78" s="281" t="n"/>
      <c r="N78" s="281" t="n"/>
      <c r="O78" s="281" t="n"/>
    </row>
    <row r="79" ht="15" customHeight="1" s="282">
      <c r="A79" s="281" t="n"/>
      <c r="B79" s="434" t="inlineStr">
        <is>
          <t>[COGS breakdown] - 기타경비(변동비)</t>
        </is>
      </c>
      <c r="C79" s="354" t="n"/>
      <c r="D79" s="354" t="n"/>
      <c r="E79" s="354" t="n"/>
      <c r="F79" s="354" t="n"/>
      <c r="G79" s="354" t="n"/>
      <c r="H79" s="354" t="n"/>
      <c r="I79" s="354" t="n"/>
      <c r="J79" s="354" t="n"/>
      <c r="K79" s="354" t="n"/>
      <c r="L79" s="354" t="n"/>
      <c r="M79" s="354" t="n"/>
      <c r="N79" s="354" t="n"/>
      <c r="O79" s="281" t="n"/>
    </row>
    <row r="80" ht="13.5" customHeight="1" s="282">
      <c r="A80" s="281" t="n"/>
      <c r="B80" s="335" t="inlineStr">
        <is>
          <t>% of revenue</t>
        </is>
      </c>
      <c r="C80" s="281" t="n"/>
      <c r="D80" s="281" t="n"/>
      <c r="E80" s="407">
        <f>Input!E126</f>
        <v/>
      </c>
      <c r="F80" s="347" t="inlineStr">
        <is>
          <t>%</t>
        </is>
      </c>
      <c r="G80" s="281" t="n"/>
      <c r="H80" s="281" t="n"/>
      <c r="I80" s="281" t="n"/>
      <c r="J80" s="409">
        <f>$E80</f>
        <v/>
      </c>
      <c r="K80" s="409">
        <f>$E80</f>
        <v/>
      </c>
      <c r="L80" s="409">
        <f>$E80</f>
        <v/>
      </c>
      <c r="M80" s="409">
        <f>$E80</f>
        <v/>
      </c>
      <c r="N80" s="409">
        <f>$E80</f>
        <v/>
      </c>
      <c r="O80" s="409" t="n"/>
    </row>
    <row r="81" ht="15" customHeight="1" s="282">
      <c r="A81" s="281" t="n"/>
      <c r="B81" s="410" t="inlineStr">
        <is>
          <t>기타경비</t>
        </is>
      </c>
      <c r="C81" s="354" t="n"/>
      <c r="D81" s="354" t="n"/>
      <c r="E81" s="354" t="n"/>
      <c r="F81" s="397" t="inlineStr">
        <is>
          <t>KRW mn</t>
        </is>
      </c>
      <c r="G81" s="354" t="n"/>
      <c r="H81" s="354" t="n"/>
      <c r="I81" s="354" t="n"/>
      <c r="J81" s="435">
        <f>J$21*J80</f>
        <v/>
      </c>
      <c r="K81" s="435">
        <f>K$21*K80</f>
        <v/>
      </c>
      <c r="L81" s="435">
        <f>L$21*L80</f>
        <v/>
      </c>
      <c r="M81" s="435">
        <f>M$21*M80</f>
        <v/>
      </c>
      <c r="N81" s="435">
        <f>N$21*N80</f>
        <v/>
      </c>
      <c r="O81" s="436" t="n"/>
    </row>
    <row r="82" ht="12.75" customHeight="1" s="282">
      <c r="A82" s="281" t="n"/>
      <c r="B82" s="281" t="n"/>
      <c r="C82" s="281" t="n"/>
      <c r="D82" s="281" t="n"/>
      <c r="E82" s="281" t="n"/>
      <c r="F82" s="281" t="n"/>
      <c r="G82" s="281" t="n"/>
      <c r="H82" s="281" t="n"/>
      <c r="I82" s="281" t="n"/>
      <c r="J82" s="281" t="n"/>
      <c r="K82" s="281" t="n"/>
      <c r="L82" s="281" t="n"/>
      <c r="M82" s="281" t="n"/>
      <c r="N82" s="281" t="n"/>
      <c r="O82" s="281" t="n"/>
    </row>
    <row r="83" ht="12.75" customHeight="1" s="282">
      <c r="A83" s="281" t="n"/>
      <c r="B83" s="434" t="inlineStr">
        <is>
          <t>[COGS breakdown] - 기타경비(고정비)</t>
        </is>
      </c>
      <c r="C83" s="354" t="n"/>
      <c r="D83" s="354" t="n"/>
      <c r="E83" s="354" t="n"/>
      <c r="F83" s="354" t="n"/>
      <c r="G83" s="354" t="n"/>
      <c r="H83" s="354" t="n"/>
      <c r="I83" s="354" t="n"/>
      <c r="J83" s="354" t="n"/>
      <c r="K83" s="354" t="n"/>
      <c r="L83" s="354" t="n"/>
      <c r="M83" s="354" t="n"/>
      <c r="N83" s="354" t="n"/>
      <c r="O83" s="281" t="n"/>
    </row>
    <row r="84" ht="12.75" customHeight="1" s="282">
      <c r="A84" s="281" t="n"/>
      <c r="B84" s="437" t="inlineStr">
        <is>
          <t>PPI</t>
        </is>
      </c>
      <c r="C84" s="378" t="n"/>
      <c r="D84" s="378" t="n"/>
      <c r="E84" s="378" t="n"/>
      <c r="F84" s="424" t="inlineStr">
        <is>
          <t>%</t>
        </is>
      </c>
      <c r="G84" s="438">
        <f>SUMIFS(Input!$G$23:$N$23,Input!$G$7:$N$7,Calculation!G$7)</f>
        <v/>
      </c>
      <c r="H84" s="438">
        <f>SUMIFS(Input!$G$23:$N$23,Input!$G$7:$N$7,Calculation!H$7)</f>
        <v/>
      </c>
      <c r="I84" s="438">
        <f>SUMIFS(Input!$G$23:$N$23,Input!$G$7:$N$7,Calculation!I$7)</f>
        <v/>
      </c>
      <c r="J84" s="438">
        <f>SUMIFS(Input!$G$23:$N$23,Input!$G$7:$N$7,Calculation!J$7)</f>
        <v/>
      </c>
      <c r="K84" s="438">
        <f>SUMIFS(Input!$G$23:$N$23,Input!$G$7:$N$7,Calculation!K$7)</f>
        <v/>
      </c>
      <c r="L84" s="438">
        <f>SUMIFS(Input!$G$23:$N$23,Input!$G$7:$N$7,Calculation!L$7)</f>
        <v/>
      </c>
      <c r="M84" s="438">
        <f>SUMIFS(Input!$G$23:$N$23,Input!$G$7:$N$7,Calculation!M$7)</f>
        <v/>
      </c>
      <c r="N84" s="438">
        <f>SUMIFS(Input!$G$23:$N$23,Input!$G$7:$N$7,Calculation!N$7)</f>
        <v/>
      </c>
      <c r="O84" s="390" t="n"/>
    </row>
    <row r="85" ht="15" customHeight="1" s="282">
      <c r="A85" s="281" t="n"/>
      <c r="B85" s="410" t="inlineStr">
        <is>
          <t>기타경비</t>
        </is>
      </c>
      <c r="C85" s="354" t="n"/>
      <c r="D85" s="354" t="n"/>
      <c r="E85" s="405">
        <f>Input!E131</f>
        <v/>
      </c>
      <c r="F85" s="397" t="inlineStr">
        <is>
          <t>KRW mn</t>
        </is>
      </c>
      <c r="G85" s="439" t="n"/>
      <c r="H85" s="439" t="n"/>
      <c r="I85" s="439" t="n"/>
      <c r="J85" s="398">
        <f>E$85*J84</f>
        <v/>
      </c>
      <c r="K85" s="398">
        <f>J$85*K84</f>
        <v/>
      </c>
      <c r="L85" s="398">
        <f>K$85*L84</f>
        <v/>
      </c>
      <c r="M85" s="398">
        <f>L$85*M84</f>
        <v/>
      </c>
      <c r="N85" s="398">
        <f>M$85*N84</f>
        <v/>
      </c>
      <c r="O85" s="385" t="n"/>
    </row>
    <row r="86" ht="12.75" customHeight="1" s="282">
      <c r="A86" s="281" t="n"/>
      <c r="B86" s="281" t="n"/>
      <c r="C86" s="281" t="n"/>
      <c r="D86" s="281" t="n"/>
      <c r="E86" s="281" t="n"/>
      <c r="F86" s="281" t="n"/>
      <c r="G86" s="281" t="n"/>
      <c r="H86" s="281" t="n"/>
      <c r="I86" s="281" t="n"/>
      <c r="J86" s="281" t="n"/>
      <c r="K86" s="281" t="n"/>
      <c r="L86" s="281" t="n"/>
      <c r="M86" s="281" t="n"/>
      <c r="N86" s="281" t="n"/>
      <c r="O86" s="281" t="n"/>
    </row>
    <row r="87" ht="12.75" customHeight="1" s="282">
      <c r="A87" s="281" t="n"/>
      <c r="B87" s="336" t="inlineStr">
        <is>
          <t>[COGS breakdown] - 별도 추정- #1</t>
        </is>
      </c>
      <c r="C87" s="281" t="n"/>
      <c r="D87" s="281" t="n"/>
      <c r="E87" s="281" t="n"/>
      <c r="F87" s="281" t="n"/>
      <c r="G87" s="281" t="n"/>
      <c r="H87" s="281" t="n"/>
      <c r="I87" s="281" t="n"/>
      <c r="J87" s="281" t="n"/>
      <c r="K87" s="281" t="n"/>
      <c r="L87" s="281" t="n"/>
      <c r="M87" s="281" t="n"/>
      <c r="N87" s="281" t="n"/>
      <c r="O87" s="281" t="n"/>
    </row>
    <row r="88" ht="12.75" customHeight="1" s="282">
      <c r="A88" s="281" t="n"/>
      <c r="B88" s="423" t="inlineStr">
        <is>
          <t>Price_real</t>
        </is>
      </c>
      <c r="C88" s="378" t="n"/>
      <c r="D88" s="378" t="n"/>
      <c r="E88" s="378" t="n"/>
      <c r="F88" s="424" t="inlineStr">
        <is>
          <t>KRW/Kg</t>
        </is>
      </c>
      <c r="G88" s="425">
        <f>SUMIFS(Input!$G$136:$N$136,Input!$G$7:$N$7,Calculation!G$7)</f>
        <v/>
      </c>
      <c r="H88" s="425">
        <f>SUMIFS(Input!$G$136:$N$136,Input!$G$7:$N$7,Calculation!H$7)</f>
        <v/>
      </c>
      <c r="I88" s="425">
        <f>SUMIFS(Input!$G$136:$N$136,Input!$G$7:$N$7,Calculation!I$7)</f>
        <v/>
      </c>
      <c r="J88" s="425">
        <f>SUMIFS(Input!$G$136:$N$136,Input!$G$7:$N$7,Calculation!J$7)</f>
        <v/>
      </c>
      <c r="K88" s="425">
        <f>SUMIFS(Input!$G$136:$N$136,Input!$G$7:$N$7,Calculation!K$7)</f>
        <v/>
      </c>
      <c r="L88" s="425">
        <f>SUMIFS(Input!$G$136:$N$136,Input!$G$7:$N$7,Calculation!L$7)</f>
        <v/>
      </c>
      <c r="M88" s="425">
        <f>SUMIFS(Input!$G$136:$N$136,Input!$G$7:$N$7,Calculation!M$7)</f>
        <v/>
      </c>
      <c r="N88" s="425">
        <f>SUMIFS(Input!$G$136:$N$136,Input!$G$7:$N$7,Calculation!N$7)</f>
        <v/>
      </c>
      <c r="O88" s="385" t="n"/>
    </row>
    <row r="89" ht="12.75" customHeight="1" s="282">
      <c r="A89" s="281" t="n"/>
      <c r="B89" s="334" t="inlineStr">
        <is>
          <t>PPI</t>
        </is>
      </c>
      <c r="C89" s="281" t="n"/>
      <c r="D89" s="281" t="n"/>
      <c r="E89" s="281" t="n"/>
      <c r="F89" s="347" t="inlineStr">
        <is>
          <t>%</t>
        </is>
      </c>
      <c r="G89" s="390">
        <f>SUMIFS(Input!$G$23:$N$23,Input!$G$7:$N$7,Calculation!G$7)</f>
        <v/>
      </c>
      <c r="H89" s="390">
        <f>SUMIFS(Input!$G$23:$N$23,Input!$G$7:$N$7,Calculation!H$7)</f>
        <v/>
      </c>
      <c r="I89" s="390">
        <f>SUMIFS(Input!$G$23:$N$23,Input!$G$7:$N$7,Calculation!I$7)</f>
        <v/>
      </c>
      <c r="J89" s="390">
        <f>SUMIFS(Input!$G$23:$N$23,Input!$G$7:$N$7,Calculation!J$7)</f>
        <v/>
      </c>
      <c r="K89" s="390">
        <f>SUMIFS(Input!$G$23:$N$23,Input!$G$7:$N$7,Calculation!K$7)</f>
        <v/>
      </c>
      <c r="L89" s="390">
        <f>SUMIFS(Input!$G$23:$N$23,Input!$G$7:$N$7,Calculation!L$7)</f>
        <v/>
      </c>
      <c r="M89" s="390">
        <f>SUMIFS(Input!$G$23:$N$23,Input!$G$7:$N$7,Calculation!M$7)</f>
        <v/>
      </c>
      <c r="N89" s="390">
        <f>SUMIFS(Input!$G$23:$N$23,Input!$G$7:$N$7,Calculation!N$7)</f>
        <v/>
      </c>
      <c r="O89" s="390" t="n"/>
    </row>
    <row r="90" ht="12.75" customHeight="1" s="282">
      <c r="A90" s="281" t="n"/>
      <c r="B90" s="335" t="inlineStr">
        <is>
          <t>Price_Nominal</t>
        </is>
      </c>
      <c r="C90" s="281" t="n"/>
      <c r="D90" s="281" t="n"/>
      <c r="E90" s="281" t="n"/>
      <c r="F90" s="347" t="inlineStr">
        <is>
          <t>KRW/Kg</t>
        </is>
      </c>
      <c r="G90" s="385">
        <f>IFERROR(G88*G89,"")</f>
        <v/>
      </c>
      <c r="H90" s="385">
        <f>IFERROR(H88*H89,"")</f>
        <v/>
      </c>
      <c r="I90" s="385">
        <f>IFERROR(I88*I89,"")</f>
        <v/>
      </c>
      <c r="J90" s="385">
        <f>IFERROR(J88*J89,"")</f>
        <v/>
      </c>
      <c r="K90" s="385">
        <f>IFERROR(J90*K89,"")</f>
        <v/>
      </c>
      <c r="L90" s="385">
        <f>IFERROR(K90*L89,"")</f>
        <v/>
      </c>
      <c r="M90" s="385">
        <f>IFERROR(L90*M89,"")</f>
        <v/>
      </c>
      <c r="N90" s="385">
        <f>IFERROR(M90*N89,"")</f>
        <v/>
      </c>
      <c r="O90" s="385" t="n"/>
    </row>
    <row r="91" ht="12.75" customHeight="1" s="282">
      <c r="A91" s="281" t="n"/>
      <c r="B91" s="335" t="inlineStr">
        <is>
          <t>Quantity</t>
        </is>
      </c>
      <c r="C91" s="281" t="n"/>
      <c r="D91" s="281" t="n"/>
      <c r="E91" s="281" t="n"/>
      <c r="F91" s="347" t="inlineStr">
        <is>
          <t>Kg</t>
        </is>
      </c>
      <c r="G91" s="385">
        <f>SUMIFS(Input!$G$137:$N$137,Input!$G$7:$N$7,Calculation!G$7)</f>
        <v/>
      </c>
      <c r="H91" s="385">
        <f>SUMIFS(Input!$G$137:$N$137,Input!$G$7:$N$7,Calculation!H$7)</f>
        <v/>
      </c>
      <c r="I91" s="385">
        <f>SUMIFS(Input!$G$137:$N$137,Input!$G$7:$N$7,Calculation!I$7)</f>
        <v/>
      </c>
      <c r="J91" s="385">
        <f>SUMIFS(Input!$G$137:$N$137,Input!$G$7:$N$7,Calculation!J$7)</f>
        <v/>
      </c>
      <c r="K91" s="385">
        <f>SUMIFS(Input!$G$137:$N$137,Input!$G$7:$N$7,Calculation!K$7)</f>
        <v/>
      </c>
      <c r="L91" s="385">
        <f>SUMIFS(Input!$G$137:$N$137,Input!$G$7:$N$7,Calculation!L$7)</f>
        <v/>
      </c>
      <c r="M91" s="385">
        <f>SUMIFS(Input!$G$137:$N$137,Input!$G$7:$N$7,Calculation!M$7)</f>
        <v/>
      </c>
      <c r="N91" s="385">
        <f>SUMIFS(Input!$G$137:$N$137,Input!$G$7:$N$7,Calculation!N$7)</f>
        <v/>
      </c>
      <c r="O91" s="385" t="n"/>
    </row>
    <row r="92" ht="12.75" customHeight="1" s="282">
      <c r="A92" s="281" t="n"/>
      <c r="B92" s="410" t="inlineStr">
        <is>
          <t>별도 추정</t>
        </is>
      </c>
      <c r="C92" s="354" t="n"/>
      <c r="D92" s="354" t="n"/>
      <c r="E92" s="354" t="n"/>
      <c r="F92" s="397" t="inlineStr">
        <is>
          <t>KRW mn</t>
        </is>
      </c>
      <c r="G92" s="398">
        <f>G90*G91/mn</f>
        <v/>
      </c>
      <c r="H92" s="398">
        <f>H90*H91/mn</f>
        <v/>
      </c>
      <c r="I92" s="398">
        <f>I90*I91/mn</f>
        <v/>
      </c>
      <c r="J92" s="398">
        <f>J90*J91/mn</f>
        <v/>
      </c>
      <c r="K92" s="398">
        <f>K90*K91/mn</f>
        <v/>
      </c>
      <c r="L92" s="398">
        <f>L90*L91/mn</f>
        <v/>
      </c>
      <c r="M92" s="398">
        <f>M90*M91/mn</f>
        <v/>
      </c>
      <c r="N92" s="398">
        <f>N90*N91/mn</f>
        <v/>
      </c>
      <c r="O92" s="385" t="n"/>
    </row>
    <row r="93" ht="12.75" customHeight="1" s="282">
      <c r="A93" s="281" t="n"/>
      <c r="B93" s="440" t="n"/>
      <c r="C93" s="281" t="n"/>
      <c r="D93" s="281" t="n"/>
      <c r="E93" s="281" t="n"/>
      <c r="F93" s="347" t="n"/>
      <c r="G93" s="385" t="n"/>
      <c r="H93" s="385" t="n"/>
      <c r="I93" s="385" t="n"/>
      <c r="J93" s="385" t="n"/>
      <c r="K93" s="385" t="n"/>
      <c r="L93" s="385" t="n"/>
      <c r="M93" s="385" t="n"/>
      <c r="N93" s="385" t="n"/>
      <c r="O93" s="385" t="n"/>
    </row>
    <row r="94" ht="12.75" customHeight="1" s="282">
      <c r="A94" s="281" t="n"/>
      <c r="B94" s="336" t="inlineStr">
        <is>
          <t>[COGS breakdown] - 별도 추정- #2</t>
        </is>
      </c>
      <c r="C94" s="281" t="n"/>
      <c r="D94" s="281" t="n"/>
      <c r="E94" s="281" t="n"/>
      <c r="F94" s="281" t="n"/>
      <c r="G94" s="281" t="n"/>
      <c r="H94" s="281" t="n"/>
      <c r="I94" s="281" t="n"/>
      <c r="J94" s="281" t="n"/>
      <c r="K94" s="281" t="n"/>
      <c r="L94" s="281" t="n"/>
      <c r="M94" s="281" t="n"/>
      <c r="N94" s="281" t="n"/>
      <c r="O94" s="281" t="n"/>
    </row>
    <row r="95" ht="12.75" customHeight="1" s="282">
      <c r="A95" s="281" t="n"/>
      <c r="B95" s="423" t="inlineStr">
        <is>
          <t>Price_real</t>
        </is>
      </c>
      <c r="C95" s="378" t="n"/>
      <c r="D95" s="378" t="n"/>
      <c r="E95" s="378" t="n"/>
      <c r="F95" s="424" t="inlineStr">
        <is>
          <t>KRW/Kg</t>
        </is>
      </c>
      <c r="G95" s="425">
        <f>SUMIFS(Input!$G$142:$N$142,Input!$G$7:$N$7,Calculation!G$7)</f>
        <v/>
      </c>
      <c r="H95" s="425">
        <f>SUMIFS(Input!$G$142:$N$142,Input!$G$7:$N$7,Calculation!H$7)</f>
        <v/>
      </c>
      <c r="I95" s="425">
        <f>SUMIFS(Input!$G$142:$N$142,Input!$G$7:$N$7,Calculation!I$7)</f>
        <v/>
      </c>
      <c r="J95" s="425">
        <f>SUMIFS(Input!$G$142:$N$142,Input!$G$7:$N$7,Calculation!J$7)</f>
        <v/>
      </c>
      <c r="K95" s="425">
        <f>SUMIFS(Input!$G$142:$N$142,Input!$G$7:$N$7,Calculation!K$7)</f>
        <v/>
      </c>
      <c r="L95" s="425">
        <f>SUMIFS(Input!$G$142:$N$142,Input!$G$7:$N$7,Calculation!L$7)</f>
        <v/>
      </c>
      <c r="M95" s="425">
        <f>SUMIFS(Input!$G$142:$N$142,Input!$G$7:$N$7,Calculation!M$7)</f>
        <v/>
      </c>
      <c r="N95" s="425">
        <f>SUMIFS(Input!$G$142:$N$142,Input!$G$7:$N$7,Calculation!N$7)</f>
        <v/>
      </c>
      <c r="O95" s="385" t="n"/>
    </row>
    <row r="96" ht="12.75" customHeight="1" s="282">
      <c r="A96" s="281" t="n"/>
      <c r="B96" s="334" t="inlineStr">
        <is>
          <t>PPI</t>
        </is>
      </c>
      <c r="C96" s="281" t="n"/>
      <c r="D96" s="281" t="n"/>
      <c r="E96" s="281" t="n"/>
      <c r="F96" s="347" t="inlineStr">
        <is>
          <t>%</t>
        </is>
      </c>
      <c r="G96" s="390">
        <f>SUMIFS(Input!$G$23:$N$23,Input!$G$7:$N$7,Calculation!G$7)</f>
        <v/>
      </c>
      <c r="H96" s="390">
        <f>SUMIFS(Input!$G$23:$N$23,Input!$G$7:$N$7,Calculation!H$7)</f>
        <v/>
      </c>
      <c r="I96" s="390">
        <f>SUMIFS(Input!$G$23:$N$23,Input!$G$7:$N$7,Calculation!I$7)</f>
        <v/>
      </c>
      <c r="J96" s="390">
        <f>SUMIFS(Input!$G$23:$N$23,Input!$G$7:$N$7,Calculation!J$7)</f>
        <v/>
      </c>
      <c r="K96" s="390">
        <f>SUMIFS(Input!$G$23:$N$23,Input!$G$7:$N$7,Calculation!K$7)</f>
        <v/>
      </c>
      <c r="L96" s="390">
        <f>SUMIFS(Input!$G$23:$N$23,Input!$G$7:$N$7,Calculation!L$7)</f>
        <v/>
      </c>
      <c r="M96" s="390">
        <f>SUMIFS(Input!$G$23:$N$23,Input!$G$7:$N$7,Calculation!M$7)</f>
        <v/>
      </c>
      <c r="N96" s="390">
        <f>SUMIFS(Input!$G$23:$N$23,Input!$G$7:$N$7,Calculation!N$7)</f>
        <v/>
      </c>
      <c r="O96" s="390" t="n"/>
    </row>
    <row r="97" ht="12.75" customHeight="1" s="282">
      <c r="A97" s="281" t="n"/>
      <c r="B97" s="335" t="inlineStr">
        <is>
          <t>Price_Nominal</t>
        </is>
      </c>
      <c r="C97" s="281" t="n"/>
      <c r="D97" s="281" t="n"/>
      <c r="E97" s="281" t="n"/>
      <c r="F97" s="347" t="inlineStr">
        <is>
          <t>KRW/Kg</t>
        </is>
      </c>
      <c r="G97" s="385">
        <f>IFERROR(G95*G96,"")</f>
        <v/>
      </c>
      <c r="H97" s="385">
        <f>IFERROR(H95*H96,"")</f>
        <v/>
      </c>
      <c r="I97" s="385">
        <f>IFERROR(I95*I96,"")</f>
        <v/>
      </c>
      <c r="J97" s="385">
        <f>IFERROR(J95*J96,"")</f>
        <v/>
      </c>
      <c r="K97" s="385">
        <f>IFERROR(J97*K96,"")</f>
        <v/>
      </c>
      <c r="L97" s="385">
        <f>IFERROR(K97*L96,"")</f>
        <v/>
      </c>
      <c r="M97" s="385">
        <f>IFERROR(L97*M96,"")</f>
        <v/>
      </c>
      <c r="N97" s="385">
        <f>IFERROR(M97*N96,"")</f>
        <v/>
      </c>
      <c r="O97" s="385" t="n"/>
    </row>
    <row r="98" ht="12.75" customHeight="1" s="282">
      <c r="A98" s="281" t="n"/>
      <c r="B98" s="335" t="inlineStr">
        <is>
          <t>Quantity</t>
        </is>
      </c>
      <c r="C98" s="281" t="n"/>
      <c r="D98" s="281" t="n"/>
      <c r="E98" s="281" t="n"/>
      <c r="F98" s="347" t="inlineStr">
        <is>
          <t>Kg</t>
        </is>
      </c>
      <c r="G98" s="385">
        <f>SUMIFS(Input!$G$143:$N$143,Input!$G$7:$N$7,Calculation!G$7)</f>
        <v/>
      </c>
      <c r="H98" s="385">
        <f>SUMIFS(Input!$G$143:$N$143,Input!$G$7:$N$7,Calculation!H$7)</f>
        <v/>
      </c>
      <c r="I98" s="385">
        <f>SUMIFS(Input!$G$143:$N$143,Input!$G$7:$N$7,Calculation!I$7)</f>
        <v/>
      </c>
      <c r="J98" s="385">
        <f>SUMIFS(Input!$G$143:$N$143,Input!$G$7:$N$7,Calculation!J$7)</f>
        <v/>
      </c>
      <c r="K98" s="385">
        <f>SUMIFS(Input!$G$143:$N$143,Input!$G$7:$N$7,Calculation!K$7)</f>
        <v/>
      </c>
      <c r="L98" s="385">
        <f>SUMIFS(Input!$G$143:$N$143,Input!$G$7:$N$7,Calculation!L$7)</f>
        <v/>
      </c>
      <c r="M98" s="385">
        <f>SUMIFS(Input!$G$143:$N$143,Input!$G$7:$N$7,Calculation!M$7)</f>
        <v/>
      </c>
      <c r="N98" s="385">
        <f>SUMIFS(Input!$G$143:$N$143,Input!$G$7:$N$7,Calculation!N$7)</f>
        <v/>
      </c>
      <c r="O98" s="385" t="n"/>
    </row>
    <row r="99" ht="12.75" customHeight="1" s="282">
      <c r="A99" s="281" t="n"/>
      <c r="B99" s="410" t="inlineStr">
        <is>
          <t>별도 추정</t>
        </is>
      </c>
      <c r="C99" s="354" t="n"/>
      <c r="D99" s="354" t="n"/>
      <c r="E99" s="354" t="n"/>
      <c r="F99" s="397" t="inlineStr">
        <is>
          <t>KRW mn</t>
        </is>
      </c>
      <c r="G99" s="398">
        <f>G97*G98/mn</f>
        <v/>
      </c>
      <c r="H99" s="398">
        <f>H97*H98/mn</f>
        <v/>
      </c>
      <c r="I99" s="398">
        <f>I97*I98/mn</f>
        <v/>
      </c>
      <c r="J99" s="398">
        <f>J97*J98/mn</f>
        <v/>
      </c>
      <c r="K99" s="398">
        <f>K97*K98/mn</f>
        <v/>
      </c>
      <c r="L99" s="398">
        <f>L97*L98/mn</f>
        <v/>
      </c>
      <c r="M99" s="398">
        <f>M97*M98/mn</f>
        <v/>
      </c>
      <c r="N99" s="398">
        <f>N97*N98/mn</f>
        <v/>
      </c>
      <c r="O99" s="385" t="n"/>
    </row>
    <row r="100" ht="12.75" customHeight="1" s="282">
      <c r="A100" s="281" t="n"/>
      <c r="B100" s="440" t="n"/>
      <c r="C100" s="281" t="n"/>
      <c r="D100" s="281" t="n"/>
      <c r="E100" s="281" t="n"/>
      <c r="F100" s="347" t="n"/>
      <c r="G100" s="385" t="n"/>
      <c r="H100" s="385" t="n"/>
      <c r="I100" s="385" t="n"/>
      <c r="J100" s="385" t="n"/>
      <c r="K100" s="385" t="n"/>
      <c r="L100" s="385" t="n"/>
      <c r="M100" s="385" t="n"/>
      <c r="N100" s="385" t="n"/>
      <c r="O100" s="385" t="n"/>
    </row>
    <row r="101" ht="12.75" customHeight="1" s="282">
      <c r="A101" s="281" t="n"/>
      <c r="B101" s="440" t="n"/>
      <c r="C101" s="281" t="n"/>
      <c r="D101" s="281" t="n"/>
      <c r="E101" s="281" t="n"/>
      <c r="F101" s="347" t="n"/>
      <c r="G101" s="385" t="n"/>
      <c r="H101" s="385" t="n"/>
      <c r="I101" s="385" t="n"/>
      <c r="J101" s="385" t="n"/>
      <c r="K101" s="385" t="n"/>
      <c r="L101" s="385" t="n"/>
      <c r="M101" s="385" t="n"/>
      <c r="N101" s="385" t="n"/>
      <c r="O101" s="385" t="n"/>
    </row>
    <row r="102" ht="12.75" customHeight="1" s="282">
      <c r="A102" s="281" t="n"/>
      <c r="B102" s="281" t="n"/>
      <c r="C102" s="281" t="n"/>
      <c r="D102" s="281" t="n"/>
      <c r="E102" s="281" t="n"/>
      <c r="F102" s="281" t="n"/>
      <c r="G102" s="281" t="n"/>
      <c r="H102" s="281" t="n"/>
      <c r="I102" s="281" t="n"/>
      <c r="J102" s="281" t="n"/>
      <c r="K102" s="281" t="n"/>
      <c r="L102" s="281" t="n"/>
      <c r="M102" s="281" t="n"/>
      <c r="N102" s="281" t="n"/>
      <c r="O102" s="281" t="n"/>
    </row>
    <row r="103" ht="12.75" customHeight="1" s="282">
      <c r="A103" s="281" t="n"/>
      <c r="B103" s="281" t="n"/>
      <c r="C103" s="281" t="n"/>
      <c r="D103" s="281" t="n"/>
      <c r="E103" s="281" t="n"/>
      <c r="F103" s="281" t="n"/>
      <c r="G103" s="281" t="n"/>
      <c r="H103" s="281" t="n"/>
      <c r="I103" s="281" t="n"/>
      <c r="J103" s="281" t="n"/>
      <c r="K103" s="281" t="n"/>
      <c r="L103" s="281" t="n"/>
      <c r="M103" s="281" t="n"/>
      <c r="N103" s="281" t="n"/>
      <c r="O103" s="281" t="n"/>
    </row>
    <row r="104" ht="12.75" customHeight="1" s="282">
      <c r="A104" s="281" t="n"/>
      <c r="B104" s="325" t="inlineStr">
        <is>
          <t>SG&amp;A</t>
        </is>
      </c>
      <c r="C104" s="333" t="n"/>
      <c r="D104" s="333" t="n"/>
      <c r="E104" s="333" t="n"/>
      <c r="F104" s="333" t="n"/>
      <c r="G104" s="333" t="n"/>
      <c r="H104" s="333" t="n"/>
      <c r="I104" s="333" t="n"/>
      <c r="J104" s="333" t="n"/>
      <c r="K104" s="333" t="n"/>
      <c r="L104" s="333" t="n"/>
      <c r="M104" s="333" t="n"/>
      <c r="N104" s="333" t="n"/>
      <c r="O104" s="333" t="n"/>
    </row>
    <row r="105" ht="12.75" customHeight="1" s="282">
      <c r="A105" s="281" t="n"/>
      <c r="B105" s="281" t="n"/>
      <c r="C105" s="281" t="n"/>
      <c r="D105" s="281" t="n"/>
      <c r="E105" s="281" t="n"/>
      <c r="F105" s="281" t="n"/>
      <c r="G105" s="281" t="n"/>
      <c r="H105" s="281" t="n"/>
      <c r="I105" s="281" t="n"/>
      <c r="J105" s="281" t="n"/>
      <c r="K105" s="281" t="n"/>
      <c r="L105" s="281" t="n"/>
      <c r="M105" s="281" t="n"/>
      <c r="N105" s="281" t="n"/>
      <c r="O105" s="281" t="n"/>
    </row>
    <row r="106" ht="12.75" customHeight="1" s="282">
      <c r="A106" s="281" t="n"/>
      <c r="B106" s="336" t="inlineStr">
        <is>
          <t>[Total COGS]</t>
        </is>
      </c>
      <c r="C106" s="281" t="n"/>
      <c r="D106" s="281" t="n"/>
      <c r="E106" s="281" t="n"/>
      <c r="F106" s="281" t="n"/>
      <c r="G106" s="281" t="n"/>
      <c r="H106" s="281" t="n"/>
      <c r="I106" s="281" t="n"/>
      <c r="J106" s="281" t="n"/>
      <c r="K106" s="281" t="n"/>
      <c r="L106" s="281" t="n"/>
      <c r="M106" s="281" t="n"/>
      <c r="N106" s="281" t="n"/>
      <c r="O106" s="281" t="n"/>
    </row>
    <row r="107" ht="15" customHeight="1" s="282">
      <c r="A107" s="281" t="n"/>
      <c r="B107" s="423" t="inlineStr">
        <is>
          <t>[SG&amp;A breakdown] - 인건비</t>
        </is>
      </c>
      <c r="C107" s="378" t="n"/>
      <c r="D107" s="378" t="n"/>
      <c r="E107" s="378" t="n"/>
      <c r="F107" s="424" t="inlineStr">
        <is>
          <t>KRW mn</t>
        </is>
      </c>
      <c r="G107" s="425">
        <f>G151</f>
        <v/>
      </c>
      <c r="H107" s="425">
        <f>H151</f>
        <v/>
      </c>
      <c r="I107" s="425">
        <f>I151</f>
        <v/>
      </c>
      <c r="J107" s="425">
        <f>J151</f>
        <v/>
      </c>
      <c r="K107" s="425">
        <f>K151</f>
        <v/>
      </c>
      <c r="L107" s="425">
        <f>L151</f>
        <v/>
      </c>
      <c r="M107" s="425">
        <f>M151</f>
        <v/>
      </c>
      <c r="N107" s="425">
        <f>N151</f>
        <v/>
      </c>
      <c r="O107" s="385" t="n"/>
    </row>
    <row r="108" ht="12.75" customHeight="1" s="282">
      <c r="A108" s="281" t="n"/>
      <c r="B108" s="335" t="inlineStr">
        <is>
          <t>[SG&amp;A breakdown] - Variable cost #1</t>
        </is>
      </c>
      <c r="C108" s="281" t="n"/>
      <c r="D108" s="281" t="n"/>
      <c r="E108" s="281" t="n"/>
      <c r="F108" s="347" t="inlineStr">
        <is>
          <t>KRW mn</t>
        </is>
      </c>
      <c r="G108" s="385">
        <f>G117</f>
        <v/>
      </c>
      <c r="H108" s="385">
        <f>H117</f>
        <v/>
      </c>
      <c r="I108" s="385">
        <f>I117</f>
        <v/>
      </c>
      <c r="J108" s="385">
        <f>J117</f>
        <v/>
      </c>
      <c r="K108" s="385">
        <f>K117</f>
        <v/>
      </c>
      <c r="L108" s="385">
        <f>L117</f>
        <v/>
      </c>
      <c r="M108" s="385">
        <f>M117</f>
        <v/>
      </c>
      <c r="N108" s="385">
        <f>N117</f>
        <v/>
      </c>
      <c r="O108" s="385" t="n"/>
    </row>
    <row r="109" ht="12.75" customHeight="1" s="282">
      <c r="A109" s="281" t="n"/>
      <c r="B109" s="334" t="inlineStr">
        <is>
          <t>[SG&amp;A breakdown] - Variable cost #2</t>
        </is>
      </c>
      <c r="C109" s="281" t="n"/>
      <c r="D109" s="281" t="n"/>
      <c r="E109" s="281" t="n"/>
      <c r="F109" s="347" t="inlineStr">
        <is>
          <t>KRW mn</t>
        </is>
      </c>
      <c r="G109" s="385">
        <f>G121</f>
        <v/>
      </c>
      <c r="H109" s="385">
        <f>H121</f>
        <v/>
      </c>
      <c r="I109" s="385">
        <f>I121</f>
        <v/>
      </c>
      <c r="J109" s="385">
        <f>J121</f>
        <v/>
      </c>
      <c r="K109" s="385">
        <f>K121</f>
        <v/>
      </c>
      <c r="L109" s="385">
        <f>L121</f>
        <v/>
      </c>
      <c r="M109" s="385">
        <f>M121</f>
        <v/>
      </c>
      <c r="N109" s="385">
        <f>N121</f>
        <v/>
      </c>
      <c r="O109" s="385" t="n"/>
    </row>
    <row r="110" ht="12.75" customHeight="1" s="282">
      <c r="A110" s="281" t="n"/>
      <c r="B110" s="334" t="inlineStr">
        <is>
          <t>[SG&amp;A breakdown] - Variable cost #3</t>
        </is>
      </c>
      <c r="C110" s="281" t="n"/>
      <c r="D110" s="281" t="n"/>
      <c r="E110" s="281" t="n"/>
      <c r="F110" s="347" t="inlineStr">
        <is>
          <t>KRW mn</t>
        </is>
      </c>
      <c r="G110" s="385">
        <f>G125</f>
        <v/>
      </c>
      <c r="H110" s="385">
        <f>H125</f>
        <v/>
      </c>
      <c r="I110" s="385">
        <f>I125</f>
        <v/>
      </c>
      <c r="J110" s="385">
        <f>J125</f>
        <v/>
      </c>
      <c r="K110" s="385">
        <f>K125</f>
        <v/>
      </c>
      <c r="L110" s="385">
        <f>L125</f>
        <v/>
      </c>
      <c r="M110" s="385">
        <f>M125</f>
        <v/>
      </c>
      <c r="N110" s="385">
        <f>N125</f>
        <v/>
      </c>
      <c r="O110" s="385" t="n"/>
    </row>
    <row r="111" ht="12.75" customHeight="1" s="282">
      <c r="A111" s="281" t="n"/>
      <c r="B111" s="334" t="inlineStr">
        <is>
          <t>[SG&amp;A breakdown] - Fixed cost</t>
        </is>
      </c>
      <c r="C111" s="281" t="n"/>
      <c r="D111" s="281" t="n"/>
      <c r="E111" s="281" t="n"/>
      <c r="F111" s="347" t="inlineStr">
        <is>
          <t>KRW mn</t>
        </is>
      </c>
      <c r="G111" s="385">
        <f>G129</f>
        <v/>
      </c>
      <c r="H111" s="385">
        <f>H129</f>
        <v/>
      </c>
      <c r="I111" s="385">
        <f>I129</f>
        <v/>
      </c>
      <c r="J111" s="385">
        <f>J129</f>
        <v/>
      </c>
      <c r="K111" s="385">
        <f>K129</f>
        <v/>
      </c>
      <c r="L111" s="385">
        <f>L129</f>
        <v/>
      </c>
      <c r="M111" s="385">
        <f>M129</f>
        <v/>
      </c>
      <c r="N111" s="385">
        <f>N129</f>
        <v/>
      </c>
      <c r="O111" s="385" t="n"/>
    </row>
    <row r="112" ht="12.75" customHeight="1" s="282">
      <c r="A112" s="281" t="n"/>
      <c r="B112" s="334" t="inlineStr">
        <is>
          <t>[SG&amp;A breakdown] - 별도 추정</t>
        </is>
      </c>
      <c r="C112" s="281" t="n"/>
      <c r="D112" s="281" t="n"/>
      <c r="E112" s="281" t="n"/>
      <c r="F112" s="347" t="inlineStr">
        <is>
          <t>KRW mn</t>
        </is>
      </c>
      <c r="G112" s="385">
        <f>G136</f>
        <v/>
      </c>
      <c r="H112" s="385">
        <f>H136</f>
        <v/>
      </c>
      <c r="I112" s="385">
        <f>I136</f>
        <v/>
      </c>
      <c r="J112" s="385">
        <f>J136</f>
        <v/>
      </c>
      <c r="K112" s="385">
        <f>K136</f>
        <v/>
      </c>
      <c r="L112" s="385">
        <f>L136</f>
        <v/>
      </c>
      <c r="M112" s="385">
        <f>M136</f>
        <v/>
      </c>
      <c r="N112" s="385">
        <f>N136</f>
        <v/>
      </c>
      <c r="O112" s="385" t="n"/>
    </row>
    <row r="113" ht="13.5" customHeight="1" s="282">
      <c r="A113" s="281" t="n"/>
      <c r="B113" s="426" t="inlineStr">
        <is>
          <t>Total COGS</t>
        </is>
      </c>
      <c r="C113" s="427" t="n"/>
      <c r="D113" s="427" t="n"/>
      <c r="E113" s="427" t="n"/>
      <c r="F113" s="428" t="inlineStr">
        <is>
          <t>KRW mn</t>
        </is>
      </c>
      <c r="G113" s="429">
        <f>SUM(G107:G112)</f>
        <v/>
      </c>
      <c r="H113" s="429">
        <f>SUM(H107:H112)</f>
        <v/>
      </c>
      <c r="I113" s="429">
        <f>SUM(I107:I112)</f>
        <v/>
      </c>
      <c r="J113" s="429">
        <f>SUM(J107:J112)</f>
        <v/>
      </c>
      <c r="K113" s="429">
        <f>SUM(K107:K112)</f>
        <v/>
      </c>
      <c r="L113" s="429">
        <f>SUM(L107:L112)</f>
        <v/>
      </c>
      <c r="M113" s="429">
        <f>SUM(M107:M112)</f>
        <v/>
      </c>
      <c r="N113" s="430">
        <f>SUM(N107:N112)</f>
        <v/>
      </c>
      <c r="O113" s="431" t="n"/>
    </row>
    <row r="114" ht="12.75" customHeight="1" s="282">
      <c r="A114" s="281" t="n"/>
      <c r="B114" s="281" t="n"/>
      <c r="C114" s="281" t="n"/>
      <c r="D114" s="281" t="n"/>
      <c r="E114" s="281" t="n"/>
      <c r="F114" s="281" t="n"/>
      <c r="G114" s="281" t="n"/>
      <c r="H114" s="281" t="n"/>
      <c r="I114" s="281" t="n"/>
      <c r="J114" s="281" t="n"/>
      <c r="K114" s="281" t="n"/>
      <c r="L114" s="281" t="n"/>
      <c r="M114" s="281" t="n"/>
      <c r="N114" s="281" t="n"/>
      <c r="O114" s="281" t="n"/>
    </row>
    <row r="115" ht="12.75" customHeight="1" s="282">
      <c r="A115" s="281" t="n"/>
      <c r="B115" s="434" t="inlineStr">
        <is>
          <t>[SG&amp;A breakdown] - Variable cost #1</t>
        </is>
      </c>
      <c r="C115" s="354" t="n"/>
      <c r="D115" s="354" t="n"/>
      <c r="E115" s="354" t="n"/>
      <c r="F115" s="354" t="n"/>
      <c r="G115" s="354" t="n"/>
      <c r="H115" s="354" t="n"/>
      <c r="I115" s="354" t="n"/>
      <c r="J115" s="354" t="n"/>
      <c r="K115" s="354" t="n"/>
      <c r="L115" s="354" t="n"/>
      <c r="M115" s="354" t="n"/>
      <c r="N115" s="354" t="n"/>
      <c r="O115" s="281" t="n"/>
    </row>
    <row r="116" ht="13.5" customHeight="1" s="282">
      <c r="A116" s="281" t="n"/>
      <c r="B116" s="335" t="inlineStr">
        <is>
          <t>% of revenue</t>
        </is>
      </c>
      <c r="C116" s="281" t="n"/>
      <c r="D116" s="281" t="n"/>
      <c r="E116" s="407">
        <f>Input!E153</f>
        <v/>
      </c>
      <c r="F116" s="347" t="inlineStr">
        <is>
          <t>%</t>
        </is>
      </c>
      <c r="G116" s="281" t="n"/>
      <c r="H116" s="281" t="n"/>
      <c r="I116" s="281" t="n"/>
      <c r="J116" s="409">
        <f>$E116</f>
        <v/>
      </c>
      <c r="K116" s="409">
        <f>$E116</f>
        <v/>
      </c>
      <c r="L116" s="409">
        <f>$E116</f>
        <v/>
      </c>
      <c r="M116" s="409">
        <f>$E116</f>
        <v/>
      </c>
      <c r="N116" s="409">
        <f>$E116</f>
        <v/>
      </c>
      <c r="O116" s="409" t="n"/>
    </row>
    <row r="117" ht="15" customHeight="1" s="282">
      <c r="A117" s="281" t="n"/>
      <c r="B117" s="410" t="inlineStr">
        <is>
          <t xml:space="preserve">판관 변동비 </t>
        </is>
      </c>
      <c r="C117" s="354" t="n"/>
      <c r="D117" s="354" t="n"/>
      <c r="E117" s="354" t="n"/>
      <c r="F117" s="397" t="inlineStr">
        <is>
          <t>KRW mn</t>
        </is>
      </c>
      <c r="G117" s="354" t="n"/>
      <c r="H117" s="354" t="n"/>
      <c r="I117" s="354" t="n"/>
      <c r="J117" s="435">
        <f>J$21*J116</f>
        <v/>
      </c>
      <c r="K117" s="435">
        <f>K$21*K116</f>
        <v/>
      </c>
      <c r="L117" s="435">
        <f>L$21*L116</f>
        <v/>
      </c>
      <c r="M117" s="435">
        <f>M$21*M116</f>
        <v/>
      </c>
      <c r="N117" s="435">
        <f>N$21*N116</f>
        <v/>
      </c>
      <c r="O117" s="436" t="n"/>
    </row>
    <row r="118" ht="12.75" customHeight="1" s="282">
      <c r="A118" s="281" t="n"/>
      <c r="B118" s="281" t="n"/>
      <c r="C118" s="281" t="n"/>
      <c r="D118" s="281" t="n"/>
      <c r="E118" s="281" t="n"/>
      <c r="F118" s="281" t="n"/>
      <c r="G118" s="281" t="n"/>
      <c r="H118" s="281" t="n"/>
      <c r="I118" s="281" t="n"/>
      <c r="J118" s="281" t="n"/>
      <c r="K118" s="281" t="n"/>
      <c r="L118" s="281" t="n"/>
      <c r="M118" s="281" t="n"/>
      <c r="N118" s="281" t="n"/>
      <c r="O118" s="281" t="n"/>
    </row>
    <row r="119" ht="12.75" customHeight="1" s="282">
      <c r="A119" s="281" t="n"/>
      <c r="B119" s="434" t="inlineStr">
        <is>
          <t>[SG&amp;A breakdown] - Variable cost #2</t>
        </is>
      </c>
      <c r="C119" s="354" t="n"/>
      <c r="D119" s="354" t="n"/>
      <c r="E119" s="354" t="n"/>
      <c r="F119" s="354" t="n"/>
      <c r="G119" s="354" t="n"/>
      <c r="H119" s="354" t="n"/>
      <c r="I119" s="354" t="n"/>
      <c r="J119" s="354" t="n"/>
      <c r="K119" s="354" t="n"/>
      <c r="L119" s="354" t="n"/>
      <c r="M119" s="354" t="n"/>
      <c r="N119" s="354" t="n"/>
      <c r="O119" s="281" t="n"/>
    </row>
    <row r="120" ht="13.5" customHeight="1" s="282">
      <c r="A120" s="281" t="n"/>
      <c r="B120" s="335" t="inlineStr">
        <is>
          <t>% of revenue</t>
        </is>
      </c>
      <c r="C120" s="281" t="n"/>
      <c r="D120" s="281" t="n"/>
      <c r="E120" s="407">
        <f>Input!E158</f>
        <v/>
      </c>
      <c r="F120" s="347" t="inlineStr">
        <is>
          <t>%</t>
        </is>
      </c>
      <c r="G120" s="281" t="n"/>
      <c r="H120" s="281" t="n"/>
      <c r="I120" s="281" t="n"/>
      <c r="J120" s="409">
        <f>$E120</f>
        <v/>
      </c>
      <c r="K120" s="409">
        <f>$E120</f>
        <v/>
      </c>
      <c r="L120" s="409">
        <f>$E120</f>
        <v/>
      </c>
      <c r="M120" s="409">
        <f>$E120</f>
        <v/>
      </c>
      <c r="N120" s="409">
        <f>$E120</f>
        <v/>
      </c>
      <c r="O120" s="409" t="n"/>
    </row>
    <row r="121" ht="15" customHeight="1" s="282">
      <c r="A121" s="281" t="n"/>
      <c r="B121" s="410" t="inlineStr">
        <is>
          <t xml:space="preserve">판관 변동비 </t>
        </is>
      </c>
      <c r="C121" s="354" t="n"/>
      <c r="D121" s="354" t="n"/>
      <c r="E121" s="354" t="n"/>
      <c r="F121" s="397" t="inlineStr">
        <is>
          <t>KRW mn</t>
        </is>
      </c>
      <c r="G121" s="354" t="n"/>
      <c r="H121" s="354" t="n"/>
      <c r="I121" s="354" t="n"/>
      <c r="J121" s="435">
        <f>J$21*J120</f>
        <v/>
      </c>
      <c r="K121" s="435">
        <f>K$21*K120</f>
        <v/>
      </c>
      <c r="L121" s="435">
        <f>L$21*L120</f>
        <v/>
      </c>
      <c r="M121" s="435">
        <f>M$21*M120</f>
        <v/>
      </c>
      <c r="N121" s="435">
        <f>N$21*N120</f>
        <v/>
      </c>
      <c r="O121" s="436" t="n"/>
    </row>
    <row r="122" ht="12.75" customHeight="1" s="282">
      <c r="A122" s="281" t="n"/>
      <c r="B122" s="281" t="n"/>
      <c r="C122" s="281" t="n"/>
      <c r="D122" s="281" t="n"/>
      <c r="E122" s="281" t="n"/>
      <c r="F122" s="281" t="n"/>
      <c r="G122" s="281" t="n"/>
      <c r="H122" s="281" t="n"/>
      <c r="I122" s="281" t="n"/>
      <c r="J122" s="281" t="n"/>
      <c r="K122" s="281" t="n"/>
      <c r="L122" s="281" t="n"/>
      <c r="M122" s="281" t="n"/>
      <c r="N122" s="281" t="n"/>
      <c r="O122" s="281" t="n"/>
    </row>
    <row r="123" ht="12.75" customHeight="1" s="282">
      <c r="A123" s="281" t="n"/>
      <c r="B123" s="434" t="inlineStr">
        <is>
          <t>[SG&amp;A breakdown] - Variable cost #3</t>
        </is>
      </c>
      <c r="C123" s="354" t="n"/>
      <c r="D123" s="354" t="n"/>
      <c r="E123" s="354" t="n"/>
      <c r="F123" s="354" t="n"/>
      <c r="G123" s="354" t="n"/>
      <c r="H123" s="354" t="n"/>
      <c r="I123" s="354" t="n"/>
      <c r="J123" s="354" t="n"/>
      <c r="K123" s="354" t="n"/>
      <c r="L123" s="354" t="n"/>
      <c r="M123" s="354" t="n"/>
      <c r="N123" s="354" t="n"/>
      <c r="O123" s="281" t="n"/>
    </row>
    <row r="124" ht="13.5" customHeight="1" s="282">
      <c r="A124" s="281" t="n"/>
      <c r="B124" s="335" t="inlineStr">
        <is>
          <t>% of revenue</t>
        </is>
      </c>
      <c r="C124" s="281" t="n"/>
      <c r="D124" s="281" t="n"/>
      <c r="E124" s="407">
        <f>Input!E163</f>
        <v/>
      </c>
      <c r="F124" s="347" t="inlineStr">
        <is>
          <t>%</t>
        </is>
      </c>
      <c r="G124" s="281" t="n"/>
      <c r="H124" s="281" t="n"/>
      <c r="I124" s="281" t="n"/>
      <c r="J124" s="409">
        <f>$E124</f>
        <v/>
      </c>
      <c r="K124" s="409">
        <f>$E124</f>
        <v/>
      </c>
      <c r="L124" s="409">
        <f>$E124</f>
        <v/>
      </c>
      <c r="M124" s="409">
        <f>$E124</f>
        <v/>
      </c>
      <c r="N124" s="409">
        <f>$E124</f>
        <v/>
      </c>
      <c r="O124" s="409" t="n"/>
    </row>
    <row r="125" ht="15" customHeight="1" s="282">
      <c r="A125" s="281" t="n"/>
      <c r="B125" s="410" t="inlineStr">
        <is>
          <t xml:space="preserve">판관 변동비 </t>
        </is>
      </c>
      <c r="C125" s="354" t="n"/>
      <c r="D125" s="354" t="n"/>
      <c r="E125" s="354" t="n"/>
      <c r="F125" s="397" t="inlineStr">
        <is>
          <t>KRW mn</t>
        </is>
      </c>
      <c r="G125" s="354" t="n"/>
      <c r="H125" s="354" t="n"/>
      <c r="I125" s="354" t="n"/>
      <c r="J125" s="435">
        <f>J$21*J124</f>
        <v/>
      </c>
      <c r="K125" s="435">
        <f>K$21*K124</f>
        <v/>
      </c>
      <c r="L125" s="435">
        <f>L$21*L124</f>
        <v/>
      </c>
      <c r="M125" s="435">
        <f>M$21*M124</f>
        <v/>
      </c>
      <c r="N125" s="435">
        <f>N$21*N124</f>
        <v/>
      </c>
      <c r="O125" s="436" t="n"/>
    </row>
    <row r="126" ht="12.75" customHeight="1" s="282">
      <c r="A126" s="281" t="n"/>
      <c r="B126" s="281" t="n"/>
      <c r="C126" s="281" t="n"/>
      <c r="D126" s="281" t="n"/>
      <c r="E126" s="281" t="n"/>
      <c r="F126" s="281" t="n"/>
      <c r="G126" s="281" t="n"/>
      <c r="H126" s="281" t="n"/>
      <c r="I126" s="281" t="n"/>
      <c r="J126" s="281" t="n"/>
      <c r="K126" s="281" t="n"/>
      <c r="L126" s="281" t="n"/>
      <c r="M126" s="281" t="n"/>
      <c r="N126" s="281" t="n"/>
      <c r="O126" s="281" t="n"/>
    </row>
    <row r="127" ht="12.75" customHeight="1" s="282">
      <c r="A127" s="281" t="n"/>
      <c r="B127" s="434" t="inlineStr">
        <is>
          <t>[SG&amp;A breakdown] - Fixed cost</t>
        </is>
      </c>
      <c r="C127" s="354" t="n"/>
      <c r="D127" s="354" t="n"/>
      <c r="E127" s="354" t="n"/>
      <c r="F127" s="354" t="n"/>
      <c r="G127" s="354" t="n"/>
      <c r="H127" s="354" t="n"/>
      <c r="I127" s="354" t="n"/>
      <c r="J127" s="354" t="n"/>
      <c r="K127" s="354" t="n"/>
      <c r="L127" s="354" t="n"/>
      <c r="M127" s="354" t="n"/>
      <c r="N127" s="354" t="n"/>
      <c r="O127" s="281" t="n"/>
    </row>
    <row r="128" ht="12.75" customHeight="1" s="282">
      <c r="A128" s="281" t="n"/>
      <c r="B128" s="437" t="inlineStr">
        <is>
          <t>PPI</t>
        </is>
      </c>
      <c r="C128" s="378" t="n"/>
      <c r="D128" s="378" t="n"/>
      <c r="E128" s="378" t="n"/>
      <c r="F128" s="424" t="inlineStr">
        <is>
          <t>%</t>
        </is>
      </c>
      <c r="G128" s="438">
        <f>SUMIFS(Input!$G$23:$N$23,Input!$G$7:$N$7,Calculation!G$7)</f>
        <v/>
      </c>
      <c r="H128" s="438">
        <f>SUMIFS(Input!$G$23:$N$23,Input!$G$7:$N$7,Calculation!H$7)</f>
        <v/>
      </c>
      <c r="I128" s="438">
        <f>SUMIFS(Input!$G$23:$N$23,Input!$G$7:$N$7,Calculation!I$7)</f>
        <v/>
      </c>
      <c r="J128" s="438">
        <f>SUMIFS(Input!$G$23:$N$23,Input!$G$7:$N$7,Calculation!J$7)</f>
        <v/>
      </c>
      <c r="K128" s="438">
        <f>SUMIFS(Input!$G$23:$N$23,Input!$G$7:$N$7,Calculation!K$7)</f>
        <v/>
      </c>
      <c r="L128" s="438">
        <f>SUMIFS(Input!$G$23:$N$23,Input!$G$7:$N$7,Calculation!L$7)</f>
        <v/>
      </c>
      <c r="M128" s="438">
        <f>SUMIFS(Input!$G$23:$N$23,Input!$G$7:$N$7,Calculation!M$7)</f>
        <v/>
      </c>
      <c r="N128" s="438">
        <f>SUMIFS(Input!$G$23:$N$23,Input!$G$7:$N$7,Calculation!N$7)</f>
        <v/>
      </c>
      <c r="O128" s="390" t="n"/>
    </row>
    <row r="129" ht="15" customHeight="1" s="282">
      <c r="A129" s="281" t="n"/>
      <c r="B129" s="410" t="inlineStr">
        <is>
          <t>판관 고정비</t>
        </is>
      </c>
      <c r="C129" s="354" t="n"/>
      <c r="D129" s="354" t="n"/>
      <c r="E129" s="405">
        <f>Input!E168</f>
        <v/>
      </c>
      <c r="F129" s="397" t="inlineStr">
        <is>
          <t>KRW mn</t>
        </is>
      </c>
      <c r="G129" s="439" t="n"/>
      <c r="H129" s="439" t="n"/>
      <c r="I129" s="439" t="n"/>
      <c r="J129" s="398">
        <f>E$129*J128</f>
        <v/>
      </c>
      <c r="K129" s="398">
        <f>J$129*K128</f>
        <v/>
      </c>
      <c r="L129" s="398">
        <f>K$129*L128</f>
        <v/>
      </c>
      <c r="M129" s="398">
        <f>L$129*M128</f>
        <v/>
      </c>
      <c r="N129" s="398">
        <f>M$129*N128</f>
        <v/>
      </c>
      <c r="O129" s="385" t="n"/>
    </row>
    <row r="130" ht="12.75" customHeight="1" s="282">
      <c r="A130" s="281" t="n"/>
      <c r="B130" s="281" t="n"/>
      <c r="C130" s="281" t="n"/>
      <c r="D130" s="281" t="n"/>
      <c r="E130" s="281" t="n"/>
      <c r="F130" s="281" t="n"/>
      <c r="G130" s="281" t="n"/>
      <c r="H130" s="281" t="n"/>
      <c r="I130" s="281" t="n"/>
      <c r="J130" s="281" t="n"/>
      <c r="K130" s="281" t="n"/>
      <c r="L130" s="281" t="n"/>
      <c r="M130" s="281" t="n"/>
      <c r="N130" s="281" t="n"/>
      <c r="O130" s="281" t="n"/>
    </row>
    <row r="131" ht="15" customHeight="1" s="282">
      <c r="A131" s="281" t="n"/>
      <c r="B131" s="434" t="inlineStr">
        <is>
          <t>[SG&amp;A breakdown] - 별도 추정</t>
        </is>
      </c>
      <c r="C131" s="281" t="n"/>
      <c r="D131" s="281" t="n"/>
      <c r="E131" s="281" t="n"/>
      <c r="F131" s="281" t="n"/>
      <c r="G131" s="281" t="n"/>
      <c r="H131" s="281" t="n"/>
      <c r="I131" s="281" t="n"/>
      <c r="J131" s="281" t="n"/>
      <c r="K131" s="281" t="n"/>
      <c r="L131" s="281" t="n"/>
      <c r="M131" s="281" t="n"/>
      <c r="N131" s="281" t="n"/>
      <c r="O131" s="281" t="n"/>
    </row>
    <row r="132" ht="12.75" customHeight="1" s="282">
      <c r="A132" s="281" t="n"/>
      <c r="B132" s="423" t="inlineStr">
        <is>
          <t>Price_real</t>
        </is>
      </c>
      <c r="C132" s="378" t="n"/>
      <c r="D132" s="378" t="n"/>
      <c r="E132" s="378" t="n"/>
      <c r="F132" s="424" t="inlineStr">
        <is>
          <t>KRW/Kg</t>
        </is>
      </c>
      <c r="G132" s="425">
        <f>SUMIFS(Input!$G$173:$N$173,Input!$G$7:$N$7,Calculation!G$7)</f>
        <v/>
      </c>
      <c r="H132" s="425">
        <f>SUMIFS(Input!$G$173:$N$173,Input!$G$7:$N$7,Calculation!H$7)</f>
        <v/>
      </c>
      <c r="I132" s="425">
        <f>SUMIFS(Input!$G$173:$N$173,Input!$G$7:$N$7,Calculation!I$7)</f>
        <v/>
      </c>
      <c r="J132" s="425">
        <f>SUMIFS(Input!$G$173:$N$173,Input!$G$7:$N$7,Calculation!J$7)</f>
        <v/>
      </c>
      <c r="K132" s="425">
        <f>SUMIFS(Input!$G$173:$N$173,Input!$G$7:$N$7,Calculation!K$7)</f>
        <v/>
      </c>
      <c r="L132" s="425">
        <f>SUMIFS(Input!$G$173:$N$173,Input!$G$7:$N$7,Calculation!L$7)</f>
        <v/>
      </c>
      <c r="M132" s="425">
        <f>SUMIFS(Input!$G$173:$N$173,Input!$G$7:$N$7,Calculation!M$7)</f>
        <v/>
      </c>
      <c r="N132" s="425">
        <f>SUMIFS(Input!$G$173:$N$173,Input!$G$7:$N$7,Calculation!N$7)</f>
        <v/>
      </c>
      <c r="O132" s="385" t="n"/>
    </row>
    <row r="133" ht="12.75" customHeight="1" s="282">
      <c r="A133" s="281" t="n"/>
      <c r="B133" s="334" t="inlineStr">
        <is>
          <t>PPI</t>
        </is>
      </c>
      <c r="C133" s="281" t="n"/>
      <c r="D133" s="281" t="n"/>
      <c r="E133" s="281" t="n"/>
      <c r="F133" s="347" t="inlineStr">
        <is>
          <t>%</t>
        </is>
      </c>
      <c r="G133" s="390">
        <f>SUMIFS(Input!$G$23:$N$23,Input!$G$7:$N$7,Calculation!G$7)</f>
        <v/>
      </c>
      <c r="H133" s="390">
        <f>SUMIFS(Input!$G$23:$N$23,Input!$G$7:$N$7,Calculation!H$7)</f>
        <v/>
      </c>
      <c r="I133" s="390">
        <f>SUMIFS(Input!$G$23:$N$23,Input!$G$7:$N$7,Calculation!I$7)</f>
        <v/>
      </c>
      <c r="J133" s="390">
        <f>SUMIFS(Input!$G$23:$N$23,Input!$G$7:$N$7,Calculation!J$7)</f>
        <v/>
      </c>
      <c r="K133" s="390">
        <f>SUMIFS(Input!$G$23:$N$23,Input!$G$7:$N$7,Calculation!K$7)</f>
        <v/>
      </c>
      <c r="L133" s="390">
        <f>SUMIFS(Input!$G$23:$N$23,Input!$G$7:$N$7,Calculation!L$7)</f>
        <v/>
      </c>
      <c r="M133" s="390">
        <f>SUMIFS(Input!$G$23:$N$23,Input!$G$7:$N$7,Calculation!M$7)</f>
        <v/>
      </c>
      <c r="N133" s="390">
        <f>SUMIFS(Input!$G$23:$N$23,Input!$G$7:$N$7,Calculation!N$7)</f>
        <v/>
      </c>
      <c r="O133" s="390" t="n"/>
    </row>
    <row r="134" ht="12.75" customHeight="1" s="282">
      <c r="A134" s="281" t="n"/>
      <c r="B134" s="335" t="inlineStr">
        <is>
          <t>Price_Nominal</t>
        </is>
      </c>
      <c r="C134" s="281" t="n"/>
      <c r="D134" s="281" t="n"/>
      <c r="E134" s="281" t="n"/>
      <c r="F134" s="347" t="inlineStr">
        <is>
          <t>KRW/Kg</t>
        </is>
      </c>
      <c r="G134" s="385">
        <f>IFERROR(G132*G133,"")</f>
        <v/>
      </c>
      <c r="H134" s="385">
        <f>IFERROR(H132*H133,"")</f>
        <v/>
      </c>
      <c r="I134" s="385">
        <f>IFERROR(I132*I133,"")</f>
        <v/>
      </c>
      <c r="J134" s="385">
        <f>IFERROR(J132*J133,"")</f>
        <v/>
      </c>
      <c r="K134" s="385">
        <f>IFERROR(J134*K133,"")</f>
        <v/>
      </c>
      <c r="L134" s="385">
        <f>IFERROR(K134*L133,"")</f>
        <v/>
      </c>
      <c r="M134" s="385">
        <f>IFERROR(L134*M133,"")</f>
        <v/>
      </c>
      <c r="N134" s="385">
        <f>IFERROR(M134*N133,"")</f>
        <v/>
      </c>
      <c r="O134" s="385" t="n"/>
    </row>
    <row r="135" ht="12.75" customHeight="1" s="282">
      <c r="A135" s="281" t="n"/>
      <c r="B135" s="335" t="inlineStr">
        <is>
          <t>Quantity</t>
        </is>
      </c>
      <c r="C135" s="281" t="n"/>
      <c r="D135" s="281" t="n"/>
      <c r="E135" s="281" t="n"/>
      <c r="F135" s="347" t="inlineStr">
        <is>
          <t>Kg</t>
        </is>
      </c>
      <c r="G135" s="385">
        <f>SUMIFS(Input!$G$174:$N$174,Input!$G$7:$N$7,Calculation!G$7)</f>
        <v/>
      </c>
      <c r="H135" s="385">
        <f>SUMIFS(Input!$G$174:$N$174,Input!$G$7:$N$7,Calculation!H$7)</f>
        <v/>
      </c>
      <c r="I135" s="385">
        <f>SUMIFS(Input!$G$174:$N$174,Input!$G$7:$N$7,Calculation!I$7)</f>
        <v/>
      </c>
      <c r="J135" s="385">
        <f>SUMIFS(Input!$G$174:$N$174,Input!$G$7:$N$7,Calculation!J$7)</f>
        <v/>
      </c>
      <c r="K135" s="385">
        <f>SUMIFS(Input!$G$174:$N$174,Input!$G$7:$N$7,Calculation!K$7)</f>
        <v/>
      </c>
      <c r="L135" s="385">
        <f>SUMIFS(Input!$G$174:$N$174,Input!$G$7:$N$7,Calculation!L$7)</f>
        <v/>
      </c>
      <c r="M135" s="385">
        <f>SUMIFS(Input!$G$174:$N$174,Input!$G$7:$N$7,Calculation!M$7)</f>
        <v/>
      </c>
      <c r="N135" s="385">
        <f>SUMIFS(Input!$G$174:$N$174,Input!$G$7:$N$7,Calculation!N$7)</f>
        <v/>
      </c>
      <c r="O135" s="385" t="n"/>
    </row>
    <row r="136" ht="12.75" customHeight="1" s="282">
      <c r="A136" s="281" t="n"/>
      <c r="B136" s="410" t="inlineStr">
        <is>
          <t>별도 추정</t>
        </is>
      </c>
      <c r="C136" s="354" t="n"/>
      <c r="D136" s="354" t="n"/>
      <c r="E136" s="354" t="n"/>
      <c r="F136" s="397" t="inlineStr">
        <is>
          <t>KRW mn</t>
        </is>
      </c>
      <c r="G136" s="398">
        <f>G134*G135/mn</f>
        <v/>
      </c>
      <c r="H136" s="398">
        <f>H134*H135/mn</f>
        <v/>
      </c>
      <c r="I136" s="398">
        <f>I134*I135/mn</f>
        <v/>
      </c>
      <c r="J136" s="398">
        <f>J134*J135/mn</f>
        <v/>
      </c>
      <c r="K136" s="398">
        <f>K134*K135/mn</f>
        <v/>
      </c>
      <c r="L136" s="398">
        <f>L134*L135/mn</f>
        <v/>
      </c>
      <c r="M136" s="398">
        <f>M134*M135/mn</f>
        <v/>
      </c>
      <c r="N136" s="398">
        <f>N134*N135/mn</f>
        <v/>
      </c>
      <c r="O136" s="385" t="n"/>
    </row>
    <row r="137" ht="12.75" customHeight="1" s="282">
      <c r="A137" s="281" t="n"/>
      <c r="B137" s="281" t="n"/>
      <c r="C137" s="281" t="n"/>
      <c r="D137" s="281" t="n"/>
      <c r="E137" s="281" t="n"/>
      <c r="F137" s="281" t="n"/>
      <c r="G137" s="281" t="n"/>
      <c r="H137" s="281" t="n"/>
      <c r="I137" s="281" t="n"/>
      <c r="J137" s="281" t="n"/>
      <c r="K137" s="281" t="n"/>
      <c r="L137" s="281" t="n"/>
      <c r="M137" s="281" t="n"/>
      <c r="N137" s="281" t="n"/>
      <c r="O137" s="281" t="n"/>
    </row>
    <row r="138" ht="12.75" customHeight="1" s="282">
      <c r="A138" s="281" t="n"/>
      <c r="B138" s="325" t="inlineStr">
        <is>
          <t>Labor cost</t>
        </is>
      </c>
      <c r="C138" s="333" t="n"/>
      <c r="D138" s="333" t="n"/>
      <c r="E138" s="333" t="n"/>
      <c r="F138" s="333" t="n"/>
      <c r="G138" s="333" t="n"/>
      <c r="H138" s="333" t="n"/>
      <c r="I138" s="333" t="n"/>
      <c r="J138" s="333" t="n"/>
      <c r="K138" s="333" t="n"/>
      <c r="L138" s="333" t="n"/>
      <c r="M138" s="333" t="n"/>
      <c r="N138" s="333" t="n"/>
      <c r="O138" s="333" t="n"/>
    </row>
    <row r="139" ht="12.75" customHeight="1" s="282">
      <c r="A139" s="281" t="n"/>
      <c r="B139" s="281" t="n"/>
      <c r="C139" s="281" t="n"/>
      <c r="D139" s="281" t="n"/>
      <c r="E139" s="281" t="n"/>
      <c r="F139" s="281" t="n"/>
      <c r="G139" s="281" t="n"/>
      <c r="H139" s="281" t="n"/>
      <c r="I139" s="281" t="n"/>
      <c r="J139" s="281" t="n"/>
      <c r="K139" s="281" t="n"/>
      <c r="L139" s="281" t="n"/>
      <c r="M139" s="281" t="n"/>
      <c r="N139" s="281" t="n"/>
      <c r="O139" s="281" t="n"/>
    </row>
    <row r="140" ht="15" customHeight="1" s="282">
      <c r="A140" s="281" t="n"/>
      <c r="B140" s="413" t="inlineStr">
        <is>
          <t>[인당인건비]</t>
        </is>
      </c>
      <c r="C140" s="354" t="n"/>
      <c r="D140" s="354" t="n"/>
      <c r="E140" s="354" t="n"/>
      <c r="F140" s="354" t="n"/>
      <c r="G140" s="354" t="n"/>
      <c r="H140" s="354" t="n"/>
      <c r="I140" s="354" t="n"/>
      <c r="J140" s="354" t="n"/>
      <c r="K140" s="354" t="n"/>
      <c r="L140" s="354" t="n"/>
      <c r="M140" s="354" t="n"/>
      <c r="N140" s="354" t="n"/>
      <c r="O140" s="281" t="n"/>
    </row>
    <row r="141" ht="12.75" customHeight="1" s="282">
      <c r="A141" s="281" t="n"/>
      <c r="B141" s="334" t="inlineStr">
        <is>
          <t>Nominal Wage Growth</t>
        </is>
      </c>
      <c r="C141" s="281" t="n"/>
      <c r="D141" s="281" t="n"/>
      <c r="E141" s="281" t="n"/>
      <c r="F141" s="347" t="inlineStr">
        <is>
          <t>%</t>
        </is>
      </c>
      <c r="G141" s="390">
        <f>SUMIFS(Input!$G$21:$N$21,Input!$G$7:$N$7,Calculation!G$7)</f>
        <v/>
      </c>
      <c r="H141" s="390">
        <f>SUMIFS(Input!$G$21:$N$21,Input!$G$7:$N$7,Calculation!H$7)</f>
        <v/>
      </c>
      <c r="I141" s="390">
        <f>SUMIFS(Input!$G$21:$N$21,Input!$G$7:$N$7,Calculation!I$7)</f>
        <v/>
      </c>
      <c r="J141" s="390">
        <f>SUMIFS(Input!$G$21:$N$21,Input!$G$7:$N$7,Calculation!J$7)</f>
        <v/>
      </c>
      <c r="K141" s="390">
        <f>SUMIFS(Input!$G$21:$N$21,Input!$G$7:$N$7,Calculation!K$7)</f>
        <v/>
      </c>
      <c r="L141" s="390">
        <f>SUMIFS(Input!$G$21:$N$21,Input!$G$7:$N$7,Calculation!L$7)</f>
        <v/>
      </c>
      <c r="M141" s="390">
        <f>SUMIFS(Input!$G$21:$N$21,Input!$G$7:$N$7,Calculation!M$7)</f>
        <v/>
      </c>
      <c r="N141" s="390">
        <f>SUMIFS(Input!$G$21:$N$21,Input!$G$7:$N$7,Calculation!N$7)</f>
        <v/>
      </c>
      <c r="O141" s="390" t="n"/>
    </row>
    <row r="142" ht="13.5" customHeight="1" s="282">
      <c r="A142" s="281" t="n"/>
      <c r="B142" s="335" t="inlineStr">
        <is>
          <t>COGS</t>
        </is>
      </c>
      <c r="C142" s="281" t="n"/>
      <c r="D142" s="281" t="n"/>
      <c r="E142" s="379">
        <f>Input!E189</f>
        <v/>
      </c>
      <c r="F142" s="347" t="inlineStr">
        <is>
          <t>KRW mn</t>
        </is>
      </c>
      <c r="G142" s="281" t="n"/>
      <c r="H142" s="281" t="n"/>
      <c r="I142" s="281" t="n"/>
      <c r="J142" s="385">
        <f>E$142*J$141</f>
        <v/>
      </c>
      <c r="K142" s="385">
        <f>J$142*K$141</f>
        <v/>
      </c>
      <c r="L142" s="385">
        <f>K$142*L$141</f>
        <v/>
      </c>
      <c r="M142" s="385">
        <f>L$142*M$141</f>
        <v/>
      </c>
      <c r="N142" s="385">
        <f>M$142*N$141</f>
        <v/>
      </c>
      <c r="O142" s="385" t="n"/>
    </row>
    <row r="143" ht="13.5" customHeight="1" s="282">
      <c r="A143" s="281" t="n"/>
      <c r="B143" s="396" t="inlineStr">
        <is>
          <t xml:space="preserve">SG&amp;A </t>
        </is>
      </c>
      <c r="C143" s="354" t="n"/>
      <c r="D143" s="354" t="n"/>
      <c r="E143" s="441">
        <f>Input!E190</f>
        <v/>
      </c>
      <c r="F143" s="397" t="inlineStr">
        <is>
          <t>KRW mn</t>
        </is>
      </c>
      <c r="G143" s="354" t="n"/>
      <c r="H143" s="354" t="n"/>
      <c r="I143" s="354" t="n"/>
      <c r="J143" s="398">
        <f>E$143*J$141</f>
        <v/>
      </c>
      <c r="K143" s="398">
        <f>J$143*K$141</f>
        <v/>
      </c>
      <c r="L143" s="398">
        <f>K$143*L$141</f>
        <v/>
      </c>
      <c r="M143" s="398">
        <f>L$143*M$141</f>
        <v/>
      </c>
      <c r="N143" s="398">
        <f>M$143*N$141</f>
        <v/>
      </c>
      <c r="O143" s="385" t="n"/>
    </row>
    <row r="144" ht="12.75" customHeight="1" s="282">
      <c r="A144" s="281" t="n"/>
      <c r="B144" s="281" t="n"/>
      <c r="C144" s="281" t="n"/>
      <c r="D144" s="281" t="n"/>
      <c r="E144" s="281" t="n"/>
      <c r="F144" s="281" t="n"/>
      <c r="G144" s="281" t="n"/>
      <c r="H144" s="281" t="n"/>
      <c r="I144" s="281" t="n"/>
      <c r="J144" s="281" t="n"/>
      <c r="K144" s="281" t="n"/>
      <c r="L144" s="281" t="n"/>
      <c r="M144" s="281" t="n"/>
      <c r="N144" s="281" t="n"/>
      <c r="O144" s="281" t="n"/>
    </row>
    <row r="145" ht="12.75" customHeight="1" s="282">
      <c r="A145" s="281" t="n"/>
      <c r="B145" s="396" t="inlineStr">
        <is>
          <t>[인원수]</t>
        </is>
      </c>
      <c r="C145" s="354" t="n"/>
      <c r="D145" s="354" t="n"/>
      <c r="E145" s="354" t="n"/>
      <c r="F145" s="354" t="n"/>
      <c r="G145" s="354" t="n"/>
      <c r="H145" s="354" t="n"/>
      <c r="I145" s="354" t="n"/>
      <c r="J145" s="354" t="n"/>
      <c r="K145" s="354" t="n"/>
      <c r="L145" s="354" t="n"/>
      <c r="M145" s="354" t="n"/>
      <c r="N145" s="354" t="n"/>
      <c r="O145" s="281" t="n"/>
    </row>
    <row r="146" ht="15" customHeight="1" s="282">
      <c r="A146" s="281" t="n"/>
      <c r="B146" s="335" t="inlineStr">
        <is>
          <t>COGS</t>
        </is>
      </c>
      <c r="C146" s="281" t="n"/>
      <c r="D146" s="281" t="n"/>
      <c r="E146" s="281" t="n"/>
      <c r="F146" s="399" t="inlineStr">
        <is>
          <t>명</t>
        </is>
      </c>
      <c r="G146" s="335">
        <f>SUMIFS(Input!$G$185:$N$185,Input!$G$7:$N$7,Calculation!G$7)</f>
        <v/>
      </c>
      <c r="H146" s="335">
        <f>SUMIFS(Input!$G$185:$N$185,Input!$G$7:$N$7,Calculation!H$7)</f>
        <v/>
      </c>
      <c r="I146" s="335">
        <f>SUMIFS(Input!$G$185:$N$185,Input!$G$7:$N$7,Calculation!I$7)</f>
        <v/>
      </c>
      <c r="J146" s="335">
        <f>SUMIFS(Input!$G$185:$N$185,Input!$G$7:$N$7,Calculation!J$7)</f>
        <v/>
      </c>
      <c r="K146" s="335">
        <f>SUMIFS(Input!$G$185:$N$185,Input!$G$7:$N$7,Calculation!K$7)</f>
        <v/>
      </c>
      <c r="L146" s="335">
        <f>SUMIFS(Input!$G$185:$N$185,Input!$G$7:$N$7,Calculation!L$7)</f>
        <v/>
      </c>
      <c r="M146" s="335">
        <f>SUMIFS(Input!$G$185:$N$185,Input!$G$7:$N$7,Calculation!M$7)</f>
        <v/>
      </c>
      <c r="N146" s="335">
        <f>SUMIFS(Input!$G$185:$N$185,Input!$G$7:$N$7,Calculation!N$7)</f>
        <v/>
      </c>
      <c r="O146" s="281" t="n"/>
    </row>
    <row r="147" ht="15" customHeight="1" s="282">
      <c r="A147" s="281" t="n"/>
      <c r="B147" s="396" t="inlineStr">
        <is>
          <t xml:space="preserve">SG&amp;A </t>
        </is>
      </c>
      <c r="C147" s="354" t="n"/>
      <c r="D147" s="354" t="n"/>
      <c r="E147" s="354" t="n"/>
      <c r="F147" s="402" t="inlineStr">
        <is>
          <t>명</t>
        </is>
      </c>
      <c r="G147" s="396">
        <f>SUMIFS(Input!$G$186:$N$186,Input!$G$7:$N$7,Calculation!G$7)</f>
        <v/>
      </c>
      <c r="H147" s="396">
        <f>SUMIFS(Input!$G$186:$N$186,Input!$G$7:$N$7,Calculation!H$7)</f>
        <v/>
      </c>
      <c r="I147" s="396">
        <f>SUMIFS(Input!$G$186:$N$186,Input!$G$7:$N$7,Calculation!I$7)</f>
        <v/>
      </c>
      <c r="J147" s="396">
        <f>SUMIFS(Input!$G$186:$N$186,Input!$G$7:$N$7,Calculation!J$7)</f>
        <v/>
      </c>
      <c r="K147" s="396">
        <f>SUMIFS(Input!$G$186:$N$186,Input!$G$7:$N$7,Calculation!K$7)</f>
        <v/>
      </c>
      <c r="L147" s="396">
        <f>SUMIFS(Input!$G$186:$N$186,Input!$G$7:$N$7,Calculation!L$7)</f>
        <v/>
      </c>
      <c r="M147" s="396">
        <f>SUMIFS(Input!$G$186:$N$186,Input!$G$7:$N$7,Calculation!M$7)</f>
        <v/>
      </c>
      <c r="N147" s="396">
        <f>SUMIFS(Input!$G$186:$N$186,Input!$G$7:$N$7,Calculation!N$7)</f>
        <v/>
      </c>
      <c r="O147" s="281" t="n"/>
    </row>
    <row r="148" ht="12.75" customHeight="1" s="282">
      <c r="A148" s="281" t="n"/>
      <c r="B148" s="281" t="n"/>
      <c r="C148" s="281" t="n"/>
      <c r="D148" s="281" t="n"/>
      <c r="E148" s="281" t="n"/>
      <c r="F148" s="281" t="n"/>
      <c r="G148" s="281" t="n"/>
      <c r="H148" s="281" t="n"/>
      <c r="I148" s="281" t="n"/>
      <c r="J148" s="281" t="n"/>
      <c r="K148" s="281" t="n"/>
      <c r="L148" s="281" t="n"/>
      <c r="M148" s="281" t="n"/>
      <c r="N148" s="281" t="n"/>
      <c r="O148" s="281" t="n"/>
    </row>
    <row r="149" ht="15" customHeight="1" s="282">
      <c r="A149" s="281" t="n"/>
      <c r="B149" s="396" t="inlineStr">
        <is>
          <t>[인건비]</t>
        </is>
      </c>
      <c r="C149" s="354" t="n"/>
      <c r="D149" s="354" t="n"/>
      <c r="E149" s="354" t="n"/>
      <c r="F149" s="354" t="n"/>
      <c r="G149" s="354" t="n"/>
      <c r="H149" s="354" t="n"/>
      <c r="I149" s="354" t="n"/>
      <c r="J149" s="354" t="n"/>
      <c r="K149" s="354" t="n"/>
      <c r="L149" s="354" t="n"/>
      <c r="M149" s="354" t="n"/>
      <c r="N149" s="354" t="n"/>
      <c r="O149" s="281" t="n"/>
    </row>
    <row r="150" ht="12.75" customHeight="1" s="282">
      <c r="A150" s="281" t="n"/>
      <c r="B150" s="334" t="inlineStr">
        <is>
          <t>COGS</t>
        </is>
      </c>
      <c r="C150" s="281" t="n"/>
      <c r="D150" s="281" t="n"/>
      <c r="E150" s="281" t="n"/>
      <c r="F150" s="347" t="inlineStr">
        <is>
          <t>%</t>
        </is>
      </c>
      <c r="G150" s="385">
        <f>Input!G181</f>
        <v/>
      </c>
      <c r="H150" s="385">
        <f>Input!H181</f>
        <v/>
      </c>
      <c r="I150" s="385">
        <f>Input!I181</f>
        <v/>
      </c>
      <c r="J150" s="385">
        <f>J142*J146</f>
        <v/>
      </c>
      <c r="K150" s="385">
        <f>K142*K146</f>
        <v/>
      </c>
      <c r="L150" s="385">
        <f>L142*L146</f>
        <v/>
      </c>
      <c r="M150" s="385">
        <f>M142*M146</f>
        <v/>
      </c>
      <c r="N150" s="385">
        <f>N142*N146</f>
        <v/>
      </c>
      <c r="O150" s="385" t="n"/>
    </row>
    <row r="151" ht="12.75" customHeight="1" s="282">
      <c r="A151" s="281" t="n"/>
      <c r="B151" s="335" t="inlineStr">
        <is>
          <t xml:space="preserve">SG&amp;A </t>
        </is>
      </c>
      <c r="C151" s="281" t="n"/>
      <c r="D151" s="281" t="n"/>
      <c r="E151" s="281" t="n"/>
      <c r="F151" s="347" t="inlineStr">
        <is>
          <t>KRW mn</t>
        </is>
      </c>
      <c r="G151" s="385">
        <f>Input!G182</f>
        <v/>
      </c>
      <c r="H151" s="385">
        <f>Input!H182</f>
        <v/>
      </c>
      <c r="I151" s="385">
        <f>Input!I182</f>
        <v/>
      </c>
      <c r="J151" s="385">
        <f>J143*J147</f>
        <v/>
      </c>
      <c r="K151" s="385">
        <f>K143*K147</f>
        <v/>
      </c>
      <c r="L151" s="385">
        <f>L143*L147</f>
        <v/>
      </c>
      <c r="M151" s="385">
        <f>M143*M147</f>
        <v/>
      </c>
      <c r="N151" s="385">
        <f>N143*N147</f>
        <v/>
      </c>
      <c r="O151" s="385" t="n"/>
    </row>
    <row r="152" ht="12.75" customHeight="1" s="282">
      <c r="A152" s="281" t="n"/>
      <c r="B152" s="396" t="inlineStr">
        <is>
          <t>Total</t>
        </is>
      </c>
      <c r="C152" s="354" t="n"/>
      <c r="D152" s="354" t="n"/>
      <c r="E152" s="354" t="n"/>
      <c r="F152" s="397" t="inlineStr">
        <is>
          <t>KRW mn</t>
        </is>
      </c>
      <c r="G152" s="398">
        <f>SUM(G150:G151)</f>
        <v/>
      </c>
      <c r="H152" s="398">
        <f>SUM(H150:H151)</f>
        <v/>
      </c>
      <c r="I152" s="398">
        <f>SUM(I150:I151)</f>
        <v/>
      </c>
      <c r="J152" s="398">
        <f>SUM(J150:J151)</f>
        <v/>
      </c>
      <c r="K152" s="398">
        <f>SUM(K150:K151)</f>
        <v/>
      </c>
      <c r="L152" s="398">
        <f>SUM(L150:L151)</f>
        <v/>
      </c>
      <c r="M152" s="398">
        <f>SUM(M150:M151)</f>
        <v/>
      </c>
      <c r="N152" s="398">
        <f>SUM(N150:N151)</f>
        <v/>
      </c>
      <c r="O152" s="385" t="n"/>
    </row>
    <row r="153" ht="12.75" customHeight="1" s="282">
      <c r="A153" s="281" t="n"/>
      <c r="B153" s="281" t="n"/>
      <c r="C153" s="281" t="n"/>
      <c r="D153" s="281" t="n"/>
      <c r="E153" s="281" t="n"/>
      <c r="F153" s="281" t="n"/>
      <c r="G153" s="281" t="n"/>
      <c r="H153" s="281" t="n"/>
      <c r="I153" s="281" t="n"/>
      <c r="J153" s="281" t="n"/>
      <c r="K153" s="281" t="n"/>
      <c r="L153" s="281" t="n"/>
      <c r="M153" s="281" t="n"/>
      <c r="N153" s="281" t="n"/>
      <c r="O153" s="281" t="n"/>
    </row>
    <row r="154" ht="12.75" customHeight="1" s="282">
      <c r="A154" s="281" t="n"/>
      <c r="B154" s="325" t="inlineStr">
        <is>
          <t>NWC</t>
        </is>
      </c>
      <c r="C154" s="333" t="n"/>
      <c r="D154" s="333" t="n"/>
      <c r="E154" s="333" t="n"/>
      <c r="F154" s="333" t="n"/>
      <c r="G154" s="333" t="n"/>
      <c r="H154" s="333" t="n"/>
      <c r="I154" s="333" t="n"/>
      <c r="J154" s="333" t="n"/>
      <c r="K154" s="333" t="n"/>
      <c r="L154" s="333" t="n"/>
      <c r="M154" s="333" t="n"/>
      <c r="N154" s="333" t="n"/>
      <c r="O154" s="333" t="n"/>
    </row>
    <row r="155" ht="12.75" customHeight="1" s="282">
      <c r="A155" s="281" t="n"/>
      <c r="B155" s="281" t="n"/>
      <c r="C155" s="281" t="n"/>
      <c r="D155" s="281" t="n"/>
      <c r="E155" s="281" t="n"/>
      <c r="F155" s="281" t="n"/>
      <c r="G155" s="281" t="n"/>
      <c r="H155" s="281" t="n"/>
      <c r="I155" s="281" t="n"/>
      <c r="J155" s="281" t="n"/>
      <c r="K155" s="281" t="n"/>
      <c r="L155" s="281" t="n"/>
      <c r="M155" s="281" t="n"/>
      <c r="N155" s="281" t="n"/>
      <c r="O155" s="281" t="n"/>
    </row>
    <row r="156" ht="15" customHeight="1" s="282">
      <c r="A156" s="281" t="n"/>
      <c r="B156" s="396" t="inlineStr">
        <is>
          <t xml:space="preserve">[회전기일] </t>
        </is>
      </c>
      <c r="C156" s="354" t="n"/>
      <c r="D156" s="354" t="n"/>
      <c r="E156" s="354" t="n"/>
      <c r="F156" s="354" t="n"/>
      <c r="G156" s="354" t="n"/>
      <c r="H156" s="354" t="n"/>
      <c r="I156" s="354" t="n"/>
      <c r="J156" s="354" t="n"/>
      <c r="K156" s="354" t="n"/>
      <c r="L156" s="354" t="n"/>
      <c r="M156" s="354" t="n"/>
      <c r="N156" s="354" t="n"/>
      <c r="O156" s="354" t="n"/>
    </row>
    <row r="157" ht="13.5" customHeight="1" s="282">
      <c r="A157" s="281" t="n"/>
      <c r="B157" s="335" t="inlineStr">
        <is>
          <t>DSO, Year-end</t>
        </is>
      </c>
      <c r="C157" s="281" t="n"/>
      <c r="D157" s="281" t="n"/>
      <c r="E157" s="404">
        <f>Input!E206</f>
        <v/>
      </c>
      <c r="F157" s="347" t="inlineStr">
        <is>
          <t>Days</t>
        </is>
      </c>
      <c r="G157" s="385">
        <f>SUMIFS(Input!$G$206:$N$206,Input!$G$7:$N$7,Calculation!G$7)</f>
        <v/>
      </c>
      <c r="H157" s="385">
        <f>SUMIFS(Input!$G$206:$N$206,Input!$G$7:$N$7,Calculation!H$7)</f>
        <v/>
      </c>
      <c r="I157" s="385">
        <f>SUMIFS(Input!$G$206:$N$206,Input!$G$7:$N$7,Calculation!I$7)</f>
        <v/>
      </c>
      <c r="J157" s="385">
        <f>SUMIFS(Input!$G$206:$N$206,Input!$G$7:$N$7,Calculation!J$7)</f>
        <v/>
      </c>
      <c r="K157" s="385">
        <f>SUMIFS(Input!$G$206:$N$206,Input!$G$7:$N$7,Calculation!K$7)</f>
        <v/>
      </c>
      <c r="L157" s="385">
        <f>SUMIFS(Input!$G$206:$N$206,Input!$G$7:$N$7,Calculation!L$7)</f>
        <v/>
      </c>
      <c r="M157" s="385">
        <f>SUMIFS(Input!$G$206:$N$206,Input!$G$7:$N$7,Calculation!M$7)</f>
        <v/>
      </c>
      <c r="N157" s="385">
        <f>SUMIFS(Input!$G$206:$N$206,Input!$G$7:$N$7,Calculation!N$7)</f>
        <v/>
      </c>
      <c r="O157" s="385">
        <f>Input!O206</f>
        <v/>
      </c>
    </row>
    <row r="158" ht="13.5" customHeight="1" s="282">
      <c r="A158" s="281" t="n"/>
      <c r="B158" s="335" t="inlineStr">
        <is>
          <t>DIO, Year-end</t>
        </is>
      </c>
      <c r="C158" s="281" t="n"/>
      <c r="D158" s="281" t="n"/>
      <c r="E158" s="379">
        <f>Input!E207</f>
        <v/>
      </c>
      <c r="F158" s="347" t="inlineStr">
        <is>
          <t>Days</t>
        </is>
      </c>
      <c r="G158" s="385">
        <f>SUMIFS(Input!$G$207:$N$207,Input!$G$7:$N$7,Calculation!G$7)</f>
        <v/>
      </c>
      <c r="H158" s="385">
        <f>SUMIFS(Input!$G$207:$N$207,Input!$G$7:$N$7,Calculation!H$7)</f>
        <v/>
      </c>
      <c r="I158" s="385">
        <f>SUMIFS(Input!$G$207:$N$207,Input!$G$7:$N$7,Calculation!I$7)</f>
        <v/>
      </c>
      <c r="J158" s="385">
        <f>SUMIFS(Input!$G$207:$N$207,Input!$G$7:$N$7,Calculation!J$7)</f>
        <v/>
      </c>
      <c r="K158" s="385">
        <f>SUMIFS(Input!$G$207:$N$207,Input!$G$7:$N$7,Calculation!K$7)</f>
        <v/>
      </c>
      <c r="L158" s="385">
        <f>SUMIFS(Input!$G$207:$N$207,Input!$G$7:$N$7,Calculation!L$7)</f>
        <v/>
      </c>
      <c r="M158" s="385">
        <f>SUMIFS(Input!$G$207:$N$207,Input!$G$7:$N$7,Calculation!M$7)</f>
        <v/>
      </c>
      <c r="N158" s="385">
        <f>SUMIFS(Input!$G$207:$N$207,Input!$G$7:$N$7,Calculation!N$7)</f>
        <v/>
      </c>
      <c r="O158" s="385">
        <f>Input!O207</f>
        <v/>
      </c>
    </row>
    <row r="159" ht="13.5" customHeight="1" s="282">
      <c r="A159" s="281" t="n"/>
      <c r="B159" s="396" t="inlineStr">
        <is>
          <t>DPO, Year-end</t>
        </is>
      </c>
      <c r="C159" s="354" t="n"/>
      <c r="D159" s="354" t="n"/>
      <c r="E159" s="405">
        <f>Input!E208</f>
        <v/>
      </c>
      <c r="F159" s="397" t="inlineStr">
        <is>
          <t>Days</t>
        </is>
      </c>
      <c r="G159" s="398">
        <f>SUMIFS(Input!$G$208:$N$208,Input!$G$7:$N$7,Calculation!G$7)</f>
        <v/>
      </c>
      <c r="H159" s="398">
        <f>SUMIFS(Input!$G$208:$N$208,Input!$G$7:$N$7,Calculation!H$7)</f>
        <v/>
      </c>
      <c r="I159" s="398">
        <f>SUMIFS(Input!$G$208:$N$208,Input!$G$7:$N$7,Calculation!I$7)</f>
        <v/>
      </c>
      <c r="J159" s="398">
        <f>SUMIFS(Input!$G$208:$N$208,Input!$G$7:$N$7,Calculation!J$7)</f>
        <v/>
      </c>
      <c r="K159" s="398">
        <f>SUMIFS(Input!$G$208:$N$208,Input!$G$7:$N$7,Calculation!K$7)</f>
        <v/>
      </c>
      <c r="L159" s="398">
        <f>SUMIFS(Input!$G$208:$N$208,Input!$G$7:$N$7,Calculation!L$7)</f>
        <v/>
      </c>
      <c r="M159" s="398">
        <f>SUMIFS(Input!$G$208:$N$208,Input!$G$7:$N$7,Calculation!M$7)</f>
        <v/>
      </c>
      <c r="N159" s="398">
        <f>SUMIFS(Input!$G$208:$N$208,Input!$G$7:$N$7,Calculation!N$7)</f>
        <v/>
      </c>
      <c r="O159" s="398">
        <f>Input!O208</f>
        <v/>
      </c>
    </row>
    <row r="160" ht="12.75" customHeight="1" s="282">
      <c r="A160" s="281" t="n"/>
      <c r="B160" s="281" t="n"/>
      <c r="C160" s="281" t="n"/>
      <c r="D160" s="281" t="n"/>
      <c r="E160" s="281" t="n"/>
      <c r="F160" s="281" t="n"/>
      <c r="G160" s="281" t="n"/>
      <c r="H160" s="281" t="n"/>
      <c r="I160" s="281" t="n"/>
      <c r="J160" s="281" t="n"/>
      <c r="K160" s="281" t="n"/>
      <c r="L160" s="281" t="n"/>
      <c r="M160" s="281" t="n"/>
      <c r="N160" s="281" t="n"/>
      <c r="O160" s="281" t="n"/>
    </row>
    <row r="161" ht="12.75" customHeight="1" s="282">
      <c r="A161" s="281" t="n"/>
      <c r="B161" s="396" t="inlineStr">
        <is>
          <t xml:space="preserve">[NWC] </t>
        </is>
      </c>
      <c r="C161" s="354" t="n"/>
      <c r="D161" s="354" t="n"/>
      <c r="E161" s="354" t="n"/>
      <c r="F161" s="354" t="n"/>
      <c r="G161" s="354" t="n"/>
      <c r="H161" s="354" t="n"/>
      <c r="I161" s="354" t="n"/>
      <c r="J161" s="354" t="n"/>
      <c r="K161" s="354" t="n"/>
      <c r="L161" s="354" t="n"/>
      <c r="M161" s="354" t="n"/>
      <c r="N161" s="354" t="n"/>
      <c r="O161" s="396" t="inlineStr">
        <is>
          <t>TV</t>
        </is>
      </c>
    </row>
    <row r="162" ht="15" customHeight="1" s="282">
      <c r="A162" s="281" t="n"/>
      <c r="B162" s="406" t="inlineStr">
        <is>
          <t>매출액</t>
        </is>
      </c>
      <c r="C162" s="281" t="n"/>
      <c r="D162" s="281" t="n"/>
      <c r="E162" s="281" t="n"/>
      <c r="F162" s="281" t="n"/>
      <c r="G162" s="385">
        <f>SUMIFS(Input!$G$195:$N$195,Input!$G$7:$N$7,Calculation!G$7)</f>
        <v/>
      </c>
      <c r="H162" s="385">
        <f>SUMIFS(Input!$G$195:$N$195,Input!$G$7:$N$7,Calculation!H$7)</f>
        <v/>
      </c>
      <c r="I162" s="385">
        <f>SUMIFS(Input!$G$195:$N$195,Input!$G$7:$N$7,Calculation!I$7)</f>
        <v/>
      </c>
      <c r="J162" s="385">
        <f>DCF!J20</f>
        <v/>
      </c>
      <c r="K162" s="385">
        <f>DCF!K20</f>
        <v/>
      </c>
      <c r="L162" s="385">
        <f>DCF!L20</f>
        <v/>
      </c>
      <c r="M162" s="385">
        <f>DCF!M20</f>
        <v/>
      </c>
      <c r="N162" s="385">
        <f>DCF!N20</f>
        <v/>
      </c>
      <c r="O162" s="385">
        <f>DCF!O20</f>
        <v/>
      </c>
    </row>
    <row r="163" ht="15" customHeight="1" s="282">
      <c r="A163" s="281" t="n"/>
      <c r="B163" s="406" t="inlineStr">
        <is>
          <t>원가</t>
        </is>
      </c>
      <c r="C163" s="281" t="n"/>
      <c r="D163" s="281" t="n"/>
      <c r="E163" s="281" t="n"/>
      <c r="F163" s="281" t="n"/>
      <c r="G163" s="385">
        <f>SUMIFS(Input!$G$196:$N$196,Input!$G$7:$N$7,Calculation!G$7)</f>
        <v/>
      </c>
      <c r="H163" s="385">
        <f>SUMIFS(Input!$G$196:$N$196,Input!$G$7:$N$7,Calculation!H$7)</f>
        <v/>
      </c>
      <c r="I163" s="385">
        <f>SUMIFS(Input!$G$196:$N$196,Input!$G$7:$N$7,Calculation!I$7)</f>
        <v/>
      </c>
      <c r="J163" s="385">
        <f>DCF!J22</f>
        <v/>
      </c>
      <c r="K163" s="385">
        <f>DCF!K22</f>
        <v/>
      </c>
      <c r="L163" s="385">
        <f>DCF!L22</f>
        <v/>
      </c>
      <c r="M163" s="385">
        <f>DCF!M22</f>
        <v/>
      </c>
      <c r="N163" s="385">
        <f>DCF!N22</f>
        <v/>
      </c>
      <c r="O163" s="385">
        <f>DCF!O22</f>
        <v/>
      </c>
    </row>
    <row r="164" ht="15" customHeight="1" s="282">
      <c r="A164" s="281" t="n"/>
      <c r="B164" s="335" t="inlineStr">
        <is>
          <t>Current assets</t>
        </is>
      </c>
      <c r="C164" s="281" t="n"/>
      <c r="D164" s="281" t="n"/>
      <c r="E164" s="281" t="n"/>
      <c r="F164" s="281" t="n"/>
      <c r="G164" s="360">
        <f>SUM(G165:G166)</f>
        <v/>
      </c>
      <c r="H164" s="360">
        <f>SUM(H165:H166)</f>
        <v/>
      </c>
      <c r="I164" s="360">
        <f>SUM(I165:I166)</f>
        <v/>
      </c>
      <c r="J164" s="360">
        <f>SUM(J165:J166)</f>
        <v/>
      </c>
      <c r="K164" s="360">
        <f>SUM(K165:K166)</f>
        <v/>
      </c>
      <c r="L164" s="360">
        <f>SUM(L165:L166)</f>
        <v/>
      </c>
      <c r="M164" s="360">
        <f>SUM(M165:M166)</f>
        <v/>
      </c>
      <c r="N164" s="360">
        <f>SUM(N165:N166)</f>
        <v/>
      </c>
      <c r="O164" s="360">
        <f>SUM(O165:O166)</f>
        <v/>
      </c>
    </row>
    <row r="165" ht="15" customHeight="1" s="282">
      <c r="A165" s="281" t="n"/>
      <c r="B165" s="356" t="inlineStr">
        <is>
          <t>매출채권</t>
        </is>
      </c>
      <c r="C165" s="281" t="n"/>
      <c r="D165" s="281" t="n"/>
      <c r="E165" s="281" t="n"/>
      <c r="F165" s="281" t="n"/>
      <c r="G165" s="385">
        <f>SUMIFS(Input!$G$198:$N$198,Input!$G$7:$N$7,Calculation!G$7)</f>
        <v/>
      </c>
      <c r="H165" s="385">
        <f>SUMIFS(Input!$G$198:$N$198,Input!$G$7:$N$7,Calculation!H$7)</f>
        <v/>
      </c>
      <c r="I165" s="385">
        <f>SUMIFS(Input!$G$198:$N$198,Input!$G$7:$N$7,Calculation!I$7)</f>
        <v/>
      </c>
      <c r="J165" s="385">
        <f>J162/J$11*$E157</f>
        <v/>
      </c>
      <c r="K165" s="385">
        <f>K162/K$11*$E157</f>
        <v/>
      </c>
      <c r="L165" s="385">
        <f>L162/L$11*$E157</f>
        <v/>
      </c>
      <c r="M165" s="385">
        <f>M162/M$11*$E157</f>
        <v/>
      </c>
      <c r="N165" s="385">
        <f>N162/N$11*$E157</f>
        <v/>
      </c>
      <c r="O165" s="385">
        <f>O162/365*$E157</f>
        <v/>
      </c>
    </row>
    <row r="166" ht="15" customHeight="1" s="282">
      <c r="A166" s="281" t="n"/>
      <c r="B166" s="356" t="inlineStr">
        <is>
          <t>재고자산</t>
        </is>
      </c>
      <c r="C166" s="281" t="n"/>
      <c r="D166" s="281" t="n"/>
      <c r="E166" s="281" t="n"/>
      <c r="F166" s="281" t="n"/>
      <c r="G166" s="385">
        <f>SUMIFS(Input!$G$199:$N$199,Input!$G$7:$N$7,Calculation!G$7)</f>
        <v/>
      </c>
      <c r="H166" s="385">
        <f>SUMIFS(Input!$G$199:$N$199,Input!$G$7:$N$7,Calculation!H$7)</f>
        <v/>
      </c>
      <c r="I166" s="385">
        <f>SUMIFS(Input!$G$199:$N$199,Input!$G$7:$N$7,Calculation!I$7)</f>
        <v/>
      </c>
      <c r="J166" s="385">
        <f>J163/J$11*$E158</f>
        <v/>
      </c>
      <c r="K166" s="385">
        <f>K163/K$11*$E158</f>
        <v/>
      </c>
      <c r="L166" s="385">
        <f>L163/L$11*$E158</f>
        <v/>
      </c>
      <c r="M166" s="385">
        <f>M163/M$11*$E158</f>
        <v/>
      </c>
      <c r="N166" s="385">
        <f>N163/N$11*$E158</f>
        <v/>
      </c>
      <c r="O166" s="385">
        <f>O163/365*$E158</f>
        <v/>
      </c>
    </row>
    <row r="167" ht="15" customHeight="1" s="282">
      <c r="A167" s="281" t="n"/>
      <c r="B167" s="335" t="inlineStr">
        <is>
          <t>Current liabilities</t>
        </is>
      </c>
      <c r="C167" s="281" t="n"/>
      <c r="D167" s="281" t="n"/>
      <c r="E167" s="281" t="n"/>
      <c r="F167" s="281" t="n"/>
      <c r="G167" s="360">
        <f>SUM(G168)</f>
        <v/>
      </c>
      <c r="H167" s="360">
        <f>SUM(H168)</f>
        <v/>
      </c>
      <c r="I167" s="360">
        <f>SUM(I168)</f>
        <v/>
      </c>
      <c r="J167" s="360">
        <f>SUM(J168)</f>
        <v/>
      </c>
      <c r="K167" s="360">
        <f>SUM(K168)</f>
        <v/>
      </c>
      <c r="L167" s="360">
        <f>SUM(L168)</f>
        <v/>
      </c>
      <c r="M167" s="360">
        <f>SUM(M168)</f>
        <v/>
      </c>
      <c r="N167" s="360">
        <f>SUM(N168)</f>
        <v/>
      </c>
      <c r="O167" s="360">
        <f>SUM(O168)</f>
        <v/>
      </c>
    </row>
    <row r="168" ht="15" customHeight="1" s="282">
      <c r="A168" s="281" t="n"/>
      <c r="B168" s="356" t="inlineStr">
        <is>
          <t>매입채무</t>
        </is>
      </c>
      <c r="C168" s="281" t="n"/>
      <c r="D168" s="281" t="n"/>
      <c r="E168" s="281" t="n"/>
      <c r="F168" s="281" t="n"/>
      <c r="G168" s="385">
        <f>SUMIFS(Input!$G$201:$N$201,Input!$G$7:$N$7,Calculation!G$7)</f>
        <v/>
      </c>
      <c r="H168" s="385">
        <f>SUMIFS(Input!$G$201:$N$201,Input!$G$7:$N$7,Calculation!H$7)</f>
        <v/>
      </c>
      <c r="I168" s="385">
        <f>SUMIFS(Input!$G$201:$N$201,Input!$G$7:$N$7,Calculation!I$7)</f>
        <v/>
      </c>
      <c r="J168" s="385">
        <f>J163/J$11*$E159</f>
        <v/>
      </c>
      <c r="K168" s="385">
        <f>K163/K$11*$E159</f>
        <v/>
      </c>
      <c r="L168" s="385">
        <f>L163/L$11*$E159</f>
        <v/>
      </c>
      <c r="M168" s="385">
        <f>M163/M$11*$E159</f>
        <v/>
      </c>
      <c r="N168" s="385">
        <f>N163/N$11*$E159</f>
        <v/>
      </c>
      <c r="O168" s="385">
        <f>O163/365*$E159</f>
        <v/>
      </c>
    </row>
    <row r="169" ht="15" customHeight="1" s="282">
      <c r="A169" s="281" t="n"/>
      <c r="B169" s="335" t="inlineStr">
        <is>
          <t>Net working capital</t>
        </is>
      </c>
      <c r="C169" s="281" t="n"/>
      <c r="D169" s="281" t="n"/>
      <c r="E169" s="281" t="n"/>
      <c r="F169" s="281" t="n"/>
      <c r="G169" s="360">
        <f>G164-G167</f>
        <v/>
      </c>
      <c r="H169" s="360">
        <f>H164-H167</f>
        <v/>
      </c>
      <c r="I169" s="360">
        <f>I164-I167</f>
        <v/>
      </c>
      <c r="J169" s="360">
        <f>J164-J167</f>
        <v/>
      </c>
      <c r="K169" s="360">
        <f>K164-K167</f>
        <v/>
      </c>
      <c r="L169" s="360">
        <f>L164-L167</f>
        <v/>
      </c>
      <c r="M169" s="360">
        <f>M164-M167</f>
        <v/>
      </c>
      <c r="N169" s="360">
        <f>N164-N167</f>
        <v/>
      </c>
      <c r="O169" s="360">
        <f>O164-O167</f>
        <v/>
      </c>
    </row>
    <row r="170" ht="12.75" customHeight="1" s="282">
      <c r="A170" s="281" t="n"/>
      <c r="B170" s="396" t="inlineStr">
        <is>
          <t xml:space="preserve">△Net working capital
</t>
        </is>
      </c>
      <c r="C170" s="354" t="n"/>
      <c r="D170" s="354" t="n"/>
      <c r="E170" s="354" t="n"/>
      <c r="F170" s="354" t="n"/>
      <c r="G170" s="354" t="n"/>
      <c r="H170" s="398">
        <f>-H169-G169</f>
        <v/>
      </c>
      <c r="I170" s="398">
        <f>-I169-H169</f>
        <v/>
      </c>
      <c r="J170" s="398">
        <f>-J169-I169</f>
        <v/>
      </c>
      <c r="K170" s="398">
        <f>-K169-J169</f>
        <v/>
      </c>
      <c r="L170" s="398">
        <f>-L169-K169</f>
        <v/>
      </c>
      <c r="M170" s="398">
        <f>-M169-L169</f>
        <v/>
      </c>
      <c r="N170" s="398">
        <f>-N169-M169</f>
        <v/>
      </c>
      <c r="O170" s="398">
        <f>-O169-N169</f>
        <v/>
      </c>
    </row>
    <row r="171" ht="12.75" customHeight="1" s="282">
      <c r="A171" s="281" t="n"/>
      <c r="B171" s="281" t="n"/>
      <c r="C171" s="281" t="n"/>
      <c r="D171" s="281" t="n"/>
      <c r="E171" s="281" t="n"/>
      <c r="F171" s="281" t="n"/>
      <c r="G171" s="281" t="n"/>
      <c r="H171" s="281" t="n"/>
      <c r="I171" s="281" t="n"/>
      <c r="J171" s="281" t="n"/>
      <c r="K171" s="281" t="n"/>
      <c r="L171" s="281" t="n"/>
      <c r="M171" s="281" t="n"/>
      <c r="N171" s="281" t="n"/>
      <c r="O171" s="281" t="n"/>
    </row>
    <row r="172" ht="12.75" customHeight="1" s="282">
      <c r="A172" s="281" t="n"/>
      <c r="B172" s="325" t="inlineStr">
        <is>
          <t>OOI/OOE &amp; Borrowings</t>
        </is>
      </c>
      <c r="C172" s="333" t="n"/>
      <c r="D172" s="333" t="n"/>
      <c r="E172" s="333" t="n"/>
      <c r="F172" s="333" t="n"/>
      <c r="G172" s="333" t="n"/>
      <c r="H172" s="333" t="n"/>
      <c r="I172" s="333" t="n"/>
      <c r="J172" s="333" t="n"/>
      <c r="K172" s="333" t="n"/>
      <c r="L172" s="333" t="n"/>
      <c r="M172" s="333" t="n"/>
      <c r="N172" s="333" t="n"/>
      <c r="O172" s="333" t="n"/>
    </row>
    <row r="173" ht="12.75" customHeight="1" s="282">
      <c r="A173" s="281" t="n"/>
      <c r="B173" s="281" t="n"/>
      <c r="C173" s="281" t="n"/>
      <c r="D173" s="281" t="n"/>
      <c r="E173" s="281" t="n"/>
      <c r="F173" s="281" t="n"/>
      <c r="G173" s="281" t="n"/>
      <c r="H173" s="281" t="n"/>
      <c r="I173" s="281" t="n"/>
      <c r="J173" s="281" t="n"/>
      <c r="K173" s="281" t="n"/>
      <c r="L173" s="281" t="n"/>
      <c r="M173" s="281" t="n"/>
      <c r="N173" s="281" t="n"/>
      <c r="O173" s="281" t="n"/>
    </row>
    <row r="174" ht="15" customHeight="1" s="282">
      <c r="A174" s="281" t="n"/>
      <c r="B174" s="396" t="inlineStr">
        <is>
          <t xml:space="preserve">[영업외이익] </t>
        </is>
      </c>
      <c r="C174" s="354" t="n"/>
      <c r="D174" s="354" t="n"/>
      <c r="E174" s="354" t="n"/>
      <c r="F174" s="354" t="n"/>
      <c r="G174" s="354" t="n"/>
      <c r="H174" s="354" t="n"/>
      <c r="I174" s="354" t="n"/>
      <c r="J174" s="354" t="n"/>
      <c r="K174" s="354" t="n"/>
      <c r="L174" s="354" t="n"/>
      <c r="M174" s="354" t="n"/>
      <c r="N174" s="354" t="n"/>
      <c r="O174" s="281" t="n"/>
    </row>
    <row r="175" ht="15" customHeight="1" s="282">
      <c r="A175" s="281" t="n"/>
      <c r="B175" s="384" t="inlineStr">
        <is>
          <t>현금잔액</t>
        </is>
      </c>
      <c r="C175" s="281" t="n"/>
      <c r="D175" s="281" t="n"/>
      <c r="E175" s="281" t="n"/>
      <c r="F175" s="281" t="n"/>
      <c r="G175" s="281" t="n"/>
      <c r="H175" s="281" t="n"/>
      <c r="I175" s="385">
        <f>Input!I57</f>
        <v/>
      </c>
      <c r="J175" s="412">
        <f>DCF!J87</f>
        <v/>
      </c>
      <c r="K175" s="412">
        <f>DCF!K87</f>
        <v/>
      </c>
      <c r="L175" s="412">
        <f>DCF!L87</f>
        <v/>
      </c>
      <c r="M175" s="412">
        <f>DCF!M87</f>
        <v/>
      </c>
      <c r="N175" s="412">
        <f>DCF!N87</f>
        <v/>
      </c>
      <c r="O175" s="385" t="n"/>
    </row>
    <row r="176" ht="15" customHeight="1" s="282">
      <c r="A176" s="281" t="n"/>
      <c r="B176" s="384" t="inlineStr">
        <is>
          <t>이자율</t>
        </is>
      </c>
      <c r="C176" s="281" t="n"/>
      <c r="D176" s="281" t="n"/>
      <c r="E176" s="442">
        <f>Input!E213</f>
        <v/>
      </c>
      <c r="F176" s="347" t="inlineStr">
        <is>
          <t>%</t>
        </is>
      </c>
      <c r="G176" s="281" t="n"/>
      <c r="H176" s="281" t="n"/>
      <c r="I176" s="281" t="n"/>
      <c r="J176" s="443">
        <f>$E176</f>
        <v/>
      </c>
      <c r="K176" s="443">
        <f>J176</f>
        <v/>
      </c>
      <c r="L176" s="443">
        <f>K176</f>
        <v/>
      </c>
      <c r="M176" s="443">
        <f>L176</f>
        <v/>
      </c>
      <c r="N176" s="443">
        <f>M176</f>
        <v/>
      </c>
      <c r="O176" s="444" t="n"/>
    </row>
    <row r="177" ht="15" customHeight="1" s="282">
      <c r="A177" s="281" t="n"/>
      <c r="B177" s="384" t="inlineStr">
        <is>
          <t>이자손익</t>
        </is>
      </c>
      <c r="C177" s="281" t="n"/>
      <c r="D177" s="281" t="n"/>
      <c r="E177" s="281" t="n"/>
      <c r="F177" s="281" t="n"/>
      <c r="G177" s="281" t="n"/>
      <c r="H177" s="281" t="n"/>
      <c r="I177" s="281" t="n"/>
      <c r="J177" s="335">
        <f>I175*J176</f>
        <v/>
      </c>
      <c r="K177" s="385">
        <f>J175*K176</f>
        <v/>
      </c>
      <c r="L177" s="385">
        <f>K175*L176</f>
        <v/>
      </c>
      <c r="M177" s="385">
        <f>L175*M176</f>
        <v/>
      </c>
      <c r="N177" s="385">
        <f>M175*N176</f>
        <v/>
      </c>
      <c r="O177" s="385" t="n"/>
    </row>
    <row r="178" ht="15" customHeight="1" s="282">
      <c r="A178" s="281" t="n"/>
      <c r="B178" s="410" t="inlineStr">
        <is>
          <t>기타 영업외이익</t>
        </is>
      </c>
      <c r="C178" s="354" t="n"/>
      <c r="D178" s="354" t="n"/>
      <c r="E178" s="405">
        <f>Input!E214</f>
        <v/>
      </c>
      <c r="F178" s="397" t="inlineStr">
        <is>
          <t>KRW mn</t>
        </is>
      </c>
      <c r="G178" s="354" t="n"/>
      <c r="H178" s="354" t="n"/>
      <c r="I178" s="354" t="n"/>
      <c r="J178" s="398">
        <f>E178</f>
        <v/>
      </c>
      <c r="K178" s="398">
        <f>J178</f>
        <v/>
      </c>
      <c r="L178" s="398">
        <f>K178</f>
        <v/>
      </c>
      <c r="M178" s="398">
        <f>L178</f>
        <v/>
      </c>
      <c r="N178" s="398">
        <f>M178</f>
        <v/>
      </c>
      <c r="O178" s="281" t="n"/>
    </row>
    <row r="179" ht="12.75" customHeight="1" s="282">
      <c r="A179" s="281" t="n"/>
      <c r="B179" s="281" t="n"/>
      <c r="C179" s="281" t="n"/>
      <c r="D179" s="281" t="n"/>
      <c r="E179" s="281" t="n"/>
      <c r="F179" s="281" t="n"/>
      <c r="G179" s="281" t="n"/>
      <c r="H179" s="281" t="n"/>
      <c r="I179" s="281" t="n"/>
      <c r="J179" s="281" t="n"/>
      <c r="K179" s="281" t="n"/>
      <c r="L179" s="281" t="n"/>
      <c r="M179" s="281" t="n"/>
      <c r="N179" s="281" t="n"/>
      <c r="O179" s="281" t="n"/>
    </row>
    <row r="180" ht="15" customHeight="1" s="282">
      <c r="A180" s="281" t="n"/>
      <c r="B180" s="396" t="inlineStr">
        <is>
          <t xml:space="preserve">[영업외비용] </t>
        </is>
      </c>
      <c r="C180" s="354" t="n"/>
      <c r="D180" s="354" t="n"/>
      <c r="E180" s="354" t="n"/>
      <c r="F180" s="354" t="n"/>
      <c r="G180" s="354" t="n"/>
      <c r="H180" s="354" t="n"/>
      <c r="I180" s="354" t="n"/>
      <c r="J180" s="354" t="n"/>
      <c r="K180" s="354" t="n"/>
      <c r="L180" s="354" t="n"/>
      <c r="M180" s="354" t="n"/>
      <c r="N180" s="354" t="n"/>
      <c r="O180" s="281" t="n"/>
    </row>
    <row r="181" ht="15" customHeight="1" s="282">
      <c r="A181" s="281" t="n"/>
      <c r="B181" s="384" t="inlineStr">
        <is>
          <t>이자비용</t>
        </is>
      </c>
      <c r="C181" s="281" t="n"/>
      <c r="D181" s="281" t="n"/>
      <c r="E181" s="442">
        <f>Input!E217</f>
        <v/>
      </c>
      <c r="F181" s="347" t="inlineStr">
        <is>
          <t>%</t>
        </is>
      </c>
      <c r="G181" s="281" t="n"/>
      <c r="H181" s="281" t="n"/>
      <c r="I181" s="281" t="n"/>
      <c r="J181" s="412">
        <f>$E$181*AVERAGE(J185,J188)+$E$181*AVERAGE(J191,J194)+$E$181*AVERAGE(J197,J200)</f>
        <v/>
      </c>
      <c r="K181" s="445">
        <f>$E$181*AVERAGE(K185,K188)+$E$181*AVERAGE(K191,K194)+$E$181*AVERAGE(K197,K200)</f>
        <v/>
      </c>
      <c r="L181" s="445">
        <f>$E$181*AVERAGE(L185,L188)+$E$181*AVERAGE(L191,L194)+$E$181*AVERAGE(L197,L200)</f>
        <v/>
      </c>
      <c r="M181" s="445">
        <f>$E$181*AVERAGE(M185,M188)+$E$181*AVERAGE(M191,M194)+$E$181*AVERAGE(M197,M200)</f>
        <v/>
      </c>
      <c r="N181" s="445">
        <f>$E$181*AVERAGE(N185,N188)+$E$181*AVERAGE(N191,N194)+$E$181*AVERAGE(N197,N200)</f>
        <v/>
      </c>
      <c r="O181" s="281" t="n"/>
    </row>
    <row r="182" ht="15" customHeight="1" s="282">
      <c r="A182" s="281" t="n"/>
      <c r="B182" s="410" t="inlineStr">
        <is>
          <t>기타 영업외 비용</t>
        </is>
      </c>
      <c r="C182" s="354" t="n"/>
      <c r="D182" s="354" t="n"/>
      <c r="E182" s="405">
        <f>Input!E218</f>
        <v/>
      </c>
      <c r="F182" s="397" t="inlineStr">
        <is>
          <t>KRW mn</t>
        </is>
      </c>
      <c r="G182" s="354" t="n"/>
      <c r="H182" s="354" t="n"/>
      <c r="I182" s="354" t="n"/>
      <c r="J182" s="412">
        <f>E182</f>
        <v/>
      </c>
      <c r="K182" s="412">
        <f>J182</f>
        <v/>
      </c>
      <c r="L182" s="412">
        <f>K182</f>
        <v/>
      </c>
      <c r="M182" s="412">
        <f>L182</f>
        <v/>
      </c>
      <c r="N182" s="412">
        <f>M182</f>
        <v/>
      </c>
      <c r="O182" s="281" t="n"/>
    </row>
    <row r="183" ht="12.75" customHeight="1" s="282">
      <c r="A183" s="281" t="n"/>
      <c r="B183" s="281" t="n"/>
      <c r="C183" s="281" t="n"/>
      <c r="D183" s="281" t="n"/>
      <c r="E183" s="281" t="n"/>
      <c r="F183" s="281" t="n"/>
      <c r="G183" s="281" t="n"/>
      <c r="H183" s="281" t="n"/>
      <c r="I183" s="281" t="n"/>
      <c r="J183" s="281" t="n"/>
      <c r="K183" s="281" t="n"/>
      <c r="L183" s="281" t="n"/>
      <c r="M183" s="281" t="n"/>
      <c r="N183" s="281" t="n"/>
      <c r="O183" s="281" t="n"/>
    </row>
    <row r="184" ht="15" customHeight="1" s="282">
      <c r="A184" s="281" t="n"/>
      <c r="B184" s="413" t="inlineStr">
        <is>
          <t>[차입금스케줄 -단기차입금]</t>
        </is>
      </c>
      <c r="C184" s="354" t="n"/>
      <c r="D184" s="354" t="n"/>
      <c r="E184" s="354" t="n"/>
      <c r="F184" s="354" t="n"/>
      <c r="G184" s="354" t="n"/>
      <c r="H184" s="354" t="n"/>
      <c r="I184" s="354" t="n"/>
      <c r="J184" s="354" t="n"/>
      <c r="K184" s="354" t="n"/>
      <c r="L184" s="354" t="n"/>
      <c r="M184" s="354" t="n"/>
      <c r="N184" s="354" t="n"/>
      <c r="O184" s="281" t="n"/>
    </row>
    <row r="185" ht="15" customHeight="1" s="282">
      <c r="A185" s="281" t="n"/>
      <c r="B185" s="384" t="inlineStr">
        <is>
          <t>기초</t>
        </is>
      </c>
      <c r="C185" s="281" t="n"/>
      <c r="D185" s="281" t="n"/>
      <c r="E185" s="281" t="n"/>
      <c r="F185" s="281" t="n"/>
      <c r="G185" s="385">
        <f>SUMIFS(Input!$G$221:$N$221,Input!$G$7:$N$7,Calculation!G$7)</f>
        <v/>
      </c>
      <c r="H185" s="385">
        <f>SUMIFS(Input!$G$221:$N$221,Input!$G$7:$N$7,Calculation!H$7)</f>
        <v/>
      </c>
      <c r="I185" s="385">
        <f>SUMIFS(Input!$G$221:$N$221,Input!$G$7:$N$7,Calculation!I$7)</f>
        <v/>
      </c>
      <c r="J185" s="385">
        <f>SUMIFS(Input!$G$221:$N$221,Input!$G$7:$N$7,Calculation!J$7)</f>
        <v/>
      </c>
      <c r="K185" s="385">
        <f>SUMIFS(Input!$G$221:$N$221,Input!$G$7:$N$7,Calculation!K$7)</f>
        <v/>
      </c>
      <c r="L185" s="385">
        <f>SUMIFS(Input!$G$221:$N$221,Input!$G$7:$N$7,Calculation!L$7)</f>
        <v/>
      </c>
      <c r="M185" s="385">
        <f>SUMIFS(Input!$G$221:$N$221,Input!$G$7:$N$7,Calculation!M$7)</f>
        <v/>
      </c>
      <c r="N185" s="385">
        <f>SUMIFS(Input!$G$221:$N$221,Input!$G$7:$N$7,Calculation!N$7)</f>
        <v/>
      </c>
      <c r="O185" s="385" t="n"/>
    </row>
    <row r="186" ht="15" customHeight="1" s="282">
      <c r="A186" s="281" t="n"/>
      <c r="B186" s="414" t="inlineStr">
        <is>
          <t>(+)차입</t>
        </is>
      </c>
      <c r="C186" s="281" t="n"/>
      <c r="D186" s="281" t="n"/>
      <c r="E186" s="281" t="n"/>
      <c r="F186" s="281" t="n"/>
      <c r="G186" s="385">
        <f>SUMIFS(Input!$G$222:$N$222,Input!$G$7:$N$7,Calculation!G$7)</f>
        <v/>
      </c>
      <c r="H186" s="385">
        <f>SUMIFS(Input!$G$222:$N$222,Input!$G$7:$N$7,Calculation!H$7)</f>
        <v/>
      </c>
      <c r="I186" s="385">
        <f>SUMIFS(Input!$G$222:$N$222,Input!$G$7:$N$7,Calculation!I$7)</f>
        <v/>
      </c>
      <c r="J186" s="385">
        <f>SUMIFS(Input!$G$222:$N$222,Input!$G$7:$N$7,Calculation!J$7)</f>
        <v/>
      </c>
      <c r="K186" s="385">
        <f>SUMIFS(Input!$G$222:$N$222,Input!$G$7:$N$7,Calculation!K$7)</f>
        <v/>
      </c>
      <c r="L186" s="385">
        <f>SUMIFS(Input!$G$222:$N$222,Input!$G$7:$N$7,Calculation!L$7)</f>
        <v/>
      </c>
      <c r="M186" s="385">
        <f>SUMIFS(Input!$G$222:$N$222,Input!$G$7:$N$7,Calculation!M$7)</f>
        <v/>
      </c>
      <c r="N186" s="385">
        <f>SUMIFS(Input!$G$222:$N$222,Input!$G$7:$N$7,Calculation!N$7)</f>
        <v/>
      </c>
      <c r="O186" s="385" t="n"/>
    </row>
    <row r="187" ht="15" customHeight="1" s="282">
      <c r="A187" s="281" t="n"/>
      <c r="B187" s="414" t="inlineStr">
        <is>
          <t>(-)상환</t>
        </is>
      </c>
      <c r="C187" s="281" t="n"/>
      <c r="D187" s="281" t="n"/>
      <c r="E187" s="281" t="n"/>
      <c r="F187" s="281" t="n"/>
      <c r="G187" s="385">
        <f>SUMIFS(Input!$G$223:$N$223,Input!$G$7:$N$7,Calculation!G$7)</f>
        <v/>
      </c>
      <c r="H187" s="385">
        <f>SUMIFS(Input!$G$223:$N$223,Input!$G$7:$N$7,Calculation!H$7)</f>
        <v/>
      </c>
      <c r="I187" s="385">
        <f>SUMIFS(Input!$G$223:$N$223,Input!$G$7:$N$7,Calculation!I$7)</f>
        <v/>
      </c>
      <c r="J187" s="385">
        <f>SUMIFS(Input!$G$223:$N$223,Input!$G$7:$N$7,Calculation!J$7)</f>
        <v/>
      </c>
      <c r="K187" s="385">
        <f>SUMIFS(Input!$G$223:$N$223,Input!$G$7:$N$7,Calculation!K$7)</f>
        <v/>
      </c>
      <c r="L187" s="385">
        <f>SUMIFS(Input!$G$223:$N$223,Input!$G$7:$N$7,Calculation!L$7)</f>
        <v/>
      </c>
      <c r="M187" s="385">
        <f>SUMIFS(Input!$G$223:$N$223,Input!$G$7:$N$7,Calculation!M$7)</f>
        <v/>
      </c>
      <c r="N187" s="385">
        <f>SUMIFS(Input!$G$223:$N$223,Input!$G$7:$N$7,Calculation!N$7)</f>
        <v/>
      </c>
      <c r="O187" s="385" t="n"/>
    </row>
    <row r="188" ht="15" customHeight="1" s="282">
      <c r="A188" s="281" t="n"/>
      <c r="B188" s="410" t="inlineStr">
        <is>
          <t>기말</t>
        </is>
      </c>
      <c r="C188" s="354" t="n"/>
      <c r="D188" s="354" t="n"/>
      <c r="E188" s="354" t="n"/>
      <c r="F188" s="354" t="n"/>
      <c r="G188" s="398">
        <f>SUMIFS(Input!$G$224:$N$224,Input!$G$7:$N$7,Calculation!G$7)</f>
        <v/>
      </c>
      <c r="H188" s="398">
        <f>SUMIFS(Input!$G$224:$N$224,Input!$G$7:$N$7,Calculation!H$7)</f>
        <v/>
      </c>
      <c r="I188" s="398">
        <f>SUMIFS(Input!$G$224:$N$224,Input!$G$7:$N$7,Calculation!I$7)</f>
        <v/>
      </c>
      <c r="J188" s="398">
        <f>SUMIFS(Input!$G$224:$N$224,Input!$G$7:$N$7,Calculation!J$7)</f>
        <v/>
      </c>
      <c r="K188" s="398">
        <f>SUMIFS(Input!$G$224:$N$224,Input!$G$7:$N$7,Calculation!K$7)</f>
        <v/>
      </c>
      <c r="L188" s="398">
        <f>SUMIFS(Input!$G$224:$N$224,Input!$G$7:$N$7,Calculation!L$7)</f>
        <v/>
      </c>
      <c r="M188" s="398">
        <f>SUMIFS(Input!$G$224:$N$224,Input!$G$7:$N$7,Calculation!M$7)</f>
        <v/>
      </c>
      <c r="N188" s="398">
        <f>SUMIFS(Input!$G$224:$N$224,Input!$G$7:$N$7,Calculation!N$7)</f>
        <v/>
      </c>
      <c r="O188" s="385" t="n"/>
    </row>
    <row r="189" ht="12.75" customHeight="1" s="282">
      <c r="A189" s="281" t="n"/>
      <c r="B189" s="281" t="n"/>
      <c r="C189" s="281" t="n"/>
      <c r="D189" s="281" t="n"/>
      <c r="E189" s="281" t="n"/>
      <c r="F189" s="281" t="n"/>
      <c r="G189" s="281" t="n"/>
      <c r="H189" s="281" t="n"/>
      <c r="I189" s="281" t="n"/>
      <c r="J189" s="281" t="n"/>
      <c r="K189" s="281" t="n"/>
      <c r="L189" s="281" t="n"/>
      <c r="M189" s="281" t="n"/>
      <c r="N189" s="281" t="n"/>
      <c r="O189" s="281" t="n"/>
    </row>
    <row r="190" ht="15" customHeight="1" s="282">
      <c r="A190" s="281" t="n"/>
      <c r="B190" s="413" t="inlineStr">
        <is>
          <t>[차입금스케줄 -장기차입금]</t>
        </is>
      </c>
      <c r="C190" s="354" t="n"/>
      <c r="D190" s="354" t="n"/>
      <c r="E190" s="354" t="n"/>
      <c r="F190" s="354" t="n"/>
      <c r="G190" s="354" t="n"/>
      <c r="H190" s="354" t="n"/>
      <c r="I190" s="354" t="n"/>
      <c r="J190" s="354" t="n"/>
      <c r="K190" s="354" t="n"/>
      <c r="L190" s="354" t="n"/>
      <c r="M190" s="354" t="n"/>
      <c r="N190" s="354" t="n"/>
      <c r="O190" s="281" t="n"/>
    </row>
    <row r="191" ht="15" customHeight="1" s="282">
      <c r="A191" s="281" t="n"/>
      <c r="B191" s="384" t="inlineStr">
        <is>
          <t>기초</t>
        </is>
      </c>
      <c r="C191" s="281" t="n"/>
      <c r="D191" s="281" t="n"/>
      <c r="E191" s="281" t="n"/>
      <c r="F191" s="281" t="n"/>
      <c r="G191" s="385">
        <f>SUMIFS(Input!$G$227:$N$227,Input!$G$7:$N$7,Calculation!G$7)</f>
        <v/>
      </c>
      <c r="H191" s="385">
        <f>SUMIFS(Input!$G$227:$N$227,Input!$G$7:$N$7,Calculation!H$7)</f>
        <v/>
      </c>
      <c r="I191" s="385">
        <f>SUMIFS(Input!$G$227:$N$227,Input!$G$7:$N$7,Calculation!I$7)</f>
        <v/>
      </c>
      <c r="J191" s="385">
        <f>SUMIFS(Input!$G$227:$N$227,Input!$G$7:$N$7,Calculation!J$7)</f>
        <v/>
      </c>
      <c r="K191" s="385">
        <f>SUMIFS(Input!$G$227:$N$227,Input!$G$7:$N$7,Calculation!K$7)</f>
        <v/>
      </c>
      <c r="L191" s="385">
        <f>SUMIFS(Input!$G$227:$N$227,Input!$G$7:$N$7,Calculation!L$7)</f>
        <v/>
      </c>
      <c r="M191" s="385">
        <f>SUMIFS(Input!$G$227:$N$227,Input!$G$7:$N$7,Calculation!M$7)</f>
        <v/>
      </c>
      <c r="N191" s="385">
        <f>SUMIFS(Input!$G$227:$N$227,Input!$G$7:$N$7,Calculation!N$7)</f>
        <v/>
      </c>
      <c r="O191" s="385" t="n"/>
    </row>
    <row r="192" ht="15" customHeight="1" s="282">
      <c r="A192" s="281" t="n"/>
      <c r="B192" s="414" t="inlineStr">
        <is>
          <t>(+)차입</t>
        </is>
      </c>
      <c r="C192" s="281" t="n"/>
      <c r="D192" s="281" t="n"/>
      <c r="E192" s="281" t="n"/>
      <c r="F192" s="281" t="n"/>
      <c r="G192" s="385">
        <f>SUMIFS(Input!$G$228:$N$228,Input!$G$7:$N$7,Calculation!G$7)</f>
        <v/>
      </c>
      <c r="H192" s="385">
        <f>SUMIFS(Input!$G$228:$N$228,Input!$G$7:$N$7,Calculation!H$7)</f>
        <v/>
      </c>
      <c r="I192" s="385">
        <f>SUMIFS(Input!$G$228:$N$228,Input!$G$7:$N$7,Calculation!I$7)</f>
        <v/>
      </c>
      <c r="J192" s="385">
        <f>SUMIFS(Input!$G$228:$N$228,Input!$G$7:$N$7,Calculation!J$7)</f>
        <v/>
      </c>
      <c r="K192" s="385">
        <f>SUMIFS(Input!$G$228:$N$228,Input!$G$7:$N$7,Calculation!K$7)</f>
        <v/>
      </c>
      <c r="L192" s="385">
        <f>SUMIFS(Input!$G$228:$N$228,Input!$G$7:$N$7,Calculation!L$7)</f>
        <v/>
      </c>
      <c r="M192" s="385">
        <f>SUMIFS(Input!$G$228:$N$228,Input!$G$7:$N$7,Calculation!M$7)</f>
        <v/>
      </c>
      <c r="N192" s="385">
        <f>SUMIFS(Input!$G$228:$N$228,Input!$G$7:$N$7,Calculation!N$7)</f>
        <v/>
      </c>
      <c r="O192" s="385" t="n"/>
    </row>
    <row r="193" ht="15" customHeight="1" s="282">
      <c r="A193" s="281" t="n"/>
      <c r="B193" s="414" t="inlineStr">
        <is>
          <t>(-)상환</t>
        </is>
      </c>
      <c r="C193" s="281" t="n"/>
      <c r="D193" s="281" t="n"/>
      <c r="E193" s="281" t="n"/>
      <c r="F193" s="281" t="n"/>
      <c r="G193" s="385">
        <f>SUMIFS(Input!$G$229:$N$229,Input!$G$7:$N$7,Calculation!G$7)</f>
        <v/>
      </c>
      <c r="H193" s="385">
        <f>SUMIFS(Input!$G$229:$N$229,Input!$G$7:$N$7,Calculation!H$7)</f>
        <v/>
      </c>
      <c r="I193" s="385">
        <f>SUMIFS(Input!$G$229:$N$229,Input!$G$7:$N$7,Calculation!I$7)</f>
        <v/>
      </c>
      <c r="J193" s="385">
        <f>SUMIFS(Input!$G$229:$N$229,Input!$G$7:$N$7,Calculation!J$7)</f>
        <v/>
      </c>
      <c r="K193" s="385">
        <f>SUMIFS(Input!$G$229:$N$229,Input!$G$7:$N$7,Calculation!K$7)</f>
        <v/>
      </c>
      <c r="L193" s="385">
        <f>SUMIFS(Input!$G$229:$N$229,Input!$G$7:$N$7,Calculation!L$7)</f>
        <v/>
      </c>
      <c r="M193" s="385">
        <f>SUMIFS(Input!$G$229:$N$229,Input!$G$7:$N$7,Calculation!M$7)</f>
        <v/>
      </c>
      <c r="N193" s="385">
        <f>SUMIFS(Input!$G$229:$N$229,Input!$G$7:$N$7,Calculation!N$7)</f>
        <v/>
      </c>
      <c r="O193" s="385" t="n"/>
    </row>
    <row r="194" ht="15" customHeight="1" s="282">
      <c r="A194" s="281" t="n"/>
      <c r="B194" s="410" t="inlineStr">
        <is>
          <t>기말</t>
        </is>
      </c>
      <c r="C194" s="354" t="n"/>
      <c r="D194" s="354" t="n"/>
      <c r="E194" s="354" t="n"/>
      <c r="F194" s="354" t="n"/>
      <c r="G194" s="398">
        <f>SUMIFS(Input!$G$230:$N$230,Input!$G$7:$N$7,Calculation!G$7)</f>
        <v/>
      </c>
      <c r="H194" s="398">
        <f>SUMIFS(Input!$G$230:$N$230,Input!$G$7:$N$7,Calculation!H$7)</f>
        <v/>
      </c>
      <c r="I194" s="398">
        <f>SUMIFS(Input!$G$230:$N$230,Input!$G$7:$N$7,Calculation!I$7)</f>
        <v/>
      </c>
      <c r="J194" s="398">
        <f>SUMIFS(Input!$G$230:$N$230,Input!$G$7:$N$7,Calculation!J$7)</f>
        <v/>
      </c>
      <c r="K194" s="398">
        <f>SUMIFS(Input!$G$230:$N$230,Input!$G$7:$N$7,Calculation!K$7)</f>
        <v/>
      </c>
      <c r="L194" s="398">
        <f>SUMIFS(Input!$G$230:$N$230,Input!$G$7:$N$7,Calculation!L$7)</f>
        <v/>
      </c>
      <c r="M194" s="398">
        <f>SUMIFS(Input!$G$230:$N$230,Input!$G$7:$N$7,Calculation!M$7)</f>
        <v/>
      </c>
      <c r="N194" s="398">
        <f>SUMIFS(Input!$G$230:$N$230,Input!$G$7:$N$7,Calculation!N$7)</f>
        <v/>
      </c>
      <c r="O194" s="385" t="n"/>
    </row>
    <row r="195" ht="12.75" customHeight="1" s="282">
      <c r="A195" s="281" t="n"/>
      <c r="B195" s="281" t="n"/>
      <c r="C195" s="281" t="n"/>
      <c r="D195" s="281" t="n"/>
      <c r="E195" s="281" t="n"/>
      <c r="F195" s="281" t="n"/>
      <c r="G195" s="281" t="n"/>
      <c r="H195" s="281" t="n"/>
      <c r="I195" s="281" t="n"/>
      <c r="J195" s="281" t="n"/>
      <c r="K195" s="281" t="n"/>
      <c r="L195" s="281" t="n"/>
      <c r="M195" s="281" t="n"/>
      <c r="N195" s="281" t="n"/>
      <c r="O195" s="281" t="n"/>
    </row>
    <row r="196" ht="15" customHeight="1" s="282">
      <c r="A196" s="281" t="n"/>
      <c r="B196" s="413" t="inlineStr">
        <is>
          <t>[차입금스케줄 -사채]</t>
        </is>
      </c>
      <c r="C196" s="354" t="n"/>
      <c r="D196" s="354" t="n"/>
      <c r="E196" s="354" t="n"/>
      <c r="F196" s="354" t="n"/>
      <c r="G196" s="354" t="n"/>
      <c r="H196" s="354" t="n"/>
      <c r="I196" s="354" t="n"/>
      <c r="J196" s="354" t="n"/>
      <c r="K196" s="354" t="n"/>
      <c r="L196" s="354" t="n"/>
      <c r="M196" s="354" t="n"/>
      <c r="N196" s="354" t="n"/>
      <c r="O196" s="281" t="n"/>
    </row>
    <row r="197" ht="15" customHeight="1" s="282">
      <c r="A197" s="281" t="n"/>
      <c r="B197" s="384" t="inlineStr">
        <is>
          <t>기초</t>
        </is>
      </c>
      <c r="C197" s="281" t="n"/>
      <c r="D197" s="281" t="n"/>
      <c r="E197" s="281" t="n"/>
      <c r="F197" s="281" t="n"/>
      <c r="G197" s="385">
        <f>SUMIFS(Input!$G$232:$N$232,Input!$G$7:$N$7,Calculation!G$7)</f>
        <v/>
      </c>
      <c r="H197" s="385">
        <f>SUMIFS(Input!$G$232:$N$232,Input!$G$7:$N$7,Calculation!H$7)</f>
        <v/>
      </c>
      <c r="I197" s="385">
        <f>SUMIFS(Input!$G$232:$N$232,Input!$G$7:$N$7,Calculation!I$7)</f>
        <v/>
      </c>
      <c r="J197" s="385">
        <f>SUMIFS(Input!$G$232:$N$232,Input!$G$7:$N$7,Calculation!J$7)</f>
        <v/>
      </c>
      <c r="K197" s="385">
        <f>SUMIFS(Input!$G$232:$N$232,Input!$G$7:$N$7,Calculation!K$7)</f>
        <v/>
      </c>
      <c r="L197" s="385">
        <f>SUMIFS(Input!$G$232:$N$232,Input!$G$7:$N$7,Calculation!L$7)</f>
        <v/>
      </c>
      <c r="M197" s="385">
        <f>SUMIFS(Input!$G$232:$N$232,Input!$G$7:$N$7,Calculation!M$7)</f>
        <v/>
      </c>
      <c r="N197" s="385">
        <f>SUMIFS(Input!$G$232:$N$232,Input!$G$7:$N$7,Calculation!N$7)</f>
        <v/>
      </c>
      <c r="O197" s="385" t="n"/>
    </row>
    <row r="198" ht="15" customHeight="1" s="282">
      <c r="A198" s="281" t="n"/>
      <c r="B198" s="414" t="inlineStr">
        <is>
          <t>(+)차입</t>
        </is>
      </c>
      <c r="C198" s="281" t="n"/>
      <c r="D198" s="281" t="n"/>
      <c r="E198" s="281" t="n"/>
      <c r="F198" s="281" t="n"/>
      <c r="G198" s="385">
        <f>SUMIFS(Input!$G$233:$N$233,Input!$G$7:$N$7,Calculation!G$7)</f>
        <v/>
      </c>
      <c r="H198" s="385">
        <f>SUMIFS(Input!$G$233:$N$233,Input!$G$7:$N$7,Calculation!H$7)</f>
        <v/>
      </c>
      <c r="I198" s="385">
        <f>SUMIFS(Input!$G$233:$N$233,Input!$G$7:$N$7,Calculation!I$7)</f>
        <v/>
      </c>
      <c r="J198" s="385">
        <f>SUMIFS(Input!$G$233:$N$233,Input!$G$7:$N$7,Calculation!J$7)</f>
        <v/>
      </c>
      <c r="K198" s="385">
        <f>SUMIFS(Input!$G$233:$N$233,Input!$G$7:$N$7,Calculation!K$7)</f>
        <v/>
      </c>
      <c r="L198" s="385">
        <f>SUMIFS(Input!$G$233:$N$233,Input!$G$7:$N$7,Calculation!L$7)</f>
        <v/>
      </c>
      <c r="M198" s="385">
        <f>SUMIFS(Input!$G$233:$N$233,Input!$G$7:$N$7,Calculation!M$7)</f>
        <v/>
      </c>
      <c r="N198" s="385">
        <f>SUMIFS(Input!$G$233:$N$233,Input!$G$7:$N$7,Calculation!N$7)</f>
        <v/>
      </c>
      <c r="O198" s="385" t="n"/>
    </row>
    <row r="199" ht="15" customHeight="1" s="282">
      <c r="A199" s="281" t="n"/>
      <c r="B199" s="414" t="inlineStr">
        <is>
          <t>(-)상환</t>
        </is>
      </c>
      <c r="C199" s="281" t="n"/>
      <c r="D199" s="281" t="n"/>
      <c r="E199" s="281" t="n"/>
      <c r="F199" s="281" t="n"/>
      <c r="G199" s="385">
        <f>SUMIFS(Input!$G$234:$N$234,Input!$G$7:$N$7,Calculation!G$7)</f>
        <v/>
      </c>
      <c r="H199" s="385">
        <f>SUMIFS(Input!$G$234:$N$234,Input!$G$7:$N$7,Calculation!H$7)</f>
        <v/>
      </c>
      <c r="I199" s="385">
        <f>SUMIFS(Input!$G$234:$N$234,Input!$G$7:$N$7,Calculation!I$7)</f>
        <v/>
      </c>
      <c r="J199" s="385">
        <f>SUMIFS(Input!$G$234:$N$234,Input!$G$7:$N$7,Calculation!J$7)</f>
        <v/>
      </c>
      <c r="K199" s="385">
        <f>SUMIFS(Input!$G$234:$N$234,Input!$G$7:$N$7,Calculation!K$7)</f>
        <v/>
      </c>
      <c r="L199" s="385">
        <f>SUMIFS(Input!$G$234:$N$234,Input!$G$7:$N$7,Calculation!L$7)</f>
        <v/>
      </c>
      <c r="M199" s="385">
        <f>SUMIFS(Input!$G$234:$N$234,Input!$G$7:$N$7,Calculation!M$7)</f>
        <v/>
      </c>
      <c r="N199" s="385">
        <f>SUMIFS(Input!$G$234:$N$234,Input!$G$7:$N$7,Calculation!N$7)</f>
        <v/>
      </c>
      <c r="O199" s="385" t="n"/>
    </row>
    <row r="200" ht="15" customHeight="1" s="282">
      <c r="A200" s="281" t="n"/>
      <c r="B200" s="410" t="inlineStr">
        <is>
          <t>기말</t>
        </is>
      </c>
      <c r="C200" s="354" t="n"/>
      <c r="D200" s="354" t="n"/>
      <c r="E200" s="354" t="n"/>
      <c r="F200" s="354" t="n"/>
      <c r="G200" s="398">
        <f>SUMIFS(Input!$G$235:$N$235,Input!$G$7:$N$7,Calculation!G$7)</f>
        <v/>
      </c>
      <c r="H200" s="398">
        <f>SUMIFS(Input!$G$235:$N$235,Input!$G$7:$N$7,Calculation!H$7)</f>
        <v/>
      </c>
      <c r="I200" s="398">
        <f>SUMIFS(Input!$G$235:$N$235,Input!$G$7:$N$7,Calculation!I$7)</f>
        <v/>
      </c>
      <c r="J200" s="398">
        <f>SUMIFS(Input!$G$235:$N$235,Input!$G$7:$N$7,Calculation!J$7)</f>
        <v/>
      </c>
      <c r="K200" s="398">
        <f>SUMIFS(Input!$G$235:$N$235,Input!$G$7:$N$7,Calculation!K$7)</f>
        <v/>
      </c>
      <c r="L200" s="398">
        <f>SUMIFS(Input!$G$235:$N$235,Input!$G$7:$N$7,Calculation!L$7)</f>
        <v/>
      </c>
      <c r="M200" s="398">
        <f>SUMIFS(Input!$G$235:$N$235,Input!$G$7:$N$7,Calculation!M$7)</f>
        <v/>
      </c>
      <c r="N200" s="398">
        <f>SUMIFS(Input!$G$235:$N$235,Input!$G$7:$N$7,Calculation!N$7)</f>
        <v/>
      </c>
      <c r="O200" s="385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129"/>
  <sheetViews>
    <sheetView showFormulas="0" showGridLines="0" showRowColHeaders="1" showZeros="1" rightToLeft="0" tabSelected="0" showOutlineSymbols="1" defaultGridColor="1" view="normal" topLeftCell="A1" colorId="64" zoomScale="70" zoomScaleNormal="70" zoomScalePageLayoutView="100" workbookViewId="0">
      <selection pane="topLeft" activeCell="A1" activeCellId="0" sqref="A1"/>
    </sheetView>
  </sheetViews>
  <sheetFormatPr baseColWidth="8" defaultColWidth="8.56640625" defaultRowHeight="17.25" customHeight="1" zeroHeight="1" outlineLevelRow="0"/>
  <cols>
    <col width="1.68" customWidth="1" style="323" min="1" max="1"/>
    <col width="28.69" customWidth="1" style="323" min="2" max="2"/>
    <col width="1.68" customWidth="1" style="323" min="3" max="4"/>
    <col width="10.38" customWidth="1" style="323" min="5" max="5"/>
    <col width="8.69" customWidth="1" style="323" min="6" max="6"/>
    <col width="10" customWidth="1" style="323" min="7" max="9"/>
    <col width="12.5" customWidth="1" style="323" min="10" max="10"/>
    <col width="10" customWidth="1" style="323" min="11" max="15"/>
    <col width="1.68" customWidth="1" style="323" min="16" max="16"/>
  </cols>
  <sheetData>
    <row r="1" ht="24" customHeight="1" s="282">
      <c r="A1" s="281" t="n"/>
      <c r="B1" s="324">
        <f>Legend!D2</f>
        <v/>
      </c>
      <c r="C1" s="325" t="n"/>
      <c r="D1" s="325" t="n"/>
      <c r="E1" s="325" t="n"/>
      <c r="F1" s="325" t="n"/>
      <c r="G1" s="325" t="n"/>
      <c r="H1" s="325" t="n"/>
      <c r="I1" s="326" t="n"/>
      <c r="J1" s="326" t="n"/>
      <c r="K1" s="326" t="n"/>
      <c r="L1" s="326" t="n"/>
      <c r="M1" s="326" t="n"/>
      <c r="N1" s="327" t="n"/>
      <c r="O1" s="327" t="n"/>
    </row>
    <row r="2" ht="17.25" customHeight="1" s="282">
      <c r="A2" s="281" t="n"/>
      <c r="B2" s="328" t="inlineStr">
        <is>
          <t>DCF</t>
        </is>
      </c>
      <c r="C2" s="329" t="n"/>
      <c r="D2" s="329" t="n"/>
      <c r="E2" s="329" t="n"/>
      <c r="F2" s="329" t="n"/>
      <c r="G2" s="330" t="n"/>
      <c r="H2" s="331" t="n"/>
      <c r="I2" s="332" t="n"/>
      <c r="J2" s="332" t="n"/>
      <c r="K2" s="332" t="n"/>
      <c r="L2" s="332" t="n"/>
      <c r="M2" s="332" t="n"/>
      <c r="N2" s="332" t="n"/>
      <c r="O2" s="332" t="n"/>
    </row>
    <row r="3" ht="17.25" customHeight="1" s="282">
      <c r="A3" s="281" t="n"/>
      <c r="B3" s="281" t="n"/>
      <c r="C3" s="281" t="n"/>
      <c r="D3" s="281" t="n"/>
      <c r="E3" s="281" t="n"/>
      <c r="F3" s="281" t="n"/>
      <c r="G3" s="281" t="n"/>
      <c r="H3" s="281" t="n"/>
      <c r="I3" s="281" t="n"/>
      <c r="J3" s="281" t="n"/>
      <c r="K3" s="281" t="n"/>
      <c r="L3" s="281" t="n"/>
      <c r="M3" s="281" t="n"/>
      <c r="N3" s="281" t="n"/>
      <c r="O3" s="281" t="n"/>
    </row>
    <row r="4" ht="17.25" customHeight="1" s="282">
      <c r="A4" s="281" t="n"/>
      <c r="B4" s="325" t="inlineStr">
        <is>
          <t>Time Period</t>
        </is>
      </c>
      <c r="C4" s="333" t="n"/>
      <c r="D4" s="333" t="n"/>
      <c r="E4" s="333" t="n"/>
      <c r="F4" s="333" t="n"/>
      <c r="G4" s="333" t="n"/>
      <c r="H4" s="333" t="n"/>
      <c r="I4" s="333" t="n"/>
      <c r="J4" s="333" t="n"/>
      <c r="K4" s="333" t="n"/>
      <c r="L4" s="333" t="n"/>
      <c r="M4" s="333" t="n"/>
      <c r="N4" s="333" t="n"/>
      <c r="O4" s="333" t="n"/>
    </row>
    <row r="5" ht="17.25" customHeight="1" s="282">
      <c r="A5" s="281" t="n"/>
      <c r="B5" s="334" t="n"/>
      <c r="C5" s="334" t="n"/>
      <c r="D5" s="334" t="n"/>
      <c r="E5" s="334" t="n"/>
      <c r="F5" s="334" t="n"/>
      <c r="G5" s="334" t="n"/>
      <c r="H5" s="334" t="n"/>
      <c r="I5" s="334" t="n"/>
      <c r="J5" s="334" t="n"/>
      <c r="K5" s="334" t="n"/>
      <c r="L5" s="334" t="n"/>
      <c r="M5" s="334" t="n"/>
      <c r="N5" s="334" t="n"/>
      <c r="O5" s="334" t="n"/>
    </row>
    <row r="6" ht="17.25" customHeight="1" s="282">
      <c r="A6" s="281" t="n"/>
      <c r="B6" s="335" t="inlineStr">
        <is>
          <t>Actual/Forecast</t>
        </is>
      </c>
      <c r="C6" s="336" t="n"/>
      <c r="D6" s="336" t="n"/>
      <c r="E6" s="336" t="n"/>
      <c r="F6" s="336" t="n"/>
      <c r="G6" s="334">
        <f>Input!G6</f>
        <v/>
      </c>
      <c r="H6" s="334">
        <f>Input!H6</f>
        <v/>
      </c>
      <c r="I6" s="334">
        <f>Input!I6</f>
        <v/>
      </c>
      <c r="J6" s="334">
        <f>Input!J6</f>
        <v/>
      </c>
      <c r="K6" s="334">
        <f>Input!K6</f>
        <v/>
      </c>
      <c r="L6" s="334">
        <f>Input!L6</f>
        <v/>
      </c>
      <c r="M6" s="334">
        <f>Input!M6</f>
        <v/>
      </c>
      <c r="N6" s="334">
        <f>Input!N6</f>
        <v/>
      </c>
      <c r="O6" s="334">
        <f>Input!O6</f>
        <v/>
      </c>
    </row>
    <row r="7" ht="17.25" customHeight="1" s="282">
      <c r="A7" s="281" t="n"/>
      <c r="B7" s="334" t="inlineStr">
        <is>
          <t>Period Start</t>
        </is>
      </c>
      <c r="C7" s="334" t="n"/>
      <c r="D7" s="338" t="n"/>
      <c r="E7" s="338" t="n"/>
      <c r="F7" s="338" t="n"/>
      <c r="G7" s="337">
        <f>Input!G7</f>
        <v/>
      </c>
      <c r="H7" s="337">
        <f>Input!H7</f>
        <v/>
      </c>
      <c r="I7" s="337">
        <f>Input!I7</f>
        <v/>
      </c>
      <c r="J7" s="337">
        <f>Input!J7</f>
        <v/>
      </c>
      <c r="K7" s="337">
        <f>Input!K7</f>
        <v/>
      </c>
      <c r="L7" s="337">
        <f>Input!L7</f>
        <v/>
      </c>
      <c r="M7" s="337">
        <f>Input!M7</f>
        <v/>
      </c>
      <c r="N7" s="337">
        <f>Input!N7</f>
        <v/>
      </c>
      <c r="O7" s="337" t="inlineStr">
        <is>
          <t>TV</t>
        </is>
      </c>
    </row>
    <row r="8" ht="17.25" customHeight="1" s="282">
      <c r="A8" s="281" t="n"/>
      <c r="B8" s="334" t="inlineStr">
        <is>
          <t>Period End</t>
        </is>
      </c>
      <c r="C8" s="334" t="n"/>
      <c r="D8" s="338" t="n"/>
      <c r="E8" s="338" t="n"/>
      <c r="F8" s="338" t="n"/>
      <c r="G8" s="337">
        <f>Input!G8</f>
        <v/>
      </c>
      <c r="H8" s="337">
        <f>Input!H8</f>
        <v/>
      </c>
      <c r="I8" s="337">
        <f>Input!I8</f>
        <v/>
      </c>
      <c r="J8" s="337">
        <f>Input!J8</f>
        <v/>
      </c>
      <c r="K8" s="337">
        <f>Input!K8</f>
        <v/>
      </c>
      <c r="L8" s="337">
        <f>Input!L8</f>
        <v/>
      </c>
      <c r="M8" s="337">
        <f>Input!M8</f>
        <v/>
      </c>
      <c r="N8" s="337">
        <f>Input!N8</f>
        <v/>
      </c>
      <c r="O8" s="339" t="n"/>
    </row>
    <row r="9" ht="17.25" customHeight="1" s="282">
      <c r="A9" s="281" t="n"/>
      <c r="B9" s="334" t="inlineStr">
        <is>
          <t>Month</t>
        </is>
      </c>
      <c r="C9" s="334" t="n"/>
      <c r="D9" s="338" t="n"/>
      <c r="E9" s="338" t="n"/>
      <c r="F9" s="338" t="n"/>
      <c r="G9" s="340">
        <f>Input!G9</f>
        <v/>
      </c>
      <c r="H9" s="341">
        <f>Input!H9</f>
        <v/>
      </c>
      <c r="I9" s="341">
        <f>Input!I9</f>
        <v/>
      </c>
      <c r="J9" s="341">
        <f>Input!J9</f>
        <v/>
      </c>
      <c r="K9" s="341">
        <f>Input!K9</f>
        <v/>
      </c>
      <c r="L9" s="341">
        <f>Input!L9</f>
        <v/>
      </c>
      <c r="M9" s="341">
        <f>Input!M9</f>
        <v/>
      </c>
      <c r="N9" s="341">
        <f>Input!N9</f>
        <v/>
      </c>
      <c r="O9" s="342" t="n"/>
    </row>
    <row r="10" ht="17.25" customHeight="1" s="282">
      <c r="A10" s="281" t="n"/>
      <c r="B10" s="334" t="inlineStr">
        <is>
          <t>Year</t>
        </is>
      </c>
      <c r="C10" s="334" t="n"/>
      <c r="D10" s="338" t="n"/>
      <c r="E10" s="338" t="n"/>
      <c r="F10" s="338" t="n"/>
      <c r="G10" s="340">
        <f>Input!G10</f>
        <v/>
      </c>
      <c r="H10" s="340">
        <f>Input!H10</f>
        <v/>
      </c>
      <c r="I10" s="341">
        <f>Input!I10</f>
        <v/>
      </c>
      <c r="J10" s="341">
        <f>Input!J10</f>
        <v/>
      </c>
      <c r="K10" s="341">
        <f>Input!K10</f>
        <v/>
      </c>
      <c r="L10" s="341">
        <f>Input!L10</f>
        <v/>
      </c>
      <c r="M10" s="341">
        <f>Input!M10</f>
        <v/>
      </c>
      <c r="N10" s="341">
        <f>Input!N10</f>
        <v/>
      </c>
      <c r="O10" s="342" t="n"/>
    </row>
    <row r="11" ht="17.25" customHeight="1" s="282">
      <c r="A11" s="281" t="n"/>
      <c r="B11" s="334" t="inlineStr">
        <is>
          <t>Days</t>
        </is>
      </c>
      <c r="C11" s="338" t="n"/>
      <c r="D11" s="341" t="n"/>
      <c r="E11" s="341" t="n"/>
      <c r="F11" s="341" t="n"/>
      <c r="G11" s="341">
        <f>Input!G11</f>
        <v/>
      </c>
      <c r="H11" s="341">
        <f>Input!H11</f>
        <v/>
      </c>
      <c r="I11" s="341">
        <f>Input!I11</f>
        <v/>
      </c>
      <c r="J11" s="341">
        <f>Input!J11</f>
        <v/>
      </c>
      <c r="K11" s="341">
        <f>Input!K11</f>
        <v/>
      </c>
      <c r="L11" s="341">
        <f>Input!L11</f>
        <v/>
      </c>
      <c r="M11" s="341">
        <f>Input!M11</f>
        <v/>
      </c>
      <c r="N11" s="341">
        <f>Input!N11</f>
        <v/>
      </c>
      <c r="O11" s="342" t="n"/>
    </row>
    <row r="12" ht="17.25" customHeight="1" s="282">
      <c r="A12" s="281" t="n"/>
      <c r="B12" s="281" t="n"/>
      <c r="C12" s="281" t="n"/>
      <c r="D12" s="281" t="n"/>
      <c r="E12" s="281" t="n"/>
      <c r="F12" s="281" t="n"/>
      <c r="G12" s="281" t="n"/>
      <c r="H12" s="281" t="n"/>
      <c r="I12" s="281" t="n"/>
      <c r="J12" s="281" t="n"/>
      <c r="K12" s="281" t="n"/>
      <c r="L12" s="281" t="n"/>
      <c r="M12" s="281" t="n"/>
      <c r="N12" s="281" t="n"/>
      <c r="O12" s="281" t="n"/>
    </row>
    <row r="13" ht="17.25" customHeight="1" s="282">
      <c r="A13" s="281" t="n"/>
      <c r="B13" s="325" t="inlineStr">
        <is>
          <t>DCF</t>
        </is>
      </c>
      <c r="C13" s="333" t="n"/>
      <c r="D13" s="333" t="n"/>
      <c r="E13" s="333" t="n"/>
      <c r="F13" s="333" t="n"/>
      <c r="G13" s="333" t="n"/>
      <c r="H13" s="333" t="n"/>
      <c r="I13" s="333" t="n"/>
      <c r="J13" s="333" t="n"/>
      <c r="K13" s="333" t="n"/>
      <c r="L13" s="333" t="n"/>
      <c r="M13" s="333" t="n"/>
      <c r="N13" s="333" t="n"/>
      <c r="O13" s="333" t="n"/>
    </row>
    <row r="14" ht="17.25" customHeight="1" s="282">
      <c r="A14" s="281" t="n"/>
      <c r="B14" s="281" t="n"/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  <c r="N14" s="281" t="n"/>
      <c r="O14" s="281" t="n"/>
    </row>
    <row r="15" ht="17.25" customHeight="1" s="282">
      <c r="A15" s="281" t="n"/>
      <c r="B15" s="446" t="inlineStr">
        <is>
          <t>WACC</t>
        </is>
      </c>
      <c r="C15" s="378" t="n"/>
      <c r="D15" s="378" t="n"/>
      <c r="E15" s="447">
        <f>Input!E18</f>
        <v/>
      </c>
      <c r="F15" s="281" t="n"/>
      <c r="G15" s="281" t="n"/>
      <c r="H15" s="281" t="n"/>
      <c r="I15" s="281" t="n"/>
      <c r="J15" s="281" t="n"/>
      <c r="K15" s="281" t="n"/>
      <c r="L15" s="281" t="n"/>
      <c r="M15" s="281" t="n"/>
      <c r="N15" s="281" t="n"/>
      <c r="O15" s="281" t="n"/>
    </row>
    <row r="16" ht="17.25" customHeight="1" s="282">
      <c r="A16" s="281" t="n"/>
      <c r="B16" s="448" t="inlineStr">
        <is>
          <t>Perptual Growth</t>
        </is>
      </c>
      <c r="C16" s="354" t="n"/>
      <c r="D16" s="354" t="n"/>
      <c r="E16" s="449">
        <f>Input!E19</f>
        <v/>
      </c>
      <c r="F16" s="281" t="n"/>
      <c r="G16" s="281" t="n"/>
      <c r="H16" s="281" t="n"/>
      <c r="I16" s="281" t="n"/>
      <c r="J16" s="281" t="n"/>
      <c r="K16" s="281" t="n"/>
      <c r="L16" s="281" t="n"/>
      <c r="M16" s="281" t="n"/>
      <c r="N16" s="281" t="n"/>
      <c r="O16" s="281" t="n"/>
    </row>
    <row r="17" ht="17.25" customHeight="1" s="282">
      <c r="A17" s="281" t="n"/>
      <c r="B17" s="281" t="n"/>
      <c r="C17" s="281" t="n"/>
      <c r="D17" s="281" t="n"/>
      <c r="E17" s="444" t="n"/>
      <c r="F17" s="281" t="n"/>
      <c r="G17" s="354" t="n"/>
      <c r="H17" s="354" t="n"/>
      <c r="I17" s="354" t="n"/>
      <c r="J17" s="354" t="n"/>
      <c r="K17" s="354" t="n"/>
      <c r="L17" s="354" t="n"/>
      <c r="M17" s="354" t="n"/>
      <c r="N17" s="354" t="n"/>
      <c r="O17" s="354" t="n"/>
    </row>
    <row r="18" ht="17.25" customHeight="1" s="282">
      <c r="A18" s="281" t="n"/>
      <c r="B18" s="354" t="n"/>
      <c r="C18" s="354" t="n"/>
      <c r="D18" s="354" t="n"/>
      <c r="E18" s="354" t="n"/>
      <c r="F18" s="354" t="n"/>
      <c r="G18" s="450" t="inlineStr">
        <is>
          <t>Actual</t>
        </is>
      </c>
      <c r="H18" s="298" t="n"/>
      <c r="I18" s="298" t="n"/>
      <c r="J18" s="451" t="inlineStr">
        <is>
          <t>Forecast</t>
        </is>
      </c>
      <c r="K18" s="292" t="n"/>
      <c r="L18" s="292" t="n"/>
      <c r="M18" s="292" t="n"/>
      <c r="N18" s="292" t="n"/>
      <c r="O18" s="292" t="n"/>
    </row>
    <row r="19" ht="17.25" customHeight="1" s="282">
      <c r="A19" s="281" t="n"/>
      <c r="B19" s="396" t="inlineStr">
        <is>
          <t>Currency: KRW mn</t>
        </is>
      </c>
      <c r="C19" s="354" t="n"/>
      <c r="D19" s="354" t="n"/>
      <c r="E19" s="354" t="n"/>
      <c r="F19" s="354" t="n"/>
      <c r="G19" s="452">
        <f>"FY"&amp;G10</f>
        <v/>
      </c>
      <c r="H19" s="452">
        <f>"FY"&amp;H10</f>
        <v/>
      </c>
      <c r="I19" s="452">
        <f>"FY"&amp;I10</f>
        <v/>
      </c>
      <c r="J19" s="453">
        <f>"FY"&amp;J10</f>
        <v/>
      </c>
      <c r="K19" s="452">
        <f>"FY"&amp;K10</f>
        <v/>
      </c>
      <c r="L19" s="452">
        <f>"FY"&amp;L10</f>
        <v/>
      </c>
      <c r="M19" s="452">
        <f>"FY"&amp;M10</f>
        <v/>
      </c>
      <c r="N19" s="452">
        <f>"FY"&amp;N10</f>
        <v/>
      </c>
      <c r="O19" s="452" t="inlineStr">
        <is>
          <t>TV</t>
        </is>
      </c>
    </row>
    <row r="20" ht="17.25" customHeight="1" s="282">
      <c r="A20" s="281" t="n"/>
      <c r="B20" s="454" t="inlineStr">
        <is>
          <t>Revenue</t>
        </is>
      </c>
      <c r="C20" s="455" t="n"/>
      <c r="D20" s="455" t="n"/>
      <c r="E20" s="455" t="n"/>
      <c r="F20" s="455" t="n"/>
      <c r="G20" s="456">
        <f>Input!G28</f>
        <v/>
      </c>
      <c r="H20" s="456">
        <f>Input!H28</f>
        <v/>
      </c>
      <c r="I20" s="456">
        <f>Input!I28</f>
        <v/>
      </c>
      <c r="J20" s="457">
        <f>Calculation!J21</f>
        <v/>
      </c>
      <c r="K20" s="456">
        <f>Calculation!K21</f>
        <v/>
      </c>
      <c r="L20" s="456">
        <f>Calculation!L21</f>
        <v/>
      </c>
      <c r="M20" s="456">
        <f>Calculation!M21</f>
        <v/>
      </c>
      <c r="N20" s="456">
        <f>Calculation!N21</f>
        <v/>
      </c>
      <c r="O20" s="458">
        <f>N20*(1+$E$16)</f>
        <v/>
      </c>
    </row>
    <row r="21" ht="17.25" customHeight="1" s="282">
      <c r="A21" s="281" t="n"/>
      <c r="B21" s="459" t="inlineStr">
        <is>
          <t>Growth%</t>
        </is>
      </c>
      <c r="C21" s="281" t="n"/>
      <c r="D21" s="281" t="n"/>
      <c r="E21" s="281" t="n"/>
      <c r="F21" s="281" t="n"/>
      <c r="G21" s="385" t="n"/>
      <c r="H21" s="390">
        <f>H20/G20-1</f>
        <v/>
      </c>
      <c r="I21" s="390">
        <f>I20/H20-1</f>
        <v/>
      </c>
      <c r="J21" s="460">
        <f>J20/I20-1</f>
        <v/>
      </c>
      <c r="K21" s="390">
        <f>K20/J20-1</f>
        <v/>
      </c>
      <c r="L21" s="390">
        <f>L20/K20-1</f>
        <v/>
      </c>
      <c r="M21" s="390">
        <f>M20/L20-1</f>
        <v/>
      </c>
      <c r="N21" s="390">
        <f>N20/M20-1</f>
        <v/>
      </c>
      <c r="O21" s="461">
        <f>O20/N20-1</f>
        <v/>
      </c>
    </row>
    <row r="22" ht="17.25" customHeight="1" s="282">
      <c r="A22" s="281" t="n"/>
      <c r="B22" s="462" t="inlineStr">
        <is>
          <t>COGS</t>
        </is>
      </c>
      <c r="C22" s="434" t="n"/>
      <c r="D22" s="434" t="n"/>
      <c r="E22" s="434" t="n"/>
      <c r="F22" s="434" t="n"/>
      <c r="G22" s="463">
        <f>Input!G29</f>
        <v/>
      </c>
      <c r="H22" s="463">
        <f>Input!H29</f>
        <v/>
      </c>
      <c r="I22" s="463">
        <f>Input!I29</f>
        <v/>
      </c>
      <c r="J22" s="464">
        <f>Calculation!J70</f>
        <v/>
      </c>
      <c r="K22" s="463">
        <f>Calculation!K70</f>
        <v/>
      </c>
      <c r="L22" s="463">
        <f>Calculation!L70</f>
        <v/>
      </c>
      <c r="M22" s="463">
        <f>Calculation!M70</f>
        <v/>
      </c>
      <c r="N22" s="463">
        <f>Calculation!N70</f>
        <v/>
      </c>
      <c r="O22" s="465">
        <f>N22*(1+$E$16)</f>
        <v/>
      </c>
    </row>
    <row r="23" ht="17.25" customHeight="1" s="282">
      <c r="A23" s="281" t="n"/>
      <c r="B23" s="454" t="inlineStr">
        <is>
          <t>Gross profit</t>
        </is>
      </c>
      <c r="C23" s="455" t="n"/>
      <c r="D23" s="455" t="n"/>
      <c r="E23" s="455" t="n"/>
      <c r="F23" s="455" t="n"/>
      <c r="G23" s="456">
        <f>G20-G22</f>
        <v/>
      </c>
      <c r="H23" s="456">
        <f>H20-H22</f>
        <v/>
      </c>
      <c r="I23" s="456">
        <f>I20-I22</f>
        <v/>
      </c>
      <c r="J23" s="457">
        <f>J20-J22</f>
        <v/>
      </c>
      <c r="K23" s="456">
        <f>K20-K22</f>
        <v/>
      </c>
      <c r="L23" s="456">
        <f>L20-L22</f>
        <v/>
      </c>
      <c r="M23" s="456">
        <f>M20-M22</f>
        <v/>
      </c>
      <c r="N23" s="456">
        <f>N20-N22</f>
        <v/>
      </c>
      <c r="O23" s="458">
        <f>O20-O22</f>
        <v/>
      </c>
    </row>
    <row r="24" ht="17.25" customHeight="1" s="282">
      <c r="A24" s="281" t="n"/>
      <c r="B24" s="466" t="inlineStr">
        <is>
          <t>Gross margin</t>
        </is>
      </c>
      <c r="C24" s="354" t="n"/>
      <c r="D24" s="354" t="n"/>
      <c r="E24" s="354" t="n"/>
      <c r="F24" s="354" t="n"/>
      <c r="G24" s="467">
        <f>G23/G20</f>
        <v/>
      </c>
      <c r="H24" s="467">
        <f>H23/H20</f>
        <v/>
      </c>
      <c r="I24" s="467">
        <f>I23/I20</f>
        <v/>
      </c>
      <c r="J24" s="468">
        <f>J23/J20</f>
        <v/>
      </c>
      <c r="K24" s="467">
        <f>K23/K20</f>
        <v/>
      </c>
      <c r="L24" s="467">
        <f>L23/L20</f>
        <v/>
      </c>
      <c r="M24" s="467">
        <f>M23/M20</f>
        <v/>
      </c>
      <c r="N24" s="467">
        <f>N23/N20</f>
        <v/>
      </c>
      <c r="O24" s="469">
        <f>O23/O20</f>
        <v/>
      </c>
    </row>
    <row r="25" ht="17.25" customHeight="1" s="282">
      <c r="A25" s="281" t="n"/>
      <c r="B25" s="454" t="inlineStr">
        <is>
          <t>SG&amp;A</t>
        </is>
      </c>
      <c r="C25" s="455" t="n"/>
      <c r="D25" s="455" t="n"/>
      <c r="E25" s="455" t="n"/>
      <c r="F25" s="455" t="n"/>
      <c r="G25" s="456">
        <f>Input!G35</f>
        <v/>
      </c>
      <c r="H25" s="456">
        <f>Input!H35</f>
        <v/>
      </c>
      <c r="I25" s="456">
        <f>Input!I35</f>
        <v/>
      </c>
      <c r="J25" s="457">
        <f>Calculation!J113</f>
        <v/>
      </c>
      <c r="K25" s="456">
        <f>Calculation!K113</f>
        <v/>
      </c>
      <c r="L25" s="456">
        <f>Calculation!L113</f>
        <v/>
      </c>
      <c r="M25" s="456">
        <f>Calculation!M113</f>
        <v/>
      </c>
      <c r="N25" s="456">
        <f>Calculation!N113</f>
        <v/>
      </c>
      <c r="O25" s="458">
        <f>N25*(1+$E$16)</f>
        <v/>
      </c>
    </row>
    <row r="26" ht="17.25" customHeight="1" s="282">
      <c r="A26" s="281" t="n"/>
      <c r="B26" s="466" t="inlineStr">
        <is>
          <t>SG&amp;A%</t>
        </is>
      </c>
      <c r="C26" s="354" t="n"/>
      <c r="D26" s="354" t="n"/>
      <c r="E26" s="354" t="n"/>
      <c r="F26" s="354" t="n"/>
      <c r="G26" s="467">
        <f>G25/G20</f>
        <v/>
      </c>
      <c r="H26" s="467">
        <f>H25/H20</f>
        <v/>
      </c>
      <c r="I26" s="467">
        <f>I25/I20</f>
        <v/>
      </c>
      <c r="J26" s="468">
        <f>J25/J20</f>
        <v/>
      </c>
      <c r="K26" s="467">
        <f>K25/K20</f>
        <v/>
      </c>
      <c r="L26" s="467">
        <f>L25/L20</f>
        <v/>
      </c>
      <c r="M26" s="467">
        <f>M25/M20</f>
        <v/>
      </c>
      <c r="N26" s="467">
        <f>N25/N20</f>
        <v/>
      </c>
      <c r="O26" s="469">
        <f>O25/O20</f>
        <v/>
      </c>
    </row>
    <row r="27" ht="17.25" customHeight="1" s="282">
      <c r="A27" s="281" t="n"/>
      <c r="B27" s="454" t="inlineStr">
        <is>
          <t>EBIT</t>
        </is>
      </c>
      <c r="C27" s="455" t="n"/>
      <c r="D27" s="455" t="n"/>
      <c r="E27" s="455" t="n"/>
      <c r="F27" s="455" t="n"/>
      <c r="G27" s="456">
        <f>G23-G25</f>
        <v/>
      </c>
      <c r="H27" s="456">
        <f>H23-H25</f>
        <v/>
      </c>
      <c r="I27" s="456">
        <f>I23-I25</f>
        <v/>
      </c>
      <c r="J27" s="457">
        <f>J23-J25</f>
        <v/>
      </c>
      <c r="K27" s="456">
        <f>K23-K25</f>
        <v/>
      </c>
      <c r="L27" s="456">
        <f>L23-L25</f>
        <v/>
      </c>
      <c r="M27" s="456">
        <f>M23-M25</f>
        <v/>
      </c>
      <c r="N27" s="456">
        <f>N23-N25</f>
        <v/>
      </c>
      <c r="O27" s="458">
        <f>O23-O25</f>
        <v/>
      </c>
    </row>
    <row r="28" ht="17.25" customHeight="1" s="282">
      <c r="A28" s="281" t="n"/>
      <c r="B28" s="466" t="inlineStr">
        <is>
          <t>EBIT%</t>
        </is>
      </c>
      <c r="C28" s="354" t="n"/>
      <c r="D28" s="354" t="n"/>
      <c r="E28" s="354" t="n"/>
      <c r="F28" s="354" t="n"/>
      <c r="G28" s="467">
        <f>G27/G20</f>
        <v/>
      </c>
      <c r="H28" s="467">
        <f>H27/H20</f>
        <v/>
      </c>
      <c r="I28" s="467">
        <f>I27/I20</f>
        <v/>
      </c>
      <c r="J28" s="468">
        <f>J27/J20</f>
        <v/>
      </c>
      <c r="K28" s="467">
        <f>K27/K20</f>
        <v/>
      </c>
      <c r="L28" s="467">
        <f>L27/L20</f>
        <v/>
      </c>
      <c r="M28" s="467">
        <f>M27/M20</f>
        <v/>
      </c>
      <c r="N28" s="467">
        <f>N27/N20</f>
        <v/>
      </c>
      <c r="O28" s="469">
        <f>O27/O20</f>
        <v/>
      </c>
    </row>
    <row r="29" ht="17.25" customHeight="1" s="282">
      <c r="A29" s="281" t="n"/>
      <c r="B29" s="470" t="inlineStr">
        <is>
          <t>Dep&amp;Amor.</t>
        </is>
      </c>
      <c r="C29" s="353" t="n"/>
      <c r="D29" s="353" t="n"/>
      <c r="E29" s="353" t="n"/>
      <c r="F29" s="353" t="n"/>
      <c r="G29" s="471">
        <f>Input!G42</f>
        <v/>
      </c>
      <c r="H29" s="471">
        <f>Input!H42</f>
        <v/>
      </c>
      <c r="I29" s="471">
        <f>Input!I42</f>
        <v/>
      </c>
      <c r="J29" s="472" t="n"/>
      <c r="K29" s="473" t="n"/>
      <c r="L29" s="473" t="n"/>
      <c r="M29" s="473" t="n"/>
      <c r="N29" s="473" t="n"/>
      <c r="O29" s="474" t="n"/>
    </row>
    <row r="30" ht="17.25" customHeight="1" s="282">
      <c r="A30" s="281" t="n"/>
      <c r="B30" s="454" t="inlineStr">
        <is>
          <t>EBITDA</t>
        </is>
      </c>
      <c r="C30" s="455" t="n"/>
      <c r="D30" s="455" t="n"/>
      <c r="E30" s="455" t="n"/>
      <c r="F30" s="455" t="n"/>
      <c r="G30" s="456">
        <f>G27+G29</f>
        <v/>
      </c>
      <c r="H30" s="456">
        <f>H27+H29</f>
        <v/>
      </c>
      <c r="I30" s="456">
        <f>I27+I29</f>
        <v/>
      </c>
      <c r="J30" s="457">
        <f>J27+J29</f>
        <v/>
      </c>
      <c r="K30" s="456">
        <f>K27+K29</f>
        <v/>
      </c>
      <c r="L30" s="456">
        <f>L27+L29</f>
        <v/>
      </c>
      <c r="M30" s="456">
        <f>M27+M29</f>
        <v/>
      </c>
      <c r="N30" s="456">
        <f>N27+N29</f>
        <v/>
      </c>
      <c r="O30" s="458">
        <f>O27+O29</f>
        <v/>
      </c>
    </row>
    <row r="31" ht="17.25" customHeight="1" s="282">
      <c r="A31" s="281" t="n"/>
      <c r="B31" s="466" t="inlineStr">
        <is>
          <t>EBITDA %</t>
        </is>
      </c>
      <c r="C31" s="354" t="n"/>
      <c r="D31" s="354" t="n"/>
      <c r="E31" s="354" t="n"/>
      <c r="F31" s="354" t="n"/>
      <c r="G31" s="467">
        <f>G30/G20</f>
        <v/>
      </c>
      <c r="H31" s="467">
        <f>H30/H23</f>
        <v/>
      </c>
      <c r="I31" s="467">
        <f>I30/I23</f>
        <v/>
      </c>
      <c r="J31" s="468">
        <f>J30/J23</f>
        <v/>
      </c>
      <c r="K31" s="467">
        <f>K30/K23</f>
        <v/>
      </c>
      <c r="L31" s="467">
        <f>L30/L23</f>
        <v/>
      </c>
      <c r="M31" s="467">
        <f>M30/M23</f>
        <v/>
      </c>
      <c r="N31" s="467">
        <f>N30/N23</f>
        <v/>
      </c>
      <c r="O31" s="469">
        <f>O30/O23</f>
        <v/>
      </c>
    </row>
    <row r="32" ht="17.25" customHeight="1" s="282">
      <c r="A32" s="281" t="n"/>
      <c r="B32" s="470" t="inlineStr">
        <is>
          <t>CIT</t>
        </is>
      </c>
      <c r="C32" s="353" t="n"/>
      <c r="D32" s="353" t="n"/>
      <c r="E32" s="353" t="n"/>
      <c r="F32" s="353" t="n"/>
      <c r="G32" s="471">
        <f>Input!G52</f>
        <v/>
      </c>
      <c r="H32" s="471">
        <f>Input!H52</f>
        <v/>
      </c>
      <c r="I32" s="471">
        <f>Input!I52</f>
        <v/>
      </c>
      <c r="J32" s="475">
        <f>IF(J27&lt;=200,
     J27*0.1*1.1,
 IF(J27&lt;=30000,
     ((J27-200)*0.2 + 200*0.1)*1.1,
 IF(J27&lt;=300000,
     ((J27-30000)*0.22 + (30000-200)*0.2 + 200*0.1)*1.1,
     ((J27-300000)*0.24 + (300000-30000)*0.22 + (30000-200)*0.2 + 200*0.1)*1.1)))</f>
        <v/>
      </c>
      <c r="K32" s="471">
        <f>IF(K27&lt;=200,
     K27*0.1*1.1,
 IF(K27&lt;=30000,
     ((K27-200)*0.2 + 200*0.1)*1.1,
 IF(K27&lt;=300000,
     ((K27-30000)*0.22 + (30000-200)*0.2 + 200*0.1)*1.1,
     ((K27-300000)*0.24 + (300000-30000)*0.22 + (30000-200)*0.2 + 200*0.1)*1.1)))</f>
        <v/>
      </c>
      <c r="L32" s="471">
        <f>IF(L27&lt;=200,
L27*0.1*1.1,
IF(L27&lt;=30000,
((L27-200)*0.2 + 200*0.1)*1.1,
IF(L27&lt;=300000,
((L27-30000)*0.22 + (30000-200)*0.2 + 200*0.1)*1.1,
((L27-300000)*0.24 + (300000-30000)*0.22 + (30000-200)*0.2 + 200*0.1)*1.1)))</f>
        <v/>
      </c>
      <c r="M32" s="471">
        <f>IF(M27&lt;=200,
M27*0.1*1.1,
IF(M27&lt;=30000,
((M27-200)*0.2 + 200*0.1)*1.1,
IF(M27&lt;=300000,
((M27-30000)*0.22 + (30000-200)*0.2 + 200*0.1)*1.1,
((M27-300000)*0.24 + (300000-30000)*0.22 + (30000-200)*0.2 + 200*0.1)*1.1)))</f>
        <v/>
      </c>
      <c r="N32" s="471">
        <f>IF(N27&lt;=200,
N27*0.1*1.1,
IF(N27&lt;=30000,
((N27-200)*0.2 + 200*0.1)*1.1,
IF(N27&lt;=300000,
((N27-30000)*0.22 + (30000-200)*0.2 + 200*0.1)*1.1,
((N27-300000)*0.24 + (300000-30000)*0.22 + (30000-200)*0.2 + 200*0.1)*1.1)))</f>
        <v/>
      </c>
      <c r="O32" s="476">
        <f>IF(O27&lt;=200,
O27*0.1*1.1,
IF(O27&lt;=30000,
((O27-200)*0.2 + 200*0.1)*1.1,
IF(O27&lt;=300000,
((O27-30000)*0.22 + (30000-200)*0.2 + 200*0.1)*1.1,
((O27-300000)*0.24 + (300000-30000)*0.22 + (30000-200)*0.2 + 200*0.1)*1.1)))</f>
        <v/>
      </c>
    </row>
    <row r="33" ht="17.25" customHeight="1" s="282">
      <c r="A33" s="281" t="n"/>
      <c r="B33" s="454" t="inlineStr">
        <is>
          <t>NOPLAT</t>
        </is>
      </c>
      <c r="C33" s="455" t="n"/>
      <c r="D33" s="455" t="n"/>
      <c r="E33" s="455" t="n"/>
      <c r="F33" s="455" t="n"/>
      <c r="G33" s="456">
        <f>G30-G32</f>
        <v/>
      </c>
      <c r="H33" s="456">
        <f>H30-H32</f>
        <v/>
      </c>
      <c r="I33" s="456">
        <f>I30-I32</f>
        <v/>
      </c>
      <c r="J33" s="457">
        <f>J30-J32</f>
        <v/>
      </c>
      <c r="K33" s="456">
        <f>K30-K32</f>
        <v/>
      </c>
      <c r="L33" s="456">
        <f>L30-L32</f>
        <v/>
      </c>
      <c r="M33" s="456">
        <f>M30-M32</f>
        <v/>
      </c>
      <c r="N33" s="456">
        <f>N30-N32</f>
        <v/>
      </c>
      <c r="O33" s="458">
        <f>O30-O32</f>
        <v/>
      </c>
    </row>
    <row r="34" ht="17.25" customHeight="1" s="282">
      <c r="A34" s="281" t="n"/>
      <c r="B34" s="459" t="inlineStr">
        <is>
          <t>Dep&amp;Amor.</t>
        </is>
      </c>
      <c r="C34" s="281" t="n"/>
      <c r="D34" s="281" t="n"/>
      <c r="E34" s="281" t="n"/>
      <c r="F34" s="281" t="n"/>
      <c r="G34" s="385">
        <f>G29</f>
        <v/>
      </c>
      <c r="H34" s="385">
        <f>H29</f>
        <v/>
      </c>
      <c r="I34" s="385">
        <f>I29</f>
        <v/>
      </c>
      <c r="J34" s="477" t="n"/>
      <c r="K34" s="478" t="n"/>
      <c r="L34" s="478" t="n"/>
      <c r="M34" s="478" t="n"/>
      <c r="N34" s="478" t="n"/>
      <c r="O34" s="479" t="n"/>
    </row>
    <row r="35" ht="17.25" customHeight="1" s="282">
      <c r="A35" s="281" t="n"/>
      <c r="B35" s="459" t="inlineStr">
        <is>
          <t>△Net working capital</t>
        </is>
      </c>
      <c r="C35" s="281" t="n"/>
      <c r="D35" s="281" t="n"/>
      <c r="E35" s="281" t="n"/>
      <c r="F35" s="281" t="n"/>
      <c r="G35" s="385">
        <f>Input!G203</f>
        <v/>
      </c>
      <c r="H35" s="385">
        <f>Input!H203</f>
        <v/>
      </c>
      <c r="I35" s="385">
        <f>Input!I203</f>
        <v/>
      </c>
      <c r="J35" s="480">
        <f>Calculation!J170</f>
        <v/>
      </c>
      <c r="K35" s="385">
        <f>Calculation!K170</f>
        <v/>
      </c>
      <c r="L35" s="385">
        <f>Calculation!L170</f>
        <v/>
      </c>
      <c r="M35" s="385">
        <f>Calculation!M170</f>
        <v/>
      </c>
      <c r="N35" s="385">
        <f>Calculation!N170</f>
        <v/>
      </c>
      <c r="O35" s="481">
        <f>Calculation!O170</f>
        <v/>
      </c>
    </row>
    <row r="36" ht="17.25" customHeight="1" s="282">
      <c r="A36" s="281" t="n"/>
      <c r="B36" s="466" t="inlineStr">
        <is>
          <t>CAPEX</t>
        </is>
      </c>
      <c r="C36" s="354" t="n"/>
      <c r="D36" s="354" t="n"/>
      <c r="E36" s="354" t="n"/>
      <c r="F36" s="354" t="n"/>
      <c r="G36" s="439" t="n"/>
      <c r="H36" s="439" t="n"/>
      <c r="I36" s="439" t="n"/>
      <c r="J36" s="482" t="n"/>
      <c r="K36" s="483" t="n"/>
      <c r="L36" s="483" t="n"/>
      <c r="M36" s="483" t="n"/>
      <c r="N36" s="483" t="n"/>
      <c r="O36" s="484" t="n"/>
    </row>
    <row r="37" ht="17.25" customHeight="1" s="282">
      <c r="A37" s="281" t="n"/>
      <c r="B37" s="454" t="inlineStr">
        <is>
          <t>Free cash flow</t>
        </is>
      </c>
      <c r="C37" s="455" t="n"/>
      <c r="D37" s="455" t="n"/>
      <c r="E37" s="455" t="n"/>
      <c r="F37" s="455" t="n"/>
      <c r="G37" s="456">
        <f>SUM(G33:G36)</f>
        <v/>
      </c>
      <c r="H37" s="456">
        <f>SUM(H33:H36)</f>
        <v/>
      </c>
      <c r="I37" s="456">
        <f>SUM(I33:I36)</f>
        <v/>
      </c>
      <c r="J37" s="457">
        <f>SUM(J33:J36)</f>
        <v/>
      </c>
      <c r="K37" s="456">
        <f>SUM(K33:K36)</f>
        <v/>
      </c>
      <c r="L37" s="456">
        <f>SUM(L33:L36)</f>
        <v/>
      </c>
      <c r="M37" s="456">
        <f>SUM(M33:M36)</f>
        <v/>
      </c>
      <c r="N37" s="456">
        <f>SUM(N33:N36)</f>
        <v/>
      </c>
      <c r="O37" s="458">
        <f>SUM(O33:O36)</f>
        <v/>
      </c>
    </row>
    <row r="38" ht="17.25" customHeight="1" s="282">
      <c r="A38" s="281" t="n"/>
      <c r="B38" s="459" t="inlineStr">
        <is>
          <t>Discount period</t>
        </is>
      </c>
      <c r="C38" s="281" t="n"/>
      <c r="D38" s="281" t="n"/>
      <c r="E38" s="281" t="n"/>
      <c r="F38" s="281" t="n"/>
      <c r="G38" s="281" t="n"/>
      <c r="H38" s="281" t="n"/>
      <c r="I38" s="281" t="n"/>
      <c r="J38" s="485">
        <f>(J8-Input!E15)/DCF!J11/2</f>
        <v/>
      </c>
      <c r="K38" s="486">
        <f>J38+1</f>
        <v/>
      </c>
      <c r="L38" s="486">
        <f>K38+1</f>
        <v/>
      </c>
      <c r="M38" s="486">
        <f>L38+1</f>
        <v/>
      </c>
      <c r="N38" s="486">
        <f>M38+1</f>
        <v/>
      </c>
      <c r="O38" s="487">
        <f>N38</f>
        <v/>
      </c>
    </row>
    <row r="39" ht="17.25" customHeight="1" s="282">
      <c r="A39" s="281" t="n"/>
      <c r="B39" s="459" t="inlineStr">
        <is>
          <t>PV factor</t>
        </is>
      </c>
      <c r="C39" s="281" t="n"/>
      <c r="D39" s="281" t="n"/>
      <c r="E39" s="281" t="n"/>
      <c r="F39" s="281" t="n"/>
      <c r="G39" s="281" t="n"/>
      <c r="H39" s="281" t="n"/>
      <c r="I39" s="281" t="n"/>
      <c r="J39" s="485">
        <f>1/(1+$E$15)^DCF!J38</f>
        <v/>
      </c>
      <c r="K39" s="486">
        <f>1/(1+$E$15)^DCF!K38</f>
        <v/>
      </c>
      <c r="L39" s="486">
        <f>1/(1+$E$15)^DCF!L38</f>
        <v/>
      </c>
      <c r="M39" s="486">
        <f>1/(1+$E$15)^DCF!M38</f>
        <v/>
      </c>
      <c r="N39" s="486">
        <f>1/(1+$E$15)^DCF!N38</f>
        <v/>
      </c>
      <c r="O39" s="487">
        <f>1/(1+$E$15)^DCF!O38</f>
        <v/>
      </c>
    </row>
    <row r="40" ht="17.25" customHeight="1" s="282">
      <c r="A40" s="281" t="n"/>
      <c r="B40" s="466" t="inlineStr">
        <is>
          <t>PV of FCF</t>
        </is>
      </c>
      <c r="C40" s="354" t="n"/>
      <c r="D40" s="354" t="n"/>
      <c r="E40" s="354" t="n"/>
      <c r="F40" s="354" t="n"/>
      <c r="G40" s="354" t="n"/>
      <c r="H40" s="354" t="n"/>
      <c r="I40" s="354" t="n"/>
      <c r="J40" s="488">
        <f>J37*J39</f>
        <v/>
      </c>
      <c r="K40" s="398">
        <f>K37*K39</f>
        <v/>
      </c>
      <c r="L40" s="398">
        <f>L37*L39</f>
        <v/>
      </c>
      <c r="M40" s="398">
        <f>M37*M39</f>
        <v/>
      </c>
      <c r="N40" s="398">
        <f>N37*N39</f>
        <v/>
      </c>
      <c r="O40" s="489">
        <f>O37*O39</f>
        <v/>
      </c>
    </row>
    <row r="41" ht="17.25" customHeight="1" s="282">
      <c r="A41" s="281" t="n"/>
      <c r="B41" s="454" t="inlineStr">
        <is>
          <t>Operating value</t>
        </is>
      </c>
      <c r="C41" s="378" t="n"/>
      <c r="D41" s="378" t="n"/>
      <c r="E41" s="378" t="n"/>
      <c r="F41" s="378" t="n"/>
      <c r="G41" s="378" t="n"/>
      <c r="H41" s="378" t="n"/>
      <c r="I41" s="378" t="n"/>
      <c r="J41" s="490" t="n"/>
      <c r="K41" s="378" t="n"/>
      <c r="L41" s="378" t="n"/>
      <c r="M41" s="378" t="n"/>
      <c r="N41" s="378" t="n"/>
      <c r="O41" s="458">
        <f>SUM(J40:O40)</f>
        <v/>
      </c>
    </row>
    <row r="42" ht="17.25" customHeight="1" s="282">
      <c r="A42" s="281" t="n"/>
      <c r="B42" s="466" t="inlineStr">
        <is>
          <t>Non-operating assets</t>
        </is>
      </c>
      <c r="C42" s="354" t="n"/>
      <c r="D42" s="354" t="n"/>
      <c r="E42" s="354" t="n"/>
      <c r="F42" s="354" t="n"/>
      <c r="G42" s="354" t="n"/>
      <c r="H42" s="354" t="n"/>
      <c r="I42" s="354" t="n"/>
      <c r="J42" s="491" t="n"/>
      <c r="K42" s="354" t="n"/>
      <c r="L42" s="354" t="n"/>
      <c r="M42" s="354" t="n"/>
      <c r="N42" s="354" t="n"/>
      <c r="O42" s="489">
        <f>Input!I253</f>
        <v/>
      </c>
    </row>
    <row r="43" ht="17.25" customHeight="1" s="282">
      <c r="A43" s="281" t="n"/>
      <c r="B43" s="446" t="inlineStr">
        <is>
          <t>Enterprise value</t>
        </is>
      </c>
      <c r="C43" s="378" t="n"/>
      <c r="D43" s="378" t="n"/>
      <c r="E43" s="378" t="n"/>
      <c r="F43" s="378" t="n"/>
      <c r="G43" s="378" t="n"/>
      <c r="H43" s="378" t="n"/>
      <c r="I43" s="378" t="n"/>
      <c r="J43" s="490" t="n"/>
      <c r="K43" s="378" t="n"/>
      <c r="L43" s="378" t="n"/>
      <c r="M43" s="378" t="n"/>
      <c r="N43" s="378" t="n"/>
      <c r="O43" s="458">
        <f>O41+O42</f>
        <v/>
      </c>
    </row>
    <row r="44" ht="18" customHeight="1" s="282">
      <c r="A44" s="281" t="n"/>
      <c r="B44" s="466" t="inlineStr">
        <is>
          <t>Net debt</t>
        </is>
      </c>
      <c r="C44" s="354" t="n"/>
      <c r="D44" s="354" t="n"/>
      <c r="E44" s="354" t="n"/>
      <c r="F44" s="354" t="n"/>
      <c r="G44" s="354" t="n"/>
      <c r="H44" s="354" t="n"/>
      <c r="I44" s="354" t="n"/>
      <c r="J44" s="491" t="n"/>
      <c r="K44" s="354" t="n"/>
      <c r="L44" s="354" t="n"/>
      <c r="M44" s="354" t="n"/>
      <c r="N44" s="354" t="n"/>
      <c r="O44" s="481">
        <f>Input!I248</f>
        <v/>
      </c>
    </row>
    <row r="45" ht="18" customHeight="1" s="282">
      <c r="A45" s="281" t="n"/>
      <c r="B45" s="446" t="inlineStr">
        <is>
          <t>Equity value (100%)</t>
        </is>
      </c>
      <c r="C45" s="378" t="n"/>
      <c r="D45" s="378" t="n"/>
      <c r="E45" s="378" t="n"/>
      <c r="F45" s="378" t="n"/>
      <c r="G45" s="378" t="n"/>
      <c r="H45" s="378" t="n"/>
      <c r="I45" s="378" t="n"/>
      <c r="J45" s="490" t="n"/>
      <c r="K45" s="378" t="n"/>
      <c r="L45" s="378" t="n"/>
      <c r="M45" s="378" t="n"/>
      <c r="N45" s="378" t="n"/>
      <c r="O45" s="492">
        <f>O43-O44</f>
        <v/>
      </c>
    </row>
    <row r="46" ht="17.25" customHeight="1" s="282">
      <c r="A46" s="281" t="n"/>
      <c r="B46" s="493" t="inlineStr">
        <is>
          <t>지분율</t>
        </is>
      </c>
      <c r="C46" s="354" t="n"/>
      <c r="D46" s="354" t="n"/>
      <c r="E46" s="354" t="n"/>
      <c r="F46" s="354" t="n"/>
      <c r="G46" s="354" t="n"/>
      <c r="H46" s="354" t="n"/>
      <c r="I46" s="354" t="n"/>
      <c r="J46" s="491" t="n"/>
      <c r="K46" s="354" t="n"/>
      <c r="L46" s="354" t="n"/>
      <c r="M46" s="354" t="n"/>
      <c r="N46" s="354" t="n"/>
      <c r="O46" s="494" t="n"/>
    </row>
    <row r="47" ht="17.25" customHeight="1" s="282">
      <c r="A47" s="281" t="n"/>
      <c r="B47" s="448" t="inlineStr">
        <is>
          <t xml:space="preserve">Equity value </t>
        </is>
      </c>
      <c r="C47" s="354" t="n"/>
      <c r="D47" s="354" t="n"/>
      <c r="E47" s="354" t="n"/>
      <c r="F47" s="354" t="n"/>
      <c r="G47" s="354" t="n"/>
      <c r="H47" s="354" t="n"/>
      <c r="I47" s="354" t="n"/>
      <c r="J47" s="491" t="n"/>
      <c r="K47" s="354" t="n"/>
      <c r="L47" s="354" t="n"/>
      <c r="M47" s="354" t="n"/>
      <c r="N47" s="354" t="n"/>
      <c r="O47" s="489">
        <f>O45*O46</f>
        <v/>
      </c>
    </row>
    <row r="48" ht="17.25" customHeight="1" s="282">
      <c r="A48" s="281" t="n"/>
      <c r="B48" s="281" t="n"/>
      <c r="C48" s="281" t="n"/>
      <c r="D48" s="281" t="n"/>
      <c r="E48" s="281" t="n"/>
      <c r="F48" s="281" t="n"/>
      <c r="G48" s="281" t="n"/>
      <c r="H48" s="281" t="n"/>
      <c r="I48" s="281" t="n"/>
      <c r="J48" s="281" t="n"/>
      <c r="K48" s="281" t="n"/>
      <c r="L48" s="281" t="n"/>
      <c r="M48" s="281" t="n"/>
      <c r="N48" s="281" t="n"/>
      <c r="O48" s="281" t="n"/>
    </row>
    <row r="49" ht="17.25" customHeight="1" s="282">
      <c r="A49" s="281" t="n"/>
      <c r="B49" s="325" t="inlineStr">
        <is>
          <t>Sensitivity</t>
        </is>
      </c>
      <c r="C49" s="333" t="n"/>
      <c r="D49" s="333" t="n"/>
      <c r="E49" s="333" t="n"/>
      <c r="F49" s="333" t="n"/>
      <c r="G49" s="333" t="n"/>
      <c r="H49" s="333" t="n"/>
      <c r="I49" s="333" t="n"/>
      <c r="J49" s="333" t="n"/>
      <c r="K49" s="333" t="n"/>
      <c r="L49" s="333" t="n"/>
      <c r="M49" s="333" t="n"/>
      <c r="N49" s="333" t="n"/>
      <c r="O49" s="333" t="n"/>
    </row>
    <row r="50" ht="17.25" customHeight="1" s="282">
      <c r="A50" s="281" t="n"/>
      <c r="B50" s="281" t="n"/>
      <c r="C50" s="281" t="n"/>
      <c r="D50" s="281" t="n"/>
      <c r="E50" s="281" t="n"/>
      <c r="F50" s="281" t="n"/>
      <c r="G50" s="281" t="n"/>
      <c r="H50" s="281" t="n"/>
      <c r="I50" s="281" t="n"/>
      <c r="J50" s="281" t="n"/>
      <c r="K50" s="281" t="n"/>
      <c r="L50" s="281" t="n"/>
      <c r="M50" s="281" t="n"/>
      <c r="N50" s="281" t="n"/>
      <c r="O50" s="281" t="n"/>
    </row>
    <row r="51" ht="16.5" customHeight="1" s="282">
      <c r="A51" s="281" t="n"/>
      <c r="B51" s="281" t="n"/>
      <c r="C51" s="281" t="n"/>
      <c r="D51" s="281" t="n"/>
      <c r="E51" s="281" t="n"/>
      <c r="F51" s="281" t="n"/>
      <c r="G51" s="281" t="n"/>
      <c r="H51" s="281" t="n"/>
      <c r="I51" s="281" t="n"/>
      <c r="J51" s="495" t="n"/>
      <c r="K51" s="496" t="n"/>
      <c r="L51" s="497" t="inlineStr">
        <is>
          <t xml:space="preserve"> Perpetual growth rate 　</t>
        </is>
      </c>
      <c r="M51" s="292" t="n"/>
      <c r="N51" s="293" t="n"/>
      <c r="O51" s="281" t="n"/>
    </row>
    <row r="52" ht="17.25" customHeight="1" s="282">
      <c r="A52" s="281" t="n"/>
      <c r="B52" s="281" t="n"/>
      <c r="C52" s="281" t="n"/>
      <c r="D52" s="281" t="n"/>
      <c r="E52" s="281" t="n"/>
      <c r="F52" s="281" t="n"/>
      <c r="G52" s="281" t="n"/>
      <c r="H52" s="281" t="n"/>
      <c r="I52" s="281" t="n"/>
      <c r="J52" s="498" t="inlineStr">
        <is>
          <t>KRW mn</t>
        </is>
      </c>
      <c r="K52" s="499">
        <f>O45</f>
        <v/>
      </c>
      <c r="L52" s="500" t="n">
        <v>0.005</v>
      </c>
      <c r="M52" s="500" t="n">
        <v>0.01</v>
      </c>
      <c r="N52" s="500" t="n">
        <v>0.015</v>
      </c>
      <c r="O52" s="281" t="n"/>
    </row>
    <row r="53" ht="17.25" customHeight="1" s="282">
      <c r="A53" s="281" t="n"/>
      <c r="B53" s="281" t="n"/>
      <c r="C53" s="281" t="n"/>
      <c r="D53" s="281" t="n"/>
      <c r="E53" s="281" t="n"/>
      <c r="F53" s="281" t="n"/>
      <c r="G53" s="281" t="n"/>
      <c r="H53" s="281" t="n"/>
      <c r="I53" s="281" t="n"/>
      <c r="J53" s="501" t="inlineStr">
        <is>
          <t xml:space="preserve"> WACC </t>
        </is>
      </c>
      <c r="K53" s="502" t="n">
        <v>0.09</v>
      </c>
      <c r="L53" s="503" t="n">
        <v>2429.05330464435</v>
      </c>
      <c r="M53" s="503" t="n">
        <v>2431.03705317351</v>
      </c>
      <c r="N53" s="503" t="n">
        <v>2433.02080170266</v>
      </c>
      <c r="O53" s="281" t="n"/>
    </row>
    <row r="54" ht="17.25" customHeight="1" s="282">
      <c r="A54" s="281" t="n"/>
      <c r="B54" s="281" t="n"/>
      <c r="C54" s="281" t="n"/>
      <c r="D54" s="281" t="n"/>
      <c r="E54" s="281" t="n"/>
      <c r="F54" s="281" t="n"/>
      <c r="G54" s="281" t="n"/>
      <c r="H54" s="281" t="n"/>
      <c r="I54" s="281" t="n"/>
      <c r="J54" s="504" t="n"/>
      <c r="K54" s="502" t="n">
        <v>0.1</v>
      </c>
      <c r="L54" s="503" t="n">
        <v>2363.29330005242</v>
      </c>
      <c r="M54" s="505" t="n">
        <v>2365.19715267784</v>
      </c>
      <c r="N54" s="503" t="n">
        <v>2367.10100530326</v>
      </c>
      <c r="O54" s="281" t="n"/>
    </row>
    <row r="55" ht="17.25" customHeight="1" s="282">
      <c r="A55" s="281" t="n"/>
      <c r="B55" s="281" t="n"/>
      <c r="C55" s="281" t="n"/>
      <c r="D55" s="281" t="n"/>
      <c r="E55" s="281" t="n"/>
      <c r="F55" s="281" t="n"/>
      <c r="G55" s="281" t="n"/>
      <c r="H55" s="281" t="n"/>
      <c r="I55" s="281" t="n"/>
      <c r="J55" s="506" t="n"/>
      <c r="K55" s="502" t="n">
        <v>0.11</v>
      </c>
      <c r="L55" s="503" t="n">
        <v>2300.19483885584</v>
      </c>
      <c r="M55" s="503" t="n">
        <v>2302.02269329214</v>
      </c>
      <c r="N55" s="503" t="n">
        <v>2303.85054772843</v>
      </c>
      <c r="O55" s="281" t="n"/>
    </row>
    <row r="56" ht="17.25" customHeight="1" s="282">
      <c r="A56" s="281" t="n"/>
      <c r="B56" s="281" t="n"/>
      <c r="C56" s="281" t="n"/>
      <c r="D56" s="281" t="n"/>
      <c r="E56" s="281" t="n"/>
      <c r="F56" s="281" t="n"/>
      <c r="G56" s="281" t="n"/>
      <c r="H56" s="281" t="n"/>
      <c r="I56" s="281" t="n"/>
      <c r="J56" s="281" t="n"/>
      <c r="K56" s="281" t="n"/>
      <c r="L56" s="281" t="n"/>
      <c r="M56" s="281" t="n"/>
      <c r="N56" s="281" t="n"/>
      <c r="O56" s="281" t="n"/>
    </row>
    <row r="57" ht="17.25" customHeight="1" s="282">
      <c r="A57" s="281" t="n"/>
      <c r="B57" s="325" t="inlineStr">
        <is>
          <t>Profit &amp; Loss</t>
        </is>
      </c>
      <c r="C57" s="333" t="n"/>
      <c r="D57" s="333" t="n"/>
      <c r="E57" s="333" t="n"/>
      <c r="F57" s="333" t="n"/>
      <c r="G57" s="333" t="n"/>
      <c r="H57" s="333" t="n"/>
      <c r="I57" s="333" t="n"/>
      <c r="J57" s="333" t="n"/>
      <c r="K57" s="333" t="n"/>
      <c r="L57" s="333" t="n"/>
      <c r="M57" s="333" t="n"/>
      <c r="N57" s="333" t="n"/>
      <c r="O57" s="333" t="n"/>
    </row>
    <row r="58" ht="17.25" customHeight="1" s="282">
      <c r="A58" s="281" t="n"/>
      <c r="B58" s="281" t="n"/>
      <c r="C58" s="281" t="n"/>
      <c r="D58" s="281" t="n"/>
      <c r="E58" s="281" t="n"/>
      <c r="F58" s="281" t="n"/>
      <c r="G58" s="354" t="n"/>
      <c r="H58" s="354" t="n"/>
      <c r="I58" s="354" t="n"/>
      <c r="J58" s="354" t="n"/>
      <c r="K58" s="439" t="n"/>
      <c r="L58" s="507" t="n"/>
      <c r="M58" s="508" t="n"/>
      <c r="N58" s="507" t="n"/>
      <c r="O58" s="281" t="n"/>
    </row>
    <row r="59" ht="17.25" customHeight="1" s="282">
      <c r="A59" s="281" t="n"/>
      <c r="B59" s="354" t="n"/>
      <c r="C59" s="354" t="n"/>
      <c r="D59" s="354" t="n"/>
      <c r="E59" s="354" t="n"/>
      <c r="F59" s="354" t="n"/>
      <c r="G59" s="450" t="inlineStr">
        <is>
          <t>Actual</t>
        </is>
      </c>
      <c r="H59" s="298" t="n"/>
      <c r="I59" s="298" t="n"/>
      <c r="J59" s="509" t="inlineStr">
        <is>
          <t>Forecast</t>
        </is>
      </c>
      <c r="K59" s="298" t="n"/>
      <c r="L59" s="298" t="n"/>
      <c r="M59" s="298" t="n"/>
      <c r="N59" s="298" t="n"/>
      <c r="O59" s="281" t="n"/>
    </row>
    <row r="60" ht="17.25" customHeight="1" s="282">
      <c r="A60" s="281" t="n"/>
      <c r="B60" s="335" t="inlineStr">
        <is>
          <t>Currency: KRW mn</t>
        </is>
      </c>
      <c r="C60" s="281" t="n"/>
      <c r="D60" s="281" t="n"/>
      <c r="E60" s="281" t="n"/>
      <c r="F60" s="281" t="n"/>
      <c r="G60" s="452">
        <f>"FY"&amp;G10</f>
        <v/>
      </c>
      <c r="H60" s="452">
        <f>"FY"&amp;H10</f>
        <v/>
      </c>
      <c r="I60" s="452">
        <f>"FY"&amp;I10</f>
        <v/>
      </c>
      <c r="J60" s="453">
        <f>"FY"&amp;J10</f>
        <v/>
      </c>
      <c r="K60" s="452">
        <f>"FY"&amp;K10</f>
        <v/>
      </c>
      <c r="L60" s="452">
        <f>"FY"&amp;L10</f>
        <v/>
      </c>
      <c r="M60" s="452">
        <f>"FY"&amp;M10</f>
        <v/>
      </c>
      <c r="N60" s="452">
        <f>"FY"&amp;N10</f>
        <v/>
      </c>
      <c r="O60" s="281" t="n"/>
    </row>
    <row r="61" ht="17.25" customHeight="1" s="282">
      <c r="A61" s="281" t="n"/>
      <c r="B61" s="454" t="inlineStr">
        <is>
          <t>Revenue</t>
        </is>
      </c>
      <c r="C61" s="455" t="n"/>
      <c r="D61" s="455" t="n"/>
      <c r="E61" s="455" t="n"/>
      <c r="F61" s="455" t="n"/>
      <c r="G61" s="456">
        <f>G20</f>
        <v/>
      </c>
      <c r="H61" s="456">
        <f>H20</f>
        <v/>
      </c>
      <c r="I61" s="456">
        <f>I20</f>
        <v/>
      </c>
      <c r="J61" s="457">
        <f>J20</f>
        <v/>
      </c>
      <c r="K61" s="456">
        <f>K20</f>
        <v/>
      </c>
      <c r="L61" s="456">
        <f>L20</f>
        <v/>
      </c>
      <c r="M61" s="456">
        <f>M20</f>
        <v/>
      </c>
      <c r="N61" s="458">
        <f>N20</f>
        <v/>
      </c>
      <c r="O61" s="281" t="n"/>
    </row>
    <row r="62" ht="17.25" customHeight="1" s="282">
      <c r="A62" s="281" t="n"/>
      <c r="B62" s="459" t="inlineStr">
        <is>
          <t>Growth%</t>
        </is>
      </c>
      <c r="C62" s="281" t="n"/>
      <c r="D62" s="281" t="n"/>
      <c r="E62" s="281" t="n"/>
      <c r="F62" s="281" t="n"/>
      <c r="G62" s="385">
        <f>G21</f>
        <v/>
      </c>
      <c r="H62" s="390">
        <f>H21</f>
        <v/>
      </c>
      <c r="I62" s="390">
        <f>I21</f>
        <v/>
      </c>
      <c r="J62" s="460">
        <f>J21</f>
        <v/>
      </c>
      <c r="K62" s="390">
        <f>K21</f>
        <v/>
      </c>
      <c r="L62" s="390">
        <f>L21</f>
        <v/>
      </c>
      <c r="M62" s="390">
        <f>M21</f>
        <v/>
      </c>
      <c r="N62" s="461">
        <f>N21</f>
        <v/>
      </c>
      <c r="O62" s="281" t="n"/>
    </row>
    <row r="63" ht="17.25" customHeight="1" s="282">
      <c r="A63" s="281" t="n"/>
      <c r="B63" s="462" t="inlineStr">
        <is>
          <t>COGS</t>
        </is>
      </c>
      <c r="C63" s="434" t="n"/>
      <c r="D63" s="434" t="n"/>
      <c r="E63" s="434" t="n"/>
      <c r="F63" s="434" t="n"/>
      <c r="G63" s="463">
        <f>G22</f>
        <v/>
      </c>
      <c r="H63" s="463">
        <f>H22</f>
        <v/>
      </c>
      <c r="I63" s="463">
        <f>I22</f>
        <v/>
      </c>
      <c r="J63" s="464">
        <f>J22</f>
        <v/>
      </c>
      <c r="K63" s="463">
        <f>K22</f>
        <v/>
      </c>
      <c r="L63" s="463">
        <f>L22</f>
        <v/>
      </c>
      <c r="M63" s="463">
        <f>M22</f>
        <v/>
      </c>
      <c r="N63" s="465">
        <f>N22</f>
        <v/>
      </c>
      <c r="O63" s="281" t="n"/>
    </row>
    <row r="64" ht="17.25" customHeight="1" s="282">
      <c r="A64" s="281" t="n"/>
      <c r="B64" s="454" t="inlineStr">
        <is>
          <t>Gross profit</t>
        </is>
      </c>
      <c r="C64" s="455" t="n"/>
      <c r="D64" s="455" t="n"/>
      <c r="E64" s="455" t="n"/>
      <c r="F64" s="455" t="n"/>
      <c r="G64" s="456">
        <f>G23</f>
        <v/>
      </c>
      <c r="H64" s="456">
        <f>H23</f>
        <v/>
      </c>
      <c r="I64" s="456">
        <f>I23</f>
        <v/>
      </c>
      <c r="J64" s="457">
        <f>J23</f>
        <v/>
      </c>
      <c r="K64" s="456">
        <f>K23</f>
        <v/>
      </c>
      <c r="L64" s="456">
        <f>L23</f>
        <v/>
      </c>
      <c r="M64" s="456">
        <f>M23</f>
        <v/>
      </c>
      <c r="N64" s="458">
        <f>N23</f>
        <v/>
      </c>
      <c r="O64" s="281" t="n"/>
    </row>
    <row r="65" ht="17.25" customHeight="1" s="282">
      <c r="A65" s="281" t="n"/>
      <c r="B65" s="466" t="inlineStr">
        <is>
          <t>Gross margin</t>
        </is>
      </c>
      <c r="C65" s="354" t="n"/>
      <c r="D65" s="354" t="n"/>
      <c r="E65" s="354" t="n"/>
      <c r="F65" s="354" t="n"/>
      <c r="G65" s="467">
        <f>G24</f>
        <v/>
      </c>
      <c r="H65" s="467">
        <f>H24</f>
        <v/>
      </c>
      <c r="I65" s="467">
        <f>I24</f>
        <v/>
      </c>
      <c r="J65" s="468">
        <f>J24</f>
        <v/>
      </c>
      <c r="K65" s="467">
        <f>K24</f>
        <v/>
      </c>
      <c r="L65" s="467">
        <f>L24</f>
        <v/>
      </c>
      <c r="M65" s="467">
        <f>M24</f>
        <v/>
      </c>
      <c r="N65" s="469">
        <f>N24</f>
        <v/>
      </c>
      <c r="O65" s="281" t="n"/>
    </row>
    <row r="66" ht="17.25" customHeight="1" s="282">
      <c r="A66" s="281" t="n"/>
      <c r="B66" s="454" t="inlineStr">
        <is>
          <t>SG&amp;A</t>
        </is>
      </c>
      <c r="C66" s="455" t="n"/>
      <c r="D66" s="455" t="n"/>
      <c r="E66" s="455" t="n"/>
      <c r="F66" s="455" t="n"/>
      <c r="G66" s="456">
        <f>G25</f>
        <v/>
      </c>
      <c r="H66" s="456">
        <f>H25</f>
        <v/>
      </c>
      <c r="I66" s="456">
        <f>I25</f>
        <v/>
      </c>
      <c r="J66" s="457">
        <f>J25</f>
        <v/>
      </c>
      <c r="K66" s="456">
        <f>K25</f>
        <v/>
      </c>
      <c r="L66" s="456">
        <f>L25</f>
        <v/>
      </c>
      <c r="M66" s="456">
        <f>M25</f>
        <v/>
      </c>
      <c r="N66" s="458">
        <f>N25</f>
        <v/>
      </c>
      <c r="O66" s="281" t="n"/>
    </row>
    <row r="67" ht="17.25" customHeight="1" s="282">
      <c r="A67" s="281" t="n"/>
      <c r="B67" s="466" t="inlineStr">
        <is>
          <t>SG&amp;A%</t>
        </is>
      </c>
      <c r="C67" s="354" t="n"/>
      <c r="D67" s="354" t="n"/>
      <c r="E67" s="354" t="n"/>
      <c r="F67" s="354" t="n"/>
      <c r="G67" s="467">
        <f>G26</f>
        <v/>
      </c>
      <c r="H67" s="467">
        <f>H26</f>
        <v/>
      </c>
      <c r="I67" s="467">
        <f>I26</f>
        <v/>
      </c>
      <c r="J67" s="468">
        <f>J26</f>
        <v/>
      </c>
      <c r="K67" s="467">
        <f>K26</f>
        <v/>
      </c>
      <c r="L67" s="467">
        <f>L26</f>
        <v/>
      </c>
      <c r="M67" s="467">
        <f>M26</f>
        <v/>
      </c>
      <c r="N67" s="469">
        <f>N26</f>
        <v/>
      </c>
      <c r="O67" s="281" t="n"/>
    </row>
    <row r="68" ht="17.25" customHeight="1" s="282">
      <c r="A68" s="281" t="n"/>
      <c r="B68" s="454" t="inlineStr">
        <is>
          <t>EBIT</t>
        </is>
      </c>
      <c r="C68" s="455" t="n"/>
      <c r="D68" s="455" t="n"/>
      <c r="E68" s="455" t="n"/>
      <c r="F68" s="455" t="n"/>
      <c r="G68" s="456">
        <f>G27</f>
        <v/>
      </c>
      <c r="H68" s="456">
        <f>H27</f>
        <v/>
      </c>
      <c r="I68" s="456">
        <f>I27</f>
        <v/>
      </c>
      <c r="J68" s="457">
        <f>J27</f>
        <v/>
      </c>
      <c r="K68" s="456">
        <f>K27</f>
        <v/>
      </c>
      <c r="L68" s="456">
        <f>L27</f>
        <v/>
      </c>
      <c r="M68" s="456">
        <f>M27</f>
        <v/>
      </c>
      <c r="N68" s="458">
        <f>N27</f>
        <v/>
      </c>
      <c r="O68" s="281" t="n"/>
    </row>
    <row r="69" ht="17.25" customHeight="1" s="282">
      <c r="A69" s="281" t="n"/>
      <c r="B69" s="466" t="inlineStr">
        <is>
          <t>EBIT%</t>
        </is>
      </c>
      <c r="C69" s="354" t="n"/>
      <c r="D69" s="354" t="n"/>
      <c r="E69" s="354" t="n"/>
      <c r="F69" s="354" t="n"/>
      <c r="G69" s="467">
        <f>G28</f>
        <v/>
      </c>
      <c r="H69" s="467">
        <f>H28</f>
        <v/>
      </c>
      <c r="I69" s="467">
        <f>I28</f>
        <v/>
      </c>
      <c r="J69" s="468">
        <f>J28</f>
        <v/>
      </c>
      <c r="K69" s="467">
        <f>K28</f>
        <v/>
      </c>
      <c r="L69" s="467">
        <f>L28</f>
        <v/>
      </c>
      <c r="M69" s="467">
        <f>M28</f>
        <v/>
      </c>
      <c r="N69" s="469">
        <f>N28</f>
        <v/>
      </c>
      <c r="O69" s="281" t="n"/>
    </row>
    <row r="70" ht="17.25" customHeight="1" s="282">
      <c r="A70" s="281" t="n"/>
      <c r="B70" s="470" t="inlineStr">
        <is>
          <t>Dep&amp;Amor.</t>
        </is>
      </c>
      <c r="C70" s="353" t="n"/>
      <c r="D70" s="353" t="n"/>
      <c r="E70" s="353" t="n"/>
      <c r="F70" s="353" t="n"/>
      <c r="G70" s="471">
        <f>G29</f>
        <v/>
      </c>
      <c r="H70" s="471">
        <f>H29</f>
        <v/>
      </c>
      <c r="I70" s="471">
        <f>I29</f>
        <v/>
      </c>
      <c r="J70" s="475">
        <f>J29</f>
        <v/>
      </c>
      <c r="K70" s="471">
        <f>K29</f>
        <v/>
      </c>
      <c r="L70" s="471">
        <f>L29</f>
        <v/>
      </c>
      <c r="M70" s="471">
        <f>M29</f>
        <v/>
      </c>
      <c r="N70" s="476">
        <f>N29</f>
        <v/>
      </c>
      <c r="O70" s="281" t="n"/>
    </row>
    <row r="71" ht="17.25" customHeight="1" s="282">
      <c r="A71" s="281" t="n"/>
      <c r="B71" s="454" t="inlineStr">
        <is>
          <t>EBITDA</t>
        </is>
      </c>
      <c r="C71" s="455" t="n"/>
      <c r="D71" s="455" t="n"/>
      <c r="E71" s="455" t="n"/>
      <c r="F71" s="455" t="n"/>
      <c r="G71" s="456">
        <f>G30</f>
        <v/>
      </c>
      <c r="H71" s="456">
        <f>H30</f>
        <v/>
      </c>
      <c r="I71" s="456">
        <f>I30</f>
        <v/>
      </c>
      <c r="J71" s="457">
        <f>J30</f>
        <v/>
      </c>
      <c r="K71" s="456">
        <f>K30</f>
        <v/>
      </c>
      <c r="L71" s="456">
        <f>L30</f>
        <v/>
      </c>
      <c r="M71" s="456">
        <f>M30</f>
        <v/>
      </c>
      <c r="N71" s="458">
        <f>N30</f>
        <v/>
      </c>
      <c r="O71" s="281" t="n"/>
    </row>
    <row r="72" ht="17.25" customHeight="1" s="282">
      <c r="A72" s="281" t="n"/>
      <c r="B72" s="466" t="inlineStr">
        <is>
          <t>EBITDA %</t>
        </is>
      </c>
      <c r="C72" s="354" t="n"/>
      <c r="D72" s="354" t="n"/>
      <c r="E72" s="354" t="n"/>
      <c r="F72" s="354" t="n"/>
      <c r="G72" s="467">
        <f>G31</f>
        <v/>
      </c>
      <c r="H72" s="467">
        <f>H31</f>
        <v/>
      </c>
      <c r="I72" s="467">
        <f>I31</f>
        <v/>
      </c>
      <c r="J72" s="468">
        <f>J31</f>
        <v/>
      </c>
      <c r="K72" s="467">
        <f>K31</f>
        <v/>
      </c>
      <c r="L72" s="467">
        <f>L31</f>
        <v/>
      </c>
      <c r="M72" s="467">
        <f>M31</f>
        <v/>
      </c>
      <c r="N72" s="469">
        <f>N31</f>
        <v/>
      </c>
      <c r="O72" s="281" t="n"/>
    </row>
    <row r="73" ht="17.25" customHeight="1" s="282">
      <c r="A73" s="281" t="n"/>
      <c r="B73" s="510" t="inlineStr">
        <is>
          <t>OOI/OOE</t>
        </is>
      </c>
      <c r="C73" s="353" t="n"/>
      <c r="D73" s="353" t="n"/>
      <c r="E73" s="353" t="n"/>
      <c r="F73" s="353" t="n"/>
      <c r="G73" s="471">
        <f>G74+G75-G76-G77</f>
        <v/>
      </c>
      <c r="H73" s="471">
        <f>H74+H75-H76-H77</f>
        <v/>
      </c>
      <c r="I73" s="471">
        <f>I74+I75-I76-I77</f>
        <v/>
      </c>
      <c r="J73" s="475">
        <f>J74+J75-J76-J77</f>
        <v/>
      </c>
      <c r="K73" s="471">
        <f>K74+K75-K76-K77</f>
        <v/>
      </c>
      <c r="L73" s="471">
        <f>L74+L75-L76-L77</f>
        <v/>
      </c>
      <c r="M73" s="471">
        <f>M74+M75-M76-M77</f>
        <v/>
      </c>
      <c r="N73" s="476">
        <f>N74+N75-N76-N77</f>
        <v/>
      </c>
      <c r="O73" s="281" t="n"/>
    </row>
    <row r="74" ht="17.25" customHeight="1" s="282">
      <c r="A74" s="281" t="n"/>
      <c r="B74" s="511" t="inlineStr">
        <is>
          <t>이자손익</t>
        </is>
      </c>
      <c r="C74" s="281" t="n"/>
      <c r="D74" s="281" t="n"/>
      <c r="E74" s="281" t="n"/>
      <c r="F74" s="281" t="n"/>
      <c r="G74" s="385">
        <f>Input!G46</f>
        <v/>
      </c>
      <c r="H74" s="385">
        <f>Input!H46</f>
        <v/>
      </c>
      <c r="I74" s="385">
        <f>Input!I46</f>
        <v/>
      </c>
      <c r="J74" s="480">
        <f>Calculation!J177</f>
        <v/>
      </c>
      <c r="K74" s="385">
        <f>Calculation!K177</f>
        <v/>
      </c>
      <c r="L74" s="385">
        <f>Calculation!L177</f>
        <v/>
      </c>
      <c r="M74" s="385">
        <f>Calculation!M177</f>
        <v/>
      </c>
      <c r="N74" s="481">
        <f>Calculation!N177</f>
        <v/>
      </c>
      <c r="O74" s="281" t="n"/>
    </row>
    <row r="75" ht="17.25" customHeight="1" s="282">
      <c r="A75" s="281" t="n"/>
      <c r="B75" s="511" t="inlineStr">
        <is>
          <t>기타</t>
        </is>
      </c>
      <c r="C75" s="281" t="n"/>
      <c r="D75" s="281" t="n"/>
      <c r="E75" s="281" t="n"/>
      <c r="F75" s="281" t="n"/>
      <c r="G75" s="385">
        <f>Input!G47</f>
        <v/>
      </c>
      <c r="H75" s="385">
        <f>Input!H47</f>
        <v/>
      </c>
      <c r="I75" s="385">
        <f>Input!I47</f>
        <v/>
      </c>
      <c r="J75" s="480">
        <f>Calculation!J178</f>
        <v/>
      </c>
      <c r="K75" s="385">
        <f>Calculation!K178</f>
        <v/>
      </c>
      <c r="L75" s="385">
        <f>Calculation!L178</f>
        <v/>
      </c>
      <c r="M75" s="385">
        <f>Calculation!M178</f>
        <v/>
      </c>
      <c r="N75" s="481">
        <f>Calculation!N178</f>
        <v/>
      </c>
      <c r="O75" s="281" t="n"/>
    </row>
    <row r="76" ht="17.25" customHeight="1" s="282">
      <c r="A76" s="281" t="n"/>
      <c r="B76" s="511" t="inlineStr">
        <is>
          <t>이자비용</t>
        </is>
      </c>
      <c r="C76" s="281" t="n"/>
      <c r="D76" s="281" t="n"/>
      <c r="E76" s="281" t="n"/>
      <c r="F76" s="281" t="n"/>
      <c r="G76" s="385">
        <f>Input!G49</f>
        <v/>
      </c>
      <c r="H76" s="385">
        <f>Input!H49</f>
        <v/>
      </c>
      <c r="I76" s="385">
        <f>Input!I49</f>
        <v/>
      </c>
      <c r="J76" s="480">
        <f>Calculation!J181</f>
        <v/>
      </c>
      <c r="K76" s="385">
        <f>Calculation!K181</f>
        <v/>
      </c>
      <c r="L76" s="385">
        <f>Calculation!L181</f>
        <v/>
      </c>
      <c r="M76" s="385">
        <f>Calculation!M181</f>
        <v/>
      </c>
      <c r="N76" s="481">
        <f>Calculation!N181</f>
        <v/>
      </c>
      <c r="O76" s="281" t="n"/>
    </row>
    <row r="77" ht="17.25" customHeight="1" s="282">
      <c r="A77" s="281" t="n"/>
      <c r="B77" s="493" t="inlineStr">
        <is>
          <t>기타</t>
        </is>
      </c>
      <c r="C77" s="354" t="n"/>
      <c r="D77" s="354" t="n"/>
      <c r="E77" s="354" t="n"/>
      <c r="F77" s="354" t="n"/>
      <c r="G77" s="398">
        <f>Input!G50</f>
        <v/>
      </c>
      <c r="H77" s="398">
        <f>Input!H50</f>
        <v/>
      </c>
      <c r="I77" s="398">
        <f>Input!I50</f>
        <v/>
      </c>
      <c r="J77" s="488">
        <f>Calculation!J182</f>
        <v/>
      </c>
      <c r="K77" s="398">
        <f>Calculation!K182</f>
        <v/>
      </c>
      <c r="L77" s="398">
        <f>Calculation!L182</f>
        <v/>
      </c>
      <c r="M77" s="398">
        <f>Calculation!M182</f>
        <v/>
      </c>
      <c r="N77" s="489">
        <f>Calculation!N182</f>
        <v/>
      </c>
      <c r="O77" s="281" t="n"/>
    </row>
    <row r="78" ht="17.25" customHeight="1" s="282">
      <c r="A78" s="281" t="n"/>
      <c r="B78" s="512" t="inlineStr">
        <is>
          <t>PBT</t>
        </is>
      </c>
      <c r="C78" s="513" t="n"/>
      <c r="D78" s="513" t="n"/>
      <c r="E78" s="513" t="n"/>
      <c r="F78" s="513" t="n"/>
      <c r="G78" s="514">
        <f>G68-G73</f>
        <v/>
      </c>
      <c r="H78" s="514">
        <f>H68-H73</f>
        <v/>
      </c>
      <c r="I78" s="514">
        <f>I68-I73</f>
        <v/>
      </c>
      <c r="J78" s="515">
        <f>J68-J73</f>
        <v/>
      </c>
      <c r="K78" s="514">
        <f>K68-K73</f>
        <v/>
      </c>
      <c r="L78" s="514">
        <f>L68-L73</f>
        <v/>
      </c>
      <c r="M78" s="514">
        <f>M68-M73</f>
        <v/>
      </c>
      <c r="N78" s="516">
        <f>N68-N73</f>
        <v/>
      </c>
      <c r="O78" s="281" t="n"/>
    </row>
    <row r="79" ht="17.25" customHeight="1" s="282">
      <c r="A79" s="281" t="n"/>
      <c r="B79" s="517" t="inlineStr">
        <is>
          <t>CIT</t>
        </is>
      </c>
      <c r="C79" s="353" t="n"/>
      <c r="D79" s="353" t="n"/>
      <c r="E79" s="353" t="n"/>
      <c r="F79" s="353" t="n"/>
      <c r="G79" s="471">
        <f>Input!G52</f>
        <v/>
      </c>
      <c r="H79" s="471">
        <f>Input!H52</f>
        <v/>
      </c>
      <c r="I79" s="471">
        <f>Input!I52</f>
        <v/>
      </c>
      <c r="J79" s="475">
        <f>J32</f>
        <v/>
      </c>
      <c r="K79" s="471">
        <f>K32</f>
        <v/>
      </c>
      <c r="L79" s="471">
        <f>L32</f>
        <v/>
      </c>
      <c r="M79" s="471">
        <f>M32</f>
        <v/>
      </c>
      <c r="N79" s="476">
        <f>N32</f>
        <v/>
      </c>
      <c r="O79" s="281" t="n"/>
    </row>
    <row r="80" ht="17.25" customHeight="1" s="282">
      <c r="A80" s="281" t="n"/>
      <c r="B80" s="462" t="inlineStr">
        <is>
          <t>Net income</t>
        </is>
      </c>
      <c r="C80" s="434" t="n"/>
      <c r="D80" s="434" t="n"/>
      <c r="E80" s="434" t="n"/>
      <c r="F80" s="434" t="n"/>
      <c r="G80" s="463">
        <f>G78-G79</f>
        <v/>
      </c>
      <c r="H80" s="463">
        <f>H78-H79</f>
        <v/>
      </c>
      <c r="I80" s="463">
        <f>I78-I79</f>
        <v/>
      </c>
      <c r="J80" s="464">
        <f>J78-J79</f>
        <v/>
      </c>
      <c r="K80" s="463">
        <f>K78-K79</f>
        <v/>
      </c>
      <c r="L80" s="463">
        <f>L78-L79</f>
        <v/>
      </c>
      <c r="M80" s="463">
        <f>M78-M79</f>
        <v/>
      </c>
      <c r="N80" s="465">
        <f>N78-N79</f>
        <v/>
      </c>
      <c r="O80" s="281" t="n"/>
    </row>
    <row r="81" ht="17.25" customHeight="1" s="282">
      <c r="A81" s="281" t="n"/>
      <c r="B81" s="281" t="n"/>
      <c r="C81" s="281" t="n"/>
      <c r="D81" s="281" t="n"/>
      <c r="E81" s="281" t="n"/>
      <c r="F81" s="281" t="n"/>
      <c r="G81" s="281" t="n"/>
      <c r="H81" s="281" t="n"/>
      <c r="I81" s="281" t="n"/>
      <c r="J81" s="281" t="n"/>
      <c r="K81" s="281" t="n"/>
      <c r="L81" s="281" t="n"/>
      <c r="M81" s="281" t="n"/>
      <c r="N81" s="281" t="n"/>
      <c r="O81" s="281" t="n"/>
    </row>
    <row r="82" ht="17.25" customHeight="1" s="282">
      <c r="A82" s="281" t="n"/>
      <c r="B82" s="325" t="inlineStr">
        <is>
          <t>Balance Sheet</t>
        </is>
      </c>
      <c r="C82" s="333" t="n"/>
      <c r="D82" s="333" t="n"/>
      <c r="E82" s="333" t="n"/>
      <c r="F82" s="333" t="n"/>
      <c r="G82" s="333" t="n"/>
      <c r="H82" s="333" t="n"/>
      <c r="I82" s="333" t="n"/>
      <c r="J82" s="333" t="n"/>
      <c r="K82" s="333" t="n"/>
      <c r="L82" s="333" t="n"/>
      <c r="M82" s="333" t="n"/>
      <c r="N82" s="333" t="n"/>
      <c r="O82" s="333" t="n"/>
    </row>
    <row r="83" ht="17.25" customHeight="1" s="282">
      <c r="A83" s="281" t="n"/>
      <c r="B83" s="281" t="n"/>
      <c r="C83" s="281" t="n"/>
      <c r="D83" s="281" t="n"/>
      <c r="E83" s="281" t="n"/>
      <c r="F83" s="281" t="n"/>
      <c r="G83" s="354" t="n"/>
      <c r="H83" s="354" t="n"/>
      <c r="I83" s="354" t="n"/>
      <c r="J83" s="354" t="n"/>
      <c r="K83" s="354" t="n"/>
      <c r="L83" s="354" t="n"/>
      <c r="M83" s="354" t="n"/>
      <c r="N83" s="354" t="n"/>
      <c r="O83" s="281" t="n"/>
    </row>
    <row r="84" ht="17.25" customHeight="1" s="282">
      <c r="A84" s="281" t="n"/>
      <c r="B84" s="354" t="n"/>
      <c r="C84" s="354" t="n"/>
      <c r="D84" s="354" t="n"/>
      <c r="E84" s="354" t="n"/>
      <c r="F84" s="354" t="n"/>
      <c r="G84" s="450" t="inlineStr">
        <is>
          <t>Actual</t>
        </is>
      </c>
      <c r="H84" s="298" t="n"/>
      <c r="I84" s="298" t="n"/>
      <c r="J84" s="451" t="inlineStr">
        <is>
          <t>Forecast</t>
        </is>
      </c>
      <c r="K84" s="292" t="n"/>
      <c r="L84" s="292" t="n"/>
      <c r="M84" s="292" t="n"/>
      <c r="N84" s="292" t="n"/>
      <c r="O84" s="281" t="n"/>
    </row>
    <row r="85" ht="17.25" customHeight="1" s="282">
      <c r="A85" s="281" t="n"/>
      <c r="B85" s="518" t="inlineStr">
        <is>
          <t>Currency: KRW mn</t>
        </is>
      </c>
      <c r="C85" s="353" t="n"/>
      <c r="D85" s="353" t="n"/>
      <c r="E85" s="353" t="n"/>
      <c r="F85" s="353" t="n"/>
      <c r="G85" s="519">
        <f>"Dec"&amp;G10</f>
        <v/>
      </c>
      <c r="H85" s="519">
        <f>"Dec"&amp;H10</f>
        <v/>
      </c>
      <c r="I85" s="519">
        <f>"Dec"&amp;I10</f>
        <v/>
      </c>
      <c r="J85" s="520">
        <f>"Dec"&amp;J10</f>
        <v/>
      </c>
      <c r="K85" s="519">
        <f>"Dec"&amp;K10</f>
        <v/>
      </c>
      <c r="L85" s="519">
        <f>"Dec"&amp;L10</f>
        <v/>
      </c>
      <c r="M85" s="519">
        <f>"Dec"&amp;M10</f>
        <v/>
      </c>
      <c r="N85" s="519">
        <f>"Dec"&amp;N10</f>
        <v/>
      </c>
      <c r="O85" s="281" t="n"/>
    </row>
    <row r="86" ht="17.25" customHeight="1" s="282">
      <c r="A86" s="281" t="n"/>
      <c r="B86" s="521" t="inlineStr">
        <is>
          <t>유동자산</t>
        </is>
      </c>
      <c r="C86" s="513" t="n"/>
      <c r="D86" s="513" t="n"/>
      <c r="E86" s="513" t="n"/>
      <c r="F86" s="513" t="n"/>
      <c r="G86" s="514">
        <f>SUM(G87:G90)</f>
        <v/>
      </c>
      <c r="H86" s="514">
        <f>SUM(H87:H90)</f>
        <v/>
      </c>
      <c r="I86" s="514">
        <f>SUM(I87:I90)</f>
        <v/>
      </c>
      <c r="J86" s="515">
        <f>SUM(J87:J90)</f>
        <v/>
      </c>
      <c r="K86" s="514">
        <f>SUM(K87:K90)</f>
        <v/>
      </c>
      <c r="L86" s="514">
        <f>SUM(L87:L90)</f>
        <v/>
      </c>
      <c r="M86" s="514">
        <f>SUM(M87:M90)</f>
        <v/>
      </c>
      <c r="N86" s="516">
        <f>SUM(N87:N90)</f>
        <v/>
      </c>
      <c r="O86" s="281" t="n"/>
    </row>
    <row r="87" ht="17.25" customHeight="1" s="282">
      <c r="A87" s="281" t="n"/>
      <c r="B87" s="522" t="inlineStr">
        <is>
          <t>현금및현금성자산</t>
        </is>
      </c>
      <c r="C87" s="281" t="n"/>
      <c r="D87" s="281" t="n"/>
      <c r="E87" s="281" t="n"/>
      <c r="F87" s="281" t="n"/>
      <c r="G87" s="385">
        <f>Input!G57</f>
        <v/>
      </c>
      <c r="H87" s="385">
        <f>Input!H57</f>
        <v/>
      </c>
      <c r="I87" s="385">
        <f>Input!I57</f>
        <v/>
      </c>
      <c r="J87" s="480">
        <f>J129</f>
        <v/>
      </c>
      <c r="K87" s="385">
        <f>K129</f>
        <v/>
      </c>
      <c r="L87" s="385">
        <f>L129</f>
        <v/>
      </c>
      <c r="M87" s="385">
        <f>M129</f>
        <v/>
      </c>
      <c r="N87" s="481">
        <f>N129</f>
        <v/>
      </c>
      <c r="O87" s="281" t="n"/>
    </row>
    <row r="88" ht="17.25" customHeight="1" s="282">
      <c r="A88" s="281" t="n"/>
      <c r="B88" s="522" t="inlineStr">
        <is>
          <t>매출채권</t>
        </is>
      </c>
      <c r="C88" s="281" t="n"/>
      <c r="D88" s="281" t="n"/>
      <c r="E88" s="281" t="n"/>
      <c r="F88" s="281" t="n"/>
      <c r="G88" s="385">
        <f>Input!G58</f>
        <v/>
      </c>
      <c r="H88" s="385">
        <f>Input!H58</f>
        <v/>
      </c>
      <c r="I88" s="385">
        <f>Input!I58</f>
        <v/>
      </c>
      <c r="J88" s="480">
        <f>Calculation!J165</f>
        <v/>
      </c>
      <c r="K88" s="385">
        <f>Calculation!K165</f>
        <v/>
      </c>
      <c r="L88" s="385">
        <f>Calculation!L165</f>
        <v/>
      </c>
      <c r="M88" s="385">
        <f>Calculation!M165</f>
        <v/>
      </c>
      <c r="N88" s="481">
        <f>Calculation!N165</f>
        <v/>
      </c>
      <c r="O88" s="281" t="n"/>
    </row>
    <row r="89" ht="17.25" customHeight="1" s="282">
      <c r="A89" s="281" t="n"/>
      <c r="B89" s="522" t="inlineStr">
        <is>
          <t>재고자산</t>
        </is>
      </c>
      <c r="C89" s="281" t="n"/>
      <c r="D89" s="281" t="n"/>
      <c r="E89" s="281" t="n"/>
      <c r="F89" s="281" t="n"/>
      <c r="G89" s="385">
        <f>Input!G59</f>
        <v/>
      </c>
      <c r="H89" s="385">
        <f>Input!H59</f>
        <v/>
      </c>
      <c r="I89" s="385">
        <f>Input!I59</f>
        <v/>
      </c>
      <c r="J89" s="480">
        <f>Calculation!J166</f>
        <v/>
      </c>
      <c r="K89" s="385">
        <f>Calculation!K166</f>
        <v/>
      </c>
      <c r="L89" s="385">
        <f>Calculation!L166</f>
        <v/>
      </c>
      <c r="M89" s="385">
        <f>Calculation!M166</f>
        <v/>
      </c>
      <c r="N89" s="481">
        <f>Calculation!N166</f>
        <v/>
      </c>
      <c r="O89" s="281" t="n"/>
    </row>
    <row r="90" ht="17.25" customHeight="1" s="282">
      <c r="A90" s="281" t="n"/>
      <c r="B90" s="523" t="inlineStr">
        <is>
          <t>기타유동자산</t>
        </is>
      </c>
      <c r="C90" s="354" t="n"/>
      <c r="D90" s="354" t="n"/>
      <c r="E90" s="354" t="n"/>
      <c r="F90" s="354" t="n"/>
      <c r="G90" s="398">
        <f>Input!G60</f>
        <v/>
      </c>
      <c r="H90" s="398">
        <f>Input!H60</f>
        <v/>
      </c>
      <c r="I90" s="398">
        <f>Input!I60</f>
        <v/>
      </c>
      <c r="J90" s="488">
        <f>I90</f>
        <v/>
      </c>
      <c r="K90" s="398">
        <f>J90</f>
        <v/>
      </c>
      <c r="L90" s="398">
        <f>K90</f>
        <v/>
      </c>
      <c r="M90" s="398">
        <f>L90</f>
        <v/>
      </c>
      <c r="N90" s="489">
        <f>M90</f>
        <v/>
      </c>
      <c r="O90" s="281" t="n"/>
    </row>
    <row r="91" ht="17.25" customHeight="1" s="282">
      <c r="A91" s="281" t="n"/>
      <c r="B91" s="524" t="inlineStr">
        <is>
          <t>비유동자산</t>
        </is>
      </c>
      <c r="C91" s="434" t="n"/>
      <c r="D91" s="434" t="n"/>
      <c r="E91" s="434" t="n"/>
      <c r="F91" s="434" t="n"/>
      <c r="G91" s="463">
        <f>SUM(G92:G96)</f>
        <v/>
      </c>
      <c r="H91" s="463">
        <f>SUM(H92:H96)</f>
        <v/>
      </c>
      <c r="I91" s="463">
        <f>SUM(I92:I96)</f>
        <v/>
      </c>
      <c r="J91" s="464">
        <f>SUM(J92:J96)</f>
        <v/>
      </c>
      <c r="K91" s="463">
        <f>SUM(K92:K96)</f>
        <v/>
      </c>
      <c r="L91" s="463">
        <f>SUM(L92:L96)</f>
        <v/>
      </c>
      <c r="M91" s="463">
        <f>SUM(M92:M96)</f>
        <v/>
      </c>
      <c r="N91" s="465">
        <f>SUM(N92:N96)</f>
        <v/>
      </c>
      <c r="O91" s="281" t="n"/>
    </row>
    <row r="92" ht="17.25" customHeight="1" s="282">
      <c r="A92" s="281" t="n"/>
      <c r="B92" s="522" t="inlineStr">
        <is>
          <t>유형자산</t>
        </is>
      </c>
      <c r="C92" s="281" t="n"/>
      <c r="D92" s="281" t="n"/>
      <c r="E92" s="281" t="n"/>
      <c r="F92" s="281" t="n"/>
      <c r="G92" s="425">
        <f>Input!G62</f>
        <v/>
      </c>
      <c r="H92" s="425">
        <f>Input!H62</f>
        <v/>
      </c>
      <c r="I92" s="525">
        <f>Input!I62</f>
        <v/>
      </c>
      <c r="J92" s="480">
        <f>I92</f>
        <v/>
      </c>
      <c r="K92" s="385">
        <f>J92</f>
        <v/>
      </c>
      <c r="L92" s="385">
        <f>K92</f>
        <v/>
      </c>
      <c r="M92" s="385">
        <f>L92</f>
        <v/>
      </c>
      <c r="N92" s="481">
        <f>M92</f>
        <v/>
      </c>
      <c r="O92" s="281" t="n"/>
    </row>
    <row r="93" ht="17.25" customHeight="1" s="282">
      <c r="A93" s="281" t="n"/>
      <c r="B93" s="522" t="inlineStr">
        <is>
          <t>무형자산</t>
        </is>
      </c>
      <c r="C93" s="281" t="n"/>
      <c r="D93" s="281" t="n"/>
      <c r="E93" s="281" t="n"/>
      <c r="F93" s="281" t="n"/>
      <c r="G93" s="385">
        <f>Input!G63</f>
        <v/>
      </c>
      <c r="H93" s="385">
        <f>Input!H63</f>
        <v/>
      </c>
      <c r="I93" s="385">
        <f>Input!I63</f>
        <v/>
      </c>
      <c r="J93" s="480">
        <f>I93</f>
        <v/>
      </c>
      <c r="K93" s="385">
        <f>J93</f>
        <v/>
      </c>
      <c r="L93" s="385">
        <f>K93</f>
        <v/>
      </c>
      <c r="M93" s="385">
        <f>L93</f>
        <v/>
      </c>
      <c r="N93" s="481">
        <f>M93</f>
        <v/>
      </c>
      <c r="O93" s="281" t="n"/>
    </row>
    <row r="94" ht="17.25" customHeight="1" s="282">
      <c r="A94" s="281" t="n"/>
      <c r="B94" s="522" t="inlineStr">
        <is>
          <t>투자자산</t>
        </is>
      </c>
      <c r="C94" s="281" t="n"/>
      <c r="D94" s="281" t="n"/>
      <c r="E94" s="281" t="n"/>
      <c r="F94" s="281" t="n"/>
      <c r="G94" s="385">
        <f>Input!G64</f>
        <v/>
      </c>
      <c r="H94" s="385">
        <f>Input!H64</f>
        <v/>
      </c>
      <c r="I94" s="385">
        <f>Input!I64</f>
        <v/>
      </c>
      <c r="J94" s="480">
        <f>I94</f>
        <v/>
      </c>
      <c r="K94" s="385">
        <f>J94</f>
        <v/>
      </c>
      <c r="L94" s="385">
        <f>K94</f>
        <v/>
      </c>
      <c r="M94" s="385">
        <f>L94</f>
        <v/>
      </c>
      <c r="N94" s="481">
        <f>M94</f>
        <v/>
      </c>
      <c r="O94" s="281" t="n"/>
    </row>
    <row r="95" ht="17.25" customHeight="1" s="282">
      <c r="A95" s="281" t="n"/>
      <c r="B95" s="522" t="inlineStr">
        <is>
          <t>지분법투자주식</t>
        </is>
      </c>
      <c r="C95" s="281" t="n"/>
      <c r="D95" s="281" t="n"/>
      <c r="E95" s="281" t="n"/>
      <c r="F95" s="281" t="n"/>
      <c r="G95" s="385">
        <f>Input!G65</f>
        <v/>
      </c>
      <c r="H95" s="385">
        <f>Input!H65</f>
        <v/>
      </c>
      <c r="I95" s="385">
        <f>Input!I65</f>
        <v/>
      </c>
      <c r="J95" s="480">
        <f>I95</f>
        <v/>
      </c>
      <c r="K95" s="385">
        <f>J95</f>
        <v/>
      </c>
      <c r="L95" s="385">
        <f>K95</f>
        <v/>
      </c>
      <c r="M95" s="385">
        <f>L95</f>
        <v/>
      </c>
      <c r="N95" s="481">
        <f>M95</f>
        <v/>
      </c>
      <c r="O95" s="281" t="n"/>
    </row>
    <row r="96" ht="17.25" customHeight="1" s="282">
      <c r="A96" s="281" t="n"/>
      <c r="B96" s="523" t="inlineStr">
        <is>
          <t>기타비유동자산</t>
        </is>
      </c>
      <c r="C96" s="354" t="n"/>
      <c r="D96" s="354" t="n"/>
      <c r="E96" s="354" t="n"/>
      <c r="F96" s="354" t="n"/>
      <c r="G96" s="398">
        <f>Input!G66</f>
        <v/>
      </c>
      <c r="H96" s="398">
        <f>Input!H66</f>
        <v/>
      </c>
      <c r="I96" s="398">
        <f>Input!I66</f>
        <v/>
      </c>
      <c r="J96" s="488">
        <f>I96</f>
        <v/>
      </c>
      <c r="K96" s="398">
        <f>J96</f>
        <v/>
      </c>
      <c r="L96" s="398">
        <f>K96</f>
        <v/>
      </c>
      <c r="M96" s="398">
        <f>L96</f>
        <v/>
      </c>
      <c r="N96" s="489">
        <f>M96</f>
        <v/>
      </c>
      <c r="O96" s="281" t="n"/>
    </row>
    <row r="97" ht="17.25" customHeight="1" s="282">
      <c r="A97" s="281" t="n"/>
      <c r="B97" s="524" t="inlineStr">
        <is>
          <t>총자산</t>
        </is>
      </c>
      <c r="C97" s="434" t="n"/>
      <c r="D97" s="434" t="n"/>
      <c r="E97" s="434" t="n"/>
      <c r="F97" s="434" t="n"/>
      <c r="G97" s="514">
        <f>SUM(G91,G86)</f>
        <v/>
      </c>
      <c r="H97" s="463">
        <f>SUM(H91,H86)</f>
        <v/>
      </c>
      <c r="I97" s="463">
        <f>SUM(I91,I86)</f>
        <v/>
      </c>
      <c r="J97" s="464">
        <f>SUM(J91,J86)</f>
        <v/>
      </c>
      <c r="K97" s="463">
        <f>SUM(K91,K86)</f>
        <v/>
      </c>
      <c r="L97" s="463">
        <f>SUM(L91,L86)</f>
        <v/>
      </c>
      <c r="M97" s="463">
        <f>SUM(M91,M86)</f>
        <v/>
      </c>
      <c r="N97" s="465">
        <f>SUM(N91,N86)</f>
        <v/>
      </c>
      <c r="O97" s="281" t="n"/>
    </row>
    <row r="98" ht="17.25" customHeight="1" s="282">
      <c r="A98" s="281" t="n"/>
      <c r="B98" s="521" t="inlineStr">
        <is>
          <t>유동부채</t>
        </is>
      </c>
      <c r="C98" s="513" t="n"/>
      <c r="D98" s="513" t="n"/>
      <c r="E98" s="513" t="n"/>
      <c r="F98" s="513" t="n"/>
      <c r="G98" s="514">
        <f>SUM(G99:G102)</f>
        <v/>
      </c>
      <c r="H98" s="514">
        <f>SUM(H99:H102)</f>
        <v/>
      </c>
      <c r="I98" s="514">
        <f>SUM(I99:I102)</f>
        <v/>
      </c>
      <c r="J98" s="515">
        <f>SUM(J99:J102)</f>
        <v/>
      </c>
      <c r="K98" s="514">
        <f>SUM(K99:K102)</f>
        <v/>
      </c>
      <c r="L98" s="514">
        <f>SUM(L99:L102)</f>
        <v/>
      </c>
      <c r="M98" s="514">
        <f>SUM(M99:M102)</f>
        <v/>
      </c>
      <c r="N98" s="516">
        <f>SUM(N99:N102)</f>
        <v/>
      </c>
      <c r="O98" s="281" t="n"/>
    </row>
    <row r="99" ht="17.25" customHeight="1" s="282">
      <c r="A99" s="281" t="n"/>
      <c r="B99" s="522" t="inlineStr">
        <is>
          <t>매입채무</t>
        </is>
      </c>
      <c r="C99" s="281" t="n"/>
      <c r="D99" s="281" t="n"/>
      <c r="E99" s="281" t="n"/>
      <c r="F99" s="281" t="n"/>
      <c r="G99" s="385">
        <f>Input!G69</f>
        <v/>
      </c>
      <c r="H99" s="385">
        <f>Input!H69</f>
        <v/>
      </c>
      <c r="I99" s="385">
        <f>Input!I69</f>
        <v/>
      </c>
      <c r="J99" s="480">
        <f>Calculation!J168</f>
        <v/>
      </c>
      <c r="K99" s="385">
        <f>Calculation!K168</f>
        <v/>
      </c>
      <c r="L99" s="385">
        <f>Calculation!L168</f>
        <v/>
      </c>
      <c r="M99" s="385">
        <f>Calculation!M168</f>
        <v/>
      </c>
      <c r="N99" s="481">
        <f>Calculation!N168</f>
        <v/>
      </c>
      <c r="O99" s="281" t="n"/>
    </row>
    <row r="100" ht="17.25" customHeight="1" s="282">
      <c r="A100" s="281" t="n"/>
      <c r="B100" s="522" t="inlineStr">
        <is>
          <t>미지급금</t>
        </is>
      </c>
      <c r="C100" s="281" t="n"/>
      <c r="D100" s="281" t="n"/>
      <c r="E100" s="281" t="n"/>
      <c r="F100" s="281" t="n"/>
      <c r="G100" s="385">
        <f>Input!G70</f>
        <v/>
      </c>
      <c r="H100" s="385">
        <f>Input!H70</f>
        <v/>
      </c>
      <c r="I100" s="385">
        <f>Input!I70</f>
        <v/>
      </c>
      <c r="J100" s="480">
        <f>I100</f>
        <v/>
      </c>
      <c r="K100" s="385">
        <f>J100</f>
        <v/>
      </c>
      <c r="L100" s="385">
        <f>K100</f>
        <v/>
      </c>
      <c r="M100" s="385">
        <f>L100</f>
        <v/>
      </c>
      <c r="N100" s="481">
        <f>M100</f>
        <v/>
      </c>
      <c r="O100" s="281" t="n"/>
    </row>
    <row r="101" ht="17.25" customHeight="1" s="282">
      <c r="A101" s="281" t="n"/>
      <c r="B101" s="522" t="inlineStr">
        <is>
          <t>단기차입금</t>
        </is>
      </c>
      <c r="C101" s="281" t="n"/>
      <c r="D101" s="281" t="n"/>
      <c r="E101" s="281" t="n"/>
      <c r="F101" s="281" t="n"/>
      <c r="G101" s="385">
        <f>Input!G71</f>
        <v/>
      </c>
      <c r="H101" s="385">
        <f>Input!H71</f>
        <v/>
      </c>
      <c r="I101" s="385">
        <f>Input!I71</f>
        <v/>
      </c>
      <c r="J101" s="480">
        <f>Calculation!J188</f>
        <v/>
      </c>
      <c r="K101" s="385">
        <f>Calculation!K188</f>
        <v/>
      </c>
      <c r="L101" s="385">
        <f>Calculation!L188</f>
        <v/>
      </c>
      <c r="M101" s="385">
        <f>Calculation!M188</f>
        <v/>
      </c>
      <c r="N101" s="481">
        <f>Calculation!N188</f>
        <v/>
      </c>
      <c r="O101" s="281" t="n"/>
    </row>
    <row r="102" ht="17.25" customHeight="1" s="282">
      <c r="A102" s="281" t="n"/>
      <c r="B102" s="523" t="inlineStr">
        <is>
          <t>기타유동부채</t>
        </is>
      </c>
      <c r="C102" s="354" t="n"/>
      <c r="D102" s="354" t="n"/>
      <c r="E102" s="354" t="n"/>
      <c r="F102" s="354" t="n"/>
      <c r="G102" s="398">
        <f>Input!G72</f>
        <v/>
      </c>
      <c r="H102" s="398">
        <f>Input!H72</f>
        <v/>
      </c>
      <c r="I102" s="398">
        <f>Input!I72</f>
        <v/>
      </c>
      <c r="J102" s="488">
        <f>I102</f>
        <v/>
      </c>
      <c r="K102" s="398">
        <f>J102</f>
        <v/>
      </c>
      <c r="L102" s="398">
        <f>K102</f>
        <v/>
      </c>
      <c r="M102" s="398">
        <f>L102</f>
        <v/>
      </c>
      <c r="N102" s="489">
        <f>M102</f>
        <v/>
      </c>
      <c r="O102" s="281" t="n"/>
    </row>
    <row r="103" ht="17.25" customHeight="1" s="282">
      <c r="A103" s="281" t="n"/>
      <c r="B103" s="524" t="inlineStr">
        <is>
          <t>비유동부채</t>
        </is>
      </c>
      <c r="C103" s="434" t="n"/>
      <c r="D103" s="434" t="n"/>
      <c r="E103" s="434" t="n"/>
      <c r="F103" s="434" t="n"/>
      <c r="G103" s="463">
        <f>SUM(G104:G107)</f>
        <v/>
      </c>
      <c r="H103" s="463">
        <f>SUM(H104:H107)</f>
        <v/>
      </c>
      <c r="I103" s="463">
        <f>SUM(I104:I107)</f>
        <v/>
      </c>
      <c r="J103" s="464">
        <f>SUM(J104:J107)</f>
        <v/>
      </c>
      <c r="K103" s="463">
        <f>SUM(K104:K107)</f>
        <v/>
      </c>
      <c r="L103" s="463">
        <f>SUM(L104:L107)</f>
        <v/>
      </c>
      <c r="M103" s="463">
        <f>SUM(M104:M107)</f>
        <v/>
      </c>
      <c r="N103" s="465">
        <f>SUM(N104:N107)</f>
        <v/>
      </c>
      <c r="O103" s="281" t="n"/>
    </row>
    <row r="104" ht="17.25" customHeight="1" s="282">
      <c r="A104" s="281" t="n"/>
      <c r="B104" s="522" t="inlineStr">
        <is>
          <t>장기차입금</t>
        </is>
      </c>
      <c r="C104" s="281" t="n"/>
      <c r="D104" s="281" t="n"/>
      <c r="E104" s="281" t="n"/>
      <c r="F104" s="281" t="n"/>
      <c r="G104" s="385">
        <f>Input!G74</f>
        <v/>
      </c>
      <c r="H104" s="385">
        <f>Input!H74</f>
        <v/>
      </c>
      <c r="I104" s="385">
        <f>Input!I74</f>
        <v/>
      </c>
      <c r="J104" s="480">
        <f>Calculation!J194</f>
        <v/>
      </c>
      <c r="K104" s="385">
        <f>Calculation!K194</f>
        <v/>
      </c>
      <c r="L104" s="385">
        <f>Calculation!L194</f>
        <v/>
      </c>
      <c r="M104" s="385">
        <f>Calculation!M194</f>
        <v/>
      </c>
      <c r="N104" s="481">
        <f>Calculation!N194</f>
        <v/>
      </c>
      <c r="O104" s="281" t="n"/>
    </row>
    <row r="105" ht="17.25" customHeight="1" s="282">
      <c r="A105" s="281" t="n"/>
      <c r="B105" s="522" t="inlineStr">
        <is>
          <t>사채</t>
        </is>
      </c>
      <c r="C105" s="281" t="n"/>
      <c r="D105" s="281" t="n"/>
      <c r="E105" s="281" t="n"/>
      <c r="F105" s="281" t="n"/>
      <c r="G105" s="385">
        <f>Input!G75</f>
        <v/>
      </c>
      <c r="H105" s="385">
        <f>Input!H75</f>
        <v/>
      </c>
      <c r="I105" s="385">
        <f>Input!I75</f>
        <v/>
      </c>
      <c r="J105" s="480">
        <f>Calculation!J200</f>
        <v/>
      </c>
      <c r="K105" s="385">
        <f>Calculation!K200</f>
        <v/>
      </c>
      <c r="L105" s="385">
        <f>Calculation!L200</f>
        <v/>
      </c>
      <c r="M105" s="385">
        <f>Calculation!M200</f>
        <v/>
      </c>
      <c r="N105" s="481">
        <f>Calculation!N200</f>
        <v/>
      </c>
      <c r="O105" s="281" t="n"/>
    </row>
    <row r="106" ht="17.25" customHeight="1" s="282">
      <c r="A106" s="281" t="n"/>
      <c r="B106" s="522" t="inlineStr">
        <is>
          <t>퇴직급여충당부채</t>
        </is>
      </c>
      <c r="C106" s="281" t="n"/>
      <c r="D106" s="281" t="n"/>
      <c r="E106" s="281" t="n"/>
      <c r="F106" s="281" t="n"/>
      <c r="G106" s="385">
        <f>Input!G76</f>
        <v/>
      </c>
      <c r="H106" s="385">
        <f>Input!H76</f>
        <v/>
      </c>
      <c r="I106" s="385">
        <f>Input!I76</f>
        <v/>
      </c>
      <c r="J106" s="480">
        <f>I106</f>
        <v/>
      </c>
      <c r="K106" s="385">
        <f>J106</f>
        <v/>
      </c>
      <c r="L106" s="385">
        <f>K106</f>
        <v/>
      </c>
      <c r="M106" s="385">
        <f>L106</f>
        <v/>
      </c>
      <c r="N106" s="481">
        <f>M106</f>
        <v/>
      </c>
      <c r="O106" s="281" t="n"/>
    </row>
    <row r="107" ht="17.25" customHeight="1" s="282">
      <c r="A107" s="281" t="n"/>
      <c r="B107" s="523" t="inlineStr">
        <is>
          <t>기타비유동부채</t>
        </is>
      </c>
      <c r="C107" s="354" t="n"/>
      <c r="D107" s="354" t="n"/>
      <c r="E107" s="354" t="n"/>
      <c r="F107" s="354" t="n"/>
      <c r="G107" s="398">
        <f>Input!G77</f>
        <v/>
      </c>
      <c r="H107" s="398">
        <f>Input!H77</f>
        <v/>
      </c>
      <c r="I107" s="398">
        <f>Input!I77</f>
        <v/>
      </c>
      <c r="J107" s="488">
        <f>I107</f>
        <v/>
      </c>
      <c r="K107" s="398">
        <f>J107</f>
        <v/>
      </c>
      <c r="L107" s="398">
        <f>K107</f>
        <v/>
      </c>
      <c r="M107" s="398">
        <f>L107</f>
        <v/>
      </c>
      <c r="N107" s="489">
        <f>M107</f>
        <v/>
      </c>
      <c r="O107" s="281" t="n"/>
    </row>
    <row r="108" ht="17.25" customHeight="1" s="282">
      <c r="A108" s="281" t="n"/>
      <c r="B108" s="521" t="inlineStr">
        <is>
          <t>총부채</t>
        </is>
      </c>
      <c r="C108" s="513" t="n"/>
      <c r="D108" s="513" t="n"/>
      <c r="E108" s="513" t="n"/>
      <c r="F108" s="513" t="n"/>
      <c r="G108" s="514">
        <f>SUM(G103,G98)</f>
        <v/>
      </c>
      <c r="H108" s="514">
        <f>SUM(H103,H98)</f>
        <v/>
      </c>
      <c r="I108" s="514">
        <f>SUM(I103,I98)</f>
        <v/>
      </c>
      <c r="J108" s="515">
        <f>SUM(J103,J98)</f>
        <v/>
      </c>
      <c r="K108" s="514">
        <f>SUM(K103,K98)</f>
        <v/>
      </c>
      <c r="L108" s="514">
        <f>SUM(L103,L98)</f>
        <v/>
      </c>
      <c r="M108" s="514">
        <f>SUM(M103,M98)</f>
        <v/>
      </c>
      <c r="N108" s="516">
        <f>SUM(N103,N98)</f>
        <v/>
      </c>
      <c r="O108" s="281" t="n"/>
    </row>
    <row r="109" ht="17.25" customHeight="1" s="282">
      <c r="A109" s="281" t="n"/>
      <c r="B109" s="521" t="inlineStr">
        <is>
          <t>순자산</t>
        </is>
      </c>
      <c r="C109" s="513" t="n"/>
      <c r="D109" s="513" t="n"/>
      <c r="E109" s="513" t="n"/>
      <c r="F109" s="513" t="n"/>
      <c r="G109" s="514">
        <f>G97-G108</f>
        <v/>
      </c>
      <c r="H109" s="514">
        <f>H97-H108</f>
        <v/>
      </c>
      <c r="I109" s="514">
        <f>I97-I108</f>
        <v/>
      </c>
      <c r="J109" s="515">
        <f>J97-J108</f>
        <v/>
      </c>
      <c r="K109" s="514">
        <f>K97-K108</f>
        <v/>
      </c>
      <c r="L109" s="514">
        <f>L97-L108</f>
        <v/>
      </c>
      <c r="M109" s="514">
        <f>M97-M108</f>
        <v/>
      </c>
      <c r="N109" s="516">
        <f>N97-N108</f>
        <v/>
      </c>
      <c r="O109" s="281" t="n"/>
    </row>
    <row r="110" ht="17.25" customHeight="1" s="282">
      <c r="A110" s="281" t="n"/>
      <c r="B110" s="281" t="n"/>
      <c r="C110" s="281" t="n"/>
      <c r="D110" s="281" t="n"/>
      <c r="E110" s="281" t="n"/>
      <c r="F110" s="281" t="n"/>
      <c r="G110" s="281" t="n"/>
      <c r="H110" s="281" t="n"/>
      <c r="I110" s="281" t="n"/>
      <c r="J110" s="281" t="n"/>
      <c r="K110" s="281" t="n"/>
      <c r="L110" s="281" t="n"/>
      <c r="M110" s="281" t="n"/>
      <c r="N110" s="281" t="n"/>
      <c r="O110" s="281" t="n"/>
    </row>
    <row r="111" ht="17.25" customHeight="1" s="282">
      <c r="A111" s="281" t="n"/>
      <c r="B111" s="281" t="n"/>
      <c r="C111" s="281" t="n"/>
      <c r="D111" s="281" t="n"/>
      <c r="E111" s="281" t="n"/>
      <c r="F111" s="281" t="n"/>
      <c r="G111" s="281" t="n"/>
      <c r="H111" s="281" t="n"/>
      <c r="I111" s="281" t="n"/>
      <c r="J111" s="281" t="n"/>
      <c r="K111" s="281" t="n"/>
      <c r="L111" s="281" t="n"/>
      <c r="M111" s="281" t="n"/>
      <c r="N111" s="281" t="n"/>
      <c r="O111" s="281" t="n"/>
    </row>
    <row r="112" ht="17.25" customHeight="1" s="282">
      <c r="A112" s="281" t="n"/>
      <c r="B112" s="325" t="inlineStr">
        <is>
          <t xml:space="preserve">CashFlow </t>
        </is>
      </c>
      <c r="C112" s="333" t="n"/>
      <c r="D112" s="333" t="n"/>
      <c r="E112" s="333" t="n"/>
      <c r="F112" s="333" t="n"/>
      <c r="G112" s="333" t="n"/>
      <c r="H112" s="333" t="n"/>
      <c r="I112" s="333" t="n"/>
      <c r="J112" s="333" t="n"/>
      <c r="K112" s="333" t="n"/>
      <c r="L112" s="333" t="n"/>
      <c r="M112" s="333" t="n"/>
      <c r="N112" s="333" t="n"/>
      <c r="O112" s="333" t="n"/>
    </row>
    <row r="113" ht="17.25" customHeight="1" s="282">
      <c r="A113" s="281" t="n"/>
      <c r="B113" s="281" t="n"/>
      <c r="C113" s="281" t="n"/>
      <c r="D113" s="281" t="n"/>
      <c r="E113" s="281" t="n"/>
      <c r="F113" s="281" t="n"/>
      <c r="G113" s="354" t="n"/>
      <c r="H113" s="354" t="n"/>
      <c r="I113" s="354" t="n"/>
      <c r="J113" s="354" t="n"/>
      <c r="K113" s="439" t="n"/>
      <c r="L113" s="507" t="n"/>
      <c r="M113" s="508" t="n"/>
      <c r="N113" s="507" t="n"/>
      <c r="O113" s="281" t="n"/>
    </row>
    <row r="114" ht="17.25" customHeight="1" s="282">
      <c r="A114" s="281" t="n"/>
      <c r="B114" s="354" t="n"/>
      <c r="C114" s="354" t="n"/>
      <c r="D114" s="354" t="n"/>
      <c r="E114" s="354" t="n"/>
      <c r="F114" s="354" t="n"/>
      <c r="G114" s="450" t="inlineStr">
        <is>
          <t>Actual</t>
        </is>
      </c>
      <c r="H114" s="298" t="n"/>
      <c r="I114" s="298" t="n"/>
      <c r="J114" s="509" t="inlineStr">
        <is>
          <t>Forecast</t>
        </is>
      </c>
      <c r="K114" s="298" t="n"/>
      <c r="L114" s="298" t="n"/>
      <c r="M114" s="298" t="n"/>
      <c r="N114" s="298" t="n"/>
      <c r="O114" s="281" t="n"/>
    </row>
    <row r="115" ht="17.25" customHeight="1" s="282">
      <c r="A115" s="281" t="n"/>
      <c r="B115" s="518" t="inlineStr">
        <is>
          <t>Currency: KRW mn</t>
        </is>
      </c>
      <c r="C115" s="353" t="n"/>
      <c r="D115" s="353" t="n"/>
      <c r="E115" s="353" t="n"/>
      <c r="F115" s="353" t="n"/>
      <c r="G115" s="519">
        <f>"FY"&amp;G10</f>
        <v/>
      </c>
      <c r="H115" s="519">
        <f>"FY"&amp;H10</f>
        <v/>
      </c>
      <c r="I115" s="519">
        <f>"FY"&amp;I10</f>
        <v/>
      </c>
      <c r="J115" s="520">
        <f>"FY"&amp;J10</f>
        <v/>
      </c>
      <c r="K115" s="519">
        <f>"FY"&amp;K10</f>
        <v/>
      </c>
      <c r="L115" s="519">
        <f>"FY"&amp;L10</f>
        <v/>
      </c>
      <c r="M115" s="519">
        <f>"FY"&amp;M10</f>
        <v/>
      </c>
      <c r="N115" s="519">
        <f>"FY"&amp;N10</f>
        <v/>
      </c>
      <c r="O115" s="281" t="n"/>
    </row>
    <row r="116" ht="17.25" customHeight="1" s="282">
      <c r="A116" s="281" t="n"/>
      <c r="B116" s="526" t="inlineStr">
        <is>
          <t>영업현금흐름</t>
        </is>
      </c>
      <c r="C116" s="513" t="n"/>
      <c r="D116" s="513" t="n"/>
      <c r="E116" s="513" t="n"/>
      <c r="F116" s="513" t="n"/>
      <c r="G116" s="514" t="n"/>
      <c r="H116" s="514" t="n"/>
      <c r="I116" s="514" t="n"/>
      <c r="J116" s="515">
        <f>SUM(J117:J119)</f>
        <v/>
      </c>
      <c r="K116" s="514">
        <f>SUM(K117:K119)</f>
        <v/>
      </c>
      <c r="L116" s="514">
        <f>SUM(L117:L119)</f>
        <v/>
      </c>
      <c r="M116" s="514">
        <f>SUM(M117:M119)</f>
        <v/>
      </c>
      <c r="N116" s="516">
        <f>SUM(N117:N119)</f>
        <v/>
      </c>
      <c r="O116" s="281" t="n"/>
    </row>
    <row r="117" ht="17.25" customHeight="1" s="282">
      <c r="A117" s="281" t="n"/>
      <c r="B117" s="511" t="inlineStr">
        <is>
          <t>당기순이익</t>
        </is>
      </c>
      <c r="C117" s="281" t="n"/>
      <c r="D117" s="281" t="n"/>
      <c r="E117" s="281" t="n"/>
      <c r="F117" s="281" t="n"/>
      <c r="G117" s="385" t="n"/>
      <c r="H117" s="385" t="n"/>
      <c r="I117" s="385" t="n"/>
      <c r="J117" s="480">
        <f>J80</f>
        <v/>
      </c>
      <c r="K117" s="385">
        <f>K80</f>
        <v/>
      </c>
      <c r="L117" s="385">
        <f>L80</f>
        <v/>
      </c>
      <c r="M117" s="385">
        <f>M80</f>
        <v/>
      </c>
      <c r="N117" s="481">
        <f>N80</f>
        <v/>
      </c>
      <c r="O117" s="281" t="n"/>
    </row>
    <row r="118" ht="17.25" customHeight="1" s="282">
      <c r="A118" s="281" t="n"/>
      <c r="B118" s="527" t="inlineStr">
        <is>
          <t>(+) 감가상각비</t>
        </is>
      </c>
      <c r="C118" s="281" t="n"/>
      <c r="D118" s="281" t="n"/>
      <c r="E118" s="281" t="n"/>
      <c r="F118" s="281" t="n"/>
      <c r="G118" s="385" t="n"/>
      <c r="H118" s="385" t="n"/>
      <c r="I118" s="385" t="n"/>
      <c r="J118" s="480">
        <f>J70</f>
        <v/>
      </c>
      <c r="K118" s="385">
        <f>K70</f>
        <v/>
      </c>
      <c r="L118" s="385">
        <f>L70</f>
        <v/>
      </c>
      <c r="M118" s="385">
        <f>M70</f>
        <v/>
      </c>
      <c r="N118" s="481">
        <f>N70</f>
        <v/>
      </c>
      <c r="O118" s="281" t="n"/>
    </row>
    <row r="119" ht="17.25" customHeight="1" s="282">
      <c r="A119" s="281" t="n"/>
      <c r="B119" s="459" t="inlineStr">
        <is>
          <t>(+/-) 운전자본 증감</t>
        </is>
      </c>
      <c r="C119" s="281" t="n"/>
      <c r="D119" s="281" t="n"/>
      <c r="E119" s="281" t="n"/>
      <c r="F119" s="281" t="n"/>
      <c r="G119" s="385" t="n"/>
      <c r="H119" s="385" t="n"/>
      <c r="I119" s="385" t="n"/>
      <c r="J119" s="480">
        <f>J35</f>
        <v/>
      </c>
      <c r="K119" s="385">
        <f>K35</f>
        <v/>
      </c>
      <c r="L119" s="385">
        <f>L35</f>
        <v/>
      </c>
      <c r="M119" s="385">
        <f>M35</f>
        <v/>
      </c>
      <c r="N119" s="481">
        <f>N35</f>
        <v/>
      </c>
      <c r="O119" s="281" t="n"/>
    </row>
    <row r="120" ht="17.25" customHeight="1" s="282">
      <c r="A120" s="281" t="n"/>
      <c r="B120" s="526" t="inlineStr">
        <is>
          <t>투자현금흐름</t>
        </is>
      </c>
      <c r="C120" s="513" t="n"/>
      <c r="D120" s="513" t="n"/>
      <c r="E120" s="513" t="n"/>
      <c r="F120" s="513" t="n"/>
      <c r="G120" s="514" t="n"/>
      <c r="H120" s="514" t="n"/>
      <c r="I120" s="514" t="n"/>
      <c r="J120" s="515">
        <f>SUM(J121)</f>
        <v/>
      </c>
      <c r="K120" s="514">
        <f>SUM(K121)</f>
        <v/>
      </c>
      <c r="L120" s="514">
        <f>SUM(L121)</f>
        <v/>
      </c>
      <c r="M120" s="514">
        <f>SUM(M121)</f>
        <v/>
      </c>
      <c r="N120" s="516">
        <f>SUM(N121)</f>
        <v/>
      </c>
      <c r="O120" s="281" t="n"/>
    </row>
    <row r="121" ht="17.25" customHeight="1" s="282">
      <c r="A121" s="281" t="n"/>
      <c r="B121" s="459" t="inlineStr">
        <is>
          <t>(-) Capex</t>
        </is>
      </c>
      <c r="C121" s="281" t="n"/>
      <c r="D121" s="281" t="n"/>
      <c r="E121" s="281" t="n"/>
      <c r="F121" s="281" t="n"/>
      <c r="G121" s="385" t="n"/>
      <c r="H121" s="385" t="n"/>
      <c r="I121" s="385" t="n"/>
      <c r="J121" s="528" t="n"/>
      <c r="K121" s="385" t="n"/>
      <c r="L121" s="385" t="n"/>
      <c r="M121" s="385" t="n"/>
      <c r="N121" s="529" t="n"/>
      <c r="O121" s="281" t="n"/>
    </row>
    <row r="122" ht="17.25" customHeight="1" s="282">
      <c r="A122" s="281" t="n"/>
      <c r="B122" s="526" t="inlineStr">
        <is>
          <t>재무현금흐름</t>
        </is>
      </c>
      <c r="C122" s="513" t="n"/>
      <c r="D122" s="513" t="n"/>
      <c r="E122" s="513" t="n"/>
      <c r="F122" s="513" t="n"/>
      <c r="G122" s="514" t="n"/>
      <c r="H122" s="514" t="n"/>
      <c r="I122" s="514" t="n"/>
      <c r="J122" s="515">
        <f>SUM(J123:J126)</f>
        <v/>
      </c>
      <c r="K122" s="514">
        <f>SUM(K123:K126)</f>
        <v/>
      </c>
      <c r="L122" s="514">
        <f>SUM(L123:L126)</f>
        <v/>
      </c>
      <c r="M122" s="514">
        <f>SUM(M123:M126)</f>
        <v/>
      </c>
      <c r="N122" s="516">
        <f>SUM(N123:N126)</f>
        <v/>
      </c>
      <c r="O122" s="281" t="n"/>
    </row>
    <row r="123" ht="17.25" customHeight="1" s="282">
      <c r="A123" s="281" t="n"/>
      <c r="B123" s="459" t="inlineStr">
        <is>
          <t>(-) 차입금 상환</t>
        </is>
      </c>
      <c r="C123" s="281" t="n"/>
      <c r="D123" s="281" t="n"/>
      <c r="E123" s="281" t="n"/>
      <c r="F123" s="281" t="n"/>
      <c r="G123" s="385" t="n"/>
      <c r="H123" s="385" t="n"/>
      <c r="I123" s="385" t="n"/>
      <c r="J123" s="480">
        <f>-Calculation!J187-Calculation!J193-Calculation!J199</f>
        <v/>
      </c>
      <c r="K123" s="385">
        <f>-Calculation!K187-Calculation!K193-Calculation!K199</f>
        <v/>
      </c>
      <c r="L123" s="385">
        <f>-Calculation!L187-Calculation!L193-Calculation!L199</f>
        <v/>
      </c>
      <c r="M123" s="385">
        <f>-Calculation!M187-Calculation!M193-Calculation!M199</f>
        <v/>
      </c>
      <c r="N123" s="481">
        <f>-Calculation!N187-Calculation!N193-Calculation!N199</f>
        <v/>
      </c>
      <c r="O123" s="281" t="n"/>
    </row>
    <row r="124" ht="17.25" customHeight="1" s="282">
      <c r="A124" s="281" t="n"/>
      <c r="B124" s="459" t="inlineStr">
        <is>
          <t>(+) 차입금 추가차입</t>
        </is>
      </c>
      <c r="C124" s="281" t="n"/>
      <c r="D124" s="281" t="n"/>
      <c r="E124" s="281" t="n"/>
      <c r="F124" s="281" t="n"/>
      <c r="G124" s="385" t="n"/>
      <c r="H124" s="385" t="n"/>
      <c r="I124" s="385" t="n"/>
      <c r="J124" s="480">
        <f>Calculation!J186+Calculation!J192+Calculation!J198</f>
        <v/>
      </c>
      <c r="K124" s="385">
        <f>Calculation!K186+Calculation!K192+Calculation!K198</f>
        <v/>
      </c>
      <c r="L124" s="385">
        <f>Calculation!L186+Calculation!L192+Calculation!L198</f>
        <v/>
      </c>
      <c r="M124" s="385">
        <f>Calculation!M186+Calculation!M192+Calculation!M198</f>
        <v/>
      </c>
      <c r="N124" s="481">
        <f>Calculation!N186+Calculation!N192+Calculation!N198</f>
        <v/>
      </c>
      <c r="O124" s="281" t="n"/>
    </row>
    <row r="125" ht="17.25" customHeight="1" s="282">
      <c r="A125" s="281" t="n"/>
      <c r="B125" s="459" t="inlineStr">
        <is>
          <t>(+) 현금 injection</t>
        </is>
      </c>
      <c r="C125" s="281" t="n"/>
      <c r="D125" s="281" t="n"/>
      <c r="E125" s="281" t="n"/>
      <c r="F125" s="281" t="n"/>
      <c r="G125" s="385" t="n"/>
      <c r="H125" s="385" t="n"/>
      <c r="I125" s="385" t="n"/>
      <c r="J125" s="528" t="n"/>
      <c r="K125" s="385" t="n"/>
      <c r="L125" s="385" t="n"/>
      <c r="M125" s="385" t="n"/>
      <c r="N125" s="529" t="n"/>
      <c r="O125" s="281" t="n"/>
    </row>
    <row r="126" ht="17.25" customHeight="1" s="282">
      <c r="A126" s="281" t="n"/>
      <c r="B126" s="459" t="inlineStr">
        <is>
          <t>(-) 현금 배당</t>
        </is>
      </c>
      <c r="C126" s="281" t="n"/>
      <c r="D126" s="281" t="n"/>
      <c r="E126" s="281" t="n"/>
      <c r="F126" s="281" t="n"/>
      <c r="G126" s="385" t="n"/>
      <c r="H126" s="385" t="n"/>
      <c r="I126" s="385" t="n"/>
      <c r="J126" s="528" t="n"/>
      <c r="K126" s="385" t="n"/>
      <c r="L126" s="385" t="n"/>
      <c r="M126" s="385" t="n"/>
      <c r="N126" s="529" t="n"/>
      <c r="O126" s="281" t="n"/>
    </row>
    <row r="127" ht="17.25" customHeight="1" s="282">
      <c r="A127" s="281" t="n"/>
      <c r="B127" s="526" t="inlineStr">
        <is>
          <t>기초현금</t>
        </is>
      </c>
      <c r="C127" s="513" t="n"/>
      <c r="D127" s="513" t="n"/>
      <c r="E127" s="513" t="n"/>
      <c r="F127" s="513" t="n"/>
      <c r="G127" s="514" t="n"/>
      <c r="H127" s="514" t="n"/>
      <c r="I127" s="514" t="n"/>
      <c r="J127" s="515">
        <f>I129</f>
        <v/>
      </c>
      <c r="K127" s="514">
        <f>J129</f>
        <v/>
      </c>
      <c r="L127" s="514">
        <f>K129</f>
        <v/>
      </c>
      <c r="M127" s="514">
        <f>L129</f>
        <v/>
      </c>
      <c r="N127" s="516">
        <f>M129</f>
        <v/>
      </c>
      <c r="O127" s="281" t="n"/>
    </row>
    <row r="128" ht="17.25" customHeight="1" s="282">
      <c r="A128" s="281" t="n"/>
      <c r="B128" s="512" t="inlineStr">
        <is>
          <t>(+)현금증가</t>
        </is>
      </c>
      <c r="C128" s="513" t="n"/>
      <c r="D128" s="513" t="n"/>
      <c r="E128" s="513" t="n"/>
      <c r="F128" s="513" t="n"/>
      <c r="G128" s="514" t="n"/>
      <c r="H128" s="514" t="n"/>
      <c r="I128" s="514" t="n"/>
      <c r="J128" s="515">
        <f>J116+J120+J122</f>
        <v/>
      </c>
      <c r="K128" s="514">
        <f>K116+K120+K122</f>
        <v/>
      </c>
      <c r="L128" s="514">
        <f>L116+L120+L122</f>
        <v/>
      </c>
      <c r="M128" s="514">
        <f>M116+M120+M122</f>
        <v/>
      </c>
      <c r="N128" s="516">
        <f>N116+N120+N122</f>
        <v/>
      </c>
      <c r="O128" s="281" t="n"/>
    </row>
    <row r="129" ht="17.25" customHeight="1" s="282">
      <c r="A129" s="281" t="n"/>
      <c r="B129" s="530" t="inlineStr">
        <is>
          <t>기말현금</t>
        </is>
      </c>
      <c r="C129" s="434" t="n"/>
      <c r="D129" s="434" t="n"/>
      <c r="E129" s="434" t="n"/>
      <c r="F129" s="434" t="n"/>
      <c r="G129" s="463" t="n"/>
      <c r="H129" s="463" t="n"/>
      <c r="I129" s="463">
        <f>I87</f>
        <v/>
      </c>
      <c r="J129" s="464">
        <f>J127+J128</f>
        <v/>
      </c>
      <c r="K129" s="463">
        <f>K127+K128</f>
        <v/>
      </c>
      <c r="L129" s="463">
        <f>L127+L128</f>
        <v/>
      </c>
      <c r="M129" s="463">
        <f>M127+M128</f>
        <v/>
      </c>
      <c r="N129" s="465">
        <f>N127+N128</f>
        <v/>
      </c>
      <c r="O129" s="281" t="n"/>
    </row>
  </sheetData>
  <mergeCells count="10">
    <mergeCell ref="J114:N114"/>
    <mergeCell ref="G84:I84"/>
    <mergeCell ref="J53:J55"/>
    <mergeCell ref="J59:N59"/>
    <mergeCell ref="G114:I114"/>
    <mergeCell ref="J18:O18"/>
    <mergeCell ref="G18:I18"/>
    <mergeCell ref="L51:N51"/>
    <mergeCell ref="G59:I59"/>
    <mergeCell ref="J84:N8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6640625" defaultRowHeight="15" customHeight="1" zeroHeight="0" outlineLevelRow="0"/>
  <cols>
    <col width="1.68" customWidth="1" style="531" min="1" max="1"/>
    <col width="28.69" customWidth="1" style="531" min="2" max="2"/>
    <col width="1.68" customWidth="1" style="531" min="3" max="3"/>
    <col width="13" customWidth="1" style="531" min="4" max="5"/>
    <col width="10.38" customWidth="1" style="282" min="5" max="5"/>
    <col width="8.69" customWidth="1" style="531" min="6" max="6"/>
    <col width="10" customWidth="1" style="531" min="7" max="15"/>
    <col width="13" customWidth="1" style="282" min="8" max="8"/>
    <col width="13" customWidth="1" style="282" min="9" max="9"/>
    <col width="12.5" customWidth="1" style="282" min="10" max="10"/>
    <col width="10" customWidth="1" style="282" min="11" max="11"/>
    <col width="13" customWidth="1" style="282" min="12" max="12"/>
    <col width="13" customWidth="1" style="282" min="13" max="13"/>
    <col width="13" customWidth="1" style="282" min="14" max="14"/>
    <col width="13" customWidth="1" style="282" min="15" max="15"/>
    <col width="1.68" customWidth="1" style="531" min="16" max="16"/>
  </cols>
  <sheetData>
    <row r="1" ht="24" customHeight="1" s="282">
      <c r="A1" s="297" t="n"/>
      <c r="B1" s="532">
        <f>Legend!D2</f>
        <v/>
      </c>
      <c r="C1" s="297" t="n"/>
      <c r="D1" s="297" t="n"/>
      <c r="E1" s="297" t="n"/>
      <c r="F1" s="297" t="n"/>
      <c r="G1" s="297" t="n"/>
      <c r="H1" s="297" t="n"/>
      <c r="I1" s="297" t="n"/>
      <c r="J1" s="297" t="n"/>
      <c r="K1" s="297" t="n"/>
      <c r="L1" s="297" t="n"/>
      <c r="M1" s="297" t="n"/>
      <c r="N1" s="297" t="n"/>
      <c r="O1" s="297" t="n"/>
      <c r="P1" s="297" t="n"/>
    </row>
    <row r="2" ht="17.25" customHeight="1" s="282">
      <c r="A2" s="281" t="n"/>
      <c r="B2" s="533" t="inlineStr">
        <is>
          <t>WACC Analysis</t>
        </is>
      </c>
      <c r="C2" s="281" t="n"/>
      <c r="D2" s="281" t="n"/>
      <c r="E2" s="281" t="n"/>
      <c r="F2" s="281" t="n"/>
      <c r="G2" s="281" t="n"/>
      <c r="H2" s="281" t="n"/>
      <c r="I2" s="281" t="n"/>
      <c r="J2" s="281" t="n"/>
      <c r="K2" s="281" t="n"/>
      <c r="L2" s="281" t="n"/>
      <c r="M2" s="281" t="n"/>
      <c r="N2" s="281" t="n"/>
      <c r="O2" s="281" t="n"/>
    </row>
    <row r="3" ht="17.25" customHeight="1" s="282">
      <c r="A3" s="281" t="n"/>
      <c r="B3" s="281" t="n"/>
      <c r="C3" s="281" t="n"/>
      <c r="D3" s="281" t="n"/>
      <c r="E3" s="281" t="n"/>
      <c r="F3" s="281" t="n"/>
      <c r="G3" s="281" t="n"/>
      <c r="H3" s="281" t="n"/>
      <c r="I3" s="281" t="n"/>
      <c r="J3" s="281" t="n"/>
      <c r="K3" s="281" t="n"/>
      <c r="L3" s="281" t="n"/>
      <c r="M3" s="281" t="n"/>
      <c r="N3" s="281" t="n"/>
      <c r="O3" s="281" t="n"/>
    </row>
    <row r="4" ht="17.25" customHeight="1" s="282">
      <c r="A4" s="297" t="n"/>
      <c r="B4" s="534" t="inlineStr">
        <is>
          <t>Time Period</t>
        </is>
      </c>
      <c r="C4" s="297" t="n"/>
      <c r="D4" s="297" t="n"/>
      <c r="E4" s="297" t="n"/>
      <c r="F4" s="297" t="n"/>
      <c r="G4" s="297" t="n"/>
      <c r="H4" s="297" t="n"/>
      <c r="I4" s="297" t="n"/>
      <c r="J4" s="297" t="n"/>
      <c r="K4" s="297" t="n"/>
      <c r="L4" s="297" t="n"/>
      <c r="M4" s="297" t="n"/>
      <c r="N4" s="297" t="n"/>
      <c r="O4" s="297" t="n"/>
      <c r="P4" s="297" t="n"/>
    </row>
    <row r="5" ht="17.25" customHeight="1" s="282">
      <c r="A5" s="281" t="n"/>
      <c r="B5" s="281" t="n"/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</row>
    <row r="6" ht="17.25" customHeight="1" s="282">
      <c r="A6" s="281" t="n"/>
      <c r="B6" s="535" t="inlineStr">
        <is>
          <t>Actual/Forecast</t>
        </is>
      </c>
      <c r="C6" s="281" t="n"/>
      <c r="D6" s="281" t="n"/>
      <c r="E6" s="281" t="n"/>
      <c r="F6" s="281" t="n"/>
      <c r="G6" s="536">
        <f>Input!G6</f>
        <v/>
      </c>
      <c r="H6" s="536">
        <f>Input!H6</f>
        <v/>
      </c>
      <c r="I6" s="536">
        <f>Input!I6</f>
        <v/>
      </c>
      <c r="J6" s="536">
        <f>Input!J6</f>
        <v/>
      </c>
      <c r="K6" s="536">
        <f>Input!K6</f>
        <v/>
      </c>
      <c r="L6" s="536">
        <f>Input!L6</f>
        <v/>
      </c>
      <c r="M6" s="536">
        <f>Input!M6</f>
        <v/>
      </c>
      <c r="N6" s="536">
        <f>Input!N6</f>
        <v/>
      </c>
      <c r="O6" s="536">
        <f>Input!O6</f>
        <v/>
      </c>
    </row>
    <row r="7" ht="17.25" customHeight="1" s="282">
      <c r="A7" s="281" t="n"/>
      <c r="B7" s="535" t="inlineStr">
        <is>
          <t>Period Start</t>
        </is>
      </c>
      <c r="C7" s="281" t="n"/>
      <c r="D7" s="281" t="n"/>
      <c r="E7" s="281" t="n"/>
      <c r="F7" s="281" t="n"/>
      <c r="G7" s="537">
        <f>Input!G7</f>
        <v/>
      </c>
      <c r="H7" s="537">
        <f>Input!H7</f>
        <v/>
      </c>
      <c r="I7" s="537">
        <f>Input!I7</f>
        <v/>
      </c>
      <c r="J7" s="537">
        <f>Input!J7</f>
        <v/>
      </c>
      <c r="K7" s="537">
        <f>Input!K7</f>
        <v/>
      </c>
      <c r="L7" s="537">
        <f>Input!L7</f>
        <v/>
      </c>
      <c r="M7" s="537">
        <f>Input!M7</f>
        <v/>
      </c>
      <c r="N7" s="537">
        <f>Input!N7</f>
        <v/>
      </c>
      <c r="O7" s="536" t="inlineStr">
        <is>
          <t>TV</t>
        </is>
      </c>
    </row>
    <row r="8" ht="17.25" customHeight="1" s="282">
      <c r="A8" s="281" t="n"/>
      <c r="B8" s="535" t="inlineStr">
        <is>
          <t>Period End</t>
        </is>
      </c>
      <c r="C8" s="281" t="n"/>
      <c r="D8" s="281" t="n"/>
      <c r="E8" s="281" t="n"/>
      <c r="F8" s="281" t="n"/>
      <c r="G8" s="537">
        <f>Input!G8</f>
        <v/>
      </c>
      <c r="H8" s="537">
        <f>Input!H8</f>
        <v/>
      </c>
      <c r="I8" s="537">
        <f>Input!I8</f>
        <v/>
      </c>
      <c r="J8" s="537">
        <f>Input!J8</f>
        <v/>
      </c>
      <c r="K8" s="537">
        <f>Input!K8</f>
        <v/>
      </c>
      <c r="L8" s="537">
        <f>Input!L8</f>
        <v/>
      </c>
      <c r="M8" s="537">
        <f>Input!M8</f>
        <v/>
      </c>
      <c r="N8" s="537">
        <f>Input!N8</f>
        <v/>
      </c>
      <c r="O8" s="536" t="n"/>
    </row>
    <row r="9" ht="17.25" customHeight="1" s="282">
      <c r="A9" s="281" t="n"/>
      <c r="B9" s="535" t="inlineStr">
        <is>
          <t>Month</t>
        </is>
      </c>
      <c r="C9" s="281" t="n"/>
      <c r="D9" s="281" t="n"/>
      <c r="E9" s="281" t="n"/>
      <c r="F9" s="281" t="n"/>
      <c r="G9" s="536">
        <f>Input!G9</f>
        <v/>
      </c>
      <c r="H9" s="536">
        <f>Input!H9</f>
        <v/>
      </c>
      <c r="I9" s="536">
        <f>Input!I9</f>
        <v/>
      </c>
      <c r="J9" s="536">
        <f>Input!J9</f>
        <v/>
      </c>
      <c r="K9" s="536">
        <f>Input!K9</f>
        <v/>
      </c>
      <c r="L9" s="536">
        <f>Input!L9</f>
        <v/>
      </c>
      <c r="M9" s="536">
        <f>Input!M9</f>
        <v/>
      </c>
      <c r="N9" s="536">
        <f>Input!N9</f>
        <v/>
      </c>
      <c r="O9" s="536" t="n"/>
    </row>
    <row r="10" ht="17.25" customHeight="1" s="282">
      <c r="A10" s="281" t="n"/>
      <c r="B10" s="535" t="inlineStr">
        <is>
          <t>Year</t>
        </is>
      </c>
      <c r="C10" s="281" t="n"/>
      <c r="D10" s="281" t="n"/>
      <c r="E10" s="281" t="n"/>
      <c r="F10" s="281" t="n"/>
      <c r="G10" s="536">
        <f>Input!G10</f>
        <v/>
      </c>
      <c r="H10" s="536">
        <f>Input!H10</f>
        <v/>
      </c>
      <c r="I10" s="536">
        <f>Input!I10</f>
        <v/>
      </c>
      <c r="J10" s="536">
        <f>Input!J10</f>
        <v/>
      </c>
      <c r="K10" s="536">
        <f>Input!K10</f>
        <v/>
      </c>
      <c r="L10" s="536">
        <f>Input!L10</f>
        <v/>
      </c>
      <c r="M10" s="536">
        <f>Input!M10</f>
        <v/>
      </c>
      <c r="N10" s="536">
        <f>Input!N10</f>
        <v/>
      </c>
      <c r="O10" s="536">
        <f>Input!O10</f>
        <v/>
      </c>
    </row>
    <row r="11" ht="17.25" customHeight="1" s="282">
      <c r="A11" s="281" t="n"/>
      <c r="B11" s="535" t="inlineStr">
        <is>
          <t>Days</t>
        </is>
      </c>
      <c r="C11" s="281" t="n"/>
      <c r="D11" s="281" t="n"/>
      <c r="E11" s="281" t="n"/>
      <c r="F11" s="281" t="n"/>
      <c r="G11" s="536">
        <f>Input!G11</f>
        <v/>
      </c>
      <c r="H11" s="536">
        <f>Input!H11</f>
        <v/>
      </c>
      <c r="I11" s="536">
        <f>Input!I11</f>
        <v/>
      </c>
      <c r="J11" s="536">
        <f>Input!J11</f>
        <v/>
      </c>
      <c r="K11" s="536">
        <f>Input!K11</f>
        <v/>
      </c>
      <c r="L11" s="536">
        <f>Input!L11</f>
        <v/>
      </c>
      <c r="M11" s="536">
        <f>Input!M11</f>
        <v/>
      </c>
      <c r="N11" s="536">
        <f>Input!N11</f>
        <v/>
      </c>
      <c r="O11" s="536" t="n"/>
    </row>
    <row r="12" ht="17.25" customHeight="1" s="282">
      <c r="A12" s="281" t="n"/>
      <c r="B12" s="281" t="n"/>
      <c r="C12" s="281" t="n"/>
      <c r="D12" s="281" t="n"/>
      <c r="E12" s="281" t="n"/>
      <c r="F12" s="281" t="n"/>
      <c r="G12" s="281" t="n"/>
      <c r="H12" s="281" t="n"/>
      <c r="I12" s="281" t="n"/>
      <c r="J12" s="281" t="n"/>
      <c r="K12" s="281" t="n"/>
      <c r="L12" s="281" t="n"/>
      <c r="M12" s="281" t="n"/>
      <c r="N12" s="281" t="n"/>
      <c r="O12" s="281" t="n"/>
    </row>
    <row r="13" ht="17.25" customHeight="1" s="282">
      <c r="A13" s="281" t="n"/>
      <c r="B13" s="534" t="inlineStr">
        <is>
          <t>Weighted Average Cost of Capital (WACC)</t>
        </is>
      </c>
      <c r="C13" s="534" t="n"/>
      <c r="D13" s="534" t="n"/>
      <c r="E13" s="534" t="n"/>
      <c r="F13" s="534" t="n"/>
      <c r="G13" s="534" t="n"/>
      <c r="H13" s="534" t="n"/>
      <c r="I13" s="534" t="n"/>
      <c r="J13" s="534" t="n"/>
      <c r="K13" s="534" t="n"/>
      <c r="L13" s="534" t="n"/>
      <c r="M13" s="534" t="n"/>
      <c r="N13" s="534" t="n"/>
      <c r="O13" s="534" t="n"/>
    </row>
    <row r="14" ht="17.25" customHeight="1" s="282">
      <c r="A14" s="281" t="n"/>
      <c r="B14" s="281" t="n"/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  <c r="N14" s="281" t="n"/>
      <c r="O14" s="281" t="n"/>
    </row>
    <row r="15" ht="17.25" customHeight="1" s="282">
      <c r="A15" s="281" t="n"/>
      <c r="B15" s="534" t="inlineStr">
        <is>
          <t>[Cost of Equity - CAPM]</t>
        </is>
      </c>
      <c r="C15" s="281" t="n"/>
      <c r="D15" s="281" t="n"/>
      <c r="E15" s="281" t="n"/>
      <c r="F15" s="281" t="n"/>
      <c r="G15" s="281" t="n"/>
      <c r="H15" s="281" t="n"/>
      <c r="I15" s="281" t="n"/>
      <c r="J15" s="281" t="n"/>
      <c r="K15" s="281" t="n"/>
      <c r="L15" s="281" t="n"/>
      <c r="M15" s="281" t="n"/>
      <c r="N15" s="281" t="n"/>
      <c r="O15" s="281" t="n"/>
    </row>
    <row r="16" ht="17.25" customHeight="1" s="282">
      <c r="A16" s="281" t="n"/>
      <c r="B16" s="281" t="n"/>
      <c r="C16" s="281" t="n"/>
      <c r="D16" s="281" t="n"/>
      <c r="E16" s="281" t="n"/>
      <c r="F16" s="281" t="n"/>
      <c r="G16" s="281" t="n"/>
      <c r="H16" s="281" t="n"/>
      <c r="I16" s="281" t="n"/>
      <c r="J16" s="281" t="n"/>
      <c r="K16" s="281" t="n"/>
      <c r="L16" s="281" t="n"/>
      <c r="M16" s="281" t="n"/>
      <c r="N16" s="281" t="n"/>
      <c r="O16" s="281" t="n"/>
    </row>
    <row r="17" ht="17.25" customHeight="1" s="282">
      <c r="A17" s="281" t="n"/>
      <c r="B17" s="535" t="inlineStr">
        <is>
          <t>Risk-free Rate (Rf)</t>
        </is>
      </c>
      <c r="C17" s="281" t="n"/>
      <c r="D17" s="281" t="n"/>
      <c r="E17" s="538" t="n">
        <v>0.035</v>
      </c>
      <c r="F17" s="539" t="inlineStr">
        <is>
          <t>%</t>
        </is>
      </c>
      <c r="G17" s="281" t="n"/>
      <c r="H17" s="281" t="n"/>
      <c r="I17" s="281" t="n"/>
      <c r="J17" s="281" t="n"/>
      <c r="K17" s="281" t="n"/>
      <c r="L17" s="281" t="n"/>
      <c r="M17" s="281" t="n"/>
      <c r="N17" s="281" t="n"/>
      <c r="O17" s="281" t="n"/>
    </row>
    <row r="18" ht="17.25" customHeight="1" s="282">
      <c r="A18" s="281" t="n"/>
      <c r="B18" s="535" t="inlineStr">
        <is>
          <t>Equity Risk Premium (ERP)</t>
        </is>
      </c>
      <c r="C18" s="281" t="n"/>
      <c r="D18" s="281" t="n"/>
      <c r="E18" s="538" t="n">
        <v>0.06</v>
      </c>
      <c r="F18" s="539" t="inlineStr">
        <is>
          <t>%</t>
        </is>
      </c>
      <c r="G18" s="281" t="n"/>
      <c r="H18" s="281" t="n"/>
      <c r="I18" s="281" t="n"/>
      <c r="J18" s="281" t="n"/>
      <c r="K18" s="281" t="n"/>
      <c r="L18" s="281" t="n"/>
      <c r="M18" s="281" t="n"/>
      <c r="N18" s="281" t="n"/>
      <c r="O18" s="281" t="n"/>
    </row>
    <row r="19" ht="17.25" customHeight="1" s="282">
      <c r="A19" s="281" t="n"/>
      <c r="B19" s="535" t="inlineStr">
        <is>
          <t>Beta (β)</t>
        </is>
      </c>
      <c r="C19" s="281" t="n"/>
      <c r="D19" s="281" t="n"/>
      <c r="E19" s="540" t="n">
        <v>1</v>
      </c>
      <c r="F19" s="539" t="inlineStr">
        <is>
          <t>x</t>
        </is>
      </c>
      <c r="G19" s="281" t="n"/>
      <c r="H19" s="281" t="n"/>
      <c r="I19" s="281" t="n"/>
      <c r="J19" s="281" t="n"/>
      <c r="K19" s="281" t="n"/>
      <c r="L19" s="281" t="n"/>
      <c r="M19" s="281" t="n"/>
      <c r="N19" s="281" t="n"/>
      <c r="O19" s="281" t="n"/>
    </row>
    <row r="20" ht="17.25" customHeight="1" s="282">
      <c r="A20" s="281" t="n"/>
      <c r="B20" s="535" t="inlineStr">
        <is>
          <t>Size Premium</t>
        </is>
      </c>
      <c r="C20" s="281" t="n"/>
      <c r="D20" s="281" t="n"/>
      <c r="E20" s="538" t="n">
        <v>0.02</v>
      </c>
      <c r="F20" s="539" t="inlineStr">
        <is>
          <t>%</t>
        </is>
      </c>
      <c r="G20" s="281" t="n"/>
      <c r="H20" s="281" t="n"/>
      <c r="I20" s="281" t="n"/>
      <c r="J20" s="281" t="n"/>
      <c r="K20" s="281" t="n"/>
      <c r="L20" s="281" t="n"/>
      <c r="M20" s="281" t="n"/>
      <c r="N20" s="281" t="n"/>
      <c r="O20" s="281" t="n"/>
    </row>
    <row r="21" ht="17.25" customHeight="1" s="282">
      <c r="A21" s="281" t="n"/>
      <c r="B21" s="535" t="inlineStr">
        <is>
          <t>Country Risk Premium</t>
        </is>
      </c>
      <c r="C21" s="281" t="n"/>
      <c r="D21" s="281" t="n"/>
      <c r="E21" s="538" t="n">
        <v>0.01</v>
      </c>
      <c r="F21" s="539" t="inlineStr">
        <is>
          <t>%</t>
        </is>
      </c>
      <c r="G21" s="281" t="n"/>
      <c r="H21" s="281" t="n"/>
      <c r="I21" s="281" t="n"/>
      <c r="J21" s="281" t="n"/>
      <c r="K21" s="281" t="n"/>
      <c r="L21" s="281" t="n"/>
      <c r="M21" s="281" t="n"/>
      <c r="N21" s="281" t="n"/>
      <c r="O21" s="281" t="n"/>
    </row>
    <row r="22" ht="17.25" customHeight="1" s="282">
      <c r="A22" s="281" t="n"/>
      <c r="B22" s="541" t="inlineStr">
        <is>
          <t>Cost of Equity (Ke)</t>
        </is>
      </c>
      <c r="C22" s="541" t="n"/>
      <c r="D22" s="541" t="n"/>
      <c r="E22" s="542">
        <f>E17+E19*E18+E20+E21</f>
        <v/>
      </c>
      <c r="F22" s="541" t="inlineStr">
        <is>
          <t>%</t>
        </is>
      </c>
      <c r="G22" s="281" t="n"/>
      <c r="H22" s="281" t="n"/>
      <c r="I22" s="281" t="n"/>
      <c r="J22" s="281" t="n"/>
      <c r="K22" s="281" t="n"/>
      <c r="L22" s="281" t="n"/>
      <c r="M22" s="281" t="n"/>
      <c r="N22" s="281" t="n"/>
      <c r="O22" s="281" t="n"/>
    </row>
    <row r="23" ht="17.25" customHeight="1" s="282">
      <c r="A23" s="281" t="n"/>
      <c r="B23" s="281" t="n"/>
      <c r="C23" s="281" t="n"/>
      <c r="D23" s="281" t="n"/>
      <c r="E23" s="281" t="n"/>
      <c r="F23" s="281" t="n"/>
      <c r="G23" s="281" t="n"/>
      <c r="H23" s="281" t="n"/>
      <c r="I23" s="281" t="n"/>
      <c r="J23" s="281" t="n"/>
      <c r="K23" s="281" t="n"/>
      <c r="L23" s="281" t="n"/>
      <c r="M23" s="281" t="n"/>
      <c r="N23" s="281" t="n"/>
      <c r="O23" s="281" t="n"/>
    </row>
    <row r="24" ht="17.25" customHeight="1" s="282">
      <c r="A24" s="281" t="n"/>
      <c r="B24" s="534" t="inlineStr">
        <is>
          <t>[Cost of Debt]</t>
        </is>
      </c>
      <c r="C24" s="281" t="n"/>
      <c r="D24" s="281" t="n"/>
      <c r="E24" s="281" t="n"/>
      <c r="F24" s="281" t="n"/>
      <c r="G24" s="281" t="n"/>
      <c r="H24" s="281" t="n"/>
      <c r="I24" s="281" t="n"/>
      <c r="J24" s="281" t="n"/>
      <c r="K24" s="281" t="n"/>
      <c r="L24" s="281" t="n"/>
      <c r="M24" s="281" t="n"/>
      <c r="N24" s="281" t="n"/>
      <c r="O24" s="281" t="n"/>
    </row>
    <row r="25" ht="17.25" customHeight="1" s="282">
      <c r="A25" s="281" t="n"/>
      <c r="B25" s="281" t="n"/>
      <c r="C25" s="281" t="n"/>
      <c r="D25" s="281" t="n"/>
      <c r="E25" s="281" t="n"/>
      <c r="F25" s="281" t="n"/>
      <c r="G25" s="281" t="n"/>
      <c r="H25" s="281" t="n"/>
      <c r="I25" s="281" t="n"/>
      <c r="J25" s="281" t="n"/>
      <c r="K25" s="281" t="n"/>
      <c r="L25" s="281" t="n"/>
      <c r="M25" s="281" t="n"/>
      <c r="N25" s="281" t="n"/>
      <c r="O25" s="281" t="n"/>
    </row>
    <row r="26" ht="17.25" customHeight="1" s="282">
      <c r="A26" s="281" t="n"/>
      <c r="B26" s="535" t="inlineStr">
        <is>
          <t>Pre-tax Cost of Debt</t>
        </is>
      </c>
      <c r="C26" s="281" t="n"/>
      <c r="D26" s="281" t="n"/>
      <c r="E26" s="538">
        <f>Input!E217</f>
        <v/>
      </c>
      <c r="F26" s="539" t="inlineStr">
        <is>
          <t>%</t>
        </is>
      </c>
      <c r="G26" s="281" t="n"/>
      <c r="H26" s="281" t="n"/>
      <c r="I26" s="281" t="n"/>
      <c r="J26" s="281" t="n"/>
      <c r="K26" s="281" t="n"/>
      <c r="L26" s="281" t="n"/>
      <c r="M26" s="281" t="n"/>
      <c r="N26" s="281" t="n"/>
      <c r="O26" s="281" t="n"/>
    </row>
    <row r="27" ht="17.25" customHeight="1" s="282">
      <c r="A27" s="281" t="n"/>
      <c r="B27" s="535" t="inlineStr">
        <is>
          <t>Effective Tax Rate</t>
        </is>
      </c>
      <c r="C27" s="281" t="n"/>
      <c r="D27" s="281" t="n"/>
      <c r="E27" s="538" t="n">
        <v>0.22</v>
      </c>
      <c r="F27" s="539" t="inlineStr">
        <is>
          <t>%</t>
        </is>
      </c>
      <c r="G27" s="281" t="n"/>
      <c r="H27" s="281" t="n"/>
      <c r="I27" s="281" t="n"/>
      <c r="J27" s="281" t="n"/>
      <c r="K27" s="281" t="n"/>
      <c r="L27" s="281" t="n"/>
      <c r="M27" s="281" t="n"/>
      <c r="N27" s="281" t="n"/>
      <c r="O27" s="281" t="n"/>
    </row>
    <row r="28" ht="17.25" customHeight="1" s="282">
      <c r="A28" s="281" t="n"/>
      <c r="B28" s="541" t="inlineStr">
        <is>
          <t>After-tax Cost of Debt (Kd)</t>
        </is>
      </c>
      <c r="C28" s="541" t="n"/>
      <c r="D28" s="541" t="n"/>
      <c r="E28" s="542">
        <f>E26*(1-E27)</f>
        <v/>
      </c>
      <c r="F28" s="541" t="inlineStr">
        <is>
          <t>%</t>
        </is>
      </c>
      <c r="G28" s="281" t="n"/>
      <c r="H28" s="281" t="n"/>
      <c r="I28" s="281" t="n"/>
      <c r="J28" s="281" t="n"/>
      <c r="K28" s="281" t="n"/>
      <c r="L28" s="281" t="n"/>
      <c r="M28" s="281" t="n"/>
      <c r="N28" s="281" t="n"/>
      <c r="O28" s="281" t="n"/>
    </row>
    <row r="29" ht="17.25" customHeight="1" s="282">
      <c r="A29" s="281" t="n"/>
      <c r="B29" s="281" t="n"/>
      <c r="C29" s="281" t="n"/>
      <c r="D29" s="281" t="n"/>
      <c r="E29" s="281" t="n"/>
      <c r="F29" s="281" t="n"/>
      <c r="G29" s="281" t="n"/>
      <c r="H29" s="281" t="n"/>
      <c r="I29" s="281" t="n"/>
      <c r="J29" s="281" t="n"/>
      <c r="K29" s="281" t="n"/>
      <c r="L29" s="281" t="n"/>
      <c r="M29" s="281" t="n"/>
      <c r="N29" s="281" t="n"/>
      <c r="O29" s="281" t="n"/>
    </row>
    <row r="30" ht="17.25" customHeight="1" s="282">
      <c r="A30" s="281" t="n"/>
      <c r="B30" s="534" t="inlineStr">
        <is>
          <t>[Capital Structure]</t>
        </is>
      </c>
      <c r="C30" s="281" t="n"/>
      <c r="D30" s="281" t="n"/>
      <c r="E30" s="281" t="n"/>
      <c r="F30" s="281" t="n"/>
      <c r="G30" s="281" t="n"/>
      <c r="H30" s="281" t="n"/>
      <c r="I30" s="281" t="n"/>
      <c r="J30" s="281" t="n"/>
      <c r="K30" s="281" t="n"/>
      <c r="L30" s="281" t="n"/>
      <c r="M30" s="281" t="n"/>
      <c r="N30" s="281" t="n"/>
      <c r="O30" s="281" t="n"/>
    </row>
    <row r="31" ht="17.25" customHeight="1" s="282">
      <c r="A31" s="281" t="n"/>
      <c r="B31" s="281" t="n"/>
      <c r="C31" s="281" t="n"/>
      <c r="D31" s="281" t="n"/>
      <c r="E31" s="281" t="n"/>
      <c r="F31" s="281" t="n"/>
      <c r="G31" s="281" t="n"/>
      <c r="H31" s="281" t="n"/>
      <c r="I31" s="281" t="n"/>
      <c r="J31" s="281" t="n"/>
      <c r="K31" s="281" t="n"/>
      <c r="L31" s="281" t="n"/>
      <c r="M31" s="281" t="n"/>
      <c r="N31" s="281" t="n"/>
      <c r="O31" s="281" t="n"/>
    </row>
    <row r="32" ht="17.25" customHeight="1" s="282">
      <c r="A32" s="281" t="n"/>
      <c r="B32" s="535" t="inlineStr">
        <is>
          <t>Equity Value (Market Cap)</t>
        </is>
      </c>
      <c r="C32" s="281" t="n"/>
      <c r="D32" s="281" t="n"/>
      <c r="E32" s="543">
        <f>DCF!O45</f>
        <v/>
      </c>
      <c r="F32" s="539" t="inlineStr">
        <is>
          <t>KRW mn</t>
        </is>
      </c>
      <c r="G32" s="281" t="n"/>
      <c r="H32" s="281" t="n"/>
      <c r="I32" s="281" t="n"/>
      <c r="J32" s="281" t="n"/>
      <c r="K32" s="281" t="n"/>
      <c r="L32" s="281" t="n"/>
      <c r="M32" s="281" t="n"/>
      <c r="N32" s="281" t="n"/>
      <c r="O32" s="281" t="n"/>
    </row>
    <row r="33" ht="17.25" customHeight="1" s="282">
      <c r="A33" s="281" t="n"/>
      <c r="B33" s="535" t="inlineStr">
        <is>
          <t>Debt Value (Book Value)</t>
        </is>
      </c>
      <c r="C33" s="281" t="n"/>
      <c r="D33" s="281" t="n"/>
      <c r="E33" s="543">
        <f>Input!I248</f>
        <v/>
      </c>
      <c r="F33" s="539" t="inlineStr">
        <is>
          <t>KRW mn</t>
        </is>
      </c>
      <c r="G33" s="281" t="n"/>
      <c r="H33" s="281" t="n"/>
      <c r="I33" s="281" t="n"/>
      <c r="J33" s="281" t="n"/>
      <c r="K33" s="281" t="n"/>
      <c r="L33" s="281" t="n"/>
      <c r="M33" s="281" t="n"/>
      <c r="N33" s="281" t="n"/>
      <c r="O33" s="281" t="n"/>
    </row>
    <row r="34" ht="17.25" customHeight="1" s="282">
      <c r="A34" s="281" t="n"/>
      <c r="B34" s="535" t="inlineStr">
        <is>
          <t>Total Capital</t>
        </is>
      </c>
      <c r="C34" s="281" t="n"/>
      <c r="D34" s="281" t="n"/>
      <c r="E34" s="536">
        <f>E32+E33</f>
        <v/>
      </c>
      <c r="F34" s="539" t="inlineStr">
        <is>
          <t>KRW mn</t>
        </is>
      </c>
      <c r="G34" s="281" t="n"/>
      <c r="H34" s="281" t="n"/>
      <c r="I34" s="281" t="n"/>
      <c r="J34" s="281" t="n"/>
      <c r="K34" s="281" t="n"/>
      <c r="L34" s="281" t="n"/>
      <c r="M34" s="281" t="n"/>
      <c r="N34" s="281" t="n"/>
      <c r="O34" s="281" t="n"/>
    </row>
    <row r="35" ht="17.25" customHeight="1" s="282">
      <c r="A35" s="281" t="n"/>
      <c r="B35" s="535" t="inlineStr">
        <is>
          <t>Equity Weight (We)</t>
        </is>
      </c>
      <c r="C35" s="281" t="n"/>
      <c r="D35" s="281" t="n"/>
      <c r="E35" s="538">
        <f>IFERROR(E32/E34,0)</f>
        <v/>
      </c>
      <c r="F35" s="539" t="inlineStr">
        <is>
          <t>%</t>
        </is>
      </c>
      <c r="G35" s="281" t="n"/>
      <c r="H35" s="281" t="n"/>
      <c r="I35" s="281" t="n"/>
      <c r="J35" s="281" t="n"/>
      <c r="K35" s="281" t="n"/>
      <c r="L35" s="281" t="n"/>
      <c r="M35" s="281" t="n"/>
      <c r="N35" s="281" t="n"/>
      <c r="O35" s="281" t="n"/>
    </row>
    <row r="36" ht="17.25" customHeight="1" s="282">
      <c r="A36" s="281" t="n"/>
      <c r="B36" s="535" t="inlineStr">
        <is>
          <t>Debt Weight (Wd)</t>
        </is>
      </c>
      <c r="C36" s="281" t="n"/>
      <c r="D36" s="281" t="n"/>
      <c r="E36" s="538">
        <f>IFERROR(E33/E34,0)</f>
        <v/>
      </c>
      <c r="F36" s="539" t="inlineStr">
        <is>
          <t>%</t>
        </is>
      </c>
      <c r="G36" s="281" t="n"/>
      <c r="H36" s="281" t="n"/>
      <c r="I36" s="281" t="n"/>
      <c r="J36" s="281" t="n"/>
      <c r="K36" s="281" t="n"/>
      <c r="L36" s="281" t="n"/>
      <c r="M36" s="281" t="n"/>
      <c r="N36" s="281" t="n"/>
      <c r="O36" s="281" t="n"/>
    </row>
    <row r="37" ht="17.25" customHeight="1" s="282">
      <c r="A37" s="281" t="n"/>
      <c r="B37" s="281" t="n"/>
      <c r="C37" s="281" t="n"/>
      <c r="D37" s="281" t="n"/>
      <c r="E37" s="281" t="n"/>
      <c r="F37" s="281" t="n"/>
      <c r="G37" s="281" t="n"/>
      <c r="H37" s="281" t="n"/>
      <c r="I37" s="281" t="n"/>
      <c r="J37" s="281" t="n"/>
      <c r="K37" s="281" t="n"/>
      <c r="L37" s="281" t="n"/>
      <c r="M37" s="281" t="n"/>
      <c r="N37" s="281" t="n"/>
      <c r="O37" s="281" t="n"/>
    </row>
    <row r="38" ht="17.25" customHeight="1" s="282">
      <c r="A38" s="281" t="n"/>
      <c r="B38" s="534" t="inlineStr">
        <is>
          <t>WACC Calculation</t>
        </is>
      </c>
      <c r="C38" s="534" t="n"/>
      <c r="D38" s="534" t="n"/>
      <c r="E38" s="534" t="n"/>
      <c r="F38" s="534" t="n"/>
      <c r="G38" s="534" t="n"/>
      <c r="H38" s="534" t="n"/>
      <c r="I38" s="534" t="n"/>
      <c r="J38" s="534" t="n"/>
      <c r="K38" s="534" t="n"/>
      <c r="L38" s="534" t="n"/>
      <c r="M38" s="534" t="n"/>
      <c r="N38" s="534" t="n"/>
      <c r="O38" s="534" t="n"/>
    </row>
    <row r="39" ht="17.25" customHeight="1" s="282">
      <c r="A39" s="281" t="n"/>
      <c r="B39" s="281" t="n"/>
      <c r="C39" s="281" t="n"/>
      <c r="D39" s="281" t="n"/>
      <c r="E39" s="281" t="n"/>
      <c r="F39" s="281" t="n"/>
      <c r="G39" s="281" t="n"/>
      <c r="H39" s="281" t="n"/>
      <c r="I39" s="281" t="n"/>
      <c r="J39" s="281" t="n"/>
      <c r="K39" s="281" t="n"/>
      <c r="L39" s="281" t="n"/>
      <c r="M39" s="281" t="n"/>
      <c r="N39" s="281" t="n"/>
      <c r="O39" s="281" t="n"/>
    </row>
    <row r="40" ht="17.25" customHeight="1" s="282">
      <c r="A40" s="281" t="n"/>
      <c r="B40" s="541" t="inlineStr">
        <is>
          <t>WACC</t>
        </is>
      </c>
      <c r="C40" s="541" t="n"/>
      <c r="D40" s="541" t="n"/>
      <c r="E40" s="544">
        <f>E35*E22+E36*E28</f>
        <v/>
      </c>
      <c r="F40" s="541" t="inlineStr">
        <is>
          <t>%</t>
        </is>
      </c>
      <c r="G40" s="281" t="n"/>
      <c r="H40" s="281" t="n"/>
      <c r="I40" s="281" t="n"/>
      <c r="J40" s="281" t="n"/>
      <c r="K40" s="281" t="n"/>
      <c r="L40" s="281" t="n"/>
      <c r="M40" s="281" t="n"/>
      <c r="N40" s="281" t="n"/>
      <c r="O40" s="281" t="n"/>
    </row>
    <row r="41" ht="17.25" customHeight="1" s="282">
      <c r="A41" s="281" t="n"/>
      <c r="B41" s="281" t="n"/>
      <c r="C41" s="281" t="n"/>
      <c r="D41" s="281" t="n"/>
      <c r="E41" s="281" t="n"/>
      <c r="F41" s="281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</row>
    <row r="42" ht="17.25" customHeight="1" s="282">
      <c r="A42" s="281" t="n"/>
      <c r="B42" s="539" t="inlineStr">
        <is>
          <t>vs Input WACC</t>
        </is>
      </c>
      <c r="C42" s="281" t="n"/>
      <c r="D42" s="281" t="n"/>
      <c r="E42" s="545">
        <f>Input!E18</f>
        <v/>
      </c>
      <c r="F42" s="281" t="n"/>
      <c r="G42" s="281" t="n"/>
      <c r="H42" s="281" t="n"/>
      <c r="I42" s="281" t="n"/>
      <c r="J42" s="281" t="n"/>
      <c r="K42" s="281" t="n"/>
      <c r="L42" s="281" t="n"/>
      <c r="M42" s="281" t="n"/>
      <c r="N42" s="281" t="n"/>
      <c r="O42" s="281" t="n"/>
    </row>
    <row r="43" ht="17.25" customHeight="1" s="282">
      <c r="A43" s="281" t="n"/>
      <c r="B43" s="281" t="n"/>
      <c r="C43" s="281" t="n"/>
      <c r="D43" s="281" t="n"/>
      <c r="E43" s="281" t="n"/>
      <c r="F43" s="281" t="n"/>
      <c r="G43" s="281" t="n"/>
      <c r="H43" s="281" t="n"/>
      <c r="I43" s="281" t="n"/>
      <c r="J43" s="281" t="n"/>
      <c r="K43" s="281" t="n"/>
      <c r="L43" s="281" t="n"/>
      <c r="M43" s="281" t="n"/>
      <c r="N43" s="281" t="n"/>
      <c r="O43" s="281" t="n"/>
    </row>
    <row r="44" ht="17.25" customHeight="1" s="282">
      <c r="A44" s="281" t="n"/>
      <c r="B44" s="281" t="n"/>
      <c r="C44" s="281" t="n"/>
      <c r="D44" s="281" t="n"/>
      <c r="E44" s="281" t="n"/>
      <c r="F44" s="281" t="n"/>
      <c r="G44" s="281" t="n"/>
      <c r="H44" s="281" t="n"/>
      <c r="I44" s="281" t="n"/>
      <c r="J44" s="281" t="n"/>
      <c r="K44" s="281" t="n"/>
      <c r="L44" s="281" t="n"/>
      <c r="M44" s="281" t="n"/>
      <c r="N44" s="281" t="n"/>
      <c r="O44" s="281" t="n"/>
    </row>
    <row r="45" ht="17.25" customHeight="1" s="282">
      <c r="A45" s="281" t="n"/>
      <c r="B45" s="534" t="inlineStr">
        <is>
          <t>WACC Sensitivity Analysis</t>
        </is>
      </c>
      <c r="C45" s="534" t="n"/>
      <c r="D45" s="534" t="n"/>
      <c r="E45" s="534" t="n"/>
      <c r="F45" s="534" t="n"/>
      <c r="G45" s="534" t="n"/>
      <c r="H45" s="534" t="n"/>
      <c r="I45" s="534" t="n"/>
      <c r="J45" s="534" t="n"/>
      <c r="K45" s="534" t="n"/>
      <c r="L45" s="534" t="n"/>
      <c r="M45" s="534" t="n"/>
      <c r="N45" s="534" t="n"/>
      <c r="O45" s="534" t="n"/>
    </row>
    <row r="46" ht="17.25" customHeight="1" s="282">
      <c r="A46" s="281" t="n"/>
      <c r="B46" s="281" t="n"/>
      <c r="C46" s="281" t="n"/>
      <c r="D46" s="281" t="n"/>
      <c r="E46" s="281" t="n"/>
      <c r="F46" s="281" t="n"/>
      <c r="G46" s="281" t="n"/>
      <c r="H46" s="281" t="n"/>
      <c r="I46" s="281" t="n"/>
      <c r="J46" s="281" t="n"/>
      <c r="K46" s="281" t="n"/>
      <c r="L46" s="281" t="n"/>
      <c r="M46" s="281" t="n"/>
      <c r="N46" s="281" t="n"/>
      <c r="O46" s="281" t="n"/>
    </row>
    <row r="47" ht="17.25" customHeight="1" s="282">
      <c r="A47" s="281" t="n"/>
      <c r="B47" s="546" t="inlineStr">
        <is>
          <t>Cost of Equity (Ke)</t>
        </is>
      </c>
      <c r="C47" s="281" t="n"/>
      <c r="D47" s="281" t="n"/>
      <c r="E47" s="281" t="n"/>
      <c r="F47" s="281" t="n"/>
      <c r="G47" s="281" t="n"/>
      <c r="H47" s="281" t="n"/>
      <c r="I47" s="281" t="n"/>
      <c r="J47" s="281" t="n"/>
      <c r="K47" s="281" t="n"/>
      <c r="L47" s="281" t="n"/>
      <c r="M47" s="281" t="n"/>
      <c r="N47" s="281" t="n"/>
      <c r="O47" s="281" t="n"/>
    </row>
    <row r="48" ht="17.25" customHeight="1" s="282">
      <c r="A48" s="281" t="n"/>
      <c r="B48" s="281" t="n"/>
      <c r="C48" s="281" t="n"/>
      <c r="D48" s="546" t="inlineStr">
        <is>
          <t>ERP →</t>
        </is>
      </c>
      <c r="E48" s="547" t="n">
        <v>0.04</v>
      </c>
      <c r="F48" s="547" t="n">
        <v>0.05</v>
      </c>
      <c r="G48" s="547" t="n">
        <v>0.06</v>
      </c>
      <c r="H48" s="547" t="n">
        <v>0.07000000000000001</v>
      </c>
      <c r="I48" s="547" t="n">
        <v>0.08</v>
      </c>
      <c r="J48" s="281" t="n"/>
      <c r="K48" s="281" t="n"/>
      <c r="L48" s="281" t="n"/>
      <c r="M48" s="281" t="n"/>
      <c r="N48" s="281" t="n"/>
      <c r="O48" s="281" t="n"/>
    </row>
    <row r="49" ht="17.25" customHeight="1" s="282">
      <c r="A49" s="281" t="n"/>
      <c r="B49" s="281" t="n"/>
      <c r="C49" s="546" t="inlineStr">
        <is>
          <t>β ↓</t>
        </is>
      </c>
      <c r="D49" s="548" t="n">
        <v>0.8</v>
      </c>
      <c r="E49" s="549">
        <f>$E$17+$D49*E$48+$E$20+$E$21</f>
        <v/>
      </c>
      <c r="F49" s="549">
        <f>$E$17+$D49*F$48+$E$20+$E$21</f>
        <v/>
      </c>
      <c r="G49" s="549">
        <f>$E$17+$D49*G$48+$E$20+$E$21</f>
        <v/>
      </c>
      <c r="H49" s="549">
        <f>$E$17+$D49*H$48+$E$20+$E$21</f>
        <v/>
      </c>
      <c r="I49" s="549">
        <f>$E$17+$D49*I$48+$E$20+$E$21</f>
        <v/>
      </c>
      <c r="J49" s="281" t="n"/>
      <c r="K49" s="281" t="n"/>
      <c r="L49" s="281" t="n"/>
      <c r="M49" s="281" t="n"/>
      <c r="N49" s="281" t="n"/>
      <c r="O49" s="281" t="n"/>
    </row>
    <row r="50" ht="17.25" customHeight="1" s="282">
      <c r="A50" s="281" t="n"/>
      <c r="B50" s="281" t="n"/>
      <c r="C50" s="281" t="n"/>
      <c r="D50" s="548" t="n">
        <v>0.9</v>
      </c>
      <c r="E50" s="549">
        <f>$E$17+$D50*E$48+$E$20+$E$21</f>
        <v/>
      </c>
      <c r="F50" s="549">
        <f>$E$17+$D50*F$48+$E$20+$E$21</f>
        <v/>
      </c>
      <c r="G50" s="549">
        <f>$E$17+$D50*G$48+$E$20+$E$21</f>
        <v/>
      </c>
      <c r="H50" s="549">
        <f>$E$17+$D50*H$48+$E$20+$E$21</f>
        <v/>
      </c>
      <c r="I50" s="549">
        <f>$E$17+$D50*I$48+$E$20+$E$21</f>
        <v/>
      </c>
      <c r="J50" s="281" t="n"/>
      <c r="K50" s="281" t="n"/>
      <c r="L50" s="281" t="n"/>
      <c r="M50" s="281" t="n"/>
      <c r="N50" s="281" t="n"/>
      <c r="O50" s="281" t="n"/>
    </row>
    <row r="51" ht="17.25" customHeight="1" s="282">
      <c r="A51" s="281" t="n"/>
      <c r="B51" s="281" t="n"/>
      <c r="C51" s="281" t="n"/>
      <c r="D51" s="548" t="n">
        <v>1</v>
      </c>
      <c r="E51" s="549">
        <f>$E$17+$D51*E$48+$E$20+$E$21</f>
        <v/>
      </c>
      <c r="F51" s="549">
        <f>$E$17+$D51*F$48+$E$20+$E$21</f>
        <v/>
      </c>
      <c r="G51" s="550">
        <f>$E$17+$D51*G$48+$E$20+$E$21</f>
        <v/>
      </c>
      <c r="H51" s="549">
        <f>$E$17+$D51*H$48+$E$20+$E$21</f>
        <v/>
      </c>
      <c r="I51" s="549">
        <f>$E$17+$D51*I$48+$E$20+$E$21</f>
        <v/>
      </c>
      <c r="J51" s="281" t="n"/>
      <c r="K51" s="281" t="n"/>
      <c r="L51" s="281" t="n"/>
      <c r="M51" s="281" t="n"/>
      <c r="N51" s="281" t="n"/>
      <c r="O51" s="281" t="n"/>
    </row>
    <row r="52" ht="17.25" customHeight="1" s="282">
      <c r="A52" s="281" t="n"/>
      <c r="B52" s="281" t="n"/>
      <c r="C52" s="281" t="n"/>
      <c r="D52" s="548" t="n">
        <v>1.1</v>
      </c>
      <c r="E52" s="549">
        <f>$E$17+$D52*E$48+$E$20+$E$21</f>
        <v/>
      </c>
      <c r="F52" s="549">
        <f>$E$17+$D52*F$48+$E$20+$E$21</f>
        <v/>
      </c>
      <c r="G52" s="549">
        <f>$E$17+$D52*G$48+$E$20+$E$21</f>
        <v/>
      </c>
      <c r="H52" s="549">
        <f>$E$17+$D52*H$48+$E$20+$E$21</f>
        <v/>
      </c>
      <c r="I52" s="549">
        <f>$E$17+$D52*I$48+$E$20+$E$21</f>
        <v/>
      </c>
      <c r="J52" s="281" t="n"/>
      <c r="K52" s="281" t="n"/>
      <c r="L52" s="281" t="n"/>
      <c r="M52" s="281" t="n"/>
      <c r="N52" s="281" t="n"/>
      <c r="O52" s="281" t="n"/>
    </row>
    <row r="53" ht="17.25" customHeight="1" s="282">
      <c r="A53" s="281" t="n"/>
      <c r="B53" s="281" t="n"/>
      <c r="C53" s="281" t="n"/>
      <c r="D53" s="548" t="n">
        <v>1.2</v>
      </c>
      <c r="E53" s="549">
        <f>$E$17+$D53*E$48+$E$20+$E$21</f>
        <v/>
      </c>
      <c r="F53" s="549">
        <f>$E$17+$D53*F$48+$E$20+$E$21</f>
        <v/>
      </c>
      <c r="G53" s="549">
        <f>$E$17+$D53*G$48+$E$20+$E$21</f>
        <v/>
      </c>
      <c r="H53" s="549">
        <f>$E$17+$D53*H$48+$E$20+$E$21</f>
        <v/>
      </c>
      <c r="I53" s="549">
        <f>$E$17+$D53*I$48+$E$20+$E$21</f>
        <v/>
      </c>
      <c r="J53" s="281" t="n"/>
      <c r="K53" s="281" t="n"/>
      <c r="L53" s="281" t="n"/>
      <c r="M53" s="281" t="n"/>
      <c r="N53" s="281" t="n"/>
      <c r="O53" s="281" t="n"/>
    </row>
    <row r="54" ht="17.25" customHeight="1" s="282"/>
    <row r="55" ht="17.25" customHeight="1" s="282"/>
    <row r="56" ht="17.25" customHeight="1" s="282"/>
    <row r="57" ht="17.25" customHeight="1" s="28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4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6640625" defaultRowHeight="15" customHeight="1" zeroHeight="0" outlineLevelRow="0"/>
  <cols>
    <col width="1.68" customWidth="1" style="531" min="1" max="1"/>
    <col width="28.69" customWidth="1" style="531" min="2" max="2"/>
    <col width="1.68" customWidth="1" style="531" min="3" max="16"/>
    <col width="13" customWidth="1" style="282" min="4" max="4"/>
    <col width="10.38" customWidth="1" style="282" min="5" max="5"/>
    <col width="8.69" customWidth="1" style="282" min="6" max="6"/>
    <col width="10" customWidth="1" style="282" min="7" max="7"/>
    <col width="13" customWidth="1" style="282" min="8" max="8"/>
    <col width="13" customWidth="1" style="282" min="9" max="9"/>
    <col width="12.5" customWidth="1" style="282" min="10" max="10"/>
    <col width="10" customWidth="1" style="282" min="11" max="11"/>
    <col width="13" customWidth="1" style="282" min="12" max="12"/>
    <col width="13" customWidth="1" style="282" min="13" max="13"/>
    <col width="13" customWidth="1" style="282" min="14" max="14"/>
    <col width="13" customWidth="1" style="282" min="15" max="15"/>
    <col width="1.68" customWidth="1" style="282" min="16" max="16"/>
  </cols>
  <sheetData>
    <row r="1" ht="24" customHeight="1" s="282">
      <c r="A1" s="297" t="n"/>
      <c r="B1" s="532">
        <f>Legend!D2</f>
        <v/>
      </c>
      <c r="C1" s="297" t="n"/>
      <c r="D1" s="297" t="n"/>
      <c r="E1" s="297" t="n"/>
      <c r="F1" s="297" t="n"/>
      <c r="G1" s="297" t="n"/>
      <c r="H1" s="297" t="n"/>
      <c r="I1" s="297" t="n"/>
      <c r="J1" s="297" t="n"/>
      <c r="K1" s="297" t="n"/>
      <c r="L1" s="297" t="n"/>
      <c r="M1" s="297" t="n"/>
      <c r="N1" s="297" t="n"/>
      <c r="O1" s="297" t="n"/>
      <c r="P1" s="297" t="n"/>
    </row>
    <row r="2" ht="17.25" customHeight="1" s="282">
      <c r="A2" s="281" t="n"/>
      <c r="B2" s="533" t="inlineStr">
        <is>
          <t>Guideline Public Company Method (GPCM)</t>
        </is>
      </c>
      <c r="C2" s="281" t="n"/>
      <c r="D2" s="281" t="n"/>
      <c r="E2" s="281" t="n"/>
      <c r="F2" s="281" t="n"/>
      <c r="G2" s="281" t="n"/>
      <c r="H2" s="281" t="n"/>
      <c r="I2" s="281" t="n"/>
      <c r="J2" s="281" t="n"/>
      <c r="K2" s="281" t="n"/>
      <c r="L2" s="281" t="n"/>
      <c r="M2" s="281" t="n"/>
      <c r="N2" s="281" t="n"/>
      <c r="O2" s="281" t="n"/>
    </row>
    <row r="3" ht="17.25" customHeight="1" s="282">
      <c r="A3" s="281" t="n"/>
      <c r="B3" s="281" t="n"/>
      <c r="C3" s="281" t="n"/>
      <c r="D3" s="281" t="n"/>
      <c r="E3" s="281" t="n"/>
      <c r="F3" s="281" t="n"/>
      <c r="G3" s="281" t="n"/>
      <c r="H3" s="281" t="n"/>
      <c r="I3" s="281" t="n"/>
      <c r="J3" s="281" t="n"/>
      <c r="K3" s="281" t="n"/>
      <c r="L3" s="281" t="n"/>
      <c r="M3" s="281" t="n"/>
      <c r="N3" s="281" t="n"/>
      <c r="O3" s="281" t="n"/>
    </row>
    <row r="4" ht="17.25" customHeight="1" s="282">
      <c r="A4" s="297" t="n"/>
      <c r="B4" s="534" t="inlineStr">
        <is>
          <t>Time Period</t>
        </is>
      </c>
      <c r="C4" s="297" t="n"/>
      <c r="D4" s="297" t="n"/>
      <c r="E4" s="297" t="n"/>
      <c r="F4" s="297" t="n"/>
      <c r="G4" s="297" t="n"/>
      <c r="H4" s="297" t="n"/>
      <c r="I4" s="297" t="n"/>
      <c r="J4" s="297" t="n"/>
      <c r="K4" s="297" t="n"/>
      <c r="L4" s="297" t="n"/>
      <c r="M4" s="297" t="n"/>
      <c r="N4" s="297" t="n"/>
      <c r="O4" s="297" t="n"/>
      <c r="P4" s="297" t="n"/>
    </row>
    <row r="5" ht="17.25" customHeight="1" s="282">
      <c r="A5" s="281" t="n"/>
      <c r="B5" s="281" t="n"/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</row>
    <row r="6" ht="17.25" customHeight="1" s="282">
      <c r="A6" s="281" t="n"/>
      <c r="B6" s="535" t="inlineStr">
        <is>
          <t>Actual/Forecast</t>
        </is>
      </c>
      <c r="C6" s="281" t="n"/>
      <c r="D6" s="281" t="n"/>
      <c r="E6" s="281" t="n"/>
      <c r="F6" s="281" t="n"/>
      <c r="G6" s="536">
        <f>Input!G6</f>
        <v/>
      </c>
      <c r="H6" s="536">
        <f>Input!H6</f>
        <v/>
      </c>
      <c r="I6" s="536">
        <f>Input!I6</f>
        <v/>
      </c>
      <c r="J6" s="536">
        <f>Input!J6</f>
        <v/>
      </c>
      <c r="K6" s="536">
        <f>Input!K6</f>
        <v/>
      </c>
      <c r="L6" s="536">
        <f>Input!L6</f>
        <v/>
      </c>
      <c r="M6" s="536">
        <f>Input!M6</f>
        <v/>
      </c>
      <c r="N6" s="536">
        <f>Input!N6</f>
        <v/>
      </c>
      <c r="O6" s="536">
        <f>Input!O6</f>
        <v/>
      </c>
    </row>
    <row r="7" ht="17.25" customHeight="1" s="282">
      <c r="A7" s="281" t="n"/>
      <c r="B7" s="535" t="inlineStr">
        <is>
          <t>Period Start</t>
        </is>
      </c>
      <c r="C7" s="281" t="n"/>
      <c r="D7" s="281" t="n"/>
      <c r="E7" s="281" t="n"/>
      <c r="F7" s="281" t="n"/>
      <c r="G7" s="537">
        <f>Input!G7</f>
        <v/>
      </c>
      <c r="H7" s="537">
        <f>Input!H7</f>
        <v/>
      </c>
      <c r="I7" s="537">
        <f>Input!I7</f>
        <v/>
      </c>
      <c r="J7" s="537">
        <f>Input!J7</f>
        <v/>
      </c>
      <c r="K7" s="537">
        <f>Input!K7</f>
        <v/>
      </c>
      <c r="L7" s="537">
        <f>Input!L7</f>
        <v/>
      </c>
      <c r="M7" s="537">
        <f>Input!M7</f>
        <v/>
      </c>
      <c r="N7" s="537">
        <f>Input!N7</f>
        <v/>
      </c>
      <c r="O7" s="536" t="inlineStr">
        <is>
          <t>TV</t>
        </is>
      </c>
    </row>
    <row r="8" ht="17.25" customHeight="1" s="282">
      <c r="A8" s="281" t="n"/>
      <c r="B8" s="535" t="inlineStr">
        <is>
          <t>Period End</t>
        </is>
      </c>
      <c r="C8" s="281" t="n"/>
      <c r="D8" s="281" t="n"/>
      <c r="E8" s="281" t="n"/>
      <c r="F8" s="281" t="n"/>
      <c r="G8" s="537">
        <f>Input!G8</f>
        <v/>
      </c>
      <c r="H8" s="537">
        <f>Input!H8</f>
        <v/>
      </c>
      <c r="I8" s="537">
        <f>Input!I8</f>
        <v/>
      </c>
      <c r="J8" s="537">
        <f>Input!J8</f>
        <v/>
      </c>
      <c r="K8" s="537">
        <f>Input!K8</f>
        <v/>
      </c>
      <c r="L8" s="537">
        <f>Input!L8</f>
        <v/>
      </c>
      <c r="M8" s="537">
        <f>Input!M8</f>
        <v/>
      </c>
      <c r="N8" s="537">
        <f>Input!N8</f>
        <v/>
      </c>
      <c r="O8" s="536" t="n"/>
    </row>
    <row r="9" ht="17.25" customHeight="1" s="282">
      <c r="A9" s="281" t="n"/>
      <c r="B9" s="535" t="inlineStr">
        <is>
          <t>Month</t>
        </is>
      </c>
      <c r="C9" s="281" t="n"/>
      <c r="D9" s="281" t="n"/>
      <c r="E9" s="281" t="n"/>
      <c r="F9" s="281" t="n"/>
      <c r="G9" s="536">
        <f>Input!G9</f>
        <v/>
      </c>
      <c r="H9" s="536">
        <f>Input!H9</f>
        <v/>
      </c>
      <c r="I9" s="536">
        <f>Input!I9</f>
        <v/>
      </c>
      <c r="J9" s="536">
        <f>Input!J9</f>
        <v/>
      </c>
      <c r="K9" s="536">
        <f>Input!K9</f>
        <v/>
      </c>
      <c r="L9" s="536">
        <f>Input!L9</f>
        <v/>
      </c>
      <c r="M9" s="536">
        <f>Input!M9</f>
        <v/>
      </c>
      <c r="N9" s="536">
        <f>Input!N9</f>
        <v/>
      </c>
      <c r="O9" s="536" t="n"/>
    </row>
    <row r="10" ht="17.25" customHeight="1" s="282">
      <c r="A10" s="281" t="n"/>
      <c r="B10" s="535" t="inlineStr">
        <is>
          <t>Year</t>
        </is>
      </c>
      <c r="C10" s="281" t="n"/>
      <c r="D10" s="281" t="n"/>
      <c r="E10" s="281" t="n"/>
      <c r="F10" s="281" t="n"/>
      <c r="G10" s="536">
        <f>Input!G10</f>
        <v/>
      </c>
      <c r="H10" s="536">
        <f>Input!H10</f>
        <v/>
      </c>
      <c r="I10" s="536">
        <f>Input!I10</f>
        <v/>
      </c>
      <c r="J10" s="536">
        <f>Input!J10</f>
        <v/>
      </c>
      <c r="K10" s="536">
        <f>Input!K10</f>
        <v/>
      </c>
      <c r="L10" s="536">
        <f>Input!L10</f>
        <v/>
      </c>
      <c r="M10" s="536">
        <f>Input!M10</f>
        <v/>
      </c>
      <c r="N10" s="536">
        <f>Input!N10</f>
        <v/>
      </c>
      <c r="O10" s="536">
        <f>Input!O10</f>
        <v/>
      </c>
    </row>
    <row r="11" ht="17.25" customHeight="1" s="282">
      <c r="A11" s="281" t="n"/>
      <c r="B11" s="535" t="inlineStr">
        <is>
          <t>Days</t>
        </is>
      </c>
      <c r="C11" s="281" t="n"/>
      <c r="D11" s="281" t="n"/>
      <c r="E11" s="281" t="n"/>
      <c r="F11" s="281" t="n"/>
      <c r="G11" s="536">
        <f>Input!G11</f>
        <v/>
      </c>
      <c r="H11" s="536">
        <f>Input!H11</f>
        <v/>
      </c>
      <c r="I11" s="536">
        <f>Input!I11</f>
        <v/>
      </c>
      <c r="J11" s="536">
        <f>Input!J11</f>
        <v/>
      </c>
      <c r="K11" s="536">
        <f>Input!K11</f>
        <v/>
      </c>
      <c r="L11" s="536">
        <f>Input!L11</f>
        <v/>
      </c>
      <c r="M11" s="536">
        <f>Input!M11</f>
        <v/>
      </c>
      <c r="N11" s="536">
        <f>Input!N11</f>
        <v/>
      </c>
      <c r="O11" s="536" t="n"/>
    </row>
    <row r="12" ht="17.25" customHeight="1" s="282">
      <c r="A12" s="281" t="n"/>
      <c r="B12" s="281" t="n"/>
      <c r="C12" s="281" t="n"/>
      <c r="D12" s="281" t="n"/>
      <c r="E12" s="281" t="n"/>
      <c r="F12" s="281" t="n"/>
      <c r="G12" s="281" t="n"/>
      <c r="H12" s="281" t="n"/>
      <c r="I12" s="281" t="n"/>
      <c r="J12" s="281" t="n"/>
      <c r="K12" s="281" t="n"/>
      <c r="L12" s="281" t="n"/>
      <c r="M12" s="281" t="n"/>
      <c r="N12" s="281" t="n"/>
      <c r="O12" s="281" t="n"/>
    </row>
    <row r="13" ht="17.25" customHeight="1" s="282">
      <c r="A13" s="281" t="n"/>
      <c r="B13" s="534" t="inlineStr">
        <is>
          <t>Comparable Company Analysis</t>
        </is>
      </c>
      <c r="C13" s="534" t="n"/>
      <c r="D13" s="534" t="n"/>
      <c r="E13" s="534" t="n"/>
      <c r="F13" s="534" t="n"/>
      <c r="G13" s="534" t="n"/>
      <c r="H13" s="534" t="n"/>
      <c r="I13" s="534" t="n"/>
      <c r="J13" s="534" t="n"/>
      <c r="K13" s="534" t="n"/>
      <c r="L13" s="534" t="n"/>
      <c r="M13" s="534" t="n"/>
      <c r="N13" s="534" t="n"/>
      <c r="O13" s="534" t="n"/>
    </row>
    <row r="14" ht="17.25" customHeight="1" s="282">
      <c r="A14" s="281" t="n"/>
      <c r="B14" s="281" t="n"/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  <c r="N14" s="281" t="n"/>
      <c r="O14" s="281" t="n"/>
    </row>
    <row r="15" ht="17.25" customHeight="1" s="282">
      <c r="A15" s="281" t="n"/>
      <c r="B15" s="534" t="inlineStr">
        <is>
          <t>[Comparable Companies]</t>
        </is>
      </c>
      <c r="C15" s="281" t="n"/>
      <c r="D15" s="281" t="n"/>
      <c r="E15" s="281" t="n"/>
      <c r="F15" s="281" t="n"/>
      <c r="G15" s="281" t="n"/>
      <c r="H15" s="281" t="n"/>
      <c r="I15" s="281" t="n"/>
      <c r="J15" s="281" t="n"/>
      <c r="K15" s="281" t="n"/>
      <c r="L15" s="281" t="n"/>
      <c r="M15" s="281" t="n"/>
      <c r="N15" s="281" t="n"/>
      <c r="O15" s="281" t="n"/>
    </row>
    <row r="16" ht="17.25" customHeight="1" s="282">
      <c r="A16" s="281" t="n"/>
      <c r="B16" s="281" t="n"/>
      <c r="C16" s="281" t="n"/>
      <c r="D16" s="281" t="n"/>
      <c r="E16" s="281" t="n"/>
      <c r="F16" s="281" t="n"/>
      <c r="G16" s="281" t="n"/>
      <c r="H16" s="281" t="n"/>
      <c r="I16" s="281" t="n"/>
      <c r="J16" s="281" t="n"/>
      <c r="K16" s="281" t="n"/>
      <c r="L16" s="281" t="n"/>
      <c r="M16" s="281" t="n"/>
      <c r="N16" s="281" t="n"/>
      <c r="O16" s="281" t="n"/>
    </row>
    <row r="17" ht="17.25" customHeight="1" s="282">
      <c r="A17" s="281" t="n"/>
      <c r="B17" s="551" t="inlineStr">
        <is>
          <t>Company</t>
        </is>
      </c>
      <c r="C17" s="551" t="inlineStr">
        <is>
          <t>Ticker</t>
        </is>
      </c>
      <c r="D17" s="551" t="inlineStr">
        <is>
          <t>Market Cap
(KRW mn)</t>
        </is>
      </c>
      <c r="E17" s="551" t="inlineStr">
        <is>
          <t>EV
(KRW mn)</t>
        </is>
      </c>
      <c r="F17" s="551" t="inlineStr">
        <is>
          <t>Revenue
(KRW mn)</t>
        </is>
      </c>
      <c r="G17" s="551" t="inlineStr">
        <is>
          <t>EBITDA
(KRW mn)</t>
        </is>
      </c>
      <c r="H17" s="551" t="inlineStr">
        <is>
          <t>EBIT
(KRW mn)</t>
        </is>
      </c>
      <c r="I17" s="551" t="inlineStr">
        <is>
          <t>Net Income
(KRW mn)</t>
        </is>
      </c>
      <c r="J17" s="551" t="inlineStr">
        <is>
          <t>EV/Revenue</t>
        </is>
      </c>
      <c r="K17" s="551" t="inlineStr">
        <is>
          <t>EV/EBITDA</t>
        </is>
      </c>
      <c r="L17" s="551" t="inlineStr">
        <is>
          <t>EV/EBIT</t>
        </is>
      </c>
      <c r="M17" s="551" t="inlineStr">
        <is>
          <t>P/E</t>
        </is>
      </c>
      <c r="N17" s="281" t="n"/>
      <c r="O17" s="281" t="n"/>
    </row>
    <row r="18" ht="17.25" customHeight="1" s="282">
      <c r="A18" s="281" t="n"/>
      <c r="B18" s="552" t="inlineStr">
        <is>
          <t>Comp #1</t>
        </is>
      </c>
      <c r="C18" s="552" t="n"/>
      <c r="D18" s="553" t="n"/>
      <c r="E18" s="553" t="n"/>
      <c r="F18" s="553" t="n"/>
      <c r="G18" s="553" t="n"/>
      <c r="H18" s="553" t="n"/>
      <c r="I18" s="553" t="n"/>
      <c r="J18" s="297" t="n"/>
      <c r="K18" s="554">
        <f>IFERROR(E18/G18,"-")</f>
        <v/>
      </c>
      <c r="L18" s="554">
        <f>IFERROR(E18/H18,"-")</f>
        <v/>
      </c>
      <c r="M18" s="554">
        <f>IFERROR(E18/I18,"-")</f>
        <v/>
      </c>
      <c r="N18" s="554">
        <f>IFERROR(D18/J18,"-")</f>
        <v/>
      </c>
      <c r="O18" s="281" t="n"/>
    </row>
    <row r="19" ht="17.25" customHeight="1" s="282">
      <c r="A19" s="281" t="n"/>
      <c r="B19" s="536" t="inlineStr">
        <is>
          <t>Comp #2</t>
        </is>
      </c>
      <c r="C19" s="536" t="n"/>
      <c r="D19" s="555" t="n"/>
      <c r="E19" s="555" t="n"/>
      <c r="F19" s="555" t="n"/>
      <c r="G19" s="555" t="n"/>
      <c r="H19" s="555" t="n"/>
      <c r="I19" s="555" t="n"/>
      <c r="J19" s="281" t="n"/>
      <c r="K19" s="540">
        <f>IFERROR(E19/G19,"-")</f>
        <v/>
      </c>
      <c r="L19" s="540">
        <f>IFERROR(E19/H19,"-")</f>
        <v/>
      </c>
      <c r="M19" s="540">
        <f>IFERROR(E19/I19,"-")</f>
        <v/>
      </c>
      <c r="N19" s="540">
        <f>IFERROR(D19/J19,"-")</f>
        <v/>
      </c>
      <c r="O19" s="281" t="n"/>
    </row>
    <row r="20" ht="17.25" customHeight="1" s="282">
      <c r="A20" s="281" t="n"/>
      <c r="B20" s="552" t="inlineStr">
        <is>
          <t>Comp #3</t>
        </is>
      </c>
      <c r="C20" s="552" t="n"/>
      <c r="D20" s="553" t="n"/>
      <c r="E20" s="553" t="n"/>
      <c r="F20" s="553" t="n"/>
      <c r="G20" s="553" t="n"/>
      <c r="H20" s="553" t="n"/>
      <c r="I20" s="553" t="n"/>
      <c r="J20" s="297" t="n"/>
      <c r="K20" s="554">
        <f>IFERROR(E20/G20,"-")</f>
        <v/>
      </c>
      <c r="L20" s="554">
        <f>IFERROR(E20/H20,"-")</f>
        <v/>
      </c>
      <c r="M20" s="554">
        <f>IFERROR(E20/I20,"-")</f>
        <v/>
      </c>
      <c r="N20" s="554">
        <f>IFERROR(D20/J20,"-")</f>
        <v/>
      </c>
      <c r="O20" s="281" t="n"/>
    </row>
    <row r="21" ht="17.25" customHeight="1" s="282">
      <c r="A21" s="281" t="n"/>
      <c r="B21" s="536" t="inlineStr">
        <is>
          <t>Comp #4</t>
        </is>
      </c>
      <c r="C21" s="536" t="n"/>
      <c r="D21" s="555" t="n"/>
      <c r="E21" s="555" t="n"/>
      <c r="F21" s="555" t="n"/>
      <c r="G21" s="555" t="n"/>
      <c r="H21" s="555" t="n"/>
      <c r="I21" s="555" t="n"/>
      <c r="J21" s="281" t="n"/>
      <c r="K21" s="540">
        <f>IFERROR(E21/G21,"-")</f>
        <v/>
      </c>
      <c r="L21" s="540">
        <f>IFERROR(E21/H21,"-")</f>
        <v/>
      </c>
      <c r="M21" s="540">
        <f>IFERROR(E21/I21,"-")</f>
        <v/>
      </c>
      <c r="N21" s="540">
        <f>IFERROR(D21/J21,"-")</f>
        <v/>
      </c>
      <c r="O21" s="281" t="n"/>
    </row>
    <row r="22" ht="17.25" customHeight="1" s="282">
      <c r="A22" s="281" t="n"/>
      <c r="B22" s="552" t="inlineStr">
        <is>
          <t>Comp #5</t>
        </is>
      </c>
      <c r="C22" s="552" t="n"/>
      <c r="D22" s="553" t="n"/>
      <c r="E22" s="553" t="n"/>
      <c r="F22" s="553" t="n"/>
      <c r="G22" s="553" t="n"/>
      <c r="H22" s="553" t="n"/>
      <c r="I22" s="553" t="n"/>
      <c r="J22" s="297" t="n"/>
      <c r="K22" s="554">
        <f>IFERROR(E22/G22,"-")</f>
        <v/>
      </c>
      <c r="L22" s="554">
        <f>IFERROR(E22/H22,"-")</f>
        <v/>
      </c>
      <c r="M22" s="554">
        <f>IFERROR(E22/I22,"-")</f>
        <v/>
      </c>
      <c r="N22" s="554">
        <f>IFERROR(D22/J22,"-")</f>
        <v/>
      </c>
      <c r="O22" s="281" t="n"/>
    </row>
    <row r="23" ht="17.25" customHeight="1" s="282">
      <c r="A23" s="281" t="n"/>
      <c r="B23" s="281" t="n"/>
      <c r="C23" s="281" t="n"/>
      <c r="D23" s="281" t="n"/>
      <c r="E23" s="281" t="n"/>
      <c r="F23" s="281" t="n"/>
      <c r="G23" s="281" t="n"/>
      <c r="H23" s="281" t="n"/>
      <c r="I23" s="281" t="n"/>
      <c r="J23" s="281" t="n"/>
      <c r="K23" s="281" t="n"/>
      <c r="L23" s="281" t="n"/>
      <c r="M23" s="281" t="n"/>
      <c r="N23" s="281" t="n"/>
      <c r="O23" s="281" t="n"/>
    </row>
    <row r="24" ht="17.25" customHeight="1" s="282">
      <c r="A24" s="281" t="n"/>
      <c r="B24" s="534" t="inlineStr">
        <is>
          <t>[Multiple Summary Statistics]</t>
        </is>
      </c>
      <c r="C24" s="281" t="n"/>
      <c r="D24" s="281" t="n"/>
      <c r="E24" s="281" t="n"/>
      <c r="F24" s="281" t="n"/>
      <c r="G24" s="281" t="n"/>
      <c r="H24" s="281" t="n"/>
      <c r="I24" s="281" t="n"/>
      <c r="J24" s="281" t="n"/>
      <c r="K24" s="281" t="n"/>
      <c r="L24" s="281" t="n"/>
      <c r="M24" s="281" t="n"/>
      <c r="N24" s="281" t="n"/>
      <c r="O24" s="281" t="n"/>
    </row>
    <row r="25" ht="17.25" customHeight="1" s="282">
      <c r="A25" s="281" t="n"/>
      <c r="B25" s="281" t="n"/>
      <c r="C25" s="281" t="n"/>
      <c r="D25" s="281" t="n"/>
      <c r="E25" s="281" t="n"/>
      <c r="F25" s="281" t="n"/>
      <c r="G25" s="281" t="n"/>
      <c r="H25" s="281" t="n"/>
      <c r="I25" s="281" t="n"/>
      <c r="J25" s="281" t="n"/>
      <c r="K25" s="281" t="n"/>
      <c r="L25" s="281" t="n"/>
      <c r="M25" s="281" t="n"/>
      <c r="N25" s="281" t="n"/>
      <c r="O25" s="281" t="n"/>
    </row>
    <row r="26" ht="17.25" customHeight="1" s="282">
      <c r="A26" s="281" t="n"/>
      <c r="B26" s="281" t="n"/>
      <c r="C26" s="281" t="n"/>
      <c r="D26" s="281" t="n"/>
      <c r="E26" s="281" t="n"/>
      <c r="F26" s="281" t="n"/>
      <c r="G26" s="281" t="n"/>
      <c r="H26" s="281" t="n"/>
      <c r="I26" s="281" t="n"/>
      <c r="J26" s="281" t="n"/>
      <c r="K26" s="556" t="inlineStr">
        <is>
          <t>EV/Revenue</t>
        </is>
      </c>
      <c r="L26" s="556" t="inlineStr">
        <is>
          <t>EV/EBITDA</t>
        </is>
      </c>
      <c r="M26" s="556" t="inlineStr">
        <is>
          <t>EV/EBIT</t>
        </is>
      </c>
      <c r="N26" s="556" t="inlineStr">
        <is>
          <t>P/E</t>
        </is>
      </c>
      <c r="O26" s="281" t="n"/>
    </row>
    <row r="27" ht="17.25" customHeight="1" s="282">
      <c r="A27" s="281" t="n"/>
      <c r="B27" s="535" t="inlineStr">
        <is>
          <t>Mean</t>
        </is>
      </c>
      <c r="C27" s="281" t="n"/>
      <c r="D27" s="281" t="n"/>
      <c r="E27" s="281" t="n"/>
      <c r="F27" s="281" t="n"/>
      <c r="G27" s="281" t="n"/>
      <c r="H27" s="281" t="n"/>
      <c r="I27" s="281" t="n"/>
      <c r="J27" s="281" t="n"/>
      <c r="K27" s="557">
        <f>IFERROR(AVERAGE(K18:K22),"-")</f>
        <v/>
      </c>
      <c r="L27" s="557">
        <f>IFERROR(AVERAGE(L18:L22),"-")</f>
        <v/>
      </c>
      <c r="M27" s="557">
        <f>IFERROR(AVERAGE(M18:M22),"-")</f>
        <v/>
      </c>
      <c r="N27" s="557">
        <f>IFERROR(AVERAGE(N18:N22),"-")</f>
        <v/>
      </c>
      <c r="O27" s="281" t="n"/>
    </row>
    <row r="28" ht="17.25" customHeight="1" s="282">
      <c r="A28" s="281" t="n"/>
      <c r="B28" s="535" t="inlineStr">
        <is>
          <t>Median</t>
        </is>
      </c>
      <c r="C28" s="281" t="n"/>
      <c r="D28" s="281" t="n"/>
      <c r="E28" s="281" t="n"/>
      <c r="F28" s="281" t="n"/>
      <c r="G28" s="281" t="n"/>
      <c r="H28" s="281" t="n"/>
      <c r="I28" s="281" t="n"/>
      <c r="J28" s="281" t="n"/>
      <c r="K28" s="557">
        <f>IFERROR(MEDIAN(K18:K22),"-")</f>
        <v/>
      </c>
      <c r="L28" s="557">
        <f>IFERROR(MEDIAN(L18:L22),"-")</f>
        <v/>
      </c>
      <c r="M28" s="557">
        <f>IFERROR(MEDIAN(M18:M22),"-")</f>
        <v/>
      </c>
      <c r="N28" s="557">
        <f>IFERROR(MEDIAN(N18:N22),"-")</f>
        <v/>
      </c>
      <c r="O28" s="281" t="n"/>
    </row>
    <row r="29" ht="17.25" customHeight="1" s="282">
      <c r="A29" s="281" t="n"/>
      <c r="B29" s="535" t="inlineStr">
        <is>
          <t>Max</t>
        </is>
      </c>
      <c r="C29" s="281" t="n"/>
      <c r="D29" s="281" t="n"/>
      <c r="E29" s="281" t="n"/>
      <c r="F29" s="281" t="n"/>
      <c r="G29" s="281" t="n"/>
      <c r="H29" s="281" t="n"/>
      <c r="I29" s="281" t="n"/>
      <c r="J29" s="281" t="n"/>
      <c r="K29" s="557">
        <f>IFERROR(MAX(K18:K22),"-")</f>
        <v/>
      </c>
      <c r="L29" s="557">
        <f>IFERROR(MAX(L18:L22),"-")</f>
        <v/>
      </c>
      <c r="M29" s="557">
        <f>IFERROR(MAX(M18:M22),"-")</f>
        <v/>
      </c>
      <c r="N29" s="557">
        <f>IFERROR(MAX(N18:N22),"-")</f>
        <v/>
      </c>
      <c r="O29" s="281" t="n"/>
    </row>
    <row r="30" ht="17.25" customHeight="1" s="282">
      <c r="A30" s="281" t="n"/>
      <c r="B30" s="535" t="inlineStr">
        <is>
          <t>Min</t>
        </is>
      </c>
      <c r="C30" s="281" t="n"/>
      <c r="D30" s="281" t="n"/>
      <c r="E30" s="281" t="n"/>
      <c r="F30" s="281" t="n"/>
      <c r="G30" s="281" t="n"/>
      <c r="H30" s="281" t="n"/>
      <c r="I30" s="281" t="n"/>
      <c r="J30" s="281" t="n"/>
      <c r="K30" s="557">
        <f>IFERROR(MIN(K18:K22),"-")</f>
        <v/>
      </c>
      <c r="L30" s="557">
        <f>IFERROR(MIN(L18:L22),"-")</f>
        <v/>
      </c>
      <c r="M30" s="557">
        <f>IFERROR(MIN(M18:M22),"-")</f>
        <v/>
      </c>
      <c r="N30" s="557">
        <f>IFERROR(MIN(N18:N22),"-")</f>
        <v/>
      </c>
      <c r="O30" s="281" t="n"/>
    </row>
    <row r="31" ht="17.25" customHeight="1" s="282">
      <c r="A31" s="281" t="n"/>
      <c r="B31" s="281" t="n"/>
      <c r="C31" s="281" t="n"/>
      <c r="D31" s="281" t="n"/>
      <c r="E31" s="281" t="n"/>
      <c r="F31" s="281" t="n"/>
      <c r="G31" s="281" t="n"/>
      <c r="H31" s="281" t="n"/>
      <c r="I31" s="281" t="n"/>
      <c r="J31" s="281" t="n"/>
      <c r="K31" s="281" t="n"/>
      <c r="L31" s="281" t="n"/>
      <c r="M31" s="281" t="n"/>
      <c r="N31" s="281" t="n"/>
      <c r="O31" s="281" t="n"/>
    </row>
    <row r="32" ht="17.25" customHeight="1" s="282">
      <c r="A32" s="281" t="n"/>
      <c r="B32" s="534" t="inlineStr">
        <is>
          <t>[Selected Multiples &amp; Valuation]</t>
        </is>
      </c>
      <c r="C32" s="281" t="n"/>
      <c r="D32" s="281" t="n"/>
      <c r="E32" s="281" t="n"/>
      <c r="F32" s="281" t="n"/>
      <c r="G32" s="281" t="n"/>
      <c r="H32" s="281" t="n"/>
      <c r="I32" s="281" t="n"/>
      <c r="J32" s="281" t="n"/>
      <c r="K32" s="281" t="n"/>
      <c r="L32" s="281" t="n"/>
      <c r="M32" s="281" t="n"/>
      <c r="N32" s="281" t="n"/>
      <c r="O32" s="281" t="n"/>
    </row>
    <row r="33" ht="17.25" customHeight="1" s="282">
      <c r="A33" s="281" t="n"/>
      <c r="B33" s="281" t="n"/>
      <c r="C33" s="281" t="n"/>
      <c r="D33" s="281" t="n"/>
      <c r="E33" s="281" t="n"/>
      <c r="F33" s="281" t="n"/>
      <c r="G33" s="281" t="n"/>
      <c r="H33" s="281" t="n"/>
      <c r="I33" s="281" t="n"/>
      <c r="J33" s="281" t="n"/>
      <c r="K33" s="281" t="n"/>
      <c r="L33" s="281" t="n"/>
      <c r="M33" s="281" t="n"/>
      <c r="N33" s="281" t="n"/>
      <c r="O33" s="281" t="n"/>
    </row>
    <row r="34" ht="17.25" customHeight="1" s="282">
      <c r="A34" s="281" t="n"/>
      <c r="B34" s="546" t="inlineStr">
        <is>
          <t>Selected Multiple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554" t="n"/>
      <c r="L34" s="554" t="n"/>
      <c r="M34" s="554" t="n"/>
      <c r="N34" s="554" t="n"/>
      <c r="O34" s="281" t="n"/>
    </row>
    <row r="35" ht="17.25" customHeight="1" s="282">
      <c r="A35" s="281" t="n"/>
      <c r="B35" s="281" t="n"/>
      <c r="C35" s="281" t="n"/>
      <c r="D35" s="281" t="n"/>
      <c r="E35" s="281" t="n"/>
      <c r="F35" s="281" t="n"/>
      <c r="G35" s="281" t="n"/>
      <c r="H35" s="281" t="n"/>
      <c r="I35" s="281" t="n"/>
      <c r="J35" s="281" t="n"/>
      <c r="K35" s="281" t="n"/>
      <c r="L35" s="281" t="n"/>
      <c r="M35" s="281" t="n"/>
      <c r="N35" s="281" t="n"/>
      <c r="O35" s="281" t="n"/>
    </row>
    <row r="36" ht="17.25" customHeight="1" s="282">
      <c r="A36" s="281" t="n"/>
      <c r="B36" s="546" t="inlineStr">
        <is>
          <t>Target Company Financials</t>
        </is>
      </c>
      <c r="C36" s="281" t="n"/>
      <c r="D36" s="281" t="n"/>
      <c r="E36" s="281" t="n"/>
      <c r="F36" s="281" t="n"/>
      <c r="G36" s="281" t="n"/>
      <c r="H36" s="281" t="n"/>
      <c r="I36" s="281" t="n"/>
      <c r="J36" s="281" t="n"/>
      <c r="K36" s="281" t="n"/>
      <c r="L36" s="281" t="n"/>
      <c r="M36" s="281" t="n"/>
      <c r="N36" s="281" t="n"/>
      <c r="O36" s="281" t="n"/>
    </row>
    <row r="37" ht="17.25" customHeight="1" s="282">
      <c r="A37" s="281" t="n"/>
      <c r="B37" s="535" t="inlineStr">
        <is>
          <t>Revenue</t>
        </is>
      </c>
      <c r="C37" s="281" t="n"/>
      <c r="D37" s="281" t="n"/>
      <c r="E37" s="281" t="n"/>
      <c r="F37" s="539" t="inlineStr">
        <is>
          <t>KRW mn</t>
        </is>
      </c>
      <c r="G37" s="558">
        <f>DCF!N20</f>
        <v/>
      </c>
      <c r="H37" s="281" t="n"/>
      <c r="I37" s="281" t="n"/>
      <c r="J37" s="281" t="n"/>
      <c r="K37" s="281" t="n"/>
      <c r="L37" s="281" t="n"/>
      <c r="M37" s="281" t="n"/>
      <c r="N37" s="281" t="n"/>
      <c r="O37" s="281" t="n"/>
    </row>
    <row r="38" ht="17.25" customHeight="1" s="282">
      <c r="A38" s="281" t="n"/>
      <c r="B38" s="535" t="inlineStr">
        <is>
          <t>EBITDA</t>
        </is>
      </c>
      <c r="C38" s="281" t="n"/>
      <c r="D38" s="281" t="n"/>
      <c r="E38" s="281" t="n"/>
      <c r="F38" s="539" t="inlineStr">
        <is>
          <t>KRW mn</t>
        </is>
      </c>
      <c r="G38" s="558">
        <f>DCF!N30</f>
        <v/>
      </c>
      <c r="H38" s="281" t="n"/>
      <c r="I38" s="281" t="n"/>
      <c r="J38" s="281" t="n"/>
      <c r="K38" s="281" t="n"/>
      <c r="L38" s="281" t="n"/>
      <c r="M38" s="281" t="n"/>
      <c r="N38" s="281" t="n"/>
      <c r="O38" s="281" t="n"/>
    </row>
    <row r="39" ht="17.25" customHeight="1" s="282">
      <c r="A39" s="281" t="n"/>
      <c r="B39" s="535" t="inlineStr">
        <is>
          <t>EBIT</t>
        </is>
      </c>
      <c r="C39" s="281" t="n"/>
      <c r="D39" s="281" t="n"/>
      <c r="E39" s="281" t="n"/>
      <c r="F39" s="539" t="inlineStr">
        <is>
          <t>KRW mn</t>
        </is>
      </c>
      <c r="G39" s="558">
        <f>DCF!N27</f>
        <v/>
      </c>
      <c r="H39" s="281" t="n"/>
      <c r="I39" s="281" t="n"/>
      <c r="J39" s="281" t="n"/>
      <c r="K39" s="281" t="n"/>
      <c r="L39" s="281" t="n"/>
      <c r="M39" s="281" t="n"/>
      <c r="N39" s="281" t="n"/>
      <c r="O39" s="281" t="n"/>
    </row>
    <row r="40" ht="17.25" customHeight="1" s="282">
      <c r="A40" s="281" t="n"/>
      <c r="B40" s="535" t="inlineStr">
        <is>
          <t>Net Income</t>
        </is>
      </c>
      <c r="C40" s="281" t="n"/>
      <c r="D40" s="281" t="n"/>
      <c r="E40" s="281" t="n"/>
      <c r="F40" s="539" t="inlineStr">
        <is>
          <t>KRW mn</t>
        </is>
      </c>
      <c r="G40" s="558">
        <f>DCF!N80</f>
        <v/>
      </c>
      <c r="H40" s="281" t="n"/>
      <c r="I40" s="281" t="n"/>
      <c r="J40" s="281" t="n"/>
      <c r="K40" s="281" t="n"/>
      <c r="L40" s="281" t="n"/>
      <c r="M40" s="281" t="n"/>
      <c r="N40" s="281" t="n"/>
      <c r="O40" s="281" t="n"/>
    </row>
    <row r="41" ht="17.25" customHeight="1" s="282">
      <c r="A41" s="281" t="n"/>
      <c r="B41" s="281" t="n"/>
      <c r="C41" s="281" t="n"/>
      <c r="D41" s="281" t="n"/>
      <c r="E41" s="281" t="n"/>
      <c r="F41" s="281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</row>
    <row r="42" ht="17.25" customHeight="1" s="282">
      <c r="A42" s="281" t="n"/>
      <c r="B42" s="546" t="inlineStr">
        <is>
          <t>Implied Enterprise Value</t>
        </is>
      </c>
      <c r="C42" s="281" t="n"/>
      <c r="D42" s="281" t="n"/>
      <c r="E42" s="281" t="n"/>
      <c r="F42" s="281" t="n"/>
      <c r="G42" s="281" t="n"/>
      <c r="H42" s="281" t="n"/>
      <c r="I42" s="281" t="n"/>
      <c r="J42" s="281" t="n"/>
      <c r="K42" s="281" t="n"/>
      <c r="L42" s="281" t="n"/>
      <c r="M42" s="281" t="n"/>
      <c r="N42" s="281" t="n"/>
      <c r="O42" s="281" t="n"/>
    </row>
    <row r="43" ht="17.25" customHeight="1" s="282">
      <c r="A43" s="281" t="n"/>
      <c r="B43" s="535" t="inlineStr">
        <is>
          <t>EV (Revenue multiple)</t>
        </is>
      </c>
      <c r="C43" s="281" t="n"/>
      <c r="D43" s="281" t="n"/>
      <c r="E43" s="281" t="n"/>
      <c r="F43" s="539" t="inlineStr">
        <is>
          <t>KRW mn</t>
        </is>
      </c>
      <c r="G43" s="555">
        <f>K34*G37</f>
        <v/>
      </c>
      <c r="H43" s="281" t="n"/>
      <c r="I43" s="281" t="n"/>
      <c r="J43" s="281" t="n"/>
      <c r="K43" s="281" t="n"/>
      <c r="L43" s="281" t="n"/>
      <c r="M43" s="281" t="n"/>
      <c r="N43" s="281" t="n"/>
      <c r="O43" s="281" t="n"/>
    </row>
    <row r="44" ht="17.25" customHeight="1" s="282">
      <c r="A44" s="281" t="n"/>
      <c r="B44" s="535" t="inlineStr">
        <is>
          <t>EV (EBITDA multiple)</t>
        </is>
      </c>
      <c r="C44" s="281" t="n"/>
      <c r="D44" s="281" t="n"/>
      <c r="E44" s="281" t="n"/>
      <c r="F44" s="539" t="inlineStr">
        <is>
          <t>KRW mn</t>
        </is>
      </c>
      <c r="G44" s="555">
        <f>L34*G38</f>
        <v/>
      </c>
      <c r="H44" s="281" t="n"/>
      <c r="I44" s="281" t="n"/>
      <c r="J44" s="281" t="n"/>
      <c r="K44" s="281" t="n"/>
      <c r="L44" s="281" t="n"/>
      <c r="M44" s="281" t="n"/>
      <c r="N44" s="281" t="n"/>
      <c r="O44" s="281" t="n"/>
    </row>
    <row r="45" ht="17.25" customHeight="1" s="282">
      <c r="A45" s="281" t="n"/>
      <c r="B45" s="535" t="inlineStr">
        <is>
          <t>EV (EBIT multiple)</t>
        </is>
      </c>
      <c r="C45" s="281" t="n"/>
      <c r="D45" s="281" t="n"/>
      <c r="E45" s="281" t="n"/>
      <c r="F45" s="539" t="inlineStr">
        <is>
          <t>KRW mn</t>
        </is>
      </c>
      <c r="G45" s="555">
        <f>M34*G39</f>
        <v/>
      </c>
      <c r="H45" s="281" t="n"/>
      <c r="I45" s="281" t="n"/>
      <c r="J45" s="281" t="n"/>
      <c r="K45" s="281" t="n"/>
      <c r="L45" s="281" t="n"/>
      <c r="M45" s="281" t="n"/>
      <c r="N45" s="281" t="n"/>
      <c r="O45" s="281" t="n"/>
    </row>
    <row r="46" ht="17.25" customHeight="1" s="282">
      <c r="A46" s="281" t="n"/>
      <c r="B46" s="281" t="n"/>
      <c r="C46" s="281" t="n"/>
      <c r="D46" s="281" t="n"/>
      <c r="E46" s="281" t="n"/>
      <c r="F46" s="281" t="n"/>
      <c r="G46" s="281" t="n"/>
      <c r="H46" s="281" t="n"/>
      <c r="I46" s="281" t="n"/>
      <c r="J46" s="281" t="n"/>
      <c r="K46" s="281" t="n"/>
      <c r="L46" s="281" t="n"/>
      <c r="M46" s="281" t="n"/>
      <c r="N46" s="281" t="n"/>
      <c r="O46" s="281" t="n"/>
    </row>
    <row r="47" ht="17.25" customHeight="1" s="282">
      <c r="A47" s="281" t="n"/>
      <c r="B47" s="546" t="inlineStr">
        <is>
          <t>Implied Equity Value</t>
        </is>
      </c>
      <c r="C47" s="281" t="n"/>
      <c r="D47" s="281" t="n"/>
      <c r="E47" s="281" t="n"/>
      <c r="F47" s="281" t="n"/>
      <c r="G47" s="281" t="n"/>
      <c r="H47" s="281" t="n"/>
      <c r="I47" s="281" t="n"/>
      <c r="J47" s="281" t="n"/>
      <c r="K47" s="281" t="n"/>
      <c r="L47" s="281" t="n"/>
      <c r="M47" s="281" t="n"/>
      <c r="N47" s="281" t="n"/>
      <c r="O47" s="281" t="n"/>
    </row>
    <row r="48" ht="17.25" customHeight="1" s="282">
      <c r="A48" s="281" t="n"/>
      <c r="B48" s="535" t="inlineStr">
        <is>
          <t>Equity (P/E multiple)</t>
        </is>
      </c>
      <c r="C48" s="281" t="n"/>
      <c r="D48" s="281" t="n"/>
      <c r="E48" s="281" t="n"/>
      <c r="F48" s="539" t="inlineStr">
        <is>
          <t>KRW mn</t>
        </is>
      </c>
      <c r="G48" s="555">
        <f>N34*G40</f>
        <v/>
      </c>
      <c r="H48" s="281" t="n"/>
      <c r="I48" s="281" t="n"/>
      <c r="J48" s="281" t="n"/>
      <c r="K48" s="281" t="n"/>
      <c r="L48" s="281" t="n"/>
      <c r="M48" s="281" t="n"/>
      <c r="N48" s="281" t="n"/>
      <c r="O48" s="281" t="n"/>
    </row>
    <row r="49" ht="17.25" customHeight="1" s="282">
      <c r="A49" s="281" t="n"/>
      <c r="B49" s="541" t="inlineStr">
        <is>
          <t>Equity (EV-based, EBITDA)</t>
        </is>
      </c>
      <c r="C49" s="541" t="n"/>
      <c r="D49" s="541" t="n"/>
      <c r="E49" s="541" t="n"/>
      <c r="F49" s="541" t="inlineStr">
        <is>
          <t>KRW mn</t>
        </is>
      </c>
      <c r="G49" s="559">
        <f>G44-Input!I248</f>
        <v/>
      </c>
      <c r="H49" s="541" t="n"/>
      <c r="I49" s="541" t="n"/>
      <c r="J49" s="541" t="n"/>
      <c r="K49" s="541" t="n"/>
      <c r="L49" s="541" t="n"/>
      <c r="M49" s="541" t="n"/>
      <c r="N49" s="541" t="n"/>
      <c r="O49" s="281" t="n"/>
    </row>
    <row r="50" ht="17.25" customHeight="1" s="282"/>
    <row r="51" ht="17.25" customHeight="1" s="282"/>
    <row r="52" ht="17.25" customHeight="1" s="282"/>
    <row r="53" ht="17.25" customHeight="1" s="28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P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6640625" defaultRowHeight="15" customHeight="1" zeroHeight="0" outlineLevelRow="0"/>
  <cols>
    <col width="1.68" customWidth="1" style="531" min="1" max="1"/>
    <col width="28.69" customWidth="1" style="531" min="2" max="2"/>
    <col width="1.68" customWidth="1" style="531" min="3" max="4"/>
    <col width="13" customWidth="1" style="282" min="4" max="4"/>
    <col width="10.38" customWidth="1" style="531" min="5" max="15"/>
    <col width="8.69" customWidth="1" style="282" min="6" max="6"/>
    <col width="10" customWidth="1" style="282" min="7" max="7"/>
    <col width="13" customWidth="1" style="282" min="8" max="8"/>
    <col width="13" customWidth="1" style="282" min="9" max="9"/>
    <col width="12.5" customWidth="1" style="282" min="10" max="10"/>
    <col width="10" customWidth="1" style="282" min="11" max="11"/>
    <col width="13" customWidth="1" style="282" min="12" max="12"/>
    <col width="13" customWidth="1" style="282" min="13" max="13"/>
    <col width="13" customWidth="1" style="282" min="14" max="14"/>
    <col width="13" customWidth="1" style="282" min="15" max="15"/>
    <col width="1.68" customWidth="1" style="531" min="16" max="16"/>
  </cols>
  <sheetData>
    <row r="1" ht="24" customHeight="1" s="282">
      <c r="A1" s="297" t="n"/>
      <c r="B1" s="532">
        <f>Legend!D2</f>
        <v/>
      </c>
      <c r="C1" s="297" t="n"/>
      <c r="D1" s="297" t="n"/>
      <c r="E1" s="297" t="n"/>
      <c r="F1" s="297" t="n"/>
      <c r="G1" s="297" t="n"/>
      <c r="H1" s="297" t="n"/>
      <c r="I1" s="297" t="n"/>
      <c r="J1" s="297" t="n"/>
      <c r="K1" s="297" t="n"/>
      <c r="L1" s="297" t="n"/>
      <c r="M1" s="297" t="n"/>
      <c r="N1" s="297" t="n"/>
      <c r="O1" s="297" t="n"/>
      <c r="P1" s="297" t="n"/>
    </row>
    <row r="2" ht="17.25" customHeight="1" s="282">
      <c r="A2" s="281" t="n"/>
      <c r="B2" s="533" t="inlineStr">
        <is>
          <t>Guideline Transaction Method (GTM)</t>
        </is>
      </c>
      <c r="C2" s="281" t="n"/>
      <c r="D2" s="281" t="n"/>
      <c r="E2" s="281" t="n"/>
      <c r="F2" s="281" t="n"/>
      <c r="G2" s="281" t="n"/>
      <c r="H2" s="281" t="n"/>
      <c r="I2" s="281" t="n"/>
      <c r="J2" s="281" t="n"/>
      <c r="K2" s="281" t="n"/>
      <c r="L2" s="281" t="n"/>
      <c r="M2" s="281" t="n"/>
      <c r="N2" s="281" t="n"/>
      <c r="O2" s="281" t="n"/>
    </row>
    <row r="3" ht="17.25" customHeight="1" s="282">
      <c r="A3" s="281" t="n"/>
      <c r="B3" s="281" t="n"/>
      <c r="C3" s="281" t="n"/>
      <c r="D3" s="281" t="n"/>
      <c r="E3" s="281" t="n"/>
      <c r="F3" s="281" t="n"/>
      <c r="G3" s="281" t="n"/>
      <c r="H3" s="281" t="n"/>
      <c r="I3" s="281" t="n"/>
      <c r="J3" s="281" t="n"/>
      <c r="K3" s="281" t="n"/>
      <c r="L3" s="281" t="n"/>
      <c r="M3" s="281" t="n"/>
      <c r="N3" s="281" t="n"/>
      <c r="O3" s="281" t="n"/>
    </row>
    <row r="4" ht="17.25" customHeight="1" s="282">
      <c r="A4" s="297" t="n"/>
      <c r="B4" s="534" t="inlineStr">
        <is>
          <t>Time Period</t>
        </is>
      </c>
      <c r="C4" s="297" t="n"/>
      <c r="D4" s="297" t="n"/>
      <c r="E4" s="297" t="n"/>
      <c r="F4" s="297" t="n"/>
      <c r="G4" s="297" t="n"/>
      <c r="H4" s="297" t="n"/>
      <c r="I4" s="297" t="n"/>
      <c r="J4" s="297" t="n"/>
      <c r="K4" s="297" t="n"/>
      <c r="L4" s="297" t="n"/>
      <c r="M4" s="297" t="n"/>
      <c r="N4" s="297" t="n"/>
      <c r="O4" s="297" t="n"/>
      <c r="P4" s="297" t="n"/>
    </row>
    <row r="5" ht="17.25" customHeight="1" s="282">
      <c r="A5" s="281" t="n"/>
      <c r="B5" s="281" t="n"/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</row>
    <row r="6" ht="17.25" customHeight="1" s="282">
      <c r="A6" s="281" t="n"/>
      <c r="B6" s="535" t="inlineStr">
        <is>
          <t>Actual/Forecast</t>
        </is>
      </c>
      <c r="C6" s="281" t="n"/>
      <c r="D6" s="281" t="n"/>
      <c r="E6" s="281" t="n"/>
      <c r="F6" s="281" t="n"/>
      <c r="G6" s="536">
        <f>Input!G6</f>
        <v/>
      </c>
      <c r="H6" s="536">
        <f>Input!H6</f>
        <v/>
      </c>
      <c r="I6" s="536">
        <f>Input!I6</f>
        <v/>
      </c>
      <c r="J6" s="536">
        <f>Input!J6</f>
        <v/>
      </c>
      <c r="K6" s="536">
        <f>Input!K6</f>
        <v/>
      </c>
      <c r="L6" s="536">
        <f>Input!L6</f>
        <v/>
      </c>
      <c r="M6" s="536">
        <f>Input!M6</f>
        <v/>
      </c>
      <c r="N6" s="536">
        <f>Input!N6</f>
        <v/>
      </c>
      <c r="O6" s="536">
        <f>Input!O6</f>
        <v/>
      </c>
    </row>
    <row r="7" ht="17.25" customHeight="1" s="282">
      <c r="A7" s="281" t="n"/>
      <c r="B7" s="535" t="inlineStr">
        <is>
          <t>Period Start</t>
        </is>
      </c>
      <c r="C7" s="281" t="n"/>
      <c r="D7" s="281" t="n"/>
      <c r="E7" s="281" t="n"/>
      <c r="F7" s="281" t="n"/>
      <c r="G7" s="537">
        <f>Input!G7</f>
        <v/>
      </c>
      <c r="H7" s="537">
        <f>Input!H7</f>
        <v/>
      </c>
      <c r="I7" s="537">
        <f>Input!I7</f>
        <v/>
      </c>
      <c r="J7" s="537">
        <f>Input!J7</f>
        <v/>
      </c>
      <c r="K7" s="537">
        <f>Input!K7</f>
        <v/>
      </c>
      <c r="L7" s="537">
        <f>Input!L7</f>
        <v/>
      </c>
      <c r="M7" s="537">
        <f>Input!M7</f>
        <v/>
      </c>
      <c r="N7" s="537">
        <f>Input!N7</f>
        <v/>
      </c>
      <c r="O7" s="536" t="inlineStr">
        <is>
          <t>TV</t>
        </is>
      </c>
    </row>
    <row r="8" ht="17.25" customHeight="1" s="282">
      <c r="A8" s="281" t="n"/>
      <c r="B8" s="535" t="inlineStr">
        <is>
          <t>Period End</t>
        </is>
      </c>
      <c r="C8" s="281" t="n"/>
      <c r="D8" s="281" t="n"/>
      <c r="E8" s="281" t="n"/>
      <c r="F8" s="281" t="n"/>
      <c r="G8" s="537">
        <f>Input!G8</f>
        <v/>
      </c>
      <c r="H8" s="537">
        <f>Input!H8</f>
        <v/>
      </c>
      <c r="I8" s="537">
        <f>Input!I8</f>
        <v/>
      </c>
      <c r="J8" s="537">
        <f>Input!J8</f>
        <v/>
      </c>
      <c r="K8" s="537">
        <f>Input!K8</f>
        <v/>
      </c>
      <c r="L8" s="537">
        <f>Input!L8</f>
        <v/>
      </c>
      <c r="M8" s="537">
        <f>Input!M8</f>
        <v/>
      </c>
      <c r="N8" s="537">
        <f>Input!N8</f>
        <v/>
      </c>
      <c r="O8" s="536" t="n"/>
    </row>
    <row r="9" ht="17.25" customHeight="1" s="282">
      <c r="A9" s="281" t="n"/>
      <c r="B9" s="535" t="inlineStr">
        <is>
          <t>Month</t>
        </is>
      </c>
      <c r="C9" s="281" t="n"/>
      <c r="D9" s="281" t="n"/>
      <c r="E9" s="281" t="n"/>
      <c r="F9" s="281" t="n"/>
      <c r="G9" s="536">
        <f>Input!G9</f>
        <v/>
      </c>
      <c r="H9" s="536">
        <f>Input!H9</f>
        <v/>
      </c>
      <c r="I9" s="536">
        <f>Input!I9</f>
        <v/>
      </c>
      <c r="J9" s="536">
        <f>Input!J9</f>
        <v/>
      </c>
      <c r="K9" s="536">
        <f>Input!K9</f>
        <v/>
      </c>
      <c r="L9" s="536">
        <f>Input!L9</f>
        <v/>
      </c>
      <c r="M9" s="536">
        <f>Input!M9</f>
        <v/>
      </c>
      <c r="N9" s="536">
        <f>Input!N9</f>
        <v/>
      </c>
      <c r="O9" s="536" t="n"/>
    </row>
    <row r="10" ht="17.25" customHeight="1" s="282">
      <c r="A10" s="281" t="n"/>
      <c r="B10" s="535" t="inlineStr">
        <is>
          <t>Year</t>
        </is>
      </c>
      <c r="C10" s="281" t="n"/>
      <c r="D10" s="281" t="n"/>
      <c r="E10" s="281" t="n"/>
      <c r="F10" s="281" t="n"/>
      <c r="G10" s="536">
        <f>Input!G10</f>
        <v/>
      </c>
      <c r="H10" s="536">
        <f>Input!H10</f>
        <v/>
      </c>
      <c r="I10" s="536">
        <f>Input!I10</f>
        <v/>
      </c>
      <c r="J10" s="536">
        <f>Input!J10</f>
        <v/>
      </c>
      <c r="K10" s="536">
        <f>Input!K10</f>
        <v/>
      </c>
      <c r="L10" s="536">
        <f>Input!L10</f>
        <v/>
      </c>
      <c r="M10" s="536">
        <f>Input!M10</f>
        <v/>
      </c>
      <c r="N10" s="536">
        <f>Input!N10</f>
        <v/>
      </c>
      <c r="O10" s="536">
        <f>Input!O10</f>
        <v/>
      </c>
    </row>
    <row r="11" ht="17.25" customHeight="1" s="282">
      <c r="A11" s="281" t="n"/>
      <c r="B11" s="535" t="inlineStr">
        <is>
          <t>Days</t>
        </is>
      </c>
      <c r="C11" s="281" t="n"/>
      <c r="D11" s="281" t="n"/>
      <c r="E11" s="281" t="n"/>
      <c r="F11" s="281" t="n"/>
      <c r="G11" s="536">
        <f>Input!G11</f>
        <v/>
      </c>
      <c r="H11" s="536">
        <f>Input!H11</f>
        <v/>
      </c>
      <c r="I11" s="536">
        <f>Input!I11</f>
        <v/>
      </c>
      <c r="J11" s="536">
        <f>Input!J11</f>
        <v/>
      </c>
      <c r="K11" s="536">
        <f>Input!K11</f>
        <v/>
      </c>
      <c r="L11" s="536">
        <f>Input!L11</f>
        <v/>
      </c>
      <c r="M11" s="536">
        <f>Input!M11</f>
        <v/>
      </c>
      <c r="N11" s="536">
        <f>Input!N11</f>
        <v/>
      </c>
      <c r="O11" s="536" t="n"/>
    </row>
    <row r="12" ht="17.25" customHeight="1" s="282">
      <c r="A12" s="281" t="n"/>
      <c r="B12" s="281" t="n"/>
      <c r="C12" s="281" t="n"/>
      <c r="D12" s="281" t="n"/>
      <c r="E12" s="281" t="n"/>
      <c r="F12" s="281" t="n"/>
      <c r="G12" s="281" t="n"/>
      <c r="H12" s="281" t="n"/>
      <c r="I12" s="281" t="n"/>
      <c r="J12" s="281" t="n"/>
      <c r="K12" s="281" t="n"/>
      <c r="L12" s="281" t="n"/>
      <c r="M12" s="281" t="n"/>
      <c r="N12" s="281" t="n"/>
      <c r="O12" s="281" t="n"/>
    </row>
    <row r="13" ht="17.25" customHeight="1" s="282">
      <c r="A13" s="281" t="n"/>
      <c r="B13" s="534" t="inlineStr">
        <is>
          <t>Comparable Transaction Analysis</t>
        </is>
      </c>
      <c r="C13" s="534" t="n"/>
      <c r="D13" s="534" t="n"/>
      <c r="E13" s="534" t="n"/>
      <c r="F13" s="534" t="n"/>
      <c r="G13" s="534" t="n"/>
      <c r="H13" s="534" t="n"/>
      <c r="I13" s="534" t="n"/>
      <c r="J13" s="534" t="n"/>
      <c r="K13" s="534" t="n"/>
      <c r="L13" s="534" t="n"/>
      <c r="M13" s="534" t="n"/>
      <c r="N13" s="534" t="n"/>
      <c r="O13" s="534" t="n"/>
    </row>
    <row r="14" ht="17.25" customHeight="1" s="282">
      <c r="A14" s="281" t="n"/>
      <c r="B14" s="281" t="n"/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  <c r="N14" s="281" t="n"/>
      <c r="O14" s="281" t="n"/>
    </row>
    <row r="15" ht="17.25" customHeight="1" s="282">
      <c r="A15" s="281" t="n"/>
      <c r="B15" s="534" t="inlineStr">
        <is>
          <t>[Comparable Transactions]</t>
        </is>
      </c>
      <c r="C15" s="281" t="n"/>
      <c r="D15" s="281" t="n"/>
      <c r="E15" s="281" t="n"/>
      <c r="F15" s="281" t="n"/>
      <c r="G15" s="281" t="n"/>
      <c r="H15" s="281" t="n"/>
      <c r="I15" s="281" t="n"/>
      <c r="J15" s="281" t="n"/>
      <c r="K15" s="281" t="n"/>
      <c r="L15" s="281" t="n"/>
      <c r="M15" s="281" t="n"/>
      <c r="N15" s="281" t="n"/>
      <c r="O15" s="281" t="n"/>
    </row>
    <row r="16" ht="17.25" customHeight="1" s="282">
      <c r="A16" s="281" t="n"/>
      <c r="B16" s="281" t="n"/>
      <c r="C16" s="281" t="n"/>
      <c r="D16" s="281" t="n"/>
      <c r="E16" s="281" t="n"/>
      <c r="F16" s="281" t="n"/>
      <c r="G16" s="281" t="n"/>
      <c r="H16" s="281" t="n"/>
      <c r="I16" s="281" t="n"/>
      <c r="J16" s="281" t="n"/>
      <c r="K16" s="281" t="n"/>
      <c r="L16" s="281" t="n"/>
      <c r="M16" s="281" t="n"/>
      <c r="N16" s="281" t="n"/>
      <c r="O16" s="281" t="n"/>
    </row>
    <row r="17" ht="17.25" customHeight="1" s="282">
      <c r="A17" s="281" t="n"/>
      <c r="B17" s="551" t="inlineStr">
        <is>
          <t>Date</t>
        </is>
      </c>
      <c r="C17" s="551" t="inlineStr">
        <is>
          <t>Target</t>
        </is>
      </c>
      <c r="D17" s="551" t="inlineStr">
        <is>
          <t>Acquirer</t>
        </is>
      </c>
      <c r="E17" s="551" t="inlineStr">
        <is>
          <t>Deal Value
(KRW mn)</t>
        </is>
      </c>
      <c r="F17" s="551" t="inlineStr">
        <is>
          <t>Revenue
(KRW mn)</t>
        </is>
      </c>
      <c r="G17" s="551" t="inlineStr">
        <is>
          <t>EBITDA
(KRW mn)</t>
        </is>
      </c>
      <c r="H17" s="551" t="inlineStr">
        <is>
          <t>EBIT
(KRW mn)</t>
        </is>
      </c>
      <c r="I17" s="551" t="inlineStr">
        <is>
          <t>EV/Revenue</t>
        </is>
      </c>
      <c r="J17" s="551" t="inlineStr">
        <is>
          <t>EV/EBITDA</t>
        </is>
      </c>
      <c r="K17" s="551" t="inlineStr">
        <is>
          <t>EV/EBIT</t>
        </is>
      </c>
      <c r="L17" s="551" t="inlineStr">
        <is>
          <t>Control
Premium</t>
        </is>
      </c>
      <c r="M17" s="281" t="n"/>
      <c r="N17" s="281" t="n"/>
      <c r="O17" s="281" t="n"/>
    </row>
    <row r="18" ht="17.25" customHeight="1" s="282">
      <c r="A18" s="281" t="n"/>
      <c r="B18" s="560" t="n"/>
      <c r="C18" s="552" t="inlineStr">
        <is>
          <t>Target #1</t>
        </is>
      </c>
      <c r="D18" s="552" t="inlineStr">
        <is>
          <t>Acquirer #1</t>
        </is>
      </c>
      <c r="E18" s="553" t="n"/>
      <c r="F18" s="553" t="n"/>
      <c r="G18" s="553" t="n"/>
      <c r="H18" s="553" t="n"/>
      <c r="I18" s="297" t="n"/>
      <c r="J18" s="554">
        <f>IFERROR(E18/G18,"-")</f>
        <v/>
      </c>
      <c r="K18" s="554">
        <f>IFERROR(E18/H18,"-")</f>
        <v/>
      </c>
      <c r="L18" s="554">
        <f>IFERROR(E18/I18,"-")</f>
        <v/>
      </c>
      <c r="M18" s="561" t="n"/>
      <c r="N18" s="281" t="n"/>
      <c r="O18" s="281" t="n"/>
    </row>
    <row r="19" ht="17.25" customHeight="1" s="282">
      <c r="A19" s="281" t="n"/>
      <c r="B19" s="562" t="n"/>
      <c r="C19" s="536" t="inlineStr">
        <is>
          <t>Target #2</t>
        </is>
      </c>
      <c r="D19" s="536" t="inlineStr">
        <is>
          <t>Acquirer #2</t>
        </is>
      </c>
      <c r="E19" s="555" t="n"/>
      <c r="F19" s="555" t="n"/>
      <c r="G19" s="555" t="n"/>
      <c r="H19" s="555" t="n"/>
      <c r="I19" s="281" t="n"/>
      <c r="J19" s="540">
        <f>IFERROR(E19/G19,"-")</f>
        <v/>
      </c>
      <c r="K19" s="540">
        <f>IFERROR(E19/H19,"-")</f>
        <v/>
      </c>
      <c r="L19" s="540">
        <f>IFERROR(E19/I19,"-")</f>
        <v/>
      </c>
      <c r="M19" s="538" t="n"/>
      <c r="N19" s="281" t="n"/>
      <c r="O19" s="281" t="n"/>
    </row>
    <row r="20" ht="17.25" customHeight="1" s="282">
      <c r="A20" s="281" t="n"/>
      <c r="B20" s="560" t="n"/>
      <c r="C20" s="552" t="inlineStr">
        <is>
          <t>Target #3</t>
        </is>
      </c>
      <c r="D20" s="552" t="inlineStr">
        <is>
          <t>Acquirer #3</t>
        </is>
      </c>
      <c r="E20" s="553" t="n"/>
      <c r="F20" s="553" t="n"/>
      <c r="G20" s="553" t="n"/>
      <c r="H20" s="553" t="n"/>
      <c r="I20" s="297" t="n"/>
      <c r="J20" s="554">
        <f>IFERROR(E20/G20,"-")</f>
        <v/>
      </c>
      <c r="K20" s="554">
        <f>IFERROR(E20/H20,"-")</f>
        <v/>
      </c>
      <c r="L20" s="554">
        <f>IFERROR(E20/I20,"-")</f>
        <v/>
      </c>
      <c r="M20" s="561" t="n"/>
      <c r="N20" s="281" t="n"/>
      <c r="O20" s="281" t="n"/>
    </row>
    <row r="21" ht="17.25" customHeight="1" s="282">
      <c r="A21" s="281" t="n"/>
      <c r="B21" s="562" t="n"/>
      <c r="C21" s="536" t="inlineStr">
        <is>
          <t>Target #4</t>
        </is>
      </c>
      <c r="D21" s="536" t="inlineStr">
        <is>
          <t>Acquirer #4</t>
        </is>
      </c>
      <c r="E21" s="555" t="n"/>
      <c r="F21" s="555" t="n"/>
      <c r="G21" s="555" t="n"/>
      <c r="H21" s="555" t="n"/>
      <c r="I21" s="281" t="n"/>
      <c r="J21" s="540">
        <f>IFERROR(E21/G21,"-")</f>
        <v/>
      </c>
      <c r="K21" s="540">
        <f>IFERROR(E21/H21,"-")</f>
        <v/>
      </c>
      <c r="L21" s="540">
        <f>IFERROR(E21/I21,"-")</f>
        <v/>
      </c>
      <c r="M21" s="538" t="n"/>
      <c r="N21" s="281" t="n"/>
      <c r="O21" s="281" t="n"/>
    </row>
    <row r="22" ht="17.25" customHeight="1" s="282">
      <c r="A22" s="281" t="n"/>
      <c r="B22" s="560" t="n"/>
      <c r="C22" s="552" t="inlineStr">
        <is>
          <t>Target #5</t>
        </is>
      </c>
      <c r="D22" s="552" t="inlineStr">
        <is>
          <t>Acquirer #5</t>
        </is>
      </c>
      <c r="E22" s="553" t="n"/>
      <c r="F22" s="553" t="n"/>
      <c r="G22" s="553" t="n"/>
      <c r="H22" s="553" t="n"/>
      <c r="I22" s="297" t="n"/>
      <c r="J22" s="554">
        <f>IFERROR(E22/G22,"-")</f>
        <v/>
      </c>
      <c r="K22" s="554">
        <f>IFERROR(E22/H22,"-")</f>
        <v/>
      </c>
      <c r="L22" s="554">
        <f>IFERROR(E22/I22,"-")</f>
        <v/>
      </c>
      <c r="M22" s="561" t="n"/>
      <c r="N22" s="281" t="n"/>
      <c r="O22" s="281" t="n"/>
    </row>
    <row r="23" ht="17.25" customHeight="1" s="282">
      <c r="A23" s="281" t="n"/>
      <c r="B23" s="281" t="n"/>
      <c r="C23" s="281" t="n"/>
      <c r="D23" s="281" t="n"/>
      <c r="E23" s="281" t="n"/>
      <c r="F23" s="281" t="n"/>
      <c r="G23" s="281" t="n"/>
      <c r="H23" s="281" t="n"/>
      <c r="I23" s="281" t="n"/>
      <c r="J23" s="281" t="n"/>
      <c r="K23" s="281" t="n"/>
      <c r="L23" s="281" t="n"/>
      <c r="M23" s="281" t="n"/>
      <c r="N23" s="281" t="n"/>
      <c r="O23" s="281" t="n"/>
    </row>
    <row r="24" ht="17.25" customHeight="1" s="282">
      <c r="A24" s="281" t="n"/>
      <c r="B24" s="534" t="inlineStr">
        <is>
          <t>[Transaction Multiple Summary]</t>
        </is>
      </c>
      <c r="C24" s="281" t="n"/>
      <c r="D24" s="281" t="n"/>
      <c r="E24" s="281" t="n"/>
      <c r="F24" s="281" t="n"/>
      <c r="G24" s="281" t="n"/>
      <c r="H24" s="281" t="n"/>
      <c r="I24" s="281" t="n"/>
      <c r="J24" s="281" t="n"/>
      <c r="K24" s="281" t="n"/>
      <c r="L24" s="281" t="n"/>
      <c r="M24" s="281" t="n"/>
      <c r="N24" s="281" t="n"/>
      <c r="O24" s="281" t="n"/>
    </row>
    <row r="25" ht="17.25" customHeight="1" s="282">
      <c r="A25" s="281" t="n"/>
      <c r="B25" s="281" t="n"/>
      <c r="C25" s="281" t="n"/>
      <c r="D25" s="281" t="n"/>
      <c r="E25" s="281" t="n"/>
      <c r="F25" s="281" t="n"/>
      <c r="G25" s="281" t="n"/>
      <c r="H25" s="281" t="n"/>
      <c r="I25" s="281" t="n"/>
      <c r="J25" s="281" t="n"/>
      <c r="K25" s="281" t="n"/>
      <c r="L25" s="281" t="n"/>
      <c r="M25" s="281" t="n"/>
      <c r="N25" s="281" t="n"/>
      <c r="O25" s="281" t="n"/>
    </row>
    <row r="26" ht="17.25" customHeight="1" s="282">
      <c r="A26" s="281" t="n"/>
      <c r="B26" s="281" t="n"/>
      <c r="C26" s="281" t="n"/>
      <c r="D26" s="281" t="n"/>
      <c r="E26" s="281" t="n"/>
      <c r="F26" s="281" t="n"/>
      <c r="G26" s="281" t="n"/>
      <c r="H26" s="281" t="n"/>
      <c r="I26" s="281" t="n"/>
      <c r="J26" s="556" t="inlineStr">
        <is>
          <t>EV/Revenue</t>
        </is>
      </c>
      <c r="K26" s="556" t="inlineStr">
        <is>
          <t>EV/EBITDA</t>
        </is>
      </c>
      <c r="L26" s="556" t="inlineStr">
        <is>
          <t>EV/EBIT</t>
        </is>
      </c>
      <c r="M26" s="281" t="n"/>
      <c r="N26" s="281" t="n"/>
      <c r="O26" s="281" t="n"/>
    </row>
    <row r="27" ht="17.25" customHeight="1" s="282">
      <c r="A27" s="281" t="n"/>
      <c r="B27" s="535" t="inlineStr">
        <is>
          <t>Mean</t>
        </is>
      </c>
      <c r="C27" s="281" t="n"/>
      <c r="D27" s="281" t="n"/>
      <c r="E27" s="281" t="n"/>
      <c r="F27" s="281" t="n"/>
      <c r="G27" s="281" t="n"/>
      <c r="H27" s="281" t="n"/>
      <c r="I27" s="281" t="n"/>
      <c r="J27" s="557">
        <f>IFERROR(AVERAGE(J18:J22),"-")</f>
        <v/>
      </c>
      <c r="K27" s="557">
        <f>IFERROR(AVERAGE(K18:K22),"-")</f>
        <v/>
      </c>
      <c r="L27" s="557">
        <f>IFERROR(AVERAGE(L18:L22),"-")</f>
        <v/>
      </c>
      <c r="M27" s="538">
        <f>IFERROR(AVERAGE(M18:M22),"-")</f>
        <v/>
      </c>
      <c r="N27" s="281" t="n"/>
      <c r="O27" s="281" t="n"/>
    </row>
    <row r="28" ht="17.25" customHeight="1" s="282">
      <c r="A28" s="281" t="n"/>
      <c r="B28" s="535" t="inlineStr">
        <is>
          <t>Median</t>
        </is>
      </c>
      <c r="C28" s="281" t="n"/>
      <c r="D28" s="281" t="n"/>
      <c r="E28" s="281" t="n"/>
      <c r="F28" s="281" t="n"/>
      <c r="G28" s="281" t="n"/>
      <c r="H28" s="281" t="n"/>
      <c r="I28" s="281" t="n"/>
      <c r="J28" s="557">
        <f>IFERROR(MEDIAN(J18:J22),"-")</f>
        <v/>
      </c>
      <c r="K28" s="557">
        <f>IFERROR(MEDIAN(K18:K22),"-")</f>
        <v/>
      </c>
      <c r="L28" s="557">
        <f>IFERROR(MEDIAN(L18:L22),"-")</f>
        <v/>
      </c>
      <c r="M28" s="281" t="n"/>
      <c r="N28" s="281" t="n"/>
      <c r="O28" s="281" t="n"/>
    </row>
    <row r="29" ht="17.25" customHeight="1" s="282">
      <c r="A29" s="281" t="n"/>
      <c r="B29" s="535" t="inlineStr">
        <is>
          <t>Max</t>
        </is>
      </c>
      <c r="C29" s="281" t="n"/>
      <c r="D29" s="281" t="n"/>
      <c r="E29" s="281" t="n"/>
      <c r="F29" s="281" t="n"/>
      <c r="G29" s="281" t="n"/>
      <c r="H29" s="281" t="n"/>
      <c r="I29" s="281" t="n"/>
      <c r="J29" s="557">
        <f>IFERROR(MAX(J18:J22),"-")</f>
        <v/>
      </c>
      <c r="K29" s="557">
        <f>IFERROR(MAX(K18:K22),"-")</f>
        <v/>
      </c>
      <c r="L29" s="557">
        <f>IFERROR(MAX(L18:L22),"-")</f>
        <v/>
      </c>
      <c r="M29" s="281" t="n"/>
      <c r="N29" s="281" t="n"/>
      <c r="O29" s="281" t="n"/>
    </row>
    <row r="30" ht="17.25" customHeight="1" s="282">
      <c r="A30" s="281" t="n"/>
      <c r="B30" s="535" t="inlineStr">
        <is>
          <t>Min</t>
        </is>
      </c>
      <c r="C30" s="281" t="n"/>
      <c r="D30" s="281" t="n"/>
      <c r="E30" s="281" t="n"/>
      <c r="F30" s="281" t="n"/>
      <c r="G30" s="281" t="n"/>
      <c r="H30" s="281" t="n"/>
      <c r="I30" s="281" t="n"/>
      <c r="J30" s="557">
        <f>IFERROR(MIN(J18:J22),"-")</f>
        <v/>
      </c>
      <c r="K30" s="557">
        <f>IFERROR(MIN(K18:K22),"-")</f>
        <v/>
      </c>
      <c r="L30" s="557">
        <f>IFERROR(MIN(L18:L22),"-")</f>
        <v/>
      </c>
      <c r="M30" s="281" t="n"/>
      <c r="N30" s="281" t="n"/>
      <c r="O30" s="281" t="n"/>
    </row>
    <row r="31" ht="17.25" customHeight="1" s="282">
      <c r="A31" s="281" t="n"/>
      <c r="B31" s="281" t="n"/>
      <c r="C31" s="281" t="n"/>
      <c r="D31" s="281" t="n"/>
      <c r="E31" s="281" t="n"/>
      <c r="F31" s="281" t="n"/>
      <c r="G31" s="281" t="n"/>
      <c r="H31" s="281" t="n"/>
      <c r="I31" s="281" t="n"/>
      <c r="J31" s="281" t="n"/>
      <c r="K31" s="281" t="n"/>
      <c r="L31" s="281" t="n"/>
      <c r="M31" s="281" t="n"/>
      <c r="N31" s="281" t="n"/>
      <c r="O31" s="281" t="n"/>
    </row>
    <row r="32" ht="17.25" customHeight="1" s="282">
      <c r="A32" s="281" t="n"/>
      <c r="B32" s="534" t="inlineStr">
        <is>
          <t>[Selected Transaction Multiples &amp; Valuation]</t>
        </is>
      </c>
      <c r="C32" s="281" t="n"/>
      <c r="D32" s="281" t="n"/>
      <c r="E32" s="281" t="n"/>
      <c r="F32" s="281" t="n"/>
      <c r="G32" s="281" t="n"/>
      <c r="H32" s="281" t="n"/>
      <c r="I32" s="281" t="n"/>
      <c r="J32" s="281" t="n"/>
      <c r="K32" s="281" t="n"/>
      <c r="L32" s="281" t="n"/>
      <c r="M32" s="281" t="n"/>
      <c r="N32" s="281" t="n"/>
      <c r="O32" s="281" t="n"/>
    </row>
    <row r="33" ht="17.25" customHeight="1" s="282">
      <c r="A33" s="281" t="n"/>
      <c r="B33" s="281" t="n"/>
      <c r="C33" s="281" t="n"/>
      <c r="D33" s="281" t="n"/>
      <c r="E33" s="281" t="n"/>
      <c r="F33" s="281" t="n"/>
      <c r="G33" s="281" t="n"/>
      <c r="H33" s="281" t="n"/>
      <c r="I33" s="281" t="n"/>
      <c r="J33" s="281" t="n"/>
      <c r="K33" s="281" t="n"/>
      <c r="L33" s="281" t="n"/>
      <c r="M33" s="281" t="n"/>
      <c r="N33" s="281" t="n"/>
      <c r="O33" s="281" t="n"/>
    </row>
    <row r="34" ht="17.25" customHeight="1" s="282">
      <c r="A34" s="281" t="n"/>
      <c r="B34" s="546" t="inlineStr">
        <is>
          <t>Selected Multiple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554" t="n"/>
      <c r="K34" s="554" t="n"/>
      <c r="L34" s="554" t="n"/>
      <c r="M34" s="281" t="n"/>
      <c r="N34" s="281" t="n"/>
      <c r="O34" s="281" t="n"/>
    </row>
    <row r="35" ht="17.25" customHeight="1" s="282">
      <c r="A35" s="281" t="n"/>
      <c r="B35" s="535" t="inlineStr">
        <is>
          <t>Control Premium Applied</t>
        </is>
      </c>
      <c r="C35" s="281" t="n"/>
      <c r="D35" s="281" t="n"/>
      <c r="E35" s="561" t="n">
        <v>0</v>
      </c>
      <c r="F35" s="281" t="n"/>
      <c r="G35" s="281" t="n"/>
      <c r="H35" s="281" t="n"/>
      <c r="I35" s="281" t="n"/>
      <c r="J35" s="281" t="n"/>
      <c r="K35" s="281" t="n"/>
      <c r="L35" s="281" t="n"/>
      <c r="M35" s="281" t="n"/>
      <c r="N35" s="281" t="n"/>
      <c r="O35" s="281" t="n"/>
    </row>
    <row r="36" ht="17.25" customHeight="1" s="282">
      <c r="A36" s="281" t="n"/>
      <c r="B36" s="281" t="n"/>
      <c r="C36" s="281" t="n"/>
      <c r="D36" s="281" t="n"/>
      <c r="E36" s="281" t="n"/>
      <c r="F36" s="281" t="n"/>
      <c r="G36" s="281" t="n"/>
      <c r="H36" s="281" t="n"/>
      <c r="I36" s="281" t="n"/>
      <c r="J36" s="281" t="n"/>
      <c r="K36" s="281" t="n"/>
      <c r="L36" s="281" t="n"/>
      <c r="M36" s="281" t="n"/>
      <c r="N36" s="281" t="n"/>
      <c r="O36" s="281" t="n"/>
    </row>
    <row r="37" ht="17.25" customHeight="1" s="282">
      <c r="A37" s="281" t="n"/>
      <c r="B37" s="546" t="inlineStr">
        <is>
          <t>Target Company Financials</t>
        </is>
      </c>
      <c r="C37" s="281" t="n"/>
      <c r="D37" s="281" t="n"/>
      <c r="E37" s="281" t="n"/>
      <c r="F37" s="281" t="n"/>
      <c r="G37" s="281" t="n"/>
      <c r="H37" s="281" t="n"/>
      <c r="I37" s="281" t="n"/>
      <c r="J37" s="281" t="n"/>
      <c r="K37" s="281" t="n"/>
      <c r="L37" s="281" t="n"/>
      <c r="M37" s="281" t="n"/>
      <c r="N37" s="281" t="n"/>
      <c r="O37" s="281" t="n"/>
    </row>
    <row r="38" ht="17.25" customHeight="1" s="282">
      <c r="A38" s="281" t="n"/>
      <c r="B38" s="535" t="inlineStr">
        <is>
          <t>Revenue</t>
        </is>
      </c>
      <c r="C38" s="281" t="n"/>
      <c r="D38" s="281" t="n"/>
      <c r="E38" s="281" t="n"/>
      <c r="F38" s="539" t="inlineStr">
        <is>
          <t>KRW mn</t>
        </is>
      </c>
      <c r="G38" s="558">
        <f>DCF!N20</f>
        <v/>
      </c>
      <c r="H38" s="281" t="n"/>
      <c r="I38" s="281" t="n"/>
      <c r="J38" s="281" t="n"/>
      <c r="K38" s="281" t="n"/>
      <c r="L38" s="281" t="n"/>
      <c r="M38" s="281" t="n"/>
      <c r="N38" s="281" t="n"/>
      <c r="O38" s="281" t="n"/>
    </row>
    <row r="39" ht="17.25" customHeight="1" s="282">
      <c r="A39" s="281" t="n"/>
      <c r="B39" s="535" t="inlineStr">
        <is>
          <t>EBITDA</t>
        </is>
      </c>
      <c r="C39" s="281" t="n"/>
      <c r="D39" s="281" t="n"/>
      <c r="E39" s="281" t="n"/>
      <c r="F39" s="539" t="inlineStr">
        <is>
          <t>KRW mn</t>
        </is>
      </c>
      <c r="G39" s="558">
        <f>DCF!N30</f>
        <v/>
      </c>
      <c r="H39" s="281" t="n"/>
      <c r="I39" s="281" t="n"/>
      <c r="J39" s="281" t="n"/>
      <c r="K39" s="281" t="n"/>
      <c r="L39" s="281" t="n"/>
      <c r="M39" s="281" t="n"/>
      <c r="N39" s="281" t="n"/>
      <c r="O39" s="281" t="n"/>
    </row>
    <row r="40" ht="17.25" customHeight="1" s="282">
      <c r="A40" s="281" t="n"/>
      <c r="B40" s="535" t="inlineStr">
        <is>
          <t>EBIT</t>
        </is>
      </c>
      <c r="C40" s="281" t="n"/>
      <c r="D40" s="281" t="n"/>
      <c r="E40" s="281" t="n"/>
      <c r="F40" s="539" t="inlineStr">
        <is>
          <t>KRW mn</t>
        </is>
      </c>
      <c r="G40" s="558">
        <f>DCF!N27</f>
        <v/>
      </c>
      <c r="H40" s="281" t="n"/>
      <c r="I40" s="281" t="n"/>
      <c r="J40" s="281" t="n"/>
      <c r="K40" s="281" t="n"/>
      <c r="L40" s="281" t="n"/>
      <c r="M40" s="281" t="n"/>
      <c r="N40" s="281" t="n"/>
      <c r="O40" s="281" t="n"/>
    </row>
    <row r="41" ht="17.25" customHeight="1" s="282">
      <c r="A41" s="281" t="n"/>
      <c r="B41" s="281" t="n"/>
      <c r="C41" s="281" t="n"/>
      <c r="D41" s="281" t="n"/>
      <c r="E41" s="281" t="n"/>
      <c r="F41" s="281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</row>
    <row r="42" ht="17.25" customHeight="1" s="282">
      <c r="A42" s="281" t="n"/>
      <c r="B42" s="546" t="inlineStr">
        <is>
          <t>Implied Enterprise Value</t>
        </is>
      </c>
      <c r="C42" s="281" t="n"/>
      <c r="D42" s="281" t="n"/>
      <c r="E42" s="281" t="n"/>
      <c r="F42" s="281" t="n"/>
      <c r="G42" s="281" t="n"/>
      <c r="H42" s="281" t="n"/>
      <c r="I42" s="281" t="n"/>
      <c r="J42" s="281" t="n"/>
      <c r="K42" s="281" t="n"/>
      <c r="L42" s="281" t="n"/>
      <c r="M42" s="281" t="n"/>
      <c r="N42" s="281" t="n"/>
      <c r="O42" s="281" t="n"/>
    </row>
    <row r="43" ht="17.25" customHeight="1" s="282">
      <c r="A43" s="281" t="n"/>
      <c r="B43" s="535" t="inlineStr">
        <is>
          <t>EV (Revenue multiple)</t>
        </is>
      </c>
      <c r="C43" s="281" t="n"/>
      <c r="D43" s="281" t="n"/>
      <c r="E43" s="281" t="n"/>
      <c r="F43" s="539" t="inlineStr">
        <is>
          <t>KRW mn</t>
        </is>
      </c>
      <c r="G43" s="555">
        <f>J34*G38*(1+$E$35)</f>
        <v/>
      </c>
      <c r="H43" s="281" t="n"/>
      <c r="I43" s="281" t="n"/>
      <c r="J43" s="281" t="n"/>
      <c r="K43" s="281" t="n"/>
      <c r="L43" s="281" t="n"/>
      <c r="M43" s="281" t="n"/>
      <c r="N43" s="281" t="n"/>
      <c r="O43" s="281" t="n"/>
    </row>
    <row r="44" ht="17.25" customHeight="1" s="282">
      <c r="A44" s="281" t="n"/>
      <c r="B44" s="535" t="inlineStr">
        <is>
          <t>EV (EBITDA multiple)</t>
        </is>
      </c>
      <c r="C44" s="281" t="n"/>
      <c r="D44" s="281" t="n"/>
      <c r="E44" s="281" t="n"/>
      <c r="F44" s="539" t="inlineStr">
        <is>
          <t>KRW mn</t>
        </is>
      </c>
      <c r="G44" s="555">
        <f>K34*G39*(1+$E$35)</f>
        <v/>
      </c>
      <c r="H44" s="281" t="n"/>
      <c r="I44" s="281" t="n"/>
      <c r="J44" s="281" t="n"/>
      <c r="K44" s="281" t="n"/>
      <c r="L44" s="281" t="n"/>
      <c r="M44" s="281" t="n"/>
      <c r="N44" s="281" t="n"/>
      <c r="O44" s="281" t="n"/>
    </row>
    <row r="45" ht="17.25" customHeight="1" s="282">
      <c r="A45" s="281" t="n"/>
      <c r="B45" s="535" t="inlineStr">
        <is>
          <t>EV (EBIT multiple)</t>
        </is>
      </c>
      <c r="C45" s="281" t="n"/>
      <c r="D45" s="281" t="n"/>
      <c r="E45" s="281" t="n"/>
      <c r="F45" s="539" t="inlineStr">
        <is>
          <t>KRW mn</t>
        </is>
      </c>
      <c r="G45" s="555">
        <f>L34*G40*(1+$E$35)</f>
        <v/>
      </c>
      <c r="H45" s="281" t="n"/>
      <c r="I45" s="281" t="n"/>
      <c r="J45" s="281" t="n"/>
      <c r="K45" s="281" t="n"/>
      <c r="L45" s="281" t="n"/>
      <c r="M45" s="281" t="n"/>
      <c r="N45" s="281" t="n"/>
      <c r="O45" s="281" t="n"/>
    </row>
    <row r="46" ht="17.25" customHeight="1" s="282">
      <c r="A46" s="281" t="n"/>
      <c r="B46" s="281" t="n"/>
      <c r="C46" s="281" t="n"/>
      <c r="D46" s="281" t="n"/>
      <c r="E46" s="281" t="n"/>
      <c r="F46" s="281" t="n"/>
      <c r="G46" s="281" t="n"/>
      <c r="H46" s="281" t="n"/>
      <c r="I46" s="281" t="n"/>
      <c r="J46" s="281" t="n"/>
      <c r="K46" s="281" t="n"/>
      <c r="L46" s="281" t="n"/>
      <c r="M46" s="281" t="n"/>
      <c r="N46" s="281" t="n"/>
      <c r="O46" s="281" t="n"/>
    </row>
    <row r="47" ht="17.25" customHeight="1" s="282">
      <c r="A47" s="281" t="n"/>
      <c r="B47" s="546" t="inlineStr">
        <is>
          <t>Implied Equity Value</t>
        </is>
      </c>
      <c r="C47" s="281" t="n"/>
      <c r="D47" s="281" t="n"/>
      <c r="E47" s="281" t="n"/>
      <c r="F47" s="281" t="n"/>
      <c r="G47" s="281" t="n"/>
      <c r="H47" s="281" t="n"/>
      <c r="I47" s="281" t="n"/>
      <c r="J47" s="281" t="n"/>
      <c r="K47" s="281" t="n"/>
      <c r="L47" s="281" t="n"/>
      <c r="M47" s="281" t="n"/>
      <c r="N47" s="281" t="n"/>
      <c r="O47" s="281" t="n"/>
    </row>
    <row r="48" ht="17.25" customHeight="1" s="282">
      <c r="A48" s="281" t="n"/>
      <c r="B48" s="535" t="inlineStr">
        <is>
          <t>Equity (EV/EBITDA-based)</t>
        </is>
      </c>
      <c r="C48" s="281" t="n"/>
      <c r="D48" s="281" t="n"/>
      <c r="E48" s="281" t="n"/>
      <c r="F48" s="539" t="inlineStr">
        <is>
          <t>KRW mn</t>
        </is>
      </c>
      <c r="G48" s="555">
        <f>G44-Input!I248</f>
        <v/>
      </c>
      <c r="H48" s="281" t="n"/>
      <c r="I48" s="281" t="n"/>
      <c r="J48" s="281" t="n"/>
      <c r="K48" s="281" t="n"/>
      <c r="L48" s="281" t="n"/>
      <c r="M48" s="281" t="n"/>
      <c r="N48" s="281" t="n"/>
      <c r="O48" s="281" t="n"/>
    </row>
    <row r="49" ht="17.25" customHeight="1" s="282">
      <c r="A49" s="281" t="n"/>
      <c r="B49" s="541" t="inlineStr">
        <is>
          <t>Equity (EV/EBIT-based)</t>
        </is>
      </c>
      <c r="C49" s="541" t="n"/>
      <c r="D49" s="541" t="n"/>
      <c r="E49" s="541" t="n"/>
      <c r="F49" s="541" t="inlineStr">
        <is>
          <t>KRW mn</t>
        </is>
      </c>
      <c r="G49" s="559">
        <f>G45-Input!I248</f>
        <v/>
      </c>
      <c r="H49" s="541" t="n"/>
      <c r="I49" s="541" t="n"/>
      <c r="J49" s="541" t="n"/>
      <c r="K49" s="541" t="n"/>
      <c r="L49" s="541" t="n"/>
      <c r="M49" s="541" t="n"/>
      <c r="N49" s="281" t="n"/>
      <c r="O49" s="281" t="n"/>
    </row>
    <row r="50" ht="17.25" customHeight="1" s="282">
      <c r="A50" s="281" t="n"/>
      <c r="B50" s="281" t="n"/>
      <c r="C50" s="281" t="n"/>
      <c r="D50" s="281" t="n"/>
      <c r="E50" s="281" t="n"/>
      <c r="F50" s="281" t="n"/>
      <c r="G50" s="281" t="n"/>
      <c r="H50" s="281" t="n"/>
      <c r="I50" s="281" t="n"/>
      <c r="J50" s="281" t="n"/>
      <c r="K50" s="281" t="n"/>
      <c r="L50" s="281" t="n"/>
      <c r="M50" s="281" t="n"/>
      <c r="N50" s="281" t="n"/>
      <c r="O50" s="281" t="n"/>
    </row>
    <row r="51" ht="17.25" customHeight="1" s="282">
      <c r="A51" s="281" t="n"/>
      <c r="B51" s="534" t="inlineStr">
        <is>
          <t>Valuation Summary (Cross-Method)</t>
        </is>
      </c>
      <c r="C51" s="534" t="n"/>
      <c r="D51" s="534" t="n"/>
      <c r="E51" s="534" t="n"/>
      <c r="F51" s="534" t="n"/>
      <c r="G51" s="534" t="n"/>
      <c r="H51" s="534" t="n"/>
      <c r="I51" s="534" t="n"/>
      <c r="J51" s="534" t="n"/>
      <c r="K51" s="534" t="n"/>
      <c r="L51" s="534" t="n"/>
      <c r="M51" s="534" t="n"/>
      <c r="N51" s="534" t="n"/>
      <c r="O51" s="534" t="n"/>
    </row>
    <row r="52" ht="17.25" customHeight="1" s="282">
      <c r="A52" s="281" t="n"/>
      <c r="B52" s="281" t="n"/>
      <c r="C52" s="281" t="n"/>
      <c r="D52" s="281" t="n"/>
      <c r="E52" s="281" t="n"/>
      <c r="F52" s="281" t="n"/>
      <c r="G52" s="281" t="n"/>
      <c r="H52" s="281" t="n"/>
      <c r="I52" s="281" t="n"/>
      <c r="J52" s="281" t="n"/>
      <c r="K52" s="281" t="n"/>
      <c r="L52" s="281" t="n"/>
      <c r="M52" s="281" t="n"/>
      <c r="N52" s="281" t="n"/>
      <c r="O52" s="281" t="n"/>
    </row>
    <row r="53" ht="17.25" customHeight="1" s="282">
      <c r="A53" s="281" t="n"/>
      <c r="B53" s="535" t="inlineStr">
        <is>
          <t>DCF Equity Value</t>
        </is>
      </c>
      <c r="C53" s="281" t="n"/>
      <c r="D53" s="281" t="n"/>
      <c r="E53" s="281" t="n"/>
      <c r="F53" s="539" t="inlineStr">
        <is>
          <t>KRW mn</t>
        </is>
      </c>
      <c r="G53" s="558">
        <f>DCF!O45</f>
        <v/>
      </c>
      <c r="H53" s="281" t="n"/>
      <c r="I53" s="281" t="n"/>
      <c r="J53" s="281" t="n"/>
      <c r="K53" s="281" t="n"/>
      <c r="L53" s="281" t="n"/>
      <c r="M53" s="281" t="n"/>
      <c r="N53" s="281" t="n"/>
      <c r="O53" s="281" t="n"/>
    </row>
    <row r="54" ht="17.25" customHeight="1" s="282">
      <c r="A54" s="281" t="n"/>
      <c r="B54" s="535" t="inlineStr">
        <is>
          <t>GPCM Equity Value (EV/EBITDA)</t>
        </is>
      </c>
      <c r="C54" s="281" t="n"/>
      <c r="D54" s="281" t="n"/>
      <c r="E54" s="281" t="n"/>
      <c r="F54" s="539" t="inlineStr">
        <is>
          <t>KRW mn</t>
        </is>
      </c>
      <c r="G54" s="558">
        <f>GPCM!G49</f>
        <v/>
      </c>
      <c r="H54" s="281" t="n"/>
      <c r="I54" s="281" t="n"/>
      <c r="J54" s="281" t="n"/>
      <c r="K54" s="281" t="n"/>
      <c r="L54" s="281" t="n"/>
      <c r="M54" s="281" t="n"/>
      <c r="N54" s="281" t="n"/>
      <c r="O54" s="281" t="n"/>
    </row>
    <row r="55" ht="17.25" customHeight="1" s="282">
      <c r="A55" s="281" t="n"/>
      <c r="B55" s="535" t="inlineStr">
        <is>
          <t>GTM Equity Value (EV/EBITDA)</t>
        </is>
      </c>
      <c r="C55" s="281" t="n"/>
      <c r="D55" s="281" t="n"/>
      <c r="E55" s="281" t="n"/>
      <c r="F55" s="539" t="inlineStr">
        <is>
          <t>KRW mn</t>
        </is>
      </c>
      <c r="G55" s="558">
        <f>G48</f>
        <v/>
      </c>
      <c r="H55" s="281" t="n"/>
      <c r="I55" s="281" t="n"/>
      <c r="J55" s="281" t="n"/>
      <c r="K55" s="281" t="n"/>
      <c r="L55" s="281" t="n"/>
      <c r="M55" s="281" t="n"/>
      <c r="N55" s="281" t="n"/>
      <c r="O55" s="281" t="n"/>
    </row>
    <row r="56" ht="17.25" customHeight="1" s="282">
      <c r="A56" s="281" t="n"/>
      <c r="B56" s="281" t="n"/>
      <c r="C56" s="281" t="n"/>
      <c r="D56" s="281" t="n"/>
      <c r="E56" s="281" t="n"/>
      <c r="F56" s="281" t="n"/>
      <c r="G56" s="281" t="n"/>
      <c r="H56" s="281" t="n"/>
      <c r="I56" s="281" t="n"/>
      <c r="J56" s="281" t="n"/>
      <c r="K56" s="281" t="n"/>
      <c r="L56" s="281" t="n"/>
      <c r="M56" s="281" t="n"/>
      <c r="N56" s="281" t="n"/>
      <c r="O56" s="281" t="n"/>
    </row>
    <row r="57" ht="17.25" customHeight="1" s="282">
      <c r="A57" s="281" t="n"/>
      <c r="B57" s="541" t="inlineStr">
        <is>
          <t>Average Equity Value</t>
        </is>
      </c>
      <c r="C57" s="541" t="n"/>
      <c r="D57" s="541" t="n"/>
      <c r="E57" s="541" t="n"/>
      <c r="F57" s="541" t="inlineStr">
        <is>
          <t>KRW mn</t>
        </is>
      </c>
      <c r="G57" s="559">
        <f>AVERAGE(G53:G55)</f>
        <v/>
      </c>
      <c r="H57" s="541" t="n"/>
      <c r="I57" s="541" t="n"/>
      <c r="J57" s="541" t="n"/>
      <c r="K57" s="541" t="n"/>
      <c r="L57" s="541" t="n"/>
      <c r="M57" s="541" t="n"/>
      <c r="N57" s="281" t="n"/>
      <c r="O57" s="281" t="n"/>
    </row>
    <row r="58" ht="17.25" customHeight="1" s="282"/>
    <row r="59" ht="17.25" customHeight="1" s="282"/>
    <row r="60" ht="17.25" customHeight="1" s="282"/>
    <row r="61" ht="17.25" customHeight="1" s="28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gyeongwookim</dc:creator>
  <dc:language xmlns:dc="http://purl.org/dc/elements/1.1/">en-US</dc:language>
  <dcterms:created xmlns:dcterms="http://purl.org/dc/terms/" xmlns:xsi="http://www.w3.org/2001/XMLSchema-instance" xsi:type="dcterms:W3CDTF">2021-09-06T09:32:22Z</dcterms:created>
  <dcterms:modified xmlns:dcterms="http://purl.org/dc/terms/" xmlns:xsi="http://www.w3.org/2001/XMLSchema-instance" xsi:type="dcterms:W3CDTF">2026-02-21T03:30:20Z</dcterms:modified>
  <cp:lastModifiedBy>양태 김</cp:lastModifiedBy>
  <cp:revision>0</cp:revision>
</cp:coreProperties>
</file>